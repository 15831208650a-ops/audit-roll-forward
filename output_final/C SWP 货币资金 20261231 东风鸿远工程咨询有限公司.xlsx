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776" firstSheet="0" activeTab="1" autoFilterDateGrouping="1"/>
  </bookViews>
  <sheets>
    <sheet name="汇总" sheetId="1" state="visible" r:id="rId1"/>
    <sheet name="C.00 Lead" sheetId="2" state="visible" r:id="rId2"/>
    <sheet name="C.00 BKD" sheetId="3" state="visible" r:id="rId3"/>
    <sheet name="SkywindSettingSheet" sheetId="4" state="veryHidden" r:id="rId4"/>
    <sheet name="C.01 Confirmations " sheetId="5" state="visible" r:id="rId5"/>
    <sheet name="C.01b 特殊账户程序" sheetId="6" state="visible" r:id="rId6"/>
    <sheet name="C.00b Other classification" sheetId="7" state="visible" r:id="rId7"/>
    <sheet name="C.02 Bank reconciliations" sheetId="8" state="visible"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 name="C.02a 外币测算" sheetId="13" state="visible" r:id="rId13"/>
    <sheet name="C.03 Cutoff"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15wrn.²Ä1­Ó¤ë1_Ü20¤H." localSheetId="2" hidden="1">{#N/A,#N/A,FALSE,"²Ä1­Ó¤ë"}</definedName>
    <definedName name="_16wrn.²Ä1­Ó¤ë1_Ü20¤H." localSheetId="2" hidden="1">{#N/A,#N/A,FALSE,"²Ä1­Ó¤ë"}</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O1" localSheetId="2" hidden="1">{#N/A,#N/A,FALSE,"970301";#N/A,#N/A,FALSE,"970302";#N/A,#N/A,FALSE,"970303";#N/A,#N/A,FALSE,"970304";#N/A,#N/A,FALSE,"COM1";#N/A,#N/A,FALSE,"COM2"}</definedName>
    <definedName name="_Sort" localSheetId="2" hidden="1">#REF!</definedName>
    <definedName name="aavbrdf" localSheetId="2" hidden="1">{#N/A,#N/A,FALSE,"OffAdvance";#N/A,#N/A,FALSE,"OffExpRprt";#N/A,#N/A,FALSE,"Travelling";#N/A,#N/A,FALSE,"Entertmnt";#N/A,#N/A,FALSE,"Promotion"}</definedName>
    <definedName name="aaz" localSheetId="2" hidden="1">{#N/A,#N/A,FALSE,"资产负债表";#N/A,#N/A,FALSE,"资产负债表"}</definedName>
    <definedName name="ada" localSheetId="2" hidden="1">{#N/A,#N/A,FALSE,"资产负债表";#N/A,#N/A,FALSE,"资产负债表"}</definedName>
    <definedName name="adaf" localSheetId="2" hidden="1">{#N/A,#N/A,FALSE,"资产负债表";#N/A,#N/A,FALSE,"资产负债表"}</definedName>
    <definedName name="adas" localSheetId="2" hidden="1">{"M1Print",#N/A,TRUE,"M1";"M2Print",#N/A,TRUE,"M2";"M1sPrint",#N/A,TRUE,"M1s";"M2aPrint",#N/A,TRUE,"M2a";"M4Print",#N/A,TRUE,"M4";"M5Print",#N/A,TRUE,"M5";"M6Print",#N/A,TRUE,"M6";"M6_1Print",#N/A,TRUE,"M6_1";"M6_2Print",#N/A,TRUE,"M6_2";"M7_1Print",#N/A,TRUE,"M7_1";"M7_2Print",#N/A,TRUE,"M7_2"}</definedName>
    <definedName name="adf" localSheetId="2" hidden="1">{"toptrial",#N/A,TRUE,"toptrial";"adjustment",#N/A,TRUE,"toptrial";"voucher",#N/A,TRUE,"toptrial"}</definedName>
    <definedName name="afhai" localSheetId="2" hidden="1">{#N/A,#N/A,FALSE,"资产负债表";#N/A,#N/A,FALSE,"资产负债表"}</definedName>
    <definedName name="AGEDDATABASE" localSheetId="2" hidden="1">{#N/A,#N/A,FALSE,"970301";#N/A,#N/A,FALSE,"970302";#N/A,#N/A,FALSE,"970303";#N/A,#N/A,FALSE,"970304";#N/A,#N/A,FALSE,"COM1";#N/A,#N/A,FALSE,"COM2"}</definedName>
    <definedName name="aidhaif" localSheetId="2" hidden="1">{#N/A,#N/A,FALSE,"资产负债表";#N/A,#N/A,FALSE,"资产负债表"}</definedName>
    <definedName name="anakf" localSheetId="2" hidden="1">{#N/A,#N/A,FALSE,"资产负债表";#N/A,#N/A,FALSE,"资产负债表"}</definedName>
    <definedName name="AS2TickmarkLS" localSheetId="2" hidden="1">#REF!</definedName>
    <definedName name="asdg" localSheetId="2" hidden="1">{#N/A,#N/A,FALSE,"资产负债表";#N/A,#N/A,FALSE,"资产负债表"}</definedName>
    <definedName name="ass" localSheetId="2" hidden="1">{#N/A,#N/A,TRUE,"CPRD";#N/A,#N/A,TRUE,"BCCPDR";#N/A,#N/A,TRUE,"EWRD";#N/A,#N/A,TRUE,"5100";#N/A,#N/A,TRUE,"5110"}</definedName>
    <definedName name="book" localSheetId="2" hidden="1">{#N/A,#N/A,FALSE,"OffAdvance";#N/A,#N/A,FALSE,"OffExpRprt";#N/A,#N/A,FALSE,"Entertmnt";#N/A,#N/A,FALSE,"Promotion";#N/A,#N/A,FALSE,"Travelling"}</definedName>
    <definedName name="book.2" localSheetId="2" hidden="1">{#N/A,#N/A,FALSE,"OffAdvance";#N/A,#N/A,FALSE,"OffExpRprt";#N/A,#N/A,FALSE,"Travelling";#N/A,#N/A,FALSE,"Entertmnt";#N/A,#N/A,FALSE,"Promotion"}</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bx" localSheetId="2" hidden="1">{#N/A,#N/A,FALSE,"M1s Board";#N/A,#N/A,FALSE,"M3 Board";#N/A,#N/A,FALSE,"M6 Board";#N/A,#N/A,FALSE,"M7";#N/A,#N/A,FALSE,"M7B";#N/A,#N/A,FALSE,"M8";#N/A,#N/A,FALSE,"M8A Board";#N/A,#N/A,FALSE,"AF1 Board"}</definedName>
    <definedName name="cccvb" localSheetId="2" hidden="1">{#N/A,#N/A,FALSE,"资产负债表";#N/A,#N/A,FALSE,"资产负债表"}</definedName>
    <definedName name="CFVVHH" localSheetId="2" hidden="1">{#N/A,#N/A,FALSE,"资产负债表";#N/A,#N/A,FALSE,"资产负债表"}</definedName>
    <definedName name="cfyik" localSheetId="2" hidden="1">{#N/A,#N/A,FALSE,"资产负债表";#N/A,#N/A,FALSE,"资产负债表"}</definedName>
    <definedName name="cgul" localSheetId="2" hidden="1">{#N/A,#N/A,FALSE,"资产负债表";#N/A,#N/A,FALSE,"资产负债表"}</definedName>
    <definedName name="cguocnbnl" localSheetId="2" hidden="1">{#N/A,#N/A,FALSE,"资产负债表";#N/A,#N/A,FALSE,"资产负债表"}</definedName>
    <definedName name="Coll" localSheetId="2" hidden="1">{#N/A,#N/A,FALSE,"970301";#N/A,#N/A,FALSE,"970302";#N/A,#N/A,FALSE,"970303";#N/A,#N/A,FALSE,"970304";#N/A,#N/A,FALSE,"COM1";#N/A,#N/A,FALSE,"COM2"}</definedName>
    <definedName name="dcca" localSheetId="2" hidden="1">{#N/A,#N/A,FALSE,"资产负债表";#N/A,#N/A,FALSE,"资产负债表"}</definedName>
    <definedName name="dfgdafsg" localSheetId="2" hidden="1">{#N/A,#N/A,FALSE,"OffAdvance";#N/A,#N/A,FALSE,"OffExpRprt";#N/A,#N/A,FALSE,"Travelling";#N/A,#N/A,FALSE,"Entertmnt";#N/A,#N/A,FALSE,"Promotion"}</definedName>
    <definedName name="dfv" localSheetId="2" hidden="1">{"M1Print",#N/A,TRUE,"M1";"M2Print",#N/A,TRUE,"M2";"M1sPrint",#N/A,TRUE,"M1s";"M2aPrint",#N/A,TRUE,"M2a";"M4Print",#N/A,TRUE,"M4";"M5Print",#N/A,TRUE,"M5";"M6Print",#N/A,TRUE,"M6";"M6_1Print",#N/A,TRUE,"M6_1";"M6_2Print",#N/A,TRUE,"M6_2";"M7_1Print",#N/A,TRUE,"M7_1";"M7_2Print",#N/A,TRUE,"M7_2"}</definedName>
    <definedName name="dh" localSheetId="2" hidden="1">{"M4Print",#N/A,FALSE,"M4"}</definedName>
    <definedName name="dlf" localSheetId="2" hidden="1">{"M4Print",#N/A,FALSE,"M4"}</definedName>
    <definedName name="doddd" localSheetId="2" hidden="1">{#N/A,#N/A,TRUE,"CPRD";#N/A,#N/A,TRUE,"BCCPDR";#N/A,#N/A,TRUE,"EWRD";#N/A,#N/A,TRUE,"5100";#N/A,#N/A,TRUE,"5110"}</definedName>
    <definedName name="dog" localSheetId="2" hidden="1">{#N/A,#N/A,TRUE,"CPRD";#N/A,#N/A,TRUE,"BCCPDR";#N/A,#N/A,TRUE,"EWRD";#N/A,#N/A,TRUE,"5100";#N/A,#N/A,TRUE,"5110"}</definedName>
    <definedName name="dvbm" localSheetId="2" hidden="1">{#N/A,#N/A,FALSE,"资产负债表";#N/A,#N/A,FALSE,"资产负债表"}</definedName>
    <definedName name="ehdg" localSheetId="2" hidden="1">{#N/A,#N/A,FALSE,"Jan"}</definedName>
    <definedName name="erf" localSheetId="2" hidden="1">{#N/A,#N/A,FALSE,"970301";#N/A,#N/A,FALSE,"970302";#N/A,#N/A,FALSE,"970303";#N/A,#N/A,FALSE,"970304";#N/A,#N/A,FALSE,"COM1";#N/A,#N/A,FALSE,"COM2"}</definedName>
    <definedName name="eryj" localSheetId="2" hidden="1">{#N/A,#N/A,FALSE,"资产负债表";#N/A,#N/A,FALSE,"资产负债表"}</definedName>
    <definedName name="ExpenseUpload" localSheetId="2" hidden="1">{#N/A,#N/A,TRUE,"CPRD";#N/A,#N/A,TRUE,"BCCPDR";#N/A,#N/A,TRUE,"EWRD";#N/A,#N/A,TRUE,"5100";#N/A,#N/A,TRUE,"5110"}</definedName>
    <definedName name="faif" localSheetId="2" hidden="1">{#N/A,#N/A,FALSE,"资产负债表";#N/A,#N/A,FALSE,"资产负债表"}</definedName>
    <definedName name="fd" localSheetId="2" hidden="1">{"M1sPrint",#N/A,FALSE,"M1s"}</definedName>
    <definedName name="feedback" localSheetId="2" hidden="1">{#N/A,#N/A,TRUE,"CPRD";#N/A,#N/A,TRUE,"BCCPDR";#N/A,#N/A,TRUE,"EWRD";#N/A,#N/A,TRUE,"5100";#N/A,#N/A,TRUE,"5110"}</definedName>
    <definedName name="fgdg" localSheetId="2" hidden="1">{"M1Print",#N/A,TRUE,"M1";"M2Print",#N/A,TRUE,"M2";"M1sPrint",#N/A,TRUE,"M1s";"M2aPrint",#N/A,TRUE,"M2a";"M4Print",#N/A,TRUE,"M4";"M5Print",#N/A,TRUE,"M5";"M6Print",#N/A,TRUE,"M6";"M6_1Print",#N/A,TRUE,"M6_1";"M6_2Print",#N/A,TRUE,"M6_2";"M7_1Print",#N/A,TRUE,"M7_1";"M7_2Print",#N/A,TRUE,"M7_2"}</definedName>
    <definedName name="fvb" localSheetId="2" hidden="1">{#N/A,#N/A,FALSE,"资产负债表";#N/A,#N/A,FALSE,"资产负债表"}</definedName>
    <definedName name="G9IJGF" localSheetId="2" hidden="1">{#N/A,#N/A,FALSE,"资产负债表";#N/A,#N/A,FALSE,"资产负债表"}</definedName>
    <definedName name="hadiah" localSheetId="2" hidden="1">{#N/A,#N/A,FALSE,"资产负债表";#N/A,#N/A,FALSE,"资产负债表"}</definedName>
    <definedName name="HdctTrnd" localSheetId="2" hidden="1">{#N/A,#N/A,TRUE,"CPRD";#N/A,#N/A,TRUE,"BCCPDR";#N/A,#N/A,TRUE,"EWRD";#N/A,#N/A,TRUE,"5100";#N/A,#N/A,TRUE,"5110"}</definedName>
    <definedName name="HTL_Cotrol1" localSheetId="2" hidden="1">{"'Sheet3'!$A$47:$M$47"}</definedName>
    <definedName name="HTML_Control" localSheetId="2" hidden="1">{"'Vxxe_times_J750 (2)'!$A$3:$E$14"}</definedName>
    <definedName name="hueoa" localSheetId="2" hidden="1">{#N/A,#N/A,FALSE,"资产负债表";#N/A,#N/A,FALSE,"资产负债表"}</definedName>
    <definedName name="ieji" localSheetId="2" hidden="1">{#N/A,#N/A,FALSE,"970301";#N/A,#N/A,FALSE,"970302";#N/A,#N/A,FALSE,"970303";#N/A,#N/A,FALSE,"970304";#N/A,#N/A,FALSE,"COM1";#N/A,#N/A,FALSE,"COM2"}</definedName>
    <definedName name="jdda" localSheetId="2" hidden="1">{"M4Print",#N/A,FALSE,"M4"}</definedName>
    <definedName name="jdfslsajdflasdkjpf" localSheetId="2" hidden="1">{#N/A,#N/A,FALSE,"OffAdvance";#N/A,#N/A,FALSE,"OffExpRprt";#N/A,#N/A,FALSE,"Entertmnt";#N/A,#N/A,FALSE,"Promotion";#N/A,#N/A,FALSE,"Travelling"}</definedName>
    <definedName name="jfgh" localSheetId="2" hidden="1">{"M1sPrint",#N/A,FALSE,"M1s"}</definedName>
    <definedName name="jgfhfg" localSheetId="2" hidden="1">{"M1sPrint",#N/A,FALSE,"M1s"}</definedName>
    <definedName name="jlj" localSheetId="2" hidden="1">{"M2aPrint",#N/A,FALSE,"M2a"}</definedName>
    <definedName name="jughn" localSheetId="2" hidden="1">{"M7_1Print",#N/A,TRUE,"M7_1";"M7_2Print",#N/A,TRUE,"M7_2"}</definedName>
    <definedName name="jytj" localSheetId="2" hidden="1">{"M7_1Print",#N/A,TRUE,"M7_1";"M7_2Print",#N/A,TRUE,"M7_2"}</definedName>
    <definedName name="kljik" localSheetId="2" hidden="1">{#N/A,#N/A,FALSE,"OffAdvance";#N/A,#N/A,FALSE,"OffExpRprt";#N/A,#N/A,FALSE,"Entertmnt";#N/A,#N/A,FALSE,"Promotion";#N/A,#N/A,FALSE,"Travelling"}</definedName>
    <definedName name="kuj" localSheetId="2" hidden="1">{"M6Print",#N/A,FALSE,"M6";"M6_1Print",#N/A,FALSE,"M6_1";"M6_2Print",#N/A,FALSE,"M6_2"}</definedName>
    <definedName name="LotusGraphChart1" localSheetId="2" hidden="1">#REF!</definedName>
    <definedName name="lotusgraphchart1b" localSheetId="2" hidden="1">#REF!</definedName>
    <definedName name="lotusgraphchart1x" localSheetId="2" hidden="1">#REF!</definedName>
    <definedName name="lu" localSheetId="2" hidden="1">{"M1sPrint",#N/A,FALSE,"M1s"}</definedName>
    <definedName name="n" localSheetId="2" hidden="1">{"M2Print",#N/A,FALSE,"M2"}</definedName>
    <definedName name="ngn" localSheetId="2" hidden="1">{"M1Print",#N/A,TRUE,"M1";"M2Print",#N/A,TRUE,"M2";"M1sPrint",#N/A,TRUE,"M1s";"M2aPrint",#N/A,TRUE,"M2a";"M4Print",#N/A,TRUE,"M4";"M5Print",#N/A,TRUE,"M5";"M6Print",#N/A,TRUE,"M6";"M6_1Print",#N/A,TRUE,"M6_1";"M6_2Print",#N/A,TRUE,"M6_2";"M7_1Print",#N/A,TRUE,"M7_1";"M7_2Print",#N/A,TRUE,"M7_2"}</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RJE" localSheetId="2" hidden="1">{"toptrial",#N/A,TRUE,"toptrial";"adjustment",#N/A,TRUE,"toptrial";"voucher",#N/A,TRUE,"toptrial"}</definedName>
    <definedName name="sdfs" localSheetId="2" hidden="1">{"M1sPrint",#N/A,FALSE,"M1s"}</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6"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sssz" localSheetId="2" hidden="1">{#N/A,#N/A,FALSE,"资产负债表";#N/A,#N/A,FALSE,"资产负债表"}</definedName>
    <definedName name="terh" localSheetId="2" hidden="1">{#N/A,#N/A,FALSE,"OffAdvance";#N/A,#N/A,FALSE,"OffExpRprt";#N/A,#N/A,FALSE,"Entertmnt";#N/A,#N/A,FALSE,"Promotion";#N/A,#N/A,FALSE,"Travelling"}</definedName>
    <definedName name="tfhg" localSheetId="2" hidden="1">{"M1Print",#N/A,FALSE,"M1"}</definedName>
    <definedName name="the" localSheetId="2" hidden="1">{#N/A,#N/A,FALSE,"Marketing";#N/A,#N/A,FALSE,"Selling";#N/A,#N/A,FALSE,"Promotional";#N/A,#N/A,FALSE,"Advertising"}</definedName>
    <definedName name="ulead" localSheetId="2" hidden="1">{#N/A,#N/A,FALSE,"970301";#N/A,#N/A,FALSE,"970302";#N/A,#N/A,FALSE,"970303";#N/A,#N/A,FALSE,"970304";#N/A,#N/A,FALSE,"COM1";#N/A,#N/A,FALSE,"COM2"}</definedName>
    <definedName name="uygh" localSheetId="2" hidden="1">{"M6Print",#N/A,FALSE,"M6";"M6_1Print",#N/A,FALSE,"M6_1";"M6_2Print",#N/A,FALSE,"M6_2"}</definedName>
    <definedName name="vhvkb" localSheetId="2" hidden="1">{#N/A,#N/A,FALSE,"资产负债表";#N/A,#N/A,FALSE,"资产负债表"}</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d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osit._.By._.Day." localSheetId="2" hidden="1">{#N/A,#N/A,FALSE,"Deposits by day"}</definedName>
    <definedName name="wrn.Deptartment._.Expenses." localSheetId="2" hidden="1">{#N/A,#N/A,TRUE,"CPRD";#N/A,#N/A,TRUE,"BCCPDR";#N/A,#N/A,TRUE,"EWRD";#N/A,#N/A,TRUE,"5100";#N/A,#N/A,TRUE,"5110"}</definedName>
    <definedName name="wrn.ERNST." localSheetId="2" hidden="1">{#N/A,#N/A,FALSE,"YTCHAN";#N/A,#N/A,FALSE,"TOMMY";#N/A,#N/A,FALSE,"REP.OFFICE";#N/A,#N/A,FALSE,"E&amp;Y_CONSULTANT";#N/A,#N/A,FALSE,"BT &amp; CIT"}</definedName>
    <definedName name="wrn.Financial._.Report." localSheetId="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2" hidden="1">{#N/A,#N/A,FALSE,"OffAdvance";#N/A,#N/A,FALSE,"OffExpRprt";#N/A,#N/A,FALSE,"Entertmnt";#N/A,#N/A,FALSE,"Promotion";#N/A,#N/A,FALSE,"Travelling"}</definedName>
    <definedName name="wrn.gb." localSheetId="2" hidden="1">{#N/A,#N/A,FALSE,"资产负债表";#N/A,#N/A,FALSE,"资产负债表"}</definedName>
    <definedName name="wrn.Input._.Data." localSheetId="2" hidden="1">{"Input_Fin",#N/A,FALSE,"By Code";"Input_Opt",#N/A,FALSE,"By Code"}</definedName>
    <definedName name="wrn.jan." localSheetId="2" hidden="1">{#N/A,#N/A,FALSE,"Jan"}</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Office." localSheetId="2" hidden="1">{#N/A,#N/A,FALSE,"OffAdvance";#N/A,#N/A,FALSE,"OffExpRprt";#N/A,#N/A,FALSE,"Travelling";#N/A,#N/A,FALSE,"Entertmnt";#N/A,#N/A,FALSE,"Promotion"}</definedName>
    <definedName name="wrn.Operation._.Report." localSheetId="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2" hidden="1">{#N/A,#N/A,FALSE,"Marketing";#N/A,#N/A,FALSE,"Selling";#N/A,#N/A,FALSE,"Promotional";#N/A,#N/A,FALSE,"Advertising"}</definedName>
    <definedName name="wrn.sunmicro." localSheetId="2" hidden="1">{#N/A,#N/A,FALSE,"FREEMAN";#N/A,#N/A,FALSE,"STEPHEN";#N/A,#N/A,FALSE,"VICTOR"}</definedName>
    <definedName name="wrn.tope" localSheetId="2" hidden="1">{"toptrial",#N/A,TRUE,"toptrial";"adjustment",#N/A,TRUE,"toptrial";"voucher",#N/A,TRUE,"toptrial"}</definedName>
    <definedName name="wrn.toptrial." localSheetId="2" hidden="1">{"toptrial",#N/A,TRUE,"toptrial";"adjustment",#N/A,TRUE,"toptrial";"voucher",#N/A,TRUE,"toptrial"}</definedName>
    <definedName name="wrn.voucher9703." localSheetId="2" hidden="1">{#N/A,#N/A,FALSE,"970301";#N/A,#N/A,FALSE,"970302";#N/A,#N/A,FALSE,"970303";#N/A,#N/A,FALSE,"970304";#N/A,#N/A,FALSE,"COM1";#N/A,#N/A,FALSE,"COM2"}</definedName>
    <definedName name="wrn.ytd." localSheetId="2" hidden="1">{#N/A,#N/A,FALSE,"YTD"}</definedName>
    <definedName name="wrn100.gb" localSheetId="2" hidden="1">{#N/A,#N/A,FALSE,"资产负债表";#N/A,#N/A,FALSE,"资产负债表"}</definedName>
    <definedName name="wrnn.all." localSheetId="2" hidden="1">{#N/A,#N/A,FALSE,"SUM";#N/A,#N/A,FALSE,"SK_TOT";#N/A,#N/A,FALSE,"YM";#N/A,#N/A,FALSE,"TSMC";#N/A,#N/A,FALSE,"ICW";#N/A,#N/A,FALSE,"Sheet1"}</definedName>
    <definedName name="wtr" localSheetId="2" hidden="1">{#N/A,#N/A,FALSE,"资产负债表";#N/A,#N/A,FALSE,"资产负债表"}</definedName>
    <definedName name="XREF_COLUMN_1" localSheetId="2" hidden="1">#REF!</definedName>
    <definedName name="XREF_COLUMN_10" localSheetId="2" hidden="1">#REF!</definedName>
    <definedName name="XREF_COLUMN_11" localSheetId="2" hidden="1">#REF!</definedName>
    <definedName name="XREF_COLUMN_12"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_COLUMN_7" localSheetId="2" hidden="1">#REF!</definedName>
    <definedName name="XRefActiveRow" localSheetId="2" hidden="1">#REF!</definedName>
    <definedName name="XRefCopy1" localSheetId="2" hidden="1">#REF!</definedName>
    <definedName name="XRefCopy10" localSheetId="2" hidden="1">#REF!</definedName>
    <definedName name="XRefCopy10Row" localSheetId="2" hidden="1">#REF!</definedName>
    <definedName name="XRefCopy11" localSheetId="2" hidden="1">#REF!</definedName>
    <definedName name="XRefCopy11Row" localSheetId="2" hidden="1">#REF!</definedName>
    <definedName name="XRefCopy12" localSheetId="2" hidden="1">#REF!</definedName>
    <definedName name="XRefCopy13" localSheetId="2" hidden="1">#REF!</definedName>
    <definedName name="XRefCopy13Row" localSheetId="2" hidden="1">#REF!</definedName>
    <definedName name="XRefCopy14" localSheetId="2" hidden="1">#REF!</definedName>
    <definedName name="XRefCopy15" localSheetId="2" hidden="1">#REF!</definedName>
    <definedName name="XRefCopy16Row" localSheetId="2" hidden="1">#REF!</definedName>
    <definedName name="XRefCopy1Row" localSheetId="2" hidden="1">#REF!</definedName>
    <definedName name="XRefCopy2" localSheetId="2" hidden="1">#REF!</definedName>
    <definedName name="XRefCopy2Row" localSheetId="2" hidden="1">#REF!</definedName>
    <definedName name="XRefCopy3" localSheetId="2" hidden="1">#REF!</definedName>
    <definedName name="XRefCopy3Row" localSheetId="2" hidden="1">#REF!</definedName>
    <definedName name="XRefCopy4"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 localSheetId="2" hidden="1">#REF!</definedName>
    <definedName name="XRefCopy6Row" localSheetId="2" hidden="1">#REF!</definedName>
    <definedName name="XRefCopy7" localSheetId="2" hidden="1">#REF!</definedName>
    <definedName name="XRefCopy7Row" localSheetId="2" hidden="1">#REF!</definedName>
    <definedName name="XRefCopy8" localSheetId="2" hidden="1">#REF!</definedName>
    <definedName name="XRefCopy8Row" localSheetId="2" hidden="1">#REF!</definedName>
    <definedName name="XRefCopy9" localSheetId="2" hidden="1">#REF!</definedName>
    <definedName name="XRefCopy9Row" localSheetId="2" hidden="1">#REF!</definedName>
    <definedName name="XRefPaste1" localSheetId="2" hidden="1">#REF!</definedName>
    <definedName name="XRefPaste10" localSheetId="2" hidden="1">#REF!</definedName>
    <definedName name="XRefPaste11" localSheetId="2" hidden="1">#REF!</definedName>
    <definedName name="XRefPaste1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3Row" localSheetId="2" hidden="1">#REF!</definedName>
    <definedName name="XRefPaste4" localSheetId="2" hidden="1">#REF!</definedName>
    <definedName name="XRefPaste4Row" localSheetId="2" hidden="1">#REF!</definedName>
    <definedName name="XRefPaste5" localSheetId="2" hidden="1">#REF!</definedName>
    <definedName name="XRefPaste6" localSheetId="2" hidden="1">#REF!</definedName>
    <definedName name="XRefPaste6Row" localSheetId="2" hidden="1">#REF!</definedName>
    <definedName name="XRefPaste7" localSheetId="2" hidden="1">#REF!</definedName>
    <definedName name="XRefPaste8" localSheetId="2" hidden="1">#REF!</definedName>
    <definedName name="XRefPaste9" localSheetId="2" hidden="1">#REF!</definedName>
    <definedName name="xzxsfd" localSheetId="2" hidden="1">{"M1Print",#N/A,FALSE,"M1"}</definedName>
    <definedName name="y" localSheetId="2" hidden="1">{#N/A,#N/A,FALSE,"970301";#N/A,#N/A,FALSE,"970302";#N/A,#N/A,FALSE,"970303";#N/A,#N/A,FALSE,"970304";#N/A,#N/A,FALSE,"COM1";#N/A,#N/A,FALSE,"COM2"}</definedName>
    <definedName name="Z_1711050D_B2D8_42FB_A40D_E4BD90297684_.wvu.Cols" localSheetId="2" hidden="1">#REF!,#REF!,#REF!,#REF!,#REF!</definedName>
    <definedName name="Z_E738B51C_56AE_4F9F_8D8A_36AD6137B90D_.wvu.Cols" localSheetId="2" hidden="1">#REF!</definedName>
    <definedName name="Z_E738B51C_56AE_4F9F_8D8A_36AD6137B90D_.wvu.PrintArea" localSheetId="2" hidden="1">#REF!</definedName>
    <definedName name="Z_E738B51C_56AE_4F9F_8D8A_36AD6137B90D_.wvu.PrintTitles" localSheetId="2" hidden="1">#REF!,#REF!</definedName>
    <definedName name="Z_E738B51C_56AE_4F9F_8D8A_36AD6137B90D_.wvu.Rows" localSheetId="2" hidden="1">#REF!</definedName>
    <definedName name="zdry" localSheetId="2" hidden="1">{#N/A,#N/A,FALSE,"资产负债表";#N/A,#N/A,FALSE,"资产负债表"}</definedName>
    <definedName name="zerey" localSheetId="2" hidden="1">{#N/A,#N/A,FALSE,"资产负债表";#N/A,#N/A,FALSE,"资产负债表"}</definedName>
    <definedName name="啊" localSheetId="2" hidden="1">{#N/A,#N/A,FALSE,"970301";#N/A,#N/A,FALSE,"970302";#N/A,#N/A,FALSE,"970303";#N/A,#N/A,FALSE,"970304";#N/A,#N/A,FALSE,"COM1";#N/A,#N/A,FALSE,"COM2"}</definedName>
    <definedName name="备用" localSheetId="2" hidden="1">{#N/A,#N/A,FALSE,"OffAdvance";#N/A,#N/A,FALSE,"OffExpRprt";#N/A,#N/A,FALSE,"Entertmnt";#N/A,#N/A,FALSE,"Promotion";#N/A,#N/A,FALSE,"Travelling"}</definedName>
    <definedName name="借款" localSheetId="2" hidden="1">{#N/A,#N/A,FALSE,"970301";#N/A,#N/A,FALSE,"970302";#N/A,#N/A,FALSE,"970303";#N/A,#N/A,FALSE,"970304";#N/A,#N/A,FALSE,"COM1";#N/A,#N/A,FALSE,"COM2"}</definedName>
    <definedName name="苛" localSheetId="2" hidden="1">{"M1sPrint",#N/A,FALSE,"M1s"}</definedName>
    <definedName name="试验" localSheetId="2" hidden="1">{#N/A,#N/A,FALSE,"OffAdvance";#N/A,#N/A,FALSE,"OffExpRprt";#N/A,#N/A,FALSE,"Travelling";#N/A,#N/A,FALSE,"Entertmnt";#N/A,#N/A,FALSE,"Promotion"}</definedName>
    <definedName name="已05" localSheetId="2" hidden="1">{"M1Print",#N/A,TRUE,"M1";"M2Print",#N/A,TRUE,"M2";"M1sPrint",#N/A,TRUE,"M1s";"M2aPrint",#N/A,TRUE,"M2a";"M4Print",#N/A,TRUE,"M4";"M5Print",#N/A,TRUE,"M5";"M6Print",#N/A,TRUE,"M6";"M6_1Print",#N/A,TRUE,"M6_1";"M6_2Print",#N/A,TRUE,"M6_2";"M7_1Print",#N/A,TRUE,"M7_1";"M7_2Print",#N/A,TRUE,"M7_2"}</definedName>
    <definedName name="应手款" localSheetId="2" hidden="1">{#N/A,#N/A,FALSE,"970301";#N/A,#N/A,FALSE,"970302";#N/A,#N/A,FALSE,"970303";#N/A,#N/A,FALSE,"970304";#N/A,#N/A,FALSE,"COM1";#N/A,#N/A,FALSE,"COM2"}</definedName>
    <definedName name="应手款1月" localSheetId="2"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123Graph_A" localSheetId="4" hidden="1">#REF!</definedName>
    <definedName name="__123Graph_AGraph1" localSheetId="4" hidden="1">#REF!</definedName>
    <definedName name="__123Graph_B" localSheetId="4" hidden="1">#REF!</definedName>
    <definedName name="__123Graph_BGraph1" localSheetId="4" hidden="1">#REF!</definedName>
    <definedName name="__123Graph_C" localSheetId="4" hidden="1">#REF!</definedName>
    <definedName name="__123Graph_CGraph1" localSheetId="4" hidden="1">#REF!</definedName>
    <definedName name="__123Graph_DGraph1" localSheetId="4" hidden="1">#REF!</definedName>
    <definedName name="__123Graph_E" localSheetId="4" hidden="1">#REF!</definedName>
    <definedName name="__123Graph_EGraph1" localSheetId="4" hidden="1">#REF!</definedName>
    <definedName name="__123Graph_X" localSheetId="4" hidden="1">#REF!</definedName>
    <definedName name="__123Graph_XGraph1" localSheetId="4" hidden="1">#REF!</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REF_COLUMN_1" localSheetId="4" hidden="1">'C.01 Confirmations '!#REF!</definedName>
    <definedName name="XREF_COLUMN_11" localSheetId="4" hidden="1">'C.01 Confirmations '!#REF!</definedName>
    <definedName name="XREF_COLUMN_12" localSheetId="4" hidden="1">'C.01 Confirmations '!#REF!</definedName>
    <definedName name="XREF_COLUMN_2" localSheetId="4" hidden="1">'C.01 Confirmations '!#REF!</definedName>
    <definedName name="XREF_COLUMN_3" localSheetId="4" hidden="1">'C.01 Confirmations '!#REF!</definedName>
    <definedName name="XREF_COLUMN_5" localSheetId="4" hidden="1">'C.01 Confirmations '!#REF!</definedName>
    <definedName name="XREF_COLUMN_6" localSheetId="4" hidden="1">'C.01 Confirmations '!#REF!</definedName>
    <definedName name="XREF_COLUMN_7" localSheetId="4" hidden="1">'C.01 Confirmations '!#REF!</definedName>
    <definedName name="XRefCopy11" localSheetId="4" hidden="1">'C.01 Confirmations '!#REF!</definedName>
    <definedName name="XRefCopy13Row" localSheetId="4" hidden="1">'C.01 Confirmations '!#REF!</definedName>
    <definedName name="XRefCopy16Row" localSheetId="4" hidden="1">'C.01 Confirmations '!#REF!</definedName>
    <definedName name="XRefPaste2" localSheetId="4" hidden="1">'C.01 Confirmations '!#REF!</definedName>
    <definedName name="XRefPaste2Row" localSheetId="4" hidden="1">'C.01 Confirmations '!#REF!</definedName>
    <definedName name="XRefPaste6Row" localSheetId="4" hidden="1">'C.01 Confirmations '!#REF!</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12" hidden="1">{#N/A,#N/A,TRUE,"CPRD";#N/A,#N/A,TRUE,"BCCPDR";#N/A,#N/A,TRUE,"EWRD";#N/A,#N/A,TRUE,"5100";#N/A,#N/A,TRUE,"5110"}</definedName>
    <definedName name="____dod1" localSheetId="12" hidden="1">{#N/A,#N/A,TRUE,"CPRD";#N/A,#N/A,TRUE,"BCCPDR";#N/A,#N/A,TRUE,"EWRD";#N/A,#N/A,TRUE,"5100";#N/A,#N/A,TRUE,"5110"}</definedName>
    <definedName name="___dod1" localSheetId="12" hidden="1">{#N/A,#N/A,TRUE,"CPRD";#N/A,#N/A,TRUE,"BCCPDR";#N/A,#N/A,TRUE,"EWRD";#N/A,#N/A,TRUE,"5100";#N/A,#N/A,TRUE,"5110"}</definedName>
    <definedName name="___dog1" localSheetId="12" hidden="1">{#N/A,#N/A,TRUE,"CPRD";#N/A,#N/A,TRUE,"BCCPDR";#N/A,#N/A,TRUE,"EWRD";#N/A,#N/A,TRUE,"5100";#N/A,#N/A,TRUE,"5110"}</definedName>
    <definedName name="__dod1" localSheetId="12" hidden="1">{#N/A,#N/A,TRUE,"CPRD";#N/A,#N/A,TRUE,"BCCPDR";#N/A,#N/A,TRUE,"EWRD";#N/A,#N/A,TRUE,"5100";#N/A,#N/A,TRUE,"5110"}</definedName>
    <definedName name="__dog1" localSheetId="12" hidden="1">{#N/A,#N/A,TRUE,"CPRD";#N/A,#N/A,TRUE,"BCCPDR";#N/A,#N/A,TRUE,"EWRD";#N/A,#N/A,TRUE,"5100";#N/A,#N/A,TRUE,"5110"}</definedName>
    <definedName name="_15wrn.²Ä1­Ó¤ë1_Ü20¤H." localSheetId="12" hidden="1">{#N/A,#N/A,FALSE,"²Ä1­Ó¤ë"}</definedName>
    <definedName name="_16wrn.²Ä1­Ó¤ë1_Ü20¤H." localSheetId="12" hidden="1">{#N/A,#N/A,FALSE,"²Ä1­Ó¤ë"}</definedName>
    <definedName name="_dod1" localSheetId="12" hidden="1">{#N/A,#N/A,TRUE,"CPRD";#N/A,#N/A,TRUE,"BCCPDR";#N/A,#N/A,TRUE,"EWRD";#N/A,#N/A,TRUE,"5100";#N/A,#N/A,TRUE,"5110"}</definedName>
    <definedName name="_dog1" localSheetId="12" hidden="1">{#N/A,#N/A,TRUE,"CPRD";#N/A,#N/A,TRUE,"BCCPDR";#N/A,#N/A,TRUE,"EWRD";#N/A,#N/A,TRUE,"5100";#N/A,#N/A,TRUE,"5110"}</definedName>
    <definedName name="_Fill" localSheetId="12" hidden="1">#REF!</definedName>
    <definedName name="_Key1" localSheetId="12" hidden="1">#REF!</definedName>
    <definedName name="_Key2" localSheetId="12" hidden="1">#REF!</definedName>
    <definedName name="_O1" localSheetId="12" hidden="1">{#N/A,#N/A,FALSE,"970301";#N/A,#N/A,FALSE,"970302";#N/A,#N/A,FALSE,"970303";#N/A,#N/A,FALSE,"970304";#N/A,#N/A,FALSE,"COM1";#N/A,#N/A,FALSE,"COM2"}</definedName>
    <definedName name="_Sort" localSheetId="12" hidden="1">#REF!</definedName>
    <definedName name="aavbrdf" localSheetId="12" hidden="1">{#N/A,#N/A,FALSE,"OffAdvance";#N/A,#N/A,FALSE,"OffExpRprt";#N/A,#N/A,FALSE,"Travelling";#N/A,#N/A,FALSE,"Entertmnt";#N/A,#N/A,FALSE,"Promotion"}</definedName>
    <definedName name="aaz" localSheetId="12" hidden="1">{#N/A,#N/A,FALSE,"资产负债表";#N/A,#N/A,FALSE,"资产负债表"}</definedName>
    <definedName name="ada" localSheetId="12" hidden="1">{#N/A,#N/A,FALSE,"资产负债表";#N/A,#N/A,FALSE,"资产负债表"}</definedName>
    <definedName name="adaf" localSheetId="12" hidden="1">{#N/A,#N/A,FALSE,"资产负债表";#N/A,#N/A,FALSE,"资产负债表"}</definedName>
    <definedName name="adas" localSheetId="12" hidden="1">{"M1Print",#N/A,TRUE,"M1";"M2Print",#N/A,TRUE,"M2";"M1sPrint",#N/A,TRUE,"M1s";"M2aPrint",#N/A,TRUE,"M2a";"M4Print",#N/A,TRUE,"M4";"M5Print",#N/A,TRUE,"M5";"M6Print",#N/A,TRUE,"M6";"M6_1Print",#N/A,TRUE,"M6_1";"M6_2Print",#N/A,TRUE,"M6_2";"M7_1Print",#N/A,TRUE,"M7_1";"M7_2Print",#N/A,TRUE,"M7_2"}</definedName>
    <definedName name="adf" localSheetId="12" hidden="1">{"toptrial",#N/A,TRUE,"toptrial";"adjustment",#N/A,TRUE,"toptrial";"voucher",#N/A,TRUE,"toptrial"}</definedName>
    <definedName name="afhai" localSheetId="12" hidden="1">{#N/A,#N/A,FALSE,"资产负债表";#N/A,#N/A,FALSE,"资产负债表"}</definedName>
    <definedName name="AGEDDATABASE" localSheetId="12" hidden="1">{#N/A,#N/A,FALSE,"970301";#N/A,#N/A,FALSE,"970302";#N/A,#N/A,FALSE,"970303";#N/A,#N/A,FALSE,"970304";#N/A,#N/A,FALSE,"COM1";#N/A,#N/A,FALSE,"COM2"}</definedName>
    <definedName name="aidhaif" localSheetId="12" hidden="1">{#N/A,#N/A,FALSE,"资产负债表";#N/A,#N/A,FALSE,"资产负债表"}</definedName>
    <definedName name="anakf" localSheetId="12" hidden="1">{#N/A,#N/A,FALSE,"资产负债表";#N/A,#N/A,FALSE,"资产负债表"}</definedName>
    <definedName name="AS2TickmarkLS" localSheetId="12" hidden="1">#REF!</definedName>
    <definedName name="asdg" localSheetId="12" hidden="1">{#N/A,#N/A,FALSE,"资产负债表";#N/A,#N/A,FALSE,"资产负债表"}</definedName>
    <definedName name="ass" localSheetId="12" hidden="1">{#N/A,#N/A,TRUE,"CPRD";#N/A,#N/A,TRUE,"BCCPDR";#N/A,#N/A,TRUE,"EWRD";#N/A,#N/A,TRUE,"5100";#N/A,#N/A,TRUE,"5110"}</definedName>
    <definedName name="book" localSheetId="12" hidden="1">{#N/A,#N/A,FALSE,"OffAdvance";#N/A,#N/A,FALSE,"OffExpRprt";#N/A,#N/A,FALSE,"Entertmnt";#N/A,#N/A,FALSE,"Promotion";#N/A,#N/A,FALSE,"Travelling"}</definedName>
    <definedName name="book.2" localSheetId="12" hidden="1">{#N/A,#N/A,FALSE,"OffAdvance";#N/A,#N/A,FALSE,"OffExpRprt";#N/A,#N/A,FALSE,"Travelling";#N/A,#N/A,FALSE,"Entertmnt";#N/A,#N/A,FALSE,"Promotion"}</definedName>
    <definedName name="cashflow20030930" localSheetId="12" hidden="1">{"M1Print",#N/A,TRUE,"M1";"M2Print",#N/A,TRUE,"M2";"M1sPrint",#N/A,TRUE,"M1s";"M2aPrint",#N/A,TRUE,"M2a";"M4Print",#N/A,TRUE,"M4";"M5Print",#N/A,TRUE,"M5";"M6Print",#N/A,TRUE,"M6";"M6_1Print",#N/A,TRUE,"M6_1";"M6_2Print",#N/A,TRUE,"M6_2";"M7_1Print",#N/A,TRUE,"M7_1";"M7_2Print",#N/A,TRUE,"M7_2"}</definedName>
    <definedName name="cbx" localSheetId="12" hidden="1">{#N/A,#N/A,FALSE,"M1s Board";#N/A,#N/A,FALSE,"M3 Board";#N/A,#N/A,FALSE,"M6 Board";#N/A,#N/A,FALSE,"M7";#N/A,#N/A,FALSE,"M7B";#N/A,#N/A,FALSE,"M8";#N/A,#N/A,FALSE,"M8A Board";#N/A,#N/A,FALSE,"AF1 Board"}</definedName>
    <definedName name="cccvb" localSheetId="12" hidden="1">{#N/A,#N/A,FALSE,"资产负债表";#N/A,#N/A,FALSE,"资产负债表"}</definedName>
    <definedName name="CFVVHH" localSheetId="12" hidden="1">{#N/A,#N/A,FALSE,"资产负债表";#N/A,#N/A,FALSE,"资产负债表"}</definedName>
    <definedName name="cfyik" localSheetId="12" hidden="1">{#N/A,#N/A,FALSE,"资产负债表";#N/A,#N/A,FALSE,"资产负债表"}</definedName>
    <definedName name="cgul" localSheetId="12" hidden="1">{#N/A,#N/A,FALSE,"资产负债表";#N/A,#N/A,FALSE,"资产负债表"}</definedName>
    <definedName name="cguocnbnl" localSheetId="12" hidden="1">{#N/A,#N/A,FALSE,"资产负债表";#N/A,#N/A,FALSE,"资产负债表"}</definedName>
    <definedName name="Coll" localSheetId="12" hidden="1">{#N/A,#N/A,FALSE,"970301";#N/A,#N/A,FALSE,"970302";#N/A,#N/A,FALSE,"970303";#N/A,#N/A,FALSE,"970304";#N/A,#N/A,FALSE,"COM1";#N/A,#N/A,FALSE,"COM2"}</definedName>
    <definedName name="dcca" localSheetId="12" hidden="1">{#N/A,#N/A,FALSE,"资产负债表";#N/A,#N/A,FALSE,"资产负债表"}</definedName>
    <definedName name="dfgdafsg" localSheetId="12" hidden="1">{#N/A,#N/A,FALSE,"OffAdvance";#N/A,#N/A,FALSE,"OffExpRprt";#N/A,#N/A,FALSE,"Travelling";#N/A,#N/A,FALSE,"Entertmnt";#N/A,#N/A,FALSE,"Promotion"}</definedName>
    <definedName name="dfv" localSheetId="12" hidden="1">{"M1Print",#N/A,TRUE,"M1";"M2Print",#N/A,TRUE,"M2";"M1sPrint",#N/A,TRUE,"M1s";"M2aPrint",#N/A,TRUE,"M2a";"M4Print",#N/A,TRUE,"M4";"M5Print",#N/A,TRUE,"M5";"M6Print",#N/A,TRUE,"M6";"M6_1Print",#N/A,TRUE,"M6_1";"M6_2Print",#N/A,TRUE,"M6_2";"M7_1Print",#N/A,TRUE,"M7_1";"M7_2Print",#N/A,TRUE,"M7_2"}</definedName>
    <definedName name="dh" localSheetId="12" hidden="1">{"M4Print",#N/A,FALSE,"M4"}</definedName>
    <definedName name="dlf" localSheetId="12" hidden="1">{"M4Print",#N/A,FALSE,"M4"}</definedName>
    <definedName name="doddd" localSheetId="12" hidden="1">{#N/A,#N/A,TRUE,"CPRD";#N/A,#N/A,TRUE,"BCCPDR";#N/A,#N/A,TRUE,"EWRD";#N/A,#N/A,TRUE,"5100";#N/A,#N/A,TRUE,"5110"}</definedName>
    <definedName name="dog" localSheetId="12" hidden="1">{#N/A,#N/A,TRUE,"CPRD";#N/A,#N/A,TRUE,"BCCPDR";#N/A,#N/A,TRUE,"EWRD";#N/A,#N/A,TRUE,"5100";#N/A,#N/A,TRUE,"5110"}</definedName>
    <definedName name="dvbm" localSheetId="12" hidden="1">{#N/A,#N/A,FALSE,"资产负债表";#N/A,#N/A,FALSE,"资产负债表"}</definedName>
    <definedName name="ehdg" localSheetId="12" hidden="1">{#N/A,#N/A,FALSE,"Jan"}</definedName>
    <definedName name="erf" localSheetId="12" hidden="1">{#N/A,#N/A,FALSE,"970301";#N/A,#N/A,FALSE,"970302";#N/A,#N/A,FALSE,"970303";#N/A,#N/A,FALSE,"970304";#N/A,#N/A,FALSE,"COM1";#N/A,#N/A,FALSE,"COM2"}</definedName>
    <definedName name="eryj" localSheetId="12" hidden="1">{#N/A,#N/A,FALSE,"资产负债表";#N/A,#N/A,FALSE,"资产负债表"}</definedName>
    <definedName name="ExpenseUpload" localSheetId="12" hidden="1">{#N/A,#N/A,TRUE,"CPRD";#N/A,#N/A,TRUE,"BCCPDR";#N/A,#N/A,TRUE,"EWRD";#N/A,#N/A,TRUE,"5100";#N/A,#N/A,TRUE,"5110"}</definedName>
    <definedName name="faif" localSheetId="12" hidden="1">{#N/A,#N/A,FALSE,"资产负债表";#N/A,#N/A,FALSE,"资产负债表"}</definedName>
    <definedName name="fd" localSheetId="12" hidden="1">{"M1sPrint",#N/A,FALSE,"M1s"}</definedName>
    <definedName name="feedback" localSheetId="12" hidden="1">{#N/A,#N/A,TRUE,"CPRD";#N/A,#N/A,TRUE,"BCCPDR";#N/A,#N/A,TRUE,"EWRD";#N/A,#N/A,TRUE,"5100";#N/A,#N/A,TRUE,"5110"}</definedName>
    <definedName name="fgdg" localSheetId="12" hidden="1">{"M1Print",#N/A,TRUE,"M1";"M2Print",#N/A,TRUE,"M2";"M1sPrint",#N/A,TRUE,"M1s";"M2aPrint",#N/A,TRUE,"M2a";"M4Print",#N/A,TRUE,"M4";"M5Print",#N/A,TRUE,"M5";"M6Print",#N/A,TRUE,"M6";"M6_1Print",#N/A,TRUE,"M6_1";"M6_2Print",#N/A,TRUE,"M6_2";"M7_1Print",#N/A,TRUE,"M7_1";"M7_2Print",#N/A,TRUE,"M7_2"}</definedName>
    <definedName name="fvb" localSheetId="12" hidden="1">{#N/A,#N/A,FALSE,"资产负债表";#N/A,#N/A,FALSE,"资产负债表"}</definedName>
    <definedName name="G9IJGF" localSheetId="12" hidden="1">{#N/A,#N/A,FALSE,"资产负债表";#N/A,#N/A,FALSE,"资产负债表"}</definedName>
    <definedName name="hadiah" localSheetId="12" hidden="1">{#N/A,#N/A,FALSE,"资产负债表";#N/A,#N/A,FALSE,"资产负债表"}</definedName>
    <definedName name="HdctTrnd" localSheetId="12" hidden="1">{#N/A,#N/A,TRUE,"CPRD";#N/A,#N/A,TRUE,"BCCPDR";#N/A,#N/A,TRUE,"EWRD";#N/A,#N/A,TRUE,"5100";#N/A,#N/A,TRUE,"5110"}</definedName>
    <definedName name="HTL_Cotrol1" localSheetId="12" hidden="1">{"'Sheet3'!$A$47:$M$47"}</definedName>
    <definedName name="HTML_Control" localSheetId="12" hidden="1">{"'Vxxe_times_J750 (2)'!$A$3:$E$14"}</definedName>
    <definedName name="hueoa" localSheetId="12" hidden="1">{#N/A,#N/A,FALSE,"资产负债表";#N/A,#N/A,FALSE,"资产负债表"}</definedName>
    <definedName name="ieji" localSheetId="12" hidden="1">{#N/A,#N/A,FALSE,"970301";#N/A,#N/A,FALSE,"970302";#N/A,#N/A,FALSE,"970303";#N/A,#N/A,FALSE,"970304";#N/A,#N/A,FALSE,"COM1";#N/A,#N/A,FALSE,"COM2"}</definedName>
    <definedName name="jdda" localSheetId="12" hidden="1">{"M4Print",#N/A,FALSE,"M4"}</definedName>
    <definedName name="jdfslsajdflasdkjpf" localSheetId="12" hidden="1">{#N/A,#N/A,FALSE,"OffAdvance";#N/A,#N/A,FALSE,"OffExpRprt";#N/A,#N/A,FALSE,"Entertmnt";#N/A,#N/A,FALSE,"Promotion";#N/A,#N/A,FALSE,"Travelling"}</definedName>
    <definedName name="jfgh" localSheetId="12" hidden="1">{"M1sPrint",#N/A,FALSE,"M1s"}</definedName>
    <definedName name="jgfhfg" localSheetId="12" hidden="1">{"M1sPrint",#N/A,FALSE,"M1s"}</definedName>
    <definedName name="jlj" localSheetId="12" hidden="1">{"M2aPrint",#N/A,FALSE,"M2a"}</definedName>
    <definedName name="jughn" localSheetId="12" hidden="1">{"M7_1Print",#N/A,TRUE,"M7_1";"M7_2Print",#N/A,TRUE,"M7_2"}</definedName>
    <definedName name="jytj" localSheetId="12" hidden="1">{"M7_1Print",#N/A,TRUE,"M7_1";"M7_2Print",#N/A,TRUE,"M7_2"}</definedName>
    <definedName name="kljik" localSheetId="12" hidden="1">{#N/A,#N/A,FALSE,"OffAdvance";#N/A,#N/A,FALSE,"OffExpRprt";#N/A,#N/A,FALSE,"Entertmnt";#N/A,#N/A,FALSE,"Promotion";#N/A,#N/A,FALSE,"Travelling"}</definedName>
    <definedName name="kuj" localSheetId="12" hidden="1">{"M6Print",#N/A,FALSE,"M6";"M6_1Print",#N/A,FALSE,"M6_1";"M6_2Print",#N/A,FALSE,"M6_2"}</definedName>
    <definedName name="LotusGraphChart1" localSheetId="12" hidden="1">#REF!</definedName>
    <definedName name="lotusgraphchart1b" localSheetId="12" hidden="1">#REF!</definedName>
    <definedName name="lotusgraphchart1x" localSheetId="12" hidden="1">#REF!</definedName>
    <definedName name="lu" localSheetId="12" hidden="1">{"M1sPrint",#N/A,FALSE,"M1s"}</definedName>
    <definedName name="n" localSheetId="12" hidden="1">{"M2Print",#N/A,FALSE,"M2"}</definedName>
    <definedName name="ngn" localSheetId="12" hidden="1">{"M1Print",#N/A,TRUE,"M1";"M2Print",#N/A,TRUE,"M2";"M1sPrint",#N/A,TRUE,"M1s";"M2aPrint",#N/A,TRUE,"M2a";"M4Print",#N/A,TRUE,"M4";"M5Print",#N/A,TRUE,"M5";"M6Print",#N/A,TRUE,"M6";"M6_1Print",#N/A,TRUE,"M6_1";"M6_2Print",#N/A,TRUE,"M6_2";"M7_1Print",#N/A,TRUE,"M7_1";"M7_2Print",#N/A,TRUE,"M7_2"}</definedName>
    <definedName name="notused" localSheetId="12" hidden="1">{#N/A,#N/A,TRUE,"CPRD";#N/A,#N/A,TRUE,"BCCPDR";#N/A,#N/A,TRUE,"EWRD";#N/A,#N/A,TRUE,"5100";#N/A,#N/A,TRUE,"5110"}</definedName>
    <definedName name="qwertyuiopasdfghjkl" localSheetId="12" hidden="1">{"M2aPrint",#N/A,FALSE,"M2a"}</definedName>
    <definedName name="qwwertyuiop" localSheetId="12" hidden="1">{"M2Print",#N/A,FALSE,"M2"}</definedName>
    <definedName name="RJE" localSheetId="12" hidden="1">{"toptrial",#N/A,TRUE,"toptrial";"adjustment",#N/A,TRUE,"toptrial";"voucher",#N/A,TRUE,"toptrial"}</definedName>
    <definedName name="sdfs" localSheetId="12" hidden="1">{"M1sPrint",#N/A,FALSE,"M1s"}</definedName>
    <definedName name="Sheet1_BNE_MESSAGES" localSheetId="12" hidden="1">#REF!</definedName>
    <definedName name="Sheet1_BNE_MESSAGES_HIDDEN" localSheetId="12" hidden="1">#REF!</definedName>
    <definedName name="Sheet1_BNE_MESSAGES_LAMP" localSheetId="12" hidden="1">#REF!</definedName>
    <definedName name="Sheet1_BNE_UPLOAD" localSheetId="12" hidden="1">#REF!</definedName>
    <definedName name="Sheet1_GL_INTERFACE_ACCOUNTING_DATE" localSheetId="12" hidden="1">#REF!</definedName>
    <definedName name="Sheet1_GL_INTERFACE_ACTUAL_FLAG" localSheetId="12" hidden="1">#REF!</definedName>
    <definedName name="Sheet1_GL_INTERFACE_CURRENCY_CODE" localSheetId="12" hidden="1">#REF!</definedName>
    <definedName name="Sheet1_GL_INTERFACE_DATABASE" localSheetId="12" hidden="1">#REF!</definedName>
    <definedName name="Sheet1_GL_INTERFACE_ENTERED_CR" localSheetId="12" hidden="1">#REF!</definedName>
    <definedName name="Sheet1_GL_INTERFACE_ENTERED_DR" localSheetId="12" hidden="1">#REF!</definedName>
    <definedName name="Sheet1_GL_INTERFACE_REFERENCE1" localSheetId="12" hidden="1">#REF!</definedName>
    <definedName name="Sheet1_GL_INTERFACE_REFERENCE10" localSheetId="12" hidden="1">#REF!</definedName>
    <definedName name="Sheet1_GL_INTERFACE_REFERENCE4" localSheetId="12" hidden="1">#REF!</definedName>
    <definedName name="Sheet1_GL_INTERFACE_REFERENCE5" localSheetId="12" hidden="1">#REF!</definedName>
    <definedName name="Sheet1_GL_INTERFACE_REFERENCE6" localSheetId="12" hidden="1">#REF!</definedName>
    <definedName name="Sheet1_GL_INTERFACE_REFERENCE7" localSheetId="12" hidden="1">#REF!</definedName>
    <definedName name="Sheet1_GL_INTERFACE_REFERENCE8" localSheetId="12" hidden="1">#REF!</definedName>
    <definedName name="Sheet1_GL_INTERFACE_SEGMENT1" localSheetId="12" hidden="1">#REF!</definedName>
    <definedName name="Sheet1_GL_INTERFACE_SEGMENT2" localSheetId="12" hidden="1">#REF!</definedName>
    <definedName name="Sheet1_GL_INTERFACE_SEGMENT3" localSheetId="12" hidden="1">#REF!</definedName>
    <definedName name="Sheet1_GL_INTERFACE_SEGMENT4" localSheetId="12" hidden="1">#REF!</definedName>
    <definedName name="Sheet1_GL_INTERFACE_SEGMENT5" localSheetId="12" hidden="1">#REF!</definedName>
    <definedName name="Sheet1_GL_INTERFACE_SEGMENT6" localSheetId="12" hidden="1">#REF!</definedName>
    <definedName name="Sheet1_GL_INTERFACE_SET_OF_BOOKS_ID" localSheetId="12" hidden="1">#REF!</definedName>
    <definedName name="Sheet1_GL_INTERFACE_USER_JE_CATEGORY_NAME" localSheetId="12" hidden="1">#REF!</definedName>
    <definedName name="Sheet1_GL_INTERFACE_USER_JE_SOURCE_NAME" localSheetId="12" hidden="1">#REF!</definedName>
    <definedName name="sssz" localSheetId="12" hidden="1">{#N/A,#N/A,FALSE,"资产负债表";#N/A,#N/A,FALSE,"资产负债表"}</definedName>
    <definedName name="terh" localSheetId="12" hidden="1">{#N/A,#N/A,FALSE,"OffAdvance";#N/A,#N/A,FALSE,"OffExpRprt";#N/A,#N/A,FALSE,"Entertmnt";#N/A,#N/A,FALSE,"Promotion";#N/A,#N/A,FALSE,"Travelling"}</definedName>
    <definedName name="tfhg" localSheetId="12" hidden="1">{"M1Print",#N/A,FALSE,"M1"}</definedName>
    <definedName name="the" localSheetId="12" hidden="1">{#N/A,#N/A,FALSE,"Marketing";#N/A,#N/A,FALSE,"Selling";#N/A,#N/A,FALSE,"Promotional";#N/A,#N/A,FALSE,"Advertising"}</definedName>
    <definedName name="ulead" localSheetId="12" hidden="1">{#N/A,#N/A,FALSE,"970301";#N/A,#N/A,FALSE,"970302";#N/A,#N/A,FALSE,"970303";#N/A,#N/A,FALSE,"970304";#N/A,#N/A,FALSE,"COM1";#N/A,#N/A,FALSE,"COM2"}</definedName>
    <definedName name="uygh" localSheetId="12" hidden="1">{"M6Print",#N/A,FALSE,"M6";"M6_1Print",#N/A,FALSE,"M6_1";"M6_2Print",#N/A,FALSE,"M6_2"}</definedName>
    <definedName name="vhvkb" localSheetId="12" hidden="1">{#N/A,#N/A,FALSE,"资产负债表";#N/A,#N/A,FALSE,"资产负债表"}</definedName>
    <definedName name="wrn.Aging._.and._.Trend._.Analysis." localSheetId="12" hidden="1">{#N/A,#N/A,FALSE,"Aging Summary";#N/A,#N/A,FALSE,"Ratio Analysis";#N/A,#N/A,FALSE,"Test 120 Day Accts";#N/A,#N/A,FALSE,"Tickmarks"}</definedName>
    <definedName name="wrn.ALL." localSheetId="12" hidden="1">{#N/A,#N/A,FALSE,"SUM";#N/A,#N/A,FALSE,"SK_TOT";#N/A,#N/A,FALSE,"YM";#N/A,#N/A,FALSE,"TSMC";#N/A,#N/A,FALSE,"ICW";#N/A,#N/A,FALSE,"Sheet1"}</definedName>
    <definedName name="wrn.All._.M._.Schedules." localSheetId="12" hidden="1">{"M1Print",#N/A,TRUE,"M1";"M2Print",#N/A,TRUE,"M2";"M1sPrint",#N/A,TRUE,"M1s";"M2aPrint",#N/A,TRUE,"M2a";"M4Print",#N/A,TRUE,"M4";"M5Print",#N/A,TRUE,"M5";"M6Print",#N/A,TRUE,"M6";"M6_1Print",#N/A,TRUE,"M6_1";"M6_2Print",#N/A,TRUE,"M6_2";"M7_1Print",#N/A,TRUE,"M7_1";"M7_2Print",#N/A,TRUE,"M7_2"}</definedName>
    <definedName name="wrn.all._.M._.Schedules.1" localSheetId="12" hidden="1">{"M1Print",#N/A,TRUE,"M1";"M2Print",#N/A,TRUE,"M2";"M1sPrint",#N/A,TRUE,"M1s";"M2aPrint",#N/A,TRUE,"M2a";"M4Print",#N/A,TRUE,"M4";"M5Print",#N/A,TRUE,"M5";"M6Print",#N/A,TRUE,"M6";"M6_1Print",#N/A,TRUE,"M6_1";"M6_2Print",#N/A,TRUE,"M6_2";"M7_1Print",#N/A,TRUE,"M7_1";"M7_2Print",#N/A,TRUE,"M7_2"}</definedName>
    <definedName name="wrn.all._M._.Scheduleds。1" localSheetId="12" hidden="1">{"M1Print",#N/A,TRUE,"M1";"M2Print",#N/A,TRUE,"M2";"M1sPrint",#N/A,TRUE,"M1s";"M2aPrint",#N/A,TRUE,"M2a";"M4Print",#N/A,TRUE,"M4";"M5Print",#N/A,TRUE,"M5";"M6Print",#N/A,TRUE,"M6";"M6_1Print",#N/A,TRUE,"M6_1";"M6_2Print",#N/A,TRUE,"M6_2";"M7_1Print",#N/A,TRUE,"M7_1";"M7_2Print",#N/A,TRUE,"M7_2"}</definedName>
    <definedName name="wrn.Board._.Reports." localSheetId="12" hidden="1">{#N/A,#N/A,FALSE,"M1s Board";#N/A,#N/A,FALSE,"M3 Board";#N/A,#N/A,FALSE,"M6 Board";#N/A,#N/A,FALSE,"M7";#N/A,#N/A,FALSE,"M7B";#N/A,#N/A,FALSE,"M8";#N/A,#N/A,FALSE,"M8A Board";#N/A,#N/A,FALSE,"AF1 Board"}</definedName>
    <definedName name="wrn.Deposit._.By._.Day." localSheetId="12" hidden="1">{#N/A,#N/A,FALSE,"Deposits by day"}</definedName>
    <definedName name="wrn.Deptartment._.Expenses." localSheetId="12" hidden="1">{#N/A,#N/A,TRUE,"CPRD";#N/A,#N/A,TRUE,"BCCPDR";#N/A,#N/A,TRUE,"EWRD";#N/A,#N/A,TRUE,"5100";#N/A,#N/A,TRUE,"5110"}</definedName>
    <definedName name="wrn.ERNST." localSheetId="12" hidden="1">{#N/A,#N/A,FALSE,"YTCHAN";#N/A,#N/A,FALSE,"TOMMY";#N/A,#N/A,FALSE,"REP.OFFICE";#N/A,#N/A,FALSE,"E&amp;Y_CONSULTANT";#N/A,#N/A,FALSE,"BT &amp; CIT"}</definedName>
    <definedName name="wrn.Financial._.Report." localSheetId="1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2" hidden="1">{#N/A,#N/A,FALSE,"OffAdvance";#N/A,#N/A,FALSE,"OffExpRprt";#N/A,#N/A,FALSE,"Entertmnt";#N/A,#N/A,FALSE,"Promotion";#N/A,#N/A,FALSE,"Travelling"}</definedName>
    <definedName name="wrn.gb." localSheetId="12" hidden="1">{#N/A,#N/A,FALSE,"资产负债表";#N/A,#N/A,FALSE,"资产负债表"}</definedName>
    <definedName name="wrn.Input._.Data." localSheetId="12" hidden="1">{"Input_Fin",#N/A,FALSE,"By Code";"Input_Opt",#N/A,FALSE,"By Code"}</definedName>
    <definedName name="wrn.jan." localSheetId="12" hidden="1">{#N/A,#N/A,FALSE,"Jan"}</definedName>
    <definedName name="wrn.M1._.Operating._.Statement." localSheetId="12" hidden="1">{"M1Print",#N/A,FALSE,"M1"}</definedName>
    <definedName name="wrn.M1s._.Statistics." localSheetId="12" hidden="1">{"M1sPrint",#N/A,FALSE,"M1s"}</definedName>
    <definedName name="wrn.M2._.Balance._.Sheet." localSheetId="12" hidden="1">{"M2Print",#N/A,FALSE,"M2"}</definedName>
    <definedName name="wrn.M2a._.Cashflow." localSheetId="12" hidden="1">{"M2aPrint",#N/A,FALSE,"M2a"}</definedName>
    <definedName name="wrn.M4._.Inventories." localSheetId="12" hidden="1">{"M4Print",#N/A,FALSE,"M4"}</definedName>
    <definedName name="wrn.M5._.Flash._.and._.Forecast." localSheetId="12" hidden="1">{"M5Print",#N/A,FALSE,"M5"}</definedName>
    <definedName name="wrn.M6._.Management._.Summary." localSheetId="12" hidden="1">{"M6Print",#N/A,FALSE,"M6";"M6_1Print",#N/A,FALSE,"M6_1";"M6_2Print",#N/A,FALSE,"M6_2"}</definedName>
    <definedName name="wrn.M7._.Financial._.Controllers._.report." localSheetId="12" hidden="1">{"M7_1Print",#N/A,TRUE,"M7_1";"M7_2Print",#N/A,TRUE,"M7_2"}</definedName>
    <definedName name="wrn.Office." localSheetId="12" hidden="1">{#N/A,#N/A,FALSE,"OffAdvance";#N/A,#N/A,FALSE,"OffExpRprt";#N/A,#N/A,FALSE,"Travelling";#N/A,#N/A,FALSE,"Entertmnt";#N/A,#N/A,FALSE,"Promotion"}</definedName>
    <definedName name="wrn.Operation._.Report." localSheetId="1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2" hidden="1">{#N/A,#N/A,FALSE,"Marketing";#N/A,#N/A,FALSE,"Selling";#N/A,#N/A,FALSE,"Promotional";#N/A,#N/A,FALSE,"Advertising"}</definedName>
    <definedName name="wrn.sunmicro." localSheetId="12" hidden="1">{#N/A,#N/A,FALSE,"FREEMAN";#N/A,#N/A,FALSE,"STEPHEN";#N/A,#N/A,FALSE,"VICTOR"}</definedName>
    <definedName name="wrn.tope" localSheetId="12" hidden="1">{"toptrial",#N/A,TRUE,"toptrial";"adjustment",#N/A,TRUE,"toptrial";"voucher",#N/A,TRUE,"toptrial"}</definedName>
    <definedName name="wrn.toptrial." localSheetId="12" hidden="1">{"toptrial",#N/A,TRUE,"toptrial";"adjustment",#N/A,TRUE,"toptrial";"voucher",#N/A,TRUE,"toptrial"}</definedName>
    <definedName name="wrn.voucher9703." localSheetId="12" hidden="1">{#N/A,#N/A,FALSE,"970301";#N/A,#N/A,FALSE,"970302";#N/A,#N/A,FALSE,"970303";#N/A,#N/A,FALSE,"970304";#N/A,#N/A,FALSE,"COM1";#N/A,#N/A,FALSE,"COM2"}</definedName>
    <definedName name="wrn.ytd." localSheetId="12" hidden="1">{#N/A,#N/A,FALSE,"YTD"}</definedName>
    <definedName name="wrn100.gb" localSheetId="12" hidden="1">{#N/A,#N/A,FALSE,"资产负债表";#N/A,#N/A,FALSE,"资产负债表"}</definedName>
    <definedName name="wrnn.all." localSheetId="12" hidden="1">{#N/A,#N/A,FALSE,"SUM";#N/A,#N/A,FALSE,"SK_TOT";#N/A,#N/A,FALSE,"YM";#N/A,#N/A,FALSE,"TSMC";#N/A,#N/A,FALSE,"ICW";#N/A,#N/A,FALSE,"Sheet1"}</definedName>
    <definedName name="wtr" localSheetId="12" hidden="1">{#N/A,#N/A,FALSE,"资产负债表";#N/A,#N/A,FALSE,"资产负债表"}</definedName>
    <definedName name="XREF_COLUMN_1" localSheetId="12" hidden="1">#REF!</definedName>
    <definedName name="XREF_COLUMN_10" localSheetId="12" hidden="1">#REF!</definedName>
    <definedName name="XREF_COLUMN_11" localSheetId="12" hidden="1">#REF!</definedName>
    <definedName name="XREF_COLUMN_12" localSheetId="12" hidden="1">#REF!</definedName>
    <definedName name="XREF_COLUMN_19" localSheetId="12" hidden="1">#REF!</definedName>
    <definedName name="XREF_COLUMN_2" localSheetId="12" hidden="1">#REF!</definedName>
    <definedName name="XREF_COLUMN_20" localSheetId="12" hidden="1">#REF!</definedName>
    <definedName name="XREF_COLUMN_21" localSheetId="12" hidden="1">#REF!</definedName>
    <definedName name="XREF_COLUMN_3" localSheetId="12" hidden="1">#REF!</definedName>
    <definedName name="XREF_COLUMN_4" localSheetId="12" hidden="1">#REF!</definedName>
    <definedName name="XREF_COLUMN_5" localSheetId="12" hidden="1">#REF!</definedName>
    <definedName name="XREF_COLUMN_6" localSheetId="12" hidden="1">#REF!</definedName>
    <definedName name="XREF_COLUMN_7" localSheetId="12" hidden="1">#REF!</definedName>
    <definedName name="XRefActiveRow" localSheetId="12" hidden="1">#REF!</definedName>
    <definedName name="XRefCopy1" localSheetId="12" hidden="1">#REF!</definedName>
    <definedName name="XRefCopy10" localSheetId="12" hidden="1">#REF!</definedName>
    <definedName name="XRefCopy10Row" localSheetId="12" hidden="1">#REF!</definedName>
    <definedName name="XRefCopy11" localSheetId="12" hidden="1">#REF!</definedName>
    <definedName name="XRefCopy11Row" localSheetId="12" hidden="1">#REF!</definedName>
    <definedName name="XRefCopy12" localSheetId="12" hidden="1">#REF!</definedName>
    <definedName name="XRefCopy13" localSheetId="12" hidden="1">#REF!</definedName>
    <definedName name="XRefCopy13Row" localSheetId="12" hidden="1">#REF!</definedName>
    <definedName name="XRefCopy14" localSheetId="12" hidden="1">#REF!</definedName>
    <definedName name="XRefCopy15" localSheetId="12" hidden="1">#REF!</definedName>
    <definedName name="XRefCopy16Row" localSheetId="12" hidden="1">#REF!</definedName>
    <definedName name="XRefCopy1Row" localSheetId="12" hidden="1">#REF!</definedName>
    <definedName name="XRefCopy2" localSheetId="12" hidden="1">#REF!</definedName>
    <definedName name="XRefCopy2Row" localSheetId="12" hidden="1">#REF!</definedName>
    <definedName name="XRefCopy3" localSheetId="12" hidden="1">#REF!</definedName>
    <definedName name="XRefCopy3Row" localSheetId="12" hidden="1">#REF!</definedName>
    <definedName name="XRefCopy4" localSheetId="12" hidden="1">#REF!</definedName>
    <definedName name="XRefCopy46" localSheetId="12" hidden="1">#REF!</definedName>
    <definedName name="XRefCopy47" localSheetId="12" hidden="1">#REF!</definedName>
    <definedName name="XRefCopy47Row" localSheetId="12" hidden="1">#REF!</definedName>
    <definedName name="XRefCopy48" localSheetId="12" hidden="1">#REF!</definedName>
    <definedName name="XRefCopy48Row" localSheetId="12" hidden="1">#REF!</definedName>
    <definedName name="XRefCopy49" localSheetId="12" hidden="1">#REF!</definedName>
    <definedName name="XRefCopy49Row" localSheetId="12" hidden="1">#REF!</definedName>
    <definedName name="XRefCopy4Row" localSheetId="12" hidden="1">#REF!</definedName>
    <definedName name="XRefCopy5" localSheetId="12" hidden="1">#REF!</definedName>
    <definedName name="XRefCopy50" localSheetId="12" hidden="1">#REF!</definedName>
    <definedName name="XRefCopy50Row" localSheetId="12" hidden="1">#REF!</definedName>
    <definedName name="XRefCopy51" localSheetId="12" hidden="1">#REF!</definedName>
    <definedName name="XRefCopy52" localSheetId="12" hidden="1">#REF!</definedName>
    <definedName name="XRefCopy52Row" localSheetId="12" hidden="1">#REF!</definedName>
    <definedName name="XRefCopy53" localSheetId="12" hidden="1">#REF!</definedName>
    <definedName name="XRefCopy53Row" localSheetId="12" hidden="1">#REF!</definedName>
    <definedName name="XRefCopy54" localSheetId="12" hidden="1">#REF!</definedName>
    <definedName name="XRefCopy54Row" localSheetId="12" hidden="1">#REF!</definedName>
    <definedName name="XRefCopy55" localSheetId="12" hidden="1">#REF!</definedName>
    <definedName name="XRefCopy55Row" localSheetId="12" hidden="1">#REF!</definedName>
    <definedName name="XRefCopy56" localSheetId="12" hidden="1">#REF!</definedName>
    <definedName name="XRefCopy56Row" localSheetId="12" hidden="1">#REF!</definedName>
    <definedName name="XRefCopy57" localSheetId="12" hidden="1">#REF!</definedName>
    <definedName name="XRefCopy57Row" localSheetId="12" hidden="1">#REF!</definedName>
    <definedName name="XRefCopy5Row" localSheetId="12" hidden="1">#REF!</definedName>
    <definedName name="XRefCopy6" localSheetId="12" hidden="1">#REF!</definedName>
    <definedName name="XRefCopy6Row" localSheetId="12" hidden="1">#REF!</definedName>
    <definedName name="XRefCopy7" localSheetId="12" hidden="1">#REF!</definedName>
    <definedName name="XRefCopy7Row" localSheetId="12" hidden="1">#REF!</definedName>
    <definedName name="XRefCopy8" localSheetId="12" hidden="1">#REF!</definedName>
    <definedName name="XRefCopy8Row" localSheetId="12" hidden="1">#REF!</definedName>
    <definedName name="XRefCopy9" localSheetId="12" hidden="1">#REF!</definedName>
    <definedName name="XRefCopy9Row" localSheetId="12" hidden="1">#REF!</definedName>
    <definedName name="XRefPaste1" localSheetId="12" hidden="1">#REF!</definedName>
    <definedName name="XRefPaste10" localSheetId="12" hidden="1">#REF!</definedName>
    <definedName name="XRefPaste11" localSheetId="12" hidden="1">#REF!</definedName>
    <definedName name="XRefPaste1Row" localSheetId="12" hidden="1">#REF!</definedName>
    <definedName name="XRefPaste2" localSheetId="12" hidden="1">#REF!</definedName>
    <definedName name="XRefPaste24" localSheetId="12" hidden="1">#REF!</definedName>
    <definedName name="XRefPaste24Row" localSheetId="12" hidden="1">#REF!</definedName>
    <definedName name="XRefPaste25" localSheetId="12" hidden="1">#REF!</definedName>
    <definedName name="XRefPaste25Row" localSheetId="12" hidden="1">#REF!</definedName>
    <definedName name="XRefPaste26" localSheetId="12" hidden="1">#REF!</definedName>
    <definedName name="XRefPaste26Row" localSheetId="12" hidden="1">#REF!</definedName>
    <definedName name="XRefPaste27" localSheetId="12" hidden="1">#REF!</definedName>
    <definedName name="XRefPaste27Row" localSheetId="12" hidden="1">#REF!</definedName>
    <definedName name="XRefPaste28" localSheetId="12" hidden="1">#REF!</definedName>
    <definedName name="XRefPaste28Row" localSheetId="12" hidden="1">#REF!</definedName>
    <definedName name="XRefPaste29" localSheetId="12" hidden="1">#REF!</definedName>
    <definedName name="XRefPaste29Row" localSheetId="12" hidden="1">#REF!</definedName>
    <definedName name="XRefPaste2Row" localSheetId="12" hidden="1">#REF!</definedName>
    <definedName name="XRefPaste3" localSheetId="12" hidden="1">#REF!</definedName>
    <definedName name="XRefPaste3Row" localSheetId="12" hidden="1">#REF!</definedName>
    <definedName name="XRefPaste4" localSheetId="12" hidden="1">#REF!</definedName>
    <definedName name="XRefPaste4Row" localSheetId="12" hidden="1">#REF!</definedName>
    <definedName name="XRefPaste5" localSheetId="12" hidden="1">#REF!</definedName>
    <definedName name="XRefPaste6" localSheetId="12" hidden="1">#REF!</definedName>
    <definedName name="XRefPaste6Row" localSheetId="12" hidden="1">#REF!</definedName>
    <definedName name="XRefPaste7" localSheetId="12" hidden="1">#REF!</definedName>
    <definedName name="XRefPaste8" localSheetId="12" hidden="1">#REF!</definedName>
    <definedName name="XRefPaste9" localSheetId="12" hidden="1">#REF!</definedName>
    <definedName name="xzxsfd" localSheetId="12" hidden="1">{"M1Print",#N/A,FALSE,"M1"}</definedName>
    <definedName name="y" localSheetId="12" hidden="1">{#N/A,#N/A,FALSE,"970301";#N/A,#N/A,FALSE,"970302";#N/A,#N/A,FALSE,"970303";#N/A,#N/A,FALSE,"970304";#N/A,#N/A,FALSE,"COM1";#N/A,#N/A,FALSE,"COM2"}</definedName>
    <definedName name="Z_1711050D_B2D8_42FB_A40D_E4BD90297684_.wvu.Cols" localSheetId="12" hidden="1">#REF!,#REF!,#REF!,#REF!,#REF!</definedName>
    <definedName name="Z_E738B51C_56AE_4F9F_8D8A_36AD6137B90D_.wvu.Cols" localSheetId="12" hidden="1">#REF!</definedName>
    <definedName name="Z_E738B51C_56AE_4F9F_8D8A_36AD6137B90D_.wvu.PrintArea" localSheetId="12" hidden="1">#REF!</definedName>
    <definedName name="Z_E738B51C_56AE_4F9F_8D8A_36AD6137B90D_.wvu.PrintTitles" localSheetId="12" hidden="1">#REF!,#REF!</definedName>
    <definedName name="Z_E738B51C_56AE_4F9F_8D8A_36AD6137B90D_.wvu.Rows" localSheetId="12" hidden="1">#REF!</definedName>
    <definedName name="zdry" localSheetId="12" hidden="1">{#N/A,#N/A,FALSE,"资产负债表";#N/A,#N/A,FALSE,"资产负债表"}</definedName>
    <definedName name="zerey" localSheetId="12" hidden="1">{#N/A,#N/A,FALSE,"资产负债表";#N/A,#N/A,FALSE,"资产负债表"}</definedName>
    <definedName name="啊" localSheetId="12" hidden="1">{#N/A,#N/A,FALSE,"970301";#N/A,#N/A,FALSE,"970302";#N/A,#N/A,FALSE,"970303";#N/A,#N/A,FALSE,"970304";#N/A,#N/A,FALSE,"COM1";#N/A,#N/A,FALSE,"COM2"}</definedName>
    <definedName name="备用" localSheetId="12" hidden="1">{#N/A,#N/A,FALSE,"OffAdvance";#N/A,#N/A,FALSE,"OffExpRprt";#N/A,#N/A,FALSE,"Entertmnt";#N/A,#N/A,FALSE,"Promotion";#N/A,#N/A,FALSE,"Travelling"}</definedName>
    <definedName name="借款" localSheetId="12" hidden="1">{#N/A,#N/A,FALSE,"970301";#N/A,#N/A,FALSE,"970302";#N/A,#N/A,FALSE,"970303";#N/A,#N/A,FALSE,"970304";#N/A,#N/A,FALSE,"COM1";#N/A,#N/A,FALSE,"COM2"}</definedName>
    <definedName name="苛" localSheetId="12" hidden="1">{"M1sPrint",#N/A,FALSE,"M1s"}</definedName>
    <definedName name="试验" localSheetId="12" hidden="1">{#N/A,#N/A,FALSE,"OffAdvance";#N/A,#N/A,FALSE,"OffExpRprt";#N/A,#N/A,FALSE,"Travelling";#N/A,#N/A,FALSE,"Entertmnt";#N/A,#N/A,FALSE,"Promotion"}</definedName>
    <definedName name="已05" localSheetId="12" hidden="1">{"M1Print",#N/A,TRUE,"M1";"M2Print",#N/A,TRUE,"M2";"M1sPrint",#N/A,TRUE,"M1s";"M2aPrint",#N/A,TRUE,"M2a";"M4Print",#N/A,TRUE,"M4";"M5Print",#N/A,TRUE,"M5";"M6Print",#N/A,TRUE,"M6";"M6_1Print",#N/A,TRUE,"M6_1";"M6_2Print",#N/A,TRUE,"M6_2";"M7_1Print",#N/A,TRUE,"M7_1";"M7_2Print",#N/A,TRUE,"M7_2"}</definedName>
    <definedName name="应手款" localSheetId="12" hidden="1">{#N/A,#N/A,FALSE,"970301";#N/A,#N/A,FALSE,"970302";#N/A,#N/A,FALSE,"970303";#N/A,#N/A,FALSE,"970304";#N/A,#N/A,FALSE,"COM1";#N/A,#N/A,FALSE,"COM2"}</definedName>
    <definedName name="应手款1月" localSheetId="12" hidden="1">{#N/A,#N/A,FALSE,"Marketing";#N/A,#N/A,FALSE,"Selling";#N/A,#N/A,FALSE,"Promotional";#N/A,#N/A,FALSE,"Advertising"}</definedName>
  </definedNames>
  <calcPr calcId="191028" fullCalcOnLoad="1"/>
</workbook>
</file>

<file path=xl/styles.xml><?xml version="1.0" encoding="utf-8"?>
<styleSheet xmlns="http://schemas.openxmlformats.org/spreadsheetml/2006/main">
  <numFmts count="53">
    <numFmt numFmtId="164" formatCode="_(* #,##0.00_);_(* \(#,##0.00\);_(* &quot;-&quot;??_)"/>
    <numFmt numFmtId="165" formatCode="_ * #,##0_ ;_ * \-#,##0_ ;_ * &quot;-&quot;_ ;_ @_ "/>
    <numFmt numFmtId="166" formatCode="#,##0;\(#,##0\);0"/>
    <numFmt numFmtId="167" formatCode="#,##0;\(#,##0\);\-#,##0"/>
    <numFmt numFmtId="168" formatCode="_ * #,##0.00_ ;_ * \-#,##0.00_ ;_ * &quot;-&quot;??_ ;_ @_ "/>
    <numFmt numFmtId="169" formatCode="_(* #,##0_);_(* \(#,##0\);_(* &quot;-&quot;??_);_(@_)"/>
    <numFmt numFmtId="170" formatCode="_(* #,##0.00_);[Red]_(* \(#,##0.00\);_(* &quot;-&quot;??_)"/>
    <numFmt numFmtId="171" formatCode="_ &quot;¥&quot;* #,##0.00_ ;_ &quot;¥&quot;* \-#,##0.00_ ;_ &quot;¥&quot;* &quot;-&quot;??_ ;_ @_ "/>
    <numFmt numFmtId="172" formatCode="0.0000%"/>
    <numFmt numFmtId="173" formatCode="_-* #,##0.0000000000_-;\-* #,##0.0000000000_-;_-* &quot;-&quot;??_-;_-@_-"/>
    <numFmt numFmtId="174" formatCode="0.0%"/>
    <numFmt numFmtId="175" formatCode="\¥#,##0;\-\¥#,##0"/>
    <numFmt numFmtId="176" formatCode="#.\ \ "/>
    <numFmt numFmtId="177" formatCode="##.\ \ "/>
    <numFmt numFmtId="178" formatCode="#,##0;\-#,##0;&quot;-&quot;"/>
    <numFmt numFmtId="179" formatCode="#,##0.0_);\(#,##0.0\)"/>
    <numFmt numFmtId="180" formatCode="_(* #,##0.0000_);_(* \(#,##0.0000\);_(* &quot;-&quot;??_);_(@_)"/>
    <numFmt numFmtId="181" formatCode="mmmm\ d\,\ yyyy"/>
    <numFmt numFmtId="182" formatCode="#,##0\ &quot;FB&quot;;\-#,##0\ &quot;FB&quot;"/>
    <numFmt numFmtId="183" formatCode="_(&quot;$&quot;* #,##0.00_);_(&quot;$&quot;* \(#,##0.00\);_(&quot;$&quot;* &quot;-&quot;??_);_(@_)"/>
    <numFmt numFmtId="184" formatCode="0.0%;\(0.0%\)"/>
    <numFmt numFmtId="185" formatCode="&quot;$&quot;#,##0;[Red]&quot;$&quot;&quot;$&quot;&quot;$&quot;&quot;$&quot;&quot;$&quot;&quot;$&quot;&quot;$&quot;\-#,##0"/>
    <numFmt numFmtId="186" formatCode="_-* #,##0_-;\-* #,##0_-;_-* &quot;-&quot;_-;_-@_-"/>
    <numFmt numFmtId="187" formatCode="#,##0;\(#,##0\)"/>
    <numFmt numFmtId="188" formatCode="&quot;$&quot;#,##0_);\(&quot;$&quot;#,##0\)"/>
    <numFmt numFmtId="189" formatCode="&quot;$&quot;#,##0.00_);\(&quot;$&quot;#,##0.00\)"/>
    <numFmt numFmtId="190" formatCode="\$#,##0.00;\(\$#,##0.00\)"/>
    <numFmt numFmtId="191" formatCode="#,##0.000000"/>
    <numFmt numFmtId="192" formatCode="\$#,##0;\(\$#,##0\)"/>
    <numFmt numFmtId="193" formatCode="_ [$€-2]* #,##0.00_ ;_ [$€-2]* \-#,##0.00_ ;_ [$€-2]* &quot;-&quot;??_ "/>
    <numFmt numFmtId="194" formatCode="_ &quot;\&quot;* #,##0.00_ ;_ &quot;\&quot;* &quot;\&quot;&quot;\&quot;&quot;\&quot;\-#,##0.00_ ;_ &quot;\&quot;* &quot;-&quot;??_ ;_ @_ "/>
    <numFmt numFmtId="195" formatCode="[$-804]aaaa;@"/>
    <numFmt numFmtId="196" formatCode="&quot;?#,##0;\-&quot;?#,##0"/>
    <numFmt numFmtId="197" formatCode="_-* #,##0\¥_-;\-* #,##0\¥_-;_-* &quot;-&quot;\¥_-;_-@_-"/>
    <numFmt numFmtId="198" formatCode="_-* #,##0.00\ _B_E_F_-;\-* #,##0.00\ _B_E_F_-;_-* &quot;-&quot;??\ _B_E_F_-;_-@_-"/>
    <numFmt numFmtId="199" formatCode="&quot;$&quot;#,##0;\-&quot;$&quot;#,##0"/>
    <numFmt numFmtId="200" formatCode="#,##0.00\ &quot;FB&quot;;\-#,##0.00\ &quot;FB&quot;"/>
    <numFmt numFmtId="201" formatCode="#,##0.00\ &quot;FB&quot;;[Red]\-#,##0.00\ &quot;FB&quot;"/>
    <numFmt numFmtId="202" formatCode="_-* #,##0\ _k_r_-;\-* #,##0\ _k_r_-;_-* &quot;-&quot;\ _k_r_-;_-@_-"/>
    <numFmt numFmtId="203" formatCode="_-* #,##0.00\ _k_r_-;\-* #,##0.00\ _k_r_-;_-* &quot;-&quot;??\ _k_r_-;_-@_-"/>
    <numFmt numFmtId="204" formatCode="#,##0.00_);#,##0.00\)"/>
    <numFmt numFmtId="205" formatCode="0.00000&quot;  &quot;"/>
    <numFmt numFmtId="206" formatCode="_-* #,##0.00_-;\-* #,##0.00_-;_-* &quot;-&quot;??_-;_-@_-"/>
    <numFmt numFmtId="207" formatCode="_([$€-2]* #,##0.00000_);_([$€-2]* \(#,##0.00000\);_([$€-2]* &quot;-&quot;??_)"/>
    <numFmt numFmtId="208" formatCode="_(\¥* #,##0.00_);_(\¥* \(#,##0.00\);_(\¥* &quot;-&quot;??_);_(@_)"/>
    <numFmt numFmtId="209" formatCode="_ \¥* #,##0.00_ ;_ \¥* \-#,##0.00_ ;_ \¥* &quot;-&quot;??_ ;_ @_ "/>
    <numFmt numFmtId="210" formatCode="_-&quot;$&quot;* #,##0_-;\-&quot;$&quot;* #,##0_-;_-&quot;$&quot;* &quot;-&quot;_-;_-@_-"/>
    <numFmt numFmtId="211" formatCode="_-&quot;$&quot;* #,##0.00_-;\-&quot;$&quot;* #,##0.00_-;_-&quot;$&quot;* &quot;-&quot;??_-;_-@_-"/>
    <numFmt numFmtId="212" formatCode="&quot;\&quot;#,##0;[Red]&quot;\&quot;&quot;\&quot;\-#,##0"/>
    <numFmt numFmtId="213" formatCode="&quot;\&quot;#,##0.00;[Red]&quot;\&quot;&quot;\&quot;&quot;\&quot;&quot;\&quot;&quot;\&quot;&quot;\&quot;\-#,##0.00"/>
    <numFmt numFmtId="214" formatCode="&quot;\&quot;#,##0.00;[Red]&quot;\&quot;\-#,##0.00"/>
    <numFmt numFmtId="215" formatCode="&quot;\&quot;#,##0;[Red]&quot;\&quot;\-#,##0"/>
    <numFmt numFmtId="21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62">
    <font>
      <name val="等线"/>
      <charset val="134"/>
      <color theme="1"/>
      <sz val="11"/>
      <scheme val="minor"/>
    </font>
    <font>
      <name val="等线"/>
      <charset val="134"/>
      <family val="2"/>
      <color theme="1"/>
      <sz val="11"/>
      <scheme val="minor"/>
    </font>
    <font>
      <name val="Arial"/>
      <family val="2"/>
      <color theme="1"/>
      <sz val="10"/>
    </font>
    <font>
      <name val="Arial"/>
      <family val="2"/>
      <b val="1"/>
      <color rgb="FFFF0000"/>
      <sz val="11"/>
    </font>
    <font>
      <name val="Arial"/>
      <family val="2"/>
      <color theme="1"/>
      <sz val="11"/>
    </font>
    <font>
      <name val="Arial"/>
      <family val="2"/>
      <b val="1"/>
      <color theme="0"/>
      <sz val="14"/>
    </font>
    <font>
      <name val="Arial"/>
      <family val="2"/>
      <color theme="1"/>
      <sz val="14"/>
    </font>
    <font>
      <name val="Arial"/>
      <family val="2"/>
      <b val="1"/>
      <color rgb="FFFFC000"/>
      <sz val="14"/>
    </font>
    <font>
      <name val="Arial"/>
      <family val="2"/>
      <b val="1"/>
      <color rgb="FF000000"/>
      <sz val="12"/>
    </font>
    <font>
      <name val="Arial"/>
      <family val="2"/>
      <b val="1"/>
      <color rgb="FFFFFFFF"/>
      <sz val="10"/>
    </font>
    <font>
      <name val="Arial"/>
      <family val="2"/>
      <color indexed="8"/>
      <sz val="10"/>
    </font>
    <font>
      <name val="Arial"/>
      <family val="2"/>
      <b val="1"/>
      <color rgb="FFFF0000"/>
      <sz val="10"/>
    </font>
    <font>
      <name val="Arial"/>
      <family val="2"/>
      <b val="1"/>
      <color indexed="10"/>
      <sz val="10"/>
    </font>
    <font>
      <name val="Arial"/>
      <family val="2"/>
      <b val="1"/>
      <color indexed="8"/>
      <sz val="10"/>
    </font>
    <font>
      <name val="Arial"/>
      <family val="2"/>
      <b val="1"/>
      <color theme="1"/>
      <sz val="10"/>
    </font>
    <font>
      <name val="Arial"/>
      <family val="2"/>
      <sz val="10"/>
    </font>
    <font>
      <name val="Arial"/>
      <family val="2"/>
      <b val="1"/>
      <sz val="10"/>
    </font>
    <font>
      <name val="Arial"/>
      <family val="2"/>
      <color rgb="FF000000"/>
      <sz val="10"/>
    </font>
    <font>
      <name val="Arial"/>
      <family val="2"/>
      <color rgb="FFFF0000"/>
      <sz val="10"/>
    </font>
    <font>
      <name val="Arial"/>
      <family val="2"/>
      <b val="1"/>
      <color rgb="FF000000"/>
      <sz val="10"/>
    </font>
    <font>
      <name val="Arial"/>
      <family val="2"/>
      <b val="1"/>
      <i val="1"/>
      <color rgb="FFFF0000"/>
      <sz val="10"/>
    </font>
    <font>
      <name val="Arial"/>
      <family val="2"/>
      <i val="1"/>
      <color indexed="8"/>
      <sz val="10"/>
    </font>
    <font>
      <name val="Arial"/>
      <family val="2"/>
      <i val="1"/>
      <sz val="10"/>
    </font>
    <font>
      <name val="等线"/>
      <charset val="134"/>
      <family val="3"/>
      <color theme="1"/>
      <sz val="10"/>
    </font>
    <font>
      <name val="Arial"/>
      <family val="2"/>
      <color indexed="10"/>
      <sz val="10"/>
    </font>
    <font>
      <name val="宋体"/>
      <charset val="134"/>
      <family val="3"/>
      <sz val="10"/>
    </font>
    <font>
      <name val="Arial"/>
      <family val="2"/>
      <b val="1"/>
      <color indexed="8"/>
      <sz val="12"/>
    </font>
    <font>
      <name val="宋体"/>
      <charset val="134"/>
      <family val="3"/>
      <color theme="1"/>
      <sz val="10"/>
    </font>
    <font>
      <name val="微软雅黑"/>
      <charset val="134"/>
      <family val="2"/>
      <color theme="1"/>
      <sz val="10"/>
    </font>
    <font>
      <name val="Arial"/>
      <family val="2"/>
      <b val="1"/>
      <color rgb="FF0000FF"/>
      <sz val="10"/>
    </font>
    <font>
      <name val="Arial"/>
      <family val="2"/>
      <b val="1"/>
      <strike val="1"/>
      <color rgb="FF0000FF"/>
      <sz val="10"/>
    </font>
    <font>
      <name val="Arial"/>
      <family val="2"/>
      <sz val="14"/>
    </font>
    <font>
      <name val="等线"/>
      <charset val="134"/>
      <family val="3"/>
      <color theme="1"/>
      <sz val="11"/>
      <scheme val="minor"/>
    </font>
    <font>
      <name val="等线"/>
      <charset val="134"/>
      <family val="3"/>
      <color theme="10"/>
      <sz val="11"/>
      <u val="single"/>
      <scheme val="minor"/>
    </font>
    <font>
      <name val="等线"/>
      <charset val="134"/>
      <family val="3"/>
      <color rgb="FF9C0006"/>
      <sz val="11"/>
      <scheme val="minor"/>
    </font>
    <font>
      <name val="Helv"/>
      <family val="2"/>
      <sz val="10"/>
    </font>
    <font>
      <name val="宋体"/>
      <charset val="134"/>
      <family val="3"/>
      <sz val="12"/>
    </font>
    <font>
      <name val="Tms Rmn"/>
      <family val="1"/>
      <sz val="13"/>
    </font>
    <font>
      <name val="Book Antiqua"/>
      <family val="1"/>
      <sz val="10"/>
    </font>
    <font>
      <name val="Book Antiqua"/>
      <family val="1"/>
      <b val="1"/>
      <sz val="10"/>
    </font>
    <font>
      <name val="宋体"/>
      <charset val="134"/>
      <family val="3"/>
      <color indexed="8"/>
      <sz val="12"/>
    </font>
    <font>
      <name val="宋体"/>
      <charset val="134"/>
      <family val="3"/>
      <color indexed="9"/>
      <sz val="12"/>
    </font>
    <font>
      <name val="等线"/>
      <charset val="134"/>
      <family val="3"/>
      <color theme="0"/>
      <sz val="11"/>
      <scheme val="minor"/>
    </font>
    <font>
      <name val="Times New Roman"/>
      <family val="1"/>
      <sz val="8"/>
    </font>
    <font>
      <name val="Helv"/>
      <family val="2"/>
      <b val="1"/>
      <sz val="10"/>
    </font>
    <font>
      <name val="等线"/>
      <charset val="134"/>
      <family val="3"/>
      <b val="1"/>
      <color theme="0"/>
      <sz val="11"/>
      <scheme val="minor"/>
    </font>
    <font>
      <name val="宋体"/>
      <charset val="134"/>
      <family val="3"/>
      <b val="1"/>
      <color theme="0"/>
      <sz val="11"/>
    </font>
    <font>
      <name val="Tms Rmn"/>
      <family val="1"/>
      <b val="1"/>
      <sz val="13"/>
    </font>
    <font>
      <name val="Arial"/>
      <family val="2"/>
      <b val="1"/>
      <sz val="8"/>
    </font>
    <font>
      <name val="宋体"/>
      <charset val="134"/>
      <family val="3"/>
      <color indexed="8"/>
      <sz val="11"/>
    </font>
    <font>
      <name val="SimSun"/>
      <charset val="134"/>
      <color theme="1"/>
      <sz val="11"/>
    </font>
    <font>
      <name val="Calibri"/>
      <family val="2"/>
      <color rgb="FF000000"/>
      <sz val="11"/>
    </font>
    <font>
      <name val="Times New Roman"/>
      <family val="1"/>
      <sz val="10"/>
    </font>
    <font>
      <name val="宋体"/>
      <charset val="134"/>
      <family val="3"/>
      <b val="1"/>
      <color rgb="FFFF0000"/>
      <sz val="11"/>
    </font>
    <font>
      <name val="MS Serif"/>
      <family val="1"/>
      <sz val="10"/>
    </font>
    <font>
      <name val="Courier"/>
      <family val="3"/>
      <sz val="10"/>
    </font>
    <font>
      <name val="MS Serif"/>
      <family val="1"/>
      <color indexed="16"/>
      <sz val="10"/>
    </font>
    <font>
      <name val="Times New Roman"/>
      <family val="1"/>
      <sz val="9"/>
    </font>
    <font>
      <name val="Arial"/>
      <family val="2"/>
      <sz val="8"/>
    </font>
    <font>
      <name val="等线"/>
      <charset val="134"/>
      <family val="3"/>
      <color rgb="FF006100"/>
      <sz val="11"/>
      <scheme val="minor"/>
    </font>
    <font>
      <name val="宋体"/>
      <charset val="134"/>
      <family val="3"/>
      <color rgb="FF006100"/>
      <sz val="11"/>
    </font>
    <font>
      <name val="Helv"/>
      <family val="2"/>
      <b val="1"/>
      <sz val="12"/>
    </font>
    <font>
      <name val="Arial"/>
      <family val="2"/>
      <b val="1"/>
      <sz val="12"/>
    </font>
    <font>
      <name val="宋体"/>
      <charset val="134"/>
      <family val="3"/>
      <b val="1"/>
      <color theme="1"/>
      <sz val="10"/>
    </font>
    <font>
      <name val="Arial"/>
      <family val="2"/>
      <color theme="10"/>
      <sz val="10"/>
      <u val="single"/>
    </font>
    <font>
      <name val="宋体"/>
      <charset val="134"/>
      <family val="3"/>
      <color theme="10"/>
      <sz val="11"/>
      <u val="single"/>
    </font>
    <font>
      <name val="等线"/>
      <charset val="134"/>
      <family val="3"/>
      <color theme="10"/>
      <sz val="10"/>
      <u val="single"/>
    </font>
    <font>
      <name val="宋体"/>
      <charset val="134"/>
      <family val="3"/>
      <color indexed="12"/>
      <sz val="10"/>
      <u val="single"/>
    </font>
    <font>
      <name val="Helv"/>
      <family val="2"/>
      <sz val="12"/>
    </font>
    <font>
      <name val="Helv"/>
      <family val="2"/>
      <color indexed="9"/>
      <sz val="12"/>
    </font>
    <font>
      <name val="Helv"/>
      <family val="2"/>
      <b val="1"/>
      <sz val="11"/>
    </font>
    <font>
      <name val="EYInterstate Light"/>
      <sz val="8"/>
    </font>
    <font>
      <name val="宋体"/>
      <charset val="134"/>
      <family val="3"/>
      <color theme="1"/>
      <sz val="11"/>
    </font>
    <font>
      <name val="Times New Roman"/>
      <family val="1"/>
      <sz val="12"/>
    </font>
    <font>
      <name val="Times New Roman"/>
      <family val="1"/>
      <color theme="1"/>
      <sz val="10"/>
    </font>
    <font>
      <name val="Calibri"/>
      <family val="2"/>
      <color indexed="8"/>
      <sz val="11"/>
    </font>
    <font>
      <name val="宋体"/>
      <charset val="134"/>
      <family val="3"/>
      <color theme="1"/>
      <sz val="12"/>
    </font>
    <font>
      <name val="SimSun"/>
      <charset val="134"/>
      <color theme="1"/>
      <sz val="10"/>
    </font>
    <font>
      <name val="Arial"/>
      <family val="2"/>
      <strike val="1"/>
      <sz val="10"/>
    </font>
    <font>
      <name val="MS Sans Serif"/>
      <family val="1"/>
      <color indexed="8"/>
      <sz val="10"/>
    </font>
    <font>
      <name val="Tms Rmn"/>
      <family val="1"/>
      <sz val="10"/>
    </font>
    <font>
      <name val="MS Sans Serif"/>
      <family val="2"/>
      <sz val="10"/>
    </font>
    <font>
      <name val="MS Sans Serif"/>
      <family val="2"/>
      <b val="1"/>
      <sz val="10"/>
    </font>
    <font>
      <name val="Century Schoolbook"/>
      <family val="1"/>
      <color indexed="16"/>
      <sz val="8"/>
    </font>
    <font>
      <name val="Arial"/>
      <family val="2"/>
      <b val="1"/>
      <color indexed="39"/>
      <sz val="10"/>
    </font>
    <font>
      <name val="Arial"/>
      <family val="2"/>
      <color indexed="39"/>
      <sz val="10"/>
    </font>
    <font>
      <name val="Arial"/>
      <family val="2"/>
      <color indexed="48"/>
      <sz val="19"/>
    </font>
    <font>
      <name val="Times New Roman"/>
      <family val="1"/>
      <b val="1"/>
      <i val="1"/>
      <sz val="10"/>
    </font>
    <font>
      <name val="Helv"/>
      <family val="2"/>
      <b val="1"/>
      <color indexed="8"/>
      <sz val="8"/>
    </font>
    <font>
      <name val="Arial"/>
      <family val="2"/>
      <color rgb="FF3F3F76"/>
      <sz val="10"/>
    </font>
    <font>
      <name val="Times New Roman"/>
      <family val="1"/>
      <b val="1"/>
      <sz val="9"/>
    </font>
    <font>
      <name val="明朝"/>
      <charset val="255"/>
      <family val="1"/>
      <sz val="11"/>
    </font>
    <font>
      <name val="Arial Narrow"/>
      <family val="2"/>
      <sz val="10"/>
    </font>
    <font>
      <name val="柧挬"/>
      <family val="2"/>
      <sz val="14"/>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等线"/>
      <charset val="134"/>
      <family val="3"/>
      <sz val="10"/>
      <scheme val="minor"/>
    </font>
    <font>
      <name val="Calibri"/>
      <family val="2"/>
      <color rgb="FF000000"/>
      <sz val="12"/>
    </font>
    <font>
      <name val="宋体"/>
      <charset val="134"/>
      <family val="3"/>
      <color indexed="12"/>
      <sz val="12"/>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1"/>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family val="2"/>
      <sz val="11"/>
    </font>
    <font>
      <name val="바탕체"/>
      <family val="3"/>
      <sz val="12"/>
    </font>
    <font>
      <name val="等线"/>
      <charset val="134"/>
      <family val="3"/>
      <sz val="9"/>
      <scheme val="minor"/>
    </font>
    <font>
      <name val="Arial"/>
      <family val="2"/>
      <i val="1"/>
      <color theme="4" tint="-0.249977111117893"/>
      <sz val="10"/>
    </font>
    <font>
      <name val="等线"/>
      <family val="2"/>
      <color theme="1"/>
      <sz val="11"/>
      <scheme val="minor"/>
    </font>
    <font>
      <name val="等线"/>
      <family val="2"/>
      <color theme="1"/>
      <sz val="11"/>
      <scheme val="minor"/>
    </font>
    <font>
      <name val="微软雅黑"/>
      <charset val="134"/>
      <family val="2"/>
      <sz val="10"/>
    </font>
    <font>
      <name val="微软雅黑"/>
      <charset val="134"/>
      <family val="2"/>
      <b val="1"/>
      <color rgb="FFFF0000"/>
      <sz val="10"/>
    </font>
    <font>
      <name val="微软雅黑"/>
      <charset val="134"/>
      <family val="2"/>
      <b val="1"/>
      <sz val="10"/>
    </font>
    <font>
      <name val="Arial"/>
      <family val="2"/>
      <color rgb="FFFF0000"/>
      <sz val="10"/>
      <u val="single"/>
    </font>
    <font>
      <name val="Arial"/>
      <family val="2"/>
      <b val="1"/>
      <color theme="0"/>
      <sz val="10"/>
    </font>
    <font>
      <name val="Arial"/>
      <family val="2"/>
      <b val="1"/>
      <color rgb="FFFFC000"/>
      <sz val="10"/>
    </font>
    <font>
      <name val="Arial"/>
      <family val="2"/>
      <i val="1"/>
      <color rgb="FF000000"/>
      <sz val="10"/>
    </font>
    <font>
      <name val="微软雅黑"/>
      <charset val="134"/>
      <family val="2"/>
      <b val="1"/>
      <color theme="1"/>
      <sz val="10"/>
    </font>
    <font>
      <name val="微软雅黑"/>
      <charset val="134"/>
      <family val="2"/>
      <b val="1"/>
      <color rgb="FF000000"/>
      <sz val="12"/>
    </font>
    <font>
      <name val="微软雅黑"/>
      <charset val="134"/>
      <family val="2"/>
      <color rgb="FF000000"/>
      <sz val="10"/>
    </font>
    <font>
      <name val="Arial"/>
      <family val="2"/>
      <b val="1"/>
      <i val="1"/>
      <color rgb="FFFF0000"/>
      <sz val="11"/>
    </font>
    <font>
      <name val="Arial"/>
      <family val="2"/>
      <b val="1"/>
      <color rgb="FFFF0000"/>
      <sz val="10"/>
      <vertAlign val="superscript"/>
    </font>
    <font>
      <name val="微软雅黑"/>
      <charset val="134"/>
      <family val="2"/>
      <b val="1"/>
      <color rgb="FF000000"/>
      <sz val="10"/>
    </font>
    <font>
      <name val="Arial"/>
      <family val="2"/>
      <color theme="0"/>
      <sz val="10"/>
    </font>
    <font>
      <name val="微软雅黑"/>
      <charset val="134"/>
      <family val="2"/>
      <b val="1"/>
      <color theme="0"/>
      <sz val="14"/>
    </font>
    <font>
      <name val="微软雅黑"/>
      <charset val="134"/>
      <family val="2"/>
      <color rgb="FFFF0000"/>
      <sz val="10"/>
      <u val="single"/>
    </font>
    <font>
      <name val="微软雅黑"/>
      <charset val="134"/>
      <family val="2"/>
      <color theme="1"/>
      <sz val="11"/>
    </font>
    <font>
      <name val="微软雅黑"/>
      <charset val="134"/>
      <family val="2"/>
      <color indexed="8"/>
      <sz val="10"/>
    </font>
    <font>
      <name val="微软雅黑"/>
      <charset val="134"/>
      <family val="2"/>
      <b val="1"/>
      <i val="1"/>
      <color rgb="FFFF0000"/>
      <sz val="10"/>
    </font>
    <font>
      <name val="Arial"/>
      <family val="2"/>
      <i val="1"/>
      <color rgb="FFFF0000"/>
      <sz val="10"/>
    </font>
    <font>
      <name val="微软雅黑"/>
      <charset val="134"/>
      <family val="2"/>
      <b val="1"/>
      <sz val="12"/>
    </font>
    <font>
      <name val="微软雅黑"/>
      <charset val="134"/>
      <family val="2"/>
      <b val="1"/>
      <i val="1"/>
      <color rgb="FFFF0000"/>
      <sz val="11"/>
    </font>
    <font>
      <name val="微软雅黑"/>
      <charset val="134"/>
      <family val="2"/>
      <b val="1"/>
      <color indexed="8"/>
      <sz val="10"/>
    </font>
    <font>
      <name val="微软雅黑"/>
      <charset val="134"/>
      <family val="2"/>
      <i val="1"/>
      <color rgb="FFFF0000"/>
      <sz val="10"/>
    </font>
    <font>
      <name val="微软雅黑"/>
      <charset val="134"/>
      <family val="2"/>
      <color rgb="FFFF0000"/>
      <sz val="10"/>
    </font>
    <font>
      <name val="Arial"/>
      <family val="2"/>
      <b val="1"/>
      <color theme="4"/>
      <sz val="10"/>
      <u val="single"/>
    </font>
    <font>
      <name val="微软雅黑"/>
      <charset val="134"/>
      <family val="2"/>
      <b val="1"/>
      <color indexed="8"/>
      <sz val="12"/>
    </font>
    <font>
      <name val="微软雅黑"/>
      <charset val="134"/>
      <family val="2"/>
      <color rgb="FF000000"/>
      <sz val="11"/>
    </font>
    <font>
      <name val="微软雅黑"/>
      <charset val="134"/>
      <family val="2"/>
      <b val="1"/>
      <color theme="4"/>
      <sz val="10"/>
      <u val="single"/>
    </font>
    <font>
      <name val="Arial"/>
      <family val="2"/>
      <b val="1"/>
      <color rgb="FFFF0000"/>
      <sz val="10"/>
      <vertAlign val="subscript"/>
    </font>
    <font>
      <name val="Arial"/>
      <family val="2"/>
      <color rgb="FF000000"/>
      <sz val="11"/>
    </font>
    <font>
      <name val="EYInterstate Light"/>
      <b val="1"/>
      <i val="1"/>
      <color theme="0"/>
      <sz val="10"/>
    </font>
    <font>
      <name val="微软雅黑"/>
      <charset val="134"/>
      <family val="2"/>
      <b val="1"/>
      <color rgb="FFFFFFFF"/>
      <sz val="14"/>
    </font>
    <font>
      <name val="Arial"/>
      <family val="2"/>
      <b val="1"/>
      <color rgb="FFFFFFFF"/>
      <sz val="14"/>
    </font>
    <font>
      <name val="Arial"/>
      <family val="2"/>
      <b val="1"/>
      <i val="1"/>
      <color rgb="FFFF0000"/>
      <sz val="9"/>
    </font>
    <font>
      <name val="微软雅黑"/>
      <charset val="134"/>
      <family val="2"/>
      <b val="1"/>
      <i val="1"/>
      <color rgb="FFFF0000"/>
      <sz val="9"/>
    </font>
    <font>
      <name val="Arial"/>
      <charset val="134"/>
      <family val="2"/>
      <b val="1"/>
      <color indexed="8"/>
      <sz val="10"/>
    </font>
    <font>
      <name val="微软雅黑"/>
      <charset val="134"/>
      <family val="2"/>
      <b val="1"/>
      <color indexed="10"/>
      <sz val="10"/>
    </font>
    <font>
      <name val="Arial"/>
      <charset val="134"/>
      <family val="2"/>
      <sz val="10"/>
    </font>
    <font>
      <name val="Arial"/>
      <family val="2"/>
      <b val="1"/>
      <color rgb="FFFF0000"/>
      <sz val="16"/>
    </font>
    <font>
      <name val="微软雅黑"/>
      <b val="1"/>
      <color rgb="FF000000"/>
      <sz val="10"/>
    </font>
    <font>
      <name val="Arial"/>
      <b val="1"/>
      <color rgb="FF000000"/>
      <sz val="10"/>
    </font>
    <font>
      <name val="Arial"/>
      <charset val="134"/>
      <family val="2"/>
      <b val="1"/>
      <color rgb="FF000000"/>
      <sz val="10"/>
    </font>
  </fonts>
  <fills count="61">
    <fill>
      <patternFill/>
    </fill>
    <fill>
      <patternFill patternType="gray125"/>
    </fill>
    <fill>
      <patternFill patternType="solid">
        <fgColor theme="1"/>
        <bgColor indexed="64"/>
      </patternFill>
    </fill>
    <fill>
      <patternFill patternType="solid">
        <fgColor rgb="FF000000"/>
        <bgColor rgb="FF000000"/>
      </patternFill>
    </fill>
    <fill>
      <patternFill patternType="solid">
        <fgColor theme="0" tint="-0.0499893185216834"/>
        <bgColor indexed="64"/>
      </patternFill>
    </fill>
    <fill>
      <patternFill patternType="solid">
        <fgColor rgb="FFFFFFFF"/>
        <bgColor indexed="64"/>
      </patternFill>
    </fill>
    <fill>
      <patternFill patternType="solid">
        <fgColor theme="0"/>
        <bgColor indexed="64"/>
      </patternFill>
    </fill>
    <fill>
      <patternFill patternType="solid">
        <fgColor theme="0" tint="-0.3499862666707358"/>
        <bgColor indexed="64"/>
      </patternFill>
    </fill>
    <fill>
      <patternFill patternType="solid">
        <fgColor rgb="FF333399"/>
        <bgColor indexed="64"/>
      </patternFill>
    </fill>
    <fill>
      <patternFill patternType="solid">
        <fgColor theme="0" tint="-0.1499069185460982"/>
        <bgColor indexed="64"/>
      </patternFill>
    </fill>
    <fill>
      <patternFill patternType="solid">
        <fgColor rgb="FFFFFFFF"/>
        <bgColor rgb="FF000000"/>
      </patternFill>
    </fill>
    <fill>
      <patternFill patternType="solid">
        <fgColor rgb="FFF2F2F2"/>
        <bgColor indexed="64"/>
      </patternFill>
    </fill>
    <fill>
      <patternFill patternType="solid">
        <fgColor indexed="65"/>
        <bgColor indexed="64"/>
      </patternFill>
    </fill>
    <fill>
      <patternFill patternType="solid">
        <fgColor theme="4" tint="0.7998901333658864"/>
        <bgColor indexed="64"/>
      </patternFill>
    </fill>
    <fill>
      <patternFill patternType="solid">
        <fgColor rgb="FFFFC7CE"/>
        <bgColor indexed="64"/>
      </patternFill>
    </fill>
    <fill>
      <patternFill patternType="solid">
        <fgColor theme="4" tint="0.7993713187047945"/>
        <bgColor indexed="64"/>
      </patternFill>
    </fill>
    <fill>
      <patternFill patternType="solid">
        <fgColor theme="9" tint="0.7993713187047945"/>
        <bgColor indexed="64"/>
      </patternFill>
    </fill>
    <fill>
      <patternFill patternType="solid">
        <fgColor theme="4" tint="0.7995239112521745"/>
        <bgColor indexed="64"/>
      </patternFill>
    </fill>
    <fill>
      <patternFill patternType="gray0625">
        <fgColor indexed="10"/>
      </patternFill>
    </fill>
    <fill>
      <patternFill patternType="solid">
        <fgColor indexed="31"/>
        <bgColor indexed="64"/>
      </patternFill>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rgb="FF808080"/>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rgb="FFD9E1F2"/>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DCE6F1"/>
        <bgColor rgb="FF000000"/>
      </patternFill>
    </fill>
    <fill>
      <patternFill patternType="solid">
        <fgColor theme="0" tint="-0.3499862666707358"/>
        <bgColor rgb="FF000000"/>
      </patternFill>
    </fill>
    <fill>
      <patternFill patternType="solid">
        <fgColor rgb="FFA6A6A6"/>
        <bgColor rgb="FF000000"/>
      </patternFill>
    </fill>
    <fill>
      <patternFill patternType="solid">
        <fgColor theme="0"/>
        <bgColor rgb="FF000000"/>
      </patternFill>
    </fill>
    <fill>
      <patternFill patternType="solid">
        <fgColor theme="6"/>
        <bgColor indexed="64"/>
      </patternFill>
    </fill>
    <fill>
      <patternFill patternType="solid">
        <fgColor theme="6"/>
        <bgColor rgb="FF000000"/>
      </patternFill>
    </fill>
  </fills>
  <borders count="90">
    <border>
      <left/>
      <right/>
      <top/>
      <bottom/>
      <diagonal/>
    </border>
    <border>
      <left/>
      <right/>
      <top style="thin">
        <color auto="1"/>
      </top>
      <bottom style="thin">
        <color auto="1"/>
      </bottom>
      <diagonal/>
    </border>
    <border>
      <left/>
      <right/>
      <top/>
      <bottom style="medium">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style="thin">
        <color auto="1"/>
      </left>
      <right/>
      <top/>
      <bottom style="thin">
        <color auto="1"/>
      </bottom>
      <diagonal/>
    </border>
    <border>
      <left/>
      <right/>
      <top style="thin">
        <color auto="1"/>
      </top>
      <bottom style="double">
        <color auto="1"/>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right/>
      <top style="thin">
        <color rgb="FF000000"/>
      </top>
      <bottom/>
      <diagonal/>
    </border>
    <border>
      <left/>
      <right/>
      <top style="thin">
        <color rgb="FF000000"/>
      </top>
      <bottom style="thin">
        <color rgb="FF000000"/>
      </bottom>
      <diagonal/>
    </border>
    <border>
      <left style="thin">
        <color indexed="64"/>
      </left>
      <right style="thin">
        <color auto="1"/>
      </right>
      <top style="thin">
        <color indexed="64"/>
      </top>
      <bottom style="thin">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rgb="FF000000"/>
      </bottom>
      <diagonal/>
    </border>
    <border>
      <left style="thin">
        <color rgb="FF000000"/>
      </left>
      <right style="thin">
        <color auto="1"/>
      </right>
      <top style="thin">
        <color rgb="FF000000"/>
      </top>
      <bottom/>
      <diagonal/>
    </border>
    <border>
      <left/>
      <right style="thin">
        <color auto="1"/>
      </right>
      <top style="thin">
        <color rgb="FF000000"/>
      </top>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style="thin">
        <color indexed="64"/>
      </left>
      <right style="thin">
        <color indexed="64"/>
      </right>
      <top style="thin">
        <color auto="1"/>
      </top>
      <bottom style="thin">
        <color rgb="FF000000"/>
      </bottom>
      <diagonal/>
    </border>
    <border>
      <left style="thin">
        <color auto="1"/>
      </left>
      <right/>
      <top style="thin">
        <color auto="1"/>
      </top>
      <bottom style="thin">
        <color rgb="FF000000"/>
      </bottom>
      <diagonal/>
    </border>
    <border>
      <left/>
      <right style="thin">
        <color rgb="FF000000"/>
      </right>
      <top style="thin">
        <color auto="1"/>
      </top>
      <bottom style="thin">
        <color rgb="FF000000"/>
      </bottom>
      <diagonal/>
    </border>
    <border>
      <left/>
      <right style="thin">
        <color indexed="64"/>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indexed="64"/>
      </left>
      <right style="thin">
        <color auto="1"/>
      </right>
      <top style="thin">
        <color rgb="FF000000"/>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bottom style="double">
        <color auto="1"/>
      </bottom>
      <diagonal/>
    </border>
    <border>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top style="thin">
        <color indexed="64"/>
      </top>
      <bottom style="thin">
        <color rgb="FF000000"/>
      </bottom>
      <diagonal/>
    </border>
    <border>
      <left style="thin">
        <color rgb="FF000000"/>
      </left>
      <right style="thin">
        <color auto="1"/>
      </right>
      <top style="thin">
        <color indexed="64"/>
      </top>
      <bottom style="thin">
        <color auto="1"/>
      </bottom>
      <diagonal/>
    </border>
    <border>
      <left/>
      <right/>
      <top style="thin">
        <color auto="1"/>
      </top>
      <bottom style="double">
        <color auto="1"/>
      </bottom>
      <diagonal/>
    </border>
    <border>
      <left style="thin">
        <color indexed="64"/>
      </left>
      <right style="thin">
        <color rgb="FF000000"/>
      </right>
      <top style="thin">
        <color auto="1"/>
      </top>
      <bottom style="thin">
        <color indexed="64"/>
      </bottom>
      <diagonal/>
    </border>
    <border>
      <left style="thin">
        <color indexed="64"/>
      </left>
      <right/>
      <top style="thin">
        <color indexed="64"/>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auto="1"/>
      </top>
      <bottom style="thin">
        <color rgb="FF000000"/>
      </bottom>
      <diagonal/>
    </border>
    <border>
      <left style="thin">
        <color auto="1"/>
      </left>
      <right style="thin">
        <color auto="1"/>
      </right>
      <top style="thin">
        <color auto="1"/>
      </top>
      <bottom style="thin">
        <color auto="1"/>
      </bottom>
      <diagonal/>
    </border>
    <border>
      <left/>
      <right/>
      <top style="thin">
        <color auto="1"/>
      </top>
      <bottom style="double">
        <color rgb="FF000000"/>
      </bottom>
      <diagonal/>
    </border>
    <border>
      <left style="thin">
        <color rgb="FF000000"/>
      </left>
      <right style="thin">
        <color auto="1"/>
      </right>
      <top/>
      <bottom style="thin">
        <color auto="1"/>
      </bottom>
      <diagonal/>
    </border>
    <border>
      <left style="thin">
        <color rgb="FF000000"/>
      </left>
      <right style="thin">
        <color rgb="FF000000"/>
      </right>
      <top/>
      <bottom/>
      <diagonal/>
    </border>
    <border>
      <left/>
      <right/>
      <top style="thin">
        <color indexed="64"/>
      </top>
      <bottom/>
      <diagonal/>
    </border>
    <border>
      <left/>
      <right style="thin">
        <color auto="1"/>
      </right>
      <top style="thin">
        <color indexed="64"/>
      </top>
      <bottom/>
      <diagonal/>
    </border>
    <border>
      <left/>
      <right/>
      <top style="thin">
        <color indexed="64"/>
      </top>
      <bottom style="thin">
        <color auto="1"/>
      </bottom>
      <diagonal/>
    </border>
    <border>
      <left/>
      <right style="thin">
        <color auto="1"/>
      </right>
      <top style="thin">
        <color indexed="64"/>
      </top>
      <bottom style="thin">
        <color auto="1"/>
      </bottom>
      <diagonal/>
    </border>
    <border>
      <left/>
      <right style="thin">
        <color auto="1"/>
      </right>
      <top/>
      <bottom/>
      <diagonal/>
    </border>
    <border>
      <left/>
      <right style="thin">
        <color auto="1"/>
      </right>
      <top style="thin">
        <color rgb="FF000000"/>
      </top>
      <bottom style="thin">
        <color rgb="FF000000"/>
      </bottom>
      <diagonal/>
    </border>
    <border>
      <left/>
      <right style="thin">
        <color auto="1"/>
      </right>
      <top style="thin">
        <color rgb="FF000000"/>
      </top>
      <bottom style="thin">
        <color auto="1"/>
      </bottom>
      <diagonal/>
    </border>
    <border>
      <left/>
      <right style="thin">
        <color indexed="64"/>
      </right>
      <top style="thin">
        <color auto="1"/>
      </top>
      <bottom/>
      <diagonal/>
    </border>
    <border>
      <left/>
      <right style="thin">
        <color rgb="FF000000"/>
      </right>
      <top style="thin">
        <color auto="1"/>
      </top>
      <bottom/>
      <diagonal/>
    </border>
  </borders>
  <cellStyleXfs count="372">
    <xf numFmtId="0" fontId="0" fillId="0" borderId="0" applyAlignment="1">
      <alignment vertical="center"/>
    </xf>
    <xf numFmtId="43" fontId="32" fillId="0" borderId="0"/>
    <xf numFmtId="9" fontId="32" fillId="0" borderId="0"/>
    <xf numFmtId="0" fontId="10" fillId="0" borderId="0" applyAlignment="1">
      <alignment vertical="top"/>
    </xf>
    <xf numFmtId="0" fontId="35" fillId="0" borderId="0"/>
    <xf numFmtId="173" fontId="36" fillId="0" borderId="0"/>
    <xf numFmtId="174" fontId="37" fillId="0" borderId="0"/>
    <xf numFmtId="10" fontId="37" fillId="0" borderId="0"/>
    <xf numFmtId="175" fontId="36" fillId="0" borderId="0"/>
    <xf numFmtId="0" fontId="32" fillId="15" borderId="0"/>
    <xf numFmtId="0" fontId="32" fillId="13" borderId="0" applyAlignment="1">
      <alignment vertical="center"/>
    </xf>
    <xf numFmtId="0" fontId="32" fillId="16" borderId="0"/>
    <xf numFmtId="0" fontId="32" fillId="17" borderId="0"/>
    <xf numFmtId="0" fontId="38" fillId="0" borderId="77" applyAlignment="1">
      <alignment horizontal="center"/>
    </xf>
    <xf numFmtId="0" fontId="39" fillId="0" borderId="0"/>
    <xf numFmtId="0" fontId="39" fillId="0" borderId="2" applyAlignment="1" applyProtection="1">
      <alignment horizontal="center"/>
      <protection locked="0" hidden="0"/>
    </xf>
    <xf numFmtId="0" fontId="38" fillId="0" borderId="0" applyAlignment="1" applyProtection="1">
      <alignment horizontal="center"/>
      <protection locked="0" hidden="0"/>
    </xf>
    <xf numFmtId="0" fontId="38" fillId="12" borderId="0"/>
    <xf numFmtId="0" fontId="38" fillId="0" borderId="0" applyProtection="1">
      <protection locked="0" hidden="0"/>
    </xf>
    <xf numFmtId="0" fontId="38" fillId="0" borderId="0"/>
    <xf numFmtId="176" fontId="38" fillId="0" borderId="0"/>
    <xf numFmtId="177" fontId="38" fillId="0" borderId="0"/>
    <xf numFmtId="0" fontId="39" fillId="18" borderId="0" applyAlignment="1">
      <alignment horizontal="right"/>
    </xf>
    <xf numFmtId="0" fontId="40" fillId="19" borderId="0"/>
    <xf numFmtId="0" fontId="41" fillId="20" borderId="0"/>
    <xf numFmtId="0" fontId="40" fillId="21" borderId="0"/>
    <xf numFmtId="0" fontId="40" fillId="22" borderId="0"/>
    <xf numFmtId="0" fontId="41" fillId="23" borderId="0"/>
    <xf numFmtId="0" fontId="42" fillId="24" borderId="0"/>
    <xf numFmtId="0" fontId="40" fillId="25" borderId="0"/>
    <xf numFmtId="0" fontId="41" fillId="22" borderId="0"/>
    <xf numFmtId="0" fontId="40" fillId="26" borderId="0"/>
    <xf numFmtId="0" fontId="40" fillId="27" borderId="0"/>
    <xf numFmtId="0" fontId="41" fillId="27" borderId="0"/>
    <xf numFmtId="0" fontId="43" fillId="0" borderId="0" applyAlignment="1" applyProtection="1">
      <alignment horizontal="center" wrapText="1"/>
      <protection locked="0" hidden="0"/>
    </xf>
    <xf numFmtId="178" fontId="10" fillId="0" borderId="0"/>
    <xf numFmtId="179" fontId="35" fillId="0" borderId="0"/>
    <xf numFmtId="180" fontId="35" fillId="0" borderId="0"/>
    <xf numFmtId="181" fontId="15" fillId="0" borderId="0"/>
    <xf numFmtId="182" fontId="15" fillId="0" borderId="0"/>
    <xf numFmtId="183" fontId="35" fillId="0" borderId="0"/>
    <xf numFmtId="184" fontId="35" fillId="0" borderId="0"/>
    <xf numFmtId="0" fontId="44" fillId="0" borderId="0"/>
    <xf numFmtId="4" fontId="32" fillId="0" borderId="77" applyAlignment="1">
      <alignment horizontal="right"/>
    </xf>
    <xf numFmtId="4" fontId="28" fillId="0" borderId="77" applyAlignment="1">
      <alignment horizontal="right" vertical="center"/>
    </xf>
    <xf numFmtId="10" fontId="32" fillId="0" borderId="77"/>
    <xf numFmtId="0" fontId="28" fillId="0" borderId="77" applyAlignment="1">
      <alignment horizontal="right" vertical="center"/>
    </xf>
    <xf numFmtId="0" fontId="45" fillId="28" borderId="17"/>
    <xf numFmtId="0" fontId="46" fillId="29" borderId="18"/>
    <xf numFmtId="0" fontId="47" fillId="0" borderId="3" applyAlignment="1">
      <alignment horizontal="center"/>
    </xf>
    <xf numFmtId="0" fontId="48" fillId="0" borderId="16" applyAlignment="1">
      <alignment horizontal="center"/>
    </xf>
    <xf numFmtId="185" fontId="15" fillId="0" borderId="0"/>
    <xf numFmtId="41" fontId="32" fillId="0" borderId="0"/>
    <xf numFmtId="41" fontId="32" fillId="0" borderId="0"/>
    <xf numFmtId="41" fontId="32" fillId="0" borderId="0"/>
    <xf numFmtId="41" fontId="32" fillId="0" borderId="0"/>
    <xf numFmtId="41" fontId="49" fillId="0" borderId="0"/>
    <xf numFmtId="41" fontId="36" fillId="0" borderId="0"/>
    <xf numFmtId="183" fontId="35" fillId="0" borderId="0"/>
    <xf numFmtId="43" fontId="32" fillId="0" borderId="0"/>
    <xf numFmtId="43" fontId="32" fillId="0" borderId="0"/>
    <xf numFmtId="43" fontId="32" fillId="0" borderId="0"/>
    <xf numFmtId="43" fontId="32" fillId="0" borderId="0"/>
    <xf numFmtId="43" fontId="32" fillId="0" borderId="0"/>
    <xf numFmtId="41" fontId="32" fillId="0" borderId="0"/>
    <xf numFmtId="43" fontId="32" fillId="0" borderId="0"/>
    <xf numFmtId="186" fontId="15" fillId="0" borderId="0"/>
    <xf numFmtId="43" fontId="50" fillId="0" borderId="0"/>
    <xf numFmtId="43" fontId="15" fillId="0" borderId="0"/>
    <xf numFmtId="43" fontId="15" fillId="0" borderId="0"/>
    <xf numFmtId="43" fontId="32" fillId="0" borderId="0"/>
    <xf numFmtId="43" fontId="32" fillId="0" borderId="0"/>
    <xf numFmtId="43" fontId="51" fillId="0" borderId="0"/>
    <xf numFmtId="43" fontId="32" fillId="0" borderId="0"/>
    <xf numFmtId="43" fontId="32" fillId="0" borderId="0"/>
    <xf numFmtId="43" fontId="51" fillId="0" borderId="0"/>
    <xf numFmtId="43" fontId="36" fillId="0" borderId="0"/>
    <xf numFmtId="43" fontId="36" fillId="0" borderId="0"/>
    <xf numFmtId="187" fontId="52" fillId="0" borderId="0"/>
    <xf numFmtId="37" fontId="37" fillId="0" borderId="0"/>
    <xf numFmtId="179" fontId="37" fillId="0" borderId="0"/>
    <xf numFmtId="39" fontId="37" fillId="0" borderId="0"/>
    <xf numFmtId="0" fontId="53" fillId="0" borderId="0"/>
    <xf numFmtId="0" fontId="54" fillId="0" borderId="0"/>
    <xf numFmtId="0" fontId="55" fillId="0" borderId="0"/>
    <xf numFmtId="179" fontId="35" fillId="0" borderId="0"/>
    <xf numFmtId="188" fontId="37" fillId="0" borderId="0"/>
    <xf numFmtId="189" fontId="37" fillId="0" borderId="0"/>
    <xf numFmtId="190" fontId="52" fillId="0" borderId="0"/>
    <xf numFmtId="0" fontId="32" fillId="0" borderId="77"/>
    <xf numFmtId="191" fontId="15" fillId="0" borderId="0" applyProtection="1">
      <protection locked="0" hidden="0"/>
    </xf>
    <xf numFmtId="14" fontId="10" fillId="0" borderId="0"/>
    <xf numFmtId="41" fontId="15" fillId="0" borderId="0"/>
    <xf numFmtId="192" fontId="52" fillId="0" borderId="0"/>
    <xf numFmtId="0" fontId="56" fillId="0" borderId="0"/>
    <xf numFmtId="0" fontId="57" fillId="0" borderId="0" applyAlignment="1">
      <alignment horizontal="left"/>
    </xf>
    <xf numFmtId="0" fontId="58" fillId="30" borderId="77"/>
    <xf numFmtId="193" fontId="25" fillId="0" borderId="0"/>
    <xf numFmtId="0" fontId="28" fillId="0" borderId="77"/>
    <xf numFmtId="0" fontId="59" fillId="31" borderId="0"/>
    <xf numFmtId="0" fontId="59" fillId="31" borderId="0"/>
    <xf numFmtId="0" fontId="60" fillId="32" borderId="0"/>
    <xf numFmtId="0" fontId="58" fillId="22" borderId="0"/>
    <xf numFmtId="0" fontId="61" fillId="0" borderId="0" applyAlignment="1">
      <alignment horizontal="left"/>
    </xf>
    <xf numFmtId="0" fontId="62" fillId="0" borderId="23"/>
    <xf numFmtId="0" fontId="62" fillId="0" borderId="1" applyAlignment="1">
      <alignment horizontal="left" vertical="center"/>
    </xf>
    <xf numFmtId="0" fontId="63" fillId="33" borderId="77" applyAlignment="1">
      <alignment horizontal="center" vertical="center"/>
    </xf>
    <xf numFmtId="0" fontId="33" fillId="0" borderId="0"/>
    <xf numFmtId="0" fontId="64" fillId="0" borderId="0"/>
    <xf numFmtId="0" fontId="33" fillId="0" borderId="0" applyAlignment="1">
      <alignment vertical="center"/>
    </xf>
    <xf numFmtId="0" fontId="65" fillId="0" borderId="0"/>
    <xf numFmtId="0" fontId="33" fillId="0" borderId="0"/>
    <xf numFmtId="0" fontId="66" fillId="0" borderId="0"/>
    <xf numFmtId="0" fontId="67" fillId="0" borderId="0" applyProtection="1">
      <protection locked="0" hidden="0"/>
    </xf>
    <xf numFmtId="0" fontId="58" fillId="21" borderId="77"/>
    <xf numFmtId="179" fontId="68" fillId="34" borderId="0"/>
    <xf numFmtId="179" fontId="69" fillId="35" borderId="0"/>
    <xf numFmtId="0" fontId="15" fillId="0" borderId="0"/>
    <xf numFmtId="0" fontId="70" fillId="0" borderId="2"/>
    <xf numFmtId="194" fontId="36" fillId="0" borderId="0"/>
    <xf numFmtId="174" fontId="36" fillId="0" borderId="0"/>
    <xf numFmtId="0" fontId="1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Alignment="1">
      <alignment vertical="center"/>
    </xf>
    <xf numFmtId="0" fontId="71" fillId="0" borderId="0" applyAlignment="1">
      <alignment vertical="center"/>
    </xf>
    <xf numFmtId="0" fontId="72" fillId="0" borderId="0"/>
    <xf numFmtId="0" fontId="71" fillId="0" borderId="0" applyAlignment="1">
      <alignment vertical="center"/>
    </xf>
    <xf numFmtId="0" fontId="15" fillId="0" borderId="0"/>
    <xf numFmtId="0" fontId="32" fillId="0" borderId="0"/>
    <xf numFmtId="0" fontId="51" fillId="0" borderId="0"/>
    <xf numFmtId="0" fontId="73" fillId="0" borderId="0"/>
    <xf numFmtId="0" fontId="32" fillId="0" borderId="0"/>
    <xf numFmtId="195" fontId="74" fillId="0" borderId="0" applyProtection="1">
      <protection locked="0" hidden="0"/>
    </xf>
    <xf numFmtId="0" fontId="32" fillId="0" borderId="0"/>
    <xf numFmtId="0" fontId="32" fillId="0" borderId="0"/>
    <xf numFmtId="0" fontId="2" fillId="0" borderId="0"/>
    <xf numFmtId="0" fontId="75" fillId="0" borderId="0"/>
    <xf numFmtId="0" fontId="2" fillId="0" borderId="0"/>
    <xf numFmtId="0" fontId="32" fillId="0" borderId="0" applyAlignment="1">
      <alignment vertical="center"/>
    </xf>
    <xf numFmtId="0" fontId="50" fillId="0" borderId="0"/>
    <xf numFmtId="0" fontId="76" fillId="0" borderId="0"/>
    <xf numFmtId="0" fontId="32" fillId="0" borderId="0" applyProtection="1">
      <protection locked="0" hidden="0"/>
    </xf>
    <xf numFmtId="195" fontId="32" fillId="0" borderId="0" applyProtection="1">
      <protection locked="0" hidden="0"/>
    </xf>
    <xf numFmtId="0" fontId="49" fillId="0" borderId="0" applyProtection="1">
      <protection locked="0" hidden="0"/>
    </xf>
    <xf numFmtId="9" fontId="32" fillId="0" borderId="0"/>
    <xf numFmtId="9" fontId="51" fillId="0" borderId="0"/>
    <xf numFmtId="43" fontId="75" fillId="0" borderId="0"/>
    <xf numFmtId="43" fontId="75" fillId="0" borderId="0"/>
    <xf numFmtId="0" fontId="32" fillId="0" borderId="0"/>
    <xf numFmtId="0" fontId="32" fillId="0" borderId="0"/>
    <xf numFmtId="0" fontId="77" fillId="0" borderId="0"/>
    <xf numFmtId="0" fontId="32" fillId="0" borderId="0" applyAlignment="1">
      <alignment vertical="center"/>
    </xf>
    <xf numFmtId="0" fontId="51" fillId="0" borderId="0"/>
    <xf numFmtId="0" fontId="73" fillId="0" borderId="0"/>
    <xf numFmtId="0" fontId="78" fillId="0" borderId="0"/>
    <xf numFmtId="0" fontId="79" fillId="0" borderId="0"/>
    <xf numFmtId="196" fontId="36" fillId="0" borderId="0"/>
    <xf numFmtId="197" fontId="36" fillId="0" borderId="0"/>
    <xf numFmtId="14" fontId="43" fillId="0" borderId="0" applyAlignment="1" applyProtection="1">
      <alignment horizontal="center" wrapText="1"/>
      <protection locked="0" hidden="0"/>
    </xf>
    <xf numFmtId="182" fontId="15" fillId="0" borderId="0"/>
    <xf numFmtId="198" fontId="15" fillId="0" borderId="0"/>
    <xf numFmtId="10" fontId="15" fillId="0" borderId="0"/>
    <xf numFmtId="174" fontId="32" fillId="0" borderId="0"/>
    <xf numFmtId="9" fontId="36" fillId="0" borderId="0"/>
    <xf numFmtId="174" fontId="32" fillId="0" borderId="0"/>
    <xf numFmtId="9" fontId="32" fillId="0" borderId="0"/>
    <xf numFmtId="13" fontId="15" fillId="0" borderId="0"/>
    <xf numFmtId="0" fontId="58" fillId="22" borderId="77"/>
    <xf numFmtId="4" fontId="57" fillId="0" borderId="0" applyAlignment="1">
      <alignment horizontal="right"/>
    </xf>
    <xf numFmtId="199" fontId="80" fillId="0" borderId="0"/>
    <xf numFmtId="0" fontId="81" fillId="0" borderId="0"/>
    <xf numFmtId="0" fontId="82" fillId="0" borderId="2" applyAlignment="1">
      <alignment horizontal="center"/>
    </xf>
    <xf numFmtId="4" fontId="83" fillId="0" borderId="0" applyAlignment="1">
      <alignment horizontal="right"/>
    </xf>
    <xf numFmtId="0" fontId="73" fillId="0" borderId="0"/>
    <xf numFmtId="41" fontId="52" fillId="0" borderId="0"/>
    <xf numFmtId="0" fontId="13" fillId="36" borderId="19" applyAlignment="1">
      <alignment vertical="center"/>
    </xf>
    <xf numFmtId="0" fontId="84" fillId="36" borderId="19" applyAlignment="1">
      <alignment vertical="center"/>
    </xf>
    <xf numFmtId="0" fontId="13" fillId="36" borderId="19" applyAlignment="1">
      <alignment horizontal="left" vertical="center" indent="1"/>
    </xf>
    <xf numFmtId="0" fontId="13" fillId="36" borderId="19" applyAlignment="1">
      <alignment horizontal="left" vertical="top" indent="1"/>
    </xf>
    <xf numFmtId="0" fontId="13" fillId="37" borderId="0" applyAlignment="1">
      <alignment horizontal="left" vertical="center" indent="1"/>
    </xf>
    <xf numFmtId="0" fontId="10" fillId="38" borderId="19" applyAlignment="1">
      <alignment horizontal="right" vertical="center"/>
    </xf>
    <xf numFmtId="0" fontId="10" fillId="39" borderId="19" applyAlignment="1">
      <alignment horizontal="right" vertical="center"/>
    </xf>
    <xf numFmtId="0" fontId="10" fillId="40" borderId="19" applyAlignment="1">
      <alignment horizontal="right" vertical="center"/>
    </xf>
    <xf numFmtId="0" fontId="10" fillId="41" borderId="19" applyAlignment="1">
      <alignment horizontal="right" vertical="center"/>
    </xf>
    <xf numFmtId="0" fontId="10" fillId="42" borderId="19" applyAlignment="1">
      <alignment horizontal="right" vertical="center"/>
    </xf>
    <xf numFmtId="0" fontId="10" fillId="43" borderId="19" applyAlignment="1">
      <alignment horizontal="right" vertical="center"/>
    </xf>
    <xf numFmtId="0" fontId="10" fillId="44" borderId="19" applyAlignment="1">
      <alignment horizontal="right" vertical="center"/>
    </xf>
    <xf numFmtId="0" fontId="10" fillId="45" borderId="19" applyAlignment="1">
      <alignment horizontal="right" vertical="center"/>
    </xf>
    <xf numFmtId="0" fontId="10" fillId="46" borderId="19" applyAlignment="1">
      <alignment horizontal="right" vertical="center"/>
    </xf>
    <xf numFmtId="0" fontId="13" fillId="47" borderId="29" applyAlignment="1">
      <alignment horizontal="left" vertical="center" indent="1"/>
    </xf>
    <xf numFmtId="0" fontId="10" fillId="48" borderId="0" applyAlignment="1">
      <alignment horizontal="left" vertical="center" indent="1"/>
    </xf>
    <xf numFmtId="0" fontId="26" fillId="49" borderId="0" applyAlignment="1">
      <alignment horizontal="left" vertical="center" indent="1"/>
    </xf>
    <xf numFmtId="0" fontId="10" fillId="37" borderId="19" applyAlignment="1">
      <alignment horizontal="right" vertical="center"/>
    </xf>
    <xf numFmtId="0" fontId="10" fillId="37" borderId="0" applyAlignment="1">
      <alignment horizontal="left" vertical="center" indent="1"/>
    </xf>
    <xf numFmtId="0" fontId="15" fillId="49" borderId="19" applyAlignment="1">
      <alignment horizontal="left" vertical="center" indent="1"/>
    </xf>
    <xf numFmtId="0" fontId="15" fillId="49" borderId="19" applyAlignment="1">
      <alignment horizontal="left" vertical="top" indent="1"/>
    </xf>
    <xf numFmtId="0" fontId="15" fillId="37" borderId="19" applyAlignment="1">
      <alignment horizontal="left" vertical="center" indent="1"/>
    </xf>
    <xf numFmtId="0" fontId="15" fillId="37" borderId="19" applyAlignment="1">
      <alignment horizontal="left" vertical="top" indent="1"/>
    </xf>
    <xf numFmtId="0" fontId="15" fillId="20" borderId="19" applyAlignment="1">
      <alignment horizontal="left" vertical="center" indent="1"/>
    </xf>
    <xf numFmtId="0" fontId="15" fillId="20" borderId="19" applyAlignment="1">
      <alignment horizontal="left" vertical="top" indent="1"/>
    </xf>
    <xf numFmtId="0" fontId="15" fillId="48" borderId="19" applyAlignment="1">
      <alignment horizontal="left" vertical="center" indent="1"/>
    </xf>
    <xf numFmtId="0" fontId="15" fillId="48" borderId="19" applyAlignment="1">
      <alignment horizontal="left" vertical="top" indent="1"/>
    </xf>
    <xf numFmtId="0" fontId="10" fillId="21" borderId="19" applyAlignment="1">
      <alignment vertical="center"/>
    </xf>
    <xf numFmtId="0" fontId="85" fillId="21" borderId="19" applyAlignment="1">
      <alignment vertical="center"/>
    </xf>
    <xf numFmtId="0" fontId="10" fillId="21" borderId="19" applyAlignment="1">
      <alignment horizontal="left" vertical="center" indent="1"/>
    </xf>
    <xf numFmtId="0" fontId="10" fillId="21" borderId="19" applyAlignment="1">
      <alignment horizontal="left" vertical="top" indent="1"/>
    </xf>
    <xf numFmtId="0" fontId="10" fillId="48" borderId="19" applyAlignment="1">
      <alignment horizontal="right" vertical="center"/>
    </xf>
    <xf numFmtId="0" fontId="85" fillId="48" borderId="19" applyAlignment="1">
      <alignment horizontal="right" vertical="center"/>
    </xf>
    <xf numFmtId="0" fontId="10" fillId="37" borderId="19" applyAlignment="1">
      <alignment horizontal="left" vertical="center" indent="1"/>
    </xf>
    <xf numFmtId="0" fontId="10" fillId="37" borderId="19" applyAlignment="1">
      <alignment horizontal="left" vertical="top" indent="1"/>
    </xf>
    <xf numFmtId="0" fontId="86" fillId="34" borderId="0" applyAlignment="1">
      <alignment horizontal="left" vertical="center" indent="1"/>
    </xf>
    <xf numFmtId="0" fontId="24" fillId="48" borderId="19" applyAlignment="1">
      <alignment horizontal="right" vertical="center"/>
    </xf>
    <xf numFmtId="0" fontId="87" fillId="0" borderId="0" applyAlignment="1">
      <alignment horizontal="left"/>
    </xf>
    <xf numFmtId="43" fontId="58" fillId="0" borderId="21"/>
    <xf numFmtId="0" fontId="70" fillId="0" borderId="0"/>
    <xf numFmtId="40" fontId="88" fillId="0" borderId="0" applyAlignment="1">
      <alignment horizontal="right"/>
    </xf>
    <xf numFmtId="49" fontId="10" fillId="0" borderId="0"/>
    <xf numFmtId="200" fontId="15" fillId="0" borderId="0"/>
    <xf numFmtId="201" fontId="15" fillId="0" borderId="0"/>
    <xf numFmtId="0" fontId="89" fillId="50" borderId="22" applyAlignment="1" applyProtection="1">
      <alignment vertical="center"/>
      <protection locked="0" hidden="0"/>
    </xf>
    <xf numFmtId="0" fontId="90" fillId="0" borderId="0" applyAlignment="1">
      <alignment horizontal="center"/>
    </xf>
    <xf numFmtId="191" fontId="15" fillId="0" borderId="72" applyProtection="1">
      <protection locked="0" hidden="0"/>
    </xf>
    <xf numFmtId="202" fontId="15" fillId="0" borderId="0"/>
    <xf numFmtId="203" fontId="15" fillId="0" borderId="0"/>
    <xf numFmtId="204" fontId="36" fillId="0" borderId="0"/>
    <xf numFmtId="205" fontId="36" fillId="0" borderId="0"/>
    <xf numFmtId="9" fontId="91" fillId="0" borderId="0"/>
    <xf numFmtId="0" fontId="92" fillId="0" borderId="0"/>
    <xf numFmtId="186" fontId="73" fillId="0" borderId="0"/>
    <xf numFmtId="206" fontId="73" fillId="0" borderId="0"/>
    <xf numFmtId="9" fontId="73" fillId="0" borderId="0"/>
    <xf numFmtId="9" fontId="75" fillId="0" borderId="0"/>
    <xf numFmtId="9" fontId="15" fillId="0" borderId="0"/>
    <xf numFmtId="9" fontId="25" fillId="0" borderId="0"/>
    <xf numFmtId="9" fontId="32" fillId="0" borderId="0"/>
    <xf numFmtId="0" fontId="93" fillId="0" borderId="0"/>
    <xf numFmtId="4" fontId="94" fillId="0" borderId="0" applyAlignment="1">
      <alignment horizontal="right"/>
    </xf>
    <xf numFmtId="0" fontId="95" fillId="0" borderId="0"/>
    <xf numFmtId="0" fontId="96" fillId="41" borderId="0"/>
    <xf numFmtId="0" fontId="97" fillId="38" borderId="0"/>
    <xf numFmtId="0" fontId="98" fillId="38" borderId="0"/>
    <xf numFmtId="0" fontId="99" fillId="30" borderId="0"/>
    <xf numFmtId="0" fontId="32" fillId="0" borderId="0" applyAlignment="1">
      <alignment vertical="center"/>
    </xf>
    <xf numFmtId="0" fontId="25" fillId="0" borderId="0"/>
    <xf numFmtId="0" fontId="76" fillId="0" borderId="0"/>
    <xf numFmtId="207" fontId="100" fillId="0" borderId="0"/>
    <xf numFmtId="207" fontId="25" fillId="0" borderId="0"/>
    <xf numFmtId="0" fontId="23" fillId="0" borderId="0" applyAlignment="1">
      <alignment vertical="center"/>
    </xf>
    <xf numFmtId="0" fontId="32" fillId="0" borderId="0"/>
    <xf numFmtId="0" fontId="75" fillId="0" borderId="0" applyProtection="1">
      <protection locked="0" hidden="0"/>
    </xf>
    <xf numFmtId="0" fontId="15" fillId="0" borderId="0" applyProtection="1">
      <protection locked="0" hidden="0"/>
    </xf>
    <xf numFmtId="0" fontId="36" fillId="0" borderId="0"/>
    <xf numFmtId="0" fontId="32" fillId="0" borderId="0" applyAlignment="1">
      <alignment vertical="center"/>
    </xf>
    <xf numFmtId="0" fontId="36" fillId="0" borderId="0" applyAlignment="1">
      <alignment vertical="top"/>
    </xf>
    <xf numFmtId="0" fontId="32" fillId="0" borderId="0"/>
    <xf numFmtId="0" fontId="25" fillId="0" borderId="0"/>
    <xf numFmtId="0" fontId="27" fillId="0" borderId="0"/>
    <xf numFmtId="0" fontId="32" fillId="0" borderId="0" applyAlignment="1" applyProtection="1">
      <alignment vertical="center"/>
      <protection locked="0" hidden="0"/>
    </xf>
    <xf numFmtId="0" fontId="101" fillId="0" borderId="0"/>
    <xf numFmtId="0" fontId="32" fillId="0" borderId="0"/>
    <xf numFmtId="0" fontId="36" fillId="0" borderId="0" applyAlignment="1">
      <alignment vertical="center"/>
    </xf>
    <xf numFmtId="0" fontId="25" fillId="0" borderId="0"/>
    <xf numFmtId="0" fontId="102" fillId="0" borderId="0" applyProtection="1">
      <protection locked="0" hidden="0"/>
    </xf>
    <xf numFmtId="0" fontId="33" fillId="0" borderId="0"/>
    <xf numFmtId="0" fontId="103" fillId="32" borderId="0"/>
    <xf numFmtId="0" fontId="104" fillId="25" borderId="0"/>
    <xf numFmtId="0" fontId="104" fillId="32" borderId="0"/>
    <xf numFmtId="0" fontId="105" fillId="25" borderId="0"/>
    <xf numFmtId="0" fontId="106" fillId="51" borderId="0"/>
    <xf numFmtId="4" fontId="107" fillId="0" borderId="0"/>
    <xf numFmtId="208" fontId="32" fillId="0" borderId="0"/>
    <xf numFmtId="209" fontId="32" fillId="0" borderId="0"/>
    <xf numFmtId="210" fontId="108" fillId="0" borderId="0"/>
    <xf numFmtId="211" fontId="108" fillId="0" borderId="0"/>
    <xf numFmtId="212" fontId="15" fillId="0" borderId="0"/>
    <xf numFmtId="213" fontId="15" fillId="0" borderId="0"/>
    <xf numFmtId="1" fontId="73" fillId="0" borderId="0"/>
    <xf numFmtId="214" fontId="109" fillId="0" borderId="0"/>
    <xf numFmtId="215" fontId="109" fillId="0" borderId="0"/>
    <xf numFmtId="210" fontId="73" fillId="0" borderId="0"/>
    <xf numFmtId="211" fontId="73" fillId="0" borderId="0"/>
    <xf numFmtId="0" fontId="52" fillId="0" borderId="0"/>
    <xf numFmtId="43" fontId="52" fillId="0" borderId="0"/>
    <xf numFmtId="43" fontId="32" fillId="0" borderId="0"/>
    <xf numFmtId="43" fontId="32" fillId="0" borderId="0"/>
    <xf numFmtId="43" fontId="32" fillId="0" borderId="0"/>
    <xf numFmtId="43" fontId="75" fillId="0" borderId="0"/>
    <xf numFmtId="43" fontId="36" fillId="0" borderId="0"/>
    <xf numFmtId="43" fontId="51" fillId="0" borderId="0"/>
    <xf numFmtId="43" fontId="25" fillId="0" borderId="0"/>
    <xf numFmtId="43" fontId="25" fillId="0" borderId="0"/>
    <xf numFmtId="41" fontId="36" fillId="0" borderId="0"/>
    <xf numFmtId="0" fontId="110" fillId="0" borderId="0"/>
    <xf numFmtId="0" fontId="111" fillId="52" borderId="0"/>
    <xf numFmtId="0" fontId="111" fillId="53" borderId="0"/>
    <xf numFmtId="0" fontId="111" fillId="54" borderId="0"/>
    <xf numFmtId="183" fontId="15" fillId="0" borderId="0"/>
    <xf numFmtId="216" fontId="107" fillId="0" borderId="0"/>
    <xf numFmtId="0" fontId="108" fillId="0" borderId="0"/>
    <xf numFmtId="0" fontId="112" fillId="0" borderId="0"/>
    <xf numFmtId="40" fontId="93" fillId="0" borderId="0"/>
    <xf numFmtId="38" fontId="93" fillId="0" borderId="0"/>
    <xf numFmtId="0" fontId="15" fillId="0" borderId="77"/>
    <xf numFmtId="38" fontId="113" fillId="0" borderId="0"/>
    <xf numFmtId="40" fontId="113" fillId="0" borderId="0"/>
    <xf numFmtId="0" fontId="113" fillId="0" borderId="0"/>
    <xf numFmtId="0" fontId="114" fillId="0" borderId="0"/>
    <xf numFmtId="0" fontId="34" fillId="14" borderId="0"/>
    <xf numFmtId="0" fontId="59" fillId="31" borderId="0"/>
    <xf numFmtId="43" fontId="32" fillId="0" borderId="0"/>
    <xf numFmtId="0" fontId="118" fillId="0" borderId="0" applyAlignment="1">
      <alignment vertical="center"/>
    </xf>
    <xf numFmtId="0" fontId="15" fillId="0" borderId="0"/>
    <xf numFmtId="0" fontId="118" fillId="0" borderId="0"/>
    <xf numFmtId="0" fontId="118" fillId="0" borderId="0"/>
    <xf numFmtId="43" fontId="32" fillId="0" borderId="0"/>
    <xf numFmtId="0" fontId="38" fillId="0" borderId="26" applyAlignment="1">
      <alignment horizontal="center"/>
    </xf>
    <xf numFmtId="41" fontId="32" fillId="0" borderId="0"/>
    <xf numFmtId="41" fontId="32" fillId="0" borderId="0"/>
    <xf numFmtId="4" fontId="32" fillId="0" borderId="26" applyAlignment="1">
      <alignment horizontal="right"/>
    </xf>
    <xf numFmtId="4" fontId="28" fillId="0" borderId="26" applyAlignment="1">
      <alignment horizontal="right" vertical="center"/>
    </xf>
    <xf numFmtId="10" fontId="32" fillId="0" borderId="26"/>
    <xf numFmtId="0" fontId="28" fillId="0" borderId="26" applyAlignment="1">
      <alignment horizontal="right" vertical="center"/>
    </xf>
    <xf numFmtId="41" fontId="32" fillId="0" borderId="0"/>
    <xf numFmtId="41" fontId="32" fillId="0" borderId="0"/>
    <xf numFmtId="41" fontId="49" fillId="0" borderId="0"/>
    <xf numFmtId="41" fontId="36" fillId="0" borderId="0"/>
    <xf numFmtId="43" fontId="32" fillId="0" borderId="0"/>
    <xf numFmtId="43" fontId="32" fillId="0" borderId="0"/>
    <xf numFmtId="43" fontId="32" fillId="0" borderId="0"/>
    <xf numFmtId="41" fontId="32" fillId="0" borderId="0"/>
    <xf numFmtId="43" fontId="32" fillId="0" borderId="0"/>
    <xf numFmtId="43" fontId="50" fillId="0" borderId="0"/>
    <xf numFmtId="43" fontId="15" fillId="0" borderId="0"/>
    <xf numFmtId="43" fontId="32" fillId="0" borderId="0"/>
    <xf numFmtId="43" fontId="32" fillId="0" borderId="0"/>
    <xf numFmtId="43" fontId="36" fillId="0" borderId="0"/>
    <xf numFmtId="43" fontId="36" fillId="0" borderId="0"/>
    <xf numFmtId="0" fontId="32" fillId="0" borderId="26"/>
    <xf numFmtId="0" fontId="58" fillId="30" borderId="26"/>
    <xf numFmtId="0" fontId="28" fillId="0" borderId="26"/>
    <xf numFmtId="0" fontId="62" fillId="0" borderId="23"/>
    <xf numFmtId="0" fontId="63" fillId="33" borderId="26" applyAlignment="1">
      <alignment horizontal="center" vertical="center"/>
    </xf>
    <xf numFmtId="0" fontId="13" fillId="47" borderId="29" applyAlignment="1">
      <alignment horizontal="left" vertical="center" indent="1"/>
    </xf>
    <xf numFmtId="0" fontId="58" fillId="21" borderId="26"/>
    <xf numFmtId="43" fontId="75" fillId="0" borderId="0"/>
    <xf numFmtId="0" fontId="58" fillId="22" borderId="26"/>
    <xf numFmtId="0" fontId="13" fillId="47" borderId="29" applyAlignment="1">
      <alignment horizontal="left" vertical="center" indent="1"/>
    </xf>
    <xf numFmtId="0" fontId="13" fillId="47" borderId="29" applyAlignment="1">
      <alignment horizontal="left" vertical="center" indent="1"/>
    </xf>
    <xf numFmtId="43" fontId="58" fillId="0" borderId="21"/>
    <xf numFmtId="41" fontId="32" fillId="0" borderId="0"/>
    <xf numFmtId="41" fontId="32" fillId="0" borderId="0"/>
    <xf numFmtId="41" fontId="32" fillId="0" borderId="0"/>
    <xf numFmtId="43" fontId="32" fillId="0" borderId="0"/>
    <xf numFmtId="43" fontId="32" fillId="0" borderId="0"/>
    <xf numFmtId="43" fontId="75" fillId="0" borderId="0"/>
    <xf numFmtId="43" fontId="36" fillId="0" borderId="0"/>
    <xf numFmtId="43" fontId="25" fillId="0" borderId="0"/>
    <xf numFmtId="43" fontId="25" fillId="0" borderId="0"/>
    <xf numFmtId="41" fontId="36" fillId="0" borderId="0"/>
    <xf numFmtId="0" fontId="15" fillId="0" borderId="26"/>
    <xf numFmtId="43" fontId="32" fillId="0" borderId="0"/>
    <xf numFmtId="0" fontId="118" fillId="0" borderId="0"/>
    <xf numFmtId="0" fontId="118" fillId="0" borderId="0"/>
    <xf numFmtId="0" fontId="1" fillId="0" borderId="0" applyAlignment="1">
      <alignment vertical="center"/>
    </xf>
    <xf numFmtId="0" fontId="1" fillId="0" borderId="0"/>
    <xf numFmtId="0" fontId="32" fillId="0" borderId="0"/>
    <xf numFmtId="0" fontId="33" fillId="0" borderId="0" applyAlignment="1">
      <alignment vertical="center"/>
    </xf>
  </cellStyleXfs>
  <cellXfs count="876">
    <xf numFmtId="0" fontId="0" fillId="0" borderId="0" applyAlignment="1" pivotButton="0" quotePrefix="0" xfId="0">
      <alignment vertical="center"/>
    </xf>
    <xf numFmtId="0" fontId="2" fillId="0" borderId="0" applyAlignment="1" applyProtection="1" pivotButton="0" quotePrefix="0" xfId="0">
      <alignment vertical="center"/>
      <protection locked="0" hidden="0"/>
    </xf>
    <xf numFmtId="0" fontId="3" fillId="0" borderId="0" applyAlignment="1" pivotButton="0" quotePrefix="0" xfId="0">
      <alignment vertical="center"/>
    </xf>
    <xf numFmtId="0" fontId="4" fillId="0" borderId="0" applyAlignment="1" pivotButton="0" quotePrefix="0" xfId="0">
      <alignment vertical="center"/>
    </xf>
    <xf numFmtId="0" fontId="6" fillId="2" borderId="1" applyAlignment="1" applyProtection="1" pivotButton="0" quotePrefix="0" xfId="0">
      <alignment horizontal="centerContinuous" vertical="center"/>
      <protection locked="0" hidden="0"/>
    </xf>
    <xf numFmtId="0" fontId="7" fillId="3" borderId="1" applyAlignment="1" applyProtection="1" pivotButton="0" quotePrefix="0" xfId="0">
      <alignment horizontal="centerContinuous" vertical="center"/>
      <protection locked="0" hidden="0"/>
    </xf>
    <xf numFmtId="0" fontId="2" fillId="0" borderId="0" applyAlignment="1" applyProtection="1" pivotButton="0" quotePrefix="0" xfId="0">
      <alignment horizontal="left" vertical="center"/>
      <protection locked="0" hidden="0"/>
    </xf>
    <xf numFmtId="0" fontId="8" fillId="4" borderId="1" applyAlignment="1" applyProtection="1" pivotButton="0" quotePrefix="0" xfId="0">
      <alignment vertical="center"/>
      <protection locked="0" hidden="0"/>
    </xf>
    <xf numFmtId="0" fontId="9" fillId="0" borderId="0" pivotButton="0" quotePrefix="0" xfId="0"/>
    <xf numFmtId="0" fontId="10" fillId="0" borderId="0" applyAlignment="1" pivotButton="0" quotePrefix="0" xfId="0">
      <alignment vertical="center"/>
    </xf>
    <xf numFmtId="49" fontId="11" fillId="5" borderId="0" applyAlignment="1" pivotButton="0" quotePrefix="0" xfId="0">
      <alignment vertical="center"/>
    </xf>
    <xf numFmtId="0" fontId="13" fillId="5" borderId="0" applyAlignment="1" pivotButton="0" quotePrefix="0" xfId="0">
      <alignment vertical="center"/>
    </xf>
    <xf numFmtId="0" fontId="10" fillId="5" borderId="0" applyAlignment="1" pivotButton="0" quotePrefix="0" xfId="0">
      <alignment vertical="center"/>
    </xf>
    <xf numFmtId="0" fontId="12" fillId="0" borderId="0" applyAlignment="1" pivotButton="0" quotePrefix="0" xfId="0">
      <alignment vertical="center" wrapText="1"/>
    </xf>
    <xf numFmtId="14" fontId="15" fillId="5" borderId="0" applyAlignment="1" pivotButton="0" quotePrefix="0" xfId="0">
      <alignment vertical="center"/>
    </xf>
    <xf numFmtId="49" fontId="11" fillId="0" borderId="0" applyAlignment="1" pivotButton="0" quotePrefix="0" xfId="0">
      <alignment vertical="center"/>
    </xf>
    <xf numFmtId="0" fontId="11" fillId="5" borderId="0" applyAlignment="1" pivotButton="0" quotePrefix="0" xfId="0">
      <alignment vertical="center"/>
    </xf>
    <xf numFmtId="0" fontId="10" fillId="0" borderId="0" pivotButton="0" quotePrefix="0" xfId="0"/>
    <xf numFmtId="49" fontId="11" fillId="0" borderId="0" applyAlignment="1" applyProtection="1" pivotButton="0" quotePrefix="0" xfId="1">
      <alignment horizontal="left" vertical="center"/>
      <protection locked="0" hidden="0"/>
    </xf>
    <xf numFmtId="49" fontId="11" fillId="0" borderId="0" applyAlignment="1" applyProtection="1" pivotButton="0" quotePrefix="0" xfId="1">
      <alignment horizontal="left" vertical="center" wrapText="1"/>
      <protection locked="0" hidden="0"/>
    </xf>
    <xf numFmtId="0" fontId="2" fillId="0" borderId="0" applyAlignment="1" applyProtection="1" pivotButton="0" quotePrefix="0" xfId="133">
      <alignment vertical="center"/>
      <protection locked="0" hidden="0"/>
    </xf>
    <xf numFmtId="0" fontId="7" fillId="3" borderId="5" applyAlignment="1" applyProtection="1" pivotButton="0" quotePrefix="0" xfId="0">
      <alignment horizontal="centerContinuous" vertical="center"/>
      <protection locked="0" hidden="0"/>
    </xf>
    <xf numFmtId="0" fontId="8" fillId="4" borderId="5" applyAlignment="1" applyProtection="1" pivotButton="0" quotePrefix="0" xfId="0">
      <alignment vertical="center"/>
      <protection locked="0" hidden="0"/>
    </xf>
    <xf numFmtId="0" fontId="20" fillId="5" borderId="0" applyAlignment="1" pivotButton="0" quotePrefix="0" xfId="0">
      <alignment vertical="center"/>
    </xf>
    <xf numFmtId="164" fontId="10" fillId="5" borderId="0" applyAlignment="1" pivotButton="0" quotePrefix="0" xfId="0">
      <alignment horizontal="right" vertical="center"/>
    </xf>
    <xf numFmtId="0" fontId="2" fillId="0" borderId="0" applyAlignment="1" pivotButton="0" quotePrefix="0" xfId="127">
      <alignment vertical="center"/>
    </xf>
    <xf numFmtId="0" fontId="12" fillId="6" borderId="0" applyAlignment="1" pivotButton="0" quotePrefix="0" xfId="127">
      <alignment vertical="center"/>
    </xf>
    <xf numFmtId="0" fontId="2" fillId="6" borderId="0" applyAlignment="1" pivotButton="0" quotePrefix="0" xfId="127">
      <alignment vertical="center"/>
    </xf>
    <xf numFmtId="0" fontId="9" fillId="0" borderId="0" applyAlignment="1" pivotButton="0" quotePrefix="0" xfId="127">
      <alignment vertical="center"/>
    </xf>
    <xf numFmtId="49" fontId="12" fillId="6" borderId="0" applyAlignment="1" pivotButton="0" quotePrefix="0" xfId="127">
      <alignment vertical="center"/>
    </xf>
    <xf numFmtId="0" fontId="11" fillId="0" borderId="0" applyAlignment="1" pivotButton="0" quotePrefix="0" xfId="0">
      <alignment horizontal="right" wrapText="1"/>
    </xf>
    <xf numFmtId="49" fontId="2" fillId="6" borderId="0" applyAlignment="1" pivotButton="0" quotePrefix="0" xfId="127">
      <alignment vertical="center"/>
    </xf>
    <xf numFmtId="0" fontId="2" fillId="0" borderId="0" applyAlignment="1" applyProtection="1" pivotButton="0" quotePrefix="0" xfId="0">
      <alignment vertical="center" wrapText="1"/>
      <protection locked="0" hidden="0"/>
    </xf>
    <xf numFmtId="0" fontId="2" fillId="6" borderId="0" applyAlignment="1" pivotButton="0" quotePrefix="0" xfId="127">
      <alignment horizontal="left" vertical="center"/>
    </xf>
    <xf numFmtId="1" fontId="2" fillId="6" borderId="0" applyAlignment="1" pivotButton="0" quotePrefix="0" xfId="127">
      <alignment vertical="center"/>
    </xf>
    <xf numFmtId="14" fontId="2" fillId="6" borderId="0" applyAlignment="1" pivotButton="0" quotePrefix="0" xfId="127">
      <alignment vertical="center"/>
    </xf>
    <xf numFmtId="165" fontId="2" fillId="6" borderId="0" applyAlignment="1" pivotButton="0" quotePrefix="0" xfId="127">
      <alignment vertical="center"/>
    </xf>
    <xf numFmtId="0" fontId="14" fillId="0" borderId="0" applyAlignment="1" applyProtection="1" pivotButton="0" quotePrefix="0" xfId="0">
      <alignment vertical="center"/>
      <protection locked="0" hidden="0"/>
    </xf>
    <xf numFmtId="0" fontId="11" fillId="0" borderId="0" applyAlignment="1" applyProtection="1" pivotButton="0" quotePrefix="0" xfId="0">
      <alignment horizontal="center" vertical="center"/>
      <protection locked="0" hidden="0"/>
    </xf>
    <xf numFmtId="0" fontId="21" fillId="5" borderId="0" applyAlignment="1" pivotButton="0" quotePrefix="0" xfId="0">
      <alignment vertical="center"/>
    </xf>
    <xf numFmtId="0" fontId="2" fillId="8" borderId="0" applyAlignment="1" applyProtection="1" pivotButton="0" quotePrefix="0" xfId="0">
      <alignment vertical="center"/>
      <protection locked="0" hidden="0"/>
    </xf>
    <xf numFmtId="49" fontId="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128">
      <alignment vertical="center"/>
    </xf>
    <xf numFmtId="43" fontId="12" fillId="0" borderId="0" applyAlignment="1" applyProtection="1" pivotButton="0" quotePrefix="0" xfId="260">
      <alignment horizontal="center" vertical="center" shrinkToFit="1"/>
      <protection locked="0" hidden="0"/>
    </xf>
    <xf numFmtId="0" fontId="2" fillId="0" borderId="0" applyAlignment="1" pivotButton="0" quotePrefix="0" xfId="128">
      <alignment vertical="center"/>
    </xf>
    <xf numFmtId="43" fontId="15" fillId="0" borderId="0" applyAlignment="1" applyProtection="1" pivotButton="0" quotePrefix="0" xfId="260">
      <alignment horizontal="center" vertical="center" shrinkToFit="1"/>
      <protection locked="0" hidden="0"/>
    </xf>
    <xf numFmtId="0" fontId="12" fillId="0" borderId="0" applyAlignment="1" pivotButton="0" quotePrefix="0" xfId="0">
      <alignment vertical="center"/>
    </xf>
    <xf numFmtId="0" fontId="5" fillId="2" borderId="1" applyAlignment="1" applyProtection="1" pivotButton="0" quotePrefix="0" xfId="0">
      <alignment horizontal="centerContinuous" vertical="center"/>
      <protection locked="0" hidden="0"/>
    </xf>
    <xf numFmtId="0" fontId="2" fillId="0" borderId="0" applyAlignment="1" applyProtection="1" pivotButton="0" quotePrefix="0" xfId="133">
      <alignment horizontal="left" vertical="center"/>
      <protection locked="0" hidden="0"/>
    </xf>
    <xf numFmtId="0" fontId="12" fillId="0" borderId="0" applyAlignment="1" pivotButton="0" quotePrefix="0" xfId="128">
      <alignment vertical="center"/>
    </xf>
    <xf numFmtId="0" fontId="19" fillId="0" borderId="0" applyAlignment="1" applyProtection="1" pivotButton="0" quotePrefix="0" xfId="133">
      <alignment horizontal="left" vertical="center"/>
      <protection locked="0" hidden="0"/>
    </xf>
    <xf numFmtId="0" fontId="11" fillId="0" borderId="0" applyAlignment="1" applyProtection="1" pivotButton="0" quotePrefix="0" xfId="127">
      <alignment horizontal="center" vertical="center"/>
      <protection locked="0" hidden="0"/>
    </xf>
    <xf numFmtId="0" fontId="12" fillId="8" borderId="0" applyAlignment="1" pivotButton="0" quotePrefix="0" xfId="0">
      <alignment vertical="center"/>
    </xf>
    <xf numFmtId="0" fontId="2" fillId="8" borderId="0" applyAlignment="1" pivotButton="0" quotePrefix="0" xfId="0">
      <alignment vertical="center"/>
    </xf>
    <xf numFmtId="0" fontId="2" fillId="8" borderId="0" applyAlignment="1" pivotButton="0" quotePrefix="0" xfId="128">
      <alignment vertical="center"/>
    </xf>
    <xf numFmtId="0" fontId="18" fillId="0" borderId="0" applyAlignment="1" applyProtection="1" pivotButton="0" quotePrefix="0" xfId="0">
      <alignment vertical="center"/>
      <protection locked="0" hidden="0"/>
    </xf>
    <xf numFmtId="166" fontId="31" fillId="0" borderId="0" applyAlignment="1" pivotButton="0" quotePrefix="0" xfId="122">
      <alignment horizontal="left" vertical="center"/>
    </xf>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0" fontId="11" fillId="0" borderId="0" applyAlignment="1" pivotButton="0" quotePrefix="0" xfId="0">
      <alignment horizontal="center" vertical="center"/>
    </xf>
    <xf numFmtId="0" fontId="2" fillId="6" borderId="0" applyAlignment="1" pivotButton="0" quotePrefix="0" xfId="0">
      <alignment vertical="center"/>
    </xf>
    <xf numFmtId="0" fontId="11" fillId="0" borderId="0" applyAlignment="1" applyProtection="1" pivotButton="0" quotePrefix="0" xfId="0">
      <alignment horizontal="center" vertical="center" shrinkToFit="1"/>
      <protection locked="0" hidden="0"/>
    </xf>
    <xf numFmtId="0" fontId="11" fillId="0" borderId="0" applyAlignment="1" applyProtection="1" pivotButton="0" quotePrefix="0" xfId="127">
      <alignment horizontal="left" vertical="center"/>
      <protection locked="0" hidden="0"/>
    </xf>
    <xf numFmtId="43" fontId="15" fillId="0" borderId="0" applyAlignment="1" pivotButton="0" quotePrefix="0" xfId="0">
      <alignment vertical="center" shrinkToFit="1"/>
    </xf>
    <xf numFmtId="49" fontId="19" fillId="0" borderId="0" applyAlignment="1" applyProtection="1" pivotButton="0" quotePrefix="0" xfId="260">
      <alignment horizontal="center" vertical="center" shrinkToFit="1"/>
      <protection locked="0" hidden="0"/>
    </xf>
    <xf numFmtId="49" fontId="10" fillId="6" borderId="0" applyAlignment="1" applyProtection="1" pivotButton="0" quotePrefix="0" xfId="260">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2" fillId="0" borderId="0" applyAlignment="1" applyProtection="1" pivotButton="0" quotePrefix="0" xfId="1">
      <alignment horizontal="right" vertical="center" shrinkToFit="1"/>
      <protection locked="0" hidden="0"/>
    </xf>
    <xf numFmtId="0" fontId="11" fillId="0" borderId="0" applyAlignment="1" applyProtection="1" pivotButton="0" quotePrefix="0" xfId="260">
      <alignment horizontal="left" vertical="center"/>
      <protection locked="0" hidden="0"/>
    </xf>
    <xf numFmtId="0" fontId="15" fillId="0" borderId="0" applyAlignment="1" applyProtection="1" pivotButton="0" quotePrefix="0" xfId="260">
      <alignment horizontal="center" vertical="center"/>
      <protection locked="0" hidden="0"/>
    </xf>
    <xf numFmtId="0" fontId="12" fillId="6" borderId="0" applyAlignment="1" applyProtection="1" pivotButton="0" quotePrefix="0" xfId="127">
      <alignment vertical="center"/>
      <protection locked="0" hidden="0"/>
    </xf>
    <xf numFmtId="0" fontId="2" fillId="6" borderId="0" applyAlignment="1" applyProtection="1" pivotButton="0" quotePrefix="0" xfId="127">
      <alignment vertical="center"/>
      <protection locked="0" hidden="0"/>
    </xf>
    <xf numFmtId="0" fontId="2" fillId="6" borderId="0" applyAlignment="1" applyProtection="1" pivotButton="0" quotePrefix="0" xfId="127">
      <alignment horizontal="right" vertical="center"/>
      <protection locked="0" hidden="0"/>
    </xf>
    <xf numFmtId="0" fontId="12" fillId="8" borderId="0" applyAlignment="1" applyProtection="1" pivotButton="0" quotePrefix="0" xfId="127">
      <alignment vertical="center"/>
      <protection locked="0" hidden="0"/>
    </xf>
    <xf numFmtId="0" fontId="2" fillId="8" borderId="0" applyAlignment="1" applyProtection="1" pivotButton="0" quotePrefix="0" xfId="127">
      <alignment vertical="center"/>
      <protection locked="0" hidden="0"/>
    </xf>
    <xf numFmtId="0" fontId="2" fillId="8" borderId="0" applyAlignment="1" applyProtection="1" pivotButton="0" quotePrefix="0" xfId="127">
      <alignment horizontal="right" vertical="center"/>
      <protection locked="0" hidden="0"/>
    </xf>
    <xf numFmtId="0" fontId="12" fillId="8" borderId="0" applyAlignment="1" pivotButton="0" quotePrefix="0" xfId="127">
      <alignment vertical="center"/>
    </xf>
    <xf numFmtId="0" fontId="2" fillId="8" borderId="0" applyAlignment="1" pivotButton="0" quotePrefix="0" xfId="127">
      <alignment vertical="center"/>
    </xf>
    <xf numFmtId="0" fontId="7" fillId="3" borderId="15" applyAlignment="1" applyProtection="1" pivotButton="0" quotePrefix="0" xfId="0">
      <alignment horizontal="centerContinuous" vertical="center"/>
      <protection locked="0" hidden="0"/>
    </xf>
    <xf numFmtId="0" fontId="7" fillId="3" borderId="11" applyAlignment="1" applyProtection="1" pivotButton="0" quotePrefix="0" xfId="0">
      <alignment horizontal="centerContinuous" vertical="center"/>
      <protection locked="0" hidden="0"/>
    </xf>
    <xf numFmtId="0" fontId="6" fillId="2" borderId="11" applyAlignment="1" applyProtection="1" pivotButton="0" quotePrefix="0" xfId="0">
      <alignment horizontal="centerContinuous" vertical="center"/>
      <protection locked="0" hidden="0"/>
    </xf>
    <xf numFmtId="0" fontId="2"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5" fillId="0" borderId="0" applyAlignment="1" pivotButton="0" quotePrefix="0" xfId="0">
      <alignment horizontal="left" vertical="center"/>
    </xf>
    <xf numFmtId="0" fontId="2" fillId="0" borderId="1" applyAlignment="1" pivotButton="0" quotePrefix="0" xfId="0">
      <alignment vertical="center"/>
    </xf>
    <xf numFmtId="0" fontId="2" fillId="0" borderId="3" applyAlignment="1" pivotButton="0" quotePrefix="0" xfId="0">
      <alignment vertical="center"/>
    </xf>
    <xf numFmtId="0" fontId="2" fillId="0" borderId="1" applyAlignment="1" applyProtection="1" pivotButton="0" quotePrefix="0" xfId="0">
      <alignment vertical="center"/>
      <protection locked="0" hidden="0"/>
    </xf>
    <xf numFmtId="0" fontId="16" fillId="0" borderId="0" applyAlignment="1" pivotButton="0" quotePrefix="0" xfId="0">
      <alignment vertical="center"/>
    </xf>
    <xf numFmtId="0" fontId="15" fillId="0" borderId="0" applyAlignment="1" pivotButton="0" quotePrefix="0" xfId="0">
      <alignment vertical="center"/>
    </xf>
    <xf numFmtId="0" fontId="14" fillId="0" borderId="0" applyAlignment="1" pivotButton="0" quotePrefix="0" xfId="0">
      <alignment vertical="center"/>
    </xf>
    <xf numFmtId="0" fontId="11" fillId="0" borderId="0" applyAlignment="1" pivotButton="0" quotePrefix="0" xfId="0">
      <alignment vertical="center"/>
    </xf>
    <xf numFmtId="168" fontId="2" fillId="0" borderId="0" applyAlignment="1" pivotButton="0" quotePrefix="0" xfId="0">
      <alignment vertical="center"/>
    </xf>
    <xf numFmtId="0" fontId="13" fillId="0" borderId="0" applyAlignment="1" pivotButton="0" quotePrefix="0" xfId="0">
      <alignment vertical="center"/>
    </xf>
    <xf numFmtId="0" fontId="15" fillId="8" borderId="0" applyAlignment="1" pivotButton="0" quotePrefix="0" xfId="0">
      <alignment vertical="center"/>
    </xf>
    <xf numFmtId="41" fontId="15" fillId="12" borderId="0" applyAlignment="1" pivotButton="0" quotePrefix="0" xfId="0">
      <alignment vertical="center"/>
    </xf>
    <xf numFmtId="0" fontId="15" fillId="0" borderId="0" applyAlignment="1" applyProtection="1" pivotButton="0" quotePrefix="0" xfId="0">
      <alignment vertical="center"/>
      <protection locked="0" hidden="0"/>
    </xf>
    <xf numFmtId="0" fontId="15" fillId="0" borderId="0" applyAlignment="1" applyProtection="1" pivotButton="0" quotePrefix="0" xfId="133">
      <alignment vertical="center"/>
      <protection locked="0" hidden="0"/>
    </xf>
    <xf numFmtId="0" fontId="2" fillId="6" borderId="0" applyAlignment="1" applyProtection="1" pivotButton="0" quotePrefix="0" xfId="0">
      <alignment vertical="center"/>
      <protection locked="0" hidden="0"/>
    </xf>
    <xf numFmtId="0" fontId="14" fillId="6" borderId="0" applyAlignment="1" applyProtection="1" pivotButton="0" quotePrefix="0" xfId="0">
      <alignment vertical="center"/>
      <protection locked="0" hidden="0"/>
    </xf>
    <xf numFmtId="0" fontId="11" fillId="6" borderId="0" applyAlignment="1" applyProtection="1" pivotButton="0" quotePrefix="0" xfId="0">
      <alignment horizontal="center" vertical="center"/>
      <protection locked="0" hidden="0"/>
    </xf>
    <xf numFmtId="0" fontId="5" fillId="2" borderId="14" applyAlignment="1" applyProtection="1" pivotButton="0" quotePrefix="0" xfId="0">
      <alignment horizontal="centerContinuous" vertical="center"/>
      <protection locked="0" hidden="0"/>
    </xf>
    <xf numFmtId="0" fontId="11" fillId="0" borderId="0" applyAlignment="1" applyProtection="1" pivotButton="0" quotePrefix="0" xfId="52">
      <alignment horizontal="left" vertical="center"/>
      <protection locked="0" hidden="0"/>
    </xf>
    <xf numFmtId="0" fontId="6" fillId="2" borderId="1" applyAlignment="1" applyProtection="1" pivotButton="0" quotePrefix="0" xfId="315">
      <alignment horizontal="centerContinuous" vertical="center"/>
      <protection locked="0" hidden="0"/>
    </xf>
    <xf numFmtId="0" fontId="7" fillId="3" borderId="1" applyAlignment="1" applyProtection="1" pivotButton="0" quotePrefix="0" xfId="315">
      <alignment horizontal="centerContinuous" vertical="center"/>
      <protection locked="0" hidden="0"/>
    </xf>
    <xf numFmtId="0" fontId="7" fillId="3" borderId="5" applyAlignment="1" applyProtection="1" pivotButton="0" quotePrefix="0" xfId="315">
      <alignment horizontal="centerContinuous" vertical="center"/>
      <protection locked="0" hidden="0"/>
    </xf>
    <xf numFmtId="0" fontId="2" fillId="6" borderId="0" applyAlignment="1" applyProtection="1" pivotButton="0" quotePrefix="0" xfId="315">
      <alignment vertical="center"/>
      <protection locked="0" hidden="0"/>
    </xf>
    <xf numFmtId="0" fontId="2" fillId="8" borderId="0" applyAlignment="1" applyProtection="1" pivotButton="0" quotePrefix="0" xfId="315">
      <alignment vertical="center"/>
      <protection locked="0" hidden="0"/>
    </xf>
    <xf numFmtId="0" fontId="116" fillId="6" borderId="0" applyAlignment="1" applyProtection="1" pivotButton="0" quotePrefix="0" xfId="158">
      <alignment horizontal="left" vertical="center"/>
      <protection locked="0" hidden="0"/>
    </xf>
    <xf numFmtId="0" fontId="2" fillId="0" borderId="11" applyAlignment="1" pivotButton="0" quotePrefix="0" xfId="0">
      <alignment vertical="center"/>
    </xf>
    <xf numFmtId="0" fontId="2" fillId="0" borderId="3" applyAlignment="1" applyProtection="1" pivotButton="0" quotePrefix="0" xfId="0">
      <alignment vertical="center"/>
      <protection locked="0" hidden="0"/>
    </xf>
    <xf numFmtId="0" fontId="2" fillId="0" borderId="24" applyAlignment="1" pivotButton="0" quotePrefix="0" xfId="0">
      <alignment vertical="center"/>
    </xf>
    <xf numFmtId="0" fontId="2" fillId="0" borderId="25" applyAlignment="1" pivotButton="0" quotePrefix="0" xfId="0">
      <alignment vertical="center"/>
    </xf>
    <xf numFmtId="0" fontId="18" fillId="8" borderId="0" applyAlignment="1" applyProtection="1" pivotButton="0" quotePrefix="0" xfId="315">
      <alignment vertical="center"/>
      <protection locked="0" hidden="0"/>
    </xf>
    <xf numFmtId="0" fontId="5" fillId="2" borderId="1" applyAlignment="1" applyProtection="1" pivotButton="0" quotePrefix="0" xfId="315">
      <alignment horizontal="centerContinuous" vertical="center"/>
      <protection locked="0" hidden="0"/>
    </xf>
    <xf numFmtId="0" fontId="2" fillId="0" borderId="0" applyAlignment="1" applyProtection="1" pivotButton="0" quotePrefix="0" xfId="247">
      <alignment vertical="center"/>
      <protection locked="0" hidden="0"/>
    </xf>
    <xf numFmtId="0" fontId="14" fillId="0" borderId="0" applyAlignment="1" applyProtection="1" pivotButton="0" quotePrefix="0" xfId="247">
      <alignment horizontal="left" vertical="center"/>
      <protection locked="0" hidden="0"/>
    </xf>
    <xf numFmtId="0" fontId="14" fillId="8" borderId="0" applyAlignment="1" applyProtection="1" pivotButton="0" quotePrefix="0" xfId="247">
      <alignment vertical="center"/>
      <protection locked="0" hidden="0"/>
    </xf>
    <xf numFmtId="0" fontId="14" fillId="0" borderId="0" applyAlignment="1" applyProtection="1" pivotButton="0" quotePrefix="0" xfId="247">
      <alignment vertical="center"/>
      <protection locked="0" hidden="0"/>
    </xf>
    <xf numFmtId="0" fontId="2" fillId="0" borderId="0" applyAlignment="1" applyProtection="1" pivotButton="0" quotePrefix="0" xfId="247">
      <alignment horizontal="left" vertical="center"/>
      <protection locked="0" hidden="0"/>
    </xf>
    <xf numFmtId="0" fontId="2" fillId="0" borderId="0" applyAlignment="1" pivotButton="0" quotePrefix="0" xfId="247">
      <alignment vertical="center"/>
    </xf>
    <xf numFmtId="0" fontId="2" fillId="8" borderId="0" applyAlignment="1" applyProtection="1" pivotButton="0" quotePrefix="0" xfId="247">
      <alignment vertical="center"/>
      <protection locked="0" hidden="0"/>
    </xf>
    <xf numFmtId="0" fontId="12" fillId="0" borderId="0" applyAlignment="1" applyProtection="1" pivotButton="0" quotePrefix="0" xfId="138">
      <alignment vertical="center"/>
      <protection locked="0" hidden="0"/>
    </xf>
    <xf numFmtId="0" fontId="2" fillId="0" borderId="0" applyAlignment="1" applyProtection="1" pivotButton="0" quotePrefix="0" xfId="138">
      <alignment horizontal="right" vertical="center"/>
      <protection locked="0" hidden="0"/>
    </xf>
    <xf numFmtId="0" fontId="2" fillId="0" borderId="0" applyAlignment="1" applyProtection="1" pivotButton="0" quotePrefix="0" xfId="138">
      <alignment horizontal="left" vertical="center" wrapText="1"/>
      <protection locked="0" hidden="0"/>
    </xf>
    <xf numFmtId="0" fontId="2" fillId="6" borderId="0" applyAlignment="1" applyProtection="1" pivotButton="0" quotePrefix="0" xfId="138">
      <alignment vertical="center"/>
      <protection locked="0" hidden="0"/>
    </xf>
    <xf numFmtId="0" fontId="2" fillId="0" borderId="0" applyAlignment="1" applyProtection="1" pivotButton="0" quotePrefix="0" xfId="138">
      <alignment vertical="center"/>
      <protection locked="0" hidden="0"/>
    </xf>
    <xf numFmtId="0" fontId="13" fillId="0" borderId="0" applyAlignment="1" pivotButton="0" quotePrefix="0" xfId="128">
      <alignment horizontal="left" vertical="center"/>
    </xf>
    <xf numFmtId="0" fontId="10" fillId="5" borderId="0" applyAlignment="1" applyProtection="1" pivotButton="0" quotePrefix="0" xfId="128">
      <alignment vertical="center"/>
      <protection locked="0" hidden="0"/>
    </xf>
    <xf numFmtId="0" fontId="24" fillId="0" borderId="0" applyAlignment="1" applyProtection="1" pivotButton="0" quotePrefix="0" xfId="128">
      <alignment horizontal="center" vertical="center"/>
      <protection locked="0" hidden="0"/>
    </xf>
    <xf numFmtId="0" fontId="10" fillId="0" borderId="0" applyAlignment="1" applyProtection="1" pivotButton="0" quotePrefix="0" xfId="128">
      <alignment horizontal="center" vertical="center"/>
      <protection locked="0" hidden="0"/>
    </xf>
    <xf numFmtId="0" fontId="18" fillId="0" borderId="0" applyAlignment="1" applyProtection="1" pivotButton="0" quotePrefix="0" xfId="128">
      <alignment horizontal="right" vertical="center"/>
      <protection locked="0" hidden="0"/>
    </xf>
    <xf numFmtId="0" fontId="12" fillId="0" borderId="0" applyAlignment="1" applyProtection="1" pivotButton="0" quotePrefix="0" xfId="128">
      <alignment horizontal="center" vertical="center"/>
      <protection locked="0" hidden="0"/>
    </xf>
    <xf numFmtId="0" fontId="13" fillId="0" borderId="0" applyAlignment="1" applyProtection="1" pivotButton="0" quotePrefix="0" xfId="128">
      <alignment horizontal="center" vertical="center"/>
      <protection locked="0" hidden="0"/>
    </xf>
    <xf numFmtId="0" fontId="12" fillId="5" borderId="0" applyAlignment="1" applyProtection="1" pivotButton="0" quotePrefix="0" xfId="128">
      <alignment vertical="center"/>
      <protection locked="0" hidden="0"/>
    </xf>
    <xf numFmtId="0" fontId="10" fillId="0" borderId="0" applyAlignment="1" applyProtection="1" pivotButton="0" quotePrefix="0" xfId="128">
      <alignment vertical="center"/>
      <protection locked="0" hidden="0"/>
    </xf>
    <xf numFmtId="43" fontId="10" fillId="0" borderId="0" pivotButton="0" quotePrefix="0" xfId="128"/>
    <xf numFmtId="0" fontId="12" fillId="6" borderId="0" applyAlignment="1" applyProtection="1" pivotButton="0" quotePrefix="0" xfId="138">
      <alignment vertical="center"/>
      <protection locked="0" hidden="0"/>
    </xf>
    <xf numFmtId="0" fontId="19" fillId="10" borderId="0" applyAlignment="1" pivotButton="0" quotePrefix="0" xfId="128">
      <alignment vertical="center"/>
    </xf>
    <xf numFmtId="0" fontId="17" fillId="10" borderId="0" applyAlignment="1" pivotButton="0" quotePrefix="0" xfId="128">
      <alignment vertical="center"/>
    </xf>
    <xf numFmtId="0" fontId="13" fillId="0" borderId="0" applyAlignment="1" applyProtection="1" pivotButton="0" quotePrefix="0" xfId="128">
      <alignment vertical="center"/>
      <protection locked="0" hidden="0"/>
    </xf>
    <xf numFmtId="0" fontId="11" fillId="0" borderId="0" applyAlignment="1" applyProtection="1" pivotButton="0" quotePrefix="0" xfId="128">
      <alignment horizontal="center" vertical="center"/>
      <protection locked="0" hidden="0"/>
    </xf>
    <xf numFmtId="0" fontId="2" fillId="6" borderId="0" applyAlignment="1" applyProtection="1" pivotButton="0" quotePrefix="0" xfId="138">
      <alignment horizontal="right" vertical="center"/>
      <protection locked="0" hidden="0"/>
    </xf>
    <xf numFmtId="0" fontId="2" fillId="0" borderId="0" applyAlignment="1" pivotButton="0" quotePrefix="0" xfId="0">
      <alignment vertical="top" wrapText="1"/>
    </xf>
    <xf numFmtId="0" fontId="122" fillId="7" borderId="0" pivotButton="0" quotePrefix="0" xfId="0"/>
    <xf numFmtId="0" fontId="62" fillId="4" borderId="13" applyAlignment="1" pivotButton="0" quotePrefix="0" xfId="0">
      <alignment vertical="center"/>
    </xf>
    <xf numFmtId="0" fontId="9" fillId="0" borderId="0" pivotButton="0" quotePrefix="0" xfId="371"/>
    <xf numFmtId="0" fontId="2" fillId="0" borderId="0" applyAlignment="1" applyProtection="1" pivotButton="0" quotePrefix="0" xfId="247">
      <alignment horizontal="center" vertical="center"/>
      <protection locked="0" hidden="0"/>
    </xf>
    <xf numFmtId="0" fontId="2" fillId="6" borderId="0" applyAlignment="1" applyProtection="1" pivotButton="0" quotePrefix="0" xfId="138">
      <alignment horizontal="center" vertical="center" wrapText="1"/>
      <protection locked="0" hidden="0"/>
    </xf>
    <xf numFmtId="0" fontId="18" fillId="0" borderId="0" applyAlignment="1" applyProtection="1" pivotButton="0" quotePrefix="0" xfId="128">
      <alignment horizontal="center" vertical="center"/>
      <protection locked="0" hidden="0"/>
    </xf>
    <xf numFmtId="0" fontId="2" fillId="0" borderId="0" applyAlignment="1" applyProtection="1" pivotButton="0" quotePrefix="0" xfId="138">
      <alignment horizontal="center" vertical="center"/>
      <protection locked="0" hidden="0"/>
    </xf>
    <xf numFmtId="0" fontId="2" fillId="6" borderId="0" applyAlignment="1" applyProtection="1" pivotButton="0" quotePrefix="0" xfId="138">
      <alignment horizontal="center" vertical="center"/>
      <protection locked="0" hidden="0"/>
    </xf>
    <xf numFmtId="0" fontId="2" fillId="8" borderId="0" applyAlignment="1" applyProtection="1" pivotButton="0" quotePrefix="0" xfId="247">
      <alignment horizontal="center" vertical="center"/>
      <protection locked="0" hidden="0"/>
    </xf>
    <xf numFmtId="49" fontId="10" fillId="0" borderId="0" applyAlignment="1" applyProtection="1" pivotButton="0" quotePrefix="0" xfId="128">
      <alignment horizontal="right"/>
      <protection locked="0" hidden="0"/>
    </xf>
    <xf numFmtId="49" fontId="10" fillId="0" borderId="0" applyAlignment="1" applyProtection="1" pivotButton="0" quotePrefix="0" xfId="128">
      <alignment horizontal="center"/>
      <protection locked="0" hidden="0"/>
    </xf>
    <xf numFmtId="49" fontId="14" fillId="7" borderId="30" applyAlignment="1" applyProtection="1" pivotButton="0" quotePrefix="0" xfId="153">
      <alignment horizontal="center" vertical="center" wrapText="1"/>
      <protection locked="0" hidden="0"/>
    </xf>
    <xf numFmtId="0" fontId="14" fillId="7" borderId="30" applyAlignment="1" applyProtection="1" pivotButton="0" quotePrefix="0" xfId="153">
      <alignment horizontal="center" vertical="center" wrapText="1"/>
      <protection locked="0" hidden="0"/>
    </xf>
    <xf numFmtId="0" fontId="14" fillId="7" borderId="32" applyAlignment="1" applyProtection="1" pivotButton="0" quotePrefix="0" xfId="153">
      <alignment horizontal="center" vertical="center" wrapText="1"/>
      <protection locked="0" hidden="0"/>
    </xf>
    <xf numFmtId="0" fontId="16" fillId="7" borderId="30" applyAlignment="1" applyProtection="1" pivotButton="0" quotePrefix="0" xfId="0">
      <alignment horizontal="centerContinuous" vertical="center" wrapText="1"/>
      <protection locked="0" hidden="0"/>
    </xf>
    <xf numFmtId="0" fontId="16" fillId="7" borderId="1" applyAlignment="1" applyProtection="1" pivotButton="0" quotePrefix="0" xfId="0">
      <alignment vertical="center"/>
      <protection locked="0" hidden="0"/>
    </xf>
    <xf numFmtId="0" fontId="11" fillId="7" borderId="1" applyAlignment="1" applyProtection="1" pivotButton="0" quotePrefix="0" xfId="0">
      <alignment vertical="center"/>
      <protection locked="0" hidden="0"/>
    </xf>
    <xf numFmtId="0" fontId="11" fillId="7" borderId="5" applyAlignment="1" applyProtection="1" pivotButton="0" quotePrefix="0" xfId="0">
      <alignment vertical="center"/>
      <protection locked="0" hidden="0"/>
    </xf>
    <xf numFmtId="0" fontId="2" fillId="0" borderId="37" applyAlignment="1" pivotButton="0" quotePrefix="0" xfId="0">
      <alignment vertical="center"/>
    </xf>
    <xf numFmtId="0" fontId="2" fillId="0" borderId="38" applyAlignment="1" pivotButton="0" quotePrefix="0" xfId="0">
      <alignment vertical="center"/>
    </xf>
    <xf numFmtId="0" fontId="2" fillId="0" borderId="38" applyAlignment="1" applyProtection="1" pivotButton="0" quotePrefix="0" xfId="0">
      <alignment vertical="center"/>
      <protection locked="0" hidden="0"/>
    </xf>
    <xf numFmtId="9" fontId="11" fillId="0" borderId="0" applyAlignment="1" pivotButton="0" quotePrefix="0" xfId="0">
      <alignment horizontal="center" vertical="center" shrinkToFit="1"/>
    </xf>
    <xf numFmtId="43" fontId="15" fillId="0" borderId="0" applyAlignment="1" applyProtection="1" pivotButton="0" quotePrefix="0" xfId="266">
      <alignment horizontal="center" vertical="center" shrinkToFit="1"/>
      <protection locked="0" hidden="0"/>
    </xf>
    <xf numFmtId="43" fontId="15" fillId="0" borderId="0" applyAlignment="1" applyProtection="1" pivotButton="0" quotePrefix="0" xfId="260">
      <alignment horizontal="right" vertical="center" shrinkToFit="1"/>
      <protection locked="0" hidden="0"/>
    </xf>
    <xf numFmtId="10" fontId="2" fillId="0" borderId="0" applyAlignment="1" applyProtection="1" pivotButton="0" quotePrefix="0" xfId="260">
      <alignment horizontal="right" vertical="center" shrinkToFit="1"/>
      <protection locked="0" hidden="0"/>
    </xf>
    <xf numFmtId="0" fontId="14" fillId="0" borderId="46" applyAlignment="1" pivotButton="0" quotePrefix="0" xfId="0">
      <alignment vertical="center"/>
    </xf>
    <xf numFmtId="0" fontId="14" fillId="0" borderId="61" applyAlignment="1" pivotButton="0" quotePrefix="0" xfId="0">
      <alignment horizontal="center" vertical="center"/>
    </xf>
    <xf numFmtId="0" fontId="14" fillId="0" borderId="47" applyAlignment="1" pivotButton="0" quotePrefix="0" xfId="0">
      <alignment horizontal="center" vertical="center"/>
    </xf>
    <xf numFmtId="0" fontId="10" fillId="0" borderId="62" applyAlignment="1" pivotButton="0" quotePrefix="0" xfId="0">
      <alignment horizontal="left" vertical="center" wrapText="1"/>
    </xf>
    <xf numFmtId="169" fontId="2" fillId="0" borderId="0" applyAlignment="1" applyProtection="1" pivotButton="0" quotePrefix="0" xfId="1">
      <alignment horizontal="right" vertical="center" shrinkToFit="1"/>
      <protection locked="0" hidden="0"/>
    </xf>
    <xf numFmtId="0" fontId="129" fillId="6" borderId="0" applyAlignment="1" applyProtection="1" pivotButton="0" quotePrefix="0" xfId="158">
      <alignment horizontal="left" vertical="center"/>
      <protection locked="0" hidden="0"/>
    </xf>
    <xf numFmtId="169" fontId="2" fillId="0" borderId="53" applyAlignment="1" pivotButton="0" quotePrefix="0" xfId="0">
      <alignment vertical="center"/>
    </xf>
    <xf numFmtId="169" fontId="2" fillId="0" borderId="48" applyAlignment="1" pivotButton="0" quotePrefix="0" xfId="0">
      <alignment vertical="center"/>
    </xf>
    <xf numFmtId="0" fontId="16" fillId="7" borderId="3" applyAlignment="1" applyProtection="1" pivotButton="0" quotePrefix="0" xfId="247">
      <alignment vertical="center"/>
      <protection locked="0" hidden="0"/>
    </xf>
    <xf numFmtId="0" fontId="14" fillId="7" borderId="3" applyAlignment="1" applyProtection="1" pivotButton="0" quotePrefix="0" xfId="247">
      <alignment vertical="center"/>
      <protection locked="0" hidden="0"/>
    </xf>
    <xf numFmtId="0" fontId="2" fillId="7" borderId="3" applyAlignment="1" applyProtection="1" pivotButton="0" quotePrefix="0" xfId="247">
      <alignment vertical="center"/>
      <protection locked="0" hidden="0"/>
    </xf>
    <xf numFmtId="0" fontId="11" fillId="7" borderId="3" applyAlignment="1" applyProtection="1" pivotButton="0" quotePrefix="0" xfId="247">
      <alignment horizontal="center" vertical="center"/>
      <protection locked="0" hidden="0"/>
    </xf>
    <xf numFmtId="169" fontId="10" fillId="0" borderId="0" applyAlignment="1" applyProtection="1" pivotButton="0" quotePrefix="0" xfId="143">
      <alignment horizontal="right" vertical="center" wrapText="1"/>
      <protection locked="0" hidden="0"/>
    </xf>
    <xf numFmtId="0" fontId="16" fillId="7" borderId="3" applyAlignment="1" applyProtection="1" pivotButton="0" quotePrefix="0" xfId="0">
      <alignment vertical="center"/>
      <protection locked="0" hidden="0"/>
    </xf>
    <xf numFmtId="0" fontId="14" fillId="9" borderId="5" applyAlignment="1" applyProtection="1" pivotButton="0" quotePrefix="0" xfId="0">
      <alignment vertical="center" wrapText="1"/>
      <protection locked="0" hidden="0"/>
    </xf>
    <xf numFmtId="0" fontId="14" fillId="9" borderId="5" applyAlignment="1" applyProtection="1" pivotButton="0" quotePrefix="0" xfId="0">
      <alignment horizontal="left" vertical="center" wrapText="1"/>
      <protection locked="0" hidden="0"/>
    </xf>
    <xf numFmtId="0" fontId="14" fillId="0" borderId="5" applyAlignment="1" applyProtection="1" pivotButton="0" quotePrefix="0" xfId="0">
      <alignment vertical="center" wrapText="1"/>
      <protection locked="0" hidden="0"/>
    </xf>
    <xf numFmtId="0" fontId="14" fillId="9" borderId="58"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0" fontId="14" fillId="0" borderId="56" applyAlignment="1" applyProtection="1" pivotButton="0" quotePrefix="0" xfId="0">
      <alignment horizontal="left" vertical="center" wrapText="1"/>
      <protection locked="0" hidden="0"/>
    </xf>
    <xf numFmtId="0" fontId="19" fillId="7" borderId="69" applyAlignment="1" pivotButton="0" quotePrefix="0" xfId="0">
      <alignment vertical="center"/>
    </xf>
    <xf numFmtId="0" fontId="19" fillId="7" borderId="25" applyAlignment="1" pivotButton="0" quotePrefix="0" xfId="0">
      <alignment vertical="center"/>
    </xf>
    <xf numFmtId="0" fontId="19" fillId="7" borderId="68" applyAlignment="1" pivotButton="0" quotePrefix="0" xfId="0">
      <alignment vertical="center"/>
    </xf>
    <xf numFmtId="0" fontId="14" fillId="7" borderId="46" applyAlignment="1" applyProtection="1" pivotButton="0" quotePrefix="0" xfId="0">
      <alignment horizontal="left" wrapText="1"/>
      <protection locked="0" hidden="0"/>
    </xf>
    <xf numFmtId="0" fontId="14" fillId="7" borderId="47" applyAlignment="1" applyProtection="1" pivotButton="0" quotePrefix="0" xfId="0">
      <alignment horizontal="left" wrapText="1"/>
      <protection locked="0" hidden="0"/>
    </xf>
    <xf numFmtId="0" fontId="14" fillId="7" borderId="46" applyAlignment="1" applyProtection="1" pivotButton="0" quotePrefix="0" xfId="0">
      <alignment horizontal="center" vertical="center" wrapText="1"/>
      <protection locked="0" hidden="0"/>
    </xf>
    <xf numFmtId="0" fontId="14" fillId="7" borderId="65" applyAlignment="1" applyProtection="1" pivotButton="0" quotePrefix="0" xfId="0">
      <alignment horizontal="center" vertical="center" wrapText="1"/>
      <protection locked="0" hidden="0"/>
    </xf>
    <xf numFmtId="0" fontId="14" fillId="7" borderId="60" applyAlignment="1" pivotButton="0" quotePrefix="0" xfId="127">
      <alignment horizontal="center" vertical="center"/>
    </xf>
    <xf numFmtId="0" fontId="14" fillId="7" borderId="66" applyAlignment="1" applyProtection="1" pivotButton="0" quotePrefix="0" xfId="0">
      <alignment horizontal="center" vertical="center" wrapText="1"/>
      <protection locked="0" hidden="0"/>
    </xf>
    <xf numFmtId="0" fontId="14" fillId="7" borderId="61" applyAlignment="1" applyProtection="1" pivotButton="0" quotePrefix="0" xfId="0">
      <alignment horizontal="center" vertical="center" wrapText="1"/>
      <protection locked="0" hidden="0"/>
    </xf>
    <xf numFmtId="0" fontId="14" fillId="7" borderId="47" applyAlignment="1" pivotButton="0" quotePrefix="0" xfId="127">
      <alignment horizontal="center" vertical="center"/>
    </xf>
    <xf numFmtId="0" fontId="16" fillId="7" borderId="61" applyAlignment="1" pivotButton="0" quotePrefix="0" xfId="0">
      <alignment horizontal="center" vertical="center" wrapText="1"/>
    </xf>
    <xf numFmtId="0" fontId="14" fillId="7" borderId="52" applyAlignment="1" applyProtection="1" pivotButton="0" quotePrefix="0" xfId="0">
      <alignment horizontal="center" vertical="center" wrapText="1"/>
      <protection locked="0" hidden="0"/>
    </xf>
    <xf numFmtId="0" fontId="14" fillId="7" borderId="60" applyAlignment="1" applyProtection="1" pivotButton="0" quotePrefix="0" xfId="0">
      <alignment horizontal="center" vertical="center" wrapText="1"/>
      <protection locked="0" hidden="0"/>
    </xf>
    <xf numFmtId="0" fontId="14" fillId="7" borderId="47" applyAlignment="1" applyProtection="1" pivotButton="0" quotePrefix="0" xfId="0">
      <alignment horizontal="center" vertical="center" wrapText="1"/>
      <protection locked="0" hidden="0"/>
    </xf>
    <xf numFmtId="0" fontId="14" fillId="7" borderId="65" applyAlignment="1" applyProtection="1" pivotButton="0" quotePrefix="0" xfId="0">
      <alignment horizontal="left" vertical="center"/>
      <protection locked="0" hidden="0"/>
    </xf>
    <xf numFmtId="0" fontId="14" fillId="7" borderId="36" applyAlignment="1" applyProtection="1" pivotButton="0" quotePrefix="0" xfId="0">
      <alignment horizontal="left" vertical="center"/>
      <protection locked="0" hidden="0"/>
    </xf>
    <xf numFmtId="0" fontId="16" fillId="7" borderId="46" applyAlignment="1" pivotButton="0" quotePrefix="0" xfId="0">
      <alignment horizontal="center" vertical="center"/>
    </xf>
    <xf numFmtId="0" fontId="16" fillId="7" borderId="61" applyAlignment="1" pivotButton="0" quotePrefix="0" xfId="0">
      <alignment horizontal="center" vertical="center"/>
    </xf>
    <xf numFmtId="0" fontId="16" fillId="7" borderId="65" applyAlignment="1" pivotButton="0" quotePrefix="0" xfId="0">
      <alignment horizontal="center" vertical="center" wrapText="1"/>
    </xf>
    <xf numFmtId="0" fontId="19" fillId="7" borderId="65" applyAlignment="1" pivotButton="0" quotePrefix="0" xfId="0">
      <alignment horizontal="center" vertical="center" wrapText="1"/>
    </xf>
    <xf numFmtId="0" fontId="16" fillId="7" borderId="47" applyAlignment="1" pivotButton="0" quotePrefix="0" xfId="0">
      <alignment horizontal="center" vertical="center"/>
    </xf>
    <xf numFmtId="0" fontId="19" fillId="7" borderId="61" applyAlignment="1" pivotButton="0" quotePrefix="0" xfId="0">
      <alignment horizontal="center" vertical="center" wrapText="1"/>
    </xf>
    <xf numFmtId="0" fontId="11" fillId="0" borderId="71" applyAlignment="1" pivotButton="0" quotePrefix="0" xfId="0">
      <alignment horizontal="center" vertical="center"/>
    </xf>
    <xf numFmtId="0" fontId="29" fillId="0" borderId="71" applyAlignment="1" pivotButton="0" quotePrefix="0" xfId="0">
      <alignment horizontal="center" vertical="center"/>
    </xf>
    <xf numFmtId="0" fontId="11" fillId="0" borderId="71" applyAlignment="1" applyProtection="1" pivotButton="0" quotePrefix="0" xfId="0">
      <alignment horizontal="center" vertical="center"/>
      <protection locked="0" hidden="0"/>
    </xf>
    <xf numFmtId="0" fontId="30" fillId="0" borderId="71" applyAlignment="1" pivotButton="0" quotePrefix="0" xfId="0">
      <alignment horizontal="center" vertical="center"/>
    </xf>
    <xf numFmtId="0" fontId="2" fillId="0" borderId="71" applyAlignment="1" pivotButton="0" quotePrefix="0" xfId="0">
      <alignment vertical="center"/>
    </xf>
    <xf numFmtId="0" fontId="2" fillId="0" borderId="71" applyAlignment="1" applyProtection="1" pivotButton="0" quotePrefix="0" xfId="0">
      <alignment vertical="center" wrapText="1"/>
      <protection locked="0" hidden="0"/>
    </xf>
    <xf numFmtId="0" fontId="14" fillId="9" borderId="71" applyAlignment="1" applyProtection="1" pivotButton="0" quotePrefix="0" xfId="0">
      <alignment vertical="center" wrapText="1"/>
      <protection locked="0" hidden="0"/>
    </xf>
    <xf numFmtId="0" fontId="14" fillId="0" borderId="71" applyAlignment="1" applyProtection="1" pivotButton="0" quotePrefix="0" xfId="0">
      <alignment vertical="center" wrapTex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169" fontId="17" fillId="0" borderId="72" applyAlignment="1" pivotButton="0" quotePrefix="0" xfId="253">
      <alignment horizontal="right" vertical="center"/>
    </xf>
    <xf numFmtId="0" fontId="14" fillId="9" borderId="73" applyAlignment="1" applyProtection="1" pivotButton="0" quotePrefix="0" xfId="0">
      <alignment vertical="center" wrapText="1"/>
      <protection locked="0" hidden="0"/>
    </xf>
    <xf numFmtId="170" fontId="14" fillId="9" borderId="73" applyAlignment="1" applyProtection="1" pivotButton="0" quotePrefix="0" xfId="0">
      <alignment horizontal="right" vertical="center" wrapText="1"/>
      <protection locked="0" hidden="0"/>
    </xf>
    <xf numFmtId="0" fontId="26" fillId="11" borderId="74" applyAlignment="1" applyProtection="1" pivotButton="0" quotePrefix="0" xfId="0">
      <alignment vertical="center"/>
      <protection locked="0" hidden="0"/>
    </xf>
    <xf numFmtId="0" fontId="2" fillId="0" borderId="74" applyAlignment="1" pivotButton="0" quotePrefix="0" xfId="0">
      <alignment vertical="center"/>
    </xf>
    <xf numFmtId="0" fontId="15" fillId="0" borderId="74" applyAlignment="1" pivotButton="0" quotePrefix="0" xfId="124">
      <alignment vertical="center"/>
    </xf>
    <xf numFmtId="0" fontId="14" fillId="0" borderId="75" applyAlignment="1" pivotButton="0" quotePrefix="0" xfId="0">
      <alignment vertical="center"/>
    </xf>
    <xf numFmtId="0" fontId="16" fillId="7" borderId="74" applyAlignment="1" applyProtection="1" pivotButton="0" quotePrefix="0" xfId="0">
      <alignment vertical="center"/>
      <protection locked="0" hidden="0"/>
    </xf>
    <xf numFmtId="0" fontId="5" fillId="2" borderId="74" applyAlignment="1" applyProtection="1" pivotButton="0" quotePrefix="0" xfId="0">
      <alignment horizontal="centerContinuous" vertical="center"/>
      <protection locked="0" hidden="0"/>
    </xf>
    <xf numFmtId="0" fontId="8" fillId="4" borderId="74" applyAlignment="1" applyProtection="1" pivotButton="0" quotePrefix="0" xfId="315">
      <alignment vertical="center"/>
      <protection locked="0" hidden="0"/>
    </xf>
    <xf numFmtId="0" fontId="8" fillId="4" borderId="74" applyAlignment="1" applyProtection="1" pivotButton="0" quotePrefix="0" xfId="0">
      <alignment vertical="center"/>
      <protection locked="0" hidden="0"/>
    </xf>
    <xf numFmtId="0" fontId="2" fillId="0" borderId="75" applyAlignment="1" applyProtection="1" pivotButton="0" quotePrefix="0" xfId="0">
      <alignment vertical="center" wrapText="1"/>
      <protection locked="0" hidden="0"/>
    </xf>
    <xf numFmtId="0" fontId="14" fillId="0" borderId="75" applyAlignment="1" applyProtection="1" pivotButton="0" quotePrefix="0" xfId="0">
      <alignment vertical="center" wrapText="1"/>
      <protection locked="0" hidden="0"/>
    </xf>
    <xf numFmtId="0" fontId="20" fillId="6" borderId="0" applyAlignment="1" applyProtection="1" pivotButton="0" quotePrefix="0" xfId="158">
      <alignment horizontal="left" vertical="center"/>
      <protection locked="0" hidden="0"/>
    </xf>
    <xf numFmtId="0" fontId="20" fillId="0" borderId="0" applyAlignment="1" pivotButton="0" quotePrefix="0" xfId="0">
      <alignment vertical="center"/>
    </xf>
    <xf numFmtId="0" fontId="9" fillId="6" borderId="0" pivotButton="0" quotePrefix="0" xfId="371"/>
    <xf numFmtId="0" fontId="15" fillId="6" borderId="0" applyAlignment="1" applyProtection="1" pivotButton="0" quotePrefix="0" xfId="0">
      <alignment horizontal="left" vertical="top" wrapText="1" indent="2"/>
      <protection locked="0" hidden="0"/>
    </xf>
    <xf numFmtId="0" fontId="2" fillId="6" borderId="0" applyAlignment="1" applyProtection="1" pivotButton="0" quotePrefix="0" xfId="133">
      <alignment vertical="center"/>
      <protection locked="0" hidden="0"/>
    </xf>
    <xf numFmtId="0" fontId="132" fillId="0" borderId="0" applyAlignment="1" applyProtection="1" pivotButton="0" quotePrefix="0" xfId="0">
      <alignment vertical="center"/>
      <protection locked="0" hidden="0"/>
    </xf>
    <xf numFmtId="0" fontId="11" fillId="0" borderId="30" applyAlignment="1" pivotButton="0" quotePrefix="0" xfId="0">
      <alignment horizontal="center" vertical="center"/>
    </xf>
    <xf numFmtId="0" fontId="17" fillId="0" borderId="76" applyAlignment="1" pivotButton="0" quotePrefix="0" xfId="0">
      <alignment vertical="center"/>
    </xf>
    <xf numFmtId="171" fontId="2" fillId="0" borderId="10" applyProtection="1" pivotButton="0" quotePrefix="0" xfId="1">
      <protection locked="0" hidden="0"/>
    </xf>
    <xf numFmtId="171" fontId="2" fillId="0" borderId="12" applyProtection="1" pivotButton="0" quotePrefix="0" xfId="1">
      <protection locked="0" hidden="0"/>
    </xf>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0" fontId="14" fillId="7" borderId="30" applyAlignment="1" pivotButton="0" quotePrefix="0" xfId="253">
      <alignment horizontal="center" vertical="center" wrapText="1"/>
    </xf>
    <xf numFmtId="0" fontId="16" fillId="7" borderId="14" applyAlignment="1" applyProtection="1" pivotButton="0" quotePrefix="0" xfId="0">
      <alignment vertical="center"/>
      <protection locked="0" hidden="0"/>
    </xf>
    <xf numFmtId="0" fontId="16" fillId="7" borderId="11" applyAlignment="1" applyProtection="1" pivotButton="0" quotePrefix="0" xfId="0">
      <alignment vertical="center"/>
      <protection locked="0" hidden="0"/>
    </xf>
    <xf numFmtId="0" fontId="11" fillId="7" borderId="11" applyAlignment="1" applyProtection="1" pivotButton="0" quotePrefix="0" xfId="0">
      <alignment vertical="center"/>
      <protection locked="0" hidden="0"/>
    </xf>
    <xf numFmtId="0" fontId="11" fillId="7" borderId="15" applyAlignment="1" applyProtection="1" pivotButton="0" quotePrefix="0" xfId="0">
      <alignment vertical="center"/>
      <protection locked="0" hidden="0"/>
    </xf>
    <xf numFmtId="0" fontId="15" fillId="6" borderId="0" applyAlignment="1" applyProtection="1" pivotButton="0" quotePrefix="0" xfId="0">
      <alignment horizontal="left" vertical="top" indent="2"/>
      <protection locked="0" hidden="0"/>
    </xf>
    <xf numFmtId="164" fontId="2" fillId="0" borderId="0" applyAlignment="1" pivotButton="0" quotePrefix="0" xfId="65">
      <alignment horizontal="right" vertical="center" shrinkToFit="1"/>
    </xf>
    <xf numFmtId="164" fontId="2" fillId="0" borderId="67" applyAlignment="1" pivotButton="0" quotePrefix="0" xfId="128">
      <alignment horizontal="right" vertical="center" shrinkToFit="1"/>
    </xf>
    <xf numFmtId="0" fontId="14" fillId="7" borderId="33" applyAlignment="1" applyProtection="1" pivotButton="0" quotePrefix="0" xfId="153">
      <alignment horizontal="center" vertical="center" wrapText="1"/>
      <protection locked="0" hidden="0"/>
    </xf>
    <xf numFmtId="0" fontId="16" fillId="4" borderId="13" applyAlignment="1" pivotButton="0" quotePrefix="0" xfId="0">
      <alignment horizontal="right" vertical="center"/>
    </xf>
    <xf numFmtId="43" fontId="17" fillId="0" borderId="72" applyAlignment="1" pivotButton="0" quotePrefix="0" xfId="253">
      <alignment horizontal="right" vertical="center"/>
    </xf>
    <xf numFmtId="0" fontId="2" fillId="6" borderId="0" pivotButton="0" quotePrefix="0" xfId="253"/>
    <xf numFmtId="0" fontId="14" fillId="6" borderId="0" pivotButton="0" quotePrefix="0" xfId="253"/>
    <xf numFmtId="0" fontId="19" fillId="4" borderId="1" applyAlignment="1" applyProtection="1" pivotButton="0" quotePrefix="0" xfId="315">
      <alignment vertical="center"/>
      <protection locked="0" hidden="0"/>
    </xf>
    <xf numFmtId="0" fontId="19" fillId="4" borderId="5" applyAlignment="1" applyProtection="1" pivotButton="0" quotePrefix="0" xfId="315">
      <alignment vertical="center"/>
      <protection locked="0" hidden="0"/>
    </xf>
    <xf numFmtId="0" fontId="18" fillId="6" borderId="0" pivotButton="0" quotePrefix="0" xfId="253"/>
    <xf numFmtId="0" fontId="18" fillId="6" borderId="0" applyAlignment="1" pivotButton="0" quotePrefix="0" xfId="138">
      <alignment horizontal="center" vertical="center" wrapText="1"/>
    </xf>
    <xf numFmtId="0" fontId="15" fillId="6" borderId="0" applyAlignment="1" pivotButton="0" quotePrefix="0" xfId="253">
      <alignment horizontal="center" vertical="center"/>
    </xf>
    <xf numFmtId="0" fontId="18" fillId="6" borderId="0" applyAlignment="1" pivotButton="0" quotePrefix="0" xfId="253">
      <alignment horizontal="center" vertical="center"/>
    </xf>
    <xf numFmtId="0" fontId="13" fillId="7" borderId="30" applyAlignment="1" pivotButton="0" quotePrefix="0" xfId="128">
      <alignment horizontal="center" vertical="center" wrapText="1"/>
    </xf>
    <xf numFmtId="0" fontId="13" fillId="7" borderId="30" applyAlignment="1" pivotButton="0" quotePrefix="0" xfId="143">
      <alignment horizontal="center" vertical="center" wrapText="1"/>
    </xf>
    <xf numFmtId="0" fontId="11" fillId="6" borderId="0" pivotButton="0" quotePrefix="0" xfId="253"/>
    <xf numFmtId="49" fontId="2" fillId="6" borderId="0" pivotButton="0" quotePrefix="0" xfId="253"/>
    <xf numFmtId="164" fontId="2" fillId="6" borderId="0" pivotButton="0" quotePrefix="0" xfId="253"/>
    <xf numFmtId="0" fontId="20" fillId="6" borderId="0" applyAlignment="1" applyProtection="1" pivotButton="0" quotePrefix="0" xfId="158">
      <alignment vertical="top" wrapText="1"/>
      <protection locked="0" hidden="0"/>
    </xf>
    <xf numFmtId="0" fontId="5" fillId="6" borderId="0" pivotButton="0" quotePrefix="0" xfId="253"/>
    <xf numFmtId="0" fontId="6" fillId="6" borderId="0" pivotButton="0" quotePrefix="0" xfId="253"/>
    <xf numFmtId="0" fontId="31" fillId="8" borderId="0" applyAlignment="1" applyProtection="1" pivotButton="0" quotePrefix="0" xfId="121">
      <alignment vertical="center"/>
      <protection locked="0" hidden="0"/>
    </xf>
    <xf numFmtId="0" fontId="6" fillId="6" borderId="0" applyAlignment="1" applyProtection="1" pivotButton="0" quotePrefix="0" xfId="315">
      <alignment vertical="center"/>
      <protection locked="0" hidden="0"/>
    </xf>
    <xf numFmtId="0" fontId="15" fillId="0" borderId="0" applyAlignment="1" applyProtection="1" pivotButton="0" quotePrefix="0" xfId="128">
      <alignment horizontal="left" vertical="center" wrapText="1"/>
      <protection locked="0" hidden="0"/>
    </xf>
    <xf numFmtId="0" fontId="15" fillId="0" borderId="0" applyAlignment="1" pivotButton="0" quotePrefix="0" xfId="128">
      <alignment horizontal="left" vertical="center" wrapText="1"/>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5" fillId="0" borderId="0" applyAlignment="1" pivotButton="0" quotePrefix="0" xfId="128">
      <alignment horizontal="left" vertical="center" shrinkToFit="1"/>
    </xf>
    <xf numFmtId="0" fontId="16" fillId="7" borderId="39" applyAlignment="1" applyProtection="1" pivotButton="0" quotePrefix="0" xfId="0">
      <alignment vertical="center"/>
      <protection locked="0" hidden="0"/>
    </xf>
    <xf numFmtId="43" fontId="17" fillId="0" borderId="33" applyAlignment="1" pivotButton="0" quotePrefix="0" xfId="1">
      <alignment horizontal="right" vertical="center"/>
    </xf>
    <xf numFmtId="43" fontId="14" fillId="9" borderId="74" applyAlignment="1" applyProtection="1" pivotButton="0" quotePrefix="0" xfId="0">
      <alignment vertical="center" wrapText="1"/>
      <protection locked="0" hidden="0"/>
    </xf>
    <xf numFmtId="0" fontId="17" fillId="0" borderId="73" applyAlignment="1" pivotButton="0" quotePrefix="0" xfId="0">
      <alignment horizontal="left"/>
    </xf>
    <xf numFmtId="0" fontId="17" fillId="0" borderId="48" applyAlignment="1" pivotButton="0" quotePrefix="0" xfId="0">
      <alignment horizontal="left"/>
    </xf>
    <xf numFmtId="43" fontId="17" fillId="6" borderId="46" applyAlignment="1" applyProtection="1" pivotButton="0" quotePrefix="0" xfId="0">
      <alignment horizontal="right" vertical="center"/>
      <protection locked="0" hidden="0"/>
    </xf>
    <xf numFmtId="0" fontId="17" fillId="6" borderId="71" applyAlignment="1" pivotButton="0" quotePrefix="0" xfId="127">
      <alignment horizontal="left" vertical="center"/>
    </xf>
    <xf numFmtId="0" fontId="17" fillId="6" borderId="75" applyAlignment="1" pivotButton="0" quotePrefix="0" xfId="127">
      <alignment horizontal="left" vertical="center"/>
    </xf>
    <xf numFmtId="43" fontId="17" fillId="0" borderId="74" applyAlignment="1" applyProtection="1" pivotButton="0" quotePrefix="0" xfId="0">
      <alignment horizontal="right" vertical="center" wrapText="1"/>
      <protection locked="0" hidden="0"/>
    </xf>
    <xf numFmtId="0" fontId="17" fillId="0" borderId="58" applyAlignment="1" applyProtection="1" pivotButton="0" quotePrefix="0" xfId="0">
      <alignment horizontal="left" vertical="center" wrapText="1"/>
      <protection locked="0" hidden="0"/>
    </xf>
    <xf numFmtId="0" fontId="17" fillId="0" borderId="73" applyAlignment="1" applyProtection="1" pivotButton="0" quotePrefix="0" xfId="0">
      <alignment horizontal="lef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17" fillId="0" borderId="48" applyAlignment="1" applyProtection="1" pivotButton="0" quotePrefix="0" xfId="0">
      <alignment horizontal="left" vertical="center" wrapText="1"/>
      <protection locked="0" hidden="0"/>
    </xf>
    <xf numFmtId="0" fontId="17" fillId="0" borderId="59" applyAlignment="1" applyProtection="1" pivotButton="0" quotePrefix="0" xfId="0">
      <alignment horizontal="left" vertical="center" wrapText="1"/>
      <protection locked="0" hidden="0"/>
    </xf>
    <xf numFmtId="0" fontId="17" fillId="0" borderId="73" applyAlignment="1" applyProtection="1" pivotButton="0" quotePrefix="0" xfId="0">
      <alignment horizontal="right" vertical="center" wrapText="1"/>
      <protection locked="0" hidden="0"/>
    </xf>
    <xf numFmtId="14" fontId="17" fillId="0" borderId="48" applyAlignment="1" applyProtection="1" pivotButton="0" quotePrefix="0" xfId="0">
      <alignment horizontal="right" vertical="center" wrapText="1"/>
      <protection locked="0" hidden="0"/>
    </xf>
    <xf numFmtId="43" fontId="17" fillId="6" borderId="34" applyAlignment="1" applyProtection="1" pivotButton="0" quotePrefix="0" xfId="0">
      <alignment horizontal="right" vertical="center"/>
      <protection locked="0" hidden="0"/>
    </xf>
    <xf numFmtId="169" fontId="17" fillId="5" borderId="0" applyAlignment="1" pivotButton="0" quotePrefix="0" xfId="0">
      <alignment horizontal="right" vertical="center"/>
    </xf>
    <xf numFmtId="0" fontId="7" fillId="3" borderId="42" applyAlignment="1" applyProtection="1" pivotButton="0" quotePrefix="0" xfId="0">
      <alignment horizontal="centerContinuous" vertical="center"/>
      <protection locked="0" hidden="0"/>
    </xf>
    <xf numFmtId="0" fontId="14" fillId="7" borderId="3" applyAlignment="1" applyProtection="1" pivotButton="0" quotePrefix="0" xfId="0">
      <alignment vertical="center"/>
      <protection locked="0" hidden="0"/>
    </xf>
    <xf numFmtId="0" fontId="2" fillId="7" borderId="3" applyAlignment="1" applyProtection="1" pivotButton="0" quotePrefix="0" xfId="0">
      <alignment vertical="center"/>
      <protection locked="0" hidden="0"/>
    </xf>
    <xf numFmtId="0" fontId="11" fillId="7" borderId="3" applyAlignment="1" applyProtection="1" pivotButton="0" quotePrefix="0" xfId="0">
      <alignment horizontal="center" vertical="center"/>
      <protection locked="0" hidden="0"/>
    </xf>
    <xf numFmtId="0" fontId="14" fillId="7" borderId="39" applyAlignment="1" applyProtection="1" pivotButton="0" quotePrefix="0" xfId="0">
      <alignment vertical="center"/>
      <protection locked="0" hidden="0"/>
    </xf>
    <xf numFmtId="0" fontId="2" fillId="7" borderId="39" applyAlignment="1" applyProtection="1" pivotButton="0" quotePrefix="0" xfId="0">
      <alignment vertical="center"/>
      <protection locked="0" hidden="0"/>
    </xf>
    <xf numFmtId="0" fontId="11" fillId="7" borderId="39" applyAlignment="1" applyProtection="1" pivotButton="0" quotePrefix="0" xfId="0">
      <alignment horizontal="center" vertical="center"/>
      <protection locked="0" hidden="0"/>
    </xf>
    <xf numFmtId="0" fontId="2" fillId="7" borderId="39" applyAlignment="1" pivotButton="0" quotePrefix="0" xfId="127">
      <alignment vertical="center"/>
    </xf>
    <xf numFmtId="0" fontId="16" fillId="7" borderId="39" applyAlignment="1" applyProtection="1" pivotButton="0" quotePrefix="0" xfId="315">
      <alignment vertical="center"/>
      <protection locked="0" hidden="0"/>
    </xf>
    <xf numFmtId="0" fontId="14" fillId="7" borderId="39" applyAlignment="1" applyProtection="1" pivotButton="0" quotePrefix="0" xfId="315">
      <alignment vertical="center"/>
      <protection locked="0" hidden="0"/>
    </xf>
    <xf numFmtId="0" fontId="14" fillId="7" borderId="39" pivotButton="0" quotePrefix="0" xfId="253"/>
    <xf numFmtId="0" fontId="2" fillId="7" borderId="39" applyAlignment="1" pivotButton="0" quotePrefix="0" xfId="0">
      <alignment vertical="top" wrapText="1"/>
    </xf>
    <xf numFmtId="0" fontId="2" fillId="7" borderId="39" applyAlignment="1" applyProtection="1" pivotButton="0" quotePrefix="0" xfId="247">
      <alignment horizontal="center" vertical="center"/>
      <protection locked="0" hidden="0"/>
    </xf>
    <xf numFmtId="0" fontId="17" fillId="7" borderId="39" applyAlignment="1" pivotButton="0" quotePrefix="0" xfId="0">
      <alignment vertical="center"/>
    </xf>
    <xf numFmtId="0" fontId="5" fillId="2" borderId="34" applyAlignment="1" applyProtection="1" pivotButton="0" quotePrefix="0" xfId="247">
      <alignment horizontal="centerContinuous" vertical="center"/>
      <protection locked="0" hidden="0"/>
    </xf>
    <xf numFmtId="0" fontId="123" fillId="2" borderId="35" applyAlignment="1" applyProtection="1" pivotButton="0" quotePrefix="0" xfId="247">
      <alignment horizontal="centerContinuous" vertical="center"/>
      <protection locked="0" hidden="0"/>
    </xf>
    <xf numFmtId="0" fontId="2" fillId="2" borderId="35" applyAlignment="1" applyProtection="1" pivotButton="0" quotePrefix="0" xfId="247">
      <alignment horizontal="centerContinuous" vertical="center"/>
      <protection locked="0" hidden="0"/>
    </xf>
    <xf numFmtId="0" fontId="124" fillId="3" borderId="42" applyAlignment="1" applyProtection="1" pivotButton="0" quotePrefix="0" xfId="247">
      <alignment horizontal="center" vertical="center"/>
      <protection locked="0" hidden="0"/>
    </xf>
    <xf numFmtId="0" fontId="8" fillId="4" borderId="76" applyAlignment="1" applyProtection="1" pivotButton="0" quotePrefix="0" xfId="247">
      <alignment vertical="center"/>
      <protection locked="0" hidden="0"/>
    </xf>
    <xf numFmtId="0" fontId="19" fillId="4" borderId="70" applyAlignment="1" applyProtection="1" pivotButton="0" quotePrefix="0" xfId="247">
      <alignment vertical="center"/>
      <protection locked="0" hidden="0"/>
    </xf>
    <xf numFmtId="0" fontId="123" fillId="0" borderId="0" applyAlignment="1" applyProtection="1" pivotButton="0" quotePrefix="0" xfId="247">
      <alignment vertical="center"/>
      <protection locked="0" hidden="0"/>
    </xf>
    <xf numFmtId="49" fontId="10" fillId="0" borderId="0" applyAlignment="1" applyProtection="1" pivotButton="0" quotePrefix="0" xfId="128">
      <alignment horizontal="center" wrapText="1"/>
      <protection locked="0" hidden="0"/>
    </xf>
    <xf numFmtId="169" fontId="10" fillId="0" borderId="0" applyAlignment="1" pivotButton="0" quotePrefix="0" xfId="128">
      <alignment horizontal="right" vertical="center"/>
    </xf>
    <xf numFmtId="0" fontId="138" fillId="0" borderId="0" applyAlignment="1" applyProtection="1" pivotButton="0" quotePrefix="0" xfId="133">
      <alignment horizontal="center" vertical="center"/>
      <protection locked="0" hidden="0"/>
    </xf>
    <xf numFmtId="0" fontId="18" fillId="0" borderId="0" applyAlignment="1" applyProtection="1" pivotButton="0" quotePrefix="0" xfId="128">
      <alignment horizontal="left" vertical="center" indent="1"/>
      <protection locked="0" hidden="0"/>
    </xf>
    <xf numFmtId="0" fontId="16" fillId="6" borderId="0" applyAlignment="1" applyProtection="1" pivotButton="0" quotePrefix="0" xfId="0">
      <alignment vertical="center"/>
      <protection locked="0" hidden="0"/>
    </xf>
    <xf numFmtId="0" fontId="19" fillId="58" borderId="0" applyAlignment="1" pivotButton="0" quotePrefix="0" xfId="0">
      <alignment horizontal="center" vertical="center" wrapText="1"/>
    </xf>
    <xf numFmtId="0" fontId="15" fillId="6" borderId="0" applyAlignment="1" applyProtection="1" pivotButton="0" quotePrefix="0" xfId="133">
      <alignment vertical="center"/>
      <protection locked="0" hidden="0"/>
    </xf>
    <xf numFmtId="0" fontId="2" fillId="6" borderId="0" applyAlignment="1" pivotButton="0" quotePrefix="0" xfId="0">
      <alignment vertical="top" wrapText="1"/>
    </xf>
    <xf numFmtId="0" fontId="14" fillId="6" borderId="0" applyAlignment="1" pivotButton="0" quotePrefix="0" xfId="253">
      <alignment vertical="center"/>
    </xf>
    <xf numFmtId="49" fontId="15" fillId="6" borderId="30" applyAlignment="1" pivotButton="0" quotePrefix="0" xfId="253">
      <alignment horizontal="left" vertical="center" wrapText="1"/>
    </xf>
    <xf numFmtId="43" fontId="2" fillId="6" borderId="30" applyAlignment="1" pivotButton="0" quotePrefix="0" xfId="253">
      <alignment horizontal="right" vertical="center"/>
    </xf>
    <xf numFmtId="0" fontId="2" fillId="6" borderId="0" applyAlignment="1" pivotButton="0" quotePrefix="0" xfId="253">
      <alignment vertical="center"/>
    </xf>
    <xf numFmtId="0" fontId="14" fillId="6" borderId="0" applyAlignment="1" pivotButton="0" quotePrefix="0" xfId="253">
      <alignment horizontal="center" vertical="center"/>
    </xf>
    <xf numFmtId="49" fontId="15" fillId="6" borderId="30" applyAlignment="1" pivotButton="0" quotePrefix="0" xfId="127">
      <alignment horizontal="left" vertical="center" wrapText="1"/>
    </xf>
    <xf numFmtId="0" fontId="15" fillId="6" borderId="30" applyAlignment="1" applyProtection="1" pivotButton="0" quotePrefix="0" xfId="133">
      <alignment horizontal="left" vertical="center" wrapText="1"/>
      <protection locked="0" hidden="0"/>
    </xf>
    <xf numFmtId="0" fontId="17" fillId="6" borderId="30" applyAlignment="1" pivotButton="0" quotePrefix="0" xfId="138">
      <alignment horizontal="left" vertical="center" wrapText="1"/>
    </xf>
    <xf numFmtId="0" fontId="2" fillId="0" borderId="0" applyAlignment="1" applyProtection="1" pivotButton="0" quotePrefix="0" xfId="127">
      <alignment vertical="center"/>
      <protection locked="0" hidden="0"/>
    </xf>
    <xf numFmtId="0" fontId="9" fillId="0" borderId="0" pivotButton="0" quotePrefix="0" xfId="371"/>
    <xf numFmtId="0" fontId="16" fillId="0" borderId="0" applyAlignment="1" applyProtection="1" pivotButton="0" quotePrefix="0" xfId="0">
      <alignment vertical="center"/>
      <protection locked="0" hidden="0"/>
    </xf>
    <xf numFmtId="0" fontId="17" fillId="0" borderId="77" applyAlignment="1" pivotButton="0" quotePrefix="0" xfId="0">
      <alignment horizontal="left" vertical="center"/>
    </xf>
    <xf numFmtId="0" fontId="19" fillId="59" borderId="77" applyAlignment="1" applyProtection="1" pivotButton="0" quotePrefix="0" xfId="260">
      <alignment horizontal="center" vertical="center" wrapText="1"/>
      <protection locked="0" hidden="0"/>
    </xf>
    <xf numFmtId="0" fontId="19" fillId="60" borderId="77" applyAlignment="1" pivotButton="0" quotePrefix="0" xfId="0">
      <alignment horizontal="center" vertical="center" wrapText="1"/>
    </xf>
    <xf numFmtId="0" fontId="11" fillId="60" borderId="77" applyAlignment="1" pivotButton="0" quotePrefix="0" xfId="0">
      <alignment horizontal="center" vertical="center" wrapText="1"/>
    </xf>
    <xf numFmtId="0" fontId="19" fillId="7" borderId="77" applyAlignment="1" applyProtection="1" pivotButton="0" quotePrefix="0" xfId="260">
      <alignment horizontal="center" vertical="center" wrapText="1"/>
      <protection locked="0" hidden="0"/>
    </xf>
    <xf numFmtId="0" fontId="19" fillId="57" borderId="77" applyAlignment="1" pivotButton="0" quotePrefix="0" xfId="0">
      <alignment horizontal="center" vertical="center" wrapText="1"/>
    </xf>
    <xf numFmtId="0" fontId="16" fillId="7" borderId="77" applyAlignment="1" pivotButton="0" quotePrefix="0" xfId="0">
      <alignment horizontal="center" vertical="center" wrapText="1"/>
    </xf>
    <xf numFmtId="0" fontId="15" fillId="0" borderId="77" applyAlignment="1" pivotButton="0" quotePrefix="0" xfId="128">
      <alignment horizontal="left" vertical="center" wrapText="1"/>
    </xf>
    <xf numFmtId="0" fontId="15" fillId="0" borderId="77" applyAlignment="1" applyProtection="1" pivotButton="0" quotePrefix="0" xfId="133">
      <alignment vertical="center"/>
      <protection locked="0" hidden="0"/>
    </xf>
    <xf numFmtId="43" fontId="17" fillId="0" borderId="77" applyAlignment="1" applyProtection="1" pivotButton="0" quotePrefix="0" xfId="0">
      <alignment horizontal="right" vertical="center" wrapText="1"/>
      <protection locked="0" hidden="0"/>
    </xf>
    <xf numFmtId="43" fontId="14" fillId="9" borderId="77" applyAlignment="1" applyProtection="1" pivotButton="0" quotePrefix="0" xfId="0">
      <alignment vertical="center" wrapText="1"/>
      <protection locked="0" hidden="0"/>
    </xf>
    <xf numFmtId="0" fontId="124" fillId="3" borderId="36" applyAlignment="1" applyProtection="1" pivotButton="0" quotePrefix="0" xfId="247">
      <alignment horizontal="centerContinuous" vertical="center"/>
      <protection locked="0" hidden="0"/>
    </xf>
    <xf numFmtId="0" fontId="19" fillId="4" borderId="55" applyAlignment="1" applyProtection="1" pivotButton="0" quotePrefix="0" xfId="247">
      <alignment vertical="center"/>
      <protection locked="0" hidden="0"/>
    </xf>
    <xf numFmtId="43" fontId="15" fillId="0" borderId="0" applyAlignment="1" applyProtection="1" pivotButton="0" quotePrefix="0" xfId="1">
      <alignment horizontal="left" vertical="center" shrinkToFit="1"/>
      <protection locked="0" hidden="0"/>
    </xf>
    <xf numFmtId="0" fontId="11" fillId="0" borderId="0" applyAlignment="1" applyProtection="1" pivotButton="0" quotePrefix="0" xfId="260">
      <alignment horizontal="center" vertical="center"/>
      <protection locked="0" hidden="0"/>
    </xf>
    <xf numFmtId="0" fontId="16" fillId="0" borderId="0" applyAlignment="1" applyProtection="1" pivotButton="0" quotePrefix="0" xfId="260">
      <alignment horizontal="center" vertical="center"/>
      <protection locked="0" hidden="0"/>
    </xf>
    <xf numFmtId="0" fontId="11" fillId="0" borderId="0" applyAlignment="1" pivotButton="0" quotePrefix="0" xfId="0">
      <alignment horizontal="left" wrapText="1"/>
    </xf>
    <xf numFmtId="0" fontId="144" fillId="0" borderId="30" applyAlignment="1" pivotButton="0" quotePrefix="0" xfId="371">
      <alignment horizontal="center" vertical="center" wrapText="1"/>
    </xf>
    <xf numFmtId="0" fontId="144" fillId="0" borderId="30" applyAlignment="1" pivotButton="0" quotePrefix="0" xfId="371">
      <alignment horizontal="center" vertical="center" wrapText="1"/>
    </xf>
    <xf numFmtId="0" fontId="144" fillId="0" borderId="30" applyAlignment="1" pivotButton="0" quotePrefix="1" xfId="371">
      <alignment horizontal="center" vertical="center" wrapText="1"/>
    </xf>
    <xf numFmtId="0" fontId="15" fillId="0" borderId="0" pivotButton="0" quotePrefix="0" xfId="371"/>
    <xf numFmtId="0" fontId="14" fillId="7" borderId="32" applyAlignment="1" pivotButton="0" quotePrefix="0" xfId="253">
      <alignment horizontal="center" vertical="center" wrapText="1"/>
    </xf>
    <xf numFmtId="0" fontId="14" fillId="7" borderId="33" applyAlignment="1" pivotButton="0" quotePrefix="0" xfId="253">
      <alignment horizontal="center" vertical="center" wrapText="1"/>
    </xf>
    <xf numFmtId="0" fontId="14" fillId="7" borderId="63" applyAlignment="1" pivotButton="0" quotePrefix="0" xfId="253">
      <alignment horizontal="center" vertical="center" wrapText="1"/>
    </xf>
    <xf numFmtId="0" fontId="138" fillId="6" borderId="0" applyAlignment="1" applyProtection="1" pivotButton="0" quotePrefix="0" xfId="158">
      <alignment horizontal="left" vertical="center"/>
      <protection locked="0" hidden="0"/>
    </xf>
    <xf numFmtId="0" fontId="11" fillId="0" borderId="0" applyAlignment="1" applyProtection="1" pivotButton="0" quotePrefix="0" xfId="0">
      <alignment horizontal="left" vertical="center"/>
      <protection locked="0" hidden="0"/>
    </xf>
    <xf numFmtId="0" fontId="19" fillId="57" borderId="30" applyAlignment="1" pivotButton="0" quotePrefix="0" xfId="0">
      <alignment horizontal="center" vertical="center" wrapText="1"/>
    </xf>
    <xf numFmtId="0" fontId="2" fillId="0" borderId="0" applyAlignment="1" pivotButton="0" quotePrefix="0" xfId="247">
      <alignment horizontal="center" vertical="center"/>
    </xf>
    <xf numFmtId="0" fontId="16" fillId="13" borderId="30" applyAlignment="1" pivotButton="0" quotePrefix="0" xfId="136">
      <alignment horizontal="center" vertical="center" wrapText="1"/>
    </xf>
    <xf numFmtId="0" fontId="16" fillId="55" borderId="30" applyAlignment="1" applyProtection="1" pivotButton="0" quotePrefix="0" xfId="0">
      <alignment horizontal="center" vertical="center" wrapText="1"/>
      <protection locked="0" hidden="0"/>
    </xf>
    <xf numFmtId="9" fontId="15" fillId="0" borderId="48" applyAlignment="1" applyProtection="1" pivotButton="0" quotePrefix="0" xfId="133">
      <alignment vertical="center"/>
      <protection locked="0" hidden="0"/>
    </xf>
    <xf numFmtId="0" fontId="15" fillId="0" borderId="24" applyAlignment="1" applyProtection="1" pivotButton="0" quotePrefix="0" xfId="260">
      <alignment horizontal="left" vertical="center"/>
      <protection locked="0" hidden="0"/>
    </xf>
    <xf numFmtId="0" fontId="15" fillId="0" borderId="77" applyAlignment="1" applyProtection="1" pivotButton="0" quotePrefix="0" xfId="128">
      <alignment horizontal="left" vertical="center" wrapText="1"/>
      <protection locked="0" hidden="0"/>
    </xf>
    <xf numFmtId="49" fontId="15" fillId="0" borderId="77" applyAlignment="1" pivotButton="0" quotePrefix="0" xfId="128">
      <alignment horizontal="left" vertical="center" wrapText="1"/>
    </xf>
    <xf numFmtId="0" fontId="15" fillId="0" borderId="30" applyAlignment="1" pivotButton="0" quotePrefix="0" xfId="138">
      <alignment horizontal="left" vertical="center" wrapText="1"/>
    </xf>
    <xf numFmtId="49" fontId="15" fillId="0" borderId="30" applyAlignment="1" pivotButton="0" quotePrefix="0" xfId="138">
      <alignment horizontal="left" vertical="center" wrapText="1"/>
    </xf>
    <xf numFmtId="49" fontId="15" fillId="0" borderId="30" applyAlignment="1" pivotButton="0" quotePrefix="0" xfId="253">
      <alignment horizontal="left" vertical="center" wrapText="1"/>
    </xf>
    <xf numFmtId="49" fontId="15" fillId="0" borderId="30" applyAlignment="1" pivotButton="0" quotePrefix="0" xfId="253">
      <alignment horizontal="left" vertical="center"/>
    </xf>
    <xf numFmtId="0" fontId="17" fillId="0" borderId="30" applyAlignment="1" pivotButton="0" quotePrefix="0" xfId="138">
      <alignment horizontal="left" vertical="center" wrapText="1"/>
    </xf>
    <xf numFmtId="43" fontId="17" fillId="0" borderId="30" applyAlignment="1" pivotButton="0" quotePrefix="0" xfId="138">
      <alignment horizontal="right" vertical="center"/>
    </xf>
    <xf numFmtId="0" fontId="15" fillId="0" borderId="30" applyAlignment="1" pivotButton="0" quotePrefix="0" xfId="128">
      <alignment horizontal="left" vertical="center" wrapText="1"/>
    </xf>
    <xf numFmtId="0" fontId="15" fillId="0" borderId="30" applyAlignment="1" pivotButton="0" quotePrefix="0" xfId="98">
      <alignment horizontal="left" vertical="center" wrapText="1"/>
    </xf>
    <xf numFmtId="0" fontId="15" fillId="0" borderId="30" applyAlignment="1" applyProtection="1" pivotButton="0" quotePrefix="0" xfId="157">
      <alignment horizontal="left" vertical="center" wrapText="1"/>
      <protection locked="0" hidden="0"/>
    </xf>
    <xf numFmtId="0" fontId="15" fillId="0" borderId="32" applyAlignment="1" applyProtection="1" pivotButton="0" quotePrefix="0" xfId="157">
      <alignment horizontal="left" vertical="center" wrapText="1"/>
      <protection locked="0" hidden="0"/>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0" fontId="15" fillId="0" borderId="58" applyAlignment="1" applyProtection="1" pivotButton="0" quotePrefix="0" xfId="133">
      <alignment horizontal="left" vertical="center"/>
      <protection locked="0" hidden="0"/>
    </xf>
    <xf numFmtId="0" fontId="15" fillId="0" borderId="71" applyAlignment="1" applyProtection="1" pivotButton="0" quotePrefix="0" xfId="128">
      <alignment horizontal="left" vertical="center" wrapTex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0" fontId="15" fillId="0" borderId="77" applyAlignment="1" applyProtection="1" pivotButton="0" quotePrefix="0" xfId="133">
      <alignment horizontal="left" vertical="center"/>
      <protection locked="0" hidden="0"/>
    </xf>
    <xf numFmtId="0" fontId="17" fillId="0" borderId="71" applyAlignment="1" pivotButton="0" quotePrefix="0" xfId="0">
      <alignment horizontal="left"/>
    </xf>
    <xf numFmtId="0" fontId="17" fillId="0" borderId="77" applyAlignment="1" pivotButton="0" quotePrefix="0" xfId="0">
      <alignment horizontal="left"/>
    </xf>
    <xf numFmtId="14" fontId="17" fillId="0" borderId="77" applyAlignment="1" pivotButton="0" quotePrefix="0" xfId="0">
      <alignment horizontal="left"/>
    </xf>
    <xf numFmtId="0" fontId="17" fillId="0" borderId="74" applyAlignment="1" pivotButton="0" quotePrefix="0" xfId="0">
      <alignment horizontal="left"/>
    </xf>
    <xf numFmtId="0" fontId="17" fillId="0" borderId="75" applyAlignment="1" pivotButton="0" quotePrefix="0" xfId="0">
      <alignment horizontal="left"/>
    </xf>
    <xf numFmtId="0" fontId="17" fillId="0" borderId="53" applyAlignment="1" pivotButton="0" quotePrefix="0" xfId="0">
      <alignment horizontal="left"/>
    </xf>
    <xf numFmtId="14" fontId="17" fillId="0" borderId="53" applyAlignment="1" pivotButton="0" quotePrefix="0" xfId="0">
      <alignment horizontal="left"/>
    </xf>
    <xf numFmtId="0" fontId="17" fillId="0" borderId="54" applyAlignment="1" pivotButton="0" quotePrefix="0" xfId="0">
      <alignment horizontal="left"/>
    </xf>
    <xf numFmtId="0" fontId="17" fillId="0" borderId="71" applyAlignment="1" applyProtection="1" pivotButton="0" quotePrefix="0" xfId="0">
      <alignment horizontal="left" vertical="center" wrapText="1"/>
      <protection locked="0" hidden="0"/>
    </xf>
    <xf numFmtId="0" fontId="17" fillId="0" borderId="5" applyAlignment="1" applyProtection="1" pivotButton="0" quotePrefix="0" xfId="0">
      <alignment horizontal="left" vertical="center" wrapText="1"/>
      <protection locked="0" hidden="0"/>
    </xf>
    <xf numFmtId="14" fontId="17" fillId="0" borderId="77" applyAlignment="1" pivotButton="0" quotePrefix="0" xfId="127">
      <alignment horizontal="left" vertical="center"/>
    </xf>
    <xf numFmtId="14" fontId="17" fillId="0" borderId="74" applyAlignment="1" pivotButton="0" quotePrefix="0" xfId="127">
      <alignment horizontal="left" vertical="center"/>
    </xf>
    <xf numFmtId="14" fontId="17" fillId="0" borderId="53" applyAlignment="1" pivotButton="0" quotePrefix="0" xfId="127">
      <alignment horizontal="left" vertical="center"/>
    </xf>
    <xf numFmtId="14" fontId="17" fillId="0" borderId="54" applyAlignment="1" pivotButton="0" quotePrefix="0" xfId="127">
      <alignment horizontal="left" vertical="center"/>
    </xf>
    <xf numFmtId="164" fontId="2" fillId="0" borderId="0" applyAlignment="1" pivotButton="0" quotePrefix="0" xfId="65">
      <alignment horizontal="right" vertical="center" shrinkToFit="1"/>
    </xf>
    <xf numFmtId="14" fontId="17" fillId="0" borderId="77" applyAlignment="1" pivotButton="0" quotePrefix="0" xfId="0">
      <alignment horizontal="left" vertical="center"/>
    </xf>
    <xf numFmtId="14" fontId="17" fillId="0" borderId="53" applyAlignment="1" pivotButton="0" quotePrefix="0" xfId="0">
      <alignment horizontal="left" vertical="center"/>
    </xf>
    <xf numFmtId="0" fontId="123" fillId="2" borderId="24" applyAlignment="1" applyProtection="1" pivotButton="0" quotePrefix="0" xfId="247">
      <alignment horizontal="centerContinuous" vertical="center"/>
      <protection locked="0" hidden="0"/>
    </xf>
    <xf numFmtId="0" fontId="2" fillId="2"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 vertical="center"/>
      <protection locked="0" hidden="0"/>
    </xf>
    <xf numFmtId="0" fontId="8" fillId="4" borderId="74" applyAlignment="1" applyProtection="1" pivotButton="0" quotePrefix="0" xfId="247">
      <alignment vertical="center"/>
      <protection locked="0" hidden="0"/>
    </xf>
    <xf numFmtId="0" fontId="19" fillId="4" borderId="1" applyAlignment="1" applyProtection="1" pivotButton="0" quotePrefix="0" xfId="247">
      <alignment vertical="center"/>
      <protection locked="0" hidden="0"/>
    </xf>
    <xf numFmtId="0" fontId="19" fillId="4" borderId="1" applyAlignment="1" applyProtection="1" pivotButton="0" quotePrefix="0" xfId="247">
      <alignment horizontal="center" vertical="center"/>
      <protection locked="0" hidden="0"/>
    </xf>
    <xf numFmtId="0" fontId="19" fillId="4" borderId="5" applyAlignment="1" applyProtection="1" pivotButton="0" quotePrefix="0" xfId="247">
      <alignment horizontal="center" vertical="center"/>
      <protection locked="0" hidden="0"/>
    </xf>
    <xf numFmtId="0" fontId="7" fillId="0" borderId="0" applyAlignment="1" applyProtection="1" pivotButton="0" quotePrefix="0" xfId="0">
      <alignment horizontal="centerContinuous" vertical="center"/>
      <protection locked="0" hidden="0"/>
    </xf>
    <xf numFmtId="0" fontId="8" fillId="0" borderId="0" applyAlignment="1" applyProtection="1" pivotButton="0" quotePrefix="0" xfId="0">
      <alignment vertical="center"/>
      <protection locked="0" hidden="0"/>
    </xf>
    <xf numFmtId="0" fontId="12" fillId="0" borderId="0" applyAlignment="1" pivotButton="0" quotePrefix="0" xfId="127">
      <alignment vertical="center"/>
    </xf>
    <xf numFmtId="0" fontId="5" fillId="2" borderId="41" applyAlignment="1" applyProtection="1" pivotButton="0" quotePrefix="0" xfId="0">
      <alignment horizontal="centerContinuous" vertical="center"/>
      <protection locked="0" hidden="0"/>
    </xf>
    <xf numFmtId="0" fontId="6" fillId="2" borderId="24" applyAlignment="1" applyProtection="1" pivotButton="0" quotePrefix="0" xfId="0">
      <alignment horizontal="centerContinuous" vertical="center"/>
      <protection locked="0" hidden="0"/>
    </xf>
    <xf numFmtId="0" fontId="7" fillId="3" borderId="24" applyAlignment="1" applyProtection="1" pivotButton="0" quotePrefix="0" xfId="0">
      <alignment horizontal="centerContinuous" vertical="center"/>
      <protection locked="0" hidden="0"/>
    </xf>
    <xf numFmtId="0" fontId="7" fillId="3" borderId="50" applyAlignment="1" applyProtection="1" pivotButton="0" quotePrefix="0" xfId="0">
      <alignment horizontal="centerContinuous" vertical="center"/>
      <protection locked="0" hidden="0"/>
    </xf>
    <xf numFmtId="0" fontId="15" fillId="0" borderId="0" applyAlignment="1" pivotButton="0" quotePrefix="0" xfId="139">
      <alignment horizontal="left" vertical="center" shrinkToFit="1"/>
    </xf>
    <xf numFmtId="0" fontId="15" fillId="0" borderId="0" applyAlignment="1" pivotButton="0" quotePrefix="0" xfId="259">
      <alignment horizontal="left" vertical="center" shrinkToFit="1"/>
    </xf>
    <xf numFmtId="164" fontId="15" fillId="0" borderId="0" applyAlignment="1" pivotButton="0" quotePrefix="0" xfId="1">
      <alignment horizontal="right" vertical="center" shrinkToFit="1"/>
    </xf>
    <xf numFmtId="164" fontId="15" fillId="0" borderId="0" applyAlignment="1" applyProtection="1" pivotButton="0" quotePrefix="0" xfId="260">
      <alignment horizontal="right" vertical="center" shrinkToFit="1"/>
      <protection locked="0" hidden="0"/>
    </xf>
    <xf numFmtId="0" fontId="15" fillId="6" borderId="0" applyAlignment="1" pivotButton="0" quotePrefix="0" xfId="2">
      <alignment horizontal="left" vertical="center" shrinkToFit="1"/>
    </xf>
    <xf numFmtId="0" fontId="15" fillId="0" borderId="0" applyAlignment="1" pivotButton="0" quotePrefix="0" xfId="0">
      <alignment horizontal="left" vertical="center" shrinkToFit="1"/>
    </xf>
    <xf numFmtId="0" fontId="15" fillId="0" borderId="0" applyAlignment="1" applyProtection="1" pivotButton="0" quotePrefix="0" xfId="260">
      <alignment horizontal="left" vertical="center" shrinkToFit="1"/>
      <protection locked="0" hidden="0"/>
    </xf>
    <xf numFmtId="0" fontId="2" fillId="0" borderId="0" applyAlignment="1" pivotButton="0" quotePrefix="0" xfId="0">
      <alignment horizontal="left" vertical="center" shrinkToFit="1"/>
    </xf>
    <xf numFmtId="0" fontId="16" fillId="7" borderId="34" applyAlignment="1" pivotButton="0" quotePrefix="0" xfId="0">
      <alignment horizontal="center" vertical="center" wrapText="1"/>
    </xf>
    <xf numFmtId="0" fontId="11" fillId="7" borderId="16" applyAlignment="1" pivotButton="0" quotePrefix="0" xfId="0">
      <alignment vertical="center"/>
    </xf>
    <xf numFmtId="0" fontId="11" fillId="7" borderId="12" applyAlignment="1" pivotButton="0" quotePrefix="0" xfId="0">
      <alignment horizontal="center" vertical="center" wrapText="1"/>
    </xf>
    <xf numFmtId="0" fontId="2" fillId="7" borderId="16" applyAlignment="1" pivotButton="0" quotePrefix="0" xfId="0">
      <alignment vertical="center" wrapText="1"/>
    </xf>
    <xf numFmtId="0" fontId="16" fillId="7" borderId="12" applyAlignment="1" pivotButton="0" quotePrefix="0" xfId="0">
      <alignment horizontal="center" vertical="center" wrapText="1"/>
    </xf>
    <xf numFmtId="0" fontId="10" fillId="7" borderId="16" applyAlignment="1" applyProtection="1" pivotButton="0" quotePrefix="0" xfId="260">
      <alignment vertical="center" wrapText="1"/>
      <protection locked="0" hidden="0"/>
    </xf>
    <xf numFmtId="0" fontId="16" fillId="7" borderId="68" applyAlignment="1" pivotButton="0" quotePrefix="0" xfId="0">
      <alignment horizontal="center" vertical="center" wrapText="1"/>
    </xf>
    <xf numFmtId="0" fontId="17" fillId="7" borderId="16" applyAlignment="1" applyProtection="1" pivotButton="0" quotePrefix="0" xfId="260">
      <alignment vertical="center" wrapText="1"/>
      <protection locked="0" hidden="0"/>
    </xf>
    <xf numFmtId="14" fontId="16" fillId="7" borderId="32" applyAlignment="1" applyProtection="1" pivotButton="0" quotePrefix="0" xfId="0">
      <alignment horizontal="center" vertical="center"/>
      <protection locked="0" hidden="0"/>
    </xf>
    <xf numFmtId="0" fontId="11" fillId="0" borderId="0" applyAlignment="1" pivotButton="0" quotePrefix="0" xfId="2">
      <alignment horizontal="left" vertical="center" shrinkToFit="1"/>
    </xf>
    <xf numFmtId="0" fontId="29" fillId="0" borderId="0" applyAlignment="1" applyProtection="1" pivotButton="0" quotePrefix="0" xfId="0">
      <alignment horizontal="center" vertical="center"/>
      <protection locked="0" hidden="0"/>
    </xf>
    <xf numFmtId="169" fontId="2" fillId="0" borderId="78" applyAlignment="1" applyProtection="1" pivotButton="0" quotePrefix="0" xfId="260">
      <alignment horizontal="right" vertical="center" shrinkToFit="1"/>
      <protection locked="0" hidden="0"/>
    </xf>
    <xf numFmtId="0" fontId="149" fillId="0" borderId="33" applyAlignment="1" pivotButton="0" quotePrefix="0" xfId="0">
      <alignment horizontal="left" vertical="center" indent="1"/>
    </xf>
    <xf numFmtId="0" fontId="19" fillId="0" borderId="25" applyAlignment="1" pivotButton="0" quotePrefix="0" xfId="0">
      <alignment horizontal="left" vertical="top"/>
    </xf>
    <xf numFmtId="0" fontId="15" fillId="6" borderId="25" applyAlignment="1" applyProtection="1" pivotButton="0" quotePrefix="0" xfId="0">
      <alignment horizontal="left" vertical="top" indent="2"/>
      <protection locked="0" hidden="0"/>
    </xf>
    <xf numFmtId="0" fontId="15" fillId="6" borderId="68" applyAlignment="1" applyProtection="1" pivotButton="0" quotePrefix="0" xfId="0">
      <alignment horizontal="left" vertical="top" indent="2"/>
      <protection locked="0" hidden="0"/>
    </xf>
    <xf numFmtId="0" fontId="2" fillId="7" borderId="39" applyAlignment="1" applyProtection="1" pivotButton="0" quotePrefix="0" xfId="133">
      <alignment vertical="center"/>
      <protection locked="0" hidden="0"/>
    </xf>
    <xf numFmtId="0" fontId="14" fillId="7" borderId="39" applyAlignment="1" pivotButton="0" quotePrefix="0" xfId="0">
      <alignment horizontal="left" vertical="center"/>
    </xf>
    <xf numFmtId="0" fontId="9" fillId="0" borderId="0" applyAlignment="1" pivotButton="0" quotePrefix="0" xfId="371">
      <alignment vertical="center"/>
    </xf>
    <xf numFmtId="0" fontId="17" fillId="0" borderId="13" applyAlignment="1" applyProtection="1" pivotButton="0" quotePrefix="0" xfId="0">
      <alignment horizontal="left" vertical="center" indent="1"/>
      <protection locked="0" hidden="0"/>
    </xf>
    <xf numFmtId="0" fontId="15" fillId="0" borderId="31" applyAlignment="1" applyProtection="1" pivotButton="0" quotePrefix="0" xfId="0">
      <alignment vertical="center"/>
      <protection locked="0" hidden="0"/>
    </xf>
    <xf numFmtId="0" fontId="15" fillId="0" borderId="7" applyAlignment="1" applyProtection="1" pivotButton="0" quotePrefix="0" xfId="0">
      <alignment horizontal="left" vertical="center" indent="1"/>
      <protection locked="0" hidden="0"/>
    </xf>
    <xf numFmtId="0" fontId="15" fillId="0" borderId="3" applyAlignment="1" applyProtection="1" pivotButton="0" quotePrefix="0" xfId="0">
      <alignment vertical="center"/>
      <protection locked="0" hidden="0"/>
    </xf>
    <xf numFmtId="0" fontId="15" fillId="0" borderId="9" applyAlignment="1" applyProtection="1" pivotButton="0" quotePrefix="0" xfId="0">
      <alignment vertical="center"/>
      <protection locked="0" hidden="0"/>
    </xf>
    <xf numFmtId="0" fontId="17" fillId="0" borderId="0" applyAlignment="1" pivotButton="0" quotePrefix="0" xfId="0">
      <alignment vertical="center" wrapText="1"/>
    </xf>
    <xf numFmtId="0" fontId="152" fillId="2" borderId="41" applyAlignment="1" applyProtection="1" pivotButton="0" quotePrefix="0" xfId="247">
      <alignment vertical="center"/>
      <protection locked="0" hidden="0"/>
    </xf>
    <xf numFmtId="0" fontId="12" fillId="0" borderId="0" applyAlignment="1" applyProtection="1" pivotButton="0" quotePrefix="0" xfId="127">
      <alignment vertical="center"/>
      <protection locked="0" hidden="0"/>
    </xf>
    <xf numFmtId="0" fontId="2" fillId="0" borderId="0" applyAlignment="1" applyProtection="1" pivotButton="0" quotePrefix="0" xfId="127">
      <alignment horizontal="right" vertical="center"/>
      <protection locked="0" hidden="0"/>
    </xf>
    <xf numFmtId="0" fontId="15" fillId="0" borderId="0" applyAlignment="1" applyProtection="1" pivotButton="0" quotePrefix="0" xfId="121">
      <alignment vertical="center"/>
      <protection locked="0" hidden="0"/>
    </xf>
    <xf numFmtId="0" fontId="15" fillId="8" borderId="0" applyAlignment="1" applyProtection="1" pivotButton="0" quotePrefix="0" xfId="121">
      <alignment vertical="center"/>
      <protection locked="0" hidden="0"/>
    </xf>
    <xf numFmtId="0" fontId="5" fillId="2" borderId="74" applyAlignment="1" applyProtection="1" pivotButton="0" quotePrefix="0" xfId="315">
      <alignment horizontal="centerContinuous" vertical="center"/>
      <protection locked="0" hidden="0"/>
    </xf>
    <xf numFmtId="0" fontId="19" fillId="7" borderId="30" applyAlignment="1" pivotButton="0" quotePrefix="0" xfId="126">
      <alignment horizontal="center" vertical="center" wrapText="1"/>
    </xf>
    <xf numFmtId="0" fontId="19" fillId="7" borderId="30" applyAlignment="1" pivotButton="0" quotePrefix="0" xfId="0">
      <alignment horizontal="center" vertical="center" wrapText="1"/>
    </xf>
    <xf numFmtId="0" fontId="144" fillId="0" borderId="68" applyAlignment="1" pivotButton="0" quotePrefix="0" xfId="371">
      <alignment horizontal="center" vertical="center" wrapText="1"/>
    </xf>
    <xf numFmtId="0" fontId="16" fillId="13" borderId="30" applyAlignment="1" pivotButton="0" quotePrefix="0" xfId="247">
      <alignment horizontal="center" vertical="center"/>
    </xf>
    <xf numFmtId="0" fontId="16" fillId="13" borderId="30" applyAlignment="1" pivotButton="0" quotePrefix="0" xfId="247">
      <alignment horizontal="center" vertical="center" wrapText="1"/>
    </xf>
    <xf numFmtId="0" fontId="2" fillId="0" borderId="30" applyAlignment="1" pivotButton="0" quotePrefix="0" xfId="247">
      <alignment horizontal="center" vertical="center"/>
    </xf>
    <xf numFmtId="14" fontId="62" fillId="4" borderId="13" applyAlignment="1" pivotButton="0" quotePrefix="0" xfId="0">
      <alignment horizontal="right" vertical="center"/>
    </xf>
    <xf numFmtId="0" fontId="16" fillId="7" borderId="79" applyAlignment="1" pivotButton="0" quotePrefix="0" xfId="132">
      <alignment vertical="center"/>
    </xf>
    <xf numFmtId="169" fontId="15" fillId="0" borderId="52" applyAlignment="1" applyProtection="1" pivotButton="0" quotePrefix="0" xfId="1">
      <alignment vertical="center"/>
      <protection locked="0" hidden="0"/>
    </xf>
    <xf numFmtId="0" fontId="122" fillId="7" borderId="0" applyAlignment="1" pivotButton="0" quotePrefix="0" xfId="0">
      <alignment vertical="center"/>
    </xf>
    <xf numFmtId="0" fontId="2" fillId="0" borderId="0" applyAlignment="1" applyProtection="1" pivotButton="0" quotePrefix="0" xfId="0">
      <alignment horizontal="center" vertical="center"/>
      <protection locked="0" hidden="0"/>
    </xf>
    <xf numFmtId="0" fontId="16" fillId="7" borderId="77" applyAlignment="1" pivotButton="0" quotePrefix="0" xfId="0">
      <alignment horizontal="center" vertical="center"/>
    </xf>
    <xf numFmtId="0" fontId="16" fillId="7" borderId="16" applyAlignment="1" pivotButton="0" quotePrefix="0" xfId="0">
      <alignment horizontal="center" vertical="center"/>
    </xf>
    <xf numFmtId="0" fontId="153" fillId="0" borderId="0" applyAlignment="1" pivotButton="0" quotePrefix="0" xfId="0">
      <alignment horizontal="left" vertical="center"/>
    </xf>
    <xf numFmtId="14" fontId="16" fillId="4" borderId="13" applyAlignment="1" pivotButton="0" quotePrefix="0" xfId="0">
      <alignment horizontal="right" vertical="center"/>
    </xf>
    <xf numFmtId="168" fontId="16" fillId="4" borderId="13" applyAlignment="1" pivotButton="0" quotePrefix="0" xfId="0">
      <alignment horizontal="right" vertical="center"/>
    </xf>
    <xf numFmtId="10" fontId="15" fillId="0" borderId="0" applyAlignment="1" applyProtection="1" pivotButton="0" quotePrefix="0" xfId="2">
      <alignment vertical="center"/>
      <protection locked="0" hidden="0"/>
    </xf>
    <xf numFmtId="10" fontId="15" fillId="0" borderId="72" applyAlignment="1" applyProtection="1" pivotButton="0" quotePrefix="0" xfId="2">
      <alignment horizontal="right" vertical="center" shrinkToFit="1"/>
      <protection locked="0" hidden="0"/>
    </xf>
    <xf numFmtId="0" fontId="11" fillId="0" borderId="0" applyAlignment="1" applyProtection="1" pivotButton="0" quotePrefix="0" xfId="138">
      <alignment horizontal="center" vertical="center"/>
      <protection locked="0" hidden="0"/>
    </xf>
    <xf numFmtId="0" fontId="28" fillId="0" borderId="62" applyAlignment="1" pivotButton="0" quotePrefix="0" xfId="0">
      <alignment horizontal="left" vertical="center" wrapText="1"/>
    </xf>
    <xf numFmtId="0" fontId="15" fillId="0" borderId="0" applyAlignment="1" applyProtection="1" pivotButton="0" quotePrefix="0" xfId="128">
      <alignment horizontal="left" vertical="center"/>
      <protection locked="0" hidden="0"/>
    </xf>
    <xf numFmtId="0" fontId="15" fillId="0" borderId="77" applyAlignment="1" applyProtection="1" pivotButton="0" quotePrefix="0" xfId="128">
      <alignment horizontal="left" vertical="center"/>
      <protection locked="0" hidden="0"/>
    </xf>
    <xf numFmtId="0" fontId="15" fillId="0" borderId="77" applyAlignment="1" pivotButton="0" quotePrefix="0" xfId="128">
      <alignment horizontal="left" vertical="center"/>
    </xf>
    <xf numFmtId="0" fontId="15" fillId="8" borderId="0" applyAlignment="1" applyProtection="1" pivotButton="0" quotePrefix="0" xfId="247">
      <alignment horizontal="left" vertical="center"/>
      <protection locked="0" hidden="0"/>
    </xf>
    <xf numFmtId="168" fontId="15" fillId="0" borderId="77" applyAlignment="1" applyProtection="1" pivotButton="0" quotePrefix="0" xfId="128">
      <alignment horizontal="right" vertical="center"/>
      <protection locked="0" hidden="0"/>
    </xf>
    <xf numFmtId="0" fontId="12" fillId="0" borderId="0" applyAlignment="1" pivotButton="0" quotePrefix="0" xfId="143">
      <alignment horizontal="right" vertical="top" wrapText="1"/>
    </xf>
    <xf numFmtId="49" fontId="15" fillId="0" borderId="77" applyAlignment="1" pivotButton="0" quotePrefix="0" xfId="128">
      <alignment horizontal="left" vertical="center"/>
    </xf>
    <xf numFmtId="0" fontId="155" fillId="7" borderId="30" applyAlignment="1" pivotButton="0" quotePrefix="0" xfId="143">
      <alignment horizontal="left" vertical="center" wrapText="1"/>
    </xf>
    <xf numFmtId="0" fontId="14" fillId="0" borderId="0" pivotButton="0" quotePrefix="0" xfId="253"/>
    <xf numFmtId="0" fontId="2" fillId="0" borderId="0" pivotButton="0" quotePrefix="0" xfId="253"/>
    <xf numFmtId="0" fontId="14" fillId="0" borderId="0" applyAlignment="1" pivotButton="0" quotePrefix="0" xfId="253">
      <alignment vertical="center" wrapText="1"/>
    </xf>
    <xf numFmtId="0" fontId="138" fillId="0" borderId="0" applyAlignment="1" applyProtection="1" pivotButton="0" quotePrefix="0" xfId="128">
      <alignment horizontal="left" vertical="center"/>
      <protection locked="0" hidden="0"/>
    </xf>
    <xf numFmtId="0" fontId="138" fillId="0" borderId="0" applyAlignment="1" applyProtection="1" pivotButton="0" quotePrefix="0" xfId="128">
      <alignment horizontal="left" vertical="center" indent="1"/>
      <protection locked="0" hidden="0"/>
    </xf>
    <xf numFmtId="0" fontId="11" fillId="0" borderId="0" applyAlignment="1" applyProtection="1" pivotButton="0" quotePrefix="0" xfId="133">
      <alignment horizontal="left" vertical="center"/>
      <protection locked="0" hidden="0"/>
    </xf>
    <xf numFmtId="0" fontId="19" fillId="56" borderId="77" applyAlignment="1" pivotButton="0" quotePrefix="0" xfId="0">
      <alignment horizontal="center" vertical="center" wrapText="1"/>
    </xf>
    <xf numFmtId="0" fontId="15" fillId="0" borderId="0" applyAlignment="1" pivotButton="0" quotePrefix="0" xfId="371">
      <alignment vertical="center"/>
    </xf>
    <xf numFmtId="49" fontId="15" fillId="0" borderId="30" applyAlignment="1" pivotButton="0" quotePrefix="0" xfId="128">
      <alignment horizontal="left" vertical="center" wrapText="1"/>
    </xf>
    <xf numFmtId="49" fontId="15" fillId="0" borderId="30" applyAlignment="1" applyProtection="1" pivotButton="0" quotePrefix="0" xfId="157">
      <alignment horizontal="left" vertical="center" wrapText="1"/>
      <protection locked="0" hidden="0"/>
    </xf>
    <xf numFmtId="0" fontId="17" fillId="0" borderId="33" applyAlignment="1" pivotButton="0" quotePrefix="0" xfId="247">
      <alignment horizontal="center" vertical="center" wrapText="1"/>
    </xf>
    <xf numFmtId="0" fontId="126" fillId="7" borderId="30" applyAlignment="1" applyProtection="1" pivotButton="0" quotePrefix="0" xfId="153">
      <alignment horizontal="center" vertical="center" wrapText="1"/>
      <protection locked="0" hidden="0"/>
    </xf>
    <xf numFmtId="0" fontId="11" fillId="7" borderId="33" applyAlignment="1" applyProtection="1" pivotButton="0" quotePrefix="0" xfId="0">
      <alignment horizontal="centerContinuous" vertical="center" wrapText="1"/>
      <protection locked="0" hidden="0"/>
    </xf>
    <xf numFmtId="0" fontId="11" fillId="56" borderId="77" applyAlignment="1" pivotButton="0" quotePrefix="0" xfId="0">
      <alignment horizontal="center" vertical="center" wrapText="1"/>
    </xf>
    <xf numFmtId="0" fontId="11" fillId="0" borderId="0" pivotButton="0" quotePrefix="0" xfId="371"/>
    <xf numFmtId="0" fontId="2" fillId="0" borderId="0" applyAlignment="1" pivotButton="0" quotePrefix="0" xfId="0">
      <alignment horizontal="center" vertical="center"/>
    </xf>
    <xf numFmtId="0" fontId="11" fillId="7" borderId="56" applyAlignment="1" applyProtection="1" pivotButton="0" quotePrefix="0" xfId="0">
      <alignment vertical="center"/>
      <protection locked="0" hidden="0"/>
    </xf>
    <xf numFmtId="49" fontId="156" fillId="6" borderId="0" applyAlignment="1" pivotButton="0" quotePrefix="0" xfId="127">
      <alignment vertical="center"/>
    </xf>
    <xf numFmtId="0" fontId="120" fillId="6" borderId="0" applyAlignment="1" pivotButton="0" quotePrefix="0" xfId="127">
      <alignment vertical="center"/>
    </xf>
    <xf numFmtId="0" fontId="28" fillId="0" borderId="0" applyAlignment="1" applyProtection="1" pivotButton="0" quotePrefix="0" xfId="0">
      <alignment wrapText="1"/>
      <protection locked="0" hidden="0"/>
    </xf>
    <xf numFmtId="0" fontId="28" fillId="6" borderId="0" applyAlignment="1" pivotButton="0" quotePrefix="0" xfId="127">
      <alignment vertical="center"/>
    </xf>
    <xf numFmtId="0" fontId="28" fillId="0" borderId="0" applyAlignment="1" pivotButton="0" quotePrefix="0" xfId="127">
      <alignment vertical="center"/>
    </xf>
    <xf numFmtId="0" fontId="28" fillId="8" borderId="0" applyAlignment="1" pivotButton="0" quotePrefix="0" xfId="127">
      <alignment vertical="center"/>
    </xf>
    <xf numFmtId="0" fontId="17" fillId="0" borderId="77" applyAlignment="1" pivotButton="0" quotePrefix="0" xfId="127">
      <alignment vertical="center"/>
    </xf>
    <xf numFmtId="0" fontId="17" fillId="0" borderId="53" applyAlignment="1" pivotButton="0" quotePrefix="0" xfId="127">
      <alignment vertical="center"/>
    </xf>
    <xf numFmtId="49" fontId="17" fillId="0" borderId="77" applyAlignment="1" pivotButton="0" quotePrefix="0" xfId="0">
      <alignment horizontal="left"/>
    </xf>
    <xf numFmtId="49" fontId="17" fillId="0" borderId="53" applyAlignment="1" pivotButton="0" quotePrefix="0" xfId="0">
      <alignment horizontal="left"/>
    </xf>
    <xf numFmtId="14" fontId="17" fillId="0" borderId="75" applyAlignment="1" applyProtection="1" pivotButton="0" quotePrefix="0" xfId="0">
      <alignment horizontal="left" vertical="center"/>
      <protection locked="0" hidden="0"/>
    </xf>
    <xf numFmtId="12" fontId="19" fillId="7" borderId="14" applyAlignment="1" applyProtection="1" pivotButton="0" quotePrefix="0" xfId="128">
      <alignment horizontal="center" vertical="center" wrapText="1"/>
      <protection locked="0" hidden="0"/>
    </xf>
    <xf numFmtId="12" fontId="19" fillId="7" borderId="11" applyAlignment="1" applyProtection="1" pivotButton="0" quotePrefix="0" xfId="128">
      <alignment horizontal="center" vertical="center" wrapText="1"/>
      <protection locked="0" hidden="0"/>
    </xf>
    <xf numFmtId="12" fontId="19" fillId="7" borderId="15" applyAlignment="1" applyProtection="1" pivotButton="0" quotePrefix="0" xfId="128">
      <alignment horizontal="center" vertical="center" wrapText="1"/>
      <protection locked="0" hidden="0"/>
    </xf>
    <xf numFmtId="43" fontId="18" fillId="0" borderId="13" applyAlignment="1" pivotButton="0" quotePrefix="0" xfId="65">
      <alignment horizontal="center" vertical="center"/>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0" fontId="18" fillId="0" borderId="13" applyAlignment="1" pivotButton="0" quotePrefix="0" xfId="128">
      <alignment horizontal="center" vertical="center"/>
    </xf>
    <xf numFmtId="0" fontId="2" fillId="0" borderId="7" applyAlignment="1" pivotButton="0" quotePrefix="0" xfId="128">
      <alignment horizontal="center" vertical="center"/>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3" applyAlignment="1" pivotButton="0" quotePrefix="0" xfId="65">
      <alignment horizontal="right" vertical="center" shrinkToFit="1"/>
    </xf>
    <xf numFmtId="164" fontId="2" fillId="0" borderId="9" applyAlignment="1" pivotButton="0" quotePrefix="0" xfId="65">
      <alignment horizontal="right" vertical="center" shrinkToFit="1"/>
    </xf>
    <xf numFmtId="0" fontId="19" fillId="0" borderId="0" applyAlignment="1" pivotButton="0" quotePrefix="0" xfId="0">
      <alignment vertical="center"/>
    </xf>
    <xf numFmtId="0" fontId="17" fillId="0" borderId="71" applyAlignment="1" pivotButton="0" quotePrefix="0" xfId="0">
      <alignment horizontal="left" vertical="center"/>
    </xf>
    <xf numFmtId="0" fontId="17" fillId="0" borderId="75" applyAlignment="1" pivotButton="0" quotePrefix="0" xfId="0">
      <alignment horizontal="left" vertical="center"/>
    </xf>
    <xf numFmtId="0" fontId="17" fillId="0" borderId="53" applyAlignment="1" pivotButton="0" quotePrefix="0" xfId="0">
      <alignment horizontal="left" vertical="center"/>
    </xf>
    <xf numFmtId="0" fontId="17" fillId="0" borderId="73" applyAlignment="1" pivotButton="0" quotePrefix="0" xfId="0">
      <alignment horizontal="left" vertical="center"/>
    </xf>
    <xf numFmtId="0" fontId="17" fillId="0" borderId="48" applyAlignment="1" pivotButton="0" quotePrefix="0" xfId="0">
      <alignment horizontal="left" vertical="center"/>
    </xf>
    <xf numFmtId="49" fontId="17" fillId="0" borderId="77" applyAlignment="1" pivotButton="0" quotePrefix="0" xfId="0">
      <alignment horizontal="left" vertical="center"/>
    </xf>
    <xf numFmtId="49" fontId="17" fillId="0" borderId="53" applyAlignment="1" pivotButton="0" quotePrefix="0" xfId="0">
      <alignment horizontal="left" vertical="center"/>
    </xf>
    <xf numFmtId="168" fontId="17" fillId="0" borderId="77" applyAlignment="1" pivotButton="0" quotePrefix="0" xfId="0">
      <alignment horizontal="right" vertical="center"/>
    </xf>
    <xf numFmtId="168" fontId="17" fillId="0" borderId="53" applyAlignment="1" pivotButton="0" quotePrefix="0" xfId="0">
      <alignment horizontal="right" vertical="center"/>
    </xf>
    <xf numFmtId="0" fontId="17" fillId="0" borderId="77" applyAlignment="1" pivotButton="0" quotePrefix="0" xfId="0">
      <alignment horizontal="center" vertical="center"/>
    </xf>
    <xf numFmtId="0" fontId="17" fillId="0" borderId="77" applyAlignment="1" pivotButton="0" quotePrefix="0" xfId="0">
      <alignment horizontal="center" vertical="center" wrapText="1"/>
    </xf>
    <xf numFmtId="0" fontId="15" fillId="0" borderId="30" applyAlignment="1" pivotButton="0" quotePrefix="0" xfId="371">
      <alignment horizontal="left" vertical="center" wrapText="1"/>
    </xf>
    <xf numFmtId="0" fontId="15" fillId="0" borderId="30" applyAlignment="1" pivotButton="0" quotePrefix="0" xfId="0">
      <alignment horizontal="left" vertical="center" wrapText="1"/>
    </xf>
    <xf numFmtId="0" fontId="15" fillId="0" borderId="77" applyAlignment="1" applyProtection="1" pivotButton="0" quotePrefix="0" xfId="0">
      <alignment horizontal="left" vertical="center"/>
      <protection locked="0" hidden="0"/>
    </xf>
    <xf numFmtId="0" fontId="15" fillId="0" borderId="30" applyAlignment="1" applyProtection="1" pivotButton="0" quotePrefix="0" xfId="369">
      <alignment horizontal="center" vertical="center"/>
      <protection locked="0" hidden="0"/>
    </xf>
    <xf numFmtId="0" fontId="15" fillId="0" borderId="30" applyAlignment="1" pivotButton="0" quotePrefix="0" xfId="247">
      <alignment horizontal="left" vertical="center" wrapText="1"/>
    </xf>
    <xf numFmtId="43" fontId="15" fillId="0" borderId="0" applyAlignment="1" pivotButton="0" quotePrefix="0" xfId="0">
      <alignment horizontal="left" vertical="center" shrinkToFit="1"/>
    </xf>
    <xf numFmtId="0" fontId="15" fillId="0" borderId="41" applyAlignment="1" applyProtection="1" pivotButton="0" quotePrefix="0" xfId="260">
      <alignment horizontal="left" vertical="center"/>
      <protection locked="0" hidden="0"/>
    </xf>
    <xf numFmtId="0" fontId="15" fillId="0" borderId="43" applyAlignment="1" applyProtection="1" pivotButton="0" quotePrefix="0" xfId="260">
      <alignment horizontal="left" vertical="center"/>
      <protection locked="0" hidden="0"/>
    </xf>
    <xf numFmtId="0" fontId="15" fillId="0" borderId="45" applyAlignment="1" applyProtection="1" pivotButton="0" quotePrefix="0" xfId="260">
      <alignment horizontal="left" vertical="center"/>
      <protection locked="0" hidden="0"/>
    </xf>
    <xf numFmtId="0" fontId="15" fillId="0" borderId="24" applyAlignment="1" pivotButton="0" quotePrefix="0" xfId="0">
      <alignment horizontal="left" vertical="center"/>
    </xf>
    <xf numFmtId="0" fontId="15" fillId="0" borderId="42" applyAlignment="1" pivotButton="0" quotePrefix="0" xfId="0">
      <alignment horizontal="left" vertical="center"/>
    </xf>
    <xf numFmtId="0" fontId="15" fillId="0" borderId="0" applyAlignment="1" applyProtection="1" pivotButton="0" quotePrefix="0" xfId="260">
      <alignment horizontal="left" vertical="center"/>
      <protection locked="0" hidden="0"/>
    </xf>
    <xf numFmtId="0" fontId="15" fillId="0" borderId="44" applyAlignment="1" pivotButton="0" quotePrefix="0" xfId="0">
      <alignment horizontal="left" vertical="center"/>
    </xf>
    <xf numFmtId="0" fontId="15" fillId="0" borderId="39" applyAlignment="1" applyProtection="1" pivotButton="0" quotePrefix="0" xfId="260">
      <alignment horizontal="left" vertical="center"/>
      <protection locked="0" hidden="0"/>
    </xf>
    <xf numFmtId="0" fontId="15" fillId="0" borderId="40" applyAlignment="1" applyProtection="1" pivotButton="0" quotePrefix="0" xfId="260">
      <alignment horizontal="left" vertical="center"/>
      <protection locked="0" hidden="0"/>
    </xf>
    <xf numFmtId="169" fontId="10" fillId="0" borderId="72" applyAlignment="1" pivotButton="0" quotePrefix="0" xfId="128">
      <alignment horizontal="right" vertical="center" shrinkToFit="1"/>
    </xf>
    <xf numFmtId="169" fontId="10" fillId="0" borderId="0" applyAlignment="1" applyProtection="1" pivotButton="0" quotePrefix="0" xfId="143">
      <alignment horizontal="right" vertical="center" shrinkToFit="1"/>
      <protection locked="0" hidden="0"/>
    </xf>
    <xf numFmtId="43" fontId="15" fillId="0" borderId="30" applyAlignment="1" pivotButton="0" quotePrefix="0" xfId="138">
      <alignment horizontal="right" vertical="center" shrinkToFit="1"/>
    </xf>
    <xf numFmtId="43" fontId="15" fillId="0" borderId="30" applyAlignment="1" pivotButton="0" quotePrefix="0" xfId="253">
      <alignment horizontal="right" vertical="center"/>
    </xf>
    <xf numFmtId="172" fontId="15" fillId="0" borderId="30" applyAlignment="1" pivotButton="0" quotePrefix="0" xfId="253">
      <alignment horizontal="right" vertical="center"/>
    </xf>
    <xf numFmtId="14" fontId="2" fillId="0" borderId="30" applyAlignment="1" pivotButton="0" quotePrefix="0" xfId="253">
      <alignment horizontal="left" vertical="center"/>
    </xf>
    <xf numFmtId="43" fontId="15" fillId="0" borderId="30" applyAlignment="1" applyProtection="1" pivotButton="0" quotePrefix="0" xfId="157">
      <alignment horizontal="right" vertical="center" wrapText="1" shrinkToFit="1"/>
      <protection locked="0" hidden="0"/>
    </xf>
    <xf numFmtId="0" fontId="157" fillId="0" borderId="77" applyAlignment="1" pivotButton="0" quotePrefix="0" xfId="128">
      <alignment horizontal="left" vertical="center" wrapTex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14" fontId="17" fillId="0" borderId="45" applyAlignment="1" applyProtection="1" pivotButton="0" quotePrefix="0" xfId="0">
      <alignment horizontal="left" vertical="center"/>
      <protection locked="0" hidden="0"/>
    </xf>
    <xf numFmtId="43" fontId="15" fillId="0" borderId="0" applyAlignment="1" pivotButton="0" quotePrefix="0" xfId="1">
      <alignment horizontal="right" vertical="center" shrinkToFit="1"/>
    </xf>
    <xf numFmtId="43" fontId="15" fillId="0" borderId="0" applyAlignment="1" pivotButton="0" quotePrefix="0" xfId="1">
      <alignment horizontal="right" vertical="center" shrinkToFit="1"/>
    </xf>
    <xf numFmtId="43" fontId="15" fillId="6" borderId="0" applyAlignment="1" pivotButton="0" quotePrefix="0" xfId="1">
      <alignment horizontal="right" vertical="center" shrinkToFit="1"/>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0" fontId="158" fillId="0" borderId="0" applyAlignment="1" pivotButton="0" quotePrefix="0" xfId="247">
      <alignment vertical="center"/>
    </xf>
    <xf numFmtId="0" fontId="2" fillId="0" borderId="30" applyAlignment="1" pivotButton="0" quotePrefix="0" xfId="247">
      <alignment horizontal="center" vertical="center" wrapText="1"/>
    </xf>
    <xf numFmtId="0" fontId="153" fillId="0" borderId="0" applyAlignment="1" pivotButton="0" quotePrefix="0" xfId="0">
      <alignment horizontal="left" vertical="center" wrapText="1"/>
    </xf>
    <xf numFmtId="0" fontId="16" fillId="7" borderId="30" applyAlignment="1" pivotButton="0" quotePrefix="0" xfId="0">
      <alignment horizontal="center" vertical="center" wrapText="1"/>
    </xf>
    <xf numFmtId="49" fontId="17" fillId="0" borderId="57" applyAlignment="1" pivotButton="0" quotePrefix="0" xfId="247">
      <alignment horizontal="center" vertical="center" wrapText="1"/>
    </xf>
    <xf numFmtId="49" fontId="17" fillId="0" borderId="32" applyAlignment="1" pivotButton="0" quotePrefix="0" xfId="247">
      <alignment horizontal="center" vertical="center" wrapText="1"/>
    </xf>
    <xf numFmtId="0" fontId="2" fillId="0" borderId="30" applyAlignment="1" pivotButton="0" quotePrefix="0" xfId="247">
      <alignment horizontal="center" vertical="center" wrapText="1"/>
    </xf>
    <xf numFmtId="0" fontId="2" fillId="0" borderId="57" applyAlignment="1" pivotButton="0" quotePrefix="0" xfId="247">
      <alignment horizontal="center" vertical="center" wrapText="1"/>
    </xf>
    <xf numFmtId="0" fontId="2" fillId="0" borderId="32" applyAlignment="1" pivotButton="0" quotePrefix="0" xfId="247">
      <alignment horizontal="center" vertical="center" wrapText="1"/>
    </xf>
    <xf numFmtId="0" fontId="2" fillId="0" borderId="33" applyAlignment="1" pivotButton="0" quotePrefix="0" xfId="247">
      <alignment horizontal="left" vertical="center" wrapText="1"/>
    </xf>
    <xf numFmtId="0" fontId="2" fillId="0" borderId="25" applyAlignment="1" pivotButton="0" quotePrefix="0" xfId="247">
      <alignment horizontal="left" vertical="center" wrapText="1"/>
    </xf>
    <xf numFmtId="0" fontId="2" fillId="0" borderId="68" applyAlignment="1" pivotButton="0" quotePrefix="0" xfId="247">
      <alignment horizontal="left" vertical="center" wrapText="1"/>
    </xf>
    <xf numFmtId="0" fontId="17" fillId="0" borderId="41" applyAlignment="1" pivotButton="0" quotePrefix="0" xfId="247">
      <alignment horizontal="left" vertical="center" wrapText="1"/>
    </xf>
    <xf numFmtId="0" fontId="17" fillId="0" borderId="24" applyAlignment="1" pivotButton="0" quotePrefix="0" xfId="247">
      <alignment horizontal="left" vertical="center" wrapText="1"/>
    </xf>
    <xf numFmtId="0" fontId="17" fillId="0" borderId="42" applyAlignment="1" pivotButton="0" quotePrefix="0" xfId="247">
      <alignment horizontal="left" vertical="center" wrapText="1"/>
    </xf>
    <xf numFmtId="0" fontId="17" fillId="0" borderId="45" applyAlignment="1" pivotButton="0" quotePrefix="0" xfId="247">
      <alignment horizontal="left" vertical="center" wrapText="1"/>
    </xf>
    <xf numFmtId="0" fontId="17" fillId="0" borderId="39" applyAlignment="1" pivotButton="0" quotePrefix="0" xfId="247">
      <alignment horizontal="left" vertical="center" wrapText="1"/>
    </xf>
    <xf numFmtId="0" fontId="17" fillId="0" borderId="40" applyAlignment="1" pivotButton="0" quotePrefix="0" xfId="247">
      <alignment horizontal="left" vertical="center" wrapText="1"/>
    </xf>
    <xf numFmtId="0" fontId="16" fillId="13" borderId="33" applyAlignment="1" pivotButton="0" quotePrefix="0" xfId="247">
      <alignment horizontal="left" vertical="center"/>
    </xf>
    <xf numFmtId="0" fontId="16" fillId="13" borderId="25" applyAlignment="1" pivotButton="0" quotePrefix="0" xfId="247">
      <alignment horizontal="left" vertical="center"/>
    </xf>
    <xf numFmtId="0" fontId="16" fillId="13" borderId="68" applyAlignment="1" pivotButton="0" quotePrefix="0" xfId="247">
      <alignment horizontal="left" vertical="center"/>
    </xf>
    <xf numFmtId="0" fontId="19" fillId="13" borderId="33" applyAlignment="1" pivotButton="0" quotePrefix="0" xfId="247">
      <alignment horizontal="left" vertical="center"/>
    </xf>
    <xf numFmtId="0" fontId="19" fillId="13" borderId="25" applyAlignment="1" pivotButton="0" quotePrefix="0" xfId="247">
      <alignment horizontal="left" vertical="center"/>
    </xf>
    <xf numFmtId="0" fontId="19" fillId="13" borderId="68" applyAlignment="1" pivotButton="0" quotePrefix="0" xfId="247">
      <alignment horizontal="left" vertical="center"/>
    </xf>
    <xf numFmtId="0" fontId="2" fillId="0" borderId="41" applyAlignment="1" pivotButton="0" quotePrefix="0" xfId="247">
      <alignment horizontal="left" vertical="center" wrapText="1"/>
    </xf>
    <xf numFmtId="0" fontId="2" fillId="0" borderId="24" applyAlignment="1" pivotButton="0" quotePrefix="0" xfId="247">
      <alignment horizontal="left" vertical="center" wrapText="1"/>
    </xf>
    <xf numFmtId="0" fontId="2" fillId="0" borderId="42" applyAlignment="1" pivotButton="0" quotePrefix="0" xfId="247">
      <alignment horizontal="left" vertical="center" wrapText="1"/>
    </xf>
    <xf numFmtId="0" fontId="2" fillId="0" borderId="45" applyAlignment="1" pivotButton="0" quotePrefix="0" xfId="247">
      <alignment horizontal="left" vertical="center" wrapText="1"/>
    </xf>
    <xf numFmtId="0" fontId="2" fillId="0" borderId="39" applyAlignment="1" pivotButton="0" quotePrefix="0" xfId="247">
      <alignment horizontal="left" vertical="center" wrapText="1"/>
    </xf>
    <xf numFmtId="0" fontId="2" fillId="0" borderId="40" applyAlignment="1" pivotButton="0" quotePrefix="0" xfId="247">
      <alignment horizontal="left" vertical="center" wrapText="1"/>
    </xf>
    <xf numFmtId="0" fontId="16" fillId="13" borderId="33" applyAlignment="1" pivotButton="0" quotePrefix="0" xfId="247">
      <alignment horizontal="left" vertical="center" wrapText="1"/>
    </xf>
    <xf numFmtId="0" fontId="16" fillId="13" borderId="25" applyAlignment="1" pivotButton="0" quotePrefix="0" xfId="247">
      <alignment horizontal="left" vertical="center" wrapText="1"/>
    </xf>
    <xf numFmtId="0" fontId="16" fillId="13" borderId="68" applyAlignment="1" pivotButton="0" quotePrefix="0" xfId="247">
      <alignment horizontal="left" vertical="center" wrapText="1"/>
    </xf>
    <xf numFmtId="0" fontId="16" fillId="13" borderId="41" applyAlignment="1" pivotButton="0" quotePrefix="0" xfId="247">
      <alignment horizontal="left" vertical="center"/>
    </xf>
    <xf numFmtId="0" fontId="16" fillId="13" borderId="24" applyAlignment="1" pivotButton="0" quotePrefix="0" xfId="247">
      <alignment horizontal="left" vertical="center"/>
    </xf>
    <xf numFmtId="0" fontId="16" fillId="13" borderId="42" applyAlignment="1" pivotButton="0" quotePrefix="0" xfId="247">
      <alignment horizontal="left" vertical="center"/>
    </xf>
    <xf numFmtId="0" fontId="17" fillId="0" borderId="77" applyAlignment="1" pivotButton="0" quotePrefix="0" xfId="0">
      <alignment horizontal="left" vertical="center" wrapText="1"/>
    </xf>
    <xf numFmtId="0" fontId="2" fillId="0" borderId="77" applyAlignment="1" pivotButton="0" quotePrefix="0" xfId="247">
      <alignment horizontal="left" vertical="center" wrapText="1"/>
    </xf>
    <xf numFmtId="0" fontId="15" fillId="0" borderId="33" applyAlignment="1" pivotButton="0" quotePrefix="0" xfId="247">
      <alignment horizontal="left" vertical="center" wrapText="1"/>
    </xf>
    <xf numFmtId="0" fontId="15" fillId="0" borderId="25" applyAlignment="1" pivotButton="0" quotePrefix="0" xfId="247">
      <alignment horizontal="left" vertical="center" wrapText="1"/>
    </xf>
    <xf numFmtId="0" fontId="15" fillId="0" borderId="68" applyAlignment="1" pivotButton="0" quotePrefix="0" xfId="247">
      <alignment horizontal="left" vertical="center" wrapText="1"/>
    </xf>
    <xf numFmtId="0" fontId="17" fillId="0" borderId="33" applyAlignment="1" pivotButton="0" quotePrefix="0" xfId="247">
      <alignment horizontal="left" vertical="center" wrapText="1"/>
    </xf>
    <xf numFmtId="0" fontId="17" fillId="0" borderId="25" applyAlignment="1" pivotButton="0" quotePrefix="0" xfId="247">
      <alignment horizontal="left" vertical="center" wrapText="1"/>
    </xf>
    <xf numFmtId="0" fontId="17" fillId="0" borderId="68" applyAlignment="1" pivotButton="0" quotePrefix="0" xfId="247">
      <alignment horizontal="left" vertical="center" wrapText="1"/>
    </xf>
    <xf numFmtId="0" fontId="16" fillId="56" borderId="74" applyAlignment="1" pivotButton="0" quotePrefix="0" xfId="0">
      <alignment horizontal="center" vertical="center"/>
    </xf>
    <xf numFmtId="0" fontId="16" fillId="56" borderId="1" applyAlignment="1" pivotButton="0" quotePrefix="0" xfId="0">
      <alignment horizontal="center" vertical="center"/>
    </xf>
    <xf numFmtId="0" fontId="16" fillId="56" borderId="5" applyAlignment="1" pivotButton="0" quotePrefix="0" xfId="0">
      <alignment horizontal="center" vertical="center"/>
    </xf>
    <xf numFmtId="0" fontId="20" fillId="0" borderId="41" applyAlignment="1" applyProtection="1" pivotButton="0" quotePrefix="0" xfId="52">
      <alignment horizontal="left" vertical="center" wrapText="1"/>
      <protection locked="0" hidden="0"/>
    </xf>
    <xf numFmtId="0" fontId="125" fillId="0" borderId="24" applyAlignment="1" applyProtection="1" pivotButton="0" quotePrefix="0" xfId="52">
      <alignment horizontal="left" vertical="center" wrapText="1"/>
      <protection locked="0" hidden="0"/>
    </xf>
    <xf numFmtId="0" fontId="125" fillId="0" borderId="42" applyAlignment="1" applyProtection="1" pivotButton="0" quotePrefix="0" xfId="52">
      <alignment horizontal="left" vertical="center" wrapText="1"/>
      <protection locked="0" hidden="0"/>
    </xf>
    <xf numFmtId="0" fontId="125" fillId="0" borderId="43" applyAlignment="1" applyProtection="1" pivotButton="0" quotePrefix="0" xfId="52">
      <alignment horizontal="left" vertical="center" wrapText="1"/>
      <protection locked="0" hidden="0"/>
    </xf>
    <xf numFmtId="0" fontId="125" fillId="0" borderId="0" applyAlignment="1" applyProtection="1" pivotButton="0" quotePrefix="0" xfId="52">
      <alignment horizontal="left" vertical="center" wrapText="1"/>
      <protection locked="0" hidden="0"/>
    </xf>
    <xf numFmtId="0" fontId="125" fillId="0" borderId="44" applyAlignment="1" applyProtection="1" pivotButton="0" quotePrefix="0" xfId="52">
      <alignment horizontal="left" vertical="center" wrapText="1"/>
      <protection locked="0" hidden="0"/>
    </xf>
    <xf numFmtId="0" fontId="125" fillId="0" borderId="45" applyAlignment="1" applyProtection="1" pivotButton="0" quotePrefix="0" xfId="52">
      <alignment horizontal="left" vertical="center" wrapText="1"/>
      <protection locked="0" hidden="0"/>
    </xf>
    <xf numFmtId="0" fontId="125" fillId="0" borderId="39" applyAlignment="1" applyProtection="1" pivotButton="0" quotePrefix="0" xfId="52">
      <alignment horizontal="left" vertical="center" wrapText="1"/>
      <protection locked="0" hidden="0"/>
    </xf>
    <xf numFmtId="0" fontId="125" fillId="0" borderId="40" applyAlignment="1" applyProtection="1" pivotButton="0" quotePrefix="0" xfId="52">
      <alignment horizontal="left" vertical="center" wrapText="1"/>
      <protection locked="0" hidden="0"/>
    </xf>
    <xf numFmtId="0" fontId="153" fillId="0" borderId="0" applyAlignment="1" pivotButton="0" quotePrefix="0" xfId="0">
      <alignment horizontal="left" vertical="center" wrapText="1"/>
    </xf>
    <xf numFmtId="0" fontId="5" fillId="2" borderId="74" applyAlignment="1" applyProtection="1" pivotButton="0" quotePrefix="0" xfId="0">
      <alignment horizontal="center" vertical="center"/>
      <protection locked="0" hidden="0"/>
    </xf>
    <xf numFmtId="0" fontId="5" fillId="2" borderId="1" applyAlignment="1" applyProtection="1" pivotButton="0" quotePrefix="0" xfId="0">
      <alignment horizontal="center" vertical="center"/>
      <protection locked="0" hidden="0"/>
    </xf>
    <xf numFmtId="0" fontId="5" fillId="2" borderId="5" applyAlignment="1" applyProtection="1" pivotButton="0" quotePrefix="0" xfId="0">
      <alignment horizontal="center" vertical="center"/>
      <protection locked="0" hidden="0"/>
    </xf>
    <xf numFmtId="0" fontId="8" fillId="4" borderId="14" applyAlignment="1" pivotButton="0" quotePrefix="0" xfId="0">
      <alignment horizontal="left" vertical="center" wrapText="1" indent="20"/>
    </xf>
    <xf numFmtId="0" fontId="8" fillId="4" borderId="11" applyAlignment="1" pivotButton="0" quotePrefix="0" xfId="0">
      <alignment horizontal="left" vertical="center" wrapText="1" indent="20"/>
    </xf>
    <xf numFmtId="0" fontId="8" fillId="4" borderId="15" applyAlignment="1" pivotButton="0" quotePrefix="0" xfId="0">
      <alignment horizontal="left" vertical="center" wrapText="1" indent="20"/>
    </xf>
    <xf numFmtId="0" fontId="8" fillId="4" borderId="13" applyAlignment="1" pivotButton="0" quotePrefix="0" xfId="0">
      <alignment horizontal="left" vertical="center" wrapText="1" indent="20"/>
    </xf>
    <xf numFmtId="0" fontId="8" fillId="4" borderId="0" applyAlignment="1" pivotButton="0" quotePrefix="0" xfId="0">
      <alignment horizontal="left" vertical="center" wrapText="1" indent="20"/>
    </xf>
    <xf numFmtId="0" fontId="8" fillId="4" borderId="31" applyAlignment="1" pivotButton="0" quotePrefix="0" xfId="0">
      <alignment horizontal="left" vertical="center" wrapText="1" indent="20"/>
    </xf>
    <xf numFmtId="0" fontId="8" fillId="4" borderId="7" applyAlignment="1" pivotButton="0" quotePrefix="0" xfId="0">
      <alignment horizontal="left" vertical="center" wrapText="1" indent="20"/>
    </xf>
    <xf numFmtId="0" fontId="8" fillId="4" borderId="3" applyAlignment="1" pivotButton="0" quotePrefix="0" xfId="0">
      <alignment horizontal="left" vertical="center" wrapText="1" indent="20"/>
    </xf>
    <xf numFmtId="0" fontId="8" fillId="4" borderId="9" applyAlignment="1" pivotButton="0" quotePrefix="0" xfId="0">
      <alignment horizontal="left" vertical="center" wrapText="1" indent="20"/>
    </xf>
    <xf numFmtId="0" fontId="19" fillId="7" borderId="16" applyAlignment="1" applyProtection="1" pivotButton="0" quotePrefix="0" xfId="260">
      <alignment horizontal="center" vertical="center" wrapText="1"/>
      <protection locked="0" hidden="0"/>
    </xf>
    <xf numFmtId="0" fontId="19" fillId="7" borderId="12" applyAlignment="1" applyProtection="1" pivotButton="0" quotePrefix="0" xfId="260">
      <alignment horizontal="center" vertical="center" wrapText="1"/>
      <protection locked="0" hidden="0"/>
    </xf>
    <xf numFmtId="0" fontId="15" fillId="0" borderId="41" applyAlignment="1" pivotButton="0" quotePrefix="0" xfId="123">
      <alignment horizontal="left" vertical="center" wrapText="1"/>
    </xf>
    <xf numFmtId="0" fontId="15" fillId="0" borderId="24" applyAlignment="1" pivotButton="0" quotePrefix="0" xfId="123">
      <alignment horizontal="left" vertical="center" wrapText="1"/>
    </xf>
    <xf numFmtId="0" fontId="15" fillId="0" borderId="42" applyAlignment="1" pivotButton="0" quotePrefix="0" xfId="123">
      <alignment horizontal="left" vertical="center" wrapText="1"/>
    </xf>
    <xf numFmtId="0" fontId="15" fillId="0" borderId="43" applyAlignment="1" pivotButton="0" quotePrefix="0" xfId="123">
      <alignment horizontal="left" vertical="center" wrapText="1"/>
    </xf>
    <xf numFmtId="0" fontId="15" fillId="0" borderId="0" applyAlignment="1" pivotButton="0" quotePrefix="0" xfId="123">
      <alignment horizontal="left" vertical="center" wrapText="1"/>
    </xf>
    <xf numFmtId="0" fontId="15" fillId="0" borderId="44" applyAlignment="1" pivotButton="0" quotePrefix="0" xfId="123">
      <alignment horizontal="left" vertical="center" wrapText="1"/>
    </xf>
    <xf numFmtId="0" fontId="15" fillId="0" borderId="45" applyAlignment="1" pivotButton="0" quotePrefix="0" xfId="123">
      <alignment horizontal="left" vertical="center" wrapText="1"/>
    </xf>
    <xf numFmtId="0" fontId="15" fillId="0" borderId="39" applyAlignment="1" pivotButton="0" quotePrefix="0" xfId="123">
      <alignment horizontal="left" vertical="center" wrapText="1"/>
    </xf>
    <xf numFmtId="0" fontId="15" fillId="0" borderId="40" applyAlignment="1" pivotButton="0" quotePrefix="0" xfId="123">
      <alignment horizontal="left" vertical="center" wrapText="1"/>
    </xf>
    <xf numFmtId="14" fontId="19" fillId="7" borderId="3" applyAlignment="1" applyProtection="1" pivotButton="0" quotePrefix="0" xfId="260">
      <alignment horizontal="center" vertical="center" wrapText="1"/>
      <protection locked="0" hidden="0"/>
    </xf>
    <xf numFmtId="14" fontId="19" fillId="7" borderId="9" applyAlignment="1" applyProtection="1" pivotButton="0" quotePrefix="0" xfId="260">
      <alignment horizontal="center" vertical="center" wrapText="1"/>
      <protection locked="0" hidden="0"/>
    </xf>
    <xf numFmtId="0" fontId="16" fillId="7" borderId="30" applyAlignment="1" pivotButton="0" quotePrefix="0" xfId="0">
      <alignment horizontal="center" vertical="center" wrapText="1"/>
    </xf>
    <xf numFmtId="0" fontId="16" fillId="7" borderId="33" applyAlignment="1" pivotButton="0" quotePrefix="0" xfId="0">
      <alignment horizontal="center" vertical="center" wrapText="1"/>
    </xf>
    <xf numFmtId="0" fontId="16" fillId="7" borderId="74" applyAlignment="1" applyProtection="1" pivotButton="0" quotePrefix="0" xfId="0">
      <alignment horizontal="center" vertical="center" shrinkToFit="1"/>
      <protection locked="0" hidden="0"/>
    </xf>
    <xf numFmtId="0" fontId="16" fillId="7" borderId="1" applyAlignment="1" applyProtection="1" pivotButton="0" quotePrefix="0" xfId="0">
      <alignment horizontal="center" vertical="center" shrinkToFit="1"/>
      <protection locked="0" hidden="0"/>
    </xf>
    <xf numFmtId="0" fontId="16" fillId="7" borderId="5" applyAlignment="1" applyProtection="1" pivotButton="0" quotePrefix="0" xfId="0">
      <alignment horizontal="center" vertical="center" shrinkToFit="1"/>
      <protection locked="0" hidden="0"/>
    </xf>
    <xf numFmtId="167" fontId="121" fillId="7" borderId="74" applyAlignment="1" applyProtection="1" pivotButton="0" quotePrefix="0" xfId="159">
      <alignment horizontal="center" vertical="center"/>
      <protection locked="0" hidden="0"/>
    </xf>
    <xf numFmtId="167" fontId="121" fillId="7" borderId="5" applyAlignment="1" applyProtection="1" pivotButton="0" quotePrefix="0" xfId="159">
      <alignment horizontal="center" vertical="center"/>
      <protection locked="0" hidden="0"/>
    </xf>
    <xf numFmtId="0" fontId="16" fillId="7" borderId="74" applyAlignment="1" pivotButton="0" quotePrefix="0" xfId="0">
      <alignment horizontal="center" vertical="center"/>
    </xf>
    <xf numFmtId="0" fontId="16" fillId="7" borderId="5" applyAlignment="1" pivotButton="0" quotePrefix="0" xfId="0">
      <alignment horizontal="center" vertical="center"/>
    </xf>
    <xf numFmtId="0" fontId="22" fillId="0" borderId="41" applyAlignment="1" pivotButton="0" quotePrefix="0" xfId="128">
      <alignment horizontal="left" vertical="center" wrapText="1"/>
    </xf>
    <xf numFmtId="0" fontId="22" fillId="0" borderId="24" applyAlignment="1" pivotButton="0" quotePrefix="0" xfId="128">
      <alignment horizontal="left" vertical="center" wrapText="1"/>
    </xf>
    <xf numFmtId="0" fontId="22" fillId="0" borderId="42" applyAlignment="1" pivotButton="0" quotePrefix="0" xfId="128">
      <alignment horizontal="left" vertical="center" wrapText="1"/>
    </xf>
    <xf numFmtId="0" fontId="22" fillId="0" borderId="43" applyAlignment="1" pivotButton="0" quotePrefix="0" xfId="128">
      <alignment horizontal="left" vertical="center" wrapText="1"/>
    </xf>
    <xf numFmtId="0" fontId="22" fillId="0" borderId="0" applyAlignment="1" pivotButton="0" quotePrefix="0" xfId="128">
      <alignment horizontal="left" vertical="center" wrapText="1"/>
    </xf>
    <xf numFmtId="0" fontId="22" fillId="0" borderId="44" applyAlignment="1" pivotButton="0" quotePrefix="0" xfId="128">
      <alignment horizontal="left" vertical="center" wrapText="1"/>
    </xf>
    <xf numFmtId="0" fontId="22" fillId="0" borderId="45" applyAlignment="1" pivotButton="0" quotePrefix="0" xfId="128">
      <alignment horizontal="left" vertical="center" wrapText="1"/>
    </xf>
    <xf numFmtId="0" fontId="22" fillId="0" borderId="39" applyAlignment="1" pivotButton="0" quotePrefix="0" xfId="128">
      <alignment horizontal="left" vertical="center" wrapText="1"/>
    </xf>
    <xf numFmtId="0" fontId="22" fillId="0" borderId="40" applyAlignment="1" pivotButton="0" quotePrefix="0" xfId="128">
      <alignment horizontal="left" vertical="center" wrapText="1"/>
    </xf>
    <xf numFmtId="0" fontId="22" fillId="0" borderId="41" applyAlignment="1" pivotButton="0" quotePrefix="0" xfId="0">
      <alignment horizontal="left" vertical="center" wrapText="1"/>
    </xf>
    <xf numFmtId="0" fontId="22" fillId="0" borderId="24" applyAlignment="1" pivotButton="0" quotePrefix="0" xfId="0">
      <alignment horizontal="left" vertical="center" wrapText="1"/>
    </xf>
    <xf numFmtId="0" fontId="22" fillId="0" borderId="42" applyAlignment="1" pivotButton="0" quotePrefix="0" xfId="0">
      <alignment horizontal="left" vertical="center" wrapText="1"/>
    </xf>
    <xf numFmtId="0" fontId="22" fillId="0" borderId="43" applyAlignment="1" pivotButton="0" quotePrefix="0" xfId="0">
      <alignment horizontal="left" vertical="center" wrapText="1"/>
    </xf>
    <xf numFmtId="0" fontId="22" fillId="0" borderId="0" applyAlignment="1" pivotButton="0" quotePrefix="0" xfId="0">
      <alignment horizontal="left" vertical="center" wrapText="1"/>
    </xf>
    <xf numFmtId="0" fontId="22" fillId="0" borderId="44" applyAlignment="1" pivotButton="0" quotePrefix="0" xfId="0">
      <alignment horizontal="left" vertical="center" wrapText="1"/>
    </xf>
    <xf numFmtId="0" fontId="22" fillId="0" borderId="45" applyAlignment="1" pivotButton="0" quotePrefix="0" xfId="0">
      <alignment horizontal="left" vertical="center" wrapText="1"/>
    </xf>
    <xf numFmtId="0" fontId="22" fillId="0" borderId="39" applyAlignment="1" pivotButton="0" quotePrefix="0" xfId="0">
      <alignment horizontal="left" vertical="center" wrapText="1"/>
    </xf>
    <xf numFmtId="0" fontId="22" fillId="0" borderId="40" applyAlignment="1" pivotButton="0" quotePrefix="0" xfId="0">
      <alignment horizontal="left" vertical="center" wrapText="1"/>
    </xf>
    <xf numFmtId="0" fontId="17" fillId="0" borderId="7" applyAlignment="1" applyProtection="1" pivotButton="0" quotePrefix="0" xfId="0">
      <alignment horizontal="left" vertical="center" wrapText="1" indent="2"/>
      <protection locked="0" hidden="0"/>
    </xf>
    <xf numFmtId="0" fontId="15" fillId="0" borderId="3" applyAlignment="1" applyProtection="1" pivotButton="0" quotePrefix="0" xfId="0">
      <alignment horizontal="left" vertical="center" wrapText="1" indent="2"/>
      <protection locked="0" hidden="0"/>
    </xf>
    <xf numFmtId="0" fontId="15" fillId="0" borderId="9" applyAlignment="1" applyProtection="1" pivotButton="0" quotePrefix="0" xfId="0">
      <alignment horizontal="left" vertical="center" wrapText="1" indent="2"/>
      <protection locked="0" hidden="0"/>
    </xf>
    <xf numFmtId="0" fontId="11" fillId="56" borderId="74" applyAlignment="1" pivotButton="0" quotePrefix="0" xfId="0">
      <alignment horizontal="center" vertical="center"/>
    </xf>
    <xf numFmtId="0" fontId="11" fillId="56" borderId="5" applyAlignment="1" pivotButton="0" quotePrefix="0" xfId="0">
      <alignment horizontal="center" vertical="center"/>
    </xf>
    <xf numFmtId="0" fontId="125" fillId="0" borderId="41" applyAlignment="1" pivotButton="0" quotePrefix="0" xfId="123">
      <alignment horizontal="left" vertical="center" wrapText="1"/>
    </xf>
    <xf numFmtId="0" fontId="125" fillId="0" borderId="24" applyAlignment="1" pivotButton="0" quotePrefix="0" xfId="123">
      <alignment horizontal="left" vertical="center" wrapText="1"/>
    </xf>
    <xf numFmtId="0" fontId="125" fillId="0" borderId="42" applyAlignment="1" pivotButton="0" quotePrefix="0" xfId="123">
      <alignment horizontal="left" vertical="center" wrapText="1"/>
    </xf>
    <xf numFmtId="0" fontId="125" fillId="0" borderId="43" applyAlignment="1" pivotButton="0" quotePrefix="0" xfId="123">
      <alignment horizontal="left" vertical="center" wrapText="1"/>
    </xf>
    <xf numFmtId="0" fontId="125" fillId="0" borderId="0" applyAlignment="1" pivotButton="0" quotePrefix="0" xfId="123">
      <alignment horizontal="left" vertical="center" wrapText="1"/>
    </xf>
    <xf numFmtId="0" fontId="125" fillId="0" borderId="44" applyAlignment="1" pivotButton="0" quotePrefix="0" xfId="123">
      <alignment horizontal="left" vertical="center" wrapText="1"/>
    </xf>
    <xf numFmtId="0" fontId="125" fillId="0" borderId="45" applyAlignment="1" pivotButton="0" quotePrefix="0" xfId="123">
      <alignment horizontal="left" vertical="center" wrapText="1"/>
    </xf>
    <xf numFmtId="0" fontId="125" fillId="0" borderId="39" applyAlignment="1" pivotButton="0" quotePrefix="0" xfId="123">
      <alignment horizontal="left" vertical="center" wrapText="1"/>
    </xf>
    <xf numFmtId="0" fontId="125" fillId="0" borderId="40" applyAlignment="1" pivotButton="0" quotePrefix="0" xfId="123">
      <alignment horizontal="left" vertical="center" wrapText="1"/>
    </xf>
    <xf numFmtId="0" fontId="22" fillId="0" borderId="41" applyAlignment="1" pivotButton="0" quotePrefix="0" xfId="123">
      <alignment horizontal="left" vertical="center" wrapText="1"/>
    </xf>
    <xf numFmtId="0" fontId="22" fillId="0" borderId="24" applyAlignment="1" pivotButton="0" quotePrefix="0" xfId="123">
      <alignment horizontal="left" vertical="center" wrapText="1"/>
    </xf>
    <xf numFmtId="0" fontId="22" fillId="0" borderId="42" applyAlignment="1" pivotButton="0" quotePrefix="0" xfId="123">
      <alignment horizontal="left" vertical="center" wrapText="1"/>
    </xf>
    <xf numFmtId="0" fontId="22" fillId="0" borderId="43" applyAlignment="1" pivotButton="0" quotePrefix="0" xfId="123">
      <alignment horizontal="left" vertical="center" wrapText="1"/>
    </xf>
    <xf numFmtId="0" fontId="22" fillId="0" borderId="0" applyAlignment="1" pivotButton="0" quotePrefix="0" xfId="123">
      <alignment horizontal="left" vertical="center" wrapText="1"/>
    </xf>
    <xf numFmtId="0" fontId="22" fillId="0" borderId="44" applyAlignment="1" pivotButton="0" quotePrefix="0" xfId="123">
      <alignment horizontal="left" vertical="center" wrapText="1"/>
    </xf>
    <xf numFmtId="0" fontId="22" fillId="0" borderId="45" applyAlignment="1" pivotButton="0" quotePrefix="0" xfId="123">
      <alignment horizontal="left" vertical="center" wrapText="1"/>
    </xf>
    <xf numFmtId="0" fontId="22" fillId="0" borderId="39" applyAlignment="1" pivotButton="0" quotePrefix="0" xfId="123">
      <alignment horizontal="left" vertical="center" wrapText="1"/>
    </xf>
    <xf numFmtId="0" fontId="22" fillId="0" borderId="40" applyAlignment="1" pivotButton="0" quotePrefix="0" xfId="123">
      <alignment horizontal="left" vertical="center" wrapText="1"/>
    </xf>
    <xf numFmtId="0" fontId="11" fillId="7" borderId="49" applyAlignment="1" applyProtection="1" pivotButton="0" quotePrefix="0" xfId="128">
      <alignment horizontal="center" vertical="center" wrapText="1"/>
      <protection locked="0" hidden="0"/>
    </xf>
    <xf numFmtId="0" fontId="11" fillId="7" borderId="51" applyAlignment="1" applyProtection="1" pivotButton="0" quotePrefix="0" xfId="128">
      <alignment horizontal="center" vertical="center" wrapText="1"/>
      <protection locked="0" hidden="0"/>
    </xf>
    <xf numFmtId="0" fontId="120" fillId="7" borderId="62" applyAlignment="1" applyProtection="1" pivotButton="0" quotePrefix="0" xfId="128">
      <alignment horizontal="center" vertical="center" wrapText="1"/>
      <protection locked="0" hidden="0"/>
    </xf>
    <xf numFmtId="0" fontId="11" fillId="7" borderId="64" applyAlignment="1" applyProtection="1" pivotButton="0" quotePrefix="0" xfId="128">
      <alignment horizontal="center" vertical="center" wrapText="1"/>
      <protection locked="0" hidden="0"/>
    </xf>
    <xf numFmtId="0" fontId="14" fillId="7" borderId="61" applyAlignment="1" applyProtection="1" pivotButton="0" quotePrefix="0" xfId="0">
      <alignment horizontal="left" vertical="center"/>
      <protection locked="0" hidden="0"/>
    </xf>
    <xf numFmtId="0" fontId="14" fillId="7" borderId="47" applyAlignment="1" applyProtection="1" pivotButton="0" quotePrefix="0" xfId="0">
      <alignment horizontal="left" vertical="center"/>
      <protection locked="0" hidden="0"/>
    </xf>
    <xf numFmtId="0" fontId="14" fillId="7" borderId="53" applyAlignment="1" applyProtection="1" pivotButton="0" quotePrefix="0" xfId="0">
      <alignment horizontal="left" vertical="center" wrapText="1"/>
      <protection locked="0" hidden="0"/>
    </xf>
    <xf numFmtId="0" fontId="14" fillId="7" borderId="48" applyAlignment="1" applyProtection="1" pivotButton="0" quotePrefix="0" xfId="0">
      <alignment horizontal="left" vertical="center" wrapText="1"/>
      <protection locked="0" hidden="0"/>
    </xf>
    <xf numFmtId="0" fontId="14" fillId="7" borderId="54" applyAlignment="1" applyProtection="1" pivotButton="0" quotePrefix="0" xfId="0">
      <alignment horizontal="left" vertical="center" wrapText="1"/>
      <protection locked="0" hidden="0"/>
    </xf>
    <xf numFmtId="0" fontId="14" fillId="7" borderId="55" applyAlignment="1" applyProtection="1" pivotButton="0" quotePrefix="0" xfId="0">
      <alignment horizontal="left" vertical="center" wrapText="1"/>
      <protection locked="0" hidden="0"/>
    </xf>
    <xf numFmtId="0" fontId="161" fillId="7" borderId="75" applyAlignment="1" pivotButton="0" quotePrefix="0" xfId="132">
      <alignment vertical="center"/>
    </xf>
    <xf numFmtId="0" fontId="0" fillId="0" borderId="0" pivotButton="0" quotePrefix="0" xfId="0"/>
    <xf numFmtId="0" fontId="19" fillId="13" borderId="30" applyAlignment="1" pivotButton="0" quotePrefix="0" xfId="247">
      <alignment horizontal="left" vertical="center"/>
    </xf>
    <xf numFmtId="0" fontId="0" fillId="0" borderId="25" pivotButton="0" quotePrefix="0" xfId="0"/>
    <xf numFmtId="0" fontId="0" fillId="0" borderId="68" pivotButton="0" quotePrefix="0" xfId="0"/>
    <xf numFmtId="0" fontId="2" fillId="0" borderId="30" applyAlignment="1" pivotButton="0" quotePrefix="0" xfId="247">
      <alignment horizontal="left" vertical="center" wrapText="1"/>
    </xf>
    <xf numFmtId="0" fontId="0" fillId="0" borderId="24" pivotButton="0" quotePrefix="0" xfId="0"/>
    <xf numFmtId="0" fontId="0" fillId="0" borderId="42" pivotButton="0" quotePrefix="0" xfId="0"/>
    <xf numFmtId="0" fontId="0" fillId="0" borderId="32" pivotButton="0" quotePrefix="0" xfId="0"/>
    <xf numFmtId="0" fontId="0" fillId="0" borderId="45" pivotButton="0" quotePrefix="0" xfId="0"/>
    <xf numFmtId="0" fontId="0" fillId="0" borderId="39" pivotButton="0" quotePrefix="0" xfId="0"/>
    <xf numFmtId="0" fontId="0" fillId="0" borderId="40" pivotButton="0" quotePrefix="0" xfId="0"/>
    <xf numFmtId="0" fontId="16" fillId="13" borderId="30" applyAlignment="1" pivotButton="0" quotePrefix="0" xfId="247">
      <alignment horizontal="left" vertical="center" wrapText="1"/>
    </xf>
    <xf numFmtId="0" fontId="16" fillId="13" borderId="30" applyAlignment="1" pivotButton="0" quotePrefix="0" xfId="247">
      <alignment horizontal="left" vertical="center"/>
    </xf>
    <xf numFmtId="49" fontId="17" fillId="0" borderId="30" applyAlignment="1" pivotButton="0" quotePrefix="0" xfId="247">
      <alignment horizontal="center" vertical="center" wrapText="1"/>
    </xf>
    <xf numFmtId="0" fontId="17" fillId="0" borderId="30" applyAlignment="1" pivotButton="0" quotePrefix="0" xfId="247">
      <alignment horizontal="left" vertical="center" wrapText="1"/>
    </xf>
    <xf numFmtId="0" fontId="16" fillId="13" borderId="57" applyAlignment="1" pivotButton="0" quotePrefix="0" xfId="247">
      <alignment horizontal="left" vertical="center"/>
    </xf>
    <xf numFmtId="0" fontId="0" fillId="0" borderId="1" pivotButton="0" quotePrefix="0" xfId="0"/>
    <xf numFmtId="0" fontId="0" fillId="0" borderId="5" pivotButton="0" quotePrefix="0" xfId="0"/>
    <xf numFmtId="0" fontId="5" fillId="2" borderId="26" applyAlignment="1" applyProtection="1" pivotButton="0" quotePrefix="0" xfId="0">
      <alignment horizontal="center" vertical="center"/>
      <protection locked="0" hidden="0"/>
    </xf>
    <xf numFmtId="0" fontId="0" fillId="0" borderId="83" applyProtection="1" pivotButton="0" quotePrefix="0" xfId="0">
      <protection locked="0" hidden="0"/>
    </xf>
    <xf numFmtId="0" fontId="0" fillId="0" borderId="84" applyProtection="1" pivotButton="0" quotePrefix="0" xfId="0">
      <protection locked="0" hidden="0"/>
    </xf>
    <xf numFmtId="0" fontId="8" fillId="4" borderId="77" applyAlignment="1" pivotButton="0" quotePrefix="0" xfId="0">
      <alignment horizontal="left" vertical="center" wrapText="1" indent="20"/>
    </xf>
    <xf numFmtId="0" fontId="0" fillId="0" borderId="11" pivotButton="0" quotePrefix="0" xfId="0"/>
    <xf numFmtId="0" fontId="0" fillId="0" borderId="15" pivotButton="0" quotePrefix="0" xfId="0"/>
    <xf numFmtId="0" fontId="0" fillId="0" borderId="13" pivotButton="0" quotePrefix="0" xfId="0"/>
    <xf numFmtId="0" fontId="0" fillId="0" borderId="85" pivotButton="0" quotePrefix="0" xfId="0"/>
    <xf numFmtId="168" fontId="16" fillId="4" borderId="13" applyAlignment="1" pivotButton="0" quotePrefix="0" xfId="0">
      <alignment horizontal="right" vertical="center"/>
    </xf>
    <xf numFmtId="0" fontId="0" fillId="0" borderId="7" pivotButton="0" quotePrefix="0" xfId="0"/>
    <xf numFmtId="0" fontId="0" fillId="0" borderId="3" pivotButton="0" quotePrefix="0" xfId="0"/>
    <xf numFmtId="0" fontId="0" fillId="0" borderId="9" pivotButton="0" quotePrefix="0" xfId="0"/>
    <xf numFmtId="0" fontId="16" fillId="7" borderId="26" applyAlignment="1" pivotButton="0" quotePrefix="0" xfId="0">
      <alignment horizontal="center" vertical="center"/>
    </xf>
    <xf numFmtId="0" fontId="0" fillId="0" borderId="84" pivotButton="0" quotePrefix="0" xfId="0"/>
    <xf numFmtId="0" fontId="16" fillId="56" borderId="26" applyAlignment="1" pivotButton="0" quotePrefix="0" xfId="0">
      <alignment horizontal="center" vertical="center"/>
    </xf>
    <xf numFmtId="0" fontId="0" fillId="0" borderId="83" pivotButton="0" quotePrefix="0" xfId="0"/>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171" fontId="2" fillId="0" borderId="10" applyProtection="1" pivotButton="0" quotePrefix="0" xfId="1">
      <protection locked="0" hidden="0"/>
    </xf>
    <xf numFmtId="171" fontId="2" fillId="0" borderId="12" applyProtection="1" pivotButton="0" quotePrefix="0" xfId="1">
      <protection locked="0" hidden="0"/>
    </xf>
    <xf numFmtId="166" fontId="31" fillId="0" borderId="0" applyAlignment="1" pivotButton="0" quotePrefix="0" xfId="122">
      <alignment horizontal="left" vertical="center"/>
    </xf>
    <xf numFmtId="0" fontId="15" fillId="0" borderId="30" applyAlignment="1" pivotButton="0" quotePrefix="0" xfId="123">
      <alignment horizontal="left" vertical="center" wrapText="1"/>
    </xf>
    <xf numFmtId="0" fontId="0" fillId="0" borderId="43" pivotButton="0" quotePrefix="0" xfId="0"/>
    <xf numFmtId="0" fontId="0" fillId="0" borderId="44" pivotButton="0" quotePrefix="0" xfId="0"/>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167" fontId="121" fillId="7" borderId="26" applyAlignment="1" applyProtection="1" pivotButton="0" quotePrefix="0" xfId="159">
      <alignment horizontal="center" vertical="center"/>
      <protection locked="0" hidden="0"/>
    </xf>
    <xf numFmtId="169" fontId="15" fillId="0" borderId="52" applyAlignment="1" applyProtection="1" pivotButton="0" quotePrefix="0" xfId="1">
      <alignment vertical="center"/>
      <protection locked="0" hidden="0"/>
    </xf>
    <xf numFmtId="0" fontId="16" fillId="7" borderId="26" applyAlignment="1" applyProtection="1" pivotButton="0" quotePrefix="0" xfId="0">
      <alignment horizontal="center" vertical="center" shrinkToFit="1"/>
      <protection locked="0" hidden="0"/>
    </xf>
    <xf numFmtId="0" fontId="0" fillId="0" borderId="3"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43" fontId="15" fillId="0" borderId="0" applyAlignment="1" pivotButton="0" quotePrefix="0" xfId="1">
      <alignment horizontal="right" vertical="center" shrinkToFit="1"/>
    </xf>
    <xf numFmtId="164" fontId="15" fillId="0" borderId="0" applyAlignment="1" pivotButton="0" quotePrefix="0" xfId="1">
      <alignment horizontal="right" vertical="center" shrinkToFit="1"/>
    </xf>
    <xf numFmtId="43" fontId="15" fillId="0" borderId="0" applyAlignment="1" applyProtection="1" pivotButton="0" quotePrefix="0" xfId="260">
      <alignment horizontal="right" vertical="center" shrinkToFit="1"/>
      <protection locked="0" hidden="0"/>
    </xf>
    <xf numFmtId="164" fontId="15" fillId="0" borderId="0" applyAlignment="1" applyProtection="1" pivotButton="0" quotePrefix="0" xfId="260">
      <alignment horizontal="right" vertical="center" shrinkToFit="1"/>
      <protection locked="0" hidden="0"/>
    </xf>
    <xf numFmtId="43" fontId="15" fillId="6" borderId="0" applyAlignment="1" pivotButton="0" quotePrefix="0" xfId="1">
      <alignment horizontal="right" vertical="center" shrinkToFit="1"/>
    </xf>
    <xf numFmtId="43" fontId="15" fillId="0" borderId="0" applyAlignment="1" pivotButton="0" quotePrefix="0" xfId="0">
      <alignment vertical="center" shrinkToFit="1"/>
    </xf>
    <xf numFmtId="43" fontId="15" fillId="0" borderId="0" applyAlignment="1" applyProtection="1" pivotButton="0" quotePrefix="0" xfId="260">
      <alignment horizontal="center" vertical="center" shrinkToFit="1"/>
      <protection locked="0" hidden="0"/>
    </xf>
    <xf numFmtId="43" fontId="15" fillId="0" borderId="0" applyAlignment="1" applyProtection="1" pivotButton="0" quotePrefix="0" xfId="266">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5" fillId="0" borderId="0" applyAlignment="1" pivotButton="0" quotePrefix="0" xfId="0">
      <alignment horizontal="left" vertical="center" shrinkToFit="1"/>
    </xf>
    <xf numFmtId="169" fontId="2" fillId="0" borderId="78" applyAlignment="1" applyProtection="1" pivotButton="0" quotePrefix="0" xfId="260">
      <alignment horizontal="right" vertical="center" shrinkToFi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12" fillId="0" borderId="0" applyAlignment="1" applyProtection="1" pivotButton="0" quotePrefix="0" xfId="260">
      <alignment horizontal="center" vertical="center" shrinkToFit="1"/>
      <protection locked="0" hidden="0"/>
    </xf>
    <xf numFmtId="43" fontId="2" fillId="0" borderId="0" applyAlignment="1" applyProtection="1" pivotButton="0" quotePrefix="0" xfId="1">
      <alignment horizontal="right" vertical="center" shrinkToFit="1"/>
      <protection locked="0" hidden="0"/>
    </xf>
    <xf numFmtId="169" fontId="2" fillId="0" borderId="0" applyAlignment="1" applyProtection="1" pivotButton="0" quotePrefix="0" xfId="1">
      <alignment horizontal="right" vertical="center" shrinkToFit="1"/>
      <protection locked="0" hidden="0"/>
    </xf>
    <xf numFmtId="0" fontId="20" fillId="0" borderId="30" applyAlignment="1" applyProtection="1" pivotButton="0" quotePrefix="0" xfId="52">
      <alignment horizontal="left" vertical="center" wrapText="1"/>
      <protection locked="0" hidden="0"/>
    </xf>
    <xf numFmtId="0" fontId="0" fillId="0" borderId="24"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0" applyProtection="1" pivotButton="0" quotePrefix="0" xfId="0">
      <protection locked="0" hidden="0"/>
    </xf>
    <xf numFmtId="0" fontId="0" fillId="0" borderId="44" applyProtection="1" pivotButton="0" quotePrefix="0" xfId="0">
      <protection locked="0" hidden="0"/>
    </xf>
    <xf numFmtId="0" fontId="0" fillId="0" borderId="45" applyProtection="1" pivotButton="0" quotePrefix="0" xfId="0">
      <protection locked="0" hidden="0"/>
    </xf>
    <xf numFmtId="0" fontId="0" fillId="0" borderId="39" applyProtection="1" pivotButton="0" quotePrefix="0" xfId="0">
      <protection locked="0" hidden="0"/>
    </xf>
    <xf numFmtId="0" fontId="0" fillId="0" borderId="40" applyProtection="1" pivotButton="0" quotePrefix="0" xfId="0">
      <protection locked="0" hidden="0"/>
    </xf>
    <xf numFmtId="41" fontId="15" fillId="12" borderId="0" applyAlignment="1" pivotButton="0" quotePrefix="0" xfId="0">
      <alignment vertical="center"/>
    </xf>
    <xf numFmtId="43" fontId="15" fillId="0" borderId="0" applyAlignment="1" applyProtection="1" pivotButton="0" quotePrefix="0" xfId="1">
      <alignment horizontal="left" vertical="center" shrinkToFit="1"/>
      <protection locked="0" hidden="0"/>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168" fontId="2" fillId="0" borderId="0" applyAlignment="1" pivotButton="0" quotePrefix="0" xfId="0">
      <alignment vertical="center"/>
    </xf>
    <xf numFmtId="169" fontId="2" fillId="0" borderId="53" applyAlignment="1" pivotButton="0" quotePrefix="0" xfId="0">
      <alignment vertical="center"/>
    </xf>
    <xf numFmtId="169" fontId="2" fillId="0" borderId="48" applyAlignment="1" pivotButton="0" quotePrefix="0" xfId="0">
      <alignment vertical="center"/>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0" fillId="0" borderId="0" pivotButton="0" quotePrefix="0" xfId="128"/>
    <xf numFmtId="169" fontId="10" fillId="0" borderId="72" applyAlignment="1" pivotButton="0" quotePrefix="0" xfId="128">
      <alignment horizontal="right" vertical="center" shrinkToFit="1"/>
    </xf>
    <xf numFmtId="169" fontId="10" fillId="0" borderId="0" applyAlignment="1" pivotButton="0" quotePrefix="0" xfId="128">
      <alignment horizontal="right" vertical="center"/>
    </xf>
    <xf numFmtId="169" fontId="10" fillId="0" borderId="0" applyAlignment="1" applyProtection="1" pivotButton="0" quotePrefix="0" xfId="143">
      <alignment horizontal="right" vertical="center" shrinkToFit="1"/>
      <protection locked="0" hidden="0"/>
    </xf>
    <xf numFmtId="169" fontId="10" fillId="0" borderId="0" applyAlignment="1" applyProtection="1" pivotButton="0" quotePrefix="0" xfId="143">
      <alignment horizontal="right" vertical="center" wrapText="1"/>
      <protection locked="0" hidden="0"/>
    </xf>
    <xf numFmtId="0" fontId="22" fillId="0" borderId="30" applyAlignment="1" pivotButton="0" quotePrefix="0" xfId="128">
      <alignment horizontal="left" vertical="center" wrapText="1"/>
    </xf>
    <xf numFmtId="43" fontId="15" fillId="0" borderId="30" applyAlignment="1" pivotButton="0" quotePrefix="0" xfId="138">
      <alignment horizontal="right" vertical="center" shrinkToFit="1"/>
    </xf>
    <xf numFmtId="172" fontId="15" fillId="0" borderId="30" applyAlignment="1" pivotButton="0" quotePrefix="0" xfId="253">
      <alignment horizontal="right" vertical="center"/>
    </xf>
    <xf numFmtId="43" fontId="15" fillId="0" borderId="30" applyAlignment="1" pivotButton="0" quotePrefix="0" xfId="253">
      <alignment horizontal="right" vertical="center"/>
    </xf>
    <xf numFmtId="43" fontId="2" fillId="6" borderId="30" applyAlignment="1" pivotButton="0" quotePrefix="0" xfId="253">
      <alignment horizontal="right" vertical="center"/>
    </xf>
    <xf numFmtId="43" fontId="17" fillId="0" borderId="30" applyAlignment="1" pivotButton="0" quotePrefix="0" xfId="138">
      <alignment horizontal="right" vertical="center"/>
    </xf>
    <xf numFmtId="164" fontId="2" fillId="6" borderId="0" pivotButton="0" quotePrefix="0" xfId="253"/>
    <xf numFmtId="43" fontId="17" fillId="0" borderId="72" applyAlignment="1" pivotButton="0" quotePrefix="0" xfId="253">
      <alignment horizontal="right" vertical="center"/>
    </xf>
    <xf numFmtId="169" fontId="17" fillId="0" borderId="72" applyAlignment="1" pivotButton="0" quotePrefix="0" xfId="253">
      <alignment horizontal="right" vertical="center"/>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168" fontId="15" fillId="0" borderId="77" applyAlignment="1" applyProtection="1" pivotButton="0" quotePrefix="0" xfId="128">
      <alignment horizontal="right" vertical="center"/>
      <protection locked="0" hidden="0"/>
    </xf>
    <xf numFmtId="0" fontId="22" fillId="0" borderId="30" applyAlignment="1" pivotButton="0" quotePrefix="0" xfId="0">
      <alignment horizontal="left" vertical="center" wrapText="1"/>
    </xf>
    <xf numFmtId="0" fontId="17" fillId="0" borderId="12" applyAlignment="1" applyProtection="1" pivotButton="0" quotePrefix="0" xfId="0">
      <alignment horizontal="left" vertical="center" wrapText="1" indent="2"/>
      <protection locked="0" hidden="0"/>
    </xf>
    <xf numFmtId="43" fontId="15" fillId="0" borderId="30" applyAlignment="1" applyProtection="1" pivotButton="0" quotePrefix="0" xfId="157">
      <alignment horizontal="right" vertical="center" wrapText="1" shrinkToFi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1" fillId="56" borderId="26" applyAlignment="1" pivotButton="0" quotePrefix="0" xfId="0">
      <alignment horizontal="center" vertical="center"/>
    </xf>
    <xf numFmtId="43" fontId="17" fillId="0" borderId="33" applyAlignment="1" pivotButton="0" quotePrefix="0" xfId="1">
      <alignment horizontal="right" vertical="center"/>
    </xf>
    <xf numFmtId="0" fontId="125" fillId="0" borderId="30" applyAlignment="1" pivotButton="0" quotePrefix="0" xfId="123">
      <alignment horizontal="left" vertical="center" wrapText="1"/>
    </xf>
    <xf numFmtId="43" fontId="17" fillId="0" borderId="74" applyAlignment="1" applyProtection="1" pivotButton="0" quotePrefix="0" xfId="0">
      <alignment horizontal="right" vertical="center" wrapText="1"/>
      <protection locked="0" hidden="0"/>
    </xf>
    <xf numFmtId="43" fontId="17" fillId="0" borderId="77" applyAlignment="1" applyProtection="1" pivotButton="0" quotePrefix="0" xfId="0">
      <alignment horizontal="right" vertical="center" wrapText="1"/>
      <protection locked="0" hidden="0"/>
    </xf>
    <xf numFmtId="43" fontId="14" fillId="9" borderId="74" applyAlignment="1" applyProtection="1" pivotButton="0" quotePrefix="0" xfId="0">
      <alignment vertical="center" wrapText="1"/>
      <protection locked="0" hidden="0"/>
    </xf>
    <xf numFmtId="43" fontId="14" fillId="9" borderId="77"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170" fontId="14" fillId="9" borderId="73" applyAlignment="1" applyProtection="1" pivotButton="0" quotePrefix="0" xfId="0">
      <alignment horizontal="righ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0" fillId="0" borderId="86" applyProtection="1" pivotButton="0" quotePrefix="0" xfId="0">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165" fontId="2" fillId="6" borderId="0" applyAlignment="1" pivotButton="0" quotePrefix="0" xfId="127">
      <alignment vertical="center"/>
    </xf>
    <xf numFmtId="0" fontId="0" fillId="0" borderId="50" applyProtection="1" pivotButton="0" quotePrefix="0" xfId="0">
      <protection locked="0" hidden="0"/>
    </xf>
    <xf numFmtId="43" fontId="17" fillId="6" borderId="46" applyAlignment="1" applyProtection="1" pivotButton="0" quotePrefix="0" xfId="0">
      <alignment horizontal="right" vertical="center"/>
      <protection locked="0" hidden="0"/>
    </xf>
    <xf numFmtId="0" fontId="0" fillId="0" borderId="87" applyProtection="1" pivotButton="0" quotePrefix="0" xfId="0">
      <protection locked="0" hidden="0"/>
    </xf>
    <xf numFmtId="0" fontId="0" fillId="0" borderId="56" applyProtection="1" pivotButton="0" quotePrefix="0" xfId="0">
      <protection locked="0" hidden="0"/>
    </xf>
    <xf numFmtId="0" fontId="22" fillId="0" borderId="30" applyAlignment="1" pivotButton="0" quotePrefix="0" xfId="123">
      <alignment horizontal="left" vertical="center" wrapTex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43" fontId="18" fillId="0" borderId="13" applyAlignment="1" pivotButton="0" quotePrefix="0" xfId="65">
      <alignment horizontal="center" vertical="center"/>
    </xf>
    <xf numFmtId="164" fontId="2" fillId="0" borderId="0" applyAlignment="1" pivotButton="0" quotePrefix="0" xfId="65">
      <alignment horizontal="right" vertical="center" shrinkToFit="1"/>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9" applyAlignment="1" pivotButton="0" quotePrefix="0" xfId="65">
      <alignment horizontal="right" vertical="center" shrinkToFit="1"/>
    </xf>
    <xf numFmtId="164" fontId="2" fillId="0" borderId="67" applyAlignment="1" pivotButton="0" quotePrefix="0" xfId="128">
      <alignment horizontal="right" vertical="center" shrinkToFit="1"/>
    </xf>
    <xf numFmtId="43" fontId="17" fillId="6" borderId="34" applyAlignment="1" applyProtection="1" pivotButton="0" quotePrefix="0" xfId="0">
      <alignment horizontal="right" vertical="center"/>
      <protection locked="0" hidden="0"/>
    </xf>
    <xf numFmtId="0" fontId="0" fillId="0" borderId="55" applyProtection="1" pivotButton="0" quotePrefix="0" xfId="0">
      <protection locked="0" hidden="0"/>
    </xf>
    <xf numFmtId="168" fontId="17" fillId="0" borderId="77" applyAlignment="1" pivotButton="0" quotePrefix="0" xfId="0">
      <alignment horizontal="right" vertical="center"/>
    </xf>
    <xf numFmtId="169" fontId="17" fillId="5" borderId="0" applyAlignment="1" pivotButton="0" quotePrefix="0" xfId="0">
      <alignment horizontal="right" vertical="center"/>
    </xf>
    <xf numFmtId="164" fontId="10" fillId="5" borderId="0" applyAlignment="1" pivotButton="0" quotePrefix="0" xfId="0">
      <alignment horizontal="right" vertical="center"/>
    </xf>
    <xf numFmtId="168" fontId="17" fillId="0" borderId="53" applyAlignment="1" pivotButton="0" quotePrefix="0" xfId="0">
      <alignment horizontal="right" vertical="center"/>
    </xf>
  </cellXfs>
  <cellStyles count="372">
    <cellStyle name="常规" xfId="0" builtinId="0"/>
    <cellStyle name="千位分隔" xfId="1" builtinId="3"/>
    <cellStyle name="百分比" xfId="2" builtinId="5"/>
    <cellStyle name="_2005年工作底稿" xfId="3"/>
    <cellStyle name="_3-2-A22-无形资产" xfId="4"/>
    <cellStyle name="0%" xfId="5"/>
    <cellStyle name="0.0%" xfId="6"/>
    <cellStyle name="0.00%" xfId="7"/>
    <cellStyle name="00" xfId="8"/>
    <cellStyle name="20% - Accent1 2" xfId="9"/>
    <cellStyle name="20% - Accent1 2 2" xfId="10"/>
    <cellStyle name="20% - Accent6 2" xfId="11"/>
    <cellStyle name="20% - 着色 1 2" xfId="12"/>
    <cellStyle name="AA FRAME" xfId="13"/>
    <cellStyle name="AA HEADING" xfId="14"/>
    <cellStyle name="AA INITIALS" xfId="15"/>
    <cellStyle name="AA INPUT" xfId="16"/>
    <cellStyle name="AA LOCK" xfId="17"/>
    <cellStyle name="AA MGR NAME" xfId="18"/>
    <cellStyle name="AA NORMAL" xfId="19"/>
    <cellStyle name="AA NUMBER" xfId="20"/>
    <cellStyle name="AA NUMBER2" xfId="21"/>
    <cellStyle name="AA QUESTION" xfId="22"/>
    <cellStyle name="Accent1 - 20%" xfId="23"/>
    <cellStyle name="Accent1 - 60%" xfId="24"/>
    <cellStyle name="Accent2 - 20%" xfId="25"/>
    <cellStyle name="Accent2 - 40%" xfId="26"/>
    <cellStyle name="Accent2 - 60%" xfId="27"/>
    <cellStyle name="Accent2 2" xfId="28"/>
    <cellStyle name="Accent3 - 40%" xfId="29"/>
    <cellStyle name="Accent3 - 60%" xfId="30"/>
    <cellStyle name="Accent5 - 20%" xfId="31"/>
    <cellStyle name="Accent6 - 40%" xfId="32"/>
    <cellStyle name="Accent6 - 60%" xfId="33"/>
    <cellStyle name="args.style" xfId="34"/>
    <cellStyle name="Calc Currency (0)" xfId="35"/>
    <cellStyle name="Calc Currency (2)" xfId="36"/>
    <cellStyle name="Calc Percent (0)" xfId="37"/>
    <cellStyle name="Calc Percent (1)" xfId="38"/>
    <cellStyle name="Calc Percent (2)" xfId="39"/>
    <cellStyle name="Calc Units (0)" xfId="40"/>
    <cellStyle name="Calc Units (1)" xfId="41"/>
    <cellStyle name="category" xfId="42"/>
    <cellStyle name="cellStyleNum" xfId="43"/>
    <cellStyle name="cellStyleNum 2" xfId="44"/>
    <cellStyle name="cellStylePer" xfId="45"/>
    <cellStyle name="cellStylePer 2" xfId="46"/>
    <cellStyle name="Check Cell 2" xfId="47"/>
    <cellStyle name="Check Cell 2 3" xfId="48"/>
    <cellStyle name="Col Heads" xfId="49"/>
    <cellStyle name="Column_Title" xfId="50"/>
    <cellStyle name="Comma  - Style1" xfId="51"/>
    <cellStyle name="Comma [0] 2" xfId="52"/>
    <cellStyle name="Comma [0] 2 2 2 2 2 2 2 2 2" xfId="53"/>
    <cellStyle name="Comma [0] 2 5" xfId="54"/>
    <cellStyle name="Comma [0] 2 5 2 2" xfId="55"/>
    <cellStyle name="Comma [0] 2 8" xfId="56"/>
    <cellStyle name="Comma [0] 3 2 2" xfId="57"/>
    <cellStyle name="Comma [00]" xfId="58"/>
    <cellStyle name="Comma 10 2" xfId="59"/>
    <cellStyle name="Comma 10 2 2 2 2 2 2" xfId="60"/>
    <cellStyle name="Comma 10 3" xfId="61"/>
    <cellStyle name="Comma 11" xfId="62"/>
    <cellStyle name="Comma 11 3" xfId="63"/>
    <cellStyle name="Comma 2" xfId="64"/>
    <cellStyle name="Comma 2 11" xfId="65"/>
    <cellStyle name="Comma 2 14" xfId="66"/>
    <cellStyle name="Comma 2 15" xfId="67"/>
    <cellStyle name="Comma 2 2" xfId="68"/>
    <cellStyle name="Comma 2 2 10 2" xfId="69"/>
    <cellStyle name="Comma 2 2 2" xfId="70"/>
    <cellStyle name="Comma 2 2 2 2 2 2 2 2 2 2" xfId="71"/>
    <cellStyle name="Comma 2 2 2 2_1" xfId="72"/>
    <cellStyle name="Comma 2 3" xfId="73"/>
    <cellStyle name="Comma 2 3 2 2 2 2 2 2 2" xfId="74"/>
    <cellStyle name="Comma 2 3 2_1" xfId="75"/>
    <cellStyle name="Comma 2 7 2 4" xfId="76"/>
    <cellStyle name="Comma 5" xfId="77"/>
    <cellStyle name="comma zerodec" xfId="78"/>
    <cellStyle name="Comma,0" xfId="79"/>
    <cellStyle name="Comma,1" xfId="80"/>
    <cellStyle name="Comma,2" xfId="81"/>
    <cellStyle name="consultationStyle" xfId="82"/>
    <cellStyle name="Copied" xfId="83"/>
    <cellStyle name="COST1" xfId="84"/>
    <cellStyle name="Currency [00]" xfId="85"/>
    <cellStyle name="Currency,0" xfId="86"/>
    <cellStyle name="Currency,2" xfId="87"/>
    <cellStyle name="Currency1" xfId="88"/>
    <cellStyle name="dataStyle" xfId="89"/>
    <cellStyle name="Date" xfId="90"/>
    <cellStyle name="Date Short" xfId="91"/>
    <cellStyle name="Dezimal [0]_results" xfId="92"/>
    <cellStyle name="Dollar (zero dec)" xfId="93"/>
    <cellStyle name="Entered" xfId="94"/>
    <cellStyle name="entry" xfId="95"/>
    <cellStyle name="entry box" xfId="96"/>
    <cellStyle name="Euro" xfId="97"/>
    <cellStyle name="evenStyle 2 2" xfId="98"/>
    <cellStyle name="Good 2" xfId="99"/>
    <cellStyle name="Good 2 3" xfId="100"/>
    <cellStyle name="Good 2 4" xfId="101"/>
    <cellStyle name="Grey" xfId="102"/>
    <cellStyle name="HEADER" xfId="103"/>
    <cellStyle name="Header1" xfId="104"/>
    <cellStyle name="Header2" xfId="105"/>
    <cellStyle name="headStyle" xfId="106"/>
    <cellStyle name="Hyperlink 2" xfId="107"/>
    <cellStyle name="Hyperlink 2 2" xfId="108"/>
    <cellStyle name="Hyperlink 2 2 4" xfId="109"/>
    <cellStyle name="Hyperlink 2 4" xfId="110"/>
    <cellStyle name="Hyperlink 5 2" xfId="111"/>
    <cellStyle name="Hyperlink 5 3" xfId="112"/>
    <cellStyle name="Hyperlink 7" xfId="113"/>
    <cellStyle name="Input [yellow]" xfId="114"/>
    <cellStyle name="Input Cells" xfId="115"/>
    <cellStyle name="Linked Cells" xfId="116"/>
    <cellStyle name="Milliers [0]_!!!GO" xfId="117"/>
    <cellStyle name="Model" xfId="118"/>
    <cellStyle name="Normal - Style1" xfId="119"/>
    <cellStyle name="Normal - Style1 2" xfId="120"/>
    <cellStyle name="Normal 10 10" xfId="121"/>
    <cellStyle name="Normal 121" xfId="122"/>
    <cellStyle name="Normal 121 2" xfId="123"/>
    <cellStyle name="Normal 121 2 2 2 4" xfId="124"/>
    <cellStyle name="Normal 121 4" xfId="125"/>
    <cellStyle name="Normal 14 5" xfId="126"/>
    <cellStyle name="Normal 2" xfId="127"/>
    <cellStyle name="Normal 2 11" xfId="128"/>
    <cellStyle name="Normal 2 12" xfId="129"/>
    <cellStyle name="Normal 2 13" xfId="130"/>
    <cellStyle name="Normal 2 2" xfId="131"/>
    <cellStyle name="Normal 2 2 3" xfId="132"/>
    <cellStyle name="Normal 2 2 4" xfId="133"/>
    <cellStyle name="Normal 2 2_1" xfId="134"/>
    <cellStyle name="Normal 2 3 4" xfId="135"/>
    <cellStyle name="Normal 2 3 6 2" xfId="136"/>
    <cellStyle name="Normal 2 4" xfId="137"/>
    <cellStyle name="Normal 2 4 2" xfId="138"/>
    <cellStyle name="Normal 3" xfId="139"/>
    <cellStyle name="Normal 3 2 2 2" xfId="140"/>
    <cellStyle name="Normal 3 2 2 2 2" xfId="141"/>
    <cellStyle name="Normal 3 3" xfId="142"/>
    <cellStyle name="Normal 3 4" xfId="143"/>
    <cellStyle name="Normal 3 5" xfId="144"/>
    <cellStyle name="Normal 4 2" xfId="145"/>
    <cellStyle name="Normal 4 5" xfId="146"/>
    <cellStyle name="Normal 5 2" xfId="147"/>
    <cellStyle name="Normal 5 3" xfId="148"/>
    <cellStyle name="Normal 6 2" xfId="149"/>
    <cellStyle name="Normal 6_1" xfId="150"/>
    <cellStyle name="Normal 7" xfId="151"/>
    <cellStyle name="Normal 7 10" xfId="152"/>
    <cellStyle name="Normal 7 4" xfId="153"/>
    <cellStyle name="Normal 8" xfId="154"/>
    <cellStyle name="Normal 8 5" xfId="155"/>
    <cellStyle name="Normal 9" xfId="156"/>
    <cellStyle name="Normal_6" xfId="157"/>
    <cellStyle name="Normal_A 8 2a CAL - Interim 2 2" xfId="158"/>
    <cellStyle name="Normal_Sheet2" xfId="159"/>
    <cellStyle name="Normalny_Arkusz1" xfId="160"/>
    <cellStyle name="Œ…‹æØ‚è [0.00]_Region Orders (2)" xfId="161"/>
    <cellStyle name="Œ…‹æØ‚è_Region Orders (2)" xfId="162"/>
    <cellStyle name="per.style" xfId="163"/>
    <cellStyle name="Percent [0]" xfId="164"/>
    <cellStyle name="Percent [00]" xfId="165"/>
    <cellStyle name="Percent [2]" xfId="166"/>
    <cellStyle name="Percent 2" xfId="167"/>
    <cellStyle name="Percent 2 3" xfId="168"/>
    <cellStyle name="Percent 2 5" xfId="169"/>
    <cellStyle name="Percent 3" xfId="170"/>
    <cellStyle name="Pourcentage_pldt" xfId="171"/>
    <cellStyle name="Prefilled" xfId="172"/>
    <cellStyle name="price" xfId="173"/>
    <cellStyle name="pricing" xfId="174"/>
    <cellStyle name="PSChar" xfId="175"/>
    <cellStyle name="PSHeading" xfId="176"/>
    <cellStyle name="revised" xfId="177"/>
    <cellStyle name="RevList" xfId="178"/>
    <cellStyle name="row_def_array" xfId="179"/>
    <cellStyle name="SAPBEXaggData" xfId="180"/>
    <cellStyle name="SAPBEXaggDataEmph" xfId="181"/>
    <cellStyle name="SAPBEXaggItem" xfId="182"/>
    <cellStyle name="SAPBEXaggItemX" xfId="183"/>
    <cellStyle name="SAPBEXchaText" xfId="184"/>
    <cellStyle name="SAPBEXexcBad7" xfId="185"/>
    <cellStyle name="SAPBEXexcBad8" xfId="186"/>
    <cellStyle name="SAPBEXexcBad9" xfId="187"/>
    <cellStyle name="SAPBEXexcCritical4" xfId="188"/>
    <cellStyle name="SAPBEXexcCritical5" xfId="189"/>
    <cellStyle name="SAPBEXexcCritical6" xfId="190"/>
    <cellStyle name="SAPBEXexcGood1" xfId="191"/>
    <cellStyle name="SAPBEXexcGood2" xfId="192"/>
    <cellStyle name="SAPBEXexcGood3" xfId="193"/>
    <cellStyle name="SAPBEXfilterDrill" xfId="194"/>
    <cellStyle name="SAPBEXfilterItem" xfId="195"/>
    <cellStyle name="SAPBEXfilterText" xfId="196"/>
    <cellStyle name="SAPBEXformats" xfId="197"/>
    <cellStyle name="SAPBEXheaderText" xfId="198"/>
    <cellStyle name="SAPBEXHLevel0" xfId="199"/>
    <cellStyle name="SAPBEXHLevel0X" xfId="200"/>
    <cellStyle name="SAPBEXHLevel1" xfId="201"/>
    <cellStyle name="SAPBEXHLevel1X" xfId="202"/>
    <cellStyle name="SAPBEXHLevel2" xfId="203"/>
    <cellStyle name="SAPBEXHLevel2X" xfId="204"/>
    <cellStyle name="SAPBEXHLevel3" xfId="205"/>
    <cellStyle name="SAPBEXHLevel3X" xfId="206"/>
    <cellStyle name="SAPBEXresData" xfId="207"/>
    <cellStyle name="SAPBEXresDataEmph" xfId="208"/>
    <cellStyle name="SAPBEXresItem" xfId="209"/>
    <cellStyle name="SAPBEXresItemX" xfId="210"/>
    <cellStyle name="SAPBEXstdData" xfId="211"/>
    <cellStyle name="SAPBEXstdDataEmph" xfId="212"/>
    <cellStyle name="SAPBEXstdItem" xfId="213"/>
    <cellStyle name="SAPBEXstdItemX" xfId="214"/>
    <cellStyle name="SAPBEXtitle" xfId="215"/>
    <cellStyle name="SAPBEXundefined" xfId="216"/>
    <cellStyle name="section" xfId="217"/>
    <cellStyle name="SOR" xfId="218"/>
    <cellStyle name="subhead" xfId="219"/>
    <cellStyle name="Subtotal" xfId="220"/>
    <cellStyle name="Text Indent A" xfId="221"/>
    <cellStyle name="Text Indent B" xfId="222"/>
    <cellStyle name="Text Indent C" xfId="223"/>
    <cellStyle name="Text Snip" xfId="224"/>
    <cellStyle name="title 2" xfId="225"/>
    <cellStyle name="Total 2" xfId="226"/>
    <cellStyle name="Tusental (0)_pldt" xfId="227"/>
    <cellStyle name="Tusental_pldt" xfId="228"/>
    <cellStyle name="Valuta (0)_pldt" xfId="229"/>
    <cellStyle name="Valuta_pldt" xfId="230"/>
    <cellStyle name="パーセント_laroux" xfId="231"/>
    <cellStyle name="_laroux" xfId="232"/>
    <cellStyle name="だ[0]_PLDT" xfId="233"/>
    <cellStyle name="だ_PLDT" xfId="234"/>
    <cellStyle name="だ_laroux" xfId="235"/>
    <cellStyle name="百分比 2" xfId="236"/>
    <cellStyle name="百分比 2 3" xfId="237"/>
    <cellStyle name="百分比 3 2" xfId="238"/>
    <cellStyle name="百分比 4" xfId="239"/>
    <cellStyle name="捠壿 [0.00]_PRODUCT DETAIL Q1" xfId="240"/>
    <cellStyle name="標準_１１月価格表" xfId="241"/>
    <cellStyle name="表标题" xfId="242"/>
    <cellStyle name="差_10存货" xfId="243"/>
    <cellStyle name="差_11-持有至到期投资（空白模板）" xfId="244"/>
    <cellStyle name="差_3-2 进一步审计程序-采购与付款循环" xfId="245"/>
    <cellStyle name="差_dxn底稿目录" xfId="246"/>
    <cellStyle name="常规 10 5" xfId="247"/>
    <cellStyle name="常规 11" xfId="248"/>
    <cellStyle name="常规 2" xfId="249"/>
    <cellStyle name="常规 2- " xfId="250"/>
    <cellStyle name="常规 2 10" xfId="251"/>
    <cellStyle name="常规 2 16" xfId="252"/>
    <cellStyle name="常规 2 19" xfId="253"/>
    <cellStyle name="常规 2 2 2 3" xfId="254"/>
    <cellStyle name="常规 2 2 3 3" xfId="255"/>
    <cellStyle name="常规 2 2 3 3 2" xfId="256"/>
    <cellStyle name="常规 2 2 5 5" xfId="257"/>
    <cellStyle name="常规 2 3 2" xfId="258"/>
    <cellStyle name="常规 3" xfId="259"/>
    <cellStyle name="常规 3 2" xfId="260"/>
    <cellStyle name="常规 3 2 3" xfId="261"/>
    <cellStyle name="常规 3 2 3 2" xfId="262"/>
    <cellStyle name="常规 3_1" xfId="263"/>
    <cellStyle name="常规 4" xfId="264"/>
    <cellStyle name="常规 6 3" xfId="265"/>
    <cellStyle name="常规_ZA 货币资金" xfId="266"/>
    <cellStyle name="超级链接_综合类底稿表格" xfId="267"/>
    <cellStyle name="超链接 3" xfId="268"/>
    <cellStyle name="好_10存货" xfId="269"/>
    <cellStyle name="好_11-持有至到期投资（空白模板）" xfId="270"/>
    <cellStyle name="好_1财务费用" xfId="271"/>
    <cellStyle name="好_3-2 进一步审计程序-采购与付款循环" xfId="272"/>
    <cellStyle name="好_大信底稿目录" xfId="273"/>
    <cellStyle name="桁区切り [0.00]_１１月価格表" xfId="274"/>
    <cellStyle name="货币 2" xfId="275"/>
    <cellStyle name="货币 2 2 2 2" xfId="276"/>
    <cellStyle name="貨幣 [0]_SGV" xfId="277"/>
    <cellStyle name="貨幣_SGV" xfId="278"/>
    <cellStyle name="霓付 [0]_1202" xfId="279"/>
    <cellStyle name="霓付_1202" xfId="280"/>
    <cellStyle name="欧" xfId="281"/>
    <cellStyle name="烹拳 [0]_1202" xfId="282"/>
    <cellStyle name="烹拳_1202" xfId="283"/>
    <cellStyle name="砯刽 [0]_PLDT" xfId="284"/>
    <cellStyle name="砯刽_PLDT" xfId="285"/>
    <cellStyle name="普通_ 白土" xfId="286"/>
    <cellStyle name="千分位_ 白土" xfId="287"/>
    <cellStyle name="千位分隔 2" xfId="288"/>
    <cellStyle name="千位分隔 2 2" xfId="289"/>
    <cellStyle name="千位分隔 2 2 2 2 2 2 2" xfId="290"/>
    <cellStyle name="千位分隔 2 2 2 2 3" xfId="291"/>
    <cellStyle name="千位分隔 2 3 3 3" xfId="292"/>
    <cellStyle name="千位分隔 2_1" xfId="293"/>
    <cellStyle name="千位分隔 3 2 2 3" xfId="294"/>
    <cellStyle name="千位分隔 5 2 4" xfId="295"/>
    <cellStyle name="千位分隔[0] 2" xfId="296"/>
    <cellStyle name="钎霖_(沥焊何巩)岿喊牢盔拌裙" xfId="297"/>
    <cellStyle name="强调 1" xfId="298"/>
    <cellStyle name="强调 2" xfId="299"/>
    <cellStyle name="强调 3" xfId="300"/>
    <cellStyle name="通貨 [0.00]_１１月価格表" xfId="301"/>
    <cellStyle name="通貨_１１月価格表" xfId="302"/>
    <cellStyle name="一般_SGV" xfId="303"/>
    <cellStyle name="昗弨_BOOKSHIP" xfId="304"/>
    <cellStyle name="寘嬫愗傝 [0.00]_PRODUCT DETAIL Q1" xfId="305"/>
    <cellStyle name="寘嬫愗傝_PRODUCT DETAIL Q1" xfId="306"/>
    <cellStyle name="资产" xfId="307"/>
    <cellStyle name="콤마 [0]_BOILER-CO1" xfId="308"/>
    <cellStyle name="콤마_BOILER-CO1" xfId="309"/>
    <cellStyle name="통화 [0]_BOILER-CO1" xfId="310"/>
    <cellStyle name="표준_0N-HANDLING " xfId="311"/>
    <cellStyle name="差 2" xfId="312"/>
    <cellStyle name="好 2" xfId="313"/>
    <cellStyle name="千位分隔 2 3" xfId="314"/>
    <cellStyle name="Normal 4" xfId="315"/>
    <cellStyle name="Normal 4 2 2" xfId="316"/>
    <cellStyle name="Normal 5" xfId="317"/>
    <cellStyle name="Normal 6 2 2 2 2" xfId="318"/>
    <cellStyle name="千位分隔 3" xfId="319"/>
    <cellStyle name="AA FRAME 2" xfId="320"/>
    <cellStyle name="Comma 2 6" xfId="321"/>
    <cellStyle name="Comma 2 8" xfId="322"/>
    <cellStyle name="cellStyleNum 3" xfId="323"/>
    <cellStyle name="cellStyleNum 2 2" xfId="324"/>
    <cellStyle name="cellStylePer 3" xfId="325"/>
    <cellStyle name="cellStylePer 2 2" xfId="326"/>
    <cellStyle name="Comma [0] 2 2 2 2 2 2 2 2 2 2" xfId="327"/>
    <cellStyle name="Comma [0] 2 5 2 2 2" xfId="328"/>
    <cellStyle name="Comma [0] 2 8 2" xfId="329"/>
    <cellStyle name="Comma [0] 3 2 2 2" xfId="330"/>
    <cellStyle name="Comma 10 2 2 2 2 2 2 2" xfId="331"/>
    <cellStyle name="Comma 10 3 2" xfId="332"/>
    <cellStyle name="Comma 11 3 2" xfId="333"/>
    <cellStyle name="Comma 2 4" xfId="334"/>
    <cellStyle name="Comma 2 11 2" xfId="335"/>
    <cellStyle name="Comma 2 15 2" xfId="336"/>
    <cellStyle name="Comma 2 2 10 2 2" xfId="337"/>
    <cellStyle name="Comma 2 2 2 2 2 2 2 2 2 2 2" xfId="338"/>
    <cellStyle name="Comma 2 3 2 2 2 2 2 2 2 2" xfId="339"/>
    <cellStyle name="Comma 2 7 2 4 2" xfId="340"/>
    <cellStyle name="Comma 5 2" xfId="341"/>
    <cellStyle name="dataStyle 2" xfId="342"/>
    <cellStyle name="entry box 2" xfId="343"/>
    <cellStyle name="evenStyle 2 2 2" xfId="344"/>
    <cellStyle name="Header1 2" xfId="345"/>
    <cellStyle name="headStyle 2" xfId="346"/>
    <cellStyle name="SAPBEXfilterDrill 2" xfId="347"/>
    <cellStyle name="Input [yellow] 2" xfId="348"/>
    <cellStyle name="Normal 7 10 2" xfId="349"/>
    <cellStyle name="Prefilled 2" xfId="350"/>
    <cellStyle name="SAPBEXfilterDrill 4" xfId="351"/>
    <cellStyle name="SAPBEXfilterDrill 3" xfId="352"/>
    <cellStyle name="SOR 2" xfId="353"/>
    <cellStyle name="Comma 2 9" xfId="354"/>
    <cellStyle name="Comma 2 7" xfId="355"/>
    <cellStyle name="Comma 2 5" xfId="356"/>
    <cellStyle name="千位分隔 2 4" xfId="357"/>
    <cellStyle name="千位分隔 2 2 2 2 2 2 2 2" xfId="358"/>
    <cellStyle name="千位分隔 2 2 2 2 3 2" xfId="359"/>
    <cellStyle name="千位分隔 2 3 3 3 2" xfId="360"/>
    <cellStyle name="千位分隔 3 2 2 3 2" xfId="361"/>
    <cellStyle name="千位分隔 5 2 4 2" xfId="362"/>
    <cellStyle name="千位分隔[0] 2 2" xfId="363"/>
    <cellStyle name="资产 2" xfId="364"/>
    <cellStyle name="千位分隔 2 3 2" xfId="365"/>
    <cellStyle name="Normal 5 4" xfId="366"/>
    <cellStyle name="Normal 6 2 2 2 2 2" xfId="367"/>
    <cellStyle name="常规 2 2 5 3" xfId="368"/>
    <cellStyle name="常规 15" xfId="369"/>
    <cellStyle name="Normal 4 3" xfId="370"/>
    <cellStyle name="Hyperlink" xfId="371"/>
  </cellStyles>
  <dxfs count="42">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2" defaultTableStyle="TableStyleMedium2" defaultPivotStyle="PivotStyleLight16">
    <tableStyle name="Invisible" pivot="0" table="0" count="0"/>
    <tableStyle name="MySqlDefault"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a%20Negative%20cash.xlsx?d=w85bea283ab1c470c8ede0132fb417f23&amp;csf=1&amp;web=1&amp;e=j3Ajh9" TargetMode="External" Id="rId1" /><Relationship Type="http://schemas.openxmlformats.org/officeDocument/2006/relationships/hyperlink" Target="../../../../emma_jh_he_cn_ey_com/Documents/Desktop/FY26/C%20PO/C.00d%20Negative%20cash.xlsx?web=1"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c%20%E7%8E%B0%E9%87%91%E7%9B%98%E7%82%B9.xlsx?d=wbd3f59f0adb6484e912d6e014c77041c&amp;csf=1&amp;web=1&amp;e=aI3hhm" TargetMode="External" Id="rId3" /><Relationship Type="http://schemas.openxmlformats.org/officeDocument/2006/relationships/hyperlink" Target="../../../../emma_jh_he_cn_ey_com/Documents/Desktop/FY26/C%20PO/C.00e%20%E7%8E%B0%E9%87%91%E7%9B%98%E7%82%B9.xlsx?web=1" TargetMode="External" Id="rId4" /></Relationships>
</file>

<file path=xl/worksheets/sheet1.xml><?xml version="1.0" encoding="utf-8"?>
<worksheet xmlns="http://schemas.openxmlformats.org/spreadsheetml/2006/main">
  <sheetPr>
    <outlinePr summaryBelow="1" summaryRight="1"/>
    <pageSetUpPr/>
  </sheetPr>
  <dimension ref="A1:J23"/>
  <sheetViews>
    <sheetView showGridLines="0" zoomScale="70" zoomScaleNormal="70" workbookViewId="0">
      <selection activeCell="C3" sqref="C3:E4"/>
    </sheetView>
  </sheetViews>
  <sheetFormatPr baseColWidth="8" defaultColWidth="9" defaultRowHeight="12.75" customHeight="1"/>
  <cols>
    <col width="2.625" customWidth="1" style="123" min="1" max="1"/>
    <col width="10.25" customWidth="1" style="370" min="2" max="2"/>
    <col width="18" customWidth="1" style="123" min="3" max="3"/>
    <col width="19.375" customWidth="1" style="123" min="4" max="4"/>
    <col width="15" customWidth="1" style="123" min="5" max="5"/>
    <col width="20.375" bestFit="1" customWidth="1" style="370" min="6" max="6"/>
    <col width="11.875" customWidth="1" style="370" min="7" max="7"/>
    <col width="28.25" customWidth="1" style="6" min="8" max="8"/>
    <col width="39.375" customWidth="1" style="123" min="9" max="9"/>
    <col width="9" customWidth="1" style="123" min="10" max="16384"/>
  </cols>
  <sheetData>
    <row r="1" ht="20.25" customHeight="1" s="726">
      <c r="A1" s="583" t="inlineStr">
        <is>
          <t>V6 SWP</t>
        </is>
      </c>
    </row>
    <row r="2" ht="15" customHeight="1" s="726">
      <c r="B2" s="469" t="inlineStr">
        <is>
          <t>C.00</t>
        </is>
      </c>
      <c r="C2" s="727" t="inlineStr">
        <is>
          <t>C.00 Lead sheet（认定：E、 V 、C）</t>
        </is>
      </c>
      <c r="D2" s="728" t="n"/>
      <c r="E2" s="729" t="n"/>
      <c r="F2" s="371" t="inlineStr">
        <is>
          <t>程序页</t>
        </is>
      </c>
      <c r="G2" s="371" t="inlineStr">
        <is>
          <t>执行</t>
        </is>
      </c>
      <c r="H2" s="372" t="inlineStr">
        <is>
          <t>不执行的原因</t>
        </is>
      </c>
      <c r="I2" s="371" t="inlineStr">
        <is>
          <t>注意事项</t>
        </is>
      </c>
    </row>
    <row r="3" ht="33" customHeight="1" s="726">
      <c r="B3" s="589" t="n">
        <v>1</v>
      </c>
      <c r="C3" s="730" t="inlineStr">
        <is>
          <t>我们通过波动分析，识别不符合我们预期的账户设置以及账户余额的变化，并确认这些变化对计划实施的实质性程序的影响。</t>
        </is>
      </c>
      <c r="D3" s="731" t="n"/>
      <c r="E3" s="732" t="n"/>
      <c r="F3" s="361" t="inlineStr">
        <is>
          <t>C.00 Lead</t>
        </is>
      </c>
      <c r="G3" s="549" t="n"/>
      <c r="H3" s="548" t="n"/>
      <c r="I3" s="546" t="n"/>
    </row>
    <row r="4" ht="33" customHeight="1" s="726">
      <c r="B4" s="733" t="n"/>
      <c r="C4" s="734" t="n"/>
      <c r="D4" s="735" t="n"/>
      <c r="E4" s="736" t="n"/>
      <c r="F4" s="361" t="inlineStr">
        <is>
          <t>C.00 BKD</t>
        </is>
      </c>
      <c r="G4" s="549" t="n"/>
      <c r="H4" s="548" t="n"/>
      <c r="I4" s="546" t="n"/>
    </row>
    <row r="5" ht="15" customHeight="1" s="726">
      <c r="B5" s="470" t="inlineStr">
        <is>
          <t>C.01</t>
        </is>
      </c>
      <c r="C5" s="737" t="inlineStr">
        <is>
          <t>C.01 Confirmations（认定：E、 V 、C、R&amp;O、P&amp;D）</t>
        </is>
      </c>
      <c r="D5" s="728" t="n"/>
      <c r="E5" s="729" t="n"/>
      <c r="F5" s="371" t="inlineStr">
        <is>
          <t>程序页</t>
        </is>
      </c>
      <c r="G5" s="371" t="inlineStr">
        <is>
          <t>执行</t>
        </is>
      </c>
      <c r="H5" s="372" t="inlineStr">
        <is>
          <t>不执行的原因</t>
        </is>
      </c>
      <c r="I5" s="371" t="inlineStr">
        <is>
          <t>注意事项</t>
        </is>
      </c>
    </row>
    <row r="6" ht="44.25" customHeight="1" s="726">
      <c r="B6" s="589" t="n">
        <v>1</v>
      </c>
      <c r="C6" s="730" t="inlineStr">
        <is>
          <t>我们对所有性质或金额重大的账户发送询证函，将回函金额核对到银行余额调节表中的银行余额，对于无余额调节项的账户，我们将回函金额直接核对到账面余额。我们审阅回函中的其他信息，我们在&lt;C.01&gt;记录函证跟进工作；
当函证程序不适用时，或回函除金额外的其他信息（如资金归集）需要进一步测试，我们在&lt;C.01b&gt;中记录我们的工作。</t>
        </is>
      </c>
      <c r="D6" s="731" t="n"/>
      <c r="E6" s="732" t="n"/>
      <c r="F6" s="361" t="inlineStr">
        <is>
          <t>C.01 Confirmations</t>
        </is>
      </c>
      <c r="G6" s="549" t="n"/>
      <c r="H6" s="548" t="n"/>
      <c r="I6" s="547" t="n"/>
    </row>
    <row r="7" ht="68.25" customHeight="1" s="726">
      <c r="B7" s="733" t="n"/>
      <c r="C7" s="734" t="n"/>
      <c r="D7" s="735" t="n"/>
      <c r="E7" s="736" t="n"/>
      <c r="F7" s="361" t="inlineStr">
        <is>
          <t>C.01b 特殊账户程序</t>
        </is>
      </c>
      <c r="G7" s="549" t="n"/>
      <c r="H7" s="548" t="n"/>
      <c r="I7" s="547" t="n"/>
    </row>
    <row r="8" ht="15" customHeight="1" s="726">
      <c r="B8" s="470" t="inlineStr">
        <is>
          <t>C.00b</t>
        </is>
      </c>
      <c r="C8" s="738" t="inlineStr">
        <is>
          <t>C.00b Other classification （认定：P&amp;D）</t>
        </is>
      </c>
      <c r="D8" s="728" t="n"/>
      <c r="E8" s="729" t="n"/>
      <c r="F8" s="371" t="inlineStr">
        <is>
          <t>程序页</t>
        </is>
      </c>
      <c r="G8" s="371" t="inlineStr">
        <is>
          <t>执行</t>
        </is>
      </c>
      <c r="H8" s="372" t="inlineStr">
        <is>
          <t>不执行的原因</t>
        </is>
      </c>
      <c r="I8" s="371" t="inlineStr">
        <is>
          <t>注意事项</t>
        </is>
      </c>
    </row>
    <row r="9" ht="45" customHeight="1" s="726">
      <c r="B9" s="589" t="n">
        <v>1</v>
      </c>
      <c r="C9" s="730" t="inlineStr">
        <is>
          <t>我们评估管理层对货币资金明细项的分类是否正确，包括其中的受限项目、现金及现金等价物类别的项目。</t>
        </is>
      </c>
      <c r="D9" s="728" t="n"/>
      <c r="E9" s="729" t="n"/>
      <c r="F9" s="361" t="inlineStr">
        <is>
          <t>C.00b Other classification</t>
        </is>
      </c>
      <c r="G9" s="549" t="n"/>
      <c r="H9" s="548" t="n"/>
      <c r="I9" s="546" t="n"/>
    </row>
    <row r="10" ht="15" customHeight="1" s="726">
      <c r="B10" s="470" t="inlineStr">
        <is>
          <t>C.02</t>
        </is>
      </c>
      <c r="C10" s="738" t="inlineStr">
        <is>
          <t>C.02 Bank reconciliations（认定：E、 V 、C）</t>
        </is>
      </c>
      <c r="D10" s="728" t="n"/>
      <c r="E10" s="729" t="n"/>
      <c r="F10" s="371" t="inlineStr">
        <is>
          <t>程序页</t>
        </is>
      </c>
      <c r="G10" s="371" t="inlineStr">
        <is>
          <t>执行</t>
        </is>
      </c>
      <c r="H10" s="372" t="inlineStr">
        <is>
          <t>不执行的原因</t>
        </is>
      </c>
      <c r="I10" s="371" t="inlineStr">
        <is>
          <t>注意事项</t>
        </is>
      </c>
    </row>
    <row r="11" ht="52.5" customHeight="1" s="726">
      <c r="B11" s="739" t="inlineStr">
        <is>
          <t>1</t>
        </is>
      </c>
      <c r="C11" s="740" t="inlineStr">
        <is>
          <t>我们通过&lt;C.01&gt;及&lt;C.01b&gt;识别存在余额调节项的银行账户，并获取这些账户的余额调节表。
我们识别并选择了大于TT测试阈值的调节项以及其他被认为异常或预期外的调节项进行测试，我们识别并调查超SAD名义金额的未调节差异。
我们针对选中测试的有调节项的银行账户及识别出存在与调节项完整性相关的重大错报风险的银行账户，获取并复核了期后银行对账单。</t>
        </is>
      </c>
      <c r="D11" s="731" t="n"/>
      <c r="E11" s="732" t="n"/>
      <c r="F11" s="361" t="inlineStr">
        <is>
          <t>C.02 Bank reconciliations</t>
        </is>
      </c>
      <c r="G11" s="549" t="n"/>
      <c r="H11" s="548" t="n"/>
      <c r="I11" s="546" t="n"/>
    </row>
    <row r="12" ht="69" customHeight="1" s="726">
      <c r="B12" s="733" t="n"/>
      <c r="C12" s="734" t="n"/>
      <c r="D12" s="735" t="n"/>
      <c r="E12" s="736" t="n"/>
      <c r="F12" s="361" t="inlineStr">
        <is>
          <t>C.02a外币测算</t>
        </is>
      </c>
      <c r="G12" s="549" t="n"/>
      <c r="H12" s="548" t="n"/>
      <c r="I12" s="546" t="n"/>
    </row>
    <row r="13" ht="15" customHeight="1" s="726">
      <c r="B13" s="470" t="inlineStr">
        <is>
          <t>C.03</t>
        </is>
      </c>
      <c r="C13" s="741" t="inlineStr">
        <is>
          <t>C.03 Cutoff （认定：E、 C）</t>
        </is>
      </c>
      <c r="D13" s="731" t="n"/>
      <c r="E13" s="732" t="n"/>
      <c r="F13" s="371" t="inlineStr">
        <is>
          <t>程序页</t>
        </is>
      </c>
      <c r="G13" s="371" t="inlineStr">
        <is>
          <t>执行</t>
        </is>
      </c>
      <c r="H13" s="372" t="inlineStr">
        <is>
          <t>不执行的原因</t>
        </is>
      </c>
      <c r="I13" s="371" t="inlineStr">
        <is>
          <t>注意事项</t>
        </is>
      </c>
    </row>
    <row r="14" ht="106.5" customHeight="1" s="726">
      <c r="B14" s="504" t="n">
        <v>1</v>
      </c>
      <c r="C14" s="619" t="inlineStr">
        <is>
          <t>此程序涉及被审计单位，在适用函证测试范围内的银行账户，与被审计单位的另一个银行账户（不局限于适用函证测试的银行账户）之间的转账。我们记录了确定截止期间的理由，包含我们在⻛险评估程序中的考虑事项，以及这些事项如何影响我们对截⽌期间和样本量的确定。
IPE 考虑：</t>
        </is>
      </c>
      <c r="D14" s="742" t="n"/>
      <c r="E14" s="743" t="n"/>
      <c r="F14" s="468" t="inlineStr">
        <is>
          <t xml:space="preserve">C.03 Cutoff </t>
        </is>
      </c>
      <c r="G14" s="549" t="n"/>
      <c r="H14" s="548" t="n"/>
      <c r="I14" s="550" t="inlineStr">
        <is>
          <t>根据账户的性质和交易的金额，选取金额以及性质重大的账户进行截止性测试。
中国境内的银行转账业务基本能够实现T+1入账，因此我们往往选择资产负债表日前后1天作为测试期间；但如在期末，存在较多跨境交易和国际账户，则需适当延长测试期间。</t>
        </is>
      </c>
    </row>
    <row r="15">
      <c r="C15" s="459" t="n"/>
      <c r="D15" s="459" t="n"/>
      <c r="E15" s="459" t="n"/>
      <c r="H15" s="123" t="n"/>
    </row>
    <row r="16" ht="15" customHeight="1" s="726">
      <c r="B16" s="469" t="inlineStr">
        <is>
          <t>C.00</t>
        </is>
      </c>
      <c r="C16" s="738" t="inlineStr">
        <is>
          <t>Supplementary</t>
        </is>
      </c>
      <c r="D16" s="728" t="n"/>
      <c r="E16" s="729" t="n"/>
      <c r="F16" s="371" t="inlineStr">
        <is>
          <t>文件名称</t>
        </is>
      </c>
      <c r="H16" s="123" t="n"/>
    </row>
    <row r="17" ht="15" customHeight="1" s="726">
      <c r="B17" s="471" t="inlineStr">
        <is>
          <t>C.00a</t>
        </is>
      </c>
      <c r="C17" s="550" t="inlineStr">
        <is>
          <t>我们评估管理层对现⾦和现⾦等价物负值余额分类的适当性。</t>
        </is>
      </c>
      <c r="D17" s="728" t="n"/>
      <c r="E17" s="729" t="n"/>
      <c r="F17" s="362" t="inlineStr">
        <is>
          <t>C.00a Negative cash</t>
        </is>
      </c>
      <c r="H17" s="123" t="n"/>
      <c r="J17" t="inlineStr">
        <is>
          <t>../../../../emma_jh_he_cn_ey_com/Documents/Desktop/FY26/C%20PO/C.00d%20Negative%20cash.xlsx?web=1</t>
        </is>
      </c>
    </row>
    <row r="18" ht="15.75" customHeight="1" s="726">
      <c r="B18" s="471" t="inlineStr">
        <is>
          <t>C.00c</t>
        </is>
      </c>
      <c r="C18" s="740" t="inlineStr">
        <is>
          <t>我们对现金执行了盘点程序。</t>
        </is>
      </c>
      <c r="D18" s="728" t="n"/>
      <c r="E18" s="729" t="n"/>
      <c r="F18" s="362" t="inlineStr">
        <is>
          <t>C.00c 现金盘点</t>
        </is>
      </c>
      <c r="H18" s="123" t="n"/>
      <c r="J18" t="inlineStr">
        <is>
          <t>../../../../emma_jh_he_cn_ey_com/Documents/Desktop/FY26/C%20PO/C.00e%20%E7%8E%B0%E9%87%91%E7%9B%98%E7%82%B9.xlsx?web=1</t>
        </is>
      </c>
    </row>
    <row r="19">
      <c r="H19" s="123" t="n"/>
    </row>
    <row r="20">
      <c r="H20" s="123" t="n"/>
    </row>
    <row r="21">
      <c r="H21" s="123" t="n"/>
    </row>
    <row r="22">
      <c r="H22" s="123" t="n"/>
    </row>
    <row r="23">
      <c r="H23" s="123" t="n"/>
    </row>
  </sheetData>
  <mergeCells count="16">
    <mergeCell ref="C16:E16"/>
    <mergeCell ref="C6:E7"/>
    <mergeCell ref="C2:E2"/>
    <mergeCell ref="C14:E14"/>
    <mergeCell ref="C13:E13"/>
    <mergeCell ref="C5:E5"/>
    <mergeCell ref="C11:E12"/>
    <mergeCell ref="B3:B4"/>
    <mergeCell ref="C8:E8"/>
    <mergeCell ref="C18:E18"/>
    <mergeCell ref="C9:E9"/>
    <mergeCell ref="B11:B12"/>
    <mergeCell ref="C17:E17"/>
    <mergeCell ref="C3:E4"/>
    <mergeCell ref="B6:B7"/>
    <mergeCell ref="C10:E10"/>
  </mergeCells>
  <conditionalFormatting sqref="G3:G4">
    <cfRule type="containsBlanks" priority="22" dxfId="11">
      <formula>LEN(TRIM(G3))=0</formula>
    </cfRule>
  </conditionalFormatting>
  <conditionalFormatting sqref="G6:G7">
    <cfRule type="containsBlanks" priority="5" dxfId="11">
      <formula>LEN(TRIM(G6))=0</formula>
    </cfRule>
  </conditionalFormatting>
  <conditionalFormatting sqref="G9">
    <cfRule type="containsBlanks" priority="4" dxfId="11">
      <formula>LEN(TRIM(G9))=0</formula>
    </cfRule>
  </conditionalFormatting>
  <conditionalFormatting sqref="G11:G12">
    <cfRule type="containsBlanks" priority="2" dxfId="11">
      <formula>LEN(TRIM(G11))=0</formula>
    </cfRule>
  </conditionalFormatting>
  <conditionalFormatting sqref="G14">
    <cfRule type="containsBlanks" priority="1" dxfId="11">
      <formula>LEN(TRIM(G14))=0</formula>
    </cfRule>
  </conditionalFormatting>
  <conditionalFormatting sqref="H3:H4">
    <cfRule type="expression" priority="11" dxfId="0">
      <formula>SUMPRODUCT((G3="否")*(LEN(H3)=0))</formula>
    </cfRule>
  </conditionalFormatting>
  <conditionalFormatting sqref="H6:H7">
    <cfRule type="expression" priority="10" dxfId="0">
      <formula>SUMPRODUCT((G6="否")*(LEN(H6)=0))</formula>
    </cfRule>
  </conditionalFormatting>
  <conditionalFormatting sqref="H9">
    <cfRule type="expression" priority="9" dxfId="0">
      <formula>SUMPRODUCT((G9="否")*(LEN(H9)=0))</formula>
    </cfRule>
  </conditionalFormatting>
  <conditionalFormatting sqref="H11:H12">
    <cfRule type="expression" priority="8" dxfId="0">
      <formula>SUMPRODUCT((G11="否")*(LEN(H11)=0))</formula>
    </cfRule>
  </conditionalFormatting>
  <conditionalFormatting sqref="H14">
    <cfRule type="expression" priority="7" dxfId="0">
      <formula>SUMPRODUCT((G14="否")*(LEN(H14)=0))</formula>
    </cfRule>
  </conditionalFormatting>
  <dataValidations count="1">
    <dataValidation sqref="G3:G4 G6:G7 G9 G11:G12 G14" showDropDown="0" showInputMessage="1" showErrorMessage="0" allowBlank="1" type="list">
      <formula1>"是,否"</formula1>
    </dataValidation>
  </dataValidations>
  <hyperlinks>
    <hyperlink ref="F3" location="'C.00 Lead'!A1" display="C.00 Lead sheet"/>
    <hyperlink ref="F4" location="'C.00 BKD'!A1" display="C.00 BKD"/>
    <hyperlink ref="F6" location="'C.01 Confirmations '!A1" display="C.01 Confirmations"/>
    <hyperlink ref="F7" location="'C.01b 特殊账户程序'!A1" display="C.01b 特殊账户补充程序"/>
    <hyperlink ref="F9" location="'C.00b Other classification'!A1" display="C.00b Other classification"/>
    <hyperlink ref="F11" location="'C.02 Bank reconciliations'!A1" display="C.02 Bank reconciliations"/>
    <hyperlink ref="F12" location="'C.02a 外币测算'!A1" display="C.02a外币测算"/>
    <hyperlink ref="F14" location="'C.03 Cutoff'!A1" display="C.03 Cutoff "/>
    <hyperlink xmlns:r="http://schemas.openxmlformats.org/officeDocument/2006/relationships" ref="F17" r:id="rId1"/>
    <hyperlink xmlns:r="http://schemas.openxmlformats.org/officeDocument/2006/relationships" ref="J17" display="C.00d Negative cash" r:id="rId2"/>
    <hyperlink xmlns:r="http://schemas.openxmlformats.org/officeDocument/2006/relationships" ref="F18" r:id="rId3"/>
    <hyperlink xmlns:r="http://schemas.openxmlformats.org/officeDocument/2006/relationships" ref="J18" display="C.00e 现金盘点"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84"/>
  <sheetViews>
    <sheetView showGridLines="0" tabSelected="1" topLeftCell="A8" zoomScale="70" zoomScaleNormal="70" workbookViewId="0">
      <selection activeCell="B33" sqref="B33"/>
    </sheetView>
  </sheetViews>
  <sheetFormatPr baseColWidth="8" defaultColWidth="9.25" defaultRowHeight="14.25"/>
  <cols>
    <col width="2.625" customWidth="1" style="74" min="1" max="1"/>
    <col width="33.75" customWidth="1" style="75" min="2" max="2"/>
    <col width="16.75" customWidth="1" style="75" min="3" max="10"/>
    <col width="16.75" customWidth="1" style="76" min="11" max="11"/>
    <col width="16.75" customWidth="1" style="75" min="12" max="14"/>
    <col width="16.25" customWidth="1" style="75" min="15" max="15"/>
    <col width="18.5" customWidth="1" style="75" min="16" max="16"/>
    <col width="2.625" customWidth="1" style="3" min="17" max="17"/>
    <col width="1.625" customWidth="1" style="75" min="18" max="18"/>
    <col width="9.25" customWidth="1" style="340" min="19" max="19"/>
    <col width="9.25" customWidth="1" style="75" min="20" max="16384"/>
  </cols>
  <sheetData>
    <row r="1" ht="50.1" customFormat="1" customHeight="1" s="1">
      <c r="A1" s="243" t="inlineStr">
        <is>
          <t>022d804f-8de8-4987-b9ac-42632653fc60</t>
        </is>
      </c>
      <c r="B1" s="744" t="inlineStr">
        <is>
          <t>标准工作底稿: C SWP 货币资金</t>
        </is>
      </c>
      <c r="C1" s="745" t="n"/>
      <c r="D1" s="745" t="n"/>
      <c r="E1" s="745" t="n"/>
      <c r="F1" s="745" t="n"/>
      <c r="G1" s="745" t="n"/>
      <c r="H1" s="745" t="n"/>
      <c r="I1" s="745" t="n"/>
      <c r="J1" s="745" t="n"/>
      <c r="K1" s="745" t="n"/>
      <c r="L1" s="745" t="n"/>
      <c r="M1" s="745" t="n"/>
      <c r="N1" s="745" t="n"/>
      <c r="O1" s="745" t="n"/>
      <c r="P1" s="746" t="n"/>
      <c r="R1" s="40" t="n"/>
    </row>
    <row r="2" ht="15" customFormat="1" customHeight="1" s="1">
      <c r="B2" s="148" t="inlineStr">
        <is>
          <t>客户名称</t>
        </is>
      </c>
      <c r="C2" s="259" t="inlineStr">
        <is>
          <t>东风鸿远工程咨询有限公司</t>
        </is>
      </c>
      <c r="D2" s="747" t="inlineStr">
        <is>
          <t>此工作底稿需要与以下 Canvas PSP guided workflow forms一起使用：
     • C.00 Cash lead sheet
     • C.01 Bank confirmations
     • C.02 Bank reconciliations
     • C.03 Cash cutoff
     • Account conclusion</t>
        </is>
      </c>
      <c r="E2" s="748" t="n"/>
      <c r="F2" s="748" t="n"/>
      <c r="G2" s="748" t="n"/>
      <c r="H2" s="748" t="n"/>
      <c r="I2" s="748" t="n"/>
      <c r="J2" s="748" t="n"/>
      <c r="K2" s="748" t="n"/>
      <c r="L2" s="748" t="n"/>
      <c r="M2" s="748" t="n"/>
      <c r="N2" s="748" t="n"/>
      <c r="O2" s="748" t="n"/>
      <c r="P2" s="749" t="n"/>
      <c r="R2" s="40" t="n"/>
    </row>
    <row r="3" ht="19.5" customFormat="1" customHeight="1" s="1">
      <c r="B3" s="148" t="inlineStr">
        <is>
          <t>期末</t>
        </is>
      </c>
      <c r="C3" s="472" t="inlineStr">
        <is>
          <t>2026-12-31</t>
        </is>
      </c>
      <c r="D3" s="750" t="n"/>
      <c r="P3" s="751" t="n"/>
      <c r="R3" s="40" t="n"/>
    </row>
    <row r="4" ht="15" customFormat="1" customHeight="1" s="1">
      <c r="B4" s="148" t="inlineStr">
        <is>
          <t>分析日期</t>
        </is>
      </c>
      <c r="C4" s="480" t="inlineStr">
        <is>
          <t>2026-05-20</t>
        </is>
      </c>
      <c r="D4" s="750" t="n"/>
      <c r="P4" s="751" t="n"/>
      <c r="R4" s="40" t="n"/>
    </row>
    <row r="5" ht="18" customFormat="1" customHeight="1" s="1">
      <c r="B5" s="148" t="inlineStr">
        <is>
          <t>可容忍误差(TE)</t>
        </is>
      </c>
      <c r="C5" s="752" t="n"/>
      <c r="D5" s="750" t="n"/>
      <c r="P5" s="751" t="n"/>
      <c r="R5" s="40" t="n"/>
    </row>
    <row r="6" ht="15.75" customFormat="1" customHeight="1" s="1">
      <c r="B6" s="148" t="inlineStr">
        <is>
          <t>名义金额(SAD)</t>
        </is>
      </c>
      <c r="C6" s="752" t="n"/>
      <c r="D6" s="750" t="n"/>
      <c r="P6" s="751" t="n"/>
      <c r="R6" s="40" t="n"/>
    </row>
    <row r="7" ht="20.25" customFormat="1" customHeight="1" s="1">
      <c r="B7" s="148" t="inlineStr">
        <is>
          <t>适用会计准则</t>
        </is>
      </c>
      <c r="C7" s="259" t="n"/>
      <c r="D7" s="750" t="n"/>
      <c r="P7" s="751" t="n"/>
      <c r="R7" s="40" t="n"/>
    </row>
    <row r="8" ht="18" customFormat="1" customHeight="1" s="1">
      <c r="B8" s="148" t="inlineStr">
        <is>
          <t>记账本位币</t>
        </is>
      </c>
      <c r="C8" s="259" t="n"/>
      <c r="D8" s="753" t="n"/>
      <c r="E8" s="754" t="n"/>
      <c r="F8" s="754" t="n"/>
      <c r="G8" s="754" t="n"/>
      <c r="H8" s="754" t="n"/>
      <c r="I8" s="754" t="n"/>
      <c r="J8" s="754" t="n"/>
      <c r="K8" s="754" t="n"/>
      <c r="L8" s="754" t="n"/>
      <c r="M8" s="754" t="n"/>
      <c r="N8" s="754" t="n"/>
      <c r="O8" s="754" t="n"/>
      <c r="P8" s="755" t="n"/>
      <c r="R8" s="40" t="n"/>
    </row>
    <row r="9" ht="30" customFormat="1" customHeight="1" s="1">
      <c r="B9" s="228" t="inlineStr">
        <is>
          <t>C.00 编制引导表并比较余额</t>
        </is>
      </c>
      <c r="C9" s="7" t="n"/>
      <c r="D9" s="7" t="n"/>
      <c r="E9" s="7" t="n"/>
      <c r="F9" s="7" t="n"/>
      <c r="G9" s="7" t="n"/>
      <c r="H9" s="7" t="n"/>
      <c r="I9" s="7" t="n"/>
      <c r="J9" s="7" t="n"/>
      <c r="K9" s="7" t="n"/>
      <c r="L9" s="7" t="n"/>
      <c r="M9" s="7" t="n"/>
      <c r="N9" s="7" t="n"/>
      <c r="O9" s="7" t="n"/>
      <c r="P9" s="22" t="n"/>
      <c r="R9" s="40" t="n"/>
    </row>
    <row r="10" ht="15" customFormat="1" customHeight="1" s="1">
      <c r="N10" s="463" t="n"/>
      <c r="O10" s="56" t="n"/>
      <c r="R10" s="40" t="n"/>
    </row>
    <row r="11" ht="15" customFormat="1" customHeight="1" s="1">
      <c r="B11" s="475" t="inlineStr">
        <is>
          <t>返回汇总页</t>
        </is>
      </c>
      <c r="N11" s="463" t="n"/>
      <c r="O11" s="56" t="n"/>
      <c r="R11" s="40" t="n"/>
    </row>
    <row r="12" ht="15" customFormat="1" customHeight="1" s="1">
      <c r="N12" s="463" t="n"/>
      <c r="O12" s="56" t="n"/>
      <c r="R12" s="40" t="n"/>
    </row>
    <row r="13" ht="15" customFormat="1" customHeight="1" s="1">
      <c r="B13" s="476" t="n"/>
      <c r="C13" s="476" t="n"/>
      <c r="D13" s="756" t="inlineStr">
        <is>
          <t>Threshold(s)</t>
        </is>
      </c>
      <c r="E13" s="757" t="n"/>
      <c r="H13" s="758" t="inlineStr">
        <is>
          <t>安永标记</t>
        </is>
      </c>
      <c r="I13" s="759" t="n"/>
      <c r="J13" s="759" t="n"/>
      <c r="K13" s="759" t="n"/>
      <c r="L13" s="757" t="n"/>
      <c r="N13" s="463" t="n"/>
      <c r="O13" s="56" t="n"/>
      <c r="R13" s="40" t="n"/>
    </row>
    <row r="14" ht="15" customFormat="1" customHeight="1" s="1">
      <c r="B14" s="477" t="inlineStr">
        <is>
          <t>认定</t>
        </is>
      </c>
      <c r="C14" s="477" t="inlineStr">
        <is>
          <t>CRA</t>
        </is>
      </c>
      <c r="D14" s="477" t="inlineStr">
        <is>
          <t>各项认定1</t>
        </is>
      </c>
      <c r="E14" s="478" t="inlineStr">
        <is>
          <t>所有相关认定 2</t>
        </is>
      </c>
      <c r="H14" s="215" t="inlineStr">
        <is>
          <t>TB</t>
        </is>
      </c>
      <c r="I14" s="229" t="inlineStr">
        <is>
          <t>已与科目余额表核对无误</t>
        </is>
      </c>
      <c r="J14" s="89" t="n"/>
      <c r="K14" s="89" t="n"/>
      <c r="L14" s="165" t="n"/>
      <c r="N14" s="463" t="n"/>
      <c r="O14" s="56" t="n"/>
      <c r="R14" s="40" t="n"/>
    </row>
    <row r="15" ht="15" customFormat="1" customHeight="1" s="1">
      <c r="B15" s="544" t="inlineStr">
        <is>
          <t>完整性 (C)</t>
        </is>
      </c>
      <c r="C15" s="343" t="n"/>
      <c r="D15" s="760">
        <f>IF(C15="Minimal",$C$5*100%,IF(C15="Low",$C$5*75%,IF(C15="Moderate",$C$5*50%,IF(C15="High",$C$5*25%,IF(C15="N/A","-",)))))</f>
        <v/>
      </c>
      <c r="E15" s="761">
        <f>MIN($D$15:$D$19)</f>
        <v/>
      </c>
      <c r="H15" s="216" t="inlineStr">
        <is>
          <t>PY</t>
        </is>
      </c>
      <c r="I15" s="229" t="inlineStr">
        <is>
          <t>与上年最终审定数核对一致</t>
        </is>
      </c>
      <c r="J15" s="112" t="n"/>
      <c r="K15" s="88" t="n"/>
      <c r="L15" s="166" t="n"/>
      <c r="N15" s="463" t="n"/>
      <c r="O15" s="56" t="n"/>
      <c r="R15" s="40" t="n"/>
    </row>
    <row r="16" ht="15" customFormat="1" customHeight="1" s="1">
      <c r="B16" s="544" t="inlineStr">
        <is>
          <t>存在性 (E)</t>
        </is>
      </c>
      <c r="C16" s="343" t="n"/>
      <c r="D16" s="760">
        <f>IF(C16="Minimal",$C$5*100%,IF(C16="Low",$C$5*75%,IF(C16="Moderate",$C$5*50%,IF(C16="High",$C$5*25%,IF(C16="N/A","-",)))))</f>
        <v/>
      </c>
      <c r="E16" s="762" t="n"/>
      <c r="H16" s="215" t="inlineStr">
        <is>
          <t>A3</t>
        </is>
      </c>
      <c r="I16" s="230" t="inlineStr">
        <is>
          <t>与未审数、审定数核对一致</t>
        </is>
      </c>
      <c r="J16" s="114" t="n"/>
      <c r="K16" s="88" t="n"/>
      <c r="L16" s="166" t="n"/>
      <c r="N16" s="463" t="n"/>
      <c r="O16" s="56" t="n"/>
      <c r="R16" s="40" t="n"/>
    </row>
    <row r="17" ht="15" customFormat="1" customHeight="1" s="1">
      <c r="B17" s="544" t="inlineStr">
        <is>
          <t>计价（V）</t>
        </is>
      </c>
      <c r="C17" s="343" t="n"/>
      <c r="D17" s="760">
        <f>IF(C17="Minimal",$C$5*100%,IF(C17="Low",$C$5*75%,IF(C17="Moderate",$C$5*50%,IF(C17="High",$C$5*25%,IF(C17="N/A","-",)))))</f>
        <v/>
      </c>
      <c r="E17" s="762" t="n"/>
      <c r="H17" s="215" t="inlineStr">
        <is>
          <t>A5</t>
        </is>
      </c>
      <c r="I17" s="230" t="inlineStr">
        <is>
          <t>与审计调整核对一致</t>
        </is>
      </c>
      <c r="J17" s="115" t="n"/>
      <c r="K17" s="88" t="n"/>
      <c r="L17" s="166" t="n"/>
      <c r="N17" s="463" t="n"/>
      <c r="O17" s="56" t="n"/>
      <c r="R17" s="40" t="n"/>
    </row>
    <row r="18" ht="15" customFormat="1" customHeight="1" s="1">
      <c r="B18" s="544" t="inlineStr">
        <is>
          <t>权利和义务（R&amp;O）</t>
        </is>
      </c>
      <c r="C18" s="343" t="n"/>
      <c r="D18" s="760">
        <f>IF(C18="Minimal",$C$5*100%,IF(C18="Low",$C$5*75%,IF(C18="Moderate",$C$5*50%,IF(C18="High",$C$5*25%,IF(C18="N/A","-",)))))</f>
        <v/>
      </c>
      <c r="E18" s="762" t="n"/>
      <c r="H18" s="217" t="inlineStr">
        <is>
          <t>FS</t>
        </is>
      </c>
      <c r="I18" s="229" t="inlineStr">
        <is>
          <t>与FS.0x与财务报表核对无误</t>
        </is>
      </c>
      <c r="J18" s="113" t="n"/>
      <c r="K18" s="90" t="n"/>
      <c r="L18" s="167" t="n"/>
      <c r="N18" s="463" t="n"/>
      <c r="O18" s="56" t="n"/>
      <c r="R18" s="40" t="n"/>
    </row>
    <row r="19" ht="15" customFormat="1" customHeight="1" s="1">
      <c r="B19" s="545" t="inlineStr">
        <is>
          <t>列报和披露（P&amp;D）</t>
        </is>
      </c>
      <c r="C19" s="343" t="n"/>
      <c r="D19" s="760">
        <f>IF(C19="Minimal",$C$5*100%,IF(C19="Low",$C$5*75%,IF(C19="Moderate",$C$5*50%,IF(C19="High",$C$5*25%,IF(C19="N/A","-",)))))</f>
        <v/>
      </c>
      <c r="E19" s="763" t="n"/>
      <c r="H19" s="218" t="inlineStr">
        <is>
          <t>w</t>
        </is>
      </c>
      <c r="I19" s="229" t="inlineStr">
        <is>
          <t>低于SAD的金额——放弃进一步调查</t>
        </is>
      </c>
      <c r="J19" s="88" t="n"/>
      <c r="K19" s="88" t="n"/>
      <c r="L19" s="166" t="n"/>
      <c r="N19" s="463" t="n"/>
      <c r="O19" s="56" t="n"/>
      <c r="R19" s="40" t="n"/>
    </row>
    <row r="20" ht="16.5" customFormat="1" customHeight="1" s="1">
      <c r="B20" s="639" t="inlineStr">
        <is>
          <t xml:space="preserve">1 各项认定的测试阈值，是根据EY GAM SUBSTANTIVE DESIGN 2.2.1 </t>
        </is>
      </c>
      <c r="H20" s="215" t="inlineStr">
        <is>
          <t>Rx</t>
        </is>
      </c>
      <c r="I20" s="229" t="inlineStr">
        <is>
          <t>重新计算，无异常</t>
        </is>
      </c>
      <c r="J20" s="88" t="n"/>
      <c r="K20" s="88" t="n"/>
      <c r="L20" s="166" t="n"/>
      <c r="N20" s="463" t="n"/>
      <c r="O20" s="56" t="n"/>
      <c r="R20" s="40" t="n"/>
    </row>
    <row r="21" ht="16.5" customFormat="1" customHeight="1" s="1">
      <c r="B21" s="479" t="inlineStr">
        <is>
          <t>中的示例测试阈值（用占TE的百分比表示）在相应风险等级（CRA）区间的上限计算得出的。</t>
        </is>
      </c>
      <c r="C21" s="639" t="n"/>
      <c r="D21" s="639" t="n"/>
      <c r="E21" s="639" t="n"/>
      <c r="H21" s="218" t="inlineStr">
        <is>
          <t>m</t>
        </is>
      </c>
      <c r="I21" s="229" t="inlineStr">
        <is>
          <t>余额/活动不符合测试范围–无需进一步调查</t>
        </is>
      </c>
      <c r="J21" s="88" t="n"/>
      <c r="K21" s="88" t="n"/>
      <c r="L21" s="166" t="n"/>
      <c r="N21" s="463" t="n"/>
      <c r="O21" s="56" t="n"/>
      <c r="R21" s="40" t="n"/>
    </row>
    <row r="22" ht="16.5" customFormat="1" customHeight="1" s="1">
      <c r="B22" s="479" t="inlineStr">
        <is>
          <t>除负债/费用类别账户的完整性认定应当使用负债/费用账户表之外，其他类别账户和认定均可使用资产/收入账户表。</t>
        </is>
      </c>
      <c r="C22" s="639" t="n"/>
      <c r="D22" s="639" t="n"/>
      <c r="E22" s="639" t="n"/>
      <c r="H22" s="244" t="inlineStr">
        <is>
          <t>SL</t>
        </is>
      </c>
      <c r="I22" s="245" t="inlineStr">
        <is>
          <t>已与明细账核对无误</t>
        </is>
      </c>
      <c r="J22" s="88" t="n"/>
      <c r="K22" s="88" t="n"/>
      <c r="L22" s="166" t="n"/>
      <c r="N22" s="463" t="n"/>
      <c r="O22" s="56" t="n"/>
      <c r="R22" s="40" t="n"/>
    </row>
    <row r="23" ht="30" customFormat="1" customHeight="1" s="1">
      <c r="B23" s="639" t="inlineStr">
        <is>
          <t>2 所有相关认定的测试阈值，是所有有效认定对应之测试阈值的最小值。我们在 Lead中使用该测试阈值：（a）作为选取总账账户进行测试的起点；（b）作为（需要进一步调查的）金额波动范围的起点。</t>
        </is>
      </c>
      <c r="H23" s="42" t="n"/>
      <c r="I23" s="42" t="n"/>
      <c r="J23" s="42" t="n"/>
      <c r="K23" s="42" t="n"/>
      <c r="L23" s="42" t="n"/>
      <c r="N23" s="463" t="n"/>
      <c r="O23" s="56" t="n"/>
      <c r="R23" s="40" t="n"/>
    </row>
    <row r="24" ht="12.75" customFormat="1" customHeight="1" s="42">
      <c r="A24" s="85" t="n"/>
      <c r="R24" s="54" t="n"/>
    </row>
    <row r="25" ht="18" customFormat="1" customHeight="1" s="42">
      <c r="A25" s="85" t="n"/>
      <c r="B25" s="91" t="inlineStr">
        <is>
          <t>在下文中描述我们当期对现金账户余额和相关波动的预期，以及这些预期的依据和理由。</t>
        </is>
      </c>
      <c r="C25" s="764" t="n"/>
      <c r="D25" s="764" t="n"/>
      <c r="E25" s="764" t="n"/>
      <c r="F25" s="764" t="n"/>
      <c r="G25" s="764" t="n"/>
      <c r="L25" s="25" t="n"/>
      <c r="R25" s="54" t="n"/>
    </row>
    <row r="26" ht="18" customFormat="1" customHeight="1" s="42">
      <c r="A26" s="85" t="n"/>
      <c r="B26" s="765" t="n"/>
      <c r="C26" s="731" t="n"/>
      <c r="D26" s="731" t="n"/>
      <c r="E26" s="731" t="n"/>
      <c r="F26" s="732" t="n"/>
      <c r="G26" s="764" t="n"/>
      <c r="H26" s="764" t="n"/>
      <c r="I26" s="764" t="n"/>
      <c r="J26" s="27" t="n"/>
      <c r="K26" s="25" t="n"/>
      <c r="L26" s="25" t="n"/>
      <c r="R26" s="54" t="n"/>
    </row>
    <row r="27" ht="18" customFormat="1" customHeight="1" s="42">
      <c r="A27" s="85" t="n"/>
      <c r="B27" s="766" t="n"/>
      <c r="F27" s="767" t="n"/>
      <c r="G27" s="764" t="n"/>
      <c r="H27" s="764" t="n"/>
      <c r="I27" s="764" t="n"/>
      <c r="J27" s="27" t="n"/>
      <c r="K27" s="25" t="n"/>
      <c r="L27" s="25" t="n"/>
      <c r="R27" s="54" t="n"/>
    </row>
    <row r="28" ht="18" customFormat="1" customHeight="1" s="42">
      <c r="A28" s="86" t="n"/>
      <c r="B28" s="734" t="n"/>
      <c r="C28" s="735" t="n"/>
      <c r="D28" s="735" t="n"/>
      <c r="E28" s="735" t="n"/>
      <c r="F28" s="736" t="n"/>
      <c r="G28" s="764" t="n"/>
      <c r="H28" s="764" t="n"/>
      <c r="I28" s="764" t="n"/>
      <c r="J28" s="27" t="n"/>
      <c r="K28" s="25" t="n"/>
      <c r="L28" s="25" t="n"/>
      <c r="R28" s="54" t="n"/>
    </row>
    <row r="29" ht="12.75" customFormat="1" customHeight="1" s="42">
      <c r="A29" s="86" t="n"/>
      <c r="B29" s="768" t="n"/>
      <c r="C29" s="769" t="n"/>
      <c r="D29" s="60" t="n"/>
      <c r="E29" s="60" t="n"/>
      <c r="F29" s="60" t="n"/>
      <c r="G29" s="60" t="n"/>
      <c r="H29" s="92" t="n"/>
      <c r="I29" s="92" t="n"/>
      <c r="J29" s="61" t="n"/>
      <c r="K29" s="25" t="n"/>
      <c r="L29" s="25" t="n"/>
      <c r="R29" s="54" t="n"/>
    </row>
    <row r="30" ht="16.5" customFormat="1" customHeight="1" s="42">
      <c r="A30" s="86" t="n"/>
      <c r="B30" s="770" t="inlineStr">
        <is>
          <t>波动范围</t>
        </is>
      </c>
      <c r="C30" s="746" t="n"/>
      <c r="D30" s="60" t="n"/>
      <c r="E30" s="60" t="n"/>
      <c r="F30" s="60" t="n"/>
      <c r="G30" s="60" t="n"/>
      <c r="H30" s="92" t="n"/>
      <c r="I30" s="92" t="n"/>
      <c r="J30" s="61" t="n"/>
      <c r="K30" s="25" t="n"/>
      <c r="L30" s="25" t="n"/>
      <c r="R30" s="54" t="n"/>
    </row>
    <row r="31" ht="12.75" customFormat="1" customHeight="1" s="42">
      <c r="A31" s="99" t="n"/>
      <c r="B31" s="473">
        <f>"波动幅度 ("&amp;C8&amp; "):"</f>
        <v/>
      </c>
      <c r="C31" s="771">
        <f>E15</f>
        <v/>
      </c>
      <c r="D31" s="100" t="n"/>
      <c r="E31" s="100" t="n"/>
      <c r="F31" s="100" t="n"/>
      <c r="G31" s="100" t="n"/>
      <c r="H31" s="100" t="n"/>
      <c r="I31" s="100" t="n"/>
      <c r="J31" s="100" t="n"/>
      <c r="K31" s="25" t="n"/>
      <c r="L31" s="25" t="n"/>
      <c r="R31" s="54" t="n"/>
    </row>
    <row r="32" ht="16.5" customFormat="1" customHeight="1" s="42">
      <c r="B32" s="725" t="inlineStr">
        <is>
          <t>波动幅度（%）：</t>
        </is>
      </c>
      <c r="C32" s="373" t="n">
        <v>0.1</v>
      </c>
      <c r="D32" s="1" t="n"/>
      <c r="E32" s="1" t="n"/>
      <c r="F32" s="1" t="n"/>
      <c r="G32" s="1" t="n"/>
      <c r="H32" s="1" t="n"/>
      <c r="I32" s="1" t="n"/>
      <c r="J32" s="1" t="n"/>
      <c r="K32" s="25" t="n"/>
      <c r="L32" s="25" t="n"/>
      <c r="R32" s="54" t="n"/>
    </row>
    <row r="33" ht="12.75" customFormat="1" customHeight="1" s="42">
      <c r="B33" s="1" t="n"/>
      <c r="C33" s="1" t="n"/>
      <c r="D33" s="1" t="n"/>
      <c r="E33" s="1" t="n"/>
      <c r="F33" s="1" t="n"/>
      <c r="G33" s="1" t="n"/>
      <c r="H33" s="1" t="n"/>
      <c r="I33" s="25" t="n"/>
      <c r="J33" s="25" t="n"/>
      <c r="N33" s="92" t="n"/>
      <c r="R33" s="54" t="n"/>
    </row>
    <row r="34" ht="16.5" customFormat="1" customHeight="1" s="42">
      <c r="A34" s="85" t="n"/>
      <c r="B34" s="63" t="inlineStr">
        <is>
          <t>表1</t>
        </is>
      </c>
      <c r="F34" s="38" t="inlineStr">
        <is>
          <t>|------- TB -------|</t>
        </is>
      </c>
      <c r="H34" s="60" t="n"/>
      <c r="K34" s="445" t="inlineStr">
        <is>
          <t>|------- PY -------|</t>
        </is>
      </c>
      <c r="R34" s="54" t="n"/>
    </row>
    <row r="35" ht="12.75" customFormat="1" customHeight="1" s="42">
      <c r="B35" s="60" t="n"/>
      <c r="C35" s="62" t="n"/>
      <c r="D35" s="62" t="n"/>
      <c r="E35" s="62" t="n"/>
      <c r="F35" s="772">
        <f>"货币/单位: "&amp;C8</f>
        <v/>
      </c>
      <c r="G35" s="745" t="n"/>
      <c r="H35" s="745" t="n"/>
      <c r="I35" s="745" t="n"/>
      <c r="J35" s="745" t="n"/>
      <c r="K35" s="746" t="n"/>
      <c r="L35" s="60" t="n"/>
      <c r="M35" s="60" t="n"/>
      <c r="N35" s="168" t="n"/>
      <c r="R35" s="54" t="n"/>
    </row>
    <row r="36" ht="13.15" customFormat="1" customHeight="1" s="42">
      <c r="A36" s="85" t="n"/>
      <c r="B36" s="438" t="n"/>
      <c r="C36" s="440" t="n"/>
      <c r="D36" s="440" t="n"/>
      <c r="E36" s="442" t="n"/>
      <c r="F36" s="664">
        <f>C3</f>
        <v/>
      </c>
      <c r="G36" s="773" t="n"/>
      <c r="H36" s="773" t="n"/>
      <c r="I36" s="773" t="n"/>
      <c r="J36" s="774" t="n"/>
      <c r="K36" s="443">
        <f>DATE(YEAR($C$3)-1,12,31)</f>
        <v/>
      </c>
      <c r="L36" s="665" t="inlineStr">
        <is>
          <t>本期和上期期末余额</t>
        </is>
      </c>
      <c r="M36" s="729" t="n"/>
      <c r="N36" s="436" t="n"/>
      <c r="O36" s="347" t="inlineStr">
        <is>
          <t>基于波动幅度判断，是否进一步调查？</t>
        </is>
      </c>
      <c r="P36" s="347" t="inlineStr">
        <is>
          <t>基于定性考虑判断，是否进一步调查？</t>
        </is>
      </c>
      <c r="R36" s="54" t="n"/>
    </row>
    <row r="37" ht="25.5" customFormat="1" customHeight="1" s="42">
      <c r="A37" s="85" t="n"/>
      <c r="B37" s="439" t="inlineStr">
        <is>
          <t>账套名称/账套编码</t>
        </is>
      </c>
      <c r="C37" s="439" t="inlineStr">
        <is>
          <t>总账科目编码</t>
        </is>
      </c>
      <c r="D37" s="439" t="inlineStr">
        <is>
          <t>科目名称</t>
        </is>
      </c>
      <c r="E37" s="439" t="inlineStr">
        <is>
          <t>索引号</t>
        </is>
      </c>
      <c r="F37" s="441" t="inlineStr">
        <is>
          <t>期末账面数</t>
        </is>
      </c>
      <c r="G37" s="665" t="inlineStr">
        <is>
          <t>账表调整数</t>
        </is>
      </c>
      <c r="H37" s="665" t="inlineStr">
        <is>
          <t>期末未审数</t>
        </is>
      </c>
      <c r="I37" s="665" t="inlineStr">
        <is>
          <t>审计调整数</t>
        </is>
      </c>
      <c r="J37" s="665" t="inlineStr">
        <is>
          <t>期末审定数</t>
        </is>
      </c>
      <c r="K37" s="467" t="inlineStr">
        <is>
          <t>上期末审定数</t>
        </is>
      </c>
      <c r="L37" s="665" t="inlineStr">
        <is>
          <t>变动金额</t>
        </is>
      </c>
      <c r="M37" s="435" t="inlineStr">
        <is>
          <t>变动%</t>
        </is>
      </c>
      <c r="N37" s="437" t="inlineStr">
        <is>
          <t xml:space="preserve">Notes
</t>
        </is>
      </c>
      <c r="O37" s="775" t="n"/>
      <c r="P37" s="775" t="n"/>
      <c r="R37" s="54" t="n"/>
    </row>
    <row r="38" ht="16.5" customFormat="1" customHeight="1" s="42">
      <c r="A38" s="85" t="n"/>
      <c r="B38" s="427" t="n"/>
      <c r="C38" s="428" t="n"/>
      <c r="D38" s="428" t="inlineStr">
        <is>
          <t>库存现金</t>
        </is>
      </c>
      <c r="E38" s="38" t="inlineStr">
        <is>
          <t>C.00 BKD/</t>
        </is>
      </c>
      <c r="F38" s="776" t="n"/>
      <c r="G38" s="776" t="n"/>
      <c r="H38" s="777">
        <f>F38+G38</f>
        <v/>
      </c>
      <c r="I38" s="776" t="n"/>
      <c r="J38" s="777">
        <f>H38+I38</f>
        <v/>
      </c>
      <c r="K38" s="778">
        <f>H38+I38</f>
        <v/>
      </c>
      <c r="L38" s="779">
        <f>J38-K38</f>
        <v/>
      </c>
      <c r="M38" s="482">
        <f>IF(K38&lt;&gt;0,L38/K38,1)</f>
        <v/>
      </c>
      <c r="N38" s="444" t="inlineStr">
        <is>
          <t>[A]</t>
        </is>
      </c>
      <c r="O38" s="87">
        <f>IF(AND(ABS(L38)&gt;=$C$31,ABS(M38)&gt;=$C$32),"是","否")</f>
        <v/>
      </c>
      <c r="P38" s="87" t="n"/>
      <c r="R38" s="54" t="n"/>
    </row>
    <row r="39" ht="16.5" customFormat="1" customHeight="1" s="42">
      <c r="A39" s="85" t="n"/>
      <c r="B39" s="427" t="n"/>
      <c r="C39" s="428" t="n"/>
      <c r="D39" s="428" t="inlineStr">
        <is>
          <t>银行存款</t>
        </is>
      </c>
      <c r="E39" s="38" t="n"/>
      <c r="F39" s="776" t="n"/>
      <c r="G39" s="780" t="n"/>
      <c r="H39" s="777">
        <f>F39+G39</f>
        <v/>
      </c>
      <c r="I39" s="780" t="n"/>
      <c r="J39" s="777">
        <f>H39+I39</f>
        <v/>
      </c>
      <c r="K39" s="778">
        <f>H39+I39</f>
        <v/>
      </c>
      <c r="L39" s="779">
        <f>J39-K39</f>
        <v/>
      </c>
      <c r="M39" s="482">
        <f>IF(K39&lt;&gt;0,L39/K39,1)</f>
        <v/>
      </c>
      <c r="N39" s="431" t="n"/>
      <c r="O39" s="87">
        <f>IF(AND(ABS(L39)&gt;=$C$31,ABS(M39)&gt;=$C$32),"是","否")</f>
        <v/>
      </c>
      <c r="P39" s="87" t="n"/>
      <c r="R39" s="54" t="n"/>
    </row>
    <row r="40" ht="16.5" customFormat="1" customHeight="1" s="42">
      <c r="A40" s="85" t="n"/>
      <c r="B40" s="432" t="n"/>
      <c r="C40" s="433" t="n"/>
      <c r="D40" s="433" t="inlineStr">
        <is>
          <t>其他货币资金</t>
        </is>
      </c>
      <c r="E40" s="38" t="n"/>
      <c r="F40" s="778" t="n"/>
      <c r="G40" s="778" t="n"/>
      <c r="H40" s="777">
        <f>F40+G40</f>
        <v/>
      </c>
      <c r="I40" s="778" t="n"/>
      <c r="J40" s="777">
        <f>H40+I40</f>
        <v/>
      </c>
      <c r="K40" s="778">
        <f>H40+I40</f>
        <v/>
      </c>
      <c r="L40" s="779">
        <f>J40-K40</f>
        <v/>
      </c>
      <c r="M40" s="482">
        <f>IF(K40&lt;&gt;0,L40/K40,1)</f>
        <v/>
      </c>
      <c r="N40" s="434" t="n"/>
      <c r="O40" s="87">
        <f>IF(AND(ABS(L40)&gt;=$C$31,ABS(M40)&gt;=$C$32),"是","否")</f>
        <v/>
      </c>
      <c r="P40" s="87" t="n"/>
      <c r="R40" s="54" t="n"/>
    </row>
    <row r="41" ht="12.75" customFormat="1" customHeight="1" s="42">
      <c r="A41" s="85" t="n"/>
      <c r="B41" s="781" t="n"/>
      <c r="C41" s="782" t="n"/>
      <c r="D41" s="782" t="n"/>
      <c r="E41" s="783" t="n"/>
      <c r="F41" s="778" t="n"/>
      <c r="G41" s="784" t="n"/>
      <c r="H41" s="778" t="n"/>
      <c r="I41" s="784" t="n"/>
      <c r="J41" s="783" t="n"/>
      <c r="K41" s="784">
        <f>H41+I41</f>
        <v/>
      </c>
      <c r="L41" s="784" t="n"/>
      <c r="M41" s="171" t="n"/>
      <c r="N41" s="785" t="n"/>
      <c r="O41" s="85" t="n"/>
      <c r="P41" s="85" t="n"/>
      <c r="R41" s="54" t="n"/>
    </row>
    <row r="42" ht="17.25" customFormat="1" customHeight="1" s="42" thickBot="1">
      <c r="A42" s="85" t="n"/>
      <c r="B42" s="781" t="n"/>
      <c r="C42" s="782" t="n"/>
      <c r="D42" s="782" t="n"/>
      <c r="E42" s="65" t="inlineStr">
        <is>
          <t>合计</t>
        </is>
      </c>
      <c r="F42" s="786">
        <f>SUM(F37:F40)</f>
        <v/>
      </c>
      <c r="G42" s="787">
        <f>SUM(G37:G40)</f>
        <v/>
      </c>
      <c r="H42" s="787">
        <f>SUM(H37:H40)</f>
        <v/>
      </c>
      <c r="I42" s="787">
        <f>SUM(I37:I40)</f>
        <v/>
      </c>
      <c r="J42" s="787">
        <f>SUM(J37:J40)</f>
        <v/>
      </c>
      <c r="K42" s="787">
        <f>SUM(K37:K40)</f>
        <v/>
      </c>
      <c r="L42" s="788">
        <f>J42-K42</f>
        <v/>
      </c>
      <c r="M42" s="483">
        <f>IF(K42&lt;&gt;0,L42/K42,1)</f>
        <v/>
      </c>
      <c r="N42" s="785" t="n"/>
      <c r="O42" s="87">
        <f>IF(AND(ABS(L42)&gt;=$C$31,ABS(M42)&gt;=$C$32),"是","否")</f>
        <v/>
      </c>
      <c r="P42" s="87" t="n"/>
      <c r="R42" s="54" t="n"/>
    </row>
    <row r="43" ht="13.5" customFormat="1" customHeight="1" s="42" thickTop="1">
      <c r="A43" s="85" t="n"/>
      <c r="C43" s="782" t="n"/>
      <c r="D43" s="782" t="n"/>
      <c r="E43" s="66" t="n"/>
      <c r="F43" s="60" t="inlineStr">
        <is>
          <t>Rx</t>
        </is>
      </c>
      <c r="G43" s="60" t="inlineStr">
        <is>
          <t>Rx</t>
        </is>
      </c>
      <c r="H43" s="60" t="inlineStr">
        <is>
          <t>Rx</t>
        </is>
      </c>
      <c r="I43" s="60" t="inlineStr">
        <is>
          <t>Rx</t>
        </is>
      </c>
      <c r="J43" s="60" t="inlineStr">
        <is>
          <t>Rx</t>
        </is>
      </c>
      <c r="K43" s="60">
        <f>SUM(J38:J42)</f>
        <v/>
      </c>
      <c r="L43" s="789" t="n"/>
      <c r="M43" s="790" t="n"/>
      <c r="N43" s="781" t="n"/>
      <c r="R43" s="54" t="n"/>
    </row>
    <row r="44" ht="12.75" customFormat="1" customHeight="1" s="42">
      <c r="A44" s="85" t="n"/>
      <c r="C44" s="782" t="n"/>
      <c r="D44" s="782" t="n"/>
      <c r="E44" s="66" t="n"/>
      <c r="F44" s="60" t="n"/>
      <c r="G44" s="60" t="n"/>
      <c r="H44" s="60" t="n"/>
      <c r="I44" s="60" t="n"/>
      <c r="J44" s="60" t="n"/>
      <c r="K44" s="60" t="inlineStr">
        <is>
          <t>Rx</t>
        </is>
      </c>
      <c r="L44" s="789" t="n"/>
      <c r="M44" s="790" t="n"/>
      <c r="N44" s="781" t="n"/>
      <c r="R44" s="54" t="n"/>
    </row>
    <row r="45" ht="12.75" customFormat="1" customHeight="1" s="42">
      <c r="A45" s="85" t="n"/>
      <c r="B45" s="781" t="n"/>
      <c r="C45" s="782" t="n"/>
      <c r="D45" s="782" t="n"/>
      <c r="E45" s="781" t="n"/>
      <c r="F45" s="791" t="n"/>
      <c r="G45" s="792" t="inlineStr">
        <is>
          <t>A3</t>
        </is>
      </c>
      <c r="H45" s="791" t="n"/>
      <c r="J45" s="791" t="n"/>
      <c r="K45" s="791" t="n"/>
      <c r="L45" s="784" t="n"/>
      <c r="M45" s="784" t="n"/>
      <c r="N45" s="781" t="n"/>
      <c r="R45" s="54" t="n"/>
    </row>
    <row r="46" ht="12.75" customFormat="1" customHeight="1" s="42">
      <c r="A46" s="85" t="n"/>
      <c r="F46" s="793" t="n"/>
      <c r="G46" s="792" t="inlineStr">
        <is>
          <t>Diff</t>
        </is>
      </c>
      <c r="H46" s="794">
        <f>H42-H45</f>
        <v/>
      </c>
      <c r="J46" s="794">
        <f>J42-J45</f>
        <v/>
      </c>
      <c r="K46" s="794">
        <f>[1]A3!$H$13</f>
        <v/>
      </c>
      <c r="L46" s="793" t="n"/>
      <c r="M46" s="793" t="n"/>
      <c r="N46" s="793" t="n"/>
      <c r="R46" s="54" t="n"/>
    </row>
    <row r="47" ht="12.75" customFormat="1" customHeight="1" s="42">
      <c r="A47" s="85" t="n"/>
      <c r="G47" s="793" t="n"/>
      <c r="H47" s="792" t="n"/>
      <c r="I47" s="793" t="n"/>
      <c r="J47" s="793" t="n"/>
      <c r="K47">
        <f>J43-J46</f>
        <v/>
      </c>
      <c r="L47" s="793" t="n"/>
      <c r="M47" s="793" t="n"/>
      <c r="N47" s="793" t="n"/>
      <c r="O47" s="793" t="n"/>
      <c r="P47" s="793" t="n"/>
      <c r="R47" s="54" t="n"/>
    </row>
    <row r="48" ht="16.5" customFormat="1" customHeight="1" s="42">
      <c r="B48" s="105" t="inlineStr">
        <is>
          <t>波动说明</t>
        </is>
      </c>
      <c r="F48" s="793" t="n"/>
      <c r="G48" s="793" t="n"/>
      <c r="H48" s="792" t="n"/>
      <c r="I48" s="793" t="n"/>
      <c r="J48" s="793" t="n"/>
      <c r="L48" s="793" t="n"/>
      <c r="M48" s="793" t="n"/>
      <c r="N48" s="793" t="n"/>
      <c r="O48" s="793" t="n"/>
      <c r="R48" s="54" t="n"/>
    </row>
    <row r="49" ht="13.5" customFormat="1" customHeight="1" s="42">
      <c r="A49" s="6" t="n"/>
      <c r="B49" s="795" t="inlineStr">
        <is>
          <t>[A]</t>
        </is>
      </c>
      <c r="C49" s="796" t="n"/>
      <c r="D49" s="796" t="n"/>
      <c r="E49" s="796" t="n"/>
      <c r="F49" s="797" t="n"/>
      <c r="G49" s="793" t="n"/>
      <c r="H49" s="792" t="n"/>
      <c r="I49" s="793" t="n"/>
      <c r="J49" s="793" t="n"/>
      <c r="L49" s="793" t="n"/>
      <c r="M49" s="793" t="n"/>
      <c r="N49" s="793" t="n"/>
      <c r="O49" s="793" t="n"/>
      <c r="R49" s="54" t="n"/>
    </row>
    <row r="50" ht="13.5" customFormat="1" customHeight="1" s="42">
      <c r="A50" s="6" t="n"/>
      <c r="B50" s="798" t="n"/>
      <c r="C50" s="799" t="n"/>
      <c r="D50" s="799" t="n"/>
      <c r="E50" s="799" t="n"/>
      <c r="F50" s="800" t="n"/>
      <c r="G50" s="793" t="n"/>
      <c r="H50" s="792" t="n"/>
      <c r="I50" s="793" t="n"/>
      <c r="J50" s="793" t="n"/>
      <c r="L50" s="793" t="n"/>
      <c r="M50" s="793" t="n"/>
      <c r="N50" s="793" t="n"/>
      <c r="O50" s="793" t="n"/>
      <c r="R50" s="54" t="n"/>
    </row>
    <row r="51" ht="13.5" customFormat="1" customHeight="1" s="42">
      <c r="A51" s="85" t="n"/>
      <c r="B51" s="801" t="n"/>
      <c r="C51" s="802" t="n"/>
      <c r="D51" s="802" t="n"/>
      <c r="E51" s="802" t="n"/>
      <c r="F51" s="803" t="n"/>
      <c r="G51" s="793" t="n"/>
      <c r="H51" s="792" t="n"/>
      <c r="I51" s="793" t="n"/>
      <c r="J51" s="793" t="n"/>
      <c r="L51" s="793" t="n"/>
      <c r="M51" s="793" t="n"/>
      <c r="N51" s="793" t="n"/>
      <c r="O51" s="793" t="n"/>
      <c r="R51" s="54" t="n"/>
    </row>
    <row r="52" ht="12.75" customFormat="1" customHeight="1" s="42">
      <c r="A52" s="85" t="n"/>
      <c r="F52" s="793" t="n"/>
      <c r="G52" s="793" t="n"/>
      <c r="H52" s="792" t="n"/>
      <c r="I52" s="793" t="n"/>
      <c r="J52" s="793" t="n"/>
      <c r="L52" s="793" t="n"/>
      <c r="M52" s="793" t="n"/>
      <c r="N52" s="793" t="n"/>
      <c r="O52" s="793" t="n"/>
      <c r="R52" s="54" t="n"/>
    </row>
    <row r="53" ht="16.5" customFormat="1" customHeight="1" s="92">
      <c r="A53" s="87" t="n"/>
      <c r="B53" s="3" t="inlineStr">
        <is>
          <t>调整汇总表（如不适用请删除）</t>
        </is>
      </c>
      <c r="C53" s="72" t="n"/>
      <c r="D53" s="73" t="n"/>
      <c r="E53" s="73" t="n"/>
      <c r="F53" s="804" t="n"/>
      <c r="G53" s="804" t="n"/>
      <c r="H53" s="804" t="n"/>
      <c r="I53" s="804" t="n"/>
      <c r="R53" s="97" t="n"/>
    </row>
    <row r="54" ht="16.5" customFormat="1" customHeight="1" s="92">
      <c r="A54" s="87" t="n"/>
      <c r="B54" s="805" t="inlineStr">
        <is>
          <t>调整类型</t>
        </is>
      </c>
      <c r="C54" s="357" t="n"/>
      <c r="D54" s="357" t="n"/>
      <c r="E54" s="358" t="n"/>
      <c r="F54" s="358" t="n"/>
      <c r="G54" s="804" t="n"/>
      <c r="H54" s="804" t="n"/>
      <c r="I54" s="804" t="n"/>
      <c r="R54" s="97" t="n"/>
    </row>
    <row r="55" ht="14.25" customFormat="1" customHeight="1" s="92">
      <c r="A55" s="87" t="n"/>
      <c r="B55" s="552" t="n"/>
      <c r="C55" s="374" t="n"/>
      <c r="D55" s="374" t="n"/>
      <c r="E55" s="555" t="n"/>
      <c r="F55" s="556" t="n"/>
      <c r="G55" s="804" t="n"/>
      <c r="H55" s="804" t="n"/>
      <c r="I55" s="804" t="n"/>
      <c r="R55" s="97" t="n"/>
    </row>
    <row r="56" ht="14.25" customFormat="1" customHeight="1" s="92">
      <c r="A56" s="87" t="n"/>
      <c r="B56" s="553" t="n"/>
      <c r="C56" s="557" t="n"/>
      <c r="D56" s="557" t="n"/>
      <c r="E56" s="87" t="n"/>
      <c r="F56" s="558" t="n"/>
      <c r="G56" s="804" t="n"/>
      <c r="H56" s="804" t="n"/>
      <c r="I56" s="804" t="n"/>
      <c r="R56" s="97" t="n"/>
    </row>
    <row r="57" ht="14.25" customFormat="1" customHeight="1" s="92">
      <c r="A57" s="47" t="n"/>
      <c r="B57" s="553" t="n"/>
      <c r="C57" s="557" t="n"/>
      <c r="D57" s="557" t="n"/>
      <c r="E57" s="87" t="n"/>
      <c r="F57" s="558" t="n"/>
      <c r="G57" s="804" t="n"/>
      <c r="H57" s="804" t="n"/>
      <c r="I57" s="804" t="n"/>
      <c r="R57" s="97" t="n"/>
    </row>
    <row r="58" ht="12.75" customFormat="1" customHeight="1" s="92">
      <c r="A58" s="47" t="n"/>
      <c r="B58" s="554" t="n"/>
      <c r="C58" s="559" t="n"/>
      <c r="D58" s="559" t="n"/>
      <c r="E58" s="559" t="n"/>
      <c r="F58" s="560" t="n"/>
      <c r="G58" s="804" t="n"/>
      <c r="H58" s="804" t="n"/>
      <c r="I58" s="804" t="n"/>
      <c r="R58" s="97" t="n"/>
    </row>
    <row r="59" ht="12.75" customFormat="1" customHeight="1" s="42">
      <c r="F59" s="793" t="n"/>
      <c r="G59" s="793" t="n"/>
      <c r="H59" s="792" t="n"/>
      <c r="I59" s="793" t="n"/>
      <c r="J59" s="793" t="n"/>
      <c r="L59" s="793" t="n"/>
      <c r="M59" s="793" t="n"/>
      <c r="N59" s="793" t="n"/>
      <c r="O59" s="793" t="n"/>
      <c r="R59" s="54" t="n"/>
    </row>
    <row r="60" ht="16.5" customFormat="1" customHeight="1" s="42">
      <c r="A60" s="63" t="n"/>
      <c r="B60" s="63" t="inlineStr">
        <is>
          <t>表2 For Disclosure</t>
        </is>
      </c>
      <c r="F60" s="793" t="n"/>
      <c r="G60" s="793" t="n"/>
      <c r="H60" s="792" t="n"/>
      <c r="I60" s="793" t="n"/>
      <c r="J60" s="793" t="n"/>
      <c r="L60" s="793" t="n"/>
      <c r="M60" s="793" t="n"/>
      <c r="N60" s="793" t="n"/>
      <c r="O60" s="793" t="n"/>
      <c r="R60" s="54" t="n"/>
    </row>
    <row r="61" ht="16.5" customFormat="1" customHeight="1" s="42">
      <c r="A61" s="63" t="n"/>
      <c r="B61" s="93" t="inlineStr">
        <is>
          <t>货币资金（资产负债表）</t>
        </is>
      </c>
      <c r="E61" s="793" t="n"/>
      <c r="F61" s="793" t="n"/>
      <c r="G61" s="792" t="n"/>
      <c r="H61" s="793" t="n"/>
      <c r="I61" s="793" t="n"/>
      <c r="K61" s="793" t="n"/>
      <c r="L61" s="793" t="n"/>
      <c r="M61" s="793" t="n"/>
      <c r="N61" s="793" t="n"/>
      <c r="O61" s="793" t="n"/>
      <c r="R61" s="54" t="n"/>
    </row>
    <row r="62" ht="16.5" customFormat="1" customHeight="1" s="42">
      <c r="A62" s="63" t="n"/>
      <c r="B62" s="172" t="inlineStr">
        <is>
          <t>报表科目</t>
        </is>
      </c>
      <c r="C62" s="173">
        <f>J37</f>
        <v/>
      </c>
      <c r="D62" s="174">
        <f>K37</f>
        <v/>
      </c>
      <c r="E62" s="94" t="inlineStr">
        <is>
          <t>Check With 表2</t>
        </is>
      </c>
      <c r="F62" s="793" t="n"/>
      <c r="G62" s="792" t="n"/>
      <c r="H62" s="793" t="n"/>
      <c r="I62" s="793" t="n"/>
      <c r="K62" s="793" t="n"/>
      <c r="L62" s="793" t="n"/>
      <c r="N62" s="793" t="n"/>
      <c r="O62" s="793" t="n"/>
      <c r="R62" s="54" t="n"/>
    </row>
    <row r="63" ht="16.5" customFormat="1" customHeight="1" s="42">
      <c r="A63" s="85" t="n"/>
      <c r="B63" s="219" t="inlineStr">
        <is>
          <t>库存现金</t>
        </is>
      </c>
      <c r="C63" s="806" t="n"/>
      <c r="D63" s="807" t="n"/>
      <c r="F63" s="793" t="n"/>
      <c r="G63" s="792" t="n"/>
      <c r="H63" s="793" t="n"/>
      <c r="I63" s="793" t="n"/>
      <c r="K63" s="793" t="n"/>
      <c r="L63" s="793" t="n"/>
      <c r="M63" s="793" t="n"/>
      <c r="N63" s="793" t="n"/>
      <c r="O63" s="793" t="n"/>
      <c r="R63" s="54" t="n"/>
    </row>
    <row r="64" ht="16.5" customFormat="1" customHeight="1" s="42">
      <c r="A64" s="85" t="n"/>
      <c r="B64" s="219" t="inlineStr">
        <is>
          <t>银行存款</t>
        </is>
      </c>
      <c r="C64" s="806" t="n"/>
      <c r="D64" s="807" t="n"/>
      <c r="E64" s="808" t="n"/>
      <c r="F64" s="793" t="n"/>
      <c r="G64" s="792" t="n"/>
      <c r="H64" s="793" t="n"/>
      <c r="I64" s="793" t="n"/>
      <c r="K64" s="793" t="n"/>
      <c r="L64" s="793" t="n"/>
      <c r="M64" s="793" t="n"/>
      <c r="N64" s="793" t="n"/>
      <c r="O64" s="793" t="n"/>
      <c r="R64" s="54" t="n"/>
    </row>
    <row r="65" ht="16.5" customFormat="1" customHeight="1" s="42">
      <c r="A65" s="85" t="n"/>
      <c r="B65" s="219" t="inlineStr">
        <is>
          <t>其他货币资金</t>
        </is>
      </c>
      <c r="C65" s="806" t="n"/>
      <c r="D65" s="807" t="n"/>
      <c r="F65" s="793" t="n"/>
      <c r="G65" s="792" t="n"/>
      <c r="H65" s="793" t="n"/>
      <c r="I65" s="793" t="n"/>
      <c r="K65" s="793" t="n"/>
      <c r="L65" s="793" t="n"/>
      <c r="M65" s="793" t="n"/>
      <c r="N65" s="793" t="n"/>
      <c r="O65" s="793" t="n"/>
      <c r="R65" s="54" t="n"/>
    </row>
    <row r="66" ht="16.5" customFormat="1" customHeight="1" s="42">
      <c r="A66" s="85" t="n"/>
      <c r="B66" s="219" t="inlineStr">
        <is>
          <t>存放财务公司款项</t>
        </is>
      </c>
      <c r="C66" s="806" t="n"/>
      <c r="D66" s="807" t="n"/>
      <c r="M66" s="92" t="n"/>
      <c r="R66" s="54" t="n"/>
    </row>
    <row r="67" ht="16.5" customFormat="1" customHeight="1" s="42">
      <c r="A67" s="85" t="n"/>
      <c r="B67" s="231" t="inlineStr">
        <is>
          <t>合计</t>
        </is>
      </c>
      <c r="C67" s="809">
        <f>C63+C64+C65+C66</f>
        <v/>
      </c>
      <c r="D67" s="810">
        <f>D63+D64+D65+D66</f>
        <v/>
      </c>
      <c r="E67" s="808">
        <f>C67-J42</f>
        <v/>
      </c>
      <c r="F67" s="808">
        <f>D67-K42</f>
        <v/>
      </c>
      <c r="M67" s="92" t="n"/>
      <c r="R67" s="54" t="n"/>
    </row>
    <row r="68" ht="12.75" customFormat="1" customHeight="1" s="42">
      <c r="A68" s="85" t="n"/>
      <c r="C68" s="60" t="inlineStr">
        <is>
          <t>Rx</t>
        </is>
      </c>
      <c r="D68" s="60" t="inlineStr">
        <is>
          <t>Rx</t>
        </is>
      </c>
      <c r="M68" s="92" t="n"/>
      <c r="R68" s="54" t="n"/>
    </row>
    <row r="69" ht="16.5" customFormat="1" customHeight="1" s="42">
      <c r="A69" s="85" t="n"/>
      <c r="B69" s="485" t="inlineStr">
        <is>
          <t>其中：存放在境外的款项总额（如适用）</t>
        </is>
      </c>
      <c r="C69" s="811" t="n"/>
      <c r="D69" s="812" t="n"/>
      <c r="E69" s="177" t="inlineStr">
        <is>
          <t>*适用于A股上市公司</t>
        </is>
      </c>
      <c r="F69" s="793" t="n"/>
      <c r="G69" s="792" t="n"/>
      <c r="H69" s="793" t="n"/>
      <c r="I69" s="793" t="n"/>
      <c r="K69" s="793" t="n"/>
      <c r="L69" s="793" t="n"/>
      <c r="M69" s="793" t="n"/>
      <c r="N69" s="793" t="n"/>
      <c r="O69" s="793" t="n"/>
      <c r="R69" s="54" t="n"/>
    </row>
    <row r="70" ht="12.75" customFormat="1" customHeight="1" s="42">
      <c r="A70" s="85" t="n"/>
      <c r="G70" s="793" t="n"/>
      <c r="H70" s="792" t="n"/>
      <c r="I70" s="793" t="n"/>
      <c r="J70" s="793" t="n"/>
      <c r="L70" s="793" t="n"/>
      <c r="M70" s="793" t="n"/>
      <c r="N70" s="793" t="n"/>
      <c r="O70" s="793" t="n"/>
      <c r="R70" s="54" t="n"/>
    </row>
    <row r="71" ht="16.5" customFormat="1" customHeight="1" s="42">
      <c r="A71" s="85" t="n"/>
      <c r="B71" s="96" t="inlineStr">
        <is>
          <t>所有权或使用权受到限制的资产</t>
        </is>
      </c>
      <c r="C71" s="96" t="n"/>
      <c r="D71" s="96" t="n"/>
      <c r="E71" s="808" t="n"/>
      <c r="N71" s="92" t="n"/>
      <c r="R71" s="54" t="n"/>
    </row>
    <row r="72" ht="16.5" customFormat="1" customHeight="1" s="42">
      <c r="A72" s="85" t="n"/>
      <c r="B72" s="175" t="inlineStr">
        <is>
          <t>所有权或使用权受到限制的货币资金</t>
        </is>
      </c>
      <c r="C72" s="811" t="n"/>
      <c r="D72" s="812" t="n"/>
      <c r="E72" s="808" t="n"/>
      <c r="N72" s="92" t="n"/>
      <c r="R72" s="54" t="n"/>
    </row>
    <row r="73" ht="15" customHeight="1" s="726">
      <c r="B73" s="340" t="n"/>
      <c r="C73" s="340" t="n"/>
      <c r="D73" s="340" t="n"/>
      <c r="R73" s="54" t="n"/>
    </row>
    <row r="74" ht="7.5" customHeight="1" s="726">
      <c r="A74" s="77" t="n"/>
      <c r="B74" s="78" t="n"/>
      <c r="C74" s="78" t="n"/>
      <c r="D74" s="78" t="n"/>
      <c r="E74" s="78" t="n"/>
      <c r="F74" s="78" t="n"/>
      <c r="G74" s="78" t="n"/>
      <c r="H74" s="78" t="n"/>
      <c r="I74" s="78" t="n"/>
      <c r="J74" s="78" t="n"/>
      <c r="K74" s="79" t="n"/>
      <c r="L74" s="78" t="n"/>
      <c r="M74" s="78" t="n"/>
      <c r="N74" s="78" t="n"/>
      <c r="O74" s="78" t="n"/>
      <c r="P74" s="78" t="n"/>
      <c r="Q74" s="78" t="n"/>
      <c r="R74" s="78" t="n"/>
    </row>
    <row r="75" customFormat="1" s="340">
      <c r="A75" s="461" t="n"/>
      <c r="K75" s="462" t="n"/>
      <c r="Q75" s="3" t="n"/>
    </row>
    <row r="76"/>
    <row r="77"/>
    <row r="78"/>
    <row r="79"/>
    <row r="80"/>
    <row r="81"/>
    <row r="82"/>
    <row r="83"/>
    <row r="84"/>
  </sheetData>
  <mergeCells count="14">
    <mergeCell ref="D2:P8"/>
    <mergeCell ref="B26:F28"/>
    <mergeCell ref="B23:E23"/>
    <mergeCell ref="B30:C30"/>
    <mergeCell ref="D13:E13"/>
    <mergeCell ref="F36:J36"/>
    <mergeCell ref="F35:K35"/>
    <mergeCell ref="B1:P1"/>
    <mergeCell ref="P36:P37"/>
    <mergeCell ref="B20:E20"/>
    <mergeCell ref="L36:M36"/>
    <mergeCell ref="O36:O37"/>
    <mergeCell ref="B49:F51"/>
    <mergeCell ref="H13:L13"/>
  </mergeCells>
  <conditionalFormatting sqref="B26 B38:D40 C32 F38:F40 H45 J45:K45 K38:K40 P38:P40">
    <cfRule type="containsBlanks" priority="26" dxfId="0">
      <formula>LEN(TRIM(B26))=0</formula>
    </cfRule>
  </conditionalFormatting>
  <conditionalFormatting sqref="B49:B50">
    <cfRule type="containsBlanks" priority="13" dxfId="11">
      <formula>LEN(TRIM(B49))=0</formula>
    </cfRule>
  </conditionalFormatting>
  <conditionalFormatting sqref="B55:F55 B56:B58 C56:F56">
    <cfRule type="containsBlanks" priority="5" dxfId="11">
      <formula>LEN(TRIM(B55))=0</formula>
    </cfRule>
  </conditionalFormatting>
  <conditionalFormatting sqref="C2:C8">
    <cfRule type="containsBlanks" priority="10" dxfId="0">
      <formula>LEN(TRIM(C2))=0</formula>
    </cfRule>
  </conditionalFormatting>
  <conditionalFormatting sqref="C15:C19">
    <cfRule type="containsBlanks" priority="9" dxfId="11">
      <formula>LEN(TRIM(C15))=0</formula>
    </cfRule>
  </conditionalFormatting>
  <conditionalFormatting sqref="C63:D66">
    <cfRule type="containsBlanks" priority="12" dxfId="0">
      <formula>LEN(TRIM(C63))=0</formula>
    </cfRule>
  </conditionalFormatting>
  <conditionalFormatting sqref="C69:D69">
    <cfRule type="containsBlanks" priority="25" dxfId="0">
      <formula>LEN(TRIM(C69))=0</formula>
    </cfRule>
  </conditionalFormatting>
  <conditionalFormatting sqref="C72:D72">
    <cfRule type="containsBlanks" priority="17" dxfId="0">
      <formula>LEN(TRIM(C72))=0</formula>
    </cfRule>
  </conditionalFormatting>
  <conditionalFormatting sqref="C57:F58">
    <cfRule type="containsBlanks" priority="4" dxfId="0">
      <formula>LEN(TRIM(C57))=0</formula>
    </cfRule>
  </conditionalFormatting>
  <conditionalFormatting sqref="O38:O40">
    <cfRule type="containsBlanks" priority="8" dxfId="11">
      <formula>LEN(TRIM(O38))=0</formula>
    </cfRule>
  </conditionalFormatting>
  <conditionalFormatting sqref="O42">
    <cfRule type="containsBlanks" priority="1" dxfId="11">
      <formula>LEN(TRIM(O42))=0</formula>
    </cfRule>
  </conditionalFormatting>
  <conditionalFormatting sqref="P42">
    <cfRule type="containsBlanks" priority="2" dxfId="0">
      <formula>LEN(TRIM(P42))=0</formula>
    </cfRule>
  </conditionalFormatting>
  <dataValidations count="3">
    <dataValidation sqref="C15:C19" showDropDown="0" showInputMessage="1" showErrorMessage="1" allowBlank="1" type="list">
      <formula1>"Minimal,Low,Moderate,High,N/A"</formula1>
    </dataValidation>
    <dataValidation sqref="P38:P40 P42" showDropDown="0" showInputMessage="1" showErrorMessage="0" allowBlank="1" type="list">
      <formula1>"是,否"</formula1>
    </dataValidation>
    <dataValidation sqref="B55:B58"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O26"/>
  <sheetViews>
    <sheetView showGridLines="0" zoomScale="70" zoomScaleNormal="70" zoomScaleSheetLayoutView="90" workbookViewId="0">
      <selection activeCell="H19" sqref="H19"/>
    </sheetView>
  </sheetViews>
  <sheetFormatPr baseColWidth="8" defaultColWidth="9.25" defaultRowHeight="15" customHeight="1"/>
  <cols>
    <col width="2.625" customWidth="1" style="140" min="1" max="1"/>
    <col width="16.625" customWidth="1" style="145" min="2" max="3"/>
    <col width="16.625" customWidth="1" style="128" min="4" max="9"/>
    <col width="16.625" customWidth="1" style="154" min="10" max="10"/>
    <col width="42.75" customWidth="1" style="154" min="11" max="11"/>
    <col width="16.625" customWidth="1" style="154" min="12" max="12"/>
    <col width="2.625" customWidth="1" style="128" min="13" max="13"/>
    <col width="1.625" customWidth="1" style="128" min="14" max="14"/>
    <col width="9.25" customWidth="1" style="129" min="15" max="15"/>
    <col width="9.25" customWidth="1" style="128" min="16" max="16384"/>
  </cols>
  <sheetData>
    <row r="1" ht="50.1" customFormat="1" customHeight="1" s="118">
      <c r="A1" s="323" t="inlineStr">
        <is>
          <t>cd8846d7-01cb-4e39-99f2-dd3fb53a39f3</t>
        </is>
      </c>
      <c r="B1" s="460" t="inlineStr">
        <is>
          <t xml:space="preserve">                                                                                                                                        标准工作底稿: C SWP 货币资金</t>
        </is>
      </c>
      <c r="C1" s="412" t="n"/>
      <c r="D1" s="413" t="n"/>
      <c r="E1" s="413" t="n"/>
      <c r="F1" s="413" t="n"/>
      <c r="G1" s="414" t="n"/>
      <c r="H1" s="414" t="n"/>
      <c r="I1" s="414" t="n"/>
      <c r="J1" s="415" t="n"/>
      <c r="K1" s="415" t="n"/>
      <c r="L1" s="320" t="n"/>
      <c r="M1" s="463" t="n"/>
      <c r="N1" s="464" t="n"/>
    </row>
    <row r="2" ht="30" customFormat="1" customHeight="1" s="121">
      <c r="A2" s="119" t="n"/>
      <c r="B2" s="416" t="inlineStr">
        <is>
          <t>C.00 BKD</t>
        </is>
      </c>
      <c r="C2" s="417" t="n"/>
      <c r="D2" s="417" t="n"/>
      <c r="E2" s="417" t="n"/>
      <c r="F2" s="417" t="n"/>
      <c r="G2" s="417" t="n"/>
      <c r="H2" s="417" t="n"/>
      <c r="I2" s="417" t="n"/>
      <c r="J2" s="418" t="n"/>
      <c r="K2" s="418" t="n"/>
      <c r="L2" s="419" t="n"/>
      <c r="M2" s="119" t="n"/>
      <c r="N2" s="120" t="n"/>
    </row>
    <row r="3" ht="12.75" customFormat="1" customHeight="1" s="118">
      <c r="A3" s="122" t="n"/>
      <c r="J3" s="150" t="n"/>
      <c r="K3" s="150" t="n"/>
      <c r="L3" s="150" t="n"/>
      <c r="M3" s="123" t="n"/>
      <c r="N3" s="124" t="n"/>
    </row>
    <row r="4" ht="16.5" customFormat="1" customHeight="1" s="118">
      <c r="A4" s="122" t="n"/>
      <c r="B4" s="147" t="inlineStr">
        <is>
          <t>返回汇总页</t>
        </is>
      </c>
      <c r="J4" s="150" t="n"/>
      <c r="K4" s="150" t="n"/>
      <c r="L4" s="150" t="n"/>
      <c r="M4" s="123" t="n"/>
      <c r="N4" s="124" t="n"/>
    </row>
    <row r="5" ht="12.75" customFormat="1" customHeight="1" s="118">
      <c r="A5" s="122" t="n"/>
      <c r="J5" s="150" t="n"/>
      <c r="K5" s="150" t="n"/>
      <c r="L5" s="150" t="n"/>
      <c r="M5" s="123" t="n"/>
      <c r="N5" s="124" t="n"/>
    </row>
    <row r="6" ht="16.5" customFormat="1" customHeight="1" s="118">
      <c r="A6" s="122" t="n"/>
      <c r="B6" s="180" t="inlineStr">
        <is>
          <t>全量货币资金明细表</t>
        </is>
      </c>
      <c r="C6" s="180" t="n"/>
      <c r="D6" s="181" t="n"/>
      <c r="E6" s="181" t="n"/>
      <c r="F6" s="181" t="n"/>
      <c r="G6" s="182" t="n"/>
      <c r="H6" s="183" t="n"/>
      <c r="I6" s="183" t="n"/>
      <c r="J6" s="315" t="n"/>
      <c r="K6" s="316" t="n"/>
      <c r="L6" s="316" t="n"/>
      <c r="M6" s="122" t="n"/>
      <c r="N6" s="124" t="n"/>
    </row>
    <row r="7" ht="12.75" customFormat="1" customHeight="1" s="129">
      <c r="A7" s="125" t="n"/>
      <c r="C7" s="126" t="n"/>
      <c r="D7" s="43" t="n"/>
      <c r="E7" s="127" t="n"/>
      <c r="F7" s="127" t="n"/>
      <c r="G7" s="127" t="n"/>
      <c r="I7" s="127" t="n"/>
      <c r="J7" s="151" t="n"/>
      <c r="K7" s="151" t="n"/>
      <c r="L7" s="151" t="n"/>
      <c r="N7" s="124" t="n"/>
    </row>
    <row r="8" ht="12.75" customFormat="1" customHeight="1" s="133">
      <c r="A8" s="132" t="n"/>
      <c r="B8" s="38" t="inlineStr">
        <is>
          <t>TB</t>
        </is>
      </c>
      <c r="C8" s="38" t="inlineStr">
        <is>
          <t>TB</t>
        </is>
      </c>
      <c r="D8" s="38" t="inlineStr">
        <is>
          <t>TB</t>
        </is>
      </c>
      <c r="E8" s="38" t="inlineStr">
        <is>
          <t>TB</t>
        </is>
      </c>
      <c r="F8" s="38" t="inlineStr">
        <is>
          <t>TB</t>
        </is>
      </c>
      <c r="G8" s="38" t="inlineStr">
        <is>
          <t>TB</t>
        </is>
      </c>
      <c r="H8" s="38" t="inlineStr">
        <is>
          <t>TB</t>
        </is>
      </c>
      <c r="I8" s="484" t="inlineStr">
        <is>
          <t>PBC&amp;C.01</t>
        </is>
      </c>
      <c r="J8" s="484" t="inlineStr">
        <is>
          <t>EY Works</t>
        </is>
      </c>
      <c r="K8" s="484" t="inlineStr">
        <is>
          <t>EY Works</t>
        </is>
      </c>
      <c r="L8" s="152" t="n"/>
      <c r="N8" s="124" t="n"/>
    </row>
    <row r="9" ht="49.5" customFormat="1" customHeight="1" s="136">
      <c r="A9" s="135" t="n"/>
      <c r="B9" s="344" t="inlineStr">
        <is>
          <t>公司名称</t>
        </is>
      </c>
      <c r="C9" s="344" t="inlineStr">
        <is>
          <t>科目名称</t>
        </is>
      </c>
      <c r="D9" s="344" t="inlineStr">
        <is>
          <t>银行/存款机构名称</t>
        </is>
      </c>
      <c r="E9" s="344" t="inlineStr">
        <is>
          <t>账号1</t>
        </is>
      </c>
      <c r="F9" s="344" t="inlineStr">
        <is>
          <t>币种</t>
        </is>
      </c>
      <c r="G9" s="344" t="inlineStr">
        <is>
          <t>期末账面金额
（原币）</t>
        </is>
      </c>
      <c r="H9" s="344" t="inlineStr">
        <is>
          <t>期末账面金额
（本币）</t>
        </is>
      </c>
      <c r="I9" s="345" t="inlineStr">
        <is>
          <t>货币资金账户的性质和用途</t>
        </is>
      </c>
      <c r="J9" s="344" t="inlineStr">
        <is>
          <t>是否对账户执行银行函证程序？</t>
        </is>
      </c>
      <c r="K9" s="344" t="inlineStr">
        <is>
          <t>记录我们判断账户在金额及性质上均不重大的理由和执行的工作，或，在&lt;C.01b&gt;记录我们执行的替代性程序。</t>
        </is>
      </c>
      <c r="L9" s="346" t="inlineStr">
        <is>
          <t>Notes</t>
        </is>
      </c>
      <c r="N9" s="124" t="n"/>
    </row>
    <row r="10" ht="14.45" customFormat="1" customHeight="1" s="486">
      <c r="B10" s="487" t="n"/>
      <c r="C10" s="487" t="n"/>
      <c r="D10" s="488" t="n"/>
      <c r="E10" s="492" t="n"/>
      <c r="F10" s="488" t="n"/>
      <c r="G10" s="813" t="n"/>
      <c r="H10" s="814" t="n"/>
      <c r="I10" s="487" t="n"/>
      <c r="J10" s="488" t="n"/>
      <c r="K10" s="488" t="n"/>
      <c r="L10" s="488" t="n"/>
      <c r="N10" s="489" t="n"/>
    </row>
    <row r="11" ht="14.45" customFormat="1" customHeight="1" s="486">
      <c r="B11" s="487" t="n"/>
      <c r="C11" s="487" t="n"/>
      <c r="D11" s="488" t="n"/>
      <c r="E11" s="492" t="n"/>
      <c r="F11" s="488" t="n"/>
      <c r="G11" s="813" t="n"/>
      <c r="H11" s="814" t="n"/>
      <c r="I11" s="487" t="n"/>
      <c r="J11" s="488" t="n"/>
      <c r="K11" s="488" t="n"/>
      <c r="L11" s="488" t="n"/>
      <c r="N11" s="489" t="n"/>
    </row>
    <row r="12" ht="14.45" customFormat="1" customHeight="1" s="486">
      <c r="B12" s="487" t="n"/>
      <c r="C12" s="487" t="n"/>
      <c r="D12" s="488" t="n"/>
      <c r="E12" s="492" t="n"/>
      <c r="F12" s="488" t="n"/>
      <c r="G12" s="813" t="n"/>
      <c r="H12" s="814" t="n"/>
      <c r="I12" s="487" t="n"/>
      <c r="J12" s="488" t="n"/>
      <c r="K12" s="488">
        <f>IF(J12="是","N/a","")</f>
        <v/>
      </c>
      <c r="L12" s="488" t="n"/>
      <c r="N12" s="489" t="n"/>
    </row>
    <row r="13" ht="14.45" customFormat="1" customHeight="1" s="486">
      <c r="B13" s="487" t="n"/>
      <c r="C13" s="487" t="n"/>
      <c r="D13" s="488" t="n"/>
      <c r="E13" s="492" t="n"/>
      <c r="F13" s="488" t="n"/>
      <c r="G13" s="813" t="n"/>
      <c r="H13" s="814" t="n"/>
      <c r="I13" s="487" t="n"/>
      <c r="J13" s="488" t="n"/>
      <c r="K13" s="488">
        <f>IF(J13="是","N/a","")</f>
        <v/>
      </c>
      <c r="L13" s="488" t="n"/>
      <c r="N13" s="489" t="n"/>
    </row>
    <row r="14" ht="14.45" customFormat="1" customHeight="1" s="486">
      <c r="B14" s="487" t="n"/>
      <c r="C14" s="487" t="n"/>
      <c r="D14" s="488" t="n"/>
      <c r="E14" s="492" t="n"/>
      <c r="F14" s="488" t="n"/>
      <c r="G14" s="813" t="n"/>
      <c r="H14" s="814" t="n"/>
      <c r="I14" s="487" t="n"/>
      <c r="J14" s="488" t="n"/>
      <c r="K14" s="488">
        <f>IF(J14="是","N/a","")</f>
        <v/>
      </c>
      <c r="L14" s="488" t="n"/>
      <c r="N14" s="489" t="n"/>
    </row>
    <row r="15" ht="14.45" customFormat="1" customHeight="1" s="486">
      <c r="B15" s="487" t="n"/>
      <c r="C15" s="487" t="n"/>
      <c r="D15" s="488" t="n"/>
      <c r="E15" s="492" t="n"/>
      <c r="F15" s="488" t="n"/>
      <c r="G15" s="813" t="n"/>
      <c r="H15" s="814" t="n"/>
      <c r="I15" s="487" t="n"/>
      <c r="J15" s="488" t="n"/>
      <c r="K15" s="488">
        <f>IF(J15="是","N/a","")</f>
        <v/>
      </c>
      <c r="L15" s="488" t="n"/>
      <c r="N15" s="489" t="n"/>
    </row>
    <row r="16" ht="16.5" customFormat="1" customHeight="1" s="131">
      <c r="A16" s="137" t="n"/>
      <c r="B16" s="367" t="inlineStr">
        <is>
          <t>1.本表格包括所有的货币资金信息，我们将本期账户及其余额与上期账户及其余额核对，确保本期内新增、销户的账户均包含在表格中。</t>
        </is>
      </c>
      <c r="G16" s="156" t="n"/>
      <c r="H16" s="156" t="n"/>
      <c r="I16" s="156" t="n"/>
      <c r="J16" s="157" t="n"/>
      <c r="K16" s="324" t="n"/>
      <c r="L16" s="157" t="n"/>
      <c r="N16" s="124" t="n"/>
      <c r="O16" s="138" t="n"/>
    </row>
    <row r="17" ht="13.5" customFormat="1" customHeight="1" s="131" thickBot="1">
      <c r="A17" s="137" t="n"/>
      <c r="G17" s="815" t="n"/>
      <c r="H17" s="816">
        <f>SUM(H10:H15)</f>
        <v/>
      </c>
      <c r="I17" s="817" t="n"/>
      <c r="J17" s="133" t="n"/>
      <c r="K17" s="133" t="n"/>
      <c r="L17" s="133" t="n"/>
      <c r="N17" s="124" t="n"/>
      <c r="O17" s="138" t="n"/>
    </row>
    <row r="18" ht="13.5" customFormat="1" customHeight="1" s="131" thickTop="1">
      <c r="A18" s="137" t="n"/>
      <c r="B18" s="129" t="n"/>
      <c r="C18" s="129" t="n"/>
      <c r="D18" s="129" t="n"/>
      <c r="E18" s="129" t="n"/>
      <c r="F18" s="129" t="n"/>
      <c r="G18" s="129" t="n"/>
      <c r="H18" s="792" t="inlineStr">
        <is>
          <t>RX</t>
        </is>
      </c>
      <c r="I18" s="792" t="n"/>
      <c r="J18" s="153" t="n"/>
      <c r="K18" s="153" t="n"/>
      <c r="L18" s="153" t="n"/>
      <c r="N18" s="124" t="n"/>
      <c r="O18" s="138" t="n"/>
    </row>
    <row r="19" ht="12.75" customFormat="1" customHeight="1" s="131">
      <c r="A19" s="137" t="n"/>
      <c r="B19" s="129" t="n"/>
      <c r="C19" s="129" t="n"/>
      <c r="D19" s="129" t="n"/>
      <c r="E19" s="129" t="n"/>
      <c r="F19" s="129" t="n"/>
      <c r="G19" s="491" t="inlineStr">
        <is>
          <t>C_Lead</t>
        </is>
      </c>
      <c r="H19" s="818">
        <f>H17-'C.00 Lead'!F42</f>
        <v/>
      </c>
      <c r="I19" s="819" t="n"/>
      <c r="J19" s="153" t="n"/>
      <c r="K19" s="153" t="n"/>
      <c r="L19" s="153" t="n"/>
      <c r="N19" s="124" t="n"/>
      <c r="O19" s="138" t="n"/>
    </row>
    <row r="20" ht="12.75" customFormat="1" customHeight="1" s="131">
      <c r="A20" s="137" t="n"/>
      <c r="B20" s="129" t="n"/>
      <c r="C20" s="129" t="n"/>
      <c r="D20" s="129" t="n"/>
      <c r="E20" s="129" t="n"/>
      <c r="F20" s="129" t="n"/>
      <c r="K20" s="134" t="n"/>
      <c r="L20" s="134" t="n"/>
      <c r="N20" s="124" t="n"/>
      <c r="O20" s="138" t="n"/>
    </row>
    <row r="21" ht="12.75" customHeight="1" s="726">
      <c r="B21" s="141" t="inlineStr">
        <is>
          <t xml:space="preserve">Notes </t>
        </is>
      </c>
      <c r="C21" s="142" t="n"/>
      <c r="G21" s="129" t="n"/>
      <c r="H21" s="45" t="n"/>
      <c r="I21" s="45" t="n"/>
      <c r="K21" s="128" t="n"/>
      <c r="L21" s="128" t="n"/>
      <c r="N21" s="124" t="n"/>
    </row>
    <row r="22" ht="12.75" customHeight="1" s="726">
      <c r="B22" s="820" t="n"/>
      <c r="C22" s="731" t="n"/>
      <c r="D22" s="731" t="n"/>
      <c r="E22" s="731" t="n"/>
      <c r="F22" s="732" t="n"/>
      <c r="G22" s="129" t="n"/>
      <c r="H22" s="45" t="n"/>
      <c r="I22" s="45" t="n"/>
      <c r="K22" s="128" t="n"/>
      <c r="L22" s="128" t="n"/>
      <c r="N22" s="124" t="n"/>
    </row>
    <row r="23" ht="12.75" customHeight="1" s="726">
      <c r="B23" s="766" t="n"/>
      <c r="F23" s="767" t="n"/>
      <c r="G23" s="129" t="n"/>
      <c r="H23" s="45" t="n"/>
      <c r="I23" s="45" t="n"/>
      <c r="K23" s="128" t="n"/>
      <c r="L23" s="128" t="n"/>
      <c r="N23" s="124" t="n"/>
    </row>
    <row r="24" ht="12.75" customHeight="1" s="726">
      <c r="B24" s="734" t="n"/>
      <c r="C24" s="735" t="n"/>
      <c r="D24" s="735" t="n"/>
      <c r="E24" s="735" t="n"/>
      <c r="F24" s="736" t="n"/>
      <c r="G24" s="129" t="n"/>
      <c r="K24" s="128" t="n"/>
      <c r="L24" s="128" t="n"/>
      <c r="N24" s="124" t="n"/>
    </row>
    <row r="25" ht="15" customHeight="1" s="726">
      <c r="A25" s="125" t="n"/>
      <c r="B25" s="130" t="n"/>
      <c r="C25" s="130" t="n"/>
      <c r="D25" s="138" t="n"/>
      <c r="E25" s="143" t="n"/>
      <c r="F25" s="138" t="n"/>
      <c r="G25" s="136" t="n"/>
      <c r="H25" s="138" t="n"/>
      <c r="I25" s="138" t="n"/>
      <c r="J25" s="144" t="n"/>
      <c r="K25" s="128" t="n"/>
      <c r="L25" s="128" t="n"/>
      <c r="N25" s="124" t="n"/>
    </row>
    <row r="26" ht="7.5" customHeight="1" s="726">
      <c r="A26" s="124" t="n"/>
      <c r="B26" s="124" t="n"/>
      <c r="C26" s="124" t="n"/>
      <c r="D26" s="124" t="n"/>
      <c r="E26" s="124" t="n"/>
      <c r="F26" s="124" t="n"/>
      <c r="G26" s="124" t="n"/>
      <c r="H26" s="124" t="n"/>
      <c r="I26" s="124" t="n"/>
      <c r="J26" s="155" t="n"/>
      <c r="K26" s="155" t="n"/>
      <c r="L26" s="155" t="n"/>
      <c r="M26" s="124" t="n"/>
      <c r="N26" s="124" t="n"/>
    </row>
  </sheetData>
  <mergeCells count="1">
    <mergeCell ref="B22:F24"/>
  </mergeCells>
  <conditionalFormatting sqref="B10:K15 B22">
    <cfRule type="containsBlanks" priority="8" dxfId="0">
      <formula>LEN(TRIM(B10))=0</formula>
    </cfRule>
  </conditionalFormatting>
  <dataValidations count="1">
    <dataValidation sqref="J10:J15"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ColWidth="9" defaultRowHeight="14.25"/>
  <sheetData>
    <row r="1">
      <c r="A1" s="0" t="inlineStr">
        <is>
          <t>0a1351bf-0789-4e2c-8675-482199dfc116</t>
        </is>
      </c>
    </row>
    <row r="6">
      <c r="E6" s="0" t="inlineStr">
        <is>
          <t>ABC7ZjLatxWGMf3gbyDMF36mHPXOd0544k7kIzNaEIpIZhzTYQ1ktFoakwoNKu0zaK79gVKyCpQaOkliz6Nx931FXo09dghkUMHRjal0kKg79z5//Rdzl9v/nh4+1YUPa1fUbTxUXVy5DY+jjb6n20lhyfHaW63Pi3Kw3115MqtHefVLKuSJ85Vm1FTl43N84kGtp4FKkQY0h7AWEhAHTZA8JgBKjCS0nqDEL8Yksz0uKhU1s+Vzlw93qts6t5tvpu6bDH5xcDxJ+Ezn2XZ0jBUk8UhzreXuKpK88eLbV9ucHrPqfcWGUzvlE4d2uI4f7dpVBz3illeBTsSS2OvyJZGiZfGfl6lVeqmwfjw0cVwNyk+d7axLZlNJqo8GdfnvvL0l12S6iRz52d8+9jbo/1hUbnGJfbL4nGpJnfTLOuVxXQ6cv5+Yd1ymbrXF5v/noRBfjRbgQNGMSWWUkAh1IBKhYE0FAJjGWKWEy2Ib5GD+Y/P51++WYv0mDRJ/z9SfmUf4MJjGdGAQxS0p44DyZgDXECqEdfcUdKi9jvJwWA47o+G2/cOkv54PBjuJgfJeG+0vdtfCxGyAQgBOyKuJgJBKqmlAmBYxwJCNZCcSRBrrr0gSlIjromInb3e7mjvwf5aiUAdESsSQbHQRofQIJiPATWIAYlCfCAYYYewhY6w6yPiwf3+cNwRcaNEYCJi45UBnIcXDWkkEHX6iDnERHpLAijXFTWGg84/3CwNIUGE3FIGYidDEimsAzJ2GGBjNY2JxFy36R96W5BEvVlVeL8WAFgTAajLIj9AgIRaCGQoYILYQEAoJwXmFsRMIKWIYAaidgnA0R2VH0alM0Vu0ixVVVrk07XwEDcVFZdFZsdDw80CxjYUEB4EXyBCRSlioGUdKTAnmDPiDYft8gCjheDv6V+Vs1XlZ507WFF+by223lJgiJaAKoSBinEMhEFcCIIINm1eKAT5UdQrcp+Wk3/8QLSe2wXeQALuSPgACcYKQbmNAURGA+qIBFJ6DKwlXjOiQrLY5vVCHRhUdPrDd6e/Ppv//OLs9fftgYBYB8KVILy9zXb8vY72qieujEymptPUp2bx568nIcRNctNO7puTG+no7Ovf5q+/+fOnl/Ovfjl79eL092/XIjZtDPf/+X/79q1HfwM=</t>
        </is>
      </c>
      <c r="Y6" s="0" t="inlineStr">
        <is>
          <t>ABC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ZdurYBgAAhGHY/1+zBcENnoEORTJ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t>
        </is>
      </c>
      <c r="Z6" s="0" t="inlineStr">
        <is>
          <t>ABC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Qw7dZCyaZqUYXQrbiAhszKrKmsXbsHKotYiOHDouGc96gW4n8ZehoWPXkGE2A22IOL5Ry9E3PFDxPMd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P83Yfn0+c/C8unL/wQs+5/8/4Hl8y/f/fjrp48fP3z68stvP+yv333/4aefPn7/4e++ffv285dPP37/87c/D8unnz9/+vXjj79++PXzT7/B8sOnnz/8/OW7jx++fvzp05ffiPj45cvXPwPLD59++Pbt1x++fvj8449fP3z56Tddvv7y9ccP33/8jZxffvn28fO3b/9dWD5991/D8vm7vwqWT5/+l2X5279elj/+4Xd/+sPv/uX3//DHf/7HP/79P/3pd7//i8z8hQhzmMMc5vxHB3OYwxzmMOff/pjzN8xhDnOYwxzmvDhzmMMc5jCHOX/DHOYwhznMYc5/7mIOc5jDHOYwhznMqYk5//5qmcOceS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t>
        </is>
      </c>
      <c r="AA6" s="0" t="inlineStr">
        <is>
          <t>ABC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DnX9mpQxsAAACEYf9/jSDZFXWYOdJ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t>
        </is>
      </c>
      <c r="AB6" s="0" t="inlineStr">
        <is>
          <t>ABC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nLFThzYAAAAIw/7/GkGyK+owc6T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t>
        </is>
      </c>
      <c r="AC6" s="0" t="inlineStr">
        <is>
          <t>ABC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8ZOHdoAAAAgDPv/awTJrqibwZEy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t>
        </is>
      </c>
      <c r="AD6" s="0" t="inlineStr">
        <is>
          <t>ABC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nLFThzYAAAAIw/7/GkGyK+owc6T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t>
        </is>
      </c>
      <c r="AE6" s="0" t="inlineStr">
        <is>
          <t>ABC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WOnDm0AAAAQhv3/NYJkV9Rh5kiZ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t>
        </is>
      </c>
      <c r="AF6" s="0" t="inlineStr">
        <is>
          <t>ABC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oydOrQBAABAGPb/1wiSXVE3gyNl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t>
        </is>
      </c>
      <c r="AG6" s="0" t="inlineStr">
        <is>
          <t>ABC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WOnDm0AAAAQhv3/NYJkV9Rh5kiZ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t>
        </is>
      </c>
      <c r="AH6" s="0" t="inlineStr">
        <is>
          <t>ABC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LFThzYAAAAIw/7/GkGyK+owuKX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t>
        </is>
      </c>
      <c r="AI6" s="0" t="inlineStr">
        <is>
          <t>ABC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oydOrQBAABAGPb/1wiSXVE3gyNl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t>
        </is>
      </c>
      <c r="AJ6" s="0" t="inlineStr">
        <is>
          <t>ABC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mOnjlLwvtErDm+lGzA4sWNPNjF7cB3nthft/mngDD+NVJpCp9BCn7uXTzr6/kiHhz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6m/zPmfPrlT8359OV/wpz7T/7/mPPzz59///jj688fPn7/7duHz79/+/Hhn3/96ceHb19/+/jt+6dvv//49c/N+fLTLx+/fvnl1w/ff/n6hzm//OX3D9++/Pj+4S+//vz7p0+/ffz67ceXPzHnD1m+fP/tl28fvv70Bzefv/z49cNf/pDqw7ffP378+fvXz3/8+um/a86nz/+5OZ9/+ofM+fS/TM5f/3Fy/vov//bjX/9LZf7jLrCABSxg+dsOsIDl7z4BLGD5J7CABSxg+buOgQUsYAELWMACFrCA5ZQFLGABC1jA8rf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t>
        </is>
      </c>
      <c r="AK6" s="0" t="inlineStr">
        <is>
          <t>ABC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PLv7NSxDQAACMOw/79mC4IbPAMdimS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t>
        </is>
      </c>
      <c r="AL6" s="0" t="inlineStr">
        <is>
          <t>ABC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Bl26tgGAACEYdj/X7MFwQ2eKQxFMl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t>
        </is>
      </c>
      <c r="AM6" s="0" t="inlineStr">
        <is>
          <t>ABC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HXbq2AYAAIRh2P9fswXBDZ6hDFQy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
        </is>
      </c>
      <c r="AN6" s="0" t="inlineStr">
        <is>
          <t>ABC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mWYaeObQAAQBiG/f81WxDc4JnCQCWD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t>
        </is>
      </c>
      <c r="AO6" s="0" t="inlineStr">
        <is>
          <t>AB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Zhp45tAABAGIb9/zVbENzgGehQJBc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t>
        </is>
      </c>
      <c r="AP6" s="0" t="inlineStr">
        <is>
          <t>ABC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oedOrYBAABhGPb/12xBcIPnAgOV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t>
        </is>
      </c>
      <c r="AQ6" s="0" t="inlineStr">
        <is>
          <t>AB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hp06tgEAAGEY9v/XbEFwg2doB5B8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t>
        </is>
      </c>
      <c r="AR6" s="0" t="inlineStr">
        <is>
          <t>ABC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AMO3VsAwAAwjDs/6/ZguAGz5QOIBk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t>
        </is>
      </c>
      <c r="AS6" s="0" t="inlineStr">
        <is>
          <t>ABC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lmGnjm0AAEAYhv3/NVsQ3OC5wFAkg+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t>
        </is>
      </c>
      <c r="AT6" s="0" t="inlineStr">
        <is>
          <t>ABC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PuzUsQ0AAAjDsP+/ZguCGzxDO4Bk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t>
        </is>
      </c>
      <c r="AU6" s="0" t="inlineStr">
        <is>
          <t>ABC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Bl2KljGwAAEIZh/3/NFgQ3eAY6FMl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t>
        </is>
      </c>
      <c r="AV6" s="0" t="inlineStr">
        <is>
          <t>ABC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DLs1EHKZklCheGtuIGEzMqsqqxduAUri1qL4MCh4571qBfgfhp7GRYefYMIsRtsQcTnHx24ce4Pcc/3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Pm/Ccunz38Wlk9f/idguf/J/x9YPv/y3Y+/fvr48cOnL7/89sP++t33H3766eP3H/7u27dvP3/59OP3P3/787B8+vnzp18//vjrh18///QbLD98+vnDz1+++/jh68efPn35jYiPX758/TOw/PDph2/ffv3h64fPP/749cOXn37T5esvX3/88P3H38j55ZdvHz9/+/bfheXTd/81LJ+/+6tg+fTpf1mWv/3rZfnjH373pz/87l9+/w9//Od//OPf/9Offvf7v8jMX6gwhznMYc5/nGAOc5jDHOb82x9z/oY5zGEOc5jDnNWZwxzmMIc5zPkb5jCHOcxhDnP+8ynmMIc5zGEOc5jDnA4x599XyxzmnL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t>
        </is>
      </c>
      <c r="AW6" s="0" t="inlineStr">
        <is>
          <t>ABC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5x/ZacObQAAABCG/f81gmRX1M3gSJn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t>
        </is>
      </c>
      <c r="AX6" s="0" t="inlineStr">
        <is>
          <t>ABC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zX2KlDGwAAAIRh/3+NINkVdZg5Uu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t>
        </is>
      </c>
      <c r="AY6" s="0" t="inlineStr">
        <is>
          <t>ABC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Bn7NShDQAAAMKw/79GkOyKOgxuKX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t>
        </is>
      </c>
      <c r="AZ6" s="0" t="inlineStr">
        <is>
          <t>ABC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Y6cObQAAABCG/f81gmRX1GHmSJn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t>
        </is>
      </c>
      <c r="BA6" s="0" t="inlineStr">
        <is>
          <t>ABC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jJ06tAEAAEAY9v/XCJJdUYeZI/1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t>
        </is>
      </c>
      <c r="BB6" s="0" t="inlineStr">
        <is>
          <t>AB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HO2KlDGwAAAIRh/3+NINkVdRjcUu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t>
        </is>
      </c>
      <c r="BC6" s="0" t="inlineStr">
        <is>
          <t>ABC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xk4d2gAAACAM+/9rBMmuqMPMkTK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t>
        </is>
      </c>
      <c r="BD6" s="0" t="inlineStr">
        <is>
          <t>ABC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GTt1aAMAAIAw7P+vESS7og4zR8q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t>
        </is>
      </c>
      <c r="BE6" s="0" t="inlineStr">
        <is>
          <t>ABC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OcsVOHNgAAAAjD/v8aQbIr6jC4p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t>
        </is>
      </c>
      <c r="BF6" s="0" t="inlineStr">
        <is>
          <t>ABC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jJ06tAEAAEAY9v/XCJJdUYeZI2U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t>
        </is>
      </c>
      <c r="BG6" s="0" t="inlineStr">
        <is>
          <t>ABC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M3bq0AYAAABh2P9fI0h2RR1mjpQ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t>
        </is>
      </c>
      <c r="BH6" s="0" t="inlineStr">
        <is>
          <t>ABC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Y6cObQAAABCG/f81gmRX1GFwS5n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t>
        </is>
      </c>
      <c r="BI6" s="0" t="inlineStr">
        <is>
          <t>ABC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GTt1aAMAAIAw7P+vESS7og4zR8o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t>
        </is>
      </c>
      <c r="BJ6" s="0" t="inlineStr">
        <is>
          <t>ABC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Z+zUoQ0AAADCsP+/RpDsijrMHCl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t>
        </is>
      </c>
      <c r="BK6" s="0" t="inlineStr">
        <is>
          <t>AB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x04d2gAAACAM+/9rBMmuqMPgl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t>
        </is>
      </c>
      <c r="BL6" s="0" t="inlineStr">
        <is>
          <t>ABC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M3bq0AYAAABh2P9fI0h2RR1mjpQ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t>
        </is>
      </c>
      <c r="BM6" s="0" t="inlineStr">
        <is>
          <t>ABC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ztipQxsAAACEYf9/jSDZFXUzOFL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t>
        </is>
      </c>
      <c r="BN6" s="0" t="inlineStr">
        <is>
          <t>ABC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M3bq0AYAAABh2P9fI0h2RR1mjrS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t>
        </is>
      </c>
      <c r="BO6" s="0" t="inlineStr">
        <is>
          <t>AB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Z+zUoQ0AAADCsP+/RpDsijrMHCl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t>
        </is>
      </c>
      <c r="BP6" s="0" t="inlineStr">
        <is>
          <t>ABC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nLFTR6l6ZrkZRqeSCRhcZZfdNYmeg+Ny3eYimT8p2M2jlkIqkA6EkHX3caRX50faL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5/+sOZ9++VNzPn35nzBn/5P/P+b8/PPn3z/++Przh4/ff/v24fPv3358+Odff/rx4dvX3z5++/7p2+8/fv1zc7789MvHr19++fXD91++/mHOL3/5/cO3Lz++f/jLrz///unTbx+/fvvx5U/M+UOWL99/++Xbh68//cHN5y8/fv3wlz+k+vDt948ff/7+9fMff/303zXn0+f/3JzPP/1D5nz6Xybnr/84OX/9l3/78a//pTL/sQssYAELWP7WARaw/N1PAAtY/gksYAELWP7ujYEFLGABC1jAAhawgGUeC1jAAhawgOVv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t>
        </is>
      </c>
      <c r="BQ6" s="0" t="inlineStr">
        <is>
          <t>ABC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P6dnTq2AQAAYRj2/9dsQXCDZygDlQy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t>
        </is>
      </c>
      <c r="BR6" s="0" t="inlineStr">
        <is>
          <t>ABC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GXYqWMbAAAQhmH/f80WBDd4BjoUyW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t>
        </is>
      </c>
      <c r="BS6" s="0" t="inlineStr">
        <is>
          <t>ABC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MOzUsQ0AAAjDsP+/ZguCGzxTGIpk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t>
        </is>
      </c>
      <c r="BT6" s="0" t="inlineStr">
        <is>
          <t>ABC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bLsFPHNgAAIAzD/v+aLQhu8FzKAJJL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t>
        </is>
      </c>
      <c r="BU6" s="0" t="inlineStr">
        <is>
          <t>ABC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vDTh3bAACAMAz7/2u2ILjBM4WBSgY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t>
        </is>
      </c>
      <c r="BV6" s="0" t="inlineStr">
        <is>
          <t>ABC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MNOHdsAAIAwDPv/a7YguMEzpQNIBk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t>
        </is>
      </c>
      <c r="BW6" s="0" t="inlineStr">
        <is>
          <t>ABC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Bl2KljGwAAEIZh/3/NFgQ3eC4wFMm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t>
        </is>
      </c>
      <c r="BX6" s="0" t="inlineStr">
        <is>
          <t>ABC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AMO3VsAwAAwjDs/6/ZguAGz9AOIBk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t>
        </is>
      </c>
      <c r="BY6" s="0" t="inlineStr">
        <is>
          <t>ABC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Bl26tgGAACEYdj/X7MFwQ2eKR1AMl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t>
        </is>
      </c>
      <c r="BZ6" s="0" t="inlineStr">
        <is>
          <t>ABC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w04d2wAAgDAM+/9rtiC4wXOBoUg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t>
        </is>
      </c>
      <c r="CA6" s="0" t="inlineStr">
        <is>
          <t>ABC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iGnTq2AQAAYRj2/9dsQXCDZygDlby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t>
        </is>
      </c>
      <c r="CB6" s="0" t="inlineStr">
        <is>
          <t>ABC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GXYqWMbAAAQhmH/f80WBDd4BjoUyW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t>
        </is>
      </c>
      <c r="CC6" s="0" t="inlineStr">
        <is>
          <t>ABC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MuzUsQ0AAAjDsP+/ZguCGzxTGIpk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t>
        </is>
      </c>
      <c r="CD6" s="0" t="inlineStr">
        <is>
          <t>ABC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67NSxDQAACMOw/79mC4IbPEMZqGS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t>
        </is>
      </c>
      <c r="CE6" s="0" t="inlineStr">
        <is>
          <t>ABC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zDTh3bAACAMAz7/2u2ILjBM4WBSgY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t>
        </is>
      </c>
      <c r="CF6" s="0" t="inlineStr">
        <is>
          <t>ABC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MNOHdsAAIAwDPv/a7YguMEz0KFILg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t>
        </is>
      </c>
      <c r="CG6" s="0" t="inlineStr">
        <is>
          <t>ABC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Dzt1bAMAAMIw7P+v2YLgBs8FBioZ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t>
        </is>
      </c>
      <c r="CH6" s="0" t="inlineStr">
        <is>
          <t>ABC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AMO3VsAwAAwjDs/6/ZguAGz9AOIPk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t>
        </is>
      </c>
      <c r="CI6" s="0" t="inlineStr">
        <is>
          <t>ABC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Bl26tgGAACEYdj/X7MFwQ2eKR1AMl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t>
        </is>
      </c>
      <c r="CJ6" s="0" t="inlineStr">
        <is>
          <t>ABC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w04d2wAAgDAM+/9rtiC4wXOBoUgG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t>
        </is>
      </c>
      <c r="CK6" s="0" t="inlineStr">
        <is>
          <t>ABC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592KljGwAAEIZh/3/NFgQ3eIZ2AM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t>
        </is>
      </c>
      <c r="CL6" s="0" t="inlineStr">
        <is>
          <t>ABC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cuwU8c2AAAgDMP+/5otCG7wDHQoksE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t>
        </is>
      </c>
      <c r="CM6" s="0" t="inlineStr">
        <is>
          <t>ABC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Zdqxl1Y5zPMO4PtCv4PQfsrMnDlz6a5R0zaQUmEHuipmrqmwLIUjuaXQjbuJk0BCF7lANy2EJN3EXfQSB/ptKsn9Fp0jW//Xz5OjEoHOovS3McbPxcfP/9XvzDj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t>
        </is>
      </c>
      <c r="CN6" s="0" t="inlineStr">
        <is>
          <t>AB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XLbwPL53/z6hHffffDDz7YXv3Ny/+yrz66/mt/w6Xl5Sv+zZPd/YN37l//iC81eXAsfyTv3r96/M2r7Qd/9ODhw3tXj588eed4+tPHh/KTfc7dF9TdyNyfP756//72W8er3/vD42n74cOnL8MroqXl1SG++LO1mi0Xp9XuMFmup5vJYrubT3bT3cVku98c9tPD6vJys787/mN333j8dPvwtbf4vPwSjS+ne/cbf9JO8ir/e+/NptM7X7k6bt8/PP7rR+OHe/L1M439X/C1J6Pz9+88vfowlfOfmntnYq6fw+aVtefsH776h/NXf5Tu3pjCO8cPHv/V8XBj7f/BI7jc73cXm8VmsppfrieL6fklbKbb3eS4v1wupsfNbjed3/IjmD376Y+e/eqj5//2vRe//PEbPYNS+tI7uFjd8A5ms6WH8PqHcJgtl6f9fjE5HmeryWJ+mk62s/O7mE9P0+3xcJquFxe3/BDmL77z6fNffvezf/3Z84//48Uvvvfs1z94K8/hcoaFN3wNs/PvhMPpcH4Du83i/BoOq8lmd/7cNT2s14vVerOZHme3+xpm02ff/s/PPvno+fd//uzjf//sn37xVp7Cjb8hZhcX3sLr38L5g8Fpf9xsJ/vF9VtYrXbnj98X88lytTqs99vV+dPD4nbfwvz6LZwfwvkV/Nevf/rsB995/o+/evbJp2/rUVxO/bp400cx3V7Mj5v55WR5ujh/Mdufv1etT6fzx4jd+vyJ4nTan9a3CsRkOp/88dff+8r20ft3ro77x4/2Dx4+ePnd/snbgWLtTbzpm5hv9/uLw/Yw2ZzO6SwWi+31d+3VZHfaXMw2++XhYnarXygm04vzm7hzb/vkL+/sP3z6+HR6K09hsfEU3vh3xvxw2M4vT5P5+vwFc7G8OH9+OG7nk/Xh+nfGarFYL0+3+jvj/E3m2cf//PyjT85fKz775Idv5SGsbvzwsPAOXv8Odsf5xXE2O39imG2vSdgtJ7vV/tqFw2K1nO03q+XhFt/Bn717/2/vvXc5nb74/r/897f//sU//OTF3336Vt7C+uYPkt7C69/CfnNYntar1eR4Ol1OFofddrKerpZnHU6X518bi/PHvNv89fC1+199O78Obvo2OdtI/n/5NnmxXi2Pp9XktJ+fFTiek99sZvPJ7jjbLRfL5WG/X95i8l/8eO8enz598OibL3/st/ISZjd9RlysvYTXvoQv/5i38gFwev2l4P7V8Vvbq+Odh+dk7/xm0l/+n8e/5S/+Gz8Brv6vB/27v/MX/wM=</t>
        </is>
      </c>
    </row>
    <row r="15">
      <c r="A15" s="41" t="n">
        <v>18</v>
      </c>
      <c r="R15" s="0">
        <f>#REF!</f>
        <v/>
      </c>
      <c r="S15" s="0" t="inlineStr">
        <is>
          <t>1b31f07f-f390-461b-b420-80914eb70448</t>
        </is>
      </c>
    </row>
    <row r="16">
      <c r="R16" s="0">
        <f>#REF!</f>
        <v/>
      </c>
      <c r="S16" s="0" t="inlineStr">
        <is>
          <t>616ccf68-3778-49bb-8d87-503feddc03cc</t>
        </is>
      </c>
    </row>
    <row r="17">
      <c r="R17" s="0">
        <f>#REF!</f>
        <v/>
      </c>
      <c r="S17" s="0" t="inlineStr">
        <is>
          <t>61507659-c570-458f-a6ec-892f33d07ae6</t>
        </is>
      </c>
    </row>
    <row r="18">
      <c r="R18" s="0">
        <f>#REF!</f>
        <v/>
      </c>
      <c r="S18" s="0" t="inlineStr">
        <is>
          <t>3fe6cd5a-71bb-46e9-8eb7-af002c741bb3</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C26"/>
  <sheetViews>
    <sheetView showGridLines="0" zoomScale="70" zoomScaleNormal="70" workbookViewId="0">
      <pane xSplit="8" ySplit="9" topLeftCell="I10" activePane="bottomRight" state="frozen"/>
      <selection pane="bottomRight" activeCell="C29" sqref="C29"/>
      <selection pane="bottomLeft" activeCell="C5" sqref="C5"/>
      <selection pane="topRight" activeCell="C5" sqref="C5"/>
    </sheetView>
  </sheetViews>
  <sheetFormatPr baseColWidth="8" defaultColWidth="9" defaultRowHeight="12" customHeight="1"/>
  <cols>
    <col width="2.625" customWidth="1" style="261" min="1" max="1"/>
    <col width="18.375" customWidth="1" style="261" min="2" max="2"/>
    <col width="16.625" customWidth="1" style="261" min="3" max="11"/>
    <col outlineLevel="1" width="16.625" customWidth="1" style="261" min="12" max="12"/>
    <col width="16.625" customWidth="1" style="261" min="13" max="13"/>
    <col outlineLevel="1" width="16.625" customWidth="1" style="261" min="14" max="14"/>
    <col width="16.625" customWidth="1" style="261" min="15" max="16"/>
    <col outlineLevel="1" width="16.625" customWidth="1" style="261" min="17" max="18"/>
    <col width="16.625" customWidth="1" style="261" min="19" max="22"/>
    <col width="14.625" customWidth="1" style="261" min="23" max="23"/>
    <col width="16.625" customWidth="1" style="261" min="24" max="24"/>
    <col width="35.375" customWidth="1" style="261" min="25" max="25"/>
    <col width="16.625" customWidth="1" style="261" min="26" max="27"/>
    <col width="2.625" customWidth="1" style="261" min="28" max="28"/>
    <col width="1.625" customWidth="1" style="261" min="29" max="29"/>
    <col width="9" customWidth="1" style="261" min="30" max="16384"/>
  </cols>
  <sheetData>
    <row r="1" ht="50.1" customFormat="1" customHeight="1" s="278">
      <c r="A1" s="275" t="inlineStr">
        <is>
          <t>fdd2dfd4-c3b9-4a12-a727-8c16883132cf</t>
        </is>
      </c>
      <c r="B1" s="465" t="inlineStr">
        <is>
          <t>标准工作底稿: C SWP 货币资金</t>
        </is>
      </c>
      <c r="C1" s="117" t="n"/>
      <c r="D1" s="106" t="n"/>
      <c r="E1" s="106" t="n"/>
      <c r="F1" s="106" t="n"/>
      <c r="G1" s="107" t="n"/>
      <c r="H1" s="107" t="n"/>
      <c r="I1" s="107" t="n"/>
      <c r="J1" s="107" t="n"/>
      <c r="K1" s="107" t="n"/>
      <c r="L1" s="107" t="n"/>
      <c r="M1" s="107" t="n"/>
      <c r="N1" s="107" t="n"/>
      <c r="O1" s="107" t="n"/>
      <c r="P1" s="107" t="n"/>
      <c r="Q1" s="107" t="n"/>
      <c r="R1" s="107" t="n"/>
      <c r="S1" s="107" t="n"/>
      <c r="T1" s="107" t="n"/>
      <c r="U1" s="108" t="n"/>
      <c r="V1" s="107" t="n"/>
      <c r="W1" s="107" t="n"/>
      <c r="X1" s="107" t="n"/>
      <c r="Y1" s="107" t="n"/>
      <c r="Z1" s="107" t="n"/>
      <c r="AA1" s="108" t="n"/>
      <c r="AB1" s="276" t="n"/>
      <c r="AC1" s="277" t="n"/>
    </row>
    <row r="2" ht="30" customFormat="1" customHeight="1" s="109">
      <c r="A2" s="262" t="n"/>
      <c r="B2" s="234" t="inlineStr">
        <is>
          <t>C.01 选择执行函证的账户 C.01 制作并发送函证 C.01 核对函证金额，复核函证的其他事项并执行替代程序</t>
        </is>
      </c>
      <c r="C2" s="263" t="n"/>
      <c r="D2" s="263" t="n"/>
      <c r="E2" s="263" t="n"/>
      <c r="F2" s="263" t="n"/>
      <c r="G2" s="263" t="n"/>
      <c r="H2" s="263" t="n"/>
      <c r="I2" s="263" t="n"/>
      <c r="J2" s="263" t="n"/>
      <c r="K2" s="263" t="n"/>
      <c r="L2" s="263" t="n"/>
      <c r="M2" s="263" t="n"/>
      <c r="N2" s="263" t="n"/>
      <c r="O2" s="263" t="n"/>
      <c r="P2" s="263" t="n"/>
      <c r="Q2" s="263" t="n"/>
      <c r="R2" s="263" t="n"/>
      <c r="S2" s="263" t="n"/>
      <c r="T2" s="263" t="n"/>
      <c r="U2" s="263" t="n"/>
      <c r="V2" s="263" t="n"/>
      <c r="W2" s="263" t="n"/>
      <c r="X2" s="263" t="n"/>
      <c r="Y2" s="263" t="n"/>
      <c r="Z2" s="263" t="n"/>
      <c r="AA2" s="264" t="n"/>
      <c r="AB2" s="261" t="n"/>
      <c r="AC2" s="110" t="n"/>
    </row>
    <row r="3" ht="12.75" customFormat="1" customHeight="1" s="262">
      <c r="AB3" s="261" t="n"/>
      <c r="AC3" s="110" t="n"/>
    </row>
    <row r="4" ht="16.5" customFormat="1" customHeight="1" s="262">
      <c r="B4" s="147" t="inlineStr">
        <is>
          <t>返回汇总页</t>
        </is>
      </c>
      <c r="AB4" s="261" t="n"/>
      <c r="AC4" s="110" t="n"/>
    </row>
    <row r="5" ht="12.75" customFormat="1" customHeight="1" s="262">
      <c r="AB5" s="261" t="n"/>
      <c r="AC5" s="110" t="n"/>
    </row>
    <row r="6" ht="15" customFormat="1" customHeight="1" s="109">
      <c r="A6" s="262" t="n"/>
      <c r="B6" s="311" t="inlineStr">
        <is>
          <t>已发函测试的银行账户</t>
        </is>
      </c>
      <c r="C6" s="311" t="n"/>
      <c r="D6" s="312" t="n"/>
      <c r="E6" s="312" t="n"/>
      <c r="F6" s="312" t="n"/>
      <c r="G6" s="313" t="n"/>
      <c r="H6" s="313" t="n"/>
      <c r="I6" s="313" t="n"/>
      <c r="J6" s="313" t="n"/>
      <c r="K6" s="313" t="n"/>
      <c r="L6" s="313" t="n"/>
      <c r="M6" s="313" t="n"/>
      <c r="N6" s="313" t="n"/>
      <c r="O6" s="313" t="n"/>
      <c r="P6" s="313" t="n"/>
      <c r="Q6" s="313" t="n"/>
      <c r="R6" s="313" t="n"/>
      <c r="S6" s="313" t="n"/>
      <c r="T6" s="313" t="n"/>
      <c r="U6" s="313" t="n"/>
      <c r="V6" s="313" t="n"/>
      <c r="W6" s="313" t="n"/>
      <c r="X6" s="313" t="n"/>
      <c r="Y6" s="313" t="n"/>
      <c r="Z6" s="313" t="n"/>
      <c r="AA6" s="313" t="n"/>
      <c r="AB6" s="261" t="n"/>
      <c r="AC6" s="110" t="n"/>
    </row>
    <row r="7" ht="12.75" customFormat="1" customHeight="1" s="265">
      <c r="G7" s="262" t="n"/>
      <c r="H7" s="262" t="n"/>
      <c r="I7" s="262" t="n"/>
      <c r="J7" s="262" t="n"/>
      <c r="K7" s="262" t="n"/>
      <c r="L7" s="262" t="n"/>
      <c r="M7" s="262" t="n"/>
      <c r="N7" s="262" t="n"/>
      <c r="O7" s="262" t="n"/>
      <c r="P7" s="262" t="n"/>
      <c r="Q7" s="262" t="n"/>
      <c r="R7" s="262" t="n"/>
      <c r="S7" s="262" t="n"/>
      <c r="T7" s="262" t="n"/>
      <c r="U7" s="262" t="n"/>
      <c r="V7" s="262" t="n"/>
      <c r="W7" s="262" t="n"/>
      <c r="X7" s="262" t="n"/>
      <c r="Y7" s="262" t="n"/>
      <c r="Z7" s="262" t="n"/>
      <c r="AA7" s="262" t="n"/>
      <c r="AC7" s="116" t="n"/>
    </row>
    <row r="8" ht="16.5" customFormat="1" customHeight="1" s="268">
      <c r="A8" s="262" t="n"/>
      <c r="B8" s="266" t="n"/>
      <c r="C8" s="266" t="n"/>
      <c r="D8" s="266" t="n"/>
      <c r="E8" s="38" t="inlineStr">
        <is>
          <t>|---------------------------------------------C.00 BKD---------------------------------------------|</t>
        </is>
      </c>
      <c r="F8" s="266" t="n"/>
      <c r="G8" s="266" t="n"/>
      <c r="H8" s="266" t="n"/>
      <c r="I8" s="267" t="n"/>
      <c r="J8" s="267" t="inlineStr">
        <is>
          <t>回函信息</t>
        </is>
      </c>
      <c r="K8" s="267" t="inlineStr">
        <is>
          <t>回函信息</t>
        </is>
      </c>
      <c r="L8" s="267" t="inlineStr">
        <is>
          <t>回函信息</t>
        </is>
      </c>
      <c r="M8" s="267" t="inlineStr">
        <is>
          <t>回函信息</t>
        </is>
      </c>
      <c r="N8" s="267" t="inlineStr">
        <is>
          <t>回函信息</t>
        </is>
      </c>
      <c r="O8" s="267" t="inlineStr">
        <is>
          <t>回函信息</t>
        </is>
      </c>
      <c r="P8" s="267" t="inlineStr">
        <is>
          <t>回函信息</t>
        </is>
      </c>
      <c r="Q8" s="267" t="inlineStr">
        <is>
          <t>回函信息</t>
        </is>
      </c>
      <c r="R8" s="267" t="inlineStr">
        <is>
          <t>回函信息</t>
        </is>
      </c>
      <c r="S8" s="267" t="inlineStr">
        <is>
          <t>回函信息</t>
        </is>
      </c>
      <c r="T8" s="267" t="inlineStr">
        <is>
          <t>回函信息</t>
        </is>
      </c>
      <c r="U8" s="267" t="inlineStr">
        <is>
          <t>回函信息</t>
        </is>
      </c>
      <c r="V8" s="266" t="inlineStr">
        <is>
          <t>差异跟进</t>
        </is>
      </c>
      <c r="W8" s="266" t="inlineStr">
        <is>
          <t>差异跟进</t>
        </is>
      </c>
      <c r="X8" s="266" t="inlineStr">
        <is>
          <t>回函信息跟进</t>
        </is>
      </c>
      <c r="Y8" s="266" t="inlineStr">
        <is>
          <t>回函信息跟进</t>
        </is>
      </c>
      <c r="Z8" s="266" t="inlineStr">
        <is>
          <t>回函信息跟进</t>
        </is>
      </c>
      <c r="AA8" s="266" t="inlineStr">
        <is>
          <t>替代测试</t>
        </is>
      </c>
      <c r="AB8" s="261" t="n"/>
      <c r="AC8" s="110" t="n"/>
    </row>
    <row r="9" ht="60.95" customFormat="1" customHeight="1" s="496">
      <c r="A9" s="494" t="n"/>
      <c r="B9" s="269" t="inlineStr">
        <is>
          <t>公司名称/发函单位名称</t>
        </is>
      </c>
      <c r="C9" s="269" t="inlineStr">
        <is>
          <t>科目名称</t>
        </is>
      </c>
      <c r="D9" s="269" t="inlineStr">
        <is>
          <t>银行名称</t>
        </is>
      </c>
      <c r="E9" s="269" t="inlineStr">
        <is>
          <t>银行账号</t>
        </is>
      </c>
      <c r="F9" s="269" t="inlineStr">
        <is>
          <t>币种</t>
        </is>
      </c>
      <c r="G9" s="269" t="inlineStr">
        <is>
          <t>期末账面银行余额
（原币）
A</t>
        </is>
      </c>
      <c r="H9" s="269" t="inlineStr">
        <is>
          <t>期末账面金额
（本币）</t>
        </is>
      </c>
      <c r="I9" s="250" t="inlineStr">
        <is>
          <t>函证编号</t>
        </is>
      </c>
      <c r="J9" s="250" t="inlineStr">
        <is>
          <t>账户名称</t>
        </is>
      </c>
      <c r="K9" s="250" t="inlineStr">
        <is>
          <t>银行名称</t>
        </is>
      </c>
      <c r="L9" s="250" t="inlineStr">
        <is>
          <t>银行账号</t>
        </is>
      </c>
      <c r="M9" s="250" t="inlineStr">
        <is>
          <t>账户类型</t>
        </is>
      </c>
      <c r="N9" s="250" t="inlineStr">
        <is>
          <t>利率</t>
        </is>
      </c>
      <c r="O9" s="250" t="inlineStr">
        <is>
          <t>回函币种</t>
        </is>
      </c>
      <c r="P9" s="250" t="inlineStr">
        <is>
          <t>回函金额
B</t>
        </is>
      </c>
      <c r="Q9" s="250" t="inlineStr">
        <is>
          <t>是否属于资金归集（资金池或其他资金管理）账户</t>
        </is>
      </c>
      <c r="R9" s="250" t="inlineStr">
        <is>
          <t>存款起止日期</t>
        </is>
      </c>
      <c r="S9" s="250" t="inlineStr">
        <is>
          <t>是否存在冻结、担保或其他使用限制</t>
        </is>
      </c>
      <c r="T9" s="250" t="inlineStr">
        <is>
          <t>备注</t>
        </is>
      </c>
      <c r="U9" s="466" t="inlineStr">
        <is>
          <t>销户日期</t>
        </is>
      </c>
      <c r="V9" s="270" t="inlineStr">
        <is>
          <t>回函金额差异
（原币）
C=A-B</t>
        </is>
      </c>
      <c r="W9" s="270" t="inlineStr">
        <is>
          <t>对于金额差异的描述、跟进措施记录</t>
        </is>
      </c>
      <c r="X9" s="270" t="inlineStr">
        <is>
          <t>本期末实际受限金额
（本币）</t>
        </is>
      </c>
      <c r="Y9" s="493" t="inlineStr">
        <is>
          <t>记录受限原因、确认受限情形进行了适当的分类和披露；在回函未确认受限情形时，记录我们的补充工作以及支持性文件索引1</t>
        </is>
      </c>
      <c r="Z9" s="270" t="inlineStr">
        <is>
          <t>其他回函信息跟进工作底稿索引</t>
        </is>
      </c>
      <c r="AA9" s="270" t="inlineStr">
        <is>
          <t>替代测试索引</t>
        </is>
      </c>
      <c r="AB9" s="495" t="n"/>
      <c r="AC9" s="110" t="n"/>
    </row>
    <row r="10" ht="12.75" customFormat="1" customHeight="1" s="336">
      <c r="A10" s="332" t="n"/>
      <c r="B10" s="377" t="n"/>
      <c r="C10" s="378" t="n"/>
      <c r="D10" s="377" t="n"/>
      <c r="E10" s="378" t="n"/>
      <c r="F10" s="377" t="n"/>
      <c r="G10" s="821" t="n"/>
      <c r="H10" s="821" t="n"/>
      <c r="I10" s="379" t="n"/>
      <c r="J10" s="379" t="n"/>
      <c r="K10" s="379" t="n"/>
      <c r="L10" s="379" t="n"/>
      <c r="M10" s="379" t="n"/>
      <c r="N10" s="822" t="n"/>
      <c r="O10" s="380" t="n"/>
      <c r="P10" s="823" t="n"/>
      <c r="Q10" s="380" t="n"/>
      <c r="R10" s="379" t="n"/>
      <c r="S10" s="380" t="n"/>
      <c r="T10" s="333" t="n"/>
      <c r="U10" s="566" t="n"/>
      <c r="V10" s="824">
        <f>G10-P10</f>
        <v/>
      </c>
      <c r="W10" s="381" t="n"/>
      <c r="X10" s="825" t="n"/>
      <c r="Y10" s="381" t="n"/>
      <c r="Z10" s="339" t="n"/>
      <c r="AA10" s="339" t="n"/>
      <c r="AB10" s="335" t="n"/>
      <c r="AC10" s="110" t="n"/>
    </row>
    <row r="11" ht="12.75" customFormat="1" customHeight="1" s="336">
      <c r="A11" s="332" t="n"/>
      <c r="B11" s="377" t="n"/>
      <c r="C11" s="378" t="n"/>
      <c r="D11" s="377" t="n"/>
      <c r="E11" s="378" t="n"/>
      <c r="F11" s="377" t="n"/>
      <c r="G11" s="821" t="n"/>
      <c r="H11" s="821" t="n"/>
      <c r="I11" s="379" t="n"/>
      <c r="J11" s="379" t="n"/>
      <c r="K11" s="379" t="n"/>
      <c r="L11" s="379" t="n"/>
      <c r="M11" s="379" t="n"/>
      <c r="N11" s="822" t="n"/>
      <c r="O11" s="380" t="n"/>
      <c r="P11" s="823" t="n"/>
      <c r="Q11" s="380" t="n"/>
      <c r="R11" s="379" t="n"/>
      <c r="S11" s="380" t="n"/>
      <c r="T11" s="333" t="n"/>
      <c r="U11" s="566" t="n"/>
      <c r="V11" s="824">
        <f>G11-P11</f>
        <v/>
      </c>
      <c r="W11" s="381" t="n"/>
      <c r="X11" s="825" t="n"/>
      <c r="Y11" s="381" t="n"/>
      <c r="Z11" s="339" t="n"/>
      <c r="AA11" s="339" t="n"/>
      <c r="AB11" s="335" t="n"/>
      <c r="AC11" s="110" t="n"/>
    </row>
    <row r="12" ht="12.75" customFormat="1" customHeight="1" s="336">
      <c r="A12" s="332" t="n"/>
      <c r="B12" s="377" t="n"/>
      <c r="C12" s="378" t="n"/>
      <c r="D12" s="377" t="n"/>
      <c r="E12" s="378" t="n"/>
      <c r="F12" s="377" t="n"/>
      <c r="G12" s="821" t="n"/>
      <c r="H12" s="821" t="n"/>
      <c r="I12" s="379" t="n"/>
      <c r="J12" s="379" t="n"/>
      <c r="K12" s="379" t="n"/>
      <c r="L12" s="379" t="n"/>
      <c r="M12" s="379" t="n"/>
      <c r="N12" s="822" t="n"/>
      <c r="O12" s="380" t="n"/>
      <c r="P12" s="823" t="n"/>
      <c r="Q12" s="380" t="n"/>
      <c r="R12" s="379" t="n"/>
      <c r="S12" s="380" t="n"/>
      <c r="T12" s="333" t="n"/>
      <c r="U12" s="566" t="n"/>
      <c r="V12" s="824">
        <f>G12-P12</f>
        <v/>
      </c>
      <c r="W12" s="381" t="n"/>
      <c r="X12" s="825" t="n"/>
      <c r="Y12" s="381" t="n"/>
      <c r="Z12" s="339" t="n"/>
      <c r="AA12" s="339" t="n"/>
      <c r="AB12" s="335" t="n"/>
      <c r="AC12" s="110" t="n"/>
    </row>
    <row r="13" ht="12.75" customFormat="1" customHeight="1" s="336">
      <c r="A13" s="332" t="n"/>
      <c r="B13" s="377" t="n"/>
      <c r="C13" s="378" t="n"/>
      <c r="D13" s="377" t="n"/>
      <c r="E13" s="378" t="n"/>
      <c r="F13" s="377" t="n"/>
      <c r="G13" s="821" t="n"/>
      <c r="H13" s="821" t="n"/>
      <c r="I13" s="379" t="n"/>
      <c r="J13" s="379" t="n"/>
      <c r="K13" s="379" t="n"/>
      <c r="L13" s="379" t="n"/>
      <c r="M13" s="379" t="n"/>
      <c r="N13" s="822" t="n"/>
      <c r="O13" s="380" t="n"/>
      <c r="P13" s="823" t="n"/>
      <c r="Q13" s="380" t="n"/>
      <c r="R13" s="379" t="n"/>
      <c r="S13" s="380" t="n"/>
      <c r="T13" s="333" t="n"/>
      <c r="U13" s="566" t="n"/>
      <c r="V13" s="824">
        <f>G13-P13</f>
        <v/>
      </c>
      <c r="W13" s="381" t="n"/>
      <c r="X13" s="825" t="n"/>
      <c r="Y13" s="381" t="n"/>
      <c r="Z13" s="339" t="n"/>
      <c r="AA13" s="339" t="n"/>
      <c r="AB13" s="335" t="n"/>
      <c r="AC13" s="110" t="n"/>
    </row>
    <row r="14" ht="12.75" customFormat="1" customHeight="1" s="336">
      <c r="A14" s="332" t="n"/>
      <c r="B14" s="377" t="n"/>
      <c r="C14" s="378" t="n"/>
      <c r="D14" s="377" t="n"/>
      <c r="E14" s="378" t="n"/>
      <c r="F14" s="377" t="n"/>
      <c r="G14" s="821" t="n"/>
      <c r="H14" s="821" t="n"/>
      <c r="I14" s="379" t="n"/>
      <c r="J14" s="379" t="n"/>
      <c r="K14" s="379" t="n"/>
      <c r="L14" s="379" t="n"/>
      <c r="M14" s="379" t="n"/>
      <c r="N14" s="822" t="n"/>
      <c r="O14" s="380" t="n"/>
      <c r="P14" s="823" t="n"/>
      <c r="Q14" s="380" t="n"/>
      <c r="R14" s="379" t="n"/>
      <c r="S14" s="380" t="n"/>
      <c r="T14" s="333" t="n"/>
      <c r="U14" s="566" t="n"/>
      <c r="V14" s="824">
        <f>G14-P14</f>
        <v/>
      </c>
      <c r="W14" s="381" t="n"/>
      <c r="X14" s="825" t="n"/>
      <c r="Y14" s="381" t="n"/>
      <c r="Z14" s="339" t="n"/>
      <c r="AA14" s="339" t="n"/>
      <c r="AB14" s="335" t="n"/>
      <c r="AC14" s="110" t="n"/>
    </row>
    <row r="15" ht="12.75" customFormat="1" customHeight="1" s="336">
      <c r="A15" s="332" t="n"/>
      <c r="B15" s="377" t="n"/>
      <c r="C15" s="378" t="n"/>
      <c r="D15" s="377" t="n"/>
      <c r="E15" s="378" t="n"/>
      <c r="F15" s="377" t="n"/>
      <c r="G15" s="821" t="n"/>
      <c r="H15" s="821" t="n"/>
      <c r="I15" s="379" t="n"/>
      <c r="J15" s="379" t="n"/>
      <c r="K15" s="379" t="n"/>
      <c r="L15" s="379" t="n"/>
      <c r="M15" s="379" t="n"/>
      <c r="N15" s="822" t="n"/>
      <c r="O15" s="380" t="n"/>
      <c r="P15" s="823" t="n"/>
      <c r="Q15" s="380" t="n"/>
      <c r="R15" s="379" t="n"/>
      <c r="S15" s="380" t="n"/>
      <c r="T15" s="333" t="n"/>
      <c r="U15" s="566" t="n"/>
      <c r="V15" s="824">
        <f>G15-P15</f>
        <v/>
      </c>
      <c r="W15" s="381" t="n"/>
      <c r="X15" s="825" t="n"/>
      <c r="Y15" s="381" t="n"/>
      <c r="Z15" s="339" t="n"/>
      <c r="AA15" s="339" t="n"/>
      <c r="AB15" s="335" t="n"/>
      <c r="AC15" s="110" t="n"/>
    </row>
    <row r="16" ht="12.75" customFormat="1" customHeight="1" s="336">
      <c r="A16" s="332" t="n"/>
      <c r="B16" s="377" t="n"/>
      <c r="C16" s="378" t="n"/>
      <c r="D16" s="377" t="n"/>
      <c r="E16" s="378" t="n"/>
      <c r="F16" s="377" t="n"/>
      <c r="G16" s="821" t="n"/>
      <c r="H16" s="821" t="n"/>
      <c r="I16" s="379" t="n"/>
      <c r="J16" s="379" t="n"/>
      <c r="K16" s="379" t="n"/>
      <c r="L16" s="379" t="n"/>
      <c r="M16" s="379" t="n"/>
      <c r="N16" s="822" t="n"/>
      <c r="O16" s="380" t="n"/>
      <c r="P16" s="823" t="n"/>
      <c r="Q16" s="380" t="n"/>
      <c r="R16" s="379" t="n"/>
      <c r="S16" s="380" t="n"/>
      <c r="T16" s="333" t="n"/>
      <c r="U16" s="566" t="n"/>
      <c r="V16" s="824">
        <f>G16-P16</f>
        <v/>
      </c>
      <c r="W16" s="381" t="n"/>
      <c r="X16" s="825" t="n"/>
      <c r="Y16" s="381" t="n"/>
      <c r="Z16" s="339" t="n"/>
      <c r="AA16" s="339" t="n"/>
      <c r="AB16" s="335" t="n"/>
      <c r="AC16" s="110" t="n"/>
    </row>
    <row r="17" ht="12.75" customFormat="1" customHeight="1" s="336">
      <c r="A17" s="332" t="n"/>
      <c r="B17" s="377" t="n"/>
      <c r="C17" s="378" t="n"/>
      <c r="D17" s="377" t="n"/>
      <c r="E17" s="378" t="n"/>
      <c r="F17" s="377" t="n"/>
      <c r="G17" s="821" t="n"/>
      <c r="H17" s="821" t="n"/>
      <c r="I17" s="379" t="n"/>
      <c r="J17" s="379" t="n"/>
      <c r="K17" s="379" t="n"/>
      <c r="L17" s="379" t="n"/>
      <c r="M17" s="379" t="n"/>
      <c r="N17" s="822" t="n"/>
      <c r="O17" s="380" t="n"/>
      <c r="P17" s="823" t="n"/>
      <c r="Q17" s="380" t="n"/>
      <c r="R17" s="379" t="n"/>
      <c r="S17" s="380" t="n"/>
      <c r="T17" s="333" t="n"/>
      <c r="U17" s="566" t="n"/>
      <c r="V17" s="824">
        <f>G17-P17</f>
        <v/>
      </c>
      <c r="W17" s="381" t="n"/>
      <c r="X17" s="825" t="n"/>
      <c r="Y17" s="381" t="n"/>
      <c r="Z17" s="339" t="n"/>
      <c r="AA17" s="339" t="n"/>
      <c r="AB17" s="335" t="n"/>
      <c r="AC17" s="110" t="n"/>
    </row>
    <row r="18" ht="12.75" customHeight="1" s="726">
      <c r="C18" s="238" t="n"/>
      <c r="D18" s="271" t="n"/>
      <c r="E18" s="271" t="n"/>
      <c r="F18" s="271" t="n"/>
      <c r="I18" s="272" t="n"/>
      <c r="J18" s="272" t="n"/>
      <c r="K18" s="272" t="n"/>
      <c r="L18" s="272" t="n"/>
      <c r="M18" s="272" t="n"/>
      <c r="N18" s="272" t="n"/>
      <c r="O18" s="272" t="n"/>
      <c r="P18" s="826" t="n"/>
      <c r="Q18" s="826" t="n"/>
      <c r="R18" s="826" t="n"/>
      <c r="V18" s="826" t="n"/>
      <c r="X18" s="826" t="n"/>
      <c r="AC18" s="110" t="n"/>
    </row>
    <row r="19" ht="17.25" customHeight="1" s="726" thickBot="1">
      <c r="C19" s="238" t="n"/>
      <c r="D19" s="271" t="n"/>
      <c r="E19" s="271" t="n"/>
      <c r="F19" s="271" t="n"/>
      <c r="G19" s="262" t="inlineStr">
        <is>
          <t>合计</t>
        </is>
      </c>
      <c r="H19" s="827">
        <f>SUM(H9:H17)</f>
        <v/>
      </c>
      <c r="I19" s="272" t="n"/>
      <c r="J19" s="272" t="n"/>
      <c r="K19" s="272" t="n"/>
      <c r="L19" s="272" t="n"/>
      <c r="M19" s="272" t="n"/>
      <c r="N19" s="272" t="n"/>
      <c r="O19" s="272" t="n"/>
      <c r="P19" s="826" t="n"/>
      <c r="Q19" s="826" t="n"/>
      <c r="R19" s="826" t="n"/>
      <c r="V19" s="826" t="n"/>
      <c r="X19" s="828">
        <f>SUM(X9:X17)</f>
        <v/>
      </c>
      <c r="AC19" s="110" t="n"/>
    </row>
    <row r="20" ht="13.5" customHeight="1" s="726" thickTop="1">
      <c r="C20" s="238" t="n"/>
      <c r="D20" s="271" t="n"/>
      <c r="E20" s="271" t="n"/>
      <c r="F20" s="271" t="n"/>
      <c r="H20" s="792" t="inlineStr">
        <is>
          <t>RX</t>
        </is>
      </c>
      <c r="I20" s="272" t="n"/>
      <c r="J20" s="272" t="n"/>
      <c r="K20" s="272" t="n"/>
      <c r="L20" s="272" t="n"/>
      <c r="M20" s="272" t="n"/>
      <c r="N20" s="272" t="n"/>
      <c r="O20" s="272" t="n"/>
      <c r="P20" s="826" t="n"/>
      <c r="Q20" s="826" t="n"/>
      <c r="R20" s="826" t="n"/>
      <c r="V20" s="826" t="n"/>
      <c r="X20" s="792" t="inlineStr">
        <is>
          <t>RX</t>
        </is>
      </c>
      <c r="AC20" s="110" t="n"/>
    </row>
    <row r="21" ht="12.75" customHeight="1" s="726">
      <c r="C21" s="238" t="n"/>
      <c r="D21" s="271" t="n"/>
      <c r="E21" s="271" t="n"/>
      <c r="F21" s="271" t="n"/>
      <c r="I21" s="272" t="n"/>
      <c r="J21" s="272" t="n"/>
      <c r="K21" s="272" t="n"/>
      <c r="L21" s="272" t="n"/>
      <c r="M21" s="272" t="n"/>
      <c r="N21" s="272" t="n"/>
      <c r="O21" s="272" t="n"/>
      <c r="P21" s="826" t="n"/>
      <c r="Q21" s="826" t="n"/>
      <c r="R21" s="826" t="n"/>
      <c r="V21" s="826" t="n"/>
      <c r="X21" s="826" t="n"/>
      <c r="AC21" s="110" t="n"/>
    </row>
    <row r="22" ht="16.5" customHeight="1" s="726">
      <c r="B22" s="497" t="inlineStr">
        <is>
          <t>1.可能有助于我们进行确认受限情形的程序包括：</t>
        </is>
      </c>
      <c r="C22" s="238" t="n"/>
      <c r="D22" s="271" t="n"/>
      <c r="E22" s="271" t="n"/>
      <c r="F22" s="271" t="n"/>
      <c r="I22" s="272" t="n"/>
      <c r="J22" s="272" t="n"/>
      <c r="K22" s="272" t="n"/>
      <c r="L22" s="272" t="n"/>
      <c r="M22" s="272" t="n"/>
      <c r="N22" s="272" t="n"/>
      <c r="O22" s="272" t="n"/>
      <c r="P22" s="826" t="n"/>
      <c r="Q22" s="826" t="n"/>
      <c r="R22" s="826" t="n"/>
      <c r="V22" s="826" t="n"/>
      <c r="AC22" s="110" t="n"/>
    </row>
    <row r="23" ht="16.5" customHeight="1" s="726">
      <c r="B23" s="498" t="inlineStr">
        <is>
          <t>对于定期存款，若为未质押的定期存款，应在资产负债表日当天盘点开户证实书原件；若为已质押的定期存款，则检查定期存单复印件及质押合同；</t>
        </is>
      </c>
      <c r="C23" s="274" t="n"/>
      <c r="D23" s="274" t="n"/>
      <c r="E23" s="274" t="n"/>
      <c r="F23" s="274" t="n"/>
      <c r="I23" s="272" t="n"/>
      <c r="J23" s="272" t="n"/>
      <c r="K23" s="272" t="n"/>
      <c r="L23" s="272" t="n"/>
      <c r="M23" s="272" t="n"/>
      <c r="N23" s="272" t="n"/>
      <c r="O23" s="272" t="n"/>
      <c r="P23" s="826" t="n"/>
      <c r="Q23" s="826" t="n"/>
      <c r="R23" s="826" t="n"/>
      <c r="V23" s="826" t="n"/>
      <c r="AC23" s="110" t="n"/>
    </row>
    <row r="24" ht="16.5" customHeight="1" s="726">
      <c r="B24" s="498" t="inlineStr">
        <is>
          <t>对于活期存款，包括询问管理层；了解每个银行账户的性质和用途；审阅董事会、股东会和委员会会议记录；以及审查重大合同/协议等程序。</t>
        </is>
      </c>
      <c r="C24" s="111" t="n"/>
      <c r="AC24" s="110" t="n"/>
    </row>
    <row r="25" ht="15" customHeight="1" s="726">
      <c r="B25" s="327" t="n"/>
      <c r="C25" s="111" t="n"/>
      <c r="AC25" s="110" t="n"/>
    </row>
    <row r="26" ht="7.5" customHeight="1" s="7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c r="AB26" s="110" t="n"/>
      <c r="AC26" s="110" t="n"/>
    </row>
  </sheetData>
  <conditionalFormatting sqref="B10:S17 U10:U17 W10:Y17">
    <cfRule type="containsBlanks" priority="1" dxfId="11">
      <formula>LEN(TRIM(B10))=0</formula>
    </cfRule>
  </conditionalFormatting>
  <dataValidations count="1">
    <dataValidation sqref="Q10:Q17 S10:S17"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O42"/>
  <sheetViews>
    <sheetView showGridLines="0" zoomScale="70" zoomScaleNormal="70" workbookViewId="0">
      <selection activeCell="S9" sqref="S9"/>
    </sheetView>
  </sheetViews>
  <sheetFormatPr baseColWidth="8" defaultColWidth="9.125" defaultRowHeight="12.75" outlineLevelRow="1"/>
  <cols>
    <col width="2.625" customWidth="1" style="47" min="1" max="1"/>
    <col width="16.75" customWidth="1" style="42" min="2" max="6"/>
    <col width="17.75" customWidth="1" style="42" min="7" max="7"/>
    <col width="16.75" customWidth="1" style="42" min="8" max="12"/>
    <col width="39.75" customWidth="1" style="42" min="13" max="13"/>
    <col width="2.625" customWidth="1" style="42" min="14" max="14"/>
    <col width="1.625" customWidth="1" style="42" min="15" max="15"/>
    <col width="9.125" customWidth="1" style="42" min="16"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5" t="n"/>
      <c r="L1" s="5" t="n"/>
      <c r="M1" s="21" t="n"/>
      <c r="N1" s="420" t="n"/>
      <c r="O1" s="40" t="n"/>
    </row>
    <row r="2" ht="30" customFormat="1" customHeight="1" s="1">
      <c r="A2" s="6" t="n"/>
      <c r="B2" s="228" t="inlineStr">
        <is>
          <t>C.01b 特殊账户程序</t>
        </is>
      </c>
      <c r="C2" s="7" t="n"/>
      <c r="D2" s="7" t="n"/>
      <c r="E2" s="7" t="n"/>
      <c r="F2" s="7" t="n"/>
      <c r="G2" s="7" t="n"/>
      <c r="H2" s="7" t="n"/>
      <c r="I2" s="7" t="n"/>
      <c r="J2" s="7" t="n"/>
      <c r="K2" s="7" t="n"/>
      <c r="L2" s="7" t="n"/>
      <c r="M2" s="22" t="n"/>
      <c r="N2" s="421" t="n"/>
      <c r="O2" s="40" t="n"/>
    </row>
    <row r="3">
      <c r="A3" s="341" t="n"/>
      <c r="B3" s="49" t="n"/>
      <c r="C3" s="20" t="n"/>
      <c r="D3" s="20" t="n"/>
      <c r="E3" s="20" t="n"/>
      <c r="F3" s="20" t="n"/>
      <c r="G3" s="20" t="n"/>
      <c r="H3" s="20" t="n"/>
      <c r="I3" s="20" t="n"/>
      <c r="J3" s="20" t="n"/>
      <c r="K3" s="20" t="n"/>
      <c r="L3" s="20" t="n"/>
      <c r="M3" s="20" t="n"/>
      <c r="N3" s="20" t="n"/>
      <c r="O3" s="54" t="n"/>
    </row>
    <row r="4" ht="16.5" customHeight="1" s="726">
      <c r="A4" s="341" t="n"/>
      <c r="B4" s="147" t="inlineStr">
        <is>
          <t>返回汇总页</t>
        </is>
      </c>
      <c r="C4" s="20" t="n"/>
      <c r="D4" s="20" t="n"/>
      <c r="E4" s="20" t="n"/>
      <c r="F4" s="20" t="n"/>
      <c r="G4" s="20" t="n"/>
      <c r="H4" s="20" t="n"/>
      <c r="I4" s="20" t="n"/>
      <c r="J4" s="20" t="n"/>
      <c r="K4" s="20" t="n"/>
      <c r="L4" s="20" t="n"/>
      <c r="M4" s="20" t="n"/>
      <c r="N4" s="242" t="n"/>
      <c r="O4" s="54" t="n"/>
    </row>
    <row r="5">
      <c r="A5" s="341" t="n"/>
      <c r="B5" s="49" t="n"/>
      <c r="C5" s="20" t="n"/>
      <c r="D5" s="20" t="n"/>
      <c r="E5" s="20" t="n"/>
      <c r="F5" s="20" t="n"/>
      <c r="G5" s="20" t="n"/>
      <c r="H5" s="20" t="n"/>
      <c r="I5" s="20" t="n"/>
      <c r="J5" s="20" t="n"/>
      <c r="K5" s="20" t="n"/>
      <c r="L5" s="20" t="n"/>
      <c r="M5" s="20" t="n"/>
      <c r="N5" s="242" t="n"/>
      <c r="O5" s="54" t="n"/>
    </row>
    <row r="6" ht="16.5" customHeight="1" s="726">
      <c r="A6" s="341" t="n"/>
      <c r="B6" s="185" t="inlineStr">
        <is>
          <t>重大的其他货币资金项目（如，微信支付余额、存出投资款余额等）</t>
        </is>
      </c>
      <c r="C6" s="185" t="n"/>
      <c r="D6" s="185" t="n"/>
      <c r="E6" s="185" t="n"/>
      <c r="F6" s="185" t="n"/>
      <c r="G6" s="185" t="n"/>
      <c r="H6" s="185" t="n"/>
      <c r="I6" s="185" t="n"/>
      <c r="J6" s="185" t="n"/>
      <c r="K6" s="185" t="n"/>
      <c r="L6" s="185" t="n"/>
      <c r="M6" s="284" t="n"/>
      <c r="N6" s="328" t="n"/>
      <c r="O6" s="54" t="n"/>
    </row>
    <row r="7" outlineLevel="1" s="726">
      <c r="A7" s="341" t="n"/>
      <c r="B7" s="342" t="n"/>
      <c r="C7" s="342" t="n"/>
      <c r="D7" s="342" t="n"/>
      <c r="E7" s="342" t="n"/>
      <c r="F7" s="342" t="n"/>
      <c r="G7" s="342" t="n"/>
      <c r="H7" s="342" t="n"/>
      <c r="I7" s="342" t="n"/>
      <c r="J7" s="342" t="n"/>
      <c r="K7" s="342" t="n"/>
      <c r="L7" s="342" t="n"/>
      <c r="M7" s="342" t="n"/>
      <c r="N7" s="328" t="n"/>
      <c r="O7" s="54" t="n"/>
    </row>
    <row r="8" outlineLevel="1" s="726">
      <c r="A8" s="341" t="n"/>
      <c r="B8" s="499" t="inlineStr">
        <is>
          <t>|---------------------------------------------------------------------------------------------------------------------------------------C.00 BKD-------------------------------------------------------------------------------------------------------------------|</t>
        </is>
      </c>
      <c r="C8" s="20" t="n"/>
      <c r="D8" s="20" t="n"/>
      <c r="E8" s="20" t="n"/>
      <c r="F8" s="20" t="n"/>
      <c r="G8" s="20" t="n"/>
      <c r="H8" s="20" t="n"/>
      <c r="I8" s="20" t="n"/>
      <c r="J8" s="20" t="n"/>
      <c r="M8" s="20" t="n"/>
      <c r="N8" s="242" t="n"/>
      <c r="O8" s="54" t="n"/>
    </row>
    <row r="9" outlineLevel="1" ht="62.25" customHeight="1" s="726">
      <c r="A9" s="341" t="n"/>
      <c r="B9" s="347" t="inlineStr">
        <is>
          <t>公司名称</t>
        </is>
      </c>
      <c r="C9" s="347" t="inlineStr">
        <is>
          <t>科目名称</t>
        </is>
      </c>
      <c r="D9" s="347" t="inlineStr">
        <is>
          <t>银行/存款机构名称</t>
        </is>
      </c>
      <c r="E9" s="347" t="inlineStr">
        <is>
          <t>账号</t>
        </is>
      </c>
      <c r="F9" s="347" t="inlineStr">
        <is>
          <t>币种</t>
        </is>
      </c>
      <c r="G9" s="347" t="inlineStr">
        <is>
          <t>期末账面金额
（原币）
A</t>
        </is>
      </c>
      <c r="H9" s="347" t="inlineStr">
        <is>
          <t>期末账面金额
（本币）</t>
        </is>
      </c>
      <c r="I9" s="500" t="inlineStr">
        <is>
          <t>对账单/资产证明书金额
（本币）
B</t>
        </is>
      </c>
      <c r="J9" s="500" t="inlineStr">
        <is>
          <t>账面金额与银行账户余额差异
C=B-A</t>
        </is>
      </c>
      <c r="K9" s="349" t="inlineStr">
        <is>
          <t>账户类型、性质和用途</t>
        </is>
      </c>
      <c r="L9" s="270" t="inlineStr">
        <is>
          <t>本期末实际受限金额
（本币）</t>
        </is>
      </c>
      <c r="M9" s="493" t="inlineStr">
        <is>
          <t>记录受限原因、确认受限情形进行了适当的分类和披露；记录我们的补充工作以及支持性文件索引1</t>
        </is>
      </c>
      <c r="N9" s="329" t="n"/>
      <c r="O9" s="54" t="n"/>
    </row>
    <row r="10" outlineLevel="1" customFormat="1" s="92">
      <c r="A10" s="501" t="n"/>
      <c r="B10" s="487" t="n"/>
      <c r="C10" s="487" t="n"/>
      <c r="D10" s="488" t="n"/>
      <c r="E10" s="492" t="n"/>
      <c r="F10" s="488" t="n"/>
      <c r="G10" s="829" t="n"/>
      <c r="H10" s="830" t="n"/>
      <c r="I10" s="829" t="n"/>
      <c r="J10" s="829">
        <f>I10-G10</f>
        <v/>
      </c>
      <c r="K10" s="487" t="n"/>
      <c r="L10" s="831" t="n"/>
      <c r="M10" s="351" t="n"/>
      <c r="N10" s="330" t="n"/>
      <c r="O10" s="97" t="n"/>
    </row>
    <row r="11" outlineLevel="1" customFormat="1" s="92">
      <c r="A11" s="501" t="n"/>
      <c r="B11" s="487" t="n"/>
      <c r="C11" s="487" t="n"/>
      <c r="D11" s="488" t="n"/>
      <c r="E11" s="492" t="n"/>
      <c r="F11" s="488" t="n"/>
      <c r="G11" s="829" t="n"/>
      <c r="H11" s="830" t="n"/>
      <c r="I11" s="829" t="n"/>
      <c r="J11" s="829">
        <f>I11-G11</f>
        <v/>
      </c>
      <c r="K11" s="487" t="n"/>
      <c r="L11" s="831" t="n"/>
      <c r="M11" s="351" t="n"/>
      <c r="N11" s="330" t="n"/>
      <c r="O11" s="97" t="n"/>
    </row>
    <row r="12" outlineLevel="1" customFormat="1" s="92">
      <c r="A12" s="501" t="n"/>
      <c r="B12" s="487" t="n"/>
      <c r="C12" s="487" t="n"/>
      <c r="D12" s="488" t="n"/>
      <c r="E12" s="492" t="n"/>
      <c r="F12" s="488" t="n"/>
      <c r="G12" s="829" t="n"/>
      <c r="H12" s="830" t="n"/>
      <c r="I12" s="829" t="n"/>
      <c r="J12" s="829">
        <f>I12-G12</f>
        <v/>
      </c>
      <c r="K12" s="487" t="n"/>
      <c r="L12" s="831" t="n"/>
      <c r="M12" s="351" t="n"/>
      <c r="N12" s="330" t="n"/>
      <c r="O12" s="97" t="n"/>
    </row>
    <row r="13" outlineLevel="1" s="726">
      <c r="A13" s="341" t="n"/>
      <c r="B13" s="49" t="n"/>
      <c r="C13" s="20" t="n"/>
      <c r="D13" s="20" t="n"/>
      <c r="E13" s="20" t="n"/>
      <c r="F13" s="20" t="n"/>
      <c r="G13" s="20" t="n"/>
      <c r="H13" s="20" t="n"/>
      <c r="I13" s="20" t="n"/>
      <c r="J13" s="20" t="n"/>
      <c r="K13" s="20" t="n"/>
      <c r="L13" s="20" t="n"/>
      <c r="M13" s="20" t="n"/>
      <c r="N13" s="242" t="n"/>
      <c r="O13" s="54" t="n"/>
    </row>
    <row r="14" outlineLevel="1" ht="17.25" customHeight="1" s="726" thickBot="1">
      <c r="A14" s="341" t="n"/>
      <c r="B14" s="49" t="n"/>
      <c r="C14" s="20" t="n"/>
      <c r="D14" s="20" t="n"/>
      <c r="E14" s="20" t="n"/>
      <c r="G14" s="262" t="inlineStr">
        <is>
          <t>合计</t>
        </is>
      </c>
      <c r="H14" s="827">
        <f>SUM(H9:H12)</f>
        <v/>
      </c>
      <c r="I14" s="20" t="n"/>
      <c r="J14" s="20" t="n"/>
      <c r="K14" s="20" t="n"/>
      <c r="L14" s="827">
        <f>SUM(L9:L12)</f>
        <v/>
      </c>
      <c r="M14" s="20" t="n"/>
      <c r="N14" s="242" t="n"/>
      <c r="O14" s="54" t="n"/>
    </row>
    <row r="15" outlineLevel="1" ht="13.5" customHeight="1" s="726" thickTop="1">
      <c r="A15" s="341" t="n"/>
      <c r="B15" s="49" t="n"/>
      <c r="C15" s="20" t="n"/>
      <c r="D15" s="20" t="n"/>
      <c r="E15" s="20" t="n"/>
      <c r="G15" s="261" t="n"/>
      <c r="H15" s="792" t="inlineStr">
        <is>
          <t>RX</t>
        </is>
      </c>
      <c r="I15" s="20" t="n"/>
      <c r="J15" s="20" t="n"/>
      <c r="K15" s="20" t="n"/>
      <c r="L15" s="792" t="inlineStr">
        <is>
          <t>RX</t>
        </is>
      </c>
      <c r="M15" s="20" t="n"/>
      <c r="N15" s="242" t="n"/>
      <c r="O15" s="54" t="n"/>
    </row>
    <row r="16" outlineLevel="1" ht="16.5" customHeight="1" s="726">
      <c r="A16" s="341" t="n"/>
      <c r="B16" s="497" t="inlineStr">
        <is>
          <t>1.可能有助于我们进行确认受限情形的程序包括：询问管理层；了解每个账户的性质和用途；审阅董事会、股东会和委员会会议记录；以及审查重大合同/协议等程序。</t>
        </is>
      </c>
      <c r="C16" s="20" t="n"/>
      <c r="D16" s="20" t="n"/>
      <c r="E16" s="20" t="n"/>
      <c r="G16" s="261" t="n"/>
      <c r="H16" s="792" t="n"/>
      <c r="I16" s="20" t="n"/>
      <c r="J16" s="20" t="n"/>
      <c r="K16" s="20" t="n"/>
      <c r="L16" s="792" t="n"/>
      <c r="M16" s="20" t="n"/>
      <c r="N16" s="242" t="n"/>
      <c r="O16" s="54" t="n"/>
    </row>
    <row r="17" outlineLevel="1" s="726">
      <c r="A17" s="341" t="n"/>
      <c r="B17" s="49" t="n"/>
      <c r="C17" s="20" t="n"/>
      <c r="D17" s="20" t="n"/>
      <c r="E17" s="20" t="n"/>
      <c r="F17" s="20" t="n"/>
      <c r="G17" s="20" t="n"/>
      <c r="H17" s="20" t="n"/>
      <c r="I17" s="20" t="n"/>
      <c r="J17" s="20" t="n"/>
      <c r="K17" s="20" t="n"/>
      <c r="L17" s="20" t="n"/>
      <c r="M17" s="20" t="n"/>
      <c r="N17" s="242" t="n"/>
      <c r="O17" s="54" t="n"/>
    </row>
    <row r="18" outlineLevel="1" ht="16.5" customHeight="1" s="726">
      <c r="A18" s="341" t="n"/>
      <c r="B18" s="42" t="inlineStr">
        <is>
          <t>记录识别的异常的详细信息以及如何解决这些异常，包括执行的额外实质性程序（指引:包括充分的描述，以使经验丰富目之前与审计没有关联的审计师能够了解执行的程序）</t>
        </is>
      </c>
      <c r="G18" s="20" t="n"/>
      <c r="H18" s="20" t="n"/>
      <c r="I18" s="20" t="n"/>
      <c r="J18" s="20" t="n"/>
      <c r="K18" s="20" t="n"/>
      <c r="L18" s="20" t="n"/>
      <c r="M18" s="20" t="n"/>
      <c r="N18" s="242" t="n"/>
      <c r="O18" s="54" t="n"/>
    </row>
    <row r="19" outlineLevel="1" s="726">
      <c r="A19" s="341" t="n"/>
      <c r="B19" s="832" t="n"/>
      <c r="C19" s="731" t="n"/>
      <c r="D19" s="731" t="n"/>
      <c r="E19" s="731" t="n"/>
      <c r="F19" s="732" t="n"/>
      <c r="G19" s="20" t="n"/>
      <c r="H19" s="20" t="n"/>
      <c r="I19" s="20" t="n"/>
      <c r="J19" s="20" t="n"/>
      <c r="K19" s="20" t="n"/>
      <c r="L19" s="20" t="n"/>
      <c r="M19" s="20" t="n"/>
      <c r="N19" s="242" t="n"/>
      <c r="O19" s="54" t="n"/>
    </row>
    <row r="20" outlineLevel="1" s="726">
      <c r="A20" s="341" t="n"/>
      <c r="B20" s="766" t="n"/>
      <c r="F20" s="767" t="n"/>
      <c r="G20" s="20" t="n"/>
      <c r="H20" s="20" t="n"/>
      <c r="I20" s="20" t="n"/>
      <c r="J20" s="20" t="n"/>
      <c r="K20" s="20" t="n"/>
      <c r="L20" s="20" t="n"/>
      <c r="M20" s="20" t="n"/>
      <c r="N20" s="242" t="n"/>
      <c r="O20" s="54" t="n"/>
    </row>
    <row r="21" outlineLevel="1" s="726">
      <c r="A21" s="341" t="n"/>
      <c r="B21" s="766" t="n"/>
      <c r="F21" s="767" t="n"/>
      <c r="G21" s="20" t="n"/>
      <c r="H21" s="20" t="n"/>
      <c r="I21" s="20" t="n"/>
      <c r="J21" s="20" t="n"/>
      <c r="K21" s="20" t="n"/>
      <c r="L21" s="20" t="n"/>
      <c r="M21" s="20" t="n"/>
      <c r="N21" s="242" t="n"/>
      <c r="O21" s="54" t="n"/>
    </row>
    <row r="22" outlineLevel="1" s="726">
      <c r="A22" s="341" t="n"/>
      <c r="B22" s="734" t="n"/>
      <c r="C22" s="735" t="n"/>
      <c r="D22" s="735" t="n"/>
      <c r="E22" s="735" t="n"/>
      <c r="F22" s="736" t="n"/>
      <c r="G22" s="20" t="n"/>
      <c r="H22" s="20" t="n"/>
      <c r="I22" s="20" t="n"/>
      <c r="J22" s="20" t="n"/>
      <c r="K22" s="20" t="n"/>
      <c r="L22" s="20" t="n"/>
      <c r="M22" s="20" t="n"/>
      <c r="N22" s="242" t="n"/>
      <c r="O22" s="54" t="n"/>
    </row>
    <row r="23" outlineLevel="1" s="726">
      <c r="A23" s="341" t="n"/>
      <c r="B23" s="49" t="n"/>
      <c r="C23" s="20" t="n"/>
      <c r="D23" s="20" t="n"/>
      <c r="E23" s="20" t="n"/>
      <c r="F23" s="20" t="n"/>
      <c r="G23" s="20" t="n"/>
      <c r="H23" s="20" t="n"/>
      <c r="I23" s="20" t="n"/>
      <c r="J23" s="20" t="n"/>
      <c r="K23" s="20" t="n"/>
      <c r="L23" s="20" t="n"/>
      <c r="M23" s="20" t="n"/>
      <c r="N23" s="242" t="n"/>
      <c r="O23" s="54" t="n"/>
    </row>
    <row r="24" ht="15" customHeight="1" s="726">
      <c r="A24" s="42" t="n"/>
      <c r="B24" s="185" t="inlineStr">
        <is>
          <t>测试资金池账户</t>
        </is>
      </c>
      <c r="C24" s="185" t="n"/>
      <c r="D24" s="185" t="n"/>
      <c r="E24" s="185" t="n"/>
      <c r="F24" s="185" t="n"/>
      <c r="G24" s="185" t="n"/>
      <c r="H24" s="185" t="n"/>
      <c r="I24" s="185" t="n"/>
      <c r="J24" s="185" t="n"/>
      <c r="K24" s="185" t="n"/>
      <c r="L24" s="314" t="n"/>
      <c r="M24" s="314" t="n"/>
      <c r="N24" s="331" t="n"/>
      <c r="O24" s="54" t="n"/>
    </row>
    <row r="25" outlineLevel="1" customFormat="1" s="45">
      <c r="A25" s="50" t="n"/>
      <c r="K25" s="20" t="n"/>
      <c r="L25" s="146" t="n"/>
      <c r="M25" s="146" t="n"/>
      <c r="N25" s="331" t="n"/>
      <c r="O25" s="55" t="n"/>
    </row>
    <row r="26" outlineLevel="1" ht="16.5" customFormat="1" customHeight="1" s="45">
      <c r="A26" s="50" t="n"/>
      <c r="B26" s="232" t="inlineStr">
        <is>
          <t>安永属性测试说明:</t>
        </is>
      </c>
      <c r="C26" s="162" t="n"/>
      <c r="D26" s="162" t="n"/>
      <c r="E26" s="163" t="n"/>
      <c r="F26" s="163" t="n"/>
      <c r="G26" s="163" t="n"/>
      <c r="H26" s="163" t="n"/>
      <c r="I26" s="163" t="n"/>
      <c r="J26" s="163" t="n"/>
      <c r="K26" s="164" t="n"/>
      <c r="L26" s="146" t="n"/>
      <c r="M26" s="146" t="n"/>
      <c r="N26" s="331" t="n"/>
      <c r="O26" s="55" t="n"/>
    </row>
    <row r="27" outlineLevel="1" ht="33.75" customFormat="1" customHeight="1" s="45">
      <c r="A27" s="50" t="n"/>
      <c r="B27" s="833" t="inlineStr">
        <is>
          <t>1)选取所有存在资金池业务的账户，评估并确认被审计单位加入资金池业务的合理性、合规性；
2)若被审计单位单独核算资金池业务，已核对回函金额与其他应收款/其他应付款等往来科目记录一致；若被审计单位不单独核算资金池业务，已与交易对手方函证/对账确认往来余额正确。</t>
        </is>
      </c>
      <c r="C27" s="773" t="n"/>
      <c r="D27" s="773" t="n"/>
      <c r="E27" s="773" t="n"/>
      <c r="F27" s="773" t="n"/>
      <c r="G27" s="773" t="n"/>
      <c r="H27" s="773" t="n"/>
      <c r="I27" s="773" t="n"/>
      <c r="J27" s="773" t="n"/>
      <c r="K27" s="774" t="n"/>
      <c r="L27" s="146" t="n"/>
      <c r="M27" s="146" t="n"/>
      <c r="N27" s="331" t="n"/>
      <c r="O27" s="55" t="n"/>
    </row>
    <row r="28" outlineLevel="1" s="726">
      <c r="B28" s="20" t="n"/>
      <c r="C28" s="20" t="n"/>
      <c r="D28" s="20" t="n"/>
      <c r="E28" s="20" t="n"/>
      <c r="F28" s="20" t="n"/>
      <c r="G28" s="20" t="n"/>
      <c r="H28" s="45" t="n"/>
      <c r="I28" s="45" t="n"/>
      <c r="J28" s="45" t="n"/>
      <c r="K28" s="45" t="n"/>
      <c r="L28" s="146" t="n"/>
      <c r="M28" s="146" t="n"/>
      <c r="N28" s="331" t="n"/>
      <c r="O28" s="54" t="n"/>
    </row>
    <row r="29" outlineLevel="1" ht="16.5" customHeight="1" s="726">
      <c r="B29" s="51" t="inlineStr">
        <is>
          <t>表1 对资产负债表日存在资金池业务的账户进行函证。</t>
        </is>
      </c>
      <c r="C29" s="20" t="n"/>
      <c r="D29" s="20" t="n"/>
      <c r="E29" s="20" t="n"/>
      <c r="G29" s="45" t="n"/>
      <c r="H29" s="45" t="n"/>
      <c r="L29" s="146" t="n"/>
      <c r="M29" s="146" t="n"/>
      <c r="N29" s="331" t="n"/>
      <c r="O29" s="54" t="n"/>
    </row>
    <row r="30" outlineLevel="1" ht="16.5" customHeight="1" s="726">
      <c r="B30" s="18" t="inlineStr">
        <is>
          <t>|---------------------------------------------------------------------------------------函证控制表------------------------------------------------------------------------------------------------|</t>
        </is>
      </c>
      <c r="C30" s="52" t="n"/>
      <c r="D30" s="52" t="n"/>
      <c r="E30" s="52" t="n"/>
      <c r="F30" s="52" t="n"/>
      <c r="H30" s="45" t="n"/>
      <c r="J30" s="506" t="inlineStr">
        <is>
          <t>EY Works</t>
        </is>
      </c>
      <c r="K30" s="161" t="n"/>
      <c r="N30" s="61" t="n"/>
      <c r="O30" s="54" t="n"/>
    </row>
    <row r="31" outlineLevel="1" ht="49.5" customHeight="1" s="726">
      <c r="B31" s="158" t="inlineStr">
        <is>
          <t>资金提供机构名称</t>
        </is>
      </c>
      <c r="C31" s="159" t="inlineStr">
        <is>
          <t>资金提供机构账号</t>
        </is>
      </c>
      <c r="D31" s="159" t="inlineStr">
        <is>
          <t>资金使用机构名称</t>
        </is>
      </c>
      <c r="E31" s="258" t="inlineStr">
        <is>
          <t>资金使用机构账号</t>
        </is>
      </c>
      <c r="F31" s="369" t="inlineStr">
        <is>
          <t>币种</t>
        </is>
      </c>
      <c r="G31" s="369" t="inlineStr">
        <is>
          <t>拨入或拨出资金余额（拨出填列正数，拨入填列负数）</t>
        </is>
      </c>
      <c r="H31" s="159" t="inlineStr">
        <is>
          <t>函证编号</t>
        </is>
      </c>
      <c r="I31" s="505" t="inlineStr">
        <is>
          <t>资金池协议索引
（如需）</t>
        </is>
      </c>
      <c r="J31" s="160" t="n">
        <v>1</v>
      </c>
      <c r="K31" s="160" t="n">
        <v>2</v>
      </c>
      <c r="N31" s="61" t="n"/>
      <c r="O31" s="54" t="n"/>
    </row>
    <row r="32" outlineLevel="1" s="726">
      <c r="B32" s="383" t="n"/>
      <c r="C32" s="502" t="n"/>
      <c r="D32" s="384" t="n"/>
      <c r="E32" s="503" t="n"/>
      <c r="F32" s="386" t="n"/>
      <c r="G32" s="834" t="n"/>
      <c r="H32" s="386" t="n"/>
      <c r="I32" s="337" t="n"/>
      <c r="J32" s="389" t="n"/>
      <c r="K32" s="389" t="n"/>
      <c r="N32" s="61" t="n"/>
      <c r="O32" s="54" t="n"/>
    </row>
    <row r="33" outlineLevel="1" s="726">
      <c r="B33" s="383" t="n"/>
      <c r="C33" s="502" t="n"/>
      <c r="D33" s="384" t="n"/>
      <c r="E33" s="503" t="n"/>
      <c r="F33" s="385" t="n"/>
      <c r="G33" s="834" t="n"/>
      <c r="H33" s="385" t="n"/>
      <c r="I33" s="338" t="n"/>
      <c r="J33" s="389" t="n"/>
      <c r="K33" s="389" t="n"/>
      <c r="N33" s="61" t="n"/>
      <c r="O33" s="54" t="n"/>
    </row>
    <row r="34" outlineLevel="1" s="726">
      <c r="B34" s="383" t="n"/>
      <c r="C34" s="502" t="n"/>
      <c r="D34" s="384" t="n"/>
      <c r="E34" s="503" t="n"/>
      <c r="F34" s="385" t="n"/>
      <c r="G34" s="834" t="n"/>
      <c r="H34" s="385" t="n"/>
      <c r="I34" s="338" t="n"/>
      <c r="J34" s="389" t="n"/>
      <c r="K34" s="389" t="n"/>
      <c r="N34" s="61" t="n"/>
      <c r="O34" s="54" t="n"/>
    </row>
    <row r="35" outlineLevel="1" s="726">
      <c r="B35" s="45" t="n"/>
      <c r="C35" s="20" t="n"/>
      <c r="D35" s="20" t="n"/>
      <c r="E35" s="20" t="n"/>
      <c r="F35" s="20" t="n"/>
      <c r="G35" s="45" t="n"/>
      <c r="N35" s="61" t="n"/>
      <c r="O35" s="54" t="n"/>
    </row>
    <row r="36" outlineLevel="1" ht="16.5" customHeight="1" s="726">
      <c r="B36" s="42" t="inlineStr">
        <is>
          <t>记录识别的异常的详细信息以及如何解决这些异常，包括执行的额外实质性程序（指引:包括充分的描述，以使经验丰富目之前与审计没有关联的审计师能够了解执行的程序）</t>
        </is>
      </c>
      <c r="N36" s="61" t="n"/>
      <c r="O36" s="54" t="n"/>
    </row>
    <row r="37" outlineLevel="1" s="726">
      <c r="B37" s="832" t="n"/>
      <c r="C37" s="731" t="n"/>
      <c r="D37" s="731" t="n"/>
      <c r="E37" s="731" t="n"/>
      <c r="F37" s="732" t="n"/>
      <c r="H37" s="146" t="n"/>
      <c r="I37" s="146" t="n"/>
      <c r="N37" s="61" t="n"/>
      <c r="O37" s="54" t="n"/>
    </row>
    <row r="38" outlineLevel="1" ht="14.25" customHeight="1" s="726">
      <c r="B38" s="766" t="n"/>
      <c r="F38" s="767" t="n"/>
      <c r="H38" s="146" t="n"/>
      <c r="I38" s="146" t="n"/>
      <c r="N38" s="61" t="n"/>
      <c r="O38" s="54" t="n"/>
    </row>
    <row r="39" outlineLevel="1" ht="14.25" customHeight="1" s="726">
      <c r="B39" s="766" t="n"/>
      <c r="F39" s="767" t="n"/>
      <c r="H39" s="146" t="n"/>
      <c r="I39" s="146" t="n"/>
      <c r="J39" s="146" t="n"/>
      <c r="K39" s="146" t="n"/>
      <c r="L39" s="146" t="n"/>
      <c r="M39" s="146" t="n"/>
      <c r="N39" s="331" t="n"/>
      <c r="O39" s="54" t="n"/>
    </row>
    <row r="40" outlineLevel="1" ht="14.25" customHeight="1" s="726">
      <c r="B40" s="734" t="n"/>
      <c r="C40" s="735" t="n"/>
      <c r="D40" s="735" t="n"/>
      <c r="E40" s="735" t="n"/>
      <c r="F40" s="736" t="n"/>
      <c r="H40" s="146" t="n"/>
      <c r="I40" s="146" t="n"/>
      <c r="J40" s="146" t="n"/>
      <c r="K40" s="146" t="n"/>
      <c r="L40" s="146" t="n"/>
      <c r="M40" s="146" t="n"/>
      <c r="N40" s="331" t="n"/>
      <c r="O40" s="54" t="n"/>
    </row>
    <row r="41" ht="15" customHeight="1" s="726">
      <c r="B41" s="146" t="n"/>
      <c r="C41" s="146" t="n"/>
      <c r="D41" s="146" t="n"/>
      <c r="E41" s="146" t="n"/>
      <c r="F41" s="146" t="n"/>
      <c r="H41" s="146" t="n"/>
      <c r="I41" s="146" t="n"/>
      <c r="J41" s="146" t="n"/>
      <c r="K41" s="146" t="n"/>
      <c r="L41" s="146" t="n"/>
      <c r="M41" s="146" t="n"/>
      <c r="N41" s="331" t="n"/>
      <c r="O41" s="54" t="n"/>
    </row>
    <row r="42" ht="7.5" customHeight="1" s="726">
      <c r="A42" s="53" t="n"/>
      <c r="B42" s="54" t="n"/>
      <c r="C42" s="54" t="n"/>
      <c r="D42" s="54" t="n"/>
      <c r="E42" s="54" t="n"/>
      <c r="F42" s="54" t="n"/>
      <c r="G42" s="54" t="n"/>
      <c r="H42" s="54" t="n"/>
      <c r="I42" s="54" t="n"/>
      <c r="J42" s="54" t="n"/>
      <c r="K42" s="54" t="n"/>
      <c r="L42" s="54" t="n"/>
      <c r="M42" s="54" t="n"/>
      <c r="N42" s="54" t="n"/>
      <c r="O42" s="54" t="n"/>
    </row>
    <row r="43" ht="10.5" customHeight="1" s="726"/>
    <row r="44" ht="10.5" customHeight="1" s="726"/>
    <row r="45" ht="10.5" customHeight="1" s="726"/>
  </sheetData>
  <mergeCells count="3">
    <mergeCell ref="B37:F40"/>
    <mergeCell ref="B27:K27"/>
    <mergeCell ref="B19:F22"/>
  </mergeCells>
  <conditionalFormatting sqref="B19">
    <cfRule type="containsBlanks" priority="8" dxfId="11">
      <formula>LEN(TRIM(B19))=0</formula>
    </cfRule>
  </conditionalFormatting>
  <conditionalFormatting sqref="B37">
    <cfRule type="containsBlanks" priority="5" dxfId="11">
      <formula>LEN(TRIM(B37))=0</formula>
    </cfRule>
  </conditionalFormatting>
  <conditionalFormatting sqref="B32:H34">
    <cfRule type="containsBlanks" priority="1" dxfId="0">
      <formula>LEN(TRIM(B32))=0</formula>
    </cfRule>
  </conditionalFormatting>
  <conditionalFormatting sqref="B10:L12">
    <cfRule type="containsBlanks" priority="7" dxfId="0">
      <formula>LEN(TRIM(B10))=0</formula>
    </cfRule>
  </conditionalFormatting>
  <conditionalFormatting sqref="J32:K34">
    <cfRule type="containsBlanks" priority="2" dxfId="0">
      <formula>LEN(TRIM(J32))=0</formula>
    </cfRule>
  </conditionalFormatting>
  <dataValidations count="1">
    <dataValidation sqref="J32:K34"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N49"/>
  <sheetViews>
    <sheetView showGridLines="0" zoomScale="70" zoomScaleNormal="70" workbookViewId="0">
      <selection activeCell="Q38" sqref="Q38"/>
    </sheetView>
  </sheetViews>
  <sheetFormatPr baseColWidth="8" defaultColWidth="9.125" defaultRowHeight="12.75" outlineLevelRow="1"/>
  <cols>
    <col width="2.625" customWidth="1" style="47" min="1" max="1"/>
    <col width="21" customWidth="1" style="42" min="2" max="2"/>
    <col width="17" customWidth="1" style="42" min="3" max="12"/>
    <col width="2.625" customWidth="1" style="42" min="13" max="13"/>
    <col width="1.625" customWidth="1" style="42" min="14" max="14"/>
    <col width="9.125" customWidth="1" style="42" min="15"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21" t="n"/>
      <c r="L1" s="21" t="n"/>
      <c r="M1" s="42" t="n"/>
      <c r="N1" s="40" t="n"/>
    </row>
    <row r="2" ht="30" customFormat="1" customHeight="1" s="1">
      <c r="A2" s="6" t="n"/>
      <c r="B2" s="228" t="inlineStr">
        <is>
          <t>C.00b Other classification</t>
        </is>
      </c>
      <c r="C2" s="7" t="n"/>
      <c r="D2" s="7" t="n"/>
      <c r="E2" s="7" t="n"/>
      <c r="F2" s="7" t="n"/>
      <c r="G2" s="7" t="n"/>
      <c r="H2" s="7" t="n"/>
      <c r="I2" s="7" t="n"/>
      <c r="J2" s="7" t="n"/>
      <c r="K2" s="7" t="n"/>
      <c r="L2" s="22" t="n"/>
      <c r="M2" s="42" t="n"/>
      <c r="N2" s="40" t="n"/>
    </row>
    <row r="3">
      <c r="A3" s="341" t="n"/>
      <c r="B3" s="49" t="n"/>
      <c r="C3" s="20" t="n"/>
      <c r="D3" s="20" t="n"/>
      <c r="E3" s="20" t="n"/>
      <c r="F3" s="20" t="n"/>
      <c r="G3" s="20" t="n"/>
      <c r="H3" s="20" t="n"/>
      <c r="I3" s="20" t="n"/>
      <c r="J3" s="20" t="n"/>
      <c r="K3" s="20" t="n"/>
      <c r="L3" s="20" t="n"/>
      <c r="N3" s="54" t="n"/>
    </row>
    <row r="4" ht="16.5" customHeight="1" s="726">
      <c r="A4" s="341" t="n"/>
      <c r="B4" s="147" t="inlineStr">
        <is>
          <t>返回汇总页</t>
        </is>
      </c>
      <c r="C4" s="20" t="n"/>
      <c r="D4" s="20" t="n"/>
      <c r="E4" s="20" t="n"/>
      <c r="F4" s="20" t="n"/>
      <c r="G4" s="20" t="n"/>
      <c r="H4" s="20" t="n"/>
      <c r="I4" s="20" t="n"/>
      <c r="J4" s="20" t="n"/>
      <c r="K4" s="20" t="n"/>
      <c r="L4" s="20" t="n"/>
      <c r="N4" s="54" t="n"/>
    </row>
    <row r="5">
      <c r="A5" s="341" t="n"/>
      <c r="B5" s="20" t="n"/>
      <c r="C5" s="20" t="n"/>
      <c r="D5" s="20" t="n"/>
      <c r="E5" s="20" t="n"/>
      <c r="F5" s="20" t="n"/>
      <c r="G5" s="20" t="n"/>
      <c r="H5" s="20" t="n"/>
      <c r="I5" s="20" t="n"/>
      <c r="J5" s="20" t="n"/>
      <c r="K5" s="20" t="n"/>
      <c r="L5" s="20" t="n"/>
      <c r="N5" s="54" t="n"/>
    </row>
    <row r="6" ht="16.5" customHeight="1" s="726">
      <c r="A6" s="341" t="n"/>
      <c r="B6" s="452" t="inlineStr">
        <is>
          <t>测试使用权受到限制的货币资金</t>
        </is>
      </c>
      <c r="C6" s="284" t="n"/>
      <c r="D6" s="284" t="n"/>
      <c r="E6" s="284" t="n"/>
      <c r="F6" s="284" t="n"/>
      <c r="G6" s="284" t="n"/>
      <c r="H6" s="284" t="n"/>
      <c r="I6" s="284" t="n"/>
      <c r="J6" s="284" t="n"/>
      <c r="K6" s="284" t="n"/>
      <c r="L6" s="451" t="n"/>
      <c r="N6" s="54" t="n"/>
    </row>
    <row r="7" outlineLevel="1" ht="16.5" customHeight="1" s="726">
      <c r="A7" s="341" t="n"/>
      <c r="B7" s="499" t="inlineStr">
        <is>
          <t>已经在C.01 Confirmations 、C.01b 特殊账户程序中执行工作的项目，无需重复执行本测试</t>
        </is>
      </c>
      <c r="C7" s="49" t="n"/>
      <c r="D7" s="49" t="n"/>
      <c r="E7" s="49" t="n"/>
      <c r="F7" s="49" t="n"/>
      <c r="G7" s="49" t="n"/>
      <c r="H7" s="49" t="n"/>
      <c r="I7" s="49" t="n"/>
      <c r="J7" s="49" t="n"/>
      <c r="K7" s="49" t="n"/>
      <c r="L7" s="20" t="n"/>
      <c r="N7" s="54" t="n"/>
    </row>
    <row r="8" outlineLevel="1" s="726">
      <c r="A8" s="341" t="n"/>
      <c r="B8" s="49" t="n"/>
      <c r="C8" s="49" t="n"/>
      <c r="D8" s="49" t="n"/>
      <c r="E8" s="49" t="n"/>
      <c r="F8" s="49" t="n"/>
      <c r="G8" s="49" t="n"/>
      <c r="H8" s="49" t="n"/>
      <c r="I8" s="49" t="n"/>
      <c r="J8" s="49" t="n"/>
      <c r="K8" s="49" t="n"/>
      <c r="L8" s="20" t="n"/>
      <c r="N8" s="54" t="n"/>
    </row>
    <row r="9" outlineLevel="1" ht="21.6" customHeight="1" s="726">
      <c r="A9" s="341" t="n"/>
      <c r="B9" s="251" t="inlineStr">
        <is>
          <t>安永属性测试说明:</t>
        </is>
      </c>
      <c r="C9" s="252" t="n"/>
      <c r="D9" s="252" t="n"/>
      <c r="E9" s="253" t="n"/>
      <c r="F9" s="253" t="n"/>
      <c r="G9" s="253" t="n"/>
      <c r="H9" s="253" t="n"/>
      <c r="I9" s="253" t="n"/>
      <c r="J9" s="253" t="n"/>
      <c r="K9" s="253" t="n"/>
      <c r="L9" s="510" t="n"/>
      <c r="N9" s="54" t="n"/>
    </row>
    <row r="10" outlineLevel="1" ht="19.5" customHeight="1" s="726">
      <c r="A10" s="240" t="n"/>
      <c r="B10" s="447" t="inlineStr">
        <is>
          <t>1)选取期末所有的现金及现金等价物进行测试，评估使用权收到限制的现金及现金等价物是否根据实体的政策和适用的财务报告框架进行了恰当的分类和披露。</t>
        </is>
      </c>
      <c r="C10" s="448" t="n"/>
      <c r="D10" s="448" t="n"/>
      <c r="E10" s="448" t="n"/>
      <c r="F10" s="448" t="n"/>
      <c r="G10" s="448" t="n"/>
      <c r="H10" s="448" t="n"/>
      <c r="I10" s="448" t="n"/>
      <c r="J10" s="449" t="n"/>
      <c r="K10" s="449" t="n"/>
      <c r="L10" s="450" t="n"/>
      <c r="N10" s="54" t="n"/>
    </row>
    <row r="11" outlineLevel="1" s="726">
      <c r="A11" s="240" t="n"/>
      <c r="B11" s="241" t="n"/>
      <c r="C11" s="241" t="n"/>
      <c r="D11" s="241" t="n"/>
      <c r="E11" s="241" t="n"/>
      <c r="F11" s="241" t="n"/>
      <c r="G11" s="241" t="n"/>
      <c r="H11" s="241" t="n"/>
      <c r="I11" s="241" t="n"/>
      <c r="J11" s="241" t="n"/>
      <c r="K11" s="283" t="n"/>
      <c r="L11" s="20" t="n"/>
      <c r="N11" s="54" t="n"/>
    </row>
    <row r="12" outlineLevel="1" ht="15" customHeight="1" s="726">
      <c r="A12" s="240" t="n"/>
      <c r="B12" s="499" t="inlineStr">
        <is>
          <t>|---------------------------------------------------------------------------------------------------------C.00 BKD-------------------------------------------------------------------------------------------|</t>
        </is>
      </c>
      <c r="C12" s="20" t="n"/>
      <c r="D12" s="20" t="n"/>
      <c r="E12" s="20" t="n"/>
      <c r="F12" s="20" t="n"/>
      <c r="G12" s="20" t="n"/>
      <c r="H12" s="20" t="n"/>
      <c r="I12" s="20" t="n"/>
      <c r="J12" s="326" t="n"/>
      <c r="K12" s="507" t="inlineStr">
        <is>
          <t>EY Works</t>
        </is>
      </c>
      <c r="L12" s="20" t="n"/>
      <c r="N12" s="54" t="n"/>
    </row>
    <row r="13" outlineLevel="1" ht="35.65" customHeight="1" s="726">
      <c r="A13" s="240" t="n"/>
      <c r="B13" s="347" t="inlineStr">
        <is>
          <t>公司名称</t>
        </is>
      </c>
      <c r="C13" s="347" t="inlineStr">
        <is>
          <t>科目名称</t>
        </is>
      </c>
      <c r="D13" s="347" t="inlineStr">
        <is>
          <t>银行/存款机构名称</t>
        </is>
      </c>
      <c r="E13" s="347" t="inlineStr">
        <is>
          <t>账号</t>
        </is>
      </c>
      <c r="F13" s="347" t="inlineStr">
        <is>
          <t>币种</t>
        </is>
      </c>
      <c r="G13" s="347" t="inlineStr">
        <is>
          <t>期末账面金额
（原币）</t>
        </is>
      </c>
      <c r="H13" s="347" t="inlineStr">
        <is>
          <t>期末账面金额
（本币）</t>
        </is>
      </c>
      <c r="I13" s="348" t="inlineStr">
        <is>
          <t>货币资金账户的性质和用途</t>
        </is>
      </c>
      <c r="J13" s="365" t="inlineStr">
        <is>
          <t>本期末实际受限金额
（本币）</t>
        </is>
      </c>
      <c r="K13" s="366" t="n">
        <v>1</v>
      </c>
      <c r="L13" s="20" t="n"/>
      <c r="N13" s="54" t="n"/>
    </row>
    <row r="14" outlineLevel="1" s="726">
      <c r="A14" s="240" t="n"/>
      <c r="B14" s="390" t="n"/>
      <c r="C14" s="375" t="n"/>
      <c r="D14" s="350" t="n"/>
      <c r="E14" s="376" t="n"/>
      <c r="F14" s="350" t="n"/>
      <c r="G14" s="835" t="n"/>
      <c r="H14" s="836" t="n"/>
      <c r="I14" s="350" t="n"/>
      <c r="J14" s="837" t="n"/>
      <c r="K14" s="394" t="n"/>
      <c r="L14" s="20" t="n"/>
      <c r="N14" s="54" t="n"/>
    </row>
    <row r="15" outlineLevel="1" s="726">
      <c r="A15" s="240" t="n"/>
      <c r="B15" s="390" t="n"/>
      <c r="C15" s="375" t="n"/>
      <c r="D15" s="350" t="n"/>
      <c r="E15" s="376" t="n"/>
      <c r="F15" s="350" t="n"/>
      <c r="G15" s="835" t="n"/>
      <c r="H15" s="836" t="n"/>
      <c r="I15" s="350" t="n"/>
      <c r="J15" s="837" t="n"/>
      <c r="K15" s="394" t="n"/>
      <c r="L15" s="20" t="n"/>
      <c r="N15" s="54" t="n"/>
    </row>
    <row r="16" outlineLevel="1" s="726">
      <c r="A16" s="240" t="n"/>
      <c r="B16" s="390" t="n"/>
      <c r="C16" s="375" t="n"/>
      <c r="D16" s="350" t="n"/>
      <c r="E16" s="376" t="n"/>
      <c r="F16" s="350" t="n"/>
      <c r="G16" s="835" t="n"/>
      <c r="H16" s="836" t="n"/>
      <c r="I16" s="350" t="n"/>
      <c r="J16" s="837" t="n"/>
      <c r="K16" s="394" t="n"/>
      <c r="L16" s="20" t="n"/>
      <c r="N16" s="54" t="n"/>
    </row>
    <row r="17" outlineLevel="1" s="726">
      <c r="A17" s="240" t="n"/>
      <c r="B17" s="279" t="n"/>
      <c r="C17" s="279" t="n"/>
      <c r="D17" s="280" t="n"/>
      <c r="E17" s="280" t="n"/>
      <c r="F17" s="280" t="n"/>
      <c r="G17" s="838" t="n"/>
      <c r="H17" s="839" t="n"/>
      <c r="I17" s="280" t="n"/>
      <c r="J17" s="280" t="n"/>
      <c r="K17" s="283" t="n"/>
      <c r="L17" s="283" t="n"/>
      <c r="N17" s="54" t="n"/>
    </row>
    <row r="18" outlineLevel="1" ht="17.25" customHeight="1" s="726" thickBot="1">
      <c r="A18" s="240" t="n"/>
      <c r="B18" s="279" t="n"/>
      <c r="C18" s="279" t="n"/>
      <c r="D18" s="280" t="n"/>
      <c r="E18" s="280" t="n"/>
      <c r="F18" s="280" t="n"/>
      <c r="G18" s="262" t="inlineStr">
        <is>
          <t>合计</t>
        </is>
      </c>
      <c r="H18" s="827">
        <f>SUM(H13:H16)</f>
        <v/>
      </c>
      <c r="I18" s="280" t="n"/>
      <c r="J18" s="827">
        <f>SUM(J13:J16)</f>
        <v/>
      </c>
      <c r="K18" s="283" t="n"/>
      <c r="L18" s="283" t="n"/>
      <c r="N18" s="54" t="n"/>
    </row>
    <row r="19" outlineLevel="1" ht="13.5" customHeight="1" s="726" thickTop="1">
      <c r="A19" s="240" t="n"/>
      <c r="B19" s="279" t="n"/>
      <c r="C19" s="279" t="n"/>
      <c r="D19" s="280" t="n"/>
      <c r="E19" s="280" t="n"/>
      <c r="F19" s="280" t="n"/>
      <c r="G19" s="261" t="n"/>
      <c r="H19" s="38" t="inlineStr">
        <is>
          <t>Rx</t>
        </is>
      </c>
      <c r="I19" s="509" t="n"/>
      <c r="J19" s="38" t="inlineStr">
        <is>
          <t>Rx</t>
        </is>
      </c>
      <c r="K19" s="283" t="n"/>
      <c r="L19" s="283" t="n"/>
      <c r="N19" s="54" t="n"/>
    </row>
    <row r="20" outlineLevel="1" s="726">
      <c r="A20" s="240" t="n"/>
      <c r="B20" s="255" t="n"/>
      <c r="C20" s="241" t="n"/>
      <c r="D20" s="241" t="n"/>
      <c r="E20" s="241" t="n"/>
      <c r="F20" s="241" t="n"/>
      <c r="G20" s="241" t="n"/>
      <c r="H20" s="241" t="n"/>
      <c r="I20" s="241" t="n"/>
      <c r="J20" s="20" t="n"/>
      <c r="K20" s="241" t="n"/>
      <c r="L20" s="241" t="n"/>
      <c r="N20" s="54" t="n"/>
    </row>
    <row r="21" outlineLevel="1" ht="16.5" customHeight="1" s="726">
      <c r="A21" s="240" t="n"/>
      <c r="B21" s="42" t="inlineStr">
        <is>
          <t>记录识别的异常的详细信息以及如何解决这些异常，包括执行的额外实质性程序（指引:包括充分的描述，以使经验丰富目之前与审计没有关联的审计师能够了解执行的程序）</t>
        </is>
      </c>
      <c r="I21" s="241" t="n"/>
      <c r="J21" s="241" t="n"/>
      <c r="K21" s="241" t="n"/>
      <c r="L21" s="241" t="n"/>
      <c r="N21" s="54" t="n"/>
    </row>
    <row r="22" outlineLevel="1" s="726">
      <c r="A22" s="240" t="n"/>
      <c r="B22" s="832" t="n"/>
      <c r="C22" s="731" t="n"/>
      <c r="D22" s="731" t="n"/>
      <c r="E22" s="731" t="n"/>
      <c r="F22" s="732" t="n"/>
      <c r="I22" s="242" t="n"/>
      <c r="J22" s="242" t="n"/>
      <c r="K22" s="242" t="n"/>
      <c r="L22" s="242" t="n"/>
      <c r="N22" s="54" t="n"/>
    </row>
    <row r="23" outlineLevel="1" s="726">
      <c r="A23" s="341" t="n"/>
      <c r="B23" s="766" t="n"/>
      <c r="F23" s="767" t="n"/>
      <c r="G23" s="20" t="n"/>
      <c r="H23" s="20" t="n"/>
      <c r="I23" s="20" t="n"/>
      <c r="J23" s="20" t="n"/>
      <c r="K23" s="20" t="n"/>
      <c r="L23" s="20" t="n"/>
      <c r="N23" s="54" t="n"/>
    </row>
    <row r="24" outlineLevel="1" s="726">
      <c r="A24" s="341" t="n"/>
      <c r="B24" s="766" t="n"/>
      <c r="F24" s="767" t="n"/>
      <c r="G24" s="20" t="n"/>
      <c r="H24" s="20" t="n"/>
      <c r="I24" s="20" t="n"/>
      <c r="J24" s="20" t="n"/>
      <c r="K24" s="20" t="n"/>
      <c r="L24" s="20" t="n"/>
      <c r="N24" s="54" t="n"/>
    </row>
    <row r="25" outlineLevel="1" s="726">
      <c r="A25" s="341" t="n"/>
      <c r="B25" s="734" t="n"/>
      <c r="C25" s="735" t="n"/>
      <c r="D25" s="735" t="n"/>
      <c r="E25" s="735" t="n"/>
      <c r="F25" s="736" t="n"/>
      <c r="G25" s="20" t="n"/>
      <c r="H25" s="20" t="n"/>
      <c r="I25" s="20" t="n"/>
      <c r="J25" s="20" t="n"/>
      <c r="K25" s="20" t="n"/>
      <c r="L25" s="20" t="n"/>
      <c r="N25" s="54" t="n"/>
    </row>
    <row r="26">
      <c r="A26" s="341" t="n"/>
      <c r="B26" s="49" t="n"/>
      <c r="C26" s="20" t="n"/>
      <c r="D26" s="20" t="n"/>
      <c r="E26" s="20" t="n"/>
      <c r="F26" s="20" t="n"/>
      <c r="G26" s="20" t="n"/>
      <c r="H26" s="20" t="n"/>
      <c r="I26" s="20" t="n"/>
      <c r="J26" s="20" t="n"/>
      <c r="K26" s="20" t="n"/>
      <c r="L26" s="20" t="n"/>
      <c r="N26" s="54" t="n"/>
    </row>
    <row r="27" ht="16.5" customHeight="1" s="726">
      <c r="A27" s="341" t="n"/>
      <c r="B27" s="452" t="inlineStr">
        <is>
          <t>测试现金等价物的分类是否正确</t>
        </is>
      </c>
      <c r="C27" s="284" t="n"/>
      <c r="D27" s="284" t="n"/>
      <c r="E27" s="284" t="n"/>
      <c r="F27" s="284" t="n"/>
      <c r="G27" s="185" t="n"/>
      <c r="H27" s="185" t="n"/>
      <c r="I27" s="185" t="n"/>
      <c r="J27" s="185" t="n"/>
      <c r="K27" s="185" t="n"/>
      <c r="L27" s="185" t="n"/>
      <c r="N27" s="54" t="n"/>
    </row>
    <row r="28" outlineLevel="1" ht="16.5" customHeight="1" s="726">
      <c r="A28" s="341" t="n"/>
      <c r="B28" s="508" t="inlineStr">
        <is>
          <t>选取本期末全部现金等价物项目进行测试，如，定期存款等。注意，使用权受到限制的货币资金一般不得分类为现金等价物。</t>
        </is>
      </c>
      <c r="C28" s="341" t="n"/>
      <c r="D28" s="341" t="n"/>
      <c r="E28" s="341" t="n"/>
      <c r="F28" s="341" t="n"/>
      <c r="G28" s="341" t="n"/>
      <c r="H28" s="341" t="n"/>
      <c r="I28" s="341" t="n"/>
      <c r="J28" s="341" t="n"/>
      <c r="K28" s="341" t="n"/>
      <c r="L28" s="341" t="n"/>
      <c r="N28" s="54" t="n"/>
    </row>
    <row r="29" outlineLevel="1" s="726">
      <c r="A29" s="341" t="n"/>
      <c r="C29" s="341" t="n"/>
      <c r="D29" s="341" t="n"/>
      <c r="E29" s="341" t="n"/>
      <c r="F29" s="341" t="n"/>
      <c r="G29" s="341" t="n"/>
      <c r="H29" s="341" t="n"/>
      <c r="I29" s="341" t="n"/>
      <c r="J29" s="341" t="n"/>
      <c r="K29" s="341" t="n"/>
      <c r="L29" s="341" t="n"/>
      <c r="N29" s="54" t="n"/>
    </row>
    <row r="30" outlineLevel="1" ht="16.5" customHeight="1" s="726">
      <c r="A30" s="341" t="n"/>
      <c r="B30" s="251" t="inlineStr">
        <is>
          <t>安永属性测试说明:</t>
        </is>
      </c>
      <c r="C30" s="252" t="n"/>
      <c r="D30" s="252" t="n"/>
      <c r="E30" s="253" t="n"/>
      <c r="F30" s="253" t="n"/>
      <c r="G30" s="253" t="n"/>
      <c r="H30" s="253" t="n"/>
      <c r="I30" s="253" t="n"/>
      <c r="J30" s="253" t="n"/>
      <c r="K30" s="253" t="n"/>
      <c r="L30" s="254" t="n"/>
      <c r="N30" s="54" t="n"/>
    </row>
    <row r="31" outlineLevel="1" ht="15" customHeight="1" s="726">
      <c r="A31" s="453" t="n"/>
      <c r="B31" s="454" t="inlineStr">
        <is>
          <t>1)评估被选中的项目，根据实体的政策和适用的财务报告框架，是否应当分类为现金等价物？</t>
        </is>
      </c>
      <c r="C31" s="99" t="n"/>
      <c r="D31" s="99" t="n"/>
      <c r="E31" s="99" t="n"/>
      <c r="F31" s="99" t="n"/>
      <c r="G31" s="99" t="n"/>
      <c r="H31" s="99" t="n"/>
      <c r="I31" s="99" t="n"/>
      <c r="J31" s="99" t="n"/>
      <c r="K31" s="99" t="n"/>
      <c r="L31" s="455" t="n"/>
      <c r="N31" s="54" t="n"/>
    </row>
    <row r="32" outlineLevel="1" ht="14.25" customHeight="1" s="726">
      <c r="A32" s="453" t="n"/>
      <c r="B32" s="456" t="inlineStr">
        <is>
          <t>2)评估管理层的分类和披露，与在1)中的判断是否一致？</t>
        </is>
      </c>
      <c r="C32" s="457" t="n"/>
      <c r="D32" s="457" t="n"/>
      <c r="E32" s="457" t="n"/>
      <c r="F32" s="457" t="n"/>
      <c r="G32" s="457" t="n"/>
      <c r="H32" s="457" t="n"/>
      <c r="I32" s="457" t="n"/>
      <c r="J32" s="457" t="n"/>
      <c r="K32" s="457" t="n"/>
      <c r="L32" s="458" t="n"/>
      <c r="N32" s="54" t="n"/>
    </row>
    <row r="33" outlineLevel="1" s="726">
      <c r="A33" s="341" t="n"/>
      <c r="B33" s="341" t="n"/>
      <c r="C33" s="341" t="n"/>
      <c r="D33" s="341" t="n"/>
      <c r="E33" s="341" t="n"/>
      <c r="F33" s="341" t="n"/>
      <c r="G33" s="341" t="n"/>
      <c r="H33" s="341" t="n"/>
      <c r="I33" s="341" t="n"/>
      <c r="J33" s="341" t="n"/>
      <c r="K33" s="341" t="n"/>
      <c r="L33" s="341" t="n"/>
      <c r="N33" s="54" t="n"/>
    </row>
    <row r="34" outlineLevel="1" ht="13.15" customHeight="1" s="726">
      <c r="A34" s="341" t="n"/>
      <c r="B34" s="499" t="inlineStr">
        <is>
          <t>|---------------------------------------------------------------------------------------------------------C.00 BKD-------------------------------------------------------------------------------------------|</t>
        </is>
      </c>
      <c r="C34" s="20" t="n"/>
      <c r="D34" s="20" t="n"/>
      <c r="E34" s="38" t="n"/>
      <c r="F34" s="20" t="n"/>
      <c r="G34" s="20" t="n"/>
      <c r="H34" s="20" t="n"/>
      <c r="I34" s="20" t="n"/>
      <c r="J34" s="484" t="inlineStr">
        <is>
          <t>PBC&amp;C.01</t>
        </is>
      </c>
      <c r="K34" s="840" t="inlineStr">
        <is>
          <t>EY Works</t>
        </is>
      </c>
      <c r="L34" s="757" t="n"/>
      <c r="N34" s="54" t="n"/>
    </row>
    <row r="35" outlineLevel="1" ht="52.5" customHeight="1" s="726">
      <c r="A35" s="341" t="n"/>
      <c r="B35" s="347" t="inlineStr">
        <is>
          <t>公司名称</t>
        </is>
      </c>
      <c r="C35" s="347" t="inlineStr">
        <is>
          <t>科目名称</t>
        </is>
      </c>
      <c r="D35" s="347" t="inlineStr">
        <is>
          <t>银行/存款机构名称</t>
        </is>
      </c>
      <c r="E35" s="347" t="inlineStr">
        <is>
          <t>账号</t>
        </is>
      </c>
      <c r="F35" s="347" t="inlineStr">
        <is>
          <t>币种</t>
        </is>
      </c>
      <c r="G35" s="347" t="inlineStr">
        <is>
          <t>期末账面金额
（原币）</t>
        </is>
      </c>
      <c r="H35" s="347" t="inlineStr">
        <is>
          <t>期末账面金额
（本币）</t>
        </is>
      </c>
      <c r="I35" s="348" t="inlineStr">
        <is>
          <t>货币资金账户的性质和用途</t>
        </is>
      </c>
      <c r="J35" s="348" t="inlineStr">
        <is>
          <t>存款起止日期</t>
        </is>
      </c>
      <c r="K35" s="364" t="n">
        <v>1</v>
      </c>
      <c r="L35" s="364" t="n">
        <v>2</v>
      </c>
      <c r="N35" s="54" t="n"/>
    </row>
    <row r="36" outlineLevel="1" customFormat="1" s="92">
      <c r="A36" s="363" t="n"/>
      <c r="B36" s="390" t="n"/>
      <c r="C36" s="375" t="n"/>
      <c r="D36" s="350" t="n"/>
      <c r="E36" s="376" t="n"/>
      <c r="F36" s="350" t="n"/>
      <c r="G36" s="813" t="n"/>
      <c r="H36" s="814" t="n"/>
      <c r="I36" s="568" t="n"/>
      <c r="J36" s="350" t="n"/>
      <c r="K36" s="389" t="n"/>
      <c r="L36" s="389" t="n"/>
      <c r="N36" s="97" t="n"/>
    </row>
    <row r="37" outlineLevel="1" customFormat="1" s="92">
      <c r="A37" s="363" t="n"/>
      <c r="B37" s="390" t="n"/>
      <c r="C37" s="375" t="n"/>
      <c r="D37" s="350" t="n"/>
      <c r="E37" s="376" t="n"/>
      <c r="F37" s="350" t="n"/>
      <c r="G37" s="813" t="n"/>
      <c r="H37" s="814" t="n"/>
      <c r="I37" s="350" t="n"/>
      <c r="J37" s="350" t="n"/>
      <c r="K37" s="389" t="n"/>
      <c r="L37" s="389" t="n"/>
      <c r="N37" s="97" t="n"/>
    </row>
    <row r="38" outlineLevel="1" customFormat="1" s="92">
      <c r="A38" s="363" t="n"/>
      <c r="B38" s="390" t="n"/>
      <c r="C38" s="375" t="n"/>
      <c r="D38" s="350" t="n"/>
      <c r="E38" s="376" t="n"/>
      <c r="F38" s="350" t="n"/>
      <c r="G38" s="813" t="n"/>
      <c r="H38" s="814" t="n"/>
      <c r="I38" s="350" t="n"/>
      <c r="J38" s="350" t="n"/>
      <c r="K38" s="389" t="n"/>
      <c r="L38" s="389" t="n"/>
      <c r="N38" s="97" t="n"/>
    </row>
    <row r="39" outlineLevel="1" ht="14.25" customHeight="1" s="726">
      <c r="A39" s="341" t="n"/>
      <c r="J39" s="3" t="n"/>
      <c r="K39" s="3" t="n"/>
      <c r="L39" s="3" t="n"/>
      <c r="N39" s="54" t="n"/>
    </row>
    <row r="40" outlineLevel="1" ht="17.25" customHeight="1" s="726" thickBot="1">
      <c r="A40" s="341" t="n"/>
      <c r="G40" s="262" t="inlineStr">
        <is>
          <t>合计</t>
        </is>
      </c>
      <c r="H40" s="827">
        <f>SUM(H35:H38)</f>
        <v/>
      </c>
      <c r="I40" s="808" t="n"/>
      <c r="J40" s="3" t="n"/>
      <c r="K40" s="3" t="n"/>
      <c r="L40" s="3" t="n"/>
      <c r="N40" s="54" t="n"/>
    </row>
    <row r="41" outlineLevel="1" ht="13.5" customHeight="1" s="726" thickTop="1">
      <c r="A41" s="341" t="n"/>
      <c r="G41" s="792" t="n"/>
      <c r="H41" s="368" t="inlineStr">
        <is>
          <t>Rx</t>
        </is>
      </c>
      <c r="N41" s="54" t="n"/>
    </row>
    <row r="42" outlineLevel="1" s="726">
      <c r="A42" s="341" t="n"/>
      <c r="G42" s="792" t="n"/>
      <c r="H42" s="368" t="n"/>
      <c r="N42" s="54" t="n"/>
    </row>
    <row r="43" outlineLevel="1" ht="16.5" customHeight="1" s="726">
      <c r="A43" s="341" t="n"/>
      <c r="B43" s="42" t="inlineStr">
        <is>
          <t>记录识别的异常的详细信息以及如何解决这些异常，包括执行的额外实质性程序（指引:包括充分的描述，以使经验丰富目之前与审计没有关联的审计师能够了解执行的程序）</t>
        </is>
      </c>
      <c r="N43" s="54" t="n"/>
    </row>
    <row r="44" outlineLevel="1" s="726">
      <c r="A44" s="341" t="n"/>
      <c r="B44" s="832" t="n"/>
      <c r="C44" s="731" t="n"/>
      <c r="D44" s="731" t="n"/>
      <c r="E44" s="731" t="n"/>
      <c r="F44" s="732" t="n"/>
      <c r="N44" s="54" t="n"/>
    </row>
    <row r="45" outlineLevel="1" s="726">
      <c r="A45" s="341" t="n"/>
      <c r="B45" s="766" t="n"/>
      <c r="F45" s="767" t="n"/>
      <c r="G45" s="20" t="n"/>
      <c r="H45" s="20" t="n"/>
      <c r="N45" s="54" t="n"/>
    </row>
    <row r="46" outlineLevel="1" s="726">
      <c r="A46" s="341" t="n"/>
      <c r="B46" s="766" t="n"/>
      <c r="F46" s="767" t="n"/>
      <c r="G46" s="20" t="n"/>
      <c r="H46" s="20" t="n"/>
      <c r="N46" s="54" t="n"/>
    </row>
    <row r="47" outlineLevel="1" s="726">
      <c r="A47" s="341" t="n"/>
      <c r="B47" s="734" t="n"/>
      <c r="C47" s="735" t="n"/>
      <c r="D47" s="735" t="n"/>
      <c r="E47" s="735" t="n"/>
      <c r="F47" s="736" t="n"/>
      <c r="G47" s="20" t="n"/>
      <c r="H47" s="20" t="n"/>
      <c r="N47" s="54" t="n"/>
    </row>
    <row r="48" ht="15" customHeight="1" s="726">
      <c r="B48" s="146" t="n"/>
      <c r="C48" s="146" t="n"/>
      <c r="D48" s="146" t="n"/>
      <c r="E48" s="146" t="n"/>
      <c r="F48" s="146" t="n"/>
      <c r="H48" s="146" t="n"/>
      <c r="I48" s="146" t="n"/>
      <c r="J48" s="146" t="n"/>
      <c r="K48" s="146" t="n"/>
      <c r="L48" s="146" t="n"/>
      <c r="N48" s="54" t="n"/>
    </row>
    <row r="49" ht="7.5" customHeight="1" s="726">
      <c r="A49" s="53" t="n"/>
      <c r="B49" s="54" t="n"/>
      <c r="C49" s="54" t="n"/>
      <c r="D49" s="54" t="n"/>
      <c r="E49" s="54" t="n"/>
      <c r="F49" s="54" t="n"/>
      <c r="G49" s="54" t="n"/>
      <c r="H49" s="54" t="n"/>
      <c r="I49" s="54" t="n"/>
      <c r="J49" s="54" t="n"/>
      <c r="K49" s="54" t="n"/>
      <c r="L49" s="54" t="n"/>
      <c r="M49" s="54" t="n"/>
      <c r="N49" s="54" t="n"/>
    </row>
    <row r="50" ht="10.5" customHeight="1" s="726"/>
    <row r="51" ht="10.5" customHeight="1" s="726"/>
    <row r="52" ht="10.5" customHeight="1" s="726"/>
  </sheetData>
  <mergeCells count="3">
    <mergeCell ref="B44:F47"/>
    <mergeCell ref="K34:L34"/>
    <mergeCell ref="B22:F25"/>
  </mergeCells>
  <conditionalFormatting sqref="B22">
    <cfRule type="containsBlanks" priority="6" dxfId="11">
      <formula>LEN(TRIM(B22))=0</formula>
    </cfRule>
  </conditionalFormatting>
  <conditionalFormatting sqref="B44">
    <cfRule type="containsBlanks" priority="35" dxfId="11">
      <formula>LEN(TRIM(B44))=0</formula>
    </cfRule>
  </conditionalFormatting>
  <conditionalFormatting sqref="B14:K16">
    <cfRule type="containsBlanks" priority="3" dxfId="0">
      <formula>LEN(TRIM(B14))=0</formula>
    </cfRule>
  </conditionalFormatting>
  <conditionalFormatting sqref="B36:L38">
    <cfRule type="containsBlanks" priority="8" dxfId="0">
      <formula>LEN(TRIM(B36))=0</formula>
    </cfRule>
  </conditionalFormatting>
  <dataValidations count="1">
    <dataValidation sqref="K14:K16 K36:L3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codeName="Sheet7">
    <outlinePr summaryBelow="1" summaryRight="1"/>
    <pageSetUpPr/>
  </sheetPr>
  <dimension ref="A1:R73"/>
  <sheetViews>
    <sheetView showGridLines="0" zoomScale="70" zoomScaleNormal="70" workbookViewId="0">
      <selection activeCell="H15" sqref="H15"/>
    </sheetView>
  </sheetViews>
  <sheetFormatPr baseColWidth="8" defaultColWidth="8.25" defaultRowHeight="12.75" outlineLevelRow="1"/>
  <cols>
    <col width="2.625" customWidth="1" style="26" min="1" max="1"/>
    <col width="18" customWidth="1" style="27" min="2" max="5"/>
    <col width="17" customWidth="1" style="27" min="6" max="6"/>
    <col width="18" customWidth="1" style="27" min="7" max="7"/>
    <col width="38.375" customWidth="1" style="27" min="8" max="8"/>
    <col width="43.5" customWidth="1" style="27" min="9" max="9"/>
    <col width="18" customWidth="1" style="25" min="10" max="10"/>
    <col width="18" customWidth="1" style="27" min="11" max="15"/>
    <col width="2.625" customWidth="1" style="27" min="16" max="16"/>
    <col width="1.625" customWidth="1" style="27" min="17" max="17"/>
    <col width="8.25" customWidth="1" style="25" min="18" max="18"/>
    <col width="8.25" customWidth="1" style="27" min="19" max="16384"/>
  </cols>
  <sheetData>
    <row r="1" ht="50.1" customFormat="1" customHeight="1" s="1">
      <c r="A1" s="243" t="inlineStr">
        <is>
          <t>90b881c4-583d-4889-826d-7581aa385c01</t>
        </is>
      </c>
      <c r="B1" s="104" t="inlineStr">
        <is>
          <t>标准工作底稿: C SWP 货币资金</t>
        </is>
      </c>
      <c r="C1" s="84" t="n"/>
      <c r="D1" s="83" t="n"/>
      <c r="E1" s="83" t="n"/>
      <c r="F1" s="83" t="n"/>
      <c r="G1" s="83" t="n"/>
      <c r="H1" s="83" t="n"/>
      <c r="I1" s="83" t="n"/>
      <c r="J1" s="82" t="n"/>
      <c r="K1" s="83" t="n"/>
      <c r="L1" s="82" t="n"/>
      <c r="M1" s="83" t="n"/>
      <c r="N1" s="82" t="n"/>
      <c r="O1" s="82" t="n"/>
      <c r="Q1" s="40" t="n"/>
    </row>
    <row r="2" ht="30" customFormat="1" customHeight="1" s="1">
      <c r="A2" s="6" t="n"/>
      <c r="B2" s="235" t="inlineStr">
        <is>
          <t>C.02. 银行余额调节</t>
        </is>
      </c>
      <c r="C2" s="7" t="n"/>
      <c r="D2" s="7" t="n"/>
      <c r="E2" s="7" t="n"/>
      <c r="F2" s="7" t="n"/>
      <c r="G2" s="7" t="n"/>
      <c r="H2" s="7" t="n"/>
      <c r="I2" s="7" t="n"/>
      <c r="J2" s="7" t="n"/>
      <c r="K2" s="7" t="n"/>
      <c r="L2" s="7" t="n"/>
      <c r="M2" s="7" t="n"/>
      <c r="N2" s="7" t="n"/>
      <c r="O2" s="22" t="n"/>
      <c r="Q2" s="40" t="n"/>
    </row>
    <row r="3" ht="13.5" customFormat="1" customHeight="1" s="25">
      <c r="A3" s="28" t="n"/>
      <c r="Q3" s="81" t="n"/>
    </row>
    <row r="4" ht="13.5" customFormat="1" customHeight="1" s="25">
      <c r="A4" s="28" t="n"/>
      <c r="B4" s="147" t="inlineStr">
        <is>
          <t>返回汇总页</t>
        </is>
      </c>
      <c r="Q4" s="81" t="n"/>
    </row>
    <row r="5" ht="13.5" customFormat="1" customHeight="1" s="25">
      <c r="A5" s="28" t="n"/>
      <c r="Q5" s="81" t="n"/>
    </row>
    <row r="6" ht="16.5" customHeight="1" s="726">
      <c r="B6" s="307" t="inlineStr">
        <is>
          <t>余额调节项测试</t>
        </is>
      </c>
      <c r="C6" s="307" t="n"/>
      <c r="D6" s="307" t="n"/>
      <c r="E6" s="308" t="n"/>
      <c r="F6" s="309" t="n"/>
      <c r="G6" s="310" t="n"/>
      <c r="H6" s="310" t="n"/>
      <c r="I6" s="310" t="n"/>
      <c r="J6" s="310" t="n"/>
      <c r="K6" s="310" t="n"/>
      <c r="L6" s="310" t="n"/>
      <c r="M6" s="310" t="n"/>
      <c r="N6" s="310" t="n"/>
      <c r="O6" s="310" t="n"/>
      <c r="Q6" s="81" t="n"/>
    </row>
    <row r="7">
      <c r="B7" s="102" t="n"/>
      <c r="C7" s="102" t="n"/>
      <c r="D7" s="102" t="n"/>
      <c r="E7" s="101" t="n"/>
      <c r="F7" s="103" t="n"/>
      <c r="G7" s="25" t="n"/>
      <c r="H7" s="25" t="n"/>
      <c r="I7" s="25" t="n"/>
      <c r="K7" s="25" t="n"/>
      <c r="L7" s="25" t="n"/>
      <c r="M7" s="25" t="n"/>
      <c r="N7" s="25" t="n"/>
      <c r="O7" s="25" t="n"/>
      <c r="Q7" s="81" t="n"/>
    </row>
    <row r="8" ht="15.6" customHeight="1" s="726">
      <c r="B8" s="841">
        <f>MIN('C.00 Lead'!$D$15,'C.00 Lead'!$D$16)</f>
        <v/>
      </c>
      <c r="C8" s="192" t="inlineStr">
        <is>
          <t>用于识别和测试调节项的测试阈值</t>
        </is>
      </c>
      <c r="D8" s="193" t="n"/>
      <c r="E8" s="194" t="n"/>
      <c r="F8" s="25" t="n"/>
      <c r="G8" s="25" t="n"/>
      <c r="H8" s="25" t="n"/>
      <c r="I8" s="25" t="n"/>
      <c r="K8" s="25" t="n"/>
      <c r="L8" s="25" t="n"/>
      <c r="M8" s="25" t="n"/>
      <c r="N8" s="25" t="n"/>
      <c r="O8" s="25" t="n"/>
      <c r="Q8" s="81" t="n"/>
    </row>
    <row r="9">
      <c r="A9" s="29" t="n"/>
      <c r="I9" s="25" t="n"/>
      <c r="J9" s="27" t="n"/>
      <c r="Q9" s="81" t="n"/>
    </row>
    <row r="10" ht="16.5" customHeight="1" s="726">
      <c r="A10" s="29" t="n"/>
      <c r="B10" s="42" t="inlineStr">
        <is>
          <t>记录所选个别调节项的理由，包括选取的测试阈值以及我们识别异常或意料之外项目的依据：</t>
        </is>
      </c>
      <c r="C10" s="3" t="n"/>
      <c r="D10" s="3" t="n"/>
      <c r="E10" s="12" t="n"/>
      <c r="F10" s="12" t="n"/>
      <c r="I10" s="25" t="n"/>
      <c r="J10" s="27" t="n"/>
      <c r="Q10" s="81" t="n"/>
    </row>
    <row r="11" ht="12.75" customHeight="1" s="726">
      <c r="A11" s="29" t="n"/>
      <c r="B11" s="842" t="n"/>
      <c r="C11" s="731" t="n"/>
      <c r="D11" s="731" t="n"/>
      <c r="E11" s="731" t="n"/>
      <c r="F11" s="732" t="n"/>
      <c r="I11" s="25" t="n"/>
      <c r="J11" s="27" t="n"/>
      <c r="Q11" s="81" t="n"/>
    </row>
    <row r="12" ht="12.75" customHeight="1" s="726">
      <c r="A12" s="29" t="n"/>
      <c r="B12" s="766" t="n"/>
      <c r="F12" s="767" t="n"/>
      <c r="I12" s="25" t="n"/>
      <c r="J12" s="27" t="n"/>
      <c r="Q12" s="81" t="n"/>
    </row>
    <row r="13" ht="12.75" customHeight="1" s="726">
      <c r="A13" s="29" t="n"/>
      <c r="B13" s="734" t="n"/>
      <c r="C13" s="735" t="n"/>
      <c r="D13" s="735" t="n"/>
      <c r="E13" s="735" t="n"/>
      <c r="F13" s="736" t="n"/>
      <c r="I13" s="25" t="n"/>
      <c r="J13" s="27" t="n"/>
      <c r="Q13" s="81" t="n"/>
    </row>
    <row r="14">
      <c r="A14" s="29" t="n"/>
      <c r="I14" s="25" t="n"/>
      <c r="J14" s="27" t="n"/>
      <c r="Q14" s="81" t="n"/>
    </row>
    <row r="15" ht="15" customFormat="1" customHeight="1" s="1">
      <c r="A15" s="6" t="n"/>
      <c r="B15" s="102" t="inlineStr">
        <is>
          <t>表1.1 余额调节账户1</t>
        </is>
      </c>
      <c r="C15" s="102" t="n"/>
      <c r="D15" s="102" t="n"/>
      <c r="E15" s="101" t="n"/>
      <c r="F15" s="103" t="n"/>
      <c r="G15" s="103" t="n"/>
      <c r="H15" s="103" t="n"/>
      <c r="I15" s="103" t="n"/>
      <c r="J15" s="103" t="n"/>
      <c r="K15" s="103" t="n"/>
      <c r="L15" s="103" t="n"/>
      <c r="M15" s="101" t="n"/>
      <c r="N15" s="101" t="n"/>
      <c r="O15" s="101" t="n"/>
      <c r="P15" s="6" t="n"/>
      <c r="Q15" s="40" t="n"/>
    </row>
    <row r="16" ht="16.5" customFormat="1" customHeight="1" s="514">
      <c r="A16" s="511" t="n"/>
      <c r="B16" s="512" t="inlineStr">
        <is>
          <t>获取存在调节项的银行余额账户，并获取管理层编制的银行余额调节表。审计项目组列示C_BKD中账面余额与对账单金额存在差异的账户清单。如果客户可以提供自己格式的银行余额调节表，也可以直接采用客户的余额调节表执行如下审计程序，无需一定要采用下方表格格式。</t>
        </is>
      </c>
      <c r="C16" s="513" t="n"/>
      <c r="I16" s="515" t="n"/>
      <c r="Q16" s="516" t="n"/>
      <c r="R16" s="515" t="n"/>
    </row>
    <row r="17" outlineLevel="1" ht="16.5" customHeight="1" s="726">
      <c r="A17" s="29" t="n"/>
      <c r="B17" s="195" t="inlineStr">
        <is>
          <t>科目</t>
        </is>
      </c>
      <c r="C17" s="196" t="inlineStr">
        <is>
          <t>索引号</t>
        </is>
      </c>
      <c r="I17" s="25" t="n"/>
      <c r="J17" s="27" t="n"/>
      <c r="Q17" s="81" t="n"/>
    </row>
    <row r="18" outlineLevel="1" ht="16.5" customHeight="1" s="726">
      <c r="A18" s="29" t="n"/>
      <c r="B18" s="220" t="inlineStr">
        <is>
          <t>银行名称</t>
        </is>
      </c>
      <c r="C18" s="299" t="n"/>
      <c r="D18" s="359" t="inlineStr">
        <is>
          <t>C.01</t>
        </is>
      </c>
      <c r="E18" s="31" t="n"/>
      <c r="I18" s="25" t="n"/>
      <c r="J18" s="27" t="n"/>
      <c r="Q18" s="81" t="n"/>
    </row>
    <row r="19" outlineLevel="1" ht="16.5" customHeight="1" s="726">
      <c r="A19" s="29" t="n"/>
      <c r="B19" s="220" t="inlineStr">
        <is>
          <t>银行账号</t>
        </is>
      </c>
      <c r="C19" s="299" t="n"/>
      <c r="D19" s="359" t="inlineStr">
        <is>
          <t>C.01</t>
        </is>
      </c>
      <c r="E19" s="31" t="n"/>
      <c r="I19" s="25" t="n"/>
      <c r="J19" s="27" t="n"/>
      <c r="Q19" s="81" t="n"/>
    </row>
    <row r="20" outlineLevel="1" ht="16.5" customHeight="1" s="726">
      <c r="A20" s="29" t="n"/>
      <c r="B20" s="220" t="inlineStr">
        <is>
          <t>原币币种</t>
        </is>
      </c>
      <c r="C20" s="299" t="n"/>
      <c r="D20" s="359" t="inlineStr">
        <is>
          <t>C.01</t>
        </is>
      </c>
      <c r="E20" s="31" t="n"/>
      <c r="I20" s="25" t="n"/>
      <c r="J20" s="27" t="n"/>
      <c r="Q20" s="81" t="n"/>
    </row>
    <row r="21" outlineLevel="1" ht="16.5" customHeight="1" s="726">
      <c r="A21" s="29" t="n"/>
      <c r="B21" s="236" t="inlineStr">
        <is>
          <t>余额调节表编制日期</t>
        </is>
      </c>
      <c r="C21" s="300" t="n"/>
      <c r="D21" s="30" t="n"/>
      <c r="E21" s="31" t="n"/>
      <c r="I21" s="25" t="n"/>
      <c r="J21" s="27" t="n"/>
      <c r="Q21" s="81" t="n"/>
    </row>
    <row r="22" outlineLevel="1" s="726">
      <c r="A22" s="29" t="n"/>
      <c r="B22" s="32" t="n"/>
      <c r="C22" s="32" t="n"/>
      <c r="D22" s="30" t="n"/>
      <c r="E22" s="31" t="n"/>
      <c r="I22" s="25" t="n"/>
      <c r="J22" s="27" t="n"/>
      <c r="Q22" s="81" t="n"/>
    </row>
    <row r="23" outlineLevel="1" ht="32.25" customHeight="1" s="726">
      <c r="A23" s="29" t="n"/>
      <c r="B23" s="197" t="inlineStr">
        <is>
          <t>调整项目（摘要）</t>
        </is>
      </c>
      <c r="C23" s="198" t="inlineStr">
        <is>
          <t>期末账面数
（原币）</t>
        </is>
      </c>
      <c r="D23" s="199" t="inlineStr">
        <is>
          <t>Index</t>
        </is>
      </c>
      <c r="E23" s="200" t="inlineStr">
        <is>
          <t>调整项目（摘要）</t>
        </is>
      </c>
      <c r="F23" s="201" t="inlineStr">
        <is>
          <t>银行对账单金额
（原币数）</t>
        </is>
      </c>
      <c r="G23" s="202" t="inlineStr">
        <is>
          <t>Index</t>
        </is>
      </c>
      <c r="I23" s="25" t="n"/>
      <c r="J23" s="27" t="n"/>
      <c r="Q23" s="81" t="n"/>
    </row>
    <row r="24" outlineLevel="1" s="726">
      <c r="A24" s="29" t="n"/>
      <c r="B24" s="403" t="n"/>
      <c r="C24" s="843" t="n"/>
      <c r="D24" s="293" t="n"/>
      <c r="E24" s="404" t="n"/>
      <c r="F24" s="844" t="n"/>
      <c r="G24" s="294" t="n"/>
      <c r="I24" s="25" t="n"/>
      <c r="J24" s="27" t="n"/>
      <c r="Q24" s="81" t="n"/>
    </row>
    <row r="25" outlineLevel="1" ht="16.5" customHeight="1" s="726">
      <c r="A25" s="29" t="n"/>
      <c r="B25" s="221" t="inlineStr">
        <is>
          <t>加：银收企未收</t>
        </is>
      </c>
      <c r="C25" s="845">
        <f>SUM(C26:C29)</f>
        <v/>
      </c>
      <c r="D25" s="189" t="n"/>
      <c r="E25" s="186" t="inlineStr">
        <is>
          <t>加：企收银未收</t>
        </is>
      </c>
      <c r="F25" s="846">
        <f>SUM(F26:F29)</f>
        <v/>
      </c>
      <c r="G25" s="226" t="n"/>
      <c r="I25" s="25" t="n"/>
      <c r="J25" s="27" t="n"/>
      <c r="Q25" s="81" t="n"/>
    </row>
    <row r="26" outlineLevel="1" s="726">
      <c r="A26" s="29" t="n"/>
      <c r="B26" s="403" t="n"/>
      <c r="C26" s="843" t="n"/>
      <c r="D26" s="293" t="n"/>
      <c r="E26" s="404" t="n"/>
      <c r="F26" s="844" t="n"/>
      <c r="G26" s="294" t="n"/>
      <c r="I26" s="25" t="n"/>
      <c r="J26" s="27" t="n"/>
      <c r="Q26" s="81" t="n"/>
    </row>
    <row r="27" outlineLevel="1" s="726">
      <c r="A27" s="29" t="n"/>
      <c r="B27" s="403" t="n"/>
      <c r="C27" s="843" t="n"/>
      <c r="D27" s="293" t="n"/>
      <c r="E27" s="404" t="n"/>
      <c r="F27" s="844" t="n"/>
      <c r="G27" s="294" t="n"/>
      <c r="I27" s="25" t="n"/>
      <c r="J27" s="27" t="n"/>
      <c r="Q27" s="81" t="n"/>
    </row>
    <row r="28" outlineLevel="1" s="726">
      <c r="A28" s="29" t="n"/>
      <c r="B28" s="403" t="n"/>
      <c r="C28" s="843" t="n"/>
      <c r="D28" s="293" t="n"/>
      <c r="E28" s="404" t="n"/>
      <c r="F28" s="844" t="n"/>
      <c r="G28" s="294" t="n"/>
      <c r="I28" s="25" t="n"/>
      <c r="J28" s="27" t="n"/>
      <c r="Q28" s="81" t="n"/>
    </row>
    <row r="29" outlineLevel="1" s="726">
      <c r="A29" s="29" t="n"/>
      <c r="B29" s="403" t="n"/>
      <c r="C29" s="843" t="n"/>
      <c r="D29" s="293" t="n"/>
      <c r="E29" s="404" t="n"/>
      <c r="F29" s="844" t="n"/>
      <c r="G29" s="294" t="n"/>
      <c r="I29" s="25" t="n"/>
      <c r="J29" s="27" t="n"/>
      <c r="Q29" s="81" t="n"/>
    </row>
    <row r="30" outlineLevel="1" ht="16.5" customHeight="1" s="726">
      <c r="A30" s="29" t="n"/>
      <c r="B30" s="221" t="inlineStr">
        <is>
          <t>减：银付企未付</t>
        </is>
      </c>
      <c r="C30" s="845">
        <f>SUM(C31:C34)</f>
        <v/>
      </c>
      <c r="D30" s="847" t="n"/>
      <c r="E30" s="187" t="inlineStr">
        <is>
          <t>减：企付银未付</t>
        </is>
      </c>
      <c r="F30" s="846">
        <f>SUM(F31:F34)</f>
        <v/>
      </c>
      <c r="G30" s="848" t="n"/>
      <c r="I30" s="25" t="n"/>
      <c r="J30" s="27" t="n"/>
      <c r="Q30" s="81" t="n"/>
    </row>
    <row r="31" outlineLevel="1" s="726">
      <c r="A31" s="29" t="n"/>
      <c r="B31" s="403" t="n"/>
      <c r="C31" s="843" t="n"/>
      <c r="D31" s="293" t="n"/>
      <c r="E31" s="404" t="n"/>
      <c r="F31" s="844" t="n"/>
      <c r="G31" s="294" t="n"/>
      <c r="I31" s="25" t="n"/>
      <c r="J31" s="27" t="n"/>
      <c r="Q31" s="81" t="n"/>
    </row>
    <row r="32" outlineLevel="1" s="726">
      <c r="A32" s="29" t="n"/>
      <c r="B32" s="403" t="n"/>
      <c r="C32" s="843" t="n"/>
      <c r="D32" s="293" t="n"/>
      <c r="E32" s="404" t="n"/>
      <c r="F32" s="844" t="n"/>
      <c r="G32" s="294" t="n"/>
      <c r="I32" s="25" t="n"/>
      <c r="J32" s="27" t="n"/>
      <c r="Q32" s="81" t="n"/>
    </row>
    <row r="33" outlineLevel="1" s="726">
      <c r="A33" s="29" t="n"/>
      <c r="B33" s="403" t="n"/>
      <c r="C33" s="843" t="n"/>
      <c r="D33" s="293" t="n"/>
      <c r="E33" s="404" t="n"/>
      <c r="F33" s="844" t="n"/>
      <c r="G33" s="294" t="n"/>
      <c r="I33" s="25" t="n"/>
      <c r="J33" s="27" t="n"/>
      <c r="Q33" s="81" t="n"/>
    </row>
    <row r="34" outlineLevel="1" s="726">
      <c r="A34" s="29" t="n"/>
      <c r="B34" s="403" t="n"/>
      <c r="C34" s="843" t="n"/>
      <c r="D34" s="293" t="n"/>
      <c r="E34" s="404" t="n"/>
      <c r="F34" s="844" t="n"/>
      <c r="G34" s="294" t="n"/>
      <c r="I34" s="25" t="n"/>
      <c r="J34" s="27" t="n"/>
      <c r="Q34" s="81" t="n"/>
    </row>
    <row r="35" outlineLevel="1" ht="16.5" customHeight="1" s="726">
      <c r="A35" s="29" t="n"/>
      <c r="B35" s="222" t="inlineStr">
        <is>
          <t>调节后金额合计</t>
        </is>
      </c>
      <c r="C35" s="843">
        <f>C24+C25-C30</f>
        <v/>
      </c>
      <c r="D35" s="293" t="n"/>
      <c r="E35" s="188" t="inlineStr">
        <is>
          <t>调节后金额合计</t>
        </is>
      </c>
      <c r="F35" s="844">
        <f>F24+F25-F30</f>
        <v/>
      </c>
      <c r="G35" s="294" t="n"/>
      <c r="I35" s="25" t="n"/>
      <c r="J35" s="27" t="n"/>
      <c r="Q35" s="81" t="n"/>
    </row>
    <row r="36" outlineLevel="1" s="726">
      <c r="A36" s="29" t="n"/>
      <c r="B36" s="237" t="inlineStr">
        <is>
          <t>Check</t>
        </is>
      </c>
      <c r="C36" s="849">
        <f>F35-C35</f>
        <v/>
      </c>
      <c r="D36" s="298" t="n"/>
      <c r="E36" s="191" t="n"/>
      <c r="F36" s="850" t="n"/>
      <c r="G36" s="297" t="n"/>
      <c r="I36" s="25" t="n"/>
      <c r="J36" s="27" t="n"/>
      <c r="Q36" s="81" t="n"/>
    </row>
    <row r="37" outlineLevel="1" s="726">
      <c r="A37" s="29" t="n"/>
      <c r="I37" s="25" t="n"/>
      <c r="J37" s="27" t="n"/>
      <c r="Q37" s="81" t="n"/>
    </row>
    <row r="38" ht="15" customFormat="1" customHeight="1" s="1">
      <c r="A38" s="6" t="n"/>
      <c r="B38" s="25" t="inlineStr">
        <is>
          <t>表1.2 从实体（而非银行）记录的项目列表（即企收银未收、企付银未付的项目）出发，将期前的账面记录核对到期后的银行流水记录：</t>
        </is>
      </c>
      <c r="C38" s="25" t="n"/>
      <c r="D38" s="25" t="n"/>
      <c r="E38" s="25" t="n"/>
      <c r="F38" s="25" t="n"/>
      <c r="G38" s="25" t="n"/>
      <c r="H38" s="25" t="n"/>
      <c r="I38" s="25" t="n"/>
      <c r="J38" s="25" t="n"/>
      <c r="K38" s="25" t="n"/>
      <c r="L38" s="25" t="n"/>
      <c r="M38" s="25" t="n"/>
      <c r="N38" s="25" t="n"/>
      <c r="O38" s="25" t="n"/>
      <c r="P38" s="6" t="n"/>
      <c r="Q38" s="40" t="n"/>
    </row>
    <row r="39" outlineLevel="1" s="726">
      <c r="A39" s="29" t="n"/>
      <c r="H39" s="717" t="inlineStr">
        <is>
          <t>EY Works</t>
        </is>
      </c>
      <c r="I39" s="851" t="n"/>
      <c r="J39" s="27" t="n"/>
      <c r="Q39" s="81" t="n"/>
    </row>
    <row r="40" outlineLevel="1" ht="40.5" customHeight="1" s="726">
      <c r="A40" s="29" t="n"/>
      <c r="B40" s="197" t="inlineStr">
        <is>
          <t>Index</t>
        </is>
      </c>
      <c r="C40" s="201" t="inlineStr">
        <is>
          <t>调整项目（摘要）</t>
        </is>
      </c>
      <c r="D40" s="201" t="inlineStr">
        <is>
          <t>凭证类型号
（期前）</t>
        </is>
      </c>
      <c r="E40" s="201" t="inlineStr">
        <is>
          <t>账面记录的
交易日期</t>
        </is>
      </c>
      <c r="F40" s="203" t="inlineStr">
        <is>
          <t>金额
(收款填列正数，付款填列负数）</t>
        </is>
      </c>
      <c r="G40" s="198" t="inlineStr">
        <is>
          <t>银行记录的
交易日期/结算日期</t>
        </is>
      </c>
      <c r="H40" s="205" t="inlineStr">
        <is>
          <t>期末前，我们检查被审计单位已根据适用的会计准则要求，将银行收支交易恰当的记录到会计账簿；</t>
        </is>
      </c>
      <c r="I40" s="204" t="inlineStr">
        <is>
          <t>期末后，我们将银行流水记录，与期前的会计账簿记录核对一致，确认款项已妥善结清</t>
        </is>
      </c>
      <c r="J40" s="27" t="n"/>
      <c r="Q40" s="81" t="n"/>
    </row>
    <row r="41" outlineLevel="1" s="726">
      <c r="A41" s="29" t="n"/>
      <c r="B41" s="290" t="n"/>
      <c r="C41" s="517" t="n"/>
      <c r="D41" s="517" t="n"/>
      <c r="E41" s="405" t="n"/>
      <c r="F41" s="852" t="n"/>
      <c r="G41" s="406" t="n"/>
      <c r="H41" s="389" t="n"/>
      <c r="I41" s="389" t="n"/>
      <c r="J41" s="27" t="n"/>
      <c r="Q41" s="81" t="n"/>
    </row>
    <row r="42" outlineLevel="1" s="726">
      <c r="A42" s="29" t="n"/>
      <c r="B42" s="291" t="n"/>
      <c r="C42" s="518" t="n"/>
      <c r="D42" s="518" t="n"/>
      <c r="E42" s="407" t="n"/>
      <c r="F42" s="853" t="n"/>
      <c r="G42" s="408" t="n"/>
      <c r="H42" s="389" t="n"/>
      <c r="I42" s="389" t="n"/>
      <c r="J42" s="27" t="n"/>
      <c r="Q42" s="81" t="n"/>
    </row>
    <row r="43" outlineLevel="1" s="726">
      <c r="A43" s="29" t="n"/>
      <c r="B43" s="33" t="n"/>
      <c r="C43" s="34" t="n"/>
      <c r="D43" s="35" t="n"/>
      <c r="E43" s="35" t="n"/>
      <c r="F43" s="854" t="n"/>
      <c r="G43" s="35" t="n"/>
      <c r="I43" s="25" t="n"/>
      <c r="J43" s="27" t="n"/>
      <c r="Q43" s="81" t="n"/>
    </row>
    <row r="44" outlineLevel="1" s="726">
      <c r="A44" s="29" t="n"/>
      <c r="B44" s="33" t="n"/>
      <c r="C44" s="34" t="n"/>
      <c r="D44" s="35" t="n"/>
      <c r="E44" s="35" t="n"/>
      <c r="F44" s="854" t="n"/>
      <c r="G44" s="35" t="n"/>
      <c r="I44" s="25" t="n"/>
      <c r="J44" s="27" t="n"/>
      <c r="Q44" s="81" t="n"/>
    </row>
    <row r="45" ht="15" customFormat="1" customHeight="1" s="1">
      <c r="A45" s="6" t="n"/>
      <c r="B45" s="25" t="inlineStr">
        <is>
          <t>表1.3 从银行（而非实体）记录的项目列表（即银收企未收、银付企未付的项目）出发，将期前的银行流水记录核对到期后的账面记录</t>
        </is>
      </c>
      <c r="C45" s="25" t="n"/>
      <c r="D45" s="25" t="n"/>
      <c r="E45" s="25" t="n"/>
      <c r="F45" s="25" t="n"/>
      <c r="G45" s="25" t="n"/>
      <c r="H45" s="25" t="n"/>
      <c r="I45" s="25" t="n"/>
      <c r="J45" s="25" t="n"/>
      <c r="K45" s="25" t="n"/>
      <c r="L45" s="25" t="n"/>
      <c r="M45" s="25" t="n"/>
      <c r="N45" s="25" t="n"/>
      <c r="O45" s="25" t="n"/>
      <c r="P45" s="6" t="n"/>
      <c r="Q45" s="40" t="n"/>
    </row>
    <row r="46" outlineLevel="1" s="726">
      <c r="A46" s="29" t="n"/>
      <c r="H46" s="715" t="inlineStr">
        <is>
          <t>EY Works</t>
        </is>
      </c>
      <c r="I46" s="855" t="n"/>
      <c r="J46" s="27" t="n"/>
      <c r="Q46" s="81" t="n"/>
    </row>
    <row r="47" outlineLevel="1" ht="41.1" customHeight="1" s="726">
      <c r="A47" s="29" t="n"/>
      <c r="B47" s="197" t="inlineStr">
        <is>
          <t>Index</t>
        </is>
      </c>
      <c r="C47" s="201" t="inlineStr">
        <is>
          <t>调整项目（摘要）</t>
        </is>
      </c>
      <c r="D47" s="201" t="inlineStr">
        <is>
          <t>凭证类型号
（期后）</t>
        </is>
      </c>
      <c r="E47" s="201" t="inlineStr">
        <is>
          <t>账面记录的
交易日期</t>
        </is>
      </c>
      <c r="F47" s="203" t="inlineStr">
        <is>
          <t>金额
(收款填列正数，付款填列负数）</t>
        </is>
      </c>
      <c r="G47" s="198" t="inlineStr">
        <is>
          <t>银行记录的
交易日期/结算日期</t>
        </is>
      </c>
      <c r="H47" s="197" t="inlineStr">
        <is>
          <t>期末前，我们将银行流水记录，与期后的会计账簿记录核对一致，确认款项已妥善结清</t>
        </is>
      </c>
      <c r="I47" s="206" t="inlineStr">
        <is>
          <t>期末后，我们检查被审计单位已根据适用的会计准则要求，将银行收支交易恰当的记录到会计账簿</t>
        </is>
      </c>
      <c r="J47" s="27" t="n"/>
      <c r="Q47" s="81" t="n"/>
    </row>
    <row r="48" outlineLevel="1" s="726">
      <c r="A48" s="29" t="n"/>
      <c r="B48" s="290" t="n"/>
      <c r="C48" s="517" t="n"/>
      <c r="D48" s="517" t="n"/>
      <c r="E48" s="405" t="n"/>
      <c r="F48" s="852" t="n"/>
      <c r="G48" s="406" t="n"/>
      <c r="H48" s="389" t="n"/>
      <c r="I48" s="389" t="n"/>
      <c r="J48" s="27" t="n"/>
      <c r="Q48" s="81" t="n"/>
    </row>
    <row r="49" outlineLevel="1" s="726">
      <c r="A49" s="29" t="n"/>
      <c r="B49" s="291" t="n"/>
      <c r="C49" s="518" t="n"/>
      <c r="D49" s="518" t="n"/>
      <c r="E49" s="407" t="n"/>
      <c r="F49" s="853" t="n"/>
      <c r="G49" s="408" t="n"/>
      <c r="H49" s="389" t="n"/>
      <c r="I49" s="389" t="n"/>
      <c r="J49" s="27" t="n"/>
      <c r="Q49" s="81" t="n"/>
    </row>
    <row r="50">
      <c r="A50" s="29" t="n"/>
      <c r="I50" s="25" t="n"/>
      <c r="J50" s="27" t="n"/>
      <c r="Q50" s="81" t="n"/>
    </row>
    <row r="51" ht="16.5" customHeight="1" s="726">
      <c r="A51" s="29" t="n"/>
      <c r="B51" s="304" t="inlineStr">
        <is>
          <t>余额调节项完整性测试</t>
        </is>
      </c>
      <c r="C51" s="304" t="n"/>
      <c r="D51" s="304" t="n"/>
      <c r="E51" s="305" t="n"/>
      <c r="F51" s="306" t="n"/>
      <c r="G51" s="306" t="n"/>
      <c r="H51" s="306" t="n"/>
      <c r="I51" s="306" t="n"/>
      <c r="J51" s="306" t="n"/>
      <c r="K51" s="306" t="n"/>
      <c r="L51" s="306" t="n"/>
      <c r="M51" s="305" t="n"/>
      <c r="N51" s="305" t="n"/>
      <c r="O51" s="305" t="n"/>
      <c r="Q51" s="81" t="n"/>
    </row>
    <row r="52">
      <c r="I52" s="25" t="n"/>
      <c r="J52" s="27" t="n"/>
      <c r="Q52" s="81" t="n"/>
    </row>
    <row r="53" ht="15" customFormat="1" customHeight="1" s="1">
      <c r="A53" s="6" t="n"/>
      <c r="B53" s="37" t="inlineStr">
        <is>
          <t>表2.1 确定余额调节项完整性测试的测试阈值和截止期间</t>
        </is>
      </c>
      <c r="C53" s="37" t="n"/>
      <c r="D53" s="37" t="n"/>
      <c r="F53" s="38" t="n"/>
      <c r="G53" s="38" t="n"/>
      <c r="H53" s="38" t="n"/>
      <c r="I53" s="38" t="n"/>
      <c r="J53" s="38" t="n"/>
      <c r="K53" s="38" t="n"/>
      <c r="L53" s="38" t="n"/>
      <c r="P53" s="6" t="n"/>
      <c r="Q53" s="40" t="n"/>
    </row>
    <row r="54" ht="16.5" customHeight="1" s="726">
      <c r="A54" s="10" t="n"/>
      <c r="B54" s="856">
        <f>'C.02 Bank reconciliations'!B8</f>
        <v/>
      </c>
      <c r="C54" s="719" t="inlineStr">
        <is>
          <t>用于识别和测试调节项的测试阈值</t>
        </is>
      </c>
      <c r="D54" s="857" t="n"/>
      <c r="E54" s="39" t="n"/>
      <c r="F54" s="12" t="n"/>
      <c r="G54" s="12" t="n"/>
      <c r="H54" s="12" t="n"/>
      <c r="I54" s="25" t="n"/>
      <c r="J54" s="12" t="n"/>
      <c r="K54" s="12" t="n"/>
      <c r="L54" s="12" t="n"/>
      <c r="M54" s="12" t="n"/>
      <c r="N54" s="12" t="n"/>
      <c r="O54" s="12" t="n"/>
      <c r="Q54" s="81" t="n"/>
    </row>
    <row r="55">
      <c r="A55" s="10" t="n"/>
      <c r="B55" s="521" t="n"/>
      <c r="C55" s="721" t="inlineStr">
        <is>
          <t>使用的截止期间</t>
        </is>
      </c>
      <c r="D55" s="858" t="n"/>
      <c r="E55" s="12" t="n"/>
      <c r="F55" s="12" t="n"/>
      <c r="G55" s="12" t="n"/>
      <c r="H55" s="12" t="n"/>
      <c r="I55" s="25" t="n"/>
      <c r="J55" s="12" t="n"/>
      <c r="K55" s="12" t="n"/>
      <c r="L55" s="12" t="n"/>
      <c r="M55" s="12" t="n"/>
      <c r="N55" s="12" t="n"/>
      <c r="O55" s="12" t="n"/>
      <c r="Q55" s="81" t="n"/>
    </row>
    <row r="56">
      <c r="A56" s="10" t="n"/>
      <c r="B56" s="13" t="n"/>
      <c r="C56" s="13" t="n"/>
      <c r="D56" s="12" t="n"/>
      <c r="E56" s="12" t="n"/>
      <c r="F56" s="12" t="n"/>
      <c r="G56" s="12" t="n"/>
      <c r="H56" s="12" t="n"/>
      <c r="I56" s="25" t="n"/>
      <c r="J56" s="12" t="n"/>
      <c r="K56" s="12" t="n"/>
      <c r="L56" s="12" t="n"/>
      <c r="M56" s="12" t="n"/>
      <c r="N56" s="12" t="n"/>
      <c r="O56" s="12" t="n"/>
      <c r="Q56" s="81" t="n"/>
    </row>
    <row r="57" ht="16.5" customHeight="1" s="726">
      <c r="A57" s="10" t="n"/>
      <c r="B57" s="3" t="inlineStr">
        <is>
          <t>请在下面描述所使用截止期间的理由：</t>
        </is>
      </c>
      <c r="C57" s="3" t="n"/>
      <c r="D57" s="3" t="n"/>
      <c r="E57" s="12" t="n"/>
      <c r="F57" s="12" t="n"/>
      <c r="G57" s="12" t="n"/>
      <c r="H57" s="12" t="n"/>
      <c r="I57" s="25" t="n"/>
      <c r="J57" s="12" t="n"/>
      <c r="K57" s="12" t="n"/>
      <c r="L57" s="12" t="n"/>
      <c r="M57" s="12" t="n"/>
      <c r="N57" s="12" t="n"/>
      <c r="O57" s="12" t="n"/>
      <c r="Q57" s="81" t="n"/>
    </row>
    <row r="58" ht="14.25" customHeight="1" s="726">
      <c r="A58" s="10" t="n"/>
      <c r="B58" s="859" t="n"/>
      <c r="C58" s="731" t="n"/>
      <c r="D58" s="731" t="n"/>
      <c r="E58" s="731" t="n"/>
      <c r="F58" s="732" t="n"/>
      <c r="G58" s="12" t="n"/>
      <c r="H58" s="12" t="n"/>
      <c r="I58" s="25" t="n"/>
      <c r="J58" s="12" t="n"/>
      <c r="K58" s="12" t="n"/>
      <c r="L58" s="12" t="n"/>
      <c r="M58" s="12" t="n"/>
      <c r="N58" s="12" t="n"/>
      <c r="O58" s="12" t="n"/>
      <c r="Q58" s="81" t="n"/>
    </row>
    <row r="59" ht="14.25" customHeight="1" s="726">
      <c r="A59" s="10" t="n"/>
      <c r="B59" s="766" t="n"/>
      <c r="F59" s="767" t="n"/>
      <c r="G59" s="12" t="n"/>
      <c r="H59" s="12" t="n"/>
      <c r="I59" s="25" t="n"/>
      <c r="J59" s="12" t="n"/>
      <c r="K59" s="12" t="n"/>
      <c r="L59" s="12" t="n"/>
      <c r="M59" s="12" t="n"/>
      <c r="N59" s="12" t="n"/>
      <c r="O59" s="12" t="n"/>
      <c r="Q59" s="81" t="n"/>
    </row>
    <row r="60" ht="14.25" customHeight="1" s="726">
      <c r="A60" s="10" t="n"/>
      <c r="B60" s="734" t="n"/>
      <c r="C60" s="735" t="n"/>
      <c r="D60" s="735" t="n"/>
      <c r="E60" s="735" t="n"/>
      <c r="F60" s="736" t="n"/>
      <c r="G60" s="12" t="n"/>
      <c r="H60" s="12" t="n"/>
      <c r="I60" s="25" t="n"/>
      <c r="J60" s="12" t="n"/>
      <c r="K60" s="12" t="n"/>
      <c r="L60" s="12" t="n"/>
      <c r="M60" s="12" t="n"/>
      <c r="N60" s="12" t="n"/>
      <c r="O60" s="12" t="n"/>
      <c r="Q60" s="81" t="n"/>
    </row>
    <row r="61" ht="15" customHeight="1" s="726">
      <c r="A61" s="2" t="n"/>
      <c r="B61" s="3" t="n"/>
      <c r="C61" s="3" t="n"/>
      <c r="D61" s="3" t="n"/>
      <c r="E61" s="3" t="n"/>
      <c r="F61" s="3" t="n"/>
      <c r="G61" s="3" t="n"/>
      <c r="H61" s="3" t="n"/>
      <c r="I61" s="25" t="n"/>
      <c r="J61" s="3" t="n"/>
      <c r="K61" s="3" t="n"/>
      <c r="L61" s="3" t="n"/>
      <c r="M61" s="3" t="n"/>
      <c r="N61" s="3" t="n"/>
      <c r="O61" s="3" t="n"/>
      <c r="Q61" s="81" t="n"/>
    </row>
    <row r="62" ht="15" customFormat="1" customHeight="1" s="1">
      <c r="A62" s="6" t="n"/>
      <c r="B62" s="102" t="inlineStr">
        <is>
          <t>表2.2 根据表2.1确定的测试期间和测试阈值，对抽取的样本执行以下程序。</t>
        </is>
      </c>
      <c r="C62" s="102" t="n"/>
      <c r="D62" s="102" t="n"/>
      <c r="E62" s="101" t="n"/>
      <c r="F62" s="103" t="n"/>
      <c r="G62" s="103" t="n"/>
      <c r="H62" s="103" t="n"/>
      <c r="I62" s="103" t="n"/>
      <c r="J62" s="103" t="n"/>
      <c r="K62" s="103" t="n"/>
      <c r="L62" s="103" t="n"/>
      <c r="M62" s="101" t="n"/>
      <c r="N62" s="101" t="n"/>
      <c r="O62" s="101" t="n"/>
      <c r="P62" s="6" t="n"/>
      <c r="Q62" s="40" t="n"/>
    </row>
    <row r="63" ht="16.5" customHeight="1" s="726">
      <c r="A63" s="2" t="n"/>
      <c r="B63" s="94" t="inlineStr">
        <is>
          <t>为确保银行账户余额调节项的完整性，我们针对具有余额调节项的银行账户、以及我们已识别出余额调节项完整性存在重大错报风险的银行账户，获取期后银行流水。我们记录了使用该截止期间的理由，并完成了测试。</t>
        </is>
      </c>
      <c r="C63" s="9" t="n"/>
      <c r="D63" s="9" t="n"/>
      <c r="E63" s="9" t="n"/>
      <c r="F63" s="12" t="n"/>
      <c r="G63" s="12" t="n"/>
      <c r="H63" s="12" t="n"/>
      <c r="I63" s="25" t="n"/>
      <c r="J63" s="27" t="n"/>
      <c r="L63" s="12" t="n"/>
      <c r="M63" s="12" t="n"/>
      <c r="N63" s="12" t="n"/>
      <c r="O63" s="3" t="n"/>
      <c r="Q63" s="81" t="n"/>
    </row>
    <row r="64" ht="16.5" customHeight="1" s="726">
      <c r="A64" s="2" t="n"/>
      <c r="B64" s="18" t="inlineStr">
        <is>
          <t>|-----------------------------------------------------------------------------------------------------------------------------银行流水-------------------------------------------------------------------------------------------------------------------------------------------|</t>
        </is>
      </c>
      <c r="C64" s="9" t="n"/>
      <c r="D64" s="9" t="n"/>
      <c r="E64" s="9" t="n"/>
      <c r="F64" s="12" t="n"/>
      <c r="G64" s="12" t="n"/>
      <c r="H64" s="12" t="n"/>
      <c r="I64" s="25" t="n"/>
      <c r="J64" s="18" t="inlineStr">
        <is>
          <t>|-----------------------管理层会计账簿--------------------|</t>
        </is>
      </c>
      <c r="L64" s="12" t="n"/>
      <c r="M64" s="12" t="n"/>
      <c r="N64" s="12" t="n"/>
      <c r="O64" s="3" t="n"/>
      <c r="Q64" s="81" t="n"/>
    </row>
    <row r="65" ht="49.5" customHeight="1" s="726">
      <c r="A65" s="2" t="n"/>
      <c r="B65" s="209" t="inlineStr">
        <is>
          <t>样本编号</t>
        </is>
      </c>
      <c r="C65" s="210" t="inlineStr">
        <is>
          <t>公司名称</t>
        </is>
      </c>
      <c r="D65" s="210" t="inlineStr">
        <is>
          <t>银行名称</t>
        </is>
      </c>
      <c r="E65" s="210" t="inlineStr">
        <is>
          <t>银行账号</t>
        </is>
      </c>
      <c r="F65" s="203" t="inlineStr">
        <is>
          <t>银行记录的
交易日期/结算日期</t>
        </is>
      </c>
      <c r="G65" s="210" t="inlineStr">
        <is>
          <t>交易编号</t>
        </is>
      </c>
      <c r="H65" s="210" t="inlineStr">
        <is>
          <t>币种</t>
        </is>
      </c>
      <c r="I65" s="201" t="inlineStr">
        <is>
          <t>金额
(收款填列正数，付款填列负数）</t>
        </is>
      </c>
      <c r="J65" s="201" t="inlineStr">
        <is>
          <t>凭证类型号
（期后）</t>
        </is>
      </c>
      <c r="K65" s="201" t="inlineStr">
        <is>
          <t>账面记录的
交易日期</t>
        </is>
      </c>
      <c r="L65" s="211" t="inlineStr">
        <is>
          <t>该笔交易是否应当计入期末余额调节表？</t>
        </is>
      </c>
      <c r="M65" s="211" t="inlineStr">
        <is>
          <t>该笔交易是否应当计入当期账面？</t>
        </is>
      </c>
      <c r="N65" s="212" t="inlineStr">
        <is>
          <t>该笔交易是否按照相关会计准则进行了恰当的处理？</t>
        </is>
      </c>
      <c r="O65" s="213" t="inlineStr">
        <is>
          <t>备注</t>
        </is>
      </c>
      <c r="Q65" s="81" t="n"/>
    </row>
    <row r="66" ht="15" customHeight="1" s="726">
      <c r="A66" s="2" t="n"/>
      <c r="B66" s="395" t="n"/>
      <c r="C66" s="396" t="n"/>
      <c r="D66" s="396" t="n"/>
      <c r="E66" s="519" t="n"/>
      <c r="F66" s="397" t="n"/>
      <c r="G66" s="519" t="n"/>
      <c r="H66" s="396" t="n"/>
      <c r="I66" s="860" t="n"/>
      <c r="J66" s="396" t="n"/>
      <c r="K66" s="397" t="n"/>
      <c r="L66" s="398" t="n"/>
      <c r="M66" s="398" t="n"/>
      <c r="N66" s="398" t="n"/>
      <c r="O66" s="287" t="n"/>
      <c r="Q66" s="81" t="n"/>
    </row>
    <row r="67" ht="15" customHeight="1" s="726">
      <c r="A67" s="2" t="n"/>
      <c r="B67" s="395" t="n"/>
      <c r="C67" s="396" t="n"/>
      <c r="D67" s="396" t="n"/>
      <c r="E67" s="519" t="n"/>
      <c r="F67" s="397" t="n"/>
      <c r="G67" s="519" t="n"/>
      <c r="H67" s="396" t="n"/>
      <c r="I67" s="860" t="n"/>
      <c r="J67" s="396" t="n"/>
      <c r="K67" s="397" t="n"/>
      <c r="L67" s="398" t="n"/>
      <c r="M67" s="398" t="n"/>
      <c r="N67" s="398" t="n"/>
      <c r="O67" s="287" t="n"/>
      <c r="Q67" s="81" t="n"/>
    </row>
    <row r="68" ht="15" customHeight="1" s="726">
      <c r="A68" s="2" t="n"/>
      <c r="B68" s="395" t="n"/>
      <c r="C68" s="396" t="n"/>
      <c r="D68" s="396" t="n"/>
      <c r="E68" s="519" t="n"/>
      <c r="F68" s="397" t="n"/>
      <c r="G68" s="519" t="n"/>
      <c r="H68" s="396" t="n"/>
      <c r="I68" s="860" t="n"/>
      <c r="J68" s="396" t="n"/>
      <c r="K68" s="397" t="n"/>
      <c r="L68" s="398" t="n"/>
      <c r="M68" s="398" t="n"/>
      <c r="N68" s="398" t="n"/>
      <c r="O68" s="287" t="n"/>
      <c r="Q68" s="81" t="n"/>
    </row>
    <row r="69" ht="15" customHeight="1" s="726">
      <c r="A69" s="2" t="n"/>
      <c r="B69" s="395" t="n"/>
      <c r="C69" s="396" t="n"/>
      <c r="D69" s="396" t="n"/>
      <c r="E69" s="519" t="n"/>
      <c r="F69" s="397" t="n"/>
      <c r="G69" s="519" t="n"/>
      <c r="H69" s="396" t="n"/>
      <c r="I69" s="860" t="n"/>
      <c r="J69" s="396" t="n"/>
      <c r="K69" s="397" t="n"/>
      <c r="L69" s="398" t="n"/>
      <c r="M69" s="398" t="n"/>
      <c r="N69" s="398" t="n"/>
      <c r="O69" s="287" t="n"/>
      <c r="Q69" s="81" t="n"/>
    </row>
    <row r="70" ht="15" customHeight="1" s="726">
      <c r="A70" s="2" t="n"/>
      <c r="B70" s="399" t="n"/>
      <c r="C70" s="400" t="n"/>
      <c r="D70" s="400" t="n"/>
      <c r="E70" s="520" t="n"/>
      <c r="F70" s="401" t="n"/>
      <c r="G70" s="520" t="n"/>
      <c r="H70" s="400" t="n"/>
      <c r="I70" s="861" t="n"/>
      <c r="J70" s="400" t="n"/>
      <c r="K70" s="401" t="n"/>
      <c r="L70" s="402" t="n"/>
      <c r="M70" s="402" t="n"/>
      <c r="N70" s="402" t="n"/>
      <c r="O70" s="288" t="n"/>
      <c r="Q70" s="81" t="n"/>
    </row>
    <row r="71" ht="15" customHeight="1" s="726">
      <c r="Q71" s="81" t="n"/>
    </row>
    <row r="72" ht="7.5" customHeight="1" s="726">
      <c r="A72" s="80" t="n"/>
      <c r="B72" s="81" t="n"/>
      <c r="C72" s="81" t="n"/>
      <c r="D72" s="81" t="n"/>
      <c r="E72" s="81" t="n"/>
      <c r="F72" s="81" t="n"/>
      <c r="G72" s="81" t="n"/>
      <c r="H72" s="81" t="n"/>
      <c r="I72" s="81" t="n"/>
      <c r="J72" s="81" t="n"/>
      <c r="K72" s="81" t="n"/>
      <c r="L72" s="81" t="n"/>
      <c r="M72" s="81" t="n"/>
      <c r="N72" s="81" t="n"/>
      <c r="O72" s="81" t="n"/>
      <c r="P72" s="81" t="n"/>
      <c r="Q72" s="81" t="n"/>
    </row>
    <row r="73" customFormat="1" s="25">
      <c r="A73" s="422" t="n"/>
    </row>
  </sheetData>
  <mergeCells count="6">
    <mergeCell ref="H39:I39"/>
    <mergeCell ref="C54:D54"/>
    <mergeCell ref="H46:I46"/>
    <mergeCell ref="C55:D55"/>
    <mergeCell ref="B11:F13"/>
    <mergeCell ref="B58:F60"/>
  </mergeCells>
  <conditionalFormatting sqref="B11">
    <cfRule type="containsBlanks" priority="8" dxfId="0">
      <formula>LEN(TRIM(B11))=0</formula>
    </cfRule>
  </conditionalFormatting>
  <conditionalFormatting sqref="B55 B66:N70">
    <cfRule type="containsBlanks" priority="11" dxfId="0">
      <formula>LEN(TRIM(B55))=0</formula>
    </cfRule>
  </conditionalFormatting>
  <conditionalFormatting sqref="B58">
    <cfRule type="containsBlanks" priority="7" dxfId="0">
      <formula>LEN(TRIM(B58))=0</formula>
    </cfRule>
  </conditionalFormatting>
  <conditionalFormatting sqref="B24:C24 B26:C29 B31:C34 E24:F24 E26:F29 E31:F34">
    <cfRule type="containsBlanks" priority="10" dxfId="0">
      <formula>LEN(TRIM(B24))=0</formula>
    </cfRule>
  </conditionalFormatting>
  <conditionalFormatting sqref="C41:I42">
    <cfRule type="containsBlanks" priority="2" dxfId="0">
      <formula>LEN(TRIM(C41))=0</formula>
    </cfRule>
  </conditionalFormatting>
  <conditionalFormatting sqref="C48:I49">
    <cfRule type="containsBlanks" priority="1" dxfId="0">
      <formula>LEN(TRIM(C48))=0</formula>
    </cfRule>
  </conditionalFormatting>
  <dataValidations count="2">
    <dataValidation sqref="H41:I42 H48:I49" showDropDown="0" showInputMessage="1" showErrorMessage="0" allowBlank="1" type="list">
      <formula1>"Y,N"</formula1>
    </dataValidation>
    <dataValidation sqref="L66:N70" showDropDown="0" showInputMessage="1" showErrorMessage="1" allowBlank="1" type="list">
      <formula1>"是,否"</formula1>
    </dataValidation>
  </dataValidations>
  <hyperlinks>
    <hyperlink ref="B4"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CB9"/>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eeeed53b-601b-44e6-955e-6804b16b6e43</t>
        </is>
      </c>
      <c r="B1" s="0" t="inlineStr">
        <is>
          <t>EK1VPTZQYW1SK1ZCSSX1TFXSMTRW6EZZCSTEX1RCV91HG0PZA5VG</t>
        </is>
      </c>
      <c r="C1" s="0" t="inlineStr">
        <is>
          <t>Emma JH He</t>
        </is>
      </c>
      <c r="D1" s="0" t="n">
        <v>8</v>
      </c>
      <c r="E1" s="0" t="n">
        <v>1751464339955</v>
      </c>
      <c r="F1" s="0" t="inlineStr">
        <is>
          <t>P05SRP1JWHRBZSZJ6GRB81DBD3Q4W40RJFZ7YS60HXFQ91H292GG</t>
        </is>
      </c>
      <c r="G1" s="0" t="inlineStr">
        <is>
          <t>Johnny ZZ Zhang</t>
        </is>
      </c>
      <c r="H1" s="0" t="n">
        <v>0</v>
      </c>
      <c r="I1" s="0" t="n">
        <v>1751860621568</v>
      </c>
      <c r="J1" s="0" t="inlineStr">
        <is>
          <t>NR93MKF35EZT8NW1W2JRPKWHHB4VZTM96EX8FEVDTX6MGAD6996G</t>
        </is>
      </c>
      <c r="K1" s="0" t="inlineStr">
        <is>
          <t>Amanda Liang</t>
        </is>
      </c>
      <c r="L1" s="0" t="n">
        <v>0</v>
      </c>
      <c r="M1" s="0" t="n">
        <v>1752834134621</v>
      </c>
      <c r="N1" s="0" t="inlineStr">
        <is>
          <t>ZF1ETMEZC9QN6WPB23AEWKHPFR4F55CRNQ1D0B5WT7MED0ZKWWQG</t>
        </is>
      </c>
      <c r="O1" s="0" t="inlineStr">
        <is>
          <t>Amy LQ Chen</t>
        </is>
      </c>
      <c r="P1" s="0" t="n">
        <v>0</v>
      </c>
      <c r="Q1" s="0" t="n">
        <v>1753068567359</v>
      </c>
      <c r="R1" s="0" t="inlineStr">
        <is>
          <t>G8F8ENVNS6NVQW7T8WXX38NRT9C6F65ED0E0GS4RDRPHKPE6JYW0</t>
        </is>
      </c>
      <c r="S1" s="0" t="inlineStr">
        <is>
          <t>Yao CY C Chen</t>
        </is>
      </c>
      <c r="T1" s="0" t="n">
        <v>0</v>
      </c>
      <c r="U1" s="0" t="n">
        <v>1753077658560</v>
      </c>
      <c r="V1" s="0" t="inlineStr">
        <is>
          <t>9QKVRYJWFZ38Q15SSC9F8R37HJH3965E74F5R92CN1PGMMZQECQ0</t>
        </is>
      </c>
      <c r="W1" s="0" t="inlineStr">
        <is>
          <t>Dan Y Yao</t>
        </is>
      </c>
      <c r="X1" s="0" t="n">
        <v>0</v>
      </c>
      <c r="Y1" s="0" t="n">
        <v>1753261287448</v>
      </c>
      <c r="Z1" s="0" t="inlineStr">
        <is>
          <t>27MRN2CY230YGQCH5SHPY9FGVAKPSVTQCEV49DCFDFF8H9XCQEK0</t>
        </is>
      </c>
      <c r="AA1" s="0" t="inlineStr">
        <is>
          <t>Tian T Ma</t>
        </is>
      </c>
      <c r="AB1" s="0" t="n">
        <v>0</v>
      </c>
      <c r="AC1" s="0" t="n">
        <v>1753327233859</v>
      </c>
      <c r="AD1" s="0" t="inlineStr">
        <is>
          <t>NJCBKWVS3J4F3HCA2MJBBCQ6HKD0ZSBEP3AX4S89TK4M9EY3DH60</t>
        </is>
      </c>
      <c r="AE1" s="0" t="inlineStr">
        <is>
          <t>Phoebe YH Wang</t>
        </is>
      </c>
      <c r="AF1" s="0" t="n">
        <v>0</v>
      </c>
      <c r="AG1" s="0" t="n">
        <v>1753521120193</v>
      </c>
      <c r="AH1" s="0" t="inlineStr">
        <is>
          <t>0NH4V0JHYJAK9FNS2C3A0N364JCC7PKKF342WDR5FWZZYXJHKXA0</t>
        </is>
      </c>
      <c r="AI1" s="0" t="inlineStr">
        <is>
          <t>Trista CF Li</t>
        </is>
      </c>
      <c r="AJ1" s="0" t="n">
        <v>0</v>
      </c>
      <c r="AK1" s="0" t="n">
        <v>1753770430430</v>
      </c>
      <c r="AL1" s="0" t="inlineStr">
        <is>
          <t>T5WMV5MGJB59WZ0K302MPWMWM5G98C28W9B39WCZBPJXG5847NB0</t>
        </is>
      </c>
      <c r="AM1" s="0" t="inlineStr">
        <is>
          <t>Grace YT Dai</t>
        </is>
      </c>
      <c r="AN1" s="0" t="n">
        <v>0</v>
      </c>
      <c r="AO1" s="0" t="n">
        <v>1754012993764</v>
      </c>
      <c r="AP1" s="0" t="inlineStr">
        <is>
          <t>Q775XYNM7JGDVAMWSN3NR5KKNQM5NY4YPDM7W5EXVBGM3AB475NG</t>
        </is>
      </c>
      <c r="AQ1" s="0" t="inlineStr">
        <is>
          <t>Maikey Jin</t>
        </is>
      </c>
      <c r="AR1" s="0" t="n">
        <v>0</v>
      </c>
      <c r="AS1" s="0" t="n">
        <v>1754359855401</v>
      </c>
      <c r="AT1" s="0" t="inlineStr">
        <is>
          <t>MQFDQD6SPH3FMJP2N0PQQ3N4PZ6XNH4T373A7HWSDE5TZ4A7V1DG</t>
        </is>
      </c>
      <c r="AU1" s="0" t="inlineStr">
        <is>
          <t>Zelda Zhang</t>
        </is>
      </c>
      <c r="AV1" s="0" t="n">
        <v>0</v>
      </c>
      <c r="AW1" s="0" t="n">
        <v>1754466118431</v>
      </c>
      <c r="AX1" s="0" t="inlineStr">
        <is>
          <t>8X7PYVP8C2C8T1HKPQQ1PKFG36HNJ659HK0KPRNFKDH93TMYMDE0</t>
        </is>
      </c>
      <c r="AY1" s="0" t="inlineStr">
        <is>
          <t>Xiao Yu Q Quan</t>
        </is>
      </c>
      <c r="AZ1" s="0" t="n">
        <v>0</v>
      </c>
      <c r="BA1" s="0" t="n">
        <v>1754550754141</v>
      </c>
      <c r="BB1" s="0" t="inlineStr">
        <is>
          <t>EK1VPTZQYW1SK1ZCSSX1TFXSMTRW6EZZCSTEX1RCV91HG0PZA5VG</t>
        </is>
      </c>
      <c r="BC1" s="0" t="inlineStr">
        <is>
          <t>Emma JH He</t>
        </is>
      </c>
      <c r="BD1" s="0" t="n">
        <v>0</v>
      </c>
      <c r="BE1" s="0" t="n">
        <v>1754709799183</v>
      </c>
      <c r="BF1" s="0" t="inlineStr">
        <is>
          <t>N1FE23EA0HB4RD6ESRZ7MT3ECXZH00MXQ7GF84AR1B34JWH1CQMG</t>
        </is>
      </c>
      <c r="BG1" s="0" t="inlineStr">
        <is>
          <t>Ashley YT He</t>
        </is>
      </c>
      <c r="BH1" s="0" t="n">
        <v>0</v>
      </c>
      <c r="BI1" s="0" t="n">
        <v>1755076525612</v>
      </c>
      <c r="BJ1" s="0" t="inlineStr">
        <is>
          <t>1P2X1MX3XYWCZ8E2MX2Y07YGB3MV287QRPBD8BFP4A63CGJFS7B0</t>
        </is>
      </c>
      <c r="BK1" s="0" t="inlineStr">
        <is>
          <t>Evelyn Z Zhao</t>
        </is>
      </c>
      <c r="BL1" s="0" t="n">
        <v>0</v>
      </c>
      <c r="BM1" s="0" t="n">
        <v>1755243753054</v>
      </c>
      <c r="BN1" s="0" t="inlineStr">
        <is>
          <t>4Z823YQ6WWHKP2SQZKRFWA1MQC85C4TFW8ZXK53HW5GKX3JEZQ00</t>
        </is>
      </c>
      <c r="BO1" s="0" t="inlineStr">
        <is>
          <t>Nina XY Wang</t>
        </is>
      </c>
      <c r="BP1" s="0" t="n">
        <v>0</v>
      </c>
      <c r="BQ1" s="0" t="n">
        <v>1755761503360</v>
      </c>
      <c r="BR1" s="0" t="inlineStr">
        <is>
          <t>ESRXDMFF301213JT3ZH9F7ZDSK4QQHFF3A9ZCB0821P05Y900W90</t>
        </is>
      </c>
      <c r="BS1" s="0" t="inlineStr">
        <is>
          <t>Alina Ye</t>
        </is>
      </c>
      <c r="BT1" s="0" t="n">
        <v>0</v>
      </c>
      <c r="BU1" s="0" t="n">
        <v>1756273424843</v>
      </c>
      <c r="BV1" s="0" t="inlineStr">
        <is>
          <t>1JJHW2RA71BEV946RAW422BAFRW2GJRNFVYMYNDMNYRGVF7ER4E0</t>
        </is>
      </c>
      <c r="BW1" s="0" t="inlineStr">
        <is>
          <t>Summer CH Hu</t>
        </is>
      </c>
      <c r="BX1" s="0" t="n">
        <v>0</v>
      </c>
      <c r="BY1" s="0" t="n">
        <v>1756431653582</v>
      </c>
      <c r="BZ1" s="0" t="inlineStr">
        <is>
          <t>NCN9GVS7YB2ETCVN7MZBV9G447DJ76R2C78P4GRG46G7PJNY5X10</t>
        </is>
      </c>
      <c r="CA1" s="0" t="inlineStr">
        <is>
          <t>Ke Xin Fan</t>
        </is>
      </c>
      <c r="CB1" s="0" t="n">
        <v>0</v>
      </c>
    </row>
    <row r="2">
      <c r="A2" s="0" t="n">
        <v>1749106372694</v>
      </c>
      <c r="B2" s="0" t="inlineStr">
        <is>
          <t>Create</t>
        </is>
      </c>
      <c r="C2" s="0" t="inlineStr">
        <is>
          <t>4d895e99-0076-4ce6-a07c-eae6f4396c83</t>
        </is>
      </c>
      <c r="D2" s="0" t="inlineStr">
        <is>
          <t>{"id":"4d895e99-0076-4ce6-a07c-eae6f4396c83","type":1,"name":"workbookId","value":"8e03150b-6290-47d2-9799-c039157425db"}</t>
        </is>
      </c>
    </row>
    <row r="3">
      <c r="A3" s="0" t="n">
        <v>1749106372700</v>
      </c>
      <c r="B3" s="0" t="inlineStr">
        <is>
          <t>Create</t>
        </is>
      </c>
      <c r="C3" s="0" t="inlineStr">
        <is>
          <t>db0c4ca0-43c9-429a-8749-8452749cb519</t>
        </is>
      </c>
      <c r="D3" s="0" t="inlineStr">
        <is>
          <t>{"id":"db0c4ca0-43c9-429a-8749-8452749cb519","type":0,"name":"dataSnipperSheetDeleted","value":"false"}</t>
        </is>
      </c>
    </row>
    <row r="4">
      <c r="A4" s="0" t="n">
        <v>1749106372700</v>
      </c>
      <c r="B4" s="0" t="inlineStr">
        <is>
          <t>Create</t>
        </is>
      </c>
      <c r="C4" s="0" t="inlineStr">
        <is>
          <t>28d3a200-1630-41ff-890e-d4b73a275b50</t>
        </is>
      </c>
      <c r="D4" s="0" t="inlineStr">
        <is>
          <t>{"id":"28d3a200-1630-41ff-890e-d4b73a275b50","type":0,"name":"embed-documents","value":"false"}</t>
        </is>
      </c>
    </row>
    <row r="5">
      <c r="A5" s="0" t="n">
        <v>1749106372700</v>
      </c>
      <c r="B5" s="0" t="inlineStr">
        <is>
          <t>Create</t>
        </is>
      </c>
      <c r="C5" s="0" t="inlineStr">
        <is>
          <t>2108dc9d-adff-451a-96e4-5ea47b3d353e</t>
        </is>
      </c>
      <c r="D5" s="0" t="inlineStr">
        <is>
          <t>{"id":"2108dc9d-adff-451a-96e4-5ea47b3d353e","type":0,"name":"table-snip-suggestions","value":"true"}</t>
        </is>
      </c>
    </row>
    <row r="6">
      <c r="A6" s="0" t="n">
        <v>1749106372700</v>
      </c>
      <c r="B6" s="0" t="inlineStr">
        <is>
          <t>Create</t>
        </is>
      </c>
      <c r="C6" s="0" t="inlineStr">
        <is>
          <t>ddf7c936-ddfe-42a1-923d-e157aa62580c</t>
        </is>
      </c>
      <c r="D6" s="0" t="inlineStr">
        <is>
          <t>{"id":"ddf7c936-ddfe-42a1-923d-e157aa62580c","type":1,"name":"migratedFssProjectId","value":""}</t>
        </is>
      </c>
    </row>
    <row r="7">
      <c r="A7" s="0" t="n">
        <v>1749106372844</v>
      </c>
      <c r="B7" s="0" t="inlineStr">
        <is>
          <t>Create</t>
        </is>
      </c>
      <c r="C7" s="0" t="inlineStr">
        <is>
          <t>4d895e99-0076-4ce6-a07c-eae6f4396c83</t>
        </is>
      </c>
      <c r="D7" s="0" t="inlineStr">
        <is>
          <t>{"id":"4d895e99-0076-4ce6-a07c-eae6f4396c83","type":1,"name":"workbookId","value":"f30fc162-3bc9-4689-aa89-d96cf6ca3770"}</t>
        </is>
      </c>
    </row>
    <row r="8">
      <c r="A8" s="0" t="n">
        <v>1749106372850</v>
      </c>
      <c r="B8" s="0" t="inlineStr">
        <is>
          <t>Create</t>
        </is>
      </c>
      <c r="C8" s="0" t="inlineStr">
        <is>
          <t>db0c4ca0-43c9-429a-8749-8452749cb519</t>
        </is>
      </c>
      <c r="D8" s="0" t="inlineStr">
        <is>
          <t>{"id":"db0c4ca0-43c9-429a-8749-8452749cb519","type":0,"name":"dataSnipperSheetDeleted","value":"true"}</t>
        </is>
      </c>
    </row>
    <row r="9">
      <c r="A9" s="0" t="n">
        <v>1749106372854</v>
      </c>
      <c r="B9" s="0" t="inlineStr">
        <is>
          <t>Create</t>
        </is>
      </c>
      <c r="C9" s="0" t="inlineStr">
        <is>
          <t>28d3a200-1630-41ff-890e-d4b73a275b50</t>
        </is>
      </c>
      <c r="D9" s="0" t="inlineStr">
        <is>
          <t>{"id":"28d3a200-1630-41ff-890e-d4b73a275b50","type":0,"name":"embed-documents","value":"true"}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10494d48-2075-434b-9659-7b6bf83a94c8</t>
        </is>
      </c>
      <c r="B1" s="0" t="inlineStr">
        <is>
          <t>EK1VPTZQYW1SK1ZCSSX1TFXSMTRW6EZZCSTEX1RCV91HG0PZA5VG</t>
        </is>
      </c>
      <c r="C1" s="0" t="inlineStr">
        <is>
          <t>Emma JH He</t>
        </is>
      </c>
      <c r="D1" s="0" t="n">
        <v>0</v>
      </c>
      <c r="E1" s="0" t="n">
        <v>1751464340324</v>
      </c>
      <c r="F1" s="0" t="inlineStr">
        <is>
          <t>P05SRP1JWHRBZSZJ6GRB81DBD3Q4W40RJFZ7YS60HXFQ91H292GG</t>
        </is>
      </c>
      <c r="G1" s="0" t="inlineStr">
        <is>
          <t>Johnny ZZ Zhang</t>
        </is>
      </c>
      <c r="H1" s="0" t="n">
        <v>0</v>
      </c>
      <c r="I1" s="0" t="n">
        <v>1751860621713</v>
      </c>
      <c r="J1" s="0" t="inlineStr">
        <is>
          <t>NR93MKF35EZT8NW1W2JRPKWHHB4VZTM96EX8FEVDTX6MGAD6996G</t>
        </is>
      </c>
      <c r="K1" s="0" t="inlineStr">
        <is>
          <t>Amanda Liang</t>
        </is>
      </c>
      <c r="L1" s="0" t="n">
        <v>0</v>
      </c>
      <c r="M1" s="0" t="n">
        <v>1752834134751</v>
      </c>
      <c r="N1" s="0" t="inlineStr">
        <is>
          <t>ZF1ETMEZC9QN6WPB23AEWKHPFR4F55CRNQ1D0B5WT7MED0ZKWWQG</t>
        </is>
      </c>
      <c r="O1" s="0" t="inlineStr">
        <is>
          <t>Amy LQ Chen</t>
        </is>
      </c>
      <c r="P1" s="0" t="n">
        <v>0</v>
      </c>
      <c r="Q1" s="0" t="n">
        <v>1753068567868</v>
      </c>
      <c r="R1" s="0" t="inlineStr">
        <is>
          <t>G8F8ENVNS6NVQW7T8WXX38NRT9C6F65ED0E0GS4RDRPHKPE6JYW0</t>
        </is>
      </c>
      <c r="S1" s="0" t="inlineStr">
        <is>
          <t>Yao CY C Chen</t>
        </is>
      </c>
      <c r="T1" s="0" t="n">
        <v>0</v>
      </c>
      <c r="U1" s="0" t="n">
        <v>1753077659548</v>
      </c>
      <c r="V1" s="0" t="inlineStr">
        <is>
          <t>9QKVRYJWFZ38Q15SSC9F8R37HJH3965E74F5R92CN1PGMMZQECQ0</t>
        </is>
      </c>
      <c r="W1" s="0" t="inlineStr">
        <is>
          <t>Dan Y Yao</t>
        </is>
      </c>
      <c r="X1" s="0" t="n">
        <v>0</v>
      </c>
      <c r="Y1" s="0" t="n">
        <v>1753261287755</v>
      </c>
      <c r="Z1" s="0" t="inlineStr">
        <is>
          <t>27MRN2CY230YGQCH5SHPY9FGVAKPSVTQCEV49DCFDFF8H9XCQEK0</t>
        </is>
      </c>
      <c r="AA1" s="0" t="inlineStr">
        <is>
          <t>Tian T Ma</t>
        </is>
      </c>
      <c r="AB1" s="0" t="n">
        <v>0</v>
      </c>
      <c r="AC1" s="0" t="n">
        <v>1753327234296</v>
      </c>
      <c r="AD1" s="0" t="inlineStr">
        <is>
          <t>NJCBKWVS3J4F3HCA2MJBBCQ6HKD0ZSBEP3AX4S89TK4M9EY3DH60</t>
        </is>
      </c>
      <c r="AE1" s="0" t="inlineStr">
        <is>
          <t>Phoebe YH Wang</t>
        </is>
      </c>
      <c r="AF1" s="0" t="n">
        <v>0</v>
      </c>
      <c r="AG1" s="0" t="n">
        <v>1753521120283</v>
      </c>
      <c r="AH1" s="0" t="inlineStr">
        <is>
          <t>0NH4V0JHYJAK9FNS2C3A0N364JCC7PKKF342WDR5FWZZYXJHKXA0</t>
        </is>
      </c>
      <c r="AI1" s="0" t="inlineStr">
        <is>
          <t>Trista CF Li</t>
        </is>
      </c>
      <c r="AJ1" s="0" t="n">
        <v>0</v>
      </c>
      <c r="AK1" s="0" t="n">
        <v>1753770431523</v>
      </c>
      <c r="AL1" s="0" t="inlineStr">
        <is>
          <t>T5WMV5MGJB59WZ0K302MPWMWM5G98C28W9B39WCZBPJXG5847NB0</t>
        </is>
      </c>
      <c r="AM1" s="0" t="inlineStr">
        <is>
          <t>Grace YT Dai</t>
        </is>
      </c>
      <c r="AN1" s="0" t="n">
        <v>0</v>
      </c>
      <c r="AO1" s="0" t="n">
        <v>1754012994953</v>
      </c>
      <c r="AP1" s="0" t="inlineStr">
        <is>
          <t>Q775XYNM7JGDVAMWSN3NR5KKNQM5NY4YPDM7W5EXVBGM3AB475NG</t>
        </is>
      </c>
      <c r="AQ1" s="0" t="inlineStr">
        <is>
          <t>Maikey Jin</t>
        </is>
      </c>
      <c r="AR1" s="0" t="n">
        <v>0</v>
      </c>
      <c r="AS1" s="0" t="n">
        <v>1754359855643</v>
      </c>
      <c r="AT1" s="0" t="inlineStr">
        <is>
          <t>MQFDQD6SPH3FMJP2N0PQQ3N4PZ6XNH4T373A7HWSDE5TZ4A7V1DG</t>
        </is>
      </c>
      <c r="AU1" s="0" t="inlineStr">
        <is>
          <t>Zelda Zhang</t>
        </is>
      </c>
      <c r="AV1" s="0" t="n">
        <v>0</v>
      </c>
      <c r="AW1" s="0" t="n">
        <v>1754466118503</v>
      </c>
      <c r="AX1" s="0" t="inlineStr">
        <is>
          <t>8X7PYVP8C2C8T1HKPQQ1PKFG36HNJ659HK0KPRNFKDH93TMYMDE0</t>
        </is>
      </c>
      <c r="AY1" s="0" t="inlineStr">
        <is>
          <t>Xiao Yu Q Quan</t>
        </is>
      </c>
      <c r="AZ1" s="0" t="n">
        <v>0</v>
      </c>
      <c r="BA1" s="0" t="n">
        <v>1754550754951</v>
      </c>
      <c r="BB1" s="0" t="inlineStr">
        <is>
          <t>EK1VPTZQYW1SK1ZCSSX1TFXSMTRW6EZZCSTEX1RCV91HG0PZA5VG</t>
        </is>
      </c>
      <c r="BC1" s="0" t="inlineStr">
        <is>
          <t>Emma JH He</t>
        </is>
      </c>
      <c r="BD1" s="0" t="n">
        <v>0</v>
      </c>
      <c r="BE1" s="0" t="n">
        <v>1754709799333</v>
      </c>
      <c r="BF1" s="0" t="inlineStr">
        <is>
          <t>N1FE23EA0HB4RD6ESRZ7MT3ECXZH00MXQ7GF84AR1B34JWH1CQMG</t>
        </is>
      </c>
      <c r="BG1" s="0" t="inlineStr">
        <is>
          <t>Ashley YT He</t>
        </is>
      </c>
      <c r="BH1" s="0" t="n">
        <v>0</v>
      </c>
      <c r="BI1" s="0" t="n">
        <v>1755076525699</v>
      </c>
      <c r="BJ1" s="0" t="inlineStr">
        <is>
          <t>1P2X1MX3XYWCZ8E2MX2Y07YGB3MV287QRPBD8BFP4A63CGJFS7B0</t>
        </is>
      </c>
      <c r="BK1" s="0" t="inlineStr">
        <is>
          <t>Evelyn Z Zhao</t>
        </is>
      </c>
      <c r="BL1" s="0" t="n">
        <v>0</v>
      </c>
      <c r="BM1" s="0" t="n">
        <v>1755243753142</v>
      </c>
      <c r="BN1" s="0" t="inlineStr">
        <is>
          <t>4Z823YQ6WWHKP2SQZKRFWA1MQC85C4TFW8ZXK53HW5GKX3JEZQ00</t>
        </is>
      </c>
      <c r="BO1" s="0" t="inlineStr">
        <is>
          <t>Nina XY Wang</t>
        </is>
      </c>
      <c r="BP1" s="0" t="n">
        <v>0</v>
      </c>
      <c r="BQ1" s="0" t="n">
        <v>1755761503365</v>
      </c>
      <c r="BR1" s="0" t="inlineStr">
        <is>
          <t>ESRXDMFF301213JT3ZH9F7ZDSK4QQHFF3A9ZCB0821P05Y900W90</t>
        </is>
      </c>
      <c r="BS1" s="0" t="inlineStr">
        <is>
          <t>Alina Ye</t>
        </is>
      </c>
      <c r="BT1" s="0" t="n">
        <v>0</v>
      </c>
      <c r="BU1" s="0" t="n">
        <v>1756273424871</v>
      </c>
      <c r="BV1" s="0" t="inlineStr">
        <is>
          <t>1JJHW2RA71BEV946RAW422BAFRW2GJRNFVYMYNDMNYRGVF7ER4E0</t>
        </is>
      </c>
      <c r="BW1" s="0" t="inlineStr">
        <is>
          <t>Summer CH Hu</t>
        </is>
      </c>
      <c r="BX1" s="0" t="n">
        <v>0</v>
      </c>
      <c r="BY1" s="0" t="n">
        <v>1756431653662</v>
      </c>
      <c r="BZ1" s="0" t="inlineStr">
        <is>
          <t>NCN9GVS7YB2ETCVN7MZBV9G447DJ76R2C78P4GRG46G7PJNY5X10</t>
        </is>
      </c>
      <c r="CA1" s="0" t="inlineStr">
        <is>
          <t>Ke Xin Fan</t>
        </is>
      </c>
      <c r="CB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428bcb0b-85f7-4c15-9140-3212e12d0e35</t>
        </is>
      </c>
      <c r="B1" s="0" t="inlineStr">
        <is>
          <t>EK1VPTZQYW1SK1ZCSSX1TFXSMTRW6EZZCSTEX1RCV91HG0PZA5VG</t>
        </is>
      </c>
      <c r="C1" s="0" t="inlineStr">
        <is>
          <t>Emma JH He</t>
        </is>
      </c>
      <c r="D1" s="0" t="n">
        <v>0</v>
      </c>
      <c r="E1" s="0" t="n">
        <v>1751464340332</v>
      </c>
      <c r="F1" s="0" t="inlineStr">
        <is>
          <t>P05SRP1JWHRBZSZJ6GRB81DBD3Q4W40RJFZ7YS60HXFQ91H292GG</t>
        </is>
      </c>
      <c r="G1" s="0" t="inlineStr">
        <is>
          <t>Johnny ZZ Zhang</t>
        </is>
      </c>
      <c r="H1" s="0" t="n">
        <v>0</v>
      </c>
      <c r="I1" s="0" t="n">
        <v>1751860621717</v>
      </c>
      <c r="J1" s="0" t="inlineStr">
        <is>
          <t>NR93MKF35EZT8NW1W2JRPKWHHB4VZTM96EX8FEVDTX6MGAD6996G</t>
        </is>
      </c>
      <c r="K1" s="0" t="inlineStr">
        <is>
          <t>Amanda Liang</t>
        </is>
      </c>
      <c r="L1" s="0" t="n">
        <v>0</v>
      </c>
      <c r="M1" s="0" t="n">
        <v>1752834134787</v>
      </c>
      <c r="N1" s="0" t="inlineStr">
        <is>
          <t>ZF1ETMEZC9QN6WPB23AEWKHPFR4F55CRNQ1D0B5WT7MED0ZKWWQG</t>
        </is>
      </c>
      <c r="O1" s="0" t="inlineStr">
        <is>
          <t>Amy LQ Chen</t>
        </is>
      </c>
      <c r="P1" s="0" t="n">
        <v>0</v>
      </c>
      <c r="Q1" s="0" t="n">
        <v>1753068567878</v>
      </c>
      <c r="R1" s="0" t="inlineStr">
        <is>
          <t>G8F8ENVNS6NVQW7T8WXX38NRT9C6F65ED0E0GS4RDRPHKPE6JYW0</t>
        </is>
      </c>
      <c r="S1" s="0" t="inlineStr">
        <is>
          <t>Yao CY C Chen</t>
        </is>
      </c>
      <c r="T1" s="0" t="n">
        <v>0</v>
      </c>
      <c r="U1" s="0" t="n">
        <v>1753077659559</v>
      </c>
      <c r="V1" s="0" t="inlineStr">
        <is>
          <t>9QKVRYJWFZ38Q15SSC9F8R37HJH3965E74F5R92CN1PGMMZQECQ0</t>
        </is>
      </c>
      <c r="W1" s="0" t="inlineStr">
        <is>
          <t>Dan Y Yao</t>
        </is>
      </c>
      <c r="X1" s="0" t="n">
        <v>0</v>
      </c>
      <c r="Y1" s="0" t="n">
        <v>1753261287771</v>
      </c>
      <c r="Z1" s="0" t="inlineStr">
        <is>
          <t>27MRN2CY230YGQCH5SHPY9FGVAKPSVTQCEV49DCFDFF8H9XCQEK0</t>
        </is>
      </c>
      <c r="AA1" s="0" t="inlineStr">
        <is>
          <t>Tian T Ma</t>
        </is>
      </c>
      <c r="AB1" s="0" t="n">
        <v>0</v>
      </c>
      <c r="AC1" s="0" t="n">
        <v>1753327234302</v>
      </c>
      <c r="AD1" s="0" t="inlineStr">
        <is>
          <t>NJCBKWVS3J4F3HCA2MJBBCQ6HKD0ZSBEP3AX4S89TK4M9EY3DH60</t>
        </is>
      </c>
      <c r="AE1" s="0" t="inlineStr">
        <is>
          <t>Phoebe YH Wang</t>
        </is>
      </c>
      <c r="AF1" s="0" t="n">
        <v>0</v>
      </c>
      <c r="AG1" s="0" t="n">
        <v>1753521120289</v>
      </c>
      <c r="AH1" s="0" t="inlineStr">
        <is>
          <t>0NH4V0JHYJAK9FNS2C3A0N364JCC7PKKF342WDR5FWZZYXJHKXA0</t>
        </is>
      </c>
      <c r="AI1" s="0" t="inlineStr">
        <is>
          <t>Trista CF Li</t>
        </is>
      </c>
      <c r="AJ1" s="0" t="n">
        <v>0</v>
      </c>
      <c r="AK1" s="0" t="n">
        <v>1753770431541</v>
      </c>
      <c r="AL1" s="0" t="inlineStr">
        <is>
          <t>T5WMV5MGJB59WZ0K302MPWMWM5G98C28W9B39WCZBPJXG5847NB0</t>
        </is>
      </c>
      <c r="AM1" s="0" t="inlineStr">
        <is>
          <t>Grace YT Dai</t>
        </is>
      </c>
      <c r="AN1" s="0" t="n">
        <v>0</v>
      </c>
      <c r="AO1" s="0" t="n">
        <v>1754012994970</v>
      </c>
      <c r="AP1" s="0" t="inlineStr">
        <is>
          <t>Q775XYNM7JGDVAMWSN3NR5KKNQM5NY4YPDM7W5EXVBGM3AB475NG</t>
        </is>
      </c>
      <c r="AQ1" s="0" t="inlineStr">
        <is>
          <t>Maikey Jin</t>
        </is>
      </c>
      <c r="AR1" s="0" t="n">
        <v>0</v>
      </c>
      <c r="AS1" s="0" t="n">
        <v>1754359855652</v>
      </c>
      <c r="AT1" s="0" t="inlineStr">
        <is>
          <t>MQFDQD6SPH3FMJP2N0PQQ3N4PZ6XNH4T373A7HWSDE5TZ4A7V1DG</t>
        </is>
      </c>
      <c r="AU1" s="0" t="inlineStr">
        <is>
          <t>Zelda Zhang</t>
        </is>
      </c>
      <c r="AV1" s="0" t="n">
        <v>0</v>
      </c>
      <c r="AW1" s="0" t="n">
        <v>1754466118551</v>
      </c>
      <c r="AX1" s="0" t="inlineStr">
        <is>
          <t>8X7PYVP8C2C8T1HKPQQ1PKFG36HNJ659HK0KPRNFKDH93TMYMDE0</t>
        </is>
      </c>
      <c r="AY1" s="0" t="inlineStr">
        <is>
          <t>Xiao Yu Q Quan</t>
        </is>
      </c>
      <c r="AZ1" s="0" t="n">
        <v>0</v>
      </c>
      <c r="BA1" s="0" t="n">
        <v>1754550754102</v>
      </c>
      <c r="BB1" s="0" t="inlineStr">
        <is>
          <t>EK1VPTZQYW1SK1ZCSSX1TFXSMTRW6EZZCSTEX1RCV91HG0PZA5VG</t>
        </is>
      </c>
      <c r="BC1" s="0" t="inlineStr">
        <is>
          <t>Emma JH He</t>
        </is>
      </c>
      <c r="BD1" s="0" t="n">
        <v>0</v>
      </c>
      <c r="BE1" s="0" t="n">
        <v>1754709799941</v>
      </c>
      <c r="BF1" s="0" t="inlineStr">
        <is>
          <t>N1FE23EA0HB4RD6ESRZ7MT3ECXZH00MXQ7GF84AR1B34JWH1CQMG</t>
        </is>
      </c>
      <c r="BG1" s="0" t="inlineStr">
        <is>
          <t>Ashley YT He</t>
        </is>
      </c>
      <c r="BH1" s="0" t="n">
        <v>0</v>
      </c>
      <c r="BI1" s="0" t="n">
        <v>1755076526111</v>
      </c>
      <c r="BJ1" s="0" t="inlineStr">
        <is>
          <t>1P2X1MX3XYWCZ8E2MX2Y07YGB3MV287QRPBD8BFP4A63CGJFS7B0</t>
        </is>
      </c>
      <c r="BK1" s="0" t="inlineStr">
        <is>
          <t>Evelyn Z Zhao</t>
        </is>
      </c>
      <c r="BL1" s="0" t="n">
        <v>0</v>
      </c>
      <c r="BM1" s="0" t="n">
        <v>1755243753257</v>
      </c>
      <c r="BN1" s="0" t="inlineStr">
        <is>
          <t>4Z823YQ6WWHKP2SQZKRFWA1MQC85C4TFW8ZXK53HW5GKX3JEZQ00</t>
        </is>
      </c>
      <c r="BO1" s="0" t="inlineStr">
        <is>
          <t>Nina XY Wang</t>
        </is>
      </c>
      <c r="BP1" s="0" t="n">
        <v>0</v>
      </c>
      <c r="BQ1" s="0" t="n">
        <v>1755761503383</v>
      </c>
      <c r="BR1" s="0" t="inlineStr">
        <is>
          <t>ESRXDMFF301213JT3ZH9F7ZDSK4QQHFF3A9ZCB0821P05Y900W90</t>
        </is>
      </c>
      <c r="BS1" s="0" t="inlineStr">
        <is>
          <t>Alina Ye</t>
        </is>
      </c>
      <c r="BT1" s="0" t="n">
        <v>0</v>
      </c>
      <c r="BU1" s="0" t="n">
        <v>1756273424897</v>
      </c>
      <c r="BV1" s="0" t="inlineStr">
        <is>
          <t>1JJHW2RA71BEV946RAW422BAFRW2GJRNFVYMYNDMNYRGVF7ER4E0</t>
        </is>
      </c>
      <c r="BW1" s="0" t="inlineStr">
        <is>
          <t>Summer CH Hu</t>
        </is>
      </c>
      <c r="BX1" s="0" t="n">
        <v>0</v>
      </c>
      <c r="BY1" s="0" t="n">
        <v>1756431654263</v>
      </c>
      <c r="BZ1" s="0" t="inlineStr">
        <is>
          <t>NCN9GVS7YB2ETCVN7MZBV9G447DJ76R2C78P4GRG46G7PJNY5X10</t>
        </is>
      </c>
      <c r="CA1" s="0" t="inlineStr">
        <is>
          <t>Ke Xin Fan</t>
        </is>
      </c>
      <c r="CB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2387cfac-66ac-4135-8e2c-260239fd35f7</t>
        </is>
      </c>
      <c r="B1" s="0" t="inlineStr">
        <is>
          <t>EK1VPTZQYW1SK1ZCSSX1TFXSMTRW6EZZCSTEX1RCV91HG0PZA5VG</t>
        </is>
      </c>
      <c r="C1" s="0" t="inlineStr">
        <is>
          <t>Emma JH He</t>
        </is>
      </c>
      <c r="D1" s="0" t="n">
        <v>0</v>
      </c>
      <c r="E1" s="0" t="n">
        <v>1751464340337</v>
      </c>
      <c r="F1" s="0" t="inlineStr">
        <is>
          <t>P05SRP1JWHRBZSZJ6GRB81DBD3Q4W40RJFZ7YS60HXFQ91H292GG</t>
        </is>
      </c>
      <c r="G1" s="0" t="inlineStr">
        <is>
          <t>Johnny ZZ Zhang</t>
        </is>
      </c>
      <c r="H1" s="0" t="n">
        <v>0</v>
      </c>
      <c r="I1" s="0" t="n">
        <v>1751860621724</v>
      </c>
      <c r="J1" s="0" t="inlineStr">
        <is>
          <t>NR93MKF35EZT8NW1W2JRPKWHHB4VZTM96EX8FEVDTX6MGAD6996G</t>
        </is>
      </c>
      <c r="K1" s="0" t="inlineStr">
        <is>
          <t>Amanda Liang</t>
        </is>
      </c>
      <c r="L1" s="0" t="n">
        <v>0</v>
      </c>
      <c r="M1" s="0" t="n">
        <v>1752834134844</v>
      </c>
      <c r="N1" s="0" t="inlineStr">
        <is>
          <t>ZF1ETMEZC9QN6WPB23AEWKHPFR4F55CRNQ1D0B5WT7MED0ZKWWQG</t>
        </is>
      </c>
      <c r="O1" s="0" t="inlineStr">
        <is>
          <t>Amy LQ Chen</t>
        </is>
      </c>
      <c r="P1" s="0" t="n">
        <v>0</v>
      </c>
      <c r="Q1" s="0" t="n">
        <v>1753068567895</v>
      </c>
      <c r="R1" s="0" t="inlineStr">
        <is>
          <t>G8F8ENVNS6NVQW7T8WXX38NRT9C6F65ED0E0GS4RDRPHKPE6JYW0</t>
        </is>
      </c>
      <c r="S1" s="0" t="inlineStr">
        <is>
          <t>Yao CY C Chen</t>
        </is>
      </c>
      <c r="T1" s="0" t="n">
        <v>0</v>
      </c>
      <c r="U1" s="0" t="n">
        <v>1753077659566</v>
      </c>
      <c r="V1" s="0" t="inlineStr">
        <is>
          <t>9QKVRYJWFZ38Q15SSC9F8R37HJH3965E74F5R92CN1PGMMZQECQ0</t>
        </is>
      </c>
      <c r="W1" s="0" t="inlineStr">
        <is>
          <t>Dan Y Yao</t>
        </is>
      </c>
      <c r="X1" s="0" t="n">
        <v>0</v>
      </c>
      <c r="Y1" s="0" t="n">
        <v>1753261287783</v>
      </c>
      <c r="Z1" s="0" t="inlineStr">
        <is>
          <t>27MRN2CY230YGQCH5SHPY9FGVAKPSVTQCEV49DCFDFF8H9XCQEK0</t>
        </is>
      </c>
      <c r="AA1" s="0" t="inlineStr">
        <is>
          <t>Tian T Ma</t>
        </is>
      </c>
      <c r="AB1" s="0" t="n">
        <v>0</v>
      </c>
      <c r="AC1" s="0" t="n">
        <v>1753327234307</v>
      </c>
      <c r="AD1" s="0" t="inlineStr">
        <is>
          <t>NJCBKWVS3J4F3HCA2MJBBCQ6HKD0ZSBEP3AX4S89TK4M9EY3DH60</t>
        </is>
      </c>
      <c r="AE1" s="0" t="inlineStr">
        <is>
          <t>Phoebe YH Wang</t>
        </is>
      </c>
      <c r="AF1" s="0" t="n">
        <v>0</v>
      </c>
      <c r="AG1" s="0" t="n">
        <v>1753521120298</v>
      </c>
      <c r="AH1" s="0" t="inlineStr">
        <is>
          <t>0NH4V0JHYJAK9FNS2C3A0N364JCC7PKKF342WDR5FWZZYXJHKXA0</t>
        </is>
      </c>
      <c r="AI1" s="0" t="inlineStr">
        <is>
          <t>Trista CF Li</t>
        </is>
      </c>
      <c r="AJ1" s="0" t="n">
        <v>0</v>
      </c>
      <c r="AK1" s="0" t="n">
        <v>1753770431552</v>
      </c>
      <c r="AL1" s="0" t="inlineStr">
        <is>
          <t>T5WMV5MGJB59WZ0K302MPWMWM5G98C28W9B39WCZBPJXG5847NB0</t>
        </is>
      </c>
      <c r="AM1" s="0" t="inlineStr">
        <is>
          <t>Grace YT Dai</t>
        </is>
      </c>
      <c r="AN1" s="0" t="n">
        <v>0</v>
      </c>
      <c r="AO1" s="0" t="n">
        <v>1754012994982</v>
      </c>
      <c r="AP1" s="0" t="inlineStr">
        <is>
          <t>Q775XYNM7JGDVAMWSN3NR5KKNQM5NY4YPDM7W5EXVBGM3AB475NG</t>
        </is>
      </c>
      <c r="AQ1" s="0" t="inlineStr">
        <is>
          <t>Maikey Jin</t>
        </is>
      </c>
      <c r="AR1" s="0" t="n">
        <v>0</v>
      </c>
      <c r="AS1" s="0" t="n">
        <v>1754359855678</v>
      </c>
      <c r="AT1" s="0" t="inlineStr">
        <is>
          <t>MQFDQD6SPH3FMJP2N0PQQ3N4PZ6XNH4T373A7HWSDE5TZ4A7V1DG</t>
        </is>
      </c>
      <c r="AU1" s="0" t="inlineStr">
        <is>
          <t>Zelda Zhang</t>
        </is>
      </c>
      <c r="AV1" s="0" t="n">
        <v>0</v>
      </c>
      <c r="AW1" s="0" t="n">
        <v>1754466118600</v>
      </c>
      <c r="AX1" s="0" t="inlineStr">
        <is>
          <t>8X7PYVP8C2C8T1HKPQQ1PKFG36HNJ659HK0KPRNFKDH93TMYMDE0</t>
        </is>
      </c>
      <c r="AY1" s="0" t="inlineStr">
        <is>
          <t>Xiao Yu Q Quan</t>
        </is>
      </c>
      <c r="AZ1" s="0" t="n">
        <v>0</v>
      </c>
      <c r="BA1" s="0" t="n">
        <v>1754550755287</v>
      </c>
      <c r="BB1" s="0" t="inlineStr">
        <is>
          <t>EK1VPTZQYW1SK1ZCSSX1TFXSMTRW6EZZCSTEX1RCV91HG0PZA5VG</t>
        </is>
      </c>
      <c r="BC1" s="0" t="inlineStr">
        <is>
          <t>Emma JH He</t>
        </is>
      </c>
      <c r="BD1" s="0" t="n">
        <v>0</v>
      </c>
      <c r="BE1" s="0" t="n">
        <v>1754709799951</v>
      </c>
      <c r="BF1" s="0" t="inlineStr">
        <is>
          <t>N1FE23EA0HB4RD6ESRZ7MT3ECXZH00MXQ7GF84AR1B34JWH1CQMG</t>
        </is>
      </c>
      <c r="BG1" s="0" t="inlineStr">
        <is>
          <t>Ashley YT He</t>
        </is>
      </c>
      <c r="BH1" s="0" t="n">
        <v>0</v>
      </c>
      <c r="BI1" s="0" t="n">
        <v>1755076526124</v>
      </c>
      <c r="BJ1" s="0" t="inlineStr">
        <is>
          <t>1P2X1MX3XYWCZ8E2MX2Y07YGB3MV287QRPBD8BFP4A63CGJFS7B0</t>
        </is>
      </c>
      <c r="BK1" s="0" t="inlineStr">
        <is>
          <t>Evelyn Z Zhao</t>
        </is>
      </c>
      <c r="BL1" s="0" t="n">
        <v>0</v>
      </c>
      <c r="BM1" s="0" t="n">
        <v>1755243753321</v>
      </c>
      <c r="BN1" s="0" t="inlineStr">
        <is>
          <t>4Z823YQ6WWHKP2SQZKRFWA1MQC85C4TFW8ZXK53HW5GKX3JEZQ00</t>
        </is>
      </c>
      <c r="BO1" s="0" t="inlineStr">
        <is>
          <t>Nina XY Wang</t>
        </is>
      </c>
      <c r="BP1" s="0" t="n">
        <v>0</v>
      </c>
      <c r="BQ1" s="0" t="n">
        <v>1755761503402</v>
      </c>
      <c r="BR1" s="0" t="inlineStr">
        <is>
          <t>ESRXDMFF301213JT3ZH9F7ZDSK4QQHFF3A9ZCB0821P05Y900W90</t>
        </is>
      </c>
      <c r="BS1" s="0" t="inlineStr">
        <is>
          <t>Alina Ye</t>
        </is>
      </c>
      <c r="BT1" s="0" t="n">
        <v>0</v>
      </c>
      <c r="BU1" s="0" t="n">
        <v>1756273424921</v>
      </c>
      <c r="BV1" s="0" t="inlineStr">
        <is>
          <t>1JJHW2RA71BEV946RAW422BAFRW2GJRNFVYMYNDMNYRGVF7ER4E0</t>
        </is>
      </c>
      <c r="BW1" s="0" t="inlineStr">
        <is>
          <t>Summer CH Hu</t>
        </is>
      </c>
      <c r="BX1" s="0" t="n">
        <v>0</v>
      </c>
      <c r="BY1" s="0" t="n">
        <v>1756431654276</v>
      </c>
      <c r="BZ1" s="0" t="inlineStr">
        <is>
          <t>NCN9GVS7YB2ETCVN7MZBV9G447DJ76R2C78P4GRG46G7PJNY5X10</t>
        </is>
      </c>
      <c r="CA1" s="0" t="inlineStr">
        <is>
          <t>Ke Xin Fan</t>
        </is>
      </c>
      <c r="CB1" s="0" t="n">
        <v>0</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21"/>
  <sheetViews>
    <sheetView showGridLines="0" zoomScale="70" zoomScaleNormal="70" zoomScaleSheetLayoutView="90" workbookViewId="0">
      <selection activeCell="E32" sqref="E32"/>
    </sheetView>
  </sheetViews>
  <sheetFormatPr baseColWidth="8" defaultColWidth="9.25" defaultRowHeight="15" customHeight="1"/>
  <cols>
    <col width="2.625" customWidth="1" style="140" min="1" max="1"/>
    <col width="22.25" customWidth="1" style="145" min="2" max="3"/>
    <col width="22.25" customWidth="1" style="128" min="4" max="4"/>
    <col width="23.625" customWidth="1" style="128" min="5" max="5"/>
    <col width="32.875" customWidth="1" style="128" min="6" max="6"/>
    <col width="33" customWidth="1" style="128" min="7" max="7"/>
    <col width="2.625" customWidth="1" style="128" min="8" max="8"/>
    <col width="1.625" customWidth="1" style="128" min="9" max="9"/>
    <col width="9.25" customWidth="1" style="129" min="10" max="10"/>
    <col width="9.25" customWidth="1" style="128" min="11" max="16384"/>
  </cols>
  <sheetData>
    <row r="1" ht="50.1" customFormat="1" customHeight="1" s="118">
      <c r="A1" s="323" t="inlineStr">
        <is>
          <t>cd8846d7-01cb-4e39-99f2-dd3fb53a39f3</t>
        </is>
      </c>
      <c r="B1" s="317" t="inlineStr">
        <is>
          <t>标准工作底稿: C SWP 货币资金</t>
        </is>
      </c>
      <c r="C1" s="318" t="n"/>
      <c r="D1" s="319" t="n"/>
      <c r="E1" s="319" t="n"/>
      <c r="F1" s="319" t="n"/>
      <c r="G1" s="354" t="n"/>
      <c r="H1" s="463" t="n"/>
      <c r="I1" s="464" t="n"/>
    </row>
    <row r="2" ht="30" customFormat="1" customHeight="1" s="121">
      <c r="A2" s="119" t="n"/>
      <c r="B2" s="321" t="inlineStr">
        <is>
          <t>C.02a 外币测算</t>
        </is>
      </c>
      <c r="C2" s="322" t="n"/>
      <c r="D2" s="322" t="n"/>
      <c r="E2" s="322" t="n"/>
      <c r="F2" s="322" t="n"/>
      <c r="G2" s="355" t="n"/>
      <c r="H2" s="119" t="n"/>
      <c r="I2" s="120" t="n"/>
    </row>
    <row r="3" ht="12.75" customFormat="1" customHeight="1" s="118">
      <c r="A3" s="122" t="n"/>
      <c r="H3" s="123" t="n"/>
      <c r="I3" s="124" t="n"/>
    </row>
    <row r="4" ht="16.5" customFormat="1" customHeight="1" s="118">
      <c r="A4" s="122" t="n"/>
      <c r="B4" s="147" t="inlineStr">
        <is>
          <t>返回汇总页</t>
        </is>
      </c>
      <c r="H4" s="123" t="n"/>
      <c r="I4" s="124" t="n"/>
    </row>
    <row r="5" ht="12.75" customFormat="1" customHeight="1" s="118">
      <c r="A5" s="122" t="n"/>
      <c r="H5" s="123" t="n"/>
      <c r="I5" s="124" t="n"/>
    </row>
    <row r="6" ht="16.5" customFormat="1" customHeight="1" s="118">
      <c r="A6" s="122" t="n"/>
      <c r="B6" s="180" t="inlineStr">
        <is>
          <t>外币测算</t>
        </is>
      </c>
      <c r="C6" s="180" t="n"/>
      <c r="D6" s="181" t="n"/>
      <c r="E6" s="181" t="n"/>
      <c r="F6" s="181" t="n"/>
      <c r="G6" s="182" t="n"/>
      <c r="H6" s="122" t="n"/>
      <c r="I6" s="124" t="n"/>
    </row>
    <row r="7" ht="12.75" customFormat="1" customHeight="1" s="129">
      <c r="A7" s="125" t="n"/>
      <c r="C7" s="126" t="n"/>
      <c r="D7" s="43" t="n"/>
      <c r="E7" s="127" t="n"/>
      <c r="F7" s="127" t="n"/>
      <c r="G7" s="127" t="n"/>
      <c r="I7" s="124" t="n"/>
    </row>
    <row r="8" ht="16.5" customHeight="1" s="726">
      <c r="B8" s="522" t="inlineStr">
        <is>
          <t>原币币种</t>
        </is>
      </c>
      <c r="C8" s="523" t="inlineStr">
        <is>
          <t>原币金额</t>
        </is>
      </c>
      <c r="D8" s="523" t="inlineStr">
        <is>
          <t>折算汇率</t>
        </is>
      </c>
      <c r="E8" s="523" t="inlineStr">
        <is>
          <t>折合本位币</t>
        </is>
      </c>
      <c r="F8" s="523" t="inlineStr">
        <is>
          <t>账面本位币金额</t>
        </is>
      </c>
      <c r="G8" s="524" t="inlineStr">
        <is>
          <t>差异</t>
        </is>
      </c>
      <c r="I8" s="124" t="n"/>
    </row>
    <row r="9" ht="12.75" customHeight="1" s="726">
      <c r="B9" s="862" t="inlineStr">
        <is>
          <t>USD</t>
        </is>
      </c>
      <c r="C9" s="863">
        <f>SUMIF('C.00 BKD'!F:F,'C.02a 外币测算'!B9,'C.00 BKD'!G:G)</f>
        <v/>
      </c>
      <c r="D9" s="864" t="n"/>
      <c r="E9" s="863">
        <f>C9*D9</f>
        <v/>
      </c>
      <c r="F9" s="863">
        <f>SUMIF('C.00 BKD'!F:F,'C.02a 外币测算'!B9,'C.00 BKD'!H:H)</f>
        <v/>
      </c>
      <c r="G9" s="865">
        <f>E9-F9</f>
        <v/>
      </c>
      <c r="I9" s="124" t="n"/>
    </row>
    <row r="10" ht="12.75" customHeight="1" s="726">
      <c r="B10" s="528" t="inlineStr">
        <is>
          <t>CNY</t>
        </is>
      </c>
      <c r="C10" s="863">
        <f>SUMIF('C.00 BKD'!F:F,'C.02a 外币测算'!B10,'C.00 BKD'!G:G)</f>
        <v/>
      </c>
      <c r="D10" s="864" t="n"/>
      <c r="E10" s="863">
        <f>C10*D10</f>
        <v/>
      </c>
      <c r="F10" s="863">
        <f>SUMIF('C.00 BKD'!F:F,'C.02a 外币测算'!B10,'C.00 BKD'!H:H)</f>
        <v/>
      </c>
      <c r="G10" s="865">
        <f>E10-F10</f>
        <v/>
      </c>
      <c r="I10" s="124" t="n"/>
    </row>
    <row r="11" ht="12.75" customHeight="1" s="726">
      <c r="B11" s="528" t="inlineStr">
        <is>
          <t>JPY</t>
        </is>
      </c>
      <c r="C11" s="863">
        <f>SUMIF('C.00 BKD'!F:F,'C.02a 外币测算'!B11,'C.00 BKD'!G:G)</f>
        <v/>
      </c>
      <c r="D11" s="864" t="n"/>
      <c r="E11" s="863">
        <f>C11*D11</f>
        <v/>
      </c>
      <c r="F11" s="863">
        <f>SUMIF('C.00 BKD'!F:F,'C.02a 外币测算'!B11,'C.00 BKD'!H:H)</f>
        <v/>
      </c>
      <c r="G11" s="865">
        <f>E11-F11</f>
        <v/>
      </c>
      <c r="I11" s="124" t="n"/>
    </row>
    <row r="12" ht="12.75" customHeight="1" s="726">
      <c r="B12" s="529" t="n"/>
      <c r="C12" s="866">
        <f>SUMIF('C.00 BKD'!F:F,'C.02a 外币测算'!B12,'C.00 BKD'!G:G)</f>
        <v/>
      </c>
      <c r="D12" s="867" t="n"/>
      <c r="E12" s="866">
        <f>C12*D12</f>
        <v/>
      </c>
      <c r="F12" s="866">
        <f>SUMIF('C.00 BKD'!F:F,'C.02a 外币测算'!B12,'C.00 BKD'!H:H)</f>
        <v/>
      </c>
      <c r="G12" s="868">
        <f>E12-F12</f>
        <v/>
      </c>
      <c r="I12" s="124" t="n"/>
    </row>
    <row r="13" ht="17.25" customHeight="1" s="726" thickBot="1">
      <c r="B13" s="45" t="n"/>
      <c r="C13" s="45" t="n"/>
      <c r="D13" s="45" t="n"/>
      <c r="E13" s="45" t="n"/>
      <c r="F13" s="45" t="inlineStr">
        <is>
          <t>合计</t>
        </is>
      </c>
      <c r="G13" s="869">
        <f>SUM(G9:G12)</f>
        <v/>
      </c>
      <c r="I13" s="124" t="n"/>
    </row>
    <row r="14" ht="13.5" customHeight="1" s="726" thickTop="1">
      <c r="B14" s="45" t="n"/>
      <c r="C14" s="45" t="n"/>
      <c r="D14" s="45" t="n"/>
      <c r="E14" s="45" t="n"/>
      <c r="F14" s="45" t="n"/>
      <c r="G14" s="792" t="inlineStr">
        <is>
          <t>RX</t>
        </is>
      </c>
      <c r="I14" s="124" t="n"/>
    </row>
    <row r="15" ht="12.75" customHeight="1" s="726">
      <c r="B15" s="45" t="n"/>
      <c r="C15" s="45" t="n"/>
      <c r="D15" s="45" t="n"/>
      <c r="E15" s="45" t="n"/>
      <c r="F15" s="45" t="n"/>
      <c r="G15" s="45" t="n"/>
      <c r="I15" s="124" t="n"/>
    </row>
    <row r="16" ht="16.5" customHeight="1" s="726">
      <c r="B16" s="142" t="inlineStr">
        <is>
          <t>Notes 我们记录了所使用的资产负债表日汇率来源：[添加资产负债表日汇率公告]</t>
        </is>
      </c>
      <c r="C16" s="142" t="n"/>
      <c r="G16" s="45" t="n"/>
      <c r="I16" s="124" t="n"/>
    </row>
    <row r="17" ht="12.75" customHeight="1" s="726">
      <c r="B17" s="820" t="n"/>
      <c r="C17" s="731" t="n"/>
      <c r="D17" s="731" t="n"/>
      <c r="E17" s="731" t="n"/>
      <c r="F17" s="732" t="n"/>
      <c r="G17" s="45" t="n"/>
      <c r="I17" s="124" t="n"/>
    </row>
    <row r="18" ht="12.75" customHeight="1" s="726">
      <c r="B18" s="766" t="n"/>
      <c r="F18" s="767" t="n"/>
      <c r="G18" s="45" t="n"/>
      <c r="I18" s="124" t="n"/>
    </row>
    <row r="19" ht="12.75" customHeight="1" s="726">
      <c r="B19" s="734" t="n"/>
      <c r="C19" s="735" t="n"/>
      <c r="D19" s="735" t="n"/>
      <c r="E19" s="735" t="n"/>
      <c r="F19" s="736" t="n"/>
      <c r="G19" s="45" t="n"/>
      <c r="I19" s="124" t="n"/>
    </row>
    <row r="20" ht="15" customHeight="1" s="726">
      <c r="I20" s="124" t="n"/>
    </row>
    <row r="21" ht="7.5" customHeight="1" s="726">
      <c r="A21" s="124" t="n"/>
      <c r="B21" s="124" t="n"/>
      <c r="C21" s="124" t="n"/>
      <c r="D21" s="124" t="n"/>
      <c r="E21" s="124" t="n"/>
      <c r="F21" s="124" t="n"/>
      <c r="G21" s="124" t="n"/>
      <c r="H21" s="124" t="n"/>
      <c r="I21" s="124" t="n"/>
    </row>
  </sheetData>
  <mergeCells count="1">
    <mergeCell ref="B17:F19"/>
  </mergeCells>
  <conditionalFormatting sqref="B17">
    <cfRule type="containsBlanks" priority="2" dxfId="0">
      <formula>LEN(TRIM(B17))=0</formula>
    </cfRule>
  </conditionalFormatting>
  <conditionalFormatting sqref="B9:D12 F9:F12">
    <cfRule type="containsBlanks" priority="1" dxfId="0">
      <formula>LEN(TRIM(B9))=0</formula>
    </cfRule>
  </conditionalFormatting>
  <hyperlinks>
    <hyperlink ref="B4" location="汇总!A1" display="返回汇总页"/>
  </hyperlinks>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S51"/>
  <sheetViews>
    <sheetView showGridLines="0" zoomScale="70" zoomScaleNormal="70" workbookViewId="0">
      <selection activeCell="G13" sqref="G13"/>
    </sheetView>
  </sheetViews>
  <sheetFormatPr baseColWidth="8" defaultColWidth="8.25" defaultRowHeight="15"/>
  <cols>
    <col width="2.625" customWidth="1" style="2" min="1" max="1"/>
    <col width="17.75" customWidth="1" style="3" min="2" max="15"/>
    <col width="7.25" bestFit="1" customWidth="1" style="3" min="16" max="16"/>
    <col width="2.625" customWidth="1" style="3" min="17" max="17"/>
    <col width="1.625" customWidth="1" style="3" min="18" max="18"/>
    <col width="8.25" customWidth="1" style="3" min="19" max="16384"/>
  </cols>
  <sheetData>
    <row r="1" ht="50.1" customFormat="1" customHeight="1" s="1">
      <c r="A1" s="243" t="inlineStr">
        <is>
          <t>3b806d45-7e94-48de-97e2-2cdb473926b5</t>
        </is>
      </c>
      <c r="B1" s="423" t="inlineStr">
        <is>
          <t>标准工作底稿: C SWP 货币资金</t>
        </is>
      </c>
      <c r="C1" s="424" t="n"/>
      <c r="D1" s="425" t="n"/>
      <c r="E1" s="425" t="n"/>
      <c r="F1" s="425" t="n"/>
      <c r="G1" s="425" t="n"/>
      <c r="H1" s="425" t="n"/>
      <c r="I1" s="425" t="n"/>
      <c r="J1" s="425" t="n"/>
      <c r="K1" s="426" t="n"/>
      <c r="L1" s="425" t="n"/>
      <c r="M1" s="425" t="n"/>
      <c r="N1" s="425" t="n"/>
      <c r="O1" s="425" t="n"/>
      <c r="P1" s="303" t="n"/>
      <c r="Q1" s="463" t="n"/>
      <c r="R1" s="464" t="n"/>
      <c r="S1" s="463" t="n"/>
    </row>
    <row r="2" ht="30" customFormat="1" customHeight="1" s="1">
      <c r="A2" s="6" t="n"/>
      <c r="B2" s="235" t="inlineStr">
        <is>
          <t>C.03 执行截止性测试</t>
        </is>
      </c>
      <c r="C2" s="7" t="n"/>
      <c r="D2" s="7" t="n"/>
      <c r="E2" s="7" t="n"/>
      <c r="F2" s="7" t="n"/>
      <c r="G2" s="7" t="n"/>
      <c r="H2" s="7" t="n"/>
      <c r="I2" s="7" t="n"/>
      <c r="J2" s="7" t="n"/>
      <c r="K2" s="7" t="n"/>
      <c r="L2" s="7" t="n"/>
      <c r="M2" s="7" t="n"/>
      <c r="N2" s="7" t="n"/>
      <c r="O2" s="7" t="n"/>
      <c r="P2" s="22" t="n"/>
      <c r="Q2" s="6" t="n"/>
      <c r="R2" s="464" t="n"/>
    </row>
    <row r="3" ht="14.25" customHeight="1" s="726">
      <c r="A3" s="8" t="n"/>
      <c r="B3" s="9" t="n"/>
      <c r="C3" s="9" t="n"/>
      <c r="D3" s="9" t="n"/>
      <c r="E3" s="9" t="n"/>
      <c r="F3" s="9" t="n"/>
      <c r="G3" s="9" t="n"/>
      <c r="H3" s="9" t="n"/>
      <c r="I3" s="9" t="n"/>
      <c r="J3" s="9" t="n"/>
      <c r="K3" s="9" t="n"/>
      <c r="L3" s="9" t="n"/>
      <c r="M3" s="9" t="n"/>
      <c r="N3" s="9" t="n"/>
      <c r="O3" s="9" t="n"/>
      <c r="P3" s="6" t="n"/>
      <c r="Q3" s="6" t="n"/>
      <c r="R3" s="464" t="n"/>
    </row>
    <row r="4" ht="16.5" customHeight="1" s="726">
      <c r="A4" s="8" t="n"/>
      <c r="B4" s="147" t="inlineStr">
        <is>
          <t>返回汇总页</t>
        </is>
      </c>
      <c r="C4" s="9" t="n"/>
      <c r="D4" s="9" t="n"/>
      <c r="E4" s="9" t="n"/>
      <c r="F4" s="9" t="n"/>
      <c r="G4" s="9" t="n"/>
      <c r="H4" s="9" t="n"/>
      <c r="I4" s="9" t="n"/>
      <c r="J4" s="9" t="n"/>
      <c r="K4" s="9" t="n"/>
      <c r="L4" s="9" t="n"/>
      <c r="M4" s="9" t="n"/>
      <c r="N4" s="9" t="n"/>
      <c r="O4" s="9" t="n"/>
      <c r="P4" s="6" t="n"/>
      <c r="Q4" s="6" t="n"/>
      <c r="R4" s="464" t="n"/>
    </row>
    <row r="5" ht="14.25" customHeight="1" s="726">
      <c r="A5" s="8" t="n"/>
      <c r="B5" s="9" t="n"/>
      <c r="C5" s="9" t="n"/>
      <c r="D5" s="9" t="n"/>
      <c r="E5" s="9" t="n"/>
      <c r="F5" s="9" t="n"/>
      <c r="G5" s="9" t="n"/>
      <c r="H5" s="9" t="n"/>
      <c r="I5" s="9" t="n"/>
      <c r="J5" s="9" t="n"/>
      <c r="K5" s="9" t="n"/>
      <c r="L5" s="9" t="n"/>
      <c r="M5" s="9" t="n"/>
      <c r="N5" s="9" t="n"/>
      <c r="O5" s="9" t="n"/>
      <c r="P5" s="6" t="n"/>
      <c r="Q5" s="6" t="n"/>
      <c r="R5" s="464" t="n"/>
    </row>
    <row r="6" ht="16.5" customHeight="1" s="726">
      <c r="A6" s="10" t="n"/>
      <c r="B6" s="11" t="inlineStr">
        <is>
          <t>表1.1 确定银行间转账测试的测试阈值和截止期间</t>
        </is>
      </c>
      <c r="C6" s="12" t="n"/>
      <c r="D6" s="12" t="n"/>
      <c r="E6" s="12" t="n"/>
      <c r="F6" s="12" t="n"/>
      <c r="G6" s="12" t="n"/>
      <c r="H6" s="12" t="n"/>
      <c r="I6" s="12" t="n"/>
      <c r="J6" s="12" t="n"/>
      <c r="K6" s="12" t="n"/>
      <c r="L6" s="12" t="n"/>
      <c r="M6" s="12" t="n"/>
      <c r="N6" s="12" t="n"/>
      <c r="O6" s="12" t="n"/>
      <c r="P6" s="6" t="n"/>
      <c r="Q6" s="6" t="n"/>
      <c r="R6" s="464" t="n"/>
    </row>
    <row r="7" ht="16.5" customHeight="1" s="726">
      <c r="A7" s="10" t="n"/>
      <c r="B7" s="870">
        <f>MIN('C.00 Lead'!$D$15,'C.00 Lead'!$D$16)</f>
        <v/>
      </c>
      <c r="C7" s="207" t="inlineStr">
        <is>
          <t>用于识别和测试银行转帐的测试阈值</t>
        </is>
      </c>
      <c r="D7" s="208" t="n"/>
      <c r="E7" s="12" t="n"/>
      <c r="F7" s="12" t="n"/>
      <c r="G7" s="12" t="n"/>
      <c r="H7" s="12" t="n"/>
      <c r="I7" s="12" t="n"/>
      <c r="J7" s="12" t="n"/>
      <c r="K7" s="12" t="n"/>
      <c r="L7" s="12" t="n"/>
      <c r="M7" s="12" t="n"/>
      <c r="N7" s="12" t="n"/>
      <c r="O7" s="12" t="n"/>
      <c r="P7" s="6" t="n"/>
      <c r="Q7" s="6" t="n"/>
      <c r="R7" s="464" t="n"/>
    </row>
    <row r="8" ht="14.25" customHeight="1" s="726">
      <c r="A8" s="10" t="n"/>
      <c r="B8" s="575" t="n"/>
      <c r="C8" s="722" t="inlineStr">
        <is>
          <t>使用的截止期间</t>
        </is>
      </c>
      <c r="D8" s="871" t="n"/>
      <c r="E8" s="12" t="n"/>
      <c r="F8" s="12" t="n"/>
      <c r="G8" s="12" t="n"/>
      <c r="H8" s="12" t="n"/>
      <c r="I8" s="12" t="n"/>
      <c r="J8" s="12" t="n"/>
      <c r="K8" s="12" t="n"/>
      <c r="L8" s="12" t="n"/>
      <c r="M8" s="12" t="n"/>
      <c r="N8" s="12" t="n"/>
      <c r="O8" s="12" t="n"/>
      <c r="P8" s="6" t="n"/>
      <c r="Q8" s="6" t="n"/>
      <c r="R8" s="464" t="n"/>
    </row>
    <row r="9" ht="14.25" customHeight="1" s="726">
      <c r="A9" s="10" t="n"/>
      <c r="B9" s="13" t="n"/>
      <c r="C9" s="13" t="n"/>
      <c r="D9" s="14" t="n"/>
      <c r="E9" s="12" t="n"/>
      <c r="F9" s="12" t="n"/>
      <c r="G9" s="12" t="n"/>
      <c r="H9" s="12" t="n"/>
      <c r="I9" s="12" t="n"/>
      <c r="J9" s="12" t="n"/>
      <c r="K9" s="12" t="n"/>
      <c r="L9" s="12" t="n"/>
      <c r="M9" s="12" t="n"/>
      <c r="N9" s="12" t="n"/>
      <c r="O9" s="12" t="n"/>
      <c r="P9" s="6" t="n"/>
      <c r="Q9" s="6" t="n"/>
      <c r="R9" s="464" t="n"/>
    </row>
    <row r="10" ht="16.5" customHeight="1" s="726">
      <c r="A10" s="10" t="n"/>
      <c r="B10" s="42" t="inlineStr">
        <is>
          <t>在下文中描述所使用截止期间的理由以及我们识别被认为异常或意料之外的银行转账的依据：</t>
        </is>
      </c>
      <c r="E10" s="12" t="n"/>
      <c r="F10" s="9" t="n"/>
      <c r="G10" s="12" t="n"/>
      <c r="H10" s="12" t="n"/>
      <c r="I10" s="12" t="n"/>
      <c r="J10" s="12" t="n"/>
      <c r="K10" s="12" t="n"/>
      <c r="L10" s="12" t="n"/>
      <c r="M10" s="12" t="n"/>
      <c r="N10" s="12" t="n"/>
      <c r="O10" s="12" t="n"/>
      <c r="P10" s="6" t="n"/>
      <c r="Q10" s="6" t="n"/>
      <c r="R10" s="464" t="n"/>
    </row>
    <row r="11" ht="14.25" customHeight="1" s="726">
      <c r="A11" s="10" t="n"/>
      <c r="B11" s="842" t="n"/>
      <c r="C11" s="731" t="n"/>
      <c r="D11" s="731" t="n"/>
      <c r="E11" s="731" t="n"/>
      <c r="F11" s="732" t="n"/>
      <c r="G11" s="12" t="n"/>
      <c r="H11" s="12" t="n"/>
      <c r="I11" s="12" t="n"/>
      <c r="J11" s="12" t="n"/>
      <c r="K11" s="12" t="n"/>
      <c r="L11" s="12" t="n"/>
      <c r="M11" s="12" t="n"/>
      <c r="N11" s="12" t="n"/>
      <c r="O11" s="12" t="n"/>
      <c r="P11" s="6" t="n"/>
      <c r="Q11" s="6" t="n"/>
      <c r="R11" s="464" t="n"/>
    </row>
    <row r="12" ht="14.25" customHeight="1" s="726">
      <c r="A12" s="10" t="n"/>
      <c r="B12" s="766" t="n"/>
      <c r="F12" s="767" t="n"/>
      <c r="G12" s="12" t="n"/>
      <c r="H12" s="12" t="n"/>
      <c r="I12" s="12" t="n"/>
      <c r="J12" s="12" t="n"/>
      <c r="K12" s="12" t="n"/>
      <c r="L12" s="12" t="n"/>
      <c r="M12" s="12" t="n"/>
      <c r="N12" s="12" t="n"/>
      <c r="O12" s="12" t="n"/>
      <c r="P12" s="6" t="n"/>
      <c r="Q12" s="6" t="n"/>
      <c r="R12" s="464" t="n"/>
    </row>
    <row r="13" ht="14.25" customHeight="1" s="726">
      <c r="A13" s="10" t="n"/>
      <c r="B13" s="734" t="n"/>
      <c r="C13" s="735" t="n"/>
      <c r="D13" s="735" t="n"/>
      <c r="E13" s="735" t="n"/>
      <c r="F13" s="736" t="n"/>
      <c r="G13" s="12" t="n"/>
      <c r="H13" s="12" t="n"/>
      <c r="I13" s="12" t="n"/>
      <c r="J13" s="12" t="n"/>
      <c r="K13" s="12" t="n"/>
      <c r="L13" s="12" t="n"/>
      <c r="M13" s="12" t="n"/>
      <c r="N13" s="12" t="n"/>
      <c r="O13" s="12" t="n"/>
      <c r="P13" s="6" t="n"/>
      <c r="Q13" s="6" t="n"/>
      <c r="R13" s="464" t="n"/>
    </row>
    <row r="14" ht="14.25" customHeight="1" s="726">
      <c r="A14" s="15" t="n"/>
      <c r="B14" s="9" t="n"/>
      <c r="C14" s="9" t="n"/>
      <c r="D14" s="9" t="n"/>
      <c r="E14" s="9" t="n"/>
      <c r="F14" s="9" t="n"/>
      <c r="G14" s="9" t="n"/>
      <c r="H14" s="9" t="n"/>
      <c r="I14" s="9" t="n"/>
      <c r="J14" s="9" t="n"/>
      <c r="K14" s="9" t="n"/>
      <c r="L14" s="9" t="n"/>
      <c r="M14" s="9" t="n"/>
      <c r="N14" s="9" t="n"/>
      <c r="O14" s="9" t="n"/>
      <c r="P14" s="6" t="n"/>
      <c r="Q14" s="6" t="n"/>
      <c r="R14" s="464" t="n"/>
    </row>
    <row r="15" ht="15" customFormat="1" customHeight="1" s="1">
      <c r="A15" s="6" t="n"/>
      <c r="B15" s="37" t="inlineStr">
        <is>
          <t>表1.2 根据表1.1确定的测试期间和测试阈值，对抽取的样本执行以下程序。</t>
        </is>
      </c>
      <c r="C15" s="37" t="n"/>
      <c r="D15" s="37" t="n"/>
      <c r="F15" s="38" t="n"/>
      <c r="G15" s="38" t="n"/>
      <c r="H15" s="38" t="n"/>
      <c r="I15" s="38" t="n"/>
      <c r="J15" s="38" t="n"/>
      <c r="K15" s="38" t="n"/>
      <c r="L15" s="38" t="n"/>
      <c r="P15" s="6" t="n"/>
      <c r="Q15" s="6" t="n"/>
      <c r="R15" s="464" t="n"/>
    </row>
    <row r="16" ht="15" customFormat="1" customHeight="1" s="1">
      <c r="A16" s="6" t="n"/>
      <c r="B16" s="239" t="inlineStr">
        <is>
          <t>此程序涉及被审计单位，在适用函证测试范围内的银行账户，与被审计单位的另一个银行账户（不局限于适用函证测试的银行账户）之间的转账。</t>
        </is>
      </c>
      <c r="C16" s="37" t="n"/>
      <c r="D16" s="37" t="n"/>
      <c r="F16" s="38" t="n"/>
      <c r="G16" s="38" t="n"/>
      <c r="H16" s="38" t="n"/>
      <c r="I16" s="38" t="n"/>
      <c r="J16" s="38" t="n"/>
      <c r="K16" s="38" t="n"/>
      <c r="L16" s="38" t="n"/>
      <c r="P16" s="6" t="n"/>
      <c r="Q16" s="6" t="n"/>
      <c r="R16" s="464" t="n"/>
    </row>
    <row r="17" ht="14.25" customHeight="1" s="726">
      <c r="A17" s="16" t="n"/>
      <c r="C17" s="12" t="n"/>
      <c r="D17" s="17" t="n"/>
      <c r="E17" s="17" t="n"/>
      <c r="F17" s="17" t="n"/>
      <c r="H17" s="17" t="n"/>
      <c r="I17" s="17" t="n"/>
      <c r="J17" s="17" t="n"/>
      <c r="K17" s="17" t="n"/>
      <c r="L17" s="17" t="n"/>
      <c r="M17" s="17" t="n"/>
      <c r="N17" s="17" t="n"/>
      <c r="O17" s="17" t="n"/>
      <c r="P17" s="6" t="n"/>
      <c r="Q17" s="6" t="n"/>
      <c r="R17" s="464" t="n"/>
    </row>
    <row r="18" ht="16.5" customHeight="1" s="726">
      <c r="A18" s="16" t="n"/>
      <c r="B18" s="11" t="inlineStr">
        <is>
          <t>期末前银行间转账测试：</t>
        </is>
      </c>
      <c r="C18" s="19" t="n"/>
      <c r="D18" s="19" t="n"/>
      <c r="E18" s="19" t="n"/>
      <c r="F18" s="20" t="n"/>
      <c r="G18" s="17" t="n"/>
      <c r="H18" s="17" t="n"/>
      <c r="I18" s="20" t="n"/>
      <c r="J18" s="18" t="n"/>
      <c r="K18" s="18" t="n"/>
      <c r="L18" s="18" t="n"/>
      <c r="M18" s="17" t="n"/>
      <c r="N18" s="17" t="n"/>
      <c r="O18" s="17" t="n"/>
      <c r="P18" s="6" t="n"/>
      <c r="Q18" s="6" t="n"/>
      <c r="R18" s="464" t="n"/>
    </row>
    <row r="19" ht="80.25" customHeight="1" s="726">
      <c r="A19" s="16" t="n"/>
      <c r="B19" s="209" t="inlineStr">
        <is>
          <t>样本编号</t>
        </is>
      </c>
      <c r="C19" s="210" t="inlineStr">
        <is>
          <t>公司名称</t>
        </is>
      </c>
      <c r="D19" s="210" t="inlineStr">
        <is>
          <t>银行名称</t>
        </is>
      </c>
      <c r="E19" s="210" t="inlineStr">
        <is>
          <t>银行账号</t>
        </is>
      </c>
      <c r="F19" s="210" t="inlineStr">
        <is>
          <t>收款/付款时间</t>
        </is>
      </c>
      <c r="G19" s="210" t="inlineStr">
        <is>
          <t>交易编号</t>
        </is>
      </c>
      <c r="H19" s="210" t="inlineStr">
        <is>
          <t>币种</t>
        </is>
      </c>
      <c r="I19" s="203" t="inlineStr">
        <is>
          <t>交易金额
(收款填列正数，付款填列负数）</t>
        </is>
      </c>
      <c r="J19" s="210" t="inlineStr">
        <is>
          <t>银行名称</t>
        </is>
      </c>
      <c r="K19" s="210" t="inlineStr">
        <is>
          <t>银行账号</t>
        </is>
      </c>
      <c r="L19" s="210" t="inlineStr">
        <is>
          <t>交易日期</t>
        </is>
      </c>
      <c r="M19" s="203" t="inlineStr">
        <is>
          <t>交易金额
(收款填列正数，付款填列负数）</t>
        </is>
      </c>
      <c r="N19" s="214" t="inlineStr">
        <is>
          <t>银行间转账如跨期
是否在余额调节表中体现</t>
        </is>
      </c>
      <c r="O19" s="213" t="inlineStr">
        <is>
          <t>备注</t>
        </is>
      </c>
      <c r="P19" s="23" t="inlineStr">
        <is>
          <t>Check</t>
        </is>
      </c>
      <c r="Q19" s="23" t="n"/>
      <c r="R19" s="464" t="n"/>
    </row>
    <row r="20" ht="14.25" customHeight="1" s="726">
      <c r="A20" s="16" t="n"/>
      <c r="B20" s="535" t="n"/>
      <c r="C20" s="343" t="n"/>
      <c r="D20" s="343" t="n"/>
      <c r="E20" s="540" t="n"/>
      <c r="F20" s="397" t="n"/>
      <c r="G20" s="343" t="n"/>
      <c r="H20" s="343" t="n"/>
      <c r="I20" s="872" t="n"/>
      <c r="J20" s="343" t="n"/>
      <c r="K20" s="540" t="n"/>
      <c r="L20" s="410" t="n"/>
      <c r="M20" s="872" t="n"/>
      <c r="N20" s="343" t="n"/>
      <c r="O20" s="538" t="n"/>
      <c r="P20" s="873">
        <f>M20+I20</f>
        <v/>
      </c>
      <c r="Q20" s="874" t="n"/>
      <c r="R20" s="464" t="n"/>
    </row>
    <row r="21" ht="14.25" customHeight="1" s="726">
      <c r="A21" s="16" t="n"/>
      <c r="B21" s="535" t="n"/>
      <c r="C21" s="343" t="n"/>
      <c r="D21" s="343" t="n"/>
      <c r="E21" s="540" t="n"/>
      <c r="F21" s="397" t="n"/>
      <c r="G21" s="343" t="n"/>
      <c r="H21" s="343" t="n"/>
      <c r="I21" s="872" t="n"/>
      <c r="J21" s="343" t="n"/>
      <c r="K21" s="540" t="n"/>
      <c r="L21" s="410" t="n"/>
      <c r="M21" s="872" t="n"/>
      <c r="N21" s="343" t="n"/>
      <c r="O21" s="538" t="n"/>
      <c r="P21" s="873">
        <f>M21+I21</f>
        <v/>
      </c>
      <c r="Q21" s="874" t="n"/>
      <c r="R21" s="464" t="n"/>
    </row>
    <row r="22" ht="14.25" customHeight="1" s="726">
      <c r="A22" s="16" t="n"/>
      <c r="B22" s="535" t="n"/>
      <c r="C22" s="343" t="n"/>
      <c r="D22" s="343" t="n"/>
      <c r="E22" s="540" t="n"/>
      <c r="F22" s="397" t="n"/>
      <c r="G22" s="343" t="n"/>
      <c r="H22" s="343" t="n"/>
      <c r="I22" s="872" t="n"/>
      <c r="J22" s="343" t="n"/>
      <c r="K22" s="540" t="n"/>
      <c r="L22" s="410" t="n"/>
      <c r="M22" s="872" t="n"/>
      <c r="N22" s="343" t="n"/>
      <c r="O22" s="538" t="n"/>
      <c r="P22" s="873">
        <f>M22+I22</f>
        <v/>
      </c>
      <c r="Q22" s="874" t="n"/>
      <c r="R22" s="464" t="n"/>
    </row>
    <row r="23" ht="14.25" customHeight="1" s="726">
      <c r="A23" s="16" t="n"/>
      <c r="B23" s="535" t="n"/>
      <c r="C23" s="343" t="n"/>
      <c r="D23" s="343" t="n"/>
      <c r="E23" s="540" t="n"/>
      <c r="F23" s="397" t="n"/>
      <c r="G23" s="343" t="n"/>
      <c r="H23" s="343" t="n"/>
      <c r="I23" s="872" t="n"/>
      <c r="J23" s="343" t="n"/>
      <c r="K23" s="540" t="n"/>
      <c r="L23" s="410" t="n"/>
      <c r="M23" s="872" t="n"/>
      <c r="N23" s="343" t="n"/>
      <c r="O23" s="538" t="n"/>
      <c r="P23" s="873">
        <f>M23+I23</f>
        <v/>
      </c>
      <c r="Q23" s="874" t="n"/>
      <c r="R23" s="464" t="n"/>
    </row>
    <row r="24" ht="14.25" customHeight="1" s="726">
      <c r="A24" s="16" t="n"/>
      <c r="B24" s="536" t="n"/>
      <c r="C24" s="537" t="n"/>
      <c r="D24" s="537" t="n"/>
      <c r="E24" s="541" t="n"/>
      <c r="F24" s="401" t="n"/>
      <c r="G24" s="537" t="n"/>
      <c r="H24" s="537" t="n"/>
      <c r="I24" s="875" t="n"/>
      <c r="J24" s="537" t="n"/>
      <c r="K24" s="541" t="n"/>
      <c r="L24" s="411" t="n"/>
      <c r="M24" s="875" t="n"/>
      <c r="N24" s="537" t="n"/>
      <c r="O24" s="539" t="n"/>
      <c r="P24" s="873">
        <f>M24+I24</f>
        <v/>
      </c>
      <c r="Q24" s="874" t="n"/>
      <c r="R24" s="464" t="n"/>
    </row>
    <row r="25" ht="14.25" customHeight="1" s="726">
      <c r="A25" s="16" t="n"/>
      <c r="B25" s="12" t="n"/>
      <c r="C25" s="12" t="n"/>
      <c r="D25" s="12" t="n"/>
      <c r="E25" s="12" t="n"/>
      <c r="F25" s="12" t="n"/>
      <c r="G25" s="12" t="n"/>
      <c r="H25" s="12" t="n"/>
      <c r="I25" s="12" t="n"/>
      <c r="J25" s="12" t="n"/>
      <c r="K25" s="12" t="n"/>
      <c r="L25" s="12" t="n"/>
      <c r="M25" s="12" t="n"/>
      <c r="N25" s="12" t="n"/>
      <c r="O25" s="12" t="n"/>
      <c r="P25" s="12" t="n"/>
      <c r="Q25" s="12" t="n"/>
      <c r="R25" s="464" t="n"/>
    </row>
    <row r="26" ht="14.25" customHeight="1" s="726">
      <c r="A26" s="16" t="n"/>
      <c r="C26" s="9" t="n"/>
      <c r="D26" s="9" t="n"/>
      <c r="E26" s="9" t="n"/>
      <c r="F26" s="12" t="n"/>
      <c r="G26" s="12" t="n"/>
      <c r="H26" s="12" t="n"/>
      <c r="I26" s="12" t="n"/>
      <c r="J26" s="12" t="n"/>
      <c r="K26" s="12" t="n"/>
      <c r="L26" s="12" t="n"/>
      <c r="M26" s="12" t="n"/>
      <c r="N26" s="12" t="n"/>
      <c r="O26" s="12" t="n"/>
      <c r="P26" s="12" t="n"/>
      <c r="Q26" s="12" t="n"/>
      <c r="R26" s="464" t="n"/>
    </row>
    <row r="27" ht="14.25" customHeight="1" s="726">
      <c r="A27" s="16" t="n"/>
      <c r="B27" s="534" t="inlineStr">
        <is>
          <t>期末后银行间转账测试：</t>
        </is>
      </c>
      <c r="C27" s="9" t="n"/>
      <c r="D27" s="9" t="n"/>
      <c r="E27" s="9" t="n"/>
      <c r="F27" s="12" t="n"/>
      <c r="G27" s="12" t="n"/>
      <c r="H27" s="12" t="n"/>
      <c r="I27" s="12" t="n"/>
      <c r="J27" s="18" t="n"/>
      <c r="K27" s="12" t="n"/>
      <c r="L27" s="18" t="n"/>
      <c r="M27" s="17" t="n"/>
      <c r="N27" s="12" t="n"/>
      <c r="O27" s="12" t="n"/>
      <c r="P27" s="12" t="n"/>
      <c r="Q27" s="12" t="n"/>
      <c r="R27" s="464" t="n"/>
    </row>
    <row r="28" ht="60" customHeight="1" s="726">
      <c r="A28" s="16" t="n"/>
      <c r="B28" s="209" t="inlineStr">
        <is>
          <t>样本编号</t>
        </is>
      </c>
      <c r="C28" s="210" t="inlineStr">
        <is>
          <t>公司名称</t>
        </is>
      </c>
      <c r="D28" s="210" t="inlineStr">
        <is>
          <t>银行名称</t>
        </is>
      </c>
      <c r="E28" s="210" t="inlineStr">
        <is>
          <t>银行账号</t>
        </is>
      </c>
      <c r="F28" s="210" t="inlineStr">
        <is>
          <t>收款/付款时间</t>
        </is>
      </c>
      <c r="G28" s="210" t="inlineStr">
        <is>
          <t>交易编号</t>
        </is>
      </c>
      <c r="H28" s="210" t="inlineStr">
        <is>
          <t>币种</t>
        </is>
      </c>
      <c r="I28" s="203" t="inlineStr">
        <is>
          <t>交易金额
(收款填列正数，付款填列负数）</t>
        </is>
      </c>
      <c r="J28" s="210" t="inlineStr">
        <is>
          <t>银行名称</t>
        </is>
      </c>
      <c r="K28" s="210" t="inlineStr">
        <is>
          <t>银行账号</t>
        </is>
      </c>
      <c r="L28" s="210" t="inlineStr">
        <is>
          <t>交易日期</t>
        </is>
      </c>
      <c r="M28" s="203" t="inlineStr">
        <is>
          <t>交易金额
(收款填列正数，付款填列负数）</t>
        </is>
      </c>
      <c r="N28" s="214" t="inlineStr">
        <is>
          <t>银行间转账如跨期
是否在余额调节表中体现</t>
        </is>
      </c>
      <c r="O28" s="213" t="inlineStr">
        <is>
          <t>备注</t>
        </is>
      </c>
      <c r="P28" s="23" t="inlineStr">
        <is>
          <t>Check</t>
        </is>
      </c>
      <c r="Q28" s="23" t="n"/>
      <c r="R28" s="464" t="n"/>
    </row>
    <row r="29" ht="14.25" customHeight="1" s="726">
      <c r="A29" s="16" t="n"/>
      <c r="B29" s="535" t="n"/>
      <c r="C29" s="343" t="n"/>
      <c r="D29" s="343" t="n"/>
      <c r="E29" s="540" t="n"/>
      <c r="F29" s="397" t="n"/>
      <c r="G29" s="343" t="n"/>
      <c r="H29" s="343" t="n"/>
      <c r="I29" s="872" t="n"/>
      <c r="J29" s="343" t="n"/>
      <c r="K29" s="540" t="n"/>
      <c r="L29" s="410" t="n"/>
      <c r="M29" s="872" t="n"/>
      <c r="N29" s="343" t="n"/>
      <c r="O29" s="538" t="n"/>
      <c r="P29" s="873">
        <f>M29+I29</f>
        <v/>
      </c>
      <c r="Q29" s="874" t="n"/>
      <c r="R29" s="464" t="n"/>
    </row>
    <row r="30" ht="14.25" customHeight="1" s="726">
      <c r="A30" s="16" t="n"/>
      <c r="B30" s="535" t="n"/>
      <c r="C30" s="343" t="n"/>
      <c r="D30" s="343" t="n"/>
      <c r="E30" s="540" t="n"/>
      <c r="F30" s="397" t="n"/>
      <c r="G30" s="343" t="n"/>
      <c r="H30" s="343" t="n"/>
      <c r="I30" s="872" t="n"/>
      <c r="J30" s="343" t="n"/>
      <c r="K30" s="540" t="n"/>
      <c r="L30" s="410" t="n"/>
      <c r="M30" s="872" t="n"/>
      <c r="N30" s="343" t="n"/>
      <c r="O30" s="538" t="n"/>
      <c r="P30" s="873">
        <f>M30+I30</f>
        <v/>
      </c>
      <c r="Q30" s="874" t="n"/>
      <c r="R30" s="464" t="n"/>
    </row>
    <row r="31" ht="14.25" customHeight="1" s="726">
      <c r="A31" s="16" t="n"/>
      <c r="B31" s="535" t="n"/>
      <c r="C31" s="343" t="n"/>
      <c r="D31" s="343" t="n"/>
      <c r="E31" s="540" t="n"/>
      <c r="F31" s="397" t="n"/>
      <c r="G31" s="343" t="n"/>
      <c r="H31" s="343" t="n"/>
      <c r="I31" s="872" t="n"/>
      <c r="J31" s="343" t="n"/>
      <c r="K31" s="540" t="n"/>
      <c r="L31" s="410" t="n"/>
      <c r="M31" s="872" t="n"/>
      <c r="N31" s="343" t="n"/>
      <c r="O31" s="538" t="n"/>
      <c r="P31" s="873">
        <f>M31+I31</f>
        <v/>
      </c>
      <c r="Q31" s="874" t="n"/>
      <c r="R31" s="464" t="n"/>
    </row>
    <row r="32" ht="14.25" customHeight="1" s="726">
      <c r="A32" s="16" t="n"/>
      <c r="B32" s="535" t="n"/>
      <c r="C32" s="343" t="n"/>
      <c r="D32" s="343" t="n"/>
      <c r="E32" s="540" t="n"/>
      <c r="F32" s="397" t="n"/>
      <c r="G32" s="343" t="n"/>
      <c r="H32" s="343" t="n"/>
      <c r="I32" s="872" t="n"/>
      <c r="J32" s="343" t="n"/>
      <c r="K32" s="540" t="n"/>
      <c r="L32" s="410" t="n"/>
      <c r="M32" s="872" t="n"/>
      <c r="N32" s="343" t="n"/>
      <c r="O32" s="538" t="n"/>
      <c r="P32" s="873">
        <f>M32+I32</f>
        <v/>
      </c>
      <c r="Q32" s="874" t="n"/>
      <c r="R32" s="464" t="n"/>
    </row>
    <row r="33" ht="14.25" customHeight="1" s="726">
      <c r="A33" s="16" t="n"/>
      <c r="B33" s="536" t="n"/>
      <c r="C33" s="537" t="n"/>
      <c r="D33" s="537" t="n"/>
      <c r="E33" s="541" t="n"/>
      <c r="F33" s="401" t="n"/>
      <c r="G33" s="537" t="n"/>
      <c r="H33" s="537" t="n"/>
      <c r="I33" s="875" t="n"/>
      <c r="J33" s="537" t="n"/>
      <c r="K33" s="541" t="n"/>
      <c r="L33" s="411" t="n"/>
      <c r="M33" s="875" t="n"/>
      <c r="N33" s="537" t="n"/>
      <c r="O33" s="539" t="n"/>
      <c r="P33" s="873">
        <f>M33+I33</f>
        <v/>
      </c>
      <c r="Q33" s="874" t="n"/>
      <c r="R33" s="464" t="n"/>
    </row>
    <row r="34" ht="15" customHeight="1" s="726">
      <c r="A34" s="3" t="n"/>
      <c r="R34" s="464" t="n"/>
    </row>
    <row r="35" ht="7.5" customHeight="1" s="726">
      <c r="A35" s="464" t="n"/>
      <c r="B35" s="464" t="n"/>
      <c r="C35" s="464" t="n"/>
      <c r="D35" s="464" t="n"/>
      <c r="E35" s="464" t="n"/>
      <c r="F35" s="464" t="n"/>
      <c r="G35" s="464" t="n"/>
      <c r="H35" s="464" t="n"/>
      <c r="I35" s="464" t="n"/>
      <c r="J35" s="464" t="n"/>
      <c r="K35" s="464" t="n"/>
      <c r="L35" s="464" t="n"/>
      <c r="M35" s="464" t="n"/>
      <c r="N35" s="464" t="n"/>
      <c r="O35" s="464" t="n"/>
      <c r="P35" s="464" t="n"/>
      <c r="Q35" s="464" t="n"/>
      <c r="R35" s="464" t="n"/>
    </row>
    <row r="36" ht="14.25" customHeight="1" s="726">
      <c r="A36" s="3" t="n"/>
    </row>
    <row r="37" ht="14.25" customHeight="1" s="726">
      <c r="A37" s="3" t="n"/>
    </row>
    <row r="38" ht="14.25" customHeight="1" s="726">
      <c r="A38" s="3" t="n"/>
    </row>
    <row r="39" ht="14.25" customHeight="1" s="726">
      <c r="A39" s="3" t="n"/>
    </row>
    <row r="40" ht="14.25" customHeight="1" s="726">
      <c r="A40" s="3" t="n"/>
    </row>
    <row r="41" ht="14.25" customHeight="1" s="726">
      <c r="A41" s="3" t="n"/>
    </row>
    <row r="42" ht="14.25" customHeight="1" s="726">
      <c r="A42" s="3" t="n"/>
    </row>
    <row r="43" ht="14.25" customHeight="1" s="726">
      <c r="A43" s="3" t="n"/>
    </row>
    <row r="44" ht="14.25" customHeight="1" s="726">
      <c r="A44" s="3" t="n"/>
    </row>
    <row r="45" ht="14.25" customHeight="1" s="726">
      <c r="A45" s="3" t="n"/>
    </row>
    <row r="46" ht="14.25" customHeight="1" s="726">
      <c r="A46" s="3" t="n"/>
    </row>
    <row r="47" ht="14.25" customHeight="1" s="726">
      <c r="A47" s="3" t="n"/>
    </row>
    <row r="48" ht="14.25" customHeight="1" s="726">
      <c r="A48" s="3" t="n"/>
    </row>
    <row r="49" ht="14.25" customHeight="1" s="726">
      <c r="A49" s="3" t="n"/>
    </row>
    <row r="50" ht="14.25" customHeight="1" s="726">
      <c r="A50" s="3" t="n"/>
    </row>
    <row r="51">
      <c r="B51" s="12" t="n"/>
    </row>
  </sheetData>
  <mergeCells count="2">
    <mergeCell ref="B11:F13"/>
    <mergeCell ref="C8:D8"/>
  </mergeCells>
  <conditionalFormatting sqref="B8 B11:F13 B20:N24 B29:N33">
    <cfRule type="containsBlanks" priority="1" dxfId="0">
      <formula>LEN(TRIM(B8))=0</formula>
    </cfRule>
  </conditionalFormatting>
  <dataValidations count="1">
    <dataValidation sqref="N20:N24 N29:N33"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Sandy Y Song</dc:creator>
  <dc:title>Skywind_C_货币资金_20191231_测试公司07.xlsx</dc:title>
  <dc:description>2A3F9CD9-957C-4AA1-8774-3BE90552149B</dc:description>
  <dcterms:created xsi:type="dcterms:W3CDTF">2019-02-28T05:41:00Z</dcterms:created>
  <dcterms:modified xsi:type="dcterms:W3CDTF">2026-05-20T04:05:00Z</dcterms:modified>
  <cp:lastModifiedBy>Dan Y Yao</cp:lastModifiedBy>
  <cp:keywords>Final Audit.V6.C.0901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SV_QUERY_LIST_4F35BF76-6C0D-4D9B-82B2-816C12CF3733" fmtid="{D5CDD505-2E9C-101B-9397-08002B2CF9AE}" pid="3">
    <vt:lpwstr>empty_477D106A-C0D6-4607-AEBD-E2C9D60EA279</vt:lpwstr>
  </property>
  <property name="ICV" fmtid="{D5CDD505-2E9C-101B-9397-08002B2CF9AE}" pid="4">
    <vt:lpwstr>35043ED6BACC4556B91B666CA617E00E_12</vt:lpwstr>
  </property>
  <property name="KSOProductBuildVer" fmtid="{D5CDD505-2E9C-101B-9397-08002B2CF9AE}" pid="5">
    <vt:lpwstr>2052-12.1.0.21915</vt:lpwstr>
  </property>
</Properties>
</file>
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1" showHorizontalScroll="1" showVerticalScroll="1" showSheetTabs="1" xWindow="5140" yWindow="3360" windowWidth="14400" windowHeight="8260" tabRatio="898" firstSheet="0" activeTab="0" autoFilterDateGrouping="1"/>
  </bookViews>
  <sheets>
    <sheet name="汇总" sheetId="1" state="visible" r:id="rId1"/>
    <sheet name="SkywindSettingSheet" sheetId="2" state="veryHidden" r:id="rId2"/>
    <sheet name="J.00  Lead Sheet" sheetId="3" state="visible" r:id="rId3"/>
    <sheet name="J.01 Agree SL to GL" sheetId="4" state="visible" r:id="rId4"/>
    <sheet name="CIP List" sheetId="5" state="visible" r:id="rId5"/>
    <sheet name="J.02.1 CIP additions(TOD)" sheetId="6" state="visible" r:id="rId6"/>
    <sheet name="J.02.1a 新增选样输出" sheetId="7" state="visible" r:id="rId7"/>
    <sheet name="新增清单" sheetId="8" state="visible" r:id="rId8"/>
    <sheet name="J.02.2 CIP transfer (TOD)" sheetId="9" state="visible" r:id="rId9"/>
    <sheet name=" J.02.2a 转出选样输出" sheetId="10" state="visible" r:id="rId10"/>
    <sheet name="转出清单" sheetId="11" state="visible" r:id="rId11"/>
    <sheet name="J.03 CIP长期挂账" sheetId="12" state="visible" r:id="rId12"/>
  </sheets>
  <definedNames>
    <definedName name="_____dod1" hidden="1">{#N/A,#N/A,TRUE,"CPRD";#N/A,#N/A,TRUE,"BCCPDR";#N/A,#N/A,TRUE,"EWRD";#N/A,#N/A,TRUE,"5100";#N/A,#N/A,TRUE,"5110"}</definedName>
    <definedName name="____dod1" hidden="1">{#N/A,#N/A,TRUE,"CPRD";#N/A,#N/A,TRUE,"BCCPDR";#N/A,#N/A,TRUE,"EWRD";#N/A,#N/A,TRUE,"5100";#N/A,#N/A,TRUE,"5110"}</definedName>
    <definedName name="___dod1" hidden="1">{#N/A,#N/A,TRUE,"CPRD";#N/A,#N/A,TRUE,"BCCPDR";#N/A,#N/A,TRUE,"EWRD";#N/A,#N/A,TRUE,"5100";#N/A,#N/A,TRUE,"5110"}</definedName>
    <definedName name="___dog1" hidden="1">{#N/A,#N/A,TRUE,"CPRD";#N/A,#N/A,TRUE,"BCCPDR";#N/A,#N/A,TRUE,"EWRD";#N/A,#N/A,TRUE,"5100";#N/A,#N/A,TRUE,"5110"}</definedName>
    <definedName name="__123Graph_A" hidden="1">#REF!</definedName>
    <definedName name="__123Graph_AGraph1" hidden="1">#REF!</definedName>
    <definedName name="__123Graph_B" hidden="1">#REF!</definedName>
    <definedName name="__123Graph_BGraph1" hidden="1">#REF!</definedName>
    <definedName name="__123Graph_C" hidden="1">#REF!</definedName>
    <definedName name="__123Graph_CGraph1" hidden="1">#REF!</definedName>
    <definedName name="__123Graph_D" hidden="1">#REF!</definedName>
    <definedName name="__123Graph_DGraph1" hidden="1">#REF!</definedName>
    <definedName name="__123Graph_E" hidden="1">#REF!</definedName>
    <definedName name="__123Graph_EGraph1" hidden="1">#REF!</definedName>
    <definedName name="__123Graph_X" hidden="1">#REF!</definedName>
    <definedName name="__123Graph_XGraph1" hidden="1">#REF!</definedName>
    <definedName name="__dod1" hidden="1">{#N/A,#N/A,TRUE,"CPRD";#N/A,#N/A,TRUE,"BCCPDR";#N/A,#N/A,TRUE,"EWRD";#N/A,#N/A,TRUE,"5100";#N/A,#N/A,TRUE,"5110"}</definedName>
    <definedName name="__dog1" hidden="1">{#N/A,#N/A,TRUE,"CPRD";#N/A,#N/A,TRUE,"BCCPDR";#N/A,#N/A,TRUE,"EWRD";#N/A,#N/A,TRUE,"5100";#N/A,#N/A,TRUE,"5110"}</definedName>
    <definedName name="__IntlFixup" hidden="1">TRUE</definedName>
    <definedName name="_dod1" hidden="1">{#N/A,#N/A,TRUE,"CPRD";#N/A,#N/A,TRUE,"BCCPDR";#N/A,#N/A,TRUE,"EWRD";#N/A,#N/A,TRUE,"5100";#N/A,#N/A,TRUE,"5110"}</definedName>
    <definedName name="_dog1" hidden="1">{#N/A,#N/A,TRUE,"CPRD";#N/A,#N/A,TRUE,"BCCPDR";#N/A,#N/A,TRUE,"EWRD";#N/A,#N/A,TRUE,"5100";#N/A,#N/A,TRUE,"5110"}</definedName>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adas" hidden="1">{"M1Print",#N/A,TRUE,"M1";"M2Print",#N/A,TRUE,"M2";"M1sPrint",#N/A,TRUE,"M1s";"M2aPrint",#N/A,TRUE,"M2a";"M4Print",#N/A,TRUE,"M4";"M5Print",#N/A,TRUE,"M5";"M6Print",#N/A,TRUE,"M6";"M6_1Print",#N/A,TRUE,"M6_1";"M6_2Print",#N/A,TRUE,"M6_2";"M7_1Print",#N/A,TRUE,"M7_1";"M7_2Print",#N/A,TRUE,"M7_2"}</definedName>
    <definedName name="AS2DocOpenMode" hidden="1">"AS2DocumentEdit"</definedName>
    <definedName name="AS2HasNoAutoHeaderFooter" hidden="1">" "</definedName>
    <definedName name="AS2NamedRange" hidden="1">7</definedName>
    <definedName name="AS2ReportLS" hidden="1">1</definedName>
    <definedName name="AS2SyncStepLS" hidden="1">0</definedName>
    <definedName name="AS2TickmarkLS" hidden="1">#REF!</definedName>
    <definedName name="AS2VersionLS" hidden="1">300</definedName>
    <definedName name="ass" hidden="1">{#N/A,#N/A,TRUE,"CPRD";#N/A,#N/A,TRUE,"BCCPDR";#N/A,#N/A,TRUE,"EWRD";#N/A,#N/A,TRUE,"5100";#N/A,#N/A,TRUE,"5110"}</definedName>
    <definedName name="BG_Del" hidden="1">15</definedName>
    <definedName name="BG_Ins" hidden="1">4</definedName>
    <definedName name="BG_Mod" hidden="1">6</definedName>
    <definedName name="BNE_MESSAGES_HIDDEN" hidden="1">#REF!</definedName>
    <definedName name="cashflow20030930" hidden="1">{"M1Print",#N/A,TRUE,"M1";"M2Print",#N/A,TRUE,"M2";"M1sPrint",#N/A,TRUE,"M1s";"M2aPrint",#N/A,TRUE,"M2a";"M4Print",#N/A,TRUE,"M4";"M5Print",#N/A,TRUE,"M5";"M6Print",#N/A,TRUE,"M6";"M6_1Print",#N/A,TRUE,"M6_1";"M6_2Print",#N/A,TRUE,"M6_2";"M7_1Print",#N/A,TRUE,"M7_1";"M7_2Print",#N/A,TRUE,"M7_2"}</definedName>
    <definedName name="doddd" hidden="1">{#N/A,#N/A,TRUE,"CPRD";#N/A,#N/A,TRUE,"BCCPDR";#N/A,#N/A,TRUE,"EWRD";#N/A,#N/A,TRUE,"5100";#N/A,#N/A,TRUE,"5110"}</definedName>
    <definedName name="dog" hidden="1">{#N/A,#N/A,TRUE,"CPRD";#N/A,#N/A,TRUE,"BCCPDR";#N/A,#N/A,TRUE,"EWRD";#N/A,#N/A,TRUE,"5100";#N/A,#N/A,TRUE,"5110"}</definedName>
    <definedName name="ehdg" hidden="1">{#N/A,#N/A,FALSE,"Jan"}</definedName>
    <definedName name="EV__LASTREFTIME__" hidden="1">39274.4724884259</definedName>
    <definedName name="ExpenseUpload" hidden="1">{#N/A,#N/A,TRUE,"CPRD";#N/A,#N/A,TRUE,"BCCPDR";#N/A,#N/A,TRUE,"EWRD";#N/A,#N/A,TRUE,"5100";#N/A,#N/A,TRUE,"5110"}</definedName>
    <definedName name="HdctTrnd" hidden="1">{#N/A,#N/A,TRUE,"CPRD";#N/A,#N/A,TRUE,"BCCPDR";#N/A,#N/A,TRUE,"EWRD";#N/A,#N/A,TRUE,"5100";#N/A,#N/A,TRUE,"5110"}</definedName>
    <definedName name="HTML_CodePage" hidden="1">1252</definedName>
    <definedName name="HTML_Control" hidden="1">{"'Vxxe_times_J750 (2)'!$A$3:$E$14"}</definedName>
    <definedName name="HTML_Description" hidden="1">""</definedName>
    <definedName name="HTML_Email" hidden="1">""</definedName>
    <definedName name="HTML_Header" hidden="1">"Vxxe_times_J750 (2)"</definedName>
    <definedName name="HTML_LastUpdate" hidden="1">"9/6/00"</definedName>
    <definedName name="HTML_LineAfter" hidden="1">FALSE</definedName>
    <definedName name="HTML_LineBefore" hidden="1">FALSE</definedName>
    <definedName name="HTML_Name" hidden="1">"bob"</definedName>
    <definedName name="HTML_OBDlg2" hidden="1">TRUE</definedName>
    <definedName name="HTML_OBDlg4" hidden="1">TRUE</definedName>
    <definedName name="HTML_OS" hidden="1">0</definedName>
    <definedName name="HTML_PathFile" hidden="1">"H:\spartan\j750_virtexE_quad"</definedName>
    <definedName name="HTML_Title" hidden="1">"virtexE_j750_wolf_comparison"</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SIC_EPS_EXCL" hidden="1">"c85"</definedName>
    <definedName name="IQ_BASIC_EPS_INCL" hidden="1">"c86"</definedName>
    <definedName name="IQ_BASIC_NORMAL_EPS" hidden="1">"c1592"</definedName>
    <definedName name="IQ_BASIC_WEIGHT" hidden="1">"c87"</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L_Q" hidden="1">"c101"</definedName>
    <definedName name="IQ_CAL_Y" hidden="1">"c102"</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ASSA_OUTSTANDING_BS_DATE" hidden="1">"c1971"</definedName>
    <definedName name="IQ_CLASSA_OUTSTANDING_FILING_DATE" hidden="1">"c1973"</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OTHER_COST" hidden="1">"c284"</definedName>
    <definedName name="IQ_DEF_BENEFIT_ROA" hidden="1">"c285"</definedName>
    <definedName name="IQ_DEF_BENEFIT_SERVICE_COST" hidden="1">"c286"</definedName>
    <definedName name="IQ_DEF_BENEFIT_TOTAL_COST" hidden="1">"c287"</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INT" hidden="1">"c373"</definedName>
    <definedName name="IQ_EBITDA_MARGIN" hidden="1">"c372"</definedName>
    <definedName name="IQ_EBITDA_OVER_TOTAL_IE" hidden="1">"c1371"</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EST" hidden="1">"c399"</definedName>
    <definedName name="IQ_EPS_HIGH_EST" hidden="1">"c400"</definedName>
    <definedName name="IQ_EPS_LOW_EST" hidden="1">"c401"</definedName>
    <definedName name="IQ_EPS_MEDIAN_EST" hidden="1">"c1661"</definedName>
    <definedName name="IQ_EPS_NORM" hidden="1">"c1902"</definedName>
    <definedName name="IQ_EPS_NUM_EST" hidden="1">"c402"</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EPS" hidden="1">"c1648"</definedName>
    <definedName name="IQ_EST_CURRENCY" hidden="1">"c2140"</definedName>
    <definedName name="IQ_EST_DATE" hidden="1">"c1634"</definedName>
    <definedName name="IQ_EST_EPS_DIFF" hidden="1">"c1864"</definedName>
    <definedName name="IQ_EST_EPS_GROWTH_1YR" hidden="1">"c1636"</definedName>
    <definedName name="IQ_EST_EPS_GROWTH_5YR" hidden="1">"c1655"</definedName>
    <definedName name="IQ_EST_EPS_GROWTH_Q_1YR" hidden="1">"c1641"</definedName>
    <definedName name="IQ_EV_OVER_EMPLOYEE" hidden="1">"c1428"</definedName>
    <definedName name="IQ_EV_OVER_LTM_EBIT" hidden="1">"c1426"</definedName>
    <definedName name="IQ_EV_OVER_LTM_EBITDA" hidden="1">"c1427"</definedName>
    <definedName name="IQ_EV_OVER_LTM_REVENUE" hidden="1">"c1429"</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FO" hidden="1">"c1574"</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YEAR_LIFE" hidden="1">"c439"</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DIVID" hidden="1">"c1446"</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ROFIT" hidden="1">"c1378"</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OMEOWNERS_WRITTEN" hidden="1">"c546"</definedName>
    <definedName name="IQ_IMPAIR_OIL" hidden="1">"c547"</definedName>
    <definedName name="IQ_IMPAIRMENT_GW" hidden="1">"c548"</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LAND" hidden="1">"c645"</definedName>
    <definedName name="IQ_LAST_SPLIT_DATE" hidden="1">"c2095"</definedName>
    <definedName name="IQ_LAST_SPLIT_FACTOR" hidden="1">"c2093"</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ICENSED_POPS" hidden="1">"c2123"</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REPAIR" hidden="1">"c2087"</definedName>
    <definedName name="IQ_MARKETCAP" hidden="1">"c712"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NET_CHANGE" hidden="1">"c749"</definedName>
    <definedName name="IQ_NET_DEBT" hidden="1">"c1584"</definedName>
    <definedName name="IQ_NET_DEBT_EBITDA" hidden="1">"c750"</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CLOSE_BALANCE_GAS" hidden="1">"c2049"</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OIL" hidden="1">"c2032"</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OIL" hidden="1">"c2035"</definedName>
    <definedName name="IQ_OG_PURCHASES_GAS" hidden="1">"c2045"</definedName>
    <definedName name="IQ_OG_PURCHASES_OIL" hidden="1">"c2033"</definedName>
    <definedName name="IQ_OG_REVISIONS_GAS" hidden="1">"c2042"</definedName>
    <definedName name="IQ_OG_REVISIONS_OIL" hidden="1">"c2030"</definedName>
    <definedName name="IQ_OG_SALES_IN_PLACE_GAS" hidden="1">"c2046"</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OIL_PRODUCTON" hidden="1">"c2059"</definedName>
    <definedName name="IQ_OG_UNDEVELOPED_RESERVES_GAS" hidden="1">"c2051"</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ISSUED" hidden="1">"c857"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UTSTANDING_BS_DATE" hidden="1">"c2128"</definedName>
    <definedName name="IQ_OUTSTANDING_FILING_DATE" hidden="1">"c2127"</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WRITTEN" hidden="1">"c1027"</definedName>
    <definedName name="IQ_PE_EXCL" hidden="1">"c1028"</definedName>
    <definedName name="IQ_PE_EXCL_AVG" hidden="1">"c1029"</definedName>
    <definedName name="IQ_PE_EXCL_FWD" hidden="1">"c1030"</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QUICK_RATIO" hidden="1">"c1086"</definedName>
    <definedName name="IQ_RATE_COMP_GROWTH_DOMESTIC" hidden="1">"c1087"</definedName>
    <definedName name="IQ_RATE_COMP_GROWTH_FOREIGN" hidden="1">"c1088"</definedName>
    <definedName name="IQ_RAW_INV" hidden="1">"c1089"</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VG_STORE_SIZE_GROSS" hidden="1">"c2066"</definedName>
    <definedName name="IQ_RETAIL_AVG_STORE_SIZE_NET" hidden="1">"c2067"</definedName>
    <definedName name="IQ_RETAIL_CLOSED_STORES" hidden="1">"c2063"</definedName>
    <definedName name="IQ_RETAIL_OPENED_STORES" hidden="1">"c2062"</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Q_FOOTAGE" hidden="1">"c2064"</definedName>
    <definedName name="IQ_RETAIL_STORE_SELLING_AREA" hidden="1">"c2065"</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ENUE" hidden="1">"c1422"</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ME_STORE" hidden="1">"c1149"</definedName>
    <definedName name="IQ_SAVING_DEP" hidden="1">"c1150"</definedName>
    <definedName name="IQ_SECUR_RECEIV" hidden="1">"c1151"</definedName>
    <definedName name="IQ_SECURITY_BORROW" hidden="1">"c1152"</definedName>
    <definedName name="IQ_SECURITY_OWN" hidden="1">"c1153"</definedName>
    <definedName name="IQ_SECURITY_RESELL" hidden="1">"c1154"</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CF" hidden="1">"c1203"</definedName>
    <definedName name="IQ_STRIKE_PRICE_ISSUED" hidden="1">"c1645"</definedName>
    <definedName name="IQ_STRIKE_PRICE_OS" hidden="1">"c1646"</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MPLOYEE_AVG" hidden="1">"c1225"</definedName>
    <definedName name="IQ_TEV_TOTAL_REV" hidden="1">"c1226"</definedName>
    <definedName name="IQ_TEV_TOTAL_REV_AVG" hidden="1">"c1227"</definedName>
    <definedName name="IQ_TIER_ONE_RATIO" hidden="1">"c1229"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QUITY" hidden="1">"c1250"</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EXP" hidden="1">"c1291"</definedName>
    <definedName name="IQ_TOTAL_PENSION_OBLIGATION" hidden="1">"c1292"</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S" hidden="1">"c2119"</definedName>
    <definedName name="IQ_TOTAL_UNUSUAL" hidden="1">"c1508"</definedName>
    <definedName name="IQ_TRADE_AR" hidden="1">"c1345"</definedName>
    <definedName name="IQ_TRADE_PRINCIPAL" hidden="1">"c1309"</definedName>
    <definedName name="IQ_TRADING_ASSETS" hidden="1">"c1310"</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USUAL_EXP" hidden="1">"c1456"</definedName>
    <definedName name="IQ_US_GAAP" hidden="1">"c1331"</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EIGHTED_AVG_PRICE" hidden="1">"c1334"</definedName>
    <definedName name="IQ_WIP_INV" hidden="1">"c1335"</definedName>
    <definedName name="IQ_WORKMEN_WRITTEN" hidden="1">"c1336"</definedName>
    <definedName name="IQ_XDIV_DATE" hidden="1">"c2104"</definedName>
    <definedName name="IQ_YEARHIGH" hidden="1">"c1337"</definedName>
    <definedName name="IQ_YEARLOW" hidden="1">"c1338"</definedName>
    <definedName name="IQ_YTD" hidden="1">3000</definedName>
    <definedName name="IQ_Z_SCORE" hidden="1">"c1339"</definedName>
    <definedName name="K2_WBEVMODE" hidden="1">-1</definedName>
    <definedName name="LotusGraphChart1" hidden="1">#REF!</definedName>
    <definedName name="lotusgraphchart1b" hidden="1">#REF!</definedName>
    <definedName name="lotusgraphchart1x" hidden="1">#REF!</definedName>
    <definedName name="notused" hidden="1">{#N/A,#N/A,TRUE,"CPRD";#N/A,#N/A,TRUE,"BCCPDR";#N/A,#N/A,TRUE,"EWRD";#N/A,#N/A,TRUE,"5100";#N/A,#N/A,TRUE,"5110"}</definedName>
    <definedName name="qwertyuiopasdfghjkl" hidden="1">{"M2aPrint",#N/A,FALSE,"M2a"}</definedName>
    <definedName name="qwwertyuiop" hidden="1">{"M2Print",#N/A,FALSE,"M2"}</definedName>
    <definedName name="SAPBEXdnldView" hidden="1">"4D4WVRAZFXWLPKS3R52UJB0QG"</definedName>
    <definedName name="SAPBEXrevision" hidden="1">1</definedName>
    <definedName name="SAPBEXsysID" hidden="1">"PE4"</definedName>
    <definedName name="SAPBEXwbID" hidden="1">"3Q4R7W3VD66V3CXTGQHGIRCBE"</definedName>
    <definedName name="Sheet1_BNE_MESSAGES" hidden="1">#REF!</definedName>
    <definedName name="Sheet1_BNE_MESSAGES_HIDDEN" hidden="1">#REF!</definedName>
    <definedName name="Sheet1_BNE_MESSAGES_LAMP" hidden="1">#REF!</definedName>
    <definedName name="Sheet1_BNE_UPLOAD" hidden="1">#REF!</definedName>
    <definedName name="Sheet1_GL_INTERFACE_ACCOUNTING_DATE" hidden="1">#REF!</definedName>
    <definedName name="Sheet1_GL_INTERFACE_ACTUAL_FLAG" hidden="1">#REF!</definedName>
    <definedName name="Sheet1_GL_INTERFACE_CURRENCY_CODE" hidden="1">#REF!</definedName>
    <definedName name="Sheet1_GL_INTERFACE_DATABASE" hidden="1">#REF!</definedName>
    <definedName name="Sheet1_GL_INTERFACE_ENTERED_CR" hidden="1">#REF!</definedName>
    <definedName name="Sheet1_GL_INTERFACE_ENTERED_DR" hidden="1">#REF!</definedName>
    <definedName name="Sheet1_GL_INTERFACE_REFERENCE1" hidden="1">#REF!</definedName>
    <definedName name="Sheet1_GL_INTERFACE_REFERENCE10" hidden="1">#REF!</definedName>
    <definedName name="Sheet1_GL_INTERFACE_REFERENCE4" hidden="1">#REF!</definedName>
    <definedName name="Sheet1_GL_INTERFACE_REFERENCE5" hidden="1">#REF!</definedName>
    <definedName name="Sheet1_GL_INTERFACE_REFERENCE6" hidden="1">#REF!</definedName>
    <definedName name="Sheet1_GL_INTERFACE_REFERENCE7" hidden="1">#REF!</definedName>
    <definedName name="Sheet1_GL_INTERFACE_REFERENCE8" hidden="1">#REF!</definedName>
    <definedName name="Sheet1_GL_INTERFACE_SEGMENT1" hidden="1">#REF!</definedName>
    <definedName name="Sheet1_GL_INTERFACE_SEGMENT2" hidden="1">#REF!</definedName>
    <definedName name="Sheet1_GL_INTERFACE_SEGMENT3" hidden="1">#REF!</definedName>
    <definedName name="Sheet1_GL_INTERFACE_SEGMENT4" hidden="1">#REF!</definedName>
    <definedName name="Sheet1_GL_INTERFACE_SEGMENT5" hidden="1">#REF!</definedName>
    <definedName name="Sheet1_GL_INTERFACE_SEGMENT6" hidden="1">#REF!</definedName>
    <definedName name="Sheet1_GL_INTERFACE_SET_OF_BOOKS_ID" hidden="1">#REF!</definedName>
    <definedName name="Sheet1_GL_INTERFACE_USER_JE_CATEGORY_NAME" hidden="1">#REF!</definedName>
    <definedName name="Sheet1_GL_INTERFACE_USER_JE_SOURCE_NAME" hidden="1">#REF!</definedName>
    <definedName name="TextRefCopyRangeCount" hidden="1">5</definedName>
    <definedName name="wrn.Aging._.and._.Trend._.Analysis." hidden="1">{#N/A,#N/A,FALSE,"Aging Summary";#N/A,#N/A,FALSE,"Ratio Analysis";#N/A,#N/A,FALSE,"Test 120 Day Accts";#N/A,#N/A,FALSE,"Tickmarks"}</definedName>
    <definedName name="wrn.ALL." hidden="1">{#N/A,#N/A,FALSE,"SUM";#N/A,#N/A,FALSE,"SK_TOT";#N/A,#N/A,FALSE,"YM";#N/A,#N/A,FALSE,"TSMC";#N/A,#N/A,FALSE,"ICW";#N/A,#N/A,FALSE,"Sheet1"}</definedName>
    <definedName name="wrn.All._.M._.Schedules." hidden="1">{"M1Print",#N/A,TRUE,"M1";"M2Print",#N/A,TRUE,"M2";"M1sPrint",#N/A,TRUE,"M1s";"M2aPrint",#N/A,TRUE,"M2a";"M4Print",#N/A,TRUE,"M4";"M5Print",#N/A,TRUE,"M5";"M6Print",#N/A,TRUE,"M6";"M6_1Print",#N/A,TRUE,"M6_1";"M6_2Print",#N/A,TRUE,"M6_2";"M7_1Print",#N/A,TRUE,"M7_1";"M7_2Print",#N/A,TRUE,"M7_2"}</definedName>
    <definedName name="wrn.all._.M._.Schedules.1" hidden="1">{"M1Print",#N/A,TRUE,"M1";"M2Print",#N/A,TRUE,"M2";"M1sPrint",#N/A,TRUE,"M1s";"M2aPrint",#N/A,TRUE,"M2a";"M4Print",#N/A,TRUE,"M4";"M5Print",#N/A,TRUE,"M5";"M6Print",#N/A,TRUE,"M6";"M6_1Print",#N/A,TRUE,"M6_1";"M6_2Print",#N/A,TRUE,"M6_2";"M7_1Print",#N/A,TRUE,"M7_1";"M7_2Print",#N/A,TRUE,"M7_2"}</definedName>
    <definedName name="wrn.Board._.Reports." hidden="1">{#N/A,#N/A,FALSE,"M1s Board";#N/A,#N/A,FALSE,"M3 Board";#N/A,#N/A,FALSE,"M6 Board";#N/A,#N/A,FALSE,"M7";#N/A,#N/A,FALSE,"M7B";#N/A,#N/A,FALSE,"M8";#N/A,#N/A,FALSE,"M8A Board";#N/A,#N/A,FALSE,"AF1 Board"}</definedName>
    <definedName name="wrn.Deposit._.By._.Day." hidden="1">{#N/A,#N/A,FALSE,"Deposits by day"}</definedName>
    <definedName name="wrn.Deptartment._.Expenses." hidden="1">{#N/A,#N/A,TRUE,"CPRD";#N/A,#N/A,TRUE,"BCCPDR";#N/A,#N/A,TRUE,"EWRD";#N/A,#N/A,TRUE,"5100";#N/A,#N/A,TRUE,"5110"}</definedName>
    <definedName name="wrn.jan." hidden="1">{#N/A,#N/A,FALSE,"Jan"}</definedName>
    <definedName name="wrn.M1._.Operating._.Statement." hidden="1">{"M1Print",#N/A,FALSE,"M1"}</definedName>
    <definedName name="wrn.M1s._.Statistics." hidden="1">{"M1sPrint",#N/A,FALSE,"M1s"}</definedName>
    <definedName name="wrn.M2._.Balance._.Sheet." hidden="1">{"M2Print",#N/A,FALSE,"M2"}</definedName>
    <definedName name="wrn.M2a._.Cashflow." hidden="1">{"M2aPrint",#N/A,FALSE,"M2a"}</definedName>
    <definedName name="wrn.M4._.Inventories." hidden="1">{"M4Print",#N/A,FALSE,"M4"}</definedName>
    <definedName name="wrn.M5._.Flash._.and._.Forecast." hidden="1">{"M5Print",#N/A,FALSE,"M5"}</definedName>
    <definedName name="wrn.M6._.Management._.Summary." hidden="1">{"M6Print",#N/A,FALSE,"M6";"M6_1Print",#N/A,FALSE,"M6_1";"M6_2Print",#N/A,FALSE,"M6_2"}</definedName>
    <definedName name="wrn.M7._.Financial._.Controllers._.report." hidden="1">{"M7_1Print",#N/A,TRUE,"M7_1";"M7_2Print",#N/A,TRUE,"M7_2"}</definedName>
    <definedName name="wrn.ytd." hidden="1">{#N/A,#N/A,FALSE,"YTD"}</definedName>
    <definedName name="wrnn.all." hidden="1">{#N/A,#N/A,FALSE,"SUM";#N/A,#N/A,FALSE,"SK_TOT";#N/A,#N/A,FALSE,"YM";#N/A,#N/A,FALSE,"TSMC";#N/A,#N/A,FALSE,"ICW";#N/A,#N/A,FALSE,"Sheet1"}</definedName>
    <definedName name="XREF_COLUMN_1" hidden="1">#REF!</definedName>
    <definedName name="XREF_COLUMN_10" hidden="1">#REF!</definedName>
    <definedName name="XREF_COLUMN_11" hidden="1">#REF!</definedName>
    <definedName name="XREF_COLUMN_12" hidden="1">#REF!</definedName>
    <definedName name="XREF_COLUMN_19" hidden="1">#REF!</definedName>
    <definedName name="XREF_COLUMN_2" hidden="1">#REF!</definedName>
    <definedName name="XREF_COLUMN_20" hidden="1">#REF!</definedName>
    <definedName name="XREF_COLUMN_21"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ActiveRow" hidden="1">#REF!</definedName>
    <definedName name="XRefColumnsCount" hidden="1">2</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3" hidden="1">#REF!</definedName>
    <definedName name="XRefCopy13Row" hidden="1">#REF!</definedName>
    <definedName name="XRefCopy14" hidden="1">#REF!</definedName>
    <definedName name="XRefCopy15" hidden="1">#REF!</definedName>
    <definedName name="XRefCopy16Row" hidden="1">#REF!</definedName>
    <definedName name="XRefCopy1Row" hidden="1">#REF!</definedName>
    <definedName name="XRefCopy2" hidden="1">#REF!</definedName>
    <definedName name="XRefCopy2Row" hidden="1">#REF!</definedName>
    <definedName name="XRefCopy3" hidden="1">#REF!</definedName>
    <definedName name="XRefCopy3Row" hidden="1">#REF!</definedName>
    <definedName name="XRefCopy4" hidden="1">#REF!</definedName>
    <definedName name="XRefCopy46"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Row" hidden="1">#REF!</definedName>
    <definedName name="XRefCopy6" hidden="1">#REF!</definedName>
    <definedName name="XRefCopy6Row" hidden="1">#REF!</definedName>
    <definedName name="XRefCopy7"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3</definedName>
    <definedName name="XRefPaste1" hidden="1">#REF!</definedName>
    <definedName name="XRefPaste10" hidden="1">#REF!</definedName>
    <definedName name="XRefPaste11" hidden="1">#REF!</definedName>
    <definedName name="XRefPaste1Row" hidden="1">#REF!</definedName>
    <definedName name="XRefPaste2"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Row" hidden="1">#REF!</definedName>
    <definedName name="XRefPaste4" hidden="1">#REF!</definedName>
    <definedName name="XRefPaste4Row" hidden="1">#REF!</definedName>
    <definedName name="XRefPaste5" hidden="1">#REF!</definedName>
    <definedName name="XRefPaste6" hidden="1">#REF!</definedName>
    <definedName name="XRefPaste6Row" hidden="1">#REF!</definedName>
    <definedName name="XRefPaste7" hidden="1">#REF!</definedName>
    <definedName name="XRefPaste8" hidden="1">#REF!</definedName>
    <definedName name="XRefPaste9" hidden="1">#REF!</definedName>
    <definedName name="XRefPasteRangeCount" hidden="1">1</definedName>
    <definedName name="xzxsfd" hidden="1">{"M1Print",#N/A,FALSE,"M1"}</definedName>
    <definedName name="Z_1711050D_B2D8_42FB_A40D_E4BD90297684_.wvu.Cols" hidden="1">#REF!,#REF!,#REF!,#REF!,#REF!</definedName>
    <definedName name="Z_E738B51C_56AE_4F9F_8D8A_36AD6137B90D_.wvu.Cols" hidden="1">#REF!</definedName>
    <definedName name="Z_E738B51C_56AE_4F9F_8D8A_36AD6137B90D_.wvu.PrintArea" hidden="1">#REF!</definedName>
    <definedName name="Z_E738B51C_56AE_4F9F_8D8A_36AD6137B90D_.wvu.PrintTitles" hidden="1">#REF!,#REF!</definedName>
    <definedName name="Z_E738B51C_56AE_4F9F_8D8A_36AD6137B90D_.wvu.Rows" hidden="1">#REF!</definedName>
    <definedName name="苛" hidden="1">{"M1sPrint",#N/A,FALSE,"M1s"}</definedName>
    <definedName name="_____dod1" localSheetId="6" hidden="1">{#N/A,#N/A,TRUE,"CPRD";#N/A,#N/A,TRUE,"BCCPDR";#N/A,#N/A,TRUE,"EWRD";#N/A,#N/A,TRUE,"5100";#N/A,#N/A,TRUE,"5110"}</definedName>
    <definedName name="____dod1" localSheetId="6" hidden="1">{#N/A,#N/A,TRUE,"CPRD";#N/A,#N/A,TRUE,"BCCPDR";#N/A,#N/A,TRUE,"EWRD";#N/A,#N/A,TRUE,"5100";#N/A,#N/A,TRUE,"5110"}</definedName>
    <definedName name="___dod1" localSheetId="6" hidden="1">{#N/A,#N/A,TRUE,"CPRD";#N/A,#N/A,TRUE,"BCCPDR";#N/A,#N/A,TRUE,"EWRD";#N/A,#N/A,TRUE,"5100";#N/A,#N/A,TRUE,"5110"}</definedName>
    <definedName name="___dog1" localSheetId="6" hidden="1">{#N/A,#N/A,TRUE,"CPRD";#N/A,#N/A,TRUE,"BCCPDR";#N/A,#N/A,TRUE,"EWRD";#N/A,#N/A,TRUE,"5100";#N/A,#N/A,TRUE,"5110"}</definedName>
    <definedName name="__dod1" localSheetId="6" hidden="1">{#N/A,#N/A,TRUE,"CPRD";#N/A,#N/A,TRUE,"BCCPDR";#N/A,#N/A,TRUE,"EWRD";#N/A,#N/A,TRUE,"5100";#N/A,#N/A,TRUE,"5110"}</definedName>
    <definedName name="__dog1" localSheetId="6" hidden="1">{#N/A,#N/A,TRUE,"CPRD";#N/A,#N/A,TRUE,"BCCPDR";#N/A,#N/A,TRUE,"EWRD";#N/A,#N/A,TRUE,"5100";#N/A,#N/A,TRUE,"5110"}</definedName>
    <definedName name="_dod1" localSheetId="6" hidden="1">{#N/A,#N/A,TRUE,"CPRD";#N/A,#N/A,TRUE,"BCCPDR";#N/A,#N/A,TRUE,"EWRD";#N/A,#N/A,TRUE,"5100";#N/A,#N/A,TRUE,"5110"}</definedName>
    <definedName name="_dog1" localSheetId="6" hidden="1">{#N/A,#N/A,TRUE,"CPRD";#N/A,#N/A,TRUE,"BCCPDR";#N/A,#N/A,TRUE,"EWRD";#N/A,#N/A,TRUE,"5100";#N/A,#N/A,TRUE,"5110"}</definedName>
    <definedName name="adas" localSheetId="6" hidden="1">{"M1Print",#N/A,TRUE,"M1";"M2Print",#N/A,TRUE,"M2";"M1sPrint",#N/A,TRUE,"M1s";"M2aPrint",#N/A,TRUE,"M2a";"M4Print",#N/A,TRUE,"M4";"M5Print",#N/A,TRUE,"M5";"M6Print",#N/A,TRUE,"M6";"M6_1Print",#N/A,TRUE,"M6_1";"M6_2Print",#N/A,TRUE,"M6_2";"M7_1Print",#N/A,TRUE,"M7_1";"M7_2Print",#N/A,TRUE,"M7_2"}</definedName>
    <definedName name="ass" localSheetId="6" hidden="1">{#N/A,#N/A,TRUE,"CPRD";#N/A,#N/A,TRUE,"BCCPDR";#N/A,#N/A,TRUE,"EWRD";#N/A,#N/A,TRUE,"5100";#N/A,#N/A,TRUE,"5110"}</definedName>
    <definedName name="cashflow20030930" localSheetId="6" hidden="1">{"M1Print",#N/A,TRUE,"M1";"M2Print",#N/A,TRUE,"M2";"M1sPrint",#N/A,TRUE,"M1s";"M2aPrint",#N/A,TRUE,"M2a";"M4Print",#N/A,TRUE,"M4";"M5Print",#N/A,TRUE,"M5";"M6Print",#N/A,TRUE,"M6";"M6_1Print",#N/A,TRUE,"M6_1";"M6_2Print",#N/A,TRUE,"M6_2";"M7_1Print",#N/A,TRUE,"M7_1";"M7_2Print",#N/A,TRUE,"M7_2"}</definedName>
    <definedName name="doddd" localSheetId="6" hidden="1">{#N/A,#N/A,TRUE,"CPRD";#N/A,#N/A,TRUE,"BCCPDR";#N/A,#N/A,TRUE,"EWRD";#N/A,#N/A,TRUE,"5100";#N/A,#N/A,TRUE,"5110"}</definedName>
    <definedName name="dog" localSheetId="6" hidden="1">{#N/A,#N/A,TRUE,"CPRD";#N/A,#N/A,TRUE,"BCCPDR";#N/A,#N/A,TRUE,"EWRD";#N/A,#N/A,TRUE,"5100";#N/A,#N/A,TRUE,"5110"}</definedName>
    <definedName name="ehdg" localSheetId="6" hidden="1">{#N/A,#N/A,FALSE,"Jan"}</definedName>
    <definedName name="ExpenseUpload" localSheetId="6" hidden="1">{#N/A,#N/A,TRUE,"CPRD";#N/A,#N/A,TRUE,"BCCPDR";#N/A,#N/A,TRUE,"EWRD";#N/A,#N/A,TRUE,"5100";#N/A,#N/A,TRUE,"5110"}</definedName>
    <definedName name="HdctTrnd" localSheetId="6" hidden="1">{#N/A,#N/A,TRUE,"CPRD";#N/A,#N/A,TRUE,"BCCPDR";#N/A,#N/A,TRUE,"EWRD";#N/A,#N/A,TRUE,"5100";#N/A,#N/A,TRUE,"5110"}</definedName>
    <definedName name="HTML_Control" localSheetId="6" hidden="1">{"'Vxxe_times_J750 (2)'!$A$3:$E$14"}</definedName>
    <definedName name="notused" localSheetId="6" hidden="1">{#N/A,#N/A,TRUE,"CPRD";#N/A,#N/A,TRUE,"BCCPDR";#N/A,#N/A,TRUE,"EWRD";#N/A,#N/A,TRUE,"5100";#N/A,#N/A,TRUE,"5110"}</definedName>
    <definedName name="qwertyuiopasdfghjkl" localSheetId="6" hidden="1">{"M2aPrint",#N/A,FALSE,"M2a"}</definedName>
    <definedName name="qwwertyuiop" localSheetId="6" hidden="1">{"M2Print",#N/A,FALSE,"M2"}</definedName>
    <definedName name="wrn.Aging._.and._.Trend._.Analysis." localSheetId="6" hidden="1">{#N/A,#N/A,FALSE,"Aging Summary";#N/A,#N/A,FALSE,"Ratio Analysis";#N/A,#N/A,FALSE,"Test 120 Day Accts";#N/A,#N/A,FALSE,"Tickmarks"}</definedName>
    <definedName name="wrn.ALL." localSheetId="6" hidden="1">{#N/A,#N/A,FALSE,"SUM";#N/A,#N/A,FALSE,"SK_TOT";#N/A,#N/A,FALSE,"YM";#N/A,#N/A,FALSE,"TSMC";#N/A,#N/A,FALSE,"ICW";#N/A,#N/A,FALSE,"Sheet1"}</definedName>
    <definedName name="wrn.All._.M._.Schedules." localSheetId="6" hidden="1">{"M1Print",#N/A,TRUE,"M1";"M2Print",#N/A,TRUE,"M2";"M1sPrint",#N/A,TRUE,"M1s";"M2aPrint",#N/A,TRUE,"M2a";"M4Print",#N/A,TRUE,"M4";"M5Print",#N/A,TRUE,"M5";"M6Print",#N/A,TRUE,"M6";"M6_1Print",#N/A,TRUE,"M6_1";"M6_2Print",#N/A,TRUE,"M6_2";"M7_1Print",#N/A,TRUE,"M7_1";"M7_2Print",#N/A,TRUE,"M7_2"}</definedName>
    <definedName name="wrn.all._.M._.Schedules.1" localSheetId="6" hidden="1">{"M1Print",#N/A,TRUE,"M1";"M2Print",#N/A,TRUE,"M2";"M1sPrint",#N/A,TRUE,"M1s";"M2aPrint",#N/A,TRUE,"M2a";"M4Print",#N/A,TRUE,"M4";"M5Print",#N/A,TRUE,"M5";"M6Print",#N/A,TRUE,"M6";"M6_1Print",#N/A,TRUE,"M6_1";"M6_2Print",#N/A,TRUE,"M6_2";"M7_1Print",#N/A,TRUE,"M7_1";"M7_2Print",#N/A,TRUE,"M7_2"}</definedName>
    <definedName name="wrn.Board._.Reports." localSheetId="6" hidden="1">{#N/A,#N/A,FALSE,"M1s Board";#N/A,#N/A,FALSE,"M3 Board";#N/A,#N/A,FALSE,"M6 Board";#N/A,#N/A,FALSE,"M7";#N/A,#N/A,FALSE,"M7B";#N/A,#N/A,FALSE,"M8";#N/A,#N/A,FALSE,"M8A Board";#N/A,#N/A,FALSE,"AF1 Board"}</definedName>
    <definedName name="wrn.Deposit._.By._.Day." localSheetId="6" hidden="1">{#N/A,#N/A,FALSE,"Deposits by day"}</definedName>
    <definedName name="wrn.Deptartment._.Expenses." localSheetId="6" hidden="1">{#N/A,#N/A,TRUE,"CPRD";#N/A,#N/A,TRUE,"BCCPDR";#N/A,#N/A,TRUE,"EWRD";#N/A,#N/A,TRUE,"5100";#N/A,#N/A,TRUE,"5110"}</definedName>
    <definedName name="wrn.jan." localSheetId="6" hidden="1">{#N/A,#N/A,FALSE,"Jan"}</definedName>
    <definedName name="wrn.M1._.Operating._.Statement." localSheetId="6" hidden="1">{"M1Print",#N/A,FALSE,"M1"}</definedName>
    <definedName name="wrn.M1s._.Statistics." localSheetId="6" hidden="1">{"M1sPrint",#N/A,FALSE,"M1s"}</definedName>
    <definedName name="wrn.M2._.Balance._.Sheet." localSheetId="6" hidden="1">{"M2Print",#N/A,FALSE,"M2"}</definedName>
    <definedName name="wrn.M2a._.Cashflow." localSheetId="6" hidden="1">{"M2aPrint",#N/A,FALSE,"M2a"}</definedName>
    <definedName name="wrn.M4._.Inventories." localSheetId="6" hidden="1">{"M4Print",#N/A,FALSE,"M4"}</definedName>
    <definedName name="wrn.M5._.Flash._.and._.Forecast." localSheetId="6" hidden="1">{"M5Print",#N/A,FALSE,"M5"}</definedName>
    <definedName name="wrn.M6._.Management._.Summary." localSheetId="6" hidden="1">{"M6Print",#N/A,FALSE,"M6";"M6_1Print",#N/A,FALSE,"M6_1";"M6_2Print",#N/A,FALSE,"M6_2"}</definedName>
    <definedName name="wrn.M7._.Financial._.Controllers._.report." localSheetId="6" hidden="1">{"M7_1Print",#N/A,TRUE,"M7_1";"M7_2Print",#N/A,TRUE,"M7_2"}</definedName>
    <definedName name="wrn.ytd." localSheetId="6" hidden="1">{#N/A,#N/A,FALSE,"YTD"}</definedName>
    <definedName name="wrnn.all." localSheetId="6" hidden="1">{#N/A,#N/A,FALSE,"SUM";#N/A,#N/A,FALSE,"SK_TOT";#N/A,#N/A,FALSE,"YM";#N/A,#N/A,FALSE,"TSMC";#N/A,#N/A,FALSE,"ICW";#N/A,#N/A,FALSE,"Sheet1"}</definedName>
    <definedName name="xzxsfd" localSheetId="6" hidden="1">{"M1Print",#N/A,FALSE,"M1"}</definedName>
    <definedName name="苛" localSheetId="6" hidden="1">{"M1sPrint",#N/A,FALSE,"M1s"}</definedName>
    <definedName name="_____dod1" localSheetId="9" hidden="1">{#N/A,#N/A,TRUE,"CPRD";#N/A,#N/A,TRUE,"BCCPDR";#N/A,#N/A,TRUE,"EWRD";#N/A,#N/A,TRUE,"5100";#N/A,#N/A,TRUE,"5110"}</definedName>
    <definedName name="____dod1" localSheetId="9" hidden="1">{#N/A,#N/A,TRUE,"CPRD";#N/A,#N/A,TRUE,"BCCPDR";#N/A,#N/A,TRUE,"EWRD";#N/A,#N/A,TRUE,"5100";#N/A,#N/A,TRUE,"5110"}</definedName>
    <definedName name="___dod1" localSheetId="9" hidden="1">{#N/A,#N/A,TRUE,"CPRD";#N/A,#N/A,TRUE,"BCCPDR";#N/A,#N/A,TRUE,"EWRD";#N/A,#N/A,TRUE,"5100";#N/A,#N/A,TRUE,"5110"}</definedName>
    <definedName name="___dog1" localSheetId="9" hidden="1">{#N/A,#N/A,TRUE,"CPRD";#N/A,#N/A,TRUE,"BCCPDR";#N/A,#N/A,TRUE,"EWRD";#N/A,#N/A,TRUE,"5100";#N/A,#N/A,TRUE,"5110"}</definedName>
    <definedName name="__dod1" localSheetId="9" hidden="1">{#N/A,#N/A,TRUE,"CPRD";#N/A,#N/A,TRUE,"BCCPDR";#N/A,#N/A,TRUE,"EWRD";#N/A,#N/A,TRUE,"5100";#N/A,#N/A,TRUE,"5110"}</definedName>
    <definedName name="__dog1" localSheetId="9" hidden="1">{#N/A,#N/A,TRUE,"CPRD";#N/A,#N/A,TRUE,"BCCPDR";#N/A,#N/A,TRUE,"EWRD";#N/A,#N/A,TRUE,"5100";#N/A,#N/A,TRUE,"5110"}</definedName>
    <definedName name="_dod1" localSheetId="9" hidden="1">{#N/A,#N/A,TRUE,"CPRD";#N/A,#N/A,TRUE,"BCCPDR";#N/A,#N/A,TRUE,"EWRD";#N/A,#N/A,TRUE,"5100";#N/A,#N/A,TRUE,"5110"}</definedName>
    <definedName name="_dog1" localSheetId="9" hidden="1">{#N/A,#N/A,TRUE,"CPRD";#N/A,#N/A,TRUE,"BCCPDR";#N/A,#N/A,TRUE,"EWRD";#N/A,#N/A,TRUE,"5100";#N/A,#N/A,TRUE,"5110"}</definedName>
    <definedName name="adas" localSheetId="9" hidden="1">{"M1Print",#N/A,TRUE,"M1";"M2Print",#N/A,TRUE,"M2";"M1sPrint",#N/A,TRUE,"M1s";"M2aPrint",#N/A,TRUE,"M2a";"M4Print",#N/A,TRUE,"M4";"M5Print",#N/A,TRUE,"M5";"M6Print",#N/A,TRUE,"M6";"M6_1Print",#N/A,TRUE,"M6_1";"M6_2Print",#N/A,TRUE,"M6_2";"M7_1Print",#N/A,TRUE,"M7_1";"M7_2Print",#N/A,TRUE,"M7_2"}</definedName>
    <definedName name="ass" localSheetId="9" hidden="1">{#N/A,#N/A,TRUE,"CPRD";#N/A,#N/A,TRUE,"BCCPDR";#N/A,#N/A,TRUE,"EWRD";#N/A,#N/A,TRUE,"5100";#N/A,#N/A,TRUE,"5110"}</definedName>
    <definedName name="cashflow20030930" localSheetId="9" hidden="1">{"M1Print",#N/A,TRUE,"M1";"M2Print",#N/A,TRUE,"M2";"M1sPrint",#N/A,TRUE,"M1s";"M2aPrint",#N/A,TRUE,"M2a";"M4Print",#N/A,TRUE,"M4";"M5Print",#N/A,TRUE,"M5";"M6Print",#N/A,TRUE,"M6";"M6_1Print",#N/A,TRUE,"M6_1";"M6_2Print",#N/A,TRUE,"M6_2";"M7_1Print",#N/A,TRUE,"M7_1";"M7_2Print",#N/A,TRUE,"M7_2"}</definedName>
    <definedName name="doddd" localSheetId="9" hidden="1">{#N/A,#N/A,TRUE,"CPRD";#N/A,#N/A,TRUE,"BCCPDR";#N/A,#N/A,TRUE,"EWRD";#N/A,#N/A,TRUE,"5100";#N/A,#N/A,TRUE,"5110"}</definedName>
    <definedName name="dog" localSheetId="9" hidden="1">{#N/A,#N/A,TRUE,"CPRD";#N/A,#N/A,TRUE,"BCCPDR";#N/A,#N/A,TRUE,"EWRD";#N/A,#N/A,TRUE,"5100";#N/A,#N/A,TRUE,"5110"}</definedName>
    <definedName name="ehdg" localSheetId="9" hidden="1">{#N/A,#N/A,FALSE,"Jan"}</definedName>
    <definedName name="ExpenseUpload" localSheetId="9" hidden="1">{#N/A,#N/A,TRUE,"CPRD";#N/A,#N/A,TRUE,"BCCPDR";#N/A,#N/A,TRUE,"EWRD";#N/A,#N/A,TRUE,"5100";#N/A,#N/A,TRUE,"5110"}</definedName>
    <definedName name="HdctTrnd" localSheetId="9" hidden="1">{#N/A,#N/A,TRUE,"CPRD";#N/A,#N/A,TRUE,"BCCPDR";#N/A,#N/A,TRUE,"EWRD";#N/A,#N/A,TRUE,"5100";#N/A,#N/A,TRUE,"5110"}</definedName>
    <definedName name="HTML_Control" localSheetId="9" hidden="1">{"'Vxxe_times_J750 (2)'!$A$3:$E$14"}</definedName>
    <definedName name="notused" localSheetId="9" hidden="1">{#N/A,#N/A,TRUE,"CPRD";#N/A,#N/A,TRUE,"BCCPDR";#N/A,#N/A,TRUE,"EWRD";#N/A,#N/A,TRUE,"5100";#N/A,#N/A,TRUE,"5110"}</definedName>
    <definedName name="qwertyuiopasdfghjkl" localSheetId="9" hidden="1">{"M2aPrint",#N/A,FALSE,"M2a"}</definedName>
    <definedName name="qwwertyuiop" localSheetId="9" hidden="1">{"M2Print",#N/A,FALSE,"M2"}</definedName>
    <definedName name="wrn.Aging._.and._.Trend._.Analysis." localSheetId="9" hidden="1">{#N/A,#N/A,FALSE,"Aging Summary";#N/A,#N/A,FALSE,"Ratio Analysis";#N/A,#N/A,FALSE,"Test 120 Day Accts";#N/A,#N/A,FALSE,"Tickmarks"}</definedName>
    <definedName name="wrn.ALL." localSheetId="9" hidden="1">{#N/A,#N/A,FALSE,"SUM";#N/A,#N/A,FALSE,"SK_TOT";#N/A,#N/A,FALSE,"YM";#N/A,#N/A,FALSE,"TSMC";#N/A,#N/A,FALSE,"ICW";#N/A,#N/A,FALSE,"Sheet1"}</definedName>
    <definedName name="wrn.All._.M._.Schedules." localSheetId="9" hidden="1">{"M1Print",#N/A,TRUE,"M1";"M2Print",#N/A,TRUE,"M2";"M1sPrint",#N/A,TRUE,"M1s";"M2aPrint",#N/A,TRUE,"M2a";"M4Print",#N/A,TRUE,"M4";"M5Print",#N/A,TRUE,"M5";"M6Print",#N/A,TRUE,"M6";"M6_1Print",#N/A,TRUE,"M6_1";"M6_2Print",#N/A,TRUE,"M6_2";"M7_1Print",#N/A,TRUE,"M7_1";"M7_2Print",#N/A,TRUE,"M7_2"}</definedName>
    <definedName name="wrn.all._.M._.Schedules.1" localSheetId="9" hidden="1">{"M1Print",#N/A,TRUE,"M1";"M2Print",#N/A,TRUE,"M2";"M1sPrint",#N/A,TRUE,"M1s";"M2aPrint",#N/A,TRUE,"M2a";"M4Print",#N/A,TRUE,"M4";"M5Print",#N/A,TRUE,"M5";"M6Print",#N/A,TRUE,"M6";"M6_1Print",#N/A,TRUE,"M6_1";"M6_2Print",#N/A,TRUE,"M6_2";"M7_1Print",#N/A,TRUE,"M7_1";"M7_2Print",#N/A,TRUE,"M7_2"}</definedName>
    <definedName name="wrn.Board._.Reports." localSheetId="9" hidden="1">{#N/A,#N/A,FALSE,"M1s Board";#N/A,#N/A,FALSE,"M3 Board";#N/A,#N/A,FALSE,"M6 Board";#N/A,#N/A,FALSE,"M7";#N/A,#N/A,FALSE,"M7B";#N/A,#N/A,FALSE,"M8";#N/A,#N/A,FALSE,"M8A Board";#N/A,#N/A,FALSE,"AF1 Board"}</definedName>
    <definedName name="wrn.Deposit._.By._.Day." localSheetId="9" hidden="1">{#N/A,#N/A,FALSE,"Deposits by day"}</definedName>
    <definedName name="wrn.Deptartment._.Expenses." localSheetId="9" hidden="1">{#N/A,#N/A,TRUE,"CPRD";#N/A,#N/A,TRUE,"BCCPDR";#N/A,#N/A,TRUE,"EWRD";#N/A,#N/A,TRUE,"5100";#N/A,#N/A,TRUE,"5110"}</definedName>
    <definedName name="wrn.jan." localSheetId="9" hidden="1">{#N/A,#N/A,FALSE,"Jan"}</definedName>
    <definedName name="wrn.M1._.Operating._.Statement." localSheetId="9" hidden="1">{"M1Print",#N/A,FALSE,"M1"}</definedName>
    <definedName name="wrn.M1s._.Statistics." localSheetId="9" hidden="1">{"M1sPrint",#N/A,FALSE,"M1s"}</definedName>
    <definedName name="wrn.M2._.Balance._.Sheet." localSheetId="9" hidden="1">{"M2Print",#N/A,FALSE,"M2"}</definedName>
    <definedName name="wrn.M2a._.Cashflow." localSheetId="9" hidden="1">{"M2aPrint",#N/A,FALSE,"M2a"}</definedName>
    <definedName name="wrn.M4._.Inventories." localSheetId="9" hidden="1">{"M4Print",#N/A,FALSE,"M4"}</definedName>
    <definedName name="wrn.M5._.Flash._.and._.Forecast." localSheetId="9" hidden="1">{"M5Print",#N/A,FALSE,"M5"}</definedName>
    <definedName name="wrn.M6._.Management._.Summary." localSheetId="9" hidden="1">{"M6Print",#N/A,FALSE,"M6";"M6_1Print",#N/A,FALSE,"M6_1";"M6_2Print",#N/A,FALSE,"M6_2"}</definedName>
    <definedName name="wrn.M7._.Financial._.Controllers._.report." localSheetId="9" hidden="1">{"M7_1Print",#N/A,TRUE,"M7_1";"M7_2Print",#N/A,TRUE,"M7_2"}</definedName>
    <definedName name="wrn.ytd." localSheetId="9" hidden="1">{#N/A,#N/A,FALSE,"YTD"}</definedName>
    <definedName name="wrnn.all." localSheetId="9" hidden="1">{#N/A,#N/A,FALSE,"SUM";#N/A,#N/A,FALSE,"SK_TOT";#N/A,#N/A,FALSE,"YM";#N/A,#N/A,FALSE,"TSMC";#N/A,#N/A,FALSE,"ICW";#N/A,#N/A,FALSE,"Sheet1"}</definedName>
    <definedName name="xzxsfd" localSheetId="9" hidden="1">{"M1Print",#N/A,FALSE,"M1"}</definedName>
    <definedName name="苛" localSheetId="9" hidden="1">{"M1sPrint",#N/A,FALSE,"M1s"}</definedName>
  </definedNames>
  <calcPr calcId="191028" fullCalcOnLoad="1"/>
</workbook>
</file>

<file path=xl/styles.xml><?xml version="1.0" encoding="utf-8"?>
<styleSheet xmlns="http://schemas.openxmlformats.org/spreadsheetml/2006/main">
  <numFmts count="29">
    <numFmt numFmtId="164" formatCode="_(* #,##0_);_(* \(#,##0\);_(* &quot;-&quot;??_);_(@_)"/>
    <numFmt numFmtId="165" formatCode="0.0%"/>
    <numFmt numFmtId="166" formatCode="_ * #,##0.00_ ;_ * \-#,##0.00_ ;_ * &quot;-&quot;??_ ;_ @_ "/>
    <numFmt numFmtId="167" formatCode="#,##0.00_ ;[Red]\-#,##0.00\ "/>
    <numFmt numFmtId="168" formatCode="_-* #,##0.0000000000_-;\-* #,##0.0000000000_-;_-* &quot;-&quot;??_-;_-@_-"/>
    <numFmt numFmtId="169" formatCode="_-* #,##0_-;\-* #,##0_-;_-* &quot;-&quot;_-;_-@_-"/>
    <numFmt numFmtId="170" formatCode="\¥#,##0;\-\¥#,##0"/>
    <numFmt numFmtId="171" formatCode="#,##0;\(#,##0\)"/>
    <numFmt numFmtId="172" formatCode="&quot;$&quot;#,##0;[Red]&quot;$&quot;&quot;$&quot;&quot;$&quot;&quot;$&quot;&quot;$&quot;&quot;$&quot;&quot;$&quot;\-#,##0"/>
    <numFmt numFmtId="173" formatCode="#,##0;\-#,##0;&quot;-&quot;"/>
    <numFmt numFmtId="174" formatCode="&quot;\&quot;#,##0.00;[Red]&quot;\&quot;&quot;\&quot;&quot;\&quot;&quot;\&quot;&quot;\&quot;&quot;\&quot;\-#,##0.00"/>
    <numFmt numFmtId="175" formatCode="#,##0.0_);\(#,##0.0\)"/>
    <numFmt numFmtId="176" formatCode="&quot;$&quot;#,##0_);\(&quot;$&quot;#,##0\)"/>
    <numFmt numFmtId="177" formatCode="&quot;$&quot;#,##0.00_);\(&quot;$&quot;#,##0.00\)"/>
    <numFmt numFmtId="178" formatCode="\$#,##0.00;\(\$#,##0.00\)"/>
    <numFmt numFmtId="179" formatCode="\$#,##0;\(\$#,##0\)"/>
    <numFmt numFmtId="180" formatCode="_ [$€-2]* #,##0.00_ ;_ [$€-2]* \-#,##0.00_ ;_ [$€-2]* &quot;-&quot;??_ "/>
    <numFmt numFmtId="181" formatCode="&quot;\&quot;#,##0;[Red]&quot;\&quot;&quot;\&quot;\-#,##0"/>
    <numFmt numFmtId="182" formatCode="_(&quot;$&quot;* #,##0.00_);_(&quot;$&quot;* \(#,##0.00\);_(&quot;$&quot;* &quot;-&quot;??_);_(@_)"/>
    <numFmt numFmtId="183" formatCode="_-* #,##0\ _k_r_-;\-* #,##0\ _k_r_-;_-* &quot;-&quot;\ _k_r_-;_-@_-"/>
    <numFmt numFmtId="184" formatCode="_-* #,##0.00\ _k_r_-;\-* #,##0.00\ _k_r_-;_-* &quot;-&quot;??\ _k_r_-;_-@_-"/>
    <numFmt numFmtId="185" formatCode="#,##0.00_);#,##0.00\)"/>
    <numFmt numFmtId="186" formatCode="0.00000&quot;  &quot;"/>
    <numFmt numFmtId="187" formatCode="_-* #,##0.00_-;\-* #,##0.00_-;_-* &quot;-&quot;??_-;_-@_-"/>
    <numFmt numFmtId="188" formatCode="_-&quot;$&quot;* #,##0_-;\-&quot;$&quot;* #,##0_-;_-&quot;$&quot;* &quot;-&quot;_-;_-@_-"/>
    <numFmt numFmtId="189" formatCode="_-&quot;$&quot;* #,##0.00_-;\-&quot;$&quot;* #,##0.00_-;_-&quot;$&quot;* &quot;-&quot;??_-;_-@_-"/>
    <numFmt numFmtId="190" formatCode="&quot;\&quot;#,##0.00;[Red]&quot;\&quot;\-#,##0.00"/>
    <numFmt numFmtId="191" formatCode="&quot;\&quot;#,##0;[Red]&quot;\&quot;\-#,##0"/>
    <numFmt numFmtId="192"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s>
  <fonts count="166">
    <font>
      <name val="等线"/>
      <charset val="134"/>
      <color theme="1"/>
      <sz val="11"/>
      <scheme val="minor"/>
    </font>
    <font>
      <name val="等线"/>
      <family val="2"/>
      <color theme="1"/>
      <sz val="11"/>
      <scheme val="minor"/>
    </font>
    <font>
      <name val="等线"/>
      <family val="2"/>
      <color theme="1"/>
      <sz val="11"/>
      <scheme val="minor"/>
    </font>
    <font>
      <name val="Arial"/>
      <family val="2"/>
      <color theme="1"/>
      <sz val="10"/>
    </font>
    <font>
      <name val="Arial"/>
      <family val="2"/>
      <b val="1"/>
      <color rgb="FFFF0000"/>
      <sz val="10"/>
    </font>
    <font>
      <name val="Arial"/>
      <family val="2"/>
      <b val="1"/>
      <color theme="1"/>
      <sz val="10"/>
    </font>
    <font>
      <name val="Arial"/>
      <family val="2"/>
      <color rgb="FF000000"/>
      <sz val="10"/>
    </font>
    <font>
      <name val="Arial"/>
      <family val="2"/>
      <sz val="10"/>
    </font>
    <font>
      <name val="Arial"/>
      <family val="2"/>
      <color rgb="FFFF0000"/>
      <sz val="10"/>
    </font>
    <font>
      <name val="Arial"/>
      <family val="2"/>
      <b val="1"/>
      <sz val="10"/>
    </font>
    <font>
      <name val="Arial"/>
      <family val="2"/>
      <color theme="10"/>
      <sz val="10"/>
      <u val="single"/>
    </font>
    <font>
      <name val="Arial"/>
      <family val="2"/>
      <color indexed="8"/>
      <sz val="10"/>
    </font>
    <font>
      <name val="微软雅黑"/>
      <charset val="134"/>
      <family val="2"/>
      <b val="1"/>
      <sz val="10"/>
    </font>
    <font>
      <name val="Arial"/>
      <family val="2"/>
      <b val="1"/>
      <color indexed="8"/>
      <sz val="10"/>
    </font>
    <font>
      <name val="Arial"/>
      <family val="2"/>
      <b val="1"/>
      <color rgb="FF000000"/>
      <sz val="10"/>
    </font>
    <font>
      <name val="Arial"/>
      <family val="2"/>
      <b val="1"/>
      <color rgb="FF0000FF"/>
      <sz val="10"/>
    </font>
    <font>
      <name val="等线"/>
      <charset val="134"/>
      <family val="3"/>
      <color theme="0"/>
      <sz val="11"/>
      <scheme val="minor"/>
    </font>
    <font>
      <name val="宋体"/>
      <charset val="134"/>
      <family val="3"/>
      <color indexed="17"/>
      <sz val="11"/>
    </font>
    <font>
      <name val="MS Sans Serif"/>
      <family val="2"/>
      <color indexed="8"/>
      <sz val="10"/>
    </font>
    <font>
      <name val="宋体"/>
      <charset val="134"/>
      <family val="3"/>
      <color indexed="8"/>
      <sz val="12"/>
    </font>
    <font>
      <name val="宋体"/>
      <charset val="134"/>
      <family val="3"/>
      <sz val="12"/>
    </font>
    <font>
      <name val="宋体"/>
      <charset val="134"/>
      <family val="3"/>
      <color indexed="9"/>
      <sz val="12"/>
    </font>
    <font>
      <name val="Times New Roman"/>
      <family val="1"/>
      <sz val="9"/>
    </font>
    <font>
      <name val="宋体"/>
      <charset val="134"/>
      <family val="3"/>
      <color indexed="20"/>
      <sz val="11"/>
    </font>
    <font>
      <name val="宋体"/>
      <charset val="134"/>
      <family val="3"/>
      <color indexed="9"/>
      <sz val="11"/>
    </font>
    <font>
      <name val="宋体"/>
      <charset val="134"/>
      <family val="3"/>
      <color indexed="26"/>
      <sz val="11"/>
    </font>
    <font>
      <name val="宋体"/>
      <charset val="134"/>
      <family val="3"/>
      <sz val="10"/>
    </font>
    <font>
      <name val="Tms Rmn"/>
      <family val="1"/>
      <sz val="13"/>
    </font>
    <font>
      <name val="柧挬"/>
      <family val="2"/>
      <sz val="12"/>
    </font>
    <font>
      <name val="宋体"/>
      <charset val="134"/>
      <family val="3"/>
      <color indexed="12"/>
      <sz val="10"/>
      <u val="single"/>
    </font>
    <font>
      <name val="宋体"/>
      <charset val="134"/>
      <family val="3"/>
      <color theme="10"/>
      <sz val="11"/>
      <u val="single"/>
    </font>
    <font>
      <name val="Times New Roman"/>
      <family val="1"/>
      <sz val="12"/>
    </font>
    <font>
      <name val="宋体"/>
      <charset val="134"/>
      <family val="3"/>
      <color indexed="38"/>
      <sz val="11"/>
    </font>
    <font>
      <name val="ＭＳ Ｐゴシック"/>
      <family val="2"/>
      <sz val="11"/>
    </font>
    <font>
      <name val="Times New Roman"/>
      <family val="1"/>
      <sz val="10"/>
    </font>
    <font>
      <name val="宋体"/>
      <charset val="134"/>
      <family val="3"/>
      <color theme="1"/>
      <sz val="11"/>
    </font>
    <font>
      <name val="Helv"/>
      <family val="2"/>
      <b val="1"/>
      <sz val="10"/>
    </font>
    <font>
      <name val="宋体"/>
      <charset val="134"/>
      <family val="3"/>
      <b val="1"/>
      <color theme="0"/>
      <sz val="11"/>
    </font>
    <font>
      <name val="Tms Rmn"/>
      <family val="1"/>
      <b val="1"/>
      <sz val="13"/>
    </font>
    <font>
      <name val="宋体"/>
      <charset val="134"/>
      <family val="3"/>
      <color indexed="21"/>
      <sz val="11"/>
    </font>
    <font>
      <name val="宋体"/>
      <charset val="134"/>
      <family val="3"/>
      <color indexed="8"/>
      <sz val="11"/>
    </font>
    <font>
      <name val="宋体"/>
      <charset val="134"/>
      <family val="3"/>
      <color indexed="12"/>
      <sz val="12"/>
      <u val="single"/>
    </font>
    <font>
      <name val="宋体"/>
      <charset val="134"/>
      <family val="3"/>
      <b val="1"/>
      <color indexed="35"/>
      <sz val="18"/>
    </font>
    <font>
      <name val="EYInterstate Light"/>
      <sz val="8"/>
    </font>
    <font>
      <name val="Arial"/>
      <family val="2"/>
      <sz val="8"/>
    </font>
    <font>
      <name val="宋体"/>
      <charset val="134"/>
      <family val="3"/>
      <color rgb="FF006100"/>
      <sz val="11"/>
    </font>
    <font>
      <name val="Helv"/>
      <family val="2"/>
      <b val="1"/>
      <sz val="12"/>
    </font>
    <font>
      <name val="Arial"/>
      <family val="2"/>
      <b val="1"/>
      <sz val="12"/>
    </font>
    <font>
      <name val="Helv"/>
      <family val="2"/>
      <b val="1"/>
      <sz val="11"/>
    </font>
    <font>
      <name val="Century Schoolbook"/>
      <family val="1"/>
      <sz val="8"/>
    </font>
    <font>
      <name val="柧挬"/>
      <family val="2"/>
      <sz val="14"/>
    </font>
    <font>
      <name val="Arial Narrow"/>
      <family val="2"/>
      <sz val="10"/>
    </font>
    <font>
      <name val="Calibri"/>
      <family val="2"/>
      <color indexed="8"/>
      <sz val="11"/>
    </font>
    <font>
      <name val="宋体"/>
      <charset val="134"/>
      <family val="3"/>
      <sz val="10"/>
    </font>
    <font>
      <name val="Century Schoolbook"/>
      <family val="1"/>
      <color indexed="16"/>
      <sz val="8"/>
    </font>
    <font>
      <name val="Arial"/>
      <family val="2"/>
      <color indexed="39"/>
      <sz val="10"/>
    </font>
    <font>
      <name val="Arial"/>
      <family val="2"/>
      <b val="1"/>
      <color indexed="39"/>
      <sz val="10"/>
    </font>
    <font>
      <name val="Arial"/>
      <family val="2"/>
      <b val="1"/>
      <color indexed="8"/>
      <sz val="12"/>
    </font>
    <font>
      <name val="宋体"/>
      <charset val="134"/>
      <family val="3"/>
      <b val="1"/>
      <color indexed="62"/>
      <sz val="18"/>
    </font>
    <font>
      <name val="Arial"/>
      <family val="2"/>
      <color indexed="48"/>
      <sz val="19"/>
    </font>
    <font>
      <name val="Arial"/>
      <family val="2"/>
      <color indexed="10"/>
      <sz val="10"/>
    </font>
    <font>
      <name val="Times New Roman"/>
      <family val="1"/>
      <b val="1"/>
      <i val="1"/>
      <sz val="10"/>
    </font>
    <font>
      <name val="Geneva"/>
      <family val="2"/>
      <sz val="10"/>
    </font>
    <font>
      <name val="Times New Roman"/>
      <family val="1"/>
      <b val="1"/>
      <sz val="9"/>
    </font>
    <font>
      <name val="바탕체"/>
      <family val="3"/>
      <sz val="12"/>
    </font>
    <font>
      <name val="明朝"/>
      <charset val="255"/>
      <family val="1"/>
      <sz val="11"/>
    </font>
    <font>
      <name val="宋体"/>
      <charset val="134"/>
      <family val="3"/>
      <color indexed="16"/>
      <sz val="12"/>
    </font>
    <font>
      <name val="宋体"/>
      <charset val="134"/>
      <family val="3"/>
      <b val="1"/>
      <color indexed="8"/>
      <sz val="12"/>
    </font>
    <font>
      <name val="宋体"/>
      <charset val="134"/>
      <family val="3"/>
      <color indexed="17"/>
      <sz val="12"/>
    </font>
    <font>
      <name val="新細明體"/>
      <family val="1"/>
      <sz val="12"/>
    </font>
    <font>
      <name val="官帕眉"/>
      <family val="2"/>
      <sz val="12"/>
    </font>
    <font>
      <name val="奔覆眉"/>
      <family val="2"/>
      <sz val="10"/>
    </font>
    <font>
      <name val="微软雅黑"/>
      <charset val="134"/>
      <family val="2"/>
      <color rgb="FFFF0000"/>
      <sz val="10"/>
      <u val="single"/>
    </font>
    <font>
      <name val="微软雅黑"/>
      <charset val="134"/>
      <family val="2"/>
      <color rgb="FF000000"/>
      <sz val="10"/>
    </font>
    <font>
      <name val="等线"/>
      <charset val="134"/>
      <family val="3"/>
      <color theme="1"/>
      <sz val="11"/>
      <scheme val="minor"/>
    </font>
    <font>
      <name val="等线"/>
      <charset val="134"/>
      <family val="3"/>
      <sz val="9"/>
      <scheme val="minor"/>
    </font>
    <font>
      <name val="等线"/>
      <charset val="134"/>
      <family val="2"/>
      <color theme="1"/>
      <sz val="11"/>
      <scheme val="minor"/>
    </font>
    <font>
      <name val="等线"/>
      <family val="2"/>
      <color theme="10"/>
      <sz val="11"/>
      <u val="single"/>
      <scheme val="minor"/>
    </font>
    <font>
      <name val="宋体"/>
      <charset val="134"/>
      <family val="3"/>
      <sz val="10"/>
    </font>
    <font>
      <name val="微软雅黑"/>
      <charset val="134"/>
      <family val="2"/>
      <b val="1"/>
      <color rgb="FFFF0000"/>
      <sz val="14"/>
    </font>
    <font>
      <name val="等线"/>
      <charset val="134"/>
      <family val="3"/>
      <sz val="9"/>
      <scheme val="minor"/>
    </font>
    <font>
      <name val="Arial"/>
      <family val="2"/>
      <color theme="1"/>
      <sz val="14"/>
    </font>
    <font>
      <name val="微软雅黑"/>
      <charset val="134"/>
      <family val="2"/>
      <color theme="1"/>
      <sz val="14"/>
    </font>
    <font>
      <name val="Arial"/>
      <family val="2"/>
      <b val="1"/>
      <color theme="1"/>
      <sz val="14"/>
    </font>
    <font>
      <name val="微软雅黑"/>
      <charset val="134"/>
      <family val="2"/>
      <b val="1"/>
      <color theme="1"/>
      <sz val="14"/>
    </font>
    <font>
      <name val="微软雅黑"/>
      <charset val="134"/>
      <family val="2"/>
      <sz val="14"/>
    </font>
    <font>
      <name val="Arial"/>
      <charset val="134"/>
      <family val="2"/>
      <color theme="1"/>
      <sz val="9"/>
    </font>
    <font>
      <name val="等线"/>
      <charset val="128"/>
      <family val="3"/>
      <sz val="6"/>
      <scheme val="minor"/>
    </font>
    <font>
      <name val="Arial"/>
      <family val="2"/>
      <color theme="1"/>
      <sz val="11"/>
    </font>
    <font>
      <name val="Arial"/>
      <family val="2"/>
      <b val="1"/>
      <i val="1"/>
      <color rgb="FFFF0000"/>
      <sz val="10"/>
    </font>
    <font>
      <name val="Arial"/>
      <family val="2"/>
      <color theme="0"/>
      <sz val="10"/>
    </font>
    <font>
      <name val="Arial"/>
      <family val="2"/>
      <b val="1"/>
      <strike val="1"/>
      <color rgb="FF0000FF"/>
      <sz val="10"/>
    </font>
    <font>
      <name val="微软雅黑"/>
      <charset val="134"/>
      <family val="2"/>
      <b val="1"/>
      <color rgb="FFFFFFFF"/>
      <sz val="14"/>
    </font>
    <font>
      <name val="Arial"/>
      <family val="2"/>
      <b val="1"/>
      <color theme="0"/>
      <sz val="14"/>
    </font>
    <font>
      <name val="Arial"/>
      <family val="2"/>
      <b val="1"/>
      <color rgb="FFFFC000"/>
      <sz val="14"/>
    </font>
    <font>
      <name val="Arial"/>
      <family val="2"/>
      <b val="1"/>
      <color rgb="FF000000"/>
      <sz val="12"/>
    </font>
    <font>
      <name val="Arial"/>
      <family val="2"/>
      <b val="1"/>
      <color indexed="8"/>
      <sz val="18"/>
    </font>
    <font>
      <name val="Tahoma"/>
      <family val="2"/>
      <color theme="1"/>
      <sz val="10"/>
    </font>
    <font>
      <name val="微软雅黑"/>
      <family val="2"/>
      <b val="1"/>
      <color rgb="FFFF0000"/>
      <sz val="10"/>
    </font>
    <font>
      <name val="Arial"/>
      <family val="2"/>
      <color rgb="FF242424"/>
      <sz val="10"/>
    </font>
    <font>
      <name val="times new roman"/>
      <family val="2"/>
      <color theme="1"/>
      <sz val="10"/>
    </font>
    <font>
      <name val="Arial"/>
      <family val="2"/>
      <color theme="1"/>
      <sz val="16"/>
    </font>
    <font>
      <name val="Arial"/>
      <family val="2"/>
      <b val="1"/>
      <color rgb="FFFFC000"/>
      <sz val="16"/>
    </font>
    <font>
      <name val="Arial"/>
      <family val="2"/>
      <b val="1"/>
      <color rgb="FFFFFFFF"/>
      <sz val="16"/>
    </font>
    <font>
      <name val="Arial"/>
      <family val="2"/>
      <b val="1"/>
      <color theme="1"/>
      <sz val="16"/>
    </font>
    <font>
      <name val="Arial"/>
      <family val="2"/>
      <sz val="16"/>
    </font>
    <font>
      <name val="Arial"/>
      <family val="2"/>
      <i val="1"/>
      <color rgb="FF000000"/>
      <sz val="10"/>
    </font>
    <font>
      <name val="Arial"/>
      <family val="2"/>
      <color theme="1"/>
      <sz val="12"/>
    </font>
    <font>
      <name val="Arial"/>
      <family val="2"/>
      <b val="1"/>
      <color rgb="FFFF0000"/>
      <sz val="12"/>
    </font>
    <font>
      <name val="等线"/>
      <charset val="134"/>
      <family val="2"/>
      <color theme="1"/>
      <sz val="11"/>
      <scheme val="minor"/>
    </font>
    <font>
      <name val="Arial"/>
      <family val="2"/>
      <b val="1"/>
      <color indexed="10"/>
      <sz val="10"/>
    </font>
    <font>
      <name val="Arial"/>
      <family val="2"/>
      <i val="1"/>
      <sz val="10"/>
    </font>
    <font>
      <name val="Arial"/>
      <family val="2"/>
      <b val="1"/>
      <color rgb="FFED0000"/>
      <sz val="10"/>
    </font>
    <font>
      <name val="Arial"/>
      <family val="2"/>
      <i val="1"/>
      <color theme="1"/>
      <sz val="10"/>
    </font>
    <font>
      <name val="Arial"/>
      <family val="2"/>
      <b val="1"/>
      <color rgb="FFFF0000"/>
      <sz val="10"/>
      <u val="single"/>
    </font>
    <font>
      <name val="Arial"/>
      <family val="2"/>
      <color rgb="FFFF0000"/>
      <sz val="10"/>
      <u val="single"/>
    </font>
    <font>
      <name val="Arial"/>
      <family val="2"/>
      <b val="1"/>
      <color theme="1"/>
      <sz val="12"/>
    </font>
    <font>
      <name val="Arial"/>
      <family val="2"/>
      <sz val="11"/>
    </font>
    <font>
      <name val="微软雅黑"/>
      <family val="2"/>
      <color theme="1"/>
      <sz val="10"/>
    </font>
    <font>
      <name val="微软雅黑"/>
      <family val="2"/>
      <b val="1"/>
      <sz val="11"/>
    </font>
    <font>
      <name val="微软雅黑"/>
      <family val="2"/>
      <i val="1"/>
      <sz val="10"/>
    </font>
    <font>
      <name val="微软雅黑"/>
      <family val="2"/>
      <sz val="10"/>
    </font>
    <font>
      <name val="微软雅黑"/>
      <charset val="134"/>
      <family val="2"/>
      <color rgb="FFFFFFFF"/>
      <sz val="14"/>
    </font>
    <font>
      <name val="微软雅黑"/>
      <charset val="134"/>
      <family val="2"/>
      <color rgb="FF000000"/>
      <sz val="14"/>
    </font>
    <font>
      <name val="微软雅黑"/>
      <charset val="134"/>
      <family val="2"/>
      <b val="1"/>
      <i val="1"/>
      <color rgb="FFFF0000"/>
      <sz val="14"/>
    </font>
    <font>
      <name val="Arial"/>
      <family val="2"/>
      <b val="1"/>
      <i val="1"/>
      <color rgb="FFFF0000"/>
      <sz val="9"/>
    </font>
    <font>
      <name val="Arial"/>
      <family val="2"/>
      <b val="1"/>
      <color rgb="FFFF0000"/>
      <sz val="10"/>
      <vertAlign val="superscript"/>
    </font>
    <font>
      <name val="Arial"/>
      <family val="2"/>
      <b val="1"/>
      <color rgb="FFFF0000"/>
      <sz val="11"/>
    </font>
    <font>
      <name val="Arial"/>
      <family val="2"/>
      <b val="1"/>
      <sz val="11"/>
    </font>
    <font>
      <name val="微软雅黑"/>
      <family val="2"/>
      <b val="1"/>
      <sz val="10"/>
    </font>
    <font>
      <name val="微软雅黑"/>
      <family val="2"/>
      <b val="1"/>
      <color rgb="FFFF0000"/>
      <sz val="14"/>
    </font>
    <font>
      <name val="微软雅黑"/>
      <family val="2"/>
      <color rgb="FF000000"/>
      <sz val="14"/>
    </font>
    <font>
      <name val="微软雅黑"/>
      <charset val="134"/>
      <family val="2"/>
      <b val="1"/>
      <sz val="14"/>
    </font>
    <font>
      <name val="微软雅黑"/>
      <charset val="134"/>
      <family val="2"/>
      <b val="1"/>
      <color theme="0"/>
      <sz val="14"/>
    </font>
    <font>
      <name val="微软雅黑"/>
      <family val="2"/>
      <b val="1"/>
      <color theme="0"/>
      <sz val="14"/>
    </font>
    <font>
      <name val="微软雅黑"/>
      <family val="2"/>
      <b val="1"/>
      <sz val="12"/>
    </font>
    <font>
      <name val="微软雅黑"/>
      <family val="2"/>
      <b val="1"/>
      <color rgb="FF000000"/>
      <sz val="12"/>
    </font>
    <font>
      <name val="微软雅黑"/>
      <family val="2"/>
      <color rgb="FFFF0000"/>
      <sz val="10"/>
      <u val="single"/>
    </font>
    <font>
      <name val="微软雅黑"/>
      <family val="2"/>
      <color rgb="FF000000"/>
      <sz val="10"/>
    </font>
    <font>
      <name val="微软雅黑"/>
      <family val="2"/>
      <b val="1"/>
      <i val="1"/>
      <color rgb="FFFF0000"/>
      <sz val="9"/>
    </font>
    <font>
      <name val="微软雅黑"/>
      <family val="2"/>
      <b val="1"/>
      <color rgb="FF000000"/>
      <sz val="10"/>
    </font>
    <font>
      <name val="微软雅黑"/>
      <family val="2"/>
      <b val="1"/>
      <color theme="1"/>
      <sz val="10"/>
    </font>
    <font>
      <name val="微软雅黑"/>
      <family val="2"/>
      <b val="1"/>
      <i val="1"/>
      <color rgb="FFFF0000"/>
      <sz val="10"/>
    </font>
    <font>
      <name val="微软雅黑"/>
      <family val="2"/>
      <i val="1"/>
      <color theme="1"/>
      <sz val="10"/>
    </font>
    <font>
      <name val="微软雅黑"/>
      <family val="2"/>
      <b val="1"/>
      <color rgb="FFFF0000"/>
      <sz val="11"/>
    </font>
    <font>
      <name val="Arial"/>
      <family val="2"/>
      <b val="1"/>
      <color rgb="FF000000"/>
      <sz val="11"/>
    </font>
    <font>
      <name val="微软雅黑"/>
      <family val="2"/>
      <b val="1"/>
      <color indexed="8"/>
      <sz val="10"/>
    </font>
    <font>
      <name val="Arial"/>
      <family val="2"/>
      <strike val="1"/>
      <color rgb="FFFF0000"/>
      <sz val="10"/>
    </font>
    <font>
      <name val="DengXian"/>
      <charset val="134"/>
      <family val="2"/>
      <b val="1"/>
      <i val="1"/>
      <color rgb="FFFF0000"/>
      <sz val="10"/>
    </font>
    <font>
      <name val="微软雅黑"/>
      <family val="2"/>
      <b val="1"/>
      <color rgb="FFFF0000"/>
      <sz val="10"/>
      <u val="single"/>
    </font>
    <font>
      <name val="微软雅黑"/>
      <charset val="134"/>
      <family val="2"/>
      <b val="1"/>
      <color rgb="FF000000"/>
      <sz val="10"/>
    </font>
    <font>
      <name val="微软雅黑"/>
      <charset val="134"/>
      <family val="2"/>
      <b val="1"/>
      <i val="1"/>
      <color rgb="FFFF0000"/>
      <sz val="10"/>
    </font>
    <font>
      <name val="Arial"/>
      <family val="2"/>
      <b val="1"/>
      <color rgb="FFFF0000"/>
      <sz val="14"/>
    </font>
    <font>
      <name val="等线"/>
      <charset val="134"/>
      <family val="2"/>
      <sz val="10"/>
    </font>
    <font>
      <name val="等线"/>
      <charset val="134"/>
      <family val="2"/>
      <b val="1"/>
      <color rgb="FFFF0000"/>
      <sz val="10"/>
    </font>
    <font>
      <name val="微软雅黑"/>
      <charset val="134"/>
      <family val="2"/>
      <b val="1"/>
      <color rgb="FFFF0000"/>
      <sz val="10"/>
    </font>
    <font>
      <name val="Arial"/>
      <family val="2"/>
      <b val="1"/>
      <color rgb="FF0563C1"/>
      <sz val="10"/>
      <u val="single"/>
    </font>
    <font>
      <name val="Arial"/>
      <family val="2"/>
      <b val="1"/>
      <color rgb="FF0000CC"/>
      <sz val="10"/>
    </font>
    <font>
      <name val="Arial"/>
      <family val="2"/>
      <i val="1"/>
      <color theme="4" tint="-0.249977111117893"/>
      <sz val="10"/>
      <vertAlign val="superscript"/>
    </font>
    <font>
      <name val="等线"/>
      <charset val="134"/>
      <family val="3"/>
      <color theme="1"/>
      <sz val="10"/>
      <scheme val="minor"/>
    </font>
    <font>
      <name val="等线"/>
      <charset val="134"/>
      <family val="2"/>
      <b val="1"/>
      <color rgb="FF000000"/>
      <sz val="10"/>
    </font>
    <font>
      <name val="Arial"/>
      <family val="2"/>
      <b val="1"/>
      <color rgb="FF000000"/>
      <sz val="14"/>
    </font>
    <font>
      <name val="Arial"/>
      <family val="2"/>
      <b val="1"/>
      <color theme="10"/>
      <sz val="10"/>
      <u val="single"/>
    </font>
    <font>
      <name val="等线"/>
      <charset val="134"/>
      <family val="3"/>
      <color theme="10"/>
      <sz val="11"/>
      <u val="single"/>
      <scheme val="minor"/>
    </font>
    <font>
      <name val="微软雅黑"/>
      <charset val="134"/>
      <family val="2"/>
      <color theme="10"/>
      <sz val="10"/>
      <u val="single"/>
    </font>
    <font>
      <name val="Arial"/>
      <family val="2"/>
      <b val="1"/>
      <color rgb="FFFF0000"/>
      <sz val="16"/>
    </font>
  </fonts>
  <fills count="55">
    <fill>
      <patternFill/>
    </fill>
    <fill>
      <patternFill patternType="gray125"/>
    </fill>
    <fill>
      <patternFill patternType="solid">
        <fgColor theme="0"/>
        <bgColor indexed="64"/>
      </patternFill>
    </fill>
    <fill>
      <patternFill patternType="solid">
        <fgColor theme="6"/>
        <bgColor indexed="64"/>
      </patternFill>
    </fill>
    <fill>
      <patternFill patternType="solid">
        <fgColor theme="4"/>
        <bgColor indexed="64"/>
      </patternFill>
    </fill>
    <fill>
      <patternFill patternType="solid">
        <fgColor indexed="42"/>
        <bgColor indexed="64"/>
      </patternFill>
    </fill>
    <fill>
      <patternFill patternType="solid">
        <fgColor indexed="26"/>
        <bgColor indexed="64"/>
      </patternFill>
    </fill>
    <fill>
      <patternFill patternType="solid">
        <fgColor indexed="22"/>
        <bgColor indexed="64"/>
      </patternFill>
    </fill>
    <fill>
      <patternFill patternType="solid">
        <fgColor indexed="55"/>
        <bgColor indexed="64"/>
      </patternFill>
    </fill>
    <fill>
      <patternFill patternType="solid">
        <fgColor indexed="45"/>
        <bgColor indexed="64"/>
      </patternFill>
    </fill>
    <fill>
      <patternFill patternType="solid">
        <fgColor indexed="56"/>
        <bgColor indexed="64"/>
      </patternFill>
    </fill>
    <fill>
      <patternFill patternType="solid">
        <fgColor indexed="51"/>
        <bgColor indexed="64"/>
      </patternFill>
    </fill>
    <fill>
      <patternFill patternType="solid">
        <fgColor indexed="43"/>
        <bgColor indexed="64"/>
      </patternFill>
    </fill>
    <fill>
      <patternFill patternType="solid">
        <fgColor indexed="40"/>
        <bgColor indexed="64"/>
      </patternFill>
    </fill>
    <fill>
      <patternFill patternType="solid">
        <fgColor indexed="29"/>
        <bgColor indexed="64"/>
      </patternFill>
    </fill>
    <fill>
      <patternFill patternType="solid">
        <fgColor indexed="41"/>
        <bgColor indexed="64"/>
      </patternFill>
    </fill>
    <fill>
      <patternFill patternType="solid">
        <fgColor indexed="47"/>
        <bgColor indexed="64"/>
      </patternFill>
    </fill>
    <fill>
      <patternFill patternType="solid">
        <fgColor indexed="31"/>
        <bgColor indexed="64"/>
      </patternFill>
    </fill>
    <fill>
      <patternFill patternType="solid">
        <fgColor indexed="25"/>
        <bgColor indexed="64"/>
      </patternFill>
    </fill>
    <fill>
      <patternFill patternType="solid">
        <fgColor indexed="54"/>
        <bgColor indexed="64"/>
      </patternFill>
    </fill>
    <fill>
      <patternFill patternType="solid">
        <fgColor indexed="44"/>
        <bgColor indexed="64"/>
      </patternFill>
    </fill>
    <fill>
      <patternFill patternType="solid">
        <fgColor theme="5"/>
        <bgColor indexed="64"/>
      </patternFill>
    </fill>
    <fill>
      <patternFill patternType="solid">
        <fgColor indexed="53"/>
        <bgColor indexed="64"/>
      </patternFill>
    </fill>
    <fill>
      <patternFill patternType="solid">
        <fgColor theme="7"/>
        <bgColor indexed="64"/>
      </patternFill>
    </fill>
    <fill>
      <patternFill patternType="solid">
        <fgColor indexed="49"/>
        <bgColor indexed="64"/>
      </patternFill>
    </fill>
    <fill>
      <patternFill patternType="solid">
        <fgColor indexed="27"/>
        <bgColor indexed="64"/>
      </patternFill>
    </fill>
    <fill>
      <patternFill patternType="solid">
        <fgColor theme="8"/>
        <bgColor indexed="64"/>
      </patternFill>
    </fill>
    <fill>
      <patternFill patternType="solid">
        <fgColor indexed="52"/>
        <bgColor indexed="64"/>
      </patternFill>
    </fill>
    <fill>
      <patternFill patternType="lightUp">
        <fgColor indexed="48"/>
        <bgColor indexed="41"/>
      </patternFill>
    </fill>
    <fill>
      <patternFill patternType="solid">
        <fgColor theme="9"/>
        <bgColor indexed="64"/>
      </patternFill>
    </fill>
    <fill>
      <patternFill patternType="solid">
        <fgColor indexed="24"/>
        <bgColor indexed="64"/>
      </patternFill>
    </fill>
    <fill>
      <patternFill patternType="solid">
        <fgColor indexed="18"/>
        <bgColor indexed="64"/>
      </patternFill>
    </fill>
    <fill>
      <patternFill patternType="solid">
        <fgColor indexed="13"/>
        <bgColor indexed="64"/>
      </patternFill>
    </fill>
    <fill>
      <patternFill patternType="solid">
        <fgColor indexed="10"/>
        <bgColor indexed="64"/>
      </patternFill>
    </fill>
    <fill>
      <patternFill patternType="solid">
        <fgColor indexed="57"/>
        <bgColor indexed="64"/>
      </patternFill>
    </fill>
    <fill>
      <patternFill patternType="solid">
        <fgColor indexed="50"/>
        <bgColor indexed="64"/>
      </patternFill>
    </fill>
    <fill>
      <patternFill patternType="solid">
        <fgColor indexed="11"/>
        <bgColor indexed="64"/>
      </patternFill>
    </fill>
    <fill>
      <patternFill patternType="solid">
        <fgColor indexed="15"/>
        <bgColor indexed="64"/>
      </patternFill>
    </fill>
    <fill>
      <patternFill patternType="lightUp">
        <fgColor indexed="9"/>
        <bgColor indexed="22"/>
      </patternFill>
    </fill>
    <fill>
      <patternFill patternType="lightUp">
        <fgColor indexed="9"/>
        <bgColor indexed="55"/>
      </patternFill>
    </fill>
    <fill>
      <patternFill patternType="lightUp">
        <fgColor indexed="9"/>
        <bgColor indexed="29"/>
      </patternFill>
    </fill>
    <fill>
      <patternFill patternType="solid">
        <fgColor theme="0" tint="-0.3499862666707358"/>
        <bgColor indexed="64"/>
      </patternFill>
    </fill>
    <fill>
      <patternFill patternType="solid">
        <fgColor rgb="FF333399"/>
        <bgColor indexed="64"/>
      </patternFill>
    </fill>
    <fill>
      <patternFill patternType="solid">
        <fgColor theme="1"/>
        <bgColor indexed="64"/>
      </patternFill>
    </fill>
    <fill>
      <patternFill patternType="solid">
        <fgColor theme="0" tint="-0.0499893185216834"/>
        <bgColor indexed="64"/>
      </patternFill>
    </fill>
    <fill>
      <patternFill patternType="solid">
        <fgColor rgb="FFF2F2F2"/>
        <bgColor rgb="FF000000"/>
      </patternFill>
    </fill>
    <fill>
      <patternFill patternType="solid">
        <fgColor rgb="FFDDEBF7"/>
        <bgColor rgb="FF000000"/>
      </patternFill>
    </fill>
    <fill>
      <patternFill patternType="solid">
        <fgColor rgb="FFFFFFFF"/>
        <bgColor rgb="FF000000"/>
      </patternFill>
    </fill>
    <fill>
      <patternFill patternType="solid">
        <fgColor rgb="FF000000"/>
        <bgColor rgb="FF000000"/>
      </patternFill>
    </fill>
    <fill>
      <patternFill patternType="solid">
        <fgColor indexed="65"/>
        <bgColor indexed="64"/>
      </patternFill>
    </fill>
    <fill>
      <patternFill patternType="solid">
        <fgColor rgb="FFA6A6A6"/>
        <bgColor rgb="FF000000"/>
      </patternFill>
    </fill>
    <fill>
      <patternFill patternType="solid">
        <fgColor theme="4" tint="0.7999816888943144"/>
        <bgColor rgb="FF000000"/>
      </patternFill>
    </fill>
    <fill>
      <patternFill patternType="solid">
        <fgColor theme="0" tint="-0.3499862666707358"/>
        <bgColor rgb="FF000000"/>
      </patternFill>
    </fill>
    <fill>
      <patternFill patternType="solid">
        <fgColor rgb="FFD9E1F2"/>
        <bgColor indexed="64"/>
      </patternFill>
    </fill>
    <fill>
      <patternFill patternType="solid">
        <fgColor rgb="FFFFFFCC"/>
        <bgColor rgb="FF000000"/>
      </patternFill>
    </fill>
  </fills>
  <borders count="68">
    <border>
      <left/>
      <right/>
      <top/>
      <bottom/>
      <diagonal/>
    </border>
    <border>
      <left/>
      <right/>
      <top/>
      <bottom style="thin">
        <color auto="1"/>
      </bottom>
      <diagonal/>
    </border>
    <border>
      <left/>
      <right/>
      <top/>
      <bottom style="medium">
        <color auto="1"/>
      </bottom>
      <diagonal/>
    </border>
    <border>
      <left style="thin">
        <color auto="1"/>
      </left>
      <right/>
      <top/>
      <bottom/>
      <diagonal/>
    </border>
    <border>
      <left style="thin">
        <color auto="1"/>
      </left>
      <right/>
      <top/>
      <bottom style="thin">
        <color auto="1"/>
      </bottom>
      <diagonal/>
    </border>
    <border>
      <left/>
      <right/>
      <top style="medium">
        <color auto="1"/>
      </top>
      <bottom style="medium">
        <color auto="1"/>
      </bottom>
      <diagonal/>
    </border>
    <border>
      <left/>
      <right style="thin">
        <color auto="1"/>
      </right>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style="double">
        <color indexed="8"/>
      </left>
      <right style="double">
        <color indexed="8"/>
      </right>
      <top style="double">
        <color indexed="8"/>
      </top>
      <bottom style="double">
        <color indexed="8"/>
      </bottom>
      <diagonal/>
    </border>
    <border>
      <left style="hair">
        <color auto="1"/>
      </left>
      <right style="hair">
        <color auto="1"/>
      </right>
      <top style="hair">
        <color auto="1"/>
      </top>
      <bottom style="hair">
        <color auto="1"/>
      </bottom>
      <diagonal/>
    </border>
    <border>
      <left style="thin">
        <color auto="1"/>
      </left>
      <right style="thin">
        <color auto="1"/>
      </right>
      <top/>
      <bottom/>
      <diagonal/>
    </border>
    <border>
      <left style="thin">
        <color rgb="FF000000"/>
      </left>
      <right style="thin">
        <color rgb="FF000000"/>
      </right>
      <top style="thin">
        <color rgb="FF000000"/>
      </top>
      <bottom style="thin">
        <color rgb="FF000000"/>
      </bottom>
      <diagonal/>
    </border>
    <border>
      <left/>
      <right style="thin">
        <color auto="1"/>
      </right>
      <top/>
      <bottom/>
      <diagonal/>
    </border>
    <border>
      <left/>
      <right/>
      <top style="thin">
        <color indexed="64"/>
      </top>
      <bottom style="double">
        <color indexed="64"/>
      </bottom>
      <diagonal/>
    </border>
    <border>
      <left/>
      <right/>
      <top style="double">
        <color indexed="64"/>
      </top>
      <bottom/>
      <diagonal/>
    </border>
    <border>
      <left/>
      <right/>
      <top/>
      <bottom style="double">
        <color indexed="64"/>
      </bottom>
      <diagonal/>
    </border>
    <border>
      <left style="thin">
        <color auto="1"/>
      </left>
      <right style="thin">
        <color auto="1"/>
      </right>
      <top style="thin">
        <color auto="1"/>
      </top>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style="thin">
        <color rgb="FF000000"/>
      </right>
      <top/>
      <bottom/>
      <diagonal/>
    </border>
    <border>
      <left style="thin">
        <color rgb="FF000000"/>
      </left>
      <right/>
      <top/>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style="thin">
        <color auto="1"/>
      </right>
      <top style="thin">
        <color indexed="64"/>
      </top>
      <bottom style="thin">
        <color auto="1"/>
      </bottom>
      <diagonal/>
    </border>
    <border>
      <left/>
      <right style="thin">
        <color rgb="FF000000"/>
      </right>
      <top/>
      <bottom style="thin">
        <color auto="1"/>
      </bottom>
      <diagonal/>
    </border>
    <border>
      <left style="thin">
        <color rgb="FF000000"/>
      </left>
      <right/>
      <top style="thin">
        <color auto="1"/>
      </top>
      <bottom style="thin">
        <color rgb="FF000000"/>
      </bottom>
      <diagonal/>
    </border>
    <border>
      <left style="thin">
        <color rgb="FF000000"/>
      </left>
      <right style="thin">
        <color rgb="FF000000"/>
      </right>
      <top style="thin">
        <color rgb="FF000000"/>
      </top>
      <bottom/>
      <diagonal/>
    </border>
    <border>
      <left style="thin">
        <color rgb="FF000000"/>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medium">
        <color indexed="64"/>
      </right>
      <top style="thin">
        <color rgb="FF000000"/>
      </top>
      <bottom style="thin">
        <color indexed="64"/>
      </bottom>
      <diagonal/>
    </border>
    <border>
      <left style="medium">
        <color indexed="64"/>
      </left>
      <right style="medium">
        <color indexed="64"/>
      </right>
      <top style="thin">
        <color rgb="FF000000"/>
      </top>
      <bottom style="thin">
        <color indexed="64"/>
      </bottom>
      <diagonal/>
    </border>
    <border>
      <left style="medium">
        <color auto="1"/>
      </left>
      <right style="thin">
        <color rgb="FF000000"/>
      </right>
      <top style="thin">
        <color rgb="FF000000"/>
      </top>
      <bottom style="thin">
        <color indexed="64"/>
      </bottom>
      <diagonal/>
    </border>
    <border>
      <left/>
      <right style="thin">
        <color rgb="FF000000"/>
      </right>
      <top style="thin">
        <color rgb="FF000000"/>
      </top>
      <bottom style="thin">
        <color rgb="FF000000"/>
      </bottom>
      <diagonal/>
    </border>
    <border>
      <left style="thin">
        <color auto="1"/>
      </left>
      <right/>
      <top style="thin">
        <color auto="1"/>
      </top>
      <bottom style="thin">
        <color auto="1"/>
      </bottom>
      <diagonal/>
    </border>
    <border>
      <left/>
      <right style="thin">
        <color indexed="64"/>
      </right>
      <top style="thin">
        <color indexed="64"/>
      </top>
      <bottom style="thin">
        <color indexed="64"/>
      </bottom>
      <diagonal/>
    </border>
    <border>
      <left/>
      <right style="thin">
        <color rgb="FF000000"/>
      </right>
      <top style="thin">
        <color indexed="64"/>
      </top>
      <bottom style="thin">
        <color indexed="64"/>
      </bottom>
      <diagonal/>
    </border>
    <border>
      <left style="medium">
        <color indexed="64"/>
      </left>
      <right/>
      <top style="thin">
        <color auto="1"/>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style="medium">
        <color indexed="64"/>
      </right>
      <top style="thin">
        <color indexed="64"/>
      </top>
      <bottom/>
      <diagonal/>
    </border>
    <border>
      <left style="medium">
        <color auto="1"/>
      </left>
      <right style="thin">
        <color auto="1"/>
      </right>
      <top style="thin">
        <color auto="1"/>
      </top>
      <bottom/>
      <diagonal/>
    </border>
    <border>
      <left style="thin">
        <color auto="1"/>
      </left>
      <right style="thin">
        <color indexed="64"/>
      </right>
      <top style="thin">
        <color auto="1"/>
      </top>
      <bottom style="thin">
        <color auto="1"/>
      </bottom>
      <diagonal/>
    </border>
    <border>
      <left/>
      <right/>
      <top style="thin">
        <color auto="1"/>
      </top>
      <bottom/>
      <diagonal/>
    </border>
    <border>
      <left/>
      <right style="thin">
        <color indexed="64"/>
      </right>
      <top style="thin">
        <color auto="1"/>
      </top>
      <bottom/>
      <diagonal/>
    </border>
    <border>
      <left/>
      <right style="thin">
        <color indexed="64"/>
      </right>
      <top style="thin">
        <color auto="1"/>
      </top>
      <bottom style="thin">
        <color auto="1"/>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auto="1"/>
      </right>
      <top style="thin">
        <color indexed="64"/>
      </top>
      <bottom style="thin">
        <color auto="1"/>
      </bottom>
      <diagonal/>
    </border>
    <border>
      <left/>
      <right style="thin">
        <color auto="1"/>
      </right>
      <top style="thin">
        <color indexed="64"/>
      </top>
      <bottom/>
      <diagonal/>
    </border>
    <border>
      <left style="thin">
        <color indexed="64"/>
      </left>
      <right/>
      <top/>
      <bottom style="thin">
        <color auto="1"/>
      </bottom>
      <diagonal/>
    </border>
    <border>
      <left style="thin">
        <color rgb="FF000000"/>
      </left>
      <right style="thin">
        <color indexed="64"/>
      </right>
      <top style="thin">
        <color indexed="64"/>
      </top>
      <bottom style="thin">
        <color indexed="64"/>
      </bottom>
      <diagonal/>
    </border>
    <border>
      <left style="thin">
        <color auto="1"/>
      </left>
      <right style="thin">
        <color rgb="FF000000"/>
      </right>
      <top style="thin">
        <color auto="1"/>
      </top>
      <bottom style="thin">
        <color auto="1"/>
      </bottom>
      <diagonal/>
    </border>
    <border>
      <left/>
      <right style="thin">
        <color rgb="FF000000"/>
      </right>
      <top style="thin">
        <color auto="1"/>
      </top>
      <bottom/>
      <diagonal/>
    </border>
    <border>
      <left/>
      <right style="thin">
        <color rgb="FF000000"/>
      </right>
      <top style="thin">
        <color auto="1"/>
      </top>
      <bottom style="thin">
        <color auto="1"/>
      </bottom>
      <diagonal/>
    </border>
    <border>
      <left style="thin">
        <color indexed="64"/>
      </left>
      <right style="thin">
        <color indexed="64"/>
      </right>
      <top style="thin">
        <color indexed="64"/>
      </top>
      <bottom/>
      <diagonal/>
    </border>
  </borders>
  <cellStyleXfs count="395">
    <xf numFmtId="0" fontId="0" fillId="0" borderId="0" applyProtection="1">
      <protection locked="0" hidden="0"/>
    </xf>
    <xf numFmtId="41" fontId="7" fillId="0" borderId="0"/>
    <xf numFmtId="0" fontId="16" fillId="4" borderId="0" applyAlignment="1">
      <alignment vertical="center"/>
    </xf>
    <xf numFmtId="0" fontId="17" fillId="5" borderId="0"/>
    <xf numFmtId="0" fontId="11" fillId="6" borderId="10" applyAlignment="1">
      <alignment horizontal="left" vertical="center" indent="1"/>
    </xf>
    <xf numFmtId="0" fontId="18" fillId="0" borderId="0"/>
    <xf numFmtId="0" fontId="19" fillId="7" borderId="0"/>
    <xf numFmtId="43" fontId="74" fillId="0" borderId="0"/>
    <xf numFmtId="41" fontId="20" fillId="0" borderId="0"/>
    <xf numFmtId="0" fontId="21" fillId="8" borderId="0"/>
    <xf numFmtId="0" fontId="20" fillId="0" borderId="0"/>
    <xf numFmtId="0" fontId="7" fillId="0" borderId="0"/>
    <xf numFmtId="9" fontId="74" fillId="0" borderId="0"/>
    <xf numFmtId="0" fontId="20" fillId="0" borderId="0" applyAlignment="1">
      <alignment vertical="center"/>
    </xf>
    <xf numFmtId="0" fontId="22" fillId="0" borderId="0" applyAlignment="1">
      <alignment horizontal="left"/>
    </xf>
    <xf numFmtId="43" fontId="7" fillId="0" borderId="0"/>
    <xf numFmtId="0" fontId="23" fillId="9" borderId="0"/>
    <xf numFmtId="168" fontId="20" fillId="0" borderId="0"/>
    <xf numFmtId="41" fontId="7" fillId="0" borderId="0"/>
    <xf numFmtId="0" fontId="17" fillId="10" borderId="0"/>
    <xf numFmtId="0" fontId="25" fillId="11" borderId="0"/>
    <xf numFmtId="0" fontId="74" fillId="0" borderId="0"/>
    <xf numFmtId="0" fontId="78" fillId="0" borderId="0"/>
    <xf numFmtId="0" fontId="16" fillId="3" borderId="0" applyAlignment="1">
      <alignment vertical="center"/>
    </xf>
    <xf numFmtId="165" fontId="27" fillId="0" borderId="0"/>
    <xf numFmtId="41" fontId="20" fillId="0" borderId="0"/>
    <xf numFmtId="0" fontId="10" fillId="0" borderId="0"/>
    <xf numFmtId="0" fontId="28" fillId="0" borderId="0"/>
    <xf numFmtId="0" fontId="11" fillId="13" borderId="10" applyAlignment="1">
      <alignment horizontal="left" vertical="center" indent="1"/>
    </xf>
    <xf numFmtId="0" fontId="13" fillId="12" borderId="10" applyAlignment="1">
      <alignment horizontal="left" vertical="center" indent="1"/>
    </xf>
    <xf numFmtId="0" fontId="29" fillId="0" borderId="0" applyProtection="1">
      <protection locked="0" hidden="0"/>
    </xf>
    <xf numFmtId="0" fontId="30" fillId="0" borderId="0"/>
    <xf numFmtId="0" fontId="7" fillId="15" borderId="10" applyAlignment="1">
      <alignment horizontal="left" vertical="top" indent="1"/>
    </xf>
    <xf numFmtId="41" fontId="20" fillId="0" borderId="0"/>
    <xf numFmtId="169" fontId="31" fillId="0" borderId="0"/>
    <xf numFmtId="0" fontId="19" fillId="17" borderId="0"/>
    <xf numFmtId="0" fontId="32" fillId="10" borderId="0"/>
    <xf numFmtId="10" fontId="27" fillId="0" borderId="0"/>
    <xf numFmtId="170" fontId="20" fillId="0" borderId="0"/>
    <xf numFmtId="0" fontId="21" fillId="18" borderId="0"/>
    <xf numFmtId="0" fontId="74" fillId="0" borderId="0"/>
    <xf numFmtId="41" fontId="74" fillId="0" borderId="0"/>
    <xf numFmtId="0" fontId="21" fillId="19" borderId="0"/>
    <xf numFmtId="0" fontId="19" fillId="17" borderId="0"/>
    <xf numFmtId="0" fontId="21" fillId="20" borderId="0"/>
    <xf numFmtId="0" fontId="78" fillId="0" borderId="0"/>
    <xf numFmtId="0" fontId="78" fillId="0" borderId="0"/>
    <xf numFmtId="0" fontId="19" fillId="6" borderId="0"/>
    <xf numFmtId="0" fontId="33" fillId="0" borderId="0"/>
    <xf numFmtId="171" fontId="34" fillId="0" borderId="0"/>
    <xf numFmtId="0" fontId="16" fillId="21" borderId="0" applyAlignment="1">
      <alignment vertical="center"/>
    </xf>
    <xf numFmtId="0" fontId="17" fillId="5" borderId="0"/>
    <xf numFmtId="0" fontId="17" fillId="5" borderId="0"/>
    <xf numFmtId="0" fontId="21" fillId="8" borderId="0"/>
    <xf numFmtId="172" fontId="7" fillId="0" borderId="0"/>
    <xf numFmtId="0" fontId="19" fillId="6" borderId="0"/>
    <xf numFmtId="0" fontId="74" fillId="0" borderId="0"/>
    <xf numFmtId="0" fontId="19" fillId="5" borderId="0"/>
    <xf numFmtId="0" fontId="21" fillId="7" borderId="0"/>
    <xf numFmtId="0" fontId="17" fillId="5" borderId="0"/>
    <xf numFmtId="0" fontId="21" fillId="19" borderId="0"/>
    <xf numFmtId="0" fontId="19" fillId="17" borderId="0"/>
    <xf numFmtId="0" fontId="25" fillId="11" borderId="0"/>
    <xf numFmtId="0" fontId="11" fillId="22" borderId="10" applyAlignment="1">
      <alignment horizontal="right" vertical="center"/>
    </xf>
    <xf numFmtId="0" fontId="19" fillId="7" borderId="0"/>
    <xf numFmtId="0" fontId="74" fillId="0" borderId="0"/>
    <xf numFmtId="0" fontId="21" fillId="7" borderId="0"/>
    <xf numFmtId="0" fontId="16" fillId="23" borderId="0" applyAlignment="1">
      <alignment vertical="center"/>
    </xf>
    <xf numFmtId="0" fontId="21" fillId="24" borderId="0"/>
    <xf numFmtId="0" fontId="19" fillId="25" borderId="0"/>
    <xf numFmtId="41" fontId="34" fillId="0" borderId="0"/>
    <xf numFmtId="0" fontId="19" fillId="17" borderId="0"/>
    <xf numFmtId="0" fontId="21" fillId="20" borderId="0"/>
    <xf numFmtId="0" fontId="16" fillId="26" borderId="0" applyAlignment="1">
      <alignment vertical="center"/>
    </xf>
    <xf numFmtId="0" fontId="21" fillId="27" borderId="0"/>
    <xf numFmtId="0" fontId="13" fillId="28" borderId="11" applyAlignment="1">
      <alignment horizontal="left" vertical="center" indent="1"/>
    </xf>
    <xf numFmtId="0" fontId="19" fillId="6" borderId="0"/>
    <xf numFmtId="0" fontId="78" fillId="0" borderId="0"/>
    <xf numFmtId="0" fontId="19" fillId="16" borderId="0"/>
    <xf numFmtId="0" fontId="11" fillId="15" borderId="10" applyAlignment="1">
      <alignment horizontal="right" vertical="center"/>
    </xf>
    <xf numFmtId="0" fontId="13" fillId="12" borderId="10" applyAlignment="1">
      <alignment vertical="center"/>
    </xf>
    <xf numFmtId="0" fontId="21" fillId="16" borderId="0"/>
    <xf numFmtId="0" fontId="16" fillId="29" borderId="0" applyAlignment="1">
      <alignment vertical="center"/>
    </xf>
    <xf numFmtId="0" fontId="35" fillId="0" borderId="0"/>
    <xf numFmtId="173" fontId="11" fillId="0" borderId="0"/>
    <xf numFmtId="172" fontId="7" fillId="0" borderId="0"/>
    <xf numFmtId="0" fontId="36" fillId="0" borderId="0"/>
    <xf numFmtId="0" fontId="37" fillId="30" borderId="12"/>
    <xf numFmtId="43" fontId="20" fillId="0" borderId="0"/>
    <xf numFmtId="0" fontId="74" fillId="0" borderId="0"/>
    <xf numFmtId="0" fontId="38" fillId="0" borderId="1" applyAlignment="1">
      <alignment horizontal="center"/>
    </xf>
    <xf numFmtId="0" fontId="23" fillId="9" borderId="0"/>
    <xf numFmtId="172" fontId="7" fillId="0" borderId="0"/>
    <xf numFmtId="172" fontId="7" fillId="0" borderId="0"/>
    <xf numFmtId="0" fontId="74" fillId="0" borderId="0"/>
    <xf numFmtId="43" fontId="74" fillId="0" borderId="0"/>
    <xf numFmtId="172" fontId="7" fillId="0" borderId="0"/>
    <xf numFmtId="0" fontId="74" fillId="0" borderId="0"/>
    <xf numFmtId="172" fontId="7" fillId="0" borderId="0"/>
    <xf numFmtId="172" fontId="7" fillId="0" borderId="0"/>
    <xf numFmtId="174" fontId="7" fillId="0" borderId="0"/>
    <xf numFmtId="172" fontId="7" fillId="0" borderId="0"/>
    <xf numFmtId="0" fontId="39" fillId="31" borderId="0"/>
    <xf numFmtId="41" fontId="74" fillId="0" borderId="0"/>
    <xf numFmtId="0" fontId="32" fillId="10" borderId="0"/>
    <xf numFmtId="41" fontId="40" fillId="0" borderId="0"/>
    <xf numFmtId="41" fontId="74" fillId="0" borderId="0"/>
    <xf numFmtId="0" fontId="74" fillId="0" borderId="0"/>
    <xf numFmtId="41" fontId="74" fillId="0" borderId="0"/>
    <xf numFmtId="0" fontId="32" fillId="10" borderId="0"/>
    <xf numFmtId="41" fontId="74" fillId="0" borderId="0"/>
    <xf numFmtId="41" fontId="40" fillId="0" borderId="0"/>
    <xf numFmtId="41" fontId="74" fillId="0" borderId="0"/>
    <xf numFmtId="0" fontId="17" fillId="5" borderId="0"/>
    <xf numFmtId="0" fontId="41" fillId="0" borderId="0" applyProtection="1">
      <protection locked="0" hidden="0"/>
    </xf>
    <xf numFmtId="0" fontId="25" fillId="11" borderId="0"/>
    <xf numFmtId="41" fontId="20" fillId="0" borderId="0"/>
    <xf numFmtId="43" fontId="20" fillId="0" borderId="0"/>
    <xf numFmtId="43" fontId="7" fillId="0" borderId="0"/>
    <xf numFmtId="43" fontId="74" fillId="0" borderId="0"/>
    <xf numFmtId="43" fontId="78" fillId="0" borderId="0"/>
    <xf numFmtId="41" fontId="40" fillId="0" borderId="0"/>
    <xf numFmtId="43" fontId="78" fillId="0" borderId="0"/>
    <xf numFmtId="41" fontId="40" fillId="0" borderId="0"/>
    <xf numFmtId="0" fontId="17" fillId="5" borderId="0"/>
    <xf numFmtId="0" fontId="42" fillId="0" borderId="0"/>
    <xf numFmtId="43" fontId="74" fillId="0" borderId="0"/>
    <xf numFmtId="43" fontId="74" fillId="0" borderId="0"/>
    <xf numFmtId="0" fontId="32" fillId="10" borderId="0"/>
    <xf numFmtId="43" fontId="74" fillId="0" borderId="0"/>
    <xf numFmtId="43" fontId="74" fillId="0" borderId="0"/>
    <xf numFmtId="43" fontId="20" fillId="0" borderId="0"/>
    <xf numFmtId="0" fontId="25" fillId="11" borderId="0"/>
    <xf numFmtId="43" fontId="20" fillId="0" borderId="0"/>
    <xf numFmtId="43" fontId="20" fillId="0" borderId="0"/>
    <xf numFmtId="43" fontId="20" fillId="0" borderId="0"/>
    <xf numFmtId="37" fontId="27" fillId="0" borderId="0"/>
    <xf numFmtId="0" fontId="23" fillId="9" borderId="0"/>
    <xf numFmtId="175" fontId="27" fillId="0" borderId="0"/>
    <xf numFmtId="0" fontId="34" fillId="0" borderId="0"/>
    <xf numFmtId="39" fontId="27" fillId="0" borderId="0"/>
    <xf numFmtId="176" fontId="27" fillId="0" borderId="0"/>
    <xf numFmtId="177" fontId="27" fillId="0" borderId="0"/>
    <xf numFmtId="178" fontId="34" fillId="0" borderId="0"/>
    <xf numFmtId="0" fontId="43" fillId="0" borderId="0" applyAlignment="1">
      <alignment vertical="center"/>
    </xf>
    <xf numFmtId="179" fontId="34" fillId="0" borderId="0"/>
    <xf numFmtId="0" fontId="44" fillId="32" borderId="9"/>
    <xf numFmtId="180" fontId="78" fillId="0" borderId="0"/>
    <xf numFmtId="0" fontId="45" fillId="10" borderId="0"/>
    <xf numFmtId="0" fontId="44" fillId="7" borderId="0"/>
    <xf numFmtId="43" fontId="34" fillId="0" borderId="0"/>
    <xf numFmtId="0" fontId="46" fillId="0" borderId="0" applyAlignment="1">
      <alignment horizontal="left"/>
    </xf>
    <xf numFmtId="0" fontId="25" fillId="11" borderId="0"/>
    <xf numFmtId="0" fontId="47" fillId="0" borderId="5"/>
    <xf numFmtId="0" fontId="47" fillId="0" borderId="7" applyAlignment="1">
      <alignment horizontal="left" vertical="center"/>
    </xf>
    <xf numFmtId="41" fontId="20" fillId="0" borderId="0"/>
    <xf numFmtId="0" fontId="30" fillId="0" borderId="0"/>
    <xf numFmtId="43" fontId="20" fillId="0" borderId="0"/>
    <xf numFmtId="0" fontId="44" fillId="6" borderId="9"/>
    <xf numFmtId="0" fontId="48" fillId="0" borderId="2"/>
    <xf numFmtId="181" fontId="7" fillId="0" borderId="0"/>
    <xf numFmtId="0" fontId="48" fillId="0" borderId="2"/>
    <xf numFmtId="165" fontId="20" fillId="0" borderId="0"/>
    <xf numFmtId="0" fontId="32" fillId="10" borderId="0"/>
    <xf numFmtId="0" fontId="7" fillId="0" borderId="0"/>
    <xf numFmtId="0" fontId="74" fillId="0" borderId="0"/>
    <xf numFmtId="0" fontId="74" fillId="0" borderId="0"/>
    <xf numFmtId="0" fontId="74" fillId="0" borderId="0"/>
    <xf numFmtId="0" fontId="17" fillId="5" borderId="0"/>
    <xf numFmtId="0" fontId="11" fillId="27" borderId="10" applyAlignment="1">
      <alignment horizontal="right" vertical="center"/>
    </xf>
    <xf numFmtId="0" fontId="74" fillId="0" borderId="0"/>
    <xf numFmtId="0" fontId="74" fillId="0" borderId="0"/>
    <xf numFmtId="0" fontId="74" fillId="0" borderId="0"/>
    <xf numFmtId="0" fontId="74" fillId="0" borderId="0"/>
    <xf numFmtId="0" fontId="74" fillId="0" borderId="0"/>
    <xf numFmtId="0" fontId="78" fillId="0" borderId="0"/>
    <xf numFmtId="0" fontId="7" fillId="0" borderId="0"/>
    <xf numFmtId="4" fontId="49" fillId="0" borderId="0" applyAlignment="1">
      <alignment horizontal="right"/>
    </xf>
    <xf numFmtId="0" fontId="7" fillId="0" borderId="0"/>
    <xf numFmtId="0" fontId="43" fillId="0" borderId="0" applyAlignment="1">
      <alignment vertical="center"/>
    </xf>
    <xf numFmtId="0" fontId="74" fillId="0" borderId="0"/>
    <xf numFmtId="0" fontId="74" fillId="0" borderId="0"/>
    <xf numFmtId="43" fontId="20" fillId="0" borderId="0"/>
    <xf numFmtId="0" fontId="74" fillId="0" borderId="0"/>
    <xf numFmtId="0" fontId="74" fillId="0" borderId="0"/>
    <xf numFmtId="0" fontId="50" fillId="0" borderId="0"/>
    <xf numFmtId="0" fontId="74" fillId="0" borderId="0"/>
    <xf numFmtId="0" fontId="35" fillId="0" borderId="0"/>
    <xf numFmtId="0" fontId="74" fillId="0" borderId="0"/>
    <xf numFmtId="0" fontId="74" fillId="0" borderId="0"/>
    <xf numFmtId="0" fontId="51" fillId="0" borderId="0"/>
    <xf numFmtId="0" fontId="52" fillId="0" borderId="0"/>
    <xf numFmtId="0" fontId="17" fillId="10" borderId="0"/>
    <xf numFmtId="0" fontId="25" fillId="11" borderId="0"/>
    <xf numFmtId="0" fontId="78" fillId="0" borderId="0"/>
    <xf numFmtId="0" fontId="39" fillId="31" borderId="0"/>
    <xf numFmtId="0" fontId="78" fillId="0" borderId="0"/>
    <xf numFmtId="0" fontId="78" fillId="0" borderId="0"/>
    <xf numFmtId="43" fontId="74" fillId="0" borderId="0"/>
    <xf numFmtId="0" fontId="35" fillId="0" borderId="0"/>
    <xf numFmtId="0" fontId="78" fillId="0" borderId="0"/>
    <xf numFmtId="0" fontId="78" fillId="0" borderId="0"/>
    <xf numFmtId="0" fontId="78" fillId="0" borderId="0"/>
    <xf numFmtId="0" fontId="35" fillId="0" borderId="0"/>
    <xf numFmtId="10" fontId="7" fillId="0" borderId="0"/>
    <xf numFmtId="0" fontId="31" fillId="0" borderId="0"/>
    <xf numFmtId="0" fontId="44" fillId="7" borderId="9"/>
    <xf numFmtId="9" fontId="20" fillId="0" borderId="0"/>
    <xf numFmtId="4" fontId="22" fillId="0" borderId="0" applyAlignment="1">
      <alignment horizontal="right"/>
    </xf>
    <xf numFmtId="182" fontId="7" fillId="0" borderId="0"/>
    <xf numFmtId="4" fontId="54" fillId="0" borderId="0" applyAlignment="1">
      <alignment horizontal="right"/>
    </xf>
    <xf numFmtId="41" fontId="34" fillId="0" borderId="0"/>
    <xf numFmtId="0" fontId="55" fillId="15" borderId="10" applyAlignment="1">
      <alignment horizontal="right" vertical="center"/>
    </xf>
    <xf numFmtId="0" fontId="56" fillId="12" borderId="10" applyAlignment="1">
      <alignment vertical="center"/>
    </xf>
    <xf numFmtId="0" fontId="11" fillId="13" borderId="10" applyAlignment="1">
      <alignment horizontal="left" vertical="top" indent="1"/>
    </xf>
    <xf numFmtId="0" fontId="13" fillId="12" borderId="10" applyAlignment="1">
      <alignment horizontal="left" vertical="top" indent="1"/>
    </xf>
    <xf numFmtId="0" fontId="13" fillId="13" borderId="0" applyAlignment="1">
      <alignment horizontal="left" vertical="center" indent="1"/>
    </xf>
    <xf numFmtId="0" fontId="11" fillId="9" borderId="10" applyAlignment="1">
      <alignment horizontal="right" vertical="center"/>
    </xf>
    <xf numFmtId="0" fontId="11" fillId="14" borderId="10" applyAlignment="1">
      <alignment horizontal="right" vertical="center"/>
    </xf>
    <xf numFmtId="0" fontId="32" fillId="10" borderId="0"/>
    <xf numFmtId="0" fontId="11" fillId="33" borderId="10" applyAlignment="1">
      <alignment horizontal="right" vertical="center"/>
    </xf>
    <xf numFmtId="0" fontId="11" fillId="11" borderId="10" applyAlignment="1">
      <alignment horizontal="right" vertical="center"/>
    </xf>
    <xf numFmtId="0" fontId="11" fillId="34" borderId="10" applyAlignment="1">
      <alignment horizontal="right" vertical="center"/>
    </xf>
    <xf numFmtId="9" fontId="20" fillId="0" borderId="0"/>
    <xf numFmtId="0" fontId="11" fillId="35" borderId="10" applyAlignment="1">
      <alignment horizontal="right" vertical="center"/>
    </xf>
    <xf numFmtId="9" fontId="78" fillId="0" borderId="0"/>
    <xf numFmtId="0" fontId="11" fillId="36" borderId="10" applyAlignment="1">
      <alignment horizontal="right" vertical="center"/>
    </xf>
    <xf numFmtId="0" fontId="11" fillId="15" borderId="0" applyAlignment="1">
      <alignment horizontal="left" vertical="center" indent="1"/>
    </xf>
    <xf numFmtId="0" fontId="57" fillId="19" borderId="0" applyAlignment="1">
      <alignment horizontal="left" vertical="center" indent="1"/>
    </xf>
    <xf numFmtId="0" fontId="58" fillId="0" borderId="0"/>
    <xf numFmtId="0" fontId="11" fillId="13" borderId="10" applyAlignment="1">
      <alignment horizontal="right" vertical="center"/>
    </xf>
    <xf numFmtId="0" fontId="78" fillId="0" borderId="0"/>
    <xf numFmtId="0" fontId="11" fillId="15" borderId="0" applyAlignment="1">
      <alignment horizontal="left" vertical="center" indent="1"/>
    </xf>
    <xf numFmtId="0" fontId="11" fillId="13" borderId="0" applyAlignment="1">
      <alignment horizontal="left" vertical="center" indent="1"/>
    </xf>
    <xf numFmtId="0" fontId="7" fillId="19" borderId="10" applyAlignment="1">
      <alignment horizontal="left" vertical="center" indent="1"/>
    </xf>
    <xf numFmtId="0" fontId="7" fillId="19" borderId="10" applyAlignment="1">
      <alignment horizontal="left" vertical="top" indent="1"/>
    </xf>
    <xf numFmtId="0" fontId="7" fillId="13" borderId="10" applyAlignment="1">
      <alignment horizontal="left" vertical="center" indent="1"/>
    </xf>
    <xf numFmtId="0" fontId="7" fillId="13" borderId="10" applyAlignment="1">
      <alignment horizontal="left" vertical="top" indent="1"/>
    </xf>
    <xf numFmtId="0" fontId="7" fillId="20" borderId="10" applyAlignment="1">
      <alignment horizontal="left" vertical="center" indent="1"/>
    </xf>
    <xf numFmtId="0" fontId="7" fillId="20" borderId="10" applyAlignment="1">
      <alignment horizontal="left" vertical="top" indent="1"/>
    </xf>
    <xf numFmtId="0" fontId="23" fillId="9" borderId="0"/>
    <xf numFmtId="0" fontId="7" fillId="15" borderId="10" applyAlignment="1">
      <alignment horizontal="left" vertical="center" indent="1"/>
    </xf>
    <xf numFmtId="0" fontId="11" fillId="6" borderId="10" applyAlignment="1">
      <alignment vertical="center"/>
    </xf>
    <xf numFmtId="0" fontId="55" fillId="6" borderId="10" applyAlignment="1">
      <alignment vertical="center"/>
    </xf>
    <xf numFmtId="0" fontId="11" fillId="6" borderId="10" applyAlignment="1">
      <alignment horizontal="left" vertical="top" indent="1"/>
    </xf>
    <xf numFmtId="0" fontId="59" fillId="37" borderId="0" applyAlignment="1">
      <alignment horizontal="left" vertical="center" indent="1"/>
    </xf>
    <xf numFmtId="0" fontId="60" fillId="15" borderId="10" applyAlignment="1">
      <alignment horizontal="right" vertical="center"/>
    </xf>
    <xf numFmtId="0" fontId="61" fillId="0" borderId="0" applyAlignment="1">
      <alignment horizontal="left"/>
    </xf>
    <xf numFmtId="4" fontId="62" fillId="0" borderId="0"/>
    <xf numFmtId="43" fontId="44" fillId="0" borderId="13"/>
    <xf numFmtId="43" fontId="44" fillId="0" borderId="13"/>
    <xf numFmtId="0" fontId="24" fillId="32" borderId="0"/>
    <xf numFmtId="0" fontId="48" fillId="0" borderId="0"/>
    <xf numFmtId="0" fontId="20" fillId="0" borderId="0"/>
    <xf numFmtId="0" fontId="63" fillId="0" borderId="0" applyAlignment="1">
      <alignment horizontal="center"/>
    </xf>
    <xf numFmtId="183" fontId="7" fillId="0" borderId="0"/>
    <xf numFmtId="0" fontId="64" fillId="0" borderId="0"/>
    <xf numFmtId="184" fontId="7" fillId="0" borderId="0"/>
    <xf numFmtId="185" fontId="20" fillId="0" borderId="0"/>
    <xf numFmtId="186" fontId="20" fillId="0" borderId="0"/>
    <xf numFmtId="9" fontId="65" fillId="0" borderId="0"/>
    <xf numFmtId="0" fontId="32" fillId="10" borderId="0"/>
    <xf numFmtId="0" fontId="31" fillId="0" borderId="0"/>
    <xf numFmtId="187" fontId="31" fillId="0" borderId="0"/>
    <xf numFmtId="9" fontId="31" fillId="0" borderId="0"/>
    <xf numFmtId="9" fontId="74" fillId="0" borderId="0"/>
    <xf numFmtId="0" fontId="50" fillId="0" borderId="0"/>
    <xf numFmtId="0" fontId="23" fillId="9" borderId="0"/>
    <xf numFmtId="0" fontId="23" fillId="9" borderId="0"/>
    <xf numFmtId="0" fontId="66" fillId="9" borderId="0"/>
    <xf numFmtId="0" fontId="23" fillId="9" borderId="0"/>
    <xf numFmtId="0" fontId="23" fillId="9" borderId="0"/>
    <xf numFmtId="0" fontId="25" fillId="11" borderId="0"/>
    <xf numFmtId="0" fontId="23" fillId="9" borderId="0"/>
    <xf numFmtId="0" fontId="23" fillId="9" borderId="0"/>
    <xf numFmtId="0" fontId="24" fillId="32" borderId="0"/>
    <xf numFmtId="0" fontId="23" fillId="9" borderId="0"/>
    <xf numFmtId="0" fontId="25" fillId="11" borderId="0"/>
    <xf numFmtId="0" fontId="25" fillId="11" borderId="0"/>
    <xf numFmtId="0" fontId="25" fillId="11" borderId="0"/>
    <xf numFmtId="0" fontId="25" fillId="11" borderId="0"/>
    <xf numFmtId="0" fontId="25" fillId="11" borderId="0"/>
    <xf numFmtId="0" fontId="74" fillId="0" borderId="0"/>
    <xf numFmtId="0" fontId="67" fillId="38" borderId="0"/>
    <xf numFmtId="0" fontId="78" fillId="0" borderId="0"/>
    <xf numFmtId="0" fontId="17" fillId="10" borderId="0"/>
    <xf numFmtId="0" fontId="20" fillId="0" borderId="0"/>
    <xf numFmtId="0" fontId="20" fillId="0" borderId="0"/>
    <xf numFmtId="0" fontId="78" fillId="0" borderId="0"/>
    <xf numFmtId="0" fontId="78" fillId="0" borderId="0"/>
    <xf numFmtId="0" fontId="78" fillId="0" borderId="0"/>
    <xf numFmtId="0" fontId="78" fillId="0" borderId="0"/>
    <xf numFmtId="0" fontId="20" fillId="0" borderId="0"/>
    <xf numFmtId="0" fontId="74" fillId="0" borderId="0"/>
    <xf numFmtId="0" fontId="78" fillId="0" borderId="0"/>
    <xf numFmtId="0" fontId="41" fillId="0" borderId="0" applyProtection="1">
      <protection locked="0" hidden="0"/>
    </xf>
    <xf numFmtId="38" fontId="50" fillId="0" borderId="0"/>
    <xf numFmtId="0" fontId="10" fillId="0" borderId="0"/>
    <xf numFmtId="0" fontId="10" fillId="0" borderId="0"/>
    <xf numFmtId="0" fontId="41" fillId="0" borderId="0" applyProtection="1">
      <protection locked="0" hidden="0"/>
    </xf>
    <xf numFmtId="0" fontId="29" fillId="0" borderId="0" applyProtection="1">
      <protection locked="0" hidden="0"/>
    </xf>
    <xf numFmtId="0" fontId="32" fillId="10" borderId="0"/>
    <xf numFmtId="0" fontId="17" fillId="5" borderId="0"/>
    <xf numFmtId="0" fontId="17" fillId="10" borderId="0"/>
    <xf numFmtId="0" fontId="17" fillId="10" borderId="0"/>
    <xf numFmtId="0" fontId="17" fillId="10" borderId="0"/>
    <xf numFmtId="0" fontId="17" fillId="5" borderId="0"/>
    <xf numFmtId="0" fontId="68" fillId="5" borderId="0"/>
    <xf numFmtId="188" fontId="31" fillId="0" borderId="0"/>
    <xf numFmtId="0" fontId="17" fillId="5" borderId="0"/>
    <xf numFmtId="0" fontId="17" fillId="5" borderId="0"/>
    <xf numFmtId="0" fontId="32" fillId="10" borderId="0"/>
    <xf numFmtId="0" fontId="32" fillId="10" borderId="0"/>
    <xf numFmtId="0" fontId="32" fillId="10" borderId="0"/>
    <xf numFmtId="0" fontId="17" fillId="10" borderId="0"/>
    <xf numFmtId="189" fontId="31" fillId="0" borderId="0"/>
    <xf numFmtId="0" fontId="32" fillId="10" borderId="0"/>
    <xf numFmtId="0" fontId="39" fillId="31" borderId="0"/>
    <xf numFmtId="0" fontId="67" fillId="39" borderId="0"/>
    <xf numFmtId="0" fontId="32" fillId="10" borderId="0"/>
    <xf numFmtId="0" fontId="17" fillId="10" borderId="0"/>
    <xf numFmtId="0" fontId="17" fillId="10" borderId="0"/>
    <xf numFmtId="0" fontId="17" fillId="10" borderId="0"/>
    <xf numFmtId="0" fontId="32" fillId="10" borderId="0"/>
    <xf numFmtId="0" fontId="39" fillId="31" borderId="0"/>
    <xf numFmtId="188" fontId="69" fillId="0" borderId="0"/>
    <xf numFmtId="189" fontId="69" fillId="0" borderId="0"/>
    <xf numFmtId="190" fontId="70" fillId="0" borderId="0"/>
    <xf numFmtId="191" fontId="70" fillId="0" borderId="0"/>
    <xf numFmtId="43" fontId="7" fillId="0" borderId="0"/>
    <xf numFmtId="43" fontId="20" fillId="0" borderId="0"/>
    <xf numFmtId="43" fontId="7" fillId="0" borderId="0"/>
    <xf numFmtId="43" fontId="78" fillId="0" borderId="0"/>
    <xf numFmtId="43" fontId="78" fillId="0" borderId="0"/>
    <xf numFmtId="43" fontId="20" fillId="0" borderId="0"/>
    <xf numFmtId="43" fontId="20" fillId="0" borderId="0"/>
    <xf numFmtId="43" fontId="74" fillId="0" borderId="0"/>
    <xf numFmtId="43" fontId="74" fillId="0" borderId="0"/>
    <xf numFmtId="43" fontId="74" fillId="0" borderId="0"/>
    <xf numFmtId="43" fontId="74" fillId="0" borderId="0"/>
    <xf numFmtId="43" fontId="74" fillId="0" borderId="0"/>
    <xf numFmtId="0" fontId="71" fillId="0" borderId="0"/>
    <xf numFmtId="0" fontId="67" fillId="40" borderId="0"/>
    <xf numFmtId="192" fontId="62" fillId="0" borderId="0"/>
    <xf numFmtId="0" fontId="69" fillId="0" borderId="0"/>
    <xf numFmtId="40" fontId="50" fillId="0" borderId="0"/>
    <xf numFmtId="0" fontId="7" fillId="0" borderId="9"/>
    <xf numFmtId="38" fontId="33" fillId="0" borderId="0"/>
    <xf numFmtId="40" fontId="33" fillId="0" borderId="0"/>
    <xf numFmtId="0" fontId="33" fillId="0" borderId="0"/>
    <xf numFmtId="0" fontId="2" fillId="0" borderId="0"/>
    <xf numFmtId="0" fontId="109" fillId="0" borderId="0"/>
    <xf numFmtId="0" fontId="77" fillId="0" borderId="0"/>
    <xf numFmtId="0" fontId="109" fillId="0" borderId="0" applyAlignment="1">
      <alignment vertical="center"/>
    </xf>
    <xf numFmtId="0" fontId="78" fillId="0" borderId="0"/>
    <xf numFmtId="0" fontId="109" fillId="0" borderId="0" applyAlignment="1">
      <alignment vertical="center"/>
    </xf>
    <xf numFmtId="0" fontId="78" fillId="0" borderId="0"/>
    <xf numFmtId="43" fontId="109" fillId="0" borderId="0"/>
    <xf numFmtId="0" fontId="2" fillId="0" borderId="0"/>
    <xf numFmtId="0" fontId="74" fillId="0" borderId="0"/>
    <xf numFmtId="0" fontId="74" fillId="0" borderId="0"/>
    <xf numFmtId="0" fontId="109" fillId="0" borderId="0"/>
    <xf numFmtId="0" fontId="74" fillId="0" borderId="0"/>
    <xf numFmtId="0" fontId="86" fillId="0" borderId="0"/>
    <xf numFmtId="43" fontId="109" fillId="0" borderId="0"/>
    <xf numFmtId="0" fontId="74" fillId="0" borderId="0" applyAlignment="1">
      <alignment vertical="center"/>
    </xf>
    <xf numFmtId="0" fontId="74" fillId="0" borderId="0"/>
    <xf numFmtId="0" fontId="74" fillId="0" borderId="0"/>
    <xf numFmtId="0" fontId="7" fillId="0" borderId="0"/>
    <xf numFmtId="0" fontId="74" fillId="0" borderId="0"/>
    <xf numFmtId="0" fontId="2" fillId="0" borderId="0" applyProtection="1">
      <protection locked="0" hidden="0"/>
    </xf>
    <xf numFmtId="0" fontId="77" fillId="0" borderId="0"/>
    <xf numFmtId="43" fontId="2" fillId="0" borderId="0"/>
    <xf numFmtId="43" fontId="7" fillId="0" borderId="0"/>
    <xf numFmtId="0" fontId="7" fillId="0" borderId="0"/>
    <xf numFmtId="0" fontId="2" fillId="0" borderId="0"/>
    <xf numFmtId="0" fontId="97" fillId="0" borderId="0"/>
    <xf numFmtId="0" fontId="88" fillId="0" borderId="0"/>
    <xf numFmtId="43" fontId="97" fillId="0" borderId="0"/>
    <xf numFmtId="0" fontId="34" fillId="0" borderId="0" applyProtection="1">
      <protection locked="0" hidden="0"/>
    </xf>
    <xf numFmtId="0" fontId="3" fillId="0" borderId="0"/>
    <xf numFmtId="43" fontId="2" fillId="0" borderId="0"/>
    <xf numFmtId="0" fontId="43" fillId="0" borderId="0" applyAlignment="1">
      <alignment vertical="center"/>
    </xf>
    <xf numFmtId="41" fontId="31" fillId="0" borderId="0"/>
    <xf numFmtId="9" fontId="2" fillId="0" borderId="0"/>
    <xf numFmtId="41" fontId="2" fillId="0" borderId="0"/>
    <xf numFmtId="0" fontId="100" fillId="0" borderId="0"/>
    <xf numFmtId="182" fontId="3" fillId="0" borderId="0"/>
    <xf numFmtId="0" fontId="109" fillId="0" borderId="0" applyAlignment="1">
      <alignment vertical="center"/>
    </xf>
    <xf numFmtId="0" fontId="34" fillId="0" borderId="0" applyProtection="1">
      <protection locked="0" hidden="0"/>
    </xf>
    <xf numFmtId="0" fontId="2" fillId="0" borderId="0" applyProtection="1">
      <protection locked="0" hidden="0"/>
    </xf>
    <xf numFmtId="0" fontId="109" fillId="0" borderId="0"/>
    <xf numFmtId="0" fontId="74" fillId="0" borderId="0" applyAlignment="1">
      <alignment vertical="center"/>
    </xf>
    <xf numFmtId="0" fontId="74" fillId="0" borderId="0"/>
    <xf numFmtId="0" fontId="163" fillId="0" borderId="0" applyProtection="1">
      <protection locked="0" hidden="0"/>
    </xf>
  </cellStyleXfs>
  <cellXfs count="719">
    <xf numFmtId="0" fontId="0" fillId="0" borderId="0" applyProtection="1" pivotButton="0" quotePrefix="0" xfId="0">
      <protection locked="0" hidden="0"/>
    </xf>
    <xf numFmtId="0" fontId="4" fillId="0" borderId="0" applyAlignment="1" applyProtection="1" pivotButton="0" quotePrefix="0" xfId="0">
      <alignment vertical="center"/>
      <protection locked="0" hidden="0"/>
    </xf>
    <xf numFmtId="0" fontId="3" fillId="2" borderId="0" applyAlignment="1" applyProtection="1" pivotButton="0" quotePrefix="0" xfId="0">
      <alignment vertical="center"/>
      <protection locked="0" hidden="0"/>
    </xf>
    <xf numFmtId="0" fontId="3" fillId="0" borderId="0" applyAlignment="1" applyProtection="1" pivotButton="0" quotePrefix="0" xfId="0">
      <alignment vertical="center"/>
      <protection locked="0" hidden="0"/>
    </xf>
    <xf numFmtId="0" fontId="3" fillId="0" borderId="0" applyAlignment="1" applyProtection="1" pivotButton="0" quotePrefix="0" xfId="289">
      <alignment vertical="center"/>
      <protection locked="0" hidden="0"/>
    </xf>
    <xf numFmtId="0" fontId="5" fillId="0" borderId="0" applyAlignment="1" applyProtection="1" pivotButton="0" quotePrefix="0" xfId="181">
      <alignment vertical="center"/>
      <protection locked="0" hidden="0"/>
    </xf>
    <xf numFmtId="0" fontId="3" fillId="0" borderId="0" applyAlignment="1" pivotButton="0" quotePrefix="0" xfId="289">
      <alignment vertical="center"/>
    </xf>
    <xf numFmtId="0" fontId="3" fillId="0" borderId="0" applyAlignment="1" applyProtection="1" pivotButton="0" quotePrefix="0" xfId="0">
      <alignment horizontal="left" vertical="center" wrapText="1"/>
      <protection locked="0" hidden="0"/>
    </xf>
    <xf numFmtId="0" fontId="3" fillId="0" borderId="0" applyAlignment="1" applyProtection="1" pivotButton="0" quotePrefix="0" xfId="0">
      <alignment horizontal="left" vertical="center"/>
      <protection locked="0" hidden="0"/>
    </xf>
    <xf numFmtId="9" fontId="3" fillId="0" borderId="0" applyAlignment="1" applyProtection="1" pivotButton="0" quotePrefix="0" xfId="0">
      <alignment horizontal="left" vertical="center"/>
      <protection locked="0" hidden="0"/>
    </xf>
    <xf numFmtId="9" fontId="3" fillId="0" borderId="0" applyAlignment="1" applyProtection="1" pivotButton="0" quotePrefix="0" xfId="289">
      <alignment vertical="center"/>
      <protection locked="0" hidden="0"/>
    </xf>
    <xf numFmtId="9" fontId="3" fillId="0" borderId="0" applyAlignment="1" applyProtection="1" pivotButton="0" quotePrefix="0" xfId="12">
      <alignment vertical="center"/>
      <protection locked="0" hidden="0"/>
    </xf>
    <xf numFmtId="0" fontId="7" fillId="0" borderId="0" applyAlignment="1" applyProtection="1" pivotButton="0" quotePrefix="0" xfId="289">
      <alignment vertical="center"/>
      <protection locked="0" hidden="0"/>
    </xf>
    <xf numFmtId="0" fontId="4" fillId="2" borderId="0" applyAlignment="1" applyProtection="1" pivotButton="0" quotePrefix="0" xfId="288">
      <alignment vertical="center"/>
      <protection locked="0" hidden="0"/>
    </xf>
    <xf numFmtId="0" fontId="4" fillId="0" borderId="0" applyAlignment="1" applyProtection="1" pivotButton="0" quotePrefix="0" xfId="0">
      <alignment horizontal="center" vertical="center"/>
      <protection locked="0" hidden="0"/>
    </xf>
    <xf numFmtId="49" fontId="0" fillId="0" borderId="0" applyProtection="1" pivotButton="0" quotePrefix="0" xfId="0">
      <protection locked="0" hidden="0"/>
    </xf>
    <xf numFmtId="0" fontId="4" fillId="0" borderId="0" applyAlignment="1" applyProtection="1" pivotButton="0" quotePrefix="0" xfId="0">
      <alignment horizontal="left" vertical="center"/>
      <protection locked="0" hidden="0"/>
    </xf>
    <xf numFmtId="0" fontId="9" fillId="0" borderId="0" applyAlignment="1" applyProtection="1" pivotButton="0" quotePrefix="0" xfId="0">
      <alignment vertical="center"/>
      <protection locked="0" hidden="0"/>
    </xf>
    <xf numFmtId="0" fontId="9" fillId="0" borderId="0" applyAlignment="1" applyProtection="1" pivotButton="0" quotePrefix="0" xfId="0">
      <alignment horizontal="center" vertical="center"/>
      <protection locked="0" hidden="0"/>
    </xf>
    <xf numFmtId="43" fontId="3" fillId="0" borderId="0" applyAlignment="1" applyProtection="1" pivotButton="0" quotePrefix="0" xfId="0">
      <alignment horizontal="center" vertical="center"/>
      <protection locked="0" hidden="0"/>
    </xf>
    <xf numFmtId="43" fontId="3" fillId="0" borderId="0" applyAlignment="1" applyProtection="1" pivotButton="0" quotePrefix="0" xfId="0">
      <alignment vertical="center"/>
      <protection locked="0" hidden="0"/>
    </xf>
    <xf numFmtId="0" fontId="82" fillId="2" borderId="0" applyAlignment="1" applyProtection="1" pivotButton="0" quotePrefix="0" xfId="0">
      <alignment vertical="center"/>
      <protection locked="0" hidden="0"/>
    </xf>
    <xf numFmtId="0" fontId="82" fillId="0" borderId="0" applyAlignment="1" applyProtection="1" pivotButton="0" quotePrefix="0" xfId="0">
      <alignment vertical="center"/>
      <protection locked="0" hidden="0"/>
    </xf>
    <xf numFmtId="0" fontId="84" fillId="0" borderId="0" applyAlignment="1" applyProtection="1" pivotButton="0" quotePrefix="0" xfId="181">
      <alignment vertical="center"/>
      <protection locked="0" hidden="0"/>
    </xf>
    <xf numFmtId="0" fontId="82" fillId="0" borderId="0" applyAlignment="1" pivotButton="0" quotePrefix="0" xfId="289">
      <alignment vertical="center"/>
    </xf>
    <xf numFmtId="0" fontId="82" fillId="0" borderId="0" applyAlignment="1" applyProtection="1" pivotButton="0" quotePrefix="0" xfId="289">
      <alignment vertical="center"/>
      <protection locked="0" hidden="0"/>
    </xf>
    <xf numFmtId="0" fontId="82" fillId="0" borderId="0" applyAlignment="1" applyProtection="1" pivotButton="0" quotePrefix="0" xfId="0">
      <alignment horizontal="left" vertical="center" wrapText="1"/>
      <protection locked="0" hidden="0"/>
    </xf>
    <xf numFmtId="0" fontId="82" fillId="0" borderId="0" applyAlignment="1" applyProtection="1" pivotButton="0" quotePrefix="0" xfId="0">
      <alignment horizontal="left" vertical="center"/>
      <protection locked="0" hidden="0"/>
    </xf>
    <xf numFmtId="9" fontId="82" fillId="0" borderId="0" applyAlignment="1" applyProtection="1" pivotButton="0" quotePrefix="0" xfId="0">
      <alignment horizontal="left" vertical="center"/>
      <protection locked="0" hidden="0"/>
    </xf>
    <xf numFmtId="9" fontId="82" fillId="0" borderId="0" applyAlignment="1" applyProtection="1" pivotButton="0" quotePrefix="0" xfId="289">
      <alignment vertical="center"/>
      <protection locked="0" hidden="0"/>
    </xf>
    <xf numFmtId="9" fontId="82" fillId="0" borderId="0" applyAlignment="1" applyProtection="1" pivotButton="0" quotePrefix="0" xfId="12">
      <alignment vertical="center"/>
      <protection locked="0" hidden="0"/>
    </xf>
    <xf numFmtId="0" fontId="85" fillId="0" borderId="0" applyAlignment="1" applyProtection="1" pivotButton="0" quotePrefix="0" xfId="289">
      <alignment vertical="center"/>
      <protection locked="0" hidden="0"/>
    </xf>
    <xf numFmtId="0" fontId="79" fillId="2" borderId="0" applyAlignment="1" applyProtection="1" pivotButton="0" quotePrefix="0" xfId="288">
      <alignment vertical="center"/>
      <protection locked="0" hidden="0"/>
    </xf>
    <xf numFmtId="0" fontId="85" fillId="2" borderId="0" applyAlignment="1" applyProtection="1" pivotButton="0" quotePrefix="0" xfId="288">
      <alignment vertical="center"/>
      <protection locked="0" hidden="0"/>
    </xf>
    <xf numFmtId="43" fontId="82" fillId="0" borderId="0" applyAlignment="1" pivotButton="0" quotePrefix="0" xfId="7">
      <alignment horizontal="right" vertical="center" shrinkToFit="1"/>
    </xf>
    <xf numFmtId="0" fontId="85" fillId="0" borderId="0" applyAlignment="1" applyProtection="1" pivotButton="0" quotePrefix="0" xfId="288">
      <alignment vertical="center"/>
      <protection locked="0" hidden="0"/>
    </xf>
    <xf numFmtId="0" fontId="79" fillId="2" borderId="0" applyAlignment="1" applyProtection="1" pivotButton="0" quotePrefix="0" xfId="0">
      <alignment vertical="center"/>
      <protection locked="0" hidden="0"/>
    </xf>
    <xf numFmtId="11" fontId="92" fillId="2" borderId="0" applyAlignment="1" applyProtection="1" pivotButton="0" quotePrefix="0" xfId="0">
      <alignment vertical="center"/>
      <protection locked="0" hidden="0"/>
    </xf>
    <xf numFmtId="0" fontId="3" fillId="0" borderId="0" applyAlignment="1" applyProtection="1" pivotButton="0" quotePrefix="0" xfId="370">
      <alignment vertical="center"/>
      <protection locked="0" hidden="0"/>
    </xf>
    <xf numFmtId="0" fontId="88" fillId="0" borderId="0" applyAlignment="1" applyProtection="1" pivotButton="0" quotePrefix="0" xfId="370">
      <alignment vertical="center"/>
      <protection locked="0" hidden="0"/>
    </xf>
    <xf numFmtId="0" fontId="88" fillId="42" borderId="0" applyAlignment="1" applyProtection="1" pivotButton="0" quotePrefix="0" xfId="370">
      <alignment vertical="center"/>
      <protection locked="0" hidden="0"/>
    </xf>
    <xf numFmtId="0" fontId="96" fillId="0" borderId="0" applyAlignment="1" applyProtection="1" pivotButton="0" quotePrefix="0" xfId="370">
      <alignment vertical="center" wrapText="1"/>
      <protection locked="0" hidden="0"/>
    </xf>
    <xf numFmtId="0" fontId="3" fillId="42" borderId="0" applyAlignment="1" applyProtection="1" pivotButton="0" quotePrefix="0" xfId="370">
      <alignment vertical="center"/>
      <protection locked="0" hidden="0"/>
    </xf>
    <xf numFmtId="0" fontId="4" fillId="0" borderId="0" applyAlignment="1" applyProtection="1" pivotButton="0" quotePrefix="0" xfId="370">
      <alignment horizontal="left" vertical="center"/>
      <protection locked="0" hidden="0"/>
    </xf>
    <xf numFmtId="0" fontId="9" fillId="0" borderId="0" applyAlignment="1" applyProtection="1" pivotButton="0" quotePrefix="0" xfId="370">
      <alignment vertical="center"/>
      <protection locked="0" hidden="0"/>
    </xf>
    <xf numFmtId="0" fontId="9" fillId="0" borderId="0" applyAlignment="1" applyProtection="1" pivotButton="0" quotePrefix="0" xfId="370">
      <alignment vertical="center" wrapText="1"/>
      <protection locked="0" hidden="0"/>
    </xf>
    <xf numFmtId="0" fontId="7" fillId="0" borderId="0" applyAlignment="1" applyProtection="1" pivotButton="0" quotePrefix="0" xfId="371">
      <alignment horizontal="left" vertical="center"/>
      <protection locked="0" hidden="0"/>
    </xf>
    <xf numFmtId="41" fontId="4" fillId="0" borderId="0" applyAlignment="1" applyProtection="1" pivotButton="0" quotePrefix="0" xfId="370">
      <alignment horizontal="left" vertical="center"/>
      <protection locked="0" hidden="0"/>
    </xf>
    <xf numFmtId="41" fontId="90" fillId="0" borderId="0" applyAlignment="1" applyProtection="1" pivotButton="0" quotePrefix="0" xfId="370">
      <alignment horizontal="center" vertical="center"/>
      <protection locked="0" hidden="0"/>
    </xf>
    <xf numFmtId="0" fontId="7" fillId="0" borderId="0" applyAlignment="1" applyProtection="1" pivotButton="0" quotePrefix="0" xfId="370">
      <alignment vertical="center"/>
      <protection locked="0" hidden="0"/>
    </xf>
    <xf numFmtId="0" fontId="7" fillId="0" borderId="0" applyAlignment="1" applyProtection="1" pivotButton="0" quotePrefix="0" xfId="370">
      <alignment vertical="center" wrapText="1"/>
      <protection locked="0" hidden="0"/>
    </xf>
    <xf numFmtId="0" fontId="3" fillId="0" borderId="0" applyAlignment="1" applyProtection="1" pivotButton="0" quotePrefix="0" xfId="358">
      <alignment vertical="center"/>
      <protection locked="0" hidden="0"/>
    </xf>
    <xf numFmtId="0" fontId="3" fillId="42" borderId="0" applyAlignment="1" applyProtection="1" pivotButton="0" quotePrefix="0" xfId="358">
      <alignment vertical="center"/>
      <protection locked="0" hidden="0"/>
    </xf>
    <xf numFmtId="0" fontId="88" fillId="0" borderId="0" applyAlignment="1" applyProtection="1" pivotButton="0" quotePrefix="0" xfId="358">
      <alignment vertical="center"/>
      <protection locked="0" hidden="0"/>
    </xf>
    <xf numFmtId="0" fontId="88" fillId="42" borderId="0" applyAlignment="1" applyProtection="1" pivotButton="0" quotePrefix="0" xfId="358">
      <alignment vertical="center"/>
      <protection locked="0" hidden="0"/>
    </xf>
    <xf numFmtId="0" fontId="89" fillId="0" borderId="0" applyAlignment="1" applyProtection="1" pivotButton="0" quotePrefix="0" xfId="358">
      <alignment vertical="center" wrapText="1"/>
      <protection locked="0" hidden="0"/>
    </xf>
    <xf numFmtId="0" fontId="4" fillId="0" borderId="0" applyAlignment="1" applyProtection="1" pivotButton="0" quotePrefix="0" xfId="358">
      <alignment horizontal="left" vertical="center" wrapText="1"/>
      <protection locked="0" hidden="0"/>
    </xf>
    <xf numFmtId="0" fontId="3" fillId="2" borderId="0" applyAlignment="1" applyProtection="1" pivotButton="0" quotePrefix="0" xfId="358">
      <alignment vertical="center"/>
      <protection locked="0" hidden="0"/>
    </xf>
    <xf numFmtId="0" fontId="8" fillId="0" borderId="0" applyAlignment="1" applyProtection="1" pivotButton="0" quotePrefix="0" xfId="358">
      <alignment vertical="center"/>
      <protection locked="0" hidden="0"/>
    </xf>
    <xf numFmtId="0" fontId="7" fillId="0" borderId="0" applyAlignment="1" applyProtection="1" pivotButton="0" quotePrefix="0" xfId="382">
      <alignment horizontal="center" vertical="center" wrapText="1"/>
      <protection locked="0" hidden="0"/>
    </xf>
    <xf numFmtId="0" fontId="3" fillId="0" borderId="0" applyAlignment="1" applyProtection="1" pivotButton="0" quotePrefix="0" xfId="358">
      <alignment horizontal="left" vertical="center"/>
      <protection locked="0" hidden="0"/>
    </xf>
    <xf numFmtId="0" fontId="3" fillId="42" borderId="0" applyAlignment="1" applyProtection="1" pivotButton="0" quotePrefix="0" xfId="358">
      <alignment horizontal="left" vertical="center"/>
      <protection locked="0" hidden="0"/>
    </xf>
    <xf numFmtId="0" fontId="8" fillId="0" borderId="0" applyAlignment="1" applyProtection="1" pivotButton="0" quotePrefix="0" xfId="358">
      <alignment horizontal="left" vertical="center"/>
      <protection locked="0" hidden="0"/>
    </xf>
    <xf numFmtId="0" fontId="4" fillId="0" borderId="0" applyAlignment="1" applyProtection="1" pivotButton="0" quotePrefix="0" xfId="358">
      <alignment horizontal="center" vertical="center"/>
      <protection locked="0" hidden="0"/>
    </xf>
    <xf numFmtId="0" fontId="15" fillId="0" borderId="0" applyAlignment="1" applyProtection="1" pivotButton="0" quotePrefix="0" xfId="358">
      <alignment horizontal="center" vertical="center"/>
      <protection locked="0" hidden="0"/>
    </xf>
    <xf numFmtId="0" fontId="4" fillId="0" borderId="0" applyAlignment="1" applyProtection="1" pivotButton="0" quotePrefix="0" xfId="358">
      <alignment horizontal="left" vertical="center"/>
      <protection locked="0" hidden="0"/>
    </xf>
    <xf numFmtId="0" fontId="99" fillId="0" borderId="0" applyAlignment="1" applyProtection="1" pivotButton="0" quotePrefix="0" xfId="358">
      <alignment horizontal="center" vertical="center"/>
      <protection locked="0" hidden="0"/>
    </xf>
    <xf numFmtId="0" fontId="5" fillId="0" borderId="0" applyAlignment="1" applyProtection="1" pivotButton="0" quotePrefix="0" xfId="358">
      <alignment vertical="center"/>
      <protection locked="0" hidden="0"/>
    </xf>
    <xf numFmtId="0" fontId="7" fillId="0" borderId="0" applyAlignment="1" applyProtection="1" pivotButton="0" quotePrefix="0" xfId="383">
      <alignment horizontal="left" vertical="center"/>
      <protection locked="0" hidden="0"/>
    </xf>
    <xf numFmtId="0" fontId="7" fillId="0" borderId="0" applyAlignment="1" applyProtection="1" pivotButton="0" quotePrefix="1" xfId="384">
      <alignment horizontal="left" vertical="center"/>
      <protection locked="0" hidden="0"/>
    </xf>
    <xf numFmtId="9" fontId="7" fillId="0" borderId="0" applyAlignment="1" applyProtection="1" pivotButton="0" quotePrefix="1" xfId="384">
      <alignment horizontal="left" vertical="center"/>
      <protection locked="0" hidden="0"/>
    </xf>
    <xf numFmtId="164" fontId="7" fillId="0" borderId="0" applyAlignment="1" applyProtection="1" pivotButton="0" quotePrefix="0" xfId="385">
      <alignment horizontal="left" vertical="center"/>
      <protection locked="0" hidden="0"/>
    </xf>
    <xf numFmtId="41" fontId="7" fillId="0" borderId="0" applyAlignment="1" applyProtection="1" pivotButton="0" quotePrefix="0" xfId="383">
      <alignment vertical="center"/>
      <protection locked="0" hidden="0"/>
    </xf>
    <xf numFmtId="9" fontId="7" fillId="0" borderId="0" applyAlignment="1" applyProtection="1" pivotButton="0" quotePrefix="1" xfId="384">
      <alignment vertical="center"/>
      <protection locked="0" hidden="0"/>
    </xf>
    <xf numFmtId="41" fontId="7" fillId="0" borderId="0" applyAlignment="1" applyProtection="1" pivotButton="0" quotePrefix="0" xfId="383">
      <alignment horizontal="left" vertical="center"/>
      <protection locked="0" hidden="0"/>
    </xf>
    <xf numFmtId="41" fontId="7" fillId="42" borderId="0" applyAlignment="1" applyProtection="1" pivotButton="0" quotePrefix="0" xfId="383">
      <alignment vertical="center"/>
      <protection locked="0" hidden="0"/>
    </xf>
    <xf numFmtId="9" fontId="7" fillId="42" borderId="0" applyAlignment="1" applyProtection="1" pivotButton="0" quotePrefix="1" xfId="384">
      <alignment vertical="center"/>
      <protection locked="0" hidden="0"/>
    </xf>
    <xf numFmtId="0" fontId="9" fillId="0" borderId="0" applyAlignment="1" pivotButton="0" quotePrefix="0" xfId="380">
      <alignment horizontal="left" vertical="center"/>
    </xf>
    <xf numFmtId="0" fontId="4" fillId="0" borderId="0" applyAlignment="1" applyProtection="1" pivotButton="0" quotePrefix="0" xfId="358">
      <alignment vertical="center"/>
      <protection locked="0" hidden="0"/>
    </xf>
    <xf numFmtId="0" fontId="101" fillId="0" borderId="0" applyAlignment="1" applyProtection="1" pivotButton="0" quotePrefix="0" xfId="358">
      <alignment vertical="center"/>
      <protection locked="0" hidden="0"/>
    </xf>
    <xf numFmtId="0" fontId="101" fillId="2" borderId="0" applyAlignment="1" applyProtection="1" pivotButton="0" quotePrefix="0" xfId="0">
      <alignment vertical="center"/>
      <protection locked="0" hidden="0"/>
    </xf>
    <xf numFmtId="0" fontId="104" fillId="0" borderId="0" applyAlignment="1" applyProtection="1" pivotButton="0" quotePrefix="0" xfId="181">
      <alignment vertical="center"/>
      <protection locked="0" hidden="0"/>
    </xf>
    <xf numFmtId="0" fontId="101" fillId="0" borderId="0" applyAlignment="1" applyProtection="1" pivotButton="0" quotePrefix="0" xfId="0">
      <alignment vertical="center"/>
      <protection locked="0" hidden="0"/>
    </xf>
    <xf numFmtId="0" fontId="101" fillId="0" borderId="0" applyAlignment="1" pivotButton="0" quotePrefix="0" xfId="289">
      <alignment vertical="center"/>
    </xf>
    <xf numFmtId="0" fontId="101" fillId="0" borderId="0" applyAlignment="1" applyProtection="1" pivotButton="0" quotePrefix="0" xfId="289">
      <alignment vertical="center"/>
      <protection locked="0" hidden="0"/>
    </xf>
    <xf numFmtId="0" fontId="101" fillId="0" borderId="0" applyAlignment="1" applyProtection="1" pivotButton="0" quotePrefix="0" xfId="0">
      <alignment horizontal="left" vertical="center" wrapText="1"/>
      <protection locked="0" hidden="0"/>
    </xf>
    <xf numFmtId="0" fontId="101" fillId="0" borderId="0" applyAlignment="1" applyProtection="1" pivotButton="0" quotePrefix="0" xfId="0">
      <alignment horizontal="left" vertical="center"/>
      <protection locked="0" hidden="0"/>
    </xf>
    <xf numFmtId="9" fontId="101" fillId="0" borderId="0" applyAlignment="1" applyProtection="1" pivotButton="0" quotePrefix="0" xfId="0">
      <alignment horizontal="left" vertical="center"/>
      <protection locked="0" hidden="0"/>
    </xf>
    <xf numFmtId="9" fontId="101" fillId="0" borderId="0" applyAlignment="1" applyProtection="1" pivotButton="0" quotePrefix="0" xfId="289">
      <alignment vertical="center"/>
      <protection locked="0" hidden="0"/>
    </xf>
    <xf numFmtId="9" fontId="101" fillId="0" borderId="0" applyAlignment="1" applyProtection="1" pivotButton="0" quotePrefix="0" xfId="12">
      <alignment vertical="center"/>
      <protection locked="0" hidden="0"/>
    </xf>
    <xf numFmtId="0" fontId="105" fillId="0" borderId="0" applyAlignment="1" applyProtection="1" pivotButton="0" quotePrefix="0" xfId="289">
      <alignment vertical="center"/>
      <protection locked="0" hidden="0"/>
    </xf>
    <xf numFmtId="0" fontId="103" fillId="0" borderId="0" applyAlignment="1" applyProtection="1" pivotButton="0" quotePrefix="0" xfId="0">
      <alignment vertical="center"/>
      <protection locked="0" hidden="0"/>
    </xf>
    <xf numFmtId="0" fontId="3" fillId="42" borderId="0" applyAlignment="1" applyProtection="1" pivotButton="0" quotePrefix="0" xfId="0">
      <alignment vertical="center"/>
      <protection locked="0" hidden="0"/>
    </xf>
    <xf numFmtId="0" fontId="102" fillId="0" borderId="0" applyAlignment="1" applyProtection="1" pivotButton="0" quotePrefix="0" xfId="358">
      <alignment horizontal="centerContinuous" vertical="center"/>
      <protection locked="0" hidden="0"/>
    </xf>
    <xf numFmtId="0" fontId="9" fillId="0" borderId="3" applyAlignment="1" applyProtection="1" pivotButton="0" quotePrefix="0" xfId="0">
      <alignment vertical="center"/>
      <protection locked="0" hidden="0"/>
    </xf>
    <xf numFmtId="0" fontId="3" fillId="2" borderId="16" applyAlignment="1" applyProtection="1" pivotButton="0" quotePrefix="0" xfId="0">
      <alignment vertical="center"/>
      <protection locked="0" hidden="0"/>
    </xf>
    <xf numFmtId="0" fontId="3" fillId="0" borderId="3" applyAlignment="1" applyProtection="1" pivotButton="0" quotePrefix="0" xfId="0">
      <alignment vertical="center"/>
      <protection locked="0" hidden="0"/>
    </xf>
    <xf numFmtId="0" fontId="4" fillId="0" borderId="16" applyAlignment="1" applyProtection="1" pivotButton="0" quotePrefix="0" xfId="0">
      <alignment horizontal="left" vertical="center"/>
      <protection locked="0" hidden="0"/>
    </xf>
    <xf numFmtId="0" fontId="7" fillId="0" borderId="16" applyAlignment="1" applyProtection="1" pivotButton="0" quotePrefix="0" xfId="0">
      <alignment horizontal="center" vertical="center"/>
      <protection locked="0" hidden="0"/>
    </xf>
    <xf numFmtId="0" fontId="3" fillId="0" borderId="4" applyAlignment="1" applyProtection="1" pivotButton="0" quotePrefix="0" xfId="0">
      <alignment vertical="center"/>
      <protection locked="0" hidden="0"/>
    </xf>
    <xf numFmtId="0" fontId="3" fillId="0" borderId="1" applyAlignment="1" applyProtection="1" pivotButton="0" quotePrefix="0" xfId="0">
      <alignment vertical="center"/>
      <protection locked="0" hidden="0"/>
    </xf>
    <xf numFmtId="43" fontId="3" fillId="0" borderId="1" applyAlignment="1" applyProtection="1" pivotButton="0" quotePrefix="0" xfId="0">
      <alignment vertical="center"/>
      <protection locked="0" hidden="0"/>
    </xf>
    <xf numFmtId="0" fontId="3" fillId="0" borderId="6" applyAlignment="1" applyProtection="1" pivotButton="0" quotePrefix="0" xfId="0">
      <alignment vertical="center"/>
      <protection locked="0" hidden="0"/>
    </xf>
    <xf numFmtId="0" fontId="5" fillId="0" borderId="0" applyAlignment="1" applyProtection="1" pivotButton="0" quotePrefix="0" xfId="0">
      <alignment horizontal="centerContinuous" vertical="center"/>
      <protection locked="0" hidden="0"/>
    </xf>
    <xf numFmtId="0" fontId="7" fillId="0" borderId="0" applyAlignment="1" applyProtection="1" pivotButton="0" quotePrefix="0" xfId="0">
      <alignment vertical="center" wrapText="1"/>
      <protection locked="0" hidden="0"/>
    </xf>
    <xf numFmtId="164" fontId="5" fillId="0" borderId="0" applyAlignment="1" applyProtection="1" pivotButton="0" quotePrefix="0" xfId="358">
      <alignment vertical="center"/>
      <protection locked="0" hidden="0"/>
    </xf>
    <xf numFmtId="165" fontId="5" fillId="0" borderId="0" applyAlignment="1" applyProtection="1" pivotButton="0" quotePrefix="0" xfId="377">
      <alignment horizontal="right" vertical="center"/>
      <protection locked="0" hidden="0"/>
    </xf>
    <xf numFmtId="0" fontId="89" fillId="2" borderId="0" applyAlignment="1" applyProtection="1" pivotButton="0" quotePrefix="0" xfId="358">
      <alignment vertical="center" wrapText="1"/>
      <protection locked="0" hidden="0"/>
    </xf>
    <xf numFmtId="0" fontId="3" fillId="42" borderId="0" applyAlignment="1" applyProtection="1" pivotButton="0" quotePrefix="0" xfId="358">
      <alignment horizontal="center" vertical="center"/>
      <protection locked="0" hidden="0"/>
    </xf>
    <xf numFmtId="43" fontId="7" fillId="0" borderId="0" applyAlignment="1" applyProtection="1" pivotButton="0" quotePrefix="0" xfId="7">
      <alignment vertical="center" wrapText="1"/>
      <protection locked="0" hidden="0"/>
    </xf>
    <xf numFmtId="0" fontId="108" fillId="0" borderId="0" applyAlignment="1" applyProtection="1" pivotButton="0" quotePrefix="0" xfId="0">
      <alignment vertical="center"/>
      <protection locked="0" hidden="0"/>
    </xf>
    <xf numFmtId="0" fontId="107" fillId="0" borderId="0" applyAlignment="1" applyProtection="1" pivotButton="0" quotePrefix="0" xfId="0">
      <alignment vertical="center"/>
      <protection locked="0" hidden="0"/>
    </xf>
    <xf numFmtId="0" fontId="108" fillId="2" borderId="0" applyAlignment="1" applyProtection="1" pivotButton="0" quotePrefix="0" xfId="0">
      <alignment vertical="center"/>
      <protection locked="0" hidden="0"/>
    </xf>
    <xf numFmtId="0" fontId="107" fillId="2" borderId="0" applyAlignment="1" applyProtection="1" pivotButton="0" quotePrefix="0" xfId="0">
      <alignment vertical="center"/>
      <protection locked="0" hidden="0"/>
    </xf>
    <xf numFmtId="0" fontId="7" fillId="0" borderId="0" applyAlignment="1" applyProtection="1" pivotButton="0" quotePrefix="0" xfId="394">
      <alignment horizontal="left" vertical="center"/>
      <protection locked="0" hidden="0"/>
    </xf>
    <xf numFmtId="0" fontId="9" fillId="0" borderId="0" applyAlignment="1" applyProtection="1" pivotButton="0" quotePrefix="0" xfId="0">
      <alignment vertical="center" wrapText="1"/>
      <protection locked="0" hidden="0"/>
    </xf>
    <xf numFmtId="41" fontId="4"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3"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wrapText="1"/>
      <protection locked="0" hidden="0"/>
    </xf>
    <xf numFmtId="0" fontId="7" fillId="0" borderId="0" applyAlignment="1" pivotButton="0" quotePrefix="0" xfId="0">
      <alignment horizontal="left" vertical="center"/>
    </xf>
    <xf numFmtId="0" fontId="4" fillId="0" borderId="0" applyAlignment="1" applyProtection="1" pivotButton="0" quotePrefix="0" xfId="289">
      <alignment horizontal="left" vertical="center"/>
      <protection locked="0" hidden="0"/>
    </xf>
    <xf numFmtId="0" fontId="7" fillId="0" borderId="0" applyAlignment="1" applyProtection="1" pivotButton="0" quotePrefix="0" xfId="289">
      <alignment horizontal="center" vertical="center"/>
      <protection locked="0" hidden="0"/>
    </xf>
    <xf numFmtId="41" fontId="7" fillId="49" borderId="0" applyAlignment="1" pivotButton="0" quotePrefix="0" xfId="0">
      <alignment vertical="center"/>
    </xf>
    <xf numFmtId="0" fontId="7" fillId="0" borderId="0" applyAlignment="1" pivotButton="0" quotePrefix="0" xfId="0">
      <alignment vertical="center"/>
    </xf>
    <xf numFmtId="0" fontId="110" fillId="0" borderId="0" applyAlignment="1" pivotButton="0" quotePrefix="0" xfId="0">
      <alignment vertical="center"/>
    </xf>
    <xf numFmtId="0" fontId="5" fillId="2" borderId="0" applyAlignment="1" applyProtection="1" pivotButton="0" quotePrefix="0" xfId="0">
      <alignment vertical="center"/>
      <protection locked="0" hidden="0"/>
    </xf>
    <xf numFmtId="0" fontId="83" fillId="2" borderId="0" applyAlignment="1" applyProtection="1" pivotButton="0" quotePrefix="0" xfId="0">
      <alignment vertical="center"/>
      <protection locked="0" hidden="0"/>
    </xf>
    <xf numFmtId="0" fontId="81" fillId="2" borderId="0" applyAlignment="1" applyProtection="1" pivotButton="0" quotePrefix="0" xfId="0">
      <alignment vertical="center"/>
      <protection locked="0" hidden="0"/>
    </xf>
    <xf numFmtId="0" fontId="8" fillId="2" borderId="0" applyAlignment="1" applyProtection="1" pivotButton="0" quotePrefix="0" xfId="175">
      <alignment horizontal="left" vertical="top" wrapText="1"/>
      <protection locked="0" hidden="0"/>
    </xf>
    <xf numFmtId="0" fontId="114" fillId="50" borderId="0" applyAlignment="1" applyProtection="1" pivotButton="0" quotePrefix="0" xfId="394">
      <alignment vertical="center"/>
      <protection locked="0" hidden="0"/>
    </xf>
    <xf numFmtId="0" fontId="115" fillId="50" borderId="0" applyAlignment="1" applyProtection="1" pivotButton="0" quotePrefix="0" xfId="394">
      <alignment vertical="center"/>
      <protection locked="0" hidden="0"/>
    </xf>
    <xf numFmtId="43" fontId="3" fillId="2" borderId="20" applyAlignment="1" applyProtection="1" pivotButton="0" quotePrefix="0" xfId="381">
      <alignment vertical="center"/>
      <protection locked="0" hidden="0"/>
    </xf>
    <xf numFmtId="43" fontId="3" fillId="2" borderId="14" applyAlignment="1" applyProtection="1" pivotButton="0" quotePrefix="0" xfId="381">
      <alignment vertical="center"/>
      <protection locked="0" hidden="0"/>
    </xf>
    <xf numFmtId="43" fontId="3" fillId="2" borderId="8" applyAlignment="1" applyProtection="1" pivotButton="0" quotePrefix="0" xfId="381">
      <alignment vertical="center"/>
      <protection locked="0" hidden="0"/>
    </xf>
    <xf numFmtId="0" fontId="4" fillId="0" borderId="0" applyAlignment="1" pivotButton="0" quotePrefix="0" xfId="0">
      <alignment vertical="center"/>
    </xf>
    <xf numFmtId="43" fontId="5" fillId="0" borderId="17" applyAlignment="1" applyProtection="1" pivotButton="0" quotePrefix="0" xfId="358">
      <alignment vertical="center"/>
      <protection locked="0" hidden="0"/>
    </xf>
    <xf numFmtId="43" fontId="112" fillId="0" borderId="0" applyAlignment="1" applyProtection="1" pivotButton="0" quotePrefix="0" xfId="358">
      <alignment vertical="center"/>
      <protection locked="0" hidden="0"/>
    </xf>
    <xf numFmtId="43" fontId="5" fillId="0" borderId="0" applyAlignment="1" applyProtection="1" pivotButton="0" quotePrefix="0" xfId="358">
      <alignment vertical="center"/>
      <protection locked="0" hidden="0"/>
    </xf>
    <xf numFmtId="43" fontId="3" fillId="0" borderId="0" applyAlignment="1" applyProtection="1" pivotButton="0" quotePrefix="0" xfId="358">
      <alignment vertical="center"/>
      <protection locked="0" hidden="0"/>
    </xf>
    <xf numFmtId="0" fontId="107" fillId="0" borderId="0" applyAlignment="1" applyProtection="1" pivotButton="0" quotePrefix="0" xfId="358">
      <alignment vertical="center"/>
      <protection locked="0" hidden="0"/>
    </xf>
    <xf numFmtId="0" fontId="107" fillId="42" borderId="0" applyAlignment="1" applyProtection="1" pivotButton="0" quotePrefix="0" xfId="358">
      <alignment vertical="center"/>
      <protection locked="0" hidden="0"/>
    </xf>
    <xf numFmtId="0" fontId="47" fillId="45" borderId="28" applyAlignment="1" applyProtection="1" pivotButton="0" quotePrefix="0" xfId="0">
      <alignment horizontal="left" vertical="center"/>
      <protection locked="0" hidden="0"/>
    </xf>
    <xf numFmtId="0" fontId="47" fillId="45" borderId="29" applyAlignment="1" applyProtection="1" pivotButton="0" quotePrefix="0" xfId="0">
      <alignment horizontal="left" vertical="center"/>
      <protection locked="0" hidden="0"/>
    </xf>
    <xf numFmtId="43" fontId="7" fillId="0" borderId="0" applyAlignment="1" applyProtection="1" pivotButton="0" quotePrefix="0" xfId="369">
      <alignment horizontal="right" vertical="center" wrapText="1"/>
      <protection locked="0" hidden="0"/>
    </xf>
    <xf numFmtId="0" fontId="122" fillId="0" borderId="0" applyProtection="1" pivotButton="0" quotePrefix="0" xfId="0">
      <protection locked="0" hidden="0"/>
    </xf>
    <xf numFmtId="0" fontId="123" fillId="0" borderId="0" applyProtection="1" pivotButton="0" quotePrefix="0" xfId="0">
      <protection locked="0" hidden="0"/>
    </xf>
    <xf numFmtId="0" fontId="82" fillId="0" borderId="0" applyProtection="1" pivotButton="0" quotePrefix="0" xfId="0">
      <protection locked="0" hidden="0"/>
    </xf>
    <xf numFmtId="0" fontId="123" fillId="0" borderId="0" applyAlignment="1" applyProtection="1" pivotButton="0" quotePrefix="0" xfId="0">
      <alignment wrapText="1"/>
      <protection locked="0" hidden="0"/>
    </xf>
    <xf numFmtId="0" fontId="124" fillId="0" borderId="0" applyProtection="1" pivotButton="0" quotePrefix="0" xfId="0">
      <protection locked="0" hidden="0"/>
    </xf>
    <xf numFmtId="0" fontId="125" fillId="0" borderId="0" applyAlignment="1" pivotButton="0" quotePrefix="0" xfId="0">
      <alignment horizontal="left" vertical="center"/>
    </xf>
    <xf numFmtId="0" fontId="4" fillId="0" borderId="31" applyAlignment="1" pivotButton="0" quotePrefix="0" xfId="0">
      <alignment horizontal="center" vertical="center"/>
    </xf>
    <xf numFmtId="0" fontId="3" fillId="0" borderId="1" applyAlignment="1" pivotButton="0" quotePrefix="0" xfId="0">
      <alignment vertical="center"/>
    </xf>
    <xf numFmtId="0" fontId="3" fillId="0" borderId="32" applyAlignment="1" pivotButton="0" quotePrefix="0" xfId="0">
      <alignment vertical="center"/>
    </xf>
    <xf numFmtId="0" fontId="15" fillId="0" borderId="31" applyAlignment="1" pivotButton="0" quotePrefix="0" xfId="0">
      <alignment horizontal="center" vertical="center"/>
    </xf>
    <xf numFmtId="0" fontId="3" fillId="0" borderId="21" applyAlignment="1" pivotButton="0" quotePrefix="0" xfId="0">
      <alignment vertical="center"/>
    </xf>
    <xf numFmtId="0" fontId="3" fillId="0" borderId="23" applyAlignment="1" pivotButton="0" quotePrefix="0" xfId="0">
      <alignment vertical="center"/>
    </xf>
    <xf numFmtId="0" fontId="4" fillId="0" borderId="31" applyAlignment="1" applyProtection="1" pivotButton="0" quotePrefix="0" xfId="0">
      <alignment horizontal="center" vertical="center"/>
      <protection locked="0" hidden="0"/>
    </xf>
    <xf numFmtId="0" fontId="91" fillId="0" borderId="31" applyAlignment="1" pivotButton="0" quotePrefix="0" xfId="0">
      <alignment horizontal="center" vertical="center"/>
    </xf>
    <xf numFmtId="0" fontId="3" fillId="0" borderId="24" applyAlignment="1" applyProtection="1" pivotButton="0" quotePrefix="0" xfId="0">
      <alignment vertical="center"/>
      <protection locked="0" hidden="0"/>
    </xf>
    <xf numFmtId="0" fontId="3" fillId="0" borderId="25" applyAlignment="1" applyProtection="1" pivotButton="0" quotePrefix="0" xfId="0">
      <alignment vertical="center"/>
      <protection locked="0" hidden="0"/>
    </xf>
    <xf numFmtId="0" fontId="4" fillId="0" borderId="15" applyAlignment="1" pivotButton="0" quotePrefix="0" xfId="0">
      <alignment horizontal="center" vertical="center"/>
    </xf>
    <xf numFmtId="0" fontId="6" fillId="0" borderId="33" applyAlignment="1" pivotButton="0" quotePrefix="0" xfId="0">
      <alignment vertical="center"/>
    </xf>
    <xf numFmtId="0" fontId="9" fillId="0" borderId="0" applyAlignment="1" pivotButton="0" quotePrefix="0" xfId="0">
      <alignment vertical="center"/>
    </xf>
    <xf numFmtId="0" fontId="6" fillId="0" borderId="0" applyAlignment="1" applyProtection="1" pivotButton="0" quotePrefix="0" xfId="0">
      <alignment vertical="center" wrapText="1"/>
      <protection locked="0" hidden="0"/>
    </xf>
    <xf numFmtId="166" fontId="7" fillId="0" borderId="0" applyAlignment="1" applyProtection="1" pivotButton="0" quotePrefix="0" xfId="7">
      <alignment vertical="center" wrapText="1"/>
      <protection locked="0" hidden="0"/>
    </xf>
    <xf numFmtId="166" fontId="7" fillId="0" borderId="1" applyAlignment="1" applyProtection="1" pivotButton="0" quotePrefix="0" xfId="7">
      <alignment vertical="center" wrapText="1"/>
      <protection locked="0" hidden="0"/>
    </xf>
    <xf numFmtId="166" fontId="3" fillId="2" borderId="0" applyAlignment="1" applyProtection="1" pivotButton="0" quotePrefix="0" xfId="0">
      <alignment vertical="center"/>
      <protection locked="0" hidden="0"/>
    </xf>
    <xf numFmtId="166" fontId="3" fillId="2" borderId="1" applyAlignment="1" applyProtection="1" pivotButton="0" quotePrefix="0" xfId="7">
      <alignment vertical="center"/>
      <protection locked="0" hidden="0"/>
    </xf>
    <xf numFmtId="166" fontId="3" fillId="2" borderId="0" applyAlignment="1" applyProtection="1" pivotButton="0" quotePrefix="0" xfId="7">
      <alignment vertical="center"/>
      <protection locked="0" hidden="0"/>
    </xf>
    <xf numFmtId="166" fontId="3" fillId="2" borderId="0" applyAlignment="1" applyProtection="1" pivotButton="0" quotePrefix="0" xfId="7">
      <alignment vertical="center"/>
      <protection locked="0" hidden="0"/>
    </xf>
    <xf numFmtId="0" fontId="131" fillId="0" borderId="0" applyProtection="1" pivotButton="0" quotePrefix="0" xfId="0">
      <protection locked="0" hidden="0"/>
    </xf>
    <xf numFmtId="43" fontId="7" fillId="0" borderId="0" applyAlignment="1" applyProtection="1" pivotButton="0" quotePrefix="0" xfId="7">
      <alignment horizontal="left" vertical="center" shrinkToFit="1"/>
      <protection locked="0" hidden="0"/>
    </xf>
    <xf numFmtId="0" fontId="4" fillId="0" borderId="0" applyAlignment="1" applyProtection="1" pivotButton="0" quotePrefix="0" xfId="289">
      <alignment horizontal="center" vertical="center"/>
      <protection locked="0" hidden="0"/>
    </xf>
    <xf numFmtId="0" fontId="9" fillId="0" borderId="0" applyAlignment="1" applyProtection="1" pivotButton="0" quotePrefix="0" xfId="289">
      <alignment horizontal="center" vertical="center"/>
      <protection locked="0" hidden="0"/>
    </xf>
    <xf numFmtId="0" fontId="6" fillId="0" borderId="26" applyAlignment="1" applyProtection="1" pivotButton="0" quotePrefix="0" xfId="289">
      <alignment horizontal="left" vertical="center"/>
      <protection locked="0" hidden="0"/>
    </xf>
    <xf numFmtId="0" fontId="7" fillId="0" borderId="21" applyAlignment="1" applyProtection="1" pivotButton="0" quotePrefix="0" xfId="289">
      <alignment horizontal="left" vertical="center"/>
      <protection locked="0" hidden="0"/>
    </xf>
    <xf numFmtId="0" fontId="6" fillId="0" borderId="28" applyAlignment="1" applyProtection="1" pivotButton="0" quotePrefix="0" xfId="289">
      <alignment horizontal="left" vertical="center"/>
      <protection locked="0" hidden="0"/>
    </xf>
    <xf numFmtId="0" fontId="6" fillId="0" borderId="29" applyAlignment="1" applyProtection="1" pivotButton="0" quotePrefix="0" xfId="289">
      <alignment horizontal="left" vertical="center"/>
      <protection locked="0" hidden="0"/>
    </xf>
    <xf numFmtId="0" fontId="9" fillId="0" borderId="0" applyAlignment="1" applyProtection="1" pivotButton="0" quotePrefix="0" xfId="289">
      <alignment horizontal="left" vertical="center"/>
      <protection locked="0" hidden="0"/>
    </xf>
    <xf numFmtId="0" fontId="132" fillId="0" borderId="0" applyAlignment="1" applyProtection="1" pivotButton="0" quotePrefix="0" xfId="0">
      <alignment vertical="center"/>
      <protection locked="0" hidden="0"/>
    </xf>
    <xf numFmtId="0" fontId="79" fillId="0" borderId="0" applyAlignment="1" applyProtection="1" pivotButton="0" quotePrefix="0" xfId="0">
      <alignment vertical="center"/>
      <protection locked="0" hidden="0"/>
    </xf>
    <xf numFmtId="43" fontId="7" fillId="0" borderId="1" applyAlignment="1" applyProtection="1" pivotButton="0" quotePrefix="0" xfId="7">
      <alignment vertical="center" wrapText="1"/>
      <protection locked="0" hidden="0"/>
    </xf>
    <xf numFmtId="0" fontId="4" fillId="0" borderId="1" applyAlignment="1" applyProtection="1" pivotButton="0" quotePrefix="0" xfId="370">
      <alignment horizontal="left" vertical="center"/>
      <protection locked="0" hidden="0"/>
    </xf>
    <xf numFmtId="0" fontId="116" fillId="0" borderId="0" applyAlignment="1" applyProtection="1" pivotButton="0" quotePrefix="0" xfId="0">
      <alignment vertical="center"/>
      <protection locked="0" hidden="0"/>
    </xf>
    <xf numFmtId="0" fontId="88" fillId="0" borderId="0" applyProtection="1" pivotButton="0" quotePrefix="0" xfId="0">
      <protection locked="0" hidden="0"/>
    </xf>
    <xf numFmtId="0" fontId="4" fillId="0" borderId="0" applyAlignment="1" applyProtection="1" pivotButton="0" quotePrefix="0" xfId="387">
      <alignment horizontal="center" vertical="center"/>
      <protection locked="0" hidden="0"/>
    </xf>
    <xf numFmtId="0" fontId="110" fillId="0" borderId="18" applyAlignment="1" applyProtection="1" pivotButton="0" quotePrefix="0" xfId="0">
      <alignment horizontal="center" vertical="center"/>
      <protection locked="0" hidden="0"/>
    </xf>
    <xf numFmtId="43" fontId="110" fillId="0" borderId="18" applyAlignment="1" applyProtection="1" pivotButton="0" quotePrefix="0" xfId="7">
      <alignment horizontal="center" vertical="center"/>
      <protection locked="0" hidden="0"/>
    </xf>
    <xf numFmtId="43" fontId="3" fillId="2" borderId="0" applyAlignment="1" applyProtection="1" pivotButton="0" quotePrefix="0" xfId="7">
      <alignment vertical="center"/>
      <protection locked="0" hidden="0"/>
    </xf>
    <xf numFmtId="0" fontId="4" fillId="2" borderId="0" applyAlignment="1" applyProtection="1" pivotButton="0" quotePrefix="0" xfId="0">
      <alignment vertical="center"/>
      <protection locked="0" hidden="0"/>
    </xf>
    <xf numFmtId="0" fontId="8" fillId="2" borderId="0" applyAlignment="1" applyProtection="1" pivotButton="0" quotePrefix="0" xfId="0">
      <alignment vertical="center"/>
      <protection locked="0" hidden="0"/>
    </xf>
    <xf numFmtId="43" fontId="4" fillId="0" borderId="0" applyAlignment="1" applyProtection="1" pivotButton="0" quotePrefix="0" xfId="7">
      <alignment horizontal="center" vertical="center" shrinkToFit="1"/>
      <protection locked="0" hidden="0"/>
    </xf>
    <xf numFmtId="9" fontId="4" fillId="0" borderId="0" applyAlignment="1" applyProtection="1" pivotButton="0" quotePrefix="0" xfId="12">
      <alignment horizontal="right" vertical="center" shrinkToFit="1"/>
      <protection locked="0" hidden="0"/>
    </xf>
    <xf numFmtId="43" fontId="110" fillId="0" borderId="0" applyAlignment="1" applyProtection="1" pivotButton="0" quotePrefix="0" xfId="7">
      <alignment horizontal="center" vertical="center" shrinkToFit="1"/>
      <protection locked="0" hidden="0"/>
    </xf>
    <xf numFmtId="0" fontId="3" fillId="2" borderId="4" applyAlignment="1" applyProtection="1" pivotButton="0" quotePrefix="0" xfId="0">
      <alignment vertical="center"/>
      <protection locked="0" hidden="0"/>
    </xf>
    <xf numFmtId="0" fontId="4" fillId="2" borderId="1" applyAlignment="1" applyProtection="1" pivotButton="0" quotePrefix="0" xfId="0">
      <alignment vertical="center"/>
      <protection locked="0" hidden="0"/>
    </xf>
    <xf numFmtId="0" fontId="3" fillId="2" borderId="1" applyAlignment="1" applyProtection="1" pivotButton="0" quotePrefix="0" xfId="0">
      <alignment vertical="center"/>
      <protection locked="0" hidden="0"/>
    </xf>
    <xf numFmtId="0" fontId="3" fillId="2" borderId="1" applyAlignment="1" applyProtection="1" pivotButton="0" quotePrefix="0" xfId="0">
      <alignment horizontal="center" vertical="center"/>
      <protection locked="0" hidden="0"/>
    </xf>
    <xf numFmtId="0" fontId="3" fillId="2" borderId="6" applyAlignment="1" applyProtection="1" pivotButton="0" quotePrefix="0" xfId="0">
      <alignment vertical="center"/>
      <protection locked="0" hidden="0"/>
    </xf>
    <xf numFmtId="49" fontId="11" fillId="2" borderId="0" applyAlignment="1" applyProtection="1" pivotButton="0" quotePrefix="0" xfId="288">
      <alignment horizontal="left" vertical="center"/>
      <protection locked="0" hidden="0"/>
    </xf>
    <xf numFmtId="0" fontId="145" fillId="0" borderId="0" applyProtection="1" pivotButton="0" quotePrefix="0" xfId="0">
      <protection locked="0" hidden="0"/>
    </xf>
    <xf numFmtId="0" fontId="4" fillId="0" borderId="0" applyAlignment="1" applyProtection="1" pivotButton="0" quotePrefix="0" xfId="288">
      <alignment vertical="center"/>
      <protection locked="0" hidden="0"/>
    </xf>
    <xf numFmtId="0" fontId="13" fillId="0" borderId="0" applyAlignment="1" pivotButton="0" quotePrefix="0" xfId="191">
      <alignment vertical="center"/>
    </xf>
    <xf numFmtId="0" fontId="7" fillId="0" borderId="0" applyAlignment="1" applyProtection="1" pivotButton="0" quotePrefix="0" xfId="288">
      <alignment vertical="center"/>
      <protection locked="0" hidden="0"/>
    </xf>
    <xf numFmtId="0" fontId="11" fillId="0" borderId="0" applyAlignment="1" pivotButton="0" quotePrefix="0" xfId="191">
      <alignment vertical="center"/>
    </xf>
    <xf numFmtId="43" fontId="147" fillId="0" borderId="0" applyAlignment="1" pivotButton="0" quotePrefix="0" xfId="7">
      <alignment horizontal="right" vertical="center" shrinkToFit="1"/>
    </xf>
    <xf numFmtId="43" fontId="7" fillId="0" borderId="0" applyAlignment="1" applyProtection="1" pivotButton="0" quotePrefix="0" xfId="7">
      <alignment vertical="center"/>
      <protection locked="0" hidden="0"/>
    </xf>
    <xf numFmtId="0" fontId="4" fillId="0" borderId="0" applyAlignment="1" pivotButton="0" quotePrefix="0" xfId="191">
      <alignment vertical="center"/>
    </xf>
    <xf numFmtId="0" fontId="3" fillId="0" borderId="0" applyProtection="1" pivotButton="0" quotePrefix="0" xfId="0">
      <protection locked="0" hidden="0"/>
    </xf>
    <xf numFmtId="167" fontId="11" fillId="0" borderId="0" applyAlignment="1" pivotButton="0" quotePrefix="0" xfId="191">
      <alignment vertical="center"/>
    </xf>
    <xf numFmtId="0" fontId="147" fillId="0" borderId="0" applyAlignment="1" applyProtection="1" pivotButton="0" quotePrefix="0" xfId="0">
      <alignment vertical="center"/>
      <protection locked="0" hidden="0"/>
    </xf>
    <xf numFmtId="43" fontId="3" fillId="0" borderId="0" applyAlignment="1" applyProtection="1" pivotButton="0" quotePrefix="0" xfId="7">
      <alignment horizontal="right" vertical="center" shrinkToFit="1"/>
      <protection locked="0" hidden="0"/>
    </xf>
    <xf numFmtId="0" fontId="7" fillId="2" borderId="0" applyAlignment="1" applyProtection="1" pivotButton="0" quotePrefix="0" xfId="288">
      <alignment vertical="center"/>
      <protection locked="0" hidden="0"/>
    </xf>
    <xf numFmtId="43" fontId="3" fillId="0" borderId="0" applyAlignment="1" pivotButton="0" quotePrefix="0" xfId="7">
      <alignment horizontal="left" vertical="center" shrinkToFit="1"/>
    </xf>
    <xf numFmtId="49" fontId="11" fillId="0" borderId="0" applyAlignment="1" applyProtection="1" pivotButton="0" quotePrefix="0" xfId="288">
      <alignment horizontal="center" vertical="center"/>
      <protection locked="0" hidden="0"/>
    </xf>
    <xf numFmtId="49" fontId="7" fillId="0" borderId="0" applyAlignment="1" applyProtection="1" pivotButton="0" quotePrefix="0" xfId="294">
      <alignment horizontal="center" vertical="center" shrinkToFit="1"/>
      <protection locked="0" hidden="0"/>
    </xf>
    <xf numFmtId="43" fontId="3" fillId="0" borderId="0" applyAlignment="1" pivotButton="0" quotePrefix="0" xfId="288">
      <alignment horizontal="right" vertical="center" shrinkToFit="1"/>
    </xf>
    <xf numFmtId="43" fontId="3" fillId="0" borderId="0" applyAlignment="1" pivotButton="0" quotePrefix="0" xfId="7">
      <alignment horizontal="right" vertical="center" shrinkToFit="1"/>
    </xf>
    <xf numFmtId="43" fontId="4" fillId="0" borderId="0" applyAlignment="1" pivotButton="0" quotePrefix="0" xfId="7">
      <alignment horizontal="right" vertical="center" shrinkToFit="1"/>
    </xf>
    <xf numFmtId="0" fontId="147" fillId="2" borderId="0" applyAlignment="1" applyProtection="1" pivotButton="0" quotePrefix="0" xfId="0">
      <alignment vertical="center"/>
      <protection locked="0" hidden="0"/>
    </xf>
    <xf numFmtId="0" fontId="121" fillId="0" borderId="0" applyAlignment="1" applyProtection="1" pivotButton="0" quotePrefix="0" xfId="394">
      <alignment horizontal="left" vertical="center"/>
      <protection locked="0" hidden="0"/>
    </xf>
    <xf numFmtId="0" fontId="117" fillId="2" borderId="0" applyProtection="1" pivotButton="0" quotePrefix="0" xfId="0">
      <protection locked="0" hidden="0"/>
    </xf>
    <xf numFmtId="0" fontId="127" fillId="0" borderId="0" applyProtection="1" pivotButton="0" quotePrefix="0" xfId="0">
      <protection locked="0" hidden="0"/>
    </xf>
    <xf numFmtId="0" fontId="88" fillId="0" borderId="1" applyProtection="1" pivotButton="0" quotePrefix="0" xfId="0">
      <protection locked="0" hidden="0"/>
    </xf>
    <xf numFmtId="0" fontId="14" fillId="0" borderId="0" applyAlignment="1" pivotButton="0" quotePrefix="0" xfId="191">
      <alignment vertical="center"/>
    </xf>
    <xf numFmtId="49" fontId="3" fillId="0" borderId="0" applyAlignment="1" pivotButton="0" quotePrefix="0" xfId="7">
      <alignment horizontal="left" vertical="center" wrapText="1" shrinkToFit="1"/>
    </xf>
    <xf numFmtId="43" fontId="3" fillId="2" borderId="0" applyAlignment="1" pivotButton="0" quotePrefix="0" xfId="7">
      <alignment horizontal="right" vertical="center" shrinkToFit="1"/>
    </xf>
    <xf numFmtId="43" fontId="3" fillId="2" borderId="0" applyAlignment="1" applyProtection="1" pivotButton="0" quotePrefix="0" xfId="7">
      <alignment horizontal="right" vertical="center" shrinkToFit="1"/>
      <protection locked="0" hidden="0"/>
    </xf>
    <xf numFmtId="43" fontId="3" fillId="0" borderId="0" applyAlignment="1" applyProtection="1" pivotButton="0" quotePrefix="0" xfId="7">
      <alignment horizontal="right" vertical="center" shrinkToFit="1"/>
      <protection locked="0" hidden="0"/>
    </xf>
    <xf numFmtId="43" fontId="7" fillId="0" borderId="0" applyAlignment="1" applyProtection="1" pivotButton="0" quotePrefix="0" xfId="7">
      <alignment vertical="center"/>
      <protection locked="0" hidden="0"/>
    </xf>
    <xf numFmtId="43" fontId="7" fillId="2" borderId="0" applyAlignment="1" applyProtection="1" pivotButton="0" quotePrefix="0" xfId="7">
      <alignment vertical="center"/>
      <protection locked="0" hidden="0"/>
    </xf>
    <xf numFmtId="0" fontId="111" fillId="2" borderId="0" applyAlignment="1" applyProtection="1" pivotButton="0" quotePrefix="0" xfId="0">
      <alignment vertical="center"/>
      <protection locked="0" hidden="0"/>
    </xf>
    <xf numFmtId="0" fontId="6" fillId="0" borderId="3" applyAlignment="1" applyProtection="1" pivotButton="0" quotePrefix="0" xfId="0">
      <alignment vertical="center"/>
      <protection locked="0" hidden="0"/>
    </xf>
    <xf numFmtId="0" fontId="6" fillId="0" borderId="0" applyAlignment="1" applyProtection="1" pivotButton="0" quotePrefix="0" xfId="0">
      <alignment vertical="center"/>
      <protection locked="0" hidden="0"/>
    </xf>
    <xf numFmtId="0" fontId="6" fillId="0" borderId="16" applyAlignment="1" applyProtection="1" pivotButton="0" quotePrefix="0" xfId="0">
      <alignment vertical="center"/>
      <protection locked="0" hidden="0"/>
    </xf>
    <xf numFmtId="0" fontId="6" fillId="2" borderId="0" applyAlignment="1" applyProtection="1" pivotButton="0" quotePrefix="0" xfId="0">
      <alignment vertical="center"/>
      <protection locked="0" hidden="0"/>
    </xf>
    <xf numFmtId="0" fontId="7"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0" borderId="6" applyAlignment="1" applyProtection="1" pivotButton="0" quotePrefix="0" xfId="0">
      <alignment vertical="center"/>
      <protection locked="0" hidden="0"/>
    </xf>
    <xf numFmtId="0" fontId="7" fillId="2" borderId="0" applyAlignment="1" applyProtection="1" pivotButton="0" quotePrefix="0" xfId="0">
      <alignment vertical="center"/>
      <protection locked="0" hidden="0"/>
    </xf>
    <xf numFmtId="0" fontId="7" fillId="0" borderId="15" applyAlignment="1" applyProtection="1" pivotButton="0" quotePrefix="0" xfId="289">
      <alignment horizontal="left" vertical="center"/>
      <protection locked="0" hidden="0"/>
    </xf>
    <xf numFmtId="0" fontId="7" fillId="0" borderId="22" applyAlignment="1" applyProtection="1" pivotButton="0" quotePrefix="0" xfId="289">
      <alignment horizontal="left" vertical="center" wrapText="1"/>
      <protection locked="0" hidden="0"/>
    </xf>
    <xf numFmtId="0" fontId="7" fillId="0" borderId="22" applyAlignment="1" applyProtection="1" pivotButton="0" quotePrefix="0" xfId="288">
      <alignment horizontal="left" shrinkToFit="1"/>
      <protection locked="0" hidden="0"/>
    </xf>
    <xf numFmtId="0" fontId="3" fillId="0" borderId="3" applyAlignment="1" pivotButton="0" quotePrefix="0" xfId="7">
      <alignment horizontal="left" vertical="center" shrinkToFit="1"/>
    </xf>
    <xf numFmtId="0" fontId="3" fillId="0" borderId="0" applyAlignment="1" pivotButton="0" quotePrefix="0" xfId="7">
      <alignment horizontal="left" vertical="center" shrinkToFit="1"/>
    </xf>
    <xf numFmtId="43" fontId="3" fillId="0" borderId="0" applyAlignment="1" pivotButton="0" quotePrefix="0" xfId="7">
      <alignment vertical="center" shrinkToFit="1"/>
    </xf>
    <xf numFmtId="0" fontId="3" fillId="2" borderId="0" applyAlignment="1" applyProtection="1" pivotButton="0" quotePrefix="0" xfId="0">
      <alignment horizontal="left" vertical="center" wrapText="1"/>
      <protection locked="0" hidden="0"/>
    </xf>
    <xf numFmtId="0" fontId="4" fillId="2" borderId="0" applyAlignment="1" applyProtection="1" pivotButton="0" quotePrefix="0" xfId="0">
      <alignment horizontal="left" vertical="center"/>
      <protection locked="0" hidden="0"/>
    </xf>
    <xf numFmtId="0" fontId="7" fillId="2" borderId="0" applyAlignment="1" pivotButton="0" quotePrefix="0" xfId="166">
      <alignment horizontal="left" vertical="center"/>
    </xf>
    <xf numFmtId="0" fontId="7" fillId="0" borderId="0" applyAlignment="1" applyProtection="1" pivotButton="0" quotePrefix="0" xfId="0">
      <alignment vertical="center"/>
      <protection locked="0" hidden="0"/>
    </xf>
    <xf numFmtId="0" fontId="4" fillId="0" borderId="0" applyAlignment="1" applyProtection="1" pivotButton="0" quotePrefix="0" xfId="0">
      <alignment horizontal="right" vertical="center"/>
      <protection locked="0" hidden="0"/>
    </xf>
    <xf numFmtId="0" fontId="106" fillId="0" borderId="0" applyAlignment="1" applyProtection="1" pivotButton="0" quotePrefix="0" xfId="0">
      <alignment horizontal="left" vertical="center" wrapText="1"/>
      <protection locked="0" hidden="0"/>
    </xf>
    <xf numFmtId="0" fontId="14" fillId="0" borderId="0" applyAlignment="1" applyProtection="1" pivotButton="0" quotePrefix="0" xfId="0">
      <alignment horizontal="center" vertical="center"/>
      <protection locked="0" hidden="0"/>
    </xf>
    <xf numFmtId="0" fontId="3" fillId="0" borderId="0" applyAlignment="1" applyProtection="1" pivotButton="0" quotePrefix="0" xfId="0">
      <alignment horizontal="center" vertical="center" wrapText="1"/>
      <protection locked="0" hidden="0"/>
    </xf>
    <xf numFmtId="0" fontId="3" fillId="0" borderId="0" applyAlignment="1" applyProtection="1" pivotButton="0" quotePrefix="0" xfId="175">
      <alignment vertical="center"/>
      <protection locked="0" hidden="0"/>
    </xf>
    <xf numFmtId="0" fontId="146" fillId="0" borderId="0" applyAlignment="1" pivotButton="0" quotePrefix="0" xfId="191">
      <alignment vertical="center"/>
    </xf>
    <xf numFmtId="0" fontId="79" fillId="53" borderId="0" applyAlignment="1" applyProtection="1" pivotButton="0" quotePrefix="0" xfId="0">
      <alignment vertical="center"/>
      <protection locked="0" hidden="0"/>
    </xf>
    <xf numFmtId="0" fontId="85" fillId="53" borderId="0" applyAlignment="1" applyProtection="1" pivotButton="0" quotePrefix="0" xfId="288">
      <alignment vertical="center"/>
      <protection locked="0" hidden="0"/>
    </xf>
    <xf numFmtId="49" fontId="85" fillId="53" borderId="0" applyAlignment="1" applyProtection="1" pivotButton="0" quotePrefix="0" xfId="288">
      <alignment horizontal="left" vertical="center" shrinkToFit="1"/>
      <protection locked="0" hidden="0"/>
    </xf>
    <xf numFmtId="14" fontId="82" fillId="53" borderId="0" applyAlignment="1" pivotButton="0" quotePrefix="0" xfId="7">
      <alignment horizontal="right" vertical="center" shrinkToFit="1"/>
    </xf>
    <xf numFmtId="43" fontId="82" fillId="53" borderId="0" applyAlignment="1" pivotButton="0" quotePrefix="0" xfId="7">
      <alignment horizontal="right" vertical="center" shrinkToFit="1"/>
    </xf>
    <xf numFmtId="0" fontId="83" fillId="0" borderId="0" applyAlignment="1" applyProtection="1" pivotButton="0" quotePrefix="0" xfId="0">
      <alignment vertical="center"/>
      <protection locked="0" hidden="0"/>
    </xf>
    <xf numFmtId="0" fontId="152" fillId="53" borderId="0" applyAlignment="1" applyProtection="1" pivotButton="0" quotePrefix="0" xfId="0">
      <alignment vertical="center"/>
      <protection locked="0" hidden="0"/>
    </xf>
    <xf numFmtId="0" fontId="108" fillId="53" borderId="0" applyAlignment="1" applyProtection="1" pivotButton="0" quotePrefix="0" xfId="0">
      <alignment vertical="center"/>
      <protection locked="0" hidden="0"/>
    </xf>
    <xf numFmtId="0" fontId="107" fillId="53" borderId="0" applyAlignment="1" applyProtection="1" pivotButton="0" quotePrefix="0" xfId="0">
      <alignment vertical="center"/>
      <protection locked="0" hidden="0"/>
    </xf>
    <xf numFmtId="0" fontId="82" fillId="53" borderId="0" applyAlignment="1" applyProtection="1" pivotButton="0" quotePrefix="0" xfId="0">
      <alignment vertical="center"/>
      <protection locked="0" hidden="0"/>
    </xf>
    <xf numFmtId="0" fontId="82" fillId="53" borderId="0" applyProtection="1" pivotButton="0" quotePrefix="0" xfId="0">
      <protection locked="0" hidden="0"/>
    </xf>
    <xf numFmtId="0" fontId="130" fillId="53" borderId="0" applyAlignment="1" applyProtection="1" pivotButton="0" quotePrefix="0" xfId="0">
      <alignment vertical="center"/>
      <protection locked="0" hidden="0"/>
    </xf>
    <xf numFmtId="0" fontId="3" fillId="2" borderId="0" applyAlignment="1" applyProtection="1" pivotButton="0" quotePrefix="0" xfId="0">
      <alignment horizontal="center" vertical="center"/>
      <protection locked="0" hidden="0"/>
    </xf>
    <xf numFmtId="0" fontId="9" fillId="51" borderId="20" applyAlignment="1" applyProtection="1" pivotButton="0" quotePrefix="0" xfId="0">
      <alignment horizontal="center" vertical="center" wrapText="1"/>
      <protection locked="0" hidden="0"/>
    </xf>
    <xf numFmtId="0" fontId="14" fillId="0" borderId="0" applyAlignment="1" applyProtection="1" pivotButton="0" quotePrefix="0" xfId="0">
      <alignment vertical="center"/>
      <protection locked="0" hidden="0"/>
    </xf>
    <xf numFmtId="0" fontId="15" fillId="0" borderId="0" applyAlignment="1" applyProtection="1" pivotButton="0" quotePrefix="0" xfId="0">
      <alignment horizontal="center" vertical="center"/>
      <protection locked="0" hidden="0"/>
    </xf>
    <xf numFmtId="0" fontId="9" fillId="50" borderId="34" applyAlignment="1" applyProtection="1" pivotButton="0" quotePrefix="0" xfId="0">
      <alignment horizontal="center" vertical="center" wrapText="1"/>
      <protection locked="0" hidden="0"/>
    </xf>
    <xf numFmtId="14" fontId="9" fillId="50" borderId="37" applyAlignment="1" applyProtection="1" pivotButton="0" quotePrefix="0" xfId="0">
      <alignment horizontal="center" vertical="center"/>
      <protection locked="0" hidden="0"/>
    </xf>
    <xf numFmtId="0" fontId="4" fillId="50" borderId="34" applyAlignment="1" applyProtection="1" pivotButton="0" quotePrefix="0" xfId="0">
      <alignment vertical="center"/>
      <protection locked="0" hidden="0"/>
    </xf>
    <xf numFmtId="0" fontId="12" fillId="50" borderId="39" applyAlignment="1" applyProtection="1" pivotButton="0" quotePrefix="0" xfId="0">
      <alignment horizontal="center" vertical="center" wrapText="1"/>
      <protection locked="0" hidden="0"/>
    </xf>
    <xf numFmtId="0" fontId="14" fillId="50" borderId="37" applyAlignment="1" applyProtection="1" pivotButton="0" quotePrefix="0" xfId="0">
      <alignment horizontal="center" vertical="center" wrapText="1"/>
      <protection locked="0" hidden="0"/>
    </xf>
    <xf numFmtId="0" fontId="9" fillId="50" borderId="37" applyAlignment="1" applyProtection="1" pivotButton="0" quotePrefix="0" xfId="0">
      <alignment horizontal="center" vertical="center"/>
      <protection locked="0" hidden="0"/>
    </xf>
    <xf numFmtId="0" fontId="12" fillId="50" borderId="37" applyAlignment="1" applyProtection="1" pivotButton="0" quotePrefix="0" xfId="0">
      <alignment horizontal="center" vertical="center"/>
      <protection locked="0" hidden="0"/>
    </xf>
    <xf numFmtId="0" fontId="4" fillId="50" borderId="39" applyAlignment="1" applyProtection="1" pivotButton="0" quotePrefix="0" xfId="0">
      <alignment horizontal="center" vertical="center" wrapText="1"/>
      <protection locked="0" hidden="0"/>
    </xf>
    <xf numFmtId="0" fontId="155" fillId="0" borderId="0" applyAlignment="1" applyProtection="1" pivotButton="0" quotePrefix="0" xfId="0">
      <alignment horizontal="left" vertical="center"/>
      <protection locked="0" hidden="0"/>
    </xf>
    <xf numFmtId="49" fontId="3" fillId="0" borderId="0" applyAlignment="1" pivotButton="0" quotePrefix="0" xfId="7">
      <alignment horizontal="left" vertical="center" wrapText="1" shrinkToFit="1"/>
    </xf>
    <xf numFmtId="0" fontId="94" fillId="48" borderId="40" applyAlignment="1" applyProtection="1" pivotButton="0" quotePrefix="0" xfId="358">
      <alignment horizontal="centerContinuous" vertical="center"/>
      <protection locked="0" hidden="0"/>
    </xf>
    <xf numFmtId="0" fontId="94" fillId="48" borderId="41" applyAlignment="1" applyProtection="1" pivotButton="0" quotePrefix="0" xfId="358">
      <alignment horizontal="centerContinuous" vertical="center"/>
      <protection locked="0" hidden="0"/>
    </xf>
    <xf numFmtId="0" fontId="94" fillId="48" borderId="42" applyAlignment="1" applyProtection="1" pivotButton="0" quotePrefix="0" xfId="358">
      <alignment horizontal="centerContinuous" vertical="center"/>
      <protection locked="0" hidden="0"/>
    </xf>
    <xf numFmtId="0" fontId="95" fillId="44" borderId="22" applyAlignment="1" applyProtection="1" pivotButton="0" quotePrefix="0" xfId="358">
      <alignment vertical="center"/>
      <protection locked="0" hidden="0"/>
    </xf>
    <xf numFmtId="0" fontId="95" fillId="44" borderId="23" applyAlignment="1" applyProtection="1" pivotButton="0" quotePrefix="0" xfId="358">
      <alignment vertical="center" wrapText="1"/>
      <protection locked="0" hidden="0"/>
    </xf>
    <xf numFmtId="0" fontId="95" fillId="44" borderId="43" applyAlignment="1" applyProtection="1" pivotButton="0" quotePrefix="0" xfId="358">
      <alignment vertical="center" wrapText="1"/>
      <protection locked="0" hidden="0"/>
    </xf>
    <xf numFmtId="0" fontId="14" fillId="51" borderId="37" applyAlignment="1" applyProtection="1" pivotButton="0" quotePrefix="0" xfId="0">
      <alignment horizontal="center" vertical="center"/>
      <protection locked="0" hidden="0"/>
    </xf>
    <xf numFmtId="0" fontId="9" fillId="51" borderId="37" applyAlignment="1" applyProtection="1" pivotButton="0" quotePrefix="0" xfId="0">
      <alignment horizontal="center" vertical="center" wrapText="1"/>
      <protection locked="0" hidden="0"/>
    </xf>
    <xf numFmtId="0" fontId="6" fillId="47" borderId="37" applyAlignment="1" applyProtection="1" pivotButton="0" quotePrefix="0" xfId="0">
      <alignment horizontal="center" vertical="center"/>
      <protection locked="0" hidden="0"/>
    </xf>
    <xf numFmtId="0" fontId="14" fillId="46" borderId="37" applyAlignment="1" applyProtection="1" pivotButton="0" quotePrefix="0" xfId="0">
      <alignment horizontal="center" vertical="center"/>
      <protection locked="0" hidden="0"/>
    </xf>
    <xf numFmtId="0" fontId="9" fillId="46" borderId="37" applyAlignment="1" applyProtection="1" pivotButton="0" quotePrefix="0" xfId="0">
      <alignment horizontal="center" vertical="center" wrapText="1"/>
      <protection locked="0" hidden="0"/>
    </xf>
    <xf numFmtId="0" fontId="3" fillId="0" borderId="37" applyAlignment="1" applyProtection="1" pivotButton="0" quotePrefix="0" xfId="0">
      <alignment horizontal="center" vertical="center"/>
      <protection locked="0" hidden="0"/>
    </xf>
    <xf numFmtId="0" fontId="6" fillId="0" borderId="37" applyAlignment="1" applyProtection="1" pivotButton="0" quotePrefix="0" xfId="0">
      <alignment horizontal="center" vertical="center"/>
      <protection locked="0" hidden="0"/>
    </xf>
    <xf numFmtId="0" fontId="81" fillId="43" borderId="36" applyAlignment="1" applyProtection="1" pivotButton="0" quotePrefix="0" xfId="358">
      <alignment horizontal="centerContinuous" vertical="center"/>
      <protection locked="0" hidden="0"/>
    </xf>
    <xf numFmtId="0" fontId="3" fillId="0" borderId="36" applyAlignment="1" pivotButton="0" quotePrefix="0" xfId="0">
      <alignment vertical="center"/>
    </xf>
    <xf numFmtId="0" fontId="3" fillId="0" borderId="36" applyAlignment="1" applyProtection="1" pivotButton="0" quotePrefix="0" xfId="0">
      <alignment vertical="center"/>
      <protection locked="0" hidden="0"/>
    </xf>
    <xf numFmtId="0" fontId="5" fillId="41" borderId="37" applyAlignment="1" applyProtection="1" pivotButton="0" quotePrefix="0" xfId="0">
      <alignment horizontal="center" vertical="center"/>
      <protection locked="0" hidden="0"/>
    </xf>
    <xf numFmtId="0" fontId="113" fillId="41" borderId="37" applyAlignment="1" applyProtection="1" pivotButton="0" quotePrefix="0" xfId="0">
      <alignment horizontal="left" vertical="center"/>
      <protection locked="0" hidden="0"/>
    </xf>
    <xf numFmtId="0" fontId="9" fillId="41" borderId="37" applyAlignment="1" pivotButton="0" quotePrefix="0" xfId="358">
      <alignment horizontal="centerContinuous" vertical="center"/>
    </xf>
    <xf numFmtId="0" fontId="9" fillId="41" borderId="37" applyAlignment="1" pivotButton="0" quotePrefix="0" xfId="380">
      <alignment horizontal="left" vertical="center"/>
    </xf>
    <xf numFmtId="164" fontId="7" fillId="2" borderId="37" applyAlignment="1" applyProtection="1" pivotButton="0" quotePrefix="0" xfId="381">
      <alignment horizontal="center" vertical="center" wrapText="1"/>
      <protection locked="0" hidden="0"/>
    </xf>
    <xf numFmtId="9" fontId="7" fillId="0" borderId="37" applyAlignment="1" applyProtection="1" pivotButton="0" quotePrefix="0" xfId="369">
      <alignment vertical="center" wrapText="1"/>
      <protection locked="0" hidden="0"/>
    </xf>
    <xf numFmtId="0" fontId="5" fillId="44" borderId="36" applyAlignment="1" applyProtection="1" pivotButton="0" quotePrefix="0" xfId="0">
      <alignment vertical="center"/>
      <protection locked="0" hidden="0"/>
    </xf>
    <xf numFmtId="0" fontId="3" fillId="44" borderId="36" applyAlignment="1" applyProtection="1" pivotButton="0" quotePrefix="0" xfId="0">
      <alignment vertical="center"/>
      <protection locked="0" hidden="0"/>
    </xf>
    <xf numFmtId="0" fontId="81" fillId="44" borderId="36" applyAlignment="1" applyProtection="1" pivotButton="0" quotePrefix="0" xfId="0">
      <alignment vertical="center"/>
      <protection locked="0" hidden="0"/>
    </xf>
    <xf numFmtId="0" fontId="101" fillId="44" borderId="36" applyAlignment="1" applyProtection="1" pivotButton="0" quotePrefix="0" xfId="0">
      <alignment vertical="center"/>
      <protection locked="0" hidden="0"/>
    </xf>
    <xf numFmtId="0" fontId="9" fillId="41" borderId="37" applyAlignment="1" pivotButton="0" quotePrefix="0" xfId="373">
      <alignment horizontal="center" vertical="center" wrapText="1"/>
    </xf>
    <xf numFmtId="0" fontId="3" fillId="0" borderId="37" applyAlignment="1" pivotButton="0" quotePrefix="0" xfId="7">
      <alignment horizontal="left" vertical="center" shrinkToFit="1"/>
    </xf>
    <xf numFmtId="43" fontId="3" fillId="0" borderId="37" applyAlignment="1" pivotButton="0" quotePrefix="0" xfId="7">
      <alignment horizontal="right" vertical="center" shrinkToFit="1"/>
    </xf>
    <xf numFmtId="0" fontId="3" fillId="0" borderId="37" applyAlignment="1" pivotButton="0" quotePrefix="0" xfId="7">
      <alignment horizontal="left" vertical="center" wrapText="1" shrinkToFit="1"/>
    </xf>
    <xf numFmtId="0" fontId="4" fillId="41" borderId="36" applyAlignment="1" applyProtection="1" pivotButton="0" quotePrefix="0" xfId="0">
      <alignment vertical="center"/>
      <protection locked="0" hidden="0"/>
    </xf>
    <xf numFmtId="0" fontId="9" fillId="41" borderId="37" applyAlignment="1" pivotButton="0" quotePrefix="0" xfId="374">
      <alignment horizontal="center" vertical="center"/>
    </xf>
    <xf numFmtId="0" fontId="9" fillId="41" borderId="37" applyAlignment="1" pivotButton="0" quotePrefix="0" xfId="373">
      <alignment horizontal="center" vertical="center"/>
    </xf>
    <xf numFmtId="0" fontId="3" fillId="0" borderId="37" applyAlignment="1" applyProtection="1" pivotButton="0" quotePrefix="0" xfId="289">
      <alignment horizontal="left" vertical="center" wrapText="1"/>
      <protection locked="0" hidden="0"/>
    </xf>
    <xf numFmtId="0" fontId="95" fillId="44" borderId="36" applyAlignment="1" applyProtection="1" pivotButton="0" quotePrefix="0" xfId="370">
      <alignment vertical="center" wrapText="1"/>
      <protection locked="0" hidden="0"/>
    </xf>
    <xf numFmtId="0" fontId="5" fillId="0" borderId="37" applyAlignment="1" pivotButton="0" quotePrefix="0" xfId="7">
      <alignment horizontal="center" vertical="center" shrinkToFit="1"/>
    </xf>
    <xf numFmtId="0" fontId="3" fillId="0" borderId="37" applyAlignment="1" applyProtection="1" pivotButton="0" quotePrefix="0" xfId="289">
      <alignment horizontal="left" vertical="center" shrinkToFit="1"/>
      <protection locked="0" hidden="0"/>
    </xf>
    <xf numFmtId="0" fontId="3" fillId="2" borderId="37" applyAlignment="1" applyProtection="1" pivotButton="0" quotePrefix="0" xfId="289">
      <alignment horizontal="left" vertical="center" shrinkToFit="1"/>
      <protection locked="0" hidden="0"/>
    </xf>
    <xf numFmtId="43" fontId="7" fillId="0" borderId="0" applyAlignment="1" applyProtection="1" pivotButton="0" quotePrefix="0" xfId="7">
      <alignment vertical="center" wrapText="1"/>
      <protection locked="0" hidden="0"/>
    </xf>
    <xf numFmtId="43" fontId="7" fillId="0" borderId="0" applyAlignment="1" applyProtection="1" pivotButton="0" quotePrefix="0" xfId="7">
      <alignment horizontal="right" vertical="center" wrapText="1"/>
      <protection locked="0" hidden="0"/>
    </xf>
    <xf numFmtId="43" fontId="3" fillId="2" borderId="0" applyAlignment="1" applyProtection="1" pivotButton="0" quotePrefix="0" xfId="7">
      <alignment horizontal="right" vertical="center"/>
      <protection locked="0" hidden="0"/>
    </xf>
    <xf numFmtId="43" fontId="7" fillId="0" borderId="0" applyAlignment="1" applyProtection="1" pivotButton="0" quotePrefix="0" xfId="7">
      <alignment horizontal="right" vertical="center" wrapText="1"/>
      <protection locked="0" hidden="0"/>
    </xf>
    <xf numFmtId="0" fontId="157" fillId="0" borderId="0" applyAlignment="1" applyProtection="1" pivotButton="0" quotePrefix="0" xfId="0">
      <alignment horizontal="center" vertical="center"/>
      <protection locked="0" hidden="0"/>
    </xf>
    <xf numFmtId="0" fontId="7" fillId="0" borderId="0" applyAlignment="1" applyProtection="1" pivotButton="0" quotePrefix="0" xfId="369">
      <alignment horizontal="left" vertical="center" wrapText="1"/>
      <protection locked="0" hidden="0"/>
    </xf>
    <xf numFmtId="0" fontId="158" fillId="0" borderId="0" applyAlignment="1" pivotButton="0" quotePrefix="0" xfId="358">
      <alignment horizontal="left" vertical="center" wrapText="1"/>
    </xf>
    <xf numFmtId="0" fontId="158" fillId="0" borderId="0" applyAlignment="1" pivotButton="0" quotePrefix="0" xfId="358">
      <alignment horizontal="left" vertical="top"/>
    </xf>
    <xf numFmtId="0" fontId="7" fillId="0" borderId="0" applyAlignment="1" applyProtection="1" pivotButton="0" quotePrefix="0" xfId="164">
      <alignment vertical="center"/>
      <protection locked="0" hidden="0"/>
    </xf>
    <xf numFmtId="0" fontId="5" fillId="2" borderId="0" applyAlignment="1" applyProtection="1" pivotButton="0" quotePrefix="0" xfId="358">
      <alignment vertical="center"/>
      <protection locked="0" hidden="0"/>
    </xf>
    <xf numFmtId="0" fontId="14" fillId="47" borderId="0" applyAlignment="1" applyProtection="1" pivotButton="0" quotePrefix="0" xfId="0">
      <alignment vertical="center"/>
      <protection locked="0" hidden="0"/>
    </xf>
    <xf numFmtId="0" fontId="6" fillId="47" borderId="0" applyAlignment="1" applyProtection="1" pivotButton="0" quotePrefix="0" xfId="0">
      <alignment vertical="center"/>
      <protection locked="0" hidden="0"/>
    </xf>
    <xf numFmtId="0" fontId="7" fillId="0" borderId="0" applyAlignment="1" applyProtection="1" pivotButton="0" quotePrefix="0" xfId="369">
      <alignment vertical="center" wrapText="1"/>
      <protection locked="0" hidden="0"/>
    </xf>
    <xf numFmtId="43" fontId="7" fillId="0" borderId="0" applyAlignment="1" applyProtection="1" pivotButton="0" quotePrefix="0" xfId="7">
      <alignment vertical="center" wrapText="1"/>
      <protection locked="0" hidden="0"/>
    </xf>
    <xf numFmtId="0" fontId="4" fillId="0" borderId="0" applyAlignment="1" applyProtection="1" pivotButton="0" quotePrefix="0" xfId="7">
      <alignment horizontal="left" vertical="center"/>
      <protection locked="0" hidden="0"/>
    </xf>
    <xf numFmtId="0" fontId="7" fillId="0" borderId="0" applyAlignment="1" applyProtection="1" pivotButton="0" quotePrefix="0" xfId="7">
      <alignment horizontal="center" vertical="center"/>
      <protection locked="0" hidden="0"/>
    </xf>
    <xf numFmtId="43" fontId="9" fillId="0" borderId="0" applyAlignment="1" applyProtection="1" pivotButton="0" quotePrefix="0" xfId="7">
      <alignment vertical="center"/>
      <protection locked="0" hidden="0"/>
    </xf>
    <xf numFmtId="43" fontId="9" fillId="42" borderId="0" applyAlignment="1" applyProtection="1" pivotButton="0" quotePrefix="0" xfId="7">
      <alignment vertical="center"/>
      <protection locked="0" hidden="0"/>
    </xf>
    <xf numFmtId="43" fontId="7" fillId="0" borderId="0" applyAlignment="1" applyProtection="1" pivotButton="0" quotePrefix="0" xfId="381">
      <alignment vertical="center"/>
      <protection locked="0" hidden="0"/>
    </xf>
    <xf numFmtId="43" fontId="3" fillId="0" borderId="0" applyAlignment="1" applyProtection="1" pivotButton="0" quotePrefix="0" xfId="381">
      <alignment vertical="center"/>
      <protection locked="0" hidden="0"/>
    </xf>
    <xf numFmtId="9" fontId="3" fillId="0" borderId="0" applyAlignment="1" applyProtection="1" pivotButton="0" quotePrefix="0" xfId="377">
      <alignment vertical="center"/>
      <protection locked="0" hidden="0"/>
    </xf>
    <xf numFmtId="0" fontId="159" fillId="0" borderId="0" applyProtection="1" pivotButton="0" quotePrefix="0" xfId="0">
      <protection locked="0" hidden="0"/>
    </xf>
    <xf numFmtId="0" fontId="15" fillId="0" borderId="4" applyAlignment="1" applyProtection="1" pivotButton="0" quotePrefix="0" xfId="0">
      <alignment horizontal="center" vertical="center"/>
      <protection locked="0" hidden="0"/>
    </xf>
    <xf numFmtId="14" fontId="3" fillId="0" borderId="37" applyAlignment="1" pivotButton="0" quotePrefix="0" xfId="7">
      <alignment horizontal="left" vertical="center" shrinkToFit="1"/>
    </xf>
    <xf numFmtId="0" fontId="3" fillId="0" borderId="15" applyAlignment="1" pivotButton="0" quotePrefix="0" xfId="7">
      <alignment horizontal="left" vertical="center" shrinkToFit="1"/>
    </xf>
    <xf numFmtId="0" fontId="7" fillId="0" borderId="37" applyAlignment="1" applyProtection="1" pivotButton="0" quotePrefix="0" xfId="289">
      <alignment horizontal="left" vertical="center"/>
      <protection locked="0" hidden="0"/>
    </xf>
    <xf numFmtId="0" fontId="3" fillId="0" borderId="37" applyAlignment="1" pivotButton="0" quotePrefix="0" xfId="7">
      <alignment horizontal="left" vertical="center" shrinkToFit="1"/>
    </xf>
    <xf numFmtId="10" fontId="7" fillId="0" borderId="0" applyAlignment="1" applyProtection="1" pivotButton="0" quotePrefix="0" xfId="12">
      <alignment horizontal="right" vertical="center"/>
      <protection locked="0" hidden="0"/>
    </xf>
    <xf numFmtId="14" fontId="9" fillId="41" borderId="22" applyAlignment="1" applyProtection="1" pivotButton="0" quotePrefix="0" xfId="386">
      <alignment horizontal="center" vertical="center"/>
      <protection locked="0" hidden="0"/>
    </xf>
    <xf numFmtId="14" fontId="9" fillId="41" borderId="23" applyAlignment="1" applyProtection="1" pivotButton="0" quotePrefix="0" xfId="386">
      <alignment horizontal="center" vertical="center"/>
      <protection locked="0" hidden="0"/>
    </xf>
    <xf numFmtId="39" fontId="9" fillId="41" borderId="23" applyAlignment="1" applyProtection="1" pivotButton="0" quotePrefix="0" xfId="386">
      <alignment horizontal="center" vertical="center"/>
      <protection locked="0" hidden="0"/>
    </xf>
    <xf numFmtId="39" fontId="14" fillId="41" borderId="23" applyAlignment="1" applyProtection="1" pivotButton="0" quotePrefix="0" xfId="386">
      <alignment horizontal="center" vertical="center"/>
      <protection locked="0" hidden="0"/>
    </xf>
    <xf numFmtId="39" fontId="5" fillId="41" borderId="23" applyAlignment="1" applyProtection="1" pivotButton="0" quotePrefix="0" xfId="386">
      <alignment horizontal="center" vertical="center"/>
      <protection locked="0" hidden="0"/>
    </xf>
    <xf numFmtId="39" fontId="5" fillId="41" borderId="43" applyAlignment="1" applyProtection="1" pivotButton="0" quotePrefix="0" xfId="386">
      <alignment horizontal="center" vertical="center"/>
      <protection locked="0" hidden="0"/>
    </xf>
    <xf numFmtId="0" fontId="129" fillId="41" borderId="37" applyAlignment="1" pivotButton="0" quotePrefix="0" xfId="373">
      <alignment horizontal="center" vertical="center" wrapText="1"/>
    </xf>
    <xf numFmtId="0" fontId="9" fillId="46" borderId="15" applyAlignment="1" applyProtection="1" pivotButton="0" quotePrefix="0" xfId="0">
      <alignment horizontal="center" vertical="center" wrapText="1"/>
      <protection locked="0" hidden="0"/>
    </xf>
    <xf numFmtId="0" fontId="6" fillId="0" borderId="15" applyAlignment="1" applyProtection="1" pivotButton="0" quotePrefix="0" xfId="0">
      <alignment horizontal="center" vertical="center"/>
      <protection locked="0" hidden="0"/>
    </xf>
    <xf numFmtId="0" fontId="14" fillId="46" borderId="15"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0" fontId="6" fillId="54" borderId="15" applyAlignment="1" applyProtection="1" pivotButton="0" quotePrefix="0" xfId="0">
      <alignment horizontal="center" vertical="center"/>
      <protection locked="0" hidden="0"/>
    </xf>
    <xf numFmtId="0" fontId="3" fillId="2" borderId="37" applyAlignment="1" applyProtection="1" pivotButton="0" quotePrefix="0" xfId="0">
      <alignment horizontal="left" vertical="center" wrapText="1"/>
      <protection locked="0" hidden="0"/>
    </xf>
    <xf numFmtId="0" fontId="3" fillId="0" borderId="20" applyAlignment="1" applyProtection="1" pivotButton="0" quotePrefix="0" xfId="0">
      <alignment horizontal="left" vertical="center"/>
      <protection locked="0" hidden="0"/>
    </xf>
    <xf numFmtId="0" fontId="3" fillId="0" borderId="37" applyAlignment="1" applyProtection="1" pivotButton="0" quotePrefix="0" xfId="0">
      <alignment horizontal="left" vertical="center"/>
      <protection locked="0" hidden="0"/>
    </xf>
    <xf numFmtId="0" fontId="6" fillId="0" borderId="15" applyAlignment="1" applyProtection="1" pivotButton="0" quotePrefix="0" xfId="0">
      <alignment horizontal="left" vertical="center"/>
      <protection locked="0" hidden="0"/>
    </xf>
    <xf numFmtId="0" fontId="9" fillId="41" borderId="37" applyAlignment="1" pivotButton="0" quotePrefix="0" xfId="0">
      <alignment horizontal="center" vertical="center"/>
    </xf>
    <xf numFmtId="0" fontId="9" fillId="41" borderId="20" applyAlignment="1" pivotButton="0" quotePrefix="0" xfId="0">
      <alignment horizontal="center" vertical="center"/>
    </xf>
    <xf numFmtId="0" fontId="6" fillId="0" borderId="37" applyAlignment="1" pivotButton="0" quotePrefix="0" xfId="0">
      <alignment horizontal="center" vertical="center"/>
    </xf>
    <xf numFmtId="0" fontId="161" fillId="0" borderId="0" applyAlignment="1" applyProtection="1" pivotButton="0" quotePrefix="0" xfId="0">
      <alignment horizontal="left" vertical="center"/>
      <protection locked="0" hidden="0"/>
    </xf>
    <xf numFmtId="0" fontId="10" fillId="0" borderId="0" applyProtection="1" pivotButton="0" quotePrefix="0" xfId="394">
      <protection locked="0" hidden="0"/>
    </xf>
    <xf numFmtId="0" fontId="116" fillId="44" borderId="3" applyAlignment="1" applyProtection="1" pivotButton="0" quotePrefix="0" xfId="289">
      <alignment horizontal="right" vertical="center" shrinkToFit="1"/>
      <protection locked="0" hidden="0"/>
    </xf>
    <xf numFmtId="14" fontId="47" fillId="44" borderId="3" applyAlignment="1" pivotButton="0" quotePrefix="0" xfId="0">
      <alignment horizontal="right" vertical="center"/>
    </xf>
    <xf numFmtId="14" fontId="116" fillId="44" borderId="3" applyAlignment="1" applyProtection="1" pivotButton="0" quotePrefix="0" xfId="289">
      <alignment horizontal="right" vertical="center" shrinkToFit="1"/>
      <protection locked="0" hidden="0"/>
    </xf>
    <xf numFmtId="166" fontId="116" fillId="44" borderId="3" applyAlignment="1" applyProtection="1" pivotButton="0" quotePrefix="0" xfId="289">
      <alignment horizontal="right" vertical="center" shrinkToFit="1"/>
      <protection locked="0" hidden="0"/>
    </xf>
    <xf numFmtId="0" fontId="116" fillId="44" borderId="4" applyAlignment="1" applyProtection="1" pivotButton="0" quotePrefix="0" xfId="289">
      <alignment horizontal="right" vertical="center" shrinkToFit="1"/>
      <protection locked="0" hidden="0"/>
    </xf>
    <xf numFmtId="0" fontId="95" fillId="44" borderId="24" applyAlignment="1" applyProtection="1" pivotButton="0" quotePrefix="0" xfId="358">
      <alignment vertical="center" wrapText="1"/>
      <protection locked="0" hidden="0"/>
    </xf>
    <xf numFmtId="0" fontId="47" fillId="44" borderId="28" applyAlignment="1" pivotButton="0" quotePrefix="0" xfId="358">
      <alignment vertical="center" wrapText="1"/>
    </xf>
    <xf numFmtId="0" fontId="47" fillId="44" borderId="29" applyAlignment="1" pivotButton="0" quotePrefix="0" xfId="358">
      <alignment vertical="center" wrapText="1"/>
    </xf>
    <xf numFmtId="0" fontId="47" fillId="44" borderId="26" applyAlignment="1" pivotButton="0" quotePrefix="0" xfId="358">
      <alignment vertical="center" wrapText="1"/>
    </xf>
    <xf numFmtId="166" fontId="3" fillId="0" borderId="0" applyAlignment="1" pivotButton="0" quotePrefix="0" xfId="7">
      <alignment horizontal="right" vertical="center" shrinkToFit="1"/>
    </xf>
    <xf numFmtId="166" fontId="3" fillId="0" borderId="0" applyAlignment="1" applyProtection="1" pivotButton="0" quotePrefix="0" xfId="0">
      <alignment vertical="center"/>
      <protection locked="0" hidden="0"/>
    </xf>
    <xf numFmtId="166" fontId="3" fillId="0" borderId="0" applyAlignment="1" applyProtection="1" pivotButton="0" quotePrefix="0" xfId="0">
      <alignment horizontal="right" vertical="center"/>
      <protection locked="0" hidden="0"/>
    </xf>
    <xf numFmtId="166" fontId="3" fillId="0" borderId="1" applyAlignment="1" pivotButton="0" quotePrefix="0" xfId="7">
      <alignment horizontal="right" vertical="center" shrinkToFit="1"/>
    </xf>
    <xf numFmtId="166" fontId="7" fillId="0" borderId="0" applyAlignment="1" applyProtection="1" pivotButton="0" quotePrefix="0" xfId="0">
      <alignment horizontal="right" vertical="center" wrapText="1"/>
      <protection locked="0" hidden="0"/>
    </xf>
    <xf numFmtId="166" fontId="3" fillId="0" borderId="37" applyAlignment="1" pivotButton="0" quotePrefix="0" xfId="7">
      <alignment horizontal="right" vertical="center" shrinkToFit="1"/>
    </xf>
    <xf numFmtId="166" fontId="3" fillId="0" borderId="0" applyAlignment="1" applyProtection="1" pivotButton="0" quotePrefix="0" xfId="7">
      <alignment horizontal="right" vertical="center"/>
      <protection locked="0" hidden="0"/>
    </xf>
    <xf numFmtId="166" fontId="7" fillId="0" borderId="0" applyAlignment="1" applyProtection="1" pivotButton="0" quotePrefix="0" xfId="394">
      <alignment horizontal="right" vertical="center"/>
      <protection locked="0" hidden="0"/>
    </xf>
    <xf numFmtId="166" fontId="7" fillId="0" borderId="15" applyAlignment="1" applyProtection="1" pivotButton="0" quotePrefix="0" xfId="7">
      <alignment horizontal="right" vertical="center"/>
      <protection locked="0" hidden="0"/>
    </xf>
    <xf numFmtId="14" fontId="7" fillId="0" borderId="15" applyAlignment="1" applyProtection="1" pivotButton="0" quotePrefix="0" xfId="289">
      <alignment horizontal="left" vertical="center"/>
      <protection locked="0" hidden="0"/>
    </xf>
    <xf numFmtId="166" fontId="3" fillId="0" borderId="19" applyAlignment="1" applyProtection="1" pivotButton="0" quotePrefix="0" xfId="0">
      <alignment vertical="center"/>
      <protection locked="0" hidden="0"/>
    </xf>
    <xf numFmtId="0" fontId="3" fillId="0" borderId="44" applyAlignment="1" applyProtection="1" pivotButton="0" quotePrefix="0" xfId="391">
      <alignment horizontal="center" vertical="center"/>
      <protection locked="0" hidden="0"/>
    </xf>
    <xf numFmtId="0" fontId="93" fillId="43" borderId="44" applyAlignment="1" applyProtection="1" pivotButton="0" quotePrefix="0" xfId="358">
      <alignment horizontal="centerContinuous" vertical="center"/>
      <protection locked="0" hidden="0"/>
    </xf>
    <xf numFmtId="0" fontId="9" fillId="41" borderId="44" applyAlignment="1" pivotButton="0" quotePrefix="0" xfId="0">
      <alignment horizontal="centerContinuous" vertical="center"/>
    </xf>
    <xf numFmtId="0" fontId="9" fillId="41" borderId="45" applyAlignment="1" pivotButton="0" quotePrefix="0" xfId="0">
      <alignment horizontal="centerContinuous" vertical="center"/>
    </xf>
    <xf numFmtId="0" fontId="3" fillId="0" borderId="44" applyAlignment="1" pivotButton="0" quotePrefix="0" xfId="0">
      <alignment vertical="center"/>
    </xf>
    <xf numFmtId="0" fontId="6" fillId="47" borderId="44" applyAlignment="1" applyProtection="1" pivotButton="0" quotePrefix="0" xfId="0">
      <alignment horizontal="center" vertical="center"/>
      <protection locked="0" hidden="0"/>
    </xf>
    <xf numFmtId="43" fontId="6" fillId="2" borderId="45" applyAlignment="1" applyProtection="1" pivotButton="0" quotePrefix="0" xfId="381">
      <alignment horizontal="right" vertical="center"/>
      <protection locked="0" hidden="0"/>
    </xf>
    <xf numFmtId="0" fontId="3" fillId="0" borderId="46" applyAlignment="1" pivotButton="0" quotePrefix="0" xfId="0">
      <alignment vertical="center"/>
    </xf>
    <xf numFmtId="0" fontId="7" fillId="0" borderId="44" applyAlignment="1" pivotButton="0" quotePrefix="0" xfId="367">
      <alignment vertical="center"/>
    </xf>
    <xf numFmtId="0" fontId="3" fillId="0" borderId="46" applyAlignment="1" applyProtection="1" pivotButton="0" quotePrefix="0" xfId="0">
      <alignment vertical="center"/>
      <protection locked="0" hidden="0"/>
    </xf>
    <xf numFmtId="0" fontId="6" fillId="47" borderId="44" applyAlignment="1" applyProtection="1" pivotButton="0" quotePrefix="0" xfId="0">
      <alignment horizontal="center" vertical="center" wrapText="1"/>
      <protection locked="0" hidden="0"/>
    </xf>
    <xf numFmtId="0" fontId="12" fillId="0" borderId="0" applyAlignment="1" pivotButton="0" quotePrefix="0" xfId="0">
      <alignment vertical="center"/>
    </xf>
    <xf numFmtId="0" fontId="116" fillId="44" borderId="44" applyAlignment="1" applyProtection="1" pivotButton="0" quotePrefix="0" xfId="0">
      <alignment vertical="center"/>
      <protection locked="0" hidden="0"/>
    </xf>
    <xf numFmtId="0" fontId="3" fillId="44" borderId="45" applyAlignment="1" applyProtection="1" pivotButton="0" quotePrefix="0" xfId="0">
      <alignment vertical="center"/>
      <protection locked="0" hidden="0"/>
    </xf>
    <xf numFmtId="0" fontId="12" fillId="41" borderId="37" applyAlignment="1" pivotButton="0" quotePrefix="0" xfId="373">
      <alignment horizontal="center" vertical="center" wrapText="1"/>
    </xf>
    <xf numFmtId="0" fontId="101" fillId="44" borderId="45" applyAlignment="1" applyProtection="1" pivotButton="0" quotePrefix="0" xfId="0">
      <alignment vertical="center"/>
      <protection locked="0" hidden="0"/>
    </xf>
    <xf numFmtId="0" fontId="9" fillId="41" borderId="44" applyAlignment="1" applyProtection="1" pivotButton="0" quotePrefix="0" xfId="0">
      <alignment vertical="center"/>
      <protection locked="0" hidden="0"/>
    </xf>
    <xf numFmtId="0" fontId="4" fillId="41" borderId="45" applyAlignment="1" applyProtection="1" pivotButton="0" quotePrefix="0" xfId="0">
      <alignment vertical="center"/>
      <protection locked="0" hidden="0"/>
    </xf>
    <xf numFmtId="0" fontId="12" fillId="41" borderId="37" applyAlignment="1" pivotButton="0" quotePrefix="0" xfId="373">
      <alignment horizontal="center" vertical="center" wrapText="1"/>
    </xf>
    <xf numFmtId="0" fontId="47" fillId="44" borderId="44" applyAlignment="1" applyProtection="1" pivotButton="0" quotePrefix="0" xfId="370">
      <alignment vertical="center"/>
      <protection locked="0" hidden="0"/>
    </xf>
    <xf numFmtId="0" fontId="95" fillId="44" borderId="45" applyAlignment="1" applyProtection="1" pivotButton="0" quotePrefix="0" xfId="370">
      <alignment vertical="center" wrapText="1"/>
      <protection locked="0" hidden="0"/>
    </xf>
    <xf numFmtId="0" fontId="3" fillId="0" borderId="21" applyAlignment="1" pivotButton="0" quotePrefix="0" xfId="0">
      <alignment horizontal="left" vertical="center"/>
    </xf>
    <xf numFmtId="0" fontId="3" fillId="0" borderId="30" applyAlignment="1" pivotButton="0" quotePrefix="0" xfId="0">
      <alignment horizontal="left" vertical="center"/>
    </xf>
    <xf numFmtId="0" fontId="7" fillId="0" borderId="0" applyAlignment="1" applyProtection="1" pivotButton="0" quotePrefix="0" xfId="289">
      <alignment horizontal="left" vertical="center"/>
      <protection locked="0" hidden="0"/>
    </xf>
    <xf numFmtId="0" fontId="3" fillId="0" borderId="0" applyAlignment="1" pivotButton="0" quotePrefix="0" xfId="0">
      <alignment horizontal="left" vertical="center"/>
    </xf>
    <xf numFmtId="0" fontId="3" fillId="0" borderId="27" applyAlignment="1" pivotButton="0" quotePrefix="0" xfId="0">
      <alignment horizontal="left" vertical="center"/>
    </xf>
    <xf numFmtId="0" fontId="7" fillId="0" borderId="24" applyAlignment="1" applyProtection="1" pivotButton="0" quotePrefix="0" xfId="289">
      <alignment horizontal="left" vertical="center"/>
      <protection locked="0" hidden="0"/>
    </xf>
    <xf numFmtId="0" fontId="3" fillId="0" borderId="24" applyAlignment="1" pivotButton="0" quotePrefix="0" xfId="0">
      <alignment horizontal="left" vertical="center"/>
    </xf>
    <xf numFmtId="0" fontId="3" fillId="0" borderId="25" applyAlignment="1" pivotButton="0" quotePrefix="0" xfId="0">
      <alignment horizontal="left" vertical="center"/>
    </xf>
    <xf numFmtId="10" fontId="9" fillId="0" borderId="17" applyAlignment="1" applyProtection="1" pivotButton="0" quotePrefix="0" xfId="12">
      <alignment horizontal="right" vertical="center"/>
      <protection locked="0" hidden="0"/>
    </xf>
    <xf numFmtId="43" fontId="8" fillId="0" borderId="0" applyAlignment="1" applyProtection="1" pivotButton="0" quotePrefix="0" xfId="358">
      <alignment horizontal="center" vertical="center"/>
      <protection locked="0" hidden="0"/>
    </xf>
    <xf numFmtId="0" fontId="4" fillId="0" borderId="0" applyAlignment="1" pivotButton="0" quotePrefix="0" xfId="0">
      <alignment horizontal="left" vertical="center"/>
    </xf>
    <xf numFmtId="0" fontId="89" fillId="2" borderId="0" applyAlignment="1" applyProtection="1" pivotButton="0" quotePrefix="0" xfId="358">
      <alignment horizontal="center" vertical="center" wrapText="1"/>
      <protection locked="0" hidden="0"/>
    </xf>
    <xf numFmtId="0" fontId="94" fillId="48" borderId="47" applyAlignment="1" applyProtection="1" pivotButton="0" quotePrefix="0" xfId="358">
      <alignment horizontal="centerContinuous" vertical="center"/>
      <protection locked="0" hidden="0"/>
    </xf>
    <xf numFmtId="0" fontId="3" fillId="0" borderId="48" applyAlignment="1" pivotButton="0" quotePrefix="0" xfId="0">
      <alignment vertical="center"/>
    </xf>
    <xf numFmtId="0" fontId="7" fillId="0" borderId="48" applyAlignment="1" applyProtection="1" pivotButton="0" quotePrefix="0" xfId="7">
      <alignment horizontal="center" vertical="center"/>
      <protection locked="0" hidden="0"/>
    </xf>
    <xf numFmtId="0" fontId="93" fillId="43" borderId="49" applyAlignment="1" applyProtection="1" pivotButton="0" quotePrefix="0" xfId="358">
      <alignment horizontal="centerContinuous" vertical="center"/>
      <protection locked="0" hidden="0"/>
    </xf>
    <xf numFmtId="0" fontId="93" fillId="43" borderId="48" applyAlignment="1" applyProtection="1" pivotButton="0" quotePrefix="0" xfId="358">
      <alignment horizontal="centerContinuous" vertical="center"/>
      <protection locked="0" hidden="0"/>
    </xf>
    <xf numFmtId="0" fontId="81" fillId="43" borderId="48" applyAlignment="1" applyProtection="1" pivotButton="0" quotePrefix="0" xfId="358">
      <alignment horizontal="centerContinuous" vertical="center"/>
      <protection locked="0" hidden="0"/>
    </xf>
    <xf numFmtId="0" fontId="94" fillId="48" borderId="51" applyAlignment="1" applyProtection="1" pivotButton="0" quotePrefix="0" xfId="358">
      <alignment horizontal="centerContinuous" vertical="center"/>
      <protection locked="0" hidden="0"/>
    </xf>
    <xf numFmtId="0" fontId="94" fillId="48" borderId="52" applyAlignment="1" applyProtection="1" pivotButton="0" quotePrefix="0" xfId="358">
      <alignment horizontal="centerContinuous" vertical="center"/>
      <protection locked="0" hidden="0"/>
    </xf>
    <xf numFmtId="0" fontId="3" fillId="2" borderId="49" applyAlignment="1" applyProtection="1" pivotButton="0" quotePrefix="0" xfId="0">
      <alignment vertical="center"/>
      <protection locked="0" hidden="0"/>
    </xf>
    <xf numFmtId="0" fontId="4" fillId="2" borderId="48" applyAlignment="1" applyProtection="1" pivotButton="0" quotePrefix="0" xfId="0">
      <alignment vertical="center"/>
      <protection locked="0" hidden="0"/>
    </xf>
    <xf numFmtId="0" fontId="4" fillId="0" borderId="48" applyAlignment="1" applyProtection="1" pivotButton="0" quotePrefix="0" xfId="387">
      <alignment horizontal="center" vertical="center"/>
      <protection locked="0" hidden="0"/>
    </xf>
    <xf numFmtId="43" fontId="7" fillId="0" borderId="48" applyAlignment="1" applyProtection="1" pivotButton="0" quotePrefix="0" xfId="7">
      <alignment vertical="center" wrapText="1"/>
      <protection locked="0" hidden="0"/>
    </xf>
    <xf numFmtId="0" fontId="3" fillId="2" borderId="48" applyAlignment="1" applyProtection="1" pivotButton="0" quotePrefix="0" xfId="0">
      <alignment vertical="center"/>
      <protection locked="0" hidden="0"/>
    </xf>
    <xf numFmtId="43" fontId="110" fillId="0" borderId="48" applyAlignment="1" applyProtection="1" pivotButton="0" quotePrefix="0" xfId="7">
      <alignment horizontal="center" vertical="center" shrinkToFit="1"/>
      <protection locked="0" hidden="0"/>
    </xf>
    <xf numFmtId="0" fontId="3" fillId="2" borderId="50" applyAlignment="1" applyProtection="1" pivotButton="0" quotePrefix="0" xfId="0">
      <alignment vertical="center"/>
      <protection locked="0" hidden="0"/>
    </xf>
    <xf numFmtId="0" fontId="102" fillId="48" borderId="51" applyAlignment="1" applyProtection="1" pivotButton="0" quotePrefix="0" xfId="358">
      <alignment horizontal="centerContinuous" vertical="center"/>
      <protection locked="0" hidden="0"/>
    </xf>
    <xf numFmtId="0" fontId="102" fillId="48" borderId="47" applyAlignment="1" applyProtection="1" pivotButton="0" quotePrefix="0" xfId="358">
      <alignment horizontal="centerContinuous" vertical="center"/>
      <protection locked="0" hidden="0"/>
    </xf>
    <xf numFmtId="0" fontId="102" fillId="48" borderId="52" applyAlignment="1" applyProtection="1" pivotButton="0" quotePrefix="0" xfId="358">
      <alignment horizontal="centerContinuous" vertical="center"/>
      <protection locked="0" hidden="0"/>
    </xf>
    <xf numFmtId="0" fontId="7" fillId="0" borderId="48" applyAlignment="1" applyProtection="1" pivotButton="0" quotePrefix="0" xfId="394">
      <alignment horizontal="left" vertical="center"/>
      <protection locked="0" hidden="0"/>
    </xf>
    <xf numFmtId="166" fontId="3" fillId="0" borderId="48" applyAlignment="1" applyProtection="1" pivotButton="0" quotePrefix="0" xfId="7">
      <alignment horizontal="right" vertical="center"/>
      <protection locked="0" hidden="0"/>
    </xf>
    <xf numFmtId="0" fontId="111" fillId="0" borderId="49" applyAlignment="1" applyProtection="1" pivotButton="0" quotePrefix="0" xfId="0">
      <alignment vertical="center"/>
      <protection locked="0" hidden="0"/>
    </xf>
    <xf numFmtId="0" fontId="111" fillId="0" borderId="48" applyAlignment="1" applyProtection="1" pivotButton="0" quotePrefix="0" xfId="0">
      <alignment vertical="center"/>
      <protection locked="0" hidden="0"/>
    </xf>
    <xf numFmtId="0" fontId="111" fillId="0" borderId="50" applyAlignment="1" applyProtection="1" pivotButton="0" quotePrefix="0" xfId="0">
      <alignment vertical="center"/>
      <protection locked="0" hidden="0"/>
    </xf>
    <xf numFmtId="0" fontId="5" fillId="0" borderId="49" applyAlignment="1" applyProtection="1" pivotButton="0" quotePrefix="0" xfId="0">
      <alignment vertical="center"/>
      <protection locked="0" hidden="0"/>
    </xf>
    <xf numFmtId="0" fontId="5" fillId="0" borderId="48" applyAlignment="1" applyProtection="1" pivotButton="0" quotePrefix="0" xfId="0">
      <alignment vertical="center"/>
      <protection locked="0" hidden="0"/>
    </xf>
    <xf numFmtId="0" fontId="3" fillId="0" borderId="48" applyAlignment="1" applyProtection="1" pivotButton="0" quotePrefix="0" xfId="0">
      <alignment vertical="center"/>
      <protection locked="0" hidden="0"/>
    </xf>
    <xf numFmtId="0" fontId="3" fillId="0" borderId="50" applyAlignment="1" applyProtection="1" pivotButton="0" quotePrefix="0" xfId="0">
      <alignment vertical="center"/>
      <protection locked="0" hidden="0"/>
    </xf>
    <xf numFmtId="0" fontId="93" fillId="43" borderId="49" applyAlignment="1" applyProtection="1" pivotButton="0" quotePrefix="0" xfId="370">
      <alignment horizontal="centerContinuous" vertical="center"/>
      <protection locked="0" hidden="0"/>
    </xf>
    <xf numFmtId="0" fontId="81" fillId="43" borderId="48" applyAlignment="1" applyProtection="1" pivotButton="0" quotePrefix="0" xfId="370">
      <alignment horizontal="centerContinuous" vertical="center"/>
      <protection locked="0" hidden="0"/>
    </xf>
    <xf numFmtId="0" fontId="94" fillId="43" borderId="48" applyAlignment="1" applyProtection="1" pivotButton="0" quotePrefix="0" xfId="370">
      <alignment horizontal="centerContinuous" vertical="center"/>
      <protection locked="0" hidden="0"/>
    </xf>
    <xf numFmtId="0" fontId="3" fillId="43" borderId="50" applyAlignment="1" applyProtection="1" pivotButton="0" quotePrefix="0" xfId="370">
      <alignment horizontal="centerContinuous" vertical="center"/>
      <protection locked="0" hidden="0"/>
    </xf>
    <xf numFmtId="0" fontId="111" fillId="0" borderId="49" applyAlignment="1" applyProtection="1" pivotButton="0" quotePrefix="0" xfId="370">
      <alignment horizontal="left" vertical="center"/>
      <protection locked="0" hidden="0"/>
    </xf>
    <xf numFmtId="0" fontId="9" fillId="0" borderId="48" applyAlignment="1" applyProtection="1" pivotButton="0" quotePrefix="0" xfId="370">
      <alignment horizontal="left" vertical="center"/>
      <protection locked="0" hidden="0"/>
    </xf>
    <xf numFmtId="0" fontId="9" fillId="0" borderId="50" applyAlignment="1" applyProtection="1" pivotButton="0" quotePrefix="0" xfId="370">
      <alignment horizontal="left" vertical="center"/>
      <protection locked="0" hidden="0"/>
    </xf>
    <xf numFmtId="166" fontId="7" fillId="0" borderId="0" applyAlignment="1" applyProtection="1" pivotButton="0" quotePrefix="0" xfId="7">
      <alignment horizontal="right" vertical="center" wrapText="1"/>
      <protection locked="0" hidden="0"/>
    </xf>
    <xf numFmtId="0" fontId="156" fillId="0" borderId="37" applyAlignment="1" applyProtection="1" pivotButton="0" quotePrefix="1" xfId="394">
      <alignment horizontal="center" vertical="center"/>
      <protection locked="0" hidden="0"/>
    </xf>
    <xf numFmtId="0" fontId="125" fillId="0" borderId="0" applyAlignment="1" pivotButton="0" quotePrefix="0" xfId="0">
      <alignment horizontal="left" vertical="center" wrapText="1"/>
    </xf>
    <xf numFmtId="0" fontId="7" fillId="0" borderId="0" applyAlignment="1" applyProtection="1" pivotButton="0" quotePrefix="0" xfId="369">
      <alignment horizontal="center" vertical="center" wrapText="1"/>
      <protection locked="0" hidden="0"/>
    </xf>
    <xf numFmtId="0" fontId="7" fillId="0" borderId="0" applyAlignment="1" applyProtection="1" pivotButton="0" quotePrefix="0" xfId="0">
      <alignment horizontal="left" vertical="center"/>
      <protection locked="0" hidden="0"/>
    </xf>
    <xf numFmtId="0" fontId="165" fillId="0" borderId="0" applyAlignment="1" applyProtection="1" pivotButton="0" quotePrefix="0" xfId="0">
      <alignment horizontal="left" vertical="center"/>
      <protection locked="0" hidden="0"/>
    </xf>
    <xf numFmtId="0" fontId="14" fillId="41" borderId="37" applyAlignment="1" pivotButton="0" quotePrefix="0" xfId="380">
      <alignment horizontal="left" vertical="center"/>
    </xf>
    <xf numFmtId="0" fontId="162" fillId="0" borderId="37" applyAlignment="1" applyProtection="1" pivotButton="0" quotePrefix="1" xfId="394">
      <alignment horizontal="center" vertical="center"/>
      <protection locked="0" hidden="0"/>
    </xf>
    <xf numFmtId="0" fontId="162" fillId="0" borderId="20" applyAlignment="1" applyProtection="1" pivotButton="0" quotePrefix="1" xfId="394">
      <alignment horizontal="center" vertical="center"/>
      <protection locked="0" hidden="0"/>
    </xf>
    <xf numFmtId="0" fontId="162" fillId="0" borderId="14" applyAlignment="1" applyProtection="1" pivotButton="0" quotePrefix="0" xfId="394">
      <alignment horizontal="center" vertical="center"/>
      <protection locked="0" hidden="0"/>
    </xf>
    <xf numFmtId="0" fontId="162" fillId="0" borderId="8" applyAlignment="1" applyProtection="1" pivotButton="0" quotePrefix="0" xfId="394">
      <alignment horizontal="center" vertical="center"/>
      <protection locked="0" hidden="0"/>
    </xf>
    <xf numFmtId="0" fontId="9" fillId="46" borderId="37" applyAlignment="1" applyProtection="1" pivotButton="0" quotePrefix="0" xfId="0">
      <alignment horizontal="left" vertical="center"/>
      <protection locked="0" hidden="0"/>
    </xf>
    <xf numFmtId="0" fontId="156" fillId="0" borderId="37" applyAlignment="1" applyProtection="1" pivotButton="0" quotePrefix="1" xfId="394">
      <alignment horizontal="center" vertical="center"/>
      <protection locked="0" hidden="0"/>
    </xf>
    <xf numFmtId="0" fontId="156" fillId="0" borderId="37" applyAlignment="1" applyProtection="1" pivotButton="0" quotePrefix="0" xfId="394">
      <alignment horizontal="center" vertical="center"/>
      <protection locked="0" hidden="0"/>
    </xf>
    <xf numFmtId="0" fontId="3" fillId="0" borderId="37" applyAlignment="1" applyProtection="1" pivotButton="0" quotePrefix="0" xfId="0">
      <alignment horizontal="left" vertical="center" wrapText="1"/>
      <protection locked="0" hidden="0"/>
    </xf>
    <xf numFmtId="0" fontId="6" fillId="0" borderId="37" applyAlignment="1" applyProtection="1" pivotButton="0" quotePrefix="0" xfId="0">
      <alignment horizontal="left" vertical="center" wrapText="1"/>
      <protection locked="0" hidden="0"/>
    </xf>
    <xf numFmtId="0" fontId="14" fillId="46" borderId="22" applyAlignment="1" applyProtection="1" pivotButton="0" quotePrefix="0" xfId="0">
      <alignment horizontal="left" vertical="center"/>
      <protection locked="0" hidden="0"/>
    </xf>
    <xf numFmtId="0" fontId="14" fillId="46" borderId="23" applyAlignment="1" applyProtection="1" pivotButton="0" quotePrefix="0" xfId="0">
      <alignment horizontal="left" vertical="center"/>
      <protection locked="0" hidden="0"/>
    </xf>
    <xf numFmtId="0" fontId="14" fillId="46" borderId="43" applyAlignment="1" applyProtection="1" pivotButton="0" quotePrefix="0" xfId="0">
      <alignment horizontal="left" vertical="center"/>
      <protection locked="0" hidden="0"/>
    </xf>
    <xf numFmtId="0" fontId="7" fillId="0" borderId="37" applyAlignment="1" applyProtection="1" pivotButton="0" quotePrefix="0" xfId="0">
      <alignment horizontal="left" vertical="center" wrapText="1"/>
      <protection locked="0" hidden="0"/>
    </xf>
    <xf numFmtId="0" fontId="9" fillId="51" borderId="44" applyAlignment="1" applyProtection="1" pivotButton="0" quotePrefix="0" xfId="0">
      <alignment horizontal="left" vertical="center"/>
      <protection locked="0" hidden="0"/>
    </xf>
    <xf numFmtId="0" fontId="9" fillId="51" borderId="36" applyAlignment="1" applyProtection="1" pivotButton="0" quotePrefix="0" xfId="0">
      <alignment horizontal="left" vertical="center"/>
      <protection locked="0" hidden="0"/>
    </xf>
    <xf numFmtId="0" fontId="9" fillId="51" borderId="45" applyAlignment="1" applyProtection="1" pivotButton="0" quotePrefix="0" xfId="0">
      <alignment horizontal="left" vertical="center"/>
      <protection locked="0" hidden="0"/>
    </xf>
    <xf numFmtId="0" fontId="9" fillId="51" borderId="37" applyAlignment="1" applyProtection="1" pivotButton="0" quotePrefix="0" xfId="0">
      <alignment horizontal="left" vertical="center"/>
      <protection locked="0" hidden="0"/>
    </xf>
    <xf numFmtId="0" fontId="9" fillId="46" borderId="37" applyAlignment="1" applyProtection="1" pivotButton="0" quotePrefix="0" xfId="0">
      <alignment horizontal="left" vertical="center" wrapText="1"/>
      <protection locked="0" hidden="0"/>
    </xf>
    <xf numFmtId="0" fontId="150" fillId="50" borderId="34" applyAlignment="1" applyProtection="1" pivotButton="0" quotePrefix="0" xfId="0">
      <alignment horizontal="center" vertical="center" wrapText="1"/>
      <protection locked="0" hidden="0"/>
    </xf>
    <xf numFmtId="0" fontId="150" fillId="50" borderId="38" applyAlignment="1" applyProtection="1" pivotButton="0" quotePrefix="0" xfId="0">
      <alignment horizontal="center" vertical="center" wrapText="1"/>
      <protection locked="0" hidden="0"/>
    </xf>
    <xf numFmtId="0" fontId="150" fillId="50" borderId="39" applyAlignment="1" applyProtection="1" pivotButton="0" quotePrefix="0" xfId="0">
      <alignment horizontal="center" vertical="center" wrapText="1"/>
      <protection locked="0" hidden="0"/>
    </xf>
    <xf numFmtId="0" fontId="89" fillId="47" borderId="49" applyAlignment="1" applyProtection="1" pivotButton="0" quotePrefix="0" xfId="0">
      <alignment horizontal="left" vertical="center" wrapText="1"/>
      <protection locked="0" hidden="0"/>
    </xf>
    <xf numFmtId="0" fontId="89" fillId="47" borderId="48" applyAlignment="1" applyProtection="1" pivotButton="0" quotePrefix="0" xfId="0">
      <alignment horizontal="left" vertical="center" wrapText="1"/>
      <protection locked="0" hidden="0"/>
    </xf>
    <xf numFmtId="0" fontId="89" fillId="47" borderId="50" applyAlignment="1" applyProtection="1" pivotButton="0" quotePrefix="0" xfId="0">
      <alignment horizontal="left" vertical="center" wrapText="1"/>
      <protection locked="0" hidden="0"/>
    </xf>
    <xf numFmtId="0" fontId="89" fillId="47" borderId="3" applyAlignment="1" applyProtection="1" pivotButton="0" quotePrefix="0" xfId="0">
      <alignment horizontal="left" vertical="center" wrapText="1"/>
      <protection locked="0" hidden="0"/>
    </xf>
    <xf numFmtId="0" fontId="89" fillId="47" borderId="0" applyAlignment="1" applyProtection="1" pivotButton="0" quotePrefix="0" xfId="0">
      <alignment horizontal="left" vertical="center" wrapText="1"/>
      <protection locked="0" hidden="0"/>
    </xf>
    <xf numFmtId="0" fontId="89" fillId="47" borderId="16" applyAlignment="1" applyProtection="1" pivotButton="0" quotePrefix="0" xfId="0">
      <alignment horizontal="left" vertical="center" wrapText="1"/>
      <protection locked="0" hidden="0"/>
    </xf>
    <xf numFmtId="0" fontId="89" fillId="47" borderId="4" applyAlignment="1" applyProtection="1" pivotButton="0" quotePrefix="0" xfId="0">
      <alignment horizontal="left" vertical="center" wrapText="1"/>
      <protection locked="0" hidden="0"/>
    </xf>
    <xf numFmtId="0" fontId="89" fillId="47" borderId="1" applyAlignment="1" applyProtection="1" pivotButton="0" quotePrefix="0" xfId="0">
      <alignment horizontal="left" vertical="center" wrapText="1"/>
      <protection locked="0" hidden="0"/>
    </xf>
    <xf numFmtId="0" fontId="89" fillId="47" borderId="6" applyAlignment="1" applyProtection="1" pivotButton="0" quotePrefix="0" xfId="0">
      <alignment horizontal="left" vertical="center" wrapText="1"/>
      <protection locked="0" hidden="0"/>
    </xf>
    <xf numFmtId="0" fontId="47" fillId="44" borderId="0" applyAlignment="1" pivotButton="0" quotePrefix="0" xfId="358">
      <alignment horizontal="left" vertical="center" wrapText="1" indent="7"/>
    </xf>
    <xf numFmtId="0" fontId="47" fillId="44" borderId="27" applyAlignment="1" pivotButton="0" quotePrefix="0" xfId="358">
      <alignment horizontal="left" vertical="center" wrapText="1" indent="7"/>
    </xf>
    <xf numFmtId="0" fontId="47" fillId="44" borderId="24" applyAlignment="1" pivotButton="0" quotePrefix="0" xfId="358">
      <alignment horizontal="left" vertical="center" wrapText="1" indent="7"/>
    </xf>
    <xf numFmtId="0" fontId="47" fillId="44" borderId="25" applyAlignment="1" pivotButton="0" quotePrefix="0" xfId="358">
      <alignment horizontal="left" vertical="center" wrapText="1" indent="7"/>
    </xf>
    <xf numFmtId="0" fontId="125" fillId="0" borderId="0" applyAlignment="1" pivotButton="0" quotePrefix="0" xfId="0">
      <alignment horizontal="left" vertical="center" wrapText="1"/>
    </xf>
    <xf numFmtId="0" fontId="5" fillId="41" borderId="44" applyAlignment="1" applyProtection="1" pivotButton="0" quotePrefix="0" xfId="0">
      <alignment horizontal="center" vertical="center"/>
      <protection locked="0" hidden="0"/>
    </xf>
    <xf numFmtId="0" fontId="5" fillId="41" borderId="36" applyAlignment="1" applyProtection="1" pivotButton="0" quotePrefix="0" xfId="0">
      <alignment horizontal="center" vertical="center"/>
      <protection locked="0" hidden="0"/>
    </xf>
    <xf numFmtId="0" fontId="5" fillId="41" borderId="45" applyAlignment="1" applyProtection="1" pivotButton="0" quotePrefix="0" xfId="0">
      <alignment horizontal="center" vertical="center"/>
      <protection locked="0" hidden="0"/>
    </xf>
    <xf numFmtId="0" fontId="7" fillId="0" borderId="44" applyAlignment="1" applyProtection="1" pivotButton="0" quotePrefix="0" xfId="369">
      <alignment horizontal="left" vertical="center" wrapText="1"/>
      <protection locked="0" hidden="0"/>
    </xf>
    <xf numFmtId="0" fontId="7" fillId="0" borderId="36" applyAlignment="1" applyProtection="1" pivotButton="0" quotePrefix="0" xfId="369">
      <alignment horizontal="left" vertical="center" wrapText="1"/>
      <protection locked="0" hidden="0"/>
    </xf>
    <xf numFmtId="0" fontId="7" fillId="0" borderId="45" applyAlignment="1" applyProtection="1" pivotButton="0" quotePrefix="0" xfId="369">
      <alignment horizontal="left" vertical="center" wrapText="1"/>
      <protection locked="0" hidden="0"/>
    </xf>
    <xf numFmtId="0" fontId="9" fillId="52" borderId="44" applyAlignment="1" pivotButton="0" quotePrefix="0" xfId="0">
      <alignment horizontal="center" vertical="center"/>
    </xf>
    <xf numFmtId="0" fontId="9" fillId="52" borderId="36" applyAlignment="1" pivotButton="0" quotePrefix="0" xfId="0">
      <alignment horizontal="center" vertical="center"/>
    </xf>
    <xf numFmtId="0" fontId="9" fillId="52" borderId="45" applyAlignment="1" pivotButton="0" quotePrefix="0" xfId="0">
      <alignment horizontal="center" vertical="center"/>
    </xf>
    <xf numFmtId="0" fontId="14" fillId="50" borderId="44" applyAlignment="1" applyProtection="1" pivotButton="0" quotePrefix="0" xfId="0">
      <alignment horizontal="center" vertical="center"/>
      <protection locked="0" hidden="0"/>
    </xf>
    <xf numFmtId="0" fontId="14" fillId="50" borderId="36" applyAlignment="1" applyProtection="1" pivotButton="0" quotePrefix="0" xfId="0">
      <alignment horizontal="center" vertical="center"/>
      <protection locked="0" hidden="0"/>
    </xf>
    <xf numFmtId="14" fontId="9" fillId="50" borderId="35" applyAlignment="1" applyProtection="1" pivotButton="0" quotePrefix="0" xfId="0">
      <alignment horizontal="center" vertical="center"/>
      <protection locked="0" hidden="0"/>
    </xf>
    <xf numFmtId="14" fontId="9" fillId="50" borderId="36" applyAlignment="1" applyProtection="1" pivotButton="0" quotePrefix="0" xfId="0">
      <alignment horizontal="center" vertical="center"/>
      <protection locked="0" hidden="0"/>
    </xf>
    <xf numFmtId="14" fontId="9" fillId="50" borderId="45" applyAlignment="1" applyProtection="1" pivotButton="0" quotePrefix="0" xfId="0">
      <alignment horizontal="center" vertical="center"/>
      <protection locked="0" hidden="0"/>
    </xf>
    <xf numFmtId="0" fontId="12" fillId="50" borderId="44" applyAlignment="1" applyProtection="1" pivotButton="0" quotePrefix="0" xfId="0">
      <alignment horizontal="center" vertical="center"/>
      <protection locked="0" hidden="0"/>
    </xf>
    <xf numFmtId="0" fontId="12" fillId="50" borderId="46" applyAlignment="1" applyProtection="1" pivotButton="0" quotePrefix="0" xfId="0">
      <alignment horizontal="center" vertical="center"/>
      <protection locked="0" hidden="0"/>
    </xf>
    <xf numFmtId="0" fontId="113" fillId="2" borderId="49" applyAlignment="1" applyProtection="1" pivotButton="0" quotePrefix="0" xfId="0">
      <alignment horizontal="left" vertical="center" wrapText="1"/>
      <protection locked="0" hidden="0"/>
    </xf>
    <xf numFmtId="0" fontId="113" fillId="2" borderId="48" applyAlignment="1" applyProtection="1" pivotButton="0" quotePrefix="0" xfId="0">
      <alignment horizontal="left" vertical="center" wrapText="1"/>
      <protection locked="0" hidden="0"/>
    </xf>
    <xf numFmtId="0" fontId="113" fillId="2" borderId="50" applyAlignment="1" applyProtection="1" pivotButton="0" quotePrefix="0" xfId="0">
      <alignment horizontal="left" vertical="center" wrapText="1"/>
      <protection locked="0" hidden="0"/>
    </xf>
    <xf numFmtId="0" fontId="113" fillId="2" borderId="3" applyAlignment="1" applyProtection="1" pivotButton="0" quotePrefix="0" xfId="0">
      <alignment horizontal="left" vertical="center" wrapText="1"/>
      <protection locked="0" hidden="0"/>
    </xf>
    <xf numFmtId="0" fontId="113" fillId="2" borderId="0" applyAlignment="1" applyProtection="1" pivotButton="0" quotePrefix="0" xfId="0">
      <alignment horizontal="left" vertical="center" wrapText="1"/>
      <protection locked="0" hidden="0"/>
    </xf>
    <xf numFmtId="0" fontId="113" fillId="2" borderId="16" applyAlignment="1" applyProtection="1" pivotButton="0" quotePrefix="0" xfId="0">
      <alignment horizontal="left" vertical="center" wrapText="1"/>
      <protection locked="0" hidden="0"/>
    </xf>
    <xf numFmtId="0" fontId="113" fillId="2" borderId="4" applyAlignment="1" applyProtection="1" pivotButton="0" quotePrefix="0" xfId="0">
      <alignment horizontal="left" vertical="center" wrapText="1"/>
      <protection locked="0" hidden="0"/>
    </xf>
    <xf numFmtId="0" fontId="113" fillId="2" borderId="1" applyAlignment="1" applyProtection="1" pivotButton="0" quotePrefix="0" xfId="0">
      <alignment horizontal="left" vertical="center" wrapText="1"/>
      <protection locked="0" hidden="0"/>
    </xf>
    <xf numFmtId="0" fontId="113" fillId="2" borderId="6" applyAlignment="1" applyProtection="1" pivotButton="0" quotePrefix="0" xfId="0">
      <alignment horizontal="left" vertical="center" wrapText="1"/>
      <protection locked="0" hidden="0"/>
    </xf>
    <xf numFmtId="0" fontId="7" fillId="0" borderId="0" applyAlignment="1" applyProtection="1" pivotButton="0" quotePrefix="0" xfId="369">
      <alignment horizontal="center" vertical="center" wrapText="1"/>
      <protection locked="0" hidden="0"/>
    </xf>
    <xf numFmtId="0" fontId="9" fillId="0" borderId="0" applyAlignment="1" applyProtection="1" pivotButton="0" quotePrefix="0" xfId="0">
      <alignment horizontal="left" wrapText="1"/>
      <protection locked="0" hidden="0"/>
    </xf>
    <xf numFmtId="0" fontId="9" fillId="0" borderId="0" applyAlignment="1" pivotButton="0" quotePrefix="0" xfId="0">
      <alignment horizontal="left" vertical="center" wrapText="1"/>
    </xf>
    <xf numFmtId="0" fontId="0" fillId="0" borderId="0" applyProtection="1" pivotButton="0" quotePrefix="0" xfId="0">
      <protection locked="0" hidden="0"/>
    </xf>
    <xf numFmtId="0" fontId="3" fillId="2" borderId="0" applyAlignment="1" applyProtection="1" pivotButton="0" quotePrefix="0" xfId="175">
      <alignment horizontal="left" vertical="center" wrapText="1"/>
      <protection locked="0" hidden="0"/>
    </xf>
    <xf numFmtId="0" fontId="3" fillId="0" borderId="49" applyAlignment="1" pivotButton="0" quotePrefix="0" xfId="7">
      <alignment horizontal="left" vertical="center" wrapText="1" shrinkToFit="1"/>
    </xf>
    <xf numFmtId="0" fontId="3" fillId="0" borderId="48" applyAlignment="1" pivotButton="0" quotePrefix="0" xfId="7">
      <alignment horizontal="left" vertical="center" wrapText="1" shrinkToFit="1"/>
    </xf>
    <xf numFmtId="0" fontId="3" fillId="0" borderId="50" applyAlignment="1" pivotButton="0" quotePrefix="0" xfId="7">
      <alignment horizontal="left" vertical="center" wrapText="1" shrinkToFit="1"/>
    </xf>
    <xf numFmtId="0" fontId="3" fillId="0" borderId="3" applyAlignment="1" pivotButton="0" quotePrefix="0" xfId="7">
      <alignment horizontal="left" vertical="center" wrapText="1" shrinkToFit="1"/>
    </xf>
    <xf numFmtId="0" fontId="3" fillId="0" borderId="0" applyAlignment="1" pivotButton="0" quotePrefix="0" xfId="7">
      <alignment horizontal="left" vertical="center" wrapText="1" shrinkToFit="1"/>
    </xf>
    <xf numFmtId="0" fontId="3" fillId="0" borderId="16" applyAlignment="1" pivotButton="0" quotePrefix="0" xfId="7">
      <alignment horizontal="left" vertical="center" wrapText="1" shrinkToFit="1"/>
    </xf>
    <xf numFmtId="0" fontId="3" fillId="0" borderId="4" applyAlignment="1" pivotButton="0" quotePrefix="0" xfId="7">
      <alignment horizontal="left" vertical="center" wrapText="1" shrinkToFit="1"/>
    </xf>
    <xf numFmtId="0" fontId="3" fillId="0" borderId="1" applyAlignment="1" pivotButton="0" quotePrefix="0" xfId="7">
      <alignment horizontal="left" vertical="center" wrapText="1" shrinkToFit="1"/>
    </xf>
    <xf numFmtId="0" fontId="3" fillId="0" borderId="6" applyAlignment="1" pivotButton="0" quotePrefix="0" xfId="7">
      <alignment horizontal="left" vertical="center" wrapText="1" shrinkToFit="1"/>
    </xf>
    <xf numFmtId="0" fontId="113" fillId="0" borderId="49" applyAlignment="1" pivotButton="0" quotePrefix="0" xfId="7">
      <alignment horizontal="left" vertical="center" wrapText="1" shrinkToFit="1"/>
    </xf>
    <xf numFmtId="0" fontId="113" fillId="0" borderId="48" applyAlignment="1" pivotButton="0" quotePrefix="0" xfId="7">
      <alignment horizontal="left" vertical="center" wrapText="1" shrinkToFit="1"/>
    </xf>
    <xf numFmtId="0" fontId="113" fillId="0" borderId="50" applyAlignment="1" pivotButton="0" quotePrefix="0" xfId="7">
      <alignment horizontal="left" vertical="center" wrapText="1" shrinkToFit="1"/>
    </xf>
    <xf numFmtId="0" fontId="113" fillId="0" borderId="3" applyAlignment="1" pivotButton="0" quotePrefix="0" xfId="7">
      <alignment horizontal="left" vertical="center" wrapText="1" shrinkToFit="1"/>
    </xf>
    <xf numFmtId="0" fontId="113" fillId="0" borderId="0" applyAlignment="1" pivotButton="0" quotePrefix="0" xfId="7">
      <alignment horizontal="left" vertical="center" wrapText="1" shrinkToFit="1"/>
    </xf>
    <xf numFmtId="0" fontId="113" fillId="0" borderId="16" applyAlignment="1" pivotButton="0" quotePrefix="0" xfId="7">
      <alignment horizontal="left" vertical="center" wrapText="1" shrinkToFit="1"/>
    </xf>
    <xf numFmtId="0" fontId="113" fillId="0" borderId="4" applyAlignment="1" pivotButton="0" quotePrefix="0" xfId="7">
      <alignment horizontal="left" vertical="center" wrapText="1" shrinkToFit="1"/>
    </xf>
    <xf numFmtId="0" fontId="113" fillId="0" borderId="1" applyAlignment="1" pivotButton="0" quotePrefix="0" xfId="7">
      <alignment horizontal="left" vertical="center" wrapText="1" shrinkToFit="1"/>
    </xf>
    <xf numFmtId="0" fontId="113" fillId="0" borderId="6" applyAlignment="1" pivotButton="0" quotePrefix="0" xfId="7">
      <alignment horizontal="left" vertical="center" wrapText="1" shrinkToFit="1"/>
    </xf>
    <xf numFmtId="0" fontId="128" fillId="41" borderId="44" applyAlignment="1" applyProtection="1" pivotButton="0" quotePrefix="0" xfId="0">
      <alignment horizontal="left" vertical="center"/>
      <protection locked="0" hidden="0"/>
    </xf>
    <xf numFmtId="0" fontId="128" fillId="41" borderId="36" applyAlignment="1" applyProtection="1" pivotButton="0" quotePrefix="0" xfId="0">
      <alignment horizontal="left" vertical="center"/>
      <protection locked="0" hidden="0"/>
    </xf>
    <xf numFmtId="0" fontId="128" fillId="41" borderId="45" applyAlignment="1" applyProtection="1" pivotButton="0" quotePrefix="0" xfId="0">
      <alignment horizontal="left" vertical="center"/>
      <protection locked="0" hidden="0"/>
    </xf>
    <xf numFmtId="0" fontId="111" fillId="0" borderId="49" applyAlignment="1" applyProtection="1" pivotButton="0" quotePrefix="0" xfId="0">
      <alignment horizontal="left" vertical="center"/>
      <protection locked="0" hidden="0"/>
    </xf>
    <xf numFmtId="0" fontId="111" fillId="0" borderId="48" applyAlignment="1" applyProtection="1" pivotButton="0" quotePrefix="0" xfId="0">
      <alignment horizontal="left" vertical="center"/>
      <protection locked="0" hidden="0"/>
    </xf>
    <xf numFmtId="0" fontId="111" fillId="0" borderId="50" applyAlignment="1" applyProtection="1" pivotButton="0" quotePrefix="0" xfId="0">
      <alignment horizontal="left" vertical="center"/>
      <protection locked="0" hidden="0"/>
    </xf>
    <xf numFmtId="0" fontId="7" fillId="0" borderId="3" applyAlignment="1" applyProtection="1" pivotButton="0" quotePrefix="0" xfId="0">
      <alignment horizontal="left" vertical="center"/>
      <protection locked="0" hidden="0"/>
    </xf>
    <xf numFmtId="0" fontId="7" fillId="0" borderId="0" applyAlignment="1" applyProtection="1" pivotButton="0" quotePrefix="0" xfId="0">
      <alignment horizontal="left" vertical="center"/>
      <protection locked="0" hidden="0"/>
    </xf>
    <xf numFmtId="0" fontId="7" fillId="0" borderId="16" applyAlignment="1" applyProtection="1" pivotButton="0" quotePrefix="0" xfId="0">
      <alignment horizontal="left" vertical="center"/>
      <protection locked="0" hidden="0"/>
    </xf>
    <xf numFmtId="0" fontId="7" fillId="0" borderId="4"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7" fillId="0" borderId="6" applyAlignment="1" applyProtection="1" pivotButton="0" quotePrefix="0" xfId="0">
      <alignment horizontal="left" vertical="center"/>
      <protection locked="0" hidden="0"/>
    </xf>
    <xf numFmtId="0" fontId="113" fillId="0" borderId="26" applyAlignment="1" pivotButton="0" quotePrefix="0" xfId="7">
      <alignment horizontal="left" vertical="center" wrapText="1" shrinkToFit="1"/>
    </xf>
    <xf numFmtId="0" fontId="113" fillId="0" borderId="21" applyAlignment="1" pivotButton="0" quotePrefix="0" xfId="7">
      <alignment horizontal="left" vertical="center" wrapText="1" shrinkToFit="1"/>
    </xf>
    <xf numFmtId="0" fontId="113" fillId="0" borderId="30" applyAlignment="1" pivotButton="0" quotePrefix="0" xfId="7">
      <alignment horizontal="left" vertical="center" wrapText="1" shrinkToFit="1"/>
    </xf>
    <xf numFmtId="0" fontId="113" fillId="0" borderId="28" applyAlignment="1" pivotButton="0" quotePrefix="0" xfId="7">
      <alignment horizontal="left" vertical="center" wrapText="1" shrinkToFit="1"/>
    </xf>
    <xf numFmtId="0" fontId="113" fillId="0" borderId="27" applyAlignment="1" pivotButton="0" quotePrefix="0" xfId="7">
      <alignment horizontal="left" vertical="center" wrapText="1" shrinkToFit="1"/>
    </xf>
    <xf numFmtId="0" fontId="113" fillId="0" borderId="29" applyAlignment="1" pivotButton="0" quotePrefix="0" xfId="7">
      <alignment horizontal="left" vertical="center" wrapText="1" shrinkToFit="1"/>
    </xf>
    <xf numFmtId="0" fontId="113" fillId="0" borderId="24" applyAlignment="1" pivotButton="0" quotePrefix="0" xfId="7">
      <alignment horizontal="left" vertical="center" wrapText="1" shrinkToFit="1"/>
    </xf>
    <xf numFmtId="0" fontId="113" fillId="0" borderId="25" applyAlignment="1" pivotButton="0" quotePrefix="0" xfId="7">
      <alignment horizontal="left" vertical="center" wrapText="1" shrinkToFit="1"/>
    </xf>
    <xf numFmtId="0" fontId="7" fillId="2" borderId="0" applyAlignment="1" applyProtection="1" pivotButton="0" quotePrefix="0" xfId="0">
      <alignment horizontal="left" vertical="center"/>
      <protection locked="0" hidden="0"/>
    </xf>
    <xf numFmtId="0" fontId="6" fillId="2" borderId="0" applyAlignment="1" applyProtection="1" pivotButton="0" quotePrefix="0" xfId="175">
      <alignment horizontal="left" vertical="center" wrapText="1"/>
      <protection locked="0" hidden="0"/>
    </xf>
    <xf numFmtId="49" fontId="113" fillId="0" borderId="49" applyAlignment="1" pivotButton="0" quotePrefix="0" xfId="7">
      <alignment horizontal="left" vertical="center" wrapText="1" shrinkToFit="1"/>
    </xf>
    <xf numFmtId="49" fontId="113" fillId="0" borderId="48" applyAlignment="1" pivotButton="0" quotePrefix="0" xfId="7">
      <alignment horizontal="left" vertical="center" wrapText="1" shrinkToFit="1"/>
    </xf>
    <xf numFmtId="49" fontId="113" fillId="0" borderId="50" applyAlignment="1" pivotButton="0" quotePrefix="0" xfId="7">
      <alignment horizontal="left" vertical="center" wrapText="1" shrinkToFit="1"/>
    </xf>
    <xf numFmtId="49" fontId="113" fillId="0" borderId="3" applyAlignment="1" pivotButton="0" quotePrefix="0" xfId="7">
      <alignment horizontal="left" vertical="center" wrapText="1" shrinkToFit="1"/>
    </xf>
    <xf numFmtId="49" fontId="113" fillId="0" borderId="0" applyAlignment="1" pivotButton="0" quotePrefix="0" xfId="7">
      <alignment horizontal="left" vertical="center" wrapText="1" shrinkToFit="1"/>
    </xf>
    <xf numFmtId="49" fontId="113" fillId="0" borderId="16" applyAlignment="1" pivotButton="0" quotePrefix="0" xfId="7">
      <alignment horizontal="left" vertical="center" wrapText="1" shrinkToFit="1"/>
    </xf>
    <xf numFmtId="49" fontId="113" fillId="0" borderId="4" applyAlignment="1" pivotButton="0" quotePrefix="0" xfId="7">
      <alignment horizontal="left" vertical="center" wrapText="1" shrinkToFit="1"/>
    </xf>
    <xf numFmtId="49" fontId="113" fillId="0" borderId="1" applyAlignment="1" pivotButton="0" quotePrefix="0" xfId="7">
      <alignment horizontal="left" vertical="center" wrapText="1" shrinkToFit="1"/>
    </xf>
    <xf numFmtId="49" fontId="113" fillId="0" borderId="6" applyAlignment="1" pivotButton="0" quotePrefix="0" xfId="7">
      <alignment horizontal="left" vertical="center" wrapText="1" shrinkToFit="1"/>
    </xf>
    <xf numFmtId="0" fontId="9" fillId="41" borderId="44" applyAlignment="1" applyProtection="1" pivotButton="0" quotePrefix="0" xfId="370">
      <alignment horizontal="left" vertical="center"/>
      <protection locked="0" hidden="0"/>
    </xf>
    <xf numFmtId="0" fontId="9" fillId="41" borderId="36" applyAlignment="1" applyProtection="1" pivotButton="0" quotePrefix="0" xfId="370">
      <alignment horizontal="left" vertical="center"/>
      <protection locked="0" hidden="0"/>
    </xf>
    <xf numFmtId="0" fontId="9" fillId="41" borderId="45" applyAlignment="1" applyProtection="1" pivotButton="0" quotePrefix="0" xfId="370">
      <alignment horizontal="left" vertical="center"/>
      <protection locked="0" hidden="0"/>
    </xf>
    <xf numFmtId="0" fontId="7" fillId="0" borderId="4" applyAlignment="1" applyProtection="1" pivotButton="0" quotePrefix="0" xfId="370">
      <alignment horizontal="left" vertical="top" wrapText="1"/>
      <protection locked="0" hidden="0"/>
    </xf>
    <xf numFmtId="0" fontId="7" fillId="0" borderId="1" applyAlignment="1" applyProtection="1" pivotButton="0" quotePrefix="0" xfId="370">
      <alignment horizontal="left" vertical="top" wrapText="1"/>
      <protection locked="0" hidden="0"/>
    </xf>
    <xf numFmtId="0" fontId="7" fillId="0" borderId="6" applyAlignment="1" applyProtection="1" pivotButton="0" quotePrefix="0" xfId="370">
      <alignment horizontal="left" vertical="top" wrapText="1"/>
      <protection locked="0" hidden="0"/>
    </xf>
    <xf numFmtId="0" fontId="4" fillId="52" borderId="44" applyAlignment="1" applyProtection="1" pivotButton="0" quotePrefix="0" xfId="0">
      <alignment horizontal="center" vertical="center" wrapText="1"/>
      <protection locked="0" hidden="0"/>
    </xf>
    <xf numFmtId="0" fontId="4" fillId="52" borderId="45" applyAlignment="1" applyProtection="1" pivotButton="0" quotePrefix="0" xfId="0">
      <alignment horizontal="center" vertical="center" wrapText="1"/>
      <protection locked="0" hidden="0"/>
    </xf>
    <xf numFmtId="0" fontId="4" fillId="52" borderId="36" applyAlignment="1" applyProtection="1" pivotButton="0" quotePrefix="0" xfId="0">
      <alignment horizontal="center" vertical="center" wrapText="1"/>
      <protection locked="0" hidden="0"/>
    </xf>
    <xf numFmtId="0" fontId="4" fillId="52" borderId="37" applyAlignment="1" applyProtection="1" pivotButton="0" quotePrefix="0" xfId="370">
      <alignment horizontal="centerContinuous" vertical="center" wrapText="1"/>
      <protection locked="0" hidden="0"/>
    </xf>
    <xf numFmtId="0" fontId="0" fillId="0" borderId="0" pivotButton="0" quotePrefix="0" xfId="0"/>
    <xf numFmtId="0" fontId="9" fillId="51" borderId="53" applyAlignment="1" applyProtection="1" pivotButton="0" quotePrefix="0" xfId="0">
      <alignment horizontal="left" vertical="center"/>
      <protection locked="0" hidden="0"/>
    </xf>
    <xf numFmtId="0" fontId="0" fillId="0" borderId="7" applyProtection="1" pivotButton="0" quotePrefix="0" xfId="0">
      <protection locked="0" hidden="0"/>
    </xf>
    <xf numFmtId="0" fontId="0" fillId="0" borderId="56" applyProtection="1" pivotButton="0" quotePrefix="0" xfId="0">
      <protection locked="0" hidden="0"/>
    </xf>
    <xf numFmtId="0" fontId="0" fillId="0" borderId="36" applyProtection="1" pivotButton="0" quotePrefix="0" xfId="0">
      <protection locked="0" hidden="0"/>
    </xf>
    <xf numFmtId="0" fontId="0" fillId="0" borderId="45" applyProtection="1" pivotButton="0" quotePrefix="0" xfId="0">
      <protection locked="0" hidden="0"/>
    </xf>
    <xf numFmtId="0" fontId="0" fillId="0" borderId="59" applyProtection="1" pivotButton="0" quotePrefix="0" xfId="0">
      <protection locked="0" hidden="0"/>
    </xf>
    <xf numFmtId="0" fontId="162" fillId="0" borderId="9" applyAlignment="1" applyProtection="1" pivotButton="0" quotePrefix="1" xfId="394">
      <alignment horizontal="center" vertical="center"/>
      <protection locked="0" hidden="0"/>
    </xf>
    <xf numFmtId="0" fontId="0" fillId="0" borderId="14" applyProtection="1" pivotButton="0" quotePrefix="0" xfId="0">
      <protection locked="0" hidden="0"/>
    </xf>
    <xf numFmtId="0" fontId="0" fillId="0" borderId="8" applyProtection="1" pivotButton="0" quotePrefix="0" xfId="0">
      <protection locked="0" hidden="0"/>
    </xf>
    <xf numFmtId="0" fontId="14" fillId="46" borderId="15" applyAlignment="1" applyProtection="1" pivotButton="0" quotePrefix="0" xfId="0">
      <alignment horizontal="left" vertical="center"/>
      <protection locked="0" hidden="0"/>
    </xf>
    <xf numFmtId="0" fontId="0" fillId="0" borderId="23" applyProtection="1" pivotButton="0" quotePrefix="0" xfId="0">
      <protection locked="0" hidden="0"/>
    </xf>
    <xf numFmtId="0" fontId="0" fillId="0" borderId="43" applyProtection="1" pivotButton="0" quotePrefix="0" xfId="0">
      <protection locked="0" hidden="0"/>
    </xf>
    <xf numFmtId="0" fontId="0" fillId="0" borderId="27" pivotButton="0" quotePrefix="0" xfId="0"/>
    <xf numFmtId="166" fontId="116" fillId="44" borderId="3" applyAlignment="1" applyProtection="1" pivotButton="0" quotePrefix="0" xfId="289">
      <alignment horizontal="right" vertical="center" shrinkToFit="1"/>
      <protection locked="0" hidden="0"/>
    </xf>
    <xf numFmtId="0" fontId="0" fillId="0" borderId="24" pivotButton="0" quotePrefix="0" xfId="0"/>
    <xf numFmtId="0" fontId="0" fillId="0" borderId="25" pivotButton="0" quotePrefix="0" xfId="0"/>
    <xf numFmtId="0" fontId="9" fillId="52" borderId="53" applyAlignment="1" pivotButton="0" quotePrefix="0" xfId="0">
      <alignment horizontal="center" vertical="center"/>
    </xf>
    <xf numFmtId="0" fontId="0" fillId="0" borderId="7" pivotButton="0" quotePrefix="0" xfId="0"/>
    <xf numFmtId="0" fontId="0" fillId="0" borderId="56" pivotButton="0" quotePrefix="0" xfId="0"/>
    <xf numFmtId="43" fontId="6" fillId="2" borderId="45" applyAlignment="1" applyProtection="1" pivotButton="0" quotePrefix="0" xfId="381">
      <alignment horizontal="right" vertical="center"/>
      <protection locked="0" hidden="0"/>
    </xf>
    <xf numFmtId="43" fontId="3" fillId="2" borderId="20" applyAlignment="1" applyProtection="1" pivotButton="0" quotePrefix="0" xfId="381">
      <alignment vertical="center"/>
      <protection locked="0" hidden="0"/>
    </xf>
    <xf numFmtId="43" fontId="3" fillId="2" borderId="14" applyAlignment="1" applyProtection="1" pivotButton="0" quotePrefix="0" xfId="381">
      <alignment vertical="center"/>
      <protection locked="0" hidden="0"/>
    </xf>
    <xf numFmtId="43" fontId="3" fillId="2" borderId="8" applyAlignment="1" applyProtection="1" pivotButton="0" quotePrefix="0" xfId="381">
      <alignment vertical="center"/>
      <protection locked="0" hidden="0"/>
    </xf>
    <xf numFmtId="0" fontId="5" fillId="41" borderId="53" applyAlignment="1" applyProtection="1" pivotButton="0" quotePrefix="0" xfId="0">
      <alignment horizontal="center" vertical="center"/>
      <protection locked="0" hidden="0"/>
    </xf>
    <xf numFmtId="0" fontId="7" fillId="0" borderId="53" applyAlignment="1" applyProtection="1" pivotButton="0" quotePrefix="0" xfId="369">
      <alignment horizontal="left" vertical="center" wrapText="1"/>
      <protection locked="0" hidden="0"/>
    </xf>
    <xf numFmtId="164" fontId="7" fillId="2" borderId="37" applyAlignment="1" applyProtection="1" pivotButton="0" quotePrefix="0" xfId="381">
      <alignment horizontal="center" vertical="center" wrapText="1"/>
      <protection locked="0" hidden="0"/>
    </xf>
    <xf numFmtId="14" fontId="9" fillId="50" borderId="63" applyAlignment="1" applyProtection="1" pivotButton="0" quotePrefix="0" xfId="0">
      <alignment horizontal="center" vertical="center"/>
      <protection locked="0" hidden="0"/>
    </xf>
    <xf numFmtId="0" fontId="12" fillId="50" borderId="64" applyAlignment="1" applyProtection="1" pivotButton="0" quotePrefix="0" xfId="0">
      <alignment horizontal="center" vertical="center"/>
      <protection locked="0" hidden="0"/>
    </xf>
    <xf numFmtId="0" fontId="0" fillId="0" borderId="66" applyProtection="1" pivotButton="0" quotePrefix="0" xfId="0">
      <protection locked="0" hidden="0"/>
    </xf>
    <xf numFmtId="0" fontId="150" fillId="50" borderId="15" applyAlignment="1" applyProtection="1" pivotButton="0" quotePrefix="0" xfId="0">
      <alignment horizontal="center" vertical="center" wrapText="1"/>
      <protection locked="0" hidden="0"/>
    </xf>
    <xf numFmtId="0" fontId="0" fillId="0" borderId="38" applyProtection="1" pivotButton="0" quotePrefix="0" xfId="0">
      <protection locked="0" hidden="0"/>
    </xf>
    <xf numFmtId="0" fontId="0" fillId="0" borderId="39" applyProtection="1" pivotButton="0" quotePrefix="0" xfId="0">
      <protection locked="0" hidden="0"/>
    </xf>
    <xf numFmtId="43" fontId="9" fillId="0" borderId="0" applyAlignment="1" applyProtection="1" pivotButton="0" quotePrefix="0" xfId="7">
      <alignment vertical="center"/>
      <protection locked="0" hidden="0"/>
    </xf>
    <xf numFmtId="43" fontId="7" fillId="0" borderId="0" applyAlignment="1" applyProtection="1" pivotButton="0" quotePrefix="0" xfId="7">
      <alignment vertical="center" wrapText="1"/>
      <protection locked="0" hidden="0"/>
    </xf>
    <xf numFmtId="43" fontId="7" fillId="0" borderId="0" applyAlignment="1" applyProtection="1" pivotButton="0" quotePrefix="0" xfId="7">
      <alignment vertical="center"/>
      <protection locked="0" hidden="0"/>
    </xf>
    <xf numFmtId="43" fontId="9" fillId="42" borderId="0" applyAlignment="1" applyProtection="1" pivotButton="0" quotePrefix="0" xfId="7">
      <alignment vertical="center"/>
      <protection locked="0" hidden="0"/>
    </xf>
    <xf numFmtId="43" fontId="7" fillId="0" borderId="0" applyAlignment="1" applyProtection="1" pivotButton="0" quotePrefix="0" xfId="381">
      <alignment vertical="center"/>
      <protection locked="0" hidden="0"/>
    </xf>
    <xf numFmtId="43" fontId="3" fillId="0" borderId="0" applyAlignment="1" applyProtection="1" pivotButton="0" quotePrefix="0" xfId="381">
      <alignment vertical="center"/>
      <protection locked="0" hidden="0"/>
    </xf>
    <xf numFmtId="43" fontId="5" fillId="0" borderId="17" applyAlignment="1" applyProtection="1" pivotButton="0" quotePrefix="0" xfId="358">
      <alignment vertical="center"/>
      <protection locked="0" hidden="0"/>
    </xf>
    <xf numFmtId="43" fontId="112" fillId="0" borderId="0" applyAlignment="1" applyProtection="1" pivotButton="0" quotePrefix="0" xfId="358">
      <alignment vertical="center"/>
      <protection locked="0" hidden="0"/>
    </xf>
    <xf numFmtId="43" fontId="5" fillId="0" borderId="0" applyAlignment="1" applyProtection="1" pivotButton="0" quotePrefix="0" xfId="358">
      <alignment vertical="center"/>
      <protection locked="0" hidden="0"/>
    </xf>
    <xf numFmtId="165" fontId="5" fillId="0" borderId="0" applyAlignment="1" applyProtection="1" pivotButton="0" quotePrefix="0" xfId="377">
      <alignment horizontal="right" vertical="center"/>
      <protection locked="0" hidden="0"/>
    </xf>
    <xf numFmtId="43" fontId="7" fillId="0" borderId="0" applyAlignment="1" applyProtection="1" pivotButton="0" quotePrefix="0" xfId="369">
      <alignment horizontal="right" vertical="center" wrapText="1"/>
      <protection locked="0" hidden="0"/>
    </xf>
    <xf numFmtId="43" fontId="3" fillId="0" borderId="0" applyAlignment="1" applyProtection="1" pivotButton="0" quotePrefix="0" xfId="358">
      <alignment vertical="center"/>
      <protection locked="0" hidden="0"/>
    </xf>
    <xf numFmtId="43" fontId="8" fillId="0" borderId="0" applyAlignment="1" applyProtection="1" pivotButton="0" quotePrefix="0" xfId="358">
      <alignment horizontal="center" vertical="center"/>
      <protection locked="0" hidden="0"/>
    </xf>
    <xf numFmtId="164" fontId="5" fillId="0" borderId="0" applyAlignment="1" applyProtection="1" pivotButton="0" quotePrefix="0" xfId="358">
      <alignment vertical="center"/>
      <protection locked="0" hidden="0"/>
    </xf>
    <xf numFmtId="0" fontId="89" fillId="47" borderId="60" applyAlignment="1" applyProtection="1" pivotButton="0" quotePrefix="0" xfId="0">
      <alignment horizontal="left" vertical="center" wrapText="1"/>
      <protection locked="0" hidden="0"/>
    </xf>
    <xf numFmtId="0" fontId="0" fillId="0" borderId="48" applyProtection="1" pivotButton="0" quotePrefix="0" xfId="0">
      <protection locked="0" hidden="0"/>
    </xf>
    <xf numFmtId="0" fontId="0" fillId="0" borderId="61" applyProtection="1" pivotButton="0" quotePrefix="0" xfId="0">
      <protection locked="0" hidden="0"/>
    </xf>
    <xf numFmtId="0" fontId="0" fillId="0" borderId="57" applyProtection="1" pivotButton="0" quotePrefix="0" xfId="0">
      <protection locked="0" hidden="0"/>
    </xf>
    <xf numFmtId="0" fontId="0" fillId="0" borderId="16" applyProtection="1" pivotButton="0" quotePrefix="0" xfId="0">
      <protection locked="0" hidden="0"/>
    </xf>
    <xf numFmtId="41" fontId="7" fillId="0" borderId="0" applyAlignment="1" applyProtection="1" pivotButton="0" quotePrefix="0" xfId="383">
      <alignment vertical="center"/>
      <protection locked="0" hidden="0"/>
    </xf>
    <xf numFmtId="0" fontId="0" fillId="0" borderId="62" applyProtection="1" pivotButton="0" quotePrefix="0" xfId="0">
      <protection locked="0" hidden="0"/>
    </xf>
    <xf numFmtId="0" fontId="0" fillId="0" borderId="1" applyProtection="1" pivotButton="0" quotePrefix="0" xfId="0">
      <protection locked="0" hidden="0"/>
    </xf>
    <xf numFmtId="0" fontId="0" fillId="0" borderId="6" applyProtection="1" pivotButton="0" quotePrefix="0" xfId="0">
      <protection locked="0" hidden="0"/>
    </xf>
    <xf numFmtId="164" fontId="7" fillId="0" borderId="0" applyAlignment="1" applyProtection="1" pivotButton="0" quotePrefix="0" xfId="385">
      <alignment horizontal="left" vertical="center"/>
      <protection locked="0" hidden="0"/>
    </xf>
    <xf numFmtId="41" fontId="7" fillId="49" borderId="0" applyAlignment="1" pivotButton="0" quotePrefix="0" xfId="0">
      <alignment vertical="center"/>
    </xf>
    <xf numFmtId="43" fontId="7" fillId="0" borderId="0" applyAlignment="1" applyProtection="1" pivotButton="0" quotePrefix="0" xfId="7">
      <alignment horizontal="left" vertical="center" shrinkToFit="1"/>
      <protection locked="0" hidden="0"/>
    </xf>
    <xf numFmtId="41" fontId="7" fillId="0" borderId="0" applyAlignment="1" applyProtection="1" pivotButton="0" quotePrefix="0" xfId="383">
      <alignment horizontal="left" vertical="center"/>
      <protection locked="0" hidden="0"/>
    </xf>
    <xf numFmtId="41" fontId="7" fillId="42" borderId="0" applyAlignment="1" applyProtection="1" pivotButton="0" quotePrefix="0" xfId="383">
      <alignment vertical="center"/>
      <protection locked="0" hidden="0"/>
    </xf>
    <xf numFmtId="43" fontId="7" fillId="0" borderId="0" applyAlignment="1" applyProtection="1" pivotButton="0" quotePrefix="0" xfId="7">
      <alignment horizontal="right" vertical="center" wrapText="1"/>
      <protection locked="0" hidden="0"/>
    </xf>
    <xf numFmtId="43" fontId="3" fillId="2" borderId="0" applyAlignment="1" applyProtection="1" pivotButton="0" quotePrefix="0" xfId="7">
      <alignment horizontal="right" vertical="center"/>
      <protection locked="0" hidden="0"/>
    </xf>
    <xf numFmtId="166" fontId="3" fillId="2" borderId="0" applyAlignment="1" applyProtection="1" pivotButton="0" quotePrefix="0" xfId="0">
      <alignment vertical="center"/>
      <protection locked="0" hidden="0"/>
    </xf>
    <xf numFmtId="166" fontId="3" fillId="2" borderId="1" applyAlignment="1" applyProtection="1" pivotButton="0" quotePrefix="0" xfId="7">
      <alignment vertical="center"/>
      <protection locked="0" hidden="0"/>
    </xf>
    <xf numFmtId="166" fontId="3" fillId="2" borderId="0" applyAlignment="1" applyProtection="1" pivotButton="0" quotePrefix="0" xfId="7">
      <alignment vertical="center"/>
      <protection locked="0" hidden="0"/>
    </xf>
    <xf numFmtId="166" fontId="7" fillId="0" borderId="1" applyAlignment="1" applyProtection="1" pivotButton="0" quotePrefix="0" xfId="7">
      <alignment vertical="center" wrapText="1"/>
      <protection locked="0" hidden="0"/>
    </xf>
    <xf numFmtId="166" fontId="7" fillId="0" borderId="0" applyAlignment="1" applyProtection="1" pivotButton="0" quotePrefix="0" xfId="7">
      <alignment vertical="center" wrapText="1"/>
      <protection locked="0" hidden="0"/>
    </xf>
    <xf numFmtId="43" fontId="110" fillId="0" borderId="18" applyAlignment="1" applyProtection="1" pivotButton="0" quotePrefix="0" xfId="7">
      <alignment horizontal="center" vertical="center"/>
      <protection locked="0" hidden="0"/>
    </xf>
    <xf numFmtId="43" fontId="3" fillId="2" borderId="0" applyAlignment="1" applyProtection="1" pivotButton="0" quotePrefix="0" xfId="7">
      <alignment vertical="center"/>
      <protection locked="0" hidden="0"/>
    </xf>
    <xf numFmtId="166" fontId="7" fillId="0" borderId="0" applyAlignment="1" applyProtection="1" pivotButton="0" quotePrefix="0" xfId="7">
      <alignment horizontal="right" vertical="center" wrapText="1"/>
      <protection locked="0" hidden="0"/>
    </xf>
    <xf numFmtId="43" fontId="4" fillId="0" borderId="0" applyAlignment="1" applyProtection="1" pivotButton="0" quotePrefix="0" xfId="7">
      <alignment horizontal="center" vertical="center" shrinkToFit="1"/>
      <protection locked="0" hidden="0"/>
    </xf>
    <xf numFmtId="43" fontId="110" fillId="0" borderId="0" applyAlignment="1" applyProtection="1" pivotButton="0" quotePrefix="0" xfId="7">
      <alignment horizontal="center" vertical="center" shrinkToFit="1"/>
      <protection locked="0" hidden="0"/>
    </xf>
    <xf numFmtId="43" fontId="7" fillId="0" borderId="48" applyAlignment="1" applyProtection="1" pivotButton="0" quotePrefix="0" xfId="7">
      <alignment vertical="center" wrapText="1"/>
      <protection locked="0" hidden="0"/>
    </xf>
    <xf numFmtId="43" fontId="110" fillId="0" borderId="48" applyAlignment="1" applyProtection="1" pivotButton="0" quotePrefix="0" xfId="7">
      <alignment horizontal="center" vertical="center" shrinkToFit="1"/>
      <protection locked="0" hidden="0"/>
    </xf>
    <xf numFmtId="43" fontId="7" fillId="0" borderId="1" applyAlignment="1" applyProtection="1" pivotButton="0" quotePrefix="0" xfId="7">
      <alignment vertical="center" wrapText="1"/>
      <protection locked="0" hidden="0"/>
    </xf>
    <xf numFmtId="0" fontId="113" fillId="2" borderId="60" applyAlignment="1" applyProtection="1" pivotButton="0" quotePrefix="0" xfId="0">
      <alignment horizontal="left" vertical="center" wrapText="1"/>
      <protection locked="0" hidden="0"/>
    </xf>
    <xf numFmtId="43" fontId="82" fillId="0" borderId="0" applyAlignment="1" pivotButton="0" quotePrefix="0" xfId="7">
      <alignment horizontal="right" vertical="center" shrinkToFit="1"/>
    </xf>
    <xf numFmtId="43" fontId="82" fillId="53" borderId="0" applyAlignment="1" pivotButton="0" quotePrefix="0" xfId="7">
      <alignment horizontal="right" vertical="center" shrinkToFit="1"/>
    </xf>
    <xf numFmtId="43" fontId="147" fillId="0" borderId="0" applyAlignment="1" pivotButton="0" quotePrefix="0" xfId="7">
      <alignment horizontal="right" vertical="center" shrinkToFit="1"/>
    </xf>
    <xf numFmtId="0" fontId="3" fillId="0" borderId="60" applyAlignment="1" pivotButton="0" quotePrefix="0" xfId="7">
      <alignment horizontal="left" vertical="center" wrapText="1" shrinkToFit="1"/>
    </xf>
    <xf numFmtId="0" fontId="0" fillId="0" borderId="48" pivotButton="0" quotePrefix="0" xfId="0"/>
    <xf numFmtId="0" fontId="0" fillId="0" borderId="61" pivotButton="0" quotePrefix="0" xfId="0"/>
    <xf numFmtId="0" fontId="0" fillId="0" borderId="57" pivotButton="0" quotePrefix="0" xfId="0"/>
    <xf numFmtId="0" fontId="0" fillId="0" borderId="16" pivotButton="0" quotePrefix="0" xfId="0"/>
    <xf numFmtId="0" fontId="0" fillId="0" borderId="62" pivotButton="0" quotePrefix="0" xfId="0"/>
    <xf numFmtId="0" fontId="0" fillId="0" borderId="1" pivotButton="0" quotePrefix="0" xfId="0"/>
    <xf numFmtId="0" fontId="0" fillId="0" borderId="6" pivotButton="0" quotePrefix="0" xfId="0"/>
    <xf numFmtId="166" fontId="3" fillId="0" borderId="0" applyAlignment="1" pivotButton="0" quotePrefix="0" xfId="7">
      <alignment horizontal="right" vertical="center" shrinkToFit="1"/>
    </xf>
    <xf numFmtId="166" fontId="3" fillId="0" borderId="48" applyAlignment="1" applyProtection="1" pivotButton="0" quotePrefix="0" xfId="7">
      <alignment horizontal="right" vertical="center"/>
      <protection locked="0" hidden="0"/>
    </xf>
    <xf numFmtId="166" fontId="3" fillId="0" borderId="0" applyAlignment="1" applyProtection="1" pivotButton="0" quotePrefix="0" xfId="0">
      <alignment horizontal="right" vertical="center"/>
      <protection locked="0" hidden="0"/>
    </xf>
    <xf numFmtId="166" fontId="3" fillId="0" borderId="1" applyAlignment="1" pivotButton="0" quotePrefix="0" xfId="7">
      <alignment horizontal="right" vertical="center" shrinkToFit="1"/>
    </xf>
    <xf numFmtId="166" fontId="7" fillId="0" borderId="0" applyAlignment="1" applyProtection="1" pivotButton="0" quotePrefix="0" xfId="0">
      <alignment horizontal="right" vertical="center" wrapText="1"/>
      <protection locked="0" hidden="0"/>
    </xf>
    <xf numFmtId="41" fontId="4" fillId="0" borderId="0" applyAlignment="1" applyProtection="1" pivotButton="0" quotePrefix="0" xfId="0">
      <alignment horizontal="center" vertical="center"/>
      <protection locked="0" hidden="0"/>
    </xf>
    <xf numFmtId="167" fontId="11" fillId="0" borderId="0" applyAlignment="1" pivotButton="0" quotePrefix="0" xfId="191">
      <alignment vertical="center"/>
    </xf>
    <xf numFmtId="0" fontId="113" fillId="0" borderId="60" applyAlignment="1" pivotButton="0" quotePrefix="0" xfId="7">
      <alignment horizontal="left" vertical="center" wrapText="1" shrinkToFit="1"/>
    </xf>
    <xf numFmtId="0" fontId="128" fillId="41" borderId="53" applyAlignment="1" applyProtection="1" pivotButton="0" quotePrefix="0" xfId="0">
      <alignment horizontal="left" vertical="center"/>
      <protection locked="0" hidden="0"/>
    </xf>
    <xf numFmtId="43" fontId="3" fillId="0" borderId="0" applyAlignment="1" applyProtection="1" pivotButton="0" quotePrefix="0" xfId="7">
      <alignment horizontal="right" vertical="center" shrinkToFit="1"/>
      <protection locked="0" hidden="0"/>
    </xf>
    <xf numFmtId="0" fontId="111" fillId="0" borderId="67" applyAlignment="1" applyProtection="1" pivotButton="0" quotePrefix="0" xfId="0">
      <alignment horizontal="left" vertical="center"/>
      <protection locked="0" hidden="0"/>
    </xf>
    <xf numFmtId="0" fontId="0" fillId="0" borderId="50" applyProtection="1" pivotButton="0" quotePrefix="0" xfId="0">
      <protection locked="0" hidden="0"/>
    </xf>
    <xf numFmtId="43" fontId="3" fillId="0" borderId="0" applyAlignment="1" pivotButton="0" quotePrefix="0" xfId="7">
      <alignment horizontal="left" vertical="center" shrinkToFit="1"/>
    </xf>
    <xf numFmtId="0" fontId="7" fillId="0" borderId="14" applyAlignment="1" applyProtection="1" pivotButton="0" quotePrefix="0" xfId="0">
      <alignment horizontal="left" vertical="center"/>
      <protection locked="0" hidden="0"/>
    </xf>
    <xf numFmtId="0" fontId="7" fillId="0" borderId="8" applyAlignment="1" applyProtection="1" pivotButton="0" quotePrefix="0" xfId="0">
      <alignment horizontal="left" vertical="center"/>
      <protection locked="0" hidden="0"/>
    </xf>
    <xf numFmtId="43" fontId="3" fillId="0" borderId="0" applyAlignment="1" pivotButton="0" quotePrefix="0" xfId="288">
      <alignment horizontal="right" vertical="center" shrinkToFit="1"/>
    </xf>
    <xf numFmtId="43" fontId="3" fillId="0" borderId="0" applyAlignment="1" pivotButton="0" quotePrefix="0" xfId="7">
      <alignment horizontal="right" vertical="center" shrinkToFit="1"/>
    </xf>
    <xf numFmtId="43" fontId="4" fillId="0" borderId="0" applyAlignment="1" pivotButton="0" quotePrefix="0" xfId="7">
      <alignment horizontal="right" vertical="center" shrinkToFit="1"/>
    </xf>
    <xf numFmtId="0" fontId="4" fillId="52" borderId="53" applyAlignment="1" applyProtection="1" pivotButton="0" quotePrefix="0" xfId="0">
      <alignment horizontal="center" vertical="center" wrapText="1"/>
      <protection locked="0" hidden="0"/>
    </xf>
    <xf numFmtId="166" fontId="3" fillId="0" borderId="37" applyAlignment="1" pivotButton="0" quotePrefix="0" xfId="7">
      <alignment horizontal="right" vertical="center" shrinkToFit="1"/>
    </xf>
    <xf numFmtId="43" fontId="3" fillId="0" borderId="37" applyAlignment="1" pivotButton="0" quotePrefix="0" xfId="7">
      <alignment horizontal="right" vertical="center" shrinkToFit="1"/>
    </xf>
    <xf numFmtId="166" fontId="3" fillId="0" borderId="0" applyAlignment="1" applyProtection="1" pivotButton="0" quotePrefix="0" xfId="7">
      <alignment horizontal="right" vertical="center"/>
      <protection locked="0" hidden="0"/>
    </xf>
    <xf numFmtId="166" fontId="7" fillId="0" borderId="0" applyAlignment="1" applyProtection="1" pivotButton="0" quotePrefix="0" xfId="394">
      <alignment horizontal="right" vertical="center"/>
      <protection locked="0" hidden="0"/>
    </xf>
    <xf numFmtId="43" fontId="3" fillId="2" borderId="0" applyAlignment="1" pivotButton="0" quotePrefix="0" xfId="7">
      <alignment horizontal="right" vertical="center" shrinkToFit="1"/>
    </xf>
    <xf numFmtId="43" fontId="3" fillId="2" borderId="0" applyAlignment="1" applyProtection="1" pivotButton="0" quotePrefix="0" xfId="7">
      <alignment horizontal="right" vertical="center" shrinkToFit="1"/>
      <protection locked="0" hidden="0"/>
    </xf>
    <xf numFmtId="43" fontId="7" fillId="2" borderId="0" applyAlignment="1" applyProtection="1" pivotButton="0" quotePrefix="0" xfId="7">
      <alignment vertical="center"/>
      <protection locked="0" hidden="0"/>
    </xf>
    <xf numFmtId="166" fontId="7" fillId="0" borderId="15" applyAlignment="1" applyProtection="1" pivotButton="0" quotePrefix="0" xfId="7">
      <alignment horizontal="right" vertical="center"/>
      <protection locked="0" hidden="0"/>
    </xf>
    <xf numFmtId="43" fontId="3" fillId="0" borderId="0" applyAlignment="1" applyProtection="1" pivotButton="0" quotePrefix="0" xfId="0">
      <alignment horizontal="center" vertical="center"/>
      <protection locked="0" hidden="0"/>
    </xf>
    <xf numFmtId="43" fontId="3" fillId="0" borderId="0" applyAlignment="1" pivotButton="0" quotePrefix="0" xfId="7">
      <alignment vertical="center" shrinkToFit="1"/>
    </xf>
    <xf numFmtId="43" fontId="3" fillId="0" borderId="0" applyAlignment="1" applyProtection="1" pivotButton="0" quotePrefix="0" xfId="0">
      <alignment vertical="center"/>
      <protection locked="0" hidden="0"/>
    </xf>
    <xf numFmtId="166" fontId="3" fillId="0" borderId="0" applyAlignment="1" applyProtection="1" pivotButton="0" quotePrefix="0" xfId="0">
      <alignment vertical="center"/>
      <protection locked="0" hidden="0"/>
    </xf>
    <xf numFmtId="166" fontId="3" fillId="0" borderId="19" applyAlignment="1" applyProtection="1" pivotButton="0" quotePrefix="0" xfId="0">
      <alignment vertical="center"/>
      <protection locked="0" hidden="0"/>
    </xf>
    <xf numFmtId="43" fontId="3" fillId="0" borderId="1" applyAlignment="1" applyProtection="1" pivotButton="0" quotePrefix="0" xfId="0">
      <alignment vertical="center"/>
      <protection locked="0" hidden="0"/>
    </xf>
    <xf numFmtId="0" fontId="113" fillId="0" borderId="15" applyAlignment="1" pivotButton="0" quotePrefix="0" xfId="7">
      <alignment horizontal="left" vertical="center" wrapText="1" shrinkToFit="1"/>
    </xf>
    <xf numFmtId="0" fontId="0" fillId="0" borderId="21" pivotButton="0" quotePrefix="0" xfId="0"/>
    <xf numFmtId="0" fontId="0" fillId="0" borderId="30" pivotButton="0" quotePrefix="0" xfId="0"/>
    <xf numFmtId="0" fontId="0" fillId="0" borderId="28" pivotButton="0" quotePrefix="0" xfId="0"/>
    <xf numFmtId="0" fontId="0" fillId="0" borderId="29" pivotButton="0" quotePrefix="0" xfId="0"/>
    <xf numFmtId="49" fontId="113" fillId="0" borderId="60" applyAlignment="1" pivotButton="0" quotePrefix="0" xfId="7">
      <alignment horizontal="left" vertical="center" wrapText="1" shrinkToFit="1"/>
    </xf>
    <xf numFmtId="41" fontId="4" fillId="0" borderId="0" applyAlignment="1" applyProtection="1" pivotButton="0" quotePrefix="0" xfId="370">
      <alignment horizontal="left" vertical="center"/>
      <protection locked="0" hidden="0"/>
    </xf>
    <xf numFmtId="41" fontId="90" fillId="0" borderId="0" applyAlignment="1" applyProtection="1" pivotButton="0" quotePrefix="0" xfId="370">
      <alignment horizontal="center" vertical="center"/>
      <protection locked="0" hidden="0"/>
    </xf>
    <xf numFmtId="0" fontId="9" fillId="41" borderId="53" applyAlignment="1" applyProtection="1" pivotButton="0" quotePrefix="0" xfId="370">
      <alignment horizontal="left" vertical="center"/>
      <protection locked="0" hidden="0"/>
    </xf>
    <xf numFmtId="0" fontId="7" fillId="0" borderId="8" applyAlignment="1" applyProtection="1" pivotButton="0" quotePrefix="0" xfId="370">
      <alignment horizontal="left" vertical="top" wrapText="1"/>
      <protection locked="0" hidden="0"/>
    </xf>
  </cellXfs>
  <cellStyles count="395">
    <cellStyle name="常规" xfId="0" builtinId="0"/>
    <cellStyle name="だ[0]_Total (2)" xfId="1"/>
    <cellStyle name="Accent1_RESULTS" xfId="2"/>
    <cellStyle name="好_49-营业收入（空白模板）" xfId="3"/>
    <cellStyle name="SAPBEXresItem" xfId="4"/>
    <cellStyle name="Normalny_Arkusz1" xfId="5"/>
    <cellStyle name="Accent2 - 40%" xfId="6"/>
    <cellStyle name="千位分隔" xfId="7" builtinId="3"/>
    <cellStyle name="Comma [0] 3" xfId="8"/>
    <cellStyle name="Accent2 - 60%" xfId="9"/>
    <cellStyle name="常规 2 2 3 3 2" xfId="10"/>
    <cellStyle name="_x000a_mouse.drv=lm" xfId="11"/>
    <cellStyle name="百分比" xfId="12" builtinId="5"/>
    <cellStyle name="常规 6" xfId="13"/>
    <cellStyle name="entry" xfId="14"/>
    <cellStyle name="Comma 2" xfId="15"/>
    <cellStyle name="差_货币资金 岳华" xfId="16"/>
    <cellStyle name="0%" xfId="17"/>
    <cellStyle name="桁区切り_１１月価格表" xfId="18"/>
    <cellStyle name="好_资产减值损失" xfId="19"/>
    <cellStyle name="差_Book2" xfId="20"/>
    <cellStyle name="Normal 2 3 2 2" xfId="21"/>
    <cellStyle name="常规 3_10存货" xfId="22"/>
    <cellStyle name="Accent3_RESULTS" xfId="23"/>
    <cellStyle name="0.0%" xfId="24"/>
    <cellStyle name="千位分隔[0] 2" xfId="25"/>
    <cellStyle name="Hyperlink 2" xfId="26"/>
    <cellStyle name="昗弨_BOOKSHIP" xfId="27"/>
    <cellStyle name="SAPBEXstdItem" xfId="28"/>
    <cellStyle name="SAPBEXaggItem" xfId="29"/>
    <cellStyle name="Hyperlink 3" xfId="30"/>
    <cellStyle name="Hyperlink 4" xfId="31"/>
    <cellStyle name="SAPBEXHLevel3X" xfId="32"/>
    <cellStyle name="千位[0]_1995" xfId="33"/>
    <cellStyle name="だ[0]_PLDT" xfId="34"/>
    <cellStyle name="Accent1 - 20%" xfId="35"/>
    <cellStyle name="好_存货 - 复制" xfId="36"/>
    <cellStyle name="0.00%" xfId="37"/>
    <cellStyle name="00" xfId="38"/>
    <cellStyle name="Accent2" xfId="39"/>
    <cellStyle name="常规 9 2" xfId="40"/>
    <cellStyle name="Comma [0] 2 2 2 2 2" xfId="41"/>
    <cellStyle name="Accent1" xfId="42"/>
    <cellStyle name="Accent1 - 40%" xfId="43"/>
    <cellStyle name="Accent1 - 60%" xfId="44"/>
    <cellStyle name="常规 3 2 3" xfId="45"/>
    <cellStyle name="Normal 5 2" xfId="46"/>
    <cellStyle name="Accent2 - 20%" xfId="47"/>
    <cellStyle name="통화_BOILER-CO1" xfId="48"/>
    <cellStyle name="comma zerodec" xfId="49"/>
    <cellStyle name="Accent2_RESULTS" xfId="50"/>
    <cellStyle name="好_55-资产减值损失（空白模板）" xfId="51"/>
    <cellStyle name="好_50-营业成本（空白模板）" xfId="52"/>
    <cellStyle name="Accent3" xfId="53"/>
    <cellStyle name="Comma  - Style2" xfId="54"/>
    <cellStyle name="Accent3 - 20%" xfId="55"/>
    <cellStyle name="Normal 121 2 4" xfId="56"/>
    <cellStyle name="Accent3 - 40%" xfId="57"/>
    <cellStyle name="Accent3 - 60%" xfId="58"/>
    <cellStyle name="好_货币资金 岳华" xfId="59"/>
    <cellStyle name="Accent4" xfId="60"/>
    <cellStyle name="Accent4 - 20%" xfId="61"/>
    <cellStyle name="差_ZA0货币资金审定表 " xfId="62"/>
    <cellStyle name="SAPBEXexcCritical6" xfId="63"/>
    <cellStyle name="Accent4 - 40%" xfId="64"/>
    <cellStyle name="Normal 12 2" xfId="65"/>
    <cellStyle name="Accent4 - 60%" xfId="66"/>
    <cellStyle name="Accent4_RESULTS" xfId="67"/>
    <cellStyle name="Accent5" xfId="68"/>
    <cellStyle name="Accent5 - 20%" xfId="69"/>
    <cellStyle name="千分位[0]_ 白土" xfId="70"/>
    <cellStyle name="Accent5 - 40%" xfId="71"/>
    <cellStyle name="Accent5 - 60%" xfId="72"/>
    <cellStyle name="Accent5_RESULTS" xfId="73"/>
    <cellStyle name="Accent6" xfId="74"/>
    <cellStyle name="SAPBEXfilterDrill" xfId="75"/>
    <cellStyle name="Accent6 - 20%" xfId="76"/>
    <cellStyle name="常规 3 3" xfId="77"/>
    <cellStyle name="Accent6 - 40%" xfId="78"/>
    <cellStyle name="SAPBEXstdData" xfId="79"/>
    <cellStyle name="SAPBEXaggData" xfId="80"/>
    <cellStyle name="Accent6 - 60%" xfId="81"/>
    <cellStyle name="Accent6_RESULTS" xfId="82"/>
    <cellStyle name="Normal 6" xfId="83"/>
    <cellStyle name="Calc Currency (0)" xfId="84"/>
    <cellStyle name="Comma  - Style3" xfId="85"/>
    <cellStyle name="category" xfId="86"/>
    <cellStyle name="Check Cell 2" xfId="87"/>
    <cellStyle name="千位_1995" xfId="88"/>
    <cellStyle name="Normal 103 2" xfId="89"/>
    <cellStyle name="Col Heads" xfId="90"/>
    <cellStyle name="差_4-应收账款（空白模板）" xfId="91"/>
    <cellStyle name="Comma  - Style1" xfId="92"/>
    <cellStyle name="Comma  - Style4" xfId="93"/>
    <cellStyle name="Normal 2 3 2 2 2" xfId="94"/>
    <cellStyle name="Comma 10 2" xfId="95"/>
    <cellStyle name="Comma  - Style5" xfId="96"/>
    <cellStyle name="Normal 2 3 2 2 3" xfId="97"/>
    <cellStyle name="Comma  - Style6" xfId="98"/>
    <cellStyle name="Comma  - Style7" xfId="99"/>
    <cellStyle name="霓付_1202" xfId="100"/>
    <cellStyle name="Comma  - Style8" xfId="101"/>
    <cellStyle name="好_大信底稿目录" xfId="102"/>
    <cellStyle name="Comma [0] 2" xfId="103"/>
    <cellStyle name="好_资产负债标准底稿" xfId="104"/>
    <cellStyle name="Comma [0] 2 2" xfId="105"/>
    <cellStyle name="Comma [0] 2 2 2" xfId="106"/>
    <cellStyle name="常规 9" xfId="107"/>
    <cellStyle name="Comma [0] 2 2 2 2" xfId="108"/>
    <cellStyle name="好_应收账款" xfId="109"/>
    <cellStyle name="Comma [0] 2 2 2 3" xfId="110"/>
    <cellStyle name="Comma [0] 2 2 3" xfId="111"/>
    <cellStyle name="Comma [0] 2 3" xfId="112"/>
    <cellStyle name="好_Sheet1" xfId="113"/>
    <cellStyle name="超链接 2" xfId="114"/>
    <cellStyle name="差_9管理费用" xfId="115"/>
    <cellStyle name="Comma [0] 3 2" xfId="116"/>
    <cellStyle name="千位分隔 4" xfId="117"/>
    <cellStyle name="Comma 2 3" xfId="118"/>
    <cellStyle name="Comma 10 2 2" xfId="119"/>
    <cellStyle name="千位分隔 3" xfId="120"/>
    <cellStyle name="Comma 2 2" xfId="121"/>
    <cellStyle name="千位分隔 3 2" xfId="122"/>
    <cellStyle name="Comma 2 2 2" xfId="123"/>
    <cellStyle name="好_3-3 进一步审计程序-存货与生产循环" xfId="124"/>
    <cellStyle name="标题 5" xfId="125"/>
    <cellStyle name="Comma 3" xfId="126"/>
    <cellStyle name="Comma 3 2" xfId="127"/>
    <cellStyle name="好_货币资金" xfId="128"/>
    <cellStyle name="Comma 4" xfId="129"/>
    <cellStyle name="Comma 4 2" xfId="130"/>
    <cellStyle name="Comma 5" xfId="131"/>
    <cellStyle name="差_存货" xfId="132"/>
    <cellStyle name="Comma 5 2" xfId="133"/>
    <cellStyle name="Comma 5 2 2" xfId="134"/>
    <cellStyle name="Comma 5 3" xfId="135"/>
    <cellStyle name="Comma,0" xfId="136"/>
    <cellStyle name="差_55-资产减值损失（空白模板）" xfId="137"/>
    <cellStyle name="Comma,1" xfId="138"/>
    <cellStyle name="普通_ 白土" xfId="139"/>
    <cellStyle name="Comma,2" xfId="140"/>
    <cellStyle name="Currency,0" xfId="141"/>
    <cellStyle name="Currency,2" xfId="142"/>
    <cellStyle name="Currency1" xfId="143"/>
    <cellStyle name="Normal 2 2 2" xfId="144"/>
    <cellStyle name="Dollar (zero dec)" xfId="145"/>
    <cellStyle name="entry box" xfId="146"/>
    <cellStyle name="Euro" xfId="147"/>
    <cellStyle name="Good 2" xfId="148"/>
    <cellStyle name="Grey" xfId="149"/>
    <cellStyle name="千分位_ 白土" xfId="150"/>
    <cellStyle name="HEADER" xfId="151"/>
    <cellStyle name="差_货币资金" xfId="152"/>
    <cellStyle name="Header1" xfId="153"/>
    <cellStyle name="Header2" xfId="154"/>
    <cellStyle name="千位分隔[0] 2 2" xfId="155"/>
    <cellStyle name="Hyperlink 2 2" xfId="156"/>
    <cellStyle name="千位分隔 2 2 2" xfId="157"/>
    <cellStyle name="Input [yellow]" xfId="158"/>
    <cellStyle name="Model" xfId="159"/>
    <cellStyle name="霓付 [0]_1202" xfId="160"/>
    <cellStyle name="Model 2" xfId="161"/>
    <cellStyle name="Normal - Style1" xfId="162"/>
    <cellStyle name="好_应付职工薪酬" xfId="163"/>
    <cellStyle name="Normal 10 10" xfId="164"/>
    <cellStyle name="Normal 103" xfId="165"/>
    <cellStyle name="Normal 121 2" xfId="166"/>
    <cellStyle name="Normal 121 2 2" xfId="167"/>
    <cellStyle name="好_4-应收账款（空白模板）" xfId="168"/>
    <cellStyle name="SAPBEXexcCritical5" xfId="169"/>
    <cellStyle name="Normal 121 2 2 2" xfId="170"/>
    <cellStyle name="Normal 121 2 2 2 2" xfId="171"/>
    <cellStyle name="Normal 121 2 3" xfId="172"/>
    <cellStyle name="Normal 13" xfId="173"/>
    <cellStyle name="Normal 182 2" xfId="174"/>
    <cellStyle name="Normal 2" xfId="175"/>
    <cellStyle name="Normal 2 10 2" xfId="176"/>
    <cellStyle name="標準_１１月価格表" xfId="177"/>
    <cellStyle name="Normal 2 2" xfId="178"/>
    <cellStyle name="Normal 2 2 3 2" xfId="179"/>
    <cellStyle name="Normal 2 3" xfId="180"/>
    <cellStyle name="Normal 2 3 2" xfId="181"/>
    <cellStyle name="千位分隔 5 2" xfId="182"/>
    <cellStyle name="Normal 2 3 3" xfId="183"/>
    <cellStyle name="Normal 2 3 3 2" xfId="184"/>
    <cellStyle name="捠壿 [0.00]_PRODUCT DETAIL Q1" xfId="185"/>
    <cellStyle name="Normal 2 3 4" xfId="186"/>
    <cellStyle name="Normal 2 4" xfId="187"/>
    <cellStyle name="Normal 3" xfId="188"/>
    <cellStyle name="Normal 3 2" xfId="189"/>
    <cellStyle name="_laroux" xfId="190"/>
    <cellStyle name="Normal 3 2 2 2 2" xfId="191"/>
    <cellStyle name="好_9管理费用" xfId="192"/>
    <cellStyle name="差_10存货" xfId="193"/>
    <cellStyle name="Normal 4" xfId="194"/>
    <cellStyle name="好_资产负债标准底稿_大信底稿目录" xfId="195"/>
    <cellStyle name="Normal 4 2" xfId="196"/>
    <cellStyle name="Normal 4 3" xfId="197"/>
    <cellStyle name="千位分隔 7 3 2" xfId="198"/>
    <cellStyle name="Normal 5" xfId="199"/>
    <cellStyle name="Normal 5 3" xfId="200"/>
    <cellStyle name="Normal 7" xfId="201"/>
    <cellStyle name="Normal 8" xfId="202"/>
    <cellStyle name="Normal 9" xfId="203"/>
    <cellStyle name="Percent [2]" xfId="204"/>
    <cellStyle name="样式 1" xfId="205"/>
    <cellStyle name="Prefilled" xfId="206"/>
    <cellStyle name="Percent 2" xfId="207"/>
    <cellStyle name="price" xfId="208"/>
    <cellStyle name="通貨 [0.00]_１１月価格表" xfId="209"/>
    <cellStyle name="revised" xfId="210"/>
    <cellStyle name="row_def_array" xfId="211"/>
    <cellStyle name="SAPBEXstdDataEmph" xfId="212"/>
    <cellStyle name="SAPBEXaggDataEmph" xfId="213"/>
    <cellStyle name="SAPBEXstdItemX" xfId="214"/>
    <cellStyle name="SAPBEXaggItemX" xfId="215"/>
    <cellStyle name="SAPBEXchaText" xfId="216"/>
    <cellStyle name="SAPBEXexcBad7" xfId="217"/>
    <cellStyle name="SAPBEXexcBad8" xfId="218"/>
    <cellStyle name="好_存货" xfId="219"/>
    <cellStyle name="SAPBEXexcBad9" xfId="220"/>
    <cellStyle name="SAPBEXexcCritical4" xfId="221"/>
    <cellStyle name="SAPBEXexcGood1" xfId="222"/>
    <cellStyle name="百分比 2" xfId="223"/>
    <cellStyle name="SAPBEXexcGood2" xfId="224"/>
    <cellStyle name="百分比 3" xfId="225"/>
    <cellStyle name="SAPBEXexcGood3" xfId="226"/>
    <cellStyle name="SAPBEXfilterItem" xfId="227"/>
    <cellStyle name="SAPBEXfilterText" xfId="228"/>
    <cellStyle name="表标题" xfId="229"/>
    <cellStyle name="SAPBEXformats" xfId="230"/>
    <cellStyle name="常规 7" xfId="231"/>
    <cellStyle name="SAPBEXheaderItem" xfId="232"/>
    <cellStyle name="SAPBEXheaderText" xfId="233"/>
    <cellStyle name="SAPBEXHLevel0" xfId="234"/>
    <cellStyle name="SAPBEXHLevel0X" xfId="235"/>
    <cellStyle name="SAPBEXHLevel1" xfId="236"/>
    <cellStyle name="SAPBEXHLevel1X" xfId="237"/>
    <cellStyle name="SAPBEXHLevel2" xfId="238"/>
    <cellStyle name="SAPBEXHLevel2X" xfId="239"/>
    <cellStyle name="差_50-营业成本（空白模板）" xfId="240"/>
    <cellStyle name="SAPBEXHLevel3" xfId="241"/>
    <cellStyle name="SAPBEXresData" xfId="242"/>
    <cellStyle name="SAPBEXresDataEmph" xfId="243"/>
    <cellStyle name="SAPBEXresItemX" xfId="244"/>
    <cellStyle name="SAPBEXtitle" xfId="245"/>
    <cellStyle name="SAPBEXundefined" xfId="246"/>
    <cellStyle name="section" xfId="247"/>
    <cellStyle name="桁区切り [0.00]_１１月価格表" xfId="248"/>
    <cellStyle name="SOR" xfId="249"/>
    <cellStyle name="SOR 2" xfId="250"/>
    <cellStyle name="差_大信底稿目录" xfId="251"/>
    <cellStyle name="subhead" xfId="252"/>
    <cellStyle name="常规 2" xfId="253"/>
    <cellStyle name="title" xfId="254"/>
    <cellStyle name="Tusental (0)_pldt" xfId="255"/>
    <cellStyle name="표준_0N-HANDLING " xfId="256"/>
    <cellStyle name="Tusental_pldt" xfId="257"/>
    <cellStyle name="Valuta (0)_pldt" xfId="258"/>
    <cellStyle name="Valuta_pldt" xfId="259"/>
    <cellStyle name="パーセント_laroux" xfId="260"/>
    <cellStyle name="好_银行函证结果汇总表" xfId="261"/>
    <cellStyle name="_PLDT" xfId="262"/>
    <cellStyle name="だ_PLDT" xfId="263"/>
    <cellStyle name="だ_laroux" xfId="264"/>
    <cellStyle name="百分比 4 2" xfId="265"/>
    <cellStyle name="捠壿_PRODUCT DETAIL Q1" xfId="266"/>
    <cellStyle name="差_19-无形资产（空白模板）" xfId="267"/>
    <cellStyle name="差_2-交易性金融资产（空白模板）" xfId="268"/>
    <cellStyle name="差_3-2 进一步审计程序-采购与付款循环" xfId="269"/>
    <cellStyle name="差_3-3 进一步审计程序-存货与生产循环" xfId="270"/>
    <cellStyle name="差_49-营业收入（空白模板）" xfId="271"/>
    <cellStyle name="差_应付职工薪酬" xfId="272"/>
    <cellStyle name="差_51-营业税金及附加（空白模板）" xfId="273"/>
    <cellStyle name="差_54-财务费用（空白模板）" xfId="274"/>
    <cellStyle name="差_dxn底稿目录" xfId="275"/>
    <cellStyle name="差_Sheet1" xfId="276"/>
    <cellStyle name="差_底稿设置宏" xfId="277"/>
    <cellStyle name="差_货币资金 天职" xfId="278"/>
    <cellStyle name="差_无形资产" xfId="279"/>
    <cellStyle name="差_应收账款" xfId="280"/>
    <cellStyle name="差_账项明细表" xfId="281"/>
    <cellStyle name="常规 10" xfId="282"/>
    <cellStyle name="强调 3" xfId="283"/>
    <cellStyle name="常规 2 2" xfId="284"/>
    <cellStyle name="好_营业收入" xfId="285"/>
    <cellStyle name="常规 2 2 3 3" xfId="286"/>
    <cellStyle name="常规 2_10存货" xfId="287"/>
    <cellStyle name="常规 3" xfId="288"/>
    <cellStyle name="常规 3 2" xfId="289"/>
    <cellStyle name="常规 3 2 2" xfId="290"/>
    <cellStyle name="常规 4" xfId="291"/>
    <cellStyle name="常规 5" xfId="292"/>
    <cellStyle name="常规 8" xfId="293"/>
    <cellStyle name="常规_ZA 货币资金" xfId="294"/>
    <cellStyle name="超级链接_综合类底稿表格" xfId="295"/>
    <cellStyle name="寘嬫愗傝_PRODUCT DETAIL Q1" xfId="296"/>
    <cellStyle name="超链接 2 2" xfId="297"/>
    <cellStyle name="超链接 2 3" xfId="298"/>
    <cellStyle name="超链接 3" xfId="299"/>
    <cellStyle name="超链接 4" xfId="300"/>
    <cellStyle name="好_10存货" xfId="301"/>
    <cellStyle name="好_19-无形资产（空白模板）" xfId="302"/>
    <cellStyle name="好_1财务费用" xfId="303"/>
    <cellStyle name="好_1营业收入" xfId="304"/>
    <cellStyle name="好_1资产减值损失" xfId="305"/>
    <cellStyle name="好_2-交易性金融资产（空白模板）" xfId="306"/>
    <cellStyle name="好_3-2 进一步审计程序-采购与付款循环" xfId="307"/>
    <cellStyle name="砯刽 [0]_PLDT" xfId="308"/>
    <cellStyle name="好_51-营业税金及附加（空白模板）" xfId="309"/>
    <cellStyle name="好_54-财务费用（空白模板）" xfId="310"/>
    <cellStyle name="好_Book2" xfId="311"/>
    <cellStyle name="好_ZA0货币资金审定表 " xfId="312"/>
    <cellStyle name="好_资产负债类底稿模版" xfId="313"/>
    <cellStyle name="好_财务费用" xfId="314"/>
    <cellStyle name="砯刽_PLDT" xfId="315"/>
    <cellStyle name="好_底稿设置宏" xfId="316"/>
    <cellStyle name="好_底稿设置宏_大信底稿目录" xfId="317"/>
    <cellStyle name="强调 1" xfId="318"/>
    <cellStyle name="好_货币资金 天职" xfId="319"/>
    <cellStyle name="好_实收资本(股本)" xfId="320"/>
    <cellStyle name="好_无形资产" xfId="321"/>
    <cellStyle name="好_应收利息" xfId="322"/>
    <cellStyle name="好_账项明细表" xfId="323"/>
    <cellStyle name="好_资产负债类底稿模版_大信底稿目录" xfId="324"/>
    <cellStyle name="貨幣 [0]_SGV" xfId="325"/>
    <cellStyle name="貨幣_SGV" xfId="326"/>
    <cellStyle name="烹拳 [0]_1202" xfId="327"/>
    <cellStyle name="烹拳_1202" xfId="328"/>
    <cellStyle name="千位分隔 2" xfId="329"/>
    <cellStyle name="千位分隔 2 2" xfId="330"/>
    <cellStyle name="千位分隔 2 3" xfId="331"/>
    <cellStyle name="千位分隔 3 2 2" xfId="332"/>
    <cellStyle name="千位分隔 3 3" xfId="333"/>
    <cellStyle name="千位分隔 4 2" xfId="334"/>
    <cellStyle name="千位分隔 5" xfId="335"/>
    <cellStyle name="千位分隔 6" xfId="336"/>
    <cellStyle name="千位分隔 7" xfId="337"/>
    <cellStyle name="千位分隔 7 3" xfId="338"/>
    <cellStyle name="千位分隔 8" xfId="339"/>
    <cellStyle name="千位分隔 9" xfId="340"/>
    <cellStyle name="钎霖_(沥焊何巩)岿喊牢盔拌裙" xfId="341"/>
    <cellStyle name="强调 2" xfId="342"/>
    <cellStyle name="通貨_１１月価格表" xfId="343"/>
    <cellStyle name="一般_SGV" xfId="344"/>
    <cellStyle name="寘嬫愗傝 [0.00]_PRODUCT DETAIL Q1" xfId="345"/>
    <cellStyle name="资产" xfId="346"/>
    <cellStyle name="콤마 [0]_BOILER-CO1" xfId="347"/>
    <cellStyle name="콤마_BOILER-CO1" xfId="348"/>
    <cellStyle name="통화 [0]_BOILER-CO1" xfId="349"/>
    <cellStyle name="一般 2" xfId="350"/>
    <cellStyle name="常规 11" xfId="351"/>
    <cellStyle name="超連結 2" xfId="352"/>
    <cellStyle name="常规 2 2 2" xfId="353"/>
    <cellStyle name="常规 12" xfId="354"/>
    <cellStyle name="常规 2 2 5" xfId="355"/>
    <cellStyle name="常规 12 2" xfId="356"/>
    <cellStyle name="Comma 4 4" xfId="357"/>
    <cellStyle name="Normal 15 2" xfId="358"/>
    <cellStyle name="Normal 103 3" xfId="359"/>
    <cellStyle name="Normal 2 10" xfId="360"/>
    <cellStyle name="常规 10 2" xfId="361"/>
    <cellStyle name="Normal 121 4" xfId="362"/>
    <cellStyle name="Normal 17" xfId="363"/>
    <cellStyle name="Comma 6 2 2 3" xfId="364"/>
    <cellStyle name="Normal 9 2 2" xfId="365"/>
    <cellStyle name="Normal 2 2 2 2" xfId="366"/>
    <cellStyle name="Normal 121 2 2 2 4" xfId="367"/>
    <cellStyle name="Normal 2 2 3" xfId="368"/>
    <cellStyle name="Normal 2 2 4" xfId="369"/>
    <cellStyle name="常规 13" xfId="370"/>
    <cellStyle name="超链接 5" xfId="371"/>
    <cellStyle name="千位分隔 10" xfId="372"/>
    <cellStyle name="Comma 4 3" xfId="373"/>
    <cellStyle name="Normal_SHEET" xfId="374"/>
    <cellStyle name="Normal 5 4" xfId="375"/>
    <cellStyle name="Normal 8 2" xfId="376"/>
    <cellStyle name="Normal 2 5" xfId="377"/>
    <cellStyle name="Comma 6" xfId="378"/>
    <cellStyle name="常规 14" xfId="379"/>
    <cellStyle name="Normal 2 2 3 3" xfId="380"/>
    <cellStyle name="Comma 7" xfId="381"/>
    <cellStyle name="Normal 2 2 4 2" xfId="382"/>
    <cellStyle name="Comma_A 8 2a CAL - Interim 2 2" xfId="383"/>
    <cellStyle name="Percent 4 2" xfId="384"/>
    <cellStyle name="Comma [0] 2 4" xfId="385"/>
    <cellStyle name="Normal 55" xfId="386"/>
    <cellStyle name="Currency 5" xfId="387"/>
    <cellStyle name="常规 2 2 5 5" xfId="388"/>
    <cellStyle name="常规 13 2" xfId="389"/>
    <cellStyle name="Normal 10" xfId="390"/>
    <cellStyle name="常规 15" xfId="391"/>
    <cellStyle name="常规 10 5" xfId="392"/>
    <cellStyle name="Normal 2 3 6 2" xfId="393"/>
    <cellStyle name="Hyperlink" xfId="394"/>
  </cellStyles>
  <dxfs count="51">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ont>
        <color rgb="FF9C0006"/>
      </font>
      <fill>
        <patternFill>
          <bgColor rgb="FFFFC7CE"/>
        </patternFill>
      </fill>
    </dxf>
    <dxf>
      <fill>
        <patternFill>
          <bgColor rgb="FFFFFFCC"/>
        </patternFill>
      </fill>
    </dxf>
    <dxf>
      <fill>
        <patternFill>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patternType="solid">
          <bgColor theme="0" tint="-0.3499862666707358"/>
        </patternFill>
      </fill>
    </dxf>
    <dxf>
      <fill>
        <patternFill patternType="solid">
          <bgColor rgb="FFFFFFCC"/>
        </patternFill>
      </fill>
    </dxf>
    <dxf>
      <fill>
        <patternFill>
          <bgColor rgb="FFFFFFCC"/>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tileRect/>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tileRect/>
        </a:gradFill>
      </a:fillStyleLst>
      <a:lnStyleLst>
        <a:ln w="6350" cmpd="sng" algn="ctr">
          <a:solidFill>
            <a:schemeClr val="phClr"/>
          </a:solidFill>
          <a:prstDash val="solid"/>
          <a:miter lim="800000"/>
        </a:ln>
        <a:ln w="12700" cmpd="sng" algn="ctr">
          <a:solidFill>
            <a:schemeClr val="phClr"/>
          </a:solidFill>
          <a:prstDash val="solid"/>
          <a:miter lim="800000"/>
        </a:ln>
        <a:ln w="19050"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eychinamanaged.sharepoint.cn/:x:/r/sites/GCknowledgecenter/Shared%20Documents/%E5%AE%A1%E8%AE%A1%E6%A0%87%E5%87%86%E5%BA%95%E7%A8%BF/%E6%A0%87%E5%87%86%E5%AE%A1%E8%AE%A1%E5%BA%95%E7%A8%BF%E6%A8%A1%E6%9D%BF%E7%AC%AC%E4%BA%94%E7%89%88-%E4%BD%BF%E7%94%A8%E7%89%88/OSP/OSP%20K1%20SWP%20%E5%9B%BA%E5%AE%9A%E8%B5%84%E4%BA%A7%E5%8F%8A%E5%9C%A8%E5%BB%BA%E5%B7%A5%E7%A8%8B%E7%9B%98%E7%82%B9%20202YMMDD%20XYZ%E5%85%AC%E5%8F%B8.xlsx?d=waeb81816f6c440799a00b2ddb91df7cf&amp;csf=1&amp;web=1&amp;e=hEzWQJ" TargetMode="External" Id="rId1" /><Relationship Type="http://schemas.openxmlformats.org/officeDocument/2006/relationships/hyperlink" Target="https://eychinamanaged.sharepoint.cn/:x:/r/sites/GCknowledgecenter/Shared%20Documents/%E5%AE%A1%E8%AE%A1%E6%A0%87%E5%87%86%E5%BA%95%E7%A8%BF/%E6%A0%87%E5%87%86%E5%AE%A1%E8%AE%A1%E5%BA%95%E7%A8%BF%E6%A8%A1%E6%9D%BF%E7%AC%AC%E4%BA%94%E7%89%88-%E4%BD%BF%E7%94%A8%E7%89%88/SWP%20%E5%87%8F%E5%80%BC%E8%BF%B9%E8%B1%A1%E8%AF%86%E5%88%AB%20202YMMDD%20XYZ%E5%85%AC%E5%8F%B8.xlsx?d=w9029592e751d48249204b3aebc2a57c9&amp;csf=1&amp;web=1&amp;e=tCZdCL" TargetMode="External" Id="rId2" /></Relationships>
</file>

<file path=xl/worksheets/sheet1.xml><?xml version="1.0" encoding="utf-8"?>
<worksheet xmlns="http://schemas.openxmlformats.org/spreadsheetml/2006/main">
  <sheetPr>
    <outlinePr summaryBelow="1" summaryRight="1"/>
    <pageSetUpPr/>
  </sheetPr>
  <dimension ref="A1:N19"/>
  <sheetViews>
    <sheetView showGridLines="0" tabSelected="1" zoomScale="70" zoomScaleNormal="70" workbookViewId="0">
      <selection activeCell="L13" sqref="L13"/>
    </sheetView>
  </sheetViews>
  <sheetFormatPr baseColWidth="8" defaultColWidth="8.75" defaultRowHeight="22" customHeight="1"/>
  <cols>
    <col width="2.58203125" customWidth="1" style="118" min="1" max="1"/>
    <col width="15.33203125" customWidth="1" style="118" min="2" max="2"/>
    <col width="23.58203125" customWidth="1" style="254" min="3" max="3"/>
    <col width="18.25" customWidth="1" style="118" min="4" max="4"/>
    <col width="29.58203125" customWidth="1" style="118" min="5" max="5"/>
    <col width="26.08203125" customWidth="1" style="118" min="6" max="6"/>
    <col width="14.58203125" customWidth="1" style="118" min="7" max="7"/>
    <col width="16.83203125" bestFit="1" customWidth="1" style="118" min="8" max="8"/>
    <col width="8.75" customWidth="1" style="118" min="9" max="16384"/>
  </cols>
  <sheetData>
    <row r="1" ht="20" customHeight="1" s="588">
      <c r="A1" s="462" t="inlineStr">
        <is>
          <t>V6 SWP</t>
        </is>
      </c>
      <c r="B1" s="117" t="n"/>
      <c r="C1" s="119" t="n"/>
      <c r="D1" s="117" t="n"/>
      <c r="E1" s="117" t="n"/>
      <c r="F1" s="117" t="n"/>
    </row>
    <row r="2" ht="18" customHeight="1" s="588">
      <c r="B2" s="368" t="inlineStr">
        <is>
          <t>该科目涉及OSP底稿可参考此链接</t>
        </is>
      </c>
      <c r="C2" s="119" t="n"/>
      <c r="D2" s="369" t="inlineStr">
        <is>
          <t>OSP K1 SWP 固定资产及在建工程盘点 202YMMDD XYZ公司.xlsx</t>
        </is>
      </c>
      <c r="E2" s="117" t="n"/>
      <c r="F2" s="117" t="n"/>
    </row>
    <row r="3" ht="10" customHeight="1" s="588">
      <c r="B3" s="117" t="n"/>
      <c r="C3" s="119" t="n"/>
      <c r="D3" s="117" t="n"/>
      <c r="E3" s="117" t="n"/>
      <c r="F3" s="117" t="n"/>
    </row>
    <row r="4" ht="15" customFormat="1" customHeight="1" s="359">
      <c r="B4" s="289" t="inlineStr">
        <is>
          <t>J.00</t>
        </is>
      </c>
      <c r="C4" s="589" t="inlineStr">
        <is>
          <t>J.00  Lead Sheet（认定：E, C）</t>
        </is>
      </c>
      <c r="D4" s="590" t="n"/>
      <c r="E4" s="591" t="n"/>
      <c r="F4" s="290" t="inlineStr">
        <is>
          <t>程序页</t>
        </is>
      </c>
      <c r="G4" s="290" t="inlineStr">
        <is>
          <t>执行</t>
        </is>
      </c>
      <c r="H4" s="270" t="inlineStr">
        <is>
          <t>不执行的原因</t>
        </is>
      </c>
    </row>
    <row r="5" ht="39" customHeight="1" s="588">
      <c r="B5" s="291" t="n">
        <v>1</v>
      </c>
      <c r="C5" s="472" t="inlineStr">
        <is>
          <t>获取和编制在建工程两期变动的引导表，并与试算平衡表和上年底稿核对一致。对在建工程变动建立预期并说明理由，对不符合预期的变动以及异常变动进行调查和分析。</t>
        </is>
      </c>
      <c r="D5" s="592" t="n"/>
      <c r="E5" s="593" t="n"/>
      <c r="F5" s="469" t="inlineStr">
        <is>
          <t>J.00 Lead sheet</t>
        </is>
      </c>
      <c r="G5" s="390" t="n"/>
      <c r="H5" s="361" t="n"/>
      <c r="I5" s="119" t="n"/>
      <c r="J5" s="119" t="n"/>
      <c r="K5" s="119" t="n"/>
      <c r="L5" s="119" t="n"/>
      <c r="M5" s="119" t="n"/>
      <c r="N5" s="119" t="n"/>
    </row>
    <row r="6" ht="15" customFormat="1" customHeight="1" s="359">
      <c r="B6" s="289" t="inlineStr">
        <is>
          <t>J.01</t>
        </is>
      </c>
      <c r="C6" s="480" t="inlineStr">
        <is>
          <t>J.01 Agree SL to GL（认定：BS：E、V、C  IS：M、C）</t>
        </is>
      </c>
      <c r="D6" s="592" t="n"/>
      <c r="E6" s="593" t="n"/>
      <c r="F6" s="290" t="inlineStr">
        <is>
          <t>程序页</t>
        </is>
      </c>
      <c r="G6" s="290" t="inlineStr">
        <is>
          <t>执行</t>
        </is>
      </c>
      <c r="H6" s="290" t="inlineStr">
        <is>
          <t>不执行的原因</t>
        </is>
      </c>
    </row>
    <row r="7" ht="28.5" customHeight="1" s="588">
      <c r="B7" s="291" t="n">
        <v>1</v>
      </c>
      <c r="C7" s="476" t="inlineStr">
        <is>
          <t>我们获取了本年在建工程明细清单，该清单包含在建工程的变动，并将金额与试算表进行核对。</t>
        </is>
      </c>
      <c r="D7" s="592" t="n"/>
      <c r="E7" s="593" t="n"/>
      <c r="F7" s="469" t="inlineStr">
        <is>
          <t>J.01 Agree SL to GL</t>
        </is>
      </c>
      <c r="G7" s="390" t="n"/>
      <c r="H7" s="362" t="n"/>
    </row>
    <row r="8" ht="15" customFormat="1" customHeight="1" s="359">
      <c r="B8" s="292" t="inlineStr">
        <is>
          <t>J.02.1</t>
        </is>
      </c>
      <c r="C8" s="481" t="inlineStr">
        <is>
          <t>J.02.1 CIP additions(TOD)（认定：BS：E、V、C、R&amp;O、P&amp;D  IS：M、P&amp;D）</t>
        </is>
      </c>
      <c r="D8" s="592" t="n"/>
      <c r="E8" s="593" t="n"/>
      <c r="F8" s="293" t="inlineStr">
        <is>
          <t>程序页</t>
        </is>
      </c>
      <c r="G8" s="290" t="inlineStr">
        <is>
          <t>执行</t>
        </is>
      </c>
      <c r="H8" s="290" t="inlineStr">
        <is>
          <t>不执行的原因</t>
        </is>
      </c>
    </row>
    <row r="9" ht="24" customHeight="1" s="588">
      <c r="B9" s="291" t="n">
        <v>1</v>
      </c>
      <c r="C9" s="472" t="inlineStr">
        <is>
          <t>获取在建工程新增清单，并将列表与在建工程后推核对一致。调差超过SAD名义金额的差异。</t>
        </is>
      </c>
      <c r="D9" s="592" t="n"/>
      <c r="E9" s="593" t="n"/>
      <c r="F9" s="464" t="inlineStr">
        <is>
          <t>J.02.1 CIP additions(TOD)</t>
        </is>
      </c>
      <c r="G9" s="390" t="n"/>
      <c r="H9" s="363" t="n"/>
    </row>
    <row r="10" ht="36" customHeight="1" s="588">
      <c r="B10" s="291" t="n">
        <v>2</v>
      </c>
      <c r="C10" s="471" t="inlineStr">
        <is>
          <t>对于本期新增的建工程项目，将大于测试阈值或存在重大错报风险的项目作为关键项（key item）,我们使用安永抽样工具选择代表性样本，将抽取的样本查看相关支持文件。</t>
        </is>
      </c>
      <c r="D10" s="592" t="n"/>
      <c r="E10" s="593" t="n"/>
      <c r="F10" s="594" t="n"/>
      <c r="G10" s="390" t="n"/>
      <c r="H10" s="362" t="n"/>
    </row>
    <row r="11" ht="15" customFormat="1" customHeight="1" s="359">
      <c r="B11" s="292" t="inlineStr">
        <is>
          <t>J.02.2</t>
        </is>
      </c>
      <c r="C11" s="468" t="inlineStr">
        <is>
          <t>J.02.2 CIP transfer (TOD)（认定：BS：E、V、C、R&amp;O、P&amp;D  IS：M、P&amp;D）</t>
        </is>
      </c>
      <c r="D11" s="592" t="n"/>
      <c r="E11" s="593" t="n"/>
      <c r="F11" s="293" t="inlineStr">
        <is>
          <t>程序页</t>
        </is>
      </c>
      <c r="G11" s="290" t="inlineStr">
        <is>
          <t>执行</t>
        </is>
      </c>
      <c r="H11" s="290" t="inlineStr">
        <is>
          <t>不执行的原因</t>
        </is>
      </c>
    </row>
    <row r="12" ht="24.75" customHeight="1" s="588">
      <c r="B12" s="295" t="n">
        <v>1</v>
      </c>
      <c r="C12" s="472" t="inlineStr">
        <is>
          <t>获取在建工程转出清单，并将列表与固定资产后推核对一致。调差超过SAD名义金额的差异。</t>
        </is>
      </c>
      <c r="D12" s="592" t="n"/>
      <c r="E12" s="593" t="n"/>
      <c r="F12" s="595" t="inlineStr">
        <is>
          <t>J.02.2 CIP transfer (TOD)</t>
        </is>
      </c>
      <c r="G12" s="390" t="n"/>
      <c r="H12" s="363" t="n"/>
    </row>
    <row r="13" ht="41.25" customHeight="1" s="588">
      <c r="B13" s="295" t="n">
        <v>2</v>
      </c>
      <c r="C13" s="471" t="inlineStr">
        <is>
          <t>对于本期转出的建工程项目，将大于测试阈值或存在重大错报风险的项目作为关键项（key item）,我们使用安永抽样工具选择代表性样本，将抽取的样本查看相关支持文件。</t>
        </is>
      </c>
      <c r="D13" s="592" t="n"/>
      <c r="E13" s="593" t="n"/>
      <c r="F13" s="596" t="n"/>
      <c r="G13" s="390" t="n"/>
      <c r="H13" s="363" t="n"/>
    </row>
    <row r="14" ht="26.25" customHeight="1" s="588">
      <c r="B14" s="295" t="n">
        <v>3</v>
      </c>
      <c r="C14" s="472" t="inlineStr">
        <is>
          <t>本年转出的在建工程金额与其他科目转入的在建工程金额进行核对，并对差异进行检查。</t>
        </is>
      </c>
      <c r="D14" s="592" t="n"/>
      <c r="E14" s="593" t="n"/>
      <c r="F14" s="597" t="n"/>
      <c r="G14" s="390" t="n"/>
      <c r="H14" s="363" t="n"/>
    </row>
    <row r="15" ht="15" customFormat="1" customHeight="1" s="359">
      <c r="B15" s="292" t="inlineStr">
        <is>
          <t>J.03</t>
        </is>
      </c>
      <c r="C15" s="468" t="inlineStr">
        <is>
          <t>J.03 CIP长期挂账（认定：BS：E、V、C、R&amp;O、P&amp;D  IS：M、P&amp;D）</t>
        </is>
      </c>
      <c r="D15" s="592" t="n"/>
      <c r="E15" s="593" t="n"/>
      <c r="F15" s="293" t="inlineStr">
        <is>
          <t>程序页</t>
        </is>
      </c>
      <c r="G15" s="290" t="inlineStr">
        <is>
          <t>执行</t>
        </is>
      </c>
      <c r="H15" s="290" t="inlineStr">
        <is>
          <t>不执行的原因</t>
        </is>
      </c>
    </row>
    <row r="16" ht="21.75" customHeight="1" s="588">
      <c r="B16" s="295" t="n">
        <v>1</v>
      </c>
      <c r="C16" s="471" t="inlineStr">
        <is>
          <t>对于余额重大长期挂账的在建工程，我们考虑其合理性。</t>
        </is>
      </c>
      <c r="D16" s="592" t="n"/>
      <c r="E16" s="593" t="n"/>
      <c r="F16" s="469" t="inlineStr">
        <is>
          <t>J.03 CIP长期挂账</t>
        </is>
      </c>
      <c r="G16" s="390" t="n"/>
      <c r="H16" s="363" t="n"/>
    </row>
    <row r="17" ht="29.25" customHeight="1" s="588">
      <c r="B17" s="295" t="n">
        <v>2</v>
      </c>
      <c r="C17" s="471" t="inlineStr">
        <is>
          <t>我们将期末在建工程清单（如项目清单）作为总体，选取金额重大且长期挂账的在建工程作为样本。</t>
        </is>
      </c>
      <c r="D17" s="592" t="n"/>
      <c r="E17" s="593" t="n"/>
      <c r="F17" s="594" t="n"/>
      <c r="G17" s="390" t="n"/>
      <c r="H17" s="363" t="n"/>
    </row>
    <row r="18" ht="15" customHeight="1" s="588">
      <c r="B18" s="358" t="inlineStr">
        <is>
          <t>J.04</t>
        </is>
      </c>
      <c r="C18" s="598" t="inlineStr">
        <is>
          <t>J.04 资产的减值（认定：BS: V  IS: M）</t>
        </is>
      </c>
      <c r="D18" s="599" t="n"/>
      <c r="E18" s="600" t="n"/>
      <c r="F18" s="356" t="inlineStr">
        <is>
          <t>程序页</t>
        </is>
      </c>
      <c r="G18" s="356" t="inlineStr">
        <is>
          <t>执行</t>
        </is>
      </c>
      <c r="H18" s="356" t="inlineStr">
        <is>
          <t>不执行的原因</t>
        </is>
      </c>
    </row>
    <row r="19" ht="81.75" customHeight="1" s="588">
      <c r="B19" s="357" t="n">
        <v>1</v>
      </c>
      <c r="C19" s="471" t="inlineStr">
        <is>
          <t>1.使用在审计过程中所获得的信息来确定管理层是否已识别适当的减值迹象；可使用PSP Canvas form K.04: 识别减值迹象，也可使用 &lt;SWP减值迹象识别&gt; 对减值迹象进行评估，并根据指引要求获取相关支持性文件。
2.如有减值迹象的，评价管理层假设、未来现金流等减值评估的合理性，核实并测算减值金额。
3.检查是否存在转回在建工程减值准备的情况，确定减值准备在以后会计期间没有转回。</t>
        </is>
      </c>
      <c r="D19" s="592" t="n"/>
      <c r="E19" s="593" t="n"/>
      <c r="F19" s="469" t="inlineStr">
        <is>
          <t>项目组自行填写底稿索引</t>
        </is>
      </c>
      <c r="G19" s="360" t="n"/>
      <c r="H19" s="364" t="n"/>
    </row>
  </sheetData>
  <mergeCells count="19">
    <mergeCell ref="C16:E16"/>
    <mergeCell ref="C9:E9"/>
    <mergeCell ref="C12:E12"/>
    <mergeCell ref="C11:E11"/>
    <mergeCell ref="C8:E8"/>
    <mergeCell ref="C17:E17"/>
    <mergeCell ref="C7:E7"/>
    <mergeCell ref="C19:E19"/>
    <mergeCell ref="F9:F10"/>
    <mergeCell ref="C13:E13"/>
    <mergeCell ref="C18:E18"/>
    <mergeCell ref="C15:E15"/>
    <mergeCell ref="C6:E6"/>
    <mergeCell ref="F12:F14"/>
    <mergeCell ref="C14:E14"/>
    <mergeCell ref="C5:E5"/>
    <mergeCell ref="C4:E4"/>
    <mergeCell ref="F16:F17"/>
    <mergeCell ref="C10:E10"/>
  </mergeCells>
  <conditionalFormatting sqref="G5 G7 G9:G10 G12:G14 G16:G17">
    <cfRule type="containsBlanks" priority="18" dxfId="0">
      <formula>LEN(TRIM(G5))=0</formula>
    </cfRule>
  </conditionalFormatting>
  <conditionalFormatting sqref="H5 H7 H9:H10 H12:H14 H16:H17">
    <cfRule type="expression" priority="1" dxfId="40">
      <formula>SUMPRODUCT((G5="否")*(LEN(H5)=0))</formula>
    </cfRule>
  </conditionalFormatting>
  <conditionalFormatting sqref="I5:N5">
    <cfRule type="expression" priority="143" dxfId="48">
      <formula>SUMPRODUCT((#REF!="No")*(LEN(I5)=0))</formula>
    </cfRule>
  </conditionalFormatting>
  <dataValidations count="1">
    <dataValidation sqref="G5 G7 G9:G10 G12:G14 G16:G17" showDropDown="0" showInputMessage="1" showErrorMessage="0" allowBlank="1" type="list">
      <formula1>"是,否"</formula1>
    </dataValidation>
  </dataValidations>
  <hyperlinks>
    <hyperlink xmlns:r="http://schemas.openxmlformats.org/officeDocument/2006/relationships" ref="D2" display="https://eychinamanaged.sharepoint.cn/:x:/r/sites/GCknowledgecenter/Shared Documents/%E5%AE%A1%E8%AE%A1%E6%A0%87%E5%87%86%E5%BA%95%E7%A8%BF/%E6%A0%87%E5%87%86%E5%AE%A1%E8%AE%A1%E5%BA%95%E7%A8%BF%E6%A8%A1%E6%9D%BF%E7%AC%AC%E4%BA%94%E7%89%88-%E4%BD%BF%E7%94%A8%E7%89%88/OSP/OSP K1 SWP %E5%9B%BA%E5%AE%9A%E8%B5%84%E4%BA%A7%E5%8F%8A%E5%9C%A8%E5%BB%BA%E5%B7%A5%E7%A8%8B%E7%9B%98%E7%82%B9 202YMMDD XYZ%E5%85%AC%E5%8F%B8.xlsx?d=waeb81816f6c440799a00b2ddb91df7cf&amp;csf=1&amp;web=1&amp;e=hEzWQJ" r:id="rId1"/>
    <hyperlink ref="F5" location="'J.00  Lead Sheet'!A1" display="J.00 Lead sheet"/>
    <hyperlink ref="F7" location="'J.01 Agree SL to GL'!A1" display="J.01 Agree SL to GL"/>
    <hyperlink ref="F9" location="'J.02.1 CIP additions(TOD)'!A1" display="J.02.1 CIP additions(TOD)"/>
    <hyperlink ref="F12" location="'J.02.2 CIP transfer (TOD)'!A1" display="J.02.2 CIP transfer (TOD)"/>
    <hyperlink ref="F16" location="'J.03 CIP长期挂账'!A1" display="'J.03 CIP长期挂账"/>
    <hyperlink xmlns:r="http://schemas.openxmlformats.org/officeDocument/2006/relationships" ref="C19" display="https://eychinamanaged.sharepoint.cn/:x:/r/sites/GCknowledgecenter/Shared Documents/%E5%AE%A1%E8%AE%A1%E6%A0%87%E5%87%86%E5%BA%95%E7%A8%BF/%E6%A0%87%E5%87%86%E5%AE%A1%E8%AE%A1%E5%BA%95%E7%A8%BF%E6%A8%A1%E6%9D%BF%E7%AC%AC%E4%BA%94%E7%89%88-%E4%BD%BF%E7%94%A8%E7%89%88/SWP %E5%87%8F%E5%80%BC%E8%BF%B9%E8%B1%A1%E8%AF%86%E5%88%AB 202YMMDD XYZ%E5%85%AC%E5%8F%B8.xlsx?d=w9029592e751d48249204b3aebc2a57c9&amp;csf=1&amp;web=1&amp;e=tCZdCL" r:id="rId2"/>
  </hyperlinks>
  <pageMargins left="0.7" right="0.7" top="0.75" bottom="0.75" header="0.3" footer="0.3"/>
</worksheet>
</file>

<file path=xl/worksheets/sheet2.xml><?xml version="1.0" encoding="utf-8"?>
<worksheet xmlns="http://schemas.openxmlformats.org/spreadsheetml/2006/main">
  <sheetPr codeName="Sheet2">
    <outlinePr summaryBelow="1" summaryRight="1"/>
    <pageSetUpPr/>
  </sheetPr>
  <dimension ref="A1:BI71"/>
  <sheetViews>
    <sheetView workbookViewId="0">
      <selection activeCell="A1" sqref="A1"/>
    </sheetView>
  </sheetViews>
  <sheetFormatPr baseColWidth="8" defaultColWidth="9" defaultRowHeight="14"/>
  <cols>
    <col width="0.08203125" customWidth="1" style="588" min="1" max="1"/>
  </cols>
  <sheetData>
    <row r="1">
      <c r="A1" s="527" t="inlineStr">
        <is>
          <t>4e8a7199-876e-4a55-b346-7babaa25151c</t>
        </is>
      </c>
    </row>
    <row r="6">
      <c r="E6" s="527" t="inlineStr">
        <is>
          <t>ABC7ZfPaxNBFMfvhf4PQ/CgkA37O1lvNU01EtuQDYiUHmbdl7hksxNmZw2hCEWQUtCT1JOoePDkQUFQLNq/Jkt68l9wd03SUqdgYZdFupeFfW/ezHt85s1859fR8fbqCkK78Qeh0jU2GUHpJio1HlTMwWTseHblPqGDNh4BraxDDwcuMx8BsDLiDSmV5xM17XgWFWq4KhmGUKvqIKhY0wRLUXWhamELY1mTNOnhMsQMrC5h2G142HIhju9h14fz7g0H3GTyZWD3TvTrBa67MGziYVLEPD0TGHO8fpL2aYJ+C/BfizT9WxTwwCZj77yrQ8Z1EngsslelhbFO3IVRXxobHnOYA35k3N5ZhsOQPAab6zOD4RDTSTeu+8LqT4eYbOLCvMazZa912puEAXeJNiV9iocbjuvWKfH9DvTuERsWy8SjnpQz3AmyCGqyE3BNVwVVEXWhZltYsFTNtnVdARBxhjuh3myjluOng1/j0Jck5Qrhb3qj4N/hn00yfbTh5/1w7ygVsJLBI6teIbCX7ets0d6tiCJCMU90weHNaHDZs1vmMa4VjPNjLKG1PgVAZgsxgm63UullVedwNrSCc36c5YqEUfjq0/T9m5O9g/Dd19nPl9P975ndyXKhyPKijRLcMkazHx8jxKnj5l3UBe78NFjS1OG3Z9MXh9lJ7OLwzovvny7Omm8htHO8nBUUvZFPDo/D12/D509nXz6kwlkRuW/lAnSuKixGjbBtR8UTz7/e3Vq/kY7m5ra1KBa488QtJ7gZxZ7fA4rSw13lqTDD+N9pr67s/AY=</t>
        </is>
      </c>
      <c r="Y6" s="527" t="inlineStr">
        <is>
          <t>ABC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cKlhuPwUF54PvycL3+9Px+fvw4/95fx13p/fvj/3b+8fL/vjy9fL19f54/vt+eVXsHApVDge8z8f/4oKb79YhX/5+xvDv/7x5d7929fux79/7v75f8h//E9/qsSf/xQ1qEGNHTWoQY3bd5ca9z9KDWpQgxrU2D5BDWpQgxrUoMb2y6lBDWpcP00Najz8galBDWpQgxrUoAY1qLGjBjWocfvuUuP+R6lBDWpQgxrbJ6hBDWpQgxrU2H45NahBjeunqUGNhz8wNahBDWpQgxrUoAY1dtSgBjVu311q3P8oNahBDWpQY/sENahBDWpQgxrbL6cGNahx/TQ1qPHwB6YGNahBDWpQgxrUoMaOGtSgxu27S437H6UGNahBDWpsn6AGNahBDWpQY/vl1KAGNa6fpgY1Hv7A1KAGNahBDWpQgxrU2FGDGtS4fXepcf+j1KAGNahBje0T1KAGNahBDWpsv5wa1KDG9dPUoMbDH5ga1KAGNahBDWpQgxo7alCDGrfvLjXuf5Qa1KAGNaixfYIa1KAGNahBje2XU4Ma1Lh+mhrUePgDU4Ma1KAGNahBDWpQY0cNalDj9t2lxv2PUoMa1KAGNbZPUIMa1KAGNaix/XJqUIMa109TgxoPf2BqUIMa1KAGNahBDWrsqEENaty+u9S4/1FqUIMa1KDG9glqUIMa1KAGNbZfTg1qUOP6aWpQ4+EPTA1qUIMa1KAGNahBjR01qEGN23eXGvc/Sg1qUIMa1Ng+QQ1qUIMa1KDG9supQQ1qXD9NDWo8/IGpQQ1qUIMa1KAGNaixowY1qHH77lLj/kepQQ1qUIMa2yeoQQ1qUIMa1Nh+OTWoQY3rp6lBjYc/MDWoQQ1qUIMa1KAGNXbUoAY1bt9datz/KDWoQQ1qUGP7BDWoQQ1qUIMa2y+nBjWocf00Najx8AemBjWoQQ1qUIMa1KDGjhrUoMbtu0uN+x+lBjWoQQ1qbJ+gBjWoQQ1qUGP75dSgBjWun6YGNR7+wNSgBjWoQQ1qUIMa1NhRgxrUuH13qXH/o9SgBjWoQY3tE9SgBjWoQQ1qbL+cGtSgxvXT1KDGwx+YGtSgBjWoQQ1qUIMaO2pQgxq37y417n+UGtSgBjWosX2CGtSgBjWoQY3tl1ODGtS4fpoa1Hj4A1ODGtSgBjWoQQ1qUGNHDWpQ4/bdpcb9j1KDGtSgBjW2T1CDGtSgBjWosf1yalCDGtdPU4MaD39galCDGtSgBjWoQQ1q7KhBDWrcvrvUuP9RalCDGtSgxvYJalCDGtSgBjW2X04NalDj+mlqUOPhD0wNalCDGtSgBjWoQY0dNahBjdt3lxr3P0oNalCDGtTYPkENalCDGtSgxvbLqUENalw/TQ1qPPyBqUENalCDGtSgBjWosaMGNahx++5S4/5HqUENalCDGtsnqEENalCDGtTYfjk1qEGN66epQY2HPzA1qEENalCDGtSgBjV21PhN1Tgenko2jofzz3DjeLj8nnAcDy8f3+eP9/3X6fWyP79/v+5/nE6X/fPb89fb+4/L+fKcvlr/H3AcD6dCjvhf6y/L8fSL5fjH35fjH//xX1//+adS5E+RgQz/yyfFy/nt5XK47C8/jqc/ZHg97398fB33Py7Ht5fnz7ePz/MTGX62DCcykKG5DM+vb+9/ePC5f7p8H/fny/lp//76/b5/Oj+fvr+e3s/nH99k8GZoKMPrqZbh9emnyPB6/j1leP04H8/Hj/P+8/Pra38+fV72P17O7/vDy/vrx9vTy9fl8vlLZHg9FjK85v93QIbfTYa3t1KG0yGPVf8HGU6H4+8pw/vLj8vz5e1j/3n6ftufv54O+7eX43H//H08PJ/eXy6fr7/mzfD2+j/L8PBfa54M/jXx92U4Het/TZyOP+VfE6fjb/qvibfT5/fh6XDef32/HPbnl4/D/v3583n/8Xn548nw+XL4OD7/ChlOx+JfEw//tebJ8ESGvy/DqU6ap9NPaZqn0+vvKcPx/eXp+XB83z+dzt/78+f3cf/68X7Zvzy/fX59Hr5enw6/5M1wOhVV8+G/1jwZzmSwQHaXQbW0M5Dh7j87GVTLf/5v7QxkIEOW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cahguP8WF58PvycL3+9Px+fvwY385f53357fvz/3b+8fL/vjy9fL1df74fnt++RUsXAoVjsf8z8e/osLbL1bhX/7+xvCvf3y5d//2tfvx75+7f/4f8h//058q8ec/RQ1qUGNHDWpQ4/bdpcb9j1KDGtSgBjW2T1CDGtSgBjWosf1yalCDGtdPU4MaD39galCDGtSgBjWoQQ1q7KhBDWrcvrvUuP9RalCDGtSgxvYJalCDGtSgBjW2X04NalDj+mlqUOPhD0wNalCDGtSgBjWoQY0dNahBjdt3lxr3P0oNalCDGtTYPkENalCDGtSgxvbLqUENalw/TQ1qPPyBqUENalCDGtSgBjWosaMGNahx++5S4/5HqUENalCDGtsnqEENalCDGtTYfjk1qEGN66epQY2HPzA1qEENalCDGtSgBjV21KAGNW7fXWrc/yg1qEENalBj+wQ1qEENalCDGtsvpwY1qHH9NDWo8fAHpgY1qEENalCDGtSgxo4a1KDG7btLjfsfpQY1qEENamyfoAY1qEENalBj++XUoAY1rp+mBjUe/sDUoAY1qEENalCDGtTYUYMa1Lh9d6lx/6PUoAY1qEGN7RPUoAY1qEENamy/nBrUoMb109SgxsMfmBrUoAY1qEENalCDGjtqUIMat+8uNe5/lBrUoAY1qLF9ghrUoAY1qEGN7ZdTgxrUuH6aGtR4+ANTgxrUoAY1qEENalBjRw1qUOP23aXG/Y9SgxrUoAY1tk9QgxrUoAY1qLH9cmpQgxrXT1ODGg9/YGpQgxrUoAY1qEENauyoQQ1q3L671Lj/UWpQgxrUoMb2CWpQgxrUoAY1tl9ODWpQ4/ppalDj4Q9MDWpQgxrUoAY1qEGNHTWoQY3bd5ca9z9KDWpQgxrU2D5BDWpQgxrUoMb2y6lBDWpcP00Najz8galBDWpQgxrUoAY1qLGjBjWocfvuUuP+R6lBDWpQgxrbJ6hBDWpQgxrU2H45NahBjeunqUGNhz8wNahBDWpQgxrUoAY1dtSgBjVu311q3P8oNahBDWpQY/sENahBDWpQgxrbL6cGNahx/TQ1qPHwB6YGNahBDWpQgxrUoMaOGtSgxu27S437H6UGNahBDWpsn6AGNahBDWpQY/vl1KAGNa6fpgY1Hv7A1KAGNahBDWpQgxrU2FGDGtS4fXepcf+j1KAGNahBje0T1KAGNahBDWpsv5wa1KDG9dPUoMbDH5ga1KAGNahBDWpQgxo7alCDGrfvLjXuf5Qa1KAGNaixfYIa1KAGNahBje2XU4Ma1Lh+mhrUePgDU4Ma1KAGNahBDWpQY0cNalDj9t2lxv2PUoMa1KAGNbZPUIMa1KAGNaix/XJqUIMa109TgxoPf2BqUIMa1KAGNahBDWrsqEENaty+u9S4/1FqUIMa1KDG9glqUIMa1KAGNbZfTg1qUOP6aWpQ4+EPTA1qUIMa1KAGNahBjR01qEGN23eXGvc/Sg1qUIMa1Ng+QQ1qUIMa1KDG9supQQ1qXD9NDWo8/IGpQQ1qUIMa1KAGNaixowY1qHH77lLj/kepQQ1qUIMa2yeoQQ1qUIMa1Nh+OTWoQY3rp6lBjYc/MDWoQQ1qUIMa1KAGNXbUoAY1bt9datz/KDWoQQ1qUGP7BDWoQQ1qUIMa2y+nBjWocf00Najx8AemBjWoQQ1qUIMa1KDGjhrUoMbtu0uN+x+lBjWoQQ1qbJ+gBjWoQQ1qUGP75dSgBjWun6YGNR7+wNSgBjWoQQ1qUIMa1NhRgxrUuH13qXH/o9SgBjWoQY3tE9SgBjWoQQ1qbL+cGtSgxvXT1KDGwx+YGtSgBjWoQQ1qUIMaO2pQgxq37y417n+UGtSgBjWosX2CGtSgBjWoQY3tl1ODGtS4fpoa1Hj4A1ODGtSgBjWoQQ1qUGNHDWpQ4/bdpcb9j1KDGtSgBjW2T1CDGtSgBjWosf1yalCDGtdPU4MaD39galCDGtSgBjWoQQ1q7KhBDWrcvrvUuP9RalCDGtSgxvYJalCDGtSgBjW2X04NalDj+mlqUOPhD0wNalCDGtSgBjWoQY0dNahBjdt3lxr3P0oNalCDGtTYPkENalCDGtSgxvbLqUENalw/TQ1qPPyBqUENalCDGtSgBjWosaMGNahx++5S4/5HqUENalCDGtsnqEENalCDGtTYfjk1qEGN66epQY2HPzA1qEENalCDGtSgBjV21KAGNW7fXWrc/yg1qEENalBj+wQ1qEENalCDGtsvpwY1qHH9NDWo8fAHpgY1qEENalCDGtSgxo4a1KDG7btLjfsfpQY1qEENamyfoAY1qEENalBj++XUoAY1rp+mBjUe/sDUoAY1qEENalCDGtTYUYMa1Lh9d6lx/6PUoAY1qEGN7RPUoAY1qEENamy/nBrUoMb109SgxsMfmBrUoAY1qEENalCDGjtqUIMat+8uNe5/lBrUoAY1qLF9ghrUoAY1qEGN7ZdTgxrUuH6aGtR4+ANTgxrUoAY1qEENalBjRw1qUOP23aXG/Y9SgxrUoAY1tk9QgxrUoAY1qLH9cmpQgxrXT1ODGg9/YGpQgxrUoAY1qEENauyoQQ1q3L671Lj/UWpQgxrUoMb2CWpQgxrUoAY1tl9ODWpQ4/ppalDj4Q9MDWpQgxrUoAY1qEGNHTWoQY3bd5ca9z9KDWpQgxrU2D5BDWpQgxrUoMb2y6lBDWpcP00Najz8galBDWpQgxrUoAY1qLGjBjWocfvuUuP+R6lBDWpQgxrbJ6hBDWpQgxrU2H45NahBjeunqUGNhz8wNahBDWpQgxrUoAY1dtSgBjVu311q3P8oNahBDWpQY/sENf66GsfDU8nG8XD+GW4cD5ffE47j4eXj+/zxvv86vV725/fv1/2P0+myf357/np7/3E5X57TV+v/A47j4VTIEf9r/WU5nn6xHP/4+3L84z/+6+s//1SK/CkykOF/+aR4Ob+9XA6X/eXH8fSHDK/n/Y+Pr+P+x+X49vL8+fbxeX4iw8+W4UQGMjSX4fn17f0PDz73T5fv4/58OT/t31+/3/dP5+fT99fT+/n845sM3gwNZXg91TK8Pv0UGV7Pv6cMrx/n4/n4cd5/fn597c+nz8v+x8v5fX94eX/9eHt6+bpcPn+JDK/HQobX/P8OyPC7yfD2VspwOuSx6v8gw+lw/D1leH/5cXm+vH3sP0/fb/vz19Nh//ZyPO6fv4+H59P7y+Xz9de8Gd5e/2cZHv5rzZPBvyb+vgynY/2vidPxp/xr4nT8Tf818Xb6/D48Hc77r++Xw/788nHYvz9/Pu8/Pi9/PBk+Xw4fx+dfIcPpWPxr4uG/1jwZnsjw92U41UnzdPopTfN0ev09ZTi+vzw9H47v+6fT+Xt//vw+7l8/3i/7l+e3z6/Pw9fr0+GXvBlOp6JqPvzXmifDmQwWyO4yqJZ2BjLc/Wcng2r5z/+tnYEMZMg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t>
        </is>
      </c>
      <c r="Z6" s="527" t="inlineStr">
        <is>
          <t>AB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Xyv9mzYxMAYBgGgvtvnVoIXNvhFgipHqOj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t>
        </is>
      </c>
      <c r="AA6" s="527" t="inlineStr">
        <is>
          <t>ABC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TysWcvOZJmy3VGp+ITCCDfj77abGgGlZWZPUkNaf7QBQj/3c03ZBR1L1Rmp1aToMeJgyjn4sn9qZ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J97GD7/S1z48u7vycLvHx/ff/n97o+3z59+fXr79P33z7fvP/78+vb+66+vv359+vP39y9f/woWPjcqvH+f/3z8z6jw/S9W4b/88xvDf/3Hl/v2337d/vjvP2///n/I//if/kMl/uOfogY1qHGjBjWo8fjuUuP5R6lBDWpQgxrXJ6hBDWpQgxrUuH45NahBjfunqUGNlz8wNahBDWpQgxrUoAY1btSgBjUe311qPP8oNahBDWpQ4/oENahBDWpQgxrXL6cGNahx/zQ1qPHyB6YGNahBDWpQgxrUoMaNGtSgxuO7S43nH6UGNahBDWpcn6AGNahBDWpQ4/rl1KAGNe6fpgY1Xv7A1KAGNahBDWpQgxrUuFGDGtR4fHep8fyj1KAGNahBjesT1KAGNahBDWpcv5wa1KDG/dPUoMbLH5ga1KAGNahBDWpQgxo3alCDGo/vLjWef5Qa1KAGNahxfYIa1KAGNahBjeuXU4Ma1Lh/mhrUePkDU4Ma1KAGNahBDWpQ40YNalDj8d2lxvOPUoMa1KAGNa5PUIMa1KAGNahx/XJqUIMa909Tgxovf2BqUIMa1KAGNahBDWrcqEENajy+u9R4/lFqUIMa1KDG9QlqUIMa1KAGNa5fTg1qUOP+aWpQ4+UPTA1qUIMa1KAGNahBjRs1qEGNx3eXGs8/Sg1qUIMa1Lg+QQ1qUIMa1KDG9cupQQ1q3D9NDWq8/IGpQQ1qUIMa1KAGNahxowY1qPH47lLj+UepQQ1qUIMa1yeoQQ1qUIMa1Lh+OTWoQY37p6lBjZc/MDWoQQ1qUIMa1KAGNW7UoAY1Ht9dajz/KDWoQQ1qUOP6BDWoQQ1qUIMa1y+nBjWocf80Najx8gemBjWoQQ1qUIMa1KDGjRrUoMbju0uN5x+lBjWoQQ1qXJ+gBjWoQQ1qUOP65dSgBjXun6YGNV7+wNSgBjWoQQ1qUIMa1LhRgxrUeHx3qfH8o9SgBjWoQY3rE9SgBjWoQQ1qXL+cGtSgxv3T1KDGyx+YGtSgBjWoQQ1qUIMaN2pQgxqP7y41nn+UGtSgBjWocX2CGtSgBjWoQY3rl1ODGtS4f5oa1Hj5A1ODGtSgBjWoQQ1qUONGDWpQ4/Hdpcbzj1KDGtSgBjWuT1CDGtSgBjWocf1yalCDGvdPU4MaL39galCDGtSgBjWoQQ1q3KhBDWo8vrvUeP5RalCDGtSgxvUJalCDGtSgBjWuX04NalDj/mlqUOPlD0wNalCDGtSgBjWoQY0bNahBjcd3lxrPP0oNalCDGtS4PkENalCDGtSgxvXLqUENatw/TQ1qvPyBqUENalCDGtSgBjWocaMGNajx+O5S4/lHqUENalCDGtcnqEENalCDGtS4fjk1qEGN+6epQY2XPzA1qEENalCDGtSgBjVu1KAGNR7fXWo8/yg1qEENalDj+gQ1qEENalCDGtcvpwY1qHH/NDWo8fIHpgY1qEENalCDGtSgxo0a1KDG47tLjecfpQY1qEENalyfoAY1qEENalDj+uXUoAY17p+mBjVe/sDUoAY1qEENalCDGtS4UYMa1Hh8d6nx/KPUoAY1qEGN6xPUoAY1qEENaly/nBrUoMb909SgxssfmBrUoAY1qEENalCDGjdqUIMaj+8uNZ5/lBrUoAY1qHF9ghrUoAY1qEGN65dTgxrUuH+aGtR4+QNTgxrUoAY1qEENalDjRg1qUOPx3aXG849SgxrUoAY1rk9QgxrUoAY1qHH9cmpQgxr3T1ODGi9/YGpQgxrUoAY1qEENatyoQQ1qPL671Hj+UWpQgxrUoMb1CWpQgxrUoAY1rl9ODWpQ4/5palDj5Q9MDWpQgxrUoAY1qEGNGzWoQY3Hd5cazz9KDWpQgxrUuD5BDWpQgxrUoMb1y6lBDWrcP00Narz8galBDWpQgxrUoAY1qHGjBjWo8fjuUuP5R6lBDWpQgxrXJ6hBDWpQgxrUuH45NahBjfunqUGNlz8wNahBDWpQgxrUoAY1btSgBjUe311qPP8oNahBDWpQ4/oENahBDWpQgxrXL6cGNahx/zQ1qPHyB6YGNahBDWpQgxrUoMaNGtSgxuO7S43nH6UGNahBDWpcn6AGNahBDWpQ4/rl1KAGNe6fpgY1Xv7A1KAGNahBDWpQgxrUuFGDGtR4fHep8fyj1KAGNahBjesT1KAGNahBDWpcv5wa1KDG/dPUoMbLH5ga1KAGNahBDWpQgxo3alCDGo/vLjWef5Qa1KAGNahxfYIa1KAGNahBjeuXU4Ma1Lh/mhrUePkDU4Ma1KAGNahBDWpQ40YNalDj8d2lxvOPUoMa1KAGNa5PUIMa1KAGNahx/XJqUIMa909Tgxovf2BqUIMa1KAGNahBDWrcqEENajy+u9R4/lFqUIMa1KDG9QlqUIMa1KAGNa5fTg1qUOP+aWpQ4+UPTA1qUIMa1KAGNahBjRs1qEGNx3eXGs8/Sg1qUIMa1Lg+QQ1qUIMa1KDG9cupQQ1q3D9NDWq8/IGpQQ1qUIMa1KAGNahxowY1qPH47lLj+UepQQ1qUIMa1yeoQQ1qUIMa1Lh+OTWoQY37p6lBjZc/MDWoQQ1qUIMa1KAGNW7UoAY1Ht9dajz/KDWoQQ1qUOP6BDWoQQ1qUIMa1y+nBjWocf80Najx8gemBjWoQQ1qUIMa1KDGjRrUoMbju0uN5x+lBjWoQQ1qXJ+gBjWoQQ1qUOP65dSgBjXun6YGNV7+wNSgBjWoQQ1qUIMa1LhRgxrUeHx3qfH8o9SgBjWoQY3rE9SgBjWoQQ1qXL+cGtSgxv3T1KDGyx+YGtSgBjWoQQ1qUIMaN2pQgxqP7y41nn+UGtSgBjWocX2CGtSgBjWoQY3rl1ODGtS4f5oa1Hj5A1ODGtSgBjWoQQ1qUONGDWpQ4/Hdpcbzj1KDGtSgBjWuT1CDGtSgBjWocf1yalCDGvdPU4MaL39galCDGtSgBjWoQQ1q3KhBDWo8vrvUeP5RalCDGtSgxvUJalCDGtSgBjWuX04NalDj/mlqUOPlD0wNalCDGtSgBjWoQY0bNahBjcd3lxrPP0oNalCDGtS4PkENalCDGtSgxvXLqUENatw/TQ1qvPyBqUENalCDGtSgBjWocaMGNajx+O5S4/lHqUENalCDGtcnqEENalCDGtS4fjk1qEGN+6epQY2XPzA1qEENalCDGtSgBjVu1KAGNR7fXWo8/yg1qEENalDj+gQ1qEENalCDGtcvpwY1qHH/NDWo8fIHpgY1qEENalCDGtSgxo0a1KDG47tLjecfpQY1qEENalyfoAY1qEENalDj+uXUoAY17p+mBjVe/sDUoAY1qEENalCDGtS4UYMa1Hh8d6nx/KPUoAY1qEGN6xPUoAY1qEENaly/nBrUoMb909SgxssfmBrUoAY1qEENalCDGjdqUIMaj+8uNZ5/lBrUoAY1qHF9ghrUoAY1qEGN65dTgxrUuH+aGtR4+QNTgxrUoAY1qEENalDjRg1qUOPx3aXG849SgxrUoAY1rk9QgxrUoAY1qHH9cmpQgxr3T1ODGi9/YGpQgxrUoAY1qEENatyoQQ1qPL671Hj+UWpQgxrUoMb1CWpQgxrUoAY1rl9ODWpQ4/5palDj5Q9MDWpQgxrUoAY1qEGNGzWoQY3Hd5cazz9KDWpQgxrUuD5BDWpQgxrUoMb1y6lBDWrcP00Narz8galBDWpQgxrUoAY1qHGjBjWo8fjuUuP5R6lBDWpQgxrXJ6hBDWpQgxrUuH45NahBjfunqUGNlz8wNahBDWpQgxrUoAY1btSgBjUe311qPP8oNahBDWpQ4/oENahBDWpQgxrXL6cGNahx/zQ1qPHyB6YGNahBDWpQgxrUoMaNGtSgxuO7S43nH6UGNahBDWpcn6AGNahBDWpQ4/rl1KAGNe6fpgY1Xv7A1KAGNahBDWpQgxrUuFGDGtR4fHep8fyj1KAGNahBjesT1KAGNahBDWpcv5wa1KDG/dPUoMbLH5ga1KAGNahBDWpQgxo3alCDGo/vLjWef5Qa1KAGNahxfYIa1KAGNahBjeuXU4Ma1Lh/mhrUePkDU4Ma1KAGNahBDWpQ40YNalDj8d2lxvOPUoMa1KAGNa5PUIMa1KAGNahx/XJqUIMa909Tgxovf2BqUIMa1KAGNahBDWrcqEENajy+u9R4/lFqUIMa1KDG9QlqUIMa1KAGNa5fTg1qUOP+aWpQ4+UPTA1qUIMa1KAGNahBjRs1qEGNx3eXGs8/Sg1qUIMa1Lg+QQ1qUIMa1KDG9cupQQ1q3D9NDWq8/IGpQQ1qUIMa1KAGNahxowY1qPH47lLj+UepQQ1qUIMa1yeoQQ1qUIMa1Lh+OTWoQY37p6lBjZc/MDWoQQ1qUIMa1KAGNW7UoAY1Ht9dajz/KDWoQQ1qUOP6BDWoQQ1qUIMa1y+nBjWocf80Najx8gemBjWoQQ1qUIMa1KDGjRrUoMbju0uN5x+lBjWoQQ1qXJ+gBjWoQQ1qUOP65dSgBjXun6YGNV7+wNSgBjWoQQ1qUIMa1LhRgxrUeHx3qfH8o9SgBjWoQY3rE9SgBjWoQQ1qXL+cGtSgxv3T1KDGyx+YGtSgBjWoQQ1qUIMaN2pQgxqP7y41nn+UGtSgBjWocX2CGtSgBjWoQY3rl1ODGtS4f5oa1Hj5A1ODGtSgBjWoQQ1qUONGDWpQ4/Hdpcbzj1KDGtSgBjWuT1CDGtSgBjWocf1yalCDGvdPU4MaL39galCDGtSgBjWoQQ1q3KhBDWo8vrvUeP5RalCDGtSgxvUJalCDGtSgBjWuX04NalDj/mlqUOPlD0wNalCDGtSgBjWoQY0bNahBjcd3lxrPP0oNalCDGtS4PkENalCDGtSgxvXLqUENatw/TQ1qvPyBqUENalCDGtSgBjWocaMGNajx+O5S4/lHqUENalCDGtcnqEENalCDGtS4fjk1qEGN+6epQY2XPzA1qEENalCDGtSgBjVu1KAGNR7fXWo8/yg1qEENalDj+gQ1qEENalCDGtcvpwY1qHH/NDWo8fIHpgY1qEENalCDGtSgxo0a1KDG47tLjecfpQY1qEENalyfoAY1qEENalDj+uXUoAY17p+mBjVe/sDUoAY1qEENalCDGtS4UYMa1Hh8d6nx/KPUoAY1qEGN6xPUoAY1qEENaly/nBrUoMb909SgxssfmBrUoAY1qEENalCDGjdqUIMaj+8uNZ5/lBrUoAY1qHF9ghrUoAY1qEGN65dTgxrUuH+aGtR4+QNTgxrUoAY1qEENalDjRg1qUOPx3aXG849SgxrUoAY1rk9QgxrUoAY1qHH9cmpQgxr3T1ODGi9/YGpQgxrUoAY1qEENatyoQQ1qPL671Hj+UWpQgxrUoMb1CWpQgxrUoAY1rl9ODWpQ4/5palDj5Q9MDWpQgxrUoAY1qEGNGzWoQY3Hd5cazz9KDWpQgxrUuD5BDWpQgxrUoMb1y6lBDWrcP00Narz8galBDWpQgxrUoAY1qHGjBjWo8fjuUuP5R6lBDWpQgxrXJ6hBDWpQgxrUuH45NahBjfunqUGNlz8wNahBDWpQgxrnqPH+3ceWjffvPv0r3Hj/7vPfE473777++fvTnz/efn349vnt04/f397++PDh89uX719+ff/xx+dPn7/EV+v/Bxzv331o5Kj/tf7Tcnz8i+X4t39ejn/7H//r1//8D6XIT5GBDP+XT4qvn75//fzu89vnP95/+IcM3z69/fHnr/dvf3x+//3rl5/f//z56SMZ/tUyfCADGYbL8OXb9x//8ODn28fPv9+/ffr86ePbj2+/f7x9/PTlw+9fH398+vTHbzJ4MwyU4duHXoZvH/8lMnz79PeU4dufn95/ev/np7efP3/9evv04efntz++fvrx9u7rj29/fv/49dfnzz//Ehm+vW9k+Jb/74AMfzcZvn9vZfjwLseq/wcZPrx7//eU4cfXPz5/+fz9z7efH35/f/v06+O7t+9f379/+/L7/bsvH358/fzz21/zZvj+7f8sw8t/rX0y+NfEPy/Dh/f9vyY+vP+X/Gviw/u/6b8mvn/4+fvdx3ef3n79/vru7dPXP9+9/fjy88vbnz8//+PJ8PPruz/ff/krZPjwvvnXxMt/rX0yfCTDPy/Dhz5pfvjwL2maHz58+3vK8P7H149f3r3/8fbxw6ffb59+/n7/9u3PH5/fvn75/vPXz3e/vn1895e8GT58aKrmy3+tfTJ8IoMFcroMqqWdgQxP/9nJoFr++//WzkAGMqQ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t>
        </is>
      </c>
      <c r="AB6" s="527" t="inlineStr">
        <is>
          <t>ABC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Mv/zZ4dmwAAwzAQ3H/r1EKQ2ja3QEj1GB217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t>
        </is>
      </c>
      <c r="AC6" s="527" t="inlineStr">
        <is>
          <t>ABC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MvHnt3kWJJs1xmdik8ggIzIyL++2mxoBpV/PUkNaf7QAwg39+MbOk/kK7DMrFaToF8Lx63LRcv9qZ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t>
        </is>
      </c>
      <c r="AD6" s="527" t="inlineStr">
        <is>
          <t>ABC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fCph+HTn+LC5w9/TxZ+f//4+vn3hz9ePr3/en95//b758u37z++vLx++fXl16/3H7+/ff7yV7DwqVHh9TX/+fgfUeHbX6zCf/vXN4b//o8f9/E/fh1//M+fx7//H/I//qd/qsQ//xQ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jxN1Xj9cPHlo3XD+9/hhuvHz79PeF4/fDlx+/3H99ffr19/fTy/v3315c/3t4+vXz+9vnXt+9/fHr/9Dl+Wv8VcLx+eGvkqP+1/sNyfPyL5fi3f12Of/tf/+fX//6nUuRTZCDD/+eV4sv7ty+fPnx6+fTH69s/ZPj6/vLHj1+vL398ev325fPPbz9+vn8kw58twxsZyDC5DJ+/fvv+Dw9+vnz89Pv15f3T+8eX719/f3/5+P757fevj9/f3//4TQZ3hgll+PrWy/D1458iw9f3v6cMX3+8v76//nh/+fnz16+X97efn17++PL+/eXDl+9ff3z7+OXXp08//xIZvr42MnzN/3dAhr+bDN++tTK8fcix6j8hw9uH17+nDN+//PHp86dvP15+vv3+9vL+6+OHl29fXl9fPv9+/fD57fuXTz+//jV3hm9f/98yPP5rrSeDf0386zK8vfb/mnh7/VP+NfH2+jf918S3t5+/P3z88P7y6/eXDy/vX358ePn++efnlx8/P/3jyvDzy4cfr5//ChneXpt/TTz+a60nw0cy/OsyvPVJ8+3tT2mab29f/54yvH7/8vHzh9fvLx/f3n+/vP/8/fry9cf3Ty9fPn/7+evnh19fP374S+4Mb29N1Xz811pPhncyWCBnl0G1tDOQ4fafnQyq5b//b+0MZCBDyq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t>
        </is>
      </c>
      <c r="AE6" s="527" t="inlineStr">
        <is>
          <t>ABC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5c9OzYBAIZhILj/1qmFwLUdboGQ6jG67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t>
        </is>
      </c>
      <c r="AF6" s="527" t="inlineStr">
        <is>
          <t>ABC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rw2LNjEwBgGAaC+2+dWghc2+EWCKkeo1M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t>
        </is>
      </c>
      <c r="AG6" s="527" t="inlineStr">
        <is>
          <t>ABC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I89OzYBAIZhILj/1qmFwLUdboGQ6jE6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t>
        </is>
      </c>
      <c r="AH6" s="527" t="inlineStr">
        <is>
          <t>ABC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eOzZS2o1WpSl166oAwEZOB5E3S1wD/IRUbP7X3SC0ZGmJqwksSHXXh7FC0dbG3H+j33n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t>
        </is>
      </c>
      <c r="AI6" s="527" t="inlineStr">
        <is>
          <t>ABC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t>
        </is>
      </c>
      <c r="AJ6" s="527" t="inlineStr">
        <is>
          <t>ABC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hn+cw/PP/J134l//0/88s/Md/+d/+8V/+4z/953/453/693/6h3/6t//4b//wb//lv/7rP/zjv/77v/77v//Tf/2Pf/uXf/1fkYV/Hqrwj//Y//v4P1OFf/tfXIX//f/9xvB//Pcv99f/+e9f//n/+m9f/88/5P/+X//DSvyPf0o1VEM1vlRDNVTj57urGr9/VDVUQzVUQzU+n1AN1VAN1VAN1fj8ctVQDdX4/rRqqMafP7BqqIZqqIZqqIZqqIZqfKmGaqjGz3dXNX7/qGqohmqohmp8PqEaqqEaqqEaqvH55aqhGqrx/WnVUI0/f2DVUA3VUA3VUA3VUA3V+FIN1VCNn++uavz+UdVQDdVQDdX4fEI1VEM1VEM1VOPzy1VDNVTj+9OqoRp//sCqoRqqoRqqoRqqoRqq8aUaqqEaP99d1fj9o6qhGqqhGqrx+YRqqIZqqIZqqMbnl6uGaqjG96dVQzX+/IFVQzVUQzVUQzVUQzVU40s1VEM1fr67qvH7R1VDNVRDNVTj8wnVUA3VUA3VUI3PL1cN1VCN70+rhmr8+QOrhmqohmqohmqohmqoxpdqqIZq/Hx3VeP3j6qGaqiGaqjG5xOqoRqqoRqqoRqfX64aqqEa359WDdX48wdWDdVQDdVQDdVQDdVQjS/VUA3V+PnuqsbvH1UN1VAN1VCNzydUQzVUQzVUQzU+v1w1VEM1vj+tGqrx5w+sGqqhGqqhGqqhGqqhGl+qoRqq8fPdVY3fP6oaqqEaqqEan0+ohmqohmqohmp8frlqqIZqfH9aNVTjzx9YNVRDNVRDNVRDNVRDNb5UQzVU4+e7qxq/f1Q1VEM1VEM1Pp9QDdVQDdVQDdX4/HLVUA3V+P60aqjGnz+waqiGaqiGaqiGaqiGanyphmqoxs93VzV+/6hqqIZqqIZqfD6hGqqhGqqhGqrx+eWqoRqq8f1p1VCNP39g1VAN1VAN1VAN1VAN1fhSDdVQjZ/vrmr8/lHVUA3VUA3V+HxCNVRDNVRDNVTj88tVQzVU4/vTqqEaf/7AqqEaqqEaqqEaqqEaqvGlGqqhGj/fXdX4/aOqoRqqoRqq8fmEaqiGaqiGaqjG55erhmqoxvenVUM1/vyBVUM1VEM1VEM1VEM1VONLNVRDNX6+u6rx+0dVQzVUQzVU4/MJ1VAN1VAN1VCNzy9XDdVQje9Pq4Zq/PkDq4ZqqIZqqIZqqIZqqMaXaqiGavx8d1Xj94+qhmqohmqoxucTqqEaqqEaqqEan1+uGqqhGt+fVg3V+PMHVg3VUA3VUA3VUA3VUI0v1VAN1fj57qrG7x9VDdVQDdVQjc8nVEM1VEM1VEM1Pr9cNVRDNb4/rRqq8ecPrBqqoRqqoRqqoRqqoRpfqqEaqvHz3VWN3z+qGqqhGqqhGp9PqIZqqIZqqIZqfH65aqiGanx/WjVU488fWDVUQzVUQzVUQzVUQzW+VEM1VOPnu6sav39UNVRDNVRDNT6fUA3VUA3VUA3V+Pxy1VAN1fj+tGqoxp8/sGqohmqohmqohmqohmp8qYZqqMbPd1c1fv+oaqiGaqiGanw+oRqqoRqqoRqq8fnlqqEaqvH9adVQjT9/YNVQDdVQDdVQDdVQDdX4Ug3VUI2f765q/P5R1VAN1VAN1fh8QjVUQzVUQzVU4/PLVUM1VOP706qhGn/+wKqhGqqhGqqhGqqhGqrxpRqqoRo/313V+P2jqqEaqqEaqvH5hGqohmqohmqoxueXq4ZqqMb3p1VDNf78gVVDNVRDNVRDNVRDNVTjSzVUQzV+vruq8ftHVUM1VEM1VOPzCdVQDdVQDdVQjc8vVw3VUI3vT6uGavz5A6uGaqiGaqiGaqiGaqjGl2qohmr8fHdV4/ePqoZqqIZqqMbnE6qhGqqhGqqhGp9frhqqoRrfn1YN1fjzB1YN1VAN1VAN1VAN1VCNL9VQDdX4+e6qxu8fVQ3VUA3VUI3PJ1RDNVRDNVRDNT6/XDVUQzW+P60aqvHnD6waqqEaqqEaqqEaqqEaX6qhGqrx891Vjd8/qhqqoRqqoRqfT6iGaqiGaqiGanx+uWqohmp8f1o1VOPPH1g1VEM1VEM1VEM1VEM1vlRDNVTj57urGr9/VDVUQzVUQzU+n1AN1VAN1VAN1fj8ctVQDdX4/rRqqMafP7BqqIZqqIZqqIZqqIZqfKmGaqjGz3dXNX7/qGqohmqohmp8PqEaqqEaqqEaqvH55aqhGqrx/WnVUI0/f2DVUA3VUA3VUA3VUA3V+FIN1VCNn++uavz+UdVQDdVQDdX4fEI1VEM1VEM1VOPzy1VDNVTj+9OqoRp//sCqoRqqoRqqoRqqoRqq8aUaqqEaP99d1fj9o6qhGqqhGqrx+YRqqIZqqIZqqMbnl6uGaqjG96dVQzX+/IFVQzVUQzVUQzVUQzVU40s1VEM1fr67qvH7R1VDNVRDNVTj8wnVUA3VUA3VUI3PL1cN1VCN70+rhmr8+QOrhmqohmqohmqohmqoxpdqqIZq/Hx3VeP3j6qGaqiGaqjG5xOqoRqqoRqqoRqfX64aqqEa359WDdX48wdWDdVQDdVQDdVQDdVQjS/VUA3V+PnuqsbvH1UN1VAN1VCNzydUQzVUQzVUQzU+v1w1VEM1vj+tGqrx5w+sGqqhGqqhGqqhGqqhGl+qoRqq8fPdVY3fP6oaqqEaqqEan0+ohmqohmqohmp8frlqqIZqfH9aNVTjzx9YNVRDNVRDNVRDNVRDNb5UQzVU4+e7qxq/f1Q1VEM1VEM1Pp9QDdVQDdVQDdX4/HLVUA3V+P60aqjGnz+waqiGaqiGaqiGaqiGanyphmqoxs93VzV+/6hqqIZqqIZqfD6hGqqhGqqhGqrx+eWqoRqq8f1p1VCNP39g1VAN1VAN1VAN1VAN1fhSDdVQjZ/vrmr8/lHVUA3VUA3V+HxCNVRDNVRDNVTj88tVQzVU4/vTqqEaf/7AqqEaqqEaqqEaqqEaqvGlGqqhGj/fXdX4/aOqoRqqoRqq8fmEaqiGaqiGaqjG55erhmqoxvenVUM1/vyBVUM1VEM1VEM1VEM1VONLNVRDNX6+u6rx+0dVQzVUQzVU4/MJ1VAN1VCN/5s9u8vZ5EYSM7oVbqCA+lVVbWL2IKmkW1/Y+4cHMBhkMGDa4264Sfa5VmTmi/yIo6x4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dTU+ffyyZePTx6//DDc+ffz27wnHp4/f//z7659/fPjr849vH77+8fePD79//vztw28/f/vr5x+/f/v67bdytP5/wPHp4+eNHPmv9V+W48u/WI7/+Mfl+I//9j/++u//RynqFBnI8H/5SfH968/v3z5++/Dt90+f/1OGH18//P7nX58+/P7t08/vv/36+eevr1/I8M+W4TMZyHC4DL/9+PnHf3rw68OXb39/+vD129cvH/748fcfH758/e3z3399+ePr19//JoNvhgNl+PF5L8OPL/8UGX58/feU4cefXz99/fTn1w+/fv3114evn399+/D7969/fPj4/Y8ff/788v2vb99+/Utk+PFpI8OP+r8DMvy7yfDz51aGzx/rsur/QYbPHz/9e8rwx/ffv/327eefH359/vvnh69/ffn44ef3T58+/Pb3p4+/ff7j+7dfP/413ww/f/zvZVj+WvfJ4F8T/7gMnz/t/zXx+dM/5V8Tnz/9m/5r4ufnX39//PLx64e//v7+8cPX739+/PDHb79++/Dnr2//+cnw6/vHPz/99q+Q4fOnzb8mlr/WfTJ8IcM/LsPnfdL8/Pmf0jQ/f/7x7ynDpz++f/nt46c/Pnz5/PXvD19//f3pw48///j24ftvP3/99evjXz++fPyXfDN8/rypmstf6z4ZvpLBBvJ0GVRLewYyTH92MqiW/+u/2jOQgQxV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t>
        </is>
      </c>
      <c r="AK6" s="527" t="inlineStr">
        <is>
          <t>ABC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hv/Jnh2bAADDMBDcf+vUQuDaDrdASPUYHb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t>
        </is>
      </c>
      <c r="AL6" s="527" t="inlineStr">
        <is>
          <t>ABC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V47NmxCQAwDAPB/bdOLQSu7XALhFSP0VH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t>
        </is>
      </c>
      <c r="AM6" s="527" t="inlineStr">
        <is>
          <t>ABC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D727NgEABiGgeD+W6cWAtd2uAVCqsfoqG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t>
        </is>
      </c>
      <c r="AN6" s="527" t="inlineStr">
        <is>
          <t>ABC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t>
        </is>
      </c>
      <c r="AO6" s="527" t="inlineStr">
        <is>
          <t>ABC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fOzZsQkAMAwDwf23Ti0EqW1zC4RUj9FR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t>
        </is>
      </c>
      <c r="AP6" s="527" t="inlineStr">
        <is>
          <t>ABC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V87NmxCQAwDAPB/bdOLQSu7XALhFSP0VH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t>
        </is>
      </c>
      <c r="AQ6" s="527" t="inlineStr">
        <is>
          <t>ABC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YXHnh2bAADDMBDcf+vUQuDaDrdASPUYHb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t>
        </is>
      </c>
      <c r="AR6" s="527" t="inlineStr">
        <is>
          <t>ABC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t>
        </is>
      </c>
      <c r="AS6" s="527" t="inlineStr">
        <is>
          <t>ABC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j727NgEABiGgeD+W6cWAteOuQWCqyfoqC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t>
        </is>
      </c>
      <c r="AT6" s="527" t="inlineStr">
        <is>
          <t>ABC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vDYs2MTAGAYBoL7b51aCFzb4RYIqR6j214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t>
        </is>
      </c>
      <c r="AU6" s="527" t="inlineStr">
        <is>
          <t>ABC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jz17S3k1zNEDOhVNoKCL1IG6zwgygz5U3SXzv0xD0CN9MrhpEmjbWZcbHllG6F94vyK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TDn9/D8Of/Jy785Z/+/2ThH//y3/74l3/80z//4c9/+vuf/vCnv/3j3/7wt3/517/+4Y9//ftf//73P/3rP/72l7/+V7Dw5zcq/PGPr/99/M+o8Lf/YhX++//9G8P/+Pflrv/59/rn//Vv9X/+kP/9X/+hEv9xFT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t>
        </is>
      </c>
      <c r="AV6" s="527" t="inlineStr">
        <is>
          <t>ABC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v+b3brb2fPIEjJ8Ko+yb2THsWOzBwMIEIxaw0hstuzYRqPpnqB0N4izJ52eWlWpHprhT3AP104U5VuVstdX7/Xe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t>
        </is>
      </c>
      <c r="AW6" s="527" t="inlineStr">
        <is>
          <t>ABC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mfV+MO/rBf61b/73a9//eGH//LT3/yf/83v/3k/0J+N/PRE/3ilX/2Tv/jFn3//288/UfFXn3/2efvqFz98/x9++PDrf/FXv/rVn/3w/W9+8xefv/zb7z/97E/2B8v+1rG/07B///0Pf/2LD//x8w//6J99/vLhd7/67U+/3J9xNSNrEX/7wfn09tvXnz598/7FxzcvX7745tXrdy8+fvnw9YuXn768ffnq0/s3377/8NX+y378y+9/++FX/81d/OHHP4lw/va/+st/ea1kvY9//eqXr16+/OU//eHzh7/+9P1//pv9p/vNv/nxt3zf8K9+syf/8fPbH343P/nxc/VnPwLy+/fx7fpY/fjL/9X6j69eLX6/+jt/D3/x+dff/6fPn86f/T/3DfL2T3+DvP3f8w3ys0v+//kGefP222+//vzh/Yvv3nz49OM3yPtPLz6+/PT1izfffXj56t2Hr3/8QHz8U98gX7395vWXb768e/3iy+eXn1988+bzyxfv3r56+eL1lzevPn/3+u27T+/f/ex/8LPvmK/evfz4+duPb75+8eX9x/cvvvnw6scP4stXb1+8/ubrD69effn83ZePH352/H/gW+jtn/gWevvuf+lL6Gc//b/wJfTnf48vod/j+5v/zjfRn5rZ3zx/PPUPp0/p8n9UlzdvPr/50YUfWfixTz+/+/ji/fuvX/7+0/3yw7tPr99/++7Nn9Tlu1ffff747asvL768ev3ti2++/fHL+t2nnyr3w/s3333z5pvv3n79J3T5+vXb95++fPj44tuvP73+Eaf337x4/+btuxcfPr99//rTu+9ef/jyhi5/rMvXf09dfvk1X9YtfFEv6kW90OUfj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T5r+zWAQkAAACAoP+v2xF4Qjz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t>
        </is>
      </c>
      <c r="AX6" s="527" t="inlineStr">
        <is>
          <t>ABC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t>
        </is>
      </c>
      <c r="AY6" s="527" t="inlineStr">
        <is>
          <t>ABC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QlduuABAAAAEDQ/9ftCDwh2g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t>
        </is>
      </c>
      <c r="AZ6" s="527" t="inlineStr">
        <is>
          <t>ABC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S+zWAQkAAACAoP+v2xF4QrS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t>
        </is>
      </c>
      <c r="BA6" s="527" t="inlineStr">
        <is>
          <t>ABC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xWwckAAAAAIL+v25H4AmR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t>
        </is>
      </c>
      <c r="BB6" s="527" t="inlineStr">
        <is>
          <t>ABC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YrdednZBzrMMnwryvFFv3e4hBBAgkKIQiWG03BsUxU6jdgLiGBjDkAEnABMOiYjDwJv4KVcZIoQY5BbXpNVab1X9a1V9//Xd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t>
        </is>
      </c>
      <c r="BC6" s="527" t="inlineStr">
        <is>
          <t>ABC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cnWy2/+57ef5R/9i7/8+c8//PDvfv0P/Id//qv/vh/la8mvP8y/f3M/+nt/9Ie/+iv+GpU//fb6zfzRH/7w/b/64cPP/9Gf/uxnf/DD97/4xR99+90///6b62/2G/X+Wrz/pXb/8vsf/uwPP/zrb3/4u//g2+8+/OXP/uLXb3jBtiW/vYi//hX76ZcfPvnuy+9+8tF3H3/yq9+QX/7fT77++rOPPnz54y8///Dxhx9//PnXPzr/2J/+8fd/8eFn/9u7+M3413b87sfkR3/8j58r+e3H4J9+8ieffvzxn/zVf/yv//0//6e/+m///n/8l/9w/oK/+Ge/VPL9If/kF3//h28//Nk33//bP39Hv/wN+oNfcvOrz8QXn/z2D3/5q/HbP/zk069++6f/y7f4o29//v2/+fab3539rfu++eyr3130e983n3/8/+L75v4h//9833zz+afffvPjH3/90aefffPFL38ZPvvxRz/96rMPH3384ZtPvv7426+/+u7zv7lmP3z2xceffvbFFx998cVPf/rR55999slHHz799CcfffnFTz/98uNvv/vi228/+xu+b775+Ccff/WrH/jhs1//Mn747qMP33319UeffPrNx19/9e2nn//0ky//b79vPvvJ7//cfWo++b2dqe+b/4Oa/Vv2RfO3L2TBAhawgAUsYAELWMACFrCABSxg+TtgAQtYwAIWsIAFLGABC1jAAhaw3H81sIAFLGABC1jA8ps5WMACFrCABSxgAQtYwAIWsIBlPxwsYPmdzxhYwAIWsIAFLGABC1jOhwUsYAELWMDy16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t>
        </is>
      </c>
      <c r="BD6" s="527" t="inlineStr">
        <is>
          <t>ABC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PxPdurYBgAAhGHY/1+zBcENnikMRTJ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t>
        </is>
      </c>
      <c r="BE6" s="527" t="inlineStr">
        <is>
          <t>AB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B126tgGAACEYdj/X7MFwQ2eoQxUMl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t>
        </is>
      </c>
      <c r="BF6" s="527" t="inlineStr">
        <is>
          <t>ABC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lmG/flY9TYw6Dt+KzL6le6an/yw1KioKIQZchp7pjoTMZGSSKF5AEBQJLsxGcSEIWbjISiXBu7Gjl2HPJPOpVJkEkQhCnl40zflW1Tmn6v09vA0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ll9OWH70j88e4rf+4Jsffvji4z/79Df7za998vd9hlfJp0/xf1/ZW7/2hc9/8iN+qslXXq2P5Fuf//ijP/r4xYe/9ZUPPvjcxx99/etfePXl3//o5frJfsTdj6n7qcz94Ucff/XzL/741ce/+huvvvzimx9849PjLdEq+WwRP/5sPX/n7bdfPn365MGLd59++c2z/eZT9vzVi6cP3n37zUfl0fOHTx8/fPet+WXf++JH33jxwc/cxY/iT9H4yeu+9cXfPiv57P6/++hLbz96+KUffud7r//h73/4r996/Vd/Mz/g13/vDY/3m/zO13/941cvvvryoz/92o3efHQ+98aZT56Jtx9/9sU3n4nPvvjo0We+vvVTb/GFVx9+9CevXv7U7JfgUXj69BPknr968O7TR88ePH784vGD5y/fWPvwxdvvv/v0nVdPnz998n/7KLzz8OGXXv/dd1//4Puv/+Uf/+O7f/mf//ZPr//2+6+//Revv/XP//6D77z+82+//t5f/0KejyfPf9rzMU/N//T5+P/3IvLk576IvPP0F/Iisr7JL8+LyJcfvf/+q/dePX7j5NtvsHzn5csHzx8+fPng3YcvHz979s6rV4+fP/n5LyKPnj16/9HDF2/ePJ6+eDPl8bM37r738MHz95+98/zJ0yfPHj75eS8ij95+9PzZwxcPH7z3/icvQk+evXjw3nsPHz54+f6zV++9+0brx+8/+l+/iLz7s19E9kuKF5Fd80vyPxywgKV2sIAFLGABC1g+/QOWXwELWMACFrCAZf9oYAELWMACFrCA5Uc5WMACFrCABSxgAQtYwAIWsIClbw4WsPzEMwYWsIAFLGABC1jAApZ5WMACFrCABSw/r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t>
        </is>
      </c>
      <c r="BG6" s="527" t="inlineStr">
        <is>
          <t>ABC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z/xU4d2wAAgDAM+/9rtiC4wTO0A0gG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t>
        </is>
      </c>
      <c r="BH6" s="527" t="inlineStr">
        <is>
          <t>ABC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iGnTq2AQAAYRj2/9dsQXCDZ0oHkAw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t>
        </is>
      </c>
      <c r="BI6" s="527" t="inlineStr">
        <is>
          <t>ABC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9LRTN6mWH0QYh+eCm+gFiDhzqFFRUGhiwJGDlnQkpDtXbieK+9AFOHMUnDoQN6OSZdjp2L+yyjhXeCaXy6mPc069//OA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Px/wfLlP28f4ic//fTly2ePv33zzb7/8Rd/7zO8Wt48xf95siffeffpFx/xjSYfPl8/ySdPHx9++fjs5Q8+fPHinceHV6/eff7BTx7eX5/sS+7+Rd1XMvezh8ePnj771fPHb3zv+QfPPn3xyZvwlmi1vD3Ek/t4vv4qv3jv4ZNnL/7rN/2y/IaEf8/uyXs/PJvepvu3v372j9/9+fPP/vT3v/z+8z/8cd761Y9fw3ff4Eevvvv4/NlH7z/85uNbev2jeOe1IF+k/a1vvn3x9dP+9sVvv33tK2/87vOXD79+/v5X1v5HIv76137+Tw==</t>
        </is>
      </c>
    </row>
    <row r="9">
      <c r="A9" s="527" t="inlineStr">
        <is>
          <t>J1_300减值评估</t>
        </is>
      </c>
    </row>
    <row r="10">
      <c r="F10" s="527">
        <f>#REF!</f>
        <v/>
      </c>
      <c r="G10" s="527" t="inlineStr">
        <is>
          <t>59eaca50-718f-422d-a45a-89118d22dbc9</t>
        </is>
      </c>
    </row>
    <row r="11">
      <c r="A11" s="15" t="n">
        <v>71</v>
      </c>
      <c r="F11" s="527">
        <f>#REF!</f>
        <v/>
      </c>
      <c r="G11" s="527" t="inlineStr">
        <is>
          <t>e936ed11-c81d-482c-8ab4-957e150c82db</t>
        </is>
      </c>
    </row>
    <row r="12">
      <c r="F12" s="527">
        <f>#REF!</f>
        <v/>
      </c>
      <c r="G12" s="527" t="inlineStr">
        <is>
          <t>366d5ac8-bd18-43d1-bb6b-abb4a6a6553e</t>
        </is>
      </c>
    </row>
    <row r="13">
      <c r="F13" s="527">
        <f>#REF!</f>
        <v/>
      </c>
      <c r="G13" s="527" t="inlineStr">
        <is>
          <t>f0e08cb7-5167-4605-9e23-f9af7361a031</t>
        </is>
      </c>
    </row>
    <row r="14">
      <c r="F14" s="527">
        <f>#REF!</f>
        <v/>
      </c>
      <c r="G14" s="527" t="inlineStr">
        <is>
          <t>f1f86ca5-5174-4f57-81ea-598dee696ae3</t>
        </is>
      </c>
    </row>
    <row r="15">
      <c r="A15" s="15" t="n">
        <v>44</v>
      </c>
      <c r="F15" s="527">
        <f>#REF!</f>
        <v/>
      </c>
      <c r="G15" s="527" t="inlineStr">
        <is>
          <t>71db53bc-1afd-44f1-aae4-1671ab5fc21e</t>
        </is>
      </c>
      <c r="R15" s="527">
        <f>#REF!</f>
        <v/>
      </c>
      <c r="S15" s="527" t="inlineStr">
        <is>
          <t>6d1550c4-c8e7-467b-bf4d-544bc8a2c4a6</t>
        </is>
      </c>
    </row>
    <row r="16">
      <c r="F16" s="15">
        <f>#REF!</f>
        <v/>
      </c>
      <c r="G16" s="527" t="inlineStr">
        <is>
          <t>5252dddb-7e56-4ff3-a9f9-c6c8ef1fef4a</t>
        </is>
      </c>
      <c r="R16" s="527">
        <f>#REF!</f>
        <v/>
      </c>
      <c r="S16" s="527" t="inlineStr">
        <is>
          <t>66b12a66-98ed-4112-b57c-a1d95fe6cc8b</t>
        </is>
      </c>
    </row>
    <row r="17">
      <c r="F17" s="527">
        <f>#REF!</f>
        <v/>
      </c>
      <c r="G17" s="527" t="inlineStr">
        <is>
          <t>d0202495-03a5-4306-b201-2cbdff36d2f5</t>
        </is>
      </c>
      <c r="R17" s="527">
        <f>#REF!</f>
        <v/>
      </c>
      <c r="S17" s="527" t="inlineStr">
        <is>
          <t>abaad0c1-b49a-4c51-8226-4f2f9f27147c</t>
        </is>
      </c>
    </row>
    <row r="18">
      <c r="F18" s="527">
        <f>#REF!</f>
        <v/>
      </c>
      <c r="G18" s="527" t="inlineStr">
        <is>
          <t>a3edeb18-e66a-4354-b4e5-0c65d92eb592</t>
        </is>
      </c>
      <c r="R18" s="527">
        <f>#REF!</f>
        <v/>
      </c>
      <c r="S18" s="527" t="inlineStr">
        <is>
          <t>1d315964-5c53-479d-a193-76eb43e7ae9d</t>
        </is>
      </c>
    </row>
    <row r="19">
      <c r="F19" s="527">
        <f>#REF!</f>
        <v/>
      </c>
      <c r="G19" s="527" t="inlineStr">
        <is>
          <t>48f00bba-a11a-495b-898a-b930315b70de</t>
        </is>
      </c>
      <c r="R19" s="527">
        <f>#REF!</f>
        <v/>
      </c>
      <c r="S19" s="527" t="inlineStr">
        <is>
          <t>5370271f-b61d-4bbe-ba53-377e44b72f21</t>
        </is>
      </c>
    </row>
    <row r="20">
      <c r="F20" s="527">
        <f>#REF!</f>
        <v/>
      </c>
      <c r="G20" s="527" t="inlineStr">
        <is>
          <t>94bc4424-d0ae-486b-a01e-ef9d6244595b</t>
        </is>
      </c>
      <c r="R20" s="527">
        <f>#REF!</f>
        <v/>
      </c>
      <c r="S20" s="527" t="inlineStr">
        <is>
          <t>5d211620-9e36-45a4-a88f-8207ba713908</t>
        </is>
      </c>
    </row>
    <row r="21">
      <c r="F21" s="527">
        <f>#REF!</f>
        <v/>
      </c>
      <c r="G21" s="527" t="inlineStr">
        <is>
          <t>45ab700b-ec33-4ee3-b555-b1c74617ca63</t>
        </is>
      </c>
      <c r="R21" s="527">
        <f>#REF!</f>
        <v/>
      </c>
      <c r="S21" s="527" t="inlineStr">
        <is>
          <t>bd0447e5-bda7-4c78-a64f-bc2ed18e1228</t>
        </is>
      </c>
    </row>
    <row r="22">
      <c r="F22" s="527">
        <f>#REF!</f>
        <v/>
      </c>
      <c r="G22" s="527" t="inlineStr">
        <is>
          <t>94715de0-282b-45f2-b719-38da07d549ce</t>
        </is>
      </c>
      <c r="R22" s="527">
        <f>#REF!</f>
        <v/>
      </c>
      <c r="S22" s="527" t="inlineStr">
        <is>
          <t>d32b0581-5fa4-4e56-85d8-5b7910003cfa</t>
        </is>
      </c>
    </row>
    <row r="23">
      <c r="F23" s="527">
        <f>#REF!</f>
        <v/>
      </c>
      <c r="G23" s="527" t="inlineStr">
        <is>
          <t>eed2d014-935b-4daa-8e88-28a1dc97040c</t>
        </is>
      </c>
      <c r="R23" s="527">
        <f>#REF!</f>
        <v/>
      </c>
      <c r="S23" s="527" t="inlineStr">
        <is>
          <t>7a9090e2-a392-4470-a862-501671798aba</t>
        </is>
      </c>
    </row>
    <row r="24">
      <c r="F24" s="527">
        <f>#REF!</f>
        <v/>
      </c>
      <c r="G24" s="527" t="inlineStr">
        <is>
          <t>4f050dfa-90c0-4e19-aff9-6e3d36529867</t>
        </is>
      </c>
      <c r="R24" s="527">
        <f>#REF!</f>
        <v/>
      </c>
      <c r="S24" s="527" t="inlineStr">
        <is>
          <t>12c446c0-b489-4f13-ac74-cebddf4d7a3d</t>
        </is>
      </c>
    </row>
    <row r="25">
      <c r="F25" s="527">
        <f>#REF!</f>
        <v/>
      </c>
      <c r="G25" s="527" t="inlineStr">
        <is>
          <t>742cb934-47e8-42d4-a636-eb9a1ffc8410</t>
        </is>
      </c>
      <c r="R25" s="527">
        <f>#REF!</f>
        <v/>
      </c>
      <c r="S25" s="527" t="inlineStr">
        <is>
          <t>a08f1a57-08e2-4f8e-a237-10dbaaf314b1</t>
        </is>
      </c>
    </row>
    <row r="26">
      <c r="F26" s="527">
        <f>#REF!</f>
        <v/>
      </c>
      <c r="G26" s="527" t="inlineStr">
        <is>
          <t>d4d74f24-09d3-4276-8776-89b28c9c9f75</t>
        </is>
      </c>
      <c r="R26" s="15">
        <f>#REF!</f>
        <v/>
      </c>
      <c r="S26" s="527" t="inlineStr">
        <is>
          <t>b70a6a08-e651-4587-aa0b-3d194e31b93d</t>
        </is>
      </c>
    </row>
    <row r="27">
      <c r="F27" s="527">
        <f>#REF!</f>
        <v/>
      </c>
      <c r="G27" s="527" t="inlineStr">
        <is>
          <t>471a4f10-3c07-405d-b95d-219d84eeb3ee</t>
        </is>
      </c>
      <c r="R27" s="527">
        <f>#REF!</f>
        <v/>
      </c>
      <c r="S27" s="527" t="inlineStr">
        <is>
          <t>643f4f83-fe0e-45e0-8610-3f51ec368d98</t>
        </is>
      </c>
    </row>
    <row r="28">
      <c r="F28" s="527">
        <f>#REF!</f>
        <v/>
      </c>
      <c r="G28" s="527" t="inlineStr">
        <is>
          <t>cb689e15-3f34-41aa-9c66-ce17edc611b0</t>
        </is>
      </c>
      <c r="R28" s="527">
        <f>#REF!</f>
        <v/>
      </c>
      <c r="S28" s="527" t="inlineStr">
        <is>
          <t>80be7b52-f9b9-4a18-b016-342a11fecfba</t>
        </is>
      </c>
    </row>
    <row r="29">
      <c r="F29" s="527">
        <f>#REF!</f>
        <v/>
      </c>
      <c r="G29" s="527" t="inlineStr">
        <is>
          <t>47111641-e7f5-41ca-9621-27d8665ecbb9</t>
        </is>
      </c>
      <c r="R29" s="527">
        <f>#REF!</f>
        <v/>
      </c>
      <c r="S29" s="527" t="inlineStr">
        <is>
          <t>a3502355-55bb-4331-a228-75b270ef5ee3</t>
        </is>
      </c>
    </row>
    <row r="30">
      <c r="F30" s="527">
        <f>#REF!</f>
        <v/>
      </c>
      <c r="G30" s="527" t="inlineStr">
        <is>
          <t>edda201e-2432-4e5f-a896-f8e060dacf13</t>
        </is>
      </c>
      <c r="R30" s="527">
        <f>#REF!</f>
        <v/>
      </c>
      <c r="S30" s="527" t="inlineStr">
        <is>
          <t>d080993a-a317-47af-af9c-12d0c9e24b17</t>
        </is>
      </c>
    </row>
    <row r="31">
      <c r="F31" s="527">
        <f>#REF!</f>
        <v/>
      </c>
      <c r="G31" s="527" t="inlineStr">
        <is>
          <t>67e01975-13d5-4f01-839a-daeb44b46235</t>
        </is>
      </c>
      <c r="R31" s="527">
        <f>#REF!</f>
        <v/>
      </c>
      <c r="S31" s="527" t="inlineStr">
        <is>
          <t>e13e99f8-9218-457e-87e5-042a04dcd2e4</t>
        </is>
      </c>
    </row>
    <row r="32">
      <c r="F32" s="527">
        <f>#REF!</f>
        <v/>
      </c>
      <c r="G32" s="527" t="inlineStr">
        <is>
          <t>1c418a9e-8741-4461-9848-6bac14891aac</t>
        </is>
      </c>
      <c r="R32" s="527">
        <f>#REF!</f>
        <v/>
      </c>
      <c r="S32" s="527" t="inlineStr">
        <is>
          <t>9aca2394-c027-4788-881a-73a3fb0b3d13</t>
        </is>
      </c>
    </row>
    <row r="33">
      <c r="F33" s="527">
        <f>#REF!</f>
        <v/>
      </c>
      <c r="G33" s="527" t="inlineStr">
        <is>
          <t>77721a1f-67d5-453b-a53e-c9e2239bef25</t>
        </is>
      </c>
      <c r="R33" s="527">
        <f>#REF!</f>
        <v/>
      </c>
      <c r="S33" s="527" t="inlineStr">
        <is>
          <t>fd5c13fb-e4f3-4c34-8fc7-5a2248deb5a2</t>
        </is>
      </c>
    </row>
    <row r="34">
      <c r="F34" s="527">
        <f>#REF!</f>
        <v/>
      </c>
      <c r="G34" s="527" t="inlineStr">
        <is>
          <t>7187f1ab-9f6d-4091-b991-474abfbb89ba</t>
        </is>
      </c>
      <c r="R34" s="527">
        <f>#REF!</f>
        <v/>
      </c>
      <c r="S34" s="527" t="inlineStr">
        <is>
          <t>fe0b2984-0d2e-413a-9a6f-0182b37f41b0</t>
        </is>
      </c>
    </row>
    <row r="35">
      <c r="F35" s="527">
        <f>#REF!</f>
        <v/>
      </c>
      <c r="G35" s="527" t="inlineStr">
        <is>
          <t>f3a94c78-bbbc-4284-895e-2c1e62ee8255</t>
        </is>
      </c>
      <c r="R35" s="527">
        <f>#REF!</f>
        <v/>
      </c>
      <c r="S35" s="527" t="inlineStr">
        <is>
          <t>c1ceb71f-f137-4700-8dfd-9ba95c454c62</t>
        </is>
      </c>
    </row>
    <row r="36">
      <c r="F36" s="527">
        <f>#REF!</f>
        <v/>
      </c>
      <c r="G36" s="527" t="inlineStr">
        <is>
          <t>4e714ad7-bb95-45b4-b48f-ee2f5442ba76</t>
        </is>
      </c>
      <c r="R36" s="527">
        <f>#REF!</f>
        <v/>
      </c>
      <c r="S36" s="527" t="inlineStr">
        <is>
          <t>2369dfab-72d3-4594-9568-ae693d8c3af5</t>
        </is>
      </c>
    </row>
    <row r="37">
      <c r="F37" s="527">
        <f>#REF!</f>
        <v/>
      </c>
      <c r="G37" s="527" t="inlineStr">
        <is>
          <t>368a42ff-d9aa-4880-ae81-3e9a372236f0</t>
        </is>
      </c>
      <c r="R37" s="527">
        <f>#REF!</f>
        <v/>
      </c>
      <c r="S37" s="527" t="inlineStr">
        <is>
          <t>a181c10a-757a-4748-a5b0-9c8396768063</t>
        </is>
      </c>
    </row>
    <row r="38">
      <c r="F38" s="527">
        <f>#REF!</f>
        <v/>
      </c>
      <c r="G38" s="527" t="inlineStr">
        <is>
          <t>4599f504-34bb-46a4-8591-ed7bc43e0328</t>
        </is>
      </c>
      <c r="R38" s="527">
        <f>#REF!</f>
        <v/>
      </c>
      <c r="S38" s="527" t="inlineStr">
        <is>
          <t>121980a0-bcd5-468a-bb00-dc8eb51904c1</t>
        </is>
      </c>
    </row>
    <row r="39">
      <c r="F39" s="527">
        <f>#REF!</f>
        <v/>
      </c>
      <c r="G39" s="527" t="inlineStr">
        <is>
          <t>80676ef9-5421-484f-aa13-26ad93942370</t>
        </is>
      </c>
      <c r="R39" s="527">
        <f>#REF!</f>
        <v/>
      </c>
      <c r="S39" s="527" t="inlineStr">
        <is>
          <t>cbc92c5e-ef37-4c21-9948-b0fd6bd824cd</t>
        </is>
      </c>
    </row>
    <row r="40">
      <c r="F40" s="527">
        <f>#REF!</f>
        <v/>
      </c>
      <c r="G40" s="527" t="inlineStr">
        <is>
          <t>e3a5695f-c996-4ac1-ac7e-7df050ae648f</t>
        </is>
      </c>
      <c r="R40" s="527">
        <f>#REF!</f>
        <v/>
      </c>
      <c r="S40" s="527" t="inlineStr">
        <is>
          <t>b750478e-2ec5-4c6d-a37f-3bc023279031</t>
        </is>
      </c>
    </row>
    <row r="41">
      <c r="F41" s="527">
        <f>#REF!</f>
        <v/>
      </c>
      <c r="G41" s="527" t="inlineStr">
        <is>
          <t>5f23f244-fbf2-49a6-8d2b-35f78f6b77de</t>
        </is>
      </c>
      <c r="R41" s="527">
        <f>#REF!</f>
        <v/>
      </c>
      <c r="S41" s="527" t="inlineStr">
        <is>
          <t>c07841c6-72f1-495b-b76c-f6f082410ac5</t>
        </is>
      </c>
    </row>
    <row r="42">
      <c r="F42" s="527">
        <f>#REF!</f>
        <v/>
      </c>
      <c r="G42" s="527" t="inlineStr">
        <is>
          <t>0ddd2d21-2367-4c87-b137-02ae068c6d55</t>
        </is>
      </c>
      <c r="R42" s="527">
        <f>#REF!</f>
        <v/>
      </c>
      <c r="S42" s="527" t="inlineStr">
        <is>
          <t>cb324eef-8c9a-4248-bcbb-172bf513132e</t>
        </is>
      </c>
    </row>
    <row r="43">
      <c r="F43" s="527">
        <f>#REF!</f>
        <v/>
      </c>
      <c r="G43" s="527" t="inlineStr">
        <is>
          <t>b693b1c9-e115-4f96-bca0-473c4a3d675e</t>
        </is>
      </c>
      <c r="R43" s="527">
        <f>#REF!</f>
        <v/>
      </c>
      <c r="S43" s="527" t="inlineStr">
        <is>
          <t>2aad359f-365d-4254-b965-4061f9b0e8c8</t>
        </is>
      </c>
    </row>
    <row r="44">
      <c r="R44" s="527">
        <f>#REF!</f>
        <v/>
      </c>
      <c r="S44" s="527" t="inlineStr">
        <is>
          <t>d0c6df94-c7fa-4554-be47-72f96e6ff531</t>
        </is>
      </c>
    </row>
    <row r="63">
      <c r="F63" s="527">
        <f>#REF!</f>
        <v/>
      </c>
      <c r="G63" s="527" t="inlineStr">
        <is>
          <t>22d850a5-a855-4b1d-8b7a-886a60a17175</t>
        </is>
      </c>
    </row>
    <row r="64">
      <c r="F64" s="527">
        <f>#REF!</f>
        <v/>
      </c>
      <c r="G64" s="527" t="inlineStr">
        <is>
          <t>132c580e-e19a-4729-a704-9c04729b8a2e</t>
        </is>
      </c>
    </row>
    <row r="65">
      <c r="F65" s="527">
        <f>#REF!</f>
        <v/>
      </c>
      <c r="G65" s="527" t="inlineStr">
        <is>
          <t>5925783f-3c03-4e62-ba4f-989a4fde16ca</t>
        </is>
      </c>
    </row>
    <row r="66">
      <c r="F66" s="527">
        <f>#REF!</f>
        <v/>
      </c>
      <c r="G66" s="527" t="inlineStr">
        <is>
          <t>69799337-4315-43a0-8286-5cbe275f75d6</t>
        </is>
      </c>
    </row>
    <row r="67">
      <c r="F67" s="527">
        <f>#REF!</f>
        <v/>
      </c>
      <c r="G67" s="527" t="inlineStr">
        <is>
          <t>13cb1f28-65a4-40e4-80f0-423bcd5f8024</t>
        </is>
      </c>
    </row>
    <row r="68">
      <c r="F68" s="527">
        <f>#REF!</f>
        <v/>
      </c>
      <c r="G68" s="527" t="inlineStr">
        <is>
          <t>cb282afb-c4ec-495f-ad26-36b9bd01d643</t>
        </is>
      </c>
    </row>
    <row r="69">
      <c r="F69" s="527">
        <f>#REF!</f>
        <v/>
      </c>
      <c r="G69" s="527" t="inlineStr">
        <is>
          <t>bb73ce5d-6dab-4917-b064-a88ad4ff2e0a</t>
        </is>
      </c>
    </row>
    <row r="70">
      <c r="F70" s="527">
        <f>#REF!</f>
        <v/>
      </c>
      <c r="G70" s="527" t="inlineStr">
        <is>
          <t>254ea113-30e0-45a2-94d1-9775cd1f75aa</t>
        </is>
      </c>
    </row>
    <row r="71">
      <c r="F71" s="527">
        <f>#REF!</f>
        <v/>
      </c>
      <c r="G71" s="527" t="inlineStr">
        <is>
          <t>44601d76-030c-4c15-bd7f-d78a66418f11</t>
        </is>
      </c>
    </row>
  </sheetData>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fitToPage="1"/>
  </sheetPr>
  <dimension ref="A1:R72"/>
  <sheetViews>
    <sheetView showGridLines="0" zoomScale="70" zoomScaleNormal="70" workbookViewId="0">
      <selection activeCell="G24" sqref="G24"/>
    </sheetView>
  </sheetViews>
  <sheetFormatPr baseColWidth="8" defaultColWidth="9.08203125" defaultRowHeight="15" customHeight="1"/>
  <cols>
    <col width="2.58203125" customWidth="1" style="51" min="1" max="1"/>
    <col width="19.75" customWidth="1" style="51" min="2" max="2"/>
    <col width="34.33203125" customWidth="1" style="51" min="3" max="3"/>
    <col width="16" customWidth="1" style="51" min="4" max="4"/>
    <col width="24.33203125" customWidth="1" style="51" min="5" max="5"/>
    <col width="12.33203125" customWidth="1" style="51" min="6" max="6"/>
    <col width="15.08203125" customWidth="1" style="51" min="7" max="7"/>
    <col width="17.33203125" customWidth="1" style="51" min="8" max="8"/>
    <col width="13.75" customWidth="1" style="51" min="9" max="9"/>
    <col width="14.33203125" customWidth="1" style="51" min="10" max="10"/>
    <col width="17.08203125" customWidth="1" style="51" min="11" max="11"/>
    <col width="16.33203125" customWidth="1" style="51" min="12" max="12"/>
    <col width="16.25" customWidth="1" style="51" min="13" max="13"/>
    <col width="20" customWidth="1" style="51" min="14" max="14"/>
    <col width="21.25" customWidth="1" style="51" min="15" max="15"/>
    <col width="2.58203125" customWidth="1" style="51" min="16" max="16"/>
    <col width="1.58203125" customWidth="1" style="51" min="17" max="17"/>
    <col width="9.08203125" customWidth="1" style="58" min="18" max="18"/>
    <col width="9.08203125" customWidth="1" style="51" min="19" max="16384"/>
  </cols>
  <sheetData>
    <row r="1" ht="50.15" customHeight="1" s="588">
      <c r="B1" s="391" t="inlineStr">
        <is>
          <t>标准工作底稿: J1 SWP 在建工程</t>
        </is>
      </c>
      <c r="C1" s="296" t="n"/>
      <c r="D1" s="423" t="n"/>
      <c r="E1" s="283" t="n"/>
      <c r="F1" s="284" t="n"/>
      <c r="G1" s="284" t="n"/>
      <c r="H1" s="284" t="n"/>
      <c r="I1" s="284" t="n"/>
      <c r="J1" s="284" t="n"/>
      <c r="K1" s="284" t="n"/>
      <c r="L1" s="284" t="n"/>
      <c r="M1" s="284" t="n"/>
      <c r="N1" s="284" t="n"/>
      <c r="O1" s="285" t="n"/>
      <c r="Q1" s="52" t="n"/>
      <c r="R1" s="51" t="n"/>
    </row>
    <row r="2" ht="16.5" customFormat="1" customHeight="1" s="140">
      <c r="B2" s="142" t="inlineStr">
        <is>
          <t>客户名称</t>
        </is>
      </c>
      <c r="C2" s="370" t="inlineStr">
        <is>
          <t>东风鸿远工程咨询有限公司</t>
        </is>
      </c>
      <c r="D2" s="378" t="n"/>
      <c r="E2" s="497" t="inlineStr">
        <is>
          <t>此工作底稿需要与以下 Canvas PSP guided workflow forms一起使用：
•K.00  PPE lead sheet
•K.01  Agreement of subledgers with general ledger
•K.02  Additions and disposals
•K.04 Impairments of property, plant and equipment
•Account conclusion</t>
        </is>
      </c>
      <c r="O2" s="601" t="n"/>
      <c r="Q2" s="141" t="n"/>
    </row>
    <row r="3" ht="16.5" customFormat="1" customHeight="1" s="140">
      <c r="B3" s="142" t="inlineStr">
        <is>
          <t>期末</t>
        </is>
      </c>
      <c r="C3" s="371" t="inlineStr">
        <is>
          <t>2026-12-31</t>
        </is>
      </c>
      <c r="D3" s="376" t="n"/>
      <c r="O3" s="601" t="n"/>
      <c r="Q3" s="141" t="n"/>
    </row>
    <row r="4" ht="16.5" customFormat="1" customHeight="1" s="140">
      <c r="B4" s="142" t="inlineStr">
        <is>
          <t>分析日期</t>
        </is>
      </c>
      <c r="C4" s="372" t="inlineStr">
        <is>
          <t>2026-05-20</t>
        </is>
      </c>
      <c r="D4" s="376" t="n"/>
      <c r="O4" s="601" t="n"/>
      <c r="Q4" s="141" t="n"/>
    </row>
    <row r="5" ht="16.5" customFormat="1" customHeight="1" s="140">
      <c r="B5" s="142" t="inlineStr">
        <is>
          <t>可容忍误差(TE）</t>
        </is>
      </c>
      <c r="C5" s="602" t="n"/>
      <c r="D5" s="376" t="n"/>
      <c r="O5" s="601" t="n"/>
      <c r="Q5" s="141" t="n"/>
    </row>
    <row r="6" ht="16.5" customFormat="1" customHeight="1" s="140">
      <c r="B6" s="142" t="inlineStr">
        <is>
          <t>名义金额（SAD）</t>
        </is>
      </c>
      <c r="C6" s="602" t="n"/>
      <c r="D6" s="376" t="n"/>
      <c r="O6" s="601" t="n"/>
      <c r="Q6" s="141" t="n"/>
    </row>
    <row r="7" ht="16.5" customFormat="1" customHeight="1" s="140">
      <c r="B7" s="142" t="inlineStr">
        <is>
          <t>适用会计准则</t>
        </is>
      </c>
      <c r="C7" s="370" t="n"/>
      <c r="D7" s="376" t="n"/>
      <c r="O7" s="601" t="n"/>
      <c r="Q7" s="141" t="n"/>
    </row>
    <row r="8" ht="16.5" customFormat="1" customHeight="1" s="140">
      <c r="B8" s="143" t="inlineStr">
        <is>
          <t>记账本位币</t>
        </is>
      </c>
      <c r="C8" s="374" t="n"/>
      <c r="D8" s="377" t="n"/>
      <c r="E8" s="603" t="n"/>
      <c r="F8" s="603" t="n"/>
      <c r="G8" s="603" t="n"/>
      <c r="H8" s="603" t="n"/>
      <c r="I8" s="603" t="n"/>
      <c r="J8" s="603" t="n"/>
      <c r="K8" s="603" t="n"/>
      <c r="L8" s="603" t="n"/>
      <c r="M8" s="603" t="n"/>
      <c r="N8" s="603" t="n"/>
      <c r="O8" s="604" t="n"/>
      <c r="Q8" s="141" t="n"/>
    </row>
    <row r="9" ht="30" customFormat="1" customHeight="1" s="53">
      <c r="B9" s="286" t="inlineStr">
        <is>
          <t>J.00：Lead Sheet</t>
        </is>
      </c>
      <c r="C9" s="287" t="n"/>
      <c r="D9" s="375" t="n"/>
      <c r="E9" s="287" t="n"/>
      <c r="F9" s="287" t="n"/>
      <c r="G9" s="287" t="n"/>
      <c r="H9" s="287" t="n"/>
      <c r="I9" s="287" t="n"/>
      <c r="J9" s="287" t="n"/>
      <c r="K9" s="287" t="n"/>
      <c r="L9" s="287" t="n"/>
      <c r="M9" s="287" t="n"/>
      <c r="N9" s="287" t="n"/>
      <c r="O9" s="288" t="n"/>
      <c r="Q9" s="54" t="n"/>
    </row>
    <row r="10" ht="15" customHeight="1" s="588">
      <c r="Q10" s="52" t="n"/>
      <c r="R10" s="51" t="n"/>
    </row>
    <row r="11" ht="15" customHeight="1" s="588">
      <c r="B11" s="131" t="inlineStr">
        <is>
          <t>返回汇总页</t>
        </is>
      </c>
      <c r="Q11" s="52" t="n"/>
      <c r="R11" s="51" t="n"/>
    </row>
    <row r="12" ht="15" customHeight="1" s="588">
      <c r="Q12" s="52" t="n"/>
      <c r="R12" s="51" t="n"/>
    </row>
    <row r="13" ht="15" customHeight="1" s="588">
      <c r="D13" s="58" t="n"/>
      <c r="Q13" s="52" t="n"/>
      <c r="R13" s="51" t="n"/>
    </row>
    <row r="14" ht="15" customHeight="1" s="588">
      <c r="B14" s="3" t="n"/>
      <c r="C14" s="3" t="n"/>
      <c r="D14" s="392" t="inlineStr">
        <is>
          <t>Threshold(s)</t>
        </is>
      </c>
      <c r="E14" s="393" t="n"/>
      <c r="H14" s="605" t="inlineStr">
        <is>
          <t>安永标记</t>
        </is>
      </c>
      <c r="I14" s="606" t="n"/>
      <c r="J14" s="606" t="n"/>
      <c r="K14" s="606" t="n"/>
      <c r="L14" s="607" t="n"/>
      <c r="Q14" s="52" t="n"/>
      <c r="R14" s="51" t="n"/>
    </row>
    <row r="15" ht="15" customHeight="1" s="588">
      <c r="B15" s="365" t="inlineStr">
        <is>
          <t>认定</t>
        </is>
      </c>
      <c r="C15" s="365" t="inlineStr">
        <is>
          <t>CRA</t>
        </is>
      </c>
      <c r="D15" s="365" t="inlineStr">
        <is>
          <t>各项认定1</t>
        </is>
      </c>
      <c r="E15" s="366" t="inlineStr">
        <is>
          <t>所有相关认定 2</t>
        </is>
      </c>
      <c r="H15" s="151" t="inlineStr">
        <is>
          <t>TB</t>
        </is>
      </c>
      <c r="I15" s="394" t="inlineStr">
        <is>
          <t>已与科目余额表核对无误</t>
        </is>
      </c>
      <c r="J15" s="152" t="n"/>
      <c r="K15" s="152" t="n"/>
      <c r="L15" s="153" t="n"/>
      <c r="Q15" s="52" t="n"/>
      <c r="R15" s="51" t="n"/>
    </row>
    <row r="16" ht="15" customHeight="1" s="588">
      <c r="B16" s="395" t="inlineStr">
        <is>
          <t>完整性 (C)</t>
        </is>
      </c>
      <c r="C16" s="319" t="n"/>
      <c r="D16" s="608">
        <f>IF(C16="Minimal",$C$5*100%,IF(C16="Low",$C$5*75%,IF(C16="Moderate",$C$5*50%,IF(C16="High",$C$5*25%,IF(C16="N/A","-",)))))</f>
        <v/>
      </c>
      <c r="E16" s="609">
        <f>MIN($D$16:$D$20)</f>
        <v/>
      </c>
      <c r="H16" s="154" t="inlineStr">
        <is>
          <t>PY</t>
        </is>
      </c>
      <c r="I16" s="394" t="inlineStr">
        <is>
          <t>与上年最终审定数核对一致</t>
        </is>
      </c>
      <c r="J16" s="424" t="n"/>
      <c r="K16" s="297" t="n"/>
      <c r="L16" s="397" t="n"/>
      <c r="Q16" s="52" t="n"/>
      <c r="R16" s="51" t="n"/>
    </row>
    <row r="17" ht="15" customHeight="1" s="588">
      <c r="B17" s="395" t="inlineStr">
        <is>
          <t>存在性/发生 (E/O)</t>
        </is>
      </c>
      <c r="C17" s="320" t="n"/>
      <c r="D17" s="608">
        <f>IF(C17="Minimal",$C$5*100%,IF(C17="Low",$C$5*75%,IF(C17="Moderate",$C$5*50%,IF(C17="High",$C$5*25%,IF(C17="N/A","-",)))))</f>
        <v/>
      </c>
      <c r="E17" s="610" t="n"/>
      <c r="H17" s="151" t="inlineStr">
        <is>
          <t>A3</t>
        </is>
      </c>
      <c r="I17" s="398" t="inlineStr">
        <is>
          <t>与未审数、审定数核对一致</t>
        </is>
      </c>
      <c r="J17" s="155" t="n"/>
      <c r="K17" s="297" t="n"/>
      <c r="L17" s="397" t="n"/>
      <c r="Q17" s="52" t="n"/>
      <c r="R17" s="51" t="n"/>
    </row>
    <row r="18" ht="15" customHeight="1" s="588">
      <c r="B18" s="367" t="inlineStr">
        <is>
          <t>计价/计量（V/M）</t>
        </is>
      </c>
      <c r="C18" s="320" t="n"/>
      <c r="D18" s="608">
        <f>IF(C18="Minimal",$C$5*100%,IF(C18="Low",$C$5*75%,IF(C18="Moderate",$C$5*50%,IF(C18="High",$C$5*25%,IF(C18="N/A","-",)))))</f>
        <v/>
      </c>
      <c r="E18" s="610" t="n"/>
      <c r="H18" s="151" t="inlineStr">
        <is>
          <t>A5</t>
        </is>
      </c>
      <c r="I18" s="398" t="inlineStr">
        <is>
          <t>与审计调整核对一致</t>
        </is>
      </c>
      <c r="J18" s="156" t="n"/>
      <c r="K18" s="297" t="n"/>
      <c r="L18" s="397" t="n"/>
      <c r="Q18" s="52" t="n"/>
      <c r="R18" s="51" t="n"/>
    </row>
    <row r="19" ht="15" customHeight="1" s="588">
      <c r="B19" s="395" t="inlineStr">
        <is>
          <t>权利和义务 (R&amp;O)</t>
        </is>
      </c>
      <c r="C19" s="320" t="n"/>
      <c r="D19" s="608">
        <f>IF(C19="Minimal",$C$5*100%,IF(C19="Low",$C$5*75%,IF(C19="Moderate",$C$5*50%,IF(C19="High",$C$5*25%,IF(C19="N/A","-",)))))</f>
        <v/>
      </c>
      <c r="E19" s="610" t="n"/>
      <c r="H19" s="157" t="inlineStr">
        <is>
          <t>FS</t>
        </is>
      </c>
      <c r="I19" s="394" t="inlineStr">
        <is>
          <t>与FS.0x与财务报表核对无误</t>
        </is>
      </c>
      <c r="J19" s="100" t="n"/>
      <c r="K19" s="298" t="n"/>
      <c r="L19" s="399" t="n"/>
      <c r="Q19" s="52" t="n"/>
      <c r="R19" s="51" t="n"/>
    </row>
    <row r="20" ht="15" customHeight="1" s="588">
      <c r="B20" s="400" t="inlineStr">
        <is>
          <t>列报和披露 (P&amp;D)</t>
        </is>
      </c>
      <c r="C20" s="320" t="n"/>
      <c r="D20" s="608">
        <f>IF(C20="Minimal",$C$5*100%,IF(C20="Low",$C$5*75%,IF(C20="Moderate",$C$5*50%,IF(C20="High",$C$5*25%,IF(C20="N/A","-",)))))</f>
        <v/>
      </c>
      <c r="E20" s="611" t="n"/>
      <c r="H20" s="158" t="inlineStr">
        <is>
          <t>w</t>
        </is>
      </c>
      <c r="I20" s="394" t="inlineStr">
        <is>
          <t>低于SAD的金额——放弃进一步调查</t>
        </is>
      </c>
      <c r="J20" s="297" t="n"/>
      <c r="K20" s="297" t="n"/>
      <c r="L20" s="397" t="n"/>
      <c r="Q20" s="52" t="n"/>
      <c r="R20" s="51" t="n"/>
    </row>
    <row r="21" ht="16.5" customHeight="1" s="588">
      <c r="B21" s="498" t="inlineStr">
        <is>
          <t xml:space="preserve">1 各项认定的测试阈值，是根据EY GAM SUBSTANTIVE DESIGN 2.2.1 </t>
        </is>
      </c>
      <c r="H21" s="151" t="inlineStr">
        <is>
          <t>Rx</t>
        </is>
      </c>
      <c r="I21" s="394" t="inlineStr">
        <is>
          <t>重新计算，无异常</t>
        </is>
      </c>
      <c r="J21" s="297" t="n"/>
      <c r="K21" s="297" t="n"/>
      <c r="L21" s="397" t="n"/>
      <c r="Q21" s="52" t="n"/>
      <c r="R21" s="51" t="n"/>
    </row>
    <row r="22" ht="16.5" customHeight="1" s="588">
      <c r="B22" s="150" t="inlineStr">
        <is>
          <t>中的示例测试阈值（用占TE的百分比表示）在相应风险等级（CRA）区间的上限计算得出的。</t>
        </is>
      </c>
      <c r="C22" s="498" t="n"/>
      <c r="D22" s="498" t="n"/>
      <c r="E22" s="498" t="n"/>
      <c r="H22" s="158" t="inlineStr">
        <is>
          <t>m</t>
        </is>
      </c>
      <c r="I22" s="394" t="inlineStr">
        <is>
          <t>余额/活动不符合测试范围–无需进一步调查</t>
        </is>
      </c>
      <c r="J22" s="297" t="n"/>
      <c r="K22" s="297" t="n"/>
      <c r="L22" s="397" t="n"/>
      <c r="Q22" s="52" t="n"/>
      <c r="R22" s="51" t="n"/>
    </row>
    <row r="23" ht="16.5" customHeight="1" s="588">
      <c r="B23" s="150" t="inlineStr">
        <is>
          <t>除负债/费用类别账户的完整性认定应当使用负债/费用账户表之外，其他类别账户和认定均可使用资产/收入账户表。</t>
        </is>
      </c>
      <c r="C23" s="498" t="n"/>
      <c r="D23" s="498" t="n"/>
      <c r="E23" s="498" t="n"/>
      <c r="H23" s="161" t="inlineStr">
        <is>
          <t>SL</t>
        </is>
      </c>
      <c r="I23" s="162" t="inlineStr">
        <is>
          <t>已与明细账核对无误</t>
        </is>
      </c>
      <c r="J23" s="159" t="n"/>
      <c r="K23" s="159" t="n"/>
      <c r="L23" s="160" t="n"/>
      <c r="Q23" s="52" t="n"/>
      <c r="R23" s="51" t="n"/>
    </row>
    <row r="24" ht="30.75" customHeight="1" s="588">
      <c r="B24" s="498" t="inlineStr">
        <is>
          <t>2 所有相关认定的测试阈值，是所有有效认定对应之测试阈值的最小值。我们在 Lead中使用该测试阈值：（a）作为选取总账账户进行测试的起点；（b）作为（需要进一步调查的）金额波动范围的起点。</t>
        </is>
      </c>
      <c r="F24" s="327" t="n"/>
      <c r="G24" s="327" t="n"/>
      <c r="Q24" s="52" t="n"/>
      <c r="R24" s="51" t="n"/>
    </row>
    <row r="25" ht="16.5" customHeight="1" s="588">
      <c r="B25" s="328" t="n"/>
      <c r="C25" s="328" t="n"/>
      <c r="D25" s="328" t="n"/>
      <c r="E25" s="328" t="n"/>
      <c r="F25" s="327" t="n"/>
      <c r="G25" s="327" t="n"/>
      <c r="Q25" s="52" t="n"/>
      <c r="R25" s="51" t="n"/>
    </row>
    <row r="26" ht="15" customHeight="1" s="588">
      <c r="B26" s="163" t="inlineStr">
        <is>
          <t>在下文中描述我们对在建工程在此期间的相关账户余额和相关波动的预期，以及我们对这些预期的依据和理由。</t>
        </is>
      </c>
      <c r="C26" s="252" t="n"/>
      <c r="D26" s="252" t="n"/>
      <c r="E26" s="252" t="n"/>
      <c r="F26" s="252" t="n"/>
      <c r="G26" s="252" t="n"/>
      <c r="H26" s="253" t="n"/>
      <c r="I26" s="254" t="n"/>
      <c r="J26" s="254" t="n"/>
      <c r="K26" s="252" t="n"/>
      <c r="L26" s="255" t="n"/>
      <c r="M26" s="3" t="n"/>
      <c r="N26" s="255" t="n"/>
      <c r="O26" s="255" t="n"/>
      <c r="P26" s="255" t="n"/>
      <c r="Q26" s="52" t="n"/>
      <c r="R26" s="51" t="n"/>
    </row>
    <row r="27" ht="25.5" customHeight="1" s="588">
      <c r="B27" s="299" t="inlineStr">
        <is>
          <t>账户变更</t>
        </is>
      </c>
      <c r="C27" s="612" t="inlineStr">
        <is>
          <t>预期及额外考虑</t>
        </is>
      </c>
      <c r="D27" s="590" t="n"/>
      <c r="E27" s="590" t="n"/>
      <c r="F27" s="591" t="n"/>
      <c r="G27" s="55" t="n"/>
      <c r="H27" s="55" t="n"/>
      <c r="I27" s="55" t="n"/>
      <c r="J27" s="55" t="n"/>
      <c r="K27" s="55" t="n"/>
      <c r="L27" s="55" t="n"/>
      <c r="M27" s="55" t="n"/>
      <c r="N27" s="103" t="n"/>
      <c r="O27" s="103" t="n"/>
      <c r="P27" s="103" t="n"/>
      <c r="Q27" s="52" t="n"/>
      <c r="R27" s="51" t="n"/>
    </row>
    <row r="28" ht="25.5" customHeight="1" s="588">
      <c r="B28" s="300" t="inlineStr">
        <is>
          <t>新增</t>
        </is>
      </c>
      <c r="C28" s="613" t="n"/>
      <c r="D28" s="590" t="n"/>
      <c r="E28" s="590" t="n"/>
      <c r="F28" s="591" t="n"/>
      <c r="G28" s="55" t="n"/>
      <c r="H28" s="55" t="n"/>
      <c r="I28" s="55" t="n"/>
      <c r="J28" s="55" t="n"/>
      <c r="K28" s="55" t="n"/>
      <c r="L28" s="55" t="n"/>
      <c r="M28" s="55" t="n"/>
      <c r="N28" s="104" t="n"/>
      <c r="O28" s="104" t="n"/>
      <c r="P28" s="104" t="n"/>
      <c r="Q28" s="52" t="n"/>
      <c r="R28" s="51" t="n"/>
    </row>
    <row r="29" ht="25.5" customHeight="1" s="588">
      <c r="B29" s="300" t="inlineStr">
        <is>
          <t>转出</t>
        </is>
      </c>
      <c r="C29" s="613" t="n"/>
      <c r="D29" s="590" t="n"/>
      <c r="E29" s="590" t="n"/>
      <c r="F29" s="591" t="n"/>
      <c r="G29" s="55" t="n"/>
      <c r="H29" s="55" t="n"/>
      <c r="I29" s="55" t="n"/>
      <c r="J29" s="55" t="n"/>
      <c r="K29" s="55" t="n"/>
      <c r="L29" s="55" t="n"/>
      <c r="M29" s="55" t="n"/>
      <c r="N29" s="104" t="n"/>
      <c r="O29" s="104" t="n"/>
      <c r="P29" s="104" t="n"/>
      <c r="Q29" s="52" t="n"/>
      <c r="R29" s="51" t="n"/>
    </row>
    <row r="30" ht="15" customHeight="1" s="588">
      <c r="C30" s="55" t="n"/>
      <c r="D30" s="55" t="n"/>
      <c r="E30" s="55" t="n"/>
      <c r="F30" s="55" t="n"/>
      <c r="G30" s="55" t="n"/>
      <c r="H30" s="55" t="n"/>
      <c r="I30" s="55" t="n"/>
      <c r="J30" s="55" t="n"/>
      <c r="K30" s="55" t="n"/>
      <c r="L30" s="56" t="n"/>
      <c r="M30" s="329" t="n"/>
      <c r="Q30" s="52" t="n"/>
      <c r="R30" s="51" t="n"/>
    </row>
    <row r="31" ht="15" customHeight="1" s="588">
      <c r="D31" s="55" t="n"/>
      <c r="E31" s="55" t="n"/>
      <c r="F31" s="55" t="n"/>
      <c r="G31" s="55" t="n"/>
      <c r="H31" s="55" t="n"/>
      <c r="I31" s="55" t="n"/>
      <c r="J31" s="55" t="n"/>
      <c r="K31" s="55" t="n"/>
      <c r="L31" s="56" t="n"/>
      <c r="M31" s="329" t="n"/>
      <c r="P31" s="57" t="n"/>
      <c r="Q31" s="52" t="n"/>
    </row>
    <row r="32" ht="15" customHeight="1" s="588">
      <c r="B32" s="301" t="inlineStr">
        <is>
          <t>波动范围</t>
        </is>
      </c>
      <c r="C32" s="301" t="n"/>
      <c r="D32" s="209" t="n"/>
      <c r="E32" s="59" t="n"/>
      <c r="F32" s="59" t="n"/>
      <c r="G32" s="59" t="n"/>
      <c r="H32" s="59" t="n"/>
      <c r="I32" s="59" t="n"/>
      <c r="J32" s="59" t="n"/>
      <c r="K32" s="59" t="n"/>
      <c r="L32" s="59" t="n"/>
      <c r="M32" s="59" t="n"/>
      <c r="N32" s="59" t="n"/>
      <c r="O32" s="59" t="n"/>
      <c r="Q32" s="52" t="n"/>
    </row>
    <row r="33" ht="15" customHeight="1" s="588">
      <c r="B33" s="302">
        <f>"波动幅度 ("&amp; C8&amp; "):"</f>
        <v/>
      </c>
      <c r="C33" s="614">
        <f>$E$16</f>
        <v/>
      </c>
      <c r="N33" s="66" t="n"/>
      <c r="Q33" s="52" t="n"/>
    </row>
    <row r="34" ht="15" customFormat="1" customHeight="1" s="60">
      <c r="B34" s="463" t="inlineStr">
        <is>
          <t>波动幅度 (%):</t>
        </is>
      </c>
      <c r="C34" s="304" t="n">
        <v>0.1</v>
      </c>
      <c r="Q34" s="52" t="n"/>
      <c r="R34" s="62" t="n"/>
    </row>
    <row r="35" ht="15" customFormat="1" customHeight="1" s="60">
      <c r="B35" s="77" t="n"/>
      <c r="C35" s="51" t="n"/>
      <c r="Q35" s="52" t="n"/>
      <c r="R35" s="62" t="n"/>
    </row>
    <row r="36" ht="18.65" customFormat="1" customHeight="1" s="60">
      <c r="B36" s="401" t="inlineStr">
        <is>
          <t>我们获取或编制了与前期对比的在建工程及相关账户的引导表。我们将本期余额与试算平衡表核对一致，并将上期余额与前期已审计工作底稿核对一致（如适用）。</t>
        </is>
      </c>
      <c r="C36" s="164" t="n"/>
      <c r="D36" s="164" t="n"/>
      <c r="E36" s="164" t="n"/>
      <c r="F36" s="164" t="n"/>
      <c r="G36" s="164" t="n"/>
      <c r="H36" s="164" t="n"/>
      <c r="I36" s="164" t="n"/>
      <c r="J36" s="164" t="n"/>
      <c r="K36" s="164" t="n"/>
      <c r="L36" s="164" t="n"/>
      <c r="M36" s="164" t="n"/>
      <c r="Q36" s="52" t="n"/>
      <c r="R36" s="62" t="n"/>
    </row>
    <row r="37" ht="18.65" customFormat="1" customHeight="1" s="60">
      <c r="B37" s="163" t="inlineStr">
        <is>
          <t>我们记录了我们对期间内在建工程活动变动的预期以及做出这些预期的基础和理由。</t>
        </is>
      </c>
      <c r="C37" s="164" t="n"/>
      <c r="D37" s="164" t="n"/>
      <c r="E37" s="164" t="n"/>
      <c r="F37" s="164" t="n"/>
      <c r="G37" s="164" t="n"/>
      <c r="H37" s="164" t="n"/>
      <c r="I37" s="164" t="n"/>
      <c r="J37" s="164" t="n"/>
      <c r="K37" s="164" t="n"/>
      <c r="L37" s="164" t="n"/>
      <c r="M37" s="164" t="n"/>
      <c r="Q37" s="52" t="n"/>
      <c r="R37" s="62" t="n"/>
    </row>
    <row r="38" ht="18.65" customFormat="1" customHeight="1" s="60">
      <c r="B38" s="163" t="inlineStr">
        <is>
          <t>我们将期末余额与上期余额进行比较。我们调查了超出测试阈值的波动以及代表异常或预期外变动或预期中变动未发生的波动，并确定其对我们计划实质性程序的影响（如有）。</t>
        </is>
      </c>
      <c r="C38" s="164" t="n"/>
      <c r="D38" s="164" t="n"/>
      <c r="E38" s="164" t="n"/>
      <c r="F38" s="164" t="n"/>
      <c r="G38" s="164" t="n"/>
      <c r="H38" s="164" t="n"/>
      <c r="I38" s="164" t="n"/>
      <c r="J38" s="164" t="n"/>
      <c r="K38" s="164" t="n"/>
      <c r="L38" s="164" t="n"/>
      <c r="M38" s="164" t="n"/>
      <c r="Q38" s="52" t="n"/>
      <c r="R38" s="62" t="n"/>
    </row>
    <row r="39" ht="15" customFormat="1" customHeight="1" s="60">
      <c r="B39" s="77" t="n"/>
      <c r="C39" s="51" t="n"/>
      <c r="Q39" s="52" t="n"/>
      <c r="R39" s="62" t="n"/>
    </row>
    <row r="40" ht="15" customFormat="1" customHeight="1" s="67">
      <c r="E40" s="63" t="n"/>
      <c r="F40" s="63" t="n"/>
      <c r="G40" s="63" t="n"/>
      <c r="H40" s="63" t="n"/>
      <c r="I40" s="63" t="n"/>
      <c r="O40" s="330" t="n"/>
      <c r="P40" s="78" t="n"/>
      <c r="Q40" s="52" t="n"/>
    </row>
    <row r="41" ht="15" customHeight="1" s="588">
      <c r="B41" s="271" t="n"/>
      <c r="C41" s="271" t="n"/>
      <c r="D41" s="14" t="n"/>
      <c r="E41" s="14" t="inlineStr">
        <is>
          <t>|------- TB -------|</t>
        </is>
      </c>
      <c r="F41" s="14" t="n"/>
      <c r="G41" s="14" t="n"/>
      <c r="H41" s="14" t="n"/>
      <c r="I41" s="234" t="n"/>
      <c r="J41" s="325" t="inlineStr">
        <is>
          <t>|------- PY -------|</t>
        </is>
      </c>
      <c r="K41" s="271" t="n"/>
      <c r="L41" s="271" t="n"/>
      <c r="M41" s="271" t="n"/>
      <c r="N41" s="331" t="n"/>
      <c r="O41" s="331" t="n"/>
      <c r="Q41" s="52" t="n"/>
      <c r="R41" s="51" t="n"/>
    </row>
    <row r="42" ht="15" customHeight="1" s="588">
      <c r="B42" s="234" t="n"/>
      <c r="C42" s="234" t="n"/>
      <c r="D42" s="234" t="n"/>
      <c r="E42" s="508">
        <f>"货币/单位: "&amp;C8</f>
        <v/>
      </c>
      <c r="F42" s="590" t="n"/>
      <c r="G42" s="590" t="n"/>
      <c r="H42" s="590" t="n"/>
      <c r="I42" s="590" t="n"/>
      <c r="J42" s="590" t="n"/>
      <c r="K42" s="343" t="n"/>
      <c r="L42" s="272" t="n"/>
      <c r="M42" s="234" t="n"/>
      <c r="N42" s="234" t="n"/>
      <c r="O42" s="332" t="n"/>
      <c r="Q42" s="52" t="n"/>
      <c r="R42" s="51" t="n"/>
    </row>
    <row r="43" ht="15" customHeight="1" s="588">
      <c r="B43" s="273" t="n"/>
      <c r="C43" s="273" t="n"/>
      <c r="D43" s="273" t="n"/>
      <c r="E43" s="615">
        <f>$C$3</f>
        <v/>
      </c>
      <c r="F43" s="592" t="n"/>
      <c r="G43" s="592" t="n"/>
      <c r="H43" s="592" t="n"/>
      <c r="I43" s="593" t="n"/>
      <c r="J43" s="274">
        <f>DATE(YEAR($C$3)-1,12,31)</f>
        <v/>
      </c>
      <c r="K43" s="616" t="inlineStr">
        <is>
          <t>本期和上期期末余额</t>
        </is>
      </c>
      <c r="L43" s="617" t="n"/>
      <c r="M43" s="275" t="n"/>
      <c r="N43" s="482" t="inlineStr">
        <is>
          <t>基于波动幅度判断，是否进一步调查？</t>
        </is>
      </c>
      <c r="O43" s="618" t="inlineStr">
        <is>
          <t>基于定性考虑判断，是否进一步调查？</t>
        </is>
      </c>
      <c r="Q43" s="52" t="n"/>
      <c r="R43" s="51" t="n"/>
    </row>
    <row r="44" ht="15" customHeight="1" s="588">
      <c r="B44" s="276" t="inlineStr">
        <is>
          <t>总账科目编码</t>
        </is>
      </c>
      <c r="C44" s="276" t="inlineStr">
        <is>
          <t>科目名称</t>
        </is>
      </c>
      <c r="D44" s="276" t="inlineStr">
        <is>
          <t>索引号</t>
        </is>
      </c>
      <c r="E44" s="277" t="inlineStr">
        <is>
          <t>期末账面数</t>
        </is>
      </c>
      <c r="F44" s="278" t="inlineStr">
        <is>
          <t>账表调整数</t>
        </is>
      </c>
      <c r="G44" s="278" t="inlineStr">
        <is>
          <t>期末未审数</t>
        </is>
      </c>
      <c r="H44" s="278" t="inlineStr">
        <is>
          <t>审计调整数</t>
        </is>
      </c>
      <c r="I44" s="277" t="inlineStr">
        <is>
          <t>期末审定数</t>
        </is>
      </c>
      <c r="J44" s="277" t="inlineStr">
        <is>
          <t>上期末审定数</t>
        </is>
      </c>
      <c r="K44" s="279" t="inlineStr">
        <is>
          <t>变动金额</t>
        </is>
      </c>
      <c r="L44" s="278" t="inlineStr">
        <is>
          <t>变动%</t>
        </is>
      </c>
      <c r="M44" s="280" t="inlineStr">
        <is>
          <t>Notes</t>
        </is>
      </c>
      <c r="N44" s="619" t="n"/>
      <c r="O44" s="620" t="n"/>
      <c r="Q44" s="52" t="n"/>
      <c r="R44" s="51" t="n"/>
    </row>
    <row r="45" ht="15" customFormat="1" customHeight="1" s="621">
      <c r="B45" s="326" t="n"/>
      <c r="C45" s="326" t="inlineStr">
        <is>
          <t>在建工程-原值</t>
        </is>
      </c>
      <c r="D45" s="421" t="inlineStr">
        <is>
          <t>J.01/</t>
        </is>
      </c>
      <c r="E45" s="622">
        <f>'J.01 Agree SL to GL'!E17</f>
        <v/>
      </c>
      <c r="F45" s="622">
        <f>'J.01 Agree SL to GL'!G17</f>
        <v/>
      </c>
      <c r="G45" s="622">
        <f>E45+F45</f>
        <v/>
      </c>
      <c r="H45" s="622">
        <f>'J.01 Agree SL to GL'!I17</f>
        <v/>
      </c>
      <c r="I45" s="622">
        <f>G45+H45</f>
        <v/>
      </c>
      <c r="J45" s="622">
        <f>G45+H45</f>
        <v/>
      </c>
      <c r="K45" s="623">
        <f>I45-J45</f>
        <v/>
      </c>
      <c r="L45" s="348">
        <f>IF(J45&lt;&gt;0,K45/J45,1)</f>
        <v/>
      </c>
      <c r="M45" s="335" t="inlineStr">
        <is>
          <t>[A]</t>
        </is>
      </c>
      <c r="N45" s="425">
        <f>IF(AND(ABS(K45)&gt;=$C$33,ABS(L45)&gt;=$C$34),"是","否")</f>
        <v/>
      </c>
      <c r="O45" s="524" t="n"/>
      <c r="Q45" s="624" t="n"/>
    </row>
    <row r="46" ht="15" customFormat="1" customHeight="1" s="621">
      <c r="B46" s="326" t="n"/>
      <c r="C46" s="326" t="inlineStr">
        <is>
          <t>在建工程减值准备</t>
        </is>
      </c>
      <c r="D46" s="421" t="inlineStr">
        <is>
          <t>J.01/</t>
        </is>
      </c>
      <c r="E46" s="622">
        <f>'J.01 Agree SL to GL'!E22</f>
        <v/>
      </c>
      <c r="F46" s="622">
        <f>'J.01 Agree SL to GL'!G22</f>
        <v/>
      </c>
      <c r="G46" s="622">
        <f>E46+F46</f>
        <v/>
      </c>
      <c r="H46" s="622">
        <f>'J.01 Agree SL to GL'!I22</f>
        <v/>
      </c>
      <c r="I46" s="622">
        <f>G46+H46</f>
        <v/>
      </c>
      <c r="J46" s="622">
        <f>G46+H46</f>
        <v/>
      </c>
      <c r="K46" s="623">
        <f>I46-J46</f>
        <v/>
      </c>
      <c r="L46" s="348">
        <f>IF(J46&lt;&gt;0,K46/J46,1)</f>
        <v/>
      </c>
      <c r="M46" s="335" t="n"/>
      <c r="N46" s="336">
        <f>IF(AND(ABS(K46)&gt;=$C$33,ABS(L46)&gt;=$C$34),"是","否")</f>
        <v/>
      </c>
      <c r="O46" s="524" t="n"/>
      <c r="Q46" s="624" t="n"/>
    </row>
    <row r="47" ht="15" customHeight="1" s="588">
      <c r="B47" s="333" t="n"/>
      <c r="E47" s="625" t="n"/>
      <c r="F47" s="625" t="n"/>
      <c r="G47" s="625" t="n"/>
      <c r="H47" s="625" t="n"/>
      <c r="I47" s="625" t="n"/>
      <c r="J47" s="625" t="n"/>
      <c r="K47" s="626" t="n"/>
      <c r="L47" s="341" t="n"/>
      <c r="M47" s="58" t="n"/>
      <c r="N47" s="66" t="n"/>
      <c r="O47" s="422" t="n"/>
      <c r="Q47" s="52" t="n"/>
      <c r="R47" s="51" t="n"/>
    </row>
    <row r="48" ht="15" customHeight="1" s="588" thickBot="1">
      <c r="C48" s="67" t="inlineStr">
        <is>
          <t>净值</t>
        </is>
      </c>
      <c r="E48" s="627">
        <f>E45-E46</f>
        <v/>
      </c>
      <c r="F48" s="627">
        <f>F45-F46</f>
        <v/>
      </c>
      <c r="G48" s="627">
        <f>G45-G46</f>
        <v/>
      </c>
      <c r="H48" s="627">
        <f>H45-H46</f>
        <v/>
      </c>
      <c r="I48" s="627">
        <f>I45-I46</f>
        <v/>
      </c>
      <c r="J48" s="627">
        <f>I45-I46</f>
        <v/>
      </c>
      <c r="K48" s="627">
        <f>K45-K46</f>
        <v/>
      </c>
      <c r="L48" s="419">
        <f>IF(J48&lt;&gt;0,K48/J48,1)</f>
        <v/>
      </c>
      <c r="M48" s="65" t="n"/>
      <c r="N48" s="336">
        <f>IF(AND(ABS(K48)&gt;=$C$33,ABS(L48)&gt;=$C$34),"是","否")</f>
        <v/>
      </c>
      <c r="O48" s="524" t="n"/>
      <c r="Q48" s="52" t="n"/>
      <c r="R48" s="51" t="n"/>
    </row>
    <row r="49" ht="15" customHeight="1" s="588" thickTop="1">
      <c r="C49" s="67" t="n"/>
      <c r="E49" s="628" t="inlineStr">
        <is>
          <t>Rx</t>
        </is>
      </c>
      <c r="F49" s="628" t="inlineStr">
        <is>
          <t>Rx</t>
        </is>
      </c>
      <c r="G49" s="628" t="inlineStr">
        <is>
          <t>Rx</t>
        </is>
      </c>
      <c r="H49" s="628" t="inlineStr">
        <is>
          <t>Rx</t>
        </is>
      </c>
      <c r="I49" s="628" t="inlineStr">
        <is>
          <t>Rx</t>
        </is>
      </c>
      <c r="J49" s="628" t="inlineStr">
        <is>
          <t>Rx</t>
        </is>
      </c>
      <c r="K49" s="629" t="n"/>
      <c r="L49" s="630" t="n"/>
      <c r="M49" s="65" t="n"/>
      <c r="N49" s="66" t="n"/>
      <c r="O49" s="630" t="n"/>
      <c r="Q49" s="52" t="n"/>
      <c r="R49" s="51" t="n"/>
    </row>
    <row r="50" ht="15" customHeight="1" s="588">
      <c r="C50" s="67" t="n"/>
      <c r="E50" s="628" t="n"/>
      <c r="F50" s="629" t="n"/>
      <c r="G50" s="629" t="n"/>
      <c r="H50" s="629" t="n"/>
      <c r="I50" s="629" t="n"/>
      <c r="J50" s="629" t="n"/>
      <c r="K50" s="629" t="n"/>
      <c r="L50" s="630" t="n"/>
      <c r="M50" s="65" t="n"/>
      <c r="N50" s="66" t="n"/>
      <c r="O50" s="630" t="n"/>
      <c r="Q50" s="52" t="n"/>
      <c r="R50" s="51" t="n"/>
    </row>
    <row r="51" ht="15" customHeight="1" s="588">
      <c r="C51" s="135" t="inlineStr">
        <is>
          <t>check with A3</t>
        </is>
      </c>
      <c r="E51" s="342" t="n"/>
      <c r="F51" s="629" t="n"/>
      <c r="G51" s="631" t="n"/>
      <c r="H51" s="629" t="n"/>
      <c r="I51" s="631" t="n"/>
      <c r="J51" s="631">
        <f>[2]浙江力积A3!$BZ$65</f>
        <v/>
      </c>
      <c r="K51" s="629" t="n"/>
      <c r="L51" s="630" t="n"/>
      <c r="M51" s="65" t="n"/>
      <c r="N51" s="66" t="n"/>
      <c r="O51" s="107" t="n"/>
      <c r="Q51" s="52" t="n"/>
      <c r="R51" s="51" t="n"/>
    </row>
    <row r="52" ht="15" customHeight="1" s="588">
      <c r="C52" s="135" t="inlineStr">
        <is>
          <t>Diff</t>
        </is>
      </c>
      <c r="D52" s="63" t="n"/>
      <c r="E52" s="342" t="n"/>
      <c r="F52" s="632" t="n"/>
      <c r="G52" s="632">
        <f>G48-G51</f>
        <v/>
      </c>
      <c r="H52" s="633" t="n"/>
      <c r="I52" s="632">
        <f>I48-I51</f>
        <v/>
      </c>
      <c r="J52" s="632">
        <f>I48-I51</f>
        <v/>
      </c>
      <c r="L52" s="629" t="n"/>
      <c r="M52" s="630" t="n"/>
      <c r="N52" s="65" t="n"/>
      <c r="O52" s="66" t="n"/>
      <c r="P52" s="107" t="n"/>
      <c r="Q52" s="52" t="n"/>
    </row>
    <row r="53" ht="15" customHeight="1" s="588">
      <c r="B53" s="281" t="inlineStr">
        <is>
          <t>波动说明</t>
        </is>
      </c>
      <c r="C53" s="271" t="n"/>
      <c r="D53" s="271" t="n"/>
      <c r="E53" s="271" t="n"/>
      <c r="F53" s="271" t="n"/>
      <c r="G53" s="634" t="n"/>
      <c r="H53" s="634" t="n"/>
      <c r="I53" s="634" t="n"/>
      <c r="J53" s="634" t="n"/>
      <c r="K53" s="630" t="n"/>
      <c r="L53" s="65" t="n"/>
      <c r="M53" s="66" t="n"/>
      <c r="N53" s="630" t="n"/>
      <c r="O53" s="107" t="n"/>
      <c r="P53" s="58" t="n"/>
      <c r="Q53" s="52" t="n"/>
      <c r="R53" s="51" t="n"/>
    </row>
    <row r="54" ht="15" customFormat="1" customHeight="1" s="60">
      <c r="B54" s="635" t="inlineStr">
        <is>
          <t>[A]</t>
        </is>
      </c>
      <c r="C54" s="636" t="n"/>
      <c r="D54" s="636" t="n"/>
      <c r="E54" s="636" t="n"/>
      <c r="F54" s="637" t="n"/>
      <c r="J54" s="68" t="n"/>
      <c r="K54" s="68" t="n"/>
      <c r="L54" s="68" t="n"/>
      <c r="M54" s="69" t="n"/>
      <c r="N54" s="69" t="n"/>
      <c r="O54" s="69" t="n"/>
      <c r="Q54" s="61" t="n"/>
    </row>
    <row r="55" ht="15" customHeight="1" s="588">
      <c r="B55" s="638" t="n"/>
      <c r="C55" s="527" t="n"/>
      <c r="D55" s="527" t="n"/>
      <c r="E55" s="527" t="n"/>
      <c r="F55" s="639" t="n"/>
      <c r="I55" s="78" t="n"/>
      <c r="K55" s="640" t="n"/>
      <c r="L55" s="73" t="n"/>
      <c r="M55" s="73" t="n"/>
      <c r="N55" s="73" t="n"/>
      <c r="O55" s="73" t="n"/>
      <c r="Q55" s="52" t="n"/>
      <c r="R55" s="51" t="n"/>
    </row>
    <row r="56" ht="15" customHeight="1" s="588">
      <c r="B56" s="638" t="n"/>
      <c r="C56" s="527" t="n"/>
      <c r="D56" s="527" t="n"/>
      <c r="E56" s="527" t="n"/>
      <c r="F56" s="639" t="n"/>
      <c r="K56" s="640" t="n"/>
      <c r="L56" s="73" t="n"/>
      <c r="M56" s="73" t="n"/>
      <c r="N56" s="73" t="n"/>
      <c r="O56" s="73" t="n"/>
      <c r="Q56" s="52" t="n"/>
      <c r="R56" s="51" t="n"/>
    </row>
    <row r="57" ht="15" customHeight="1" s="588">
      <c r="B57" s="641" t="n"/>
      <c r="C57" s="642" t="n"/>
      <c r="D57" s="642" t="n"/>
      <c r="E57" s="642" t="n"/>
      <c r="F57" s="643" t="n"/>
      <c r="K57" s="640" t="n"/>
      <c r="L57" s="73" t="n"/>
      <c r="M57" s="73" t="n"/>
      <c r="N57" s="73" t="n"/>
      <c r="O57" s="73" t="n"/>
      <c r="Q57" s="52" t="n"/>
      <c r="R57" s="51" t="n"/>
    </row>
    <row r="58" ht="15" customHeight="1" s="588">
      <c r="B58" s="644" t="n"/>
      <c r="L58" s="640" t="n"/>
      <c r="M58" s="73" t="n"/>
      <c r="N58" s="73" t="n"/>
      <c r="O58" s="73" t="n"/>
      <c r="P58" s="73" t="n"/>
      <c r="Q58" s="52" t="n"/>
    </row>
    <row r="59" ht="14.5" customFormat="1" customHeight="1" s="124">
      <c r="A59" s="120" t="n"/>
      <c r="B59" s="179" t="inlineStr">
        <is>
          <t>调整汇总表（如不适用请删除）</t>
        </is>
      </c>
      <c r="C59" s="121" t="n"/>
      <c r="D59" s="121" t="n"/>
      <c r="E59" s="122" t="n"/>
      <c r="F59" s="554" t="n"/>
      <c r="G59" s="645" t="n"/>
      <c r="H59" s="645" t="n"/>
      <c r="I59" s="645" t="n"/>
      <c r="Q59" s="52" t="n"/>
    </row>
    <row r="60" ht="14.25" customFormat="1" customHeight="1" s="124">
      <c r="A60" s="120" t="n"/>
      <c r="B60" s="646" t="inlineStr">
        <is>
          <t>调整类型</t>
        </is>
      </c>
      <c r="C60" s="173" t="n"/>
      <c r="D60" s="173" t="n"/>
      <c r="E60" s="174" t="n"/>
      <c r="F60" s="174" t="n"/>
      <c r="G60" s="645" t="n"/>
      <c r="H60" s="645" t="n"/>
      <c r="I60" s="645" t="n"/>
      <c r="Q60" s="52" t="n"/>
    </row>
    <row r="61" ht="14.25" customFormat="1" customHeight="1" s="124">
      <c r="A61" s="120" t="n"/>
      <c r="B61" s="175" t="n"/>
      <c r="C61" s="176" t="n"/>
      <c r="D61" s="176" t="n"/>
      <c r="E61" s="411" t="n"/>
      <c r="F61" s="412" t="n"/>
      <c r="G61" s="645" t="n"/>
      <c r="H61" s="645" t="n"/>
      <c r="I61" s="645" t="n"/>
      <c r="Q61" s="52" t="n"/>
    </row>
    <row r="62" ht="14.25" customFormat="1" customHeight="1" s="124">
      <c r="A62" s="125" t="n"/>
      <c r="B62" s="177" t="n"/>
      <c r="C62" s="413" t="n"/>
      <c r="D62" s="413" t="n"/>
      <c r="E62" s="414" t="n"/>
      <c r="F62" s="415" t="n"/>
      <c r="G62" s="645" t="n"/>
      <c r="H62" s="645" t="n"/>
      <c r="I62" s="645" t="n"/>
      <c r="Q62" s="52" t="n"/>
    </row>
    <row r="63" ht="15" customFormat="1" customHeight="1" s="60">
      <c r="B63" s="178" t="n"/>
      <c r="C63" s="416" t="n"/>
      <c r="D63" s="416" t="n"/>
      <c r="E63" s="417" t="n"/>
      <c r="F63" s="418" t="n"/>
      <c r="M63" s="647" t="n"/>
      <c r="N63" s="70" t="n"/>
      <c r="O63" s="70" t="n"/>
      <c r="P63" s="70" t="n"/>
      <c r="Q63" s="61" t="n"/>
      <c r="R63" s="62" t="n"/>
    </row>
    <row r="64" ht="15" customFormat="1" customHeight="1" s="60">
      <c r="B64" s="645" t="n"/>
      <c r="C64" s="645" t="n"/>
      <c r="D64" s="645" t="n"/>
      <c r="E64" s="645" t="n"/>
      <c r="F64" s="645" t="n"/>
      <c r="M64" s="647" t="n"/>
      <c r="N64" s="70" t="n"/>
      <c r="O64" s="70" t="n"/>
      <c r="P64" s="70" t="n"/>
      <c r="Q64" s="61" t="n"/>
      <c r="R64" s="62" t="n"/>
    </row>
    <row r="65" ht="7.5" customHeight="1" s="588">
      <c r="A65" s="108" t="n"/>
      <c r="B65" s="108" t="n"/>
      <c r="C65" s="108" t="n"/>
      <c r="D65" s="108" t="n"/>
      <c r="E65" s="108" t="n"/>
      <c r="F65" s="108" t="n"/>
      <c r="G65" s="108" t="n"/>
      <c r="H65" s="52" t="n"/>
      <c r="I65" s="52" t="n"/>
      <c r="J65" s="52" t="n"/>
      <c r="K65" s="52" t="n"/>
      <c r="L65" s="52" t="n"/>
      <c r="M65" s="648" t="n"/>
      <c r="N65" s="76" t="n"/>
      <c r="O65" s="76" t="n"/>
      <c r="P65" s="76" t="n"/>
      <c r="Q65" s="52" t="n"/>
    </row>
    <row r="66" ht="15" customHeight="1" s="588">
      <c r="M66" s="640" t="n"/>
      <c r="N66" s="73" t="n"/>
      <c r="O66" s="73" t="n"/>
      <c r="P66" s="73" t="n"/>
    </row>
    <row r="67" ht="15" customHeight="1" s="588">
      <c r="M67" s="640" t="n"/>
      <c r="N67" s="73" t="n"/>
      <c r="O67" s="73" t="n"/>
      <c r="P67" s="73" t="n"/>
    </row>
    <row r="68" ht="15" customHeight="1" s="588">
      <c r="P68" s="73" t="n"/>
    </row>
    <row r="69" ht="15" customHeight="1" s="588">
      <c r="P69" s="73" t="n"/>
    </row>
    <row r="70" ht="15" customHeight="1" s="588">
      <c r="P70" s="73" t="n"/>
    </row>
    <row r="71" ht="15" customHeight="1" s="588">
      <c r="P71" s="73" t="n"/>
    </row>
    <row r="72" ht="15" customHeight="1" s="588">
      <c r="P72" s="73" t="n"/>
    </row>
  </sheetData>
  <mergeCells count="13">
    <mergeCell ref="N43:N44"/>
    <mergeCell ref="E43:I43"/>
    <mergeCell ref="K43:L43"/>
    <mergeCell ref="O43:O44"/>
    <mergeCell ref="E42:J42"/>
    <mergeCell ref="B21:E21"/>
    <mergeCell ref="B54:F57"/>
    <mergeCell ref="C29:F29"/>
    <mergeCell ref="H14:L14"/>
    <mergeCell ref="B24:E24"/>
    <mergeCell ref="C27:F27"/>
    <mergeCell ref="E2:O8"/>
    <mergeCell ref="C28:F28"/>
  </mergeCells>
  <conditionalFormatting sqref="B45:C46">
    <cfRule type="containsBlanks" priority="5" dxfId="0">
      <formula>LEN(TRIM(B45))=0</formula>
    </cfRule>
  </conditionalFormatting>
  <conditionalFormatting sqref="B61:F61 B62:B63 C62:F62">
    <cfRule type="containsBlanks" priority="2" dxfId="0">
      <formula>LEN(TRIM(B61))=0</formula>
    </cfRule>
  </conditionalFormatting>
  <conditionalFormatting sqref="C2 C4:C8 E45:F46 H45:H46 J45:J46 O45:O46">
    <cfRule type="containsBlanks" priority="27" dxfId="0">
      <formula>LEN(TRIM(C2))=0</formula>
    </cfRule>
  </conditionalFormatting>
  <conditionalFormatting sqref="C3">
    <cfRule type="containsBlanks" priority="3" dxfId="40">
      <formula>LEN(TRIM(C3))=0</formula>
    </cfRule>
  </conditionalFormatting>
  <conditionalFormatting sqref="C16:C20">
    <cfRule type="containsBlanks" priority="6" dxfId="0">
      <formula>LEN(TRIM(C16))=0</formula>
    </cfRule>
  </conditionalFormatting>
  <conditionalFormatting sqref="C28:C29">
    <cfRule type="containsBlanks" priority="23" dxfId="0">
      <formula>LEN(TRIM(C28))=0</formula>
    </cfRule>
  </conditionalFormatting>
  <conditionalFormatting sqref="C34">
    <cfRule type="containsBlanks" priority="24" dxfId="0">
      <formula>LEN(TRIM(C34))=0</formula>
    </cfRule>
  </conditionalFormatting>
  <conditionalFormatting sqref="C63:F63">
    <cfRule type="containsBlanks" priority="1" dxfId="40">
      <formula>LEN(TRIM(C63))=0</formula>
    </cfRule>
  </conditionalFormatting>
  <conditionalFormatting sqref="G51">
    <cfRule type="containsBlanks" priority="4" dxfId="0">
      <formula>LEN(TRIM(G51))=0</formula>
    </cfRule>
  </conditionalFormatting>
  <conditionalFormatting sqref="I51:J51">
    <cfRule type="containsBlanks" priority="15" dxfId="0">
      <formula>LEN(TRIM(I51))=0</formula>
    </cfRule>
  </conditionalFormatting>
  <conditionalFormatting sqref="M53 N49:N51 O52">
    <cfRule type="containsText" priority="43" operator="containsText" dxfId="37" text="Yes">
      <formula>NOT(ISERROR(SEARCH("Yes",M49)))</formula>
    </cfRule>
  </conditionalFormatting>
  <conditionalFormatting sqref="O48">
    <cfRule type="containsBlanks" priority="9" dxfId="0">
      <formula>LEN(TRIM(O48))=0</formula>
    </cfRule>
  </conditionalFormatting>
  <dataValidations count="3">
    <dataValidation sqref="C16:C20" showDropDown="0" showInputMessage="1" showErrorMessage="0" allowBlank="1" type="list">
      <formula1>"Minimal,Low,Moderate,High,N/A"</formula1>
    </dataValidation>
    <dataValidation sqref="O45:O46 O48" showDropDown="0" showInputMessage="1" showErrorMessage="0" allowBlank="1" type="list">
      <formula1>"是,否"</formula1>
    </dataValidation>
    <dataValidation sqref="B61:B63" showDropDown="0" showInputMessage="1" showErrorMessage="0" allowBlank="1" type="list">
      <formula1>"管理层账表调整(CLA),已更正审计调整(AA/RA/OA),未更正审计调整(SAD)"</formula1>
    </dataValidation>
  </dataValidations>
  <hyperlinks>
    <hyperlink ref="B11" location="汇总!A1" display="返回汇总页"/>
  </hyperlinks>
  <pageMargins left="0.7086614173228351" right="0.7086614173228351" top="0.748031496062992" bottom="0.748031496062992" header="0.31496062992126" footer="0.31496062992126"/>
  <pageSetup orientation="landscape" paperSize="9" scale="44" fitToHeight="0" horizontalDpi="300"/>
  <headerFooter>
    <oddHeader/>
    <oddFooter>&amp;LK SWP PPE_x000a_(24 June 2025)</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CQ46"/>
  <sheetViews>
    <sheetView showGridLines="0" zoomScale="70" zoomScaleNormal="70" workbookViewId="0">
      <selection activeCell="P43" sqref="P43"/>
    </sheetView>
  </sheetViews>
  <sheetFormatPr baseColWidth="8" defaultColWidth="8.75" defaultRowHeight="12.75" customHeight="1"/>
  <cols>
    <col width="2.58203125" customWidth="1" style="2" min="1" max="1"/>
    <col width="16.08203125" customWidth="1" style="2" min="2" max="2"/>
    <col width="19.83203125" customWidth="1" style="2" min="3" max="3"/>
    <col width="11.33203125" customWidth="1" style="2" min="4" max="4"/>
    <col width="20.08203125" customWidth="1" style="2" min="5" max="5"/>
    <col width="4.08203125" customWidth="1" style="2" min="6" max="6"/>
    <col width="18.33203125" customWidth="1" style="2" min="7" max="7"/>
    <col width="4.75" customWidth="1" style="2" min="8" max="8"/>
    <col width="13.5" customWidth="1" style="2" min="9" max="9"/>
    <col width="3.33203125" customWidth="1" style="2" min="10" max="10"/>
    <col width="15.25" customWidth="1" style="2" min="11" max="11"/>
    <col width="2.58203125" customWidth="1" style="2" min="12" max="12"/>
    <col width="1.58203125" customWidth="1" style="2" min="13" max="13"/>
    <col width="8.75" customWidth="1" style="3" min="14" max="14"/>
    <col width="8.75" customWidth="1" style="2" min="15" max="16384"/>
  </cols>
  <sheetData>
    <row r="1" ht="50.15" customFormat="1" customHeight="1" s="51">
      <c r="B1" s="426" t="n"/>
      <c r="C1" s="426" t="inlineStr">
        <is>
          <t>标准工作底稿: J1 SWP 在建工程</t>
        </is>
      </c>
      <c r="D1" s="427" t="n"/>
      <c r="E1" s="428" t="n"/>
      <c r="F1" s="429" t="n"/>
      <c r="G1" s="429" t="n"/>
      <c r="H1" s="429" t="n"/>
      <c r="I1" s="423" t="n"/>
      <c r="J1" s="423" t="n"/>
      <c r="K1" s="430" t="n"/>
      <c r="M1" s="52" t="n"/>
    </row>
    <row r="2" ht="30" customHeight="1" s="588">
      <c r="B2" s="402" t="inlineStr">
        <is>
          <t>J.01 Agree SL to GL</t>
        </is>
      </c>
      <c r="C2" s="305" t="n"/>
      <c r="D2" s="305" t="n"/>
      <c r="E2" s="306" t="n"/>
      <c r="F2" s="306" t="n"/>
      <c r="G2" s="306" t="n"/>
      <c r="H2" s="306" t="n"/>
      <c r="I2" s="306" t="n"/>
      <c r="J2" s="306" t="n"/>
      <c r="K2" s="403" t="n"/>
      <c r="M2" s="52" t="n"/>
      <c r="BO2" s="5" t="n"/>
      <c r="BP2" s="3" t="n"/>
      <c r="BQ2" s="3" t="n"/>
      <c r="BR2" s="6" t="n"/>
      <c r="BS2" s="4" t="n"/>
      <c r="BT2" s="4" t="n"/>
      <c r="BU2" s="4" t="n"/>
      <c r="BV2" s="4" t="n"/>
      <c r="BW2" s="4" t="n"/>
      <c r="BX2" s="4" t="n"/>
      <c r="BY2" s="4" t="n"/>
      <c r="BZ2" s="3" t="n"/>
      <c r="CA2" s="4" t="n"/>
      <c r="CB2" s="4" t="n"/>
      <c r="CC2" s="4" t="n"/>
      <c r="CD2" s="4" t="n"/>
      <c r="CE2" s="4" t="n"/>
      <c r="CF2" s="4" t="n"/>
      <c r="CG2" s="3" t="n"/>
      <c r="CH2" s="7" t="n"/>
      <c r="CI2" s="8" t="n"/>
      <c r="CJ2" s="9" t="n"/>
      <c r="CK2" s="9" t="n"/>
      <c r="CL2" s="3" t="n"/>
      <c r="CM2" s="4" t="n"/>
      <c r="CN2" s="10" t="n"/>
      <c r="CO2" s="11" t="n"/>
      <c r="CP2" s="4" t="n"/>
      <c r="CQ2" s="12" t="n"/>
    </row>
    <row r="3" ht="12.75" customHeight="1" s="588">
      <c r="C3" s="126" t="n"/>
      <c r="D3" s="126" t="n"/>
      <c r="M3" s="52" t="n"/>
      <c r="BO3" s="5" t="n"/>
      <c r="BP3" s="3" t="n"/>
      <c r="BQ3" s="3" t="n"/>
      <c r="BR3" s="6" t="n"/>
      <c r="BS3" s="4" t="n"/>
      <c r="BT3" s="4" t="n"/>
      <c r="BU3" s="4" t="n"/>
      <c r="BV3" s="4" t="n"/>
      <c r="BW3" s="4" t="n"/>
      <c r="BX3" s="4" t="n"/>
      <c r="BY3" s="4" t="n"/>
      <c r="BZ3" s="3" t="n"/>
      <c r="CA3" s="4" t="n"/>
      <c r="CB3" s="4" t="n"/>
      <c r="CC3" s="4" t="n"/>
      <c r="CD3" s="4" t="n"/>
      <c r="CE3" s="4" t="n"/>
      <c r="CF3" s="4" t="n"/>
      <c r="CG3" s="3" t="n"/>
      <c r="CH3" s="7" t="n"/>
      <c r="CI3" s="8" t="n"/>
      <c r="CJ3" s="9" t="n"/>
      <c r="CK3" s="9" t="n"/>
      <c r="CL3" s="3" t="n"/>
      <c r="CM3" s="4" t="n"/>
      <c r="CN3" s="10" t="n"/>
      <c r="CO3" s="11" t="n"/>
      <c r="CP3" s="4" t="n"/>
      <c r="CQ3" s="12" t="n"/>
    </row>
    <row r="4" ht="12.75" customHeight="1" s="588">
      <c r="B4" s="131" t="inlineStr">
        <is>
          <t>返回汇总页</t>
        </is>
      </c>
      <c r="D4" s="126" t="n"/>
      <c r="M4" s="52" t="n"/>
      <c r="BO4" s="5" t="n"/>
      <c r="BP4" s="3" t="n"/>
      <c r="BQ4" s="3" t="n"/>
      <c r="BR4" s="6" t="n"/>
      <c r="BS4" s="4" t="n"/>
      <c r="BT4" s="4" t="n"/>
      <c r="BU4" s="4" t="n"/>
      <c r="BV4" s="4" t="n"/>
      <c r="BW4" s="4" t="n"/>
      <c r="BX4" s="4" t="n"/>
      <c r="BY4" s="4" t="n"/>
      <c r="BZ4" s="3" t="n"/>
      <c r="CA4" s="4" t="n"/>
      <c r="CB4" s="4" t="n"/>
      <c r="CC4" s="4" t="n"/>
      <c r="CD4" s="4" t="n"/>
      <c r="CE4" s="4" t="n"/>
      <c r="CF4" s="4" t="n"/>
      <c r="CG4" s="3" t="n"/>
      <c r="CH4" s="7" t="n"/>
      <c r="CI4" s="8" t="n"/>
      <c r="CJ4" s="9" t="n"/>
      <c r="CK4" s="9" t="n"/>
      <c r="CL4" s="3" t="n"/>
      <c r="CM4" s="4" t="n"/>
      <c r="CN4" s="10" t="n"/>
      <c r="CO4" s="11" t="n"/>
      <c r="CP4" s="4" t="n"/>
      <c r="CQ4" s="12" t="n"/>
    </row>
    <row r="5" ht="12.75" customHeight="1" s="588">
      <c r="M5" s="52" t="n"/>
      <c r="BO5" s="5" t="n"/>
      <c r="BP5" s="3" t="n"/>
      <c r="BQ5" s="3" t="n"/>
      <c r="BR5" s="6" t="n"/>
      <c r="BS5" s="4" t="n"/>
      <c r="BT5" s="4" t="n"/>
      <c r="BU5" s="4" t="n"/>
      <c r="BV5" s="4" t="n"/>
      <c r="BW5" s="4" t="n"/>
      <c r="BX5" s="4" t="n"/>
      <c r="BY5" s="4" t="n"/>
      <c r="BZ5" s="3" t="n"/>
      <c r="CA5" s="4" t="n"/>
      <c r="CB5" s="4" t="n"/>
      <c r="CC5" s="4" t="n"/>
      <c r="CD5" s="4" t="n"/>
      <c r="CE5" s="4" t="n"/>
      <c r="CF5" s="4" t="n"/>
      <c r="CG5" s="3" t="n"/>
      <c r="CH5" s="7" t="n"/>
      <c r="CI5" s="8" t="n"/>
      <c r="CJ5" s="9" t="n"/>
      <c r="CK5" s="9" t="n"/>
      <c r="CL5" s="3" t="n"/>
      <c r="CM5" s="4" t="n"/>
      <c r="CN5" s="10" t="n"/>
      <c r="CO5" s="11" t="n"/>
      <c r="CP5" s="4" t="n"/>
      <c r="CQ5" s="12" t="n"/>
    </row>
    <row r="6" ht="12.75" customHeight="1" s="588">
      <c r="B6" s="401" t="inlineStr">
        <is>
          <t>我们获得了上期末至本期末（或中期，如适用）在建工程及相关新增、转出的后推明细表。</t>
        </is>
      </c>
      <c r="C6" s="126" t="n"/>
      <c r="D6" s="163" t="n"/>
      <c r="E6" s="163" t="n"/>
      <c r="F6" s="163" t="n"/>
      <c r="G6" s="163" t="n"/>
      <c r="H6" s="163" t="n"/>
      <c r="I6" s="163" t="n"/>
      <c r="J6" s="163" t="n"/>
      <c r="K6" s="163" t="n"/>
      <c r="M6" s="52" t="n"/>
      <c r="BO6" s="5" t="n"/>
      <c r="BP6" s="3" t="n"/>
      <c r="BQ6" s="3" t="n"/>
      <c r="BR6" s="6" t="n"/>
      <c r="BS6" s="4" t="n"/>
      <c r="BT6" s="4" t="n"/>
      <c r="BU6" s="4" t="n"/>
      <c r="BV6" s="4" t="n"/>
      <c r="BW6" s="4" t="n"/>
      <c r="BX6" s="4" t="n"/>
      <c r="BY6" s="4" t="n"/>
      <c r="BZ6" s="3" t="n"/>
      <c r="CA6" s="4" t="n"/>
      <c r="CB6" s="4" t="n"/>
      <c r="CC6" s="4" t="n"/>
      <c r="CD6" s="4" t="n"/>
      <c r="CE6" s="4" t="n"/>
      <c r="CF6" s="4" t="n"/>
      <c r="CG6" s="3" t="n"/>
      <c r="CH6" s="7" t="n"/>
      <c r="CI6" s="8" t="n"/>
      <c r="CJ6" s="9" t="n"/>
      <c r="CK6" s="9" t="n"/>
      <c r="CL6" s="3" t="n"/>
      <c r="CM6" s="4" t="n"/>
      <c r="CN6" s="10" t="n"/>
      <c r="CO6" s="11" t="n"/>
      <c r="CP6" s="4" t="n"/>
      <c r="CQ6" s="12" t="n"/>
    </row>
    <row r="7" ht="14" customHeight="1" s="588">
      <c r="B7" s="525" t="inlineStr">
        <is>
          <t>我们将期初在建工程余额与上期经审计工作底稿（如适用）核对一致，将期末在建工程余额与在建工程明细账和试算表核对一致。我们调查了超过SAD名义金额的差额。</t>
        </is>
      </c>
      <c r="C7" s="527" t="n"/>
      <c r="D7" s="527" t="n"/>
      <c r="E7" s="527" t="n"/>
      <c r="F7" s="527" t="n"/>
      <c r="G7" s="527" t="n"/>
      <c r="H7" s="527" t="n"/>
      <c r="I7" s="527" t="n"/>
      <c r="J7" s="527" t="n"/>
      <c r="K7" s="527" t="n"/>
      <c r="M7" s="52" t="n"/>
      <c r="BO7" s="5" t="n"/>
      <c r="BP7" s="3" t="n"/>
      <c r="BQ7" s="3" t="n"/>
      <c r="BR7" s="6" t="n"/>
      <c r="BS7" s="4" t="n"/>
      <c r="BT7" s="4" t="n"/>
      <c r="BU7" s="4" t="n"/>
      <c r="BV7" s="4" t="n"/>
      <c r="BW7" s="4" t="n"/>
      <c r="BX7" s="4" t="n"/>
      <c r="BY7" s="4" t="n"/>
      <c r="BZ7" s="3" t="n"/>
      <c r="CA7" s="4" t="n"/>
      <c r="CB7" s="4" t="n"/>
      <c r="CC7" s="4" t="n"/>
      <c r="CD7" s="4" t="n"/>
      <c r="CE7" s="4" t="n"/>
      <c r="CF7" s="4" t="n"/>
      <c r="CG7" s="3" t="n"/>
      <c r="CH7" s="7" t="n"/>
      <c r="CI7" s="8" t="n"/>
      <c r="CJ7" s="9" t="n"/>
      <c r="CK7" s="9" t="n"/>
      <c r="CL7" s="3" t="n"/>
      <c r="CM7" s="4" t="n"/>
      <c r="CN7" s="10" t="n"/>
      <c r="CO7" s="11" t="n"/>
      <c r="CP7" s="4" t="n"/>
      <c r="CQ7" s="12" t="n"/>
    </row>
    <row r="8" ht="15.75" customHeight="1" s="588">
      <c r="B8" s="526" t="inlineStr">
        <is>
          <t>我们选择了超过测试阈值的后推活动（如，新增、转入固定资产、转出其他），以执行J.01和J.02的实质性程序。对于未包含在本程序表范围内的程序，我们交叉索引至完成该程序的单独程序表。</t>
        </is>
      </c>
      <c r="M8" s="52" t="n"/>
      <c r="BO8" s="5" t="n"/>
      <c r="BP8" s="3" t="n"/>
      <c r="BQ8" s="3" t="n"/>
      <c r="BR8" s="6" t="n"/>
      <c r="BS8" s="4" t="n"/>
      <c r="BT8" s="4" t="n"/>
      <c r="BU8" s="4" t="n"/>
      <c r="BV8" s="4" t="n"/>
      <c r="BW8" s="4" t="n"/>
      <c r="BX8" s="4" t="n"/>
      <c r="BY8" s="4" t="n"/>
      <c r="BZ8" s="3" t="n"/>
      <c r="CA8" s="4" t="n"/>
      <c r="CB8" s="4" t="n"/>
      <c r="CC8" s="4" t="n"/>
      <c r="CD8" s="4" t="n"/>
      <c r="CE8" s="4" t="n"/>
      <c r="CF8" s="4" t="n"/>
      <c r="CG8" s="3" t="n"/>
      <c r="CH8" s="7" t="n"/>
      <c r="CI8" s="8" t="n"/>
      <c r="CJ8" s="9" t="n"/>
      <c r="CK8" s="9" t="n"/>
      <c r="CL8" s="3" t="n"/>
      <c r="CM8" s="4" t="n"/>
      <c r="CN8" s="10" t="n"/>
      <c r="CO8" s="11" t="n"/>
      <c r="CP8" s="4" t="n"/>
      <c r="CQ8" s="12" t="n"/>
    </row>
    <row r="9" ht="12.75" customHeight="1" s="588">
      <c r="M9" s="52" t="n"/>
      <c r="BO9" s="5" t="n"/>
      <c r="BP9" s="3" t="n"/>
      <c r="BQ9" s="3" t="n"/>
      <c r="BR9" s="6" t="n"/>
      <c r="BS9" s="4" t="n"/>
      <c r="BT9" s="4" t="n"/>
      <c r="BU9" s="4" t="n"/>
      <c r="BV9" s="4" t="n"/>
      <c r="BW9" s="4" t="n"/>
      <c r="BX9" s="4" t="n"/>
      <c r="BY9" s="4" t="n"/>
      <c r="BZ9" s="3" t="n"/>
      <c r="CA9" s="4" t="n"/>
      <c r="CB9" s="4" t="n"/>
      <c r="CC9" s="4" t="n"/>
      <c r="CD9" s="4" t="n"/>
      <c r="CE9" s="4" t="n"/>
      <c r="CF9" s="4" t="n"/>
      <c r="CG9" s="3" t="n"/>
      <c r="CH9" s="7" t="n"/>
      <c r="CI9" s="8" t="n"/>
      <c r="CJ9" s="9" t="n"/>
      <c r="CK9" s="9" t="n"/>
      <c r="CL9" s="3" t="n"/>
      <c r="CM9" s="4" t="n"/>
      <c r="CN9" s="10" t="n"/>
      <c r="CO9" s="11" t="n"/>
      <c r="CP9" s="4" t="n"/>
      <c r="CQ9" s="12" t="n"/>
    </row>
    <row r="10" ht="12.5" customHeight="1" s="588">
      <c r="M10" s="52" t="n"/>
    </row>
    <row r="11" ht="14.5" customHeight="1" s="588">
      <c r="B11" s="78" t="inlineStr">
        <is>
          <t>表1</t>
        </is>
      </c>
      <c r="E11" s="14" t="inlineStr">
        <is>
          <t>|------- TB -------|</t>
        </is>
      </c>
      <c r="G11" s="64" t="n"/>
      <c r="I11" s="64" t="n"/>
      <c r="K11" s="64" t="n"/>
      <c r="M11" s="52" t="n"/>
    </row>
    <row r="12" ht="28.5" customFormat="1" customHeight="1" s="269">
      <c r="B12" s="349" t="inlineStr">
        <is>
          <t>在建工程</t>
        </is>
      </c>
      <c r="C12" s="350" t="inlineStr">
        <is>
          <t>明细项</t>
        </is>
      </c>
      <c r="D12" s="351" t="inlineStr">
        <is>
          <t>索引</t>
        </is>
      </c>
      <c r="E12" s="352" t="inlineStr">
        <is>
          <t>账面数</t>
        </is>
      </c>
      <c r="F12" s="353" t="n"/>
      <c r="G12" s="352" t="inlineStr">
        <is>
          <t>账表调整数</t>
        </is>
      </c>
      <c r="H12" s="353" t="n"/>
      <c r="I12" s="352" t="inlineStr">
        <is>
          <t>审计调整数</t>
        </is>
      </c>
      <c r="J12" s="353" t="n"/>
      <c r="K12" s="354" t="inlineStr">
        <is>
          <t>审定数</t>
        </is>
      </c>
      <c r="M12" s="52" t="n"/>
      <c r="N12" s="118" t="n"/>
    </row>
    <row r="13" ht="14.15" customHeight="1" s="588">
      <c r="B13" s="524" t="inlineStr">
        <is>
          <t>在建工程-账面余额</t>
        </is>
      </c>
      <c r="C13" s="269" t="inlineStr">
        <is>
          <t>期初余额</t>
        </is>
      </c>
      <c r="E13" s="649" t="n">
        <v>0</v>
      </c>
      <c r="F13" s="650" t="n"/>
      <c r="G13" s="649" t="n">
        <v>0</v>
      </c>
      <c r="H13" s="650" t="n"/>
      <c r="I13" s="649" t="n">
        <v>0</v>
      </c>
      <c r="J13" s="651" t="n"/>
      <c r="K13" s="651">
        <f>E13+G13+I13</f>
        <v/>
      </c>
      <c r="M13" s="52" t="n"/>
    </row>
    <row r="14" ht="14.5" customHeight="1" s="588">
      <c r="B14" s="527" t="n"/>
      <c r="C14" s="269" t="inlineStr">
        <is>
          <t>本期新增</t>
        </is>
      </c>
      <c r="D14" s="186" t="inlineStr">
        <is>
          <t>J.02.1/</t>
        </is>
      </c>
      <c r="E14" s="649" t="n"/>
      <c r="F14" s="650" t="n"/>
      <c r="G14" s="649" t="n"/>
      <c r="H14" s="650" t="n"/>
      <c r="I14" s="649" t="n"/>
      <c r="J14" s="651" t="n"/>
      <c r="K14" s="651">
        <f>E14+G14+I14</f>
        <v/>
      </c>
      <c r="M14" s="52" t="n"/>
    </row>
    <row r="15" ht="14.5" customHeight="1" s="588">
      <c r="B15" s="527" t="n"/>
      <c r="C15" s="269" t="inlineStr">
        <is>
          <t>本期转入固定资产</t>
        </is>
      </c>
      <c r="D15" s="186" t="inlineStr">
        <is>
          <t>J.02.2/</t>
        </is>
      </c>
      <c r="E15" s="649" t="n"/>
      <c r="F15" s="650" t="n"/>
      <c r="G15" s="649" t="n"/>
      <c r="H15" s="650" t="n"/>
      <c r="I15" s="649" t="n"/>
      <c r="J15" s="651" t="n"/>
      <c r="K15" s="651">
        <f>E15+G15+I15</f>
        <v/>
      </c>
      <c r="M15" s="52" t="n"/>
    </row>
    <row r="16" ht="14.5" customHeight="1" s="588">
      <c r="B16" s="527" t="n"/>
      <c r="C16" s="269" t="inlineStr">
        <is>
          <t>其他减少</t>
        </is>
      </c>
      <c r="D16" s="186" t="inlineStr">
        <is>
          <t>J.02.2/</t>
        </is>
      </c>
      <c r="E16" s="649" t="n"/>
      <c r="F16" s="650" t="n"/>
      <c r="G16" s="649" t="n"/>
      <c r="H16" s="650" t="n"/>
      <c r="I16" s="649" t="n"/>
      <c r="J16" s="651" t="n"/>
      <c r="K16" s="651">
        <f>E16+G16+I16</f>
        <v/>
      </c>
      <c r="M16" s="52" t="n"/>
    </row>
    <row r="17" ht="14.5" customHeight="1" s="588">
      <c r="B17" s="527" t="n"/>
      <c r="C17" s="269" t="inlineStr">
        <is>
          <t>期末余额</t>
        </is>
      </c>
      <c r="D17" s="186" t="n"/>
      <c r="E17" s="652">
        <f>E13+E14-E15-E16</f>
        <v/>
      </c>
      <c r="F17" s="651" t="n"/>
      <c r="G17" s="652">
        <f>G13+G14-G15-G16</f>
        <v/>
      </c>
      <c r="H17" s="651" t="n"/>
      <c r="I17" s="652">
        <f>I13+I14-I15-I16</f>
        <v/>
      </c>
      <c r="J17" s="651" t="n"/>
      <c r="K17" s="652">
        <f>K13+K14-K15-K16</f>
        <v/>
      </c>
      <c r="M17" s="52" t="n"/>
    </row>
    <row r="18" ht="12.5" customHeight="1" s="588">
      <c r="C18" s="269" t="n"/>
      <c r="E18" s="653" t="n"/>
      <c r="F18" s="651" t="n"/>
      <c r="G18" s="653" t="n"/>
      <c r="H18" s="651" t="n"/>
      <c r="I18" s="653" t="n"/>
      <c r="J18" s="651" t="n"/>
      <c r="K18" s="651" t="n"/>
      <c r="M18" s="52" t="n"/>
    </row>
    <row r="19" ht="14.5" customHeight="1" s="588">
      <c r="B19" s="524" t="inlineStr">
        <is>
          <t>在建工程-减值准备</t>
        </is>
      </c>
      <c r="C19" s="269" t="inlineStr">
        <is>
          <t>期初余额</t>
        </is>
      </c>
      <c r="D19" s="186" t="inlineStr">
        <is>
          <t>SWP 减值</t>
        </is>
      </c>
      <c r="E19" s="649" t="n"/>
      <c r="F19" s="650" t="n"/>
      <c r="G19" s="649" t="n"/>
      <c r="H19" s="650" t="n"/>
      <c r="I19" s="649" t="n"/>
      <c r="J19" s="651" t="n"/>
      <c r="K19" s="651">
        <f>E19+G19+I19</f>
        <v/>
      </c>
      <c r="M19" s="52" t="n"/>
    </row>
    <row r="20" ht="14.5" customHeight="1" s="588">
      <c r="B20" s="527" t="n"/>
      <c r="C20" s="269" t="inlineStr">
        <is>
          <t>本期新增</t>
        </is>
      </c>
      <c r="D20" s="186" t="inlineStr">
        <is>
          <t>SWP 减值</t>
        </is>
      </c>
      <c r="E20" s="649" t="n"/>
      <c r="F20" s="650" t="n"/>
      <c r="G20" s="649" t="n"/>
      <c r="H20" s="650" t="n"/>
      <c r="I20" s="649" t="n"/>
      <c r="J20" s="651" t="n"/>
      <c r="K20" s="651">
        <f>E20+G20+I20</f>
        <v/>
      </c>
      <c r="M20" s="52" t="n"/>
    </row>
    <row r="21" ht="14.5" customHeight="1" s="588">
      <c r="B21" s="527" t="n"/>
      <c r="C21" s="269" t="inlineStr">
        <is>
          <t>本期减少</t>
        </is>
      </c>
      <c r="D21" s="186" t="inlineStr">
        <is>
          <t>SWP 减值</t>
        </is>
      </c>
      <c r="E21" s="649" t="n"/>
      <c r="F21" s="650" t="n"/>
      <c r="G21" s="649" t="n"/>
      <c r="H21" s="650" t="n"/>
      <c r="I21" s="649" t="n"/>
      <c r="J21" s="651" t="n"/>
      <c r="K21" s="651">
        <f>E21+G21+I21</f>
        <v/>
      </c>
      <c r="M21" s="52" t="n"/>
    </row>
    <row r="22" ht="14.5" customHeight="1" s="588">
      <c r="B22" s="527" t="n"/>
      <c r="C22" s="269" t="inlineStr">
        <is>
          <t>期末余额</t>
        </is>
      </c>
      <c r="D22" s="186" t="n"/>
      <c r="E22" s="654">
        <f>E19+E20-E21</f>
        <v/>
      </c>
      <c r="F22" s="651" t="n"/>
      <c r="G22" s="654">
        <f>G19+G20-G21</f>
        <v/>
      </c>
      <c r="H22" s="653" t="n"/>
      <c r="I22" s="654">
        <f>I19+I20-I21</f>
        <v/>
      </c>
      <c r="J22" s="653" t="n"/>
      <c r="K22" s="654">
        <f>K19+K20-K21</f>
        <v/>
      </c>
      <c r="M22" s="52" t="n"/>
    </row>
    <row r="23" ht="13" customHeight="1" s="588">
      <c r="B23" s="333" t="n"/>
      <c r="C23" s="269" t="n"/>
      <c r="D23" s="186" t="n"/>
      <c r="E23" s="651" t="n"/>
      <c r="F23" s="651" t="n"/>
      <c r="G23" s="651" t="n"/>
      <c r="H23" s="651" t="n"/>
      <c r="I23" s="651" t="n"/>
      <c r="J23" s="653" t="n"/>
      <c r="K23" s="651" t="n"/>
      <c r="M23" s="52" t="n"/>
    </row>
    <row r="24" ht="14.5" customHeight="1" s="588">
      <c r="B24" s="333" t="n"/>
      <c r="C24" s="269" t="inlineStr">
        <is>
          <t>期末价值</t>
        </is>
      </c>
      <c r="D24" s="186" t="n"/>
      <c r="E24" s="655">
        <f>E17-E22</f>
        <v/>
      </c>
      <c r="F24" s="651" t="n"/>
      <c r="G24" s="655">
        <f>G17-G22</f>
        <v/>
      </c>
      <c r="H24" s="653" t="n"/>
      <c r="I24" s="655">
        <f>I17-I22</f>
        <v/>
      </c>
      <c r="J24" s="653" t="n"/>
      <c r="K24" s="655">
        <f>K17-K22</f>
        <v/>
      </c>
      <c r="M24" s="52" t="n"/>
    </row>
    <row r="25" ht="13.5" customHeight="1" s="588" thickTop="1">
      <c r="E25" s="187" t="inlineStr">
        <is>
          <t>Rx</t>
        </is>
      </c>
      <c r="G25" s="656" t="inlineStr">
        <is>
          <t>Rx</t>
        </is>
      </c>
      <c r="H25" s="657" t="n"/>
      <c r="I25" s="656" t="inlineStr">
        <is>
          <t>Rx</t>
        </is>
      </c>
      <c r="J25" s="657" t="n"/>
      <c r="K25" s="656" t="inlineStr">
        <is>
          <t>Rx</t>
        </is>
      </c>
      <c r="M25" s="52" t="n"/>
    </row>
    <row r="26" ht="14.5" customHeight="1" s="588">
      <c r="C26" s="190" t="inlineStr">
        <is>
          <t>TB-期末账面余额</t>
        </is>
      </c>
      <c r="D26" s="191" t="n"/>
      <c r="E26" s="658" t="n"/>
      <c r="F26" s="191" t="n"/>
      <c r="G26" s="659" t="n"/>
      <c r="H26" s="191" t="n"/>
      <c r="I26" s="191" t="n"/>
      <c r="J26" s="191" t="n"/>
      <c r="K26" s="659" t="n"/>
      <c r="M26" s="52" t="n"/>
    </row>
    <row r="27" ht="14.5" customHeight="1" s="588">
      <c r="C27" s="190" t="inlineStr">
        <is>
          <t>差异</t>
        </is>
      </c>
      <c r="D27" s="191" t="n"/>
      <c r="E27" s="658">
        <f>E17-E26</f>
        <v/>
      </c>
      <c r="F27" s="43" t="inlineStr">
        <is>
          <t>Rx</t>
        </is>
      </c>
      <c r="G27" s="43" t="n"/>
      <c r="H27" s="191" t="n"/>
      <c r="I27" s="191" t="n"/>
      <c r="J27" s="191" t="n"/>
      <c r="K27" s="193" t="n"/>
      <c r="M27" s="52" t="n"/>
    </row>
    <row r="28" ht="14.5" customHeight="1" s="588">
      <c r="C28" s="190" t="inlineStr">
        <is>
          <t>TB-期末净值</t>
        </is>
      </c>
      <c r="D28" s="191" t="n"/>
      <c r="E28" s="658" t="n"/>
      <c r="F28" s="43" t="n"/>
      <c r="G28" s="193" t="n"/>
      <c r="H28" s="191" t="n"/>
      <c r="I28" s="191" t="n"/>
      <c r="J28" s="191" t="n"/>
      <c r="K28" s="193" t="n"/>
      <c r="M28" s="52" t="n"/>
    </row>
    <row r="29" ht="14.5" customHeight="1" s="588">
      <c r="C29" s="190" t="inlineStr">
        <is>
          <t>差异</t>
        </is>
      </c>
      <c r="E29" s="658">
        <f>E24-E28</f>
        <v/>
      </c>
      <c r="F29" s="43" t="inlineStr">
        <is>
          <t>Rx</t>
        </is>
      </c>
      <c r="G29" s="43" t="n"/>
      <c r="M29" s="52" t="n"/>
    </row>
    <row r="30" ht="13" customHeight="1" s="588">
      <c r="C30" s="190" t="n"/>
      <c r="E30" s="190" t="n"/>
      <c r="F30" s="43" t="n"/>
      <c r="G30" s="43" t="n"/>
      <c r="M30" s="52" t="n"/>
    </row>
    <row r="31" ht="13" customHeight="1" s="588">
      <c r="C31" s="190" t="n"/>
      <c r="E31" s="190" t="n"/>
      <c r="F31" s="43" t="n"/>
      <c r="G31" s="43" t="n"/>
      <c r="M31" s="52" t="n"/>
    </row>
    <row r="32" ht="14.5" customHeight="1" s="588">
      <c r="B32" s="17" t="inlineStr">
        <is>
          <t>表2 获取期末的在建工程明细清单，我们将在建工程明细清单的金额与表1金额进行核对，调查大于SAD的差异。</t>
        </is>
      </c>
      <c r="E32" s="190" t="n"/>
      <c r="G32" s="660" t="n"/>
      <c r="M32" s="52" t="n"/>
    </row>
    <row r="33" ht="14.5" customHeight="1" s="588">
      <c r="A33" s="78" t="n"/>
      <c r="B33" s="431" t="n"/>
      <c r="C33" s="432" t="inlineStr">
        <is>
          <t>CIP List 余额</t>
        </is>
      </c>
      <c r="D33" s="433" t="n"/>
      <c r="E33" s="661" t="n"/>
      <c r="F33" s="435" t="n"/>
      <c r="G33" s="662" t="n"/>
      <c r="H33" s="435" t="n"/>
      <c r="I33" s="435" t="n"/>
      <c r="J33" s="435" t="n"/>
      <c r="K33" s="437" t="n"/>
      <c r="M33" s="52" t="n"/>
    </row>
    <row r="34" ht="14.5" customHeight="1" s="588">
      <c r="B34" s="195" t="n"/>
      <c r="C34" s="196" t="inlineStr">
        <is>
          <t>与表1核对</t>
        </is>
      </c>
      <c r="D34" s="197" t="n"/>
      <c r="E34" s="663">
        <f>E33-E17</f>
        <v/>
      </c>
      <c r="F34" s="183" t="inlineStr">
        <is>
          <t>Rx</t>
        </is>
      </c>
      <c r="G34" s="100" t="n"/>
      <c r="H34" s="197" t="n"/>
      <c r="I34" s="198" t="n"/>
      <c r="J34" s="197" t="n"/>
      <c r="K34" s="199" t="n"/>
      <c r="M34" s="52" t="n"/>
    </row>
    <row r="35" ht="13" customHeight="1" s="588">
      <c r="C35" s="190" t="n"/>
      <c r="E35" s="190" t="n"/>
      <c r="G35" s="660" t="n"/>
      <c r="M35" s="52" t="n"/>
    </row>
    <row r="36" ht="13" customHeight="1" s="588">
      <c r="C36" s="190" t="n"/>
      <c r="E36" s="190" t="n"/>
      <c r="G36" s="660" t="n"/>
      <c r="M36" s="52" t="n"/>
    </row>
    <row r="37" ht="13" customHeight="1" s="588">
      <c r="C37" s="13" t="n"/>
      <c r="D37" s="13" t="n"/>
      <c r="E37" s="200" t="n"/>
      <c r="M37" s="52" t="n"/>
    </row>
    <row r="38" ht="12.75" customHeight="1" s="588">
      <c r="A38" s="78" t="n"/>
      <c r="B38" s="126" t="inlineStr">
        <is>
          <t>Notes：请在此记录明细账和总账的差异，并详细记录对差异进行的核查程序</t>
        </is>
      </c>
      <c r="M38" s="52" t="n"/>
    </row>
    <row r="39" ht="19.5" customHeight="1" s="588">
      <c r="B39" s="664" t="n"/>
      <c r="C39" s="636" t="n"/>
      <c r="D39" s="636" t="n"/>
      <c r="E39" s="636" t="n"/>
      <c r="F39" s="636" t="n"/>
      <c r="G39" s="636" t="n"/>
      <c r="H39" s="636" t="n"/>
      <c r="I39" s="636" t="n"/>
      <c r="J39" s="636" t="n"/>
      <c r="K39" s="637" t="n"/>
      <c r="M39" s="52" t="n"/>
    </row>
    <row r="40" ht="12.75" customHeight="1" s="588">
      <c r="B40" s="638" t="n"/>
      <c r="C40" s="527" t="n"/>
      <c r="D40" s="527" t="n"/>
      <c r="E40" s="527" t="n"/>
      <c r="F40" s="527" t="n"/>
      <c r="G40" s="527" t="n"/>
      <c r="H40" s="527" t="n"/>
      <c r="I40" s="527" t="n"/>
      <c r="J40" s="527" t="n"/>
      <c r="K40" s="639" t="n"/>
      <c r="M40" s="52" t="n"/>
    </row>
    <row r="41" ht="12.75" customHeight="1" s="588">
      <c r="B41" s="638" t="n"/>
      <c r="C41" s="527" t="n"/>
      <c r="D41" s="527" t="n"/>
      <c r="E41" s="527" t="n"/>
      <c r="F41" s="527" t="n"/>
      <c r="G41" s="527" t="n"/>
      <c r="H41" s="527" t="n"/>
      <c r="I41" s="527" t="n"/>
      <c r="J41" s="527" t="n"/>
      <c r="K41" s="639" t="n"/>
      <c r="M41" s="52" t="n"/>
    </row>
    <row r="42" ht="12.65" customHeight="1" s="588">
      <c r="B42" s="641" t="n"/>
      <c r="C42" s="642" t="n"/>
      <c r="D42" s="642" t="n"/>
      <c r="E42" s="642" t="n"/>
      <c r="F42" s="642" t="n"/>
      <c r="G42" s="642" t="n"/>
      <c r="H42" s="642" t="n"/>
      <c r="I42" s="642" t="n"/>
      <c r="J42" s="642" t="n"/>
      <c r="K42" s="643" t="n"/>
      <c r="M42" s="52" t="n"/>
    </row>
    <row r="43" ht="15" customHeight="1" s="588">
      <c r="M43" s="52" t="n"/>
    </row>
    <row r="44" ht="7.5" customHeight="1" s="588">
      <c r="A44" s="52" t="n"/>
      <c r="B44" s="52" t="n"/>
      <c r="C44" s="52" t="n"/>
      <c r="D44" s="52" t="n"/>
      <c r="E44" s="52" t="n"/>
      <c r="F44" s="52" t="n"/>
      <c r="G44" s="52" t="n"/>
      <c r="H44" s="52" t="n"/>
      <c r="I44" s="52" t="n"/>
      <c r="J44" s="52" t="n"/>
      <c r="K44" s="52" t="n"/>
      <c r="L44" s="52" t="n"/>
      <c r="M44" s="52" t="n"/>
    </row>
    <row r="46" ht="12.75" customHeight="1" s="588">
      <c r="C46" s="201" t="n"/>
    </row>
  </sheetData>
  <mergeCells count="5">
    <mergeCell ref="B39:K42"/>
    <mergeCell ref="B13:B17"/>
    <mergeCell ref="B7:K7"/>
    <mergeCell ref="B8:K9"/>
    <mergeCell ref="B19:B22"/>
  </mergeCells>
  <conditionalFormatting sqref="B13">
    <cfRule type="containsBlanks" priority="18" dxfId="0">
      <formula>LEN(TRIM(B13))=0</formula>
    </cfRule>
  </conditionalFormatting>
  <conditionalFormatting sqref="B19">
    <cfRule type="containsBlanks" priority="17" dxfId="0">
      <formula>LEN(TRIM(B19))=0</formula>
    </cfRule>
  </conditionalFormatting>
  <conditionalFormatting sqref="E13:E16">
    <cfRule type="containsBlanks" priority="20" dxfId="0">
      <formula>LEN(TRIM(E13))=0</formula>
    </cfRule>
  </conditionalFormatting>
  <conditionalFormatting sqref="B39 E19:E22 E24 G24 I24">
    <cfRule type="containsBlanks" priority="19" dxfId="0">
      <formula>LEN(TRIM(B19))=0</formula>
    </cfRule>
  </conditionalFormatting>
  <conditionalFormatting sqref="E26:E29">
    <cfRule type="containsBlanks" priority="142" dxfId="0">
      <formula>LEN(TRIM(E26))=0</formula>
    </cfRule>
  </conditionalFormatting>
  <conditionalFormatting sqref="E33:E34">
    <cfRule type="containsBlanks" priority="1" dxfId="0">
      <formula>LEN(TRIM(E33))=0</formula>
    </cfRule>
  </conditionalFormatting>
  <conditionalFormatting sqref="G13:G16">
    <cfRule type="containsBlanks" priority="10" dxfId="0">
      <formula>LEN(TRIM(G13))=0</formula>
    </cfRule>
  </conditionalFormatting>
  <conditionalFormatting sqref="G19:G22">
    <cfRule type="containsBlanks" priority="6" dxfId="0">
      <formula>LEN(TRIM(G19))=0</formula>
    </cfRule>
  </conditionalFormatting>
  <conditionalFormatting sqref="I13:I16">
    <cfRule type="containsBlanks" priority="8" dxfId="0">
      <formula>LEN(TRIM(I13))=0</formula>
    </cfRule>
  </conditionalFormatting>
  <conditionalFormatting sqref="I19:I22">
    <cfRule type="containsBlanks" priority="4" dxfId="0">
      <formula>LEN(TRIM(I19))=0</formula>
    </cfRule>
  </conditionalFormatting>
  <conditionalFormatting sqref="K22">
    <cfRule type="containsBlanks" priority="16" dxfId="0">
      <formula>LEN(TRIM(K22))=0</formula>
    </cfRule>
  </conditionalFormatting>
  <conditionalFormatting sqref="K24">
    <cfRule type="containsBlanks" priority="15" dxfId="0">
      <formula>LEN(TRIM(K24))=0</formula>
    </cfRule>
  </conditionalFormatting>
  <hyperlinks>
    <hyperlink ref="B4" location="汇总!A1" display="返回汇总页"/>
  </hyperlinks>
  <pageMargins left="0.7" right="0.7" top="0.75" bottom="0.75" header="0.3" footer="0.3"/>
  <pageSetup orientation="portrait" paperSize="9"/>
</worksheet>
</file>

<file path=xl/worksheets/sheet5.xml><?xml version="1.0" encoding="utf-8"?>
<worksheet xmlns="http://schemas.openxmlformats.org/spreadsheetml/2006/main">
  <sheetPr>
    <outlinePr summaryBelow="1" summaryRight="1"/>
    <pageSetUpPr/>
  </sheetPr>
  <dimension ref="A1:DI5"/>
  <sheetViews>
    <sheetView showGridLines="0" zoomScale="70" zoomScaleNormal="70" workbookViewId="0">
      <selection activeCell="C22" sqref="C22"/>
    </sheetView>
  </sheetViews>
  <sheetFormatPr baseColWidth="8" defaultColWidth="8.75" defaultRowHeight="12.75" customHeight="1"/>
  <cols>
    <col width="2.58203125" customWidth="1" style="36" min="1" max="1"/>
    <col width="6" customWidth="1" style="21" min="2" max="2"/>
    <col width="37" customWidth="1" style="21" min="3" max="3"/>
    <col width="36.33203125" customWidth="1" style="21" min="4" max="4"/>
    <col width="17.75" customWidth="1" style="21" min="5" max="6"/>
    <col width="18.33203125" customWidth="1" style="21" min="7" max="7"/>
    <col width="12.75" customWidth="1" style="21" min="8" max="8"/>
    <col width="15.33203125" customWidth="1" style="21" min="9" max="11"/>
    <col width="2.58203125" customWidth="1" style="21" min="12" max="12"/>
    <col width="1.58203125" customWidth="1" style="21" min="13" max="13"/>
    <col width="12" customWidth="1" style="21" min="14" max="17"/>
    <col width="12.75" customWidth="1" style="21" min="18" max="27"/>
    <col width="8.75" customWidth="1" style="21" min="28" max="16384"/>
  </cols>
  <sheetData>
    <row r="1" ht="10" customHeight="1" s="588">
      <c r="A1" s="37" t="inlineStr">
        <is>
          <t>20e47199-a864-4306-8dba-b45dd663ee0a</t>
        </is>
      </c>
      <c r="M1" s="40" t="n"/>
      <c r="CG1" s="23" t="n"/>
      <c r="CH1" s="22" t="n"/>
      <c r="CI1" s="22" t="n"/>
      <c r="CJ1" s="24" t="n"/>
      <c r="CK1" s="25" t="n"/>
      <c r="CL1" s="25" t="n"/>
      <c r="CM1" s="25" t="n"/>
      <c r="CN1" s="25" t="n"/>
      <c r="CO1" s="25" t="n"/>
      <c r="CP1" s="25" t="n"/>
      <c r="CQ1" s="25" t="n"/>
      <c r="CR1" s="22" t="n"/>
      <c r="CS1" s="25" t="n"/>
      <c r="CT1" s="25" t="n"/>
      <c r="CU1" s="25" t="n"/>
      <c r="CV1" s="25" t="n"/>
      <c r="CW1" s="25" t="n"/>
      <c r="CX1" s="25" t="n"/>
      <c r="CY1" s="22" t="n"/>
      <c r="CZ1" s="26" t="n"/>
      <c r="DA1" s="27" t="n"/>
      <c r="DB1" s="28" t="n"/>
      <c r="DC1" s="28" t="n"/>
      <c r="DD1" s="22" t="n"/>
      <c r="DE1" s="25" t="n"/>
      <c r="DF1" s="29" t="n"/>
      <c r="DG1" s="30" t="n"/>
      <c r="DH1" s="25" t="n"/>
      <c r="DI1" s="31" t="n"/>
    </row>
    <row r="2" ht="20.15" customFormat="1" customHeight="1" s="33">
      <c r="A2" s="32" t="n"/>
      <c r="B2" s="180" t="inlineStr">
        <is>
          <t>获取期末的在建工程明细清单，将在建工程明细清单的金额与J.01 Agree SL to GL 表1的金额进行核对，核对结果详见J.01 Agree SL to GL 表2，并调查大于SAD的差异。</t>
        </is>
      </c>
      <c r="C2" s="35" t="n"/>
      <c r="D2" s="181" t="n"/>
      <c r="E2" s="181" t="n"/>
      <c r="F2" s="665" t="n"/>
      <c r="G2" s="665" t="n"/>
      <c r="H2" s="35" t="n"/>
      <c r="M2" s="40" t="n"/>
      <c r="O2" s="131" t="inlineStr">
        <is>
          <t>返回汇总页</t>
        </is>
      </c>
    </row>
    <row r="3" ht="20" customFormat="1" customHeight="1" s="33">
      <c r="A3" s="32" t="n"/>
      <c r="B3" s="257" t="inlineStr">
        <is>
          <t>注：项目组可以自定义在建工程清单表格，也可直接使用被审计单位的在建工程台账，但至少须确保必需字段（如项目或资产名称、期末资产余额）完整。</t>
        </is>
      </c>
      <c r="C3" s="258" t="n"/>
      <c r="D3" s="259" t="n"/>
      <c r="E3" s="259" t="n"/>
      <c r="F3" s="259" t="n"/>
      <c r="G3" s="260" t="n"/>
      <c r="H3" s="666" t="n"/>
      <c r="I3" s="666" t="n"/>
      <c r="J3" s="666" t="n"/>
      <c r="K3" s="665" t="n"/>
      <c r="M3" s="40" t="n"/>
    </row>
    <row r="4" ht="15" customHeight="1" s="588">
      <c r="M4" s="40" t="n"/>
    </row>
    <row r="5" ht="7.5" customHeight="1" s="588">
      <c r="A5" s="40" t="n"/>
      <c r="B5" s="40" t="n"/>
      <c r="C5" s="40" t="n"/>
      <c r="D5" s="40" t="n"/>
      <c r="E5" s="40" t="n"/>
      <c r="F5" s="40" t="n"/>
      <c r="G5" s="40" t="n"/>
      <c r="H5" s="40" t="n"/>
      <c r="I5" s="40" t="n"/>
      <c r="J5" s="40" t="n"/>
      <c r="K5" s="40" t="n"/>
      <c r="L5" s="40" t="n"/>
      <c r="M5" s="40" t="n"/>
    </row>
  </sheetData>
  <hyperlinks>
    <hyperlink ref="O2" location="汇总!A1" display="返回汇总页"/>
  </hyperlinks>
  <pageMargins left="0.7" right="0.7" top="0.75" bottom="0.75" header="0.3" footer="0.3"/>
  <pageSetup orientation="portrait" paperSize="9"/>
</worksheet>
</file>

<file path=xl/worksheets/sheet6.xml><?xml version="1.0" encoding="utf-8"?>
<worksheet xmlns="http://schemas.openxmlformats.org/spreadsheetml/2006/main">
  <sheetPr>
    <outlinePr summaryBelow="1" summaryRight="1"/>
    <pageSetUpPr/>
  </sheetPr>
  <dimension ref="A1:CV45"/>
  <sheetViews>
    <sheetView showGridLines="0" zoomScale="70" zoomScaleNormal="70" workbookViewId="0">
      <selection activeCell="I26" sqref="I26"/>
    </sheetView>
  </sheetViews>
  <sheetFormatPr baseColWidth="8" defaultColWidth="8.75" defaultRowHeight="12.75" customHeight="1"/>
  <cols>
    <col width="2.58203125" customWidth="1" style="1" min="1" max="1"/>
    <col width="29.33203125" customWidth="1" style="2" min="2" max="2"/>
    <col width="17.75" customWidth="1" style="2" min="3" max="3"/>
    <col width="20.08203125" customWidth="1" style="2" min="4" max="4"/>
    <col width="24.75" customWidth="1" style="2" min="5" max="5"/>
    <col width="23.33203125" customWidth="1" style="2" min="6" max="6"/>
    <col width="15.75" customWidth="1" style="2" min="7" max="7"/>
    <col width="12.33203125" customWidth="1" style="2" min="8" max="8"/>
    <col width="16.08203125" customWidth="1" style="2" min="9" max="9"/>
    <col width="28" customWidth="1" style="2" min="10" max="10"/>
    <col width="25.33203125" customWidth="1" style="2" min="11" max="11"/>
    <col width="12.25" customWidth="1" style="2" min="12" max="12"/>
    <col width="13.33203125" customWidth="1" style="2" min="13" max="13"/>
    <col width="2.58203125" customWidth="1" style="211" min="14" max="14"/>
    <col width="1.58203125" customWidth="1" style="220" min="15" max="15"/>
    <col width="10.75" customWidth="1" style="3" min="16" max="16"/>
    <col width="10.75" customWidth="1" style="2" min="17" max="20"/>
    <col width="12" customWidth="1" style="2" min="21" max="21"/>
    <col width="11.33203125" customWidth="1" style="2" min="22" max="24"/>
    <col width="12" customWidth="1" style="2" min="25" max="29"/>
    <col width="12.75" customWidth="1" style="2" min="30" max="39"/>
    <col width="8.75" customWidth="1" style="2" min="40" max="16384"/>
  </cols>
  <sheetData>
    <row r="1" ht="50.15" customFormat="1" customHeight="1" s="79">
      <c r="B1" s="426" t="inlineStr">
        <is>
          <t>标准工作底稿: J1 SWP 在建工程</t>
        </is>
      </c>
      <c r="C1" s="426" t="n"/>
      <c r="D1" s="438" t="n"/>
      <c r="E1" s="438" t="n"/>
      <c r="F1" s="438" t="n"/>
      <c r="G1" s="438" t="n"/>
      <c r="H1" s="438" t="n"/>
      <c r="I1" s="438" t="n"/>
      <c r="J1" s="438" t="n"/>
      <c r="K1" s="439" t="n"/>
      <c r="L1" s="440" t="n"/>
      <c r="M1" s="439" t="n"/>
      <c r="N1" s="93" t="n"/>
      <c r="O1" s="92" t="n"/>
    </row>
    <row r="2" ht="30" customFormat="1" customHeight="1" s="80">
      <c r="A2" s="91" t="n"/>
      <c r="B2" s="402" t="inlineStr">
        <is>
          <t>J.02.1 CIP additions (TOD)</t>
        </is>
      </c>
      <c r="C2" s="307" t="n"/>
      <c r="D2" s="308" t="n"/>
      <c r="E2" s="308" t="n"/>
      <c r="F2" s="308" t="n"/>
      <c r="G2" s="308" t="n"/>
      <c r="H2" s="308" t="n"/>
      <c r="I2" s="308" t="n"/>
      <c r="J2" s="308" t="n"/>
      <c r="K2" s="308" t="n"/>
      <c r="L2" s="308" t="n"/>
      <c r="M2" s="308" t="n"/>
      <c r="N2" s="82" t="n"/>
      <c r="O2" s="92" t="n"/>
      <c r="P2" s="82" t="n"/>
      <c r="BT2" s="81" t="n"/>
      <c r="BU2" s="82" t="n"/>
      <c r="BV2" s="82" t="n"/>
      <c r="BW2" s="83" t="n"/>
      <c r="BX2" s="84" t="n"/>
      <c r="BY2" s="84" t="n"/>
      <c r="BZ2" s="84" t="n"/>
      <c r="CA2" s="84" t="n"/>
      <c r="CB2" s="84" t="n"/>
      <c r="CC2" s="84" t="n"/>
      <c r="CD2" s="84" t="n"/>
      <c r="CE2" s="82" t="n"/>
      <c r="CF2" s="84" t="n"/>
      <c r="CG2" s="84" t="n"/>
      <c r="CH2" s="84" t="n"/>
      <c r="CI2" s="84" t="n"/>
      <c r="CJ2" s="84" t="n"/>
      <c r="CK2" s="84" t="n"/>
      <c r="CL2" s="82" t="n"/>
      <c r="CM2" s="85" t="n"/>
      <c r="CN2" s="86" t="n"/>
      <c r="CO2" s="87" t="n"/>
      <c r="CP2" s="87" t="n"/>
      <c r="CQ2" s="82" t="n"/>
      <c r="CR2" s="84" t="n"/>
      <c r="CS2" s="88" t="n"/>
      <c r="CT2" s="89" t="n"/>
      <c r="CU2" s="84" t="n"/>
      <c r="CV2" s="90" t="n"/>
    </row>
    <row r="3" ht="15" customFormat="1" customHeight="1" s="80">
      <c r="A3" s="91" t="n"/>
      <c r="B3" s="127" t="n"/>
      <c r="C3" s="128" t="n"/>
      <c r="N3" s="82" t="n"/>
      <c r="O3" s="92" t="n"/>
      <c r="P3" s="82" t="n"/>
      <c r="BT3" s="81" t="n"/>
      <c r="BU3" s="82" t="n"/>
      <c r="BV3" s="82" t="n"/>
      <c r="BW3" s="83" t="n"/>
      <c r="BX3" s="84" t="n"/>
      <c r="BY3" s="84" t="n"/>
      <c r="BZ3" s="84" t="n"/>
      <c r="CA3" s="84" t="n"/>
      <c r="CB3" s="84" t="n"/>
      <c r="CC3" s="84" t="n"/>
      <c r="CD3" s="84" t="n"/>
      <c r="CE3" s="82" t="n"/>
      <c r="CF3" s="84" t="n"/>
      <c r="CG3" s="84" t="n"/>
      <c r="CH3" s="84" t="n"/>
      <c r="CI3" s="84" t="n"/>
      <c r="CJ3" s="84" t="n"/>
      <c r="CK3" s="84" t="n"/>
      <c r="CL3" s="82" t="n"/>
      <c r="CM3" s="85" t="n"/>
      <c r="CN3" s="86" t="n"/>
      <c r="CO3" s="87" t="n"/>
      <c r="CP3" s="87" t="n"/>
      <c r="CQ3" s="82" t="n"/>
      <c r="CR3" s="84" t="n"/>
      <c r="CS3" s="88" t="n"/>
      <c r="CT3" s="89" t="n"/>
      <c r="CU3" s="84" t="n"/>
      <c r="CV3" s="90" t="n"/>
    </row>
    <row r="4" ht="15" customFormat="1" customHeight="1" s="80">
      <c r="A4" s="91" t="n"/>
      <c r="B4" s="131" t="inlineStr">
        <is>
          <t>返回汇总页</t>
        </is>
      </c>
      <c r="C4" s="128" t="n"/>
      <c r="N4" s="82" t="n"/>
      <c r="O4" s="92" t="n"/>
      <c r="P4" s="82" t="n"/>
      <c r="BT4" s="81" t="n"/>
      <c r="BU4" s="82" t="n"/>
      <c r="BV4" s="82" t="n"/>
      <c r="BW4" s="83" t="n"/>
      <c r="BX4" s="84" t="n"/>
      <c r="BY4" s="84" t="n"/>
      <c r="BZ4" s="84" t="n"/>
      <c r="CA4" s="84" t="n"/>
      <c r="CB4" s="84" t="n"/>
      <c r="CC4" s="84" t="n"/>
      <c r="CD4" s="84" t="n"/>
      <c r="CE4" s="82" t="n"/>
      <c r="CF4" s="84" t="n"/>
      <c r="CG4" s="84" t="n"/>
      <c r="CH4" s="84" t="n"/>
      <c r="CI4" s="84" t="n"/>
      <c r="CJ4" s="84" t="n"/>
      <c r="CK4" s="84" t="n"/>
      <c r="CL4" s="82" t="n"/>
      <c r="CM4" s="85" t="n"/>
      <c r="CN4" s="86" t="n"/>
      <c r="CO4" s="87" t="n"/>
      <c r="CP4" s="87" t="n"/>
      <c r="CQ4" s="82" t="n"/>
      <c r="CR4" s="84" t="n"/>
      <c r="CS4" s="88" t="n"/>
      <c r="CT4" s="89" t="n"/>
      <c r="CU4" s="84" t="n"/>
      <c r="CV4" s="90" t="n"/>
    </row>
    <row r="5" ht="15" customFormat="1" customHeight="1" s="204">
      <c r="A5" s="202" t="n"/>
      <c r="B5" s="203" t="n"/>
      <c r="D5" s="185" t="n"/>
      <c r="E5" s="185" t="n"/>
      <c r="F5" s="185" t="n"/>
      <c r="G5" s="203" t="n"/>
      <c r="H5" s="203" t="n"/>
      <c r="I5" s="203" t="n"/>
      <c r="J5" s="205" t="n"/>
      <c r="K5" s="205" t="n"/>
      <c r="L5" s="205" t="n"/>
      <c r="N5" s="667" t="n"/>
      <c r="O5" s="92" t="n"/>
      <c r="P5" s="623" t="n"/>
      <c r="Q5" s="623" t="n"/>
      <c r="T5" s="202" t="n"/>
      <c r="U5" s="623" t="n"/>
    </row>
    <row r="6" ht="15" customFormat="1" customHeight="1" s="204">
      <c r="A6" s="202" t="n"/>
      <c r="B6" s="203" t="inlineStr">
        <is>
          <t>记录我们的详细测试所涵盖的总体（指引：包括充分的描述，以使经验丰富且之前与审计没有关联的审计师能够了解样本是如何选择的，例如，总体的排序或筛选）</t>
        </is>
      </c>
      <c r="D6" s="185" t="n"/>
      <c r="E6" s="185" t="n"/>
      <c r="F6" s="185" t="n"/>
      <c r="G6" s="203" t="n"/>
      <c r="H6" s="203" t="n"/>
      <c r="I6" s="203" t="n"/>
      <c r="J6" s="205" t="n"/>
      <c r="K6" s="205" t="n"/>
      <c r="L6" s="205" t="n"/>
      <c r="N6" s="667" t="n"/>
      <c r="O6" s="92" t="n"/>
      <c r="P6" s="623" t="n"/>
      <c r="Q6" s="623" t="n"/>
      <c r="T6" s="202" t="n"/>
      <c r="U6" s="623" t="n"/>
    </row>
    <row r="7" ht="13" customFormat="1" customHeight="1" s="205">
      <c r="A7" s="208" t="n"/>
      <c r="B7" s="668" t="n"/>
      <c r="C7" s="669" t="n"/>
      <c r="D7" s="669" t="n"/>
      <c r="E7" s="669" t="n"/>
      <c r="F7" s="670" t="n"/>
      <c r="O7" s="92" t="n"/>
    </row>
    <row r="8" ht="13" customFormat="1" customHeight="1" s="205">
      <c r="A8" s="208" t="n"/>
      <c r="B8" s="671" t="n"/>
      <c r="F8" s="672" t="n"/>
      <c r="O8" s="92" t="n"/>
    </row>
    <row r="9" ht="13" customFormat="1" customHeight="1" s="205">
      <c r="A9" s="208" t="n"/>
      <c r="B9" s="671" t="n"/>
      <c r="F9" s="672" t="n"/>
      <c r="O9" s="92" t="n"/>
    </row>
    <row r="10" ht="13" customFormat="1" customHeight="1" s="205">
      <c r="A10" s="208" t="n"/>
      <c r="B10" s="673" t="n"/>
      <c r="C10" s="674" t="n"/>
      <c r="D10" s="674" t="n"/>
      <c r="E10" s="674" t="n"/>
      <c r="F10" s="675" t="n"/>
      <c r="O10" s="92" t="n"/>
    </row>
    <row r="11" ht="14" customFormat="1" customHeight="1" s="185">
      <c r="J11" s="205" t="n"/>
      <c r="K11" s="205" t="n"/>
      <c r="L11" s="205" t="n"/>
      <c r="O11" s="92" t="n"/>
    </row>
    <row r="12" ht="14.5" customFormat="1" customHeight="1" s="209">
      <c r="B12" s="114" t="inlineStr">
        <is>
          <t>新增明细清单金额</t>
        </is>
      </c>
      <c r="C12" s="676" t="n"/>
      <c r="D12" s="1" t="inlineStr">
        <is>
          <t>新增清单</t>
        </is>
      </c>
      <c r="E12" s="3" t="n"/>
      <c r="F12" s="3" t="n"/>
      <c r="J12" s="205" t="n"/>
      <c r="K12" s="205" t="n"/>
      <c r="L12" s="205" t="n"/>
      <c r="O12" s="92" t="n"/>
    </row>
    <row r="13" ht="14.5" customFormat="1" customHeight="1" s="209">
      <c r="B13" s="114" t="inlineStr">
        <is>
          <t>新增总额</t>
        </is>
      </c>
      <c r="C13" s="676">
        <f>'J.01 Agree SL to GL'!E14</f>
        <v/>
      </c>
      <c r="D13" s="16" t="inlineStr">
        <is>
          <t xml:space="preserve">J1.01 </t>
        </is>
      </c>
      <c r="E13" s="3" t="n"/>
      <c r="F13" s="3" t="n"/>
      <c r="J13" s="205" t="n"/>
      <c r="K13" s="205" t="n"/>
      <c r="L13" s="205" t="n"/>
      <c r="O13" s="92" t="n"/>
    </row>
    <row r="14" ht="14.5" customFormat="1" customHeight="1" s="209">
      <c r="B14" s="441" t="inlineStr">
        <is>
          <t>差异</t>
        </is>
      </c>
      <c r="C14" s="677">
        <f>C12-C13</f>
        <v/>
      </c>
      <c r="D14" s="16" t="inlineStr">
        <is>
          <t>Rx</t>
        </is>
      </c>
      <c r="E14" s="3" t="inlineStr">
        <is>
          <t>差异是否需要进一步调查？</t>
        </is>
      </c>
      <c r="F14" s="294">
        <f>IF(ABS($C$14)&gt;'J.00  Lead Sheet'!$C$6, "Yes", "No")</f>
        <v/>
      </c>
      <c r="O14" s="92" t="n"/>
    </row>
    <row r="15" ht="12.5" customFormat="1" customHeight="1" s="209">
      <c r="B15" s="114" t="n"/>
      <c r="C15" s="678" t="n"/>
      <c r="D15" s="3" t="n"/>
      <c r="E15" s="3" t="n"/>
      <c r="F15" s="3" t="n"/>
      <c r="O15" s="92" t="n"/>
    </row>
    <row r="16" ht="14.5" customFormat="1" customHeight="1" s="209">
      <c r="B16" s="250" t="inlineStr">
        <is>
          <t>减：已测试的关键性样本</t>
        </is>
      </c>
      <c r="C16" s="679" t="n"/>
      <c r="D16" s="115" t="n"/>
      <c r="E16" s="3" t="n"/>
      <c r="F16" s="3" t="n"/>
      <c r="O16" s="92" t="n"/>
    </row>
    <row r="17" ht="14.5" customFormat="1" customHeight="1" s="209">
      <c r="B17" s="441" t="inlineStr">
        <is>
          <t>剩余代表性样本抽样总体</t>
        </is>
      </c>
      <c r="C17" s="680">
        <f>C12-C16</f>
        <v/>
      </c>
      <c r="D17" s="681" t="n"/>
      <c r="E17" s="3" t="n"/>
      <c r="F17" s="3" t="n"/>
      <c r="O17" s="92" t="n"/>
    </row>
    <row r="18" ht="14" customFormat="1" customHeight="1" s="185">
      <c r="O18" s="92" t="n"/>
    </row>
    <row r="19" ht="14.5" customFormat="1" customHeight="1" s="205">
      <c r="A19" s="208" t="n"/>
      <c r="B19" s="203" t="inlineStr">
        <is>
          <t>下面描述选择关键项目的理由（请参阅Canvas指导工作流程的“关键项目”部分，包括信息图标）：</t>
        </is>
      </c>
      <c r="K19" s="682" t="n"/>
      <c r="O19" s="92" t="n"/>
    </row>
    <row r="20" ht="14" customFormat="1" customHeight="1" s="205">
      <c r="A20" s="208" t="n"/>
      <c r="B20" s="683" t="n"/>
      <c r="C20" s="669" t="n"/>
      <c r="D20" s="669" t="n"/>
      <c r="E20" s="669" t="n"/>
      <c r="F20" s="670" t="n"/>
      <c r="G20" s="185" t="n"/>
      <c r="H20" s="185" t="n"/>
      <c r="I20" s="185" t="n"/>
      <c r="J20" s="185" t="n"/>
      <c r="K20" s="185" t="n"/>
      <c r="O20" s="92" t="n"/>
    </row>
    <row r="21" ht="14" customFormat="1" customHeight="1" s="205">
      <c r="A21" s="208" t="n"/>
      <c r="B21" s="671" t="n"/>
      <c r="F21" s="672" t="n"/>
      <c r="G21" s="185" t="n"/>
      <c r="H21" s="185" t="n"/>
      <c r="I21" s="185" t="n"/>
      <c r="J21" s="185" t="n"/>
      <c r="K21" s="185" t="n"/>
      <c r="O21" s="92" t="n"/>
    </row>
    <row r="22" ht="14" customFormat="1" customHeight="1" s="205">
      <c r="A22" s="208" t="n"/>
      <c r="B22" s="671" t="n"/>
      <c r="F22" s="672" t="n"/>
      <c r="G22" s="185" t="n"/>
      <c r="H22" s="185" t="n"/>
      <c r="I22" s="185" t="n"/>
      <c r="J22" s="185" t="n"/>
      <c r="K22" s="185" t="n"/>
      <c r="O22" s="92" t="n"/>
    </row>
    <row r="23" ht="14" customFormat="1" customHeight="1" s="205">
      <c r="A23" s="208" t="n"/>
      <c r="B23" s="673" t="n"/>
      <c r="C23" s="674" t="n"/>
      <c r="D23" s="674" t="n"/>
      <c r="E23" s="674" t="n"/>
      <c r="F23" s="675" t="n"/>
      <c r="G23" s="185" t="n"/>
      <c r="H23" s="185" t="n"/>
      <c r="I23" s="185" t="n"/>
      <c r="J23" s="185" t="n"/>
      <c r="K23" s="185" t="n"/>
      <c r="O23" s="92" t="n"/>
    </row>
    <row r="24" ht="12.75" customHeight="1" s="588">
      <c r="G24" s="185" t="n"/>
      <c r="H24" s="185" t="n"/>
      <c r="I24" s="185" t="n"/>
      <c r="J24" s="185" t="n"/>
      <c r="K24" s="185" t="n"/>
      <c r="L24" s="3" t="n"/>
      <c r="M24" s="3" t="n"/>
      <c r="O24" s="92" t="n"/>
    </row>
    <row r="25" ht="16.5" customFormat="1" customHeight="1" s="213">
      <c r="A25" s="202" t="n"/>
      <c r="B25" s="684" t="inlineStr">
        <is>
          <t>EY 测试属性解释:</t>
        </is>
      </c>
      <c r="C25" s="590" t="n"/>
      <c r="D25" s="590" t="n"/>
      <c r="E25" s="590" t="n"/>
      <c r="F25" s="591" t="n"/>
      <c r="G25" s="185" t="n"/>
      <c r="H25" s="185" t="n"/>
      <c r="I25" s="185" t="n"/>
      <c r="J25" s="185" t="n"/>
      <c r="K25" s="185" t="n"/>
      <c r="L25" s="685" t="n"/>
      <c r="M25" s="685" t="n"/>
      <c r="N25" s="623" t="n"/>
      <c r="O25" s="92" t="n"/>
      <c r="P25" s="204" t="n"/>
    </row>
    <row r="26" ht="14.5" customFormat="1" customHeight="1" s="204">
      <c r="A26" s="202" t="n"/>
      <c r="B26" s="686" t="inlineStr">
        <is>
          <t>对于选择进行测试的每个项目，我们检查了相关的第三方证据（如发票和/或合同、进度账单、人工和间接费用），并确定：</t>
        </is>
      </c>
      <c r="C26" s="636" t="n"/>
      <c r="D26" s="636" t="n"/>
      <c r="E26" s="636" t="n"/>
      <c r="F26" s="687" t="n"/>
      <c r="G26" s="185" t="n"/>
      <c r="H26" s="185" t="n"/>
      <c r="I26" s="185" t="n"/>
      <c r="J26" s="185" t="n"/>
      <c r="K26" s="185" t="n"/>
      <c r="L26" s="688" t="n"/>
      <c r="M26" s="688" t="n"/>
      <c r="N26" s="688" t="n"/>
      <c r="O26" s="92" t="n"/>
    </row>
    <row r="27" ht="14.5" customFormat="1" customHeight="1" s="204">
      <c r="A27" s="202" t="n"/>
      <c r="B27" s="689" t="inlineStr">
        <is>
          <t>1）选定的该项资产符合资本化条件，而不是计入费用。</t>
        </is>
      </c>
      <c r="C27" s="527" t="n"/>
      <c r="D27" s="527" t="n"/>
      <c r="E27" s="527" t="n"/>
      <c r="F27" s="639" t="n"/>
      <c r="G27" s="185" t="n"/>
      <c r="H27" s="185" t="n"/>
      <c r="I27" s="185" t="n"/>
      <c r="J27" s="185" t="n"/>
      <c r="K27" s="185" t="n"/>
      <c r="L27" s="685" t="n"/>
      <c r="M27" s="685" t="n"/>
      <c r="N27" s="623" t="n"/>
      <c r="O27" s="92" t="n"/>
    </row>
    <row r="28" ht="16.5" customFormat="1" customHeight="1" s="204">
      <c r="A28" s="202" t="n"/>
      <c r="B28" s="690" t="inlineStr">
        <is>
          <t>2）资产记录的金额和相关的财务报告框架一致。</t>
        </is>
      </c>
      <c r="C28" s="642" t="n"/>
      <c r="D28" s="642" t="n"/>
      <c r="E28" s="642" t="n"/>
      <c r="F28" s="643" t="n"/>
      <c r="G28" s="185" t="n"/>
      <c r="H28" s="185" t="n"/>
      <c r="I28" s="185" t="n"/>
      <c r="J28" s="185" t="n"/>
      <c r="K28" s="185" t="n"/>
      <c r="L28" s="685" t="n"/>
      <c r="M28" s="685" t="n"/>
      <c r="N28" s="623" t="n"/>
      <c r="O28" s="92" t="n"/>
    </row>
    <row r="29" ht="13" customFormat="1" customHeight="1" s="204">
      <c r="A29" s="202" t="n"/>
      <c r="C29" s="215" t="n"/>
      <c r="D29" s="216" t="n"/>
      <c r="E29" s="691" t="n"/>
      <c r="F29" s="692" t="n"/>
      <c r="G29" s="692" t="n"/>
      <c r="H29" s="692" t="n"/>
      <c r="I29" s="693" t="n"/>
      <c r="J29" s="693" t="n"/>
      <c r="K29" s="692" t="n"/>
      <c r="N29" s="667" t="n"/>
      <c r="O29" s="92" t="n"/>
      <c r="P29" s="623" t="n"/>
      <c r="Q29" s="623" t="n"/>
      <c r="T29" s="202" t="n"/>
      <c r="U29" s="623" t="n"/>
    </row>
    <row r="30" ht="15" customFormat="1" customHeight="1" s="3">
      <c r="K30" s="14" t="inlineStr">
        <is>
          <t>|------- Rx -------|</t>
        </is>
      </c>
      <c r="L30" s="694" t="inlineStr">
        <is>
          <t>EY Works</t>
        </is>
      </c>
      <c r="M30" s="591" t="n"/>
      <c r="O30" s="92" t="n"/>
    </row>
    <row r="31" ht="60" customFormat="1" customHeight="1" s="3">
      <c r="B31" s="309" t="inlineStr">
        <is>
          <t>样本序号</t>
        </is>
      </c>
      <c r="C31" s="408" t="inlineStr">
        <is>
          <t>样本类型
（使用下拉列表）</t>
        </is>
      </c>
      <c r="D31" s="309" t="inlineStr">
        <is>
          <t>资产日期
（最初记录在明细账中的时间）</t>
        </is>
      </c>
      <c r="E31" s="309" t="inlineStr">
        <is>
          <t>资产编号</t>
        </is>
      </c>
      <c r="F31" s="309" t="inlineStr">
        <is>
          <t>资产名称</t>
        </is>
      </c>
      <c r="G31" s="309" t="inlineStr">
        <is>
          <t>新增资产金额</t>
        </is>
      </c>
      <c r="H31" s="309" t="inlineStr">
        <is>
          <t>资产类别</t>
        </is>
      </c>
      <c r="I31" s="309" t="inlineStr">
        <is>
          <t>支持性文件中的资产金额</t>
        </is>
      </c>
      <c r="J31" s="309" t="inlineStr">
        <is>
          <t>获得的证据/支持的描述
（例如，发票和/或合同、进度账单、人工和间接费用）</t>
        </is>
      </c>
      <c r="K31" s="309" t="inlineStr">
        <is>
          <t>支持性文件中的资产金额与明细账之间的差异</t>
        </is>
      </c>
      <c r="L31" s="309" t="n">
        <v>1</v>
      </c>
      <c r="M31" s="309" t="n">
        <v>2</v>
      </c>
      <c r="O31" s="92" t="n"/>
    </row>
    <row r="32" ht="15" customFormat="1" customHeight="1" s="3">
      <c r="B32" s="347" t="n"/>
      <c r="C32" s="347" t="n"/>
      <c r="D32" s="344" t="n"/>
      <c r="E32" s="347" t="n"/>
      <c r="F32" s="347" t="n"/>
      <c r="G32" s="695" t="n"/>
      <c r="H32" s="347" t="n"/>
      <c r="I32" s="696" t="n"/>
      <c r="J32" s="312" t="n"/>
      <c r="K32" s="696">
        <f>I32-G32</f>
        <v/>
      </c>
      <c r="L32" s="345" t="n"/>
      <c r="M32" s="345" t="n"/>
      <c r="O32" s="92" t="n"/>
    </row>
    <row r="33" ht="15" customFormat="1" customHeight="1" s="3">
      <c r="B33" s="347" t="n"/>
      <c r="C33" s="347" t="n"/>
      <c r="D33" s="344" t="n"/>
      <c r="E33" s="347" t="n"/>
      <c r="F33" s="347" t="n"/>
      <c r="G33" s="695" t="n"/>
      <c r="H33" s="347" t="n"/>
      <c r="I33" s="696" t="n"/>
      <c r="J33" s="312" t="n"/>
      <c r="K33" s="696">
        <f>I33-G33</f>
        <v/>
      </c>
      <c r="L33" s="345" t="n"/>
      <c r="M33" s="345" t="n"/>
      <c r="O33" s="92" t="n"/>
    </row>
    <row r="34" ht="15" customFormat="1" customHeight="1" s="3">
      <c r="B34" s="347" t="n"/>
      <c r="C34" s="347" t="n"/>
      <c r="D34" s="344" t="n"/>
      <c r="E34" s="347" t="n"/>
      <c r="F34" s="347" t="n"/>
      <c r="G34" s="695" t="n"/>
      <c r="H34" s="347" t="n"/>
      <c r="I34" s="696" t="n"/>
      <c r="J34" s="312" t="n"/>
      <c r="K34" s="696">
        <f>I34-G34</f>
        <v/>
      </c>
      <c r="L34" s="345" t="n"/>
      <c r="M34" s="345" t="n"/>
      <c r="O34" s="92" t="n"/>
    </row>
    <row r="35" ht="15" customFormat="1" customHeight="1" s="3">
      <c r="B35" s="347" t="n"/>
      <c r="C35" s="347" t="n"/>
      <c r="D35" s="344" t="n"/>
      <c r="E35" s="347" t="n"/>
      <c r="F35" s="347" t="n"/>
      <c r="G35" s="695" t="n"/>
      <c r="H35" s="347" t="n"/>
      <c r="I35" s="696" t="n"/>
      <c r="J35" s="312" t="n"/>
      <c r="K35" s="696">
        <f>I35-G35</f>
        <v/>
      </c>
      <c r="L35" s="345" t="n"/>
      <c r="M35" s="345" t="n"/>
      <c r="O35" s="92" t="n"/>
    </row>
    <row r="36" ht="15" customFormat="1" customHeight="1" s="3">
      <c r="B36" s="347" t="n"/>
      <c r="C36" s="347" t="n"/>
      <c r="D36" s="344" t="n"/>
      <c r="E36" s="347" t="n"/>
      <c r="F36" s="347" t="n"/>
      <c r="G36" s="695" t="n"/>
      <c r="H36" s="347" t="n"/>
      <c r="I36" s="696" t="n"/>
      <c r="J36" s="347" t="n"/>
      <c r="K36" s="696">
        <f>I36-G36</f>
        <v/>
      </c>
      <c r="L36" s="345" t="n"/>
      <c r="M36" s="345" t="n"/>
      <c r="O36" s="92" t="n"/>
    </row>
    <row r="37" ht="15" customFormat="1" customHeight="1" s="185">
      <c r="O37" s="92" t="n"/>
    </row>
    <row r="38" ht="15" customFormat="1" customHeight="1" s="185">
      <c r="B38" s="527" t="inlineStr">
        <is>
          <t>标记图例:记录已识别的异常情况以及如何解决这些异常情况的详细信息，包括执行的其他实质性程序（指南：包括足够的描述，以使之前与审计无关的经验丰富的审计师能够理解执行的程序）。</t>
        </is>
      </c>
      <c r="C38" s="527" t="n"/>
      <c r="D38" s="527" t="n"/>
      <c r="E38" s="527" t="n"/>
      <c r="F38" s="527" t="n"/>
      <c r="G38" s="527" t="n"/>
      <c r="H38" s="527" t="n"/>
      <c r="I38" s="527" t="n"/>
      <c r="J38" s="527" t="n"/>
      <c r="K38" s="527" t="n"/>
      <c r="O38" s="92" t="n"/>
    </row>
    <row r="39" ht="12.75" customHeight="1" s="588">
      <c r="B39" s="683" t="n"/>
      <c r="C39" s="669" t="n"/>
      <c r="D39" s="669" t="n"/>
      <c r="E39" s="669" t="n"/>
      <c r="F39" s="670" t="n"/>
      <c r="O39" s="92" t="n"/>
    </row>
    <row r="40" ht="12.75" customHeight="1" s="588">
      <c r="B40" s="671" t="n"/>
      <c r="F40" s="672" t="n"/>
      <c r="O40" s="92" t="n"/>
    </row>
    <row r="41" ht="12.75" customHeight="1" s="588">
      <c r="B41" s="671" t="n"/>
      <c r="F41" s="672" t="n"/>
      <c r="O41" s="92" t="n"/>
    </row>
    <row r="42" ht="12.75" customHeight="1" s="588">
      <c r="B42" s="673" t="n"/>
      <c r="C42" s="674" t="n"/>
      <c r="D42" s="674" t="n"/>
      <c r="E42" s="674" t="n"/>
      <c r="F42" s="675" t="n"/>
      <c r="O42" s="92" t="n"/>
    </row>
    <row r="43" ht="15" customHeight="1" s="588">
      <c r="O43" s="92" t="n"/>
    </row>
    <row r="44" ht="7.5" customHeight="1" s="588">
      <c r="A44" s="92" t="n"/>
      <c r="B44" s="92" t="n"/>
      <c r="C44" s="92" t="n"/>
      <c r="D44" s="92" t="n"/>
      <c r="E44" s="92" t="n"/>
      <c r="F44" s="92" t="n"/>
      <c r="G44" s="92" t="n"/>
      <c r="H44" s="92" t="n"/>
      <c r="I44" s="92" t="n"/>
      <c r="J44" s="92" t="n"/>
      <c r="K44" s="92" t="n"/>
      <c r="L44" s="92" t="n"/>
      <c r="M44" s="92" t="n"/>
      <c r="N44" s="92" t="n"/>
      <c r="O44" s="92" t="n"/>
    </row>
    <row r="45" ht="12.75" customFormat="1" customHeight="1" s="3">
      <c r="A45" s="1" t="n"/>
      <c r="N45" s="211" t="n"/>
      <c r="O45" s="211" t="n"/>
    </row>
  </sheetData>
  <mergeCells count="9">
    <mergeCell ref="B20:F23"/>
    <mergeCell ref="B7:F10"/>
    <mergeCell ref="B25:F25"/>
    <mergeCell ref="B28:F28"/>
    <mergeCell ref="B38:K38"/>
    <mergeCell ref="B26:F26"/>
    <mergeCell ref="B27:F27"/>
    <mergeCell ref="B39:F42"/>
    <mergeCell ref="L30:M30"/>
  </mergeCells>
  <conditionalFormatting sqref="B7">
    <cfRule type="containsBlanks" priority="13" dxfId="0">
      <formula>LEN(TRIM(B7))=0</formula>
    </cfRule>
  </conditionalFormatting>
  <conditionalFormatting sqref="B20">
    <cfRule type="containsBlanks" priority="2" dxfId="0">
      <formula>LEN(TRIM(B20))=0</formula>
    </cfRule>
  </conditionalFormatting>
  <conditionalFormatting sqref="B39">
    <cfRule type="containsBlanks" priority="1" dxfId="0">
      <formula>LEN(TRIM(B39))=0</formula>
    </cfRule>
  </conditionalFormatting>
  <conditionalFormatting sqref="B32:M36">
    <cfRule type="containsBlanks" priority="4" dxfId="0">
      <formula>LEN(TRIM(B32))=0</formula>
    </cfRule>
  </conditionalFormatting>
  <conditionalFormatting sqref="C12:C13">
    <cfRule type="containsBlanks" priority="12" dxfId="0">
      <formula>LEN(TRIM(C12))=0</formula>
    </cfRule>
  </conditionalFormatting>
  <conditionalFormatting sqref="C16">
    <cfRule type="containsBlanks" priority="11" dxfId="0">
      <formula>LEN(TRIM(C16))=0</formula>
    </cfRule>
  </conditionalFormatting>
  <dataValidations count="4">
    <dataValidation sqref="J30" showDropDown="0" showInputMessage="1" showErrorMessage="1" allowBlank="0"/>
    <dataValidation sqref="C37" showDropDown="0" showInputMessage="1" showErrorMessage="1" allowBlank="1" type="list">
      <formula1>"Key item,Representative sample"</formula1>
    </dataValidation>
    <dataValidation sqref="L32:M36" showDropDown="0" showInputMessage="1" showErrorMessage="0" allowBlank="1" type="list">
      <formula1>"Y,N"</formula1>
    </dataValidation>
    <dataValidation sqref="C32:C36" showDropDown="0" showInputMessage="1" showErrorMessage="0" allowBlank="1" type="list">
      <formula1>"关键项,代表性样本"</formula1>
    </dataValidation>
  </dataValidations>
  <hyperlinks>
    <hyperlink ref="B4" location="汇总!A1" display="返回汇总页"/>
  </hyperlinks>
  <pageMargins left="0.7" right="0.7" top="0.75" bottom="0.75" header="0.3" footer="0.3"/>
  <pageSetup orientation="portrait" paperSize="9"/>
</worksheet>
</file>

<file path=xl/worksheets/sheet7.xml><?xml version="1.0" encoding="utf-8"?>
<worksheet xmlns="http://schemas.openxmlformats.org/spreadsheetml/2006/main">
  <sheetPr>
    <outlinePr summaryBelow="1" summaryRight="1"/>
    <pageSetUpPr/>
  </sheetPr>
  <dimension ref="A1:U5"/>
  <sheetViews>
    <sheetView showGridLines="0" zoomScale="70" zoomScaleNormal="70" workbookViewId="0">
      <selection activeCell="O17" sqref="O17"/>
    </sheetView>
  </sheetViews>
  <sheetFormatPr baseColWidth="8" defaultColWidth="9" defaultRowHeight="19"/>
  <cols>
    <col width="2.58203125" customWidth="1" style="147" min="1" max="1"/>
    <col width="9" customWidth="1" style="147" min="2" max="12"/>
    <col width="2.58203125" customWidth="1" style="147" min="13" max="13"/>
    <col width="1.58203125" customWidth="1" style="147" min="14" max="14"/>
    <col width="9" customWidth="1" style="147" min="15" max="16384"/>
  </cols>
  <sheetData>
    <row r="1" ht="10" customHeight="1" s="588">
      <c r="A1" s="145" t="inlineStr">
        <is>
          <t>f620e8cb-89ed-471c-a856-e6175ba6de6f</t>
        </is>
      </c>
      <c r="B1" s="146" t="n"/>
      <c r="C1" s="146" t="n"/>
      <c r="D1" s="146" t="n"/>
      <c r="E1" s="146" t="n"/>
      <c r="F1" s="146" t="n"/>
      <c r="G1" s="146" t="n"/>
      <c r="H1" s="146" t="n"/>
      <c r="I1" s="146" t="n"/>
      <c r="J1" s="146" t="n"/>
      <c r="K1" s="146" t="n"/>
      <c r="L1" s="146" t="n"/>
      <c r="M1" s="146" t="n"/>
      <c r="N1" s="92" t="n"/>
      <c r="O1" s="146" t="n"/>
      <c r="P1" s="146" t="n"/>
      <c r="Q1" s="146" t="n"/>
      <c r="R1" s="146" t="n"/>
      <c r="S1" s="146" t="n"/>
      <c r="T1" s="146" t="n"/>
      <c r="U1" s="146" t="n"/>
    </row>
    <row r="2" ht="20" customHeight="1" s="588">
      <c r="A2" s="146" t="n"/>
      <c r="B2" s="268" t="inlineStr">
        <is>
          <t>将此选项页替换为安永智能选样工作文件中的“选样项目详细信息”（如不适用可以删除）</t>
        </is>
      </c>
      <c r="C2" s="257" t="n"/>
      <c r="D2" s="257" t="n"/>
      <c r="E2" s="257" t="n"/>
      <c r="F2" s="257" t="n"/>
      <c r="G2" s="257" t="n"/>
      <c r="H2" s="257" t="n"/>
      <c r="I2" s="257" t="n"/>
      <c r="J2" s="257" t="n"/>
      <c r="K2" s="257" t="n"/>
      <c r="L2" s="257" t="n"/>
      <c r="M2" s="181" t="n"/>
      <c r="N2" s="92" t="n"/>
      <c r="O2" s="171" t="n"/>
      <c r="P2" s="131" t="inlineStr">
        <is>
          <t>返回汇总页</t>
        </is>
      </c>
      <c r="Q2" s="146" t="n"/>
      <c r="R2" s="146" t="n"/>
      <c r="S2" s="146" t="n"/>
      <c r="T2" s="146" t="n"/>
      <c r="U2" s="146" t="n"/>
    </row>
    <row r="3" ht="15" customHeight="1" s="588">
      <c r="A3" s="148" t="n"/>
      <c r="B3" s="148" t="n"/>
      <c r="C3" s="149" t="n"/>
      <c r="D3" s="149" t="n"/>
      <c r="E3" s="149" t="n"/>
      <c r="F3" s="149" t="n"/>
      <c r="G3" s="149" t="n"/>
      <c r="H3" s="149" t="n"/>
      <c r="I3" s="149" t="n"/>
      <c r="J3" s="149" t="n"/>
      <c r="K3" s="148" t="n"/>
      <c r="L3" s="148" t="n"/>
      <c r="M3" s="148" t="n"/>
      <c r="N3" s="92" t="n"/>
      <c r="O3" s="148" t="n"/>
      <c r="P3" s="148" t="n"/>
      <c r="Q3" s="148" t="n"/>
      <c r="R3" s="148" t="n"/>
      <c r="S3" s="148" t="n"/>
      <c r="T3" s="148" t="n"/>
      <c r="U3" s="148" t="n"/>
    </row>
    <row r="4" ht="7.5" customHeight="1" s="588">
      <c r="A4" s="92" t="n"/>
      <c r="B4" s="92" t="n"/>
      <c r="C4" s="92" t="n"/>
      <c r="D4" s="92" t="n"/>
      <c r="E4" s="92" t="n"/>
      <c r="F4" s="92" t="n"/>
      <c r="G4" s="92" t="n"/>
      <c r="H4" s="92" t="n"/>
      <c r="I4" s="92" t="n"/>
      <c r="J4" s="92" t="n"/>
      <c r="K4" s="92" t="n"/>
      <c r="L4" s="92" t="n"/>
      <c r="M4" s="92" t="n"/>
      <c r="N4" s="92" t="n"/>
      <c r="O4" s="146" t="n"/>
      <c r="P4" s="146" t="n"/>
      <c r="Q4" s="146" t="n"/>
      <c r="R4" s="146" t="n"/>
      <c r="S4" s="146" t="n"/>
      <c r="T4" s="146" t="n"/>
      <c r="U4" s="146" t="n"/>
    </row>
    <row r="5">
      <c r="A5" s="146" t="n"/>
      <c r="B5" s="146" t="n"/>
      <c r="C5" s="146" t="n"/>
      <c r="D5" s="146" t="n"/>
      <c r="E5" s="146" t="n"/>
      <c r="F5" s="146" t="n"/>
      <c r="G5" s="146" t="n"/>
      <c r="H5" s="146" t="n"/>
      <c r="I5" s="146" t="n"/>
      <c r="J5" s="146" t="n"/>
      <c r="K5" s="146" t="n"/>
      <c r="L5" s="146" t="n"/>
      <c r="M5" s="146" t="n"/>
      <c r="N5" s="146" t="n"/>
      <c r="O5" s="146" t="n"/>
      <c r="P5" s="146" t="n"/>
      <c r="Q5" s="146" t="n"/>
      <c r="R5" s="146" t="n"/>
      <c r="S5" s="146" t="n"/>
      <c r="T5" s="146" t="n"/>
      <c r="U5" s="146" t="n"/>
    </row>
  </sheetData>
  <hyperlinks>
    <hyperlink ref="P2" location="汇总!A1" display="返回汇总页"/>
  </hyperlinks>
  <pageMargins left="0.7" right="0.7" top="0.75" bottom="0.75" header="0.3" footer="0.3"/>
  <pageSetup orientation="portrait" paperSize="9" verticalDpi="0"/>
</worksheet>
</file>

<file path=xl/worksheets/sheet8.xml><?xml version="1.0" encoding="utf-8"?>
<worksheet xmlns="http://schemas.openxmlformats.org/spreadsheetml/2006/main">
  <sheetPr>
    <outlinePr summaryBelow="1" summaryRight="1"/>
    <pageSetUpPr/>
  </sheetPr>
  <dimension ref="A1:O5"/>
  <sheetViews>
    <sheetView showGridLines="0" zoomScale="70" zoomScaleNormal="70" workbookViewId="0">
      <selection activeCell="A1" sqref="A1"/>
    </sheetView>
  </sheetViews>
  <sheetFormatPr baseColWidth="8" defaultColWidth="8.75" defaultRowHeight="12.75" customHeight="1"/>
  <cols>
    <col width="2.58203125" customWidth="1" style="112" min="1" max="1"/>
    <col width="17.75" customWidth="1" style="113" min="2" max="2"/>
    <col width="36.33203125" customWidth="1" style="113" min="3" max="3"/>
    <col width="17.75" customWidth="1" style="113" min="4" max="5"/>
    <col width="18.33203125" customWidth="1" style="113" min="6" max="6"/>
    <col width="12.75" customWidth="1" style="113" min="7" max="7"/>
    <col width="15.33203125" customWidth="1" style="113" min="8" max="8"/>
    <col width="30.25" customWidth="1" style="113" min="9" max="9"/>
    <col width="1.33203125" customWidth="1" style="113" min="10" max="10"/>
    <col width="12" customWidth="1" style="113" min="11" max="11"/>
    <col width="2.58203125" customWidth="1" style="113" min="12" max="12"/>
    <col width="1.58203125" customWidth="1" style="113" min="13" max="13"/>
    <col width="12.75" customWidth="1" style="113" min="14" max="23"/>
    <col width="8.75" customWidth="1" style="113" min="24" max="16384"/>
  </cols>
  <sheetData>
    <row r="1" ht="10" customHeight="1" s="588">
      <c r="M1" s="92" t="n"/>
      <c r="N1" s="111" t="n"/>
    </row>
    <row r="2" ht="22.5" customFormat="1" customHeight="1" s="111">
      <c r="A2" s="110" t="n"/>
      <c r="B2" s="262" t="inlineStr">
        <is>
          <t>获取在建工程新增列表，并将列表与在建工程后推核对一致。我们调查了超过SAD名义金额的差异（例如，在建工程新增列表与后推计划表之间没有被解释的差额）。</t>
        </is>
      </c>
      <c r="C2" s="184" t="n"/>
      <c r="D2" s="184" t="n"/>
      <c r="E2" s="184" t="n"/>
      <c r="F2" s="184" t="n"/>
      <c r="G2" s="184" t="n"/>
      <c r="H2" s="184" t="n"/>
      <c r="I2" s="184" t="n"/>
      <c r="J2" s="184" t="n"/>
      <c r="K2" s="184" t="n"/>
      <c r="M2" s="92" t="n"/>
      <c r="O2" s="131" t="inlineStr">
        <is>
          <t>返回汇总页</t>
        </is>
      </c>
    </row>
    <row r="3" ht="22.5" customHeight="1" s="588">
      <c r="A3" s="110" t="n"/>
      <c r="B3" s="263" t="inlineStr">
        <is>
          <t>注：项目组可以自定义在建工程新增清单表格，但至少须确保必需字段（如项目或资产名称、新增时间、本期新增金额等）完整。</t>
        </is>
      </c>
      <c r="C3" s="264" t="n"/>
      <c r="D3" s="264" t="n"/>
      <c r="E3" s="264" t="n"/>
      <c r="F3" s="264" t="n"/>
      <c r="G3" s="264" t="n"/>
      <c r="H3" s="264" t="n"/>
      <c r="I3" s="264" t="n"/>
      <c r="J3" s="265" t="n"/>
      <c r="K3" s="265" t="n"/>
      <c r="M3" s="92" t="n"/>
      <c r="N3" s="111" t="n"/>
    </row>
    <row r="4" ht="15" customHeight="1" s="588">
      <c r="M4" s="92" t="n"/>
      <c r="N4" s="111" t="n"/>
    </row>
    <row r="5" ht="7.5" customHeight="1" s="588">
      <c r="A5" s="92" t="n"/>
      <c r="B5" s="92" t="n"/>
      <c r="C5" s="92" t="n"/>
      <c r="D5" s="92" t="n"/>
      <c r="E5" s="92" t="n"/>
      <c r="F5" s="92" t="n"/>
      <c r="G5" s="92" t="n"/>
      <c r="H5" s="92" t="n"/>
      <c r="I5" s="92" t="n"/>
      <c r="J5" s="92" t="n"/>
      <c r="K5" s="92" t="n"/>
      <c r="L5" s="92" t="n"/>
      <c r="M5" s="92" t="n"/>
      <c r="N5" s="111" t="n"/>
    </row>
  </sheetData>
  <hyperlinks>
    <hyperlink ref="O2" location="汇总!A1" display="返回汇总页"/>
  </hyperlinks>
  <pageMargins left="0.7" right="0.7" top="0.75" bottom="0.75" header="0.3" footer="0.3"/>
  <pageSetup orientation="portrait" paperSize="9"/>
</worksheet>
</file>

<file path=xl/worksheets/sheet9.xml><?xml version="1.0" encoding="utf-8"?>
<worksheet xmlns="http://schemas.openxmlformats.org/spreadsheetml/2006/main">
  <sheetPr>
    <outlinePr summaryBelow="1" summaryRight="1"/>
    <pageSetUpPr/>
  </sheetPr>
  <dimension ref="A1:CU79"/>
  <sheetViews>
    <sheetView showGridLines="0" zoomScale="70" zoomScaleNormal="70" workbookViewId="0">
      <selection activeCell="I47" sqref="I47"/>
    </sheetView>
  </sheetViews>
  <sheetFormatPr baseColWidth="8" defaultColWidth="8.75" defaultRowHeight="12.75" customHeight="1"/>
  <cols>
    <col width="2.58203125" customWidth="1" style="1" min="1" max="1"/>
    <col width="21.08203125" customWidth="1" style="2" min="2" max="2"/>
    <col width="15.33203125" customWidth="1" style="2" min="3" max="3"/>
    <col width="23.83203125" customWidth="1" style="2" min="4" max="4"/>
    <col width="23.08203125" customWidth="1" style="2" min="5" max="5"/>
    <col width="27" customWidth="1" style="2" min="6" max="6"/>
    <col width="22.33203125" customWidth="1" style="2" min="7" max="7"/>
    <col width="20.08203125" customWidth="1" style="2" min="8" max="8"/>
    <col width="29.33203125" customWidth="1" style="2" min="9" max="9"/>
    <col width="18.33203125" customWidth="1" style="2" min="10" max="10"/>
    <col width="30" customWidth="1" style="2" min="11" max="11"/>
    <col width="20.5" customWidth="1" style="2" min="12" max="12"/>
    <col width="12.33203125" customWidth="1" style="2" min="13" max="13"/>
    <col width="11.58203125" customWidth="1" style="2" min="14" max="14"/>
    <col width="11.33203125" customWidth="1" style="2" min="15" max="15"/>
    <col width="2.58203125" customWidth="1" style="2" min="16" max="16"/>
    <col width="1.58203125" customWidth="1" style="2" min="17" max="17"/>
    <col width="26.75" customWidth="1" style="3" min="18" max="18"/>
    <col width="12" customWidth="1" style="2" min="19" max="19"/>
    <col width="11.33203125" customWidth="1" style="2" min="20" max="22"/>
    <col width="12" customWidth="1" style="2" min="23" max="27"/>
    <col width="12.75" customWidth="1" style="2" min="28" max="37"/>
    <col width="8.75" customWidth="1" style="2" min="38" max="16384"/>
  </cols>
  <sheetData>
    <row r="1" ht="50.15" customFormat="1" customHeight="1" s="79">
      <c r="B1" s="426" t="inlineStr">
        <is>
          <t>标准工作底稿: J1 SWP 在建工程</t>
        </is>
      </c>
      <c r="C1" s="426" t="n"/>
      <c r="D1" s="438" t="n"/>
      <c r="E1" s="438" t="n"/>
      <c r="F1" s="438" t="n"/>
      <c r="G1" s="438" t="n"/>
      <c r="H1" s="438" t="n"/>
      <c r="I1" s="438" t="n"/>
      <c r="J1" s="438" t="n"/>
      <c r="K1" s="439" t="n"/>
      <c r="L1" s="440" t="n"/>
      <c r="M1" s="439" t="n"/>
      <c r="N1" s="439" t="n"/>
      <c r="O1" s="439" t="n"/>
      <c r="P1" s="3" t="n"/>
      <c r="Q1" s="92" t="n"/>
    </row>
    <row r="2" ht="30" customFormat="1" customHeight="1" s="80">
      <c r="A2" s="91" t="n"/>
      <c r="B2" s="402" t="inlineStr">
        <is>
          <t>J.02.2 CIP transfer (TOD)</t>
        </is>
      </c>
      <c r="C2" s="307" t="n"/>
      <c r="D2" s="308" t="n"/>
      <c r="E2" s="308" t="n"/>
      <c r="F2" s="308" t="n"/>
      <c r="G2" s="308" t="n"/>
      <c r="H2" s="308" t="n"/>
      <c r="I2" s="308" t="n"/>
      <c r="J2" s="308" t="n"/>
      <c r="K2" s="308" t="n"/>
      <c r="L2" s="308" t="n"/>
      <c r="M2" s="308" t="n"/>
      <c r="N2" s="308" t="n"/>
      <c r="O2" s="405" t="n"/>
      <c r="P2" s="3" t="n"/>
      <c r="Q2" s="92" t="n"/>
      <c r="R2" s="82" t="n"/>
      <c r="BS2" s="81" t="n"/>
      <c r="BT2" s="82" t="n"/>
      <c r="BU2" s="82" t="n"/>
      <c r="BV2" s="83" t="n"/>
      <c r="BW2" s="84" t="n"/>
      <c r="BX2" s="84" t="n"/>
      <c r="BY2" s="84" t="n"/>
      <c r="BZ2" s="84" t="n"/>
      <c r="CA2" s="84" t="n"/>
      <c r="CB2" s="84" t="n"/>
      <c r="CC2" s="84" t="n"/>
      <c r="CD2" s="82" t="n"/>
      <c r="CE2" s="84" t="n"/>
      <c r="CF2" s="84" t="n"/>
      <c r="CG2" s="84" t="n"/>
      <c r="CH2" s="84" t="n"/>
      <c r="CI2" s="84" t="n"/>
      <c r="CJ2" s="84" t="n"/>
      <c r="CK2" s="82" t="n"/>
      <c r="CL2" s="85" t="n"/>
      <c r="CM2" s="86" t="n"/>
      <c r="CN2" s="87" t="n"/>
      <c r="CO2" s="87" t="n"/>
      <c r="CP2" s="82" t="n"/>
      <c r="CQ2" s="84" t="n"/>
      <c r="CR2" s="88" t="n"/>
      <c r="CS2" s="89" t="n"/>
      <c r="CT2" s="84" t="n"/>
      <c r="CU2" s="90" t="n"/>
    </row>
    <row r="3" ht="15" customFormat="1" customHeight="1" s="204">
      <c r="A3" s="202" t="n"/>
      <c r="B3" s="203" t="n"/>
      <c r="C3" s="203" t="n"/>
      <c r="D3" s="185" t="n"/>
      <c r="E3" s="185" t="n"/>
      <c r="F3" s="185" t="n"/>
      <c r="G3" s="203" t="n"/>
      <c r="H3" s="203" t="n"/>
      <c r="I3" s="203" t="n"/>
      <c r="J3" s="203" t="n"/>
      <c r="K3" s="203" t="n"/>
      <c r="L3" s="203" t="n"/>
      <c r="N3" s="667" t="n"/>
      <c r="O3" s="667" t="n"/>
      <c r="P3" s="3" t="n"/>
      <c r="Q3" s="92" t="n"/>
      <c r="R3" s="623" t="n"/>
      <c r="S3" s="623" t="n"/>
      <c r="T3" s="623" t="n"/>
      <c r="U3" s="623" t="n"/>
      <c r="X3" s="202" t="n"/>
      <c r="Y3" s="623" t="n"/>
    </row>
    <row r="4" ht="15" customFormat="1" customHeight="1" s="204">
      <c r="A4" s="202" t="n"/>
      <c r="B4" s="131" t="inlineStr">
        <is>
          <t>返回汇总页</t>
        </is>
      </c>
      <c r="C4" s="203" t="n"/>
      <c r="D4" s="185" t="n"/>
      <c r="E4" s="185" t="n"/>
      <c r="F4" s="185" t="n"/>
      <c r="G4" s="203" t="n"/>
      <c r="H4" s="203" t="n"/>
      <c r="I4" s="203" t="n"/>
      <c r="J4" s="203" t="n"/>
      <c r="K4" s="203" t="n"/>
      <c r="L4" s="203" t="n"/>
      <c r="N4" s="667" t="n"/>
      <c r="O4" s="667" t="n"/>
      <c r="P4" s="3" t="n"/>
      <c r="Q4" s="92" t="n"/>
      <c r="R4" s="623" t="n"/>
      <c r="S4" s="623" t="n"/>
      <c r="T4" s="623" t="n"/>
      <c r="U4" s="623" t="n"/>
      <c r="X4" s="202" t="n"/>
      <c r="Y4" s="623" t="n"/>
    </row>
    <row r="5" ht="15" customFormat="1" customHeight="1" s="204">
      <c r="A5" s="202" t="n"/>
      <c r="B5" s="203" t="n"/>
      <c r="C5" s="203" t="n"/>
      <c r="D5" s="185" t="n"/>
      <c r="E5" s="185" t="n"/>
      <c r="F5" s="185" t="n"/>
      <c r="G5" s="203" t="n"/>
      <c r="H5" s="203" t="n"/>
      <c r="I5" s="203" t="n"/>
      <c r="J5" s="203" t="n"/>
      <c r="K5" s="203" t="n"/>
      <c r="L5" s="203" t="n"/>
      <c r="N5" s="667" t="n"/>
      <c r="O5" s="667" t="n"/>
      <c r="P5" s="3" t="n"/>
      <c r="Q5" s="92" t="n"/>
      <c r="R5" s="623" t="n"/>
      <c r="S5" s="623" t="n"/>
      <c r="T5" s="623" t="n"/>
      <c r="U5" s="623" t="n"/>
      <c r="X5" s="202" t="n"/>
      <c r="Y5" s="623" t="n"/>
    </row>
    <row r="6" ht="15" customFormat="1" customHeight="1" s="204">
      <c r="A6" s="202" t="n"/>
      <c r="B6" s="256" t="inlineStr">
        <is>
          <t>记录我们的详细测试所涵盖的总体（指引：包括充分的描述，以使经验丰富且之前与审计没有关联的审计师能够了解样本是如何选择的，例如，总体的排序或筛选）</t>
        </is>
      </c>
      <c r="C6" s="203" t="n"/>
      <c r="D6" s="185" t="n"/>
      <c r="E6" s="185" t="n"/>
      <c r="F6" s="185" t="n"/>
      <c r="G6" s="203" t="n"/>
      <c r="H6" s="203" t="n"/>
      <c r="I6" s="203" t="n"/>
      <c r="J6" s="203" t="n"/>
      <c r="K6" s="203" t="n"/>
      <c r="L6" s="203" t="n"/>
      <c r="N6" s="667" t="n"/>
      <c r="O6" s="667" t="n"/>
      <c r="P6" s="3" t="n"/>
      <c r="Q6" s="92" t="n"/>
      <c r="R6" s="623" t="n"/>
      <c r="S6" s="623" t="n"/>
      <c r="T6" s="623" t="n"/>
      <c r="U6" s="623" t="n"/>
      <c r="X6" s="202" t="n"/>
      <c r="Y6" s="623" t="n"/>
    </row>
    <row r="7" ht="14" customFormat="1" customHeight="1" s="185">
      <c r="B7" s="683" t="n"/>
      <c r="C7" s="669" t="n"/>
      <c r="D7" s="669" t="n"/>
      <c r="E7" s="669" t="n"/>
      <c r="F7" s="670" t="n"/>
      <c r="G7" s="282" t="n"/>
      <c r="H7" s="282" t="n"/>
      <c r="I7" s="282" t="n"/>
      <c r="J7" s="282" t="n"/>
      <c r="K7" s="282" t="n"/>
      <c r="L7" s="282" t="n"/>
      <c r="M7" s="222" t="n"/>
      <c r="N7" s="222" t="n"/>
      <c r="Q7" s="92" t="n"/>
    </row>
    <row r="8" ht="14" customFormat="1" customHeight="1" s="185">
      <c r="B8" s="671" t="n"/>
      <c r="F8" s="672" t="n"/>
      <c r="G8" s="282" t="n"/>
      <c r="H8" s="282" t="n"/>
      <c r="I8" s="282" t="n"/>
      <c r="J8" s="282" t="n"/>
      <c r="K8" s="282" t="n"/>
      <c r="L8" s="282" t="n"/>
      <c r="M8" s="222" t="n"/>
      <c r="N8" s="222" t="n"/>
      <c r="Q8" s="92" t="n"/>
    </row>
    <row r="9" ht="14" customFormat="1" customHeight="1" s="185">
      <c r="B9" s="671" t="n"/>
      <c r="F9" s="672" t="n"/>
      <c r="G9" s="282" t="n"/>
      <c r="H9" s="282" t="n"/>
      <c r="I9" s="282" t="n"/>
      <c r="J9" s="282" t="n"/>
      <c r="K9" s="282" t="n"/>
      <c r="L9" s="282" t="n"/>
      <c r="M9" s="222" t="n"/>
      <c r="N9" s="222" t="n"/>
      <c r="Q9" s="92" t="n"/>
    </row>
    <row r="10" ht="14" customFormat="1" customHeight="1" s="185">
      <c r="B10" s="673" t="n"/>
      <c r="C10" s="674" t="n"/>
      <c r="D10" s="674" t="n"/>
      <c r="E10" s="674" t="n"/>
      <c r="F10" s="675" t="n"/>
      <c r="G10" s="282" t="n"/>
      <c r="H10" s="282" t="n"/>
      <c r="I10" s="282" t="n"/>
      <c r="J10" s="282" t="n"/>
      <c r="K10" s="282" t="n"/>
      <c r="L10" s="282" t="n"/>
      <c r="M10" s="222" t="n"/>
      <c r="N10" s="222" t="n"/>
      <c r="Q10" s="92" t="n"/>
    </row>
    <row r="11" ht="14" customFormat="1" customHeight="1" s="185">
      <c r="Q11" s="92" t="n"/>
    </row>
    <row r="12" ht="16.5" customFormat="1" customHeight="1" s="185">
      <c r="B12" s="221" t="inlineStr">
        <is>
          <t>转出明细清单金额</t>
        </is>
      </c>
      <c r="D12" s="676" t="n"/>
      <c r="E12" s="223" t="inlineStr">
        <is>
          <t>转出清单</t>
        </is>
      </c>
      <c r="F12" s="3" t="n"/>
      <c r="G12" s="3" t="n"/>
      <c r="Q12" s="92" t="n"/>
    </row>
    <row r="13" ht="14.5" customFormat="1" customHeight="1" s="185">
      <c r="B13" s="114" t="inlineStr">
        <is>
          <t>转出总额</t>
        </is>
      </c>
      <c r="C13" s="224" t="n"/>
      <c r="D13" s="679">
        <f>'J.01 Agree SL to GL'!E15+'J.01 Agree SL to GL'!E16</f>
        <v/>
      </c>
      <c r="E13" s="16" t="inlineStr">
        <is>
          <t xml:space="preserve">J1.01 </t>
        </is>
      </c>
      <c r="F13" s="3" t="n"/>
      <c r="G13" s="3" t="n"/>
      <c r="Q13" s="92" t="n"/>
    </row>
    <row r="14" ht="14.5" customFormat="1" customHeight="1" s="185">
      <c r="B14" s="441" t="inlineStr">
        <is>
          <t>差异</t>
        </is>
      </c>
      <c r="D14" s="697">
        <f>D12-D13</f>
        <v/>
      </c>
      <c r="E14" s="16" t="inlineStr">
        <is>
          <t>Rx</t>
        </is>
      </c>
      <c r="G14" s="3" t="inlineStr">
        <is>
          <t>差异是否需要进一步调查？</t>
        </is>
      </c>
      <c r="H14" s="294">
        <f>IF(ABS($D$14)&gt;'J.00  Lead Sheet'!$C$6, "Yes", "No")</f>
        <v/>
      </c>
      <c r="Q14" s="92" t="n"/>
    </row>
    <row r="15" ht="14" customFormat="1" customHeight="1" s="185">
      <c r="D15" s="698" t="n"/>
      <c r="E15" s="3" t="n"/>
      <c r="F15" s="3" t="n"/>
      <c r="G15" s="3" t="n"/>
      <c r="Q15" s="92" t="n"/>
    </row>
    <row r="16" ht="14.5" customFormat="1" customHeight="1" s="185">
      <c r="B16" s="250" t="inlineStr">
        <is>
          <t>减：已测试的关键性样本</t>
        </is>
      </c>
      <c r="C16" s="224" t="n"/>
      <c r="D16" s="679" t="n"/>
      <c r="E16" s="115" t="n"/>
      <c r="F16" s="3" t="n"/>
      <c r="G16" s="3" t="n"/>
      <c r="Q16" s="92" t="n"/>
    </row>
    <row r="17" ht="14.5" customFormat="1" customHeight="1" s="185">
      <c r="B17" s="441" t="inlineStr">
        <is>
          <t>剩余代表性样本抽样总体</t>
        </is>
      </c>
      <c r="D17" s="680">
        <f>D13-D16</f>
        <v/>
      </c>
      <c r="E17" s="681" t="n"/>
      <c r="F17" s="3" t="n"/>
      <c r="G17" s="3" t="n"/>
      <c r="Q17" s="92" t="n"/>
    </row>
    <row r="18" ht="14" customFormat="1" customHeight="1" s="185">
      <c r="Q18" s="92" t="n"/>
    </row>
    <row r="19" ht="14.5" customFormat="1" customHeight="1" s="205">
      <c r="A19" s="208" t="n"/>
      <c r="B19" s="225" t="inlineStr">
        <is>
          <t>下面描述选择关键项目的理由（请参阅Canvas指导工作流程的“关键项目”部分，包括信息图标）：</t>
        </is>
      </c>
      <c r="C19" s="203" t="n"/>
      <c r="K19" s="682" t="n"/>
      <c r="Q19" s="92" t="n"/>
    </row>
    <row r="20" ht="13" customFormat="1" customHeight="1" s="213">
      <c r="A20" s="202" t="n"/>
      <c r="B20" s="683" t="n"/>
      <c r="C20" s="669" t="n"/>
      <c r="D20" s="669" t="n"/>
      <c r="E20" s="669" t="n"/>
      <c r="F20" s="670" t="n"/>
      <c r="G20" s="282" t="n"/>
      <c r="H20" s="282" t="n"/>
      <c r="I20" s="282" t="n"/>
      <c r="J20" s="282" t="n"/>
      <c r="K20" s="282" t="n"/>
      <c r="L20" s="282" t="n"/>
      <c r="M20" s="282" t="n"/>
      <c r="N20" s="699" t="n"/>
      <c r="O20" s="700" t="n"/>
      <c r="P20" s="685" t="n"/>
      <c r="Q20" s="92" t="n"/>
      <c r="R20" s="623" t="n"/>
      <c r="U20" s="13" t="n"/>
      <c r="V20" s="701" t="n"/>
    </row>
    <row r="21" ht="13" customFormat="1" customHeight="1" s="213">
      <c r="A21" s="202" t="n"/>
      <c r="B21" s="671" t="n"/>
      <c r="F21" s="672" t="n"/>
      <c r="G21" s="282" t="n"/>
      <c r="H21" s="282" t="n"/>
      <c r="I21" s="282" t="n"/>
      <c r="J21" s="282" t="n"/>
      <c r="K21" s="282" t="n"/>
      <c r="L21" s="282" t="n"/>
      <c r="M21" s="282" t="n"/>
      <c r="N21" s="699" t="n"/>
      <c r="O21" s="700" t="n"/>
      <c r="P21" s="685" t="n"/>
      <c r="Q21" s="92" t="n"/>
      <c r="R21" s="623" t="n"/>
      <c r="U21" s="13" t="n"/>
      <c r="V21" s="701" t="n"/>
    </row>
    <row r="22" ht="13" customFormat="1" customHeight="1" s="213">
      <c r="A22" s="202" t="n"/>
      <c r="B22" s="671" t="n"/>
      <c r="F22" s="672" t="n"/>
      <c r="G22" s="282" t="n"/>
      <c r="H22" s="282" t="n"/>
      <c r="I22" s="282" t="n"/>
      <c r="J22" s="282" t="n"/>
      <c r="K22" s="282" t="n"/>
      <c r="L22" s="282" t="n"/>
      <c r="M22" s="282" t="n"/>
      <c r="N22" s="699" t="n"/>
      <c r="O22" s="700" t="n"/>
      <c r="P22" s="685" t="n"/>
      <c r="Q22" s="92" t="n"/>
      <c r="R22" s="623" t="n"/>
      <c r="U22" s="13" t="n"/>
      <c r="V22" s="701" t="n"/>
    </row>
    <row r="23" ht="13" customFormat="1" customHeight="1" s="213">
      <c r="A23" s="202" t="n"/>
      <c r="B23" s="673" t="n"/>
      <c r="C23" s="674" t="n"/>
      <c r="D23" s="674" t="n"/>
      <c r="E23" s="674" t="n"/>
      <c r="F23" s="675" t="n"/>
      <c r="G23" s="282" t="n"/>
      <c r="H23" s="282" t="n"/>
      <c r="I23" s="282" t="n"/>
      <c r="J23" s="282" t="n"/>
      <c r="K23" s="282" t="n"/>
      <c r="L23" s="282" t="n"/>
      <c r="M23" s="282" t="n"/>
      <c r="N23" s="699" t="n"/>
      <c r="O23" s="700" t="n"/>
      <c r="P23" s="685" t="n"/>
      <c r="Q23" s="92" t="n"/>
      <c r="R23" s="623" t="n"/>
      <c r="U23" s="13" t="n"/>
      <c r="V23" s="701" t="n"/>
    </row>
    <row r="24" ht="14" customFormat="1" customHeight="1" s="213">
      <c r="A24" s="202" t="n"/>
      <c r="B24" s="282" t="n"/>
      <c r="C24" s="282" t="n"/>
      <c r="D24" s="282" t="n"/>
      <c r="E24" s="282" t="n"/>
      <c r="F24" s="282" t="n"/>
      <c r="G24" s="185" t="n"/>
      <c r="H24" s="185" t="n"/>
      <c r="I24" s="185" t="n"/>
      <c r="J24" s="185" t="n"/>
      <c r="K24" s="282" t="n"/>
      <c r="L24" s="282" t="n"/>
      <c r="M24" s="282" t="n"/>
      <c r="N24" s="699" t="n"/>
      <c r="O24" s="700" t="n"/>
      <c r="P24" s="685" t="n"/>
      <c r="Q24" s="92" t="n"/>
      <c r="R24" s="623" t="n"/>
      <c r="U24" s="13" t="n"/>
      <c r="V24" s="701" t="n"/>
    </row>
    <row r="25" ht="14.5" customHeight="1" s="588">
      <c r="B25" s="406" t="inlineStr">
        <is>
          <t>EY 测试属性解释:</t>
        </is>
      </c>
      <c r="C25" s="313" t="n"/>
      <c r="D25" s="313" t="n"/>
      <c r="E25" s="313" t="n"/>
      <c r="F25" s="407" t="n"/>
      <c r="G25" s="185" t="n"/>
      <c r="H25" s="185" t="n"/>
      <c r="I25" s="185" t="n"/>
      <c r="J25" s="185" t="n"/>
      <c r="K25" s="282" t="n"/>
      <c r="L25" s="282" t="n"/>
      <c r="M25" s="282" t="n"/>
      <c r="N25" s="190" t="n"/>
      <c r="P25" s="3" t="n"/>
      <c r="Q25" s="92" t="n"/>
    </row>
    <row r="26" ht="14.5" customFormat="1" customHeight="1" s="3">
      <c r="A26" s="1" t="n"/>
      <c r="B26" s="443" t="inlineStr">
        <is>
          <t>对于选择进行测试的每个项目，我们检查了相关证据，并确定：</t>
        </is>
      </c>
      <c r="C26" s="444" t="n"/>
      <c r="D26" s="444" t="n"/>
      <c r="E26" s="444" t="n"/>
      <c r="F26" s="445" t="n"/>
      <c r="G26" s="185" t="n"/>
      <c r="H26" s="185" t="n"/>
      <c r="I26" s="185" t="n"/>
      <c r="J26" s="185" t="n"/>
      <c r="K26" s="282" t="n"/>
      <c r="L26" s="282" t="n"/>
      <c r="M26" s="282" t="n"/>
      <c r="N26" s="232" t="n"/>
      <c r="Q26" s="92" t="n"/>
    </row>
    <row r="27" ht="14.5" customHeight="1" s="588">
      <c r="B27" s="233" t="inlineStr">
        <is>
          <t>1) 在建工程转入至相应资产时已达到可折旧的时点，在建工程减少的金额与转入至相应资产的金额一致(已考虑所有资产减值相关调整,如适用)；</t>
        </is>
      </c>
      <c r="C27" s="234" t="n"/>
      <c r="D27" s="234" t="n"/>
      <c r="E27" s="234" t="n"/>
      <c r="F27" s="235" t="n"/>
      <c r="G27" s="185" t="n"/>
      <c r="H27" s="185" t="n"/>
      <c r="I27" s="185" t="n"/>
      <c r="J27" s="185" t="n"/>
      <c r="K27" s="282" t="n"/>
      <c r="L27" s="282" t="n"/>
      <c r="M27" s="282" t="n"/>
      <c r="N27" s="236" t="n"/>
      <c r="P27" s="3" t="n"/>
      <c r="Q27" s="92" t="n"/>
    </row>
    <row r="28" ht="14.5" customHeight="1" s="588">
      <c r="B28" s="233" t="inlineStr">
        <is>
          <t>2) 管理层对测试样本的使用寿命和折旧方法是恰当的（符合实体的会计政策，并与适用的财务报告框架一致）；</t>
        </is>
      </c>
      <c r="C28" s="234" t="n"/>
      <c r="D28" s="234" t="n"/>
      <c r="E28" s="234" t="n"/>
      <c r="F28" s="235" t="n"/>
      <c r="G28" s="185" t="n"/>
      <c r="H28" s="185" t="n"/>
      <c r="I28" s="185" t="n"/>
      <c r="J28" s="185" t="n"/>
      <c r="K28" s="282" t="n"/>
      <c r="L28" s="282" t="n"/>
      <c r="M28" s="282" t="n"/>
      <c r="N28" s="236" t="n"/>
      <c r="P28" s="3" t="n"/>
      <c r="Q28" s="92" t="n"/>
    </row>
    <row r="29" ht="17.25" customHeight="1" s="588">
      <c r="B29" s="237" t="inlineStr">
        <is>
          <t>3) 在建工程转入至正确的资产类别。</t>
        </is>
      </c>
      <c r="C29" s="238" t="n"/>
      <c r="D29" s="238" t="n"/>
      <c r="E29" s="238" t="n"/>
      <c r="F29" s="239" t="n"/>
      <c r="G29" s="185" t="n"/>
      <c r="H29" s="185" t="n"/>
      <c r="I29" s="185" t="n"/>
      <c r="J29" s="185" t="n"/>
      <c r="K29" s="282" t="n"/>
      <c r="L29" s="282" t="n"/>
      <c r="M29" s="282" t="n"/>
      <c r="N29" s="240" t="n"/>
      <c r="P29" s="3" t="n"/>
      <c r="Q29" s="92" t="n"/>
    </row>
    <row r="30" ht="13" customHeight="1" s="588">
      <c r="P30" s="3" t="n"/>
      <c r="Q30" s="92" t="n"/>
    </row>
    <row r="31" ht="15" customFormat="1" customHeight="1" s="3">
      <c r="L31" s="14" t="inlineStr">
        <is>
          <t>|------- Rx -------|</t>
        </is>
      </c>
      <c r="M31" s="694" t="inlineStr">
        <is>
          <t>EY Works</t>
        </is>
      </c>
      <c r="N31" s="590" t="n"/>
      <c r="O31" s="591" t="n"/>
      <c r="Q31" s="92" t="n"/>
      <c r="R31" s="185" t="n"/>
    </row>
    <row r="32" ht="60" customFormat="1" customHeight="1" s="118">
      <c r="A32" s="3" t="n"/>
      <c r="B32" s="309" t="inlineStr">
        <is>
          <t>样本序号</t>
        </is>
      </c>
      <c r="C32" s="355" t="inlineStr">
        <is>
          <t>样本类型
（使用下拉列表）</t>
        </is>
      </c>
      <c r="D32" s="309" t="inlineStr">
        <is>
          <t>资产编号</t>
        </is>
      </c>
      <c r="E32" s="309" t="inlineStr">
        <is>
          <t>资产名称</t>
        </is>
      </c>
      <c r="F32" s="309" t="inlineStr">
        <is>
          <t>在建工程转出金额</t>
        </is>
      </c>
      <c r="G32" s="408" t="inlineStr">
        <is>
          <t>转入资产类别金额
（如适用）</t>
        </is>
      </c>
      <c r="H32" s="309" t="inlineStr">
        <is>
          <t>资产转出日期</t>
        </is>
      </c>
      <c r="I32" s="309" t="inlineStr">
        <is>
          <t>使用寿命（月）</t>
        </is>
      </c>
      <c r="J32" s="309" t="inlineStr">
        <is>
          <t>折旧方法</t>
        </is>
      </c>
      <c r="K32" s="309" t="inlineStr">
        <is>
          <t>获得的证据/支持的描述
（例如，验收单/竣工决算报告/转固证明等）</t>
        </is>
      </c>
      <c r="L32" s="309" t="inlineStr">
        <is>
          <t>转入资产与转出在建工程的差额</t>
        </is>
      </c>
      <c r="M32" s="314" t="n">
        <v>1</v>
      </c>
      <c r="N32" s="315" t="n">
        <v>2</v>
      </c>
      <c r="O32" s="315" t="n">
        <v>3</v>
      </c>
      <c r="Q32" s="92" t="n"/>
      <c r="R32" s="185" t="n"/>
    </row>
    <row r="33" ht="15" customFormat="1" customHeight="1" s="3">
      <c r="B33" s="347" t="n"/>
      <c r="C33" s="347" t="n"/>
      <c r="D33" s="347" t="n"/>
      <c r="E33" s="241" t="n"/>
      <c r="F33" s="702" t="n"/>
      <c r="G33" s="702" t="n"/>
      <c r="H33" s="388" t="n"/>
      <c r="I33" s="242" t="n"/>
      <c r="J33" s="346" t="n"/>
      <c r="K33" s="316" t="n"/>
      <c r="L33" s="696">
        <f>G33-F33</f>
        <v/>
      </c>
      <c r="M33" s="347" t="n"/>
      <c r="N33" s="347" t="n"/>
      <c r="O33" s="347" t="n"/>
      <c r="Q33" s="92" t="n"/>
      <c r="R33" s="185" t="n"/>
    </row>
    <row r="34" ht="15" customFormat="1" customHeight="1" s="3">
      <c r="B34" s="347" t="n"/>
      <c r="C34" s="347" t="n"/>
      <c r="D34" s="347" t="n"/>
      <c r="E34" s="241" t="n"/>
      <c r="F34" s="702" t="n"/>
      <c r="G34" s="702" t="n"/>
      <c r="H34" s="388" t="n"/>
      <c r="I34" s="243" t="n"/>
      <c r="J34" s="346" t="n"/>
      <c r="K34" s="316" t="n"/>
      <c r="L34" s="696">
        <f>G34-F34</f>
        <v/>
      </c>
      <c r="M34" s="347" t="n"/>
      <c r="N34" s="347" t="n"/>
      <c r="O34" s="347" t="n"/>
      <c r="Q34" s="92" t="n"/>
      <c r="R34" s="185" t="n"/>
    </row>
    <row r="35" ht="15" customFormat="1" customHeight="1" s="3">
      <c r="B35" s="347" t="n"/>
      <c r="C35" s="347" t="n"/>
      <c r="D35" s="347" t="n"/>
      <c r="E35" s="241" t="n"/>
      <c r="F35" s="702" t="n"/>
      <c r="G35" s="702" t="n"/>
      <c r="H35" s="388" t="n"/>
      <c r="I35" s="243" t="n"/>
      <c r="J35" s="346" t="n"/>
      <c r="K35" s="316" t="n"/>
      <c r="L35" s="696">
        <f>G35-F35</f>
        <v/>
      </c>
      <c r="M35" s="347" t="n"/>
      <c r="N35" s="347" t="n"/>
      <c r="O35" s="347" t="n"/>
      <c r="Q35" s="92" t="n"/>
      <c r="R35" s="185" t="n"/>
    </row>
    <row r="36" ht="15" customFormat="1" customHeight="1" s="3">
      <c r="B36" s="347" t="n"/>
      <c r="C36" s="347" t="n"/>
      <c r="D36" s="347" t="n"/>
      <c r="E36" s="347" t="n"/>
      <c r="F36" s="695" t="n"/>
      <c r="G36" s="695" t="n"/>
      <c r="H36" s="344" t="n"/>
      <c r="I36" s="242" t="n"/>
      <c r="J36" s="347" t="n"/>
      <c r="K36" s="316" t="n"/>
      <c r="L36" s="696">
        <f>G36-F36</f>
        <v/>
      </c>
      <c r="M36" s="347" t="n"/>
      <c r="N36" s="347" t="n"/>
      <c r="O36" s="347" t="n"/>
      <c r="Q36" s="92" t="n"/>
      <c r="R36" s="185" t="n"/>
    </row>
    <row r="37" ht="15" customFormat="1" customHeight="1" s="3">
      <c r="B37" s="347" t="n"/>
      <c r="C37" s="347" t="n"/>
      <c r="D37" s="347" t="n"/>
      <c r="E37" s="347" t="n"/>
      <c r="F37" s="695" t="n"/>
      <c r="G37" s="695" t="n"/>
      <c r="H37" s="344" t="n"/>
      <c r="I37" s="243" t="n"/>
      <c r="J37" s="347" t="n"/>
      <c r="K37" s="316" t="n"/>
      <c r="L37" s="696">
        <f>G37-F37</f>
        <v/>
      </c>
      <c r="M37" s="347" t="n"/>
      <c r="N37" s="347" t="n"/>
      <c r="O37" s="347" t="n"/>
      <c r="Q37" s="92" t="n"/>
      <c r="R37" s="185" t="n"/>
    </row>
    <row r="38" ht="12.75" customHeight="1" s="588">
      <c r="P38" s="3" t="n"/>
      <c r="Q38" s="92" t="n"/>
    </row>
    <row r="39" ht="12.75" customHeight="1" s="588">
      <c r="B39" s="527" t="inlineStr">
        <is>
          <t>标记图例:记录已识别的异常情况以及如何解决这些异常情况的详细信息，包括执行的其他实质性程序（指南：包括足够的描述，以使之前与审计无关的经验丰富的审计师能够理解执行的程序）。</t>
        </is>
      </c>
      <c r="C39" s="527" t="n"/>
      <c r="D39" s="527" t="n"/>
      <c r="E39" s="527" t="n"/>
      <c r="F39" s="527" t="n"/>
      <c r="G39" s="527" t="n"/>
      <c r="H39" s="527" t="n"/>
      <c r="I39" s="527" t="n"/>
      <c r="J39" s="527" t="n"/>
      <c r="K39" s="527" t="n"/>
      <c r="P39" s="3" t="n"/>
      <c r="Q39" s="92" t="n"/>
    </row>
    <row r="40" ht="12.75" customHeight="1" s="588">
      <c r="B40" s="683" t="n"/>
      <c r="C40" s="669" t="n"/>
      <c r="D40" s="669" t="n"/>
      <c r="E40" s="669" t="n"/>
      <c r="F40" s="669" t="n"/>
      <c r="G40" s="670" t="n"/>
      <c r="P40" s="3" t="n"/>
      <c r="Q40" s="92" t="n"/>
    </row>
    <row r="41" ht="12.75" customHeight="1" s="588">
      <c r="B41" s="671" t="n"/>
      <c r="G41" s="672" t="n"/>
      <c r="P41" s="3" t="n"/>
      <c r="Q41" s="92" t="n"/>
    </row>
    <row r="42" ht="12.75" customHeight="1" s="588">
      <c r="B42" s="671" t="n"/>
      <c r="G42" s="672" t="n"/>
      <c r="P42" s="3" t="n"/>
      <c r="Q42" s="92" t="n"/>
    </row>
    <row r="43" ht="12.75" customHeight="1" s="588">
      <c r="B43" s="673" t="n"/>
      <c r="C43" s="674" t="n"/>
      <c r="D43" s="674" t="n"/>
      <c r="E43" s="674" t="n"/>
      <c r="F43" s="674" t="n"/>
      <c r="G43" s="675" t="n"/>
      <c r="P43" s="3" t="n"/>
      <c r="Q43" s="92" t="n"/>
    </row>
    <row r="44" ht="12.65" customHeight="1" s="588">
      <c r="P44" s="3" t="n"/>
      <c r="Q44" s="92" t="n"/>
    </row>
    <row r="45" ht="12.75" customHeight="1" s="588">
      <c r="B45" s="446" t="inlineStr">
        <is>
          <t>与资产负债表核对如下：</t>
        </is>
      </c>
      <c r="C45" s="447" t="n"/>
      <c r="D45" s="447" t="n"/>
      <c r="E45" s="448" t="n"/>
      <c r="F45" s="448" t="n"/>
      <c r="G45" s="449" t="n"/>
      <c r="P45" s="3" t="n"/>
      <c r="Q45" s="92" t="n"/>
    </row>
    <row r="46" ht="12.75" customHeight="1" s="588">
      <c r="B46" s="94" t="inlineStr">
        <is>
          <t>账套名称/账套编码</t>
        </is>
      </c>
      <c r="C46" s="17" t="inlineStr">
        <is>
          <t>科目编码</t>
        </is>
      </c>
      <c r="D46" s="17" t="inlineStr">
        <is>
          <t>交叉索引</t>
        </is>
      </c>
      <c r="E46" s="17" t="inlineStr">
        <is>
          <t>科目名称</t>
        </is>
      </c>
      <c r="F46" s="18" t="inlineStr">
        <is>
          <t>金额</t>
        </is>
      </c>
      <c r="G46" s="95" t="n"/>
      <c r="P46" s="3" t="n"/>
      <c r="Q46" s="92" t="n"/>
    </row>
    <row r="47" ht="12.75" customHeight="1" s="588">
      <c r="B47" s="96" t="n"/>
      <c r="C47" s="3" t="n"/>
      <c r="D47" s="1" t="n"/>
      <c r="F47" s="703" t="inlineStr">
        <is>
          <t>合计</t>
        </is>
      </c>
      <c r="G47" s="95" t="n"/>
      <c r="I47" s="3" t="n"/>
      <c r="J47" s="3" t="n"/>
      <c r="P47" s="3" t="n"/>
      <c r="Q47" s="92" t="n"/>
    </row>
    <row r="48" ht="12.75" customHeight="1" s="588">
      <c r="B48" s="244" t="n"/>
      <c r="C48" s="245" t="n"/>
      <c r="D48" s="1" t="n"/>
      <c r="E48" s="3" t="inlineStr">
        <is>
          <t>转入固定资产</t>
        </is>
      </c>
      <c r="F48" s="704" t="n"/>
      <c r="G48" s="95" t="n"/>
      <c r="I48" s="3" t="n"/>
      <c r="J48" s="3" t="n"/>
      <c r="P48" s="3" t="n"/>
      <c r="Q48" s="92" t="n"/>
    </row>
    <row r="49" ht="12.75" customHeight="1" s="588">
      <c r="B49" s="244" t="n"/>
      <c r="C49" s="245" t="n"/>
      <c r="D49" s="16" t="inlineStr">
        <is>
          <t>K.01</t>
        </is>
      </c>
      <c r="E49" s="3" t="inlineStr">
        <is>
          <t>固定资产-在建工程转入</t>
        </is>
      </c>
      <c r="F49" s="704" t="n"/>
      <c r="G49" s="97" t="inlineStr">
        <is>
          <t>K.01</t>
        </is>
      </c>
      <c r="I49" s="3" t="n"/>
      <c r="J49" s="3" t="n"/>
      <c r="P49" s="3" t="n"/>
      <c r="Q49" s="92" t="n"/>
    </row>
    <row r="50" ht="12.75" customHeight="1" s="588">
      <c r="B50" s="96" t="n"/>
      <c r="C50" s="3" t="n"/>
      <c r="D50" s="1" t="n"/>
      <c r="E50" s="3" t="inlineStr">
        <is>
          <t>差异</t>
        </is>
      </c>
      <c r="F50" s="705">
        <f>F48-F49</f>
        <v/>
      </c>
      <c r="G50" s="95" t="n"/>
      <c r="I50" s="3" t="n"/>
      <c r="J50" s="3" t="n"/>
      <c r="P50" s="3" t="n"/>
      <c r="Q50" s="92" t="n"/>
    </row>
    <row r="51" ht="12.75" customHeight="1" s="588">
      <c r="B51" s="96" t="n"/>
      <c r="C51" s="3" t="n"/>
      <c r="D51" s="1" t="n"/>
      <c r="E51" s="3" t="n"/>
      <c r="F51" s="705" t="n"/>
      <c r="G51" s="95" t="n"/>
      <c r="I51" s="3" t="n"/>
      <c r="J51" s="3" t="n"/>
      <c r="P51" s="3" t="n"/>
      <c r="Q51" s="92" t="n"/>
    </row>
    <row r="52" ht="12.75" customHeight="1" s="588">
      <c r="B52" s="244" t="n"/>
      <c r="C52" s="245" t="n"/>
      <c r="D52" s="3" t="n"/>
      <c r="E52" s="3" t="inlineStr">
        <is>
          <t>转入无形资产</t>
        </is>
      </c>
      <c r="F52" s="704" t="n"/>
      <c r="G52" s="95" t="n"/>
      <c r="I52" s="3" t="n"/>
      <c r="J52" s="3" t="n"/>
      <c r="P52" s="3" t="n"/>
      <c r="Q52" s="92" t="n"/>
    </row>
    <row r="53" ht="12.75" customHeight="1" s="588">
      <c r="B53" s="244" t="n"/>
      <c r="C53" s="245" t="n"/>
      <c r="D53" s="16" t="inlineStr">
        <is>
          <t>L1.01</t>
        </is>
      </c>
      <c r="E53" s="3" t="inlineStr">
        <is>
          <t>无形资产-在建工程转入</t>
        </is>
      </c>
      <c r="F53" s="704" t="n"/>
      <c r="G53" s="97" t="inlineStr">
        <is>
          <t>L1.01</t>
        </is>
      </c>
      <c r="I53" s="3" t="n"/>
      <c r="J53" s="3" t="n"/>
      <c r="P53" s="3" t="n"/>
      <c r="Q53" s="92" t="n"/>
    </row>
    <row r="54" ht="12.75" customHeight="1" s="588">
      <c r="B54" s="96" t="n"/>
      <c r="C54" s="3" t="n"/>
      <c r="E54" s="3" t="inlineStr">
        <is>
          <t>差异</t>
        </is>
      </c>
      <c r="F54" s="705">
        <f>F52-F53</f>
        <v/>
      </c>
      <c r="G54" s="95" t="n"/>
      <c r="I54" s="3" t="n"/>
      <c r="J54" s="3" t="n"/>
      <c r="P54" s="3" t="n"/>
      <c r="Q54" s="92" t="n"/>
    </row>
    <row r="55" ht="12.75" customHeight="1" s="588">
      <c r="B55" s="96" t="n"/>
      <c r="C55" s="3" t="n"/>
      <c r="E55" s="3" t="n"/>
      <c r="F55" s="705" t="n"/>
      <c r="G55" s="95" t="n"/>
      <c r="I55" s="3" t="n"/>
      <c r="J55" s="3" t="n"/>
      <c r="P55" s="3" t="n"/>
      <c r="Q55" s="92" t="n"/>
    </row>
    <row r="56" ht="12.75" customHeight="1" s="588">
      <c r="B56" s="244" t="n"/>
      <c r="C56" s="245" t="n"/>
      <c r="E56" s="3" t="inlineStr">
        <is>
          <t>转入长期待摊费用</t>
        </is>
      </c>
      <c r="F56" s="704" t="n"/>
      <c r="G56" s="95" t="n"/>
      <c r="I56" s="3" t="n"/>
      <c r="J56" s="3" t="n"/>
      <c r="P56" s="3" t="n"/>
      <c r="Q56" s="92" t="n"/>
    </row>
    <row r="57" ht="12.75" customHeight="1" s="588">
      <c r="B57" s="244" t="n"/>
      <c r="C57" s="245" t="n"/>
      <c r="D57" s="16" t="inlineStr">
        <is>
          <t>L2.01</t>
        </is>
      </c>
      <c r="E57" s="3" t="inlineStr">
        <is>
          <t>长期待摊费用-在建工程转入</t>
        </is>
      </c>
      <c r="F57" s="704" t="n"/>
      <c r="G57" s="97" t="inlineStr">
        <is>
          <t>L2.01</t>
        </is>
      </c>
      <c r="I57" s="3" t="n"/>
      <c r="J57" s="3" t="n"/>
      <c r="P57" s="3" t="n"/>
      <c r="Q57" s="92" t="n"/>
    </row>
    <row r="58" ht="12.75" customHeight="1" s="588">
      <c r="B58" s="96" t="n"/>
      <c r="C58" s="3" t="n"/>
      <c r="D58" s="3" t="n"/>
      <c r="E58" s="3" t="inlineStr">
        <is>
          <t>差异</t>
        </is>
      </c>
      <c r="F58" s="705">
        <f>F56-F57</f>
        <v/>
      </c>
      <c r="G58" s="95" t="n"/>
      <c r="I58" s="3" t="n"/>
      <c r="J58" s="3" t="n"/>
      <c r="P58" s="3" t="n"/>
      <c r="Q58" s="92" t="n"/>
    </row>
    <row r="59" ht="12.75" customHeight="1" s="588">
      <c r="B59" s="96" t="n"/>
      <c r="C59" s="3" t="n"/>
      <c r="D59" s="3" t="n"/>
      <c r="E59" s="3" t="n"/>
      <c r="F59" s="705" t="n"/>
      <c r="G59" s="95" t="n"/>
      <c r="I59" s="3" t="n"/>
      <c r="J59" s="3" t="n"/>
      <c r="P59" s="3" t="n"/>
      <c r="Q59" s="92" t="n"/>
    </row>
    <row r="60" ht="12.75" customHeight="1" s="588">
      <c r="B60" s="244" t="n"/>
      <c r="C60" s="245" t="n"/>
      <c r="D60" s="3" t="n"/>
      <c r="E60" s="3" t="inlineStr">
        <is>
          <t>【...】</t>
        </is>
      </c>
      <c r="F60" s="704" t="n"/>
      <c r="G60" s="95" t="n"/>
      <c r="I60" s="3" t="n"/>
      <c r="J60" s="3" t="n"/>
      <c r="P60" s="3" t="n"/>
      <c r="Q60" s="92" t="n"/>
    </row>
    <row r="61" ht="12.75" customHeight="1" s="588">
      <c r="B61" s="244" t="n"/>
      <c r="C61" s="245" t="n"/>
      <c r="D61" s="3" t="n"/>
      <c r="E61" s="3" t="inlineStr">
        <is>
          <t>【...】</t>
        </is>
      </c>
      <c r="F61" s="704" t="n"/>
      <c r="G61" s="95" t="n"/>
      <c r="P61" s="3" t="n"/>
      <c r="Q61" s="92" t="n"/>
    </row>
    <row r="62" ht="12.75" customHeight="1" s="588">
      <c r="B62" s="96" t="n"/>
      <c r="C62" s="3" t="n"/>
      <c r="D62" s="3" t="n"/>
      <c r="E62" s="3" t="inlineStr">
        <is>
          <t>差异</t>
        </is>
      </c>
      <c r="F62" s="705">
        <f>F60-F61</f>
        <v/>
      </c>
      <c r="G62" s="95" t="n"/>
      <c r="P62" s="3" t="n"/>
      <c r="Q62" s="92" t="n"/>
    </row>
    <row r="63" ht="12.75" customHeight="1" s="588">
      <c r="B63" s="96" t="n"/>
      <c r="C63" s="3" t="n"/>
      <c r="D63" s="3" t="n"/>
      <c r="E63" s="3" t="n"/>
      <c r="F63" s="705" t="n"/>
      <c r="G63" s="95" t="n"/>
      <c r="P63" s="3" t="n"/>
      <c r="Q63" s="92" t="n"/>
    </row>
    <row r="64" ht="12.75" customHeight="1" s="588">
      <c r="B64" s="96" t="n"/>
      <c r="C64" s="3" t="n"/>
      <c r="D64" s="3" t="n"/>
      <c r="E64" s="3" t="inlineStr">
        <is>
          <t>转入资产合计</t>
        </is>
      </c>
      <c r="F64" s="706">
        <f>F49+F53+F57+F61</f>
        <v/>
      </c>
      <c r="G64" s="95" t="n"/>
      <c r="P64" s="3" t="n"/>
      <c r="Q64" s="92" t="n"/>
    </row>
    <row r="65" ht="12.75" customHeight="1" s="588" thickBot="1">
      <c r="B65" s="96" t="n"/>
      <c r="C65" s="3" t="n"/>
      <c r="D65" s="3" t="n"/>
      <c r="E65" s="3" t="inlineStr">
        <is>
          <t>在建工程转出合计</t>
        </is>
      </c>
      <c r="F65" s="707">
        <f>D13</f>
        <v/>
      </c>
      <c r="G65" s="95" t="n"/>
      <c r="P65" s="3" t="n"/>
      <c r="Q65" s="92" t="n"/>
    </row>
    <row r="66" ht="12.75" customHeight="1" s="588" thickTop="1">
      <c r="B66" s="96" t="n"/>
      <c r="C66" s="3" t="n"/>
      <c r="D66" s="3" t="n"/>
      <c r="E66" s="3" t="inlineStr">
        <is>
          <t>差异</t>
        </is>
      </c>
      <c r="F66" s="706">
        <f>F64-F65</f>
        <v/>
      </c>
      <c r="G66" s="98" t="n"/>
      <c r="P66" s="3" t="n"/>
      <c r="Q66" s="92" t="n"/>
    </row>
    <row r="67" ht="12.75" customHeight="1" s="588">
      <c r="B67" s="99" t="n"/>
      <c r="C67" s="100" t="n"/>
      <c r="D67" s="100" t="n"/>
      <c r="E67" s="708" t="n"/>
      <c r="F67" s="100" t="n"/>
      <c r="G67" s="102" t="n"/>
      <c r="P67" s="3" t="n"/>
      <c r="Q67" s="92" t="n"/>
    </row>
    <row r="68" ht="12.75" customHeight="1" s="588">
      <c r="B68" s="3" t="n"/>
      <c r="C68" s="3" t="n"/>
      <c r="D68" s="3" t="n"/>
      <c r="E68" s="705" t="n"/>
      <c r="F68" s="3" t="n"/>
      <c r="G68" s="3" t="n"/>
      <c r="P68" s="3" t="n"/>
      <c r="Q68" s="92" t="n"/>
    </row>
    <row r="69" ht="12.75" customHeight="1" s="588">
      <c r="B69" s="568" t="inlineStr">
        <is>
          <t>标记图例:若有转固或者其他减少X-ref异常的，我们与管理层进行讨论，并记录在Notes中。</t>
        </is>
      </c>
      <c r="C69" s="527" t="n"/>
      <c r="D69" s="527" t="n"/>
      <c r="E69" s="527" t="n"/>
      <c r="F69" s="527" t="n"/>
      <c r="G69" s="527" t="n"/>
      <c r="H69" s="527" t="n"/>
      <c r="I69" s="527" t="n"/>
      <c r="J69" s="527" t="n"/>
      <c r="K69" s="527" t="n"/>
      <c r="P69" s="3" t="n"/>
      <c r="Q69" s="92" t="n"/>
    </row>
    <row r="70" ht="12.75" customHeight="1" s="588">
      <c r="B70" s="709" t="n"/>
      <c r="C70" s="710" t="n"/>
      <c r="D70" s="710" t="n"/>
      <c r="E70" s="710" t="n"/>
      <c r="F70" s="711" t="n"/>
      <c r="G70" s="247" t="n"/>
      <c r="H70" s="247" t="n"/>
      <c r="I70" s="247" t="n"/>
      <c r="J70" s="247" t="n"/>
      <c r="K70" s="247" t="n"/>
      <c r="P70" s="3" t="n"/>
      <c r="Q70" s="92" t="n"/>
    </row>
    <row r="71" ht="12.75" customHeight="1" s="588">
      <c r="B71" s="712" t="n"/>
      <c r="F71" s="601" t="n"/>
      <c r="G71" s="247" t="n"/>
      <c r="H71" s="247" t="n"/>
      <c r="I71" s="247" t="n"/>
      <c r="J71" s="247" t="n"/>
      <c r="K71" s="247" t="n"/>
      <c r="P71" s="3" t="n"/>
      <c r="Q71" s="92" t="n"/>
    </row>
    <row r="72" ht="12.75" customHeight="1" s="588">
      <c r="B72" s="712" t="n"/>
      <c r="F72" s="601" t="n"/>
      <c r="G72" s="247" t="n"/>
      <c r="H72" s="247" t="n"/>
      <c r="I72" s="247" t="n"/>
      <c r="J72" s="247" t="n"/>
      <c r="K72" s="247" t="n"/>
      <c r="P72" s="3" t="n"/>
      <c r="Q72" s="92" t="n"/>
    </row>
    <row r="73" ht="12.75" customHeight="1" s="588">
      <c r="B73" s="713" t="n"/>
      <c r="C73" s="603" t="n"/>
      <c r="D73" s="603" t="n"/>
      <c r="E73" s="603" t="n"/>
      <c r="F73" s="604" t="n"/>
      <c r="G73" s="247" t="n"/>
      <c r="H73" s="247" t="n"/>
      <c r="I73" s="247" t="n"/>
      <c r="J73" s="247" t="n"/>
      <c r="K73" s="247" t="n"/>
      <c r="P73" s="3" t="n"/>
      <c r="Q73" s="92" t="n"/>
    </row>
    <row r="74" ht="15" customHeight="1" s="588">
      <c r="B74" s="247" t="n"/>
      <c r="C74" s="247" t="n"/>
      <c r="D74" s="247" t="n"/>
      <c r="E74" s="247" t="n"/>
      <c r="F74" s="247" t="n"/>
      <c r="G74" s="247" t="n"/>
      <c r="H74" s="247" t="n"/>
      <c r="I74" s="247" t="n"/>
      <c r="J74" s="247" t="n"/>
      <c r="K74" s="247" t="n"/>
      <c r="P74" s="3" t="n"/>
      <c r="Q74" s="92" t="n"/>
    </row>
    <row r="75" ht="7.5" customHeight="1" s="588">
      <c r="A75" s="92" t="n"/>
      <c r="B75" s="92" t="n"/>
      <c r="C75" s="92" t="n"/>
      <c r="D75" s="92" t="n"/>
      <c r="E75" s="92" t="n"/>
      <c r="F75" s="92" t="n"/>
      <c r="G75" s="92" t="n"/>
      <c r="H75" s="92" t="n"/>
      <c r="I75" s="92" t="n"/>
      <c r="J75" s="92" t="n"/>
      <c r="K75" s="92" t="n"/>
      <c r="L75" s="92" t="n"/>
      <c r="M75" s="92" t="n"/>
      <c r="N75" s="92" t="n"/>
      <c r="O75" s="92" t="n"/>
      <c r="P75" s="92" t="n"/>
      <c r="Q75" s="92" t="n"/>
    </row>
    <row r="78" ht="13" customFormat="1" customHeight="1" s="240">
      <c r="A78" s="1" t="n"/>
      <c r="C78" s="248" t="n"/>
      <c r="D78" s="567" t="n"/>
      <c r="E78" s="527" t="n"/>
      <c r="F78" s="527" t="n"/>
      <c r="G78" s="527" t="n"/>
      <c r="H78" s="249" t="n"/>
      <c r="I78" s="249" t="n"/>
      <c r="J78" s="249" t="n"/>
      <c r="K78" s="249" t="n"/>
      <c r="R78" s="250" t="n"/>
    </row>
    <row r="79" ht="12.75" customFormat="1" customHeight="1" s="240">
      <c r="A79" s="1" t="n"/>
      <c r="C79" s="248" t="n"/>
      <c r="D79" s="567" t="n"/>
      <c r="E79" s="527" t="n"/>
      <c r="F79" s="527" t="n"/>
      <c r="G79" s="527" t="n"/>
      <c r="H79" s="249" t="n"/>
      <c r="I79" s="249" t="n"/>
      <c r="J79" s="249" t="n"/>
      <c r="K79" s="249" t="n"/>
      <c r="R79" s="250" t="n"/>
    </row>
  </sheetData>
  <mergeCells count="9">
    <mergeCell ref="B70:F73"/>
    <mergeCell ref="D79:G79"/>
    <mergeCell ref="B20:F23"/>
    <mergeCell ref="B7:F10"/>
    <mergeCell ref="M31:O31"/>
    <mergeCell ref="D78:G78"/>
    <mergeCell ref="B69:K69"/>
    <mergeCell ref="B39:K39"/>
    <mergeCell ref="B40:G43"/>
  </mergeCells>
  <conditionalFormatting sqref="B7">
    <cfRule type="containsBlanks" priority="7" dxfId="0">
      <formula>LEN(TRIM(B7))=0</formula>
    </cfRule>
  </conditionalFormatting>
  <conditionalFormatting sqref="B20">
    <cfRule type="containsBlanks" priority="6" dxfId="0">
      <formula>LEN(TRIM(B20))=0</formula>
    </cfRule>
  </conditionalFormatting>
  <conditionalFormatting sqref="B40">
    <cfRule type="containsBlanks" priority="5" dxfId="0">
      <formula>LEN(TRIM(B40))=0</formula>
    </cfRule>
  </conditionalFormatting>
  <conditionalFormatting sqref="B70">
    <cfRule type="containsBlanks" priority="4" dxfId="0">
      <formula>LEN(TRIM(B70))=0</formula>
    </cfRule>
  </conditionalFormatting>
  <conditionalFormatting sqref="B48:C49">
    <cfRule type="containsBlanks" priority="30" dxfId="0">
      <formula>LEN(TRIM(B48))=0</formula>
    </cfRule>
  </conditionalFormatting>
  <conditionalFormatting sqref="B52:C53">
    <cfRule type="containsBlanks" priority="29" dxfId="0">
      <formula>LEN(TRIM(B52))=0</formula>
    </cfRule>
  </conditionalFormatting>
  <conditionalFormatting sqref="B56:C57">
    <cfRule type="containsBlanks" priority="28" dxfId="0">
      <formula>LEN(TRIM(B56))=0</formula>
    </cfRule>
  </conditionalFormatting>
  <conditionalFormatting sqref="B60:C61">
    <cfRule type="containsBlanks" priority="27" dxfId="0">
      <formula>LEN(TRIM(B60))=0</formula>
    </cfRule>
  </conditionalFormatting>
  <conditionalFormatting sqref="B33:O37">
    <cfRule type="containsBlanks" priority="1" dxfId="0">
      <formula>LEN(TRIM(B33))=0</formula>
    </cfRule>
  </conditionalFormatting>
  <conditionalFormatting sqref="D12:D13">
    <cfRule type="containsBlanks" priority="3" dxfId="0">
      <formula>LEN(TRIM(D12))=0</formula>
    </cfRule>
  </conditionalFormatting>
  <conditionalFormatting sqref="D16">
    <cfRule type="containsBlanks" priority="2" dxfId="0">
      <formula>LEN(TRIM(D16))=0</formula>
    </cfRule>
  </conditionalFormatting>
  <conditionalFormatting sqref="F48:F49">
    <cfRule type="containsBlanks" priority="25" dxfId="0">
      <formula>LEN(TRIM(F48))=0</formula>
    </cfRule>
  </conditionalFormatting>
  <conditionalFormatting sqref="F52:F53">
    <cfRule type="containsBlanks" priority="23" dxfId="0">
      <formula>LEN(TRIM(F52))=0</formula>
    </cfRule>
  </conditionalFormatting>
  <conditionalFormatting sqref="F56:F57">
    <cfRule type="containsBlanks" priority="21" dxfId="0">
      <formula>LEN(TRIM(F56))=0</formula>
    </cfRule>
  </conditionalFormatting>
  <conditionalFormatting sqref="F60:F61">
    <cfRule type="containsBlanks" priority="19" dxfId="0">
      <formula>LEN(TRIM(F60))=0</formula>
    </cfRule>
  </conditionalFormatting>
  <dataValidations count="2">
    <dataValidation sqref="M33:O37" showDropDown="0" showInputMessage="1" showErrorMessage="0" allowBlank="1" type="list">
      <formula1>"Y,N"</formula1>
    </dataValidation>
    <dataValidation sqref="C33:C37" showDropDown="0" showInputMessage="1" showErrorMessage="0" allowBlank="1" type="list">
      <formula1>"关键项,代表性样本"</formula1>
    </dataValidation>
  </dataValidations>
  <hyperlinks>
    <hyperlink ref="B4" location="汇总!A1" display="返回汇总页"/>
  </hyperlinks>
  <pageMargins left="0.7" right="0.7" top="0.75" bottom="0.75" header="0.3" footer="0.3"/>
  <pageSetup orientation="portrait" paperSize="9"/>
</worksheet>
</file>

<file path=xl/worksheets/sheet10.xml><?xml version="1.0" encoding="utf-8"?>
<worksheet xmlns="http://schemas.openxmlformats.org/spreadsheetml/2006/main">
  <sheetPr>
    <outlinePr summaryBelow="1" summaryRight="1"/>
    <pageSetUpPr/>
  </sheetPr>
  <dimension ref="A1:U9"/>
  <sheetViews>
    <sheetView showGridLines="0" zoomScale="70" zoomScaleNormal="70" workbookViewId="0">
      <selection activeCell="A1" sqref="A1"/>
    </sheetView>
  </sheetViews>
  <sheetFormatPr baseColWidth="8" defaultColWidth="9" defaultRowHeight="19"/>
  <cols>
    <col width="2.58203125" customWidth="1" style="147" min="1" max="1"/>
    <col width="9" customWidth="1" style="147" min="2" max="12"/>
    <col width="2.58203125" customWidth="1" style="147" min="13" max="13"/>
    <col width="1.58203125" customWidth="1" style="147" min="14" max="14"/>
    <col width="9" customWidth="1" style="147" min="15" max="16384"/>
  </cols>
  <sheetData>
    <row r="1" ht="10" customHeight="1" s="588">
      <c r="A1" s="145" t="inlineStr">
        <is>
          <t>98a33a0e-fd44-4636-87b0-406b0cfec332</t>
        </is>
      </c>
      <c r="B1" s="146" t="n"/>
      <c r="C1" s="146" t="n"/>
      <c r="D1" s="146" t="n"/>
      <c r="E1" s="146" t="n"/>
      <c r="F1" s="146" t="n"/>
      <c r="G1" s="146" t="n"/>
      <c r="H1" s="146" t="n"/>
      <c r="I1" s="146" t="n"/>
      <c r="J1" s="146" t="n"/>
      <c r="K1" s="146" t="n"/>
      <c r="L1" s="146" t="n"/>
      <c r="M1" s="146" t="n"/>
      <c r="N1" s="92" t="n"/>
      <c r="O1" s="146" t="n"/>
      <c r="P1" s="146" t="n"/>
      <c r="Q1" s="146" t="n"/>
      <c r="R1" s="146" t="n"/>
      <c r="S1" s="146" t="n"/>
      <c r="T1" s="146" t="n"/>
      <c r="U1" s="146" t="n"/>
    </row>
    <row r="2" ht="20" customHeight="1" s="588">
      <c r="A2" s="146" t="n"/>
      <c r="B2" s="257" t="inlineStr">
        <is>
          <t>将此选项页替换为安永智能选样工作文件中的“选样项目详细信息”（如不适用可以删除）</t>
        </is>
      </c>
      <c r="C2" s="267" t="n"/>
      <c r="D2" s="257" t="n"/>
      <c r="E2" s="257" t="n"/>
      <c r="F2" s="257" t="n"/>
      <c r="G2" s="257" t="n"/>
      <c r="H2" s="257" t="n"/>
      <c r="I2" s="257" t="n"/>
      <c r="J2" s="257" t="n"/>
      <c r="K2" s="257" t="n"/>
      <c r="L2" s="257" t="n"/>
      <c r="M2" s="146" t="n"/>
      <c r="N2" s="92" t="n"/>
      <c r="O2" s="146" t="n"/>
      <c r="P2" s="131" t="inlineStr">
        <is>
          <t>返回汇总页</t>
        </is>
      </c>
      <c r="Q2" s="146" t="n"/>
      <c r="R2" s="146" t="n"/>
      <c r="S2" s="146" t="n"/>
      <c r="T2" s="146" t="n"/>
      <c r="U2" s="146" t="n"/>
    </row>
    <row r="3" ht="15" customHeight="1" s="588">
      <c r="A3" s="148" t="n"/>
      <c r="B3" s="148" t="n"/>
      <c r="C3" s="149" t="n"/>
      <c r="D3" s="149" t="n"/>
      <c r="E3" s="149" t="n"/>
      <c r="F3" s="149" t="n"/>
      <c r="G3" s="149" t="n"/>
      <c r="H3" s="149" t="n"/>
      <c r="I3" s="149" t="n"/>
      <c r="J3" s="149" t="n"/>
      <c r="K3" s="148" t="n"/>
      <c r="L3" s="148" t="n"/>
      <c r="M3" s="148" t="n"/>
      <c r="N3" s="92" t="n"/>
      <c r="O3" s="148" t="n"/>
      <c r="P3" s="148" t="n"/>
      <c r="Q3" s="148" t="n"/>
      <c r="R3" s="148" t="n"/>
      <c r="S3" s="148" t="n"/>
      <c r="T3" s="148" t="n"/>
      <c r="U3" s="148" t="n"/>
    </row>
    <row r="4" ht="7.5" customHeight="1" s="588">
      <c r="A4" s="92" t="n"/>
      <c r="B4" s="92" t="n"/>
      <c r="C4" s="92" t="n"/>
      <c r="D4" s="92" t="n"/>
      <c r="E4" s="92" t="n"/>
      <c r="F4" s="92" t="n"/>
      <c r="G4" s="92" t="n"/>
      <c r="H4" s="92" t="n"/>
      <c r="I4" s="92" t="n"/>
      <c r="J4" s="92" t="n"/>
      <c r="K4" s="92" t="n"/>
      <c r="L4" s="92" t="n"/>
      <c r="M4" s="92" t="n"/>
      <c r="N4" s="92" t="n"/>
      <c r="O4" s="146" t="n"/>
      <c r="P4" s="146" t="n"/>
      <c r="Q4" s="146" t="n"/>
      <c r="R4" s="146" t="n"/>
      <c r="S4" s="146" t="n"/>
      <c r="T4" s="146" t="n"/>
      <c r="U4" s="146" t="n"/>
    </row>
    <row r="5">
      <c r="A5" s="146" t="n"/>
      <c r="B5" s="146" t="n"/>
      <c r="C5" s="146" t="n"/>
      <c r="D5" s="146" t="n"/>
      <c r="E5" s="146" t="n"/>
      <c r="F5" s="146" t="n"/>
      <c r="G5" s="146" t="n"/>
      <c r="H5" s="146" t="n"/>
      <c r="I5" s="146" t="n"/>
      <c r="J5" s="146" t="n"/>
      <c r="K5" s="146" t="n"/>
      <c r="L5" s="146" t="n"/>
      <c r="M5" s="146" t="n"/>
      <c r="N5" s="146" t="n"/>
      <c r="O5" s="146" t="n"/>
      <c r="P5" s="146" t="n"/>
      <c r="Q5" s="146" t="n"/>
      <c r="R5" s="146" t="n"/>
      <c r="S5" s="146" t="n"/>
      <c r="T5" s="146" t="n"/>
      <c r="U5" s="146" t="n"/>
    </row>
    <row r="6">
      <c r="A6" s="146" t="n"/>
      <c r="B6" s="146" t="n"/>
      <c r="C6" s="146" t="n"/>
      <c r="D6" s="146" t="n"/>
      <c r="E6" s="146" t="n"/>
      <c r="F6" s="146" t="n"/>
      <c r="G6" s="146" t="n"/>
      <c r="H6" s="146" t="n"/>
      <c r="I6" s="146" t="n"/>
      <c r="J6" s="146" t="n"/>
      <c r="K6" s="146" t="n"/>
      <c r="L6" s="146" t="n"/>
      <c r="M6" s="146" t="n"/>
      <c r="N6" s="146" t="n"/>
      <c r="O6" s="146" t="n"/>
      <c r="P6" s="146" t="n"/>
      <c r="Q6" s="146" t="n"/>
      <c r="R6" s="146" t="n"/>
      <c r="S6" s="146" t="n"/>
      <c r="T6" s="146" t="n"/>
      <c r="U6" s="146" t="n"/>
    </row>
    <row r="7">
      <c r="A7" s="146" t="n"/>
      <c r="B7" s="146" t="n"/>
      <c r="C7" s="146" t="n"/>
      <c r="D7" s="146" t="n"/>
      <c r="E7" s="146" t="n"/>
      <c r="F7" s="146" t="n"/>
      <c r="G7" s="146" t="n"/>
      <c r="H7" s="146" t="n"/>
      <c r="I7" s="146" t="n"/>
      <c r="J7" s="146" t="n"/>
      <c r="K7" s="146" t="n"/>
      <c r="L7" s="146" t="n"/>
      <c r="M7" s="146" t="n"/>
      <c r="N7" s="146" t="n"/>
      <c r="O7" s="146" t="n"/>
      <c r="P7" s="146" t="n"/>
      <c r="Q7" s="146" t="n"/>
      <c r="R7" s="146" t="n"/>
      <c r="S7" s="146" t="n"/>
      <c r="T7" s="146" t="n"/>
      <c r="U7" s="146" t="n"/>
    </row>
    <row r="8">
      <c r="A8" s="146" t="n"/>
      <c r="B8" s="146" t="n"/>
      <c r="C8" s="146" t="n"/>
      <c r="D8" s="146" t="n"/>
      <c r="E8" s="146" t="n"/>
      <c r="F8" s="146" t="n"/>
      <c r="G8" s="146" t="n"/>
      <c r="H8" s="146" t="n"/>
      <c r="I8" s="146" t="n"/>
      <c r="J8" s="146" t="n"/>
      <c r="K8" s="146" t="n"/>
      <c r="L8" s="146" t="n"/>
      <c r="M8" s="146" t="n"/>
      <c r="N8" s="146" t="n"/>
      <c r="O8" s="146" t="n"/>
      <c r="P8" s="146" t="n"/>
      <c r="Q8" s="146" t="n"/>
      <c r="R8" s="146" t="n"/>
      <c r="S8" s="146" t="n"/>
      <c r="T8" s="146" t="n"/>
      <c r="U8" s="146" t="n"/>
    </row>
    <row r="9">
      <c r="A9" s="146" t="n"/>
      <c r="B9" s="146" t="n"/>
      <c r="C9" s="146" t="n"/>
      <c r="D9" s="146" t="n"/>
      <c r="E9" s="146" t="n"/>
      <c r="F9" s="146" t="n"/>
      <c r="G9" s="146" t="n"/>
      <c r="H9" s="148" t="n"/>
      <c r="I9" s="146" t="n"/>
      <c r="J9" s="146" t="n"/>
      <c r="K9" s="146" t="n"/>
      <c r="L9" s="146" t="n"/>
      <c r="M9" s="146" t="n"/>
      <c r="N9" s="146" t="n"/>
      <c r="O9" s="146" t="n"/>
      <c r="P9" s="146" t="n"/>
      <c r="Q9" s="146" t="n"/>
      <c r="R9" s="146" t="n"/>
      <c r="S9" s="146" t="n"/>
      <c r="T9" s="146" t="n"/>
      <c r="U9" s="146" t="n"/>
    </row>
  </sheetData>
  <hyperlinks>
    <hyperlink ref="P2" location="汇总!A1" display="返回汇总页"/>
  </hyperlinks>
  <pageMargins left="0.7" right="0.7" top="0.75" bottom="0.75" header="0.3" footer="0.3"/>
  <pageSetup orientation="portrait" paperSize="9" verticalDpi="0"/>
</worksheet>
</file>

<file path=xl/worksheets/sheet11.xml><?xml version="1.0" encoding="utf-8"?>
<worksheet xmlns="http://schemas.openxmlformats.org/spreadsheetml/2006/main">
  <sheetPr>
    <outlinePr summaryBelow="1" summaryRight="1"/>
    <pageSetUpPr/>
  </sheetPr>
  <dimension ref="A1:N5"/>
  <sheetViews>
    <sheetView showGridLines="0" zoomScale="70" zoomScaleNormal="70" workbookViewId="0">
      <selection activeCell="A1" sqref="A1"/>
    </sheetView>
  </sheetViews>
  <sheetFormatPr baseColWidth="8" defaultColWidth="8.75" defaultRowHeight="12.75" customHeight="1"/>
  <cols>
    <col width="2.58203125" customWidth="1" style="36" min="1" max="1"/>
    <col width="6" customWidth="1" style="21" min="2" max="2"/>
    <col width="17.75" customWidth="1" style="21" min="3" max="3"/>
    <col width="36.33203125" customWidth="1" style="21" min="4" max="4"/>
    <col width="17.75" customWidth="1" style="21" min="5" max="6"/>
    <col width="18.33203125" customWidth="1" style="21" min="7" max="7"/>
    <col width="12.75" customWidth="1" style="21" min="8" max="8"/>
    <col width="15.33203125" customWidth="1" style="21" min="9" max="9"/>
    <col width="30.25" customWidth="1" style="21" min="10" max="10"/>
    <col width="2.58203125" customWidth="1" style="21" min="11" max="11"/>
    <col width="1.58203125" customWidth="1" style="21" min="12" max="12"/>
    <col width="12" customWidth="1" style="21" min="13" max="14"/>
    <col width="12.75" customWidth="1" style="21" min="15" max="24"/>
    <col width="8.75" customWidth="1" style="21" min="25" max="16384"/>
  </cols>
  <sheetData>
    <row r="1" ht="10" customHeight="1" s="588">
      <c r="L1" s="92" t="n"/>
    </row>
    <row r="2" ht="19" customHeight="1" s="588">
      <c r="B2" s="262" t="inlineStr">
        <is>
          <t>获取在建工程转出列表，并将列表与在建工程后推核对一致。我们调查了超过SAD名义金额的差异（例如，在建工程转出列表与后推计划表之间没有被解释的差额）。</t>
        </is>
      </c>
      <c r="C2" s="22" t="n"/>
      <c r="D2" s="181" t="n"/>
      <c r="E2" s="181" t="n"/>
      <c r="F2" s="181" t="n"/>
      <c r="G2" s="181" t="n"/>
      <c r="H2" s="181" t="n"/>
      <c r="I2" s="181" t="n"/>
      <c r="J2" s="181" t="n"/>
      <c r="L2" s="92" t="n"/>
      <c r="N2" s="131" t="inlineStr">
        <is>
          <t>返回汇总页</t>
        </is>
      </c>
    </row>
    <row r="3" ht="19" customHeight="1" s="588">
      <c r="A3" s="181" t="n"/>
      <c r="B3" s="257" t="inlineStr">
        <is>
          <t>注：项目组可以自定义在建工程转出清单表格，但至少须确保必需字段（如项目或资产名称、转出时间、转出金额，转入资产类别等）完整。</t>
        </is>
      </c>
      <c r="C3" s="266" t="n"/>
      <c r="D3" s="257" t="n"/>
      <c r="E3" s="257" t="n"/>
      <c r="F3" s="257" t="n"/>
      <c r="G3" s="257" t="n"/>
      <c r="H3" s="257" t="n"/>
      <c r="I3" s="257" t="n"/>
      <c r="J3" s="257" t="n"/>
      <c r="L3" s="92" t="n"/>
    </row>
    <row r="4" ht="15" customHeight="1" s="588">
      <c r="L4" s="92" t="n"/>
    </row>
    <row r="5" ht="7.5" customHeight="1" s="588">
      <c r="A5" s="92" t="n"/>
      <c r="B5" s="92" t="n"/>
      <c r="C5" s="92" t="n"/>
      <c r="D5" s="92" t="n"/>
      <c r="E5" s="92" t="n"/>
      <c r="F5" s="92" t="n"/>
      <c r="G5" s="92" t="n"/>
      <c r="H5" s="92" t="n"/>
      <c r="I5" s="92" t="n"/>
      <c r="J5" s="92" t="n"/>
      <c r="K5" s="92" t="n"/>
      <c r="L5" s="92" t="n"/>
    </row>
  </sheetData>
  <hyperlinks>
    <hyperlink ref="N2" location="汇总!A1" display="返回汇总页"/>
  </hyperlinks>
  <pageMargins left="0.7" right="0.7" top="0.75" bottom="0.75" header="0.3" footer="0.3"/>
  <pageSetup orientation="portrait" paperSize="9"/>
</worksheet>
</file>

<file path=xl/worksheets/sheet12.xml><?xml version="1.0" encoding="utf-8"?>
<worksheet xmlns="http://schemas.openxmlformats.org/spreadsheetml/2006/main">
  <sheetPr>
    <outlinePr summaryBelow="1" summaryRight="1"/>
    <pageSetUpPr/>
  </sheetPr>
  <dimension ref="A1:K30"/>
  <sheetViews>
    <sheetView showGridLines="0" zoomScale="70" zoomScaleNormal="70" workbookViewId="0">
      <selection activeCell="I29" sqref="I29"/>
    </sheetView>
  </sheetViews>
  <sheetFormatPr baseColWidth="8" defaultColWidth="8.83203125" defaultRowHeight="15" customHeight="1"/>
  <cols>
    <col width="2.58203125" customWidth="1" style="38" min="1" max="1"/>
    <col width="15.83203125" customWidth="1" style="38" min="2" max="2"/>
    <col width="24.83203125" customWidth="1" style="38" min="3" max="3"/>
    <col width="15.83203125" customWidth="1" style="38" min="4" max="4"/>
    <col width="20.83203125" customWidth="1" style="38" min="5" max="5"/>
    <col width="26.33203125" customWidth="1" style="38" min="6" max="6"/>
    <col width="35.83203125" customWidth="1" style="38" min="7" max="7"/>
    <col width="20.08203125" customWidth="1" style="38" min="8" max="8"/>
    <col width="35.83203125" customWidth="1" style="38" min="9" max="9"/>
    <col width="2.58203125" customWidth="1" style="38" min="10" max="10"/>
    <col width="1.58203125" customWidth="1" style="38" min="11" max="11"/>
    <col width="8.83203125" customWidth="1" style="38" min="12" max="16384"/>
  </cols>
  <sheetData>
    <row r="1" ht="50.15" customFormat="1" customHeight="1" s="39">
      <c r="A1" s="38" t="n"/>
      <c r="B1" s="450" t="inlineStr">
        <is>
          <t>标准工作底稿: J1 SWP 在建工程</t>
        </is>
      </c>
      <c r="C1" s="451" t="n"/>
      <c r="D1" s="452" t="n"/>
      <c r="E1" s="452" t="n"/>
      <c r="F1" s="452" t="n"/>
      <c r="G1" s="452" t="n"/>
      <c r="H1" s="452" t="n"/>
      <c r="I1" s="453" t="n"/>
      <c r="K1" s="40" t="n"/>
    </row>
    <row r="2" ht="30" customFormat="1" customHeight="1" s="39">
      <c r="A2" s="38" t="n"/>
      <c r="B2" s="409" t="inlineStr">
        <is>
          <t>J1.03 CIP 长期挂账</t>
        </is>
      </c>
      <c r="C2" s="317" t="n"/>
      <c r="D2" s="317" t="n"/>
      <c r="E2" s="317" t="n"/>
      <c r="F2" s="317" t="n"/>
      <c r="G2" s="317" t="n"/>
      <c r="H2" s="317" t="n"/>
      <c r="I2" s="410" t="n"/>
      <c r="K2" s="40" t="n"/>
    </row>
    <row r="3" ht="15" customFormat="1" customHeight="1" s="39">
      <c r="A3" s="38" t="n"/>
      <c r="B3" s="41" t="n"/>
      <c r="C3" s="41" t="n"/>
      <c r="D3" s="41" t="n"/>
      <c r="E3" s="41" t="n"/>
      <c r="F3" s="41" t="n"/>
      <c r="G3" s="41" t="n"/>
      <c r="H3" s="41" t="n"/>
      <c r="I3" s="41" t="n"/>
      <c r="K3" s="40" t="n"/>
    </row>
    <row r="4" ht="15" customFormat="1" customHeight="1" s="39">
      <c r="A4" s="38" t="n"/>
      <c r="B4" s="130" t="inlineStr">
        <is>
          <t>返回汇总页</t>
        </is>
      </c>
      <c r="C4" s="41" t="n"/>
      <c r="D4" s="41" t="n"/>
      <c r="E4" s="41" t="n"/>
      <c r="F4" s="41" t="n"/>
      <c r="G4" s="41" t="n"/>
      <c r="H4" s="41" t="n"/>
      <c r="I4" s="41" t="n"/>
      <c r="K4" s="40" t="n"/>
    </row>
    <row r="5" ht="15" customFormat="1" customHeight="1" s="39">
      <c r="A5" s="38" t="n"/>
      <c r="B5" s="41" t="n"/>
      <c r="C5" s="41" t="n"/>
      <c r="D5" s="41" t="n"/>
      <c r="E5" s="41" t="n"/>
      <c r="F5" s="41" t="n"/>
      <c r="G5" s="41" t="n"/>
      <c r="H5" s="41" t="n"/>
      <c r="I5" s="41" t="n"/>
      <c r="K5" s="40" t="n"/>
    </row>
    <row r="6" ht="15" customHeight="1" s="588">
      <c r="B6" s="225" t="inlineStr">
        <is>
          <t>我们将期末在建工程清单（如项目清单）作为总体，选取金额重大且长期挂账的在建工程作为样本。以下描述选择待测试项目的理由：</t>
        </is>
      </c>
      <c r="C6" s="44" t="n"/>
      <c r="D6" s="45" t="n"/>
      <c r="E6" s="45" t="n"/>
      <c r="F6" s="45" t="n"/>
      <c r="G6" s="45" t="n"/>
      <c r="H6" s="45" t="n"/>
      <c r="I6" s="45" t="n"/>
      <c r="K6" s="42" t="n"/>
    </row>
    <row r="7" ht="15" customHeight="1" s="588">
      <c r="B7" s="714" t="n"/>
      <c r="C7" s="669" t="n"/>
      <c r="D7" s="669" t="n"/>
      <c r="E7" s="669" t="n"/>
      <c r="F7" s="670" t="n"/>
      <c r="G7" s="282" t="n"/>
      <c r="H7" s="282" t="n"/>
      <c r="I7" s="282" t="n"/>
      <c r="K7" s="42" t="n"/>
    </row>
    <row r="8" ht="15" customHeight="1" s="588">
      <c r="B8" s="671" t="n"/>
      <c r="F8" s="672" t="n"/>
      <c r="G8" s="282" t="n"/>
      <c r="H8" s="282" t="n"/>
      <c r="I8" s="282" t="n"/>
      <c r="K8" s="42" t="n"/>
    </row>
    <row r="9" ht="15" customHeight="1" s="588">
      <c r="B9" s="671" t="n"/>
      <c r="F9" s="672" t="n"/>
      <c r="G9" s="282" t="n"/>
      <c r="H9" s="282" t="n"/>
      <c r="I9" s="282" t="n"/>
      <c r="K9" s="42" t="n"/>
    </row>
    <row r="10" ht="15" customHeight="1" s="588">
      <c r="B10" s="673" t="n"/>
      <c r="C10" s="674" t="n"/>
      <c r="D10" s="674" t="n"/>
      <c r="E10" s="674" t="n"/>
      <c r="F10" s="675" t="n"/>
      <c r="G10" s="282" t="n"/>
      <c r="H10" s="282" t="n"/>
      <c r="I10" s="282" t="n"/>
      <c r="K10" s="42" t="n"/>
    </row>
    <row r="11" ht="15" customHeight="1" s="588">
      <c r="B11" s="46" t="n"/>
      <c r="C11" s="46" t="n"/>
      <c r="D11" s="715" t="n"/>
      <c r="F11" s="716" t="n"/>
      <c r="G11" s="282" t="n"/>
      <c r="H11" s="282" t="n"/>
      <c r="I11" s="282" t="n"/>
      <c r="K11" s="42" t="n"/>
    </row>
    <row r="12" ht="15" customHeight="1" s="588">
      <c r="A12" s="251" t="n"/>
      <c r="B12" s="717" t="inlineStr">
        <is>
          <t>安永属性测试说明：</t>
        </is>
      </c>
      <c r="C12" s="590" t="n"/>
      <c r="D12" s="590" t="n"/>
      <c r="E12" s="590" t="n"/>
      <c r="F12" s="591" t="n"/>
      <c r="G12" s="282" t="n"/>
      <c r="H12" s="282" t="n"/>
      <c r="I12" s="282" t="n"/>
      <c r="K12" s="42" t="n"/>
    </row>
    <row r="13" ht="15" customHeight="1" s="588">
      <c r="B13" s="454" t="inlineStr">
        <is>
          <t>对于选择进行测试的每个项目，我们检查了相关证据（如计划、预算和/或其他证据），并确定：</t>
        </is>
      </c>
      <c r="C13" s="455" t="n"/>
      <c r="D13" s="455" t="n"/>
      <c r="E13" s="455" t="n"/>
      <c r="F13" s="456" t="n"/>
      <c r="G13" s="282" t="n"/>
      <c r="H13" s="282" t="n"/>
      <c r="I13" s="282" t="n"/>
      <c r="K13" s="42" t="n"/>
    </row>
    <row r="14" ht="31" customHeight="1" s="588">
      <c r="B14" s="718" t="inlineStr">
        <is>
          <t>1）对于资产负债表日仍在在建工程中的项目，检查计划、预算和/或其他证据，以验证施工仍在进行中。通过询问管理层并检查基础计划或其他相关支持证据，考虑在建工程账龄的合理性，确定资产尚未开始折旧且不存在与资产相关的减值迹象是适当的。</t>
        </is>
      </c>
      <c r="C14" s="642" t="n"/>
      <c r="D14" s="642" t="n"/>
      <c r="E14" s="642" t="n"/>
      <c r="F14" s="643" t="n"/>
      <c r="K14" s="42" t="n"/>
    </row>
    <row r="15" ht="15" customHeight="1" s="588">
      <c r="B15" s="49" t="n"/>
      <c r="C15" s="50" t="n"/>
      <c r="D15" s="50" t="n"/>
      <c r="E15" s="50" t="n"/>
      <c r="F15" s="50" t="n"/>
      <c r="G15" s="50" t="n"/>
      <c r="H15" s="50" t="n"/>
      <c r="I15" s="50" t="n"/>
      <c r="K15" s="42" t="n"/>
    </row>
    <row r="16" ht="30" customHeight="1" s="588">
      <c r="H16" s="587" t="inlineStr">
        <is>
          <t>EY Works</t>
        </is>
      </c>
      <c r="I16" s="50" t="n"/>
      <c r="K16" s="42" t="n"/>
    </row>
    <row r="17" ht="44.5" customHeight="1" s="588">
      <c r="B17" s="309" t="inlineStr">
        <is>
          <t>样本序号</t>
        </is>
      </c>
      <c r="C17" s="309" t="inlineStr">
        <is>
          <t>资产日期
（最初记录在明细账中时）</t>
        </is>
      </c>
      <c r="D17" s="309" t="inlineStr">
        <is>
          <t>资产编号</t>
        </is>
      </c>
      <c r="E17" s="309" t="inlineStr">
        <is>
          <t>资产名称</t>
        </is>
      </c>
      <c r="F17" s="309" t="inlineStr">
        <is>
          <t>资产期末余额</t>
        </is>
      </c>
      <c r="G17" s="309" t="inlineStr">
        <is>
          <t>获得的证据/支持的描述（例如，计划、预算和/或其他证据）</t>
        </is>
      </c>
      <c r="H17" s="309" t="n">
        <v>1</v>
      </c>
      <c r="I17" s="309" t="inlineStr">
        <is>
          <t>账龄合理性说明或参考减值测试</t>
        </is>
      </c>
      <c r="K17" s="42" t="n"/>
    </row>
    <row r="18" ht="15" customHeight="1" s="588">
      <c r="B18" s="318" t="n">
        <v>1</v>
      </c>
      <c r="C18" s="344" t="n"/>
      <c r="D18" s="347" t="n"/>
      <c r="E18" s="347" t="n"/>
      <c r="F18" s="696" t="n"/>
      <c r="G18" s="347" t="n"/>
      <c r="H18" s="347" t="n"/>
      <c r="I18" s="347" t="n"/>
      <c r="K18" s="42" t="n"/>
    </row>
    <row r="19" ht="15" customHeight="1" s="588">
      <c r="B19" s="318" t="n">
        <v>2</v>
      </c>
      <c r="C19" s="344" t="n"/>
      <c r="D19" s="347" t="n"/>
      <c r="E19" s="347" t="n"/>
      <c r="F19" s="696" t="n"/>
      <c r="G19" s="347" t="n"/>
      <c r="H19" s="347" t="n"/>
      <c r="I19" s="347" t="n"/>
      <c r="K19" s="42" t="n"/>
    </row>
    <row r="20" ht="15" customHeight="1" s="588">
      <c r="B20" s="318" t="n">
        <v>3</v>
      </c>
      <c r="C20" s="344" t="n"/>
      <c r="D20" s="347" t="n"/>
      <c r="E20" s="347" t="n"/>
      <c r="F20" s="696" t="n"/>
      <c r="G20" s="347" t="n"/>
      <c r="H20" s="347" t="n"/>
      <c r="I20" s="347" t="n"/>
      <c r="K20" s="42" t="n"/>
    </row>
    <row r="21" ht="15" customHeight="1" s="588">
      <c r="B21" s="318" t="n">
        <v>4</v>
      </c>
      <c r="C21" s="344" t="n"/>
      <c r="D21" s="347" t="n"/>
      <c r="E21" s="347" t="n"/>
      <c r="F21" s="696" t="n"/>
      <c r="G21" s="347" t="n"/>
      <c r="H21" s="347" t="n"/>
      <c r="I21" s="347" t="n"/>
      <c r="K21" s="42" t="n"/>
    </row>
    <row r="22" ht="15" customHeight="1" s="588">
      <c r="B22" s="318" t="n">
        <v>5</v>
      </c>
      <c r="C22" s="344" t="n"/>
      <c r="D22" s="347" t="n"/>
      <c r="E22" s="347" t="n"/>
      <c r="F22" s="696" t="n"/>
      <c r="G22" s="347" t="n"/>
      <c r="H22" s="347" t="n"/>
      <c r="I22" s="347" t="n"/>
      <c r="K22" s="42" t="n"/>
    </row>
    <row r="23" ht="15" customHeight="1" s="588">
      <c r="B23" s="49" t="n"/>
      <c r="C23" s="50" t="n"/>
      <c r="D23" s="50" t="n"/>
      <c r="E23" s="50" t="n"/>
      <c r="F23" s="50" t="n"/>
      <c r="G23" s="50" t="n"/>
      <c r="H23" s="50" t="n"/>
      <c r="I23" s="50" t="n"/>
      <c r="K23" s="42" t="n"/>
    </row>
    <row r="24" ht="15" customHeight="1" s="588">
      <c r="B24" s="568" t="inlineStr">
        <is>
          <t>标记图例:记录已识别的异常情况以及如何解决这些异常情况的详细信息，包括执行的其他实质性程序（指南：包括足够的描述，以使之前与审计无关的经验丰富的审计师能够理解执行的程序）</t>
        </is>
      </c>
      <c r="C24" s="527" t="n"/>
      <c r="D24" s="527" t="n"/>
      <c r="E24" s="527" t="n"/>
      <c r="F24" s="527" t="n"/>
      <c r="G24" s="527" t="n"/>
      <c r="H24" s="527" t="n"/>
      <c r="I24" s="50" t="n"/>
      <c r="K24" s="42" t="n"/>
    </row>
    <row r="25" ht="15" customHeight="1" s="588">
      <c r="B25" s="683" t="n"/>
      <c r="C25" s="669" t="n"/>
      <c r="D25" s="669" t="n"/>
      <c r="E25" s="669" t="n"/>
      <c r="F25" s="670" t="n"/>
      <c r="G25" s="129" t="n"/>
      <c r="H25" s="129" t="n"/>
      <c r="I25" s="50" t="n"/>
      <c r="K25" s="42" t="n"/>
    </row>
    <row r="26" ht="15" customHeight="1" s="588">
      <c r="B26" s="671" t="n"/>
      <c r="F26" s="672" t="n"/>
      <c r="G26" s="129" t="n"/>
      <c r="H26" s="129" t="n"/>
      <c r="I26" s="50" t="n"/>
      <c r="K26" s="42" t="n"/>
    </row>
    <row r="27" ht="15" customHeight="1" s="588">
      <c r="B27" s="671" t="n"/>
      <c r="F27" s="672" t="n"/>
      <c r="G27" s="129" t="n"/>
      <c r="H27" s="129" t="n"/>
      <c r="I27" s="50" t="n"/>
      <c r="K27" s="42" t="n"/>
    </row>
    <row r="28" ht="15" customHeight="1" s="588">
      <c r="B28" s="673" t="n"/>
      <c r="C28" s="674" t="n"/>
      <c r="D28" s="674" t="n"/>
      <c r="E28" s="674" t="n"/>
      <c r="F28" s="675" t="n"/>
      <c r="G28" s="129" t="n"/>
      <c r="H28" s="129" t="n"/>
      <c r="I28" s="50" t="n"/>
      <c r="K28" s="42" t="n"/>
    </row>
    <row r="29" ht="15" customHeight="1" s="588">
      <c r="I29" s="50" t="n"/>
      <c r="K29" s="42" t="n"/>
    </row>
    <row r="30" ht="7.5" customHeight="1" s="588">
      <c r="A30" s="42" t="n"/>
      <c r="B30" s="42" t="n"/>
      <c r="C30" s="42" t="n"/>
      <c r="D30" s="42" t="n"/>
      <c r="E30" s="42" t="n"/>
      <c r="F30" s="42" t="n"/>
      <c r="G30" s="42" t="n"/>
      <c r="H30" s="42" t="n"/>
      <c r="I30" s="42" t="n"/>
      <c r="J30" s="42" t="n"/>
      <c r="K30" s="42" t="n"/>
    </row>
  </sheetData>
  <mergeCells count="5">
    <mergeCell ref="B12:F12"/>
    <mergeCell ref="B7:F10"/>
    <mergeCell ref="B25:F28"/>
    <mergeCell ref="B24:H24"/>
    <mergeCell ref="B14:F14"/>
  </mergeCells>
  <conditionalFormatting sqref="B7">
    <cfRule type="containsBlanks" priority="3" dxfId="0">
      <formula>LEN(TRIM(B7))=0</formula>
    </cfRule>
  </conditionalFormatting>
  <conditionalFormatting sqref="B25">
    <cfRule type="containsBlanks" priority="2" dxfId="0">
      <formula>LEN(TRIM(B25))=0</formula>
    </cfRule>
  </conditionalFormatting>
  <conditionalFormatting sqref="B18:I22">
    <cfRule type="containsBlanks" priority="1" dxfId="0">
      <formula>LEN(TRIM(B18))=0</formula>
    </cfRule>
  </conditionalFormatting>
  <dataValidations count="2">
    <dataValidation sqref="G16" showDropDown="0" showInputMessage="1" showErrorMessage="1" allowBlank="0"/>
    <dataValidation sqref="H18:H22" showDropDown="0" showInputMessage="1" showErrorMessage="0" allowBlank="1" type="list">
      <formula1>"Y,N"</formula1>
    </dataValidation>
  </dataValidations>
  <hyperlinks>
    <hyperlink ref="B4" location="汇总!A1" display="返回汇总页"/>
  </hyperlinks>
  <pageMargins left="0.7086614173228351" right="0.7086614173228351" top="0.748031496062992" bottom="0.748031496062992" header="0.31496062992126" footer="0.31496062992126"/>
  <pageSetup orientation="landscape" paperSize="9" scale="57" fitToHeight="0" horizontalDpi="300"/>
  <headerFooter>
    <oddHeader/>
    <oddFooter>&amp;LK SWP PPE_x000a_(24 June 2025)</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Shi Qi SQ Zhang</dc:creator>
  <dc:title>Skywind_J1_在建工程_20191231_测试公司166.xlsx</dc:title>
  <dc:description>5879B484-BA49-46AF-8B1E-562824F30CEE</dc:description>
  <dcterms:created xsi:type="dcterms:W3CDTF">2015-06-05T18:17:00Z</dcterms:created>
  <dcterms:modified xsi:type="dcterms:W3CDTF">2026-05-20T04:05:02Z</dcterms:modified>
  <cp:lastModifiedBy>Evelyn Z Zhao</cp:lastModifiedBy>
  <cp:keywords>Final Audit.V6.J1.0901</cp:keywords>
</cp:coreProperties>
</file>

<file path=docProps/custom.xml><?xml version="1.0" encoding="utf-8"?>
<Properties xmlns:vt="http://schemas.openxmlformats.org/officeDocument/2006/docPropsVTypes" xmlns="http://schemas.openxmlformats.org/officeDocument/2006/custom-properties">
  <property name="KSOProductBuildVer" fmtid="{D5CDD505-2E9C-101B-9397-08002B2CF9AE}" pid="2">
    <vt:lpwstr>2052-11.1.0.12358</vt:lpwstr>
  </property>
  <property name="ContentTypeId" fmtid="{D5CDD505-2E9C-101B-9397-08002B2CF9AE}" pid="3">
    <vt:lpwstr>0x01010062989BB664902542A04262E315E25772</vt:lpwstr>
  </property>
  <property name="ICV" fmtid="{D5CDD505-2E9C-101B-9397-08002B2CF9AE}" pid="4">
    <vt:lpwstr>2A5956F74EE444778E6BFEFB12E9FD98</vt:lpwstr>
  </property>
</Properties>
</file>
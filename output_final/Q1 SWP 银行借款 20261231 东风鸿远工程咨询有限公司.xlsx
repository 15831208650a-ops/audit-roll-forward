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25820" windowHeight="13900" tabRatio="841" firstSheet="0" activeTab="0" autoFilterDateGrouping="1"/>
  </bookViews>
  <sheets>
    <sheet name="汇总" sheetId="1" state="visible" r:id="rId1"/>
    <sheet name="Q1.00 Lead" sheetId="2" state="visible" r:id="rId2"/>
    <sheet name="Q1.01 BKD" sheetId="3" state="visible" r:id="rId3"/>
    <sheet name="Q1.02a 函证" sheetId="4" state="visible" r:id="rId4"/>
    <sheet name="Q1.02b 抵押担保测试" sheetId="5" state="visible" r:id="rId5"/>
    <sheet name="Q1.02c 函证-替代测试" sheetId="6" state="visible" r:id="rId6"/>
    <sheet name="Q1.03 增加（ToD）" sheetId="7" state="visible" r:id="rId7"/>
    <sheet name="Q1.04 SAP" sheetId="8" state="visible" r:id="rId8"/>
    <sheet name="Q1.04.01 利息费用（ToD）" sheetId="9" state="visible" r:id="rId9"/>
    <sheet name="Q1.04.02 利息费用（重新计算）" sheetId="10" state="visible" r:id="rId10"/>
    <sheet name="Q1.05 限制性契约" sheetId="11" state="visible" r:id="rId11"/>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"PWP"</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SAPBEXsysID" localSheetId="0" hidden="1">"PE4"</definedName>
    <definedName name="TextRefCopyRangeCount" localSheetId="0" hidden="1">4</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8" hidden="1">{#N/A,#N/A,TRUE,"CPRD";#N/A,#N/A,TRUE,"BCCPDR";#N/A,#N/A,TRUE,"EWRD";#N/A,#N/A,TRUE,"5100";#N/A,#N/A,TRUE,"5110"}</definedName>
    <definedName name="____dod1" localSheetId="8" hidden="1">{#N/A,#N/A,TRUE,"CPRD";#N/A,#N/A,TRUE,"BCCPDR";#N/A,#N/A,TRUE,"EWRD";#N/A,#N/A,TRUE,"5100";#N/A,#N/A,TRUE,"5110"}</definedName>
    <definedName name="___dod1" localSheetId="8" hidden="1">{#N/A,#N/A,TRUE,"CPRD";#N/A,#N/A,TRUE,"BCCPDR";#N/A,#N/A,TRUE,"EWRD";#N/A,#N/A,TRUE,"5100";#N/A,#N/A,TRUE,"5110"}</definedName>
    <definedName name="___dog1" localSheetId="8" hidden="1">{#N/A,#N/A,TRUE,"CPRD";#N/A,#N/A,TRUE,"BCCPDR";#N/A,#N/A,TRUE,"EWRD";#N/A,#N/A,TRUE,"5100";#N/A,#N/A,TRUE,"5110"}</definedName>
    <definedName name="__dod1" localSheetId="8" hidden="1">{#N/A,#N/A,TRUE,"CPRD";#N/A,#N/A,TRUE,"BCCPDR";#N/A,#N/A,TRUE,"EWRD";#N/A,#N/A,TRUE,"5100";#N/A,#N/A,TRUE,"5110"}</definedName>
    <definedName name="__dog1" localSheetId="8" hidden="1">{#N/A,#N/A,TRUE,"CPRD";#N/A,#N/A,TRUE,"BCCPDR";#N/A,#N/A,TRUE,"EWRD";#N/A,#N/A,TRUE,"5100";#N/A,#N/A,TRUE,"5110"}</definedName>
    <definedName name="_15wrn.²Ä1­Ó¤ë1_Ü20¤H." localSheetId="8" hidden="1">{#N/A,#N/A,FALSE,"²Ä1­Ó¤ë"}</definedName>
    <definedName name="_16wrn.²Ä1­Ó¤ë1_Ü20¤H." localSheetId="8" hidden="1">{#N/A,#N/A,FALSE,"²Ä1­Ó¤ë"}</definedName>
    <definedName name="_dod1" localSheetId="8" hidden="1">{#N/A,#N/A,TRUE,"CPRD";#N/A,#N/A,TRUE,"BCCPDR";#N/A,#N/A,TRUE,"EWRD";#N/A,#N/A,TRUE,"5100";#N/A,#N/A,TRUE,"5110"}</definedName>
    <definedName name="_dog1" localSheetId="8" hidden="1">{#N/A,#N/A,TRUE,"CPRD";#N/A,#N/A,TRUE,"BCCPDR";#N/A,#N/A,TRUE,"EWRD";#N/A,#N/A,TRUE,"5100";#N/A,#N/A,TRUE,"5110"}</definedName>
    <definedName name="_O1" localSheetId="8" hidden="1">{#N/A,#N/A,FALSE,"970301";#N/A,#N/A,FALSE,"970302";#N/A,#N/A,FALSE,"970303";#N/A,#N/A,FALSE,"970304";#N/A,#N/A,FALSE,"COM1";#N/A,#N/A,FALSE,"COM2"}</definedName>
    <definedName name="aavbrdf" localSheetId="8" hidden="1">{#N/A,#N/A,FALSE,"OffAdvance";#N/A,#N/A,FALSE,"OffExpRprt";#N/A,#N/A,FALSE,"Travelling";#N/A,#N/A,FALSE,"Entertmnt";#N/A,#N/A,FALSE,"Promotion"}</definedName>
    <definedName name="aaz" localSheetId="8" hidden="1">{#N/A,#N/A,FALSE,"资产负债表";#N/A,#N/A,FALSE,"资产负债表"}</definedName>
    <definedName name="ada" localSheetId="8" hidden="1">{#N/A,#N/A,FALSE,"资产负债表";#N/A,#N/A,FALSE,"资产负债表"}</definedName>
    <definedName name="adaf" localSheetId="8" hidden="1">{#N/A,#N/A,FALSE,"资产负债表";#N/A,#N/A,FALSE,"资产负债表"}</definedName>
    <definedName name="adas" localSheetId="8" hidden="1">{"M1Print",#N/A,TRUE,"M1";"M2Print",#N/A,TRUE,"M2";"M1sPrint",#N/A,TRUE,"M1s";"M2aPrint",#N/A,TRUE,"M2a";"M4Print",#N/A,TRUE,"M4";"M5Print",#N/A,TRUE,"M5";"M6Print",#N/A,TRUE,"M6";"M6_1Print",#N/A,TRUE,"M6_1";"M6_2Print",#N/A,TRUE,"M6_2";"M7_1Print",#N/A,TRUE,"M7_1";"M7_2Print",#N/A,TRUE,"M7_2"}</definedName>
    <definedName name="adf" localSheetId="8" hidden="1">{"toptrial",#N/A,TRUE,"toptrial";"adjustment",#N/A,TRUE,"toptrial";"voucher",#N/A,TRUE,"toptrial"}</definedName>
    <definedName name="afhai" localSheetId="8" hidden="1">{#N/A,#N/A,FALSE,"资产负债表";#N/A,#N/A,FALSE,"资产负债表"}</definedName>
    <definedName name="AGEDDATABASE" localSheetId="8" hidden="1">{#N/A,#N/A,FALSE,"970301";#N/A,#N/A,FALSE,"970302";#N/A,#N/A,FALSE,"970303";#N/A,#N/A,FALSE,"970304";#N/A,#N/A,FALSE,"COM1";#N/A,#N/A,FALSE,"COM2"}</definedName>
    <definedName name="aidhaif" localSheetId="8" hidden="1">{#N/A,#N/A,FALSE,"资产负债表";#N/A,#N/A,FALSE,"资产负债表"}</definedName>
    <definedName name="anakf" localSheetId="8" hidden="1">{#N/A,#N/A,FALSE,"资产负债表";#N/A,#N/A,FALSE,"资产负债表"}</definedName>
    <definedName name="asdas" localSheetId="8" hidden="1">{#N/A,#N/A,FALSE,"Marketing";#N/A,#N/A,FALSE,"Selling";#N/A,#N/A,FALSE,"Promotional";#N/A,#N/A,FALSE,"Advertising"}</definedName>
    <definedName name="asdg" localSheetId="8" hidden="1">{#N/A,#N/A,FALSE,"资产负债表";#N/A,#N/A,FALSE,"资产负债表"}</definedName>
    <definedName name="ass" localSheetId="8" hidden="1">{#N/A,#N/A,TRUE,"CPRD";#N/A,#N/A,TRUE,"BCCPDR";#N/A,#N/A,TRUE,"EWRD";#N/A,#N/A,TRUE,"5100";#N/A,#N/A,TRUE,"5110"}</definedName>
    <definedName name="book" localSheetId="8" hidden="1">{#N/A,#N/A,FALSE,"OffAdvance";#N/A,#N/A,FALSE,"OffExpRprt";#N/A,#N/A,FALSE,"Entertmnt";#N/A,#N/A,FALSE,"Promotion";#N/A,#N/A,FALSE,"Travelling"}</definedName>
    <definedName name="book.2" localSheetId="8" hidden="1">{#N/A,#N/A,FALSE,"OffAdvance";#N/A,#N/A,FALSE,"OffExpRprt";#N/A,#N/A,FALSE,"Travelling";#N/A,#N/A,FALSE,"Entertmnt";#N/A,#N/A,FALSE,"Promotion"}</definedName>
    <definedName name="BYD" localSheetId="8" hidden="1">{#N/A,#N/A,FALSE,"Earn'gs &amp; Val'n";#N/A,#N/A,FALSE,"Interim"}</definedName>
    <definedName name="cashflow20030930" localSheetId="8" hidden="1">{"M1Print",#N/A,TRUE,"M1";"M2Print",#N/A,TRUE,"M2";"M1sPrint",#N/A,TRUE,"M1s";"M2aPrint",#N/A,TRUE,"M2a";"M4Print",#N/A,TRUE,"M4";"M5Print",#N/A,TRUE,"M5";"M6Print",#N/A,TRUE,"M6";"M6_1Print",#N/A,TRUE,"M6_1";"M6_2Print",#N/A,TRUE,"M6_2";"M7_1Print",#N/A,TRUE,"M7_1";"M7_2Print",#N/A,TRUE,"M7_2"}</definedName>
    <definedName name="cbx" localSheetId="8" hidden="1">{#N/A,#N/A,FALSE,"M1s Board";#N/A,#N/A,FALSE,"M3 Board";#N/A,#N/A,FALSE,"M6 Board";#N/A,#N/A,FALSE,"M7";#N/A,#N/A,FALSE,"M7B";#N/A,#N/A,FALSE,"M8";#N/A,#N/A,FALSE,"M8A Board";#N/A,#N/A,FALSE,"AF1 Board"}</definedName>
    <definedName name="cccvb" localSheetId="8" hidden="1">{#N/A,#N/A,FALSE,"资产负债表";#N/A,#N/A,FALSE,"资产负债表"}</definedName>
    <definedName name="CFVVHH" localSheetId="8" hidden="1">{#N/A,#N/A,FALSE,"资产负债表";#N/A,#N/A,FALSE,"资产负债表"}</definedName>
    <definedName name="cfyik" localSheetId="8" hidden="1">{#N/A,#N/A,FALSE,"资产负债表";#N/A,#N/A,FALSE,"资产负债表"}</definedName>
    <definedName name="cgul" localSheetId="8" hidden="1">{#N/A,#N/A,FALSE,"资产负债表";#N/A,#N/A,FALSE,"资产负债表"}</definedName>
    <definedName name="cguocnbnl" localSheetId="8" hidden="1">{#N/A,#N/A,FALSE,"资产负债表";#N/A,#N/A,FALSE,"资产负债表"}</definedName>
    <definedName name="Coll" localSheetId="8" hidden="1">{#N/A,#N/A,FALSE,"970301";#N/A,#N/A,FALSE,"970302";#N/A,#N/A,FALSE,"970303";#N/A,#N/A,FALSE,"970304";#N/A,#N/A,FALSE,"COM1";#N/A,#N/A,FALSE,"COM2"}</definedName>
    <definedName name="dcca" localSheetId="8" hidden="1">{#N/A,#N/A,FALSE,"资产负债表";#N/A,#N/A,FALSE,"资产负债表"}</definedName>
    <definedName name="dfgdafsg" localSheetId="8" hidden="1">{#N/A,#N/A,FALSE,"OffAdvance";#N/A,#N/A,FALSE,"OffExpRprt";#N/A,#N/A,FALSE,"Travelling";#N/A,#N/A,FALSE,"Entertmnt";#N/A,#N/A,FALSE,"Promotion"}</definedName>
    <definedName name="dfv" localSheetId="8" hidden="1">{"M1Print",#N/A,TRUE,"M1";"M2Print",#N/A,TRUE,"M2";"M1sPrint",#N/A,TRUE,"M1s";"M2aPrint",#N/A,TRUE,"M2a";"M4Print",#N/A,TRUE,"M4";"M5Print",#N/A,TRUE,"M5";"M6Print",#N/A,TRUE,"M6";"M6_1Print",#N/A,TRUE,"M6_1";"M6_2Print",#N/A,TRUE,"M6_2";"M7_1Print",#N/A,TRUE,"M7_1";"M7_2Print",#N/A,TRUE,"M7_2"}</definedName>
    <definedName name="dh" localSheetId="8" hidden="1">{"M4Print",#N/A,FALSE,"M4"}</definedName>
    <definedName name="dlf" localSheetId="8" hidden="1">{"M4Print",#N/A,FALSE,"M4"}</definedName>
    <definedName name="doddd" localSheetId="8" hidden="1">{#N/A,#N/A,TRUE,"CPRD";#N/A,#N/A,TRUE,"BCCPDR";#N/A,#N/A,TRUE,"EWRD";#N/A,#N/A,TRUE,"5100";#N/A,#N/A,TRUE,"5110"}</definedName>
    <definedName name="dog" localSheetId="8" hidden="1">{#N/A,#N/A,TRUE,"CPRD";#N/A,#N/A,TRUE,"BCCPDR";#N/A,#N/A,TRUE,"EWRD";#N/A,#N/A,TRUE,"5100";#N/A,#N/A,TRUE,"5110"}</definedName>
    <definedName name="dvbm" localSheetId="8" hidden="1">{#N/A,#N/A,FALSE,"资产负债表";#N/A,#N/A,FALSE,"资产负债表"}</definedName>
    <definedName name="ehdg" localSheetId="8" hidden="1">{#N/A,#N/A,FALSE,"Jan"}</definedName>
    <definedName name="erf" localSheetId="8" hidden="1">{#N/A,#N/A,FALSE,"970301";#N/A,#N/A,FALSE,"970302";#N/A,#N/A,FALSE,"970303";#N/A,#N/A,FALSE,"970304";#N/A,#N/A,FALSE,"COM1";#N/A,#N/A,FALSE,"COM2"}</definedName>
    <definedName name="eryj" localSheetId="8" hidden="1">{#N/A,#N/A,FALSE,"资产负债表";#N/A,#N/A,FALSE,"资产负债表"}</definedName>
    <definedName name="ExpenseUpload" localSheetId="8" hidden="1">{#N/A,#N/A,TRUE,"CPRD";#N/A,#N/A,TRUE,"BCCPDR";#N/A,#N/A,TRUE,"EWRD";#N/A,#N/A,TRUE,"5100";#N/A,#N/A,TRUE,"5110"}</definedName>
    <definedName name="faif" localSheetId="8" hidden="1">{#N/A,#N/A,FALSE,"资产负债表";#N/A,#N/A,FALSE,"资产负债表"}</definedName>
    <definedName name="fd" localSheetId="8" hidden="1">{"M1sPrint",#N/A,FALSE,"M1s"}</definedName>
    <definedName name="feedback" localSheetId="8" hidden="1">{#N/A,#N/A,TRUE,"CPRD";#N/A,#N/A,TRUE,"BCCPDR";#N/A,#N/A,TRUE,"EWRD";#N/A,#N/A,TRUE,"5100";#N/A,#N/A,TRUE,"5110"}</definedName>
    <definedName name="fgdg" localSheetId="8" hidden="1">{"M1Print",#N/A,TRUE,"M1";"M2Print",#N/A,TRUE,"M2";"M1sPrint",#N/A,TRUE,"M1s";"M2aPrint",#N/A,TRUE,"M2a";"M4Print",#N/A,TRUE,"M4";"M5Print",#N/A,TRUE,"M5";"M6Print",#N/A,TRUE,"M6";"M6_1Print",#N/A,TRUE,"M6_1";"M6_2Print",#N/A,TRUE,"M6_2";"M7_1Print",#N/A,TRUE,"M7_1";"M7_2Print",#N/A,TRUE,"M7_2"}</definedName>
    <definedName name="fvb" localSheetId="8" hidden="1">{#N/A,#N/A,FALSE,"资产负债表";#N/A,#N/A,FALSE,"资产负债表"}</definedName>
    <definedName name="G9IJGF" localSheetId="8" hidden="1">{#N/A,#N/A,FALSE,"资产负债表";#N/A,#N/A,FALSE,"资产负债表"}</definedName>
    <definedName name="hadiah" localSheetId="8" hidden="1">{#N/A,#N/A,FALSE,"资产负债表";#N/A,#N/A,FALSE,"资产负债表"}</definedName>
    <definedName name="HdctTrnd" localSheetId="8" hidden="1">{#N/A,#N/A,TRUE,"CPRD";#N/A,#N/A,TRUE,"BCCPDR";#N/A,#N/A,TRUE,"EWRD";#N/A,#N/A,TRUE,"5100";#N/A,#N/A,TRUE,"5110"}</definedName>
    <definedName name="HTL_Cotrol1" localSheetId="8" hidden="1">{"'Sheet3'!$A$47:$M$47"}</definedName>
    <definedName name="HTML_Control" localSheetId="8" hidden="1">{"'Vxxe_times_J750 (2)'!$A$3:$E$14"}</definedName>
    <definedName name="hueoa" localSheetId="8" hidden="1">{#N/A,#N/A,FALSE,"资产负债表";#N/A,#N/A,FALSE,"资产负债表"}</definedName>
    <definedName name="ieji" localSheetId="8" hidden="1">{#N/A,#N/A,FALSE,"970301";#N/A,#N/A,FALSE,"970302";#N/A,#N/A,FALSE,"970303";#N/A,#N/A,FALSE,"970304";#N/A,#N/A,FALSE,"COM1";#N/A,#N/A,FALSE,"COM2"}</definedName>
    <definedName name="jdda" localSheetId="8" hidden="1">{"M4Print",#N/A,FALSE,"M4"}</definedName>
    <definedName name="jdfslsajdflasdkjpf" localSheetId="8" hidden="1">{#N/A,#N/A,FALSE,"OffAdvance";#N/A,#N/A,FALSE,"OffExpRprt";#N/A,#N/A,FALSE,"Entertmnt";#N/A,#N/A,FALSE,"Promotion";#N/A,#N/A,FALSE,"Travelling"}</definedName>
    <definedName name="jfgh" localSheetId="8" hidden="1">{"M1sPrint",#N/A,FALSE,"M1s"}</definedName>
    <definedName name="jgfhfg" localSheetId="8" hidden="1">{"M1sPrint",#N/A,FALSE,"M1s"}</definedName>
    <definedName name="jlj" localSheetId="8" hidden="1">{"M2aPrint",#N/A,FALSE,"M2a"}</definedName>
    <definedName name="jughn" localSheetId="8" hidden="1">{"M7_1Print",#N/A,TRUE,"M7_1";"M7_2Print",#N/A,TRUE,"M7_2"}</definedName>
    <definedName name="jytj" localSheetId="8" hidden="1">{"M7_1Print",#N/A,TRUE,"M7_1";"M7_2Print",#N/A,TRUE,"M7_2"}</definedName>
    <definedName name="kljik" localSheetId="8" hidden="1">{#N/A,#N/A,FALSE,"OffAdvance";#N/A,#N/A,FALSE,"OffExpRprt";#N/A,#N/A,FALSE,"Entertmnt";#N/A,#N/A,FALSE,"Promotion";#N/A,#N/A,FALSE,"Travelling"}</definedName>
    <definedName name="kuj" localSheetId="8" hidden="1">{"M6Print",#N/A,FALSE,"M6";"M6_1Print",#N/A,FALSE,"M6_1";"M6_2Print",#N/A,FALSE,"M6_2"}</definedName>
    <definedName name="lu" localSheetId="8" hidden="1">{"M1sPrint",#N/A,FALSE,"M1s"}</definedName>
    <definedName name="n" localSheetId="8" hidden="1">{"M2Print",#N/A,FALSE,"M2"}</definedName>
    <definedName name="ngn" localSheetId="8" hidden="1">{"M1Print",#N/A,TRUE,"M1";"M2Print",#N/A,TRUE,"M2";"M1sPrint",#N/A,TRUE,"M1s";"M2aPrint",#N/A,TRUE,"M2a";"M4Print",#N/A,TRUE,"M4";"M5Print",#N/A,TRUE,"M5";"M6Print",#N/A,TRUE,"M6";"M6_1Print",#N/A,TRUE,"M6_1";"M6_2Print",#N/A,TRUE,"M6_2";"M7_1Print",#N/A,TRUE,"M7_1";"M7_2Print",#N/A,TRUE,"M7_2"}</definedName>
    <definedName name="notused" localSheetId="8" hidden="1">{#N/A,#N/A,TRUE,"CPRD";#N/A,#N/A,TRUE,"BCCPDR";#N/A,#N/A,TRUE,"EWRD";#N/A,#N/A,TRUE,"5100";#N/A,#N/A,TRUE,"5110"}</definedName>
    <definedName name="qwertyuiopasdfghjkl" localSheetId="8" hidden="1">{"M2aPrint",#N/A,FALSE,"M2a"}</definedName>
    <definedName name="qwwertyuiop" localSheetId="8" hidden="1">{"M2Print",#N/A,FALSE,"M2"}</definedName>
    <definedName name="RJE" localSheetId="8" hidden="1">{"toptrial",#N/A,TRUE,"toptrial";"adjustment",#N/A,TRUE,"toptrial";"voucher",#N/A,TRUE,"toptrial"}</definedName>
    <definedName name="sdfs" localSheetId="8" hidden="1">{"M1sPrint",#N/A,FALSE,"M1s"}</definedName>
    <definedName name="sssz" localSheetId="8" hidden="1">{#N/A,#N/A,FALSE,"资产负债表";#N/A,#N/A,FALSE,"资产负债表"}</definedName>
    <definedName name="terh" localSheetId="8" hidden="1">{#N/A,#N/A,FALSE,"OffAdvance";#N/A,#N/A,FALSE,"OffExpRprt";#N/A,#N/A,FALSE,"Entertmnt";#N/A,#N/A,FALSE,"Promotion";#N/A,#N/A,FALSE,"Travelling"}</definedName>
    <definedName name="tfhg" localSheetId="8" hidden="1">{"M1Print",#N/A,FALSE,"M1"}</definedName>
    <definedName name="the" localSheetId="8" hidden="1">{#N/A,#N/A,FALSE,"Marketing";#N/A,#N/A,FALSE,"Selling";#N/A,#N/A,FALSE,"Promotional";#N/A,#N/A,FALSE,"Advertising"}</definedName>
    <definedName name="ulead" localSheetId="8" hidden="1">{#N/A,#N/A,FALSE,"970301";#N/A,#N/A,FALSE,"970302";#N/A,#N/A,FALSE,"970303";#N/A,#N/A,FALSE,"970304";#N/A,#N/A,FALSE,"COM1";#N/A,#N/A,FALSE,"COM2"}</definedName>
    <definedName name="uygh" localSheetId="8" hidden="1">{"M6Print",#N/A,FALSE,"M6";"M6_1Print",#N/A,FALSE,"M6_1";"M6_2Print",#N/A,FALSE,"M6_2"}</definedName>
    <definedName name="vhvkb" localSheetId="8" hidden="1">{#N/A,#N/A,FALSE,"资产负债表";#N/A,#N/A,FALSE,"资产负债表"}</definedName>
    <definedName name="wrn.Aging._.and._.Trend._.Analysis." localSheetId="8" hidden="1">{#N/A,#N/A,FALSE,"Aging Summary";#N/A,#N/A,FALSE,"Ratio Analysis";#N/A,#N/A,FALSE,"Test 120 Day Accts";#N/A,#N/A,FALSE,"Tickmarks"}</definedName>
    <definedName name="wrn.ALL." localSheetId="8" hidden="1">{#N/A,#N/A,FALSE,"SUM";#N/A,#N/A,FALSE,"SK_TOT";#N/A,#N/A,FALSE,"YM";#N/A,#N/A,FALSE,"TSMC";#N/A,#N/A,FALSE,"ICW";#N/A,#N/A,FALSE,"Sheet1"}</definedName>
    <definedName name="wrn.All._.M._.Schedules." localSheetId="8" hidden="1">{"M1Print",#N/A,TRUE,"M1";"M2Print",#N/A,TRUE,"M2";"M1sPrint",#N/A,TRUE,"M1s";"M2aPrint",#N/A,TRUE,"M2a";"M4Print",#N/A,TRUE,"M4";"M5Print",#N/A,TRUE,"M5";"M6Print",#N/A,TRUE,"M6";"M6_1Print",#N/A,TRUE,"M6_1";"M6_2Print",#N/A,TRUE,"M6_2";"M7_1Print",#N/A,TRUE,"M7_1";"M7_2Print",#N/A,TRUE,"M7_2"}</definedName>
    <definedName name="wrn.all._.M._.Schedules.1" localSheetId="8" hidden="1">{"M1Print",#N/A,TRUE,"M1";"M2Print",#N/A,TRUE,"M2";"M1sPrint",#N/A,TRUE,"M1s";"M2aPrint",#N/A,TRUE,"M2a";"M4Print",#N/A,TRUE,"M4";"M5Print",#N/A,TRUE,"M5";"M6Print",#N/A,TRUE,"M6";"M6_1Print",#N/A,TRUE,"M6_1";"M6_2Print",#N/A,TRUE,"M6_2";"M7_1Print",#N/A,TRUE,"M7_1";"M7_2Print",#N/A,TRUE,"M7_2"}</definedName>
    <definedName name="wrn.all._M._.Scheduleds。1" localSheetId="8" hidden="1">{"M1Print",#N/A,TRUE,"M1";"M2Print",#N/A,TRUE,"M2";"M1sPrint",#N/A,TRUE,"M1s";"M2aPrint",#N/A,TRUE,"M2a";"M4Print",#N/A,TRUE,"M4";"M5Print",#N/A,TRUE,"M5";"M6Print",#N/A,TRUE,"M6";"M6_1Print",#N/A,TRUE,"M6_1";"M6_2Print",#N/A,TRUE,"M6_2";"M7_1Print",#N/A,TRUE,"M7_1";"M7_2Print",#N/A,TRUE,"M7_2"}</definedName>
    <definedName name="wrn.BC._.Telfast."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8" hidden="1">{#N/A,#N/A,FALSE,"M1s Board";#N/A,#N/A,FALSE,"M3 Board";#N/A,#N/A,FALSE,"M6 Board";#N/A,#N/A,FALSE,"M7";#N/A,#N/A,FALSE,"M7B";#N/A,#N/A,FALSE,"M8";#N/A,#N/A,FALSE,"M8A Board";#N/A,#N/A,FALSE,"AF1 Board"}</definedName>
    <definedName name="wrn.Deposit._.By._.Day." localSheetId="8" hidden="1">{#N/A,#N/A,FALSE,"Deposits by day"}</definedName>
    <definedName name="wrn.Deptartment._.Expenses." localSheetId="8" hidden="1">{#N/A,#N/A,TRUE,"CPRD";#N/A,#N/A,TRUE,"BCCPDR";#N/A,#N/A,TRUE,"EWRD";#N/A,#N/A,TRUE,"5100";#N/A,#N/A,TRUE,"5110"}</definedName>
    <definedName name="wrn.ERNST." localSheetId="8" hidden="1">{#N/A,#N/A,FALSE,"YTCHAN";#N/A,#N/A,FALSE,"TOMMY";#N/A,#N/A,FALSE,"REP.OFFICE";#N/A,#N/A,FALSE,"E&amp;Y_CONSULTANT";#N/A,#N/A,FALSE,"BT &amp; CIT"}</definedName>
    <definedName name="wrn.Financial._.Report." localSheetId="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8" hidden="1">{#N/A,#N/A,FALSE,"OffAdvance";#N/A,#N/A,FALSE,"OffExpRprt";#N/A,#N/A,FALSE,"Entertmnt";#N/A,#N/A,FALSE,"Promotion";#N/A,#N/A,FALSE,"Travelling"}</definedName>
    <definedName name="wrn.gb." localSheetId="8" hidden="1">{#N/A,#N/A,FALSE,"资产负债表";#N/A,#N/A,FALSE,"资产负债表"}</definedName>
    <definedName name="wrn.Input._.Data." localSheetId="8" hidden="1">{"Input_Fin",#N/A,FALSE,"By Code";"Input_Opt",#N/A,FALSE,"By Code"}</definedName>
    <definedName name="wrn.jan." localSheetId="8" hidden="1">{#N/A,#N/A,FALSE,"Jan"}</definedName>
    <definedName name="wrn.M1._.Operating._.Statement." localSheetId="8" hidden="1">{"M1Print",#N/A,FALSE,"M1"}</definedName>
    <definedName name="wrn.M1s._.Statistics." localSheetId="8" hidden="1">{"M1sPrint",#N/A,FALSE,"M1s"}</definedName>
    <definedName name="wrn.M2._.Balance._.Sheet." localSheetId="8" hidden="1">{"M2Print",#N/A,FALSE,"M2"}</definedName>
    <definedName name="wrn.M2a._.Cashflow." localSheetId="8" hidden="1">{"M2aPrint",#N/A,FALSE,"M2a"}</definedName>
    <definedName name="wrn.M4._.Inventories." localSheetId="8" hidden="1">{"M4Print",#N/A,FALSE,"M4"}</definedName>
    <definedName name="wrn.M5._.Flash._.and._.Forecast." localSheetId="8" hidden="1">{"M5Print",#N/A,FALSE,"M5"}</definedName>
    <definedName name="wrn.M6._.Management._.Summary." localSheetId="8" hidden="1">{"M6Print",#N/A,FALSE,"M6";"M6_1Print",#N/A,FALSE,"M6_1";"M6_2Print",#N/A,FALSE,"M6_2"}</definedName>
    <definedName name="wrn.M7._.Financial._.Controllers._.report." localSheetId="8" hidden="1">{"M7_1Print",#N/A,TRUE,"M7_1";"M7_2Print",#N/A,TRUE,"M7_2"}</definedName>
    <definedName name="wrn.Monthly._.Report." localSheetId="8"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8" hidden="1">{#N/A,#N/A,FALSE,"OffAdvance";#N/A,#N/A,FALSE,"OffExpRprt";#N/A,#N/A,FALSE,"Travelling";#N/A,#N/A,FALSE,"Entertmnt";#N/A,#N/A,FALSE,"Promotion"}</definedName>
    <definedName name="wrn.Operation._.Report." localSheetId="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8" hidden="1">{#N/A,#N/A,FALSE,"Sales  total 9712";#N/A,#N/A,FALSE,"Sales  total 9712";#N/A,#N/A,FALSE,"Sales  total 9712";#N/A,#N/A,FALSE,"Sales  total 9712"}</definedName>
    <definedName name="wrn.Sales." localSheetId="8" hidden="1">{#N/A,#N/A,FALSE,"Marketing";#N/A,#N/A,FALSE,"Selling";#N/A,#N/A,FALSE,"Promotional";#N/A,#N/A,FALSE,"Advertising"}</definedName>
    <definedName name="wrn.sunmicro." localSheetId="8" hidden="1">{#N/A,#N/A,FALSE,"FREEMAN";#N/A,#N/A,FALSE,"STEPHEN";#N/A,#N/A,FALSE,"VICTOR"}</definedName>
    <definedName name="wrn.test1." localSheetId="8" hidden="1">{#N/A,#N/A,FALSE,"Earn'gs &amp; Val'n";#N/A,#N/A,FALSE,"Interim"}</definedName>
    <definedName name="wrn.tope" localSheetId="8" hidden="1">{"toptrial",#N/A,TRUE,"toptrial";"adjustment",#N/A,TRUE,"toptrial";"voucher",#N/A,TRUE,"toptrial"}</definedName>
    <definedName name="wrn.toptrial." localSheetId="8" hidden="1">{"toptrial",#N/A,TRUE,"toptrial";"adjustment",#N/A,TRUE,"toptrial";"voucher",#N/A,TRUE,"toptrial"}</definedName>
    <definedName name="wrn.voucher9703." localSheetId="8" hidden="1">{#N/A,#N/A,FALSE,"970301";#N/A,#N/A,FALSE,"970302";#N/A,#N/A,FALSE,"970303";#N/A,#N/A,FALSE,"970304";#N/A,#N/A,FALSE,"COM1";#N/A,#N/A,FALSE,"COM2"}</definedName>
    <definedName name="wrn.ytd." localSheetId="8" hidden="1">{#N/A,#N/A,FALSE,"YTD"}</definedName>
    <definedName name="wrn100.gb" localSheetId="8" hidden="1">{#N/A,#N/A,FALSE,"资产负债表";#N/A,#N/A,FALSE,"资产负债表"}</definedName>
    <definedName name="wrnn.all." localSheetId="8" hidden="1">{#N/A,#N/A,FALSE,"SUM";#N/A,#N/A,FALSE,"SK_TOT";#N/A,#N/A,FALSE,"YM";#N/A,#N/A,FALSE,"TSMC";#N/A,#N/A,FALSE,"ICW";#N/A,#N/A,FALSE,"Sheet1"}</definedName>
    <definedName name="wtr" localSheetId="8" hidden="1">{#N/A,#N/A,FALSE,"资产负债表";#N/A,#N/A,FALSE,"资产负债表"}</definedName>
    <definedName name="xzxsfd" localSheetId="8" hidden="1">{"M1Print",#N/A,FALSE,"M1"}</definedName>
    <definedName name="y" localSheetId="8" hidden="1">{#N/A,#N/A,FALSE,"970301";#N/A,#N/A,FALSE,"970302";#N/A,#N/A,FALSE,"970303";#N/A,#N/A,FALSE,"970304";#N/A,#N/A,FALSE,"COM1";#N/A,#N/A,FALSE,"COM2"}</definedName>
    <definedName name="zdry" localSheetId="8" hidden="1">{#N/A,#N/A,FALSE,"资产负债表";#N/A,#N/A,FALSE,"资产负债表"}</definedName>
    <definedName name="zerey" localSheetId="8" hidden="1">{#N/A,#N/A,FALSE,"资产负债表";#N/A,#N/A,FALSE,"资产负债表"}</definedName>
    <definedName name="啊" localSheetId="8" hidden="1">{#N/A,#N/A,FALSE,"970301";#N/A,#N/A,FALSE,"970302";#N/A,#N/A,FALSE,"970303";#N/A,#N/A,FALSE,"970304";#N/A,#N/A,FALSE,"COM1";#N/A,#N/A,FALSE,"COM2"}</definedName>
    <definedName name="备用" localSheetId="8" hidden="1">{#N/A,#N/A,FALSE,"OffAdvance";#N/A,#N/A,FALSE,"OffExpRprt";#N/A,#N/A,FALSE,"Entertmnt";#N/A,#N/A,FALSE,"Promotion";#N/A,#N/A,FALSE,"Travelling"}</definedName>
    <definedName name="借款" localSheetId="8" hidden="1">{#N/A,#N/A,FALSE,"970301";#N/A,#N/A,FALSE,"970302";#N/A,#N/A,FALSE,"970303";#N/A,#N/A,FALSE,"970304";#N/A,#N/A,FALSE,"COM1";#N/A,#N/A,FALSE,"COM2"}</definedName>
    <definedName name="苛" localSheetId="8" hidden="1">{"M1sPrint",#N/A,FALSE,"M1s"}</definedName>
    <definedName name="试验" localSheetId="8" hidden="1">{#N/A,#N/A,FALSE,"OffAdvance";#N/A,#N/A,FALSE,"OffExpRprt";#N/A,#N/A,FALSE,"Travelling";#N/A,#N/A,FALSE,"Entertmnt";#N/A,#N/A,FALSE,"Promotion"}</definedName>
    <definedName name="已05" localSheetId="8" hidden="1">{"M1Print",#N/A,TRUE,"M1";"M2Print",#N/A,TRUE,"M2";"M1sPrint",#N/A,TRUE,"M1s";"M2aPrint",#N/A,TRUE,"M2a";"M4Print",#N/A,TRUE,"M4";"M5Print",#N/A,TRUE,"M5";"M6Print",#N/A,TRUE,"M6";"M6_1Print",#N/A,TRUE,"M6_1";"M6_2Print",#N/A,TRUE,"M6_2";"M7_1Print",#N/A,TRUE,"M7_1";"M7_2Print",#N/A,TRUE,"M7_2"}</definedName>
    <definedName name="应手款" localSheetId="8" hidden="1">{#N/A,#N/A,FALSE,"970301";#N/A,#N/A,FALSE,"970302";#N/A,#N/A,FALSE,"970303";#N/A,#N/A,FALSE,"970304";#N/A,#N/A,FALSE,"COM1";#N/A,#N/A,FALSE,"COM2"}</definedName>
    <definedName name="应手款1月" localSheetId="8"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15wrn.²Ä1­Ó¤ë1_Ü20¤H." localSheetId="9" hidden="1">{#N/A,#N/A,FALSE,"²Ä1­Ó¤ë"}</definedName>
    <definedName name="_16wrn.²Ä1­Ó¤ë1_Ü20¤H." localSheetId="9" hidden="1">{#N/A,#N/A,FALSE,"²Ä1­Ó¤ë"}</definedName>
    <definedName name="_dod1" localSheetId="9" hidden="1">{#N/A,#N/A,TRUE,"CPRD";#N/A,#N/A,TRUE,"BCCPDR";#N/A,#N/A,TRUE,"EWRD";#N/A,#N/A,TRUE,"5100";#N/A,#N/A,TRUE,"5110"}</definedName>
    <definedName name="_dog1" localSheetId="9" hidden="1">{#N/A,#N/A,TRUE,"CPRD";#N/A,#N/A,TRUE,"BCCPDR";#N/A,#N/A,TRUE,"EWRD";#N/A,#N/A,TRUE,"5100";#N/A,#N/A,TRUE,"5110"}</definedName>
    <definedName name="_O1" localSheetId="9" hidden="1">{#N/A,#N/A,FALSE,"970301";#N/A,#N/A,FALSE,"970302";#N/A,#N/A,FALSE,"970303";#N/A,#N/A,FALSE,"970304";#N/A,#N/A,FALSE,"COM1";#N/A,#N/A,FALSE,"COM2"}</definedName>
    <definedName name="aavbrdf" localSheetId="9" hidden="1">{#N/A,#N/A,FALSE,"OffAdvance";#N/A,#N/A,FALSE,"OffExpRprt";#N/A,#N/A,FALSE,"Travelling";#N/A,#N/A,FALSE,"Entertmnt";#N/A,#N/A,FALSE,"Promotion"}</definedName>
    <definedName name="aaz" localSheetId="9" hidden="1">{#N/A,#N/A,FALSE,"资产负债表";#N/A,#N/A,FALSE,"资产负债表"}</definedName>
    <definedName name="ada" localSheetId="9" hidden="1">{#N/A,#N/A,FALSE,"资产负债表";#N/A,#N/A,FALSE,"资产负债表"}</definedName>
    <definedName name="adaf" localSheetId="9" hidden="1">{#N/A,#N/A,FALSE,"资产负债表";#N/A,#N/A,FALSE,"资产负债表"}</definedName>
    <definedName name="adas" localSheetId="9" hidden="1">{"M1Print",#N/A,TRUE,"M1";"M2Print",#N/A,TRUE,"M2";"M1sPrint",#N/A,TRUE,"M1s";"M2aPrint",#N/A,TRUE,"M2a";"M4Print",#N/A,TRUE,"M4";"M5Print",#N/A,TRUE,"M5";"M6Print",#N/A,TRUE,"M6";"M6_1Print",#N/A,TRUE,"M6_1";"M6_2Print",#N/A,TRUE,"M6_2";"M7_1Print",#N/A,TRUE,"M7_1";"M7_2Print",#N/A,TRUE,"M7_2"}</definedName>
    <definedName name="adf" localSheetId="9" hidden="1">{"toptrial",#N/A,TRUE,"toptrial";"adjustment",#N/A,TRUE,"toptrial";"voucher",#N/A,TRUE,"toptrial"}</definedName>
    <definedName name="afhai" localSheetId="9" hidden="1">{#N/A,#N/A,FALSE,"资产负债表";#N/A,#N/A,FALSE,"资产负债表"}</definedName>
    <definedName name="AGEDDATABASE" localSheetId="9" hidden="1">{#N/A,#N/A,FALSE,"970301";#N/A,#N/A,FALSE,"970302";#N/A,#N/A,FALSE,"970303";#N/A,#N/A,FALSE,"970304";#N/A,#N/A,FALSE,"COM1";#N/A,#N/A,FALSE,"COM2"}</definedName>
    <definedName name="aidhaif" localSheetId="9" hidden="1">{#N/A,#N/A,FALSE,"资产负债表";#N/A,#N/A,FALSE,"资产负债表"}</definedName>
    <definedName name="anakf" localSheetId="9" hidden="1">{#N/A,#N/A,FALSE,"资产负债表";#N/A,#N/A,FALSE,"资产负债表"}</definedName>
    <definedName name="asdas" localSheetId="9" hidden="1">{#N/A,#N/A,FALSE,"Marketing";#N/A,#N/A,FALSE,"Selling";#N/A,#N/A,FALSE,"Promotional";#N/A,#N/A,FALSE,"Advertising"}</definedName>
    <definedName name="asdg" localSheetId="9" hidden="1">{#N/A,#N/A,FALSE,"资产负债表";#N/A,#N/A,FALSE,"资产负债表"}</definedName>
    <definedName name="ass" localSheetId="9" hidden="1">{#N/A,#N/A,TRUE,"CPRD";#N/A,#N/A,TRUE,"BCCPDR";#N/A,#N/A,TRUE,"EWRD";#N/A,#N/A,TRUE,"5100";#N/A,#N/A,TRUE,"5110"}</definedName>
    <definedName name="book" localSheetId="9" hidden="1">{#N/A,#N/A,FALSE,"OffAdvance";#N/A,#N/A,FALSE,"OffExpRprt";#N/A,#N/A,FALSE,"Entertmnt";#N/A,#N/A,FALSE,"Promotion";#N/A,#N/A,FALSE,"Travelling"}</definedName>
    <definedName name="book.2" localSheetId="9" hidden="1">{#N/A,#N/A,FALSE,"OffAdvance";#N/A,#N/A,FALSE,"OffExpRprt";#N/A,#N/A,FALSE,"Travelling";#N/A,#N/A,FALSE,"Entertmnt";#N/A,#N/A,FALSE,"Promotion"}</definedName>
    <definedName name="BYD" localSheetId="9" hidden="1">{#N/A,#N/A,FALSE,"Earn'gs &amp; Val'n";#N/A,#N/A,FALSE,"Interim"}</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bx" localSheetId="9" hidden="1">{#N/A,#N/A,FALSE,"M1s Board";#N/A,#N/A,FALSE,"M3 Board";#N/A,#N/A,FALSE,"M6 Board";#N/A,#N/A,FALSE,"M7";#N/A,#N/A,FALSE,"M7B";#N/A,#N/A,FALSE,"M8";#N/A,#N/A,FALSE,"M8A Board";#N/A,#N/A,FALSE,"AF1 Board"}</definedName>
    <definedName name="cccvb" localSheetId="9" hidden="1">{#N/A,#N/A,FALSE,"资产负债表";#N/A,#N/A,FALSE,"资产负债表"}</definedName>
    <definedName name="CFVVHH" localSheetId="9" hidden="1">{#N/A,#N/A,FALSE,"资产负债表";#N/A,#N/A,FALSE,"资产负债表"}</definedName>
    <definedName name="cfyik" localSheetId="9" hidden="1">{#N/A,#N/A,FALSE,"资产负债表";#N/A,#N/A,FALSE,"资产负债表"}</definedName>
    <definedName name="cgul" localSheetId="9" hidden="1">{#N/A,#N/A,FALSE,"资产负债表";#N/A,#N/A,FALSE,"资产负债表"}</definedName>
    <definedName name="cguocnbnl" localSheetId="9" hidden="1">{#N/A,#N/A,FALSE,"资产负债表";#N/A,#N/A,FALSE,"资产负债表"}</definedName>
    <definedName name="Coll" localSheetId="9" hidden="1">{#N/A,#N/A,FALSE,"970301";#N/A,#N/A,FALSE,"970302";#N/A,#N/A,FALSE,"970303";#N/A,#N/A,FALSE,"970304";#N/A,#N/A,FALSE,"COM1";#N/A,#N/A,FALSE,"COM2"}</definedName>
    <definedName name="dcca" localSheetId="9" hidden="1">{#N/A,#N/A,FALSE,"资产负债表";#N/A,#N/A,FALSE,"资产负债表"}</definedName>
    <definedName name="dfgdafsg" localSheetId="9" hidden="1">{#N/A,#N/A,FALSE,"OffAdvance";#N/A,#N/A,FALSE,"OffExpRprt";#N/A,#N/A,FALSE,"Travelling";#N/A,#N/A,FALSE,"Entertmnt";#N/A,#N/A,FALSE,"Promotion"}</definedName>
    <definedName name="dfv" localSheetId="9" hidden="1">{"M1Print",#N/A,TRUE,"M1";"M2Print",#N/A,TRUE,"M2";"M1sPrint",#N/A,TRUE,"M1s";"M2aPrint",#N/A,TRUE,"M2a";"M4Print",#N/A,TRUE,"M4";"M5Print",#N/A,TRUE,"M5";"M6Print",#N/A,TRUE,"M6";"M6_1Print",#N/A,TRUE,"M6_1";"M6_2Print",#N/A,TRUE,"M6_2";"M7_1Print",#N/A,TRUE,"M7_1";"M7_2Print",#N/A,TRUE,"M7_2"}</definedName>
    <definedName name="dh" localSheetId="9" hidden="1">{"M4Print",#N/A,FALSE,"M4"}</definedName>
    <definedName name="dlf" localSheetId="9" hidden="1">{"M4Print",#N/A,FALSE,"M4"}</definedName>
    <definedName name="doddd" localSheetId="9" hidden="1">{#N/A,#N/A,TRUE,"CPRD";#N/A,#N/A,TRUE,"BCCPDR";#N/A,#N/A,TRUE,"EWRD";#N/A,#N/A,TRUE,"5100";#N/A,#N/A,TRUE,"5110"}</definedName>
    <definedName name="dog" localSheetId="9" hidden="1">{#N/A,#N/A,TRUE,"CPRD";#N/A,#N/A,TRUE,"BCCPDR";#N/A,#N/A,TRUE,"EWRD";#N/A,#N/A,TRUE,"5100";#N/A,#N/A,TRUE,"5110"}</definedName>
    <definedName name="dvbm" localSheetId="9" hidden="1">{#N/A,#N/A,FALSE,"资产负债表";#N/A,#N/A,FALSE,"资产负债表"}</definedName>
    <definedName name="ehdg" localSheetId="9" hidden="1">{#N/A,#N/A,FALSE,"Jan"}</definedName>
    <definedName name="erf" localSheetId="9" hidden="1">{#N/A,#N/A,FALSE,"970301";#N/A,#N/A,FALSE,"970302";#N/A,#N/A,FALSE,"970303";#N/A,#N/A,FALSE,"970304";#N/A,#N/A,FALSE,"COM1";#N/A,#N/A,FALSE,"COM2"}</definedName>
    <definedName name="eryj" localSheetId="9" hidden="1">{#N/A,#N/A,FALSE,"资产负债表";#N/A,#N/A,FALSE,"资产负债表"}</definedName>
    <definedName name="ExpenseUpload" localSheetId="9" hidden="1">{#N/A,#N/A,TRUE,"CPRD";#N/A,#N/A,TRUE,"BCCPDR";#N/A,#N/A,TRUE,"EWRD";#N/A,#N/A,TRUE,"5100";#N/A,#N/A,TRUE,"5110"}</definedName>
    <definedName name="faif" localSheetId="9" hidden="1">{#N/A,#N/A,FALSE,"资产负债表";#N/A,#N/A,FALSE,"资产负债表"}</definedName>
    <definedName name="fd" localSheetId="9" hidden="1">{"M1sPrint",#N/A,FALSE,"M1s"}</definedName>
    <definedName name="feedback" localSheetId="9" hidden="1">{#N/A,#N/A,TRUE,"CPRD";#N/A,#N/A,TRUE,"BCCPDR";#N/A,#N/A,TRUE,"EWRD";#N/A,#N/A,TRUE,"5100";#N/A,#N/A,TRUE,"5110"}</definedName>
    <definedName name="fgdg" localSheetId="9" hidden="1">{"M1Print",#N/A,TRUE,"M1";"M2Print",#N/A,TRUE,"M2";"M1sPrint",#N/A,TRUE,"M1s";"M2aPrint",#N/A,TRUE,"M2a";"M4Print",#N/A,TRUE,"M4";"M5Print",#N/A,TRUE,"M5";"M6Print",#N/A,TRUE,"M6";"M6_1Print",#N/A,TRUE,"M6_1";"M6_2Print",#N/A,TRUE,"M6_2";"M7_1Print",#N/A,TRUE,"M7_1";"M7_2Print",#N/A,TRUE,"M7_2"}</definedName>
    <definedName name="fvb" localSheetId="9" hidden="1">{#N/A,#N/A,FALSE,"资产负债表";#N/A,#N/A,FALSE,"资产负债表"}</definedName>
    <definedName name="G9IJGF" localSheetId="9" hidden="1">{#N/A,#N/A,FALSE,"资产负债表";#N/A,#N/A,FALSE,"资产负债表"}</definedName>
    <definedName name="hadiah" localSheetId="9" hidden="1">{#N/A,#N/A,FALSE,"资产负债表";#N/A,#N/A,FALSE,"资产负债表"}</definedName>
    <definedName name="HdctTrnd" localSheetId="9" hidden="1">{#N/A,#N/A,TRUE,"CPRD";#N/A,#N/A,TRUE,"BCCPDR";#N/A,#N/A,TRUE,"EWRD";#N/A,#N/A,TRUE,"5100";#N/A,#N/A,TRUE,"5110"}</definedName>
    <definedName name="HTL_Cotrol1" localSheetId="9" hidden="1">{"'Sheet3'!$A$47:$M$47"}</definedName>
    <definedName name="HTML_Control" localSheetId="9" hidden="1">{"'Vxxe_times_J750 (2)'!$A$3:$E$14"}</definedName>
    <definedName name="hueoa" localSheetId="9" hidden="1">{#N/A,#N/A,FALSE,"资产负债表";#N/A,#N/A,FALSE,"资产负债表"}</definedName>
    <definedName name="ieji" localSheetId="9" hidden="1">{#N/A,#N/A,FALSE,"970301";#N/A,#N/A,FALSE,"970302";#N/A,#N/A,FALSE,"970303";#N/A,#N/A,FALSE,"970304";#N/A,#N/A,FALSE,"COM1";#N/A,#N/A,FALSE,"COM2"}</definedName>
    <definedName name="jdda" localSheetId="9" hidden="1">{"M4Print",#N/A,FALSE,"M4"}</definedName>
    <definedName name="jdfslsajdflasdkjpf" localSheetId="9" hidden="1">{#N/A,#N/A,FALSE,"OffAdvance";#N/A,#N/A,FALSE,"OffExpRprt";#N/A,#N/A,FALSE,"Entertmnt";#N/A,#N/A,FALSE,"Promotion";#N/A,#N/A,FALSE,"Travelling"}</definedName>
    <definedName name="jfgh" localSheetId="9" hidden="1">{"M1sPrint",#N/A,FALSE,"M1s"}</definedName>
    <definedName name="jgfhfg" localSheetId="9" hidden="1">{"M1sPrint",#N/A,FALSE,"M1s"}</definedName>
    <definedName name="jlj" localSheetId="9" hidden="1">{"M2aPrint",#N/A,FALSE,"M2a"}</definedName>
    <definedName name="jughn" localSheetId="9" hidden="1">{"M7_1Print",#N/A,TRUE,"M7_1";"M7_2Print",#N/A,TRUE,"M7_2"}</definedName>
    <definedName name="jytj" localSheetId="9" hidden="1">{"M7_1Print",#N/A,TRUE,"M7_1";"M7_2Print",#N/A,TRUE,"M7_2"}</definedName>
    <definedName name="kljik" localSheetId="9" hidden="1">{#N/A,#N/A,FALSE,"OffAdvance";#N/A,#N/A,FALSE,"OffExpRprt";#N/A,#N/A,FALSE,"Entertmnt";#N/A,#N/A,FALSE,"Promotion";#N/A,#N/A,FALSE,"Travelling"}</definedName>
    <definedName name="kuj" localSheetId="9" hidden="1">{"M6Print",#N/A,FALSE,"M6";"M6_1Print",#N/A,FALSE,"M6_1";"M6_2Print",#N/A,FALSE,"M6_2"}</definedName>
    <definedName name="lu" localSheetId="9" hidden="1">{"M1sPrint",#N/A,FALSE,"M1s"}</definedName>
    <definedName name="n" localSheetId="9" hidden="1">{"M2Print",#N/A,FALSE,"M2"}</definedName>
    <definedName name="ngn" localSheetId="9" hidden="1">{"M1Print",#N/A,TRUE,"M1";"M2Print",#N/A,TRUE,"M2";"M1sPrint",#N/A,TRUE,"M1s";"M2aPrint",#N/A,TRUE,"M2a";"M4Print",#N/A,TRUE,"M4";"M5Print",#N/A,TRUE,"M5";"M6Print",#N/A,TRUE,"M6";"M6_1Print",#N/A,TRUE,"M6_1";"M6_2Print",#N/A,TRUE,"M6_2";"M7_1Print",#N/A,TRUE,"M7_1";"M7_2Print",#N/A,TRUE,"M7_2"}</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RJE" localSheetId="9" hidden="1">{"toptrial",#N/A,TRUE,"toptrial";"adjustment",#N/A,TRUE,"toptrial";"voucher",#N/A,TRUE,"toptrial"}</definedName>
    <definedName name="sdfs" localSheetId="9" hidden="1">{"M1sPrint",#N/A,FALSE,"M1s"}</definedName>
    <definedName name="sssz" localSheetId="9" hidden="1">{#N/A,#N/A,FALSE,"资产负债表";#N/A,#N/A,FALSE,"资产负债表"}</definedName>
    <definedName name="terh" localSheetId="9" hidden="1">{#N/A,#N/A,FALSE,"OffAdvance";#N/A,#N/A,FALSE,"OffExpRprt";#N/A,#N/A,FALSE,"Entertmnt";#N/A,#N/A,FALSE,"Promotion";#N/A,#N/A,FALSE,"Travelling"}</definedName>
    <definedName name="tfhg" localSheetId="9" hidden="1">{"M1Print",#N/A,FALSE,"M1"}</definedName>
    <definedName name="the" localSheetId="9" hidden="1">{#N/A,#N/A,FALSE,"Marketing";#N/A,#N/A,FALSE,"Selling";#N/A,#N/A,FALSE,"Promotional";#N/A,#N/A,FALSE,"Advertising"}</definedName>
    <definedName name="ulead" localSheetId="9" hidden="1">{#N/A,#N/A,FALSE,"970301";#N/A,#N/A,FALSE,"970302";#N/A,#N/A,FALSE,"970303";#N/A,#N/A,FALSE,"970304";#N/A,#N/A,FALSE,"COM1";#N/A,#N/A,FALSE,"COM2"}</definedName>
    <definedName name="uygh" localSheetId="9" hidden="1">{"M6Print",#N/A,FALSE,"M6";"M6_1Print",#N/A,FALSE,"M6_1";"M6_2Print",#N/A,FALSE,"M6_2"}</definedName>
    <definedName name="vhvkb" localSheetId="9" hidden="1">{#N/A,#N/A,FALSE,"资产负债表";#N/A,#N/A,FALSE,"资产负债表"}</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ds。1" localSheetId="9" hidden="1">{"M1Print",#N/A,TRUE,"M1";"M2Print",#N/A,TRUE,"M2";"M1sPrint",#N/A,TRUE,"M1s";"M2aPrint",#N/A,TRUE,"M2a";"M4Print",#N/A,TRUE,"M4";"M5Print",#N/A,TRUE,"M5";"M6Print",#N/A,TRUE,"M6";"M6_1Print",#N/A,TRUE,"M6_1";"M6_2Print",#N/A,TRUE,"M6_2";"M7_1Print",#N/A,TRUE,"M7_1";"M7_2Print",#N/A,TRUE,"M7_2"}</definedName>
    <definedName name="wrn.BC._.Telfast."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ERNST." localSheetId="9" hidden="1">{#N/A,#N/A,FALSE,"YTCHAN";#N/A,#N/A,FALSE,"TOMMY";#N/A,#N/A,FALSE,"REP.OFFICE";#N/A,#N/A,FALSE,"E&amp;Y_CONSULTANT";#N/A,#N/A,FALSE,"BT &amp; CIT"}</definedName>
    <definedName name="wrn.Financial._.Report." localSheetId="9"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9" hidden="1">{#N/A,#N/A,FALSE,"OffAdvance";#N/A,#N/A,FALSE,"OffExpRprt";#N/A,#N/A,FALSE,"Entertmnt";#N/A,#N/A,FALSE,"Promotion";#N/A,#N/A,FALSE,"Travelling"}</definedName>
    <definedName name="wrn.gb." localSheetId="9" hidden="1">{#N/A,#N/A,FALSE,"资产负债表";#N/A,#N/A,FALSE,"资产负债表"}</definedName>
    <definedName name="wrn.Input._.Data." localSheetId="9" hidden="1">{"Input_Fin",#N/A,FALSE,"By Code";"Input_Opt",#N/A,FALSE,"By Code"}</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Monthly._.Report." localSheetId="9"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9" hidden="1">{#N/A,#N/A,FALSE,"OffAdvance";#N/A,#N/A,FALSE,"OffExpRprt";#N/A,#N/A,FALSE,"Travelling";#N/A,#N/A,FALSE,"Entertmnt";#N/A,#N/A,FALSE,"Promotion"}</definedName>
    <definedName name="wrn.Operation._.Report." localSheetId="9"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9" hidden="1">{#N/A,#N/A,FALSE,"Sales  total 9712";#N/A,#N/A,FALSE,"Sales  total 9712";#N/A,#N/A,FALSE,"Sales  total 9712";#N/A,#N/A,FALSE,"Sales  total 9712"}</definedName>
    <definedName name="wrn.Sales." localSheetId="9" hidden="1">{#N/A,#N/A,FALSE,"Marketing";#N/A,#N/A,FALSE,"Selling";#N/A,#N/A,FALSE,"Promotional";#N/A,#N/A,FALSE,"Advertising"}</definedName>
    <definedName name="wrn.sunmicro." localSheetId="9" hidden="1">{#N/A,#N/A,FALSE,"FREEMAN";#N/A,#N/A,FALSE,"STEPHEN";#N/A,#N/A,FALSE,"VICTOR"}</definedName>
    <definedName name="wrn.test1." localSheetId="9" hidden="1">{#N/A,#N/A,FALSE,"Earn'gs &amp; Val'n";#N/A,#N/A,FALSE,"Interim"}</definedName>
    <definedName name="wrn.tope" localSheetId="9" hidden="1">{"toptrial",#N/A,TRUE,"toptrial";"adjustment",#N/A,TRUE,"toptrial";"voucher",#N/A,TRUE,"toptrial"}</definedName>
    <definedName name="wrn.toptrial." localSheetId="9" hidden="1">{"toptrial",#N/A,TRUE,"toptrial";"adjustment",#N/A,TRUE,"toptrial";"voucher",#N/A,TRUE,"toptrial"}</definedName>
    <definedName name="wrn.voucher9703." localSheetId="9" hidden="1">{#N/A,#N/A,FALSE,"970301";#N/A,#N/A,FALSE,"970302";#N/A,#N/A,FALSE,"970303";#N/A,#N/A,FALSE,"970304";#N/A,#N/A,FALSE,"COM1";#N/A,#N/A,FALSE,"COM2"}</definedName>
    <definedName name="wrn.ytd." localSheetId="9" hidden="1">{#N/A,#N/A,FALSE,"YTD"}</definedName>
    <definedName name="wrn100.gb" localSheetId="9" hidden="1">{#N/A,#N/A,FALSE,"资产负债表";#N/A,#N/A,FALSE,"资产负债表"}</definedName>
    <definedName name="wrnn.all." localSheetId="9" hidden="1">{#N/A,#N/A,FALSE,"SUM";#N/A,#N/A,FALSE,"SK_TOT";#N/A,#N/A,FALSE,"YM";#N/A,#N/A,FALSE,"TSMC";#N/A,#N/A,FALSE,"ICW";#N/A,#N/A,FALSE,"Sheet1"}</definedName>
    <definedName name="wtr" localSheetId="9" hidden="1">{#N/A,#N/A,FALSE,"资产负债表";#N/A,#N/A,FALSE,"资产负债表"}</definedName>
    <definedName name="xzxsfd" localSheetId="9" hidden="1">{"M1Print",#N/A,FALSE,"M1"}</definedName>
    <definedName name="y" localSheetId="9" hidden="1">{#N/A,#N/A,FALSE,"970301";#N/A,#N/A,FALSE,"970302";#N/A,#N/A,FALSE,"970303";#N/A,#N/A,FALSE,"970304";#N/A,#N/A,FALSE,"COM1";#N/A,#N/A,FALSE,"COM2"}</definedName>
    <definedName name="zdry" localSheetId="9" hidden="1">{#N/A,#N/A,FALSE,"资产负债表";#N/A,#N/A,FALSE,"资产负债表"}</definedName>
    <definedName name="zerey" localSheetId="9" hidden="1">{#N/A,#N/A,FALSE,"资产负债表";#N/A,#N/A,FALSE,"资产负债表"}</definedName>
    <definedName name="啊" localSheetId="9" hidden="1">{#N/A,#N/A,FALSE,"970301";#N/A,#N/A,FALSE,"970302";#N/A,#N/A,FALSE,"970303";#N/A,#N/A,FALSE,"970304";#N/A,#N/A,FALSE,"COM1";#N/A,#N/A,FALSE,"COM2"}</definedName>
    <definedName name="备用" localSheetId="9" hidden="1">{#N/A,#N/A,FALSE,"OffAdvance";#N/A,#N/A,FALSE,"OffExpRprt";#N/A,#N/A,FALSE,"Entertmnt";#N/A,#N/A,FALSE,"Promotion";#N/A,#N/A,FALSE,"Travelling"}</definedName>
    <definedName name="借款" localSheetId="9" hidden="1">{#N/A,#N/A,FALSE,"970301";#N/A,#N/A,FALSE,"970302";#N/A,#N/A,FALSE,"970303";#N/A,#N/A,FALSE,"970304";#N/A,#N/A,FALSE,"COM1";#N/A,#N/A,FALSE,"COM2"}</definedName>
    <definedName name="苛" localSheetId="9" hidden="1">{"M1sPrint",#N/A,FALSE,"M1s"}</definedName>
    <definedName name="试验" localSheetId="9" hidden="1">{#N/A,#N/A,FALSE,"OffAdvance";#N/A,#N/A,FALSE,"OffExpRprt";#N/A,#N/A,FALSE,"Travelling";#N/A,#N/A,FALSE,"Entertmnt";#N/A,#N/A,FALSE,"Promotion"}</definedName>
    <definedName name="已05" localSheetId="9" hidden="1">{"M1Print",#N/A,TRUE,"M1";"M2Print",#N/A,TRUE,"M2";"M1sPrint",#N/A,TRUE,"M1s";"M2aPrint",#N/A,TRUE,"M2a";"M4Print",#N/A,TRUE,"M4";"M5Print",#N/A,TRUE,"M5";"M6Print",#N/A,TRUE,"M6";"M6_1Print",#N/A,TRUE,"M6_1";"M6_2Print",#N/A,TRUE,"M6_2";"M7_1Print",#N/A,TRUE,"M7_1";"M7_2Print",#N/A,TRUE,"M7_2"}</definedName>
    <definedName name="应手款" localSheetId="9" hidden="1">{#N/A,#N/A,FALSE,"970301";#N/A,#N/A,FALSE,"970302";#N/A,#N/A,FALSE,"970303";#N/A,#N/A,FALSE,"970304";#N/A,#N/A,FALSE,"COM1";#N/A,#N/A,FALSE,"COM2"}</definedName>
    <definedName name="应手款1月" localSheetId="9"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9">
    <numFmt numFmtId="164" formatCode="_(* #,##0_);_(* \(#,##0\);_(* &quot;-&quot;??_);_(@_)"/>
    <numFmt numFmtId="165" formatCode="#,##0;\(#,##0\);0"/>
    <numFmt numFmtId="166" formatCode="_(* #,##0.00_);_(* \(#,##0.00\);_(* &quot;-&quot;??_)"/>
    <numFmt numFmtId="167" formatCode="_ * #,##0.00_ ;_ * \-#,##0.00_ ;_ * &quot;-&quot;??_ ;_ @_ "/>
    <numFmt numFmtId="168" formatCode="_ &quot;¥&quot;* #,##0.00_ ;_ &quot;¥&quot;* \-#,##0.00_ ;_ &quot;¥&quot;* &quot;-&quot;??_ ;_ @_ "/>
    <numFmt numFmtId="169" formatCode="_ * #,##0_ ;_ * \-#,##0_ ;_ * &quot;-&quot;??_ ;_ @_ "/>
    <numFmt numFmtId="170" formatCode="_(&quot;$&quot;* #,##0.00_);_(&quot;$&quot;* \(#,##0.00\);_(&quot;$&quot;* &quot;-&quot;??_);_(@_)"/>
    <numFmt numFmtId="171" formatCode="_-&quot;$&quot;* #,##0.00_-;\-&quot;$&quot;* #,##0.00_-;_-&quot;$&quot;* &quot;-&quot;??_-;_-@_-"/>
    <numFmt numFmtId="172" formatCode="0.0%"/>
  </numFmts>
  <fonts count="125">
    <font>
      <name val="SimSun"/>
      <color theme="1"/>
      <sz val="11"/>
    </font>
    <font>
      <name val="等线"/>
      <charset val="134"/>
      <family val="2"/>
      <color theme="1"/>
      <sz val="11"/>
      <scheme val="minor"/>
    </font>
    <font>
      <name val="等线"/>
      <charset val="134"/>
      <family val="2"/>
      <color theme="1"/>
      <sz val="11"/>
      <scheme val="minor"/>
    </font>
    <font>
      <name val="SimSun"/>
      <charset val="134"/>
      <family val="3"/>
      <color theme="1"/>
      <sz val="11"/>
    </font>
    <font>
      <name val="SimSun"/>
      <charset val="134"/>
      <family val="3"/>
      <color theme="1"/>
      <sz val="10"/>
    </font>
    <font>
      <name val="SimSun"/>
      <charset val="134"/>
      <family val="3"/>
      <color theme="1"/>
      <sz val="11"/>
    </font>
    <font>
      <name val="SimSun"/>
      <charset val="134"/>
      <family val="3"/>
      <color theme="1"/>
      <sz val="10"/>
    </font>
    <font>
      <name val="SimSun"/>
      <charset val="134"/>
      <family val="3"/>
      <sz val="10"/>
    </font>
    <font>
      <name val="SimSun"/>
      <charset val="134"/>
      <family val="3"/>
      <color indexed="8"/>
      <sz val="10"/>
    </font>
    <font>
      <name val="SimSun"/>
      <charset val="134"/>
      <family val="3"/>
      <sz val="10"/>
    </font>
    <font>
      <name val="SimSun"/>
      <charset val="134"/>
      <family val="3"/>
      <color indexed="8"/>
      <sz val="11"/>
    </font>
    <font>
      <name val="SimSun"/>
      <charset val="134"/>
      <family val="3"/>
      <color rgb="FF000000"/>
      <sz val="11"/>
    </font>
    <font>
      <name val="SimSun"/>
      <charset val="134"/>
      <family val="3"/>
      <sz val="12"/>
    </font>
    <font>
      <name val="SimSun"/>
      <charset val="134"/>
      <family val="3"/>
      <color theme="10"/>
      <sz val="12"/>
      <u val="single"/>
    </font>
    <font>
      <name val="SimSun"/>
      <charset val="134"/>
      <family val="3"/>
      <color theme="1"/>
      <sz val="10"/>
    </font>
    <font>
      <name val="SimSun"/>
      <charset val="134"/>
      <family val="3"/>
      <color theme="10"/>
      <sz val="10"/>
      <u val="single"/>
    </font>
    <font>
      <name val="SimSun"/>
      <charset val="134"/>
      <family val="3"/>
      <color rgb="FF000000"/>
      <sz val="11"/>
    </font>
    <font>
      <name val="SimSun"/>
      <charset val="134"/>
      <family val="3"/>
      <color theme="10"/>
      <sz val="11"/>
      <u val="single"/>
    </font>
    <font>
      <name val="SimSun"/>
      <charset val="134"/>
      <family val="3"/>
      <sz val="6"/>
    </font>
    <font>
      <name val="SimSun"/>
      <charset val="134"/>
      <family val="3"/>
      <sz val="8"/>
    </font>
    <font>
      <name val="SimSun"/>
      <charset val="134"/>
      <family val="3"/>
      <sz val="12"/>
    </font>
    <font>
      <name val="Arial"/>
      <family val="2"/>
      <b val="1"/>
      <sz val="10"/>
    </font>
    <font>
      <name val="Arial"/>
      <family val="2"/>
      <color rgb="FF000000"/>
      <sz val="10"/>
    </font>
    <font>
      <name val="Arial"/>
      <family val="2"/>
      <color theme="1"/>
      <sz val="10"/>
    </font>
    <font>
      <name val="SimSun"/>
      <charset val="134"/>
      <family val="3"/>
      <color theme="1"/>
      <sz val="10"/>
    </font>
    <font>
      <name val="Arial"/>
      <family val="2"/>
      <b val="1"/>
      <color rgb="FF000000"/>
      <sz val="10"/>
    </font>
    <font>
      <name val="Arial"/>
      <family val="2"/>
      <i val="1"/>
      <sz val="10"/>
    </font>
    <font>
      <name val="Arial"/>
      <family val="2"/>
      <b val="1"/>
      <i val="1"/>
      <color rgb="FF000000"/>
      <sz val="10"/>
    </font>
    <font>
      <name val="Arial"/>
      <family val="2"/>
      <b val="1"/>
      <color rgb="FFFF0000"/>
      <sz val="10"/>
    </font>
    <font>
      <name val="Arial"/>
      <family val="2"/>
      <color rgb="FFFF0000"/>
      <sz val="10"/>
    </font>
    <font>
      <name val="Arial"/>
      <family val="2"/>
      <sz val="10"/>
    </font>
    <font>
      <name val="SimSun"/>
      <charset val="134"/>
      <family val="3"/>
      <color theme="1"/>
      <sz val="11"/>
    </font>
    <font>
      <name val="微软雅黑"/>
      <charset val="134"/>
      <family val="2"/>
      <b val="1"/>
      <sz val="10"/>
    </font>
    <font>
      <name val="宋体"/>
      <charset val="134"/>
      <family val="3"/>
      <sz val="9"/>
    </font>
    <font>
      <name val="微软雅黑"/>
      <charset val="134"/>
      <family val="2"/>
      <sz val="10"/>
    </font>
    <font>
      <name val="宋体"/>
      <charset val="134"/>
      <family val="3"/>
      <sz val="10"/>
    </font>
    <font>
      <name val="Arial"/>
      <family val="2"/>
      <color rgb="FFFFFFFF"/>
      <sz val="10"/>
    </font>
    <font>
      <name val="微软雅黑"/>
      <charset val="134"/>
      <family val="2"/>
      <b val="1"/>
      <color rgb="FF000000"/>
      <sz val="10"/>
    </font>
    <font>
      <name val="微软雅黑"/>
      <charset val="134"/>
      <family val="2"/>
      <color theme="1"/>
      <sz val="10"/>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0"/>
      <sz val="11"/>
      <u val="single"/>
      <scheme val="minor"/>
    </font>
    <font>
      <name val="Arial"/>
      <family val="2"/>
      <color rgb="FF000000"/>
      <sz val="11"/>
    </font>
    <font>
      <name val="微软雅黑"/>
      <charset val="134"/>
      <family val="2"/>
      <b val="1"/>
      <color theme="1"/>
      <sz val="10"/>
    </font>
    <font>
      <name val="微软雅黑"/>
      <charset val="134"/>
      <family val="2"/>
      <b val="1"/>
      <i val="1"/>
      <color rgb="FFFF0000"/>
      <sz val="10"/>
    </font>
    <font>
      <name val="微软雅黑"/>
      <charset val="134"/>
      <family val="2"/>
      <color rgb="FFFF0000"/>
      <sz val="10"/>
    </font>
    <font>
      <name val="等线"/>
      <family val="2"/>
      <color theme="1"/>
      <sz val="11"/>
      <scheme val="minor"/>
    </font>
    <font>
      <name val="等线"/>
      <charset val="134"/>
      <family val="3"/>
      <color theme="10"/>
      <sz val="11"/>
      <u val="single"/>
      <scheme val="minor"/>
    </font>
    <font>
      <name val="Arial"/>
      <family val="2"/>
      <sz val="14"/>
    </font>
    <font>
      <name val="微软雅黑"/>
      <charset val="134"/>
      <family val="2"/>
      <b val="1"/>
      <color rgb="FFFF0000"/>
      <sz val="10"/>
    </font>
    <font>
      <name val="Arial"/>
      <family val="2"/>
      <b val="1"/>
      <i val="1"/>
      <color rgb="FFFF0000"/>
      <sz val="10"/>
    </font>
    <font>
      <name val="Arial"/>
      <family val="2"/>
      <i val="1"/>
      <color rgb="FF000000"/>
      <sz val="10"/>
    </font>
    <font>
      <name val="微软雅黑"/>
      <charset val="134"/>
      <family val="2"/>
      <b val="1"/>
      <color theme="0"/>
      <sz val="14"/>
    </font>
    <font>
      <name val="微软雅黑"/>
      <charset val="134"/>
      <family val="2"/>
      <b val="1"/>
      <color rgb="FF000000"/>
      <sz val="12"/>
    </font>
    <font>
      <name val="微软雅黑"/>
      <charset val="134"/>
      <family val="2"/>
      <i val="1"/>
      <color rgb="FFFF0000"/>
      <sz val="10"/>
    </font>
    <font>
      <name val="Arial"/>
      <family val="2"/>
      <b val="1"/>
      <color rgb="FFFFFFFF"/>
      <sz val="10"/>
    </font>
    <font>
      <name val="Arial"/>
      <family val="2"/>
      <b val="1"/>
      <color rgb="FF000000"/>
      <sz val="14"/>
    </font>
    <font>
      <name val="Arial"/>
      <family val="2"/>
      <b val="1"/>
      <color theme="0"/>
      <sz val="10"/>
    </font>
    <font>
      <name val="等线"/>
      <charset val="134"/>
      <family val="2"/>
      <sz val="9"/>
      <scheme val="minor"/>
    </font>
    <font>
      <name val="EYInterstate Light"/>
      <family val="2"/>
      <sz val="8"/>
    </font>
    <font>
      <name val="微软雅黑"/>
      <charset val="134"/>
      <family val="2"/>
      <i val="1"/>
      <color rgb="FF000000"/>
      <sz val="10"/>
    </font>
    <font>
      <name val="微软雅黑"/>
      <charset val="134"/>
      <family val="2"/>
      <i val="1"/>
      <sz val="10"/>
    </font>
    <font>
      <name val="Arial"/>
      <family val="2"/>
      <color theme="10"/>
      <sz val="10"/>
      <u val="single"/>
    </font>
    <font>
      <name val="Tahoma"/>
      <family val="2"/>
      <sz val="10"/>
    </font>
    <font>
      <name val="Arial"/>
      <family val="2"/>
      <b val="1"/>
      <color indexed="8"/>
      <sz val="10"/>
    </font>
    <font>
      <name val="宋体"/>
      <charset val="134"/>
      <family val="3"/>
      <b val="1"/>
      <color rgb="FF305496"/>
      <sz val="8"/>
      <vertAlign val="superscript"/>
    </font>
    <font>
      <name val="Arial"/>
      <family val="2"/>
      <color indexed="8"/>
      <sz val="10"/>
    </font>
    <font>
      <name val="Arial"/>
      <charset val="134"/>
      <family val="2"/>
      <b val="1"/>
      <sz val="10"/>
    </font>
    <font>
      <name val="微软雅黑"/>
      <charset val="134"/>
      <family val="2"/>
      <b val="1"/>
      <i val="1"/>
      <color rgb="FF000000"/>
      <sz val="10"/>
    </font>
    <font>
      <name val="Arial"/>
      <family val="2"/>
      <b val="1"/>
      <color theme="0"/>
      <sz val="14"/>
    </font>
    <font>
      <name val="Arial"/>
      <family val="2"/>
      <b val="1"/>
      <color rgb="FF000000"/>
      <sz val="12"/>
    </font>
    <font>
      <name val="Arial"/>
      <family val="2"/>
      <color theme="1"/>
      <sz val="11"/>
    </font>
    <font>
      <name val="Arial"/>
      <family val="2"/>
      <color theme="1"/>
      <sz val="14"/>
    </font>
    <font>
      <name val="Arial"/>
      <family val="2"/>
      <b val="1"/>
      <color rgb="FFFFC000"/>
      <sz val="14"/>
    </font>
    <font>
      <name val="Arial"/>
      <family val="2"/>
      <b val="1"/>
      <color indexed="8"/>
      <sz val="18"/>
    </font>
    <font>
      <name val="Arial"/>
      <family val="2"/>
      <b val="1"/>
      <i val="1"/>
      <color theme="4"/>
      <sz val="10"/>
    </font>
    <font>
      <name val="Arial"/>
      <family val="2"/>
      <color theme="0"/>
      <sz val="10"/>
    </font>
    <font>
      <name val="Arial"/>
      <family val="2"/>
      <b val="1"/>
      <color theme="1"/>
      <sz val="10"/>
    </font>
    <font>
      <name val="Arial"/>
      <family val="2"/>
      <i val="1"/>
      <color theme="1"/>
      <sz val="10"/>
    </font>
    <font>
      <name val="Arial"/>
      <family val="2"/>
      <b val="1"/>
      <color theme="10"/>
      <sz val="10"/>
      <u val="single"/>
    </font>
    <font>
      <name val="Arial"/>
      <family val="2"/>
      <i val="1"/>
      <color rgb="FFFF0000"/>
      <sz val="10"/>
    </font>
    <font>
      <name val="Arial"/>
      <family val="2"/>
      <b val="1"/>
      <color rgb="FF0000FF"/>
      <sz val="10"/>
    </font>
    <font>
      <name val="Arial"/>
      <family val="2"/>
      <b val="1"/>
      <color rgb="FFFF0000"/>
      <sz val="10"/>
      <vertAlign val="superscript"/>
    </font>
    <font>
      <name val="Arial"/>
      <family val="2"/>
      <i val="1"/>
      <color theme="4" tint="-0.249977111117893"/>
      <sz val="8"/>
    </font>
    <font>
      <name val="Arial"/>
      <family val="2"/>
      <b val="1"/>
      <strike val="1"/>
      <color rgb="FF0000FF"/>
      <sz val="10"/>
    </font>
    <font>
      <name val="Arial"/>
      <family val="2"/>
      <i val="1"/>
      <sz val="8"/>
    </font>
    <font>
      <name val="Arial"/>
      <family val="2"/>
      <color rgb="FF242424"/>
      <sz val="10"/>
    </font>
    <font>
      <name val="宋体"/>
      <charset val="134"/>
      <family val="2"/>
      <b val="1"/>
      <color rgb="FF000000"/>
      <sz val="10"/>
    </font>
    <font>
      <name val="Arial"/>
      <charset val="134"/>
      <family val="2"/>
      <b val="1"/>
      <color rgb="FF000000"/>
      <sz val="10"/>
    </font>
    <font>
      <name val="DengXian"/>
      <charset val="134"/>
      <family val="3"/>
      <sz val="9"/>
    </font>
    <font>
      <name val="Microsoft YaHei"/>
      <charset val="134"/>
      <family val="2"/>
      <b val="1"/>
      <color rgb="FF000000"/>
      <sz val="10"/>
    </font>
    <font>
      <name val="Microsoft YaHei UI"/>
      <charset val="134"/>
      <family val="2"/>
      <i val="1"/>
      <sz val="10"/>
    </font>
    <font>
      <name val="Arial"/>
      <charset val="134"/>
      <family val="2"/>
      <color rgb="FF000000"/>
      <sz val="10"/>
    </font>
    <font>
      <name val="Arial"/>
      <family val="2"/>
      <b val="1"/>
      <sz val="12"/>
    </font>
    <font>
      <name val="Arial"/>
      <family val="2"/>
      <color rgb="FFFF0000"/>
      <sz val="10"/>
      <u val="single"/>
    </font>
    <font>
      <name val="微软雅黑"/>
      <charset val="134"/>
      <family val="2"/>
      <color rgb="FFFF0000"/>
      <sz val="10"/>
      <u val="single"/>
    </font>
    <font>
      <name val="Arial"/>
      <charset val="134"/>
      <family val="2"/>
      <b val="1"/>
      <color rgb="FFFF0000"/>
      <sz val="10"/>
    </font>
    <font>
      <name val="等线"/>
      <charset val="134"/>
      <family val="3"/>
      <b val="1"/>
      <sz val="10"/>
    </font>
    <font>
      <name val="微软雅黑"/>
      <charset val="134"/>
      <family val="2"/>
      <b val="1"/>
      <i val="1"/>
      <color theme="4"/>
      <sz val="10"/>
    </font>
    <font>
      <name val="等线"/>
      <charset val="134"/>
      <family val="2"/>
      <b val="1"/>
      <i val="1"/>
      <color rgb="FFFF0000"/>
      <sz val="10"/>
    </font>
    <font>
      <name val="Arial"/>
      <charset val="134"/>
      <family val="2"/>
      <b val="1"/>
      <color theme="1"/>
      <sz val="10"/>
    </font>
    <font>
      <name val="Arial"/>
      <charset val="134"/>
      <family val="2"/>
      <color theme="1"/>
      <sz val="10"/>
    </font>
    <font>
      <name val="等线"/>
      <charset val="134"/>
      <family val="2"/>
      <color theme="1"/>
      <sz val="11"/>
      <scheme val="minor"/>
    </font>
    <font>
      <name val="Arial"/>
      <charset val="134"/>
      <family val="2"/>
      <b val="1"/>
      <color rgb="FF000000"/>
      <sz val="12"/>
    </font>
    <font>
      <name val="Arial"/>
      <charset val="134"/>
      <family val="2"/>
      <sz val="10"/>
    </font>
    <font>
      <name val="Arial"/>
      <charset val="134"/>
      <family val="2"/>
      <color rgb="FFFF0000"/>
      <sz val="10"/>
    </font>
    <font>
      <name val="Arial"/>
      <family val="2"/>
      <color rgb="FFFF0000"/>
      <sz val="10"/>
      <vertAlign val="superscript"/>
    </font>
    <font>
      <name val="Arial"/>
      <charset val="134"/>
      <family val="2"/>
      <color rgb="FFFF0000"/>
      <sz val="10"/>
      <u val="single"/>
    </font>
    <font>
      <name val="Arial"/>
      <charset val="134"/>
      <family val="2"/>
      <b val="1"/>
      <color rgb="FF0000FF"/>
      <sz val="10"/>
    </font>
    <font>
      <name val="Arial"/>
      <charset val="134"/>
      <family val="2"/>
      <b val="1"/>
      <i val="1"/>
      <color rgb="FFFF0000"/>
      <sz val="10"/>
    </font>
    <font>
      <name val="Arial"/>
      <charset val="134"/>
      <family val="2"/>
      <i val="1"/>
      <color rgb="FFFF0000"/>
      <sz val="10"/>
    </font>
    <font>
      <name val="Arial"/>
      <charset val="134"/>
      <family val="2"/>
      <b val="1"/>
      <color indexed="10"/>
      <sz val="10"/>
    </font>
    <font>
      <name val="Arial"/>
      <charset val="134"/>
      <family val="2"/>
      <i val="1"/>
      <color rgb="FF000000"/>
      <sz val="10"/>
    </font>
    <font>
      <name val="Arial"/>
      <charset val="134"/>
      <family val="2"/>
      <b val="1"/>
      <color theme="0"/>
      <sz val="14"/>
    </font>
    <font>
      <name val="Arial"/>
      <family val="2"/>
      <b val="1"/>
      <i val="1"/>
      <color rgb="FFFF0000"/>
      <sz val="9"/>
    </font>
    <font>
      <name val="Arial"/>
      <family val="2"/>
      <b val="1"/>
      <color rgb="FFFFFFFF"/>
      <sz val="14"/>
    </font>
    <font>
      <name val="Microsoft YaHei"/>
      <charset val="134"/>
      <family val="2"/>
      <b val="1"/>
      <color rgb="FF000000"/>
      <sz val="12"/>
    </font>
    <font>
      <name val="Microsoft YaHei"/>
      <charset val="134"/>
      <family val="2"/>
      <color rgb="FF000000"/>
      <sz val="10"/>
    </font>
    <font>
      <name val="Microsoft YaHei"/>
      <charset val="134"/>
      <family val="2"/>
      <b val="1"/>
      <sz val="12"/>
    </font>
    <font>
      <name val="Arial"/>
      <family val="2"/>
      <b val="1"/>
      <color rgb="FFFFC000"/>
      <sz val="10"/>
    </font>
    <font>
      <name val="Arial"/>
      <family val="2"/>
      <color rgb="FF2F5597"/>
      <sz val="10"/>
    </font>
    <font>
      <name val="Arial"/>
      <family val="2"/>
      <b val="1"/>
      <color rgb="FFFF0000"/>
      <sz val="16"/>
    </font>
    <font>
      <name val="微软雅黑"/>
      <charset val="134"/>
      <family val="2"/>
      <b val="1"/>
      <color rgb="FFFFFFFF"/>
      <sz val="14"/>
    </font>
    <font>
      <name val="Arial"/>
      <charset val="134"/>
      <family val="2"/>
      <b val="1"/>
      <color rgb="FFFFFFFF"/>
      <sz val="14"/>
    </font>
  </fonts>
  <fills count="16">
    <fill>
      <patternFill/>
    </fill>
    <fill>
      <patternFill patternType="gray125"/>
    </fill>
    <fill>
      <patternFill patternType="solid">
        <fgColor rgb="FF333399"/>
        <bgColor indexed="64"/>
      </patternFill>
    </fill>
    <fill>
      <patternFill patternType="solid">
        <fgColor theme="0" tint="-0.0499893185216834"/>
        <bgColor indexed="64"/>
      </patternFill>
    </fill>
    <fill>
      <patternFill patternType="solid">
        <fgColor theme="1"/>
        <bgColor indexed="64"/>
      </patternFill>
    </fill>
    <fill>
      <patternFill patternType="solid">
        <fgColor theme="0"/>
        <bgColor indexed="64"/>
      </patternFill>
    </fill>
    <fill>
      <patternFill patternType="solid">
        <fgColor rgb="FF000000"/>
        <bgColor rgb="FF000000"/>
      </patternFill>
    </fill>
    <fill>
      <patternFill patternType="solid">
        <fgColor rgb="FF000099"/>
        <bgColor indexed="64"/>
      </patternFill>
    </fill>
    <fill>
      <patternFill patternType="solid">
        <fgColor rgb="FFFFFFFF"/>
        <bgColor indexed="64"/>
      </patternFill>
    </fill>
    <fill>
      <patternFill patternType="solid">
        <fgColor rgb="FFFFFFFF"/>
        <bgColor rgb="FF000000"/>
      </patternFill>
    </fill>
    <fill>
      <patternFill patternType="solid">
        <fgColor theme="0" tint="-0.3499862666707358"/>
        <bgColor indexed="64"/>
      </patternFill>
    </fill>
    <fill>
      <patternFill patternType="solid">
        <fgColor theme="0" tint="-0.3499862666707358"/>
        <bgColor rgb="FF000000"/>
      </patternFill>
    </fill>
    <fill>
      <patternFill patternType="solid">
        <fgColor rgb="FFA6A6A6"/>
        <bgColor rgb="FF000000"/>
      </patternFill>
    </fill>
    <fill>
      <patternFill patternType="solid">
        <fgColor rgb="FFD9E1F2"/>
        <bgColor rgb="FF000000"/>
      </patternFill>
    </fill>
    <fill>
      <patternFill patternType="solid">
        <fgColor indexed="65"/>
        <bgColor indexed="64"/>
      </patternFill>
    </fill>
    <fill>
      <patternFill patternType="solid">
        <fgColor rgb="FF000099"/>
        <bgColor rgb="FF000000"/>
      </patternFill>
    </fill>
  </fills>
  <borders count="58">
    <border>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double">
        <color rgb="FF000000"/>
      </bottom>
      <diagonal/>
    </border>
    <border>
      <left/>
      <right/>
      <top style="thin">
        <color rgb="FF000000"/>
      </top>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bottom style="thin">
        <color auto="1"/>
      </bottom>
      <diagonal/>
    </border>
    <border>
      <left style="thin">
        <color indexed="64"/>
      </left>
      <right style="thin">
        <color indexed="64"/>
      </right>
      <top style="thin">
        <color auto="1"/>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style="thin">
        <color indexed="64"/>
      </right>
      <top/>
      <bottom/>
      <diagonal/>
    </border>
    <border>
      <left style="thin">
        <color indexed="64"/>
      </left>
      <right style="thin">
        <color indexed="64"/>
      </right>
      <top style="thin">
        <color auto="1"/>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style="thin">
        <color rgb="FF000000"/>
      </left>
      <right style="thin">
        <color auto="1"/>
      </right>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indexed="64"/>
      </top>
      <bottom/>
      <diagonal/>
    </border>
    <border>
      <left style="thin">
        <color rgb="FF000000"/>
      </left>
      <right style="thin">
        <color indexed="64"/>
      </right>
      <top style="thin">
        <color indexed="64"/>
      </top>
      <bottom/>
      <diagonal/>
    </border>
    <border>
      <left style="thin">
        <color indexed="64"/>
      </left>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auto="1"/>
      </left>
      <right/>
      <top style="thin">
        <color rgb="FF000000"/>
      </top>
      <bottom style="thin">
        <color rgb="FF000000"/>
      </bottom>
      <diagonal/>
    </border>
    <border>
      <left/>
      <right/>
      <top style="thin">
        <color auto="1"/>
      </top>
      <bottom/>
      <diagonal/>
    </border>
    <border>
      <left/>
      <right style="thin">
        <color indexed="64"/>
      </right>
      <top style="thin">
        <color auto="1"/>
      </top>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indexed="64"/>
      </top>
      <bottom/>
      <diagonal/>
    </border>
  </borders>
  <cellStyleXfs count="99">
    <xf numFmtId="0" fontId="0" fillId="0" borderId="0"/>
    <xf numFmtId="43" fontId="31" fillId="0" borderId="0"/>
    <xf numFmtId="0" fontId="24" fillId="0" borderId="0"/>
    <xf numFmtId="43" fontId="24" fillId="0" borderId="0"/>
    <xf numFmtId="0" fontId="31" fillId="0" borderId="0"/>
    <xf numFmtId="0" fontId="31" fillId="0" borderId="0"/>
    <xf numFmtId="0" fontId="9" fillId="0" borderId="0"/>
    <xf numFmtId="43" fontId="9" fillId="0" borderId="0"/>
    <xf numFmtId="0" fontId="9" fillId="0" borderId="0"/>
    <xf numFmtId="170" fontId="9" fillId="0" borderId="0"/>
    <xf numFmtId="170" fontId="24" fillId="0" borderId="0"/>
    <xf numFmtId="43" fontId="9" fillId="0" borderId="0"/>
    <xf numFmtId="43" fontId="9" fillId="0" borderId="0"/>
    <xf numFmtId="0" fontId="8" fillId="0" borderId="0" applyAlignment="1">
      <alignment vertical="top"/>
    </xf>
    <xf numFmtId="0" fontId="24" fillId="0" borderId="0"/>
    <xf numFmtId="43" fontId="31" fillId="0" borderId="0"/>
    <xf numFmtId="0" fontId="31" fillId="0" borderId="0"/>
    <xf numFmtId="171" fontId="9" fillId="0" borderId="0"/>
    <xf numFmtId="0" fontId="9" fillId="0" borderId="0" applyAlignment="1">
      <alignment vertical="top"/>
    </xf>
    <xf numFmtId="171" fontId="9" fillId="0" borderId="0"/>
    <xf numFmtId="0" fontId="31" fillId="0" borderId="0"/>
    <xf numFmtId="170" fontId="31" fillId="0" borderId="0"/>
    <xf numFmtId="0" fontId="10" fillId="0" borderId="0"/>
    <xf numFmtId="0" fontId="10" fillId="0" borderId="0"/>
    <xf numFmtId="0" fontId="10" fillId="0" borderId="0"/>
    <xf numFmtId="43" fontId="31" fillId="0" borderId="0"/>
    <xf numFmtId="0" fontId="24" fillId="0" borderId="0"/>
    <xf numFmtId="43" fontId="24" fillId="0" borderId="0"/>
    <xf numFmtId="170" fontId="24" fillId="0" borderId="0"/>
    <xf numFmtId="9" fontId="24" fillId="0" borderId="0"/>
    <xf numFmtId="0" fontId="9" fillId="0" borderId="0"/>
    <xf numFmtId="9" fontId="9" fillId="0" borderId="0"/>
    <xf numFmtId="170" fontId="24" fillId="0" borderId="0"/>
    <xf numFmtId="0" fontId="16" fillId="0" borderId="0"/>
    <xf numFmtId="0" fontId="31" fillId="0" borderId="0"/>
    <xf numFmtId="0" fontId="24" fillId="0" borderId="0"/>
    <xf numFmtId="0" fontId="20" fillId="0" borderId="0"/>
    <xf numFmtId="0" fontId="13" fillId="0" borderId="0"/>
    <xf numFmtId="41" fontId="31" fillId="0" borderId="0"/>
    <xf numFmtId="0" fontId="31" fillId="0" borderId="0"/>
    <xf numFmtId="0" fontId="9" fillId="0" borderId="0"/>
    <xf numFmtId="0" fontId="31" fillId="0" borderId="0"/>
    <xf numFmtId="0" fontId="24" fillId="0" borderId="0"/>
    <xf numFmtId="43" fontId="24" fillId="0" borderId="0"/>
    <xf numFmtId="170" fontId="8" fillId="0" borderId="0" applyAlignment="1">
      <alignment vertical="top"/>
    </xf>
    <xf numFmtId="0" fontId="15" fillId="0" borderId="0" applyAlignment="1" applyProtection="1">
      <alignment vertical="top"/>
      <protection locked="0" hidden="0"/>
    </xf>
    <xf numFmtId="43" fontId="9" fillId="0" borderId="0"/>
    <xf numFmtId="0" fontId="24" fillId="0" borderId="0"/>
    <xf numFmtId="0" fontId="17" fillId="0" borderId="0"/>
    <xf numFmtId="0" fontId="31" fillId="0" borderId="0"/>
    <xf numFmtId="0" fontId="16" fillId="0" borderId="0"/>
    <xf numFmtId="0" fontId="9" fillId="0" borderId="0"/>
    <xf numFmtId="0" fontId="17" fillId="0" borderId="0"/>
    <xf numFmtId="9" fontId="31" fillId="0" borderId="0"/>
    <xf numFmtId="172" fontId="31" fillId="0" borderId="0"/>
    <xf numFmtId="0" fontId="31" fillId="0" borderId="0"/>
    <xf numFmtId="41" fontId="31" fillId="0" borderId="0"/>
    <xf numFmtId="0" fontId="19" fillId="0" borderId="0" applyAlignment="1">
      <alignment vertical="center"/>
    </xf>
    <xf numFmtId="9" fontId="31" fillId="0" borderId="0"/>
    <xf numFmtId="41" fontId="20" fillId="0" borderId="0"/>
    <xf numFmtId="9" fontId="31" fillId="0" borderId="0"/>
    <xf numFmtId="0" fontId="9" fillId="0" borderId="0"/>
    <xf numFmtId="43" fontId="24" fillId="0" borderId="0"/>
    <xf numFmtId="0" fontId="31" fillId="0" borderId="0"/>
    <xf numFmtId="0" fontId="31" fillId="0" borderId="0" applyProtection="1">
      <protection locked="0" hidden="0"/>
    </xf>
    <xf numFmtId="0" fontId="40" fillId="0" borderId="0"/>
    <xf numFmtId="0" fontId="24" fillId="0" borderId="0"/>
    <xf numFmtId="0" fontId="42" fillId="0" borderId="0"/>
    <xf numFmtId="0" fontId="40" fillId="0" borderId="0" applyAlignment="1">
      <alignment vertical="center"/>
    </xf>
    <xf numFmtId="0" fontId="47" fillId="0" borderId="0" applyAlignment="1">
      <alignment vertical="center"/>
    </xf>
    <xf numFmtId="0" fontId="40" fillId="0" borderId="0"/>
    <xf numFmtId="0" fontId="48" fillId="0" borderId="0" applyAlignment="1">
      <alignment vertical="center"/>
    </xf>
    <xf numFmtId="0" fontId="103" fillId="0" borderId="0"/>
    <xf numFmtId="0" fontId="31" fillId="0" borderId="0"/>
    <xf numFmtId="0" fontId="40" fillId="0" borderId="0"/>
    <xf numFmtId="0" fontId="103" fillId="0" borderId="0"/>
    <xf numFmtId="0" fontId="48" fillId="0" borderId="0"/>
    <xf numFmtId="9" fontId="103" fillId="0" borderId="0"/>
    <xf numFmtId="0" fontId="103" fillId="0" borderId="0"/>
    <xf numFmtId="43" fontId="103" fillId="0" borderId="0"/>
    <xf numFmtId="0" fontId="30" fillId="0" borderId="0"/>
    <xf numFmtId="0" fontId="40" fillId="0" borderId="0"/>
    <xf numFmtId="0" fontId="60" fillId="0" borderId="0" applyAlignment="1">
      <alignment vertical="center"/>
    </xf>
    <xf numFmtId="0" fontId="40" fillId="0" borderId="0"/>
    <xf numFmtId="0" fontId="35" fillId="0" borderId="0"/>
    <xf numFmtId="0" fontId="31" fillId="0" borderId="0"/>
    <xf numFmtId="0" fontId="17" fillId="0" borderId="0"/>
    <xf numFmtId="0" fontId="64" fillId="0" borderId="0"/>
    <xf numFmtId="0" fontId="103" fillId="0" borderId="0" applyAlignment="1">
      <alignment vertical="center"/>
    </xf>
    <xf numFmtId="0" fontId="103" fillId="0" borderId="0"/>
    <xf numFmtId="0" fontId="31" fillId="0" borderId="0"/>
    <xf numFmtId="43" fontId="31" fillId="0" borderId="0"/>
    <xf numFmtId="43" fontId="9" fillId="0" borderId="0"/>
    <xf numFmtId="9" fontId="9" fillId="0" borderId="0"/>
    <xf numFmtId="43" fontId="31" fillId="0" borderId="0"/>
    <xf numFmtId="0" fontId="35" fillId="0" borderId="0"/>
    <xf numFmtId="0" fontId="103" fillId="0" borderId="0"/>
    <xf numFmtId="0" fontId="103" fillId="0" borderId="0"/>
    <xf numFmtId="0" fontId="31" fillId="0" borderId="0"/>
  </cellStyleXfs>
  <cellXfs count="917">
    <xf numFmtId="0" fontId="0" fillId="0" borderId="0" pivotButton="0" quotePrefix="0" xfId="0"/>
    <xf numFmtId="164" fontId="22" fillId="5" borderId="1"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0" fontId="22" fillId="0" borderId="0" applyAlignment="1" pivotButton="0" quotePrefix="0" xfId="0">
      <alignment vertical="center"/>
    </xf>
    <xf numFmtId="0" fontId="27" fillId="0" borderId="0" applyAlignment="1" pivotButton="0" quotePrefix="0" xfId="0">
      <alignment vertical="center"/>
    </xf>
    <xf numFmtId="0" fontId="28" fillId="0" borderId="0" applyAlignment="1" pivotButton="0" quotePrefix="0" xfId="0">
      <alignment horizontal="center" vertical="center"/>
    </xf>
    <xf numFmtId="0" fontId="29" fillId="9" borderId="0" applyAlignment="1" pivotButton="0" quotePrefix="0" xfId="0">
      <alignment horizontal="center" vertical="center" wrapText="1"/>
    </xf>
    <xf numFmtId="0" fontId="29" fillId="0" borderId="0" applyAlignment="1" pivotButton="0" quotePrefix="0" xfId="0">
      <alignment horizontal="center" vertical="center"/>
    </xf>
    <xf numFmtId="0" fontId="30" fillId="5" borderId="0" applyAlignment="1" applyProtection="1" pivotButton="0" quotePrefix="0" xfId="4">
      <alignment vertical="center"/>
      <protection locked="0" hidden="0"/>
    </xf>
    <xf numFmtId="0" fontId="23" fillId="5" borderId="0" applyAlignment="1" applyProtection="1" pivotButton="0" quotePrefix="0" xfId="41">
      <alignment vertical="center"/>
      <protection locked="0" hidden="0"/>
    </xf>
    <xf numFmtId="0" fontId="28" fillId="5" borderId="0" applyAlignment="1" applyProtection="1" pivotButton="0" quotePrefix="0" xfId="4">
      <alignment vertical="center"/>
      <protection locked="0" hidden="0"/>
    </xf>
    <xf numFmtId="0" fontId="28" fillId="0" borderId="0" applyAlignment="1" pivotButton="0" quotePrefix="0" xfId="0">
      <alignment horizontal="left" vertical="center"/>
    </xf>
    <xf numFmtId="0" fontId="30" fillId="0" borderId="0" applyAlignment="1" pivotButton="0" quotePrefix="0" xfId="0">
      <alignment vertical="center"/>
    </xf>
    <xf numFmtId="0" fontId="23" fillId="5" borderId="0" pivotButton="0" quotePrefix="0" xfId="41"/>
    <xf numFmtId="0" fontId="28" fillId="0" borderId="0" applyAlignment="1" pivotButton="0" quotePrefix="0" xfId="0">
      <alignment horizontal="center" vertical="center" wrapText="1"/>
    </xf>
    <xf numFmtId="0" fontId="30" fillId="9" borderId="0" applyAlignment="1" pivotButton="0" quotePrefix="0" xfId="0">
      <alignment vertical="center"/>
    </xf>
    <xf numFmtId="0" fontId="36" fillId="9" borderId="0" applyAlignment="1" pivotButton="0" quotePrefix="0" xfId="0">
      <alignment vertical="center"/>
    </xf>
    <xf numFmtId="0" fontId="21" fillId="9" borderId="0" applyAlignment="1" pivotButton="0" quotePrefix="0" xfId="0">
      <alignment horizontal="center" vertical="center" wrapText="1"/>
    </xf>
    <xf numFmtId="0" fontId="30" fillId="0" borderId="0" applyAlignment="1" pivotButton="0" quotePrefix="0" xfId="0">
      <alignment horizontal="center" vertical="center"/>
    </xf>
    <xf numFmtId="0" fontId="21" fillId="0" borderId="0" applyAlignment="1" pivotButton="0" quotePrefix="0" xfId="0">
      <alignment vertical="center"/>
    </xf>
    <xf numFmtId="165" fontId="49" fillId="0" borderId="0" applyAlignment="1" pivotButton="0" quotePrefix="0" xfId="74">
      <alignment horizontal="left" vertical="center"/>
    </xf>
    <xf numFmtId="0" fontId="23" fillId="0" borderId="0" applyAlignment="1" pivotButton="0" quotePrefix="0" xfId="0">
      <alignment vertical="center"/>
    </xf>
    <xf numFmtId="43" fontId="23" fillId="0" borderId="0" applyAlignment="1" applyProtection="1" pivotButton="0" quotePrefix="0" xfId="1">
      <alignment horizontal="right" vertical="center" shrinkToFit="1"/>
      <protection locked="0" hidden="0"/>
    </xf>
    <xf numFmtId="0" fontId="58" fillId="0" borderId="0" applyAlignment="1" applyProtection="1" pivotButton="0" quotePrefix="0" xfId="75">
      <alignment vertical="center"/>
      <protection locked="0" hidden="0"/>
    </xf>
    <xf numFmtId="0" fontId="23" fillId="0" borderId="0" applyAlignment="1" applyProtection="1" pivotButton="0" quotePrefix="0" xfId="75">
      <alignment vertical="center"/>
      <protection locked="0" hidden="0"/>
    </xf>
    <xf numFmtId="0" fontId="28" fillId="0" borderId="0" applyAlignment="1" applyProtection="1" pivotButton="0" quotePrefix="0" xfId="75">
      <alignment vertical="center"/>
      <protection locked="0" hidden="0"/>
    </xf>
    <xf numFmtId="0" fontId="56" fillId="0" borderId="0" applyAlignment="1" applyProtection="1" pivotButton="0" quotePrefix="0" xfId="82">
      <alignment vertical="center" shrinkToFit="1"/>
      <protection locked="0" hidden="0"/>
    </xf>
    <xf numFmtId="0" fontId="30" fillId="0" borderId="0" applyAlignment="1" applyProtection="1" pivotButton="0" quotePrefix="0" xfId="82">
      <alignment vertical="center"/>
      <protection locked="0" hidden="0"/>
    </xf>
    <xf numFmtId="0" fontId="22" fillId="0" borderId="0" applyAlignment="1" pivotButton="0" quotePrefix="0" xfId="0">
      <alignment horizontal="center" vertical="center"/>
    </xf>
    <xf numFmtId="0" fontId="22" fillId="0" borderId="0" applyAlignment="1" pivotButton="0" quotePrefix="0" xfId="0">
      <alignment horizontal="left" vertical="center"/>
    </xf>
    <xf numFmtId="0" fontId="22" fillId="0" borderId="31" applyAlignment="1" pivotButton="0" quotePrefix="0" xfId="0">
      <alignment horizontal="center" vertical="center"/>
    </xf>
    <xf numFmtId="0" fontId="25" fillId="13" borderId="31" applyAlignment="1" pivotButton="0" quotePrefix="0" xfId="0">
      <alignment horizontal="center" vertical="center"/>
    </xf>
    <xf numFmtId="0" fontId="21" fillId="13" borderId="31" applyAlignment="1" pivotButton="0" quotePrefix="0" xfId="0">
      <alignment horizontal="center" vertical="center" wrapText="1"/>
    </xf>
    <xf numFmtId="0" fontId="21" fillId="0" borderId="31" applyAlignment="1" pivotButton="0" quotePrefix="0" xfId="0">
      <alignment horizontal="center" vertical="center" wrapText="1"/>
    </xf>
    <xf numFmtId="0" fontId="30" fillId="0" borderId="31" applyAlignment="1" pivotButton="0" quotePrefix="0" xfId="0">
      <alignment horizontal="center" vertical="center" wrapText="1"/>
    </xf>
    <xf numFmtId="0" fontId="21" fillId="10" borderId="31" applyAlignment="1" applyProtection="1" pivotButton="0" quotePrefix="0" xfId="41">
      <alignment horizontal="center" vertical="center" wrapText="1"/>
      <protection locked="0" hidden="0"/>
    </xf>
    <xf numFmtId="0" fontId="21" fillId="10" borderId="31" applyAlignment="1" pivotButton="0" quotePrefix="0" xfId="0">
      <alignment horizontal="center" vertical="center"/>
    </xf>
    <xf numFmtId="0" fontId="21" fillId="11" borderId="31" applyAlignment="1" pivotButton="0" quotePrefix="0" xfId="0">
      <alignment horizontal="center" vertical="center" wrapText="1"/>
    </xf>
    <xf numFmtId="0" fontId="32" fillId="10" borderId="31" applyAlignment="1" applyProtection="1" pivotButton="0" quotePrefix="0" xfId="41">
      <alignment horizontal="center" vertical="center" wrapText="1"/>
      <protection locked="0" hidden="0"/>
    </xf>
    <xf numFmtId="164" fontId="23" fillId="0" borderId="0" applyAlignment="1" applyProtection="1" pivotButton="0" quotePrefix="0" xfId="1">
      <alignment vertical="center"/>
      <protection locked="0" hidden="0"/>
    </xf>
    <xf numFmtId="14" fontId="30" fillId="0" borderId="31" applyAlignment="1" applyProtection="1" pivotButton="0" quotePrefix="0" xfId="1">
      <alignment horizontal="center" vertical="center"/>
      <protection locked="0" hidden="0"/>
    </xf>
    <xf numFmtId="0" fontId="23" fillId="0" borderId="0" pivotButton="0" quotePrefix="0" xfId="0"/>
    <xf numFmtId="0" fontId="72" fillId="0" borderId="0" applyAlignment="1" applyProtection="1" pivotButton="0" quotePrefix="0" xfId="0">
      <alignment vertical="center"/>
      <protection locked="0" hidden="0"/>
    </xf>
    <xf numFmtId="0" fontId="73" fillId="4" borderId="5" applyAlignment="1" applyProtection="1" pivotButton="0" quotePrefix="0" xfId="0">
      <alignment horizontal="centerContinuous" vertical="center"/>
      <protection locked="0" hidden="0"/>
    </xf>
    <xf numFmtId="0" fontId="74" fillId="4" borderId="5" applyAlignment="1" applyProtection="1" pivotButton="0" quotePrefix="0" xfId="0">
      <alignment horizontal="centerContinuous" vertical="center"/>
      <protection locked="0" hidden="0"/>
    </xf>
    <xf numFmtId="0" fontId="30" fillId="4" borderId="5" applyAlignment="1" applyProtection="1" pivotButton="0" quotePrefix="0" xfId="0">
      <alignment horizontal="centerContinuous" vertical="center"/>
      <protection locked="0" hidden="0"/>
    </xf>
    <xf numFmtId="0" fontId="30" fillId="0" borderId="0" applyAlignment="1" applyProtection="1" pivotButton="0" quotePrefix="0" xfId="0">
      <alignment horizontal="centerContinuous" vertical="center"/>
      <protection locked="0" hidden="0"/>
    </xf>
    <xf numFmtId="0" fontId="23" fillId="0" borderId="0" applyAlignment="1" applyProtection="1" pivotButton="0" quotePrefix="0" xfId="0">
      <alignment vertical="center"/>
      <protection locked="0" hidden="0"/>
    </xf>
    <xf numFmtId="0" fontId="71" fillId="3" borderId="1" applyAlignment="1" applyProtection="1" pivotButton="0" quotePrefix="0" xfId="0">
      <alignment vertical="center"/>
      <protection locked="0" hidden="0"/>
    </xf>
    <xf numFmtId="0" fontId="71" fillId="3" borderId="8" applyAlignment="1" applyProtection="1" pivotButton="0" quotePrefix="0" xfId="0">
      <alignment vertical="center"/>
      <protection locked="0" hidden="0"/>
    </xf>
    <xf numFmtId="0" fontId="71" fillId="3" borderId="9" applyAlignment="1" applyProtection="1" pivotButton="0" quotePrefix="0" xfId="0">
      <alignment vertical="center"/>
      <protection locked="0" hidden="0"/>
    </xf>
    <xf numFmtId="0" fontId="75" fillId="0" borderId="0" applyAlignment="1" applyProtection="1" pivotButton="0" quotePrefix="0" xfId="0">
      <alignment vertical="center" wrapText="1"/>
      <protection locked="0" hidden="0"/>
    </xf>
    <xf numFmtId="0" fontId="21" fillId="0" borderId="0" applyAlignment="1" applyProtection="1" pivotButton="0" quotePrefix="0" xfId="0">
      <alignment vertical="center"/>
      <protection locked="0" hidden="0"/>
    </xf>
    <xf numFmtId="0" fontId="76" fillId="0" borderId="0" applyAlignment="1" applyProtection="1" pivotButton="0" quotePrefix="0" xfId="0">
      <alignment vertical="center"/>
      <protection locked="0" hidden="0"/>
    </xf>
    <xf numFmtId="0" fontId="76" fillId="0" borderId="0" applyAlignment="1" applyProtection="1" pivotButton="0" quotePrefix="0" xfId="0">
      <alignment horizontal="left" vertical="center" wrapText="1"/>
      <protection locked="0" hidden="0"/>
    </xf>
    <xf numFmtId="0" fontId="30" fillId="0" borderId="0" applyAlignment="1" applyProtection="1" pivotButton="0" quotePrefix="0" xfId="0">
      <alignment horizontal="left" vertical="top" wrapText="1"/>
      <protection locked="0" hidden="0"/>
    </xf>
    <xf numFmtId="0" fontId="63"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0" fontId="72" fillId="0" borderId="0" pivotButton="0" quotePrefix="0" xfId="0"/>
    <xf numFmtId="0" fontId="22" fillId="0" borderId="0" applyAlignment="1" applyProtection="1" pivotButton="0" quotePrefix="0" xfId="48">
      <alignment horizontal="left" vertical="center"/>
      <protection locked="0" hidden="0"/>
    </xf>
    <xf numFmtId="0" fontId="28" fillId="0" borderId="0" applyAlignment="1" applyProtection="1" pivotButton="0" quotePrefix="0" xfId="0">
      <alignment horizontal="right" vertical="center"/>
      <protection locked="0" hidden="0"/>
    </xf>
    <xf numFmtId="0" fontId="28" fillId="0" borderId="0" applyAlignment="1" applyProtection="1" pivotButton="0" quotePrefix="0" xfId="0">
      <alignment horizontal="left" vertical="center"/>
      <protection locked="0" hidden="0"/>
    </xf>
    <xf numFmtId="0" fontId="30" fillId="0" borderId="5" applyAlignment="1" applyProtection="1" pivotButton="0" quotePrefix="0" xfId="48">
      <alignment horizontal="left" vertical="center"/>
      <protection locked="0" hidden="0"/>
    </xf>
    <xf numFmtId="164" fontId="23" fillId="0" borderId="5" applyAlignment="1" applyProtection="1" pivotButton="0" quotePrefix="0" xfId="1">
      <alignment vertical="center"/>
      <protection locked="0" hidden="0"/>
    </xf>
    <xf numFmtId="0" fontId="21" fillId="0" borderId="0" applyAlignment="1" applyProtection="1" pivotButton="0" quotePrefix="0" xfId="48">
      <alignment horizontal="left" vertical="center"/>
      <protection locked="0" hidden="0"/>
    </xf>
    <xf numFmtId="0" fontId="30" fillId="0" borderId="31" applyAlignment="1" applyProtection="1" pivotButton="0" quotePrefix="0" xfId="0">
      <alignment horizontal="center" vertical="center"/>
      <protection locked="0" hidden="0"/>
    </xf>
    <xf numFmtId="164" fontId="23" fillId="0" borderId="0" applyAlignment="1" applyProtection="1" pivotButton="0" quotePrefix="0" xfId="1">
      <alignment vertical="center"/>
      <protection locked="0" hidden="0"/>
    </xf>
    <xf numFmtId="0" fontId="30" fillId="0" borderId="0" applyAlignment="1" applyProtection="1" pivotButton="0" quotePrefix="0" xfId="0">
      <alignment horizontal="center" vertical="center"/>
      <protection locked="0" hidden="0"/>
    </xf>
    <xf numFmtId="0" fontId="22" fillId="0" borderId="0" applyAlignment="1" applyProtection="1" pivotButton="0" quotePrefix="0" xfId="48">
      <alignment horizontal="left" vertical="center"/>
      <protection locked="0" hidden="0"/>
    </xf>
    <xf numFmtId="0" fontId="28" fillId="0" borderId="0" applyAlignment="1" pivotButton="0" quotePrefix="0" xfId="0">
      <alignment vertical="center"/>
    </xf>
    <xf numFmtId="164" fontId="23" fillId="0" borderId="5" applyAlignment="1" applyProtection="1" pivotButton="0" quotePrefix="0" xfId="1">
      <alignment vertical="center"/>
      <protection locked="0" hidden="0"/>
    </xf>
    <xf numFmtId="41" fontId="28" fillId="0" borderId="0" applyAlignment="1" applyProtection="1" pivotButton="0" quotePrefix="0" xfId="0">
      <alignment horizontal="left" vertical="center"/>
      <protection locked="0" hidden="0"/>
    </xf>
    <xf numFmtId="41" fontId="77" fillId="0" borderId="0" applyAlignment="1" applyProtection="1" pivotButton="0" quotePrefix="0" xfId="0">
      <alignment horizontal="center" vertical="center"/>
      <protection locked="0" hidden="0"/>
    </xf>
    <xf numFmtId="0" fontId="78"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0" fontId="21" fillId="10" borderId="19" applyAlignment="1" applyProtection="1" pivotButton="0" quotePrefix="0" xfId="0">
      <alignment vertical="center"/>
      <protection locked="0" hidden="0"/>
    </xf>
    <xf numFmtId="0" fontId="21" fillId="10" borderId="22" applyAlignment="1" applyProtection="1" pivotButton="0" quotePrefix="0" xfId="0">
      <alignment vertical="center"/>
      <protection locked="0" hidden="0"/>
    </xf>
    <xf numFmtId="0" fontId="21" fillId="10" borderId="20" applyAlignment="1" applyProtection="1" pivotButton="0" quotePrefix="0" xfId="0">
      <alignment vertical="center"/>
      <protection locked="0" hidden="0"/>
    </xf>
    <xf numFmtId="0" fontId="21" fillId="0" borderId="0" applyAlignment="1" applyProtection="1" pivotButton="0" quotePrefix="0" xfId="0">
      <alignment horizontal="left" vertical="center" indent="2"/>
      <protection locked="0" hidden="0"/>
    </xf>
    <xf numFmtId="0" fontId="22" fillId="0" borderId="1"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protection locked="0" hidden="0"/>
    </xf>
    <xf numFmtId="0" fontId="25" fillId="0" borderId="9" applyAlignment="1" applyProtection="1" pivotButton="0" quotePrefix="0" xfId="0">
      <alignment horizontal="left" vertical="center" indent="2"/>
      <protection locked="0" hidden="0"/>
    </xf>
    <xf numFmtId="0" fontId="23" fillId="0" borderId="8" applyAlignment="1" applyProtection="1" pivotButton="0" quotePrefix="0" xfId="0">
      <alignment horizontal="left" vertical="center" indent="2"/>
      <protection locked="0" hidden="0"/>
    </xf>
    <xf numFmtId="0" fontId="23" fillId="0" borderId="9" applyAlignment="1" applyProtection="1" pivotButton="0" quotePrefix="0" xfId="0">
      <alignment horizontal="left" vertical="center" indent="2"/>
      <protection locked="0" hidden="0"/>
    </xf>
    <xf numFmtId="0" fontId="22" fillId="0" borderId="8" applyAlignment="1" applyProtection="1" pivotButton="0" quotePrefix="0" xfId="0">
      <alignment vertical="center"/>
      <protection locked="0" hidden="0"/>
    </xf>
    <xf numFmtId="0" fontId="23" fillId="0" borderId="8" applyAlignment="1" applyProtection="1" pivotButton="0" quotePrefix="0" xfId="0">
      <alignment vertical="center"/>
      <protection locked="0" hidden="0"/>
    </xf>
    <xf numFmtId="0" fontId="23" fillId="0" borderId="9" applyAlignment="1" applyProtection="1" pivotButton="0" quotePrefix="0" xfId="0">
      <alignment vertical="center"/>
      <protection locked="0" hidden="0"/>
    </xf>
    <xf numFmtId="0" fontId="22" fillId="0" borderId="0" applyAlignment="1" applyProtection="1" pivotButton="0" quotePrefix="0" xfId="0">
      <alignment horizontal="left" vertical="center" indent="2"/>
      <protection locked="0" hidden="0"/>
    </xf>
    <xf numFmtId="0" fontId="22" fillId="0" borderId="0" applyAlignment="1" applyProtection="1" pivotButton="0" quotePrefix="0" xfId="0">
      <alignment vertical="center"/>
      <protection locked="0" hidden="0"/>
    </xf>
    <xf numFmtId="0" fontId="30" fillId="5" borderId="0" applyProtection="1" pivotButton="0" quotePrefix="0" xfId="0">
      <protection locked="0" hidden="0"/>
    </xf>
    <xf numFmtId="0" fontId="30" fillId="0" borderId="0" applyAlignment="1" applyProtection="1" pivotButton="0" quotePrefix="0" xfId="0">
      <alignment vertical="center"/>
      <protection locked="0" hidden="0"/>
    </xf>
    <xf numFmtId="14" fontId="30" fillId="0" borderId="0" applyAlignment="1" applyProtection="1" pivotButton="0" quotePrefix="0" xfId="0">
      <alignment vertical="center"/>
      <protection locked="0" hidden="0"/>
    </xf>
    <xf numFmtId="0" fontId="30" fillId="4" borderId="6" applyAlignment="1" applyProtection="1" pivotButton="0" quotePrefix="0" xfId="0">
      <alignment horizontal="centerContinuous" vertical="center"/>
      <protection locked="0" hidden="0"/>
    </xf>
    <xf numFmtId="0" fontId="25" fillId="0" borderId="0" applyAlignment="1" pivotButton="0" quotePrefix="0" xfId="0">
      <alignment vertical="center"/>
    </xf>
    <xf numFmtId="0" fontId="80" fillId="0" borderId="0" pivotButton="0" quotePrefix="0" xfId="48"/>
    <xf numFmtId="0" fontId="28" fillId="0" borderId="0" applyAlignment="1" applyProtection="1" pivotButton="0" quotePrefix="0" xfId="0">
      <alignment vertical="center"/>
      <protection locked="0" hidden="0"/>
    </xf>
    <xf numFmtId="0" fontId="25" fillId="10" borderId="3" applyAlignment="1" pivotButton="0" quotePrefix="0" xfId="0">
      <alignment vertical="center"/>
    </xf>
    <xf numFmtId="0" fontId="23" fillId="10" borderId="3" applyAlignment="1" applyProtection="1" pivotButton="0" quotePrefix="0" xfId="0">
      <alignment vertical="center"/>
      <protection locked="0" hidden="0"/>
    </xf>
    <xf numFmtId="0" fontId="30" fillId="0" borderId="0" applyAlignment="1" applyProtection="1" pivotButton="0" quotePrefix="0" xfId="48">
      <alignment horizontal="left" vertical="center"/>
      <protection locked="0" hidden="0"/>
    </xf>
    <xf numFmtId="0" fontId="72" fillId="0" borderId="0" applyAlignment="1" pivotButton="0" quotePrefix="0" xfId="0">
      <alignment vertical="center"/>
    </xf>
    <xf numFmtId="0" fontId="30" fillId="0" borderId="0" applyAlignment="1" applyProtection="1" pivotButton="0" quotePrefix="0" xfId="41">
      <alignment vertical="center"/>
      <protection locked="0" hidden="0"/>
    </xf>
    <xf numFmtId="0" fontId="21" fillId="10" borderId="4" applyAlignment="1" applyProtection="1" pivotButton="0" quotePrefix="0" xfId="41">
      <alignment vertical="center"/>
      <protection locked="0" hidden="0"/>
    </xf>
    <xf numFmtId="0" fontId="21" fillId="10" borderId="5" applyAlignment="1" applyProtection="1" pivotButton="0" quotePrefix="0" xfId="41">
      <alignment vertical="center"/>
      <protection locked="0" hidden="0"/>
    </xf>
    <xf numFmtId="0" fontId="21" fillId="10" borderId="6" applyAlignment="1" applyProtection="1" pivotButton="0" quotePrefix="0" xfId="41">
      <alignment vertical="center"/>
      <protection locked="0" hidden="0"/>
    </xf>
    <xf numFmtId="0" fontId="22" fillId="0" borderId="4" applyAlignment="1" applyProtection="1" pivotButton="0" quotePrefix="0" xfId="41">
      <alignment horizontal="left" vertical="center" indent="2"/>
      <protection locked="0" hidden="0"/>
    </xf>
    <xf numFmtId="0" fontId="25" fillId="0" borderId="5" applyAlignment="1" applyProtection="1" pivotButton="0" quotePrefix="0" xfId="41">
      <alignment horizontal="left" vertical="center" indent="2"/>
      <protection locked="0" hidden="0"/>
    </xf>
    <xf numFmtId="0" fontId="25" fillId="0" borderId="6" applyAlignment="1" applyProtection="1" pivotButton="0" quotePrefix="0" xfId="41">
      <alignment horizontal="left" vertical="center" indent="2"/>
      <protection locked="0" hidden="0"/>
    </xf>
    <xf numFmtId="0" fontId="22" fillId="0" borderId="2" applyAlignment="1" applyProtection="1" pivotButton="0" quotePrefix="0" xfId="41">
      <alignment horizontal="left" vertical="center" indent="2"/>
      <protection locked="0" hidden="0"/>
    </xf>
    <xf numFmtId="0" fontId="22" fillId="0" borderId="3" applyAlignment="1" applyProtection="1" pivotButton="0" quotePrefix="0" xfId="41">
      <alignment horizontal="left" vertical="center" indent="2"/>
      <protection locked="0" hidden="0"/>
    </xf>
    <xf numFmtId="0" fontId="22" fillId="0" borderId="11" applyAlignment="1" applyProtection="1" pivotButton="0" quotePrefix="0" xfId="41">
      <alignment horizontal="left" vertical="center" indent="2"/>
      <protection locked="0" hidden="0"/>
    </xf>
    <xf numFmtId="0" fontId="22" fillId="0" borderId="0" applyAlignment="1" applyProtection="1" pivotButton="0" quotePrefix="0" xfId="41">
      <alignment horizontal="left" vertical="center" indent="2"/>
      <protection locked="0" hidden="0"/>
    </xf>
    <xf numFmtId="0" fontId="81" fillId="0" borderId="0" applyAlignment="1" applyProtection="1" pivotButton="0" quotePrefix="0" xfId="0">
      <alignment vertical="center"/>
      <protection locked="0" hidden="0"/>
    </xf>
    <xf numFmtId="0" fontId="25" fillId="10" borderId="31" applyAlignment="1" applyProtection="1" pivotButton="0" quotePrefix="0" xfId="41">
      <alignment horizontal="center" vertical="center" wrapText="1"/>
      <protection locked="0" hidden="0"/>
    </xf>
    <xf numFmtId="0" fontId="73" fillId="4" borderId="8" applyAlignment="1" applyProtection="1" pivotButton="0" quotePrefix="0" xfId="0">
      <alignment horizontal="centerContinuous" vertical="center"/>
      <protection locked="0" hidden="0"/>
    </xf>
    <xf numFmtId="0" fontId="74" fillId="4" borderId="8" applyAlignment="1" applyProtection="1" pivotButton="0" quotePrefix="0" xfId="0">
      <alignment horizontal="centerContinuous" vertical="center"/>
      <protection locked="0" hidden="0"/>
    </xf>
    <xf numFmtId="0" fontId="30" fillId="4" borderId="8" applyAlignment="1" applyProtection="1" pivotButton="0" quotePrefix="0" xfId="0">
      <alignment horizontal="centerContinuous" vertical="center"/>
      <protection locked="0" hidden="0"/>
    </xf>
    <xf numFmtId="0" fontId="76" fillId="0" borderId="0" applyAlignment="1" applyProtection="1" pivotButton="0" quotePrefix="0" xfId="0">
      <alignment vertical="center" wrapText="1"/>
      <protection locked="0" hidden="0"/>
    </xf>
    <xf numFmtId="0" fontId="30" fillId="0" borderId="0" applyAlignment="1" applyProtection="1" pivotButton="0" quotePrefix="0" xfId="0">
      <alignment vertical="top" wrapText="1"/>
      <protection locked="0" hidden="0"/>
    </xf>
    <xf numFmtId="0" fontId="22"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3" fontId="22" fillId="0" borderId="0" applyAlignment="1" pivotButton="0" quotePrefix="0" xfId="0">
      <alignment vertical="center"/>
    </xf>
    <xf numFmtId="0" fontId="30" fillId="0" borderId="5" applyAlignment="1" applyProtection="1" pivotButton="0" quotePrefix="0" xfId="48">
      <alignment horizontal="left" vertical="center"/>
      <protection locked="0" hidden="0"/>
    </xf>
    <xf numFmtId="0" fontId="72" fillId="0" borderId="31" applyAlignment="1" pivotButton="0" quotePrefix="0" xfId="0">
      <alignment horizontal="center"/>
    </xf>
    <xf numFmtId="0" fontId="30" fillId="0" borderId="13" applyAlignment="1" applyProtection="1" pivotButton="0" quotePrefix="0" xfId="0">
      <alignment vertical="center"/>
      <protection locked="0" hidden="0"/>
    </xf>
    <xf numFmtId="14" fontId="23" fillId="0" borderId="0"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164" fontId="30" fillId="0" borderId="5" applyAlignment="1" applyProtection="1" pivotButton="0" quotePrefix="0" xfId="1">
      <alignment vertical="center"/>
      <protection locked="0" hidden="0"/>
    </xf>
    <xf numFmtId="14" fontId="21" fillId="0" borderId="0" applyAlignment="1" applyProtection="1" pivotButton="0" quotePrefix="0" xfId="0">
      <alignment vertical="center" wrapText="1"/>
      <protection locked="0" hidden="0"/>
    </xf>
    <xf numFmtId="0" fontId="25" fillId="5" borderId="0" applyAlignment="1" pivotButton="0" quotePrefix="0" xfId="0">
      <alignment vertical="center"/>
    </xf>
    <xf numFmtId="0" fontId="28" fillId="0" borderId="0" applyAlignment="1" applyProtection="1" pivotButton="0" quotePrefix="0" xfId="48">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23" fillId="0" borderId="0" applyAlignment="1" applyProtection="1" pivotButton="0" quotePrefix="0" xfId="0">
      <alignment horizontal="left" vertical="center" indent="1"/>
      <protection locked="0" hidden="0"/>
    </xf>
    <xf numFmtId="0" fontId="30" fillId="0" borderId="0" applyAlignment="1" applyProtection="1" pivotButton="0" quotePrefix="0" xfId="0">
      <alignment horizontal="left" vertical="center" wrapText="1" indent="1"/>
      <protection locked="0" hidden="0"/>
    </xf>
    <xf numFmtId="0" fontId="28" fillId="0" borderId="0" applyAlignment="1" applyProtection="1" pivotButton="0" quotePrefix="0" xfId="0">
      <alignment horizontal="center" vertical="center"/>
      <protection locked="0" hidden="0"/>
    </xf>
    <xf numFmtId="43" fontId="21" fillId="10" borderId="31" applyAlignment="1" pivotButton="0" quotePrefix="0" xfId="7">
      <alignment horizontal="center" vertical="center" wrapText="1"/>
    </xf>
    <xf numFmtId="0" fontId="21" fillId="10" borderId="31" applyAlignment="1" pivotButton="0" quotePrefix="0" xfId="7">
      <alignment horizontal="center" vertical="center" wrapText="1"/>
    </xf>
    <xf numFmtId="0" fontId="78" fillId="10" borderId="31" applyAlignment="1" pivotButton="0" quotePrefix="0" xfId="7">
      <alignment horizontal="center" vertical="center" wrapText="1"/>
    </xf>
    <xf numFmtId="0" fontId="21" fillId="10" borderId="31" applyAlignment="1" pivotButton="0" quotePrefix="0" xfId="8">
      <alignment horizontal="center" vertical="center" wrapText="1"/>
    </xf>
    <xf numFmtId="0" fontId="28" fillId="0" borderId="0" applyAlignment="1" applyProtection="1" pivotButton="0" quotePrefix="0" xfId="38">
      <alignment horizontal="left" vertical="center"/>
      <protection locked="0" hidden="0"/>
    </xf>
    <xf numFmtId="0" fontId="25" fillId="3" borderId="8" applyAlignment="1" applyProtection="1" pivotButton="0" quotePrefix="0" xfId="0">
      <alignment horizontal="left" vertical="center"/>
      <protection locked="0" hidden="0"/>
    </xf>
    <xf numFmtId="0" fontId="25" fillId="0" borderId="0" applyAlignment="1" applyProtection="1" pivotButton="0" quotePrefix="0" xfId="0">
      <alignment horizontal="left" vertical="center"/>
      <protection locked="0" hidden="0"/>
    </xf>
    <xf numFmtId="0" fontId="21" fillId="10" borderId="4" applyAlignment="1" applyProtection="1" pivotButton="0" quotePrefix="0" xfId="0">
      <alignment vertical="center"/>
      <protection locked="0" hidden="0"/>
    </xf>
    <xf numFmtId="0" fontId="28" fillId="10" borderId="5" applyAlignment="1" applyProtection="1" pivotButton="0" quotePrefix="0" xfId="0">
      <alignment vertical="center"/>
      <protection locked="0" hidden="0"/>
    </xf>
    <xf numFmtId="0" fontId="23" fillId="10" borderId="6" applyAlignment="1" applyProtection="1" pivotButton="0" quotePrefix="0" xfId="0">
      <alignment vertical="center"/>
      <protection locked="0" hidden="0"/>
    </xf>
    <xf numFmtId="0" fontId="22" fillId="0" borderId="4" applyAlignment="1" applyProtection="1" pivotButton="0" quotePrefix="0" xfId="0">
      <alignment horizontal="left" vertical="center" indent="1"/>
      <protection locked="0" hidden="0"/>
    </xf>
    <xf numFmtId="0" fontId="21" fillId="0" borderId="5" applyAlignment="1" applyProtection="1" pivotButton="0" quotePrefix="0" xfId="0">
      <alignment horizontal="left" vertical="center"/>
      <protection locked="0" hidden="0"/>
    </xf>
    <xf numFmtId="0" fontId="21" fillId="0" borderId="6" applyAlignment="1" applyProtection="1" pivotButton="0" quotePrefix="0" xfId="0">
      <alignment horizontal="left" vertical="center"/>
      <protection locked="0" hidden="0"/>
    </xf>
    <xf numFmtId="0" fontId="22" fillId="0" borderId="1" applyAlignment="1" applyProtection="1" pivotButton="0" quotePrefix="0" xfId="0">
      <alignment horizontal="left" vertical="center" indent="1"/>
      <protection locked="0" hidden="0"/>
    </xf>
    <xf numFmtId="0" fontId="21" fillId="0" borderId="8" applyAlignment="1" applyProtection="1" pivotButton="0" quotePrefix="0" xfId="0">
      <alignment horizontal="left" vertical="center"/>
      <protection locked="0" hidden="0"/>
    </xf>
    <xf numFmtId="0" fontId="21" fillId="0" borderId="9" applyAlignment="1" applyProtection="1" pivotButton="0" quotePrefix="0" xfId="0">
      <alignment horizontal="left" vertical="center"/>
      <protection locked="0" hidden="0"/>
    </xf>
    <xf numFmtId="0" fontId="23" fillId="0" borderId="3" applyAlignment="1" applyProtection="1" pivotButton="0" quotePrefix="0" xfId="0">
      <alignment vertical="center"/>
      <protection locked="0" hidden="0"/>
    </xf>
    <xf numFmtId="0" fontId="23" fillId="0" borderId="11" applyAlignment="1" applyProtection="1" pivotButton="0" quotePrefix="0" xfId="0">
      <alignment vertical="center"/>
      <protection locked="0" hidden="0"/>
    </xf>
    <xf numFmtId="0" fontId="27" fillId="0" borderId="0" applyAlignment="1" pivotButton="0" quotePrefix="0" xfId="0">
      <alignment horizontal="center" vertical="center"/>
    </xf>
    <xf numFmtId="39" fontId="21" fillId="10" borderId="31" applyAlignment="1" pivotButton="0" quotePrefix="0" xfId="0">
      <alignment horizontal="center" vertical="center" wrapText="1"/>
    </xf>
    <xf numFmtId="164" fontId="30" fillId="0" borderId="31" applyAlignment="1" applyProtection="1" pivotButton="0" quotePrefix="0" xfId="1">
      <alignment vertical="center"/>
      <protection locked="0" hidden="0"/>
    </xf>
    <xf numFmtId="164" fontId="28" fillId="0" borderId="0" applyAlignment="1" applyProtection="1" pivotButton="0" quotePrefix="0" xfId="1">
      <alignment horizontal="left" vertical="center"/>
      <protection locked="0" hidden="0"/>
    </xf>
    <xf numFmtId="0" fontId="30" fillId="4" borderId="5" applyAlignment="1" applyProtection="1" pivotButton="0" quotePrefix="0" xfId="0">
      <alignment horizontal="center" vertical="center"/>
      <protection locked="0" hidden="0"/>
    </xf>
    <xf numFmtId="0" fontId="21" fillId="10" borderId="5" applyAlignment="1" applyProtection="1" pivotButton="0" quotePrefix="0" xfId="0">
      <alignment vertical="center"/>
      <protection locked="0" hidden="0"/>
    </xf>
    <xf numFmtId="0" fontId="21" fillId="10" borderId="6" applyAlignment="1" applyProtection="1" pivotButton="0" quotePrefix="0" xfId="0">
      <alignment vertical="center"/>
      <protection locked="0" hidden="0"/>
    </xf>
    <xf numFmtId="0" fontId="22" fillId="0" borderId="0" applyAlignment="1" applyProtection="1" pivotButton="0" quotePrefix="0" xfId="0">
      <alignment horizontal="left" vertical="center"/>
      <protection locked="0" hidden="0"/>
    </xf>
    <xf numFmtId="39" fontId="21" fillId="11" borderId="31" applyAlignment="1" pivotButton="0" quotePrefix="0" xfId="0">
      <alignment horizontal="center" vertical="center" wrapText="1"/>
    </xf>
    <xf numFmtId="0" fontId="72" fillId="7" borderId="0" applyAlignment="1" applyProtection="1" pivotButton="0" quotePrefix="0" xfId="0">
      <alignment vertical="center"/>
      <protection locked="0" hidden="0"/>
    </xf>
    <xf numFmtId="14" fontId="72" fillId="7" borderId="0" applyAlignment="1" applyProtection="1" pivotButton="0" quotePrefix="0" xfId="0">
      <alignment vertical="center"/>
      <protection locked="0" hidden="0"/>
    </xf>
    <xf numFmtId="0" fontId="22" fillId="0" borderId="4" applyAlignment="1" applyProtection="1" pivotButton="0" quotePrefix="0" xfId="0">
      <alignment horizontal="left" vertical="center" indent="2"/>
      <protection locked="0" hidden="0"/>
    </xf>
    <xf numFmtId="0" fontId="22" fillId="0" borderId="5" applyAlignment="1" applyProtection="1" pivotButton="0" quotePrefix="0" xfId="0">
      <alignment horizontal="left" vertical="center"/>
      <protection locked="0" hidden="0"/>
    </xf>
    <xf numFmtId="0" fontId="23" fillId="0" borderId="5" applyAlignment="1" applyProtection="1" pivotButton="0" quotePrefix="0" xfId="0">
      <alignment horizontal="left" vertical="center"/>
      <protection locked="0" hidden="0"/>
    </xf>
    <xf numFmtId="0" fontId="23" fillId="0" borderId="6" applyAlignment="1" applyProtection="1" pivotButton="0" quotePrefix="0" xfId="0">
      <alignment horizontal="left" vertical="center"/>
      <protection locked="0" hidden="0"/>
    </xf>
    <xf numFmtId="0" fontId="22" fillId="0" borderId="8" applyAlignment="1" applyProtection="1" pivotButton="0" quotePrefix="0" xfId="0">
      <alignment horizontal="left" vertical="center"/>
      <protection locked="0" hidden="0"/>
    </xf>
    <xf numFmtId="0" fontId="23" fillId="0" borderId="8" applyAlignment="1" applyProtection="1" pivotButton="0" quotePrefix="0" xfId="0">
      <alignment horizontal="left" vertical="center"/>
      <protection locked="0" hidden="0"/>
    </xf>
    <xf numFmtId="0" fontId="23" fillId="0" borderId="9" applyAlignment="1" applyProtection="1" pivotButton="0" quotePrefix="0" xfId="0">
      <alignment horizontal="left" vertical="center"/>
      <protection locked="0" hidden="0"/>
    </xf>
    <xf numFmtId="0" fontId="23" fillId="0" borderId="0" applyAlignment="1" applyProtection="1" pivotButton="0" quotePrefix="0" xfId="0">
      <alignment horizontal="left" vertical="center"/>
      <protection locked="0" hidden="0"/>
    </xf>
    <xf numFmtId="0" fontId="23" fillId="5" borderId="0" applyAlignment="1" applyProtection="1" pivotButton="0" quotePrefix="0" xfId="0">
      <alignment vertical="center"/>
      <protection locked="0" hidden="0"/>
    </xf>
    <xf numFmtId="166" fontId="78" fillId="2" borderId="0" applyAlignment="1" applyProtection="1" pivotButton="0" quotePrefix="0" xfId="0">
      <alignment horizontal="right" vertical="center"/>
      <protection locked="0" hidden="0"/>
    </xf>
    <xf numFmtId="0" fontId="71" fillId="3" borderId="8" applyAlignment="1" applyProtection="1" pivotButton="0" quotePrefix="0" xfId="0">
      <alignment vertical="center" wrapText="1"/>
      <protection locked="0" hidden="0"/>
    </xf>
    <xf numFmtId="0" fontId="72" fillId="5" borderId="0" applyAlignment="1" applyProtection="1" pivotButton="0" quotePrefix="0" xfId="0">
      <alignment vertical="center"/>
      <protection locked="0" hidden="0"/>
    </xf>
    <xf numFmtId="0" fontId="82" fillId="0" borderId="0" applyAlignment="1" applyProtection="1" pivotButton="0" quotePrefix="0" xfId="0">
      <alignment horizontal="center" vertical="center"/>
      <protection locked="0" hidden="0"/>
    </xf>
    <xf numFmtId="0" fontId="29" fillId="0" borderId="0" applyAlignment="1" applyProtection="1" pivotButton="0" quotePrefix="0" xfId="0">
      <alignment vertical="center"/>
      <protection locked="0" hidden="0"/>
    </xf>
    <xf numFmtId="0" fontId="23" fillId="2" borderId="0" applyAlignment="1" applyProtection="1" pivotButton="0" quotePrefix="0" xfId="0">
      <alignment vertical="center"/>
      <protection locked="0" hidden="0"/>
    </xf>
    <xf numFmtId="0" fontId="72" fillId="2" borderId="0" applyAlignment="1" applyProtection="1" pivotButton="0" quotePrefix="0" xfId="0">
      <alignment vertical="center"/>
      <protection locked="0" hidden="0"/>
    </xf>
    <xf numFmtId="0" fontId="71" fillId="5" borderId="0" applyAlignment="1" applyProtection="1" pivotButton="0" quotePrefix="0" xfId="0">
      <alignment vertical="center"/>
      <protection locked="0" hidden="0"/>
    </xf>
    <xf numFmtId="0" fontId="71" fillId="5" borderId="0" applyAlignment="1" applyProtection="1" pivotButton="0" quotePrefix="0" xfId="0">
      <alignment vertical="center" wrapText="1"/>
      <protection locked="0" hidden="0"/>
    </xf>
    <xf numFmtId="0" fontId="23" fillId="0" borderId="1" applyAlignment="1" pivotButton="0" quotePrefix="0" xfId="0">
      <alignment vertical="center"/>
    </xf>
    <xf numFmtId="0" fontId="23" fillId="0" borderId="8" applyAlignment="1" pivotButton="0" quotePrefix="0" xfId="0">
      <alignment vertical="center"/>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0" fontId="23" fillId="0" borderId="5" applyAlignment="1" pivotButton="0" quotePrefix="0" xfId="0">
      <alignment vertical="center"/>
    </xf>
    <xf numFmtId="0" fontId="84" fillId="0" borderId="0" applyAlignment="1" pivotButton="0" quotePrefix="0" xfId="0">
      <alignment horizontal="left" vertical="top" wrapText="1"/>
    </xf>
    <xf numFmtId="0" fontId="23" fillId="0" borderId="15" applyAlignment="1" pivotButton="0" quotePrefix="0" xfId="0">
      <alignment vertical="center"/>
    </xf>
    <xf numFmtId="0" fontId="84" fillId="0" borderId="0" applyAlignment="1" pivotButton="0" quotePrefix="0" xfId="0">
      <alignment horizontal="left" vertical="center" wrapText="1"/>
    </xf>
    <xf numFmtId="14" fontId="86" fillId="5" borderId="0" applyAlignment="1" pivotButton="0" quotePrefix="0" xfId="0">
      <alignment horizontal="left" vertical="top" wrapText="1"/>
    </xf>
    <xf numFmtId="0" fontId="86" fillId="5" borderId="0" applyAlignment="1" pivotButton="0" quotePrefix="0" xfId="0">
      <alignment horizontal="left" vertical="top" wrapText="1"/>
    </xf>
    <xf numFmtId="0" fontId="51" fillId="0" borderId="0" applyAlignment="1" applyProtection="1" pivotButton="0" quotePrefix="0" xfId="0">
      <alignment vertical="center" wrapText="1"/>
      <protection locked="0" hidden="0"/>
    </xf>
    <xf numFmtId="0" fontId="28" fillId="0" borderId="0" applyAlignment="1" applyProtection="1" pivotButton="0" quotePrefix="0" xfId="0">
      <alignment horizontal="left" vertical="center" wrapText="1"/>
      <protection locked="0" hidden="0"/>
    </xf>
    <xf numFmtId="0" fontId="30" fillId="0" borderId="0" applyAlignment="1" applyProtection="1" pivotButton="0" quotePrefix="0" xfId="51">
      <alignment vertical="center"/>
      <protection locked="0" hidden="0"/>
    </xf>
    <xf numFmtId="0" fontId="21" fillId="10" borderId="14" applyAlignment="1" pivotButton="0" quotePrefix="0" xfId="0">
      <alignment horizontal="centerContinuous" vertical="center"/>
    </xf>
    <xf numFmtId="0" fontId="21" fillId="10" borderId="23" applyAlignment="1" pivotButton="0" quotePrefix="0" xfId="0">
      <alignment horizontal="centerContinuous" vertical="center"/>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30" fillId="0" borderId="0" applyAlignment="1" applyProtection="1" pivotButton="0" quotePrefix="0" xfId="57">
      <alignment horizontal="center" vertical="center" wrapText="1"/>
      <protection locked="0" hidden="0"/>
    </xf>
    <xf numFmtId="9" fontId="30" fillId="5" borderId="31" applyAlignment="1" applyProtection="1" pivotButton="0" quotePrefix="0" xfId="47">
      <alignment horizontal="right" vertical="center" wrapText="1"/>
      <protection locked="0" hidden="0"/>
    </xf>
    <xf numFmtId="9" fontId="30" fillId="5" borderId="0" applyAlignment="1" applyProtection="1" pivotButton="0" quotePrefix="0" xfId="47">
      <alignment horizontal="right" vertical="center" wrapText="1"/>
      <protection locked="0" hidden="0"/>
    </xf>
    <xf numFmtId="0" fontId="82" fillId="0" borderId="0" applyAlignment="1" applyProtection="1" pivotButton="0" quotePrefix="0" xfId="0">
      <alignment horizontal="left" vertical="center"/>
      <protection locked="0" hidden="0"/>
    </xf>
    <xf numFmtId="0" fontId="21" fillId="10" borderId="25" applyAlignment="1" pivotButton="0" quotePrefix="0" xfId="0">
      <alignment horizontal="center" vertical="center"/>
    </xf>
    <xf numFmtId="0" fontId="23" fillId="2" borderId="0" applyAlignment="1" applyProtection="1" pivotButton="0" quotePrefix="0" xfId="0">
      <alignment horizontal="left" vertical="center"/>
      <protection locked="0" hidden="0"/>
    </xf>
    <xf numFmtId="9" fontId="23" fillId="8" borderId="0" applyAlignment="1" applyProtection="1" pivotButton="0" quotePrefix="0" xfId="60">
      <alignment horizontal="center" vertical="center"/>
      <protection locked="0" hidden="0"/>
    </xf>
    <xf numFmtId="0" fontId="28" fillId="8" borderId="0" applyAlignment="1" applyProtection="1" pivotButton="0" quotePrefix="0" xfId="0">
      <alignment horizontal="left" vertical="center"/>
      <protection locked="0" hidden="0"/>
    </xf>
    <xf numFmtId="0" fontId="87" fillId="8" borderId="0" applyAlignment="1" applyProtection="1" pivotButton="0" quotePrefix="0" xfId="0">
      <alignment horizontal="center"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1" xfId="58">
      <alignment horizontal="left" vertical="center"/>
      <protection locked="0" hidden="0"/>
    </xf>
    <xf numFmtId="9" fontId="30" fillId="0" borderId="0" applyAlignment="1" applyProtection="1" pivotButton="0" quotePrefix="1" xfId="58">
      <alignment horizontal="left" vertical="center"/>
      <protection locked="0" hidden="0"/>
    </xf>
    <xf numFmtId="41" fontId="30" fillId="0" borderId="0" applyAlignment="1" applyProtection="1" pivotButton="0" quotePrefix="0" xfId="59">
      <alignment vertical="center"/>
      <protection locked="0" hidden="0"/>
    </xf>
    <xf numFmtId="9" fontId="30" fillId="0" borderId="0" applyAlignment="1" applyProtection="1" pivotButton="0" quotePrefix="1" xfId="58">
      <alignment vertical="center"/>
      <protection locked="0" hidden="0"/>
    </xf>
    <xf numFmtId="164" fontId="30" fillId="0" borderId="0" applyAlignment="1" applyProtection="1" pivotButton="0" quotePrefix="0" xfId="38">
      <alignment horizontal="left" vertical="center"/>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9" fontId="30" fillId="2" borderId="0" applyAlignment="1" applyProtection="1" pivotButton="0" quotePrefix="1" xfId="58">
      <alignment vertical="center"/>
      <protection locked="0" hidden="0"/>
    </xf>
    <xf numFmtId="0" fontId="57" fillId="0" borderId="0" applyAlignment="1" pivotButton="0" quotePrefix="0" xfId="0">
      <alignment vertical="center"/>
    </xf>
    <xf numFmtId="0" fontId="28" fillId="0" borderId="32" applyAlignment="1" pivotButton="0" quotePrefix="0" xfId="0">
      <alignment horizontal="center" vertical="center"/>
    </xf>
    <xf numFmtId="0" fontId="23" fillId="0" borderId="3" applyAlignment="1" pivotButton="0" quotePrefix="0" xfId="0">
      <alignment vertical="center"/>
    </xf>
    <xf numFmtId="0" fontId="23" fillId="0" borderId="33" applyAlignment="1" pivotButton="0" quotePrefix="0" xfId="0">
      <alignment vertical="center"/>
    </xf>
    <xf numFmtId="0" fontId="82" fillId="0" borderId="32" applyAlignment="1" pivotButton="0" quotePrefix="0" xfId="0">
      <alignment horizontal="center" vertical="center"/>
    </xf>
    <xf numFmtId="0" fontId="23" fillId="0" borderId="34" applyAlignment="1" pivotButton="0" quotePrefix="0" xfId="0">
      <alignment vertical="center"/>
    </xf>
    <xf numFmtId="0" fontId="30" fillId="0" borderId="1" applyAlignment="1" pivotButton="0" quotePrefix="0" xfId="81">
      <alignment vertical="center"/>
    </xf>
    <xf numFmtId="0" fontId="23" fillId="0" borderId="22" applyAlignment="1" pivotButton="0" quotePrefix="0" xfId="0">
      <alignment vertical="center"/>
    </xf>
    <xf numFmtId="0" fontId="28" fillId="0" borderId="32" applyAlignment="1" applyProtection="1" pivotButton="0" quotePrefix="0" xfId="0">
      <alignment horizontal="center" vertical="center"/>
      <protection locked="0" hidden="0"/>
    </xf>
    <xf numFmtId="0" fontId="23" fillId="0" borderId="34" applyAlignment="1" applyProtection="1" pivotButton="0" quotePrefix="0" xfId="0">
      <alignment vertical="center"/>
      <protection locked="0" hidden="0"/>
    </xf>
    <xf numFmtId="0" fontId="85" fillId="0" borderId="32" applyAlignment="1" pivotButton="0" quotePrefix="0" xfId="0">
      <alignment horizontal="center" vertical="center"/>
    </xf>
    <xf numFmtId="0" fontId="28" fillId="0" borderId="18" applyAlignment="1" pivotButton="0" quotePrefix="0" xfId="0">
      <alignment horizontal="center" vertical="center"/>
    </xf>
    <xf numFmtId="0" fontId="22" fillId="0" borderId="35" applyAlignment="1" pivotButton="0" quotePrefix="0" xfId="0">
      <alignment vertical="center"/>
    </xf>
    <xf numFmtId="49" fontId="26" fillId="0" borderId="0" applyAlignment="1" applyProtection="1" pivotButton="0" quotePrefix="0" xfId="0">
      <alignment vertical="center"/>
      <protection locked="0" hidden="0"/>
    </xf>
    <xf numFmtId="167" fontId="22" fillId="0" borderId="0" applyAlignment="1" pivotButton="0" quotePrefix="0" xfId="0">
      <alignment vertical="center"/>
    </xf>
    <xf numFmtId="0" fontId="28" fillId="9" borderId="0" applyAlignment="1" pivotButton="0" quotePrefix="0" xfId="0">
      <alignment horizontal="left" vertical="center"/>
    </xf>
    <xf numFmtId="0" fontId="78" fillId="0" borderId="0" applyAlignment="1" applyProtection="1" pivotButton="0" quotePrefix="0" xfId="0">
      <alignment horizontal="left" vertical="center" wrapText="1"/>
      <protection locked="0" hidden="0"/>
    </xf>
    <xf numFmtId="0" fontId="28" fillId="0" borderId="0" applyAlignment="1" applyProtection="1" pivotButton="0" quotePrefix="0" xfId="95">
      <alignment horizontal="left" vertical="center"/>
      <protection locked="0" hidden="0"/>
    </xf>
    <xf numFmtId="0" fontId="30" fillId="0" borderId="0" applyAlignment="1" applyProtection="1" pivotButton="0" quotePrefix="0" xfId="95">
      <alignment horizontal="center"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0" fontId="28" fillId="0" borderId="0" applyAlignment="1" applyProtection="1" pivotButton="0" quotePrefix="0" xfId="95">
      <alignment horizontal="center" vertical="center"/>
      <protection locked="0" hidden="0"/>
    </xf>
    <xf numFmtId="0" fontId="21" fillId="0" borderId="0" applyAlignment="1" applyProtection="1" pivotButton="0" quotePrefix="0" xfId="95">
      <alignment horizontal="center" vertical="center"/>
      <protection locked="0" hidden="0"/>
    </xf>
    <xf numFmtId="0" fontId="21" fillId="10" borderId="36" applyAlignment="1" pivotButton="0" quotePrefix="0" xfId="47">
      <alignment vertical="center"/>
    </xf>
    <xf numFmtId="0" fontId="30" fillId="0" borderId="0" applyAlignment="1" applyProtection="1" pivotButton="0" quotePrefix="0" xfId="41">
      <alignment horizontal="center" vertical="center"/>
      <protection locked="0" hidden="0"/>
    </xf>
    <xf numFmtId="0" fontId="89" fillId="10" borderId="3" applyAlignment="1" applyProtection="1" pivotButton="0" quotePrefix="0" xfId="0">
      <alignment vertical="center"/>
      <protection locked="0" hidden="0"/>
    </xf>
    <xf numFmtId="0" fontId="21" fillId="10" borderId="31" applyAlignment="1" applyProtection="1" pivotButton="0" quotePrefix="0" xfId="8">
      <alignment horizontal="center" vertical="center" wrapText="1"/>
      <protection locked="0" hidden="0"/>
    </xf>
    <xf numFmtId="0" fontId="89" fillId="0" borderId="0" applyAlignment="1" pivotButton="0" quotePrefix="0" xfId="0">
      <alignment vertical="center"/>
    </xf>
    <xf numFmtId="0" fontId="94" fillId="3" borderId="7" applyAlignment="1" pivotButton="0" quotePrefix="0" xfId="0">
      <alignment vertical="center"/>
    </xf>
    <xf numFmtId="0" fontId="95" fillId="10" borderId="0" applyAlignment="1" pivotButton="0" quotePrefix="0" xfId="0">
      <alignment vertical="center"/>
    </xf>
    <xf numFmtId="0" fontId="30" fillId="0" borderId="45" applyAlignment="1" applyProtection="1" pivotButton="0" quotePrefix="0" xfId="57">
      <alignment horizontal="left" vertical="center"/>
      <protection locked="0" hidden="0"/>
    </xf>
    <xf numFmtId="0" fontId="22" fillId="12" borderId="31" applyAlignment="1" pivotButton="0" quotePrefix="0" xfId="0">
      <alignment horizontal="center" vertical="center"/>
    </xf>
    <xf numFmtId="0" fontId="21" fillId="9" borderId="1" applyAlignment="1" pivotButton="0" quotePrefix="0" xfId="0">
      <alignment horizontal="center" vertical="center" wrapText="1"/>
    </xf>
    <xf numFmtId="0" fontId="30" fillId="12" borderId="31" applyAlignment="1" pivotButton="0" quotePrefix="0" xfId="0">
      <alignment horizontal="center" vertical="center" wrapText="1"/>
    </xf>
    <xf numFmtId="0" fontId="21" fillId="12" borderId="31" applyAlignment="1" pivotButton="0" quotePrefix="0" xfId="0">
      <alignment horizontal="center" vertical="center" wrapText="1"/>
    </xf>
    <xf numFmtId="0" fontId="97" fillId="0" borderId="0" applyAlignment="1" applyProtection="1" pivotButton="0" quotePrefix="0" xfId="0">
      <alignment horizontal="left" vertical="center"/>
      <protection locked="0" hidden="0"/>
    </xf>
    <xf numFmtId="0" fontId="30" fillId="4" borderId="9" applyAlignment="1" applyProtection="1" pivotButton="0" quotePrefix="0" xfId="0">
      <alignment horizontal="centerContinuous" vertical="center"/>
      <protection locked="0" hidden="0"/>
    </xf>
    <xf numFmtId="0" fontId="99" fillId="0" borderId="0" applyAlignment="1" applyProtection="1" pivotButton="0" quotePrefix="0" xfId="0">
      <alignment vertical="center"/>
      <protection locked="0" hidden="0"/>
    </xf>
    <xf numFmtId="0" fontId="101" fillId="5" borderId="0" applyAlignment="1" pivotButton="0" quotePrefix="0" xfId="0">
      <alignment vertical="center"/>
    </xf>
    <xf numFmtId="0" fontId="21" fillId="0" borderId="31" applyAlignment="1" pivotButton="0" quotePrefix="0" xfId="0">
      <alignment horizontal="left" vertical="center" wrapText="1"/>
    </xf>
    <xf numFmtId="0" fontId="29" fillId="0" borderId="31" applyAlignment="1" pivotButton="0" quotePrefix="0" xfId="0">
      <alignment horizontal="left" vertical="center" wrapText="1"/>
    </xf>
    <xf numFmtId="0" fontId="102" fillId="0" borderId="0" applyAlignment="1" pivotButton="0" quotePrefix="0" xfId="0">
      <alignment vertical="center"/>
    </xf>
    <xf numFmtId="49" fontId="32" fillId="10" borderId="31" applyAlignment="1" applyProtection="1" pivotButton="0" quotePrefix="0" xfId="42">
      <alignment horizontal="center" vertical="center" wrapText="1"/>
      <protection locked="0" hidden="0"/>
    </xf>
    <xf numFmtId="0" fontId="25" fillId="3" borderId="9" applyAlignment="1" applyProtection="1" pivotButton="0" quotePrefix="0" xfId="0">
      <alignment horizontal="left" vertical="center"/>
      <protection locked="0" hidden="0"/>
    </xf>
    <xf numFmtId="0" fontId="44" fillId="10" borderId="31" applyAlignment="1" pivotButton="0" quotePrefix="0" xfId="0">
      <alignment horizontal="center" vertical="center" wrapText="1"/>
    </xf>
    <xf numFmtId="0" fontId="104" fillId="3" borderId="1" applyAlignment="1" applyProtection="1" pivotButton="0" quotePrefix="0" xfId="0">
      <alignment horizontal="left" vertical="center"/>
      <protection locked="0" hidden="0"/>
    </xf>
    <xf numFmtId="0" fontId="80" fillId="0" borderId="31" applyAlignment="1" pivotButton="0" quotePrefix="1" xfId="48">
      <alignment horizontal="center" vertical="center" wrapText="1"/>
    </xf>
    <xf numFmtId="0" fontId="80" fillId="0" borderId="31" applyAlignment="1" pivotButton="0" quotePrefix="1" xfId="48">
      <alignment horizontal="center" vertical="center" wrapText="1"/>
    </xf>
    <xf numFmtId="0" fontId="63" fillId="0" borderId="0" applyAlignment="1" pivotButton="0" quotePrefix="0" xfId="48">
      <alignment vertical="center"/>
    </xf>
    <xf numFmtId="0" fontId="23" fillId="0" borderId="31" applyAlignment="1" pivotButton="0" quotePrefix="0" xfId="0">
      <alignment horizontal="center" vertical="center"/>
    </xf>
    <xf numFmtId="0" fontId="23" fillId="0" borderId="31" applyAlignment="1" pivotButton="0" quotePrefix="0" xfId="0">
      <alignment horizontal="left" vertical="center"/>
    </xf>
    <xf numFmtId="0" fontId="102" fillId="0" borderId="31" applyAlignment="1" applyProtection="1" pivotButton="0" quotePrefix="0" xfId="0">
      <alignment vertical="center"/>
      <protection locked="0" hidden="0"/>
    </xf>
    <xf numFmtId="0" fontId="102" fillId="0" borderId="0" applyAlignment="1" applyProtection="1" pivotButton="0" quotePrefix="0" xfId="0">
      <alignment vertical="center"/>
      <protection locked="0" hidden="0"/>
    </xf>
    <xf numFmtId="0" fontId="102" fillId="0" borderId="0" applyAlignment="1" applyProtection="1" pivotButton="0" quotePrefix="0" xfId="0">
      <alignment horizontal="left" vertical="center"/>
      <protection locked="0" hidden="0"/>
    </xf>
    <xf numFmtId="0" fontId="102" fillId="5" borderId="0" applyAlignment="1" applyProtection="1" pivotButton="0" quotePrefix="0" xfId="0">
      <alignment vertical="center"/>
      <protection locked="0" hidden="0"/>
    </xf>
    <xf numFmtId="166" fontId="101" fillId="2" borderId="0" applyAlignment="1" applyProtection="1" pivotButton="0" quotePrefix="0" xfId="0">
      <alignment horizontal="right" vertical="center"/>
      <protection locked="0" hidden="0"/>
    </xf>
    <xf numFmtId="0" fontId="108" fillId="10" borderId="0" applyAlignment="1" pivotButton="0" quotePrefix="0" xfId="0">
      <alignment vertical="center"/>
    </xf>
    <xf numFmtId="164" fontId="93" fillId="0" borderId="1" applyAlignment="1" pivotButton="0" quotePrefix="0" xfId="1">
      <alignment vertical="center"/>
    </xf>
    <xf numFmtId="0" fontId="89" fillId="11" borderId="15" applyAlignment="1" pivotButton="0" quotePrefix="0" xfId="0">
      <alignment horizontal="left" vertical="center"/>
    </xf>
    <xf numFmtId="0" fontId="89" fillId="11" borderId="16" applyAlignment="1" pivotButton="0" quotePrefix="0" xfId="0">
      <alignment horizontal="left" vertical="center"/>
    </xf>
    <xf numFmtId="0" fontId="93" fillId="0" borderId="0" applyAlignment="1" pivotButton="0" quotePrefix="0" xfId="0">
      <alignment vertical="center"/>
    </xf>
    <xf numFmtId="0" fontId="89" fillId="0" borderId="0" applyAlignment="1" pivotButton="0" quotePrefix="0" xfId="0">
      <alignment horizontal="left" vertical="center"/>
    </xf>
    <xf numFmtId="0" fontId="109" fillId="0" borderId="0" applyAlignment="1" applyProtection="1" pivotButton="0" quotePrefix="1" xfId="0">
      <alignment horizontal="center" vertical="top" wrapText="1"/>
      <protection locked="0" hidden="0"/>
    </xf>
    <xf numFmtId="0" fontId="110" fillId="0" borderId="0" applyAlignment="1" pivotButton="0" quotePrefix="0" xfId="0">
      <alignment vertical="center"/>
    </xf>
    <xf numFmtId="0" fontId="102" fillId="0" borderId="0" pivotButton="0" quotePrefix="0" xfId="0"/>
    <xf numFmtId="0" fontId="97" fillId="0" borderId="0" applyAlignment="1" applyProtection="1" pivotButton="0" quotePrefix="0" xfId="0">
      <alignment horizontal="center" vertical="center"/>
      <protection locked="0" hidden="0"/>
    </xf>
    <xf numFmtId="0" fontId="109" fillId="0" borderId="0" applyAlignment="1" applyProtection="1" pivotButton="0" quotePrefix="0" xfId="0">
      <alignment horizontal="center" vertical="center"/>
      <protection locked="0" hidden="0"/>
    </xf>
    <xf numFmtId="39" fontId="101" fillId="10" borderId="31" applyAlignment="1" applyProtection="1" pivotButton="0" quotePrefix="0" xfId="42">
      <alignment horizontal="center" vertical="center"/>
      <protection locked="0" hidden="0"/>
    </xf>
    <xf numFmtId="39" fontId="101" fillId="10" borderId="31" applyAlignment="1" applyProtection="1" pivotButton="0" quotePrefix="0" xfId="42">
      <alignment horizontal="center" vertical="center" wrapText="1"/>
      <protection locked="0" hidden="0"/>
    </xf>
    <xf numFmtId="39" fontId="89" fillId="10" borderId="31" applyAlignment="1" applyProtection="1" pivotButton="0" quotePrefix="0" xfId="42">
      <alignment horizontal="center" vertical="center" wrapText="1"/>
      <protection locked="0" hidden="0"/>
    </xf>
    <xf numFmtId="49" fontId="89" fillId="10" borderId="31" applyAlignment="1" applyProtection="1" pivotButton="0" quotePrefix="0" xfId="42">
      <alignment horizontal="center" vertical="center" wrapText="1"/>
      <protection locked="0" hidden="0"/>
    </xf>
    <xf numFmtId="39" fontId="68" fillId="10" borderId="31" applyAlignment="1" applyProtection="1" pivotButton="0" quotePrefix="0" xfId="42">
      <alignment horizontal="center" vertical="center" wrapText="1"/>
      <protection locked="0" hidden="0"/>
    </xf>
    <xf numFmtId="0" fontId="93" fillId="5" borderId="0" applyAlignment="1" pivotButton="0" quotePrefix="0" xfId="0">
      <alignment vertical="center"/>
    </xf>
    <xf numFmtId="166" fontId="101" fillId="0" borderId="10" applyAlignment="1" applyProtection="1" pivotButton="0" quotePrefix="0" xfId="0">
      <alignment horizontal="right" vertical="center"/>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0" fontId="101" fillId="0" borderId="0" applyAlignment="1" applyProtection="1" pivotButton="0" quotePrefix="0" xfId="0">
      <alignment vertical="center"/>
      <protection locked="0" hidden="0"/>
    </xf>
    <xf numFmtId="39" fontId="97" fillId="0" borderId="0" applyAlignment="1" applyProtection="1" pivotButton="0" quotePrefix="0" xfId="42">
      <alignment horizontal="center" vertical="center"/>
      <protection locked="0" hidden="0"/>
    </xf>
    <xf numFmtId="39" fontId="102" fillId="0" borderId="0" applyAlignment="1" applyProtection="1" pivotButton="0" quotePrefix="0" xfId="0">
      <alignment vertical="center"/>
      <protection locked="0" hidden="0"/>
    </xf>
    <xf numFmtId="39" fontId="101" fillId="0" borderId="0" applyAlignment="1" applyProtection="1" pivotButton="0" quotePrefix="0" xfId="42">
      <alignment horizontal="center"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39" fontId="97" fillId="0" borderId="0" applyAlignment="1" applyProtection="1" pivotButton="0" quotePrefix="0" xfId="42">
      <alignment horizontal="right" vertical="center"/>
      <protection locked="0" hidden="0"/>
    </xf>
    <xf numFmtId="0" fontId="102" fillId="0" borderId="0" applyAlignment="1" pivotButton="0" quotePrefix="0" xfId="0">
      <alignment horizontal="left" vertical="center"/>
    </xf>
    <xf numFmtId="0" fontId="106" fillId="0" borderId="0" applyAlignment="1" applyProtection="1" pivotButton="0" quotePrefix="0" xfId="0">
      <alignment vertical="center"/>
      <protection locked="0" hidden="0"/>
    </xf>
    <xf numFmtId="166" fontId="97" fillId="0" borderId="0" applyAlignment="1" applyProtection="1" pivotButton="0" quotePrefix="0" xfId="28">
      <alignment horizontal="right" vertical="center"/>
      <protection locked="0" hidden="0"/>
    </xf>
    <xf numFmtId="0" fontId="101" fillId="0" borderId="0" applyAlignment="1" pivotButton="0" quotePrefix="0" xfId="0">
      <alignment horizontal="right" vertical="center"/>
    </xf>
    <xf numFmtId="0" fontId="89" fillId="5" borderId="10" applyAlignment="1" pivotButton="0" quotePrefix="0" xfId="0">
      <alignment vertical="center"/>
    </xf>
    <xf numFmtId="0" fontId="89" fillId="0" borderId="10" applyAlignment="1" pivotButton="0" quotePrefix="0" xfId="0">
      <alignment vertical="center"/>
    </xf>
    <xf numFmtId="39" fontId="101" fillId="0" borderId="10" applyAlignment="1" applyProtection="1" pivotButton="0" quotePrefix="0" xfId="42">
      <alignment horizontal="center" vertical="center" wrapText="1"/>
      <protection locked="0" hidden="0"/>
    </xf>
    <xf numFmtId="39" fontId="101" fillId="0" borderId="10" applyAlignment="1" applyProtection="1" pivotButton="0" quotePrefix="0" xfId="42">
      <alignment horizontal="center" vertical="center"/>
      <protection locked="0" hidden="0"/>
    </xf>
    <xf numFmtId="0" fontId="102" fillId="0" borderId="10" applyAlignment="1" pivotButton="0" quotePrefix="0" xfId="0">
      <alignment horizontal="center" vertical="center"/>
    </xf>
    <xf numFmtId="0" fontId="102" fillId="0" borderId="0" applyAlignment="1" applyProtection="1" pivotButton="0" quotePrefix="0" xfId="0">
      <alignment horizontal="center" vertical="center"/>
      <protection locked="0" hidden="0"/>
    </xf>
    <xf numFmtId="164" fontId="101" fillId="0" borderId="21" applyAlignment="1" pivotButton="0" quotePrefix="0" xfId="1">
      <alignment horizontal="center" vertical="center"/>
    </xf>
    <xf numFmtId="0" fontId="97" fillId="0" borderId="10" applyAlignment="1" applyProtection="1" pivotButton="0" quotePrefix="0" xfId="28">
      <alignment horizontal="right" vertical="center"/>
      <protection locked="0" hidden="0"/>
    </xf>
    <xf numFmtId="39" fontId="101" fillId="0" borderId="0" applyAlignment="1" applyProtection="1" pivotButton="0" quotePrefix="0" xfId="42">
      <alignment horizontal="center" vertical="center" wrapText="1"/>
      <protection locked="0" hidden="0"/>
    </xf>
    <xf numFmtId="39" fontId="101" fillId="0" borderId="0" applyAlignment="1" applyProtection="1" pivotButton="0" quotePrefix="0" xfId="42">
      <alignment horizontal="left" vertical="center"/>
      <protection locked="0" hidden="0"/>
    </xf>
    <xf numFmtId="39" fontId="101" fillId="0" borderId="0" applyAlignment="1" applyProtection="1" pivotButton="0" quotePrefix="0" xfId="42">
      <alignment horizontal="left" vertical="center" wrapText="1"/>
      <protection locked="0" hidden="0"/>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0" fontId="111" fillId="0" borderId="0" applyAlignment="1" applyProtection="1" pivotButton="0" quotePrefix="0" xfId="0">
      <alignment vertical="center"/>
      <protection locked="0" hidden="0"/>
    </xf>
    <xf numFmtId="0" fontId="112" fillId="0" borderId="0" applyAlignment="1" applyProtection="1" pivotButton="0" quotePrefix="0" xfId="0">
      <alignment horizontal="center" vertical="center"/>
      <protection locked="0" hidden="0"/>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0" fontId="112" fillId="0" borderId="0" applyAlignment="1" applyProtection="1" pivotButton="0" quotePrefix="0" xfId="0">
      <alignment horizontal="left" vertical="center"/>
      <protection locked="0" hidden="0"/>
    </xf>
    <xf numFmtId="0" fontId="111" fillId="0" borderId="0" applyAlignment="1" applyProtection="1" pivotButton="0" quotePrefix="0" xfId="0">
      <alignment horizontal="left" vertical="center"/>
      <protection locked="0" hidden="0"/>
    </xf>
    <xf numFmtId="0" fontId="97" fillId="0" borderId="0" applyAlignment="1" applyProtection="1" pivotButton="0" quotePrefix="0" xfId="38">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68" fillId="11" borderId="31" applyAlignment="1" pivotButton="0" quotePrefix="0" xfId="0">
      <alignment horizontal="center" vertical="center" wrapText="1"/>
    </xf>
    <xf numFmtId="0" fontId="89" fillId="11" borderId="31" applyAlignment="1" pivotButton="0" quotePrefix="0" xfId="0">
      <alignment horizontal="center" vertical="center"/>
    </xf>
    <xf numFmtId="0" fontId="89" fillId="11" borderId="31" applyAlignment="1" pivotButton="0" quotePrefix="0" xfId="0">
      <alignment horizontal="center" vertical="center" wrapText="1"/>
    </xf>
    <xf numFmtId="39" fontId="89" fillId="11" borderId="31" applyAlignment="1" pivotButton="0" quotePrefix="0" xfId="0">
      <alignment horizontal="center" vertical="center" wrapText="1"/>
    </xf>
    <xf numFmtId="0" fontId="97" fillId="10" borderId="31" applyAlignment="1" pivotButton="0" quotePrefix="0" xfId="8">
      <alignment horizontal="center" vertical="center" wrapText="1"/>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102" fillId="0" borderId="0" applyAlignment="1" applyProtection="1" pivotButton="0" quotePrefix="0" xfId="0">
      <alignment horizontal="center" vertical="center" wrapText="1"/>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43" fontId="102" fillId="0" borderId="0" applyAlignment="1" applyProtection="1" pivotButton="0" quotePrefix="0" xfId="1">
      <alignment horizontal="left" vertical="center"/>
      <protection locked="0" hidden="0"/>
    </xf>
    <xf numFmtId="0" fontId="50" fillId="10" borderId="31" applyAlignment="1" pivotButton="0" quotePrefix="0" xfId="0">
      <alignment horizontal="centerContinuous" vertical="center"/>
    </xf>
    <xf numFmtId="49" fontId="68" fillId="10" borderId="31" applyAlignment="1" pivotButton="0" quotePrefix="0" xfId="0">
      <alignment horizontal="center" vertical="center" wrapText="1"/>
    </xf>
    <xf numFmtId="0" fontId="28" fillId="10" borderId="31" applyAlignment="1" pivotButton="0" quotePrefix="0" xfId="0">
      <alignment horizontal="centerContinuous" vertical="center" wrapText="1"/>
    </xf>
    <xf numFmtId="0" fontId="50" fillId="10" borderId="31" applyAlignment="1" applyProtection="1" pivotButton="0" quotePrefix="0" xfId="41">
      <alignment horizontal="center" vertical="center" wrapText="1"/>
      <protection locked="0" hidden="0"/>
    </xf>
    <xf numFmtId="0" fontId="114" fillId="4" borderId="4" applyAlignment="1" applyProtection="1" pivotButton="0" quotePrefix="0" xfId="0">
      <alignment horizontal="centerContinuous" vertical="center"/>
      <protection locked="0" hidden="0"/>
    </xf>
    <xf numFmtId="0" fontId="30" fillId="4" borderId="6" applyAlignment="1" applyProtection="1" pivotButton="0" quotePrefix="0" xfId="41">
      <alignment horizontal="centerContinuous" vertical="center"/>
      <protection locked="0" hidden="0"/>
    </xf>
    <xf numFmtId="0" fontId="30" fillId="4" borderId="5" applyAlignment="1" applyProtection="1" pivotButton="0" quotePrefix="0" xfId="41">
      <alignment horizontal="centerContinuous" vertical="center"/>
      <protection locked="0" hidden="0"/>
    </xf>
    <xf numFmtId="0" fontId="30" fillId="0" borderId="0" applyAlignment="1" applyProtection="1" pivotButton="0" quotePrefix="0" xfId="41">
      <alignment horizontal="centerContinuous" vertical="center"/>
      <protection locked="0" hidden="0"/>
    </xf>
    <xf numFmtId="0" fontId="23" fillId="2" borderId="0" applyProtection="1" pivotButton="0" quotePrefix="0" xfId="41">
      <protection locked="0" hidden="0"/>
    </xf>
    <xf numFmtId="0" fontId="23" fillId="0" borderId="0" applyAlignment="1" applyProtection="1" pivotButton="0" quotePrefix="0" xfId="41">
      <alignment vertical="center"/>
      <protection locked="0" hidden="0"/>
    </xf>
    <xf numFmtId="0" fontId="76" fillId="0" borderId="0" applyAlignment="1" applyProtection="1" pivotButton="0" quotePrefix="0" xfId="41">
      <alignment vertical="center"/>
      <protection locked="0" hidden="0"/>
    </xf>
    <xf numFmtId="0" fontId="76" fillId="0" borderId="3" applyAlignment="1" applyProtection="1" pivotButton="0" quotePrefix="0" xfId="41">
      <alignment vertical="center"/>
      <protection locked="0" hidden="0"/>
    </xf>
    <xf numFmtId="0" fontId="30" fillId="0" borderId="0" applyAlignment="1" applyProtection="1" pivotButton="0" quotePrefix="0" xfId="41">
      <alignment horizontal="left" vertical="center" wrapText="1"/>
      <protection locked="0" hidden="0"/>
    </xf>
    <xf numFmtId="0" fontId="25" fillId="10" borderId="3" applyAlignment="1" pivotButton="0" quotePrefix="0" xfId="41">
      <alignment vertical="center"/>
    </xf>
    <xf numFmtId="0" fontId="23" fillId="10" borderId="3" applyAlignment="1" applyProtection="1" pivotButton="0" quotePrefix="0" xfId="41">
      <alignment vertical="center"/>
      <protection locked="0" hidden="0"/>
    </xf>
    <xf numFmtId="0" fontId="28" fillId="0" borderId="0" applyAlignment="1" applyProtection="1" pivotButton="0" quotePrefix="0" xfId="41">
      <alignment vertical="center"/>
      <protection locked="0" hidden="0"/>
    </xf>
    <xf numFmtId="0" fontId="28" fillId="0" borderId="0" applyAlignment="1" applyProtection="1" pivotButton="0" quotePrefix="0" xfId="41">
      <alignment horizontal="left" vertical="center"/>
      <protection locked="0" hidden="0"/>
    </xf>
    <xf numFmtId="0" fontId="30" fillId="0" borderId="13" applyAlignment="1" applyProtection="1" pivotButton="0" quotePrefix="0" xfId="41">
      <alignment vertical="center"/>
      <protection locked="0" hidden="0"/>
    </xf>
    <xf numFmtId="0" fontId="72" fillId="0" borderId="0" pivotButton="0" quotePrefix="0" xfId="41"/>
    <xf numFmtId="164" fontId="30" fillId="0" borderId="5" applyAlignment="1" applyProtection="1" pivotButton="0" quotePrefix="0" xfId="1">
      <alignment vertical="center" wrapText="1"/>
      <protection locked="0" hidden="0"/>
    </xf>
    <xf numFmtId="14" fontId="28" fillId="0" borderId="0" applyAlignment="1" applyProtection="1" pivotButton="0" quotePrefix="0" xfId="41">
      <alignment horizontal="left" vertical="center"/>
      <protection locked="0" hidden="0"/>
    </xf>
    <xf numFmtId="0" fontId="21" fillId="0" borderId="0" applyAlignment="1" applyProtection="1" pivotButton="0" quotePrefix="0" xfId="41">
      <alignment vertical="center" wrapText="1"/>
      <protection locked="0" hidden="0"/>
    </xf>
    <xf numFmtId="0" fontId="25" fillId="0" borderId="0" applyAlignment="1" pivotButton="0" quotePrefix="0" xfId="41">
      <alignment vertical="center"/>
    </xf>
    <xf numFmtId="14" fontId="25" fillId="0" borderId="0" applyAlignment="1" pivotButton="0" quotePrefix="0" xfId="41">
      <alignment vertical="center"/>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79" fillId="0" borderId="0" applyAlignment="1" applyProtection="1" pivotButton="0" quotePrefix="0" xfId="41">
      <alignment vertical="center"/>
      <protection locked="0" hidden="0"/>
    </xf>
    <xf numFmtId="0" fontId="21" fillId="10" borderId="1" applyAlignment="1" applyProtection="1" pivotButton="0" quotePrefix="0" xfId="41">
      <alignment vertical="center"/>
      <protection locked="0" hidden="0"/>
    </xf>
    <xf numFmtId="0" fontId="21" fillId="10" borderId="8" applyAlignment="1" applyProtection="1" pivotButton="0" quotePrefix="0" xfId="41">
      <alignment vertical="center"/>
      <protection locked="0" hidden="0"/>
    </xf>
    <xf numFmtId="0" fontId="21" fillId="10" borderId="9" applyAlignment="1" applyProtection="1" pivotButton="0" quotePrefix="0" xfId="41">
      <alignment vertical="center"/>
      <protection locked="0" hidden="0"/>
    </xf>
    <xf numFmtId="0" fontId="22" fillId="0" borderId="1" applyAlignment="1" applyProtection="1" pivotButton="0" quotePrefix="0" xfId="41">
      <alignment horizontal="left" vertical="center" indent="2"/>
      <protection locked="0" hidden="0"/>
    </xf>
    <xf numFmtId="0" fontId="25" fillId="0" borderId="8" applyAlignment="1" applyProtection="1" pivotButton="0" quotePrefix="0" xfId="41">
      <alignment vertical="center"/>
      <protection locked="0" hidden="0"/>
    </xf>
    <xf numFmtId="0" fontId="25" fillId="0" borderId="9" applyAlignment="1" applyProtection="1" pivotButton="0" quotePrefix="0" xfId="41">
      <alignment vertical="center"/>
      <protection locked="0" hidden="0"/>
    </xf>
    <xf numFmtId="0" fontId="22" fillId="0" borderId="8" applyAlignment="1" applyProtection="1" pivotButton="0" quotePrefix="0" xfId="41">
      <alignment vertical="center"/>
      <protection locked="0" hidden="0"/>
    </xf>
    <xf numFmtId="0" fontId="22" fillId="0" borderId="9" applyAlignment="1" applyProtection="1" pivotButton="0" quotePrefix="0" xfId="41">
      <alignment vertical="center"/>
      <protection locked="0" hidden="0"/>
    </xf>
    <xf numFmtId="0" fontId="22" fillId="0" borderId="8" applyAlignment="1" applyProtection="1" pivotButton="0" quotePrefix="0" xfId="41">
      <alignment horizontal="left" vertical="center" indent="2"/>
      <protection locked="0" hidden="0"/>
    </xf>
    <xf numFmtId="0" fontId="22" fillId="0" borderId="9" applyAlignment="1" applyProtection="1" pivotButton="0" quotePrefix="0" xfId="41">
      <alignment horizontal="left" vertical="center" indent="2"/>
      <protection locked="0" hidden="0"/>
    </xf>
    <xf numFmtId="0" fontId="22" fillId="0" borderId="0" applyAlignment="1" applyProtection="1" pivotButton="0" quotePrefix="0" xfId="41">
      <alignment vertical="center"/>
      <protection locked="0" hidden="0"/>
    </xf>
    <xf numFmtId="0" fontId="21" fillId="0" borderId="0" applyAlignment="1" pivotButton="0" quotePrefix="0" xfId="41">
      <alignment vertical="center"/>
    </xf>
    <xf numFmtId="0" fontId="23" fillId="0" borderId="13" applyAlignment="1" applyProtection="1" pivotButton="0" quotePrefix="0" xfId="41">
      <alignment vertical="center"/>
      <protection locked="0" hidden="0"/>
    </xf>
    <xf numFmtId="0" fontId="28" fillId="0" borderId="0" applyAlignment="1" applyProtection="1" pivotButton="0" quotePrefix="0" xfId="41">
      <alignment horizontal="center" vertical="center"/>
      <protection locked="0" hidden="0"/>
    </xf>
    <xf numFmtId="43" fontId="21" fillId="10" borderId="25" applyAlignment="1" pivotButton="0" quotePrefix="0" xfId="7">
      <alignment horizontal="center" vertical="center" wrapText="1"/>
    </xf>
    <xf numFmtId="0" fontId="78" fillId="10" borderId="25" applyAlignment="1" pivotButton="0" quotePrefix="0" xfId="41">
      <alignment horizontal="center" vertical="center" wrapText="1"/>
    </xf>
    <xf numFmtId="0" fontId="21" fillId="11" borderId="25" applyAlignment="1" pivotButton="0" quotePrefix="0" xfId="41">
      <alignment horizontal="center" vertical="center" wrapText="1"/>
    </xf>
    <xf numFmtId="43" fontId="21" fillId="10" borderId="4" applyAlignment="1" pivotButton="0" quotePrefix="0" xfId="7">
      <alignment horizontal="center" vertical="center" wrapText="1"/>
    </xf>
    <xf numFmtId="0" fontId="21" fillId="10" borderId="46" applyAlignment="1" applyProtection="1" pivotButton="0" quotePrefix="0" xfId="41">
      <alignment horizontal="center" vertical="center" wrapText="1"/>
      <protection locked="0" hidden="0"/>
    </xf>
    <xf numFmtId="39" fontId="21" fillId="10" borderId="5" applyAlignment="1" applyProtection="1" pivotButton="0" quotePrefix="0" xfId="66">
      <alignment horizontal="center" vertical="center" wrapText="1"/>
      <protection locked="0" hidden="0"/>
    </xf>
    <xf numFmtId="0" fontId="21" fillId="10" borderId="25" applyAlignment="1" applyProtection="1" pivotButton="0" quotePrefix="0" xfId="41">
      <alignment horizontal="center" vertical="center" wrapText="1"/>
      <protection locked="0" hidden="0"/>
    </xf>
    <xf numFmtId="0" fontId="25" fillId="10" borderId="25" applyAlignment="1" applyProtection="1" pivotButton="0" quotePrefix="0" xfId="41">
      <alignment horizontal="center" vertical="center" wrapText="1"/>
      <protection locked="0" hidden="0"/>
    </xf>
    <xf numFmtId="0" fontId="21" fillId="10" borderId="12" applyAlignment="1" applyProtection="1" pivotButton="0" quotePrefix="0" xfId="8">
      <alignment horizontal="center" vertical="center"/>
      <protection locked="0" hidden="0"/>
    </xf>
    <xf numFmtId="0" fontId="21" fillId="10" borderId="12" applyAlignment="1" applyProtection="1" pivotButton="0" quotePrefix="0" xfId="7">
      <alignment horizontal="center" vertical="center"/>
      <protection locked="0" hidden="0"/>
    </xf>
    <xf numFmtId="49" fontId="30" fillId="0" borderId="31" applyAlignment="1" applyProtection="1" pivotButton="0" quotePrefix="0" xfId="1">
      <alignment horizontal="left" vertical="center"/>
      <protection locked="0" hidden="0"/>
    </xf>
    <xf numFmtId="0" fontId="23" fillId="0" borderId="0" applyAlignment="1" pivotButton="0" quotePrefix="0" xfId="41">
      <alignment vertical="center"/>
    </xf>
    <xf numFmtId="0" fontId="23" fillId="0" borderId="0" applyAlignment="1" applyProtection="1" pivotButton="0" quotePrefix="0" xfId="98">
      <alignment vertical="center"/>
      <protection locked="0" hidden="0"/>
    </xf>
    <xf numFmtId="0" fontId="23" fillId="2" borderId="0" applyProtection="1" pivotButton="0" quotePrefix="0" xfId="0">
      <protection locked="0" hidden="0"/>
    </xf>
    <xf numFmtId="0" fontId="51" fillId="0" borderId="0" applyAlignment="1" applyProtection="1" pivotButton="0" quotePrefix="0" xfId="41">
      <alignment vertical="center"/>
      <protection locked="0" hidden="0"/>
    </xf>
    <xf numFmtId="0" fontId="25" fillId="0" borderId="0" applyAlignment="1" applyProtection="1" pivotButton="0" quotePrefix="0" xfId="41">
      <alignment horizontal="left" vertical="center" indent="2"/>
      <protection locked="0" hidden="0"/>
    </xf>
    <xf numFmtId="0" fontId="25" fillId="0" borderId="30" applyAlignment="1" applyProtection="1" pivotButton="0" quotePrefix="0" xfId="41">
      <alignment horizontal="left" vertical="center" indent="2"/>
      <protection locked="0" hidden="0"/>
    </xf>
    <xf numFmtId="0" fontId="22" fillId="0" borderId="7" applyAlignment="1" applyProtection="1" pivotButton="0" quotePrefix="0" xfId="41">
      <alignment horizontal="left" vertical="center" indent="2"/>
      <protection locked="0" hidden="0"/>
    </xf>
    <xf numFmtId="0" fontId="22" fillId="0" borderId="30" applyAlignment="1" applyProtection="1" pivotButton="0" quotePrefix="0" xfId="41">
      <alignment horizontal="left" vertical="center" indent="2"/>
      <protection locked="0" hidden="0"/>
    </xf>
    <xf numFmtId="0" fontId="30" fillId="5" borderId="4" applyAlignment="1" applyProtection="1" pivotButton="0" quotePrefix="0" xfId="98">
      <alignment vertical="center"/>
      <protection locked="0" hidden="0"/>
    </xf>
    <xf numFmtId="0" fontId="22" fillId="5" borderId="0" applyAlignment="1" applyProtection="1" pivotButton="0" quotePrefix="0" xfId="98">
      <alignment horizontal="center" vertical="center" wrapText="1" shrinkToFit="1"/>
      <protection locked="0" hidden="0"/>
    </xf>
    <xf numFmtId="0" fontId="30" fillId="5" borderId="0" pivotButton="0" quotePrefix="0" xfId="98"/>
    <xf numFmtId="0" fontId="30" fillId="5" borderId="0" applyAlignment="1" applyProtection="1" pivotButton="0" quotePrefix="0" xfId="98">
      <alignment vertical="center"/>
      <protection locked="0" hidden="0"/>
    </xf>
    <xf numFmtId="0" fontId="30" fillId="5" borderId="2" applyAlignment="1" applyProtection="1" pivotButton="0" quotePrefix="0" xfId="98">
      <alignment vertical="center"/>
      <protection locked="0" hidden="0"/>
    </xf>
    <xf numFmtId="14" fontId="30" fillId="5" borderId="0" applyAlignment="1" applyProtection="1" pivotButton="0" quotePrefix="0" xfId="98">
      <alignment horizontal="left" vertical="center"/>
      <protection locked="0" hidden="0"/>
    </xf>
    <xf numFmtId="14" fontId="30" fillId="5" borderId="0" applyAlignment="1" applyProtection="1" pivotButton="0" quotePrefix="0" xfId="98">
      <alignment vertical="center"/>
      <protection locked="0" hidden="0"/>
    </xf>
    <xf numFmtId="14" fontId="30" fillId="5" borderId="0" applyAlignment="1" applyProtection="1" pivotButton="0" quotePrefix="0" xfId="98">
      <alignment horizontal="left" vertical="top"/>
      <protection locked="0" hidden="0"/>
    </xf>
    <xf numFmtId="0" fontId="21" fillId="5" borderId="0" applyAlignment="1" applyProtection="1" pivotButton="0" quotePrefix="0" xfId="98">
      <alignment vertical="center"/>
      <protection locked="0" hidden="0"/>
    </xf>
    <xf numFmtId="0" fontId="29" fillId="5" borderId="0" applyAlignment="1" applyProtection="1" pivotButton="0" quotePrefix="0" xfId="98">
      <alignment vertical="center"/>
      <protection locked="0" hidden="0"/>
    </xf>
    <xf numFmtId="0" fontId="28" fillId="5" borderId="0" applyAlignment="1" applyProtection="1" pivotButton="0" quotePrefix="0" xfId="98">
      <alignment vertical="center"/>
      <protection locked="0" hidden="0"/>
    </xf>
    <xf numFmtId="0" fontId="28" fillId="0" borderId="0" applyAlignment="1" pivotButton="0" quotePrefix="0" xfId="41">
      <alignment horizontal="left" vertical="center"/>
    </xf>
    <xf numFmtId="0" fontId="28" fillId="5" borderId="0" applyAlignment="1" applyProtection="1" pivotButton="0" quotePrefix="0" xfId="98">
      <alignment vertical="center" wrapText="1"/>
      <protection locked="0" hidden="0"/>
    </xf>
    <xf numFmtId="0" fontId="78" fillId="5" borderId="0" applyAlignment="1" applyProtection="1" pivotButton="0" quotePrefix="0" xfId="41">
      <alignment vertical="center"/>
      <protection locked="0" hidden="0"/>
    </xf>
    <xf numFmtId="0" fontId="78" fillId="0" borderId="0" applyAlignment="1" applyProtection="1" pivotButton="0" quotePrefix="0" xfId="41">
      <alignment vertical="center"/>
      <protection locked="0" hidden="0"/>
    </xf>
    <xf numFmtId="14" fontId="67" fillId="0" borderId="31" applyAlignment="1" applyProtection="1" pivotButton="0" quotePrefix="0" xfId="11">
      <alignment horizontal="center"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9" fontId="65" fillId="5" borderId="31" applyAlignment="1" applyProtection="1" pivotButton="0" quotePrefix="0" xfId="31">
      <alignment horizontal="center" vertical="center" shrinkToFit="1"/>
      <protection locked="0" hidden="0"/>
    </xf>
    <xf numFmtId="14" fontId="65" fillId="5" borderId="31" applyAlignment="1" applyProtection="1" pivotButton="0" quotePrefix="0" xfId="11">
      <alignment horizontal="center" vertical="center" shrinkToFit="1"/>
      <protection locked="0" hidden="0"/>
    </xf>
    <xf numFmtId="49" fontId="25" fillId="5" borderId="31" applyAlignment="1" applyProtection="1" pivotButton="0" quotePrefix="0" xfId="11">
      <alignment horizontal="center" vertical="center" shrinkToFit="1"/>
      <protection locked="0" hidden="0"/>
    </xf>
    <xf numFmtId="0" fontId="65" fillId="5" borderId="31" applyAlignment="1" applyProtection="1" pivotButton="0" quotePrefix="0" xfId="98">
      <alignment horizontal="left" vertical="center" shrinkToFit="1"/>
      <protection locked="0" hidden="0"/>
    </xf>
    <xf numFmtId="0" fontId="65" fillId="5" borderId="31" applyAlignment="1" applyProtection="1" pivotButton="0" quotePrefix="0" xfId="98">
      <alignment vertical="center" shrinkToFit="1"/>
      <protection locked="0" hidden="0"/>
    </xf>
    <xf numFmtId="169" fontId="65" fillId="5" borderId="31" applyAlignment="1" applyProtection="1" pivotButton="0" quotePrefix="0" xfId="11">
      <alignment vertical="center" shrinkToFit="1"/>
      <protection locked="0" hidden="0"/>
    </xf>
    <xf numFmtId="0" fontId="28" fillId="5" borderId="0" applyAlignment="1" applyProtection="1" pivotButton="0" quotePrefix="0" xfId="98">
      <alignment horizontal="center" vertical="center"/>
      <protection locked="0" hidden="0"/>
    </xf>
    <xf numFmtId="0" fontId="28" fillId="5" borderId="4" applyAlignment="1" pivotButton="0" quotePrefix="0" xfId="41">
      <alignment horizontal="right" vertical="center"/>
    </xf>
    <xf numFmtId="168" fontId="30" fillId="5" borderId="0" applyAlignment="1" applyProtection="1" pivotButton="0" quotePrefix="0" xfId="98">
      <alignment vertical="center"/>
      <protection locked="0" hidden="0"/>
    </xf>
    <xf numFmtId="0" fontId="30" fillId="5" borderId="0" applyAlignment="1" pivotButton="0" quotePrefix="0" xfId="41">
      <alignment vertical="center"/>
    </xf>
    <xf numFmtId="0" fontId="28" fillId="5" borderId="7" applyAlignment="1" pivotButton="0" quotePrefix="0" xfId="41">
      <alignment horizontal="right" vertical="center"/>
    </xf>
    <xf numFmtId="0" fontId="30" fillId="5" borderId="7" applyAlignment="1" pivotButton="0" quotePrefix="0" xfId="41">
      <alignment vertical="center"/>
    </xf>
    <xf numFmtId="0" fontId="28" fillId="5" borderId="7" applyAlignment="1" pivotButton="0" quotePrefix="0" xfId="41">
      <alignment horizontal="left" vertical="center"/>
    </xf>
    <xf numFmtId="166" fontId="30" fillId="5" borderId="9" applyAlignment="1" pivotButton="0" quotePrefix="0" xfId="41">
      <alignment horizontal="right" vertical="center"/>
    </xf>
    <xf numFmtId="0" fontId="28" fillId="5" borderId="2" applyAlignment="1" pivotButton="0" quotePrefix="0" xfId="41">
      <alignment horizontal="left" vertical="center"/>
    </xf>
    <xf numFmtId="0" fontId="30" fillId="5" borderId="3" applyAlignment="1" pivotButton="0" quotePrefix="0" xfId="41">
      <alignment vertical="center"/>
    </xf>
    <xf numFmtId="166" fontId="30" fillId="5" borderId="11" applyAlignment="1" pivotButton="0" quotePrefix="0" xfId="41">
      <alignment horizontal="right" vertical="center"/>
    </xf>
    <xf numFmtId="0" fontId="28" fillId="5" borderId="0" applyAlignment="1" pivotButton="0" quotePrefix="0" xfId="41">
      <alignment vertical="center"/>
    </xf>
    <xf numFmtId="0" fontId="23" fillId="0" borderId="0" applyProtection="1" pivotButton="0" quotePrefix="0" xfId="41">
      <protection locked="0" hidden="0"/>
    </xf>
    <xf numFmtId="0" fontId="94" fillId="3" borderId="4" applyAlignment="1" pivotButton="0" quotePrefix="0" xfId="0">
      <alignment vertical="center"/>
    </xf>
    <xf numFmtId="0" fontId="22" fillId="0" borderId="8" applyAlignment="1" applyProtection="1" pivotButton="0" quotePrefix="0" xfId="0">
      <alignment horizontal="left" vertical="center" indent="2"/>
      <protection locked="0" hidden="0"/>
    </xf>
    <xf numFmtId="10" fontId="87" fillId="0" borderId="0" applyAlignment="1" applyProtection="1" pivotButton="0" quotePrefix="0" xfId="60">
      <alignment horizontal="right" vertical="center" wrapText="1"/>
      <protection locked="0" hidden="0"/>
    </xf>
    <xf numFmtId="49" fontId="26" fillId="0" borderId="0" applyAlignment="1" applyProtection="1" pivotButton="0" quotePrefix="0" xfId="0">
      <alignment horizontal="left" vertical="center"/>
      <protection locked="0" hidden="0"/>
    </xf>
    <xf numFmtId="0" fontId="22" fillId="0" borderId="19" applyAlignment="1" applyProtection="1" pivotButton="0" quotePrefix="0" xfId="95">
      <alignment horizontal="left" vertical="center"/>
      <protection locked="0" hidden="0"/>
    </xf>
    <xf numFmtId="0" fontId="30" fillId="0" borderId="22" applyAlignment="1" applyProtection="1" pivotButton="0" quotePrefix="0" xfId="95">
      <alignment horizontal="left" vertical="center"/>
      <protection locked="0" hidden="0"/>
    </xf>
    <xf numFmtId="0" fontId="23" fillId="0" borderId="20" applyAlignment="1" pivotButton="0" quotePrefix="0" xfId="0">
      <alignment vertical="center"/>
    </xf>
    <xf numFmtId="0" fontId="22" fillId="0" borderId="27" applyAlignment="1" applyProtection="1" pivotButton="0" quotePrefix="0" xfId="95">
      <alignment horizontal="left" vertical="center"/>
      <protection locked="0" hidden="0"/>
    </xf>
    <xf numFmtId="0" fontId="23" fillId="0" borderId="28" applyAlignment="1" pivotButton="0" quotePrefix="0" xfId="0">
      <alignment vertical="center"/>
    </xf>
    <xf numFmtId="0" fontId="22" fillId="0" borderId="26" applyAlignment="1" applyProtection="1" pivotButton="0" quotePrefix="0" xfId="95">
      <alignment horizontal="left" vertical="center"/>
      <protection locked="0" hidden="0"/>
    </xf>
    <xf numFmtId="0" fontId="30" fillId="0" borderId="13" applyAlignment="1" applyProtection="1" pivotButton="0" quotePrefix="0" xfId="95">
      <alignment horizontal="center" vertical="center"/>
      <protection locked="0" hidden="0"/>
    </xf>
    <xf numFmtId="0" fontId="30" fillId="0" borderId="29" applyAlignment="1" applyProtection="1" pivotButton="0" quotePrefix="0" xfId="95">
      <alignment horizontal="center" vertical="center"/>
      <protection locked="0" hidden="0"/>
    </xf>
    <xf numFmtId="0" fontId="30" fillId="0" borderId="0" applyAlignment="1" pivotButton="0" quotePrefix="0" xfId="0">
      <alignment horizontal="left" vertical="center"/>
    </xf>
    <xf numFmtId="0" fontId="102" fillId="0" borderId="31" applyAlignment="1" applyProtection="1" pivotButton="0" quotePrefix="0" xfId="0">
      <alignment horizontal="left" vertical="center"/>
      <protection locked="0" hidden="0"/>
    </xf>
    <xf numFmtId="0" fontId="105" fillId="0" borderId="31" applyAlignment="1" pivotButton="0" quotePrefix="0" xfId="0">
      <alignment horizontal="center" vertical="center" wrapText="1"/>
    </xf>
    <xf numFmtId="0" fontId="68" fillId="0" borderId="0" applyAlignment="1" applyProtection="1" pivotButton="0" quotePrefix="0" xfId="0">
      <alignment horizontal="left" vertical="center"/>
      <protection locked="0" hidden="0"/>
    </xf>
    <xf numFmtId="0" fontId="30" fillId="0" borderId="31" applyAlignment="1" applyProtection="1" pivotButton="0" quotePrefix="0" xfId="2">
      <alignment horizontal="left" vertical="center"/>
      <protection locked="0" hidden="0"/>
    </xf>
    <xf numFmtId="0" fontId="30" fillId="0" borderId="31" applyAlignment="1" pivotButton="0" quotePrefix="0" xfId="41">
      <alignment horizontal="left" vertical="center"/>
    </xf>
    <xf numFmtId="0" fontId="30" fillId="0" borderId="31" applyAlignment="1" applyProtection="1" pivotButton="0" quotePrefix="0" xfId="41">
      <alignment horizontal="center" vertical="center"/>
      <protection locked="0" hidden="0"/>
    </xf>
    <xf numFmtId="14" fontId="30" fillId="0" borderId="6" applyAlignment="1" applyProtection="1" pivotButton="0" quotePrefix="0" xfId="98">
      <alignment horizontal="right" vertical="top"/>
      <protection locked="0" hidden="0"/>
    </xf>
    <xf numFmtId="14" fontId="30" fillId="0" borderId="11" applyAlignment="1" applyProtection="1" pivotButton="0" quotePrefix="0" xfId="98">
      <alignment horizontal="right" vertical="top"/>
      <protection locked="0" hidden="0"/>
    </xf>
    <xf numFmtId="14" fontId="22" fillId="0" borderId="31" applyAlignment="1" pivotButton="0" quotePrefix="0" xfId="41">
      <alignment horizontal="center" vertical="center"/>
    </xf>
    <xf numFmtId="0" fontId="30" fillId="0" borderId="5" applyAlignment="1" pivotButton="0" quotePrefix="0" xfId="41">
      <alignment horizontal="left" vertical="center"/>
    </xf>
    <xf numFmtId="0" fontId="30" fillId="0" borderId="0" applyAlignment="1" pivotButton="0" quotePrefix="0" xfId="41">
      <alignment horizontal="left" vertical="center"/>
    </xf>
    <xf numFmtId="0" fontId="30" fillId="0" borderId="0" applyAlignment="1" pivotButton="0" quotePrefix="0" xfId="41">
      <alignment vertical="center"/>
    </xf>
    <xf numFmtId="0" fontId="70" fillId="4" borderId="22" applyAlignment="1" applyProtection="1" pivotButton="0" quotePrefix="0" xfId="0">
      <alignment horizontal="centerContinuous" vertical="center"/>
      <protection locked="0" hidden="0"/>
    </xf>
    <xf numFmtId="0" fontId="70" fillId="4" borderId="20" applyAlignment="1" applyProtection="1" pivotButton="0" quotePrefix="0" xfId="0">
      <alignment horizontal="centerContinuous" vertical="center"/>
      <protection locked="0" hidden="0"/>
    </xf>
    <xf numFmtId="0" fontId="71" fillId="3" borderId="35" applyAlignment="1" applyProtection="1" pivotButton="0" quotePrefix="0" xfId="0">
      <alignment vertical="center"/>
      <protection locked="0" hidden="0"/>
    </xf>
    <xf numFmtId="0" fontId="71" fillId="3" borderId="47" applyAlignment="1" applyProtection="1" pivotButton="0" quotePrefix="0" xfId="0">
      <alignment vertical="center"/>
      <protection locked="0" hidden="0"/>
    </xf>
    <xf numFmtId="0" fontId="71" fillId="3" borderId="47" applyAlignment="1" applyProtection="1" pivotButton="0" quotePrefix="0" xfId="0">
      <alignment vertical="center" wrapText="1"/>
      <protection locked="0" hidden="0"/>
    </xf>
    <xf numFmtId="0" fontId="71" fillId="3" borderId="47" applyAlignment="1" applyProtection="1" pivotButton="0" quotePrefix="0" xfId="0">
      <alignment horizontal="left" vertical="center" wrapText="1"/>
      <protection locked="0" hidden="0"/>
    </xf>
    <xf numFmtId="0" fontId="71" fillId="3" borderId="48" applyAlignment="1" applyProtection="1" pivotButton="0" quotePrefix="0" xfId="0">
      <alignment vertical="center" wrapText="1"/>
      <protection locked="0" hidden="0"/>
    </xf>
    <xf numFmtId="0" fontId="22" fillId="0" borderId="0" pivotButton="0" quotePrefix="0" xfId="41"/>
    <xf numFmtId="0" fontId="22" fillId="15" borderId="0" pivotButton="0" quotePrefix="0" xfId="41"/>
    <xf numFmtId="0" fontId="71" fillId="0" borderId="0" applyAlignment="1" pivotButton="0" quotePrefix="0" xfId="41">
      <alignment horizontal="left" vertical="center"/>
    </xf>
    <xf numFmtId="0" fontId="36" fillId="0" borderId="0" pivotButton="0" quotePrefix="0" xfId="41"/>
    <xf numFmtId="0" fontId="30" fillId="0" borderId="0" pivotButton="0" quotePrefix="0" xfId="41"/>
    <xf numFmtId="0" fontId="97" fillId="0" borderId="31" applyAlignment="1" pivotButton="0" quotePrefix="0" xfId="0">
      <alignment horizontal="left" vertical="center" wrapText="1"/>
    </xf>
    <xf numFmtId="0" fontId="37" fillId="10" borderId="31" applyAlignment="1" pivotButton="0" quotePrefix="0" xfId="7">
      <alignment horizontal="center" vertical="center" wrapText="1"/>
    </xf>
    <xf numFmtId="0" fontId="21" fillId="10" borderId="1" applyAlignment="1" applyProtection="1" pivotButton="0" quotePrefix="0" xfId="0">
      <alignment vertical="center"/>
      <protection locked="0" hidden="0"/>
    </xf>
    <xf numFmtId="0" fontId="28" fillId="10" borderId="8" applyAlignment="1" applyProtection="1" pivotButton="0" quotePrefix="0" xfId="0">
      <alignment vertical="center"/>
      <protection locked="0" hidden="0"/>
    </xf>
    <xf numFmtId="0" fontId="28" fillId="10" borderId="9" applyAlignment="1" applyProtection="1" pivotButton="0" quotePrefix="0" xfId="0">
      <alignment vertical="center"/>
      <protection locked="0" hidden="0"/>
    </xf>
    <xf numFmtId="0" fontId="113" fillId="0" borderId="0" applyAlignment="1" applyProtection="1" pivotButton="0" quotePrefix="0" xfId="38">
      <alignment horizontal="left" vertical="center" wrapText="1"/>
      <protection locked="0" hidden="0"/>
    </xf>
    <xf numFmtId="0" fontId="30" fillId="0" borderId="31" applyAlignment="1" pivotButton="0" quotePrefix="0" xfId="0">
      <alignment horizontal="center" vertical="center"/>
    </xf>
    <xf numFmtId="0" fontId="21" fillId="11" borderId="1" applyAlignment="1" pivotButton="0" quotePrefix="0" xfId="0">
      <alignment horizontal="center" vertical="center"/>
    </xf>
    <xf numFmtId="0" fontId="21" fillId="11" borderId="8" applyAlignment="1" pivotButton="0" quotePrefix="0" xfId="0">
      <alignment horizontal="center" vertical="center"/>
    </xf>
    <xf numFmtId="0" fontId="21" fillId="11" borderId="9" applyAlignment="1" pivotButton="0" quotePrefix="0" xfId="0">
      <alignment horizontal="center" vertical="center"/>
    </xf>
    <xf numFmtId="0" fontId="25" fillId="10" borderId="49" applyAlignment="1" pivotButton="0" quotePrefix="0" xfId="0">
      <alignment vertical="center"/>
    </xf>
    <xf numFmtId="0" fontId="21" fillId="3" borderId="4" applyAlignment="1" applyProtection="1" pivotButton="0" quotePrefix="0" xfId="47">
      <alignment horizontal="right" vertical="center"/>
      <protection locked="0" hidden="0"/>
    </xf>
    <xf numFmtId="14" fontId="21" fillId="3" borderId="7" applyAlignment="1" applyProtection="1" pivotButton="0" quotePrefix="0" xfId="47">
      <alignment horizontal="right" vertical="center"/>
      <protection locked="0" hidden="0"/>
    </xf>
    <xf numFmtId="167" fontId="21" fillId="3" borderId="7" applyAlignment="1" applyProtection="1" pivotButton="0" quotePrefix="0" xfId="47">
      <alignment horizontal="right" vertical="center"/>
      <protection locked="0" hidden="0"/>
    </xf>
    <xf numFmtId="0" fontId="21" fillId="3" borderId="7" applyAlignment="1" applyProtection="1" pivotButton="0" quotePrefix="0" xfId="47">
      <alignment horizontal="right" vertical="center"/>
      <protection locked="0" hidden="0"/>
    </xf>
    <xf numFmtId="0" fontId="71" fillId="3" borderId="3" applyAlignment="1" applyProtection="1" pivotButton="0" quotePrefix="0" xfId="0">
      <alignment vertical="center" wrapText="1"/>
      <protection locked="0" hidden="0"/>
    </xf>
    <xf numFmtId="0" fontId="72" fillId="3" borderId="11" applyAlignment="1" applyProtection="1" pivotButton="0" quotePrefix="0" xfId="0">
      <alignment vertical="center"/>
      <protection locked="0" hidden="0"/>
    </xf>
    <xf numFmtId="0" fontId="21" fillId="3" borderId="7" applyAlignment="1" applyProtection="1" pivotButton="0" quotePrefix="0" xfId="11">
      <alignment horizontal="right" vertical="center"/>
      <protection locked="0" hidden="0"/>
    </xf>
    <xf numFmtId="0" fontId="21" fillId="10" borderId="37" applyAlignment="1" pivotButton="0" quotePrefix="0" xfId="47">
      <alignment vertical="center"/>
    </xf>
    <xf numFmtId="0" fontId="25" fillId="12" borderId="31" applyAlignment="1" pivotButton="0" quotePrefix="0" xfId="0">
      <alignment horizontal="center" vertical="center" wrapText="1"/>
    </xf>
    <xf numFmtId="0" fontId="78" fillId="5" borderId="0" applyAlignment="1" pivotButton="0" quotePrefix="0" xfId="41">
      <alignment vertical="center"/>
    </xf>
    <xf numFmtId="0" fontId="22" fillId="5" borderId="0" applyAlignment="1" pivotButton="0" quotePrefix="0" xfId="41">
      <alignment horizontal="left" vertical="center"/>
    </xf>
    <xf numFmtId="0" fontId="65" fillId="0" borderId="0" applyAlignment="1" applyProtection="1" pivotButton="0" quotePrefix="0" xfId="41">
      <alignment vertical="center" wrapText="1"/>
      <protection locked="0" hidden="0"/>
    </xf>
    <xf numFmtId="0" fontId="63" fillId="0" borderId="0" pivotButton="0" quotePrefix="0" xfId="48"/>
    <xf numFmtId="0" fontId="23" fillId="0" borderId="0" pivotButton="0" quotePrefix="0" xfId="41"/>
    <xf numFmtId="0" fontId="25" fillId="3" borderId="8" applyAlignment="1" applyProtection="1" pivotButton="0" quotePrefix="0" xfId="41">
      <alignment vertical="center"/>
      <protection locked="0" hidden="0"/>
    </xf>
    <xf numFmtId="0" fontId="25" fillId="3" borderId="9" applyAlignment="1" applyProtection="1" pivotButton="0" quotePrefix="0" xfId="41">
      <alignment vertical="center"/>
      <protection locked="0" hidden="0"/>
    </xf>
    <xf numFmtId="0" fontId="25" fillId="0" borderId="0" applyAlignment="1" applyProtection="1" pivotButton="0" quotePrefix="0" xfId="41">
      <alignment vertical="center"/>
      <protection locked="0" hidden="0"/>
    </xf>
    <xf numFmtId="0" fontId="23" fillId="4" borderId="5" applyAlignment="1" applyProtection="1" pivotButton="0" quotePrefix="0" xfId="41">
      <alignment horizontal="centerContinuous" vertical="center"/>
      <protection locked="0" hidden="0"/>
    </xf>
    <xf numFmtId="0" fontId="120" fillId="4" borderId="5" applyAlignment="1" applyProtection="1" pivotButton="0" quotePrefix="0" xfId="41">
      <alignment horizontal="centerContinuous" vertical="center"/>
      <protection locked="0" hidden="0"/>
    </xf>
    <xf numFmtId="0" fontId="71" fillId="3" borderId="1" applyAlignment="1" applyProtection="1" pivotButton="0" quotePrefix="0" xfId="41">
      <alignment vertical="center"/>
      <protection locked="0" hidden="0"/>
    </xf>
    <xf numFmtId="0" fontId="22" fillId="0" borderId="31" applyAlignment="1" pivotButton="0" quotePrefix="0" xfId="0">
      <alignment horizontal="left" vertical="center"/>
    </xf>
    <xf numFmtId="0" fontId="0" fillId="3" borderId="7" pivotButton="0" quotePrefix="0" xfId="0"/>
    <xf numFmtId="49" fontId="30" fillId="0" borderId="0" applyAlignment="1" applyProtection="1" pivotButton="0" quotePrefix="0" xfId="0">
      <alignment horizontal="left" vertical="center"/>
      <protection locked="0" hidden="0"/>
    </xf>
    <xf numFmtId="10" fontId="87" fillId="0" borderId="21" applyAlignment="1" applyProtection="1" pivotButton="0" quotePrefix="0" xfId="60">
      <alignment horizontal="right" vertical="center" wrapText="1"/>
      <protection locked="0" hidden="0"/>
    </xf>
    <xf numFmtId="166" fontId="30" fillId="0" borderId="0" applyAlignment="1" applyProtection="1" pivotButton="0" quotePrefix="0" xfId="1">
      <alignment horizontal="right" vertical="center"/>
      <protection locked="0" hidden="0"/>
    </xf>
    <xf numFmtId="166" fontId="30" fillId="0" borderId="0" applyAlignment="1" applyProtection="1" pivotButton="0" quotePrefix="0" xfId="1">
      <alignment horizontal="right" vertical="center"/>
      <protection locked="0" hidden="0"/>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43" fontId="101" fillId="0" borderId="10" applyAlignment="1" applyProtection="1" pivotButton="0" quotePrefix="0" xfId="1">
      <alignment horizontal="right" vertical="center" shrinkToFit="1"/>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0" fontId="105" fillId="5" borderId="31" applyAlignment="1" pivotButton="0" quotePrefix="0" xfId="0">
      <alignment horizontal="left" vertical="center"/>
    </xf>
    <xf numFmtId="0" fontId="101" fillId="0" borderId="17" applyAlignment="1" applyProtection="1" pivotButton="0" quotePrefix="0" xfId="1">
      <alignment horizontal="left" vertical="center"/>
      <protection locked="0" hidden="0"/>
    </xf>
    <xf numFmtId="0" fontId="93" fillId="0" borderId="31" applyAlignment="1" pivotButton="0" quotePrefix="0" xfId="0">
      <alignment horizontal="left" vertical="center"/>
    </xf>
    <xf numFmtId="0" fontId="101" fillId="0" borderId="10" applyAlignment="1" applyProtection="1" pivotButton="0" quotePrefix="0" xfId="0">
      <alignment horizontal="left" vertical="center"/>
      <protection locked="0" hidden="0"/>
    </xf>
    <xf numFmtId="43" fontId="102" fillId="0" borderId="31" applyAlignment="1" applyProtection="1" pivotButton="0" quotePrefix="0" xfId="0">
      <alignment horizontal="right" vertical="center" shrinkToFit="1"/>
      <protection locked="0" hidden="0"/>
    </xf>
    <xf numFmtId="14" fontId="30" fillId="0" borderId="31" applyAlignment="1" pivotButton="0" quotePrefix="0" xfId="0">
      <alignment horizontal="left" vertical="center" wrapText="1"/>
    </xf>
    <xf numFmtId="43" fontId="30" fillId="0" borderId="31" applyAlignment="1" pivotButton="0" quotePrefix="0" xfId="0">
      <alignment horizontal="right" vertical="center" shrinkToFit="1"/>
    </xf>
    <xf numFmtId="164" fontId="30" fillId="0" borderId="31" applyAlignment="1" applyProtection="1" pivotButton="0" quotePrefix="0" xfId="1">
      <alignment horizontal="left" vertical="center"/>
      <protection locked="0" hidden="0"/>
    </xf>
    <xf numFmtId="0" fontId="30" fillId="0" borderId="31" applyAlignment="1" applyProtection="1" pivotButton="0" quotePrefix="0" xfId="1">
      <alignment horizontal="left" vertical="center"/>
      <protection locked="0" hidden="0"/>
    </xf>
    <xf numFmtId="43" fontId="30" fillId="0" borderId="31" applyAlignment="1" applyProtection="1" pivotButton="0" quotePrefix="0" xfId="2">
      <alignment horizontal="right" vertical="center" shrinkToFit="1"/>
      <protection locked="0" hidden="0"/>
    </xf>
    <xf numFmtId="43" fontId="30" fillId="0" borderId="31" applyAlignment="1" applyProtection="1" pivotButton="0" quotePrefix="0" xfId="1">
      <alignment horizontal="right" vertical="center" shrinkToFit="1"/>
      <protection locked="0" hidden="0"/>
    </xf>
    <xf numFmtId="43" fontId="30" fillId="0" borderId="31" applyAlignment="1" pivotButton="0" quotePrefix="0" xfId="1">
      <alignment horizontal="right" vertical="center" shrinkToFit="1"/>
    </xf>
    <xf numFmtId="0" fontId="78" fillId="0" borderId="31" applyAlignment="1" applyProtection="1" pivotButton="0" quotePrefix="0" xfId="20">
      <alignment horizontal="left" vertical="center"/>
      <protection locked="0" hidden="0"/>
    </xf>
    <xf numFmtId="0" fontId="23" fillId="0" borderId="31" applyAlignment="1" applyProtection="1" pivotButton="0" quotePrefix="0" xfId="0">
      <alignment horizontal="left" vertical="center"/>
      <protection locked="0" hidden="0"/>
    </xf>
    <xf numFmtId="0" fontId="23" fillId="0" borderId="31" applyAlignment="1" applyProtection="1" pivotButton="0" quotePrefix="0" xfId="41">
      <alignment horizontal="left" vertical="center"/>
      <protection locked="0" hidden="0"/>
    </xf>
    <xf numFmtId="0" fontId="22" fillId="0" borderId="31" applyAlignment="1" pivotButton="0" quotePrefix="0" xfId="41">
      <alignment horizontal="left" vertical="center"/>
    </xf>
    <xf numFmtId="14" fontId="30" fillId="0" borderId="31" applyAlignment="1" applyProtection="1" pivotButton="0" quotePrefix="0" xfId="1">
      <alignment horizontal="left" vertical="center"/>
      <protection locked="0" hidden="0"/>
    </xf>
    <xf numFmtId="43" fontId="22" fillId="0" borderId="6" applyAlignment="1" pivotButton="0" quotePrefix="0" xfId="1">
      <alignment horizontal="right" vertical="center" shrinkToFit="1"/>
    </xf>
    <xf numFmtId="43" fontId="22" fillId="0" borderId="30" applyAlignment="1" pivotButton="0" quotePrefix="0" xfId="41">
      <alignment horizontal="right" vertical="center" shrinkToFit="1"/>
    </xf>
    <xf numFmtId="43" fontId="22" fillId="0" borderId="31" applyAlignment="1" pivotButton="0" quotePrefix="0" xfId="41">
      <alignment horizontal="right" vertical="center" shrinkToFit="1"/>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67" fillId="5" borderId="31" applyAlignment="1" applyProtection="1" pivotButton="0" quotePrefix="0" xfId="11">
      <alignment horizontal="right" vertical="center" shrinkToFit="1"/>
      <protection locked="0" hidden="0"/>
    </xf>
    <xf numFmtId="43" fontId="65"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21" fillId="5" borderId="31" applyAlignment="1" applyProtection="1" pivotButton="0" quotePrefix="0" xfId="11">
      <alignment horizontal="right" vertical="center" shrinkToFit="1"/>
      <protection locked="0" hidden="0"/>
    </xf>
    <xf numFmtId="0" fontId="30" fillId="0" borderId="31" applyAlignment="1" pivotButton="0" quotePrefix="0" xfId="41">
      <alignment horizontal="left" vertical="center" wrapText="1"/>
    </xf>
    <xf numFmtId="0" fontId="21" fillId="0" borderId="31" applyAlignment="1" applyProtection="1" pivotButton="0" quotePrefix="0" xfId="11">
      <alignment horizontal="left" vertical="center" shrinkToFit="1"/>
      <protection locked="0" hidden="0"/>
    </xf>
    <xf numFmtId="0" fontId="67" fillId="5" borderId="31" applyAlignment="1" applyProtection="1" pivotButton="0" quotePrefix="0" xfId="98">
      <alignment horizontal="left" vertical="center" shrinkToFit="1"/>
      <protection locked="0" hidden="0"/>
    </xf>
    <xf numFmtId="0" fontId="23" fillId="0" borderId="31" applyAlignment="1" applyProtection="1" pivotButton="0" quotePrefix="0" xfId="20">
      <alignment horizontal="left" vertical="center"/>
      <protection locked="0" hidden="0"/>
    </xf>
    <xf numFmtId="0" fontId="22" fillId="0" borderId="31" applyAlignment="1" pivotButton="0" quotePrefix="0" xfId="0">
      <alignment horizontal="left" vertical="center" wrapText="1"/>
    </xf>
    <xf numFmtId="0" fontId="80" fillId="0" borderId="31" applyAlignment="1" pivotButton="0" quotePrefix="1" xfId="48">
      <alignment horizontal="center" vertical="center"/>
    </xf>
    <xf numFmtId="0" fontId="118" fillId="0" borderId="31" applyAlignment="1" pivotButton="0" quotePrefix="0" xfId="0">
      <alignment horizontal="left" vertical="center" wrapText="1"/>
    </xf>
    <xf numFmtId="0" fontId="21" fillId="10" borderId="31" applyAlignment="1" pivotButton="0" quotePrefix="0" xfId="0">
      <alignment horizontal="center" vertical="center" wrapText="1"/>
    </xf>
    <xf numFmtId="14" fontId="21" fillId="10" borderId="31" applyAlignment="1" pivotButton="0" quotePrefix="0" xfId="0">
      <alignment horizontal="center" vertical="center"/>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0" borderId="0" applyAlignment="1" pivotButton="0" quotePrefix="0" xfId="0">
      <alignment horizontal="left" vertical="center" wrapText="1"/>
    </xf>
    <xf numFmtId="0" fontId="30" fillId="0" borderId="31" applyAlignment="1" pivotButton="0" quotePrefix="0" xfId="0">
      <alignment horizontal="left" vertical="center"/>
    </xf>
    <xf numFmtId="0" fontId="117" fillId="3" borderId="1" applyAlignment="1" applyProtection="1" pivotButton="0" quotePrefix="0" xfId="41">
      <alignment vertical="center"/>
      <protection locked="0" hidden="0"/>
    </xf>
    <xf numFmtId="0" fontId="93" fillId="0" borderId="31" applyAlignment="1" pivotButton="0" quotePrefix="0" xfId="0">
      <alignment horizontal="left" vertical="center" wrapText="1"/>
    </xf>
    <xf numFmtId="0" fontId="71" fillId="3" borderId="1" applyAlignment="1" applyProtection="1" pivotButton="0" quotePrefix="0" xfId="0">
      <alignment horizontal="left" vertical="center"/>
      <protection locked="0" hidden="0"/>
    </xf>
    <xf numFmtId="0" fontId="30" fillId="0" borderId="2" applyAlignment="1" applyProtection="1" pivotButton="0" quotePrefix="0" xfId="0">
      <alignment horizontal="left" vertical="center" indent="2"/>
      <protection locked="0" hidden="0"/>
    </xf>
    <xf numFmtId="0" fontId="22" fillId="0" borderId="3" applyAlignment="1" applyProtection="1" pivotButton="0" quotePrefix="0" xfId="0">
      <alignment horizontal="left" vertical="center"/>
      <protection locked="0" hidden="0"/>
    </xf>
    <xf numFmtId="0" fontId="23" fillId="0" borderId="3" applyAlignment="1" applyProtection="1" pivotButton="0" quotePrefix="0" xfId="0">
      <alignment horizontal="left" vertical="center"/>
      <protection locked="0" hidden="0"/>
    </xf>
    <xf numFmtId="0" fontId="23" fillId="0" borderId="11" applyAlignment="1" applyProtection="1" pivotButton="0" quotePrefix="0" xfId="0">
      <alignment horizontal="left" vertical="center"/>
      <protection locked="0" hidden="0"/>
    </xf>
    <xf numFmtId="0" fontId="21" fillId="0" borderId="0" applyAlignment="1" applyProtection="1" pivotButton="0" quotePrefix="0" xfId="41">
      <alignment vertical="center"/>
      <protection locked="0" hidden="0"/>
    </xf>
    <xf numFmtId="0" fontId="115" fillId="0" borderId="0" applyAlignment="1" pivotButton="0" quotePrefix="0" xfId="0">
      <alignment horizontal="left" vertical="center" wrapText="1"/>
    </xf>
    <xf numFmtId="0" fontId="122" fillId="0" borderId="0" applyAlignment="1" applyProtection="1" pivotButton="0" quotePrefix="0" xfId="97">
      <alignment vertical="center"/>
      <protection locked="0" hidden="0"/>
    </xf>
    <xf numFmtId="0" fontId="115" fillId="0" borderId="0" applyAlignment="1" pivotButton="0" quotePrefix="0" xfId="0">
      <alignment horizontal="left" vertical="center"/>
    </xf>
    <xf numFmtId="0" fontId="25" fillId="11" borderId="31" applyAlignment="1" pivotButton="0" quotePrefix="0" xfId="0">
      <alignment horizontal="center" vertical="center" wrapText="1"/>
    </xf>
    <xf numFmtId="0" fontId="32" fillId="11" borderId="31" applyAlignment="1" pivotButton="0" quotePrefix="0" xfId="0">
      <alignment horizontal="center" vertical="center" wrapText="1"/>
    </xf>
    <xf numFmtId="0" fontId="25" fillId="10" borderId="31" applyAlignment="1" pivotButton="0" quotePrefix="0" xfId="0">
      <alignment horizontal="center" vertical="center" wrapText="1"/>
    </xf>
    <xf numFmtId="0" fontId="37" fillId="10" borderId="31" applyAlignment="1" pivotButton="0" quotePrefix="0" xfId="0">
      <alignment horizontal="center" vertical="center" wrapText="1"/>
    </xf>
    <xf numFmtId="14" fontId="30" fillId="0" borderId="31" applyAlignment="1" pivotButton="0" quotePrefix="0" xfId="0">
      <alignment horizontal="left" vertical="center"/>
    </xf>
    <xf numFmtId="0" fontId="52" fillId="0" borderId="1" applyAlignment="1" pivotButton="0" quotePrefix="0" xfId="0">
      <alignment vertical="center"/>
    </xf>
    <xf numFmtId="0" fontId="28" fillId="0" borderId="8" applyAlignment="1" applyProtection="1" pivotButton="0" quotePrefix="0" xfId="0">
      <alignment vertical="center"/>
      <protection locked="0" hidden="0"/>
    </xf>
    <xf numFmtId="0" fontId="28" fillId="0" borderId="9" applyAlignment="1" applyProtection="1" pivotButton="0" quotePrefix="0" xfId="0">
      <alignment vertical="center"/>
      <protection locked="0" hidden="0"/>
    </xf>
    <xf numFmtId="0" fontId="114" fillId="4" borderId="19" applyAlignment="1" applyProtection="1" pivotButton="0" quotePrefix="0" xfId="0">
      <alignment horizontal="centerContinuous" vertical="center"/>
      <protection locked="0" hidden="0"/>
    </xf>
    <xf numFmtId="0" fontId="22" fillId="0" borderId="1" applyAlignment="1" pivotButton="0" quotePrefix="0" xfId="0">
      <alignment horizontal="center" vertical="center"/>
    </xf>
    <xf numFmtId="0" fontId="22" fillId="0" borderId="1" applyAlignment="1" pivotButton="0" quotePrefix="0" xfId="0">
      <alignment horizontal="center"/>
    </xf>
    <xf numFmtId="0" fontId="22" fillId="0" borderId="1" applyAlignment="1" pivotButton="0" quotePrefix="0" xfId="0">
      <alignment horizontal="center" vertical="center" wrapText="1"/>
    </xf>
    <xf numFmtId="0" fontId="114" fillId="4" borderId="4" applyAlignment="1" applyProtection="1" pivotButton="0" quotePrefix="0" xfId="41">
      <alignment horizontal="centerContinuous" vertical="center"/>
      <protection locked="0" hidden="0"/>
    </xf>
    <xf numFmtId="0" fontId="25" fillId="0" borderId="8" applyAlignment="1" applyProtection="1" pivotButton="0" quotePrefix="0" xfId="41">
      <alignment horizontal="left" vertical="center" indent="2"/>
      <protection locked="0" hidden="0"/>
    </xf>
    <xf numFmtId="0" fontId="25" fillId="0" borderId="9" applyAlignment="1" applyProtection="1" pivotButton="0" quotePrefix="0" xfId="41">
      <alignment horizontal="left" vertical="center" indent="2"/>
      <protection locked="0" hidden="0"/>
    </xf>
    <xf numFmtId="0" fontId="30" fillId="5" borderId="31" applyAlignment="1" applyProtection="1" pivotButton="0" quotePrefix="0" xfId="11">
      <alignment horizontal="left" vertical="center" shrinkToFit="1"/>
      <protection locked="0" hidden="0"/>
    </xf>
    <xf numFmtId="0" fontId="30" fillId="0" borderId="31" applyAlignment="1" applyProtection="1" pivotButton="0" quotePrefix="0" xfId="98">
      <alignment horizontal="left" vertical="center" shrinkToFit="1"/>
      <protection locked="0" hidden="0"/>
    </xf>
    <xf numFmtId="0" fontId="21" fillId="0" borderId="0" pivotButton="0" quotePrefix="0" xfId="0"/>
    <xf numFmtId="14" fontId="67" fillId="0" borderId="31" applyAlignment="1" applyProtection="1" pivotButton="0" quotePrefix="0" xfId="98">
      <alignment horizontal="left" vertical="center" shrinkToFit="1"/>
      <protection locked="0" hidden="0"/>
    </xf>
    <xf numFmtId="0" fontId="21" fillId="13" borderId="31" applyAlignment="1" pivotButton="0" quotePrefix="0" xfId="0">
      <alignment horizontal="left" vertical="center" wrapText="1"/>
    </xf>
    <xf numFmtId="0" fontId="93" fillId="0" borderId="31" applyAlignment="1" pivotButton="0" quotePrefix="0" xfId="0">
      <alignment horizontal="left" vertical="center" wrapText="1"/>
    </xf>
    <xf numFmtId="0" fontId="22" fillId="0" borderId="31" applyAlignment="1" pivotButton="0" quotePrefix="0" xfId="0">
      <alignment horizontal="left" vertical="center" wrapText="1"/>
    </xf>
    <xf numFmtId="0" fontId="118" fillId="0" borderId="31" applyAlignment="1" pivotButton="0" quotePrefix="0" xfId="0">
      <alignment horizontal="left" vertical="center" wrapText="1"/>
    </xf>
    <xf numFmtId="0" fontId="118" fillId="0" borderId="1"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9" applyAlignment="1" pivotButton="0" quotePrefix="0" xfId="0">
      <alignment horizontal="left" vertical="center" wrapText="1"/>
    </xf>
    <xf numFmtId="0" fontId="80" fillId="0" borderId="31" applyAlignment="1" pivotButton="0" quotePrefix="1" xfId="48">
      <alignment horizontal="center" vertical="center"/>
    </xf>
    <xf numFmtId="0" fontId="80" fillId="0" borderId="31" applyAlignment="1" pivotButton="0" quotePrefix="0" xfId="48">
      <alignment horizontal="center" vertical="center"/>
    </xf>
    <xf numFmtId="0" fontId="25" fillId="13" borderId="31" applyAlignment="1" pivotButton="0" quotePrefix="0" xfId="0">
      <alignment horizontal="left" vertical="center" wrapText="1"/>
    </xf>
    <xf numFmtId="0" fontId="25" fillId="13" borderId="31" applyAlignment="1" pivotButton="0" quotePrefix="0" xfId="0">
      <alignment horizontal="left" vertical="center"/>
    </xf>
    <xf numFmtId="0" fontId="21" fillId="10" borderId="25" applyAlignment="1" pivotButton="0" quotePrefix="0" xfId="0">
      <alignment horizontal="center" vertical="center" wrapText="1"/>
    </xf>
    <xf numFmtId="0" fontId="21" fillId="10" borderId="24" applyAlignment="1" pivotButton="0" quotePrefix="0" xfId="0">
      <alignment horizontal="center" vertical="center" wrapText="1"/>
    </xf>
    <xf numFmtId="0" fontId="114" fillId="4" borderId="1" applyAlignment="1" applyProtection="1" pivotButton="0" quotePrefix="0" xfId="0">
      <alignment horizontal="center" vertical="center"/>
      <protection locked="0" hidden="0"/>
    </xf>
    <xf numFmtId="0" fontId="70" fillId="4" borderId="8" applyAlignment="1" applyProtection="1" pivotButton="0" quotePrefix="0" xfId="0">
      <alignment horizontal="center" vertical="center"/>
      <protection locked="0" hidden="0"/>
    </xf>
    <xf numFmtId="0" fontId="70" fillId="4" borderId="5" applyAlignment="1" applyProtection="1" pivotButton="0" quotePrefix="0" xfId="0">
      <alignment horizontal="center" vertical="center"/>
      <protection locked="0" hidden="0"/>
    </xf>
    <xf numFmtId="0" fontId="70" fillId="4" borderId="6" applyAlignment="1" applyProtection="1" pivotButton="0" quotePrefix="0" xfId="0">
      <alignment horizontal="center" vertical="center"/>
      <protection locked="0" hidden="0"/>
    </xf>
    <xf numFmtId="0" fontId="104" fillId="3" borderId="4" applyAlignment="1" pivotButton="0" quotePrefix="0" xfId="0">
      <alignment horizontal="left" vertical="center" wrapText="1" indent="7"/>
    </xf>
    <xf numFmtId="0" fontId="71" fillId="3" borderId="5" applyAlignment="1" pivotButton="0" quotePrefix="0" xfId="0">
      <alignment horizontal="left" vertical="center" wrapText="1" indent="7"/>
    </xf>
    <xf numFmtId="0" fontId="71" fillId="3" borderId="6" applyAlignment="1" pivotButton="0" quotePrefix="0" xfId="0">
      <alignment horizontal="left" vertical="center" wrapText="1" indent="7"/>
    </xf>
    <xf numFmtId="0" fontId="71" fillId="3" borderId="7" applyAlignment="1" pivotButton="0" quotePrefix="0" xfId="0">
      <alignment horizontal="left" vertical="center" wrapText="1" indent="7"/>
    </xf>
    <xf numFmtId="0" fontId="71" fillId="3" borderId="0" applyAlignment="1" pivotButton="0" quotePrefix="0" xfId="0">
      <alignment horizontal="left" vertical="center" wrapText="1" indent="7"/>
    </xf>
    <xf numFmtId="0" fontId="71" fillId="3" borderId="30" applyAlignment="1" pivotButton="0" quotePrefix="0" xfId="0">
      <alignment horizontal="left" vertical="center" wrapText="1" indent="7"/>
    </xf>
    <xf numFmtId="0" fontId="71" fillId="3" borderId="2" applyAlignment="1" pivotButton="0" quotePrefix="0" xfId="0">
      <alignment horizontal="left" vertical="center" wrapText="1" indent="7"/>
    </xf>
    <xf numFmtId="0" fontId="71" fillId="3" borderId="3" applyAlignment="1" pivotButton="0" quotePrefix="0" xfId="0">
      <alignment horizontal="left" vertical="center" wrapText="1" indent="7"/>
    </xf>
    <xf numFmtId="0" fontId="71" fillId="3" borderId="11" applyAlignment="1" pivotButton="0" quotePrefix="0" xfId="0">
      <alignment horizontal="left" vertical="center" wrapText="1" indent="7"/>
    </xf>
    <xf numFmtId="0" fontId="51" fillId="0" borderId="19" applyAlignment="1" applyProtection="1" pivotButton="0" quotePrefix="0" xfId="38">
      <alignment horizontal="left" vertical="center" wrapText="1"/>
      <protection locked="0" hidden="0"/>
    </xf>
    <xf numFmtId="0" fontId="52" fillId="0" borderId="22" applyAlignment="1" applyProtection="1" pivotButton="0" quotePrefix="0" xfId="38">
      <alignment horizontal="left" vertical="center" wrapText="1"/>
      <protection locked="0" hidden="0"/>
    </xf>
    <xf numFmtId="0" fontId="52" fillId="0" borderId="20" applyAlignment="1" applyProtection="1" pivotButton="0" quotePrefix="0" xfId="38">
      <alignment horizontal="left" vertical="center" wrapText="1"/>
      <protection locked="0" hidden="0"/>
    </xf>
    <xf numFmtId="0" fontId="52" fillId="0" borderId="27" applyAlignment="1" applyProtection="1" pivotButton="0" quotePrefix="0" xfId="38">
      <alignment horizontal="left" vertical="center" wrapText="1"/>
      <protection locked="0" hidden="0"/>
    </xf>
    <xf numFmtId="0" fontId="52" fillId="0" borderId="0" applyAlignment="1" applyProtection="1" pivotButton="0" quotePrefix="0" xfId="38">
      <alignment horizontal="left" vertical="center" wrapText="1"/>
      <protection locked="0" hidden="0"/>
    </xf>
    <xf numFmtId="0" fontId="52" fillId="0" borderId="28" applyAlignment="1" applyProtection="1" pivotButton="0" quotePrefix="0" xfId="38">
      <alignment horizontal="left" vertical="center" wrapText="1"/>
      <protection locked="0" hidden="0"/>
    </xf>
    <xf numFmtId="0" fontId="52" fillId="0" borderId="26" applyAlignment="1" applyProtection="1" pivotButton="0" quotePrefix="0" xfId="38">
      <alignment horizontal="left" vertical="center" wrapText="1"/>
      <protection locked="0" hidden="0"/>
    </xf>
    <xf numFmtId="0" fontId="52" fillId="0" borderId="13" applyAlignment="1" applyProtection="1" pivotButton="0" quotePrefix="0" xfId="38">
      <alignment horizontal="left" vertical="center" wrapText="1"/>
      <protection locked="0" hidden="0"/>
    </xf>
    <xf numFmtId="0" fontId="52" fillId="0" borderId="29" applyAlignment="1" applyProtection="1" pivotButton="0" quotePrefix="0" xfId="38">
      <alignment horizontal="left" vertical="center" wrapText="1"/>
      <protection locked="0" hidden="0"/>
    </xf>
    <xf numFmtId="0" fontId="115" fillId="0" borderId="0" applyAlignment="1" pivotButton="0" quotePrefix="0" xfId="0">
      <alignment horizontal="left" vertical="center" wrapText="1"/>
    </xf>
    <xf numFmtId="0" fontId="21" fillId="10" borderId="31" applyAlignment="1" pivotButton="0" quotePrefix="0" xfId="0">
      <alignment horizontal="center" vertical="center" wrapText="1"/>
    </xf>
    <xf numFmtId="0" fontId="30" fillId="0" borderId="4" applyAlignment="1" pivotButton="0" quotePrefix="0" xfId="39">
      <alignment horizontal="left" vertical="center" wrapText="1"/>
    </xf>
    <xf numFmtId="0" fontId="30" fillId="0" borderId="38" applyAlignment="1" pivotButton="0" quotePrefix="0" xfId="39">
      <alignment horizontal="left" vertical="center" wrapText="1"/>
    </xf>
    <xf numFmtId="0" fontId="30" fillId="0" borderId="39" applyAlignment="1" pivotButton="0" quotePrefix="0" xfId="39">
      <alignment horizontal="left" vertical="center" wrapText="1"/>
    </xf>
    <xf numFmtId="0" fontId="30" fillId="0" borderId="40" applyAlignment="1" pivotButton="0" quotePrefix="0" xfId="39">
      <alignment horizontal="left" vertical="center" wrapText="1"/>
    </xf>
    <xf numFmtId="0" fontId="30" fillId="0" borderId="19" applyAlignment="1" pivotButton="0" quotePrefix="0" xfId="39">
      <alignment horizontal="left" vertical="center" wrapText="1"/>
    </xf>
    <xf numFmtId="0" fontId="30" fillId="0" borderId="41" applyAlignment="1" pivotButton="0" quotePrefix="0" xfId="39">
      <alignment horizontal="left" vertical="center" wrapText="1"/>
    </xf>
    <xf numFmtId="0" fontId="30" fillId="0" borderId="42" applyAlignment="1" pivotButton="0" quotePrefix="0" xfId="39">
      <alignment horizontal="left" vertical="center" wrapText="1"/>
    </xf>
    <xf numFmtId="0" fontId="30" fillId="0" borderId="43" applyAlignment="1" pivotButton="0" quotePrefix="0" xfId="39">
      <alignment horizontal="left" vertical="center" wrapText="1"/>
    </xf>
    <xf numFmtId="0" fontId="30" fillId="0" borderId="44" applyAlignment="1" pivotButton="0" quotePrefix="0" xfId="39">
      <alignment horizontal="left" vertical="center" wrapText="1"/>
    </xf>
    <xf numFmtId="14" fontId="21" fillId="10" borderId="31" applyAlignment="1" pivotButton="0" quotePrefix="0" xfId="0">
      <alignment horizontal="center" vertical="center"/>
    </xf>
    <xf numFmtId="0" fontId="28" fillId="10" borderId="31" applyAlignment="1" pivotButton="0" quotePrefix="0" xfId="0">
      <alignment horizontal="center" vertical="center" wrapText="1"/>
    </xf>
    <xf numFmtId="0" fontId="21" fillId="10" borderId="1" applyAlignment="1" pivotButton="0" quotePrefix="0" xfId="0">
      <alignment horizontal="center" vertical="center"/>
    </xf>
    <xf numFmtId="0" fontId="21" fillId="10" borderId="9" applyAlignment="1" pivotButton="0" quotePrefix="0" xfId="0">
      <alignment horizontal="center" vertical="center"/>
    </xf>
    <xf numFmtId="0" fontId="30" fillId="0" borderId="19" applyAlignment="1" applyProtection="1" pivotButton="0" quotePrefix="0" xfId="38">
      <alignment horizontal="left" vertical="center" wrapText="1"/>
      <protection locked="0" hidden="0"/>
    </xf>
    <xf numFmtId="0" fontId="30" fillId="0" borderId="22" applyAlignment="1" applyProtection="1" pivotButton="0" quotePrefix="0" xfId="38">
      <alignment horizontal="left" vertical="center" wrapText="1"/>
      <protection locked="0" hidden="0"/>
    </xf>
    <xf numFmtId="0" fontId="30" fillId="0" borderId="20" applyAlignment="1" applyProtection="1" pivotButton="0" quotePrefix="0" xfId="38">
      <alignment horizontal="left" vertical="center" wrapText="1"/>
      <protection locked="0" hidden="0"/>
    </xf>
    <xf numFmtId="0" fontId="30" fillId="0" borderId="27" applyAlignment="1" applyProtection="1" pivotButton="0" quotePrefix="0" xfId="38">
      <alignment horizontal="left" vertical="center" wrapText="1"/>
      <protection locked="0" hidden="0"/>
    </xf>
    <xf numFmtId="0" fontId="30" fillId="0" borderId="0" applyAlignment="1" applyProtection="1" pivotButton="0" quotePrefix="0" xfId="38">
      <alignment horizontal="left" vertical="center" wrapText="1"/>
      <protection locked="0" hidden="0"/>
    </xf>
    <xf numFmtId="0" fontId="30" fillId="0" borderId="28" applyAlignment="1" applyProtection="1" pivotButton="0" quotePrefix="0" xfId="38">
      <alignment horizontal="left" vertical="center" wrapText="1"/>
      <protection locked="0" hidden="0"/>
    </xf>
    <xf numFmtId="0" fontId="30" fillId="0" borderId="26" applyAlignment="1" applyProtection="1" pivotButton="0" quotePrefix="0" xfId="38">
      <alignment horizontal="left" vertical="center" wrapText="1"/>
      <protection locked="0" hidden="0"/>
    </xf>
    <xf numFmtId="0" fontId="30" fillId="0" borderId="13" applyAlignment="1" applyProtection="1" pivotButton="0" quotePrefix="0" xfId="38">
      <alignment horizontal="left" vertical="center" wrapText="1"/>
      <protection locked="0" hidden="0"/>
    </xf>
    <xf numFmtId="0" fontId="30" fillId="0" borderId="29" applyAlignment="1" applyProtection="1" pivotButton="0" quotePrefix="0" xfId="38">
      <alignment horizontal="left" vertical="center" wrapText="1"/>
      <protection locked="0" hidden="0"/>
    </xf>
    <xf numFmtId="0" fontId="30" fillId="0" borderId="4" applyAlignment="1" applyProtection="1" pivotButton="0" quotePrefix="0" xfId="38">
      <alignment horizontal="left" vertical="center" wrapText="1"/>
      <protection locked="0" hidden="0"/>
    </xf>
    <xf numFmtId="0" fontId="30" fillId="0" borderId="5" applyAlignment="1" applyProtection="1" pivotButton="0" quotePrefix="0" xfId="38">
      <alignment horizontal="left" vertical="center" wrapText="1"/>
      <protection locked="0" hidden="0"/>
    </xf>
    <xf numFmtId="0" fontId="30" fillId="0" borderId="6" applyAlignment="1" applyProtection="1" pivotButton="0" quotePrefix="0" xfId="38">
      <alignment horizontal="left" vertical="center" wrapText="1"/>
      <protection locked="0" hidden="0"/>
    </xf>
    <xf numFmtId="0" fontId="30" fillId="0" borderId="7" applyAlignment="1" applyProtection="1" pivotButton="0" quotePrefix="0" xfId="38">
      <alignment horizontal="left" vertical="center" wrapText="1"/>
      <protection locked="0" hidden="0"/>
    </xf>
    <xf numFmtId="0" fontId="30" fillId="0" borderId="30" applyAlignment="1" applyProtection="1" pivotButton="0" quotePrefix="0" xfId="38">
      <alignment horizontal="left" vertical="center" wrapText="1"/>
      <protection locked="0" hidden="0"/>
    </xf>
    <xf numFmtId="0" fontId="30" fillId="0" borderId="2" applyAlignment="1" applyProtection="1" pivotButton="0" quotePrefix="0" xfId="38">
      <alignment horizontal="left" vertical="center" wrapText="1"/>
      <protection locked="0" hidden="0"/>
    </xf>
    <xf numFmtId="0" fontId="30" fillId="0" borderId="3" applyAlignment="1" applyProtection="1" pivotButton="0" quotePrefix="0" xfId="38">
      <alignment horizontal="left" vertical="center" wrapText="1"/>
      <protection locked="0" hidden="0"/>
    </xf>
    <xf numFmtId="0" fontId="30" fillId="0" borderId="11" applyAlignment="1" applyProtection="1" pivotButton="0" quotePrefix="0" xfId="38">
      <alignment horizontal="left" vertical="center" wrapText="1"/>
      <protection locked="0" hidden="0"/>
    </xf>
    <xf numFmtId="0" fontId="89" fillId="11" borderId="31" applyAlignment="1" pivotButton="0" quotePrefix="0" xfId="0">
      <alignment horizontal="left" vertical="center"/>
    </xf>
    <xf numFmtId="0" fontId="50" fillId="11" borderId="1" applyAlignment="1" pivotButton="0" quotePrefix="0" xfId="0">
      <alignment horizontal="center" vertical="center"/>
    </xf>
    <xf numFmtId="0" fontId="97" fillId="11" borderId="9" applyAlignment="1" pivotButton="0" quotePrefix="0" xfId="0">
      <alignment horizontal="center" vertical="center"/>
    </xf>
    <xf numFmtId="0" fontId="21" fillId="11" borderId="8" applyAlignment="1" pivotButton="0" quotePrefix="0" xfId="0">
      <alignment horizontal="center" vertical="center" wrapText="1"/>
    </xf>
    <xf numFmtId="0" fontId="21" fillId="11" borderId="9" applyAlignment="1" pivotButton="0" quotePrefix="0" xfId="0">
      <alignment horizontal="center" vertical="center" wrapText="1"/>
    </xf>
    <xf numFmtId="0" fontId="21" fillId="11" borderId="18" applyAlignment="1" pivotButton="0" quotePrefix="0" xfId="0">
      <alignment horizontal="center" vertical="center" wrapText="1"/>
    </xf>
    <xf numFmtId="0" fontId="97" fillId="10" borderId="25" applyAlignment="1" pivotButton="0" quotePrefix="0" xfId="0">
      <alignment horizontal="center" vertical="center" wrapText="1"/>
    </xf>
    <xf numFmtId="0" fontId="97" fillId="10" borderId="24" applyAlignment="1" pivotButton="0" quotePrefix="0" xfId="0">
      <alignment horizontal="center" vertical="center" wrapText="1"/>
    </xf>
    <xf numFmtId="0" fontId="28" fillId="10" borderId="1" applyAlignment="1" pivotButton="0" quotePrefix="0" xfId="0">
      <alignment horizontal="center" vertical="center"/>
    </xf>
    <xf numFmtId="0" fontId="28" fillId="10" borderId="8" applyAlignment="1" pivotButton="0" quotePrefix="0" xfId="0">
      <alignment horizontal="center" vertical="center"/>
    </xf>
    <xf numFmtId="0" fontId="28" fillId="10" borderId="9" applyAlignment="1" pivotButton="0" quotePrefix="0" xfId="0">
      <alignment horizontal="center" vertical="center"/>
    </xf>
    <xf numFmtId="0" fontId="51" fillId="0" borderId="27" applyAlignment="1" applyProtection="1" pivotButton="0" quotePrefix="0" xfId="38">
      <alignment horizontal="left" vertical="center" wrapText="1"/>
      <protection locked="0" hidden="0"/>
    </xf>
    <xf numFmtId="0" fontId="28" fillId="11" borderId="1" applyAlignment="1" pivotButton="0" quotePrefix="0" xfId="0">
      <alignment horizontal="center" vertical="center"/>
    </xf>
    <xf numFmtId="0" fontId="28" fillId="11" borderId="8" applyAlignment="1" pivotButton="0" quotePrefix="0" xfId="0">
      <alignment horizontal="center" vertical="center"/>
    </xf>
    <xf numFmtId="0" fontId="28" fillId="11" borderId="9" applyAlignment="1" pivotButton="0" quotePrefix="0" xfId="0">
      <alignment horizontal="center" vertical="center"/>
    </xf>
    <xf numFmtId="0" fontId="26" fillId="0" borderId="4" applyAlignment="1" pivotButton="0" quotePrefix="0" xfId="0">
      <alignment horizontal="left" vertical="center" wrapText="1"/>
    </xf>
    <xf numFmtId="0" fontId="26" fillId="0" borderId="5" applyAlignment="1" pivotButton="0" quotePrefix="0" xfId="0">
      <alignment horizontal="left" vertical="center" wrapText="1"/>
    </xf>
    <xf numFmtId="0" fontId="26" fillId="0" borderId="6" applyAlignment="1" pivotButton="0" quotePrefix="0" xfId="0">
      <alignment horizontal="left" vertical="center" wrapText="1"/>
    </xf>
    <xf numFmtId="0" fontId="26" fillId="0" borderId="7" applyAlignment="1" pivotButton="0" quotePrefix="0" xfId="0">
      <alignment horizontal="left" vertical="center" wrapText="1"/>
    </xf>
    <xf numFmtId="0" fontId="26" fillId="0" borderId="0" applyAlignment="1" pivotButton="0" quotePrefix="0" xfId="0">
      <alignment horizontal="left" vertical="center" wrapText="1"/>
    </xf>
    <xf numFmtId="0" fontId="26" fillId="0" borderId="30" applyAlignment="1" pivotButton="0" quotePrefix="0" xfId="0">
      <alignment horizontal="left" vertical="center" wrapText="1"/>
    </xf>
    <xf numFmtId="0" fontId="26" fillId="0" borderId="2" applyAlignment="1" pivotButton="0" quotePrefix="0" xfId="0">
      <alignment horizontal="left" vertical="center" wrapText="1"/>
    </xf>
    <xf numFmtId="0" fontId="26" fillId="0" borderId="3" applyAlignment="1" pivotButton="0" quotePrefix="0" xfId="0">
      <alignment horizontal="left" vertical="center" wrapText="1"/>
    </xf>
    <xf numFmtId="0" fontId="26" fillId="0" borderId="11" applyAlignment="1" pivotButton="0" quotePrefix="0" xfId="0">
      <alignment horizontal="left" vertical="center" wrapText="1"/>
    </xf>
    <xf numFmtId="0" fontId="30" fillId="0" borderId="31" applyAlignment="1" applyProtection="1" pivotButton="0" quotePrefix="0" xfId="0">
      <alignment horizontal="left" vertical="center" wrapText="1"/>
      <protection locked="0" hidden="0"/>
    </xf>
    <xf numFmtId="0" fontId="30" fillId="0" borderId="31" applyAlignment="1" applyProtection="1" pivotButton="0" quotePrefix="0" xfId="0">
      <alignment horizontal="left" vertical="top" wrapText="1"/>
      <protection locked="0" hidden="0"/>
    </xf>
    <xf numFmtId="0" fontId="22" fillId="0" borderId="31" applyAlignment="1" applyProtection="1" pivotButton="0" quotePrefix="0" xfId="0">
      <alignment horizontal="left" vertical="center" wrapText="1" indent="1"/>
      <protection locked="0" hidden="0"/>
    </xf>
    <xf numFmtId="0" fontId="39" fillId="0" borderId="31" applyAlignment="1" applyProtection="1" pivotButton="0" quotePrefix="0" xfId="0">
      <alignment horizontal="left" vertical="center" wrapText="1" indent="1"/>
      <protection locked="0" hidden="0"/>
    </xf>
    <xf numFmtId="0" fontId="124" fillId="6" borderId="4" applyAlignment="1" pivotButton="0" quotePrefix="0" xfId="41">
      <alignment horizontal="center" vertical="center"/>
    </xf>
    <xf numFmtId="0" fontId="116" fillId="6" borderId="5" applyAlignment="1" pivotButton="0" quotePrefix="0" xfId="41">
      <alignment horizontal="center" vertical="center"/>
    </xf>
    <xf numFmtId="0" fontId="71" fillId="3" borderId="1" applyAlignment="1" pivotButton="0" quotePrefix="0" xfId="41">
      <alignment horizontal="left" vertical="center"/>
    </xf>
    <xf numFmtId="0" fontId="71" fillId="3" borderId="8" applyAlignment="1" pivotButton="0" quotePrefix="0" xfId="41">
      <alignment horizontal="left" vertical="center"/>
    </xf>
    <xf numFmtId="0" fontId="71" fillId="3" borderId="9" applyAlignment="1" pivotButton="0" quotePrefix="0" xfId="41">
      <alignment horizontal="left" vertical="center"/>
    </xf>
    <xf numFmtId="0" fontId="30" fillId="0" borderId="1" applyAlignment="1" applyProtection="1" pivotButton="0" quotePrefix="0" xfId="41">
      <alignment horizontal="left" vertical="center" wrapText="1"/>
      <protection locked="0" hidden="0"/>
    </xf>
    <xf numFmtId="0" fontId="30" fillId="0" borderId="8" applyAlignment="1" applyProtection="1" pivotButton="0" quotePrefix="0" xfId="41">
      <alignment horizontal="left" vertical="center" wrapText="1"/>
      <protection locked="0" hidden="0"/>
    </xf>
    <xf numFmtId="0" fontId="30" fillId="0" borderId="9" applyAlignment="1" applyProtection="1" pivotButton="0" quotePrefix="0" xfId="41">
      <alignment horizontal="left" vertical="center" wrapText="1"/>
      <protection locked="0" hidden="0"/>
    </xf>
    <xf numFmtId="0" fontId="30" fillId="0" borderId="31" applyAlignment="1" applyProtection="1" pivotButton="0" quotePrefix="0" xfId="41">
      <alignment horizontal="left" vertical="center" wrapText="1"/>
      <protection locked="0" hidden="0"/>
    </xf>
    <xf numFmtId="0" fontId="22" fillId="0" borderId="1" applyAlignment="1" applyProtection="1" pivotButton="0" quotePrefix="0" xfId="41">
      <alignment horizontal="left" vertical="center" wrapText="1" indent="2"/>
      <protection locked="0" hidden="0"/>
    </xf>
    <xf numFmtId="0" fontId="25" fillId="0" borderId="8" applyAlignment="1" applyProtection="1" pivotButton="0" quotePrefix="0" xfId="41">
      <alignment horizontal="left" vertical="center" wrapText="1" indent="2"/>
      <protection locked="0" hidden="0"/>
    </xf>
    <xf numFmtId="0" fontId="25" fillId="0" borderId="9" applyAlignment="1" applyProtection="1" pivotButton="0" quotePrefix="0" xfId="41">
      <alignment horizontal="left" vertical="center" wrapText="1" indent="2"/>
      <protection locked="0" hidden="0"/>
    </xf>
    <xf numFmtId="0" fontId="28" fillId="11" borderId="31" applyAlignment="1" pivotButton="0" quotePrefix="0" xfId="41">
      <alignment horizontal="center" vertical="center"/>
    </xf>
    <xf numFmtId="0" fontId="121" fillId="0" borderId="4" applyAlignment="1" pivotButton="0" quotePrefix="0" xfId="98">
      <alignment horizontal="left" vertical="center" wrapText="1"/>
    </xf>
    <xf numFmtId="0" fontId="121" fillId="0" borderId="5" applyAlignment="1" pivotButton="0" quotePrefix="0" xfId="98">
      <alignment horizontal="left" vertical="center" wrapText="1"/>
    </xf>
    <xf numFmtId="0" fontId="121" fillId="0" borderId="6" applyAlignment="1" pivotButton="0" quotePrefix="0" xfId="98">
      <alignment horizontal="left" vertical="center" wrapText="1"/>
    </xf>
    <xf numFmtId="0" fontId="121" fillId="0" borderId="7" applyAlignment="1" pivotButton="0" quotePrefix="0" xfId="98">
      <alignment horizontal="left" vertical="center" wrapText="1"/>
    </xf>
    <xf numFmtId="0" fontId="121" fillId="0" borderId="0" applyAlignment="1" pivotButton="0" quotePrefix="0" xfId="98">
      <alignment horizontal="left" vertical="center" wrapText="1"/>
    </xf>
    <xf numFmtId="0" fontId="121" fillId="0" borderId="30" applyAlignment="1" pivotButton="0" quotePrefix="0" xfId="98">
      <alignment horizontal="left" vertical="center" wrapText="1"/>
    </xf>
    <xf numFmtId="0" fontId="121" fillId="0" borderId="2" applyAlignment="1" pivotButton="0" quotePrefix="0" xfId="98">
      <alignment horizontal="left" vertical="center" wrapText="1"/>
    </xf>
    <xf numFmtId="0" fontId="121" fillId="0" borderId="3" applyAlignment="1" pivotButton="0" quotePrefix="0" xfId="98">
      <alignment horizontal="left" vertical="center" wrapText="1"/>
    </xf>
    <xf numFmtId="0" fontId="121" fillId="0" borderId="11" applyAlignment="1" pivotButton="0" quotePrefix="0" xfId="98">
      <alignment horizontal="left" vertical="center" wrapText="1"/>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12" borderId="25" applyAlignment="1" pivotButton="0" quotePrefix="0" xfId="0">
      <alignment horizontal="center" vertical="center" wrapText="1"/>
    </xf>
    <xf numFmtId="0" fontId="30" fillId="12" borderId="12" applyAlignment="1" pivotButton="0" quotePrefix="0" xfId="0">
      <alignment horizontal="center" vertical="center" wrapText="1"/>
    </xf>
    <xf numFmtId="0" fontId="30" fillId="12" borderId="24" applyAlignment="1" pivotButton="0" quotePrefix="0" xfId="0">
      <alignment horizontal="center" vertical="center" wrapText="1"/>
    </xf>
    <xf numFmtId="0" fontId="30" fillId="0" borderId="4" applyAlignment="1" pivotButton="0" quotePrefix="0" xfId="0">
      <alignment horizontal="left" vertical="center" wrapText="1"/>
    </xf>
    <xf numFmtId="0" fontId="30" fillId="0" borderId="5" applyAlignment="1" pivotButton="0" quotePrefix="0" xfId="0">
      <alignment horizontal="left" vertical="center" wrapText="1"/>
    </xf>
    <xf numFmtId="0" fontId="30" fillId="0" borderId="6" applyAlignment="1" pivotButton="0" quotePrefix="0" xfId="0">
      <alignment horizontal="left" vertical="center" wrapText="1"/>
    </xf>
    <xf numFmtId="0" fontId="30" fillId="0" borderId="7" applyAlignment="1" pivotButton="0" quotePrefix="0" xfId="0">
      <alignment horizontal="left" vertical="center" wrapText="1"/>
    </xf>
    <xf numFmtId="0" fontId="30" fillId="0" borderId="0" applyAlignment="1" pivotButton="0" quotePrefix="0" xfId="0">
      <alignment horizontal="left" vertical="center" wrapText="1"/>
    </xf>
    <xf numFmtId="0" fontId="30" fillId="0" borderId="30" applyAlignment="1" pivotButton="0" quotePrefix="0" xfId="0">
      <alignment horizontal="left" vertical="center" wrapText="1"/>
    </xf>
    <xf numFmtId="0" fontId="30" fillId="0" borderId="2" applyAlignment="1" pivotButton="0" quotePrefix="0" xfId="0">
      <alignment horizontal="left" vertical="center" wrapText="1"/>
    </xf>
    <xf numFmtId="0" fontId="30" fillId="0" borderId="3" applyAlignment="1" pivotButton="0" quotePrefix="0" xfId="0">
      <alignment horizontal="left" vertical="center" wrapText="1"/>
    </xf>
    <xf numFmtId="0" fontId="30" fillId="0" borderId="11" applyAlignment="1" pivotButton="0" quotePrefix="0" xfId="0">
      <alignment horizontal="left" vertical="center" wrapText="1"/>
    </xf>
    <xf numFmtId="0" fontId="22" fillId="0" borderId="19" applyAlignment="1" applyProtection="1" pivotButton="0" quotePrefix="0" xfId="0">
      <alignment horizontal="left" vertical="center" wrapText="1"/>
      <protection locked="0" hidden="0"/>
    </xf>
    <xf numFmtId="0" fontId="22" fillId="0" borderId="22" applyAlignment="1" applyProtection="1" pivotButton="0" quotePrefix="0" xfId="0">
      <alignment horizontal="left" vertical="center" wrapText="1"/>
      <protection locked="0" hidden="0"/>
    </xf>
    <xf numFmtId="0" fontId="22" fillId="0" borderId="20" applyAlignment="1" applyProtection="1" pivotButton="0" quotePrefix="0" xfId="0">
      <alignment horizontal="left" vertical="center" wrapText="1"/>
      <protection locked="0" hidden="0"/>
    </xf>
    <xf numFmtId="0" fontId="22" fillId="0" borderId="27" applyAlignment="1" applyProtection="1" pivotButton="0" quotePrefix="0" xfId="0">
      <alignment horizontal="left" vertical="center" wrapText="1"/>
      <protection locked="0" hidden="0"/>
    </xf>
    <xf numFmtId="0" fontId="22" fillId="0" borderId="0" applyAlignment="1" applyProtection="1" pivotButton="0" quotePrefix="0" xfId="0">
      <alignment horizontal="left" vertical="center" wrapText="1"/>
      <protection locked="0" hidden="0"/>
    </xf>
    <xf numFmtId="0" fontId="22" fillId="0" borderId="28" applyAlignment="1" applyProtection="1" pivotButton="0" quotePrefix="0" xfId="0">
      <alignment horizontal="left" vertical="center" wrapText="1"/>
      <protection locked="0" hidden="0"/>
    </xf>
    <xf numFmtId="0" fontId="22" fillId="0" borderId="26" applyAlignment="1" applyProtection="1" pivotButton="0" quotePrefix="0" xfId="0">
      <alignment horizontal="left" vertical="center" wrapText="1"/>
      <protection locked="0" hidden="0"/>
    </xf>
    <xf numFmtId="0" fontId="22" fillId="0" borderId="13" applyAlignment="1" applyProtection="1" pivotButton="0" quotePrefix="0" xfId="0">
      <alignment horizontal="left" vertical="center" wrapText="1"/>
      <protection locked="0" hidden="0"/>
    </xf>
    <xf numFmtId="0" fontId="22" fillId="0" borderId="29" applyAlignment="1" applyProtection="1" pivotButton="0" quotePrefix="0" xfId="0">
      <alignment horizontal="left" vertical="center" wrapText="1"/>
      <protection locked="0" hidden="0"/>
    </xf>
    <xf numFmtId="0" fontId="114" fillId="4" borderId="4" applyAlignment="1" applyProtection="1" pivotButton="0" quotePrefix="0" xfId="0">
      <alignment horizontal="center" vertical="center"/>
      <protection locked="0" hidden="0"/>
    </xf>
    <xf numFmtId="0" fontId="30" fillId="0" borderId="31" applyAlignment="1" pivotButton="0" quotePrefix="0" xfId="0">
      <alignment horizontal="left" vertical="center"/>
    </xf>
    <xf numFmtId="0" fontId="30" fillId="0" borderId="1" applyAlignment="1" pivotButton="0" quotePrefix="0" xfId="0">
      <alignment horizontal="left" vertical="center"/>
    </xf>
    <xf numFmtId="0" fontId="30" fillId="0" borderId="8" applyAlignment="1" pivotButton="0" quotePrefix="0" xfId="0">
      <alignment horizontal="left" vertical="center"/>
    </xf>
    <xf numFmtId="0" fontId="30" fillId="0" borderId="9" applyAlignment="1" pivotButton="0" quotePrefix="0" xfId="0">
      <alignment horizontal="left" vertical="center"/>
    </xf>
    <xf numFmtId="0" fontId="21" fillId="9" borderId="8" applyAlignment="1" pivotButton="0" quotePrefix="0" xfId="0">
      <alignment horizontal="left" vertical="center"/>
    </xf>
    <xf numFmtId="0" fontId="21" fillId="9" borderId="9" applyAlignment="1" pivotButton="0" quotePrefix="0" xfId="0">
      <alignment horizontal="left" vertical="center"/>
    </xf>
    <xf numFmtId="3" fontId="22" fillId="0" borderId="31" applyAlignment="1" pivotButton="0" quotePrefix="0" xfId="0">
      <alignment horizontal="left" vertical="center"/>
    </xf>
    <xf numFmtId="0" fontId="30" fillId="0" borderId="19" applyAlignment="1" pivotButton="0" quotePrefix="0" xfId="0">
      <alignment horizontal="left" vertical="center" wrapText="1"/>
    </xf>
    <xf numFmtId="0" fontId="30" fillId="0" borderId="22" applyAlignment="1" pivotButton="0" quotePrefix="0" xfId="0">
      <alignment horizontal="left" vertical="center" wrapText="1"/>
    </xf>
    <xf numFmtId="0" fontId="30" fillId="0" borderId="20" applyAlignment="1" pivotButton="0" quotePrefix="0" xfId="0">
      <alignment horizontal="left" vertical="center" wrapText="1"/>
    </xf>
    <xf numFmtId="0" fontId="30" fillId="0" borderId="27" applyAlignment="1" pivotButton="0" quotePrefix="0" xfId="0">
      <alignment horizontal="left" vertical="center" wrapText="1"/>
    </xf>
    <xf numFmtId="0" fontId="30" fillId="0" borderId="28" applyAlignment="1" pivotButton="0" quotePrefix="0" xfId="0">
      <alignment horizontal="left" vertical="center" wrapText="1"/>
    </xf>
    <xf numFmtId="0" fontId="30" fillId="0" borderId="26" applyAlignment="1" pivotButton="0" quotePrefix="0" xfId="0">
      <alignment horizontal="left" vertical="center" wrapText="1"/>
    </xf>
    <xf numFmtId="0" fontId="30" fillId="0" borderId="13" applyAlignment="1" pivotButton="0" quotePrefix="0" xfId="0">
      <alignment horizontal="left" vertical="center" wrapText="1"/>
    </xf>
    <xf numFmtId="0" fontId="30" fillId="0" borderId="29" applyAlignment="1" pivotButton="0" quotePrefix="0" xfId="0">
      <alignment horizontal="left" vertical="center" wrapText="1"/>
    </xf>
    <xf numFmtId="0" fontId="0" fillId="0" borderId="0" pivotButton="0" quotePrefix="0" xfId="0"/>
    <xf numFmtId="0" fontId="80" fillId="0" borderId="0" applyAlignment="1" pivotButton="0" quotePrefix="1" xfId="48">
      <alignment vertical="center"/>
    </xf>
    <xf numFmtId="0" fontId="80" fillId="0" borderId="0" applyAlignment="1" pivotButton="0" quotePrefix="0" xfId="48">
      <alignment vertical="center"/>
    </xf>
    <xf numFmtId="0" fontId="0" fillId="0" borderId="52" pivotButton="0" quotePrefix="0" xfId="0"/>
    <xf numFmtId="0" fontId="0" fillId="0" borderId="53" pivotButton="0" quotePrefix="0" xfId="0"/>
    <xf numFmtId="0" fontId="0" fillId="0" borderId="54" pivotButton="0" quotePrefix="0" xfId="0"/>
    <xf numFmtId="0" fontId="0" fillId="0" borderId="11" pivotButton="0" quotePrefix="0" xfId="0"/>
    <xf numFmtId="0" fontId="0" fillId="0" borderId="3" pivotButton="0" quotePrefix="0" xfId="0"/>
    <xf numFmtId="0" fontId="118" fillId="0" borderId="55" applyAlignment="1" pivotButton="0" quotePrefix="0" xfId="0">
      <alignment horizontal="left" vertical="center" wrapText="1"/>
    </xf>
    <xf numFmtId="0" fontId="0" fillId="0" borderId="8" pivotButton="0" quotePrefix="0" xfId="0"/>
    <xf numFmtId="0" fontId="0" fillId="0" borderId="9" pivotButton="0" quotePrefix="0" xfId="0"/>
    <xf numFmtId="0" fontId="114" fillId="4" borderId="55" applyAlignment="1" applyProtection="1" pivotButton="0" quotePrefix="0" xfId="0">
      <alignment horizontal="center" vertical="center"/>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104" fillId="3" borderId="55" applyAlignment="1" pivotButton="0" quotePrefix="0" xfId="0">
      <alignment horizontal="left" vertical="center" wrapText="1" indent="7"/>
    </xf>
    <xf numFmtId="0" fontId="0" fillId="0" borderId="5" pivotButton="0" quotePrefix="0" xfId="0"/>
    <xf numFmtId="0" fontId="0" fillId="0" borderId="6" pivotButton="0" quotePrefix="0" xfId="0"/>
    <xf numFmtId="0" fontId="0" fillId="0" borderId="7" pivotButton="0" quotePrefix="0" xfId="0"/>
    <xf numFmtId="0" fontId="0" fillId="0" borderId="30" pivotButton="0" quotePrefix="0" xfId="0"/>
    <xf numFmtId="167" fontId="21" fillId="3" borderId="7" applyAlignment="1" applyProtection="1" pivotButton="0" quotePrefix="0" xfId="47">
      <alignment horizontal="right" vertical="center"/>
      <protection locked="0" hidden="0"/>
    </xf>
    <xf numFmtId="0" fontId="0" fillId="0" borderId="2" pivotButton="0" quotePrefix="0" xfId="0"/>
    <xf numFmtId="0" fontId="21" fillId="10" borderId="55" applyAlignment="1" pivotButton="0" quotePrefix="0" xfId="0">
      <alignment horizontal="center" vertical="center"/>
    </xf>
    <xf numFmtId="164" fontId="22" fillId="5" borderId="1" applyAlignment="1" applyProtection="1" pivotButton="0" quotePrefix="0" xfId="1">
      <alignment vertical="center"/>
      <protection locked="0" hidden="0"/>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165" fontId="49" fillId="0" borderId="0" applyAlignment="1" pivotButton="0" quotePrefix="0" xfId="74">
      <alignment horizontal="left" vertical="center"/>
    </xf>
    <xf numFmtId="0" fontId="30" fillId="0" borderId="55" applyAlignment="1" pivotButton="0" quotePrefix="0" xfId="39">
      <alignment horizontal="left" vertical="center" wrapText="1"/>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21" fillId="10" borderId="56" applyAlignment="1" pivotButton="0" quotePrefix="0" xfId="0">
      <alignment horizontal="center" vertical="center" wrapText="1"/>
    </xf>
    <xf numFmtId="0" fontId="0" fillId="0" borderId="24" pivotButton="0" quotePrefix="0" xfId="0"/>
    <xf numFmtId="166" fontId="30" fillId="0" borderId="0" applyAlignment="1" applyProtection="1" pivotButton="0" quotePrefix="0" xfId="1">
      <alignment horizontal="right" vertical="center"/>
      <protection locked="0" hidden="0"/>
    </xf>
    <xf numFmtId="167" fontId="22" fillId="0" borderId="0" applyAlignment="1" pivotButton="0" quotePrefix="0" xfId="0">
      <alignment vertical="center"/>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1" fontId="30" fillId="0" borderId="0" applyAlignment="1" applyProtection="1" pivotButton="0" quotePrefix="0" xfId="59">
      <alignment vertical="center"/>
      <protection locked="0" hidden="0"/>
    </xf>
    <xf numFmtId="43" fontId="23" fillId="0" borderId="0" applyAlignment="1" applyProtection="1" pivotButton="0" quotePrefix="0" xfId="1">
      <alignment horizontal="right" vertical="center" shrinkToFit="1"/>
      <protection locked="0" hidden="0"/>
    </xf>
    <xf numFmtId="0" fontId="51" fillId="0" borderId="18" applyAlignment="1" applyProtection="1" pivotButton="0" quotePrefix="0" xfId="38">
      <alignment horizontal="left" vertical="center" wrapText="1"/>
      <protection locked="0" hidden="0"/>
    </xf>
    <xf numFmtId="0" fontId="0" fillId="0" borderId="22" applyProtection="1" pivotButton="0" quotePrefix="0" xfId="0">
      <protection locked="0" hidden="0"/>
    </xf>
    <xf numFmtId="0" fontId="0" fillId="0" borderId="20" applyProtection="1" pivotButton="0" quotePrefix="0" xfId="0">
      <protection locked="0" hidden="0"/>
    </xf>
    <xf numFmtId="0" fontId="0" fillId="0" borderId="27" applyProtection="1" pivotButton="0" quotePrefix="0" xfId="0">
      <protection locked="0" hidden="0"/>
    </xf>
    <xf numFmtId="0" fontId="0" fillId="0" borderId="0" applyProtection="1" pivotButton="0" quotePrefix="0" xfId="0">
      <protection locked="0" hidden="0"/>
    </xf>
    <xf numFmtId="0" fontId="0" fillId="0" borderId="28" applyProtection="1" pivotButton="0" quotePrefix="0" xfId="0">
      <protection locked="0" hidden="0"/>
    </xf>
    <xf numFmtId="0" fontId="0" fillId="0" borderId="26" applyProtection="1" pivotButton="0" quotePrefix="0" xfId="0">
      <protection locked="0" hidden="0"/>
    </xf>
    <xf numFmtId="0" fontId="0" fillId="0" borderId="13" applyProtection="1" pivotButton="0" quotePrefix="0" xfId="0">
      <protection locked="0" hidden="0"/>
    </xf>
    <xf numFmtId="0" fontId="0" fillId="0" borderId="29" applyProtection="1" pivotButton="0" quotePrefix="0" xfId="0">
      <protection locked="0" hidden="0"/>
    </xf>
    <xf numFmtId="164" fontId="30" fillId="0" borderId="0" applyAlignment="1" applyProtection="1" pivotButton="0" quotePrefix="0" xfId="38">
      <alignment horizontal="left"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166" fontId="78" fillId="2" borderId="0" applyAlignment="1" applyProtection="1" pivotButton="0" quotePrefix="0" xfId="0">
      <alignment horizontal="right" vertical="center"/>
      <protection locked="0" hidden="0"/>
    </xf>
    <xf numFmtId="166" fontId="101" fillId="2" borderId="0" applyAlignment="1" applyProtection="1" pivotButton="0" quotePrefix="0" xfId="0">
      <alignment horizontal="right" vertical="center"/>
      <protection locked="0" hidden="0"/>
    </xf>
    <xf numFmtId="164" fontId="93" fillId="0" borderId="1" applyAlignment="1" pivotButton="0" quotePrefix="0" xfId="1">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166" fontId="101" fillId="0" borderId="10" applyAlignment="1" applyProtection="1" pivotButton="0" quotePrefix="0" xfId="0">
      <alignment horizontal="right" vertical="center"/>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166" fontId="97" fillId="0" borderId="0" applyAlignment="1" applyProtection="1" pivotButton="0" quotePrefix="0" xfId="28">
      <alignment horizontal="right" vertical="center"/>
      <protection locked="0" hidden="0"/>
    </xf>
    <xf numFmtId="164" fontId="101" fillId="0" borderId="21" applyAlignment="1" pivotButton="0" quotePrefix="0" xfId="1">
      <alignment horizontal="center" vertical="center"/>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30" fillId="0" borderId="18" applyAlignment="1" applyProtection="1" pivotButton="0" quotePrefix="0" xfId="38">
      <alignment horizontal="left" vertical="center" wrapText="1"/>
      <protection locked="0" hidden="0"/>
    </xf>
    <xf numFmtId="43" fontId="102" fillId="0" borderId="31" applyAlignment="1" applyProtection="1" pivotButton="0" quotePrefix="0" xfId="0">
      <alignment horizontal="right" vertical="center" shrinkToFit="1"/>
      <protection locked="0" hidden="0"/>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30" fillId="0" borderId="55" applyAlignment="1" applyProtection="1" pivotButton="0" quotePrefix="0" xfId="38">
      <alignment horizontal="left"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30" applyProtection="1" pivotButton="0" quotePrefix="0" xfId="0">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11" applyProtection="1" pivotButton="0" quotePrefix="0" xfId="0">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0" fontId="50" fillId="11" borderId="55" applyAlignment="1" pivotButton="0" quotePrefix="0" xfId="0">
      <alignment horizontal="center" vertical="center"/>
    </xf>
    <xf numFmtId="43" fontId="30" fillId="0" borderId="31" applyAlignment="1" pivotButton="0" quotePrefix="0" xfId="0">
      <alignment horizontal="right" vertical="center" shrinkToFit="1"/>
    </xf>
    <xf numFmtId="0" fontId="0" fillId="0" borderId="15" pivotButton="0" quotePrefix="0" xfId="0"/>
    <xf numFmtId="0" fontId="0" fillId="0" borderId="16" pivotButton="0" quotePrefix="0" xfId="0"/>
    <xf numFmtId="0" fontId="97" fillId="10" borderId="56" applyAlignment="1" pivotButton="0" quotePrefix="0" xfId="0">
      <alignment horizontal="center" vertical="center" wrapText="1"/>
    </xf>
    <xf numFmtId="43" fontId="30" fillId="0" borderId="31" applyAlignment="1" applyProtection="1" pivotButton="0" quotePrefix="0" xfId="2">
      <alignment horizontal="right" vertical="center" shrinkToFit="1"/>
      <protection locked="0" hidden="0"/>
    </xf>
    <xf numFmtId="164" fontId="30" fillId="0" borderId="31" applyAlignment="1" applyProtection="1" pivotButton="0" quotePrefix="0" xfId="1">
      <alignment vertical="center"/>
      <protection locked="0" hidden="0"/>
    </xf>
    <xf numFmtId="0" fontId="28" fillId="10" borderId="55" applyAlignment="1" pivotButton="0" quotePrefix="0" xfId="0">
      <alignment horizontal="center" vertical="center"/>
    </xf>
    <xf numFmtId="43" fontId="30" fillId="0" borderId="31" applyAlignment="1" applyProtection="1" pivotButton="0" quotePrefix="0" xfId="1">
      <alignment horizontal="right" vertical="center" shrinkToFit="1"/>
      <protection locked="0" hidden="0"/>
    </xf>
    <xf numFmtId="164" fontId="30" fillId="0" borderId="31" applyAlignment="1" applyProtection="1" pivotButton="0" quotePrefix="0" xfId="1">
      <alignment horizontal="left" vertical="center"/>
      <protection locked="0" hidden="0"/>
    </xf>
    <xf numFmtId="164" fontId="28" fillId="0" borderId="0" applyAlignment="1" applyProtection="1" pivotButton="0" quotePrefix="0" xfId="1">
      <alignment horizontal="left" vertical="center"/>
      <protection locked="0" hidden="0"/>
    </xf>
    <xf numFmtId="0" fontId="0" fillId="0" borderId="50" applyProtection="1" pivotButton="0" quotePrefix="0" xfId="0">
      <protection locked="0" hidden="0"/>
    </xf>
    <xf numFmtId="0" fontId="0" fillId="0" borderId="51" applyProtection="1" pivotButton="0" quotePrefix="0" xfId="0">
      <protection locked="0" hidden="0"/>
    </xf>
    <xf numFmtId="164" fontId="23" fillId="0" borderId="5" applyAlignment="1" applyProtection="1" pivotButton="0" quotePrefix="0" xfId="1">
      <alignment vertical="center"/>
      <protection locked="0" hidden="0"/>
    </xf>
    <xf numFmtId="164" fontId="30" fillId="0" borderId="5" applyAlignment="1" applyProtection="1" pivotButton="0" quotePrefix="0" xfId="1">
      <alignment vertical="center"/>
      <protection locked="0" hidden="0"/>
    </xf>
    <xf numFmtId="41" fontId="77" fillId="0" borderId="0" applyAlignment="1" applyProtection="1" pivotButton="0" quotePrefix="0" xfId="0">
      <alignment horizontal="center" vertical="center"/>
      <protection locked="0" hidden="0"/>
    </xf>
    <xf numFmtId="41" fontId="28" fillId="0" borderId="0" applyAlignment="1" applyProtection="1" pivotButton="0" quotePrefix="0" xfId="0">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0" fillId="0" borderId="52" applyProtection="1" pivotButton="0" quotePrefix="0" xfId="0">
      <protection locked="0" hidden="0"/>
    </xf>
    <xf numFmtId="0" fontId="0" fillId="0" borderId="53" applyProtection="1" pivotButton="0" quotePrefix="0" xfId="0">
      <protection locked="0" hidden="0"/>
    </xf>
    <xf numFmtId="0" fontId="28" fillId="11" borderId="55" applyAlignment="1" pivotButton="0" quotePrefix="0" xfId="0">
      <alignment horizontal="center" vertical="center"/>
    </xf>
    <xf numFmtId="43" fontId="21" fillId="10" borderId="31" applyAlignment="1" pivotButton="0" quotePrefix="0" xfId="7">
      <alignment horizontal="center" vertical="center" wrapText="1"/>
    </xf>
    <xf numFmtId="43" fontId="30" fillId="0" borderId="31" applyAlignment="1" pivotButton="0" quotePrefix="0" xfId="1">
      <alignment horizontal="right" vertical="center" shrinkToFit="1"/>
    </xf>
    <xf numFmtId="0" fontId="26" fillId="0" borderId="55" applyAlignment="1" pivotButton="0" quotePrefix="0" xfId="0">
      <alignment horizontal="left" vertical="center" wrapText="1"/>
    </xf>
    <xf numFmtId="0" fontId="71" fillId="3" borderId="55" applyAlignment="1" pivotButton="0" quotePrefix="0" xfId="41">
      <alignment horizontal="left" vertical="center"/>
    </xf>
    <xf numFmtId="0" fontId="30" fillId="0" borderId="55" applyAlignment="1" applyProtection="1" pivotButton="0" quotePrefix="0" xfId="41">
      <alignment horizontal="left" vertical="center" wrapText="1"/>
      <protection locked="0" hidden="0"/>
    </xf>
    <xf numFmtId="164" fontId="30" fillId="0" borderId="5" applyAlignment="1" applyProtection="1" pivotButton="0" quotePrefix="0" xfId="1">
      <alignment vertical="center" wrapText="1"/>
      <protection locked="0" hidden="0"/>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22" fillId="0" borderId="55" applyAlignment="1" applyProtection="1" pivotButton="0" quotePrefix="0" xfId="41">
      <alignment horizontal="left" vertical="center" wrapText="1" indent="2"/>
      <protection locked="0" hidden="0"/>
    </xf>
    <xf numFmtId="43" fontId="21" fillId="10" borderId="25" applyAlignment="1" pivotButton="0" quotePrefix="0" xfId="7">
      <alignment horizontal="center" vertical="center" wrapText="1"/>
    </xf>
    <xf numFmtId="43" fontId="21" fillId="10" borderId="4" applyAlignment="1" pivotButton="0" quotePrefix="0" xfId="7">
      <alignment horizontal="center" vertical="center" wrapText="1"/>
    </xf>
    <xf numFmtId="0" fontId="121" fillId="0" borderId="55" applyAlignment="1" pivotButton="0" quotePrefix="0" xfId="98">
      <alignment horizontal="left" vertical="center" wrapText="1"/>
    </xf>
    <xf numFmtId="43" fontId="22" fillId="0" borderId="31" applyAlignment="1" pivotButton="0" quotePrefix="0" xfId="41">
      <alignment horizontal="right" vertical="center" shrinkToFit="1"/>
    </xf>
    <xf numFmtId="43" fontId="67"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43" fontId="65" fillId="5" borderId="31" applyAlignment="1" applyProtection="1" pivotButton="0" quotePrefix="0" xfId="11">
      <alignment horizontal="right" vertical="center" shrinkToFit="1"/>
      <protection locked="0" hidden="0"/>
    </xf>
    <xf numFmtId="169" fontId="65" fillId="5" borderId="31" applyAlignment="1" applyProtection="1" pivotButton="0" quotePrefix="0" xfId="11">
      <alignment vertical="center" shrinkToFit="1"/>
      <protection locked="0" hidden="0"/>
    </xf>
    <xf numFmtId="43" fontId="21" fillId="5" borderId="31" applyAlignment="1" applyProtection="1" pivotButton="0" quotePrefix="0" xfId="11">
      <alignment horizontal="right" vertical="center" shrinkToFit="1"/>
      <protection locked="0" hidden="0"/>
    </xf>
    <xf numFmtId="43" fontId="22" fillId="0" borderId="6" applyAlignment="1" pivotButton="0" quotePrefix="0" xfId="1">
      <alignment horizontal="right" vertical="center" shrinkToFit="1"/>
    </xf>
    <xf numFmtId="168" fontId="30" fillId="5" borderId="0" applyAlignment="1" applyProtection="1" pivotButton="0" quotePrefix="0" xfId="98">
      <alignment vertical="center"/>
      <protection locked="0" hidden="0"/>
    </xf>
    <xf numFmtId="43" fontId="22" fillId="0" borderId="30" applyAlignment="1" pivotButton="0" quotePrefix="0" xfId="41">
      <alignment horizontal="right" vertical="center" shrinkToFit="1"/>
    </xf>
    <xf numFmtId="166" fontId="30" fillId="5" borderId="9" applyAlignment="1" pivotButton="0" quotePrefix="0" xfId="41">
      <alignment horizontal="right" vertical="center"/>
    </xf>
    <xf numFmtId="166" fontId="30" fillId="5" borderId="11" applyAlignment="1" pivotButton="0" quotePrefix="0" xfId="41">
      <alignment horizontal="right" vertical="center"/>
    </xf>
    <xf numFmtId="0" fontId="22" fillId="0" borderId="18" applyAlignment="1" applyProtection="1" pivotButton="0" quotePrefix="0" xfId="0">
      <alignment horizontal="left" vertical="center" wrapText="1"/>
      <protection locked="0" hidden="0"/>
    </xf>
    <xf numFmtId="0" fontId="30" fillId="0" borderId="18" applyAlignment="1" pivotButton="0" quotePrefix="0" xfId="0">
      <alignment horizontal="left" vertical="center" wrapText="1"/>
    </xf>
    <xf numFmtId="0" fontId="0" fillId="0" borderId="22" pivotButton="0" quotePrefix="0" xfId="0"/>
    <xf numFmtId="0" fontId="0" fillId="0" borderId="20" pivotButton="0" quotePrefix="0" xfId="0"/>
    <xf numFmtId="0" fontId="0" fillId="0" borderId="27" pivotButton="0" quotePrefix="0" xfId="0"/>
    <xf numFmtId="0" fontId="0" fillId="0" borderId="28" pivotButton="0" quotePrefix="0" xfId="0"/>
    <xf numFmtId="0" fontId="0" fillId="0" borderId="26" pivotButton="0" quotePrefix="0" xfId="0"/>
    <xf numFmtId="0" fontId="0" fillId="0" borderId="13" pivotButton="0" quotePrefix="0" xfId="0"/>
    <xf numFmtId="0" fontId="0" fillId="0" borderId="29" pivotButton="0" quotePrefix="0" xfId="0"/>
    <xf numFmtId="0" fontId="30" fillId="12" borderId="56" applyAlignment="1" pivotButton="0" quotePrefix="0" xfId="0">
      <alignment horizontal="center" vertical="center" wrapText="1"/>
    </xf>
    <xf numFmtId="0" fontId="30" fillId="0" borderId="57" applyAlignment="1" pivotButton="0" quotePrefix="0" xfId="0">
      <alignment horizontal="left" vertical="center" wrapText="1"/>
    </xf>
    <xf numFmtId="0" fontId="0" fillId="0" borderId="12" pivotButton="0" quotePrefix="0" xfId="0"/>
    <xf numFmtId="0" fontId="30" fillId="0" borderId="12" applyAlignment="1" pivotButton="0" quotePrefix="0" xfId="0">
      <alignment horizontal="left" vertical="center" wrapText="1"/>
    </xf>
    <xf numFmtId="0" fontId="30" fillId="0" borderId="54" applyAlignment="1" pivotButton="0" quotePrefix="0" xfId="0">
      <alignment horizontal="left" vertical="center" wrapText="1"/>
    </xf>
    <xf numFmtId="0" fontId="30" fillId="0" borderId="55" applyAlignment="1" pivotButton="0" quotePrefix="0" xfId="0">
      <alignment horizontal="left" vertical="center"/>
    </xf>
  </cellXfs>
  <cellStyles count="99">
    <cellStyle name="常规" xfId="0" builtinId="0"/>
    <cellStyle name="千位分隔" xfId="1" builtinId="3"/>
    <cellStyle name="Normal 8" xfId="2"/>
    <cellStyle name="Comma 6" xfId="3"/>
    <cellStyle name="Normal 2" xfId="4"/>
    <cellStyle name="Normal 3" xfId="5"/>
    <cellStyle name="Normal 10" xfId="6"/>
    <cellStyle name="Comma 4 3" xfId="7"/>
    <cellStyle name="Normal_SHEET" xfId="8"/>
    <cellStyle name="Currency 2 2" xfId="9"/>
    <cellStyle name="Currency 6" xfId="10"/>
    <cellStyle name="Comma 2" xfId="11"/>
    <cellStyle name="Comma 17 8" xfId="12"/>
    <cellStyle name="Style 1 5 4" xfId="13"/>
    <cellStyle name="Normal 2 2" xfId="14"/>
    <cellStyle name="Comma 3" xfId="15"/>
    <cellStyle name="Normal 4" xfId="16"/>
    <cellStyle name="Currency 3" xfId="17"/>
    <cellStyle name="Normal 3 2" xfId="18"/>
    <cellStyle name="Currency 2" xfId="19"/>
    <cellStyle name="Normal 5" xfId="20"/>
    <cellStyle name="Currency 4" xfId="21"/>
    <cellStyle name="Normal 6" xfId="22"/>
    <cellStyle name="Normal 2 3" xfId="23"/>
    <cellStyle name="Normal 3 3" xfId="24"/>
    <cellStyle name="Comma 4" xfId="25"/>
    <cellStyle name="Normal 7" xfId="26"/>
    <cellStyle name="Comma 5" xfId="27"/>
    <cellStyle name="Currency 5" xfId="28"/>
    <cellStyle name="Percent 3" xfId="29"/>
    <cellStyle name="Normal 2 4" xfId="30"/>
    <cellStyle name="Percent 2" xfId="31"/>
    <cellStyle name="Currency 4 2" xfId="32"/>
    <cellStyle name="Normal 3 4" xfId="33"/>
    <cellStyle name="Normal 4 2" xfId="34"/>
    <cellStyle name="Normal 5 2" xfId="35"/>
    <cellStyle name="Normal 2 2 2" xfId="36"/>
    <cellStyle name="Hyperlink 2" xfId="37"/>
    <cellStyle name="Comma [0] 2" xfId="38"/>
    <cellStyle name="Normal 121 2" xfId="39"/>
    <cellStyle name="Normal 2 10 2" xfId="40"/>
    <cellStyle name="Normal 118" xfId="41"/>
    <cellStyle name="Normal 55" xfId="42"/>
    <cellStyle name="Comma 12" xfId="43"/>
    <cellStyle name="Currency 9" xfId="44"/>
    <cellStyle name="Hyperlink 2 2" xfId="45"/>
    <cellStyle name="Comma 16" xfId="46"/>
    <cellStyle name="Normal 2 2 3" xfId="47"/>
    <cellStyle name="超链接" xfId="48" builtinId="8"/>
    <cellStyle name="Normal 3 5" xfId="49"/>
    <cellStyle name="Normal 4 3" xfId="50"/>
    <cellStyle name="Normal 10 10" xfId="51"/>
    <cellStyle name="Hyperlink 3" xfId="52"/>
    <cellStyle name="Percent 2 2" xfId="53"/>
    <cellStyle name="Percent 4" xfId="54"/>
    <cellStyle name="Normal 2 2 2 2" xfId="55"/>
    <cellStyle name="Comma 2 2" xfId="56"/>
    <cellStyle name="Normal 2 2 4" xfId="57"/>
    <cellStyle name="Percent 4 2" xfId="58"/>
    <cellStyle name="Comma_A 8 2a CAL - Interim 2 2" xfId="59"/>
    <cellStyle name="百分比" xfId="60" builtinId="5"/>
    <cellStyle name="Normal 12 3" xfId="61"/>
    <cellStyle name="Comma 6 2" xfId="62"/>
    <cellStyle name="常规 16" xfId="63"/>
    <cellStyle name="Normal 9" xfId="64"/>
    <cellStyle name="常规 10 3" xfId="65"/>
    <cellStyle name="Normal 55 2" xfId="66"/>
    <cellStyle name="Hyperlink 10" xfId="67"/>
    <cellStyle name="常规 10 5" xfId="68"/>
    <cellStyle name="Normal 11" xfId="69"/>
    <cellStyle name="Normal 2 3 6 2" xfId="70"/>
    <cellStyle name="Hyperlink 4" xfId="71"/>
    <cellStyle name="常规 15" xfId="72"/>
    <cellStyle name="常规 2 9" xfId="73"/>
    <cellStyle name="Normal 121" xfId="74"/>
    <cellStyle name="Normal 12" xfId="75"/>
    <cellStyle name="Hyperlink 2 3" xfId="76"/>
    <cellStyle name="Percent 5" xfId="77"/>
    <cellStyle name="Normal 121 2 2" xfId="78"/>
    <cellStyle name="Comma 7" xfId="79"/>
    <cellStyle name="Normal 10 10 2" xfId="80"/>
    <cellStyle name="Normal 121 2 2 2 4" xfId="81"/>
    <cellStyle name="Normal 2 5" xfId="82"/>
    <cellStyle name="Normal 121 4" xfId="83"/>
    <cellStyle name="Normal 2 3 10" xfId="84"/>
    <cellStyle name="常规 2 9 2" xfId="85"/>
    <cellStyle name="超链接 2 6" xfId="86"/>
    <cellStyle name="Normal 2 24" xfId="87"/>
    <cellStyle name="常规 2 2 4" xfId="88"/>
    <cellStyle name="Normal 17 2" xfId="89"/>
    <cellStyle name="Normal 13" xfId="90"/>
    <cellStyle name="Comma 9" xfId="91"/>
    <cellStyle name="Comma 2 3" xfId="92"/>
    <cellStyle name="Percent 2 3" xfId="93"/>
    <cellStyle name="Comma 13" xfId="94"/>
    <cellStyle name="常规 3 2" xfId="95"/>
    <cellStyle name="常规 2" xfId="96"/>
    <cellStyle name="Normal 12 4" xfId="97"/>
    <cellStyle name="Normal 2 4 3" xfId="98"/>
  </cellStyles>
  <dxfs count="43">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mediumGray"/>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_rels/sheet9.xml.rels><Relationships xmlns="http://schemas.openxmlformats.org/package/2006/relationships"><Relationship Type="http://schemas.openxmlformats.org/officeDocument/2006/relationships/hyperlink" Target="../../../../../../../:x:/r/sites/china.audit.standard.working.paper/Shared%20Documents/FY26/Q/SWP/%E5%BE%85%E4%BF%AE%E6%94%B9V6%E5%BA%95%E7%A8%BF/Supplementary-%E5%80%9F%E6%AC%BE/Q%20SWP%20%E5%88%A9%E6%81%AF%E8%B5%84%E6%9C%AC%E5%8C%96%E6%B5%8B%E8%AF%95%20202YMMDD%20XYZ%E5%85%AC%E5%8F%B8.xlsx?d=w31a5b2dd40d045589e2a4e753797aa2c&amp;csf=1&amp;web=1&amp;e=EnC21P" TargetMode="External" Id="rId1" /></Relationships>
</file>

<file path=xl/worksheets/_rels/sheet10.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sheet1.xml><?xml version="1.0" encoding="utf-8"?>
<worksheet xmlns="http://schemas.openxmlformats.org/spreadsheetml/2006/main">
  <sheetPr>
    <outlinePr summaryBelow="1" summaryRight="1"/>
    <pageSetUpPr/>
  </sheetPr>
  <dimension ref="A1:I69"/>
  <sheetViews>
    <sheetView showGridLines="0" tabSelected="1" zoomScale="70" zoomScaleNormal="70" workbookViewId="0">
      <selection activeCell="K9" sqref="K9"/>
    </sheetView>
  </sheetViews>
  <sheetFormatPr baseColWidth="8" defaultColWidth="9.08984375" defaultRowHeight="12.75" customHeight="1"/>
  <cols>
    <col width="2.6328125" customWidth="1" style="25" min="1" max="1"/>
    <col width="12.453125" customWidth="1" style="24" min="2" max="2"/>
    <col width="23.26953125" customWidth="1" style="24" min="3" max="4"/>
    <col width="45.90625" customWidth="1" style="24" min="5" max="5"/>
    <col width="27.36328125" customWidth="1" style="24" min="6" max="6"/>
    <col width="16.08984375" customWidth="1" style="24" min="7" max="7"/>
    <col width="17.08984375" customWidth="1" style="24" min="8" max="8"/>
    <col width="31.08984375" customWidth="1" style="24" min="9" max="9"/>
    <col width="9.08984375" customWidth="1" style="24" min="10" max="16384"/>
  </cols>
  <sheetData>
    <row r="1" ht="20" customHeight="1" s="755">
      <c r="A1" s="578" t="inlineStr">
        <is>
          <t>V6 SWP</t>
        </is>
      </c>
    </row>
    <row r="2" ht="18" customHeight="1" s="755">
      <c r="A2" s="24" t="n"/>
      <c r="B2" s="220" t="inlineStr">
        <is>
          <t>该科目涉及OSP底稿及函证底稿可参考此链接</t>
        </is>
      </c>
      <c r="C2" s="19" t="n"/>
      <c r="D2" s="3" t="n"/>
      <c r="E2" s="756" t="inlineStr">
        <is>
          <t>Q1 SWP 利息资本化测试 202YMMDD XYZ公司.xlsx</t>
        </is>
      </c>
      <c r="F2" s="268" t="n"/>
      <c r="G2" s="28" t="n"/>
      <c r="H2" s="3" t="n"/>
      <c r="I2" s="28" t="n"/>
    </row>
    <row r="3" ht="13" customHeight="1" s="755">
      <c r="B3" s="19" t="n"/>
      <c r="C3" s="29" t="n"/>
      <c r="D3" s="3" t="n"/>
      <c r="E3" s="757" t="n"/>
      <c r="F3" s="268" t="n"/>
      <c r="G3" s="28" t="n"/>
      <c r="H3" s="3" t="n"/>
      <c r="I3" s="28" t="n"/>
    </row>
    <row r="4" ht="15" customHeight="1" s="755">
      <c r="B4" s="31" t="inlineStr">
        <is>
          <t>Q1.00</t>
        </is>
      </c>
      <c r="C4" s="609" t="inlineStr">
        <is>
          <t>Q1.00 Lead（认定：E、C）</t>
        </is>
      </c>
      <c r="D4" s="758" t="n"/>
      <c r="E4" s="759" t="n"/>
      <c r="F4" s="32" t="inlineStr">
        <is>
          <t>程序页</t>
        </is>
      </c>
      <c r="G4" s="32" t="inlineStr">
        <is>
          <t>执行</t>
        </is>
      </c>
      <c r="H4" s="32" t="inlineStr">
        <is>
          <t>不执行的原因</t>
        </is>
      </c>
      <c r="I4" s="32" t="inlineStr">
        <is>
          <t>注意事项</t>
        </is>
      </c>
    </row>
    <row r="5" ht="35.65" customHeight="1" s="755">
      <c r="B5" s="481" t="n">
        <v>1</v>
      </c>
      <c r="C5" s="601" t="inlineStr">
        <is>
          <t>通过执行分析和调查两期的长、短期借款科目重大变动来确定长、短期借款科目是否合理。</t>
        </is>
      </c>
      <c r="D5" s="758" t="n"/>
      <c r="E5" s="759" t="n"/>
      <c r="F5" s="606" t="inlineStr">
        <is>
          <t>Q1.00 Lead</t>
        </is>
      </c>
      <c r="G5" s="33" t="n"/>
      <c r="H5" s="506" t="n"/>
      <c r="I5" s="506" t="n"/>
    </row>
    <row r="6" ht="15" customHeight="1" s="755">
      <c r="B6" s="31" t="inlineStr">
        <is>
          <t>Q1.01</t>
        </is>
      </c>
      <c r="C6" s="599" t="inlineStr">
        <is>
          <t>Q1.01 Breakdown（认定：BS：E、V、C  IS：O、M）</t>
        </is>
      </c>
      <c r="D6" s="758" t="n"/>
      <c r="E6" s="759" t="n"/>
      <c r="F6" s="32" t="inlineStr">
        <is>
          <t>程序页</t>
        </is>
      </c>
      <c r="G6" s="32" t="inlineStr">
        <is>
          <t>执行</t>
        </is>
      </c>
      <c r="H6" s="32" t="inlineStr">
        <is>
          <t>不执行的原因</t>
        </is>
      </c>
      <c r="I6" s="32" t="inlineStr">
        <is>
          <t>注意事项</t>
        </is>
      </c>
    </row>
    <row r="7" ht="29.25" customHeight="1" s="755">
      <c r="B7" s="481" t="n">
        <v>1</v>
      </c>
      <c r="C7" s="601" t="inlineStr">
        <is>
          <t>获得借款和利息汇总表，并与总分类账余额核对一致。测试对期限、到期日的遵循情况。</t>
        </is>
      </c>
      <c r="D7" s="758" t="n"/>
      <c r="E7" s="759" t="n"/>
      <c r="F7" s="606" t="inlineStr">
        <is>
          <t>Q1.01 BKD</t>
        </is>
      </c>
      <c r="G7" s="33" t="n"/>
      <c r="H7" s="506" t="n"/>
      <c r="I7" s="506" t="n"/>
    </row>
    <row r="8" ht="31.5" customHeight="1" s="755">
      <c r="B8" s="481" t="n">
        <v>2</v>
      </c>
      <c r="C8" s="601" t="inlineStr">
        <is>
          <t>对借款的外币余额，我们使用第三方汇率(独立于被审计单位获得汇率)重新计算，并将重新计算的余额与被审计单位的余额进行比较。</t>
        </is>
      </c>
      <c r="D8" s="758" t="n"/>
      <c r="E8" s="759" t="n"/>
      <c r="F8" s="760" t="n"/>
      <c r="G8" s="33" t="n"/>
      <c r="H8" s="506" t="n"/>
      <c r="I8" s="506" t="n"/>
    </row>
    <row r="9" ht="15" customHeight="1" s="755">
      <c r="B9" s="31" t="inlineStr">
        <is>
          <t>Q1.02</t>
        </is>
      </c>
      <c r="C9" s="608" t="inlineStr">
        <is>
          <t>Q1.02 函证及抵质押担保测试（认定：E、V、C、R&amp;O、P&amp;D）</t>
        </is>
      </c>
      <c r="D9" s="758" t="n"/>
      <c r="E9" s="759" t="n"/>
      <c r="F9" s="32" t="inlineStr">
        <is>
          <t>程序页</t>
        </is>
      </c>
      <c r="G9" s="32" t="inlineStr">
        <is>
          <t>执行</t>
        </is>
      </c>
      <c r="H9" s="32" t="inlineStr">
        <is>
          <t>不执行的原因</t>
        </is>
      </c>
      <c r="I9" s="32" t="inlineStr">
        <is>
          <t>注意事项</t>
        </is>
      </c>
    </row>
    <row r="10" ht="49.5" customHeight="1" s="755">
      <c r="B10" s="30" t="n">
        <v>1</v>
      </c>
      <c r="C10" s="761" t="inlineStr">
        <is>
          <t>我们对所有性质或金额重大的账户发送询证函，将回函金额核对至账面银行借款余额，并核对回函中的其他信息，我们在&lt;Q.02a 函证&gt;记录函证跟进工作；</t>
        </is>
      </c>
      <c r="D10" s="762" t="n"/>
      <c r="E10" s="761" t="n"/>
      <c r="F10" s="267" t="inlineStr">
        <is>
          <t>Q1.02a 函证</t>
        </is>
      </c>
      <c r="G10" s="33" t="n"/>
      <c r="H10" s="259" t="n"/>
      <c r="I10" s="259" t="n"/>
    </row>
    <row r="11" ht="49.5" customHeight="1" s="755">
      <c r="B11" s="34" t="n">
        <v>2</v>
      </c>
      <c r="C11" s="601" t="inlineStr">
        <is>
          <t>对于期末的借款，询问管理层关于借款的担保情况，并检查回函及相关贷款协议的原始或授权副本或者其他相关文档等，测试并记录被审计单位是否遵守借款协议中约定的担保条款。</t>
        </is>
      </c>
      <c r="D11" s="758" t="n"/>
      <c r="E11" s="759" t="n"/>
      <c r="F11" s="267" t="inlineStr">
        <is>
          <t>Q1.02b 抵押担保测试</t>
        </is>
      </c>
      <c r="G11" s="33" t="n"/>
      <c r="H11" s="506" t="n"/>
      <c r="I11" s="260" t="n"/>
    </row>
    <row r="12" ht="43.5" customHeight="1" s="755">
      <c r="A12" s="23" t="inlineStr">
        <is>
          <t>096db42d-6ac9-49c1-8a94-f56a207d630a</t>
        </is>
      </c>
      <c r="B12" s="34" t="n">
        <v>3</v>
      </c>
      <c r="C12" s="602" t="inlineStr">
        <is>
          <t>对未回函、未发函或回函信息不完整的借款余额，检查借款协议、银行回单等支持性证据，对其执行替代程序，验证借款的期限、利率、余额等是否与协议约定一致。</t>
        </is>
      </c>
      <c r="D12" s="758" t="n"/>
      <c r="E12" s="759" t="n"/>
      <c r="F12" s="267" t="inlineStr">
        <is>
          <t>Q1.02c 函证-替代测试</t>
        </is>
      </c>
      <c r="G12" s="33" t="n"/>
      <c r="H12" s="506" t="n"/>
      <c r="I12" s="260" t="n"/>
    </row>
    <row r="13" ht="15" customHeight="1" s="755">
      <c r="A13" s="23" t="n"/>
      <c r="B13" s="31" t="inlineStr">
        <is>
          <t>Q1.03</t>
        </is>
      </c>
      <c r="C13" s="599" t="inlineStr">
        <is>
          <t>Q1.03 增加（ToD）（认定：E、V、R&amp;O、P&amp;D）</t>
        </is>
      </c>
      <c r="D13" s="758" t="n"/>
      <c r="E13" s="759" t="n"/>
      <c r="F13" s="32" t="inlineStr">
        <is>
          <t>程序页</t>
        </is>
      </c>
      <c r="G13" s="32" t="inlineStr">
        <is>
          <t>执行</t>
        </is>
      </c>
      <c r="H13" s="32" t="inlineStr">
        <is>
          <t>不执行的原因</t>
        </is>
      </c>
      <c r="I13" s="32" t="inlineStr">
        <is>
          <t>注意事项</t>
        </is>
      </c>
    </row>
    <row r="14" ht="38.65" customHeight="1" s="755">
      <c r="B14" s="34" t="n">
        <v>1</v>
      </c>
      <c r="C14" s="602" t="inlineStr">
        <is>
          <t>对本期新签订的借款协议，执行详细测试，以验证记录的债务金额、利率、到期日、抵质押资产和担保人等条款的准确性及是否得到恰当的列报。</t>
        </is>
      </c>
      <c r="D14" s="758" t="n"/>
      <c r="E14" s="759" t="n"/>
      <c r="F14" s="606" t="inlineStr">
        <is>
          <t>Q1.03 增加（ToD）</t>
        </is>
      </c>
      <c r="G14" s="33" t="n"/>
      <c r="H14" s="506" t="n"/>
      <c r="I14" s="260" t="n"/>
    </row>
    <row r="15" ht="15" customHeight="1" s="755">
      <c r="B15" s="31" t="inlineStr">
        <is>
          <t>Q1.04</t>
        </is>
      </c>
      <c r="C15" s="599" t="inlineStr">
        <is>
          <t>Q1.04 利息费用（认定：C、R&amp;O、P&amp;D）</t>
        </is>
      </c>
      <c r="D15" s="758" t="n"/>
      <c r="E15" s="759" t="n"/>
      <c r="F15" s="32" t="inlineStr">
        <is>
          <t>程序页</t>
        </is>
      </c>
      <c r="G15" s="32" t="inlineStr">
        <is>
          <t>执行</t>
        </is>
      </c>
      <c r="H15" s="32" t="inlineStr">
        <is>
          <t>不执行的原因</t>
        </is>
      </c>
      <c r="I15" s="32" t="inlineStr">
        <is>
          <t>注意事项</t>
        </is>
      </c>
    </row>
    <row r="16" ht="41.25" customFormat="1" customHeight="1" s="27">
      <c r="A16" s="26" t="n"/>
      <c r="B16" s="34" t="n">
        <v>1</v>
      </c>
      <c r="C16" s="601" t="inlineStr">
        <is>
          <t>执行实质性分析程序(SAP)测试利息费用，可参考264 GL 或Q1.04.SAP模板执行。如不执行，可直接执行利息测试TOD。</t>
        </is>
      </c>
      <c r="D16" s="758" t="n"/>
      <c r="E16" s="759" t="n"/>
      <c r="F16" s="267" t="inlineStr">
        <is>
          <t>Q1.04 SAP</t>
        </is>
      </c>
      <c r="G16" s="33" t="n"/>
      <c r="H16" s="506" t="n"/>
      <c r="I16" s="601" t="inlineStr">
        <is>
          <t>PCAOB项目如采用实质性分析程序需要采用Form 264-SWP</t>
        </is>
      </c>
    </row>
    <row r="17" ht="62.5" customFormat="1" customHeight="1" s="27">
      <c r="A17" s="26" t="n"/>
      <c r="B17" s="34" t="n">
        <v>2</v>
      </c>
      <c r="C17" s="600" t="inlineStr">
        <is>
          <t>执行利息测试TOD，以获得关于利息费用的充分、适当的审计证据。</t>
        </is>
      </c>
      <c r="D17" s="758" t="n"/>
      <c r="E17" s="759" t="n"/>
      <c r="F17" s="267" t="inlineStr">
        <is>
          <t>Q1.04.01 利息费用（ToD）</t>
        </is>
      </c>
      <c r="G17" s="33" t="n"/>
      <c r="H17" s="506" t="n"/>
      <c r="I17" s="602" t="inlineStr">
        <is>
          <t>项目组对利息费用可根据实际情况采用SAP、TOD或重新计算的方法，三中方法任选其一，对利息费用执行审计程序</t>
        </is>
      </c>
    </row>
    <row r="18" ht="41.25" customFormat="1" customHeight="1" s="27">
      <c r="A18" s="26" t="n"/>
      <c r="B18" s="34" t="n">
        <v>3</v>
      </c>
      <c r="C18" s="763" t="inlineStr">
        <is>
          <t>对利息费用进行全量的测试，以获得关于利息费用的充分、适当的审计证据。</t>
        </is>
      </c>
      <c r="D18" s="764" t="n"/>
      <c r="E18" s="765" t="n"/>
      <c r="F18" s="267" t="inlineStr">
        <is>
          <t>Q1.04.02 利息费用（重新计算）</t>
        </is>
      </c>
      <c r="G18" s="33" t="n"/>
      <c r="H18" s="506" t="n"/>
      <c r="I18" s="601" t="n"/>
    </row>
    <row r="19" ht="15" customHeight="1" s="755">
      <c r="B19" s="31" t="inlineStr">
        <is>
          <t>Q1.05</t>
        </is>
      </c>
      <c r="C19" s="599" t="inlineStr">
        <is>
          <t>Q1.05 限制性契约（认定：C、R&amp;O、P&amp;D）</t>
        </is>
      </c>
      <c r="D19" s="758" t="n"/>
      <c r="E19" s="759" t="n"/>
      <c r="F19" s="32" t="inlineStr">
        <is>
          <t>程序页</t>
        </is>
      </c>
      <c r="G19" s="32" t="inlineStr">
        <is>
          <t>执行</t>
        </is>
      </c>
      <c r="H19" s="32" t="inlineStr">
        <is>
          <t>不执行的原因</t>
        </is>
      </c>
      <c r="I19" s="32" t="inlineStr">
        <is>
          <t>注意事项</t>
        </is>
      </c>
    </row>
    <row r="20" ht="28.5" customHeight="1" s="755">
      <c r="B20" s="269" t="n">
        <v>1</v>
      </c>
      <c r="C20" s="601" t="inlineStr">
        <is>
          <t>对贷款合同中的契约或其他限制性条款执行实质性程序，以测试实体在整个期间是否遵守合同。</t>
        </is>
      </c>
      <c r="D20" s="758" t="n"/>
      <c r="E20" s="759" t="n"/>
      <c r="F20" s="606" t="inlineStr">
        <is>
          <t>Q1.05 限制性契约</t>
        </is>
      </c>
      <c r="G20" s="33" t="n"/>
      <c r="H20" s="270" t="n"/>
      <c r="I20" s="270" t="n"/>
    </row>
    <row r="21" ht="13" customHeight="1" s="755">
      <c r="B21" s="41" t="n"/>
      <c r="C21" s="41" t="n"/>
      <c r="D21" s="41" t="n"/>
      <c r="E21" s="41" t="n"/>
      <c r="F21" s="41" t="n"/>
      <c r="G21" s="41" t="n"/>
      <c r="H21" s="41" t="n"/>
      <c r="I21" s="41" t="n"/>
    </row>
    <row r="22" ht="18.75" customHeight="1" s="755">
      <c r="B22" s="41" t="n"/>
      <c r="C22" s="41" t="n"/>
      <c r="D22" s="41" t="n"/>
      <c r="E22" s="41" t="n"/>
      <c r="F22" s="41" t="n"/>
      <c r="G22" s="41" t="n"/>
      <c r="H22" s="41" t="n"/>
      <c r="I22" s="41" t="n"/>
    </row>
    <row r="23" ht="18.75" customHeight="1" s="755">
      <c r="B23" s="41" t="n"/>
      <c r="C23" s="41" t="n"/>
      <c r="D23" s="41" t="n"/>
      <c r="E23" s="41" t="n"/>
      <c r="F23" s="41" t="n"/>
      <c r="G23" s="41" t="n"/>
      <c r="H23" s="41" t="n"/>
      <c r="I23" s="41" t="n"/>
    </row>
    <row r="24" ht="48.75" customHeight="1" s="755">
      <c r="B24" s="41" t="n"/>
      <c r="C24" s="41" t="n"/>
      <c r="D24" s="41" t="n"/>
      <c r="E24" s="41" t="n"/>
      <c r="F24" s="41" t="n"/>
      <c r="G24" s="41" t="n"/>
      <c r="H24" s="41" t="n"/>
      <c r="I24" s="41" t="n"/>
    </row>
    <row r="25" ht="18.75" customHeight="1" s="755">
      <c r="B25" s="41" t="n"/>
      <c r="C25" s="41" t="n"/>
      <c r="D25" s="41" t="n"/>
      <c r="E25" s="41" t="n"/>
      <c r="F25" s="41" t="n"/>
      <c r="G25" s="41" t="n"/>
      <c r="H25" s="41" t="n"/>
      <c r="I25" s="41" t="n"/>
    </row>
    <row r="26" ht="37.5" customHeight="1" s="755">
      <c r="B26" s="41" t="n"/>
      <c r="C26" s="41" t="n"/>
      <c r="D26" s="41" t="n"/>
      <c r="E26" s="41" t="n"/>
      <c r="F26" s="41" t="n"/>
      <c r="G26" s="41" t="n"/>
      <c r="H26" s="41" t="n"/>
      <c r="I26" s="41" t="n"/>
    </row>
    <row r="27" ht="23.65" customHeight="1" s="755">
      <c r="B27" s="41" t="n"/>
      <c r="C27" s="41" t="n"/>
      <c r="D27" s="41" t="n"/>
      <c r="E27" s="41" t="n"/>
      <c r="F27" s="41" t="n"/>
      <c r="G27" s="41" t="n"/>
      <c r="H27" s="41" t="n"/>
      <c r="I27" s="41" t="n"/>
    </row>
    <row r="28" ht="34.15" customHeight="1" s="755">
      <c r="B28" s="41" t="n"/>
      <c r="C28" s="41" t="n"/>
      <c r="D28" s="41" t="n"/>
      <c r="E28" s="41" t="n"/>
      <c r="F28" s="41" t="n"/>
      <c r="G28" s="41" t="n"/>
      <c r="H28" s="41" t="n"/>
      <c r="I28" s="41" t="n"/>
    </row>
    <row r="29" ht="25.15" customHeight="1" s="755">
      <c r="B29" s="41" t="n"/>
      <c r="C29" s="41" t="n"/>
      <c r="D29" s="41" t="n"/>
      <c r="E29" s="41" t="n"/>
      <c r="F29" s="41" t="n"/>
      <c r="G29" s="41" t="n"/>
      <c r="H29" s="41" t="n"/>
      <c r="I29" s="41" t="n"/>
    </row>
    <row r="30" ht="12.75" customHeight="1" s="755">
      <c r="B30" s="41" t="n"/>
      <c r="C30" s="41" t="n"/>
      <c r="D30" s="41" t="n"/>
      <c r="E30" s="41" t="n"/>
      <c r="F30" s="41" t="n"/>
      <c r="G30" s="41" t="n"/>
      <c r="H30" s="41" t="n"/>
      <c r="I30" s="41" t="n"/>
    </row>
    <row r="31" ht="12.75" customHeight="1" s="755">
      <c r="B31" s="41" t="n"/>
      <c r="C31" s="41" t="n"/>
      <c r="D31" s="41" t="n"/>
      <c r="E31" s="41" t="n"/>
      <c r="F31" s="41" t="n"/>
      <c r="G31" s="41" t="n"/>
      <c r="H31" s="41" t="n"/>
      <c r="I31" s="41" t="n"/>
    </row>
    <row r="32" ht="12.75" customHeight="1" s="755">
      <c r="B32" s="41" t="n"/>
      <c r="C32" s="41" t="n"/>
      <c r="D32" s="41" t="n"/>
      <c r="E32" s="41" t="n"/>
      <c r="F32" s="41" t="n"/>
      <c r="G32" s="41" t="n"/>
      <c r="H32" s="41" t="n"/>
      <c r="I32" s="41" t="n"/>
    </row>
    <row r="33" ht="12.75" customHeight="1" s="755">
      <c r="B33" s="41" t="n"/>
      <c r="C33" s="41" t="n"/>
      <c r="D33" s="41" t="n"/>
      <c r="E33" s="41" t="n"/>
      <c r="F33" s="41" t="n"/>
      <c r="G33" s="41" t="n"/>
      <c r="H33" s="41" t="n"/>
      <c r="I33" s="41" t="n"/>
    </row>
    <row r="34" ht="12.75" customHeight="1" s="755">
      <c r="B34" s="41" t="n"/>
      <c r="C34" s="41" t="n"/>
      <c r="D34" s="41" t="n"/>
      <c r="E34" s="41" t="n"/>
      <c r="F34" s="41" t="n"/>
      <c r="G34" s="41" t="n"/>
      <c r="H34" s="41" t="n"/>
      <c r="I34" s="41" t="n"/>
    </row>
    <row r="35" ht="12.75" customHeight="1" s="755">
      <c r="B35" s="41" t="n"/>
      <c r="C35" s="41" t="n"/>
      <c r="D35" s="41" t="n"/>
      <c r="E35" s="41" t="n"/>
      <c r="F35" s="41" t="n"/>
      <c r="G35" s="41" t="n"/>
      <c r="H35" s="41" t="n"/>
      <c r="I35" s="41" t="n"/>
    </row>
    <row r="36" ht="12.75" customHeight="1" s="755">
      <c r="B36" s="41" t="n"/>
      <c r="C36" s="41" t="n"/>
      <c r="D36" s="41" t="n"/>
      <c r="E36" s="41" t="n"/>
      <c r="F36" s="41" t="n"/>
      <c r="G36" s="41" t="n"/>
      <c r="H36" s="41" t="n"/>
      <c r="I36" s="41" t="n"/>
    </row>
    <row r="37" ht="12.75" customHeight="1" s="755">
      <c r="B37" s="41" t="n"/>
      <c r="C37" s="41" t="n"/>
      <c r="D37" s="41" t="n"/>
      <c r="E37" s="41" t="n"/>
      <c r="F37" s="41" t="n"/>
      <c r="G37" s="41" t="n"/>
      <c r="H37" s="41" t="n"/>
      <c r="I37" s="41" t="n"/>
    </row>
    <row r="38" ht="12.75" customHeight="1" s="755">
      <c r="B38" s="41" t="n"/>
      <c r="C38" s="41" t="n"/>
      <c r="D38" s="41" t="n"/>
      <c r="E38" s="41" t="n"/>
      <c r="F38" s="41" t="n"/>
      <c r="G38" s="41" t="n"/>
      <c r="H38" s="41" t="n"/>
      <c r="I38" s="41" t="n"/>
    </row>
    <row r="39" ht="12.75" customHeight="1" s="755">
      <c r="B39" s="41" t="n"/>
      <c r="C39" s="41" t="n"/>
      <c r="D39" s="41" t="n"/>
      <c r="E39" s="41" t="n"/>
      <c r="F39" s="41" t="n"/>
      <c r="G39" s="41" t="n"/>
      <c r="H39" s="41" t="n"/>
      <c r="I39" s="41" t="n"/>
    </row>
    <row r="40" ht="12.75" customHeight="1" s="755">
      <c r="B40" s="41" t="n"/>
      <c r="C40" s="41" t="n"/>
      <c r="D40" s="41" t="n"/>
      <c r="E40" s="41" t="n"/>
      <c r="F40" s="41" t="n"/>
      <c r="G40" s="41" t="n"/>
      <c r="H40" s="41" t="n"/>
      <c r="I40" s="41" t="n"/>
    </row>
    <row r="41" ht="12.75" customHeight="1" s="755">
      <c r="B41" s="41" t="n"/>
      <c r="C41" s="41" t="n"/>
      <c r="D41" s="41" t="n"/>
      <c r="E41" s="41" t="n"/>
      <c r="F41" s="41" t="n"/>
      <c r="G41" s="41" t="n"/>
      <c r="H41" s="41" t="n"/>
      <c r="I41" s="41" t="n"/>
    </row>
    <row r="42" ht="12.75" customHeight="1" s="755">
      <c r="B42" s="41" t="n"/>
      <c r="C42" s="41" t="n"/>
      <c r="D42" s="41" t="n"/>
      <c r="E42" s="41" t="n"/>
      <c r="F42" s="41" t="n"/>
      <c r="G42" s="41" t="n"/>
      <c r="H42" s="41" t="n"/>
      <c r="I42" s="41" t="n"/>
    </row>
    <row r="43" ht="12.75" customHeight="1" s="755">
      <c r="B43" s="41" t="n"/>
      <c r="C43" s="41" t="n"/>
      <c r="D43" s="41" t="n"/>
      <c r="E43" s="41" t="n"/>
      <c r="F43" s="41" t="n"/>
      <c r="G43" s="41" t="n"/>
      <c r="H43" s="41" t="n"/>
      <c r="I43" s="41" t="n"/>
    </row>
    <row r="44" ht="12.75" customHeight="1" s="755">
      <c r="B44" s="41" t="n"/>
      <c r="C44" s="41" t="n"/>
      <c r="D44" s="41" t="n"/>
      <c r="E44" s="41" t="n"/>
      <c r="F44" s="41" t="n"/>
      <c r="G44" s="41" t="n"/>
      <c r="H44" s="41" t="n"/>
      <c r="I44" s="41" t="n"/>
    </row>
    <row r="45" ht="12.75" customHeight="1" s="755">
      <c r="B45" s="41" t="n"/>
      <c r="C45" s="41" t="n"/>
      <c r="D45" s="41" t="n"/>
      <c r="E45" s="41" t="n"/>
      <c r="F45" s="41" t="n"/>
      <c r="G45" s="41" t="n"/>
      <c r="H45" s="41" t="n"/>
      <c r="I45" s="41" t="n"/>
    </row>
    <row r="46" ht="12.75" customHeight="1" s="755">
      <c r="B46" s="41" t="n"/>
      <c r="C46" s="41" t="n"/>
      <c r="D46" s="41" t="n"/>
      <c r="E46" s="41" t="n"/>
      <c r="F46" s="41" t="n"/>
      <c r="G46" s="41" t="n"/>
      <c r="H46" s="41" t="n"/>
      <c r="I46" s="41" t="n"/>
    </row>
    <row r="47" ht="12.75" customHeight="1" s="755">
      <c r="B47" s="41" t="n"/>
      <c r="C47" s="41" t="n"/>
      <c r="D47" s="41" t="n"/>
      <c r="E47" s="41" t="n"/>
      <c r="F47" s="41" t="n"/>
      <c r="G47" s="41" t="n"/>
      <c r="H47" s="41" t="n"/>
      <c r="I47" s="41" t="n"/>
    </row>
    <row r="48" ht="12.75" customHeight="1" s="755">
      <c r="B48" s="41" t="n"/>
      <c r="C48" s="41" t="n"/>
      <c r="D48" s="41" t="n"/>
      <c r="E48" s="41" t="n"/>
      <c r="F48" s="41" t="n"/>
      <c r="G48" s="41" t="n"/>
      <c r="H48" s="41" t="n"/>
      <c r="I48" s="41" t="n"/>
    </row>
    <row r="49" ht="12.75" customHeight="1" s="755">
      <c r="B49" s="41" t="n"/>
      <c r="C49" s="41" t="n"/>
      <c r="D49" s="41" t="n"/>
      <c r="E49" s="41" t="n"/>
      <c r="F49" s="41" t="n"/>
      <c r="G49" s="41" t="n"/>
      <c r="H49" s="41" t="n"/>
      <c r="I49" s="41" t="n"/>
    </row>
    <row r="50" ht="12.75" customHeight="1" s="755">
      <c r="B50" s="41" t="n"/>
      <c r="C50" s="41" t="n"/>
      <c r="D50" s="41" t="n"/>
      <c r="E50" s="41" t="n"/>
      <c r="F50" s="41" t="n"/>
      <c r="G50" s="41" t="n"/>
      <c r="H50" s="41" t="n"/>
      <c r="I50" s="41" t="n"/>
    </row>
    <row r="51" ht="12.75" customHeight="1" s="755">
      <c r="B51" s="41" t="n"/>
      <c r="C51" s="41" t="n"/>
      <c r="D51" s="41" t="n"/>
      <c r="E51" s="41" t="n"/>
      <c r="F51" s="41" t="n"/>
      <c r="G51" s="41" t="n"/>
      <c r="H51" s="41" t="n"/>
      <c r="I51" s="41" t="n"/>
    </row>
    <row r="52" ht="12.75" customHeight="1" s="755">
      <c r="B52" s="41" t="n"/>
      <c r="C52" s="41" t="n"/>
      <c r="D52" s="41" t="n"/>
      <c r="E52" s="41" t="n"/>
      <c r="F52" s="41" t="n"/>
      <c r="G52" s="41" t="n"/>
      <c r="H52" s="41" t="n"/>
      <c r="I52" s="41" t="n"/>
    </row>
    <row r="53" ht="12.75" customHeight="1" s="755">
      <c r="B53" s="41" t="n"/>
      <c r="C53" s="41" t="n"/>
      <c r="D53" s="41" t="n"/>
      <c r="E53" s="41" t="n"/>
      <c r="F53" s="41" t="n"/>
      <c r="G53" s="41" t="n"/>
      <c r="H53" s="41" t="n"/>
      <c r="I53" s="41" t="n"/>
    </row>
    <row r="54" ht="12.75" customHeight="1" s="755">
      <c r="B54" s="41" t="n"/>
      <c r="C54" s="41" t="n"/>
      <c r="D54" s="41" t="n"/>
      <c r="E54" s="41" t="n"/>
      <c r="F54" s="41" t="n"/>
      <c r="G54" s="41" t="n"/>
      <c r="H54" s="41" t="n"/>
      <c r="I54" s="41" t="n"/>
    </row>
    <row r="55" ht="12.75" customHeight="1" s="755">
      <c r="B55" s="41" t="n"/>
      <c r="C55" s="41" t="n"/>
      <c r="D55" s="41" t="n"/>
      <c r="E55" s="41" t="n"/>
      <c r="F55" s="41" t="n"/>
      <c r="G55" s="41" t="n"/>
      <c r="H55" s="41" t="n"/>
      <c r="I55" s="41" t="n"/>
    </row>
    <row r="56" ht="12.75" customHeight="1" s="755">
      <c r="B56" s="41" t="n"/>
      <c r="C56" s="41" t="n"/>
      <c r="D56" s="41" t="n"/>
      <c r="E56" s="41" t="n"/>
      <c r="F56" s="41" t="n"/>
      <c r="G56" s="41" t="n"/>
      <c r="H56" s="41" t="n"/>
      <c r="I56" s="41" t="n"/>
    </row>
    <row r="57" ht="12.75" customHeight="1" s="755">
      <c r="B57" s="41" t="n"/>
      <c r="C57" s="41" t="n"/>
      <c r="D57" s="41" t="n"/>
      <c r="E57" s="41" t="n"/>
      <c r="F57" s="41" t="n"/>
      <c r="G57" s="41" t="n"/>
      <c r="H57" s="41" t="n"/>
      <c r="I57" s="41" t="n"/>
    </row>
    <row r="58" ht="12.75" customHeight="1" s="755">
      <c r="B58" s="41" t="n"/>
      <c r="C58" s="41" t="n"/>
      <c r="D58" s="41" t="n"/>
      <c r="E58" s="41" t="n"/>
      <c r="F58" s="41" t="n"/>
      <c r="G58" s="41" t="n"/>
      <c r="H58" s="41" t="n"/>
      <c r="I58" s="41" t="n"/>
    </row>
    <row r="59" ht="12.75" customHeight="1" s="755">
      <c r="B59" s="41" t="n"/>
      <c r="C59" s="41" t="n"/>
      <c r="D59" s="41" t="n"/>
      <c r="E59" s="41" t="n"/>
      <c r="F59" s="41" t="n"/>
      <c r="G59" s="41" t="n"/>
      <c r="H59" s="41" t="n"/>
      <c r="I59" s="41" t="n"/>
    </row>
    <row r="60" ht="12.75" customHeight="1" s="755">
      <c r="B60" s="41" t="n"/>
      <c r="C60" s="41" t="n"/>
      <c r="D60" s="41" t="n"/>
      <c r="E60" s="41" t="n"/>
      <c r="F60" s="41" t="n"/>
      <c r="G60" s="41" t="n"/>
      <c r="H60" s="41" t="n"/>
      <c r="I60" s="41" t="n"/>
    </row>
    <row r="61" ht="12.75" customHeight="1" s="755">
      <c r="B61" s="41" t="n"/>
      <c r="C61" s="41" t="n"/>
      <c r="D61" s="41" t="n"/>
      <c r="E61" s="41" t="n"/>
      <c r="F61" s="41" t="n"/>
      <c r="G61" s="41" t="n"/>
      <c r="H61" s="41" t="n"/>
      <c r="I61" s="41" t="n"/>
    </row>
    <row r="62" ht="12.75" customHeight="1" s="755">
      <c r="B62" s="41" t="n"/>
      <c r="C62" s="41" t="n"/>
      <c r="D62" s="41" t="n"/>
      <c r="E62" s="41" t="n"/>
      <c r="F62" s="41" t="n"/>
      <c r="G62" s="41" t="n"/>
      <c r="H62" s="41" t="n"/>
      <c r="I62" s="41" t="n"/>
    </row>
    <row r="63" ht="12.75" customHeight="1" s="755">
      <c r="B63" s="41" t="n"/>
      <c r="C63" s="41" t="n"/>
      <c r="D63" s="41" t="n"/>
      <c r="E63" s="41" t="n"/>
      <c r="F63" s="41" t="n"/>
      <c r="G63" s="41" t="n"/>
      <c r="H63" s="41" t="n"/>
      <c r="I63" s="41" t="n"/>
    </row>
    <row r="64" ht="12.75" customHeight="1" s="755">
      <c r="B64" s="41" t="n"/>
      <c r="C64" s="41" t="n"/>
      <c r="D64" s="41" t="n"/>
      <c r="E64" s="41" t="n"/>
      <c r="F64" s="41" t="n"/>
      <c r="G64" s="41" t="n"/>
      <c r="H64" s="41" t="n"/>
      <c r="I64" s="41" t="n"/>
    </row>
    <row r="65" ht="12.75" customHeight="1" s="755">
      <c r="B65" s="41" t="n"/>
      <c r="C65" s="41" t="n"/>
      <c r="D65" s="41" t="n"/>
      <c r="E65" s="41" t="n"/>
      <c r="F65" s="41" t="n"/>
      <c r="G65" s="41" t="n"/>
      <c r="H65" s="41" t="n"/>
      <c r="I65" s="41" t="n"/>
    </row>
    <row r="66" ht="12.75" customHeight="1" s="755">
      <c r="B66" s="41" t="n"/>
      <c r="C66" s="41" t="n"/>
      <c r="D66" s="41" t="n"/>
      <c r="E66" s="41" t="n"/>
      <c r="F66" s="41" t="n"/>
      <c r="G66" s="41" t="n"/>
      <c r="H66" s="41" t="n"/>
      <c r="I66" s="41" t="n"/>
    </row>
    <row r="67" ht="12.75" customHeight="1" s="755">
      <c r="B67" s="41" t="n"/>
      <c r="C67" s="41" t="n"/>
      <c r="D67" s="41" t="n"/>
      <c r="E67" s="41" t="n"/>
      <c r="F67" s="41" t="n"/>
      <c r="G67" s="41" t="n"/>
      <c r="H67" s="41" t="n"/>
      <c r="I67" s="41" t="n"/>
    </row>
    <row r="68" ht="12.75" customHeight="1" s="755">
      <c r="B68" s="41" t="n"/>
      <c r="C68" s="41" t="n"/>
      <c r="D68" s="41" t="n"/>
      <c r="E68" s="41" t="n"/>
      <c r="F68" s="41" t="n"/>
      <c r="G68" s="41" t="n"/>
      <c r="H68" s="41" t="n"/>
      <c r="I68" s="41" t="n"/>
    </row>
    <row r="69" ht="12.75" customHeight="1" s="755">
      <c r="B69" s="41" t="n"/>
      <c r="C69" s="41" t="n"/>
      <c r="D69" s="41" t="n"/>
      <c r="E69" s="41" t="n"/>
      <c r="F69" s="41" t="n"/>
      <c r="G69" s="41" t="n"/>
      <c r="H69" s="41" t="n"/>
      <c r="I69" s="41" t="n"/>
    </row>
  </sheetData>
  <mergeCells count="18">
    <mergeCell ref="C16:E16"/>
    <mergeCell ref="C11:E11"/>
    <mergeCell ref="C14:E14"/>
    <mergeCell ref="C5:E5"/>
    <mergeCell ref="C13:E13"/>
    <mergeCell ref="C19:E19"/>
    <mergeCell ref="C8:E8"/>
    <mergeCell ref="C9:E9"/>
    <mergeCell ref="C4:E4"/>
    <mergeCell ref="C18:E18"/>
    <mergeCell ref="C17:E17"/>
    <mergeCell ref="F7:F8"/>
    <mergeCell ref="C7:E7"/>
    <mergeCell ref="C20:E20"/>
    <mergeCell ref="C15:E15"/>
    <mergeCell ref="C12:E12"/>
    <mergeCell ref="C6:E6"/>
    <mergeCell ref="C10:E10"/>
  </mergeCells>
  <conditionalFormatting sqref="G5">
    <cfRule type="containsBlanks" priority="16" dxfId="1">
      <formula>LEN(TRIM(G5))=0</formula>
    </cfRule>
  </conditionalFormatting>
  <conditionalFormatting sqref="G7:G8">
    <cfRule type="containsBlanks" priority="17" dxfId="1">
      <formula>LEN(TRIM(G7))=0</formula>
    </cfRule>
  </conditionalFormatting>
  <conditionalFormatting sqref="G10:G12">
    <cfRule type="containsBlanks" priority="18" dxfId="1">
      <formula>LEN(TRIM(G10))=0</formula>
    </cfRule>
  </conditionalFormatting>
  <conditionalFormatting sqref="G14">
    <cfRule type="containsBlanks" priority="19" dxfId="1">
      <formula>LEN(TRIM(G14))=0</formula>
    </cfRule>
  </conditionalFormatting>
  <conditionalFormatting sqref="G16:G18">
    <cfRule type="containsBlanks" priority="20" dxfId="1">
      <formula>LEN(TRIM(G16))=0</formula>
    </cfRule>
  </conditionalFormatting>
  <conditionalFormatting sqref="G20">
    <cfRule type="containsBlanks" priority="21" dxfId="1">
      <formula>LEN(TRIM(G20))=0</formula>
    </cfRule>
  </conditionalFormatting>
  <conditionalFormatting sqref="H5 H7:H8 H10:H12 H14 H16:H18 H20">
    <cfRule type="expression" priority="1" dxfId="1">
      <formula>SUMPRODUCT((G5="否")*(LEN(H5)=0))</formula>
    </cfRule>
  </conditionalFormatting>
  <dataValidations count="1">
    <dataValidation sqref="G5 G7:G8 G10:G12 G14 G16:G18 G20"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 ref="F5" location="'Q1.00 Lead'!A1" display="Q1.00 Lead"/>
    <hyperlink ref="F7" location="'Q1.01 BKD'!A1" display="Q1.01 BKD"/>
    <hyperlink ref="F10" location="'Q1.02a 函证'!A1" display="Q1.02a 函证"/>
    <hyperlink ref="F11" location="'Q1.02b 抵押担保测试'!A1" display="Q1.02b 抵押担保测试"/>
    <hyperlink ref="F12" location="'Q1.02c 函证-替代测试'!A1" display="Q1.02c 函证-替代测试"/>
    <hyperlink ref="F14" location="'Q1.03 增加（ToD）'!A1" display="Q1.03 增加（ToD）"/>
    <hyperlink ref="F16" location="'Q1.04 SAP'!A1" display="Q1.04 SAP"/>
    <hyperlink ref="F17" location="'Q1.04.01 利息费用（ToD）'!A1" display="Q1.04.01 利息费用（ToD）"/>
    <hyperlink ref="F18" location="'Q1.04.02 利息费用（重新计算）'!A1" display="Q1.04.02 利息费用（重新计算）"/>
    <hyperlink ref="F20" location="'Q1.05 限制性契约'!A1" display="Q1.05 限制性契约"/>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fitToPage="1"/>
  </sheetPr>
  <dimension ref="A1:R60"/>
  <sheetViews>
    <sheetView showGridLines="0" zoomScale="70" zoomScaleNormal="70" zoomScalePageLayoutView="70" workbookViewId="0">
      <selection activeCell="G16" sqref="G16"/>
    </sheetView>
  </sheetViews>
  <sheetFormatPr baseColWidth="8" defaultColWidth="9.453125" defaultRowHeight="15" customHeight="1"/>
  <cols>
    <col width="2.6328125" customWidth="1" style="47" min="1" max="1"/>
    <col width="21.08984375" customWidth="1" style="47" min="2" max="2"/>
    <col width="20.90625" customWidth="1" style="47" min="3" max="3"/>
    <col width="13.36328125" customWidth="1" style="47" min="4" max="4"/>
    <col width="14.453125" bestFit="1" customWidth="1" style="47" min="5" max="6"/>
    <col width="16.453125" bestFit="1" customWidth="1" style="47" min="7" max="7"/>
    <col width="16.453125" customWidth="1" style="47" min="8" max="8"/>
    <col width="13.36328125" customWidth="1" style="47" min="9" max="12"/>
    <col width="17.08984375" customWidth="1" style="47" min="13" max="14"/>
    <col width="19.453125" customWidth="1" style="47" min="15" max="15"/>
    <col width="2.6328125" customWidth="1" style="178" min="16" max="16"/>
    <col width="1.6328125" customWidth="1" style="47" min="17" max="17"/>
    <col width="9.453125" customWidth="1" style="47" min="18" max="20"/>
    <col width="1.6328125" customWidth="1" style="47" min="21" max="21"/>
    <col width="9.453125" customWidth="1" style="47" min="22" max="16384"/>
  </cols>
  <sheetData>
    <row r="1" ht="50.25" customHeight="1" s="755">
      <c r="B1" s="766" t="inlineStr">
        <is>
          <t>标准工作底稿：Q1 SWP 银行借款</t>
        </is>
      </c>
      <c r="C1" s="767" t="n"/>
      <c r="D1" s="767" t="n"/>
      <c r="E1" s="767" t="n"/>
      <c r="F1" s="767" t="n"/>
      <c r="G1" s="767" t="n"/>
      <c r="H1" s="767" t="n"/>
      <c r="I1" s="767" t="n"/>
      <c r="J1" s="767" t="n"/>
      <c r="K1" s="767" t="n"/>
      <c r="L1" s="767" t="n"/>
      <c r="M1" s="767" t="n"/>
      <c r="N1" s="767" t="n"/>
      <c r="O1" s="768" t="n"/>
      <c r="Q1" s="179" t="n"/>
    </row>
    <row r="2" ht="29.25" customHeight="1" s="755">
      <c r="B2" s="438" t="inlineStr">
        <is>
          <t>客户名称</t>
        </is>
      </c>
      <c r="C2" s="486" t="inlineStr">
        <is>
          <t>东风鸿远工程咨询有限公司</t>
        </is>
      </c>
      <c r="D2" s="769" t="inlineStr">
        <is>
          <t>此工作底稿需要与以下 Canvas PSP guided workflow forms一起使用：
    •Q1.00 Lead
    •Q1.01 Breakdown
    •Q1.02a 借款函证
    •Q1.02b 抵押担保测试（如适用）
    •Q1.02c 函证-替代测试（如适用）
    •Q1.03 测试本年增加（如适用）
    •Q1.04 测试利息费用（如适用）
    •Q1.05 测试是否遵循贷款合同限制性契约（如适用）
    •Account conclusion
（注：本底稿仅用于一般性银行借款测试）</t>
        </is>
      </c>
      <c r="E2" s="770" t="n"/>
      <c r="F2" s="770" t="n"/>
      <c r="G2" s="770" t="n"/>
      <c r="H2" s="770" t="n"/>
      <c r="I2" s="770" t="n"/>
      <c r="J2" s="770" t="n"/>
      <c r="K2" s="770" t="n"/>
      <c r="L2" s="770" t="n"/>
      <c r="M2" s="770" t="n"/>
      <c r="N2" s="770" t="n"/>
      <c r="O2" s="771" t="n"/>
      <c r="Q2" s="179" t="n"/>
    </row>
    <row r="3" ht="29.25" customHeight="1" s="755">
      <c r="B3" s="248" t="inlineStr">
        <is>
          <t>期末</t>
        </is>
      </c>
      <c r="C3" s="487" t="inlineStr">
        <is>
          <t>2026-12-31</t>
        </is>
      </c>
      <c r="D3" s="772" t="n"/>
      <c r="O3" s="773" t="n"/>
      <c r="Q3" s="179" t="n"/>
    </row>
    <row r="4" ht="29.25" customHeight="1" s="755">
      <c r="B4" s="248" t="inlineStr">
        <is>
          <t>分析日期</t>
        </is>
      </c>
      <c r="C4" s="487" t="inlineStr">
        <is>
          <t>2026-05-20</t>
        </is>
      </c>
      <c r="D4" s="772" t="n"/>
      <c r="O4" s="773" t="n"/>
      <c r="Q4" s="179" t="n"/>
    </row>
    <row r="5" ht="29.25" customHeight="1" s="755">
      <c r="B5" s="248" t="inlineStr">
        <is>
          <t>可容忍误差(TE)</t>
        </is>
      </c>
      <c r="C5" s="774" t="n"/>
      <c r="D5" s="772" t="n"/>
      <c r="O5" s="773" t="n"/>
      <c r="Q5" s="179" t="n"/>
    </row>
    <row r="6" ht="29.25" customHeight="1" s="755">
      <c r="B6" s="507" t="inlineStr">
        <is>
          <t>名义金额(SAD)</t>
        </is>
      </c>
      <c r="C6" s="774" t="n"/>
      <c r="D6" s="772" t="n"/>
      <c r="O6" s="773" t="n"/>
      <c r="Q6" s="179" t="n"/>
    </row>
    <row r="7" ht="29.25" customHeight="1" s="755">
      <c r="B7" s="248" t="inlineStr">
        <is>
          <t>适用会计准则</t>
        </is>
      </c>
      <c r="C7" s="492" t="n"/>
      <c r="D7" s="772" t="n"/>
      <c r="O7" s="773" t="n"/>
      <c r="Q7" s="179" t="n"/>
    </row>
    <row r="8" ht="29.25" customHeight="1" s="755">
      <c r="B8" s="248" t="inlineStr">
        <is>
          <t>记账本位币</t>
        </is>
      </c>
      <c r="C8" s="489" t="n"/>
      <c r="D8" s="775" t="n"/>
      <c r="E8" s="762" t="n"/>
      <c r="F8" s="762" t="n"/>
      <c r="G8" s="762" t="n"/>
      <c r="H8" s="762" t="n"/>
      <c r="I8" s="762" t="n"/>
      <c r="J8" s="762" t="n"/>
      <c r="K8" s="762" t="n"/>
      <c r="L8" s="762" t="n"/>
      <c r="M8" s="762" t="n"/>
      <c r="N8" s="762" t="n"/>
      <c r="O8" s="761" t="n"/>
      <c r="Q8" s="179" t="n"/>
    </row>
    <row r="9" ht="30" customFormat="1" customHeight="1" s="42">
      <c r="B9" s="48" t="inlineStr">
        <is>
          <t>Q1.00 编制引导表并比较余额</t>
        </is>
      </c>
      <c r="C9" s="175" t="n"/>
      <c r="D9" s="490" t="n"/>
      <c r="E9" s="490" t="n"/>
      <c r="F9" s="490" t="n"/>
      <c r="G9" s="490" t="n"/>
      <c r="H9" s="490" t="n"/>
      <c r="I9" s="490" t="n"/>
      <c r="J9" s="490" t="n"/>
      <c r="K9" s="490" t="n"/>
      <c r="L9" s="490" t="n"/>
      <c r="M9" s="490" t="n"/>
      <c r="N9" s="490" t="n"/>
      <c r="O9" s="491" t="n"/>
      <c r="Q9" s="180" t="n"/>
    </row>
    <row r="10" ht="17.15" customFormat="1" customHeight="1" s="42">
      <c r="B10" s="181" t="n"/>
      <c r="C10" s="182" t="n"/>
      <c r="D10" s="182" t="n"/>
      <c r="E10" s="182" t="n"/>
      <c r="F10" s="182" t="n"/>
      <c r="G10" s="182" t="n"/>
      <c r="H10" s="182" t="n"/>
      <c r="I10" s="182" t="n"/>
      <c r="J10" s="182" t="n"/>
      <c r="K10" s="182" t="n"/>
      <c r="L10" s="182" t="n"/>
      <c r="M10" s="182" t="n"/>
      <c r="N10" s="182" t="n"/>
      <c r="Q10" s="180" t="n"/>
    </row>
    <row r="11" ht="17.15" customFormat="1" customHeight="1" s="42">
      <c r="B11" s="249" t="inlineStr">
        <is>
          <t>返回汇总页</t>
        </is>
      </c>
      <c r="C11" s="182" t="n"/>
      <c r="D11" s="182" t="n"/>
      <c r="E11" s="182" t="n"/>
      <c r="F11" s="182" t="n"/>
      <c r="G11" s="182" t="n"/>
      <c r="H11" s="182" t="n"/>
      <c r="I11" s="182" t="n"/>
      <c r="J11" s="182" t="n"/>
      <c r="K11" s="182" t="n"/>
      <c r="L11" s="182" t="n"/>
      <c r="M11" s="182" t="n"/>
      <c r="N11" s="182" t="n"/>
      <c r="Q11" s="180" t="n"/>
    </row>
    <row r="12" ht="15" customHeight="1" s="755">
      <c r="H12" s="182" t="n"/>
      <c r="I12" s="182" t="n"/>
      <c r="J12" s="182" t="n"/>
      <c r="K12" s="182" t="n"/>
      <c r="L12" s="182" t="n"/>
      <c r="Q12" s="179" t="n"/>
    </row>
    <row r="13" ht="15" customHeight="1" s="755">
      <c r="D13" s="776" t="inlineStr">
        <is>
          <t>Threshold(s)</t>
        </is>
      </c>
      <c r="E13" s="765" t="n"/>
      <c r="F13" s="58" t="n"/>
      <c r="G13" s="58" t="n"/>
      <c r="H13" s="182" t="n"/>
      <c r="I13" s="182" t="n"/>
      <c r="J13" s="182" t="n"/>
      <c r="K13" s="482" t="inlineStr">
        <is>
          <t>安永标记</t>
        </is>
      </c>
      <c r="L13" s="483" t="n"/>
      <c r="M13" s="483" t="n"/>
      <c r="N13" s="483" t="n"/>
      <c r="O13" s="484" t="n"/>
      <c r="Q13" s="179" t="n"/>
    </row>
    <row r="14" ht="15" customHeight="1" s="755">
      <c r="B14" s="36" t="inlineStr">
        <is>
          <t>认定</t>
        </is>
      </c>
      <c r="C14" s="36" t="inlineStr">
        <is>
          <t>CRA</t>
        </is>
      </c>
      <c r="D14" s="36" t="inlineStr">
        <is>
          <t>各项认定1</t>
        </is>
      </c>
      <c r="E14" s="205" t="inlineStr">
        <is>
          <t>所有相关认定 2</t>
        </is>
      </c>
      <c r="F14" s="58" t="n"/>
      <c r="G14" s="58" t="n"/>
      <c r="H14" s="182" t="n"/>
      <c r="I14" s="182" t="n"/>
      <c r="J14" s="182" t="n"/>
      <c r="K14" s="221" t="inlineStr">
        <is>
          <t>TB</t>
        </is>
      </c>
      <c r="L14" s="183" t="inlineStr">
        <is>
          <t>已与科目余额表核对无误</t>
        </is>
      </c>
      <c r="M14" s="222" t="n"/>
      <c r="N14" s="222" t="n"/>
      <c r="O14" s="223" t="n"/>
      <c r="Q14" s="179" t="n"/>
    </row>
    <row r="15" ht="15" customHeight="1" s="755">
      <c r="B15" s="589" t="inlineStr">
        <is>
          <t>完整性（C）</t>
        </is>
      </c>
      <c r="C15" s="506" t="n"/>
      <c r="D15" s="777">
        <f>IF(C15="Minimal",$C$5*50%,IF(C15="Low",$C$5*25%,IF(C15="Moderate",$C$5*15%,IF(C15="High",$C$5*10%,IF(C15="N/A","-",)))))</f>
        <v/>
      </c>
      <c r="E15" s="778">
        <f>MIN($D$15:$D$19)</f>
        <v/>
      </c>
      <c r="F15" s="58" t="n"/>
      <c r="G15" s="58" t="n"/>
      <c r="H15" s="182" t="n"/>
      <c r="I15" s="182" t="n"/>
      <c r="J15" s="182" t="n"/>
      <c r="K15" s="224" t="inlineStr">
        <is>
          <t>PY</t>
        </is>
      </c>
      <c r="L15" s="183" t="inlineStr">
        <is>
          <t>与上年最终审定数核对一致</t>
        </is>
      </c>
      <c r="M15" s="188" t="n"/>
      <c r="N15" s="184" t="n"/>
      <c r="O15" s="225" t="n"/>
      <c r="Q15" s="179" t="n"/>
    </row>
    <row r="16" ht="15" customHeight="1" s="755">
      <c r="B16" s="589" t="inlineStr">
        <is>
          <t>存在性（E）/发生（O）</t>
        </is>
      </c>
      <c r="C16" s="506" t="n"/>
      <c r="D16" s="777">
        <f>IF(C16="Minimal",$C$5*100%,IF(C16="Low",$C$5*75%,IF(C16="Moderate",$C$5*50%,IF(C16="High",$C$5*25%,IF(C16="N/A","-",)))))</f>
        <v/>
      </c>
      <c r="E16" s="779" t="n"/>
      <c r="F16" s="780" t="n"/>
      <c r="G16" s="58" t="n"/>
      <c r="H16" s="182" t="n"/>
      <c r="I16" s="182" t="n"/>
      <c r="J16" s="182" t="n"/>
      <c r="K16" s="221" t="inlineStr">
        <is>
          <t>A3</t>
        </is>
      </c>
      <c r="L16" s="226" t="inlineStr">
        <is>
          <t>与未审数、审定数核对一致</t>
        </is>
      </c>
      <c r="M16" s="227" t="n"/>
      <c r="N16" s="184" t="n"/>
      <c r="O16" s="225" t="n"/>
      <c r="Q16" s="179" t="n"/>
    </row>
    <row r="17" ht="15" customHeight="1" s="755">
      <c r="B17" s="590" t="inlineStr">
        <is>
          <t>计量/计价（M/V）</t>
        </is>
      </c>
      <c r="C17" s="506" t="n"/>
      <c r="D17" s="777">
        <f>IF(C17="Minimal",$C$5*100%,IF(C17="Low",$C$5*75%,IF(C17="Moderate",$C$5*50%,IF(C17="High",$C$5*25%,IF(C17="N/A","-",)))))</f>
        <v/>
      </c>
      <c r="E17" s="779" t="n"/>
      <c r="F17" s="780" t="n"/>
      <c r="G17" s="58" t="n"/>
      <c r="H17" s="182" t="n"/>
      <c r="I17" s="182" t="n"/>
      <c r="J17" s="182" t="n"/>
      <c r="K17" s="221" t="inlineStr">
        <is>
          <t>A5</t>
        </is>
      </c>
      <c r="L17" s="226" t="inlineStr">
        <is>
          <t>与审计调整核对一致</t>
        </is>
      </c>
      <c r="M17" s="190" t="n"/>
      <c r="N17" s="184" t="n"/>
      <c r="O17" s="225" t="n"/>
      <c r="Q17" s="179" t="n"/>
    </row>
    <row r="18" ht="15" customHeight="1" s="755">
      <c r="B18" s="589" t="inlineStr">
        <is>
          <t>权利和义务（R&amp;O）</t>
        </is>
      </c>
      <c r="C18" s="506" t="n"/>
      <c r="D18" s="777">
        <f>IF(C18="Minimal",$C$5*100%,IF(C18="Low",$C$5*75%,IF(C18="Moderate",$C$5*50%,IF(C18="High",$C$5*25%,IF(C18="N/A","-",)))))</f>
        <v/>
      </c>
      <c r="E18" s="779" t="n"/>
      <c r="F18" s="780" t="n"/>
      <c r="G18" s="58" t="n"/>
      <c r="H18" s="182" t="n"/>
      <c r="I18" s="182" t="n"/>
      <c r="J18" s="182" t="n"/>
      <c r="K18" s="228" t="inlineStr">
        <is>
          <t>FS</t>
        </is>
      </c>
      <c r="L18" s="183" t="inlineStr">
        <is>
          <t>与FS.0x与财务报表核对无误</t>
        </is>
      </c>
      <c r="M18" s="152" t="n"/>
      <c r="N18" s="86" t="n"/>
      <c r="O18" s="229" t="n"/>
      <c r="Q18" s="179" t="n"/>
    </row>
    <row r="19" ht="15" customHeight="1" s="755">
      <c r="B19" s="591" t="inlineStr">
        <is>
          <t>列报和披露（P&amp;D）</t>
        </is>
      </c>
      <c r="C19" s="506" t="n"/>
      <c r="D19" s="777">
        <f>IF(C19="Minimal",$C$5*100%,IF(C19="Low",$C$5*75%,IF(C19="Moderate",$C$5*50%,IF(C19="High",$C$5*25%,IF(C19="N/A","-",)))))</f>
        <v/>
      </c>
      <c r="E19" s="781" t="n"/>
      <c r="F19" s="780" t="n"/>
      <c r="G19" s="58" t="n"/>
      <c r="H19" s="182" t="n"/>
      <c r="I19" s="182" t="n"/>
      <c r="J19" s="182" t="n"/>
      <c r="K19" s="230" t="inlineStr">
        <is>
          <t>w</t>
        </is>
      </c>
      <c r="L19" s="183" t="inlineStr">
        <is>
          <t>低于SAD的金额——放弃进一步调查</t>
        </is>
      </c>
      <c r="M19" s="184" t="n"/>
      <c r="N19" s="184" t="n"/>
      <c r="O19" s="225" t="n"/>
      <c r="Q19" s="179" t="n"/>
    </row>
    <row r="20" ht="17.15" customHeight="1" s="755">
      <c r="B20" s="634" t="inlineStr">
        <is>
          <t xml:space="preserve">1 各项认定的测试阈值，是根据EY GAM SUBSTANTIVE DESIGN 2.2.1 </t>
        </is>
      </c>
      <c r="F20" s="780" t="n"/>
      <c r="G20" s="182" t="n"/>
      <c r="H20" s="182" t="n"/>
      <c r="I20" s="182" t="n"/>
      <c r="J20" s="182" t="n"/>
      <c r="K20" s="221" t="inlineStr">
        <is>
          <t>Rx</t>
        </is>
      </c>
      <c r="L20" s="183" t="inlineStr">
        <is>
          <t>重新计算，无异常</t>
        </is>
      </c>
      <c r="M20" s="184" t="n"/>
      <c r="N20" s="184" t="n"/>
      <c r="O20" s="225" t="n"/>
      <c r="Q20" s="179" t="n"/>
    </row>
    <row r="21" ht="17.15" customHeight="1" s="755">
      <c r="B21" s="579" t="inlineStr">
        <is>
          <t>中的示例测试阈值（用占TE的百分比表示）在相应风险等级（CRA）区间的上限计算得出的。</t>
        </is>
      </c>
      <c r="C21" s="634" t="n"/>
      <c r="D21" s="634" t="n"/>
      <c r="E21" s="634" t="n"/>
      <c r="F21" s="780" t="n"/>
      <c r="G21" s="58" t="n"/>
      <c r="H21" s="182" t="n"/>
      <c r="I21" s="182" t="n"/>
      <c r="J21" s="182" t="n"/>
      <c r="K21" s="230" t="inlineStr">
        <is>
          <t>m</t>
        </is>
      </c>
      <c r="L21" s="183" t="inlineStr">
        <is>
          <t>余额/活动不符合测试范围–无需进一步调查</t>
        </is>
      </c>
      <c r="M21" s="184" t="n"/>
      <c r="N21" s="184" t="n"/>
      <c r="O21" s="225" t="n"/>
      <c r="Q21" s="179" t="n"/>
    </row>
    <row r="22" ht="17.15" customHeight="1" s="755">
      <c r="B22" s="579" t="inlineStr">
        <is>
          <t>除负债/费用类别账户的完整性认定应当使用负债/费用账户表之外，其他类别账户和认定均可使用资产/收入账户表。</t>
        </is>
      </c>
      <c r="C22" s="634" t="n"/>
      <c r="D22" s="634" t="n"/>
      <c r="E22" s="634" t="n"/>
      <c r="F22" s="189" t="n"/>
      <c r="G22" s="58" t="n"/>
      <c r="H22" s="182" t="n"/>
      <c r="I22" s="182" t="n"/>
      <c r="J22" s="182" t="n"/>
      <c r="K22" s="231" t="inlineStr">
        <is>
          <t>SL</t>
        </is>
      </c>
      <c r="L22" s="232" t="inlineStr">
        <is>
          <t>已与明细账核对无误</t>
        </is>
      </c>
      <c r="M22" s="184" t="n"/>
      <c r="N22" s="184" t="n"/>
      <c r="O22" s="225" t="n"/>
      <c r="Q22" s="179" t="n"/>
    </row>
    <row r="23" ht="44.15" customHeight="1" s="755">
      <c r="B23" s="634" t="inlineStr">
        <is>
          <t>2.所有认定的阈值是使用所有相关认定中的最低阈值来计算的。我们在“引导表”标签页上将其用作：(a) 选择总账账户进行测试的起点，(b) 我们量化波动范围的金额。</t>
        </is>
      </c>
      <c r="F23" s="191" t="n"/>
      <c r="G23" s="191" t="n"/>
      <c r="H23" s="182" t="n"/>
      <c r="I23" s="182" t="n"/>
      <c r="J23" s="182" t="n"/>
      <c r="K23" s="182" t="n"/>
      <c r="L23" s="182" t="n"/>
      <c r="Q23" s="179" t="n"/>
    </row>
    <row r="24" ht="15.5" customHeight="1" s="755">
      <c r="B24" s="191" t="n"/>
      <c r="C24" s="191" t="n"/>
      <c r="D24" s="191" t="n"/>
      <c r="E24" s="191" t="n"/>
      <c r="F24" s="191" t="n"/>
      <c r="G24" s="191" t="n"/>
      <c r="H24" s="182" t="n"/>
      <c r="I24" s="182" t="n"/>
      <c r="J24" s="182" t="n"/>
      <c r="K24" s="182" t="n"/>
      <c r="L24" s="182" t="n"/>
      <c r="Q24" s="179" t="n"/>
    </row>
    <row r="25" ht="17.5" customHeight="1" s="755">
      <c r="B25" s="19" t="inlineStr">
        <is>
          <t>在下文中描述我们当期对银行借款余额和相关波动的预期，以及这些预期的依据和理由。</t>
        </is>
      </c>
      <c r="C25" s="782" t="n"/>
      <c r="D25" s="782" t="n"/>
      <c r="E25" s="782" t="n"/>
      <c r="F25" s="782" t="n"/>
      <c r="G25" s="191" t="n"/>
      <c r="H25" s="182" t="n"/>
      <c r="I25" s="182" t="n"/>
      <c r="J25" s="182" t="n"/>
      <c r="K25" s="182" t="n"/>
      <c r="L25" s="182" t="n"/>
      <c r="M25" s="58" t="n"/>
      <c r="N25" s="58" t="n"/>
      <c r="Q25" s="179" t="n"/>
    </row>
    <row r="26" ht="14" customHeight="1" s="755">
      <c r="B26" s="783" t="n"/>
      <c r="C26" s="770" t="n"/>
      <c r="D26" s="770" t="n"/>
      <c r="E26" s="770" t="n"/>
      <c r="F26" s="771" t="n"/>
      <c r="G26" s="191" t="n"/>
      <c r="H26" s="191" t="n"/>
      <c r="I26" s="191" t="n"/>
      <c r="J26" s="192" t="n"/>
      <c r="L26" s="58" t="n"/>
      <c r="M26" s="58" t="n"/>
      <c r="N26" s="58" t="n"/>
      <c r="Q26" s="179" t="n"/>
    </row>
    <row r="27" ht="14" customHeight="1" s="755">
      <c r="B27" s="772" t="n"/>
      <c r="F27" s="773" t="n"/>
      <c r="G27" s="191" t="n"/>
      <c r="H27" s="191" t="n"/>
      <c r="I27" s="191" t="n"/>
      <c r="J27" s="192" t="n"/>
      <c r="L27" s="58" t="n"/>
      <c r="M27" s="58" t="n"/>
      <c r="N27" s="58" t="n"/>
      <c r="Q27" s="179" t="n"/>
    </row>
    <row r="28" ht="14" customHeight="1" s="755">
      <c r="B28" s="775" t="n"/>
      <c r="C28" s="762" t="n"/>
      <c r="D28" s="762" t="n"/>
      <c r="E28" s="762" t="n"/>
      <c r="F28" s="761" t="n"/>
      <c r="G28" s="191" t="n"/>
      <c r="H28" s="191" t="n"/>
      <c r="I28" s="191" t="n"/>
      <c r="J28" s="193" t="n"/>
      <c r="L28" s="58" t="n"/>
      <c r="M28" s="58" t="n"/>
      <c r="N28" s="58" t="n"/>
      <c r="Q28" s="179" t="n"/>
    </row>
    <row r="29" ht="15" customHeight="1" s="755">
      <c r="A29" s="173" t="n"/>
      <c r="B29" s="161" t="n"/>
      <c r="C29" s="194" t="n"/>
      <c r="D29" s="194" t="n"/>
      <c r="E29" s="194" t="n"/>
      <c r="F29" s="194" t="n"/>
      <c r="G29" s="194" t="n"/>
      <c r="H29" s="194" t="n"/>
      <c r="I29" s="194" t="n"/>
      <c r="J29" s="194" t="n"/>
      <c r="K29" s="195" t="n"/>
      <c r="L29" s="196" t="n"/>
      <c r="O29" s="173" t="n"/>
      <c r="Q29" s="179" t="n"/>
    </row>
    <row r="30" ht="15" customHeight="1" s="755">
      <c r="A30" s="173" t="n"/>
      <c r="B30" s="197" t="inlineStr">
        <is>
          <t>波动范围</t>
        </is>
      </c>
      <c r="C30" s="198" t="n"/>
      <c r="D30" s="784" t="n"/>
      <c r="E30" s="194" t="n"/>
      <c r="F30" s="194" t="n"/>
      <c r="G30" s="194" t="n"/>
      <c r="H30" s="194" t="n"/>
      <c r="I30" s="194" t="n"/>
      <c r="J30" s="194" t="n"/>
      <c r="K30" s="195" t="n"/>
      <c r="L30" s="196" t="n"/>
      <c r="O30" s="173" t="n"/>
      <c r="Q30" s="179" t="n"/>
    </row>
    <row r="31" ht="13" customHeight="1" s="755">
      <c r="B31" s="243">
        <f>"波动幅度 ("&amp;C8&amp; "):"</f>
        <v/>
      </c>
      <c r="C31" s="785">
        <f>$E$15</f>
        <v/>
      </c>
      <c r="D31" s="784" t="n"/>
      <c r="E31" s="201" t="n"/>
      <c r="F31" s="201" t="n"/>
      <c r="G31" s="201" t="n"/>
      <c r="H31" s="201" t="n"/>
      <c r="I31" s="201" t="n"/>
      <c r="J31" s="201" t="n"/>
      <c r="K31" s="201" t="n"/>
      <c r="L31" s="201" t="n"/>
      <c r="M31" s="201" t="n"/>
      <c r="N31" s="201" t="n"/>
      <c r="Q31" s="179" t="n"/>
    </row>
    <row r="32" ht="15" customHeight="1" s="755">
      <c r="B32" s="493" t="inlineStr">
        <is>
          <t>波动幅度（%）：</t>
        </is>
      </c>
      <c r="C32" s="202" t="n">
        <v>0.1</v>
      </c>
      <c r="D32" s="203" t="n"/>
      <c r="Q32" s="179" t="n"/>
    </row>
    <row r="33" ht="15" customHeight="1" s="755">
      <c r="B33" s="203" t="n"/>
      <c r="C33" s="203" t="n"/>
      <c r="Q33" s="179" t="n"/>
    </row>
    <row r="34" ht="15" customHeight="1" s="755">
      <c r="B34" s="42" t="n"/>
      <c r="C34" s="42" t="n"/>
      <c r="D34" s="42" t="n"/>
      <c r="E34" s="42" t="n"/>
      <c r="F34" s="61" t="n"/>
      <c r="G34" s="135" t="n"/>
      <c r="H34" s="135" t="n"/>
      <c r="I34" s="135" t="n"/>
      <c r="J34" s="135" t="n"/>
      <c r="K34" s="204" t="n"/>
      <c r="L34" s="42" t="n"/>
      <c r="M34" s="42" t="n"/>
      <c r="O34" s="42" t="n"/>
      <c r="P34" s="47" t="n"/>
      <c r="Q34" s="179" t="n"/>
      <c r="R34" s="178" t="n"/>
    </row>
    <row r="35" ht="15" customHeight="1" s="755">
      <c r="F35" s="61" t="n"/>
      <c r="G35" s="135" t="n"/>
      <c r="H35" s="135" t="n"/>
      <c r="I35" s="135" t="n"/>
      <c r="J35" s="135" t="n"/>
      <c r="K35" s="204" t="n"/>
      <c r="L35" s="177" t="n"/>
      <c r="M35" s="177" t="n"/>
      <c r="O35" s="42" t="n"/>
      <c r="P35" s="47" t="n"/>
      <c r="Q35" s="179" t="n"/>
      <c r="R35" s="178" t="n"/>
    </row>
    <row r="36" ht="15" customFormat="1" customHeight="1" s="58">
      <c r="E36" s="61" t="inlineStr">
        <is>
          <t>|--------TB--------|</t>
        </is>
      </c>
      <c r="F36" s="135" t="n"/>
      <c r="G36" s="135" t="n"/>
      <c r="H36" s="135" t="n"/>
      <c r="I36" s="135" t="n"/>
      <c r="J36" s="204" t="inlineStr">
        <is>
          <t>|-------PY-------|</t>
        </is>
      </c>
      <c r="P36" s="178" t="n"/>
      <c r="Q36" s="179" t="n"/>
    </row>
    <row r="37" ht="13" customHeight="1" s="755">
      <c r="B37" s="786" t="inlineStr">
        <is>
          <t>总账科目编码</t>
        </is>
      </c>
      <c r="C37" s="786" t="inlineStr">
        <is>
          <t>科目名称</t>
        </is>
      </c>
      <c r="D37" s="635" t="inlineStr">
        <is>
          <t>索引号</t>
        </is>
      </c>
      <c r="E37" s="645">
        <f>C3</f>
        <v/>
      </c>
      <c r="F37" s="758" t="n"/>
      <c r="G37" s="758" t="n"/>
      <c r="H37" s="758" t="n"/>
      <c r="I37" s="759" t="n"/>
      <c r="J37" s="645">
        <f>DATE(YEAR($E$37)-1,12,31)</f>
        <v/>
      </c>
      <c r="K37" s="776" t="inlineStr">
        <is>
          <t>本期和上期期末余额</t>
        </is>
      </c>
      <c r="L37" s="765" t="n"/>
      <c r="M37" s="646" t="inlineStr">
        <is>
          <t>Notes</t>
        </is>
      </c>
      <c r="N37" s="635" t="inlineStr">
        <is>
          <t>基于波动幅度判断，是否进一步调查？</t>
        </is>
      </c>
      <c r="O37" s="635" t="inlineStr">
        <is>
          <t>基于定性考虑判断，是否进一步调查？</t>
        </is>
      </c>
      <c r="Q37" s="179" t="n"/>
    </row>
    <row r="38" ht="27" customHeight="1" s="755">
      <c r="B38" s="787" t="n"/>
      <c r="C38" s="787" t="n"/>
      <c r="D38" s="760" t="n"/>
      <c r="E38" s="494" t="inlineStr">
        <is>
          <t>期末账面数</t>
        </is>
      </c>
      <c r="F38" s="580" t="inlineStr">
        <is>
          <t>账表调整数</t>
        </is>
      </c>
      <c r="G38" s="580" t="inlineStr">
        <is>
          <t>期末未审数</t>
        </is>
      </c>
      <c r="H38" s="580" t="inlineStr">
        <is>
          <t>审计调整数</t>
        </is>
      </c>
      <c r="I38" s="494" t="inlineStr">
        <is>
          <t>期末审定数</t>
        </is>
      </c>
      <c r="J38" s="494" t="inlineStr">
        <is>
          <t>上期末审定数</t>
        </is>
      </c>
      <c r="K38" s="36" t="inlineStr">
        <is>
          <t>变动金额</t>
        </is>
      </c>
      <c r="L38" s="36" t="inlineStr">
        <is>
          <t>变动%</t>
        </is>
      </c>
      <c r="M38" s="760" t="n"/>
      <c r="N38" s="760" t="n"/>
      <c r="O38" s="760" t="n"/>
      <c r="Q38" s="179" t="n"/>
    </row>
    <row r="39" ht="15" customFormat="1" customHeight="1" s="172">
      <c r="B39" s="508" t="n"/>
      <c r="C39" s="441" t="inlineStr">
        <is>
          <t>长期借款</t>
        </is>
      </c>
      <c r="D39" s="135" t="inlineStr">
        <is>
          <t>Q1.01 BKD/</t>
        </is>
      </c>
      <c r="E39" s="788" t="n"/>
      <c r="F39" s="788" t="n"/>
      <c r="G39" s="788">
        <f>E39+F39</f>
        <v/>
      </c>
      <c r="H39" s="788" t="n"/>
      <c r="I39" s="788">
        <f>G39+H39</f>
        <v/>
      </c>
      <c r="J39" s="788">
        <f>G39+H39</f>
        <v/>
      </c>
      <c r="K39" s="789">
        <f>E39-J39</f>
        <v/>
      </c>
      <c r="L39" s="440">
        <f>IF(J39&lt;&gt;0,K39/J39,1)</f>
        <v/>
      </c>
      <c r="M39" s="235" t="inlineStr">
        <is>
          <t>[A]</t>
        </is>
      </c>
      <c r="N39" s="450">
        <f>IF(AND(ABS(K39)&gt;=$C$31,ABS(L39)&gt;=$C$32),"是","否")</f>
        <v/>
      </c>
      <c r="O39" s="450" t="n"/>
      <c r="Q39" s="206" t="n"/>
    </row>
    <row r="40" ht="15" customFormat="1" customHeight="1" s="172">
      <c r="B40" s="508" t="n"/>
      <c r="C40" s="441" t="inlineStr">
        <is>
          <t>短期借款</t>
        </is>
      </c>
      <c r="D40" s="233" t="n"/>
      <c r="E40" s="788" t="n"/>
      <c r="F40" s="788" t="n"/>
      <c r="G40" s="788">
        <f>E40+F40</f>
        <v/>
      </c>
      <c r="H40" s="788" t="n"/>
      <c r="I40" s="788">
        <f>G40+H40</f>
        <v/>
      </c>
      <c r="J40" s="788">
        <f>G40+H40</f>
        <v/>
      </c>
      <c r="K40" s="789">
        <f>E40-J40</f>
        <v/>
      </c>
      <c r="L40" s="440">
        <f>IF(J40&lt;&gt;0,K40/J40,1)</f>
        <v/>
      </c>
      <c r="M40" s="236" t="n"/>
      <c r="N40" s="450">
        <f>IF(AND(ABS(K40)&gt;=$C$31,ABS(L40)&gt;=$C$32),"是","否")</f>
        <v/>
      </c>
      <c r="O40" s="450" t="n"/>
      <c r="Q40" s="206" t="n"/>
    </row>
    <row r="41" ht="15" customFormat="1" customHeight="1" s="172">
      <c r="B41" s="508" t="n"/>
      <c r="C41" s="441" t="inlineStr">
        <is>
          <t>一年内到期的非流动负债</t>
        </is>
      </c>
      <c r="D41" s="233" t="n"/>
      <c r="E41" s="788" t="n"/>
      <c r="F41" s="788" t="n"/>
      <c r="G41" s="788">
        <f>E41+F41</f>
        <v/>
      </c>
      <c r="H41" s="788" t="n"/>
      <c r="I41" s="788">
        <f>G41+H41</f>
        <v/>
      </c>
      <c r="J41" s="788" t="n"/>
      <c r="K41" s="789">
        <f>E41-J41</f>
        <v/>
      </c>
      <c r="L41" s="440">
        <f>IF(J41&lt;&gt;0,K41/J41,1)</f>
        <v/>
      </c>
      <c r="M41" s="11" t="n"/>
      <c r="N41" s="450">
        <f>IF(AND(ABS(K41)&gt;=$C$31,ABS(L41)&gt;=$C$32),"是","否")</f>
        <v/>
      </c>
      <c r="O41" s="450" t="n"/>
      <c r="Q41" s="206" t="n"/>
    </row>
    <row r="42" ht="15" customFormat="1" customHeight="1" s="172">
      <c r="B42" s="508" t="n"/>
      <c r="C42" s="441" t="inlineStr">
        <is>
          <t>应付利息</t>
        </is>
      </c>
      <c r="D42" s="233" t="n"/>
      <c r="E42" s="788" t="n"/>
      <c r="F42" s="788" t="n"/>
      <c r="G42" s="788">
        <f>E42+F42</f>
        <v/>
      </c>
      <c r="H42" s="788" t="n"/>
      <c r="I42" s="788">
        <f>G42+H42</f>
        <v/>
      </c>
      <c r="J42" s="788">
        <f>SUM(I39:I41)</f>
        <v/>
      </c>
      <c r="K42" s="789">
        <f>E42-J42</f>
        <v/>
      </c>
      <c r="L42" s="440">
        <f>IF(J42&lt;&gt;0,K42/J42,1)</f>
        <v/>
      </c>
      <c r="M42" s="236" t="n"/>
      <c r="N42" s="450">
        <f>IF(AND(ABS(K42)&gt;=$C$31,ABS(L42)&gt;=$C$32),"是","否")</f>
        <v/>
      </c>
      <c r="O42" s="450" t="n"/>
      <c r="Q42" s="206" t="n"/>
    </row>
    <row r="43" ht="15" customHeight="1" s="755">
      <c r="J43" s="152" t="inlineStr">
        <is>
          <t>Rx</t>
        </is>
      </c>
      <c r="K43" s="780" t="n"/>
      <c r="L43" s="207" t="n"/>
      <c r="M43" s="208" t="n"/>
      <c r="N43" s="209" t="n"/>
      <c r="O43" s="209" t="n"/>
      <c r="Q43" s="179" t="n"/>
    </row>
    <row r="44" ht="15" customHeight="1" s="755">
      <c r="D44" s="73" t="inlineStr">
        <is>
          <t>合计</t>
        </is>
      </c>
      <c r="E44" s="790">
        <f>SUM(E39:E43)</f>
        <v/>
      </c>
      <c r="F44" s="790">
        <f>SUM(F39:F43)</f>
        <v/>
      </c>
      <c r="G44" s="790">
        <f>SUM(G39:G43)</f>
        <v/>
      </c>
      <c r="H44" s="790">
        <f>SUM(H39:H43)</f>
        <v/>
      </c>
      <c r="I44" s="790">
        <f>SUM(I39:I43)</f>
        <v/>
      </c>
      <c r="J44" s="791">
        <f>[1]A3!$H$73*-1</f>
        <v/>
      </c>
      <c r="K44" s="792">
        <f>E44-J44</f>
        <v/>
      </c>
      <c r="L44" s="509">
        <f>IF(J44&lt;&gt;0,K44/J44,1)</f>
        <v/>
      </c>
      <c r="M44" s="236" t="n"/>
      <c r="N44" s="450">
        <f>IF(AND(ABS(K44)&gt;=$C$31,ABS(L44)&gt;=$C$32),"是","否")</f>
        <v/>
      </c>
      <c r="O44" s="450" t="n"/>
      <c r="Q44" s="179" t="n"/>
    </row>
    <row r="45" ht="13" customFormat="1" customHeight="1" s="172">
      <c r="B45" s="211" t="n"/>
      <c r="C45" s="211" t="n"/>
      <c r="D45" s="211" t="n"/>
      <c r="E45" s="5" t="inlineStr">
        <is>
          <t>Rx</t>
        </is>
      </c>
      <c r="F45" s="5" t="inlineStr">
        <is>
          <t>Rx</t>
        </is>
      </c>
      <c r="G45" s="5" t="inlineStr">
        <is>
          <t>Rx</t>
        </is>
      </c>
      <c r="H45" s="5" t="inlineStr">
        <is>
          <t>Rx</t>
        </is>
      </c>
      <c r="I45" s="5" t="inlineStr">
        <is>
          <t>Rx</t>
        </is>
      </c>
      <c r="J45" s="5">
        <f>I42-I44</f>
        <v/>
      </c>
      <c r="K45" s="211" t="n"/>
      <c r="L45" s="211" t="n"/>
      <c r="M45" s="212" t="n"/>
      <c r="N45" s="212" t="n"/>
      <c r="O45" s="212" t="n"/>
      <c r="Q45" s="206" t="n"/>
    </row>
    <row r="46" ht="15" customHeight="1" s="755">
      <c r="B46" s="21" t="n"/>
      <c r="C46" s="21" t="n"/>
      <c r="D46" s="21" t="n"/>
      <c r="E46" s="21" t="n"/>
      <c r="F46" s="21" t="n"/>
      <c r="K46" s="793" t="n"/>
      <c r="L46" s="215" t="n"/>
      <c r="M46" s="215" t="n"/>
      <c r="N46" s="215" t="n"/>
      <c r="O46" s="215" t="n"/>
      <c r="Q46" s="179" t="n"/>
    </row>
    <row r="47" ht="15" customHeight="1" s="755">
      <c r="B47" s="140" t="inlineStr">
        <is>
          <t>波动说明</t>
        </is>
      </c>
      <c r="C47" s="21" t="n"/>
      <c r="D47" s="21" t="n"/>
      <c r="E47" s="794" t="n"/>
      <c r="J47" s="793" t="n"/>
      <c r="K47" s="215" t="n"/>
      <c r="L47" s="215" t="n"/>
      <c r="M47" s="215" t="n"/>
      <c r="N47" s="215" t="n"/>
      <c r="O47" s="215" t="n"/>
      <c r="P47" s="47" t="n"/>
      <c r="Q47" s="179" t="n"/>
    </row>
    <row r="48" ht="15" customHeight="1" s="755">
      <c r="B48" s="795" t="inlineStr">
        <is>
          <t>[A]</t>
        </is>
      </c>
      <c r="C48" s="796" t="n"/>
      <c r="D48" s="796" t="n"/>
      <c r="E48" s="796" t="n"/>
      <c r="F48" s="797" t="n"/>
      <c r="K48" s="793" t="n"/>
      <c r="L48" s="215" t="n"/>
      <c r="M48" s="215" t="n"/>
      <c r="N48" s="215" t="n"/>
      <c r="O48" s="215" t="n"/>
      <c r="P48" s="47" t="n"/>
      <c r="Q48" s="179" t="n"/>
    </row>
    <row r="49" ht="15" customHeight="1" s="755">
      <c r="B49" s="798" t="n"/>
      <c r="C49" s="799" t="n"/>
      <c r="D49" s="799" t="n"/>
      <c r="E49" s="799" t="n"/>
      <c r="F49" s="800" t="n"/>
      <c r="K49" s="793" t="n"/>
      <c r="L49" s="215" t="n"/>
      <c r="M49" s="215" t="n"/>
      <c r="N49" s="215" t="n"/>
      <c r="O49" s="215" t="n"/>
      <c r="P49" s="47" t="n"/>
      <c r="Q49" s="179" t="n"/>
    </row>
    <row r="50" ht="15" customHeight="1" s="755">
      <c r="B50" s="801" t="n"/>
      <c r="C50" s="802" t="n"/>
      <c r="D50" s="802" t="n"/>
      <c r="E50" s="802" t="n"/>
      <c r="F50" s="803" t="n"/>
      <c r="K50" s="793" t="n"/>
      <c r="L50" s="215" t="n"/>
      <c r="M50" s="215" t="n"/>
      <c r="N50" s="215" t="n"/>
      <c r="O50" s="215" t="n"/>
      <c r="P50" s="47" t="n"/>
      <c r="Q50" s="179" t="n"/>
    </row>
    <row r="51" ht="15" customHeight="1" s="755">
      <c r="B51" s="804" t="n"/>
      <c r="K51" s="793" t="n"/>
      <c r="L51" s="215" t="n"/>
      <c r="M51" s="215" t="n"/>
      <c r="N51" s="215" t="n"/>
      <c r="O51" s="215" t="n"/>
      <c r="P51" s="47" t="n"/>
      <c r="Q51" s="179" t="n"/>
    </row>
    <row r="52" ht="15" customHeight="1" s="755">
      <c r="B52" s="100" t="inlineStr">
        <is>
          <t>调整汇总表（如不适用请删除）</t>
        </is>
      </c>
      <c r="C52" s="237" t="n"/>
      <c r="D52" s="238" t="n"/>
      <c r="E52" s="238" t="n"/>
      <c r="F52" s="805" t="n"/>
      <c r="K52" s="793" t="n"/>
      <c r="L52" s="215" t="n"/>
      <c r="M52" s="215" t="n"/>
      <c r="N52" s="215" t="n"/>
      <c r="O52" s="215" t="n"/>
      <c r="P52" s="47" t="n"/>
      <c r="Q52" s="179" t="n"/>
    </row>
    <row r="53" ht="15" customHeight="1" s="755">
      <c r="B53" s="806" t="inlineStr">
        <is>
          <t>调整类型</t>
        </is>
      </c>
      <c r="C53" s="241" t="n"/>
      <c r="D53" s="241" t="n"/>
      <c r="E53" s="242" t="n"/>
      <c r="F53" s="242" t="n"/>
      <c r="K53" s="793" t="n"/>
      <c r="L53" s="215" t="n"/>
      <c r="M53" s="215" t="n"/>
      <c r="N53" s="215" t="n"/>
      <c r="O53" s="215" t="n"/>
      <c r="P53" s="47" t="n"/>
      <c r="Q53" s="179" t="n"/>
    </row>
    <row r="54" ht="15" customHeight="1" s="755">
      <c r="B54" s="442" t="n"/>
      <c r="C54" s="443" t="n"/>
      <c r="D54" s="443" t="n"/>
      <c r="E54" s="227" t="n"/>
      <c r="F54" s="444" t="n"/>
      <c r="K54" s="793" t="n"/>
      <c r="L54" s="215" t="n"/>
      <c r="M54" s="215" t="n"/>
      <c r="N54" s="215" t="n"/>
      <c r="O54" s="215" t="n"/>
      <c r="P54" s="47" t="n"/>
      <c r="Q54" s="179" t="n"/>
    </row>
    <row r="55" ht="15" customHeight="1" s="755">
      <c r="B55" s="445" t="n"/>
      <c r="C55" s="238" t="n"/>
      <c r="D55" s="238" t="n"/>
      <c r="E55" s="21" t="n"/>
      <c r="F55" s="446" t="n"/>
      <c r="K55" s="793" t="n"/>
      <c r="L55" s="215" t="n"/>
      <c r="M55" s="215" t="n"/>
      <c r="N55" s="215" t="n"/>
      <c r="O55" s="215" t="n"/>
      <c r="P55" s="47" t="n"/>
      <c r="Q55" s="179" t="n"/>
    </row>
    <row r="56" ht="15" customHeight="1" s="755">
      <c r="B56" s="445" t="n"/>
      <c r="C56" s="238" t="n"/>
      <c r="D56" s="238" t="n"/>
      <c r="E56" s="21" t="n"/>
      <c r="F56" s="446" t="n"/>
      <c r="K56" s="793" t="n"/>
      <c r="L56" s="215" t="n"/>
      <c r="M56" s="215" t="n"/>
      <c r="N56" s="215" t="n"/>
      <c r="O56" s="215" t="n"/>
      <c r="P56" s="47" t="n"/>
      <c r="Q56" s="179" t="n"/>
    </row>
    <row r="57" ht="15" customFormat="1" customHeight="1" s="172">
      <c r="B57" s="447" t="n"/>
      <c r="C57" s="448" t="n"/>
      <c r="D57" s="448" t="n"/>
      <c r="E57" s="448" t="n"/>
      <c r="F57" s="449" t="n"/>
      <c r="L57" s="807" t="n"/>
      <c r="M57" s="213" t="n"/>
      <c r="N57" s="213" t="n"/>
      <c r="O57" s="213" t="n"/>
      <c r="Q57" s="206" t="n"/>
    </row>
    <row r="58" ht="15" customFormat="1" customHeight="1" s="172">
      <c r="L58" s="807" t="n"/>
      <c r="M58" s="213" t="n"/>
      <c r="N58" s="213" t="n"/>
      <c r="O58" s="213" t="n"/>
      <c r="Q58" s="206" t="n"/>
    </row>
    <row r="59" ht="7.5" customHeight="1" s="755">
      <c r="A59" s="179" t="n"/>
      <c r="B59" s="179" t="n"/>
      <c r="C59" s="179" t="n"/>
      <c r="D59" s="179" t="n"/>
      <c r="E59" s="179" t="n"/>
      <c r="F59" s="179" t="n"/>
      <c r="G59" s="179" t="n"/>
      <c r="H59" s="179" t="n"/>
      <c r="I59" s="179" t="n"/>
      <c r="J59" s="179" t="n"/>
      <c r="K59" s="179" t="n"/>
      <c r="L59" s="808" t="n"/>
      <c r="M59" s="219" t="n"/>
      <c r="N59" s="219" t="n"/>
      <c r="O59" s="219" t="n"/>
      <c r="P59" s="219" t="n"/>
      <c r="Q59" s="179" t="n"/>
    </row>
    <row r="60" ht="15" customHeight="1" s="755">
      <c r="L60" s="793" t="n"/>
      <c r="M60" s="215" t="n"/>
      <c r="N60" s="215" t="n"/>
      <c r="O60" s="215" t="n"/>
      <c r="P60" s="47" t="n"/>
    </row>
    <row r="61" ht="15" customFormat="1" customHeight="1" s="58"/>
    <row r="62" ht="15" customFormat="1" customHeight="1" s="58"/>
    <row r="63" ht="15" customFormat="1" customHeight="1" s="58"/>
    <row r="64" ht="15" customFormat="1" customHeight="1" s="58"/>
    <row r="65" ht="29.25" customFormat="1" customHeight="1" s="58"/>
    <row r="66" ht="15" customFormat="1" customHeight="1" s="58"/>
    <row r="67" ht="15" customFormat="1" customHeight="1" s="58"/>
    <row r="68" ht="15" customFormat="1" customHeight="1" s="58"/>
    <row r="69" ht="15" customFormat="1" customHeight="1" s="58"/>
    <row r="70" ht="29.25" customFormat="1" customHeight="1" s="58"/>
    <row r="71" ht="15" customFormat="1" customHeight="1" s="58"/>
    <row r="72" ht="29.25" customFormat="1" customHeight="1" s="58"/>
    <row r="73" ht="29.25" customFormat="1" customHeight="1" s="58"/>
    <row r="74" ht="15" customFormat="1" customHeight="1" s="58"/>
    <row r="75" ht="15" customFormat="1" customHeight="1" s="58"/>
    <row r="76" ht="15" customFormat="1" customHeight="1" s="58"/>
    <row r="77" ht="15" customFormat="1" customHeight="1" s="58"/>
    <row r="78" ht="15" customFormat="1" customHeight="1" s="58"/>
    <row r="79" ht="15" customFormat="1" customHeight="1" s="58"/>
    <row r="80" ht="15" customFormat="1" customHeight="1" s="58"/>
    <row r="81" ht="15" customFormat="1" customHeight="1" s="58"/>
    <row r="82" ht="15" customFormat="1" customHeight="1" s="58"/>
    <row r="83" ht="15" customFormat="1" customHeight="1" s="58"/>
    <row r="84" ht="15" customFormat="1" customHeight="1" s="58"/>
    <row r="85" ht="15" customFormat="1" customHeight="1" s="58"/>
    <row r="86" ht="15" customFormat="1" customHeight="1" s="58"/>
    <row r="87" ht="15" customFormat="1" customHeight="1" s="58"/>
    <row r="88" ht="15" customFormat="1" customHeight="1" s="58"/>
    <row r="89" ht="15" customFormat="1" customHeight="1" s="58"/>
    <row r="90" ht="15" customFormat="1" customHeight="1" s="58"/>
    <row r="91" ht="15" customFormat="1" customHeight="1" s="58"/>
    <row r="92" ht="15" customFormat="1" customHeight="1" s="58"/>
    <row r="93" ht="15" customFormat="1" customHeight="1" s="58"/>
    <row r="94" ht="15" customFormat="1" customHeight="1" s="58"/>
    <row r="95" ht="15" customFormat="1" customHeight="1" s="58"/>
    <row r="96" ht="15" customFormat="1" customHeight="1" s="58"/>
    <row r="97" ht="15" customFormat="1" customHeight="1" s="58"/>
    <row r="98" ht="15" customFormat="1" customHeight="1" s="58"/>
    <row r="99" ht="15" customFormat="1" customHeight="1" s="58"/>
    <row r="100" ht="15" customFormat="1" customHeight="1" s="58"/>
    <row r="101" ht="15" customFormat="1" customHeight="1" s="58"/>
    <row r="102" ht="15" customFormat="1" customHeight="1" s="58"/>
    <row r="103" ht="15" customFormat="1" customHeight="1" s="58"/>
    <row r="104" ht="15" customFormat="1" customHeight="1" s="58"/>
    <row r="105" ht="15" customFormat="1" customHeight="1" s="58"/>
    <row r="106" ht="15" customFormat="1" customHeight="1" s="58"/>
    <row r="107" ht="15" customFormat="1" customHeight="1" s="58"/>
    <row r="108" ht="15" customFormat="1" customHeight="1" s="58"/>
    <row r="109" ht="15" customFormat="1" customHeight="1" s="58"/>
    <row r="110" ht="15" customFormat="1" customHeight="1" s="58"/>
    <row r="111" ht="15" customFormat="1" customHeight="1" s="58"/>
    <row r="112" ht="15" customFormat="1" customHeight="1" s="58"/>
    <row r="113" ht="15" customFormat="1" customHeight="1" s="58"/>
    <row r="114" ht="15" customFormat="1" customHeight="1" s="58"/>
    <row r="115" ht="15" customFormat="1" customHeight="1" s="58"/>
    <row r="116" ht="15" customFormat="1" customHeight="1" s="58"/>
    <row r="117" ht="15" customFormat="1" customHeight="1" s="58"/>
    <row r="118" ht="15" customFormat="1" customHeight="1" s="58"/>
    <row r="119" ht="15" customFormat="1" customHeight="1" s="58"/>
  </sheetData>
  <mergeCells count="15">
    <mergeCell ref="B26:F28"/>
    <mergeCell ref="B1:O1"/>
    <mergeCell ref="B23:E23"/>
    <mergeCell ref="D2:O8"/>
    <mergeCell ref="D13:E13"/>
    <mergeCell ref="M37:M38"/>
    <mergeCell ref="C37:C38"/>
    <mergeCell ref="D37:D38"/>
    <mergeCell ref="K37:L37"/>
    <mergeCell ref="E37:I37"/>
    <mergeCell ref="B20:E20"/>
    <mergeCell ref="O37:O38"/>
    <mergeCell ref="N37:N38"/>
    <mergeCell ref="B37:B38"/>
    <mergeCell ref="B48:F50"/>
  </mergeCells>
  <conditionalFormatting sqref="B26">
    <cfRule type="containsBlanks" priority="11" dxfId="0">
      <formula>LEN(TRIM(B26))=0</formula>
    </cfRule>
  </conditionalFormatting>
  <conditionalFormatting sqref="B39:C42 B48:B49">
    <cfRule type="containsBlanks" priority="10" dxfId="1">
      <formula>LEN(TRIM(B39))=0</formula>
    </cfRule>
  </conditionalFormatting>
  <conditionalFormatting sqref="B54:F54 B55:B57 C55:F55">
    <cfRule type="containsBlanks" priority="9" dxfId="1">
      <formula>LEN(TRIM(B54))=0</formula>
    </cfRule>
  </conditionalFormatting>
  <conditionalFormatting sqref="C2:C8">
    <cfRule type="containsBlanks" priority="34" dxfId="1">
      <formula>LEN(TRIM(C2))=0</formula>
    </cfRule>
  </conditionalFormatting>
  <conditionalFormatting sqref="C15:C19">
    <cfRule type="containsBlanks" priority="6" dxfId="1">
      <formula>LEN(TRIM(C15))=0</formula>
    </cfRule>
  </conditionalFormatting>
  <conditionalFormatting sqref="C56:F57">
    <cfRule type="containsBlanks" priority="8" dxfId="0">
      <formula>LEN(TRIM(C56))=0</formula>
    </cfRule>
  </conditionalFormatting>
  <conditionalFormatting sqref="E39:E42 J39:J42 L39:L42">
    <cfRule type="containsBlanks" priority="7" dxfId="1">
      <formula>LEN(TRIM(E39))=0</formula>
    </cfRule>
  </conditionalFormatting>
  <conditionalFormatting sqref="L44">
    <cfRule type="containsBlanks" priority="1" dxfId="1">
      <formula>LEN(TRIM(L44))=0</formula>
    </cfRule>
  </conditionalFormatting>
  <conditionalFormatting sqref="N39:N42">
    <cfRule type="containsBlanks" priority="5" dxfId="1">
      <formula>LEN(TRIM(N39))=0</formula>
    </cfRule>
  </conditionalFormatting>
  <conditionalFormatting sqref="N44">
    <cfRule type="containsBlanks" priority="3" dxfId="1">
      <formula>LEN(TRIM(N44))=0</formula>
    </cfRule>
  </conditionalFormatting>
  <conditionalFormatting sqref="O39:O42">
    <cfRule type="containsBlanks" priority="4" dxfId="0">
      <formula>LEN(TRIM(O39))=0</formula>
    </cfRule>
  </conditionalFormatting>
  <conditionalFormatting sqref="O44">
    <cfRule type="containsBlanks" priority="2" dxfId="0">
      <formula>LEN(TRIM(O44))=0</formula>
    </cfRule>
  </conditionalFormatting>
  <dataValidations count="3">
    <dataValidation sqref="B54:B57" showDropDown="0" showInputMessage="1" showErrorMessage="0" allowBlank="1" type="list">
      <formula1>"管理层账表调整(CLA),已更正审计调整(AA/RA/OA),未更正审计调整(SAD)"</formula1>
    </dataValidation>
    <dataValidation sqref="C15:C19" showDropDown="0" showInputMessage="1" showErrorMessage="1" allowBlank="1" type="list">
      <formula1>"Minimal,Low,Moderate,High,N/A"</formula1>
    </dataValidation>
    <dataValidation sqref="O39:O42 O44"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63" fitToHeight="0" horizontalDpi="300"/>
  <headerFooter>
    <oddHeader/>
    <oddFooter>&amp;L&amp;"Arial,Regular"&amp;10 Q SWP Loans and borrowings_x000a_(22 July 2025)</oddFooter>
    <evenHeader/>
    <evenFooter/>
    <firstHeader/>
    <firstFooter/>
  </headerFooter>
</worksheet>
</file>

<file path=xl/worksheets/sheet3.xml><?xml version="1.0" encoding="utf-8"?>
<worksheet xmlns="http://schemas.openxmlformats.org/spreadsheetml/2006/main">
  <sheetPr>
    <outlinePr summaryBelow="1" summaryRight="1"/>
    <pageSetUpPr autoPageBreaks="0"/>
  </sheetPr>
  <dimension ref="A1:T62"/>
  <sheetViews>
    <sheetView showGridLines="0" zoomScale="70" zoomScaleNormal="70" zoomScalePageLayoutView="90" workbookViewId="0">
      <selection activeCell="B4" sqref="B4"/>
    </sheetView>
  </sheetViews>
  <sheetFormatPr baseColWidth="8" defaultColWidth="8.453125" defaultRowHeight="15" customHeight="1"/>
  <cols>
    <col width="2.6328125" customWidth="1" style="47" min="1" max="1"/>
    <col width="39.453125" customWidth="1" style="272" min="2" max="2"/>
    <col width="16.453125" customWidth="1" style="272" min="3" max="3"/>
    <col width="15.90625" customWidth="1" style="272" min="4" max="4"/>
    <col width="18.08984375" customWidth="1" style="273" min="5" max="5"/>
    <col width="17.36328125" customWidth="1" style="272" min="6" max="6"/>
    <col width="17.453125" customWidth="1" style="272" min="7" max="7"/>
    <col width="17.6328125" customWidth="1" style="272" min="8" max="8"/>
    <col outlineLevel="1" width="18.36328125" customWidth="1" style="272" min="9" max="9"/>
    <col width="17.26953125" customWidth="1" style="272" min="10" max="10"/>
    <col width="13.26953125" customWidth="1" style="273" min="11" max="11"/>
    <col width="13.26953125" customWidth="1" style="272" min="12" max="12"/>
    <col width="15.36328125" customWidth="1" style="273" min="13" max="13"/>
    <col width="1.6328125" customWidth="1" style="272" min="14" max="14"/>
    <col width="13.26953125" customWidth="1" style="272" min="15" max="15"/>
    <col width="13.26953125" customWidth="1" style="273" min="16" max="16"/>
    <col width="16.453125" customWidth="1" style="273" min="17" max="17"/>
    <col width="13.26953125" customWidth="1" style="272" min="18" max="18"/>
    <col width="2.6328125" customWidth="1" style="274" min="19" max="19"/>
    <col width="1.6328125" customWidth="1" style="272" min="20" max="20"/>
    <col width="8.453125" customWidth="1" style="272" min="21" max="16384"/>
  </cols>
  <sheetData>
    <row r="1" ht="50.25" customFormat="1" customHeight="1" s="47">
      <c r="B1" s="588" t="inlineStr">
        <is>
          <t>标准工作底稿：Q1 SWP 银行借款</t>
        </is>
      </c>
      <c r="C1" s="463" t="n"/>
      <c r="D1" s="463" t="n"/>
      <c r="E1" s="463" t="n"/>
      <c r="F1" s="463" t="n"/>
      <c r="G1" s="463" t="n"/>
      <c r="H1" s="463" t="n"/>
      <c r="I1" s="463" t="n"/>
      <c r="J1" s="463" t="n"/>
      <c r="K1" s="463" t="n"/>
      <c r="L1" s="463" t="n"/>
      <c r="M1" s="463" t="n"/>
      <c r="N1" s="463" t="n"/>
      <c r="O1" s="463" t="n"/>
      <c r="P1" s="463" t="n"/>
      <c r="Q1" s="463" t="n"/>
      <c r="R1" s="464" t="n"/>
      <c r="S1" s="173" t="n"/>
      <c r="T1" s="809" t="n"/>
    </row>
    <row r="2" ht="30" customFormat="1" customHeight="1" s="42">
      <c r="B2" s="465" t="inlineStr">
        <is>
          <t>Q1.01 银行借款明细与总账核对一致</t>
        </is>
      </c>
      <c r="C2" s="466" t="n"/>
      <c r="D2" s="467" t="n"/>
      <c r="E2" s="468" t="n"/>
      <c r="F2" s="467" t="n"/>
      <c r="G2" s="467" t="n"/>
      <c r="H2" s="467" t="n"/>
      <c r="I2" s="467" t="n"/>
      <c r="J2" s="467" t="n"/>
      <c r="K2" s="468" t="n"/>
      <c r="L2" s="467" t="n"/>
      <c r="M2" s="468" t="n"/>
      <c r="N2" s="467" t="n"/>
      <c r="O2" s="467" t="n"/>
      <c r="P2" s="468" t="n"/>
      <c r="Q2" s="468" t="n"/>
      <c r="R2" s="469" t="n"/>
      <c r="S2" s="176" t="n"/>
      <c r="T2" s="809" t="n"/>
    </row>
    <row r="3" ht="15" customHeight="1" s="755">
      <c r="E3" s="272" t="n"/>
      <c r="J3" s="273" t="n"/>
      <c r="L3" s="273" t="n"/>
      <c r="M3" s="272" t="n"/>
      <c r="N3" s="273" t="n"/>
      <c r="O3" s="273" t="n"/>
      <c r="P3" s="272" t="n"/>
      <c r="R3" s="273" t="n"/>
      <c r="T3" s="810" t="n"/>
    </row>
    <row r="4" ht="15" customHeight="1" s="755">
      <c r="B4" s="276" t="inlineStr">
        <is>
          <t>返回汇总页</t>
        </is>
      </c>
      <c r="E4" s="272" t="n"/>
      <c r="J4" s="273" t="n"/>
      <c r="L4" s="273" t="n"/>
      <c r="M4" s="272" t="n"/>
      <c r="N4" s="273" t="n"/>
      <c r="O4" s="273" t="n"/>
      <c r="P4" s="272" t="n"/>
      <c r="R4" s="273" t="n"/>
      <c r="T4" s="810" t="n"/>
    </row>
    <row r="5" ht="15" customHeight="1" s="755">
      <c r="E5" s="272" t="n"/>
      <c r="J5" s="273" t="n"/>
      <c r="L5" s="273" t="n"/>
      <c r="M5" s="272" t="n"/>
      <c r="N5" s="273" t="n"/>
      <c r="O5" s="273" t="n"/>
      <c r="P5" s="272" t="n"/>
      <c r="R5" s="273" t="n"/>
      <c r="T5" s="810" t="n"/>
    </row>
    <row r="6" ht="15" customHeight="1" s="755">
      <c r="B6" s="811">
        <f>MIN('Q1.00 Lead'!E15)</f>
        <v/>
      </c>
      <c r="C6" s="485" t="inlineStr">
        <is>
          <t>用于识别和测试调节项的测试阈值</t>
        </is>
      </c>
      <c r="D6" s="278" t="n"/>
      <c r="E6" s="279" t="n"/>
      <c r="J6" s="273" t="n"/>
      <c r="L6" s="273" t="n"/>
      <c r="M6" s="272" t="n"/>
      <c r="N6" s="273" t="n"/>
      <c r="O6" s="273" t="n"/>
      <c r="P6" s="272" t="n"/>
      <c r="R6" s="273" t="n"/>
      <c r="T6" s="810" t="n"/>
    </row>
    <row r="7" ht="15" customHeight="1" s="755">
      <c r="B7" s="280" t="n"/>
      <c r="C7" s="281" t="n"/>
      <c r="D7" s="281" t="n"/>
      <c r="E7" s="272" t="n"/>
      <c r="L7" s="282" t="n"/>
      <c r="N7" s="273" t="n"/>
      <c r="P7" s="272" t="n"/>
      <c r="T7" s="810" t="n"/>
    </row>
    <row r="8" ht="14.5" customHeight="1" s="755">
      <c r="B8" s="283" t="inlineStr">
        <is>
          <t>表1 借款本金及利息Movement=&gt;&gt;</t>
        </is>
      </c>
      <c r="C8" s="284" t="n"/>
      <c r="K8" s="282" t="n"/>
      <c r="L8" s="285" t="n"/>
      <c r="M8" s="285" t="n"/>
      <c r="N8" s="273" t="n"/>
      <c r="O8" s="283" t="inlineStr">
        <is>
          <t>流动性分类、契约条件统计=&gt;&gt;</t>
        </is>
      </c>
      <c r="P8" s="272" t="n"/>
      <c r="R8" s="273" t="n"/>
      <c r="T8" s="810" t="n"/>
    </row>
    <row r="9" ht="13" customHeight="1" s="755">
      <c r="D9" s="286" t="inlineStr">
        <is>
          <t>|-------PY-------|</t>
        </is>
      </c>
      <c r="E9" s="286" t="n"/>
      <c r="F9" s="286" t="n"/>
      <c r="G9" s="285" t="inlineStr">
        <is>
          <t>TB/JE</t>
        </is>
      </c>
      <c r="H9" s="285" t="inlineStr">
        <is>
          <t>TB/JE</t>
        </is>
      </c>
      <c r="I9" s="286" t="n"/>
      <c r="J9" s="286" t="n"/>
      <c r="K9" s="282" t="n"/>
      <c r="L9" s="255" t="n"/>
      <c r="M9" s="285" t="n"/>
      <c r="N9" s="273" t="n"/>
      <c r="O9" s="285" t="n"/>
      <c r="P9" s="285" t="n"/>
      <c r="Q9" s="272" t="n"/>
      <c r="T9" s="810" t="n"/>
    </row>
    <row r="10" ht="43.5" customHeight="1" s="755">
      <c r="B10" s="287" t="inlineStr">
        <is>
          <t>债务描述/债务工具</t>
        </is>
      </c>
      <c r="C10" s="287" t="inlineStr">
        <is>
          <t>总账账户</t>
        </is>
      </c>
      <c r="D10" s="288" t="inlineStr">
        <is>
          <t>期初余额</t>
        </is>
      </c>
      <c r="E10" s="289" t="inlineStr">
        <is>
          <t>本金增加/支取</t>
        </is>
      </c>
      <c r="F10" s="288" t="inlineStr">
        <is>
          <t>本金减免/偿还</t>
        </is>
      </c>
      <c r="G10" s="290" t="inlineStr">
        <is>
          <t>偿还的利息费用</t>
        </is>
      </c>
      <c r="H10" s="291" t="inlineStr">
        <is>
          <t>计提的利息费用</t>
        </is>
      </c>
      <c r="I10" s="288" t="inlineStr">
        <is>
          <t>重分类</t>
        </is>
      </c>
      <c r="J10" s="289" t="inlineStr">
        <is>
          <t>外币重新计量对记账本位币的影响</t>
        </is>
      </c>
      <c r="K10" s="290" t="inlineStr">
        <is>
          <t>期末余额</t>
        </is>
      </c>
      <c r="L10" s="289" t="inlineStr">
        <is>
          <t>试算表余额</t>
        </is>
      </c>
      <c r="M10" s="291" t="inlineStr">
        <is>
          <t>差额</t>
        </is>
      </c>
      <c r="N10" s="273" t="n"/>
      <c r="O10" s="291" t="inlineStr">
        <is>
          <t xml:space="preserve">债务工具的流动部分  </t>
        </is>
      </c>
      <c r="P10" s="291" t="inlineStr">
        <is>
          <t>债务工具的非流动部分</t>
        </is>
      </c>
      <c r="Q10" s="262" t="inlineStr">
        <is>
          <t>债务工具是否有契约条件？
（使用下拉列表）</t>
        </is>
      </c>
      <c r="R10" s="290" t="inlineStr">
        <is>
          <t>Notes1</t>
        </is>
      </c>
      <c r="T10" s="810" t="n"/>
    </row>
    <row r="11" ht="14.5" customFormat="1" customHeight="1" s="274">
      <c r="A11" s="173" t="n"/>
      <c r="B11" s="600" t="inlineStr">
        <is>
          <t>借款1-本金</t>
        </is>
      </c>
      <c r="C11" s="528" t="n"/>
      <c r="D11" s="812" t="n"/>
      <c r="E11" s="812" t="n"/>
      <c r="F11" s="812" t="n"/>
      <c r="G11" s="813" t="n"/>
      <c r="H11" s="812" t="n"/>
      <c r="I11" s="814" t="n"/>
      <c r="J11" s="814" t="n"/>
      <c r="K11" s="815">
        <f>D11+E11-F11+I11+J11</f>
        <v/>
      </c>
      <c r="L11" s="816" t="n"/>
      <c r="M11" s="815">
        <f>K11-L11</f>
        <v/>
      </c>
      <c r="N11" s="817" t="n"/>
      <c r="O11" s="812" t="n"/>
      <c r="P11" s="818">
        <f>K11-O11</f>
        <v/>
      </c>
      <c r="Q11" s="452" t="n"/>
      <c r="R11" s="526" t="n"/>
      <c r="T11" s="810" t="n"/>
    </row>
    <row r="12" ht="14.5" customFormat="1" customHeight="1" s="274">
      <c r="A12" s="173" t="n"/>
      <c r="B12" s="600" t="inlineStr">
        <is>
          <t>借款2-本金</t>
        </is>
      </c>
      <c r="C12" s="528" t="n"/>
      <c r="D12" s="812" t="n"/>
      <c r="E12" s="812" t="n"/>
      <c r="F12" s="812" t="n"/>
      <c r="G12" s="813" t="n"/>
      <c r="H12" s="812" t="n"/>
      <c r="I12" s="814" t="n"/>
      <c r="J12" s="814" t="n"/>
      <c r="K12" s="815">
        <f>D12+E12-F12+I12+J12</f>
        <v/>
      </c>
      <c r="L12" s="816" t="n"/>
      <c r="M12" s="815">
        <f>K12-L12</f>
        <v/>
      </c>
      <c r="N12" s="817" t="n"/>
      <c r="O12" s="812" t="n"/>
      <c r="P12" s="818">
        <f>K12-O12</f>
        <v/>
      </c>
      <c r="Q12" s="452" t="n"/>
      <c r="R12" s="526" t="n"/>
      <c r="T12" s="810" t="n"/>
    </row>
    <row r="13" ht="14.5" customFormat="1" customHeight="1" s="274">
      <c r="A13" s="173" t="n"/>
      <c r="B13" s="271" t="inlineStr">
        <is>
          <t>借款利息-未到期的应计利息2</t>
        </is>
      </c>
      <c r="C13" s="528" t="n"/>
      <c r="D13" s="812" t="n"/>
      <c r="E13" s="812" t="n"/>
      <c r="F13" s="812" t="n"/>
      <c r="G13" s="813" t="n"/>
      <c r="H13" s="812" t="n"/>
      <c r="I13" s="814" t="n"/>
      <c r="J13" s="814" t="n"/>
      <c r="K13" s="815">
        <f>D13+H13-G13+I13+J13</f>
        <v/>
      </c>
      <c r="L13" s="816" t="n"/>
      <c r="M13" s="815">
        <f>K13-L13</f>
        <v/>
      </c>
      <c r="N13" s="817" t="n"/>
      <c r="O13" s="812" t="n"/>
      <c r="P13" s="818">
        <f>K13-O13</f>
        <v/>
      </c>
      <c r="Q13" s="453" t="inlineStr">
        <is>
          <t>N/a</t>
        </is>
      </c>
      <c r="R13" s="526" t="n"/>
      <c r="T13" s="810" t="n"/>
    </row>
    <row r="14" ht="13" customFormat="1" customHeight="1" s="274">
      <c r="A14" s="173" t="n"/>
      <c r="B14" s="271" t="n"/>
      <c r="C14" s="528" t="n"/>
      <c r="D14" s="816" t="n"/>
      <c r="E14" s="816" t="n"/>
      <c r="F14" s="816" t="n"/>
      <c r="G14" s="816" t="n"/>
      <c r="H14" s="816" t="n"/>
      <c r="I14" s="816" t="n"/>
      <c r="J14" s="816" t="n"/>
      <c r="K14" s="815">
        <f>D14+H14-G14+I14+J14</f>
        <v/>
      </c>
      <c r="L14" s="816" t="n"/>
      <c r="M14" s="815">
        <f>K14-L14</f>
        <v/>
      </c>
      <c r="N14" s="817" t="n"/>
      <c r="O14" s="816" t="n"/>
      <c r="P14" s="818">
        <f>K14-O14</f>
        <v/>
      </c>
      <c r="Q14" s="452" t="n"/>
      <c r="R14" s="526" t="n"/>
      <c r="S14" s="292" t="n"/>
      <c r="T14" s="810" t="n"/>
    </row>
    <row r="15" ht="15" customFormat="1" customHeight="1" s="296" thickBot="1">
      <c r="A15" s="73" t="n"/>
      <c r="B15" s="819" t="inlineStr">
        <is>
          <t>合计</t>
        </is>
      </c>
      <c r="C15" s="529" t="n"/>
      <c r="D15" s="820">
        <f>SUM(D11:D14)</f>
        <v/>
      </c>
      <c r="E15" s="820">
        <f>SUM(E11:E14)</f>
        <v/>
      </c>
      <c r="F15" s="820">
        <f>SUM(F11:F14)</f>
        <v/>
      </c>
      <c r="G15" s="820">
        <f>SUM(G11:G14)</f>
        <v/>
      </c>
      <c r="H15" s="820">
        <f>SUM(H11:H14)</f>
        <v/>
      </c>
      <c r="I15" s="820">
        <f>SUM(I11:I14)</f>
        <v/>
      </c>
      <c r="J15" s="820">
        <f>SUM(J11:J14)</f>
        <v/>
      </c>
      <c r="K15" s="820">
        <f>SUM(K11:K14)</f>
        <v/>
      </c>
      <c r="L15" s="820">
        <f>SUM(L11:L14)</f>
        <v/>
      </c>
      <c r="M15" s="820">
        <f>SUM(M11:M14)</f>
        <v/>
      </c>
      <c r="N15" s="821" t="n"/>
      <c r="O15" s="822">
        <f>SUM(O11:O14)</f>
        <v/>
      </c>
      <c r="P15" s="822">
        <f>K15-O15</f>
        <v/>
      </c>
      <c r="Q15" s="823">
        <f>COUNTIF(Q11:Q14,"是")</f>
        <v/>
      </c>
      <c r="R15" s="527" t="n"/>
      <c r="S15" s="824" t="n"/>
      <c r="T15" s="810" t="n"/>
    </row>
    <row r="16" ht="15" customHeight="1" s="755" thickTop="1">
      <c r="B16" s="297" t="inlineStr">
        <is>
          <t>索引</t>
        </is>
      </c>
      <c r="D16" s="298" t="n"/>
      <c r="E16" s="297" t="inlineStr">
        <is>
          <t>Q.03</t>
        </is>
      </c>
      <c r="F16" s="299" t="n"/>
      <c r="G16" s="299" t="n"/>
      <c r="H16" s="297" t="inlineStr">
        <is>
          <t>Q.04</t>
        </is>
      </c>
      <c r="I16" s="825" t="n"/>
      <c r="J16" s="297" t="inlineStr">
        <is>
          <t>Q.01表2</t>
        </is>
      </c>
      <c r="K16" s="297" t="inlineStr">
        <is>
          <t>Q.02</t>
        </is>
      </c>
      <c r="L16" s="826" t="inlineStr">
        <is>
          <t>Q.00</t>
        </is>
      </c>
      <c r="M16" s="261" t="n"/>
      <c r="N16" s="273" t="n"/>
      <c r="O16" s="261" t="n"/>
      <c r="P16" s="261" t="n"/>
      <c r="Q16" s="302" t="inlineStr">
        <is>
          <t>Q.05</t>
        </is>
      </c>
      <c r="R16" s="303" t="n"/>
      <c r="T16" s="810" t="n"/>
    </row>
    <row r="17" ht="15" customHeight="1" s="755">
      <c r="B17" s="304" t="n"/>
      <c r="D17" s="298" t="n"/>
      <c r="E17" s="299" t="n"/>
      <c r="F17" s="299" t="n"/>
      <c r="G17" s="299" t="n"/>
      <c r="H17" s="299" t="n"/>
      <c r="I17" s="825" t="n"/>
      <c r="J17" s="302" t="n"/>
      <c r="K17" s="302" t="n"/>
      <c r="L17" s="827" t="n"/>
      <c r="M17" s="261" t="n"/>
      <c r="N17" s="273" t="n"/>
      <c r="O17" s="261" t="n"/>
      <c r="P17" s="261" t="n"/>
      <c r="Q17" s="306" t="n"/>
      <c r="R17" s="303" t="n"/>
      <c r="T17" s="810" t="n"/>
    </row>
    <row r="18" ht="15" customHeight="1" s="755" thickBot="1">
      <c r="B18" s="307" t="inlineStr">
        <is>
          <t>金额&gt;针对所有认定的阈值</t>
        </is>
      </c>
      <c r="C18" s="308" t="n"/>
      <c r="D18" s="309" t="n"/>
      <c r="E18" s="310">
        <f>IF(ABS(E15)&gt;$B$6,"是","否")</f>
        <v/>
      </c>
      <c r="F18" s="310" t="n"/>
      <c r="G18" s="310" t="n"/>
      <c r="H18" s="310">
        <f>IF(ABS(H15)&gt;$B$6,"是","否")</f>
        <v/>
      </c>
      <c r="I18" s="310" t="n"/>
      <c r="J18" s="310">
        <f>IF(ABS(J15)&gt;$B$6,"是","否")</f>
        <v/>
      </c>
      <c r="K18" s="309" t="n"/>
      <c r="L18" s="311" t="n"/>
      <c r="M18" s="311" t="n"/>
      <c r="N18" s="312" t="n"/>
      <c r="O18" s="311" t="n"/>
      <c r="P18" s="311" t="n"/>
      <c r="Q18" s="828">
        <f>IF(Q15=0,"否","是")</f>
        <v/>
      </c>
      <c r="R18" s="314" t="n"/>
      <c r="T18" s="810" t="n"/>
    </row>
    <row r="19" ht="15" customHeight="1" s="755" thickTop="1">
      <c r="B19" s="247" t="n"/>
      <c r="C19" s="247" t="n"/>
      <c r="D19" s="315" t="n"/>
      <c r="E19" s="299" t="n"/>
      <c r="F19" s="299" t="n"/>
      <c r="G19" s="299" t="n"/>
      <c r="H19" s="299" t="n"/>
      <c r="I19" s="825" t="n"/>
      <c r="K19" s="316" t="n"/>
      <c r="L19" s="317" t="n"/>
      <c r="M19" s="261" t="n"/>
      <c r="N19" s="273" t="n"/>
      <c r="O19" s="829" t="n"/>
      <c r="P19" s="830" t="n"/>
      <c r="Q19" s="306" t="n"/>
      <c r="R19" s="261" t="n"/>
      <c r="T19" s="810" t="n"/>
    </row>
    <row r="20" ht="15" customHeight="1" s="755">
      <c r="B20" s="247" t="inlineStr">
        <is>
          <t>利息计提合理性检查3</t>
        </is>
      </c>
      <c r="C20" s="831">
        <f>G15-D13+K13-H15</f>
        <v/>
      </c>
      <c r="D20" s="315" t="n"/>
      <c r="E20" s="299" t="n"/>
      <c r="F20" s="299" t="n"/>
      <c r="G20" s="299" t="n"/>
      <c r="H20" s="299" t="n"/>
      <c r="I20" s="825" t="n"/>
      <c r="K20" s="316" t="n"/>
      <c r="L20" s="317" t="n"/>
      <c r="M20" s="261" t="n"/>
      <c r="N20" s="273" t="n"/>
      <c r="O20" s="829" t="n"/>
      <c r="P20" s="830" t="n"/>
      <c r="Q20" s="306" t="n"/>
      <c r="R20" s="261" t="n"/>
      <c r="T20" s="810" t="n"/>
    </row>
    <row r="21" ht="15" customHeight="1" s="755">
      <c r="B21" s="247" t="n"/>
      <c r="C21" s="247" t="n"/>
      <c r="D21" s="315" t="n"/>
      <c r="E21" s="299" t="n"/>
      <c r="F21" s="299" t="n"/>
      <c r="G21" s="299" t="n"/>
      <c r="H21" s="299" t="n"/>
      <c r="I21" s="825" t="n"/>
      <c r="K21" s="316" t="n"/>
      <c r="L21" s="317" t="n"/>
      <c r="M21" s="261" t="n"/>
      <c r="N21" s="273" t="n"/>
      <c r="O21" s="829" t="n"/>
      <c r="P21" s="830" t="n"/>
      <c r="Q21" s="306" t="n"/>
      <c r="R21" s="261" t="n"/>
      <c r="T21" s="810" t="n"/>
    </row>
    <row r="22" ht="15" customHeight="1" s="755">
      <c r="B22" s="321" t="inlineStr">
        <is>
          <t>1.如根据项目需要，为验证借款流动性分类是否正确、金融负债分类是否正确而额外执行了实质性程序，也请在此处做出索引</t>
        </is>
      </c>
      <c r="D22" s="322" t="n"/>
      <c r="E22" s="272" t="n"/>
      <c r="H22" s="832" t="n"/>
      <c r="I22" s="833" t="n"/>
      <c r="J22" s="273" t="n"/>
      <c r="K22" s="834" t="n"/>
      <c r="L22" s="326" t="n"/>
      <c r="M22" s="322" t="n"/>
      <c r="N22" s="273" t="n"/>
      <c r="O22" s="326" t="n"/>
      <c r="P22" s="322" t="n"/>
      <c r="Q22" s="326" t="n"/>
      <c r="R22" s="326" t="n"/>
      <c r="T22" s="810" t="n"/>
    </row>
    <row r="23" ht="15" customHeight="1" s="755">
      <c r="B23" s="321" t="inlineStr">
        <is>
          <t>2.应计提而未到付息期的银行借款利息属于借款摊余成本的一部分，应当在本底稿中列示并测试，审计小组可以合并列示应计利息金额。</t>
        </is>
      </c>
      <c r="D23" s="322" t="n"/>
      <c r="E23" s="272" t="n"/>
      <c r="H23" s="832" t="n"/>
      <c r="I23" s="833" t="n"/>
      <c r="J23" s="273" t="n"/>
      <c r="K23" s="834" t="n"/>
      <c r="L23" s="326" t="n"/>
      <c r="M23" s="322" t="n"/>
      <c r="N23" s="273" t="n"/>
      <c r="O23" s="326" t="n"/>
      <c r="P23" s="322" t="n"/>
      <c r="Q23" s="326" t="n"/>
      <c r="R23" s="326" t="n"/>
      <c r="T23" s="810" t="n"/>
    </row>
    <row r="24" ht="15" customHeight="1" s="755">
      <c r="B24" s="327" t="inlineStr">
        <is>
          <t>3.应对本年利息偿还与计提进行Tie in，当年偿还的利息费用-期初未到期应计利息+期末未到期应计利息+期末逾期利息（如有）=本年计提的利息费用，如有差异应当调查原因，并记录对差异执行的相关工作</t>
        </is>
      </c>
      <c r="D24" s="322" t="n"/>
      <c r="E24" s="272" t="n"/>
      <c r="H24" s="832" t="n"/>
      <c r="I24" s="833" t="n"/>
      <c r="J24" s="273" t="n"/>
      <c r="K24" s="834" t="n"/>
      <c r="L24" s="326" t="n"/>
      <c r="M24" s="322" t="n"/>
      <c r="N24" s="273" t="n"/>
      <c r="O24" s="326" t="n"/>
      <c r="P24" s="322" t="n"/>
      <c r="Q24" s="326" t="n"/>
      <c r="R24" s="326" t="n"/>
      <c r="T24" s="810" t="n"/>
    </row>
    <row r="25" ht="15" customHeight="1" s="755">
      <c r="B25" s="321" t="n"/>
      <c r="D25" s="322" t="n"/>
      <c r="E25" s="272" t="n"/>
      <c r="H25" s="832" t="n"/>
      <c r="I25" s="833" t="n"/>
      <c r="J25" s="273" t="n"/>
      <c r="K25" s="834" t="n"/>
      <c r="L25" s="326" t="n"/>
      <c r="M25" s="322" t="n"/>
      <c r="N25" s="273" t="n"/>
      <c r="O25" s="326" t="n"/>
      <c r="P25" s="322" t="n"/>
      <c r="Q25" s="326" t="n"/>
      <c r="R25" s="326" t="n"/>
      <c r="T25" s="810" t="n"/>
    </row>
    <row r="26" ht="15" customHeight="1" s="755">
      <c r="B26" s="328" t="inlineStr">
        <is>
          <t>Notes</t>
        </is>
      </c>
      <c r="C26" s="261" t="n"/>
      <c r="D26" s="261" t="n"/>
      <c r="E26" s="261" t="n"/>
      <c r="F26" s="835" t="n"/>
      <c r="H26" s="832" t="n"/>
      <c r="I26" s="833" t="n"/>
      <c r="J26" s="273" t="n"/>
      <c r="K26" s="834" t="n"/>
      <c r="L26" s="326" t="n"/>
      <c r="M26" s="322" t="n"/>
      <c r="N26" s="273" t="n"/>
      <c r="O26" s="326" t="n"/>
      <c r="P26" s="322" t="n"/>
      <c r="Q26" s="326" t="n"/>
      <c r="R26" s="326" t="n"/>
      <c r="T26" s="810" t="n"/>
    </row>
    <row r="27" ht="15" customHeight="1" s="755">
      <c r="B27" s="836" t="n"/>
      <c r="C27" s="796" t="n"/>
      <c r="D27" s="796" t="n"/>
      <c r="E27" s="796" t="n"/>
      <c r="F27" s="797" t="n"/>
      <c r="H27" s="832" t="n"/>
      <c r="I27" s="833" t="n"/>
      <c r="J27" s="273" t="n"/>
      <c r="K27" s="834" t="n"/>
      <c r="L27" s="326" t="n"/>
      <c r="M27" s="322" t="n"/>
      <c r="N27" s="273" t="n"/>
      <c r="O27" s="326" t="n"/>
      <c r="P27" s="322" t="n"/>
      <c r="Q27" s="326" t="n"/>
      <c r="R27" s="326" t="n"/>
      <c r="T27" s="810" t="n"/>
    </row>
    <row r="28" ht="15" customHeight="1" s="755">
      <c r="B28" s="798" t="n"/>
      <c r="C28" s="799" t="n"/>
      <c r="D28" s="799" t="n"/>
      <c r="E28" s="799" t="n"/>
      <c r="F28" s="800" t="n"/>
      <c r="H28" s="832" t="n"/>
      <c r="I28" s="833" t="n"/>
      <c r="J28" s="273" t="n"/>
      <c r="K28" s="834" t="n"/>
      <c r="L28" s="326" t="n"/>
      <c r="M28" s="322" t="n"/>
      <c r="N28" s="273" t="n"/>
      <c r="O28" s="326" t="n"/>
      <c r="P28" s="322" t="n"/>
      <c r="Q28" s="326" t="n"/>
      <c r="R28" s="326" t="n"/>
      <c r="T28" s="810" t="n"/>
    </row>
    <row r="29" ht="15" customHeight="1" s="755">
      <c r="B29" s="798" t="n"/>
      <c r="C29" s="799" t="n"/>
      <c r="D29" s="799" t="n"/>
      <c r="E29" s="799" t="n"/>
      <c r="F29" s="800" t="n"/>
      <c r="H29" s="832" t="n"/>
      <c r="I29" s="833" t="n"/>
      <c r="J29" s="273" t="n"/>
      <c r="K29" s="834" t="n"/>
      <c r="L29" s="326" t="n"/>
      <c r="M29" s="322" t="n"/>
      <c r="N29" s="273" t="n"/>
      <c r="O29" s="326" t="n"/>
      <c r="P29" s="322" t="n"/>
      <c r="Q29" s="326" t="n"/>
      <c r="R29" s="326" t="n"/>
      <c r="T29" s="810" t="n"/>
    </row>
    <row r="30" ht="15" customHeight="1" s="755">
      <c r="B30" s="801" t="n"/>
      <c r="C30" s="802" t="n"/>
      <c r="D30" s="802" t="n"/>
      <c r="E30" s="802" t="n"/>
      <c r="F30" s="803" t="n"/>
      <c r="H30" s="832" t="n"/>
      <c r="I30" s="833" t="n"/>
      <c r="J30" s="273" t="n"/>
      <c r="K30" s="834" t="n"/>
      <c r="L30" s="326" t="n"/>
      <c r="M30" s="322" t="n"/>
      <c r="N30" s="273" t="n"/>
      <c r="O30" s="326" t="n"/>
      <c r="P30" s="322" t="n"/>
      <c r="Q30" s="326" t="n"/>
      <c r="R30" s="326" t="n"/>
      <c r="T30" s="810" t="n"/>
    </row>
    <row r="31" ht="15" customHeight="1" s="755">
      <c r="B31" s="480" t="n"/>
      <c r="C31" s="480" t="n"/>
      <c r="D31" s="480" t="n"/>
      <c r="E31" s="480" t="n"/>
      <c r="F31" s="480" t="n"/>
      <c r="H31" s="832" t="n"/>
      <c r="I31" s="833" t="n"/>
      <c r="J31" s="273" t="n"/>
      <c r="K31" s="834" t="n"/>
      <c r="L31" s="326" t="n"/>
      <c r="M31" s="322" t="n"/>
      <c r="N31" s="273" t="n"/>
      <c r="O31" s="326" t="n"/>
      <c r="P31" s="322" t="n"/>
      <c r="Q31" s="326" t="n"/>
      <c r="R31" s="326" t="n"/>
      <c r="T31" s="810" t="n"/>
    </row>
    <row r="32" ht="14.5" customHeight="1" s="755">
      <c r="B32" s="283" t="inlineStr">
        <is>
          <t>我们对外币借款的期末汇率重估进行了重新测算：</t>
        </is>
      </c>
      <c r="D32" s="322" t="n"/>
      <c r="E32" s="282" t="n"/>
      <c r="F32" s="286" t="n"/>
      <c r="I32" s="322" t="n"/>
      <c r="J32" s="273" t="n"/>
      <c r="L32" s="326" t="n"/>
      <c r="M32" s="322" t="n"/>
      <c r="N32" s="326" t="n"/>
      <c r="O32" s="326" t="n"/>
      <c r="P32" s="322" t="n"/>
      <c r="Q32" s="326" t="n"/>
      <c r="R32" s="326" t="n"/>
      <c r="T32" s="810" t="n"/>
    </row>
    <row r="33" ht="13" customHeight="1" s="755">
      <c r="B33" s="283" t="n"/>
      <c r="D33" s="322" t="n"/>
      <c r="E33" s="282" t="n"/>
      <c r="F33" s="285" t="n"/>
      <c r="G33" s="285" t="n"/>
      <c r="I33" s="322" t="n"/>
      <c r="J33" s="273" t="n"/>
      <c r="L33" s="326" t="n"/>
      <c r="M33" s="322" t="n"/>
      <c r="N33" s="326" t="n"/>
      <c r="O33" s="326" t="n"/>
      <c r="P33" s="322" t="n"/>
      <c r="Q33" s="326" t="n"/>
      <c r="R33" s="326" t="n"/>
      <c r="T33" s="810" t="n"/>
    </row>
    <row r="34" ht="14.5" customHeight="1" s="755">
      <c r="B34" s="666" t="inlineStr">
        <is>
          <t>表2 外币相关程序</t>
        </is>
      </c>
      <c r="C34" s="758" t="n"/>
      <c r="D34" s="758" t="n"/>
      <c r="E34" s="758" t="n"/>
      <c r="F34" s="758" t="n"/>
      <c r="G34" s="758" t="n"/>
      <c r="H34" s="758" t="n"/>
      <c r="I34" s="759" t="n"/>
      <c r="J34" s="322" t="n"/>
      <c r="L34" s="322" t="n"/>
      <c r="M34" s="322" t="n"/>
      <c r="N34" s="322" t="n"/>
      <c r="O34" s="326" t="n"/>
      <c r="P34" s="322" t="n"/>
      <c r="Q34" s="326" t="n"/>
      <c r="R34" s="326" t="n"/>
      <c r="T34" s="810" t="n"/>
    </row>
    <row r="35" ht="18.75" customHeight="1" s="755">
      <c r="B35" s="330" t="inlineStr">
        <is>
          <t>债务描述/债务工具</t>
        </is>
      </c>
      <c r="C35" s="331" t="inlineStr">
        <is>
          <t>原币币种</t>
        </is>
      </c>
      <c r="D35" s="331" t="inlineStr">
        <is>
          <t>原币期末金额</t>
        </is>
      </c>
      <c r="E35" s="332" t="inlineStr">
        <is>
          <t>期末汇率</t>
        </is>
      </c>
      <c r="F35" s="332" t="inlineStr">
        <is>
          <t>期末本币金额</t>
        </is>
      </c>
      <c r="G35" s="333" t="inlineStr">
        <is>
          <t>期末账面金额</t>
        </is>
      </c>
      <c r="H35" s="331" t="inlineStr">
        <is>
          <t>差额</t>
        </is>
      </c>
      <c r="I35" s="334" t="inlineStr">
        <is>
          <t>Notes</t>
        </is>
      </c>
      <c r="K35" s="322" t="n"/>
      <c r="L35" s="322" t="n"/>
      <c r="M35" s="322" t="n"/>
      <c r="N35" s="326" t="n"/>
      <c r="O35" s="322" t="n"/>
      <c r="P35" s="326" t="n"/>
      <c r="Q35" s="326" t="n"/>
      <c r="R35" s="274" t="n"/>
      <c r="S35" s="272" t="n"/>
      <c r="T35" s="810" t="n"/>
    </row>
    <row r="36" ht="15" customHeight="1" s="755">
      <c r="B36" s="271" t="inlineStr">
        <is>
          <t>借款1-本金</t>
        </is>
      </c>
      <c r="C36" s="451" t="n"/>
      <c r="D36" s="837" t="n"/>
      <c r="E36" s="837" t="n"/>
      <c r="F36" s="837">
        <f>D36*E36</f>
        <v/>
      </c>
      <c r="G36" s="837">
        <f>K11</f>
        <v/>
      </c>
      <c r="H36" s="838">
        <f>F36-G36</f>
        <v/>
      </c>
      <c r="I36" s="451" t="n"/>
      <c r="K36" s="272" t="n"/>
      <c r="L36" s="273" t="n"/>
      <c r="M36" s="272" t="n"/>
      <c r="O36" s="273" t="n"/>
      <c r="Q36" s="272" t="n"/>
      <c r="R36" s="274" t="n"/>
      <c r="T36" s="810" t="n"/>
    </row>
    <row r="37" ht="15" customHeight="1" s="755">
      <c r="B37" s="271" t="inlineStr">
        <is>
          <t>借款2-本金</t>
        </is>
      </c>
      <c r="C37" s="451" t="n"/>
      <c r="D37" s="837" t="n"/>
      <c r="E37" s="837" t="n"/>
      <c r="F37" s="837">
        <f>D37*E37</f>
        <v/>
      </c>
      <c r="G37" s="837" t="n"/>
      <c r="H37" s="838">
        <f>F37-G37</f>
        <v/>
      </c>
      <c r="I37" s="451" t="n"/>
      <c r="K37" s="272" t="n"/>
      <c r="L37" s="273" t="n"/>
      <c r="M37" s="272" t="n"/>
      <c r="O37" s="273" t="n"/>
      <c r="Q37" s="272" t="n"/>
      <c r="R37" s="274" t="n"/>
      <c r="T37" s="810" t="n"/>
    </row>
    <row r="38" ht="15" customHeight="1" s="755">
      <c r="B38" s="271" t="inlineStr">
        <is>
          <t>借款利息</t>
        </is>
      </c>
      <c r="C38" s="451" t="n"/>
      <c r="D38" s="837" t="n"/>
      <c r="E38" s="837" t="n"/>
      <c r="F38" s="837">
        <f>D38*E38</f>
        <v/>
      </c>
      <c r="G38" s="837" t="n"/>
      <c r="H38" s="838">
        <f>F38-G38</f>
        <v/>
      </c>
      <c r="I38" s="451" t="n"/>
      <c r="K38" s="272" t="n"/>
      <c r="L38" s="273" t="n"/>
      <c r="M38" s="272" t="n"/>
      <c r="O38" s="273" t="n"/>
      <c r="Q38" s="272" t="n"/>
      <c r="R38" s="274" t="n"/>
      <c r="T38" s="810" t="n"/>
    </row>
    <row r="39" ht="15" customHeight="1" s="755">
      <c r="H39" s="839" t="n"/>
      <c r="I39" s="839" t="n"/>
      <c r="T39" s="810" t="n"/>
    </row>
    <row r="40" ht="15" customHeight="1" s="755">
      <c r="B40" s="328" t="inlineStr">
        <is>
          <t>Notes 我们记录了所使用的资产负债表日汇率来源：[添加资产负债表日汇率公告]</t>
        </is>
      </c>
      <c r="C40" s="261" t="n"/>
      <c r="D40" s="261" t="n"/>
      <c r="E40" s="261" t="n"/>
      <c r="F40" s="835" t="n"/>
      <c r="H40" s="839" t="n"/>
      <c r="I40" s="839" t="n"/>
      <c r="T40" s="810" t="n"/>
    </row>
    <row r="41" ht="15" customHeight="1" s="755">
      <c r="B41" s="840" t="n"/>
      <c r="C41" s="841" t="n"/>
      <c r="D41" s="841" t="n"/>
      <c r="E41" s="841" t="n"/>
      <c r="F41" s="842" t="n"/>
      <c r="H41" s="839" t="n"/>
      <c r="I41" s="839" t="n"/>
      <c r="T41" s="810" t="n"/>
    </row>
    <row r="42" ht="15" customHeight="1" s="755">
      <c r="B42" s="843" t="n"/>
      <c r="C42" s="799" t="n"/>
      <c r="D42" s="799" t="n"/>
      <c r="E42" s="799" t="n"/>
      <c r="F42" s="844" t="n"/>
      <c r="H42" s="839" t="n"/>
      <c r="I42" s="839" t="n"/>
      <c r="T42" s="810" t="n"/>
    </row>
    <row r="43" ht="15" customHeight="1" s="755">
      <c r="B43" s="843" t="n"/>
      <c r="C43" s="799" t="n"/>
      <c r="D43" s="799" t="n"/>
      <c r="E43" s="799" t="n"/>
      <c r="F43" s="844" t="n"/>
      <c r="H43" s="839" t="n"/>
      <c r="I43" s="839" t="n"/>
      <c r="T43" s="810" t="n"/>
    </row>
    <row r="44" ht="15" customHeight="1" s="755">
      <c r="B44" s="845" t="n"/>
      <c r="C44" s="846" t="n"/>
      <c r="D44" s="846" t="n"/>
      <c r="E44" s="846" t="n"/>
      <c r="F44" s="847" t="n"/>
      <c r="H44" s="839" t="n"/>
      <c r="I44" s="839" t="n"/>
      <c r="T44" s="810" t="n"/>
    </row>
    <row r="45" ht="15" customHeight="1" s="755">
      <c r="E45" s="272" t="n"/>
      <c r="T45" s="810" t="n"/>
    </row>
    <row r="46" ht="10.15" customHeight="1" s="755">
      <c r="A46" s="809" t="n"/>
      <c r="B46" s="810" t="n"/>
      <c r="C46" s="810" t="n"/>
      <c r="D46" s="810" t="n"/>
      <c r="E46" s="810" t="n"/>
      <c r="F46" s="810" t="n"/>
      <c r="G46" s="810" t="n"/>
      <c r="H46" s="810" t="n"/>
      <c r="I46" s="810" t="n"/>
      <c r="J46" s="810" t="n"/>
      <c r="K46" s="810" t="n"/>
      <c r="L46" s="810" t="n"/>
      <c r="M46" s="810" t="n"/>
      <c r="N46" s="810" t="n"/>
      <c r="O46" s="810" t="n"/>
      <c r="P46" s="810" t="n"/>
      <c r="Q46" s="810" t="n"/>
      <c r="R46" s="810" t="n"/>
      <c r="S46" s="810" t="n"/>
      <c r="T46" s="810" t="n"/>
    </row>
    <row r="50" ht="15" customHeight="1" s="755">
      <c r="F50" s="273" t="n"/>
      <c r="K50" s="272" t="n"/>
      <c r="L50" s="273" t="n"/>
      <c r="M50" s="272" t="n"/>
      <c r="N50" s="273" t="n"/>
      <c r="P50" s="272" t="n"/>
      <c r="R50" s="273" t="n"/>
      <c r="S50" s="272" t="n"/>
      <c r="T50" s="274" t="n"/>
    </row>
    <row r="51" ht="15" customHeight="1" s="755">
      <c r="F51" s="273" t="n"/>
      <c r="K51" s="272" t="n"/>
      <c r="L51" s="273" t="n"/>
      <c r="M51" s="272" t="n"/>
      <c r="N51" s="273" t="n"/>
      <c r="P51" s="272" t="n"/>
      <c r="R51" s="273" t="n"/>
      <c r="S51" s="272" t="n"/>
      <c r="T51" s="274" t="n"/>
    </row>
    <row r="52" ht="15" customHeight="1" s="755">
      <c r="F52" s="273" t="n"/>
      <c r="K52" s="272" t="n"/>
      <c r="L52" s="273" t="n"/>
      <c r="M52" s="272" t="n"/>
      <c r="N52" s="273" t="n"/>
      <c r="P52" s="272" t="n"/>
      <c r="R52" s="273" t="n"/>
      <c r="S52" s="272" t="n"/>
      <c r="T52" s="274" t="n"/>
    </row>
    <row r="53" ht="33" customHeight="1" s="755">
      <c r="C53" s="312" t="n"/>
      <c r="D53" s="312" t="n"/>
      <c r="E53" s="312" t="n"/>
      <c r="F53" s="337" t="n"/>
      <c r="G53" s="312" t="n"/>
      <c r="J53" s="273" t="n"/>
      <c r="K53" s="272" t="n"/>
      <c r="L53" s="273" t="n"/>
      <c r="M53" s="272" t="n"/>
      <c r="O53" s="273" t="n"/>
      <c r="Q53" s="272" t="n"/>
      <c r="R53" s="274" t="n"/>
      <c r="S53" s="272" t="n"/>
    </row>
    <row r="54" ht="15" customHeight="1" s="755">
      <c r="B54" s="312" t="n"/>
      <c r="C54" s="848" t="n"/>
      <c r="D54" s="312" t="n"/>
      <c r="E54" s="848" t="n"/>
      <c r="G54" s="848" t="n"/>
      <c r="I54" s="832" t="n"/>
      <c r="J54" s="273" t="n"/>
      <c r="K54" s="272" t="n"/>
      <c r="L54" s="273" t="n"/>
      <c r="M54" s="272" t="n"/>
      <c r="O54" s="273" t="n"/>
      <c r="Q54" s="272" t="n"/>
      <c r="R54" s="274" t="n"/>
      <c r="S54" s="272" t="n"/>
    </row>
    <row r="55" ht="15" customHeight="1" s="755">
      <c r="B55" s="312" t="n"/>
      <c r="C55" s="848" t="n"/>
      <c r="D55" s="848" t="n"/>
      <c r="E55" s="848" t="n"/>
      <c r="F55" s="832" t="n"/>
      <c r="G55" s="848" t="n"/>
      <c r="H55" s="832" t="n"/>
      <c r="J55" s="273" t="n"/>
      <c r="K55" s="272" t="n"/>
      <c r="L55" s="273" t="n"/>
      <c r="M55" s="272" t="n"/>
      <c r="O55" s="273" t="n"/>
      <c r="Q55" s="272" t="n"/>
      <c r="R55" s="274" t="n"/>
      <c r="S55" s="272" t="n"/>
    </row>
    <row r="56" ht="15" customHeight="1" s="755">
      <c r="F56" s="832" t="n"/>
      <c r="J56" s="273" t="n"/>
      <c r="K56" s="272" t="n"/>
      <c r="L56" s="273" t="n"/>
      <c r="M56" s="272" t="n"/>
      <c r="O56" s="273" t="n"/>
      <c r="Q56" s="272" t="n"/>
      <c r="R56" s="274" t="n"/>
      <c r="S56" s="272" t="n"/>
    </row>
    <row r="57" ht="15" customHeight="1" s="755">
      <c r="D57" s="849" t="n"/>
      <c r="F57" s="832" t="n"/>
      <c r="J57" s="273" t="n"/>
      <c r="K57" s="272" t="n"/>
      <c r="L57" s="273" t="n"/>
      <c r="M57" s="272" t="n"/>
      <c r="O57" s="273" t="n"/>
      <c r="Q57" s="272" t="n"/>
      <c r="R57" s="274" t="n"/>
      <c r="S57" s="272" t="n"/>
    </row>
    <row r="58" ht="15" customHeight="1" s="755">
      <c r="J58" s="273" t="n"/>
      <c r="K58" s="272" t="n"/>
      <c r="L58" s="273" t="n"/>
      <c r="M58" s="272" t="n"/>
      <c r="O58" s="273" t="n"/>
      <c r="Q58" s="272" t="n"/>
      <c r="R58" s="274" t="n"/>
      <c r="S58" s="272" t="n"/>
    </row>
    <row r="59" ht="15" customHeight="1" s="755">
      <c r="J59" s="273" t="n"/>
      <c r="K59" s="272" t="n"/>
      <c r="L59" s="273" t="n"/>
      <c r="M59" s="272" t="n"/>
      <c r="O59" s="273" t="n"/>
      <c r="Q59" s="272" t="n"/>
      <c r="R59" s="274" t="n"/>
      <c r="S59" s="272" t="n"/>
    </row>
    <row r="60" ht="15" customHeight="1" s="755">
      <c r="F60" s="832" t="n"/>
      <c r="K60" s="272" t="n"/>
      <c r="L60" s="273" t="n"/>
      <c r="M60" s="272" t="n"/>
      <c r="N60" s="273" t="n"/>
      <c r="P60" s="272" t="n"/>
      <c r="R60" s="273" t="n"/>
      <c r="S60" s="272" t="n"/>
      <c r="T60" s="274" t="n"/>
    </row>
    <row r="61" ht="15" customHeight="1" s="755">
      <c r="F61" s="834" t="n"/>
      <c r="K61" s="272" t="n"/>
      <c r="L61" s="273" t="n"/>
      <c r="M61" s="272" t="n"/>
      <c r="N61" s="273" t="n"/>
      <c r="P61" s="272" t="n"/>
      <c r="R61" s="273" t="n"/>
      <c r="S61" s="272" t="n"/>
      <c r="T61" s="274" t="n"/>
    </row>
    <row r="62" ht="15" customHeight="1" s="755">
      <c r="F62" s="273" t="n"/>
      <c r="K62" s="272" t="n"/>
      <c r="L62" s="273" t="n"/>
      <c r="M62" s="272" t="n"/>
      <c r="N62" s="273" t="n"/>
      <c r="P62" s="272" t="n"/>
      <c r="R62" s="273" t="n"/>
      <c r="S62" s="272" t="n"/>
      <c r="T62" s="274" t="n"/>
    </row>
  </sheetData>
  <mergeCells count="3">
    <mergeCell ref="B27:F30"/>
    <mergeCell ref="B34:I34"/>
    <mergeCell ref="B41:F44"/>
  </mergeCells>
  <conditionalFormatting sqref="B36:G38">
    <cfRule type="containsBlanks" priority="1" dxfId="1">
      <formula>LEN(TRIM(B36))=0</formula>
    </cfRule>
  </conditionalFormatting>
  <conditionalFormatting sqref="B11:J14 B27:F30 B41:F44 L11:L14 O11:O14 Q11:Q14">
    <cfRule type="containsBlanks" priority="2" dxfId="1">
      <formula>LEN(TRIM(B11))=0</formula>
    </cfRule>
  </conditionalFormatting>
  <dataValidations disablePrompts="1" count="1">
    <dataValidation sqref="Q11:Q12 Q14" showDropDown="0" showInputMessage="1" showErrorMessage="0" allowBlank="1" type="list">
      <formula1>"是,否"</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&amp;L&amp;"Arial,Regular"&amp;10 Q SWP Loans and borrowings_x000a_(22 July 2025)</oddFooter>
    <evenHeader/>
    <evenFooter/>
    <firstHeader/>
    <firstFooter/>
  </headerFooter>
</worksheet>
</file>

<file path=xl/worksheets/sheet4.xml><?xml version="1.0" encoding="utf-8"?>
<worksheet xmlns="http://schemas.openxmlformats.org/spreadsheetml/2006/main">
  <sheetPr codeName="Sheet5">
    <outlinePr summaryBelow="1" summaryRight="1"/>
    <pageSetUpPr autoPageBreaks="0"/>
  </sheetPr>
  <dimension ref="A1:Y27"/>
  <sheetViews>
    <sheetView showGridLines="0" zoomScale="70" zoomScaleNormal="70" workbookViewId="0">
      <selection activeCell="I12" sqref="I12"/>
    </sheetView>
  </sheetViews>
  <sheetFormatPr baseColWidth="8" defaultColWidth="8.453125" defaultRowHeight="14"/>
  <cols>
    <col width="2.6328125" customWidth="1" style="42" min="1" max="1"/>
    <col width="13.36328125" customWidth="1" style="42" min="2" max="12"/>
    <col outlineLevel="1" width="13.36328125" customWidth="1" style="42" min="13" max="17"/>
    <col width="13.36328125" customWidth="1" style="42" min="18" max="18"/>
    <col width="16" customWidth="1" style="42" min="19" max="19"/>
    <col width="16.36328125" customWidth="1" style="42" min="20" max="20"/>
    <col width="17" customWidth="1" style="42" min="21" max="21"/>
    <col width="13.36328125" customWidth="1" style="42" min="22" max="23"/>
    <col width="2.6328125" customWidth="1" style="42" min="24" max="24"/>
    <col width="1.6328125" customWidth="1" style="42" min="25" max="25"/>
    <col width="8.453125" customWidth="1" style="42" min="26" max="16384"/>
  </cols>
  <sheetData>
    <row r="1" ht="50.25" customHeight="1" s="755">
      <c r="B1" s="345" t="inlineStr">
        <is>
          <t>标准工作底稿：Q1 SWP 银行借款</t>
        </is>
      </c>
      <c r="C1" s="43" t="n"/>
      <c r="D1" s="43" t="n"/>
      <c r="E1" s="43" t="n"/>
      <c r="F1" s="44" t="n"/>
      <c r="G1" s="44" t="n"/>
      <c r="H1" s="44" t="n"/>
      <c r="I1" s="44" t="n"/>
      <c r="J1" s="44" t="n"/>
      <c r="K1" s="44" t="n"/>
      <c r="L1" s="44" t="n"/>
      <c r="M1" s="44" t="n"/>
      <c r="N1" s="44" t="n"/>
      <c r="O1" s="45" t="n"/>
      <c r="P1" s="93" t="n"/>
      <c r="Q1" s="45" t="n"/>
      <c r="R1" s="45" t="n"/>
      <c r="S1" s="45" t="n"/>
      <c r="T1" s="45" t="n"/>
      <c r="U1" s="45" t="n"/>
      <c r="V1" s="45" t="n"/>
      <c r="W1" s="93" t="n"/>
      <c r="Y1" s="163" t="n"/>
    </row>
    <row r="2" ht="30" customHeight="1" s="755">
      <c r="A2" s="47" t="n"/>
      <c r="B2" s="265" t="inlineStr">
        <is>
          <t>Q1.02a 选择要进行函证的银行借款，编制并发送询证函，核对已函证余额，复核期限。</t>
        </is>
      </c>
      <c r="C2" s="141" t="n"/>
      <c r="D2" s="141" t="n"/>
      <c r="E2" s="141" t="n"/>
      <c r="F2" s="141" t="n"/>
      <c r="G2" s="141" t="n"/>
      <c r="H2" s="141" t="n"/>
      <c r="I2" s="141" t="n"/>
      <c r="J2" s="141" t="n"/>
      <c r="K2" s="141" t="n"/>
      <c r="L2" s="141" t="n"/>
      <c r="M2" s="141" t="n"/>
      <c r="N2" s="141" t="n"/>
      <c r="O2" s="141" t="n"/>
      <c r="P2" s="141" t="n"/>
      <c r="Q2" s="141" t="n"/>
      <c r="R2" s="141" t="n"/>
      <c r="S2" s="141" t="n"/>
      <c r="T2" s="141" t="n"/>
      <c r="U2" s="141" t="n"/>
      <c r="V2" s="141" t="n"/>
      <c r="W2" s="263" t="n"/>
      <c r="Y2" s="163" t="n"/>
    </row>
    <row r="3" ht="15" customFormat="1" customHeight="1" s="47">
      <c r="B3" s="89" t="n"/>
      <c r="Y3" s="163" t="n"/>
    </row>
    <row r="4" ht="15" customFormat="1" customHeight="1" s="47">
      <c r="B4" s="249" t="inlineStr">
        <is>
          <t>返回汇总页</t>
        </is>
      </c>
      <c r="Y4" s="163" t="n"/>
    </row>
    <row r="5" ht="15" customFormat="1" customHeight="1" s="47">
      <c r="B5" s="89" t="n"/>
      <c r="Y5" s="163" t="n"/>
    </row>
    <row r="6" ht="15" customFormat="1" customHeight="1" s="47">
      <c r="B6" s="97" t="inlineStr">
        <is>
          <t>需执行函证程序的债务工具。</t>
        </is>
      </c>
      <c r="C6" s="98" t="n"/>
      <c r="D6" s="98" t="n"/>
      <c r="E6" s="98" t="n"/>
      <c r="F6" s="98" t="n"/>
      <c r="G6" s="98" t="n"/>
      <c r="H6" s="98" t="n"/>
      <c r="I6" s="98" t="n"/>
      <c r="J6" s="98" t="n"/>
      <c r="K6" s="98" t="n"/>
      <c r="L6" s="98" t="n"/>
      <c r="M6" s="98" t="n"/>
      <c r="N6" s="98" t="n"/>
      <c r="O6" s="98" t="n"/>
      <c r="P6" s="98" t="n"/>
      <c r="Q6" s="98" t="n"/>
      <c r="R6" s="98" t="n"/>
      <c r="S6" s="98" t="n"/>
      <c r="T6" s="98" t="n"/>
      <c r="U6" s="98" t="n"/>
      <c r="V6" s="98" t="n"/>
      <c r="W6" s="98" t="n"/>
      <c r="Y6" s="163" t="n"/>
    </row>
    <row r="7" ht="15" customFormat="1" customHeight="1" s="47">
      <c r="B7" s="94" t="n"/>
      <c r="Y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59" t="n"/>
      <c r="Q8" s="160" t="n"/>
      <c r="Y8" s="163" t="n"/>
    </row>
    <row r="9" ht="15" customFormat="1" customHeight="1" s="47">
      <c r="B9" s="165" t="inlineStr">
        <is>
          <t xml:space="preserve">1） 我们将函证中列报的金额与总账核对，确认了贷款或借款的未偿付余额。 </t>
        </is>
      </c>
      <c r="C9" s="166" t="n"/>
      <c r="D9" s="166" t="n"/>
      <c r="E9" s="166" t="n"/>
      <c r="F9" s="166" t="n"/>
      <c r="G9" s="166" t="n"/>
      <c r="H9" s="166" t="n"/>
      <c r="I9" s="166" t="n"/>
      <c r="J9" s="166" t="n"/>
      <c r="K9" s="166" t="n"/>
      <c r="L9" s="166" t="n"/>
      <c r="M9" s="166" t="n"/>
      <c r="N9" s="167" t="n"/>
      <c r="O9" s="167" t="n"/>
      <c r="P9" s="167" t="n"/>
      <c r="Q9" s="168" t="n"/>
      <c r="Y9" s="163" t="n"/>
    </row>
    <row r="10" ht="15" customFormat="1" customHeight="1" s="47">
      <c r="B10" s="79" t="inlineStr">
        <is>
          <t>2） 我们将贷款或借款的到期日与函证中所述日期进行比较，确认了贷款或借款的到期日在公司的时间表中准确体现。</t>
        </is>
      </c>
      <c r="C10" s="169" t="n"/>
      <c r="D10" s="169" t="n"/>
      <c r="E10" s="169" t="n"/>
      <c r="F10" s="169" t="n"/>
      <c r="G10" s="169" t="n"/>
      <c r="H10" s="169" t="n"/>
      <c r="I10" s="169" t="n"/>
      <c r="J10" s="169" t="n"/>
      <c r="K10" s="169" t="n"/>
      <c r="L10" s="169" t="n"/>
      <c r="M10" s="169" t="n"/>
      <c r="N10" s="170" t="n"/>
      <c r="O10" s="170" t="n"/>
      <c r="P10" s="170" t="n"/>
      <c r="Q10" s="171" t="n"/>
      <c r="Y10" s="163" t="n"/>
    </row>
    <row r="11" ht="15" customFormat="1" customHeight="1" s="47">
      <c r="B11" s="88" t="n"/>
      <c r="C11" s="161" t="n"/>
      <c r="D11" s="161" t="n"/>
      <c r="E11" s="161" t="n"/>
      <c r="F11" s="161" t="n"/>
      <c r="G11" s="161" t="n"/>
      <c r="H11" s="161" t="n"/>
      <c r="I11" s="161" t="n"/>
      <c r="J11" s="161" t="n"/>
      <c r="K11" s="161" t="n"/>
      <c r="L11" s="161" t="n"/>
      <c r="M11" s="161" t="n"/>
      <c r="N11" s="172" t="n"/>
      <c r="O11" s="172" t="n"/>
      <c r="P11" s="172" t="n"/>
      <c r="Q11" s="172" t="n"/>
      <c r="Y11" s="163" t="n"/>
    </row>
    <row r="12" ht="15" customFormat="1" customHeight="1" s="47">
      <c r="B12" s="4" t="inlineStr">
        <is>
          <t>债务工具</t>
        </is>
      </c>
      <c r="C12" s="3" t="n"/>
      <c r="D12" s="3" t="n"/>
      <c r="E12" s="3" t="n"/>
      <c r="F12" s="3" t="n"/>
      <c r="G12" s="3" t="n"/>
      <c r="H12" s="3" t="n"/>
      <c r="I12" s="3" t="n"/>
      <c r="J12" s="3" t="n"/>
      <c r="K12" s="3" t="n"/>
      <c r="L12" s="3" t="n"/>
      <c r="M12" s="3" t="n"/>
      <c r="N12" s="3" t="n"/>
      <c r="O12" s="3" t="n"/>
      <c r="P12" s="3" t="n"/>
      <c r="Q12" s="3" t="n"/>
      <c r="R12" s="5" t="n"/>
      <c r="S12" s="3" t="n"/>
      <c r="T12" s="3" t="n"/>
      <c r="U12" s="3" t="n"/>
      <c r="V12" s="3" t="n"/>
      <c r="W12" s="3" t="n"/>
      <c r="Y12" s="163" t="n"/>
    </row>
    <row r="13" ht="14.5" customFormat="1" customHeight="1" s="47">
      <c r="B13" s="6" t="inlineStr">
        <is>
          <t>账面信息</t>
        </is>
      </c>
      <c r="C13" s="6" t="inlineStr">
        <is>
          <t>账面信息</t>
        </is>
      </c>
      <c r="D13" s="6" t="inlineStr">
        <is>
          <t>账面信息</t>
        </is>
      </c>
      <c r="E13" s="6" t="inlineStr">
        <is>
          <t>账面信息</t>
        </is>
      </c>
      <c r="F13" s="6" t="inlineStr">
        <is>
          <t>账面信息</t>
        </is>
      </c>
      <c r="G13" s="6" t="inlineStr">
        <is>
          <t>账面信息</t>
        </is>
      </c>
      <c r="H13" s="7" t="n"/>
      <c r="I13" s="18" t="inlineStr">
        <is>
          <t>回函信息</t>
        </is>
      </c>
      <c r="J13" s="18" t="inlineStr">
        <is>
          <t>回函信息</t>
        </is>
      </c>
      <c r="K13" s="18" t="inlineStr">
        <is>
          <t>回函信息</t>
        </is>
      </c>
      <c r="L13" s="18" t="inlineStr">
        <is>
          <t>回函信息</t>
        </is>
      </c>
      <c r="M13" s="18" t="inlineStr">
        <is>
          <t>回函信息</t>
        </is>
      </c>
      <c r="N13" s="18" t="inlineStr">
        <is>
          <t>回函信息</t>
        </is>
      </c>
      <c r="O13" s="18" t="inlineStr">
        <is>
          <t>回函信息</t>
        </is>
      </c>
      <c r="P13" s="18" t="inlineStr">
        <is>
          <t>回函信息</t>
        </is>
      </c>
      <c r="Q13" s="18" t="inlineStr">
        <is>
          <t>回函信息</t>
        </is>
      </c>
      <c r="R13" s="6" t="inlineStr">
        <is>
          <t>差异跟进</t>
        </is>
      </c>
      <c r="S13" s="6" t="inlineStr">
        <is>
          <t>回函信息跟进</t>
        </is>
      </c>
      <c r="T13" s="6" t="inlineStr">
        <is>
          <t>回函信息跟进</t>
        </is>
      </c>
      <c r="U13" s="6" t="inlineStr">
        <is>
          <t>回函信息跟进</t>
        </is>
      </c>
      <c r="V13" s="850" t="inlineStr">
        <is>
          <t>EY Works</t>
        </is>
      </c>
      <c r="W13" s="765" t="n"/>
      <c r="Y13" s="163" t="n"/>
    </row>
    <row r="14" ht="58" customFormat="1" customHeight="1" s="47">
      <c r="B14" s="37" t="inlineStr">
        <is>
          <t>公司名称/发函单位名称</t>
        </is>
      </c>
      <c r="C14" s="37" t="inlineStr">
        <is>
          <t>银行名称/资金借出方</t>
        </is>
      </c>
      <c r="D14" s="37" t="inlineStr">
        <is>
          <t>借款描述</t>
        </is>
      </c>
      <c r="E14" s="37" t="inlineStr">
        <is>
          <t>币种</t>
        </is>
      </c>
      <c r="F14" s="581" t="inlineStr">
        <is>
          <t>期末账面借款余额
（原币）
A</t>
        </is>
      </c>
      <c r="G14" s="581" t="inlineStr">
        <is>
          <t>期末账面借款余额
（本币）</t>
        </is>
      </c>
      <c r="H14" s="582" t="inlineStr">
        <is>
          <t>函证编号</t>
        </is>
      </c>
      <c r="I14" s="37" t="inlineStr">
        <is>
          <t>公司名称/发函单位名称</t>
        </is>
      </c>
      <c r="J14" s="37" t="inlineStr">
        <is>
          <t>银行名称/资金借出方</t>
        </is>
      </c>
      <c r="K14" s="582" t="inlineStr">
        <is>
          <t>回函币种</t>
        </is>
      </c>
      <c r="L14" s="583" t="inlineStr">
        <is>
          <t>回函金额
B</t>
        </is>
      </c>
      <c r="M14" s="582" t="inlineStr">
        <is>
          <t>借款日期</t>
        </is>
      </c>
      <c r="N14" s="635" t="inlineStr">
        <is>
          <t>到期日期</t>
        </is>
      </c>
      <c r="O14" s="635" t="inlineStr">
        <is>
          <t>利率</t>
        </is>
      </c>
      <c r="P14" s="635" t="inlineStr">
        <is>
          <t>抵（质）押品/担保人</t>
        </is>
      </c>
      <c r="Q14" s="635" t="inlineStr">
        <is>
          <t>备注</t>
        </is>
      </c>
      <c r="R14" s="330" t="inlineStr">
        <is>
          <t>回函金额差异
（原币）
C=A-B</t>
        </is>
      </c>
      <c r="S14" s="37" t="inlineStr">
        <is>
          <t>抵（质） 押品/担保测试底稿索引</t>
        </is>
      </c>
      <c r="T14" s="37" t="inlineStr">
        <is>
          <t>其他回函信息跟进工作底稿索引</t>
        </is>
      </c>
      <c r="U14" s="330" t="inlineStr">
        <is>
          <t>对未回函信息执行的替代测试索引1</t>
        </is>
      </c>
      <c r="V14" s="37" t="inlineStr">
        <is>
          <t>测试属性1
（相符，或记录差异跟进措施）</t>
        </is>
      </c>
      <c r="W14" s="37" t="inlineStr">
        <is>
          <t>测试属性2
（相符，或记录差异跟进措施）</t>
        </is>
      </c>
      <c r="Y14" s="163" t="n"/>
    </row>
    <row r="15" customFormat="1" s="47">
      <c r="B15" s="716" t="n"/>
      <c r="C15" s="716" t="n"/>
      <c r="D15" s="716" t="n"/>
      <c r="E15" s="740" t="n"/>
      <c r="F15" s="851" t="n"/>
      <c r="G15" s="851" t="n"/>
      <c r="H15" s="716" t="n"/>
      <c r="I15" s="716" t="n"/>
      <c r="J15" s="716" t="n"/>
      <c r="K15" s="740" t="n"/>
      <c r="L15" s="851" t="n"/>
      <c r="M15" s="531" t="n"/>
      <c r="N15" s="531" t="n"/>
      <c r="O15" s="716" t="n"/>
      <c r="P15" s="740" t="n"/>
      <c r="Q15" s="740" t="n"/>
      <c r="R15" s="851" t="n"/>
      <c r="S15" s="740" t="n"/>
      <c r="T15" s="740" t="n"/>
      <c r="U15" s="740" t="n"/>
      <c r="V15" s="740" t="n"/>
      <c r="W15" s="740" t="n"/>
      <c r="Y15" s="163" t="n"/>
    </row>
    <row r="16" customFormat="1" s="47">
      <c r="B16" s="716" t="n"/>
      <c r="C16" s="716" t="n"/>
      <c r="D16" s="716" t="n"/>
      <c r="E16" s="740" t="n"/>
      <c r="F16" s="851" t="n"/>
      <c r="G16" s="851" t="n"/>
      <c r="H16" s="716" t="n"/>
      <c r="I16" s="716" t="n"/>
      <c r="J16" s="716" t="n"/>
      <c r="K16" s="740" t="n"/>
      <c r="L16" s="851" t="n"/>
      <c r="M16" s="531" t="n"/>
      <c r="N16" s="531" t="n"/>
      <c r="O16" s="716" t="n"/>
      <c r="P16" s="740" t="n"/>
      <c r="Q16" s="740" t="n"/>
      <c r="R16" s="851" t="n"/>
      <c r="S16" s="740" t="n"/>
      <c r="T16" s="740" t="n"/>
      <c r="U16" s="740" t="n"/>
      <c r="V16" s="740" t="n"/>
      <c r="W16" s="740" t="n"/>
      <c r="Y16" s="163" t="n"/>
    </row>
    <row r="17" customFormat="1" s="47">
      <c r="B17" s="716" t="n"/>
      <c r="C17" s="716" t="n"/>
      <c r="D17" s="716" t="n"/>
      <c r="E17" s="740" t="n"/>
      <c r="F17" s="851" t="n"/>
      <c r="G17" s="851" t="n"/>
      <c r="H17" s="716" t="n"/>
      <c r="I17" s="716" t="n"/>
      <c r="J17" s="716" t="n"/>
      <c r="K17" s="740" t="n"/>
      <c r="L17" s="851" t="n"/>
      <c r="M17" s="531" t="n"/>
      <c r="N17" s="531" t="n"/>
      <c r="O17" s="716" t="n"/>
      <c r="P17" s="740" t="n"/>
      <c r="Q17" s="740" t="n"/>
      <c r="R17" s="851" t="n"/>
      <c r="S17" s="740" t="n"/>
      <c r="T17" s="740" t="n"/>
      <c r="U17" s="740" t="n"/>
      <c r="V17" s="740" t="n"/>
      <c r="W17" s="740" t="n"/>
      <c r="Y17" s="163" t="n"/>
    </row>
    <row r="18" customFormat="1" s="47">
      <c r="B18" s="716" t="n"/>
      <c r="C18" s="716" t="n"/>
      <c r="D18" s="716" t="n"/>
      <c r="E18" s="740" t="n"/>
      <c r="F18" s="851" t="n"/>
      <c r="G18" s="851" t="n"/>
      <c r="H18" s="716" t="n"/>
      <c r="I18" s="716" t="n"/>
      <c r="J18" s="716" t="n"/>
      <c r="K18" s="740" t="n"/>
      <c r="L18" s="851" t="n"/>
      <c r="M18" s="531" t="n"/>
      <c r="N18" s="531" t="n"/>
      <c r="O18" s="716" t="n"/>
      <c r="P18" s="740" t="n"/>
      <c r="Q18" s="740" t="n"/>
      <c r="R18" s="851" t="n"/>
      <c r="S18" s="740" t="n"/>
      <c r="T18" s="740" t="n"/>
      <c r="U18" s="740" t="n"/>
      <c r="V18" s="740" t="n"/>
      <c r="W18" s="740" t="n"/>
      <c r="Y18" s="163" t="n"/>
    </row>
    <row r="19" customFormat="1" s="47">
      <c r="B19" s="716" t="n"/>
      <c r="C19" s="716" t="n"/>
      <c r="D19" s="716" t="n"/>
      <c r="E19" s="740" t="n"/>
      <c r="F19" s="851" t="n"/>
      <c r="G19" s="851" t="n"/>
      <c r="H19" s="716" t="n"/>
      <c r="I19" s="716" t="n"/>
      <c r="J19" s="716" t="n"/>
      <c r="K19" s="740" t="n"/>
      <c r="L19" s="851" t="n"/>
      <c r="M19" s="531" t="n"/>
      <c r="N19" s="584" t="n"/>
      <c r="O19" s="716" t="n"/>
      <c r="P19" s="740" t="n"/>
      <c r="Q19" s="740" t="n"/>
      <c r="R19" s="851" t="n"/>
      <c r="S19" s="740" t="n"/>
      <c r="T19" s="740" t="n"/>
      <c r="U19" s="740" t="n"/>
      <c r="V19" s="740" t="n"/>
      <c r="W19" s="740" t="n"/>
      <c r="Y19" s="163" t="n"/>
    </row>
    <row r="20" customFormat="1" s="47">
      <c r="B20" s="716" t="n"/>
      <c r="C20" s="716" t="n"/>
      <c r="D20" s="716" t="n"/>
      <c r="E20" s="740" t="n"/>
      <c r="F20" s="851" t="n"/>
      <c r="G20" s="851" t="n"/>
      <c r="H20" s="716" t="n"/>
      <c r="I20" s="716" t="n"/>
      <c r="J20" s="716" t="n"/>
      <c r="K20" s="740" t="n"/>
      <c r="L20" s="851" t="n"/>
      <c r="M20" s="531" t="n"/>
      <c r="N20" s="584" t="n"/>
      <c r="O20" s="716" t="n"/>
      <c r="P20" s="740" t="n"/>
      <c r="Q20" s="740" t="n"/>
      <c r="R20" s="851" t="n"/>
      <c r="S20" s="740" t="n"/>
      <c r="T20" s="740" t="n"/>
      <c r="U20" s="740" t="n"/>
      <c r="V20" s="740" t="n"/>
      <c r="W20" s="740" t="n"/>
      <c r="Y20" s="163" t="n"/>
    </row>
    <row r="21" customFormat="1" s="47">
      <c r="B21" s="716" t="n"/>
      <c r="C21" s="716" t="n"/>
      <c r="D21" s="716" t="n"/>
      <c r="E21" s="740" t="n"/>
      <c r="F21" s="851" t="n"/>
      <c r="G21" s="851" t="n"/>
      <c r="H21" s="716" t="n"/>
      <c r="I21" s="716" t="n"/>
      <c r="J21" s="716" t="n"/>
      <c r="K21" s="740" t="n"/>
      <c r="L21" s="851" t="n"/>
      <c r="M21" s="531" t="n"/>
      <c r="N21" s="584" t="n"/>
      <c r="O21" s="716" t="n"/>
      <c r="P21" s="740" t="n"/>
      <c r="Q21" s="740" t="n"/>
      <c r="R21" s="851" t="n"/>
      <c r="S21" s="740" t="n"/>
      <c r="T21" s="740" t="n"/>
      <c r="U21" s="740" t="n"/>
      <c r="V21" s="740" t="n"/>
      <c r="W21" s="740" t="n"/>
      <c r="Y21" s="163" t="n"/>
    </row>
    <row r="22" customFormat="1" s="47">
      <c r="B22" s="716" t="n"/>
      <c r="C22" s="716" t="n"/>
      <c r="D22" s="716" t="n"/>
      <c r="E22" s="740" t="n"/>
      <c r="F22" s="851" t="n"/>
      <c r="G22" s="851" t="n"/>
      <c r="H22" s="716" t="n"/>
      <c r="I22" s="716" t="n"/>
      <c r="J22" s="716" t="n"/>
      <c r="K22" s="740" t="n"/>
      <c r="L22" s="851" t="n"/>
      <c r="M22" s="531" t="n"/>
      <c r="N22" s="584" t="n"/>
      <c r="O22" s="716" t="n"/>
      <c r="P22" s="740" t="n"/>
      <c r="Q22" s="740" t="n"/>
      <c r="R22" s="851" t="n"/>
      <c r="S22" s="740" t="n"/>
      <c r="T22" s="740" t="n"/>
      <c r="U22" s="740" t="n"/>
      <c r="V22" s="740" t="n"/>
      <c r="W22" s="740" t="n"/>
      <c r="Y22" s="163" t="n"/>
    </row>
    <row r="23" customFormat="1" s="47">
      <c r="B23" s="716" t="n"/>
      <c r="C23" s="716" t="n"/>
      <c r="D23" s="716" t="n"/>
      <c r="E23" s="716" t="n"/>
      <c r="F23" s="851" t="n"/>
      <c r="G23" s="851" t="n"/>
      <c r="H23" s="716" t="n"/>
      <c r="I23" s="716" t="n"/>
      <c r="J23" s="716" t="n"/>
      <c r="K23" s="740" t="n"/>
      <c r="L23" s="851" t="n"/>
      <c r="M23" s="531" t="n"/>
      <c r="N23" s="584" t="n"/>
      <c r="O23" s="716" t="n"/>
      <c r="P23" s="740" t="n"/>
      <c r="Q23" s="740" t="n"/>
      <c r="R23" s="851" t="n"/>
      <c r="S23" s="740" t="n"/>
      <c r="T23" s="740" t="n"/>
      <c r="U23" s="740" t="n"/>
      <c r="V23" s="740" t="n"/>
      <c r="W23" s="740" t="n"/>
      <c r="Y23" s="163" t="n"/>
    </row>
    <row r="24" ht="15" customFormat="1" customHeight="1" s="47">
      <c r="A24" s="91" t="n"/>
      <c r="C24" s="91" t="n"/>
      <c r="D24" s="91" t="n"/>
      <c r="E24" s="91" t="n"/>
      <c r="F24" s="92" t="n"/>
      <c r="G24" s="91" t="n"/>
      <c r="H24" s="91" t="n"/>
      <c r="I24" s="91" t="n"/>
      <c r="J24" s="91" t="n"/>
      <c r="K24" s="91" t="n"/>
      <c r="L24" s="91" t="n"/>
      <c r="M24" s="91" t="n"/>
      <c r="N24" s="91" t="n"/>
      <c r="O24" s="91" t="n"/>
      <c r="P24" s="91" t="n"/>
      <c r="Y24" s="163" t="n"/>
    </row>
    <row r="25" ht="15" customHeight="1" s="755">
      <c r="B25" s="112" t="inlineStr">
        <is>
          <t>1.对于未回函或回函信息不完整的银行借款，我们应当在&lt;Q.02c 函证-替代测试&gt;中执行替代测试</t>
        </is>
      </c>
      <c r="Y25" s="163" t="n"/>
    </row>
    <row r="26" ht="15" customHeight="1" s="755">
      <c r="B26" s="112" t="n"/>
      <c r="Y26" s="163" t="n"/>
    </row>
    <row r="27" ht="6.75" customHeight="1" s="755">
      <c r="A27" s="163" t="n"/>
      <c r="B27" s="163" t="n"/>
      <c r="C27" s="163" t="n"/>
      <c r="D27" s="163" t="n"/>
      <c r="E27" s="164" t="n"/>
      <c r="F27" s="164" t="n">
        <v>45349</v>
      </c>
      <c r="G27" s="163" t="n"/>
      <c r="H27" s="163" t="n"/>
      <c r="I27" s="163" t="n"/>
      <c r="J27" s="163" t="n"/>
      <c r="K27" s="163" t="n"/>
      <c r="L27" s="163" t="n"/>
      <c r="M27" s="163" t="n"/>
      <c r="N27" s="163" t="n"/>
      <c r="O27" s="163" t="n"/>
      <c r="P27" s="163" t="n"/>
      <c r="Q27" s="163" t="n"/>
      <c r="R27" s="163" t="n"/>
      <c r="S27" s="163" t="n"/>
      <c r="T27" s="163" t="n"/>
      <c r="U27" s="163" t="n"/>
      <c r="V27" s="163" t="n"/>
      <c r="W27" s="163" t="n"/>
      <c r="X27" s="163" t="n"/>
      <c r="Y27" s="163" t="n"/>
    </row>
  </sheetData>
  <mergeCells count="1">
    <mergeCell ref="V13:W13"/>
  </mergeCells>
  <conditionalFormatting sqref="B15:W23">
    <cfRule type="containsBlanks" priority="1" dxfId="1">
      <formula>LEN(TRIM(B15))=0</formula>
    </cfRule>
  </conditionalFormatting>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5.xml><?xml version="1.0" encoding="utf-8"?>
<worksheet xmlns="http://schemas.openxmlformats.org/spreadsheetml/2006/main">
  <sheetPr>
    <outlinePr summaryBelow="1" summaryRight="1"/>
    <pageSetUpPr autoPageBreaks="0"/>
  </sheetPr>
  <dimension ref="A1:U33"/>
  <sheetViews>
    <sheetView showGridLines="0" zoomScale="70" zoomScaleNormal="70" workbookViewId="0">
      <selection activeCell="G5" sqref="G5"/>
    </sheetView>
  </sheetViews>
  <sheetFormatPr baseColWidth="8" defaultColWidth="8.453125" defaultRowHeight="13.5" customHeight="1"/>
  <cols>
    <col width="2.6328125" customWidth="1" style="42" min="1" max="1"/>
    <col width="13.26953125" customWidth="1" style="42" min="2" max="7"/>
    <col width="14.26953125" customWidth="1" style="42" min="8" max="8"/>
    <col width="13.26953125" customWidth="1" style="42" min="9" max="16"/>
    <col width="15.36328125" customWidth="1" style="42" min="17" max="17"/>
    <col width="13.26953125" customWidth="1" style="42" min="18" max="19"/>
    <col width="2.6328125" customWidth="1" style="42" min="20" max="20"/>
    <col width="1.6328125" customWidth="1" style="42" min="21" max="21"/>
    <col width="8.453125" customWidth="1" style="42" min="22" max="22"/>
    <col width="1.453125" customWidth="1" style="42" min="23" max="23"/>
    <col width="8.453125" customWidth="1" style="42" min="24" max="16384"/>
  </cols>
  <sheetData>
    <row r="1" ht="50.25" customHeight="1" s="755">
      <c r="B1" s="345" t="inlineStr">
        <is>
          <t>标准工作底稿：Q1 SWP 银行借款</t>
        </is>
      </c>
      <c r="C1" s="43" t="n"/>
      <c r="D1" s="43" t="n"/>
      <c r="E1" s="43" t="n"/>
      <c r="F1" s="43" t="n"/>
      <c r="G1" s="43" t="n"/>
      <c r="H1" s="44" t="n"/>
      <c r="I1" s="44" t="n"/>
      <c r="J1" s="44" t="n"/>
      <c r="K1" s="44" t="n"/>
      <c r="L1" s="44" t="n"/>
      <c r="M1" s="44" t="n"/>
      <c r="N1" s="45" t="n"/>
      <c r="O1" s="93" t="n"/>
      <c r="P1" s="158" t="n"/>
      <c r="Q1" s="45" t="n"/>
      <c r="R1" s="45" t="n"/>
      <c r="S1" s="93" t="n"/>
      <c r="T1" s="46" t="n"/>
      <c r="U1" s="163" t="n"/>
    </row>
    <row r="2" ht="30" customHeight="1" s="755">
      <c r="A2" s="47" t="n"/>
      <c r="B2" s="265" t="inlineStr">
        <is>
          <t>Q1.02b 复核借款的期限、抵押品及其他担保限制情况</t>
        </is>
      </c>
      <c r="C2" s="141" t="n"/>
      <c r="D2" s="141" t="n"/>
      <c r="E2" s="141" t="n"/>
      <c r="F2" s="141" t="n"/>
      <c r="G2" s="141" t="n"/>
      <c r="H2" s="141" t="n"/>
      <c r="I2" s="141" t="n"/>
      <c r="J2" s="141" t="n"/>
      <c r="K2" s="141" t="n"/>
      <c r="L2" s="141" t="n"/>
      <c r="M2" s="141" t="n"/>
      <c r="N2" s="141" t="n"/>
      <c r="O2" s="141" t="n"/>
      <c r="P2" s="141" t="n"/>
      <c r="Q2" s="141" t="n"/>
      <c r="R2" s="141" t="n"/>
      <c r="S2" s="263" t="n"/>
      <c r="T2" s="142" t="n"/>
      <c r="U2" s="163" t="n"/>
    </row>
    <row r="3" ht="15" customFormat="1" customHeight="1" s="47">
      <c r="B3" s="89" t="n"/>
      <c r="U3" s="163" t="n"/>
    </row>
    <row r="4" ht="15" customFormat="1" customHeight="1" s="47">
      <c r="B4" s="249" t="inlineStr">
        <is>
          <t>返回汇总页</t>
        </is>
      </c>
      <c r="U4" s="163" t="n"/>
    </row>
    <row r="5" ht="15" customFormat="1" customHeight="1" s="47">
      <c r="B5" s="89" t="n"/>
      <c r="U5" s="163" t="n"/>
    </row>
    <row r="6" ht="15" customFormat="1" customHeight="1" s="47">
      <c r="B6" s="97" t="inlineStr">
        <is>
          <t>需执行抵押担保测试的债务工具。</t>
        </is>
      </c>
      <c r="C6" s="98" t="n"/>
      <c r="D6" s="98" t="n"/>
      <c r="E6" s="98" t="n"/>
      <c r="F6" s="98" t="n"/>
      <c r="G6" s="98" t="n"/>
      <c r="H6" s="98" t="n"/>
      <c r="I6" s="98" t="n"/>
      <c r="J6" s="98" t="n"/>
      <c r="K6" s="98" t="n"/>
      <c r="L6" s="98" t="n"/>
      <c r="M6" s="98" t="n"/>
      <c r="N6" s="98" t="n"/>
      <c r="O6" s="98" t="n"/>
      <c r="P6" s="98" t="n"/>
      <c r="Q6" s="98" t="n"/>
      <c r="R6" s="98" t="n"/>
      <c r="S6" s="98" t="n"/>
      <c r="U6" s="163" t="n"/>
    </row>
    <row r="7" ht="15" customFormat="1" customHeight="1" s="47">
      <c r="B7" s="94" t="n"/>
      <c r="U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60" t="n"/>
      <c r="U8" s="163" t="n"/>
    </row>
    <row r="9" ht="15" customFormat="1" customHeight="1" s="47">
      <c r="B9" s="572" t="inlineStr">
        <is>
          <t>1） 我们复核了回函（包括对资产和负债的回函）及相关借款协议，查找以留置权、担保权益、衍生工具和抵押资产作为贷款抵押品的证据。我们将其交叉索引至相应的总账账户，并验证了相关披露。</t>
        </is>
      </c>
      <c r="C9" s="573" t="n"/>
      <c r="D9" s="573" t="n"/>
      <c r="E9" s="573" t="n"/>
      <c r="F9" s="573" t="n"/>
      <c r="G9" s="573" t="n"/>
      <c r="H9" s="573" t="n"/>
      <c r="I9" s="573" t="n"/>
      <c r="J9" s="573" t="n"/>
      <c r="K9" s="573" t="n"/>
      <c r="L9" s="573" t="n"/>
      <c r="M9" s="574" t="n"/>
      <c r="N9" s="574" t="n"/>
      <c r="O9" s="574" t="n"/>
      <c r="P9" s="575" t="n"/>
      <c r="U9" s="163" t="n"/>
    </row>
    <row r="10" ht="15" customFormat="1" customHeight="1" s="47">
      <c r="B10" s="161" t="n"/>
      <c r="U10" s="163" t="n"/>
    </row>
    <row r="11" ht="15" customFormat="1" customHeight="1" s="47">
      <c r="B11" s="4" t="inlineStr">
        <is>
          <t>债务工具</t>
        </is>
      </c>
      <c r="U11" s="163" t="n"/>
    </row>
    <row r="12" ht="15" customFormat="1" customHeight="1" s="47">
      <c r="B12" s="4" t="n"/>
      <c r="C12" s="3" t="n"/>
      <c r="D12" s="3" t="n"/>
      <c r="H12" s="671" t="inlineStr">
        <is>
          <t>保证类条款</t>
        </is>
      </c>
      <c r="I12" s="852" t="n"/>
      <c r="J12" s="853" t="n"/>
      <c r="K12" s="670" t="inlineStr">
        <is>
          <t>抵质押情况</t>
        </is>
      </c>
      <c r="L12" s="764" t="n"/>
      <c r="M12" s="764" t="n"/>
      <c r="N12" s="764" t="n"/>
      <c r="O12" s="764" t="n"/>
      <c r="P12" s="764" t="n"/>
      <c r="Q12" s="765" t="n"/>
      <c r="R12" s="341" t="inlineStr">
        <is>
          <t>EY Works</t>
        </is>
      </c>
      <c r="S12" s="854" t="inlineStr">
        <is>
          <t>Notes</t>
        </is>
      </c>
      <c r="U12" s="163" t="n"/>
    </row>
    <row r="13" ht="60" customFormat="1" customHeight="1" s="47">
      <c r="B13" s="37" t="inlineStr">
        <is>
          <t>公司名称</t>
        </is>
      </c>
      <c r="C13" s="37" t="inlineStr">
        <is>
          <t>银行名称/资金借出方</t>
        </is>
      </c>
      <c r="D13" s="162" t="inlineStr">
        <is>
          <t>债务描述/债务工具</t>
        </is>
      </c>
      <c r="E13" s="37" t="inlineStr">
        <is>
          <t>函证编号</t>
        </is>
      </c>
      <c r="F13" s="37" t="inlineStr">
        <is>
          <t>总账余额</t>
        </is>
      </c>
      <c r="G13" s="37" t="inlineStr">
        <is>
          <t>已发生的债务违约及性质(如有)</t>
        </is>
      </c>
      <c r="H13" s="37" t="inlineStr">
        <is>
          <t>保证合同索引号</t>
        </is>
      </c>
      <c r="I13" s="37" t="inlineStr">
        <is>
          <t>保证人</t>
        </is>
      </c>
      <c r="J13" s="37" t="inlineStr">
        <is>
          <t>保证金额
（仅适用于保证担保）</t>
        </is>
      </c>
      <c r="K13" s="37" t="inlineStr">
        <is>
          <t>抵押/质押合同索引号</t>
        </is>
      </c>
      <c r="L13" s="37" t="inlineStr">
        <is>
          <t>抵（质）押物</t>
        </is>
      </c>
      <c r="M13" s="37" t="inlineStr">
        <is>
          <t>抵押资产权证号
（仅适用于不动产）</t>
        </is>
      </c>
      <c r="N13" s="37" t="inlineStr">
        <is>
          <t>抵\质押\担保情况是否与回函核对一致</t>
        </is>
      </c>
      <c r="O13" s="37" t="inlineStr">
        <is>
          <t>X_Ref -
抵质押品底稿</t>
        </is>
      </c>
      <c r="P13" s="37" t="inlineStr">
        <is>
          <t>质押/抵押资产账面净值</t>
        </is>
      </c>
      <c r="Q13" s="37" t="inlineStr">
        <is>
          <t>抵\质押资产所有权是否归属于被审计单位</t>
        </is>
      </c>
      <c r="R13" s="37" t="n">
        <v>1</v>
      </c>
      <c r="S13" s="787" t="n"/>
      <c r="U13" s="163" t="n"/>
    </row>
    <row r="14" ht="14" customFormat="1" customHeight="1" s="47">
      <c r="B14" s="716" t="n"/>
      <c r="C14" s="716" t="n"/>
      <c r="D14" s="716" t="n"/>
      <c r="E14" s="716" t="n"/>
      <c r="F14" s="851" t="n"/>
      <c r="G14" s="534" t="n"/>
      <c r="H14" s="716" t="n"/>
      <c r="I14" s="716" t="n"/>
      <c r="J14" s="851" t="n"/>
      <c r="K14" s="454" t="n"/>
      <c r="L14" s="454" t="n"/>
      <c r="M14" s="454" t="n"/>
      <c r="N14" s="454" t="n"/>
      <c r="O14" s="454" t="n"/>
      <c r="P14" s="855" t="n"/>
      <c r="Q14" s="454" t="n"/>
      <c r="R14" s="259" t="n"/>
      <c r="S14" s="856" t="n"/>
      <c r="U14" s="163" t="n"/>
    </row>
    <row r="15" ht="15" customFormat="1" customHeight="1" s="47">
      <c r="B15" s="716" t="n"/>
      <c r="C15" s="716" t="n"/>
      <c r="D15" s="716" t="n"/>
      <c r="E15" s="716" t="n"/>
      <c r="F15" s="851" t="n"/>
      <c r="G15" s="534" t="n"/>
      <c r="H15" s="716" t="n"/>
      <c r="I15" s="716" t="n"/>
      <c r="J15" s="851" t="n"/>
      <c r="K15" s="454" t="n"/>
      <c r="L15" s="454" t="n"/>
      <c r="M15" s="454" t="n"/>
      <c r="N15" s="454" t="n"/>
      <c r="O15" s="454" t="n"/>
      <c r="P15" s="855" t="n"/>
      <c r="Q15" s="454" t="n"/>
      <c r="R15" s="259" t="n"/>
      <c r="S15" s="856" t="n"/>
      <c r="U15" s="163" t="n"/>
    </row>
    <row r="16" ht="15" customFormat="1" customHeight="1" s="47">
      <c r="B16" s="716" t="n"/>
      <c r="C16" s="716" t="n"/>
      <c r="D16" s="716" t="n"/>
      <c r="E16" s="716" t="n"/>
      <c r="F16" s="851" t="n"/>
      <c r="G16" s="534" t="n"/>
      <c r="H16" s="716" t="n"/>
      <c r="I16" s="716" t="n"/>
      <c r="J16" s="851" t="n"/>
      <c r="K16" s="454" t="n"/>
      <c r="L16" s="454" t="n"/>
      <c r="M16" s="454" t="n"/>
      <c r="N16" s="454" t="n"/>
      <c r="O16" s="454" t="n"/>
      <c r="P16" s="855" t="n"/>
      <c r="Q16" s="454" t="n"/>
      <c r="R16" s="259" t="n"/>
      <c r="S16" s="856" t="n"/>
      <c r="U16" s="163" t="n"/>
    </row>
    <row r="17" ht="15" customFormat="1" customHeight="1" s="47">
      <c r="B17" s="716" t="n"/>
      <c r="C17" s="716" t="n"/>
      <c r="D17" s="716" t="n"/>
      <c r="E17" s="716" t="n"/>
      <c r="F17" s="851" t="n"/>
      <c r="G17" s="534" t="n"/>
      <c r="H17" s="716" t="n"/>
      <c r="I17" s="716" t="n"/>
      <c r="J17" s="851" t="n"/>
      <c r="K17" s="454" t="n"/>
      <c r="L17" s="454" t="n"/>
      <c r="M17" s="454" t="n"/>
      <c r="N17" s="454" t="n"/>
      <c r="O17" s="454" t="n"/>
      <c r="P17" s="855" t="n"/>
      <c r="Q17" s="454" t="n"/>
      <c r="R17" s="259" t="n"/>
      <c r="S17" s="856" t="n"/>
      <c r="U17" s="163" t="n"/>
    </row>
    <row r="18" ht="15" customFormat="1" customHeight="1" s="47">
      <c r="B18" s="716" t="n"/>
      <c r="C18" s="716" t="n"/>
      <c r="D18" s="716" t="n"/>
      <c r="E18" s="716" t="n"/>
      <c r="F18" s="851" t="n"/>
      <c r="G18" s="534" t="n"/>
      <c r="H18" s="716" t="n"/>
      <c r="I18" s="716" t="n"/>
      <c r="J18" s="851" t="n"/>
      <c r="K18" s="454" t="n"/>
      <c r="L18" s="454" t="n"/>
      <c r="M18" s="454" t="n"/>
      <c r="N18" s="454" t="n"/>
      <c r="O18" s="454" t="n"/>
      <c r="P18" s="855" t="n"/>
      <c r="Q18" s="454" t="n"/>
      <c r="R18" s="259" t="n"/>
      <c r="S18" s="856" t="n"/>
      <c r="U18" s="163" t="n"/>
    </row>
    <row r="19" ht="15" customFormat="1" customHeight="1" s="47">
      <c r="B19" s="716" t="n"/>
      <c r="C19" s="716" t="n"/>
      <c r="D19" s="716" t="n"/>
      <c r="E19" s="716" t="n"/>
      <c r="F19" s="851" t="n"/>
      <c r="G19" s="534" t="n"/>
      <c r="H19" s="716" t="n"/>
      <c r="I19" s="716" t="n"/>
      <c r="J19" s="851" t="n"/>
      <c r="K19" s="454" t="n"/>
      <c r="L19" s="454" t="n"/>
      <c r="M19" s="454" t="n"/>
      <c r="N19" s="454" t="n"/>
      <c r="O19" s="454" t="n"/>
      <c r="P19" s="855" t="n"/>
      <c r="Q19" s="454" t="n"/>
      <c r="R19" s="259" t="n"/>
      <c r="S19" s="856" t="n"/>
      <c r="U19" s="163" t="n"/>
    </row>
    <row r="20" ht="15" customFormat="1" customHeight="1" s="47">
      <c r="B20" s="716" t="n"/>
      <c r="C20" s="716" t="n"/>
      <c r="D20" s="716" t="n"/>
      <c r="E20" s="716" t="n"/>
      <c r="F20" s="851" t="n"/>
      <c r="G20" s="534" t="n"/>
      <c r="H20" s="716" t="n"/>
      <c r="I20" s="716" t="n"/>
      <c r="J20" s="851" t="n"/>
      <c r="K20" s="454" t="n"/>
      <c r="L20" s="454" t="n"/>
      <c r="M20" s="454" t="n"/>
      <c r="N20" s="454" t="n"/>
      <c r="O20" s="454" t="n"/>
      <c r="P20" s="855" t="n"/>
      <c r="Q20" s="454" t="n"/>
      <c r="R20" s="259" t="n"/>
      <c r="S20" s="856" t="n"/>
      <c r="U20" s="163" t="n"/>
    </row>
    <row r="21" ht="15" customFormat="1" customHeight="1" s="47">
      <c r="B21" s="716" t="n"/>
      <c r="C21" s="716" t="n"/>
      <c r="D21" s="716" t="n"/>
      <c r="E21" s="716" t="n"/>
      <c r="F21" s="851" t="n"/>
      <c r="G21" s="534" t="n"/>
      <c r="H21" s="716" t="n"/>
      <c r="I21" s="716" t="n"/>
      <c r="J21" s="851" t="n"/>
      <c r="K21" s="454" t="n"/>
      <c r="L21" s="454" t="n"/>
      <c r="M21" s="454" t="n"/>
      <c r="N21" s="454" t="n"/>
      <c r="O21" s="454" t="n"/>
      <c r="P21" s="855" t="n"/>
      <c r="Q21" s="454" t="n"/>
      <c r="R21" s="259" t="n"/>
      <c r="S21" s="856" t="n"/>
      <c r="U21" s="163" t="n"/>
    </row>
    <row r="22" ht="15" customFormat="1" customHeight="1" s="47">
      <c r="B22" s="3" t="n"/>
      <c r="C22" s="3" t="n"/>
      <c r="D22" s="3" t="n"/>
      <c r="E22" s="3" t="n"/>
      <c r="F22" s="3" t="n"/>
      <c r="G22" s="3" t="n"/>
      <c r="H22" s="3" t="n"/>
      <c r="I22" s="3" t="n"/>
      <c r="J22" s="3" t="n"/>
      <c r="K22" s="3" t="n"/>
      <c r="L22" s="3" t="n"/>
      <c r="M22" s="3" t="n"/>
      <c r="N22" s="3" t="n"/>
      <c r="O22" s="3" t="n"/>
      <c r="P22" s="3" t="n"/>
      <c r="Q22" s="3" t="n"/>
      <c r="R22" s="3" t="n"/>
      <c r="S22" s="3" t="n"/>
      <c r="U22" s="163" t="n"/>
    </row>
    <row r="23" ht="15" customFormat="1" customHeight="1" s="47">
      <c r="B23" s="112" t="inlineStr">
        <is>
          <t>1 我们可以采用以下两种方法之一，来恰当记录我们对借款协议执行的审计工作：</t>
        </is>
      </c>
      <c r="C23" s="3" t="n"/>
      <c r="D23" s="3" t="n"/>
      <c r="E23" s="3" t="n"/>
      <c r="F23" s="3" t="n"/>
      <c r="G23" s="3" t="n"/>
      <c r="H23" s="3" t="n"/>
      <c r="I23" s="3" t="n"/>
      <c r="J23" s="3" t="n"/>
      <c r="K23" s="3" t="n"/>
      <c r="L23" s="3" t="n"/>
      <c r="M23" s="3" t="n"/>
      <c r="N23" s="3" t="n"/>
      <c r="O23" s="3" t="n"/>
      <c r="P23" s="3" t="n"/>
      <c r="Q23" s="3" t="n"/>
      <c r="R23" s="3" t="n"/>
      <c r="S23" s="3" t="n"/>
      <c r="U23" s="163" t="n"/>
    </row>
    <row r="24" ht="15" customFormat="1" customHeight="1" s="47">
      <c r="B24" s="112" t="inlineStr">
        <is>
          <t>1.1)我们将借款协议的关键条款doc或采用datasnipper的方式摘录至本工作底稿恰当的位置，并对相应的合同进行命名然后添加至canvas中；</t>
        </is>
      </c>
      <c r="C24" s="3" t="n"/>
      <c r="D24" s="3" t="n"/>
      <c r="E24" s="3" t="n"/>
      <c r="F24" s="3" t="n"/>
      <c r="G24" s="3" t="n"/>
      <c r="H24" s="3" t="n"/>
      <c r="I24" s="3" t="n"/>
      <c r="J24" s="3" t="n"/>
      <c r="K24" s="3" t="n"/>
      <c r="L24" s="3" t="n"/>
      <c r="M24" s="3" t="n"/>
      <c r="N24" s="3" t="n"/>
      <c r="O24" s="3" t="n"/>
      <c r="P24" s="3" t="n"/>
      <c r="Q24" s="3" t="n"/>
      <c r="R24" s="3" t="n"/>
      <c r="S24" s="3" t="n"/>
      <c r="U24" s="163" t="n"/>
    </row>
    <row r="25" ht="15" customFormat="1" customHeight="1" s="47">
      <c r="B25" s="112" t="inlineStr">
        <is>
          <t>1.2)我们在借款协议中对关键的条款进行标注或者Highlight，命名后上传至canvas，底稿中索引对应的借款合同。</t>
        </is>
      </c>
      <c r="C25" s="3" t="n"/>
      <c r="D25" s="3" t="n"/>
      <c r="E25" s="3" t="n"/>
      <c r="F25" s="3" t="n"/>
      <c r="G25" s="3" t="n"/>
      <c r="H25" s="3" t="n"/>
      <c r="I25" s="3" t="n"/>
      <c r="J25" s="3" t="n"/>
      <c r="K25" s="3" t="n"/>
      <c r="L25" s="3" t="n"/>
      <c r="M25" s="3" t="n"/>
      <c r="N25" s="3" t="n"/>
      <c r="O25" s="3" t="n"/>
      <c r="P25" s="3" t="n"/>
      <c r="Q25" s="3" t="n"/>
      <c r="R25" s="3" t="n"/>
      <c r="S25" s="3" t="n"/>
      <c r="U25" s="163" t="n"/>
    </row>
    <row r="26" ht="15" customFormat="1" customHeight="1" s="47">
      <c r="B26" s="3" t="n"/>
      <c r="C26" s="3" t="n"/>
      <c r="D26" s="3" t="n"/>
      <c r="E26" s="3" t="n"/>
      <c r="F26" s="3" t="n"/>
      <c r="G26" s="3" t="n"/>
      <c r="H26" s="3" t="n"/>
      <c r="I26" s="3" t="n"/>
      <c r="J26" s="3" t="n"/>
      <c r="K26" s="3" t="n"/>
      <c r="L26" s="3" t="n"/>
      <c r="M26" s="3" t="n"/>
      <c r="N26" s="3" t="n"/>
      <c r="O26" s="3" t="n"/>
      <c r="P26" s="3" t="n"/>
      <c r="Q26" s="3" t="n"/>
      <c r="R26" s="3" t="n"/>
      <c r="S26" s="3" t="n"/>
      <c r="U26" s="163" t="n"/>
    </row>
    <row r="27" ht="15" customFormat="1" customHeight="1" s="47">
      <c r="B27" s="140" t="inlineStr">
        <is>
          <t>Notes</t>
        </is>
      </c>
      <c r="C27" s="21" t="n"/>
      <c r="D27" s="21" t="n"/>
      <c r="E27" s="21" t="n"/>
      <c r="F27" s="794" t="n"/>
      <c r="G27" s="100" t="n"/>
      <c r="H27" s="100" t="n"/>
      <c r="I27" s="100" t="n"/>
      <c r="J27" s="100" t="n"/>
      <c r="K27" s="100" t="n"/>
      <c r="L27" s="100" t="n"/>
      <c r="M27" s="100" t="n"/>
      <c r="N27" s="100" t="n"/>
      <c r="O27" s="100" t="n"/>
      <c r="P27" s="100" t="n"/>
      <c r="Q27" s="100" t="n"/>
      <c r="R27" s="100" t="n"/>
      <c r="S27" s="100" t="n"/>
      <c r="T27" s="100" t="n"/>
      <c r="U27" s="163" t="n"/>
    </row>
    <row r="28" ht="15" customFormat="1" customHeight="1" s="47">
      <c r="B28" s="836" t="n"/>
      <c r="C28" s="796" t="n"/>
      <c r="D28" s="796" t="n"/>
      <c r="E28" s="796" t="n"/>
      <c r="F28" s="797" t="n"/>
      <c r="G28" s="100" t="n"/>
      <c r="H28" s="100" t="n"/>
      <c r="I28" s="100" t="n"/>
      <c r="J28" s="100" t="n"/>
      <c r="K28" s="100" t="n"/>
      <c r="L28" s="100" t="n"/>
      <c r="M28" s="100" t="n"/>
      <c r="N28" s="100" t="n"/>
      <c r="O28" s="100" t="n"/>
      <c r="P28" s="100" t="n"/>
      <c r="T28" s="100" t="n"/>
      <c r="U28" s="163" t="n"/>
    </row>
    <row r="29" ht="15" customFormat="1" customHeight="1" s="47">
      <c r="B29" s="798" t="n"/>
      <c r="C29" s="799" t="n"/>
      <c r="D29" s="799" t="n"/>
      <c r="E29" s="799" t="n"/>
      <c r="F29" s="800" t="n"/>
      <c r="G29" s="91" t="n"/>
      <c r="H29" s="91" t="n"/>
      <c r="I29" s="91" t="n"/>
      <c r="J29" s="91" t="n"/>
      <c r="K29" s="91" t="n"/>
      <c r="L29" s="91" t="n"/>
      <c r="M29" s="91" t="n"/>
      <c r="N29" s="91" t="n"/>
      <c r="O29" s="91" t="n"/>
      <c r="U29" s="163" t="n"/>
    </row>
    <row r="30" ht="15" customFormat="1" customHeight="1" s="47">
      <c r="B30" s="798" t="n"/>
      <c r="C30" s="799" t="n"/>
      <c r="D30" s="799" t="n"/>
      <c r="E30" s="799" t="n"/>
      <c r="F30" s="800" t="n"/>
      <c r="G30" s="91" t="n"/>
      <c r="H30" s="91" t="n"/>
      <c r="I30" s="91" t="n"/>
      <c r="J30" s="91" t="n"/>
      <c r="K30" s="91" t="n"/>
      <c r="L30" s="91" t="n"/>
      <c r="M30" s="91" t="n"/>
      <c r="N30" s="91" t="n"/>
      <c r="O30" s="91" t="n"/>
      <c r="U30" s="163" t="n"/>
    </row>
    <row r="31" ht="15" customFormat="1" customHeight="1" s="47">
      <c r="B31" s="801" t="n"/>
      <c r="C31" s="802" t="n"/>
      <c r="D31" s="802" t="n"/>
      <c r="E31" s="802" t="n"/>
      <c r="F31" s="803" t="n"/>
      <c r="G31" s="91" t="n"/>
      <c r="H31" s="91" t="n"/>
      <c r="I31" s="91" t="n"/>
      <c r="J31" s="91" t="n"/>
      <c r="K31" s="91" t="n"/>
      <c r="L31" s="91" t="n"/>
      <c r="M31" s="91" t="n"/>
      <c r="N31" s="91" t="n"/>
      <c r="O31" s="91" t="n"/>
      <c r="U31" s="163" t="n"/>
    </row>
    <row r="32" ht="15" customFormat="1" customHeight="1" s="47">
      <c r="B32" s="91" t="n"/>
      <c r="C32" s="91" t="n"/>
      <c r="D32" s="91" t="n"/>
      <c r="E32" s="91" t="n"/>
      <c r="F32" s="92" t="n"/>
      <c r="G32" s="91" t="n"/>
      <c r="H32" s="91" t="n"/>
      <c r="I32" s="91" t="n"/>
      <c r="J32" s="91" t="n"/>
      <c r="K32" s="91" t="n"/>
      <c r="L32" s="91" t="n"/>
      <c r="M32" s="91" t="n"/>
      <c r="N32" s="91" t="n"/>
      <c r="O32" s="91" t="n"/>
      <c r="U32" s="163" t="n"/>
    </row>
    <row r="33" ht="6.75" customHeight="1" s="755">
      <c r="A33" s="163" t="n"/>
      <c r="B33" s="163" t="n"/>
      <c r="C33" s="163" t="n"/>
      <c r="D33" s="163" t="n"/>
      <c r="E33" s="164" t="n"/>
      <c r="F33" s="164" t="n">
        <v>45471</v>
      </c>
      <c r="G33" s="163" t="n"/>
      <c r="H33" s="163" t="n"/>
      <c r="I33" s="163" t="n"/>
      <c r="J33" s="163" t="n"/>
      <c r="K33" s="163" t="n"/>
      <c r="L33" s="163" t="n"/>
      <c r="M33" s="163" t="n"/>
      <c r="N33" s="163" t="n"/>
      <c r="O33" s="163" t="n"/>
      <c r="P33" s="163" t="n"/>
      <c r="Q33" s="163" t="n"/>
      <c r="R33" s="163" t="n"/>
      <c r="S33" s="163" t="n"/>
      <c r="T33" s="163" t="n"/>
      <c r="U33" s="163" t="n"/>
    </row>
  </sheetData>
  <mergeCells count="4">
    <mergeCell ref="H12:J12"/>
    <mergeCell ref="B28:F31"/>
    <mergeCell ref="K12:Q12"/>
    <mergeCell ref="S12:S13"/>
  </mergeCells>
  <conditionalFormatting sqref="B28:F31">
    <cfRule type="containsBlanks" priority="1" dxfId="1">
      <formula>LEN(TRIM(B28))=0</formula>
    </cfRule>
  </conditionalFormatting>
  <conditionalFormatting sqref="B14:R21">
    <cfRule type="containsBlanks" priority="2" dxfId="1">
      <formula>LEN(TRIM(B14))=0</formula>
    </cfRule>
  </conditionalFormatting>
  <dataValidations count="1">
    <dataValidation sqref="R14:R21"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U28"/>
  <sheetViews>
    <sheetView showGridLines="0" zoomScale="70" zoomScaleNormal="70" workbookViewId="0">
      <selection activeCell="F4" sqref="F4"/>
    </sheetView>
  </sheetViews>
  <sheetFormatPr baseColWidth="8" defaultColWidth="8.453125" defaultRowHeight="14"/>
  <cols>
    <col width="2.453125" customWidth="1" style="42" min="1" max="1"/>
    <col width="17.6328125" customWidth="1" style="42" min="2" max="13"/>
    <col width="2.453125" customWidth="1" style="42" min="14" max="14"/>
    <col width="0.90625" customWidth="1" style="42" min="15" max="15"/>
    <col width="8.453125" customWidth="1" style="42" min="16" max="16"/>
    <col width="1.453125" customWidth="1" style="42" min="17" max="17"/>
    <col width="8.453125" customWidth="1" style="42" min="18" max="16384"/>
  </cols>
  <sheetData>
    <row r="1" ht="50.25" customHeight="1" s="755">
      <c r="B1" s="345" t="inlineStr">
        <is>
          <t>标准工作底稿：Q1 SWP 银行借款</t>
        </is>
      </c>
      <c r="C1" s="43" t="n"/>
      <c r="D1" s="43" t="n"/>
      <c r="E1" s="44" t="n"/>
      <c r="F1" s="44" t="n"/>
      <c r="G1" s="44" t="n"/>
      <c r="H1" s="44" t="n"/>
      <c r="I1" s="45" t="n"/>
      <c r="J1" s="93" t="n"/>
      <c r="K1" s="45" t="n"/>
      <c r="L1" s="45" t="n"/>
      <c r="M1" s="93" t="n"/>
      <c r="N1" s="46" t="n"/>
      <c r="O1" s="163" t="n"/>
    </row>
    <row r="2" ht="30" customHeight="1" s="755">
      <c r="A2" s="47" t="n"/>
      <c r="B2" s="571" t="inlineStr">
        <is>
          <t>Q1.02c 对未回函/未发函的贷款和借款，执行替代程序</t>
        </is>
      </c>
      <c r="C2" s="141" t="n"/>
      <c r="D2" s="141" t="n"/>
      <c r="E2" s="141" t="n"/>
      <c r="F2" s="141" t="n"/>
      <c r="G2" s="141" t="n"/>
      <c r="H2" s="141" t="n"/>
      <c r="I2" s="141" t="n"/>
      <c r="J2" s="141" t="n"/>
      <c r="K2" s="141" t="n"/>
      <c r="L2" s="141" t="n"/>
      <c r="M2" s="263" t="n"/>
      <c r="N2" s="142" t="n"/>
      <c r="O2" s="163" t="n"/>
    </row>
    <row r="3" ht="15" customFormat="1" customHeight="1" s="47">
      <c r="B3" s="89" t="n"/>
      <c r="O3" s="163" t="n"/>
    </row>
    <row r="4" ht="15" customFormat="1" customHeight="1" s="47">
      <c r="B4" s="249" t="inlineStr">
        <is>
          <t>返回汇总页</t>
        </is>
      </c>
      <c r="O4" s="163" t="n"/>
    </row>
    <row r="5" ht="15" customFormat="1" customHeight="1" s="47">
      <c r="B5" s="89" t="n"/>
      <c r="O5" s="163" t="n"/>
    </row>
    <row r="6" ht="15" customFormat="1" customHeight="1" s="47">
      <c r="B6" s="245" t="inlineStr">
        <is>
          <t>执行替代程序（当未按预期收到回函或未发送函证时）：</t>
        </is>
      </c>
      <c r="C6" s="98" t="n"/>
      <c r="D6" s="98" t="n"/>
      <c r="E6" s="98" t="n"/>
      <c r="F6" s="98" t="n"/>
      <c r="G6" s="98" t="n"/>
      <c r="H6" s="98" t="n"/>
      <c r="I6" s="98" t="n"/>
      <c r="J6" s="98" t="n"/>
      <c r="K6" s="98" t="n"/>
      <c r="L6" s="98" t="n"/>
      <c r="M6" s="98" t="n"/>
      <c r="O6" s="163" t="n"/>
    </row>
    <row r="7" ht="15" customFormat="1" customHeight="1" s="47">
      <c r="B7" s="91" t="n"/>
      <c r="C7" s="91" t="n"/>
      <c r="D7" s="91" t="n"/>
      <c r="E7" s="91" t="n"/>
      <c r="F7" s="91" t="n"/>
      <c r="G7" s="91" t="n"/>
      <c r="H7" s="91" t="n"/>
      <c r="I7" s="91" t="n"/>
      <c r="J7" s="91" t="n"/>
      <c r="O7" s="163" t="n"/>
    </row>
    <row r="8" ht="15" customFormat="1" customHeight="1" s="47">
      <c r="B8" s="143" t="inlineStr">
        <is>
          <t>安永属性测试说明：</t>
        </is>
      </c>
      <c r="C8" s="144" t="n"/>
      <c r="D8" s="144" t="n"/>
      <c r="E8" s="144" t="n"/>
      <c r="F8" s="144" t="n"/>
      <c r="G8" s="144" t="n"/>
      <c r="H8" s="144" t="n"/>
      <c r="I8" s="145" t="n"/>
      <c r="O8" s="163" t="n"/>
    </row>
    <row r="9" ht="15" customFormat="1" customHeight="1" s="47">
      <c r="B9" s="146" t="inlineStr">
        <is>
          <t>1） 我们检查了贷款或借款未偿付余额的支持性文档记录，并将该金额与总账核对。</t>
        </is>
      </c>
      <c r="C9" s="147" t="n"/>
      <c r="D9" s="147" t="n"/>
      <c r="E9" s="147" t="n"/>
      <c r="F9" s="147" t="n"/>
      <c r="G9" s="147" t="n"/>
      <c r="H9" s="147" t="n"/>
      <c r="I9" s="148" t="n"/>
      <c r="O9" s="163" t="n"/>
    </row>
    <row r="10" ht="15" customFormat="1" customHeight="1" s="47">
      <c r="B10" s="149" t="inlineStr">
        <is>
          <t>2） 我们将贷款或借款的到期日与协议中所述日期进行比较，验证了该贷款或借款的到期日准确反映在公司的时间表中。</t>
        </is>
      </c>
      <c r="C10" s="150" t="n"/>
      <c r="D10" s="150" t="n"/>
      <c r="E10" s="150" t="n"/>
      <c r="F10" s="150" t="n"/>
      <c r="G10" s="150" t="n"/>
      <c r="H10" s="150" t="n"/>
      <c r="I10" s="151" t="n"/>
      <c r="O10" s="163" t="n"/>
    </row>
    <row r="11" ht="16.5" customFormat="1" customHeight="1" s="47">
      <c r="B11" s="149" t="inlineStr">
        <is>
          <t>3） 我们检查了作为贷款抵押品的留置权、担保权益、衍生工具和资产的支持性文档记录。我们交叉索引了相应的总账账户，并验证了相关披露。</t>
        </is>
      </c>
      <c r="C11" s="152" t="n"/>
      <c r="D11" s="152" t="n"/>
      <c r="E11" s="152" t="n"/>
      <c r="F11" s="152" t="n"/>
      <c r="G11" s="152" t="n"/>
      <c r="H11" s="152" t="n"/>
      <c r="I11" s="153" t="n"/>
      <c r="M11" s="91" t="n"/>
      <c r="O11" s="163" t="n"/>
    </row>
    <row r="12" ht="15" customFormat="1" customHeight="1" s="47">
      <c r="B12" s="91" t="n"/>
      <c r="C12" s="91" t="n"/>
      <c r="D12" s="91" t="n"/>
      <c r="E12" s="91" t="n"/>
      <c r="F12" s="91" t="n"/>
      <c r="G12" s="91" t="n"/>
      <c r="H12" s="91" t="n"/>
      <c r="I12" s="91" t="n"/>
      <c r="O12" s="163" t="n"/>
    </row>
    <row r="13" ht="15" customFormat="1" customHeight="1" s="47">
      <c r="B13" s="154" t="inlineStr">
        <is>
          <t>债务工具</t>
        </is>
      </c>
      <c r="C13" s="154" t="n"/>
      <c r="D13" s="91" t="n"/>
      <c r="E13" s="135" t="inlineStr">
        <is>
          <t>|-------Rx-------|</t>
        </is>
      </c>
      <c r="G13" s="91" t="n"/>
      <c r="H13" s="91" t="n"/>
      <c r="I13" s="91" t="n"/>
      <c r="J13" s="857" t="inlineStr">
        <is>
          <t>EY Works</t>
        </is>
      </c>
      <c r="K13" s="764" t="n"/>
      <c r="L13" s="765" t="n"/>
      <c r="O13" s="163" t="n"/>
    </row>
    <row r="14" ht="60" customFormat="1" customHeight="1" s="47">
      <c r="B14" s="155" t="inlineStr">
        <is>
          <t>债务描述/债务工具</t>
        </is>
      </c>
      <c r="C14" s="635" t="inlineStr">
        <is>
          <t>根据支持性文档记录确定的金额</t>
        </is>
      </c>
      <c r="D14" s="635" t="inlineStr">
        <is>
          <t>总账余额</t>
        </is>
      </c>
      <c r="E14" s="635" t="inlineStr">
        <is>
          <t>支持性文档记录与总账金额之间的差额</t>
        </is>
      </c>
      <c r="F14" s="342" t="inlineStr">
        <is>
          <t>本金偿还期限
（即到期日）</t>
        </is>
      </c>
      <c r="G14" s="635" t="inlineStr">
        <is>
          <t>利率</t>
        </is>
      </c>
      <c r="H14" s="635" t="inlineStr">
        <is>
          <t>限制条款</t>
        </is>
      </c>
      <c r="I14" s="635" t="inlineStr">
        <is>
          <t>已检查的凭据</t>
        </is>
      </c>
      <c r="J14" s="635" t="n">
        <v>1</v>
      </c>
      <c r="K14" s="635" t="n">
        <v>2</v>
      </c>
      <c r="L14" s="635" t="n">
        <v>3</v>
      </c>
      <c r="M14" s="343" t="inlineStr">
        <is>
          <t>Notes</t>
        </is>
      </c>
      <c r="O14" s="163" t="n"/>
    </row>
    <row r="15" ht="15" customFormat="1" customHeight="1" s="47">
      <c r="B15" s="454" t="n"/>
      <c r="C15" s="454" t="n"/>
      <c r="D15" s="858" t="n"/>
      <c r="E15" s="858">
        <f>C15-D15</f>
        <v/>
      </c>
      <c r="F15" s="40" t="n"/>
      <c r="G15" s="858" t="n"/>
      <c r="H15" s="454" t="n"/>
      <c r="I15" s="454" t="n"/>
      <c r="J15" s="716" t="n"/>
      <c r="K15" s="716" t="n"/>
      <c r="L15" s="716" t="n"/>
      <c r="M15" s="859" t="n"/>
      <c r="O15" s="163" t="n"/>
    </row>
    <row r="16" ht="15" customFormat="1" customHeight="1" s="47">
      <c r="B16" s="454" t="n"/>
      <c r="C16" s="454" t="n"/>
      <c r="D16" s="858" t="n"/>
      <c r="E16" s="858">
        <f>C16-D16</f>
        <v/>
      </c>
      <c r="F16" s="40" t="n"/>
      <c r="G16" s="858" t="n"/>
      <c r="H16" s="454" t="n"/>
      <c r="I16" s="454" t="n"/>
      <c r="J16" s="716" t="n"/>
      <c r="K16" s="716" t="n"/>
      <c r="L16" s="716" t="n"/>
      <c r="M16" s="859" t="n"/>
      <c r="O16" s="163" t="n"/>
    </row>
    <row r="17" ht="15" customFormat="1" customHeight="1" s="47">
      <c r="B17" s="454" t="n"/>
      <c r="C17" s="454" t="n"/>
      <c r="D17" s="858" t="n"/>
      <c r="E17" s="858">
        <f>C17-D17</f>
        <v/>
      </c>
      <c r="F17" s="40" t="n"/>
      <c r="G17" s="858" t="n"/>
      <c r="H17" s="454" t="n"/>
      <c r="I17" s="454" t="n"/>
      <c r="J17" s="716" t="n"/>
      <c r="K17" s="716" t="n"/>
      <c r="L17" s="716" t="n"/>
      <c r="M17" s="859" t="n"/>
      <c r="O17" s="163" t="n"/>
    </row>
    <row r="18" ht="15" customFormat="1" customHeight="1" s="47">
      <c r="B18" s="454" t="n"/>
      <c r="C18" s="454" t="n"/>
      <c r="D18" s="858" t="n"/>
      <c r="E18" s="858">
        <f>C18-D18</f>
        <v/>
      </c>
      <c r="F18" s="40" t="n"/>
      <c r="G18" s="858" t="n"/>
      <c r="H18" s="454" t="n"/>
      <c r="I18" s="454" t="n"/>
      <c r="J18" s="716" t="n"/>
      <c r="K18" s="716" t="n"/>
      <c r="L18" s="716" t="n"/>
      <c r="M18" s="454" t="n"/>
      <c r="O18" s="163" t="n"/>
    </row>
    <row r="19" ht="15" customFormat="1" customHeight="1" s="47">
      <c r="B19" s="454" t="n"/>
      <c r="C19" s="454" t="n"/>
      <c r="D19" s="858" t="n"/>
      <c r="E19" s="858">
        <f>C19-D19</f>
        <v/>
      </c>
      <c r="F19" s="40" t="n"/>
      <c r="G19" s="858" t="n"/>
      <c r="H19" s="454" t="n"/>
      <c r="I19" s="454" t="n"/>
      <c r="J19" s="716" t="n"/>
      <c r="K19" s="716" t="n"/>
      <c r="L19" s="716" t="n"/>
      <c r="M19" s="454" t="n"/>
      <c r="O19" s="163" t="n"/>
    </row>
    <row r="20" ht="15" customFormat="1" customHeight="1" s="47">
      <c r="B20" s="91" t="n"/>
      <c r="C20" s="91" t="n"/>
      <c r="D20" s="860" t="inlineStr">
        <is>
          <t>Q.00</t>
        </is>
      </c>
      <c r="E20" s="91" t="n"/>
      <c r="F20" s="91" t="n"/>
      <c r="G20" s="91" t="n"/>
      <c r="H20" s="91" t="n"/>
      <c r="I20" s="91" t="n"/>
      <c r="O20" s="163" t="n"/>
    </row>
    <row r="21" ht="15" customFormat="1" customHeight="1" s="47">
      <c r="B21" s="91" t="n"/>
      <c r="C21" s="91" t="n"/>
      <c r="D21" s="91" t="n"/>
      <c r="E21" s="91" t="n"/>
      <c r="F21" s="91" t="n"/>
      <c r="G21" s="91" t="n"/>
      <c r="H21" s="91" t="n"/>
      <c r="I21" s="91" t="n"/>
      <c r="O21" s="163" t="n"/>
    </row>
    <row r="22" ht="15" customFormat="1" customHeight="1" s="47">
      <c r="B22" s="140" t="inlineStr">
        <is>
          <t>Notes</t>
        </is>
      </c>
      <c r="C22" s="21" t="n"/>
      <c r="D22" s="21" t="n"/>
      <c r="E22" s="21" t="n"/>
      <c r="F22" s="794" t="n"/>
      <c r="G22" s="91" t="n"/>
      <c r="H22" s="91" t="n"/>
      <c r="I22" s="91" t="n"/>
      <c r="O22" s="163" t="n"/>
    </row>
    <row r="23" ht="15" customFormat="1" customHeight="1" s="47">
      <c r="B23" s="795" t="n"/>
      <c r="C23" s="796" t="n"/>
      <c r="D23" s="796" t="n"/>
      <c r="E23" s="796" t="n"/>
      <c r="F23" s="797" t="n"/>
      <c r="O23" s="163" t="n"/>
    </row>
    <row r="24" ht="15" customFormat="1" customHeight="1" s="47">
      <c r="B24" s="798" t="n"/>
      <c r="C24" s="799" t="n"/>
      <c r="D24" s="799" t="n"/>
      <c r="E24" s="799" t="n"/>
      <c r="F24" s="800" t="n"/>
      <c r="O24" s="163" t="n"/>
    </row>
    <row r="25" ht="15" customHeight="1" s="755">
      <c r="B25" s="798" t="n"/>
      <c r="C25" s="799" t="n"/>
      <c r="D25" s="799" t="n"/>
      <c r="E25" s="799" t="n"/>
      <c r="F25" s="800" t="n"/>
      <c r="O25" s="163" t="n"/>
    </row>
    <row r="26" ht="15" customHeight="1" s="755">
      <c r="B26" s="801" t="n"/>
      <c r="C26" s="802" t="n"/>
      <c r="D26" s="802" t="n"/>
      <c r="E26" s="802" t="n"/>
      <c r="F26" s="803" t="n"/>
      <c r="O26" s="163" t="n"/>
    </row>
    <row r="27" ht="15" customHeight="1" s="755">
      <c r="O27" s="163" t="n"/>
    </row>
    <row r="28" ht="6.75" customHeight="1" s="755">
      <c r="A28" s="163" t="n"/>
      <c r="B28" s="163" t="n"/>
      <c r="C28" s="163" t="n"/>
      <c r="D28" s="163" t="n"/>
      <c r="E28" s="164" t="n"/>
      <c r="F28" s="164" t="n">
        <v>45471</v>
      </c>
      <c r="G28" s="163" t="n"/>
      <c r="H28" s="163" t="n"/>
      <c r="I28" s="163" t="n"/>
      <c r="J28" s="163" t="n"/>
      <c r="K28" s="163" t="n"/>
      <c r="L28" s="163" t="n"/>
      <c r="M28" s="163" t="n"/>
      <c r="N28" s="163" t="n"/>
      <c r="O28" s="163" t="n"/>
      <c r="P28" s="47" t="n"/>
      <c r="Q28" s="47" t="n"/>
      <c r="R28" s="47" t="n"/>
      <c r="S28" s="47" t="n"/>
      <c r="T28" s="47" t="n"/>
      <c r="U28" s="47" t="n"/>
    </row>
  </sheetData>
  <mergeCells count="2">
    <mergeCell ref="J13:L13"/>
    <mergeCell ref="B23:F26"/>
  </mergeCells>
  <conditionalFormatting sqref="B23:B25">
    <cfRule type="containsBlanks" priority="2" dxfId="1">
      <formula>LEN(TRIM(B23))=0</formula>
    </cfRule>
  </conditionalFormatting>
  <conditionalFormatting sqref="B15:D19">
    <cfRule type="containsBlanks" priority="6" dxfId="1">
      <formula>LEN(TRIM(B15))=0</formula>
    </cfRule>
  </conditionalFormatting>
  <conditionalFormatting sqref="F15:L19">
    <cfRule type="containsBlanks" priority="1" dxfId="1">
      <formula>LEN(TRIM(F15))=0</formula>
    </cfRule>
  </conditionalFormatting>
  <dataValidations count="1">
    <dataValidation sqref="J15:L19"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7.xml><?xml version="1.0" encoding="utf-8"?>
<worksheet xmlns="http://schemas.openxmlformats.org/spreadsheetml/2006/main">
  <sheetPr codeName="Sheet3">
    <outlinePr summaryBelow="1" summaryRight="1"/>
    <pageSetUpPr autoPageBreaks="0"/>
  </sheetPr>
  <dimension ref="A1:V61"/>
  <sheetViews>
    <sheetView showGridLines="0" zoomScale="70" zoomScaleNormal="70" workbookViewId="0">
      <selection activeCell="D4" sqref="D4"/>
    </sheetView>
  </sheetViews>
  <sheetFormatPr baseColWidth="8" defaultColWidth="8.453125" defaultRowHeight="15" customHeight="1"/>
  <cols>
    <col width="2.6328125" customWidth="1" style="42" min="1" max="1"/>
    <col width="17.26953125" customWidth="1" style="42" min="2" max="11"/>
    <col width="18" customWidth="1" style="42" min="12" max="12"/>
    <col width="17.26953125" customWidth="1" style="42" min="13" max="13"/>
    <col width="13.08984375" customWidth="1" style="42" min="14" max="14"/>
    <col width="12.36328125" customWidth="1" style="42" min="15" max="15"/>
    <col width="11" customWidth="1" style="42" min="16" max="16"/>
    <col width="13.90625" customWidth="1" style="42" min="17" max="17"/>
    <col width="7.36328125" customWidth="1" style="42" min="18" max="18"/>
    <col width="2.6328125" customWidth="1" style="42" min="19" max="19"/>
    <col width="1.6328125" customWidth="1" style="42" min="20" max="20"/>
    <col width="8.453125" customWidth="1" style="42" min="21" max="16384"/>
  </cols>
  <sheetData>
    <row r="1" ht="50.25" customHeight="1" s="755">
      <c r="B1" s="345" t="inlineStr">
        <is>
          <t>标准工作底稿：Q1 SWP 银行借款</t>
        </is>
      </c>
      <c r="C1" s="114" t="n"/>
      <c r="D1" s="114" t="n"/>
      <c r="E1" s="114" t="n"/>
      <c r="F1" s="115" t="n"/>
      <c r="G1" s="115" t="n"/>
      <c r="H1" s="115" t="n"/>
      <c r="I1" s="115" t="n"/>
      <c r="J1" s="115" t="n"/>
      <c r="K1" s="115" t="n"/>
      <c r="L1" s="115" t="n"/>
      <c r="M1" s="115" t="n"/>
      <c r="N1" s="116" t="n"/>
      <c r="O1" s="116" t="n"/>
      <c r="P1" s="116" t="n"/>
      <c r="Q1" s="116" t="n"/>
      <c r="R1" s="256" t="n"/>
      <c r="T1" s="163" t="n"/>
    </row>
    <row r="2" ht="30" customHeight="1" s="755">
      <c r="A2" s="47" t="n"/>
      <c r="B2" s="48" t="inlineStr">
        <is>
          <t>Q1.03 详细测试（检查新协议）</t>
        </is>
      </c>
      <c r="C2" s="49" t="n"/>
      <c r="D2" s="49" t="n"/>
      <c r="E2" s="49" t="n"/>
      <c r="F2" s="49" t="n"/>
      <c r="G2" s="49" t="n"/>
      <c r="H2" s="49" t="n"/>
      <c r="I2" s="49" t="n"/>
      <c r="J2" s="49" t="n"/>
      <c r="K2" s="49" t="n"/>
      <c r="L2" s="49" t="n"/>
      <c r="M2" s="49" t="n"/>
      <c r="N2" s="49" t="n"/>
      <c r="O2" s="49" t="n"/>
      <c r="P2" s="49" t="n"/>
      <c r="Q2" s="49" t="n"/>
      <c r="R2" s="50" t="n"/>
      <c r="T2" s="163" t="n"/>
    </row>
    <row r="3" ht="15" customHeight="1" s="755">
      <c r="B3" s="51" t="n"/>
      <c r="C3" s="51" t="n"/>
      <c r="D3" s="51" t="n"/>
      <c r="E3" s="51" t="n"/>
      <c r="F3" s="51" t="n"/>
      <c r="G3" s="51" t="n"/>
      <c r="H3" s="51" t="n"/>
      <c r="I3" s="51" t="n"/>
      <c r="J3" s="51" t="n"/>
      <c r="K3" s="51" t="n"/>
      <c r="L3" s="51" t="n"/>
      <c r="M3" s="51" t="n"/>
      <c r="N3" s="51" t="n"/>
      <c r="O3" s="51" t="n"/>
      <c r="T3" s="163" t="n"/>
    </row>
    <row r="4" ht="15" customHeight="1" s="755">
      <c r="B4" s="249" t="inlineStr">
        <is>
          <t>返回汇总页</t>
        </is>
      </c>
      <c r="C4" s="51" t="n"/>
      <c r="D4" s="51" t="n"/>
      <c r="E4" s="51" t="n"/>
      <c r="F4" s="51" t="n"/>
      <c r="G4" s="51" t="n"/>
      <c r="H4" s="51" t="n"/>
      <c r="I4" s="51" t="n"/>
      <c r="J4" s="51" t="n"/>
      <c r="K4" s="51" t="n"/>
      <c r="L4" s="51" t="n"/>
      <c r="M4" s="51" t="n"/>
      <c r="N4" s="51" t="n"/>
      <c r="O4" s="51" t="n"/>
      <c r="T4" s="163" t="n"/>
    </row>
    <row r="5" ht="15" customHeight="1" s="755">
      <c r="B5" s="51" t="n"/>
      <c r="C5" s="51" t="n"/>
      <c r="D5" s="51" t="n"/>
      <c r="E5" s="51" t="n"/>
      <c r="F5" s="51" t="n"/>
      <c r="G5" s="51" t="n"/>
      <c r="H5" s="51" t="n"/>
      <c r="I5" s="51" t="n"/>
      <c r="J5" s="51" t="n"/>
      <c r="K5" s="51" t="n"/>
      <c r="L5" s="51" t="n"/>
      <c r="M5" s="51" t="n"/>
      <c r="N5" s="51" t="n"/>
      <c r="O5" s="51" t="n"/>
      <c r="T5" s="163" t="n"/>
    </row>
    <row r="6" ht="15" customFormat="1" customHeight="1" s="47">
      <c r="B6" s="257" t="inlineStr">
        <is>
          <t>记录我们的详细测试所涵盖的样本总体（指引：进行充分描述，以使之前未参与审计的经验丰富的审计人员能够了解如何选择样本，如对总体进行分类和筛选）</t>
        </is>
      </c>
      <c r="C6" s="117" t="n"/>
      <c r="D6" s="117" t="n"/>
      <c r="E6" s="117" t="n"/>
      <c r="F6" s="117" t="n"/>
      <c r="G6" s="117" t="n"/>
      <c r="H6" s="117" t="n"/>
      <c r="I6" s="117" t="n"/>
      <c r="J6" s="117" t="n"/>
      <c r="K6" s="117" t="n"/>
      <c r="L6" s="117" t="n"/>
      <c r="M6" s="117" t="n"/>
      <c r="N6" s="117" t="n"/>
      <c r="O6" s="117" t="n"/>
      <c r="T6" s="163" t="n"/>
    </row>
    <row r="7" ht="15" customFormat="1" customHeight="1" s="47">
      <c r="B7" s="690" t="n"/>
      <c r="C7" s="861" t="n"/>
      <c r="D7" s="861" t="n"/>
      <c r="E7" s="861" t="n"/>
      <c r="F7" s="861" t="n"/>
      <c r="G7" s="861" t="n"/>
      <c r="H7" s="861" t="n"/>
      <c r="I7" s="861" t="n"/>
      <c r="J7" s="861" t="n"/>
      <c r="K7" s="861" t="n"/>
      <c r="L7" s="862" t="n"/>
      <c r="M7" s="118" t="n"/>
      <c r="N7" s="118" t="n"/>
      <c r="O7" s="118" t="n"/>
      <c r="T7" s="163" t="n"/>
    </row>
    <row r="8" ht="15" customFormat="1" customHeight="1" s="47">
      <c r="B8" s="843" t="n"/>
      <c r="C8" s="799" t="n"/>
      <c r="D8" s="799" t="n"/>
      <c r="E8" s="799" t="n"/>
      <c r="F8" s="799" t="n"/>
      <c r="G8" s="799" t="n"/>
      <c r="H8" s="799" t="n"/>
      <c r="I8" s="799" t="n"/>
      <c r="J8" s="799" t="n"/>
      <c r="K8" s="799" t="n"/>
      <c r="L8" s="844" t="n"/>
      <c r="M8" s="118" t="n"/>
      <c r="N8" s="118" t="n"/>
      <c r="O8" s="118" t="n"/>
      <c r="T8" s="163" t="n"/>
    </row>
    <row r="9" ht="15" customFormat="1" customHeight="1" s="47">
      <c r="B9" s="845" t="n"/>
      <c r="C9" s="846" t="n"/>
      <c r="D9" s="846" t="n"/>
      <c r="E9" s="846" t="n"/>
      <c r="F9" s="846" t="n"/>
      <c r="G9" s="846" t="n"/>
      <c r="H9" s="846" t="n"/>
      <c r="I9" s="846" t="n"/>
      <c r="J9" s="846" t="n"/>
      <c r="K9" s="846" t="n"/>
      <c r="L9" s="847" t="n"/>
      <c r="M9" s="118" t="n"/>
      <c r="N9" s="118" t="n"/>
      <c r="O9" s="118" t="n"/>
      <c r="T9" s="163" t="n"/>
    </row>
    <row r="10" ht="15" customFormat="1" customHeight="1" s="47">
      <c r="B10" s="56" t="n"/>
      <c r="C10" s="56" t="n"/>
      <c r="D10" s="56" t="n"/>
      <c r="E10" s="56" t="n"/>
      <c r="T10" s="163" t="n"/>
    </row>
    <row r="11" ht="15" customFormat="1" customHeight="1" s="47">
      <c r="B11" s="119" t="n"/>
      <c r="C11" s="120" t="n"/>
      <c r="D11" s="120" t="n"/>
      <c r="E11" s="121" t="n"/>
      <c r="I11" s="58" t="n"/>
      <c r="J11" s="58" t="n"/>
      <c r="K11" s="58" t="n"/>
      <c r="L11" s="58" t="n"/>
      <c r="N11" s="58" t="n"/>
      <c r="O11" s="58" t="n"/>
      <c r="T11" s="163" t="n"/>
    </row>
    <row r="12" ht="15" customFormat="1" customHeight="1" s="47">
      <c r="B12" s="120" t="inlineStr">
        <is>
          <t>借款协议本年增加总金额</t>
        </is>
      </c>
      <c r="C12" s="120" t="n"/>
      <c r="D12" s="120" t="n"/>
      <c r="E12" s="780" t="n"/>
      <c r="F12" s="61" t="n"/>
      <c r="I12" s="58" t="n"/>
      <c r="J12" s="58" t="n"/>
      <c r="K12" s="58" t="n"/>
      <c r="L12" s="58" t="n"/>
      <c r="N12" s="58" t="n"/>
      <c r="O12" s="58" t="n"/>
      <c r="T12" s="163" t="n"/>
    </row>
    <row r="13" ht="19.5" customFormat="1" customHeight="1" s="47">
      <c r="B13" s="119" t="inlineStr">
        <is>
          <t>Breakdown中本年借款增加金额</t>
        </is>
      </c>
      <c r="C13" s="120" t="n"/>
      <c r="D13" s="120" t="n"/>
      <c r="E13" s="780">
        <f>'Q1.01 BKD'!E15</f>
        <v/>
      </c>
      <c r="F13" s="61" t="inlineStr">
        <is>
          <t>Q.01</t>
        </is>
      </c>
      <c r="I13" s="58" t="n"/>
      <c r="J13" s="58" t="n"/>
      <c r="K13" s="58" t="n"/>
      <c r="L13" s="58" t="n"/>
      <c r="N13" s="58" t="n"/>
      <c r="O13" s="58" t="n"/>
      <c r="T13" s="163" t="n"/>
    </row>
    <row r="14" ht="15" customFormat="1" customHeight="1" s="47">
      <c r="B14" s="122" t="inlineStr">
        <is>
          <t>差异</t>
        </is>
      </c>
      <c r="C14" s="122" t="n"/>
      <c r="D14" s="122" t="n"/>
      <c r="E14" s="863">
        <f>E12-E13</f>
        <v/>
      </c>
      <c r="F14" s="61" t="inlineStr">
        <is>
          <t>Rx</t>
        </is>
      </c>
      <c r="G14" s="64" t="inlineStr">
        <is>
          <t xml:space="preserve">是否需要对差额进行进一步调查？     </t>
        </is>
      </c>
      <c r="H14" s="58" t="n"/>
      <c r="I14" s="58" t="n"/>
      <c r="J14" s="123">
        <f>IF(ABS(E14)&gt;'Q1.00 Lead'!$C$6, "是", "否")</f>
        <v/>
      </c>
      <c r="K14" s="58" t="n"/>
      <c r="L14" s="58" t="n"/>
      <c r="N14" s="58" t="n"/>
      <c r="O14" s="58" t="n"/>
      <c r="T14" s="163" t="n"/>
    </row>
    <row r="15" ht="15" customFormat="1" customHeight="1" s="47">
      <c r="B15" s="112" t="n"/>
      <c r="C15" s="120" t="n"/>
      <c r="D15" s="120" t="n"/>
      <c r="E15" s="780" t="n"/>
      <c r="F15" s="61" t="n"/>
      <c r="G15" s="64" t="n"/>
      <c r="H15" s="58" t="n"/>
      <c r="I15" s="58" t="n"/>
      <c r="J15" s="58" t="n"/>
      <c r="K15" s="58" t="n"/>
      <c r="L15" s="58" t="n"/>
      <c r="N15" s="58" t="n"/>
      <c r="O15" s="58" t="n"/>
      <c r="T15" s="163" t="n"/>
    </row>
    <row r="16" ht="15" customFormat="1" customHeight="1" s="47">
      <c r="B16" s="91" t="inlineStr">
        <is>
          <t>减：测试的关键项目</t>
        </is>
      </c>
      <c r="C16" s="91" t="n"/>
      <c r="D16" s="124" t="n"/>
      <c r="E16" s="780">
        <f>SUM(K34:K40)</f>
        <v/>
      </c>
      <c r="F16" s="125" t="n"/>
      <c r="H16" s="126" t="n"/>
      <c r="I16" s="58" t="n"/>
      <c r="J16" s="58" t="n"/>
      <c r="K16" s="58" t="n"/>
      <c r="L16" s="58" t="n"/>
      <c r="N16" s="58" t="n"/>
      <c r="O16" s="58" t="n"/>
      <c r="T16" s="163" t="n"/>
    </row>
    <row r="17" ht="15" customFormat="1" customHeight="1" s="47">
      <c r="B17" s="122" t="inlineStr">
        <is>
          <t>须进行代表性样本抽样的其余总体</t>
        </is>
      </c>
      <c r="C17" s="122" t="n"/>
      <c r="D17" s="58" t="n"/>
      <c r="E17" s="864">
        <f>E12-E16</f>
        <v/>
      </c>
      <c r="F17" s="61" t="inlineStr">
        <is>
          <t>Rx</t>
        </is>
      </c>
      <c r="H17" s="865" t="n"/>
      <c r="I17" s="58" t="n"/>
      <c r="J17" s="58" t="n"/>
      <c r="K17" s="58" t="n"/>
      <c r="L17" s="58" t="n"/>
      <c r="N17" s="58" t="n"/>
      <c r="O17" s="58" t="n"/>
      <c r="T17" s="163" t="n"/>
    </row>
    <row r="18" ht="15" customFormat="1" customHeight="1" s="47">
      <c r="B18" s="112" t="inlineStr">
        <is>
          <t>1、如果选取的样本在以前年度已经执行过审计程序，且本年协议无变化，可将以前年度合同前推至本期，并在表1的备注列标注索引号。或者，将之前年度已检查并摘录的合同关键信息粘贴到本底稿，并在表1的备注列标注索引。</t>
        </is>
      </c>
      <c r="C18" s="126" t="n"/>
      <c r="D18" s="126" t="n"/>
      <c r="E18" s="126" t="n"/>
      <c r="F18" s="128" t="n"/>
      <c r="G18" s="126" t="n"/>
      <c r="H18" s="126" t="n"/>
      <c r="I18" s="126" t="n"/>
      <c r="J18" s="126" t="n"/>
      <c r="N18" s="58" t="n"/>
      <c r="O18" s="58" t="n"/>
      <c r="T18" s="163" t="n"/>
    </row>
    <row r="19" ht="15" customFormat="1" customHeight="1" s="47">
      <c r="B19" s="112" t="n"/>
      <c r="C19" s="126" t="n"/>
      <c r="D19" s="126" t="n"/>
      <c r="E19" s="126" t="n"/>
      <c r="F19" s="128" t="n"/>
      <c r="G19" s="126" t="n"/>
      <c r="H19" s="126" t="n"/>
      <c r="I19" s="126" t="n"/>
      <c r="J19" s="126" t="n"/>
      <c r="N19" s="58" t="n"/>
      <c r="O19" s="58" t="n"/>
      <c r="T19" s="163" t="n"/>
    </row>
    <row r="20" ht="15" customFormat="1" customHeight="1" s="47">
      <c r="B20" s="258" t="inlineStr">
        <is>
          <t>在下面描述选择关键项目的理由（请参阅Canvas引导式工作流程的“关键项目”部分，包括信息图标）</t>
        </is>
      </c>
      <c r="C20" s="129" t="n"/>
      <c r="D20" s="129" t="n"/>
      <c r="E20" s="94" t="n"/>
      <c r="F20" s="129" t="n"/>
      <c r="G20" s="129" t="n"/>
      <c r="H20" s="129" t="n"/>
      <c r="I20" s="129" t="n"/>
      <c r="J20" s="129" t="n"/>
      <c r="T20" s="163" t="n"/>
    </row>
    <row r="21" ht="14" customFormat="1" customHeight="1" s="47">
      <c r="B21" s="691" t="n"/>
      <c r="C21" s="861" t="n"/>
      <c r="D21" s="861" t="n"/>
      <c r="E21" s="861" t="n"/>
      <c r="F21" s="861" t="n"/>
      <c r="G21" s="861" t="n"/>
      <c r="H21" s="861" t="n"/>
      <c r="I21" s="861" t="n"/>
      <c r="J21" s="861" t="n"/>
      <c r="K21" s="861" t="n"/>
      <c r="L21" s="862" t="n"/>
      <c r="M21" s="118" t="n"/>
      <c r="N21" s="118" t="n"/>
      <c r="O21" s="118" t="n"/>
      <c r="T21" s="163" t="n"/>
    </row>
    <row r="22" ht="14" customFormat="1" customHeight="1" s="47">
      <c r="B22" s="843" t="n"/>
      <c r="C22" s="799" t="n"/>
      <c r="D22" s="799" t="n"/>
      <c r="E22" s="799" t="n"/>
      <c r="F22" s="799" t="n"/>
      <c r="G22" s="799" t="n"/>
      <c r="H22" s="799" t="n"/>
      <c r="I22" s="799" t="n"/>
      <c r="J22" s="799" t="n"/>
      <c r="K22" s="799" t="n"/>
      <c r="L22" s="844" t="n"/>
      <c r="M22" s="118" t="n"/>
      <c r="N22" s="118" t="n"/>
      <c r="O22" s="118" t="n"/>
      <c r="T22" s="163" t="n"/>
    </row>
    <row r="23" ht="14" customFormat="1" customHeight="1" s="47">
      <c r="B23" s="845" t="n"/>
      <c r="C23" s="846" t="n"/>
      <c r="D23" s="846" t="n"/>
      <c r="E23" s="846" t="n"/>
      <c r="F23" s="846" t="n"/>
      <c r="G23" s="846" t="n"/>
      <c r="H23" s="846" t="n"/>
      <c r="I23" s="846" t="n"/>
      <c r="J23" s="846" t="n"/>
      <c r="K23" s="846" t="n"/>
      <c r="L23" s="847" t="n"/>
      <c r="M23" s="118" t="n"/>
      <c r="N23" s="118" t="n"/>
      <c r="O23" s="118" t="n"/>
      <c r="T23" s="163" t="n"/>
    </row>
    <row r="24" ht="17.25" customFormat="1" customHeight="1" s="47">
      <c r="B24" s="55" t="n"/>
      <c r="C24" s="55" t="n"/>
      <c r="D24" s="55" t="n"/>
      <c r="E24" s="55" t="n"/>
      <c r="F24" s="55" t="n"/>
      <c r="G24" s="55" t="n"/>
      <c r="H24" s="55" t="n"/>
      <c r="I24" s="55" t="n"/>
      <c r="J24" s="55" t="n"/>
      <c r="K24" s="55" t="n"/>
      <c r="L24" s="55" t="n"/>
      <c r="M24" s="118" t="n"/>
      <c r="N24" s="118" t="n"/>
      <c r="O24" s="118" t="n"/>
      <c r="T24" s="163" t="n"/>
    </row>
    <row r="25" ht="15" customFormat="1" customHeight="1" s="47">
      <c r="A25" s="60" t="n"/>
      <c r="B25" s="255" t="inlineStr">
        <is>
          <t>表1 我们对抽出的关键项和代表性样本执行以下程序：</t>
        </is>
      </c>
      <c r="C25" s="52" t="n"/>
      <c r="D25" s="130" t="n"/>
      <c r="E25" s="130" t="n"/>
      <c r="F25" s="866" t="n"/>
      <c r="G25" s="865" t="n"/>
      <c r="H25" s="867" t="n"/>
      <c r="I25" s="868" t="n"/>
      <c r="J25" s="73" t="n"/>
      <c r="T25" s="163" t="n"/>
    </row>
    <row r="26" ht="15" customFormat="1" customHeight="1" s="47">
      <c r="A26" s="74" t="n"/>
      <c r="B26" s="477" t="inlineStr">
        <is>
          <t>安永属性测试说明：</t>
        </is>
      </c>
      <c r="C26" s="478" t="n"/>
      <c r="D26" s="478" t="n"/>
      <c r="E26" s="478" t="n"/>
      <c r="F26" s="478" t="n"/>
      <c r="G26" s="478" t="n"/>
      <c r="H26" s="478" t="n"/>
      <c r="I26" s="478" t="n"/>
      <c r="J26" s="478" t="n"/>
      <c r="K26" s="478" t="n"/>
      <c r="L26" s="479" t="n"/>
      <c r="M26" s="96" t="n"/>
      <c r="T26" s="163" t="n"/>
    </row>
    <row r="27" ht="15" customFormat="1" customHeight="1" s="47">
      <c r="A27" s="74" t="n"/>
      <c r="B27" s="585" t="inlineStr">
        <is>
          <t>对于每个选择测试的项目，我们检查了相关的第三方证据（如贷款协议），获取了管理层对贷款协议的评估，并执行了以下操作：</t>
        </is>
      </c>
      <c r="C27" s="586" t="n"/>
      <c r="D27" s="586" t="n"/>
      <c r="E27" s="586" t="n"/>
      <c r="F27" s="586" t="n"/>
      <c r="G27" s="586" t="n"/>
      <c r="H27" s="586" t="n"/>
      <c r="I27" s="586" t="n"/>
      <c r="J27" s="586" t="n"/>
      <c r="K27" s="586" t="n"/>
      <c r="L27" s="587" t="n"/>
      <c r="M27" s="96" t="n"/>
      <c r="T27" s="163" t="n"/>
    </row>
    <row r="28" ht="14" customFormat="1" customHeight="1" s="133">
      <c r="B28" s="692" t="inlineStr">
        <is>
          <t>1）我们获取并检查了本年有新增/修改的借款协议，以验证借款金额、利率、到期日、转换权、币种、抵质押资产和担保人的准确性，从而得出结论，负债妥善记录于正确的期间内。</t>
        </is>
      </c>
      <c r="C28" s="869" t="n"/>
      <c r="D28" s="869" t="n"/>
      <c r="E28" s="869" t="n"/>
      <c r="F28" s="869" t="n"/>
      <c r="G28" s="869" t="n"/>
      <c r="H28" s="869" t="n"/>
      <c r="I28" s="869" t="n"/>
      <c r="J28" s="869" t="n"/>
      <c r="K28" s="869" t="n"/>
      <c r="L28" s="870" t="n"/>
      <c r="M28" s="134" t="n"/>
      <c r="N28" s="134" t="n"/>
      <c r="O28" s="134" t="n"/>
      <c r="T28" s="163" t="n"/>
    </row>
    <row r="29" ht="14" customFormat="1" customHeight="1" s="133">
      <c r="B29" s="692" t="inlineStr">
        <is>
          <t>2）【如无此类条款，请标记N/a】我们检查了借款协议中有关赎回、其他提前还款特征和主观加速条款的相关章节，以确定负债在适当期间内准确记录。</t>
        </is>
      </c>
      <c r="C29" s="869" t="n"/>
      <c r="D29" s="869" t="n"/>
      <c r="E29" s="869" t="n"/>
      <c r="F29" s="869" t="n"/>
      <c r="G29" s="869" t="n"/>
      <c r="H29" s="869" t="n"/>
      <c r="I29" s="869" t="n"/>
      <c r="J29" s="869" t="n"/>
      <c r="K29" s="869" t="n"/>
      <c r="L29" s="870" t="n"/>
      <c r="M29" s="134" t="n"/>
      <c r="N29" s="134" t="n"/>
      <c r="O29" s="134" t="n"/>
      <c r="T29" s="163" t="n"/>
    </row>
    <row r="30" ht="29.65" customFormat="1" customHeight="1" s="133">
      <c r="B30" s="692" t="inlineStr">
        <is>
          <t>3）【如无此类条款，请标记N/a】对于递延融资费用及相关摊销，我们评估了递延融资费用与对应借款的相关性。我们获得了被审计单位的递延融资费用计算结果，我们将计算结果与总账核对，并核对了计算过程，以验证计算的准确性，从而得出结论，这些递延融资融资费用妥善记入正确的期间。</t>
        </is>
      </c>
      <c r="C30" s="869" t="n"/>
      <c r="D30" s="869" t="n"/>
      <c r="E30" s="869" t="n"/>
      <c r="F30" s="869" t="n"/>
      <c r="G30" s="869" t="n"/>
      <c r="H30" s="869" t="n"/>
      <c r="I30" s="869" t="n"/>
      <c r="J30" s="869" t="n"/>
      <c r="K30" s="869" t="n"/>
      <c r="L30" s="870" t="n"/>
      <c r="M30" s="134" t="n"/>
      <c r="N30" s="134" t="n"/>
      <c r="O30" s="134" t="n"/>
      <c r="T30" s="163" t="n"/>
    </row>
    <row r="31" ht="15" customFormat="1" customHeight="1" s="47">
      <c r="B31" s="693" t="inlineStr">
        <is>
          <t xml:space="preserve">4） 我们确定了将负债适当分类为非流动或流动贷款和借款是否符合协议条款和适用的财务报告框架。 </t>
        </is>
      </c>
      <c r="C31" s="869" t="n"/>
      <c r="D31" s="869" t="n"/>
      <c r="E31" s="869" t="n"/>
      <c r="F31" s="869" t="n"/>
      <c r="G31" s="869" t="n"/>
      <c r="H31" s="869" t="n"/>
      <c r="I31" s="869" t="n"/>
      <c r="J31" s="869" t="n"/>
      <c r="K31" s="869" t="n"/>
      <c r="L31" s="870" t="n"/>
      <c r="T31" s="163" t="n"/>
    </row>
    <row r="32" ht="15" customFormat="1" customHeight="1" s="47">
      <c r="B32" s="19" t="n"/>
      <c r="F32" s="125" t="n"/>
      <c r="K32" s="58" t="n"/>
      <c r="L32" s="135" t="inlineStr">
        <is>
          <t>|-------Rx-------|</t>
        </is>
      </c>
      <c r="N32" s="871" t="inlineStr">
        <is>
          <t>EY Works</t>
        </is>
      </c>
      <c r="O32" s="764" t="n"/>
      <c r="P32" s="764" t="n"/>
      <c r="Q32" s="765" t="n"/>
      <c r="T32" s="163" t="n"/>
    </row>
    <row r="33" ht="67.5" customFormat="1" customHeight="1" s="47">
      <c r="B33" s="635" t="inlineStr">
        <is>
          <t>编号</t>
        </is>
      </c>
      <c r="C33" s="264" t="inlineStr">
        <is>
          <t>样本类型
（使用下拉列表）</t>
        </is>
      </c>
      <c r="D33" s="872" t="inlineStr">
        <is>
          <t>债务描述/债务工具</t>
        </is>
      </c>
      <c r="E33" s="872" t="inlineStr">
        <is>
          <t>总账账户</t>
        </is>
      </c>
      <c r="F33" s="872" t="inlineStr">
        <is>
          <t>债权人</t>
        </is>
      </c>
      <c r="G33" s="872" t="inlineStr">
        <is>
          <t>协议签订日期</t>
        </is>
      </c>
      <c r="H33" s="137" t="inlineStr">
        <is>
          <t>到期日</t>
        </is>
      </c>
      <c r="I33" s="872" t="inlineStr">
        <is>
          <t>货币</t>
        </is>
      </c>
      <c r="J33" s="476" t="inlineStr">
        <is>
          <t>支持性文档记录中的本金金额</t>
        </is>
      </c>
      <c r="K33" s="138" t="inlineStr">
        <is>
          <t xml:space="preserve">总账中记录的金额 </t>
        </is>
      </c>
      <c r="L33" s="138" t="inlineStr">
        <is>
          <t>支持性文档记录与总账金额之间的差额</t>
        </is>
      </c>
      <c r="M33" s="139" t="inlineStr">
        <is>
          <t>利率</t>
        </is>
      </c>
      <c r="N33" s="246" t="n">
        <v>1</v>
      </c>
      <c r="O33" s="246" t="n">
        <v>2</v>
      </c>
      <c r="P33" s="246" t="n">
        <v>3</v>
      </c>
      <c r="Q33" s="246" t="n">
        <v>4</v>
      </c>
      <c r="R33" s="343" t="inlineStr">
        <is>
          <t>Notes</t>
        </is>
      </c>
      <c r="S33" s="58" t="n"/>
      <c r="T33" s="163" t="n"/>
    </row>
    <row r="34" ht="15" customFormat="1" customHeight="1" s="47">
      <c r="B34" s="538" t="n"/>
      <c r="C34" s="539" t="n"/>
      <c r="D34" s="716" t="n"/>
      <c r="E34" s="716" t="n"/>
      <c r="F34" s="716" t="n"/>
      <c r="G34" s="531" t="n"/>
      <c r="H34" s="531" t="n"/>
      <c r="I34" s="716" t="n"/>
      <c r="J34" s="873" t="n"/>
      <c r="K34" s="873" t="n"/>
      <c r="L34" s="858">
        <f>J34-K34</f>
        <v/>
      </c>
      <c r="M34" s="851" t="n"/>
      <c r="N34" s="250" t="n"/>
      <c r="O34" s="250" t="n"/>
      <c r="P34" s="250" t="n"/>
      <c r="Q34" s="250" t="n"/>
      <c r="R34" s="716" t="n"/>
      <c r="S34" s="725" t="n"/>
      <c r="T34" s="163" t="n"/>
    </row>
    <row r="35" ht="15" customFormat="1" customHeight="1" s="47">
      <c r="B35" s="538" t="n"/>
      <c r="C35" s="539" t="n"/>
      <c r="D35" s="716" t="n"/>
      <c r="E35" s="716" t="n"/>
      <c r="F35" s="716" t="n"/>
      <c r="G35" s="531" t="n"/>
      <c r="H35" s="531" t="n"/>
      <c r="I35" s="716" t="n"/>
      <c r="J35" s="873" t="n"/>
      <c r="K35" s="873" t="n"/>
      <c r="L35" s="858">
        <f>J35-K35</f>
        <v/>
      </c>
      <c r="M35" s="851" t="n"/>
      <c r="N35" s="250" t="n"/>
      <c r="O35" s="250" t="n"/>
      <c r="P35" s="250" t="n"/>
      <c r="Q35" s="250" t="n"/>
      <c r="R35" s="716" t="n"/>
      <c r="S35" s="725" t="n"/>
      <c r="T35" s="163" t="n"/>
    </row>
    <row r="36" ht="15" customFormat="1" customHeight="1" s="47">
      <c r="B36" s="538" t="n"/>
      <c r="C36" s="539" t="n"/>
      <c r="D36" s="716" t="n"/>
      <c r="E36" s="716" t="n"/>
      <c r="F36" s="716" t="n"/>
      <c r="G36" s="531" t="n"/>
      <c r="H36" s="531" t="n"/>
      <c r="I36" s="716" t="n"/>
      <c r="J36" s="873" t="n"/>
      <c r="K36" s="873" t="n"/>
      <c r="L36" s="858">
        <f>J36-K36</f>
        <v/>
      </c>
      <c r="M36" s="851" t="n"/>
      <c r="N36" s="250" t="n"/>
      <c r="O36" s="250" t="n"/>
      <c r="P36" s="250" t="n"/>
      <c r="Q36" s="250" t="n"/>
      <c r="R36" s="716" t="n"/>
      <c r="S36" s="725" t="n"/>
      <c r="T36" s="163" t="n"/>
    </row>
    <row r="37" ht="15" customFormat="1" customHeight="1" s="47">
      <c r="B37" s="538" t="n"/>
      <c r="C37" s="539" t="n"/>
      <c r="D37" s="716" t="n"/>
      <c r="E37" s="716" t="n"/>
      <c r="F37" s="716" t="n"/>
      <c r="G37" s="531" t="n"/>
      <c r="H37" s="531" t="n"/>
      <c r="I37" s="716" t="n"/>
      <c r="J37" s="873" t="n"/>
      <c r="K37" s="873" t="n"/>
      <c r="L37" s="858">
        <f>J37-K37</f>
        <v/>
      </c>
      <c r="M37" s="851" t="n"/>
      <c r="N37" s="250" t="n"/>
      <c r="O37" s="250" t="n"/>
      <c r="P37" s="250" t="n"/>
      <c r="Q37" s="250" t="n"/>
      <c r="R37" s="716" t="n"/>
      <c r="S37" s="725" t="n"/>
      <c r="T37" s="163" t="n"/>
    </row>
    <row r="38" ht="15" customFormat="1" customHeight="1" s="47">
      <c r="B38" s="538" t="n"/>
      <c r="C38" s="539" t="n"/>
      <c r="D38" s="716" t="n"/>
      <c r="E38" s="716" t="n"/>
      <c r="F38" s="716" t="n"/>
      <c r="G38" s="531" t="n"/>
      <c r="H38" s="531" t="n"/>
      <c r="I38" s="716" t="n"/>
      <c r="J38" s="873" t="n"/>
      <c r="K38" s="873" t="n"/>
      <c r="L38" s="858">
        <f>J38-K38</f>
        <v/>
      </c>
      <c r="M38" s="851" t="n"/>
      <c r="N38" s="250" t="n"/>
      <c r="O38" s="250" t="n"/>
      <c r="P38" s="250" t="n"/>
      <c r="Q38" s="250" t="n"/>
      <c r="R38" s="716" t="n"/>
      <c r="S38" s="725" t="n"/>
      <c r="T38" s="163" t="n"/>
    </row>
    <row r="39" ht="15" customFormat="1" customHeight="1" s="47">
      <c r="B39" s="538" t="n"/>
      <c r="C39" s="539" t="n"/>
      <c r="D39" s="716" t="n"/>
      <c r="E39" s="716" t="n"/>
      <c r="F39" s="716" t="n"/>
      <c r="G39" s="531" t="n"/>
      <c r="H39" s="531" t="n"/>
      <c r="I39" s="716" t="n"/>
      <c r="J39" s="873" t="n"/>
      <c r="K39" s="873" t="n"/>
      <c r="L39" s="858">
        <f>J39-K39</f>
        <v/>
      </c>
      <c r="M39" s="851" t="n"/>
      <c r="N39" s="250" t="n"/>
      <c r="O39" s="250" t="n"/>
      <c r="P39" s="250" t="n"/>
      <c r="Q39" s="250" t="n"/>
      <c r="R39" s="716" t="n"/>
      <c r="S39" s="725" t="n"/>
      <c r="T39" s="163" t="n"/>
    </row>
    <row r="40" ht="15" customFormat="1" customHeight="1" s="47">
      <c r="B40" s="538" t="n"/>
      <c r="C40" s="539" t="n"/>
      <c r="D40" s="716" t="n"/>
      <c r="E40" s="716" t="n"/>
      <c r="F40" s="716" t="n"/>
      <c r="G40" s="531" t="n"/>
      <c r="H40" s="531" t="n"/>
      <c r="I40" s="716" t="n"/>
      <c r="J40" s="873" t="n"/>
      <c r="K40" s="873" t="n"/>
      <c r="L40" s="858">
        <f>J40-K40</f>
        <v/>
      </c>
      <c r="M40" s="851" t="n"/>
      <c r="N40" s="250" t="n"/>
      <c r="O40" s="250" t="n"/>
      <c r="P40" s="250" t="n"/>
      <c r="Q40" s="250" t="n"/>
      <c r="R40" s="716" t="n"/>
      <c r="S40" s="725" t="n"/>
      <c r="T40" s="163" t="n"/>
    </row>
    <row r="41" ht="15" customFormat="1" customHeight="1" s="58">
      <c r="T41" s="163" t="n"/>
    </row>
    <row r="42" ht="15" customFormat="1" customHeight="1" s="58">
      <c r="A42" s="42" t="n"/>
      <c r="B42" s="140" t="inlineStr">
        <is>
          <t>Notes</t>
        </is>
      </c>
      <c r="C42" s="42" t="n"/>
      <c r="D42" s="42" t="n"/>
      <c r="E42" s="42" t="n"/>
      <c r="F42" s="42" t="n"/>
      <c r="H42" s="42" t="n"/>
      <c r="I42" s="42" t="n"/>
      <c r="J42" s="42" t="n"/>
      <c r="K42" s="42" t="n"/>
      <c r="L42" s="42" t="n"/>
      <c r="M42" s="42" t="n"/>
      <c r="T42" s="163" t="n"/>
    </row>
    <row r="43" ht="13.9" customFormat="1" customHeight="1" s="58">
      <c r="A43" s="42" t="n"/>
      <c r="B43" s="840" t="n"/>
      <c r="C43" s="841" t="n"/>
      <c r="D43" s="841" t="n"/>
      <c r="E43" s="841" t="n"/>
      <c r="F43" s="842" t="n"/>
      <c r="H43" s="42" t="n"/>
      <c r="I43" s="42" t="n"/>
      <c r="J43" s="42" t="n"/>
      <c r="K43" s="42" t="n"/>
      <c r="L43" s="42" t="n"/>
      <c r="M43" s="42" t="n"/>
      <c r="T43" s="163" t="n"/>
    </row>
    <row r="44" ht="13.9" customFormat="1" customHeight="1" s="58">
      <c r="A44" s="42" t="n"/>
      <c r="B44" s="843" t="n"/>
      <c r="C44" s="799" t="n"/>
      <c r="D44" s="799" t="n"/>
      <c r="E44" s="799" t="n"/>
      <c r="F44" s="844" t="n"/>
      <c r="H44" s="42" t="n"/>
      <c r="I44" s="42" t="n"/>
      <c r="J44" s="42" t="n"/>
      <c r="K44" s="42" t="n"/>
      <c r="L44" s="42" t="n"/>
      <c r="M44" s="42" t="n"/>
      <c r="T44" s="163" t="n"/>
    </row>
    <row r="45" ht="13.9" customFormat="1" customHeight="1" s="58">
      <c r="A45" s="42" t="n"/>
      <c r="B45" s="845" t="n"/>
      <c r="C45" s="846" t="n"/>
      <c r="D45" s="846" t="n"/>
      <c r="E45" s="846" t="n"/>
      <c r="F45" s="847" t="n"/>
      <c r="H45" s="42" t="n"/>
      <c r="I45" s="42" t="n"/>
      <c r="J45" s="42" t="n"/>
      <c r="K45" s="42" t="n"/>
      <c r="L45" s="42" t="n"/>
      <c r="M45" s="42" t="n"/>
      <c r="T45" s="163" t="n"/>
    </row>
    <row r="46" ht="14" customFormat="1" customHeight="1" s="58">
      <c r="A46" s="42" t="n"/>
      <c r="B46" s="42" t="n"/>
      <c r="C46" s="42" t="n"/>
      <c r="D46" s="42" t="n"/>
      <c r="E46" s="42" t="n"/>
      <c r="F46" s="42" t="n"/>
      <c r="G46" s="42" t="n"/>
      <c r="H46" s="42" t="n"/>
      <c r="I46" s="42" t="n"/>
      <c r="J46" s="42" t="n"/>
      <c r="K46" s="42" t="n"/>
      <c r="L46" s="42" t="n"/>
      <c r="M46" s="42" t="n"/>
      <c r="T46" s="163" t="n"/>
    </row>
    <row r="47" ht="14.5" customFormat="1" customHeight="1" s="58">
      <c r="A47" s="42" t="n"/>
      <c r="B47" s="11" t="inlineStr">
        <is>
          <t>脚注</t>
        </is>
      </c>
      <c r="C47" s="42" t="n"/>
      <c r="D47" s="42" t="n"/>
      <c r="E47" s="42" t="n"/>
      <c r="F47" s="42" t="n"/>
      <c r="G47" s="42" t="n"/>
      <c r="H47" s="42" t="n"/>
      <c r="I47" s="42" t="n"/>
      <c r="J47" s="42" t="n"/>
      <c r="K47" s="42" t="n"/>
      <c r="L47" s="42" t="n"/>
      <c r="M47" s="42" t="n"/>
      <c r="T47" s="163" t="n"/>
    </row>
    <row r="48" ht="14" customFormat="1" customHeight="1" s="58">
      <c r="A48" s="5" t="n"/>
      <c r="B48" s="874" t="inlineStr">
        <is>
          <t>1.本工作底稿不涉及复杂安排的借款协议，如涉及转换权特征、赎回、其他提前还款特征和主观加速条款等嵌入特征，则需要制定其他实质性程序（OSP）来审计这些较复杂的安排，并在表1“备注”列中添加相关工作底稿索引。对于较复杂的安排，审计小组考虑在必要时邀请具有专业知识的专业人员参与；
2.如果贷款或借款为循环信贷额度，则本金金额为未偿付金额，而不是循环信贷额度的总额；
3.在评估债务流动性分类时，应考虑主观加速条款；
4.在该备注栏中，审计小组可添加交叉索引至会计备忘录，如金融负债或权益工具分类的测试。这些程序应当设计恰当的OSP来进行验证。</t>
        </is>
      </c>
      <c r="C48" s="770" t="n"/>
      <c r="D48" s="770" t="n"/>
      <c r="E48" s="770" t="n"/>
      <c r="F48" s="771" t="n"/>
      <c r="H48" s="42" t="n"/>
      <c r="I48" s="42" t="n"/>
      <c r="J48" s="42" t="n"/>
      <c r="K48" s="42" t="n"/>
      <c r="L48" s="42" t="n"/>
      <c r="M48" s="42" t="n"/>
      <c r="T48" s="163" t="n"/>
    </row>
    <row r="49" ht="14" customFormat="1" customHeight="1" s="58">
      <c r="B49" s="772" t="n"/>
      <c r="F49" s="773" t="n"/>
      <c r="H49" s="42" t="n"/>
      <c r="I49" s="42" t="n"/>
      <c r="J49" s="42" t="n"/>
      <c r="K49" s="42" t="n"/>
      <c r="L49" s="42" t="n"/>
      <c r="M49" s="42" t="n"/>
      <c r="T49" s="163" t="n"/>
    </row>
    <row r="50" ht="14" customFormat="1" customHeight="1" s="58">
      <c r="B50" s="772" t="n"/>
      <c r="F50" s="773" t="n"/>
      <c r="H50" s="42" t="n"/>
      <c r="I50" s="42" t="n"/>
      <c r="J50" s="42" t="n"/>
      <c r="K50" s="42" t="n"/>
      <c r="L50" s="42" t="n"/>
      <c r="M50" s="42" t="n"/>
      <c r="T50" s="163" t="n"/>
    </row>
    <row r="51" ht="14" customFormat="1" customHeight="1" s="58">
      <c r="B51" s="772" t="n"/>
      <c r="F51" s="773" t="n"/>
      <c r="H51" s="42" t="n"/>
      <c r="I51" s="42" t="n"/>
      <c r="J51" s="42" t="n"/>
      <c r="K51" s="42" t="n"/>
      <c r="L51" s="42" t="n"/>
      <c r="M51" s="42" t="n"/>
      <c r="T51" s="163" t="n"/>
    </row>
    <row r="52" ht="14" customFormat="1" customHeight="1" s="58">
      <c r="B52" s="772" t="n"/>
      <c r="F52" s="773" t="n"/>
      <c r="H52" s="42" t="n"/>
      <c r="I52" s="42" t="n"/>
      <c r="J52" s="42" t="n"/>
      <c r="K52" s="42" t="n"/>
      <c r="L52" s="42" t="n"/>
      <c r="M52" s="42" t="n"/>
      <c r="T52" s="163" t="n"/>
    </row>
    <row r="53" ht="14" customFormat="1" customHeight="1" s="58">
      <c r="B53" s="772" t="n"/>
      <c r="F53" s="773" t="n"/>
      <c r="H53" s="42" t="n"/>
      <c r="I53" s="42" t="n"/>
      <c r="J53" s="42" t="n"/>
      <c r="K53" s="42" t="n"/>
      <c r="L53" s="42" t="n"/>
      <c r="M53" s="42" t="n"/>
      <c r="T53" s="163" t="n"/>
    </row>
    <row r="54" ht="14" customFormat="1" customHeight="1" s="58">
      <c r="B54" s="772" t="n"/>
      <c r="F54" s="773" t="n"/>
      <c r="H54" s="42" t="n"/>
      <c r="I54" s="42" t="n"/>
      <c r="J54" s="42" t="n"/>
      <c r="K54" s="42" t="n"/>
      <c r="L54" s="42" t="n"/>
      <c r="M54" s="42" t="n"/>
      <c r="T54" s="163" t="n"/>
    </row>
    <row r="55" ht="14" customFormat="1" customHeight="1" s="58">
      <c r="B55" s="772" t="n"/>
      <c r="F55" s="773" t="n"/>
      <c r="H55" s="42" t="n"/>
      <c r="I55" s="42" t="n"/>
      <c r="J55" s="42" t="n"/>
      <c r="K55" s="42" t="n"/>
      <c r="L55" s="42" t="n"/>
      <c r="M55" s="42" t="n"/>
      <c r="T55" s="163" t="n"/>
    </row>
    <row r="56" ht="14" customFormat="1" customHeight="1" s="58">
      <c r="B56" s="772" t="n"/>
      <c r="F56" s="773" t="n"/>
      <c r="H56" s="42" t="n"/>
      <c r="I56" s="42" t="n"/>
      <c r="J56" s="42" t="n"/>
      <c r="K56" s="42" t="n"/>
      <c r="L56" s="42" t="n"/>
      <c r="M56" s="42" t="n"/>
      <c r="T56" s="163" t="n"/>
    </row>
    <row r="57" ht="31.15" customFormat="1" customHeight="1" s="58">
      <c r="B57" s="775" t="n"/>
      <c r="C57" s="762" t="n"/>
      <c r="D57" s="762" t="n"/>
      <c r="E57" s="762" t="n"/>
      <c r="F57" s="761" t="n"/>
      <c r="H57" s="42" t="n"/>
      <c r="I57" s="42" t="n"/>
      <c r="J57" s="42" t="n"/>
      <c r="K57" s="42" t="n"/>
      <c r="L57" s="42" t="n"/>
      <c r="M57" s="42" t="n"/>
      <c r="T57" s="163" t="n"/>
    </row>
    <row r="58" ht="15" customFormat="1" customHeight="1" s="47">
      <c r="B58" s="91" t="n"/>
      <c r="C58" s="91" t="n"/>
      <c r="D58" s="91" t="n"/>
      <c r="E58" s="91" t="n"/>
      <c r="F58" s="91" t="n"/>
      <c r="G58" s="91" t="n"/>
      <c r="H58" s="91" t="n"/>
      <c r="I58" s="91" t="n"/>
      <c r="J58" s="91" t="n"/>
      <c r="K58" s="91" t="n"/>
      <c r="L58" s="91" t="n"/>
      <c r="M58" s="91" t="n"/>
      <c r="N58" s="91" t="n"/>
      <c r="O58" s="91" t="n"/>
      <c r="T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Q59" s="163" t="n"/>
      <c r="R59" s="163" t="n"/>
      <c r="S59" s="163" t="n"/>
      <c r="T59" s="163" t="n"/>
      <c r="U59" s="47" t="n"/>
      <c r="V59" s="47" t="n"/>
    </row>
    <row r="60" ht="15" customFormat="1" customHeight="1" s="58">
      <c r="T60" s="42" t="n"/>
    </row>
    <row r="61" ht="15" customFormat="1" customHeight="1" s="47">
      <c r="T61" s="42" t="n"/>
    </row>
  </sheetData>
  <mergeCells count="9">
    <mergeCell ref="B48:F57"/>
    <mergeCell ref="B43:F45"/>
    <mergeCell ref="B30:L30"/>
    <mergeCell ref="B29:L29"/>
    <mergeCell ref="B21:L23"/>
    <mergeCell ref="B7:L9"/>
    <mergeCell ref="B28:L28"/>
    <mergeCell ref="N32:Q32"/>
    <mergeCell ref="B31:L31"/>
  </mergeCells>
  <conditionalFormatting sqref="B7 B43">
    <cfRule type="containsBlanks" priority="53" dxfId="1">
      <formula>LEN(TRIM(B7))=0</formula>
    </cfRule>
  </conditionalFormatting>
  <conditionalFormatting sqref="B21">
    <cfRule type="containsBlanks" priority="54" dxfId="1">
      <formula>LEN(TRIM(B21))=0</formula>
    </cfRule>
  </conditionalFormatting>
  <conditionalFormatting sqref="B34:M40">
    <cfRule type="containsBlanks" priority="3" dxfId="1">
      <formula>LEN(TRIM(B34))=0</formula>
    </cfRule>
  </conditionalFormatting>
  <conditionalFormatting sqref="E12:E13">
    <cfRule type="containsBlanks" priority="1" dxfId="1">
      <formula>LEN(TRIM(E12))=0</formula>
    </cfRule>
  </conditionalFormatting>
  <conditionalFormatting sqref="E16">
    <cfRule type="containsBlanks" priority="56" dxfId="1">
      <formula>LEN(TRIM(E16))=0</formula>
    </cfRule>
  </conditionalFormatting>
  <conditionalFormatting sqref="L32">
    <cfRule type="expression" priority="22" dxfId="10">
      <formula>#REF! = "No"</formula>
    </cfRule>
  </conditionalFormatting>
  <conditionalFormatting sqref="N34:Q40">
    <cfRule type="containsBlanks" priority="2" dxfId="0">
      <formula>LEN(TRIM(N34))=0</formula>
    </cfRule>
  </conditionalFormatting>
  <dataValidations count="2">
    <dataValidation sqref="N34:Q40" showDropDown="0" showInputMessage="1" showErrorMessage="0" allowBlank="1" type="list">
      <formula1>"Y,N"</formula1>
    </dataValidation>
    <dataValidation sqref="C34: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Q29"/>
  <sheetViews>
    <sheetView showGridLines="0" zoomScale="70" zoomScaleNormal="70" workbookViewId="0">
      <selection activeCell="C5" sqref="C5"/>
    </sheetView>
  </sheetViews>
  <sheetFormatPr baseColWidth="8" defaultColWidth="8.7265625" defaultRowHeight="14"/>
  <cols>
    <col width="2.453125" customWidth="1" style="359" min="1" max="1"/>
    <col width="15.453125" customWidth="1" style="359" min="2" max="9"/>
    <col width="10.453125" customWidth="1" style="359" min="10" max="13"/>
    <col width="2.453125" customWidth="1" style="359" min="14" max="14"/>
    <col width="1.453125" customWidth="1" style="359" min="15" max="15"/>
    <col width="8.7265625" customWidth="1" style="359" min="16" max="16"/>
    <col width="10.453125" bestFit="1" customWidth="1" style="359" min="17" max="17"/>
    <col width="8.7265625" customWidth="1" style="359" min="18" max="16384"/>
  </cols>
  <sheetData>
    <row r="1" ht="50.25" customHeight="1" s="755">
      <c r="A1" s="470" t="n"/>
      <c r="B1" s="694" t="inlineStr">
        <is>
          <t>标准工作底稿：Q1 SWP 银行借款</t>
        </is>
      </c>
      <c r="C1" s="770" t="n"/>
      <c r="D1" s="770" t="n"/>
      <c r="E1" s="770" t="n"/>
      <c r="F1" s="770" t="n"/>
      <c r="G1" s="770" t="n"/>
      <c r="H1" s="770" t="n"/>
      <c r="I1" s="770" t="n"/>
      <c r="J1" s="770" t="n"/>
      <c r="K1" s="770" t="n"/>
      <c r="L1" s="770" t="n"/>
      <c r="M1" s="770" t="n"/>
      <c r="N1" s="470" t="n"/>
      <c r="O1" s="471" t="inlineStr">
        <is>
          <t> </t>
        </is>
      </c>
      <c r="P1" s="470" t="n"/>
      <c r="Q1" s="470" t="n"/>
    </row>
    <row r="2" ht="30" customHeight="1" s="755">
      <c r="A2" s="470" t="n"/>
      <c r="B2" s="875" t="inlineStr">
        <is>
          <t xml:space="preserve">Q1.04 实质性分析程序 </t>
        </is>
      </c>
      <c r="C2" s="764" t="n"/>
      <c r="D2" s="764" t="n"/>
      <c r="E2" s="764" t="n"/>
      <c r="F2" s="764" t="n"/>
      <c r="G2" s="764" t="n"/>
      <c r="H2" s="764" t="n"/>
      <c r="I2" s="764" t="n"/>
      <c r="J2" s="764" t="n"/>
      <c r="K2" s="764" t="n"/>
      <c r="L2" s="764" t="n"/>
      <c r="M2" s="765" t="n"/>
      <c r="N2" s="470" t="n"/>
      <c r="O2" s="471" t="inlineStr">
        <is>
          <t> </t>
        </is>
      </c>
      <c r="P2" s="470" t="n"/>
      <c r="Q2" s="470" t="n"/>
    </row>
    <row r="3" ht="11.5" customHeight="1" s="755">
      <c r="A3" s="470" t="n"/>
      <c r="B3" s="472" t="n"/>
      <c r="C3" s="472" t="n"/>
      <c r="D3" s="472" t="n"/>
      <c r="E3" s="472" t="n"/>
      <c r="F3" s="472" t="n"/>
      <c r="G3" s="472" t="n"/>
      <c r="H3" s="472" t="n"/>
      <c r="I3" s="472" t="n"/>
      <c r="J3" s="472" t="n"/>
      <c r="K3" s="472" t="n"/>
      <c r="L3" s="472" t="n"/>
      <c r="M3" s="472" t="n"/>
      <c r="N3" s="470" t="n"/>
      <c r="O3" s="471" t="inlineStr">
        <is>
          <t> </t>
        </is>
      </c>
      <c r="P3" s="470" t="n"/>
      <c r="Q3" s="470" t="n"/>
    </row>
    <row r="4" ht="10.5" customHeight="1" s="755">
      <c r="A4" s="470" t="n"/>
      <c r="B4" s="249" t="inlineStr">
        <is>
          <t>返回汇总页</t>
        </is>
      </c>
      <c r="C4" s="473" t="n"/>
      <c r="D4" s="470" t="n"/>
      <c r="E4" s="473" t="n"/>
      <c r="F4" s="474" t="n"/>
      <c r="G4" s="474" t="n"/>
      <c r="H4" s="473" t="n"/>
      <c r="I4" s="470" t="n"/>
      <c r="J4" s="470" t="n"/>
      <c r="K4" s="470" t="n"/>
      <c r="L4" s="470" t="n"/>
      <c r="M4" s="470" t="n"/>
      <c r="N4" s="470" t="n"/>
      <c r="O4" s="471" t="inlineStr">
        <is>
          <t> </t>
        </is>
      </c>
      <c r="P4" s="470" t="n"/>
      <c r="Q4" s="470" t="n"/>
    </row>
    <row r="5" ht="11.5" customHeight="1" s="755">
      <c r="A5" s="470" t="n"/>
      <c r="B5" s="473" t="n"/>
      <c r="C5" s="473" t="n"/>
      <c r="D5" s="470" t="n"/>
      <c r="E5" s="473" t="n"/>
      <c r="F5" s="474" t="n"/>
      <c r="G5" s="474" t="n"/>
      <c r="H5" s="473" t="n"/>
      <c r="I5" s="470" t="n"/>
      <c r="J5" s="470" t="n"/>
      <c r="K5" s="470" t="n"/>
      <c r="L5" s="470" t="n"/>
      <c r="M5" s="470" t="n"/>
      <c r="N5" s="470" t="n"/>
      <c r="O5" s="471" t="n"/>
      <c r="P5" s="470" t="n"/>
      <c r="Q5" s="470" t="n"/>
    </row>
    <row r="6" ht="15" customHeight="1" s="755">
      <c r="A6" s="470" t="n"/>
      <c r="B6" s="379" t="inlineStr">
        <is>
          <t>底稿索引：</t>
        </is>
      </c>
      <c r="C6" s="576" t="inlineStr">
        <is>
          <t>SAP模板可点击上方小灯泡获取</t>
        </is>
      </c>
      <c r="D6" s="470" t="n"/>
      <c r="E6" s="473" t="n"/>
      <c r="F6" s="474" t="n"/>
      <c r="G6" s="474" t="n"/>
      <c r="H6" s="473" t="n"/>
      <c r="I6" s="470" t="n"/>
      <c r="J6" s="470" t="n"/>
      <c r="K6" s="470" t="n"/>
      <c r="L6" s="470" t="n"/>
      <c r="M6" s="470" t="n"/>
      <c r="N6" s="470" t="n"/>
      <c r="O6" s="471" t="n"/>
      <c r="P6" s="470" t="n"/>
      <c r="Q6" s="470" t="n"/>
    </row>
    <row r="7" ht="15" customHeight="1" s="755">
      <c r="A7" s="470" t="n"/>
      <c r="B7" s="876" t="n"/>
      <c r="C7" s="767" t="n"/>
      <c r="D7" s="767" t="n"/>
      <c r="E7" s="767" t="n"/>
      <c r="F7" s="767" t="n"/>
      <c r="G7" s="767" t="n"/>
      <c r="H7" s="767" t="n"/>
      <c r="I7" s="767" t="n"/>
      <c r="J7" s="767" t="n"/>
      <c r="K7" s="767" t="n"/>
      <c r="L7" s="767" t="n"/>
      <c r="M7" s="768" t="n"/>
      <c r="N7" s="470" t="n"/>
      <c r="O7" s="471" t="n"/>
      <c r="P7" s="470" t="n"/>
      <c r="Q7" s="470" t="n"/>
    </row>
    <row r="8" ht="15" customHeight="1" s="755">
      <c r="A8" s="470" t="n"/>
      <c r="B8" s="473" t="n"/>
      <c r="C8" s="473" t="n"/>
      <c r="D8" s="470" t="n"/>
      <c r="E8" s="473" t="n"/>
      <c r="F8" s="474" t="n"/>
      <c r="G8" s="474" t="n"/>
      <c r="H8" s="473" t="n"/>
      <c r="I8" s="470" t="n"/>
      <c r="J8" s="470" t="n"/>
      <c r="K8" s="470" t="n"/>
      <c r="L8" s="470" t="n"/>
      <c r="M8" s="470" t="n"/>
      <c r="N8" s="470" t="n"/>
      <c r="O8" s="471" t="n"/>
      <c r="P8" s="470" t="n"/>
      <c r="Q8" s="470" t="n"/>
    </row>
    <row r="9" ht="15" customHeight="1" s="755">
      <c r="A9" s="470" t="n"/>
      <c r="B9" s="473" t="n"/>
      <c r="C9" s="473" t="n"/>
      <c r="D9" s="470" t="n"/>
      <c r="E9" s="473" t="n"/>
      <c r="F9" s="474" t="n"/>
      <c r="G9" s="474" t="n"/>
      <c r="H9" s="473" t="n"/>
      <c r="I9" s="470" t="n"/>
      <c r="J9" s="470" t="n"/>
      <c r="K9" s="470" t="n"/>
      <c r="L9" s="470" t="n"/>
      <c r="M9" s="470" t="n"/>
      <c r="N9" s="470" t="n"/>
      <c r="O9" s="471" t="n"/>
      <c r="P9" s="470" t="n"/>
      <c r="Q9" s="470" t="n"/>
    </row>
    <row r="10" ht="15" customHeight="1" s="755">
      <c r="A10" s="470" t="n"/>
      <c r="B10" s="473" t="n"/>
      <c r="C10" s="473" t="n"/>
      <c r="D10" s="470" t="n"/>
      <c r="E10" s="473" t="n"/>
      <c r="F10" s="474" t="n"/>
      <c r="G10" s="474" t="n"/>
      <c r="H10" s="473" t="n"/>
      <c r="I10" s="470" t="n"/>
      <c r="J10" s="470" t="n"/>
      <c r="K10" s="470" t="n"/>
      <c r="L10" s="470" t="n"/>
      <c r="M10" s="470" t="n"/>
      <c r="N10" s="470" t="n"/>
      <c r="O10" s="471" t="n"/>
      <c r="P10" s="470" t="n"/>
      <c r="Q10" s="470" t="n"/>
    </row>
    <row r="11" ht="15" customHeight="1" s="755">
      <c r="A11" s="470" t="n"/>
      <c r="B11" s="473" t="n"/>
      <c r="C11" s="473" t="n"/>
      <c r="D11" s="470" t="n"/>
      <c r="E11" s="473" t="n"/>
      <c r="F11" s="474" t="n"/>
      <c r="G11" s="474" t="n"/>
      <c r="H11" s="473" t="n"/>
      <c r="I11" s="470" t="n"/>
      <c r="J11" s="470" t="n"/>
      <c r="K11" s="470" t="n"/>
      <c r="L11" s="470" t="n"/>
      <c r="M11" s="470" t="n"/>
      <c r="N11" s="470" t="n"/>
      <c r="O11" s="471" t="n"/>
      <c r="P11" s="470" t="n"/>
      <c r="Q11" s="470" t="n"/>
    </row>
    <row r="12" ht="15" customHeight="1" s="755">
      <c r="A12" s="470" t="n"/>
      <c r="B12" s="473" t="n"/>
      <c r="C12" s="473" t="n"/>
      <c r="D12" s="470" t="n"/>
      <c r="E12" s="473" t="n"/>
      <c r="F12" s="474" t="n"/>
      <c r="G12" s="474" t="n"/>
      <c r="H12" s="473" t="n"/>
      <c r="I12" s="470" t="n"/>
      <c r="J12" s="470" t="n"/>
      <c r="K12" s="470" t="n"/>
      <c r="L12" s="470" t="n"/>
      <c r="M12" s="470" t="n"/>
      <c r="N12" s="470" t="n"/>
      <c r="O12" s="471" t="n"/>
      <c r="P12" s="470" t="n"/>
      <c r="Q12" s="470" t="n"/>
    </row>
    <row r="13" ht="15" customHeight="1" s="755">
      <c r="A13" s="470" t="n"/>
      <c r="B13" s="473" t="n"/>
      <c r="C13" s="473" t="n"/>
      <c r="D13" s="470" t="n"/>
      <c r="E13" s="473" t="n"/>
      <c r="F13" s="474" t="n"/>
      <c r="G13" s="474" t="n"/>
      <c r="H13" s="473" t="n"/>
      <c r="I13" s="470" t="n"/>
      <c r="J13" s="470" t="n"/>
      <c r="K13" s="470" t="n"/>
      <c r="L13" s="470" t="n"/>
      <c r="M13" s="470" t="n"/>
      <c r="N13" s="470" t="n"/>
      <c r="O13" s="471" t="n"/>
      <c r="P13" s="470" t="n"/>
      <c r="Q13" s="470" t="n"/>
    </row>
    <row r="14" ht="15" customHeight="1" s="755">
      <c r="A14" s="470" t="n"/>
      <c r="B14" s="470" t="n"/>
      <c r="C14" s="470" t="n"/>
      <c r="D14" s="470" t="n"/>
      <c r="E14" s="470" t="n"/>
      <c r="F14" s="470" t="n"/>
      <c r="G14" s="470" t="n"/>
      <c r="H14" s="470" t="n"/>
      <c r="I14" s="470" t="n"/>
      <c r="J14" s="470" t="n"/>
      <c r="K14" s="470" t="n"/>
      <c r="L14" s="470" t="n"/>
      <c r="M14" s="470" t="n"/>
      <c r="N14" s="470" t="n"/>
      <c r="O14" s="471" t="inlineStr">
        <is>
          <t> </t>
        </is>
      </c>
      <c r="P14" s="470" t="n"/>
      <c r="Q14" s="470" t="n"/>
    </row>
    <row r="15" ht="15" customHeight="1" s="755">
      <c r="A15" s="470" t="n"/>
      <c r="B15" s="470" t="n"/>
      <c r="C15" s="470" t="n"/>
      <c r="D15" s="470" t="n"/>
      <c r="E15" s="470" t="n"/>
      <c r="F15" s="470" t="n"/>
      <c r="G15" s="470" t="n"/>
      <c r="H15" s="470" t="n"/>
      <c r="I15" s="470" t="n"/>
      <c r="J15" s="470" t="n"/>
      <c r="K15" s="470" t="n"/>
      <c r="L15" s="470" t="n"/>
      <c r="M15" s="470" t="n"/>
      <c r="N15" s="470" t="n"/>
      <c r="O15" s="471" t="n"/>
      <c r="P15" s="470" t="n"/>
      <c r="Q15" s="470" t="n"/>
    </row>
    <row r="16" ht="15" customHeight="1" s="755">
      <c r="A16" s="470" t="n"/>
      <c r="B16" s="470" t="n"/>
      <c r="C16" s="470" t="n"/>
      <c r="D16" s="470" t="n"/>
      <c r="E16" s="470" t="n"/>
      <c r="F16" s="470" t="n"/>
      <c r="G16" s="470" t="n"/>
      <c r="H16" s="470" t="n"/>
      <c r="I16" s="470" t="n"/>
      <c r="J16" s="470" t="n"/>
      <c r="K16" s="470" t="n"/>
      <c r="L16" s="470" t="n"/>
      <c r="M16" s="470" t="n"/>
      <c r="N16" s="470" t="n"/>
      <c r="O16" s="471" t="n"/>
      <c r="P16" s="470" t="n"/>
      <c r="Q16" s="470" t="n"/>
    </row>
    <row r="17" ht="15" customHeight="1" s="755">
      <c r="A17" s="470" t="n"/>
      <c r="B17" s="470" t="n"/>
      <c r="C17" s="470" t="n"/>
      <c r="D17" s="470" t="n"/>
      <c r="E17" s="470" t="n"/>
      <c r="F17" s="470" t="n"/>
      <c r="G17" s="470" t="n"/>
      <c r="H17" s="470" t="n"/>
      <c r="I17" s="470" t="n"/>
      <c r="J17" s="470" t="n"/>
      <c r="K17" s="470" t="n"/>
      <c r="L17" s="470" t="n"/>
      <c r="M17" s="470" t="n"/>
      <c r="N17" s="470" t="n"/>
      <c r="O17" s="471" t="n"/>
      <c r="P17" s="470" t="n"/>
      <c r="Q17" s="470" t="n"/>
    </row>
    <row r="18" ht="15" customHeight="1" s="755">
      <c r="A18" s="470" t="n"/>
      <c r="B18" s="470" t="n"/>
      <c r="C18" s="470" t="n"/>
      <c r="D18" s="470" t="n"/>
      <c r="E18" s="470" t="n"/>
      <c r="F18" s="470" t="n"/>
      <c r="G18" s="470" t="n"/>
      <c r="H18" s="470" t="n"/>
      <c r="I18" s="470" t="n"/>
      <c r="J18" s="470" t="n"/>
      <c r="K18" s="470" t="n"/>
      <c r="L18" s="470" t="n"/>
      <c r="M18" s="470" t="n"/>
      <c r="N18" s="470" t="n"/>
      <c r="O18" s="471" t="n"/>
      <c r="P18" s="470" t="n"/>
      <c r="Q18" s="470" t="n"/>
    </row>
    <row r="19" ht="15" customHeight="1" s="755">
      <c r="A19" s="470" t="n"/>
      <c r="B19" s="470" t="n"/>
      <c r="C19" s="470" t="n"/>
      <c r="D19" s="470" t="n"/>
      <c r="E19" s="470" t="n"/>
      <c r="F19" s="470" t="n"/>
      <c r="G19" s="470" t="n"/>
      <c r="H19" s="470" t="n"/>
      <c r="I19" s="470" t="n"/>
      <c r="J19" s="470" t="n"/>
      <c r="K19" s="470" t="n"/>
      <c r="L19" s="470" t="n"/>
      <c r="M19" s="470" t="n"/>
      <c r="N19" s="470" t="n"/>
      <c r="O19" s="471" t="n"/>
      <c r="P19" s="470" t="n"/>
      <c r="Q19" s="470" t="n"/>
    </row>
    <row r="20" ht="15" customHeight="1" s="755">
      <c r="A20" s="470" t="n"/>
      <c r="B20" s="470" t="n"/>
      <c r="C20" s="470" t="n"/>
      <c r="D20" s="470" t="n"/>
      <c r="E20" s="470" t="n"/>
      <c r="F20" s="470" t="n"/>
      <c r="G20" s="470" t="n"/>
      <c r="H20" s="470" t="n"/>
      <c r="I20" s="470" t="n"/>
      <c r="J20" s="470" t="n"/>
      <c r="K20" s="470" t="n"/>
      <c r="L20" s="470" t="n"/>
      <c r="M20" s="470" t="n"/>
      <c r="N20" s="470" t="n"/>
      <c r="O20" s="471" t="n"/>
      <c r="P20" s="470" t="n"/>
      <c r="Q20" s="470" t="n"/>
    </row>
    <row r="21" ht="9" customHeight="1" s="755">
      <c r="A21" s="471" t="inlineStr">
        <is>
          <t> </t>
        </is>
      </c>
      <c r="B21" s="471" t="inlineStr">
        <is>
          <t> </t>
        </is>
      </c>
      <c r="C21" s="471" t="inlineStr">
        <is>
          <t> </t>
        </is>
      </c>
      <c r="D21" s="471" t="inlineStr">
        <is>
          <t> </t>
        </is>
      </c>
      <c r="E21" s="471" t="inlineStr">
        <is>
          <t> </t>
        </is>
      </c>
      <c r="F21" s="471" t="inlineStr">
        <is>
          <t> </t>
        </is>
      </c>
      <c r="G21" s="471" t="inlineStr">
        <is>
          <t> </t>
        </is>
      </c>
      <c r="H21" s="471" t="inlineStr">
        <is>
          <t> </t>
        </is>
      </c>
      <c r="I21" s="471" t="inlineStr">
        <is>
          <t> </t>
        </is>
      </c>
      <c r="J21" s="471" t="inlineStr">
        <is>
          <t> </t>
        </is>
      </c>
      <c r="K21" s="471" t="inlineStr">
        <is>
          <t> </t>
        </is>
      </c>
      <c r="L21" s="471" t="inlineStr">
        <is>
          <t> </t>
        </is>
      </c>
      <c r="M21" s="471" t="inlineStr">
        <is>
          <t> </t>
        </is>
      </c>
      <c r="N21" s="471" t="inlineStr">
        <is>
          <t> </t>
        </is>
      </c>
      <c r="O21" s="471" t="inlineStr">
        <is>
          <t> </t>
        </is>
      </c>
      <c r="P21" s="470" t="n"/>
      <c r="Q21" s="470" t="n"/>
    </row>
    <row r="22">
      <c r="A22" s="470" t="n"/>
      <c r="B22" s="470" t="n"/>
      <c r="C22" s="470" t="n"/>
      <c r="D22" s="470" t="n"/>
      <c r="E22" s="470" t="n"/>
      <c r="F22" s="470" t="n"/>
      <c r="G22" s="470" t="n"/>
      <c r="H22" s="470" t="n"/>
      <c r="I22" s="470" t="n"/>
      <c r="J22" s="470" t="n"/>
      <c r="K22" s="470" t="n"/>
      <c r="L22" s="470" t="n"/>
      <c r="M22" s="470" t="n"/>
      <c r="N22" s="470" t="n"/>
      <c r="O22" s="470" t="n"/>
      <c r="P22" s="470" t="n"/>
      <c r="Q22" s="470" t="n"/>
    </row>
    <row r="23">
      <c r="A23" s="470" t="n"/>
      <c r="B23" s="470" t="n"/>
      <c r="C23" s="470" t="n"/>
      <c r="D23" s="470" t="n"/>
      <c r="E23" s="470" t="n"/>
      <c r="F23" s="470" t="n"/>
      <c r="G23" s="470" t="n"/>
      <c r="H23" s="470" t="n"/>
      <c r="I23" s="470" t="n"/>
      <c r="J23" s="470" t="n"/>
      <c r="K23" s="470" t="n"/>
      <c r="L23" s="470" t="n"/>
      <c r="M23" s="470" t="n"/>
      <c r="N23" s="470" t="n"/>
      <c r="O23" s="470" t="n"/>
      <c r="P23" s="470" t="n"/>
      <c r="Q23" s="470" t="n"/>
    </row>
    <row r="24">
      <c r="A24" s="470" t="n"/>
      <c r="B24" s="470" t="n"/>
      <c r="C24" s="470" t="n"/>
      <c r="D24" s="470" t="n"/>
      <c r="E24" s="470" t="n"/>
      <c r="F24" s="470" t="n"/>
      <c r="G24" s="470" t="n"/>
      <c r="H24" s="470" t="n"/>
      <c r="I24" s="470" t="n"/>
      <c r="J24" s="470" t="n"/>
      <c r="K24" s="470" t="n"/>
      <c r="L24" s="470" t="n"/>
      <c r="M24" s="470" t="n"/>
      <c r="N24" s="470" t="n"/>
      <c r="O24" s="470" t="n"/>
      <c r="P24" s="470" t="n"/>
      <c r="Q24" s="470" t="n"/>
    </row>
    <row r="25">
      <c r="A25" s="470" t="n"/>
      <c r="B25" s="470" t="n"/>
      <c r="C25" s="470" t="n"/>
      <c r="D25" s="470" t="n"/>
      <c r="E25" s="470" t="n"/>
      <c r="F25" s="470" t="n"/>
      <c r="G25" s="470" t="n"/>
      <c r="H25" s="470" t="n"/>
      <c r="I25" s="470" t="n"/>
      <c r="J25" s="470" t="n"/>
      <c r="K25" s="470" t="n"/>
      <c r="L25" s="470" t="n"/>
      <c r="M25" s="470" t="n"/>
      <c r="N25" s="470" t="n"/>
      <c r="O25" s="470" t="n"/>
      <c r="P25" s="470" t="n"/>
      <c r="Q25" s="470" t="n"/>
    </row>
    <row r="26">
      <c r="A26" s="470" t="n"/>
      <c r="B26" s="470" t="n"/>
      <c r="C26" s="470" t="n"/>
      <c r="D26" s="470" t="n"/>
      <c r="E26" s="470" t="n"/>
      <c r="F26" s="470" t="n"/>
      <c r="G26" s="470" t="n"/>
      <c r="H26" s="470" t="n"/>
      <c r="I26" s="470" t="n"/>
      <c r="J26" s="470" t="n"/>
      <c r="K26" s="470" t="n"/>
      <c r="L26" s="470" t="n"/>
      <c r="M26" s="470" t="n"/>
      <c r="N26" s="470" t="n"/>
      <c r="O26" s="470" t="n"/>
      <c r="P26" s="470" t="n"/>
      <c r="Q26" s="470" t="n"/>
    </row>
    <row r="27">
      <c r="A27" s="470" t="n"/>
      <c r="B27" s="470" t="n"/>
      <c r="C27" s="470" t="n"/>
      <c r="D27" s="470" t="n"/>
      <c r="E27" s="470" t="n"/>
      <c r="F27" s="470" t="n"/>
      <c r="G27" s="470" t="n"/>
      <c r="H27" s="470" t="n"/>
      <c r="I27" s="470" t="n"/>
      <c r="J27" s="470" t="n"/>
      <c r="K27" s="470" t="n"/>
      <c r="L27" s="470" t="n"/>
      <c r="M27" s="470" t="n"/>
      <c r="N27" s="470" t="n"/>
      <c r="O27" s="470" t="n"/>
      <c r="P27" s="470" t="n"/>
      <c r="Q27" s="470" t="n"/>
    </row>
    <row r="28">
      <c r="A28" s="470" t="n"/>
      <c r="B28" s="470" t="n"/>
      <c r="C28" s="470" t="n"/>
      <c r="D28" s="470" t="n"/>
      <c r="E28" s="470" t="n"/>
      <c r="F28" s="470" t="n"/>
      <c r="G28" s="470" t="n"/>
      <c r="H28" s="470" t="n"/>
      <c r="I28" s="470" t="n"/>
      <c r="J28" s="470" t="n"/>
      <c r="K28" s="470" t="n"/>
      <c r="L28" s="470" t="n"/>
      <c r="M28" s="470" t="n"/>
      <c r="N28" s="470" t="n"/>
      <c r="O28" s="470" t="n"/>
      <c r="P28" s="470" t="n"/>
      <c r="Q28" s="470" t="n"/>
    </row>
    <row r="29">
      <c r="A29" s="470" t="n"/>
      <c r="B29" s="470" t="n"/>
      <c r="C29" s="470" t="n"/>
      <c r="D29" s="470" t="n"/>
      <c r="E29" s="470" t="n"/>
      <c r="F29" s="470" t="n"/>
      <c r="G29" s="470" t="n"/>
      <c r="H29" s="470" t="n"/>
      <c r="I29" s="470" t="n"/>
      <c r="J29" s="470" t="n"/>
      <c r="K29" s="470" t="n"/>
      <c r="L29" s="470" t="n"/>
      <c r="M29" s="470" t="n"/>
      <c r="N29" s="470" t="n"/>
      <c r="O29" s="470" t="n"/>
      <c r="P29" s="470" t="n"/>
      <c r="Q29" s="470" t="n"/>
    </row>
  </sheetData>
  <mergeCells count="3">
    <mergeCell ref="B2:M2"/>
    <mergeCell ref="B7:M7"/>
    <mergeCell ref="B1:M1"/>
  </mergeCells>
  <conditionalFormatting sqref="B7">
    <cfRule type="containsBlanks" priority="2" dxfId="1">
      <formula>LEN(TRIM(B7))=0</formula>
    </cfRule>
  </conditionalFormatting>
  <hyperlinks>
    <hyperlink ref="B4" location="汇总!A1" display="返回汇总页"/>
  </hyperlinks>
  <pageMargins left="0.7" right="0.7" top="0.75" bottom="0.75" header="0.3" footer="0.3"/>
  <pageSetup orientation="portrait" paperSize="9" horizontalDpi="300"/>
  <headerFooter>
    <oddHeader/>
    <oddFooter>&amp;LQ SWP Loans and borrowings_x000a_(22 July 2025)</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S50"/>
  <sheetViews>
    <sheetView showGridLines="0" zoomScale="70" zoomScaleNormal="70" workbookViewId="0">
      <selection activeCell="J41" sqref="J41"/>
    </sheetView>
  </sheetViews>
  <sheetFormatPr baseColWidth="8" defaultColWidth="8.453125" defaultRowHeight="12.5"/>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05" t="inlineStr">
        <is>
          <t>Q1.04.01 利息费用（ToD）</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5" customHeight="1" s="755">
      <c r="B6" s="351" t="inlineStr">
        <is>
          <t>记录我们的详细测试所涵盖的样本总体（指引：进行充分描述，以使之前未参与审计的经验丰富的审计人员能够了解如何选择样本，如对总体进行分类和筛选）</t>
        </is>
      </c>
      <c r="C6" s="352" t="n"/>
      <c r="D6" s="352" t="n"/>
      <c r="E6" s="352" t="n"/>
      <c r="F6" s="352" t="n"/>
      <c r="G6" s="352" t="n"/>
      <c r="H6" s="352" t="n"/>
      <c r="I6" s="352" t="n"/>
      <c r="J6" s="352" t="n"/>
      <c r="K6" s="352" t="n"/>
      <c r="L6" s="352" t="n"/>
      <c r="M6" s="352" t="n"/>
      <c r="N6" s="352" t="n"/>
      <c r="O6" s="352" t="n"/>
      <c r="P6" s="352" t="n"/>
      <c r="Q6" s="352" t="n"/>
      <c r="S6" s="349" t="n"/>
    </row>
    <row r="7" ht="15" customHeight="1" s="755">
      <c r="B7" s="702" t="n"/>
      <c r="C7" s="861" t="n"/>
      <c r="D7" s="861" t="n"/>
      <c r="E7" s="861" t="n"/>
      <c r="F7" s="861" t="n"/>
      <c r="G7" s="861" t="n"/>
      <c r="H7" s="861" t="n"/>
      <c r="I7" s="861" t="n"/>
      <c r="J7" s="861" t="n"/>
      <c r="K7" s="861" t="n"/>
      <c r="L7" s="861" t="n"/>
      <c r="M7" s="861" t="n"/>
      <c r="N7" s="861" t="n"/>
      <c r="O7" s="861" t="n"/>
      <c r="P7" s="861" t="n"/>
      <c r="Q7" s="862" t="n"/>
      <c r="S7" s="349" t="n"/>
    </row>
    <row r="8" ht="15" customHeight="1" s="755">
      <c r="B8" s="843" t="n"/>
      <c r="C8" s="799" t="n"/>
      <c r="D8" s="799" t="n"/>
      <c r="E8" s="799" t="n"/>
      <c r="F8" s="799" t="n"/>
      <c r="G8" s="799" t="n"/>
      <c r="H8" s="799" t="n"/>
      <c r="I8" s="799" t="n"/>
      <c r="J8" s="799" t="n"/>
      <c r="K8" s="799" t="n"/>
      <c r="L8" s="799" t="n"/>
      <c r="M8" s="799" t="n"/>
      <c r="N8" s="799" t="n"/>
      <c r="O8" s="799" t="n"/>
      <c r="P8" s="799" t="n"/>
      <c r="Q8" s="844" t="n"/>
      <c r="S8" s="349" t="n"/>
    </row>
    <row r="9" ht="15" customHeight="1" s="755">
      <c r="B9" s="845" t="n"/>
      <c r="C9" s="846" t="n"/>
      <c r="D9" s="846" t="n"/>
      <c r="E9" s="846" t="n"/>
      <c r="F9" s="846" t="n"/>
      <c r="G9" s="846" t="n"/>
      <c r="H9" s="846" t="n"/>
      <c r="I9" s="846" t="n"/>
      <c r="J9" s="846" t="n"/>
      <c r="K9" s="846" t="n"/>
      <c r="L9" s="846" t="n"/>
      <c r="M9" s="846" t="n"/>
      <c r="N9" s="846" t="n"/>
      <c r="O9" s="846" t="n"/>
      <c r="P9" s="846" t="n"/>
      <c r="Q9" s="847" t="n"/>
      <c r="S9" s="349" t="n"/>
    </row>
    <row r="10" ht="15" customHeight="1" s="755">
      <c r="Q10" s="350" t="n"/>
      <c r="S10" s="349" t="n"/>
    </row>
    <row r="11" ht="15" customHeight="1" s="755">
      <c r="B11" s="69" t="n"/>
      <c r="C11" s="353" t="n"/>
      <c r="D11" s="353" t="n"/>
      <c r="E11" s="353" t="n"/>
      <c r="F11" s="353" t="n"/>
      <c r="G11" s="353" t="n"/>
      <c r="H11" s="353" t="n"/>
      <c r="I11" s="353" t="n"/>
      <c r="J11" s="353" t="n"/>
      <c r="K11" s="353" t="n"/>
      <c r="L11" s="353" t="n"/>
      <c r="M11" s="353" t="n"/>
      <c r="N11" s="353" t="n"/>
      <c r="O11" s="353" t="n"/>
      <c r="P11" s="353" t="n"/>
      <c r="Q11" s="353" t="n"/>
      <c r="S11" s="349" t="n"/>
    </row>
    <row r="12" ht="15" customHeight="1" s="755">
      <c r="B12" s="94" t="inlineStr">
        <is>
          <t>如涉及资本化利息测算可参考此链接：</t>
        </is>
      </c>
      <c r="C12" s="353" t="n"/>
      <c r="D12" s="95" t="inlineStr">
        <is>
          <t>Q SWP 利息资本化测试 202YMMDD XYZ公司.xlsx</t>
        </is>
      </c>
      <c r="E12" s="353" t="n"/>
      <c r="F12" s="353" t="n"/>
      <c r="G12" s="353" t="n"/>
      <c r="H12" s="353" t="n"/>
      <c r="I12" s="353" t="n"/>
      <c r="J12" s="353" t="n"/>
      <c r="K12" s="353" t="n"/>
      <c r="L12" s="353" t="n"/>
      <c r="M12" s="353" t="n"/>
      <c r="N12" s="353" t="n"/>
      <c r="O12" s="353" t="n"/>
      <c r="P12" s="353" t="n"/>
      <c r="Q12" s="353" t="n"/>
      <c r="S12" s="349" t="n"/>
    </row>
    <row r="13" ht="15" customHeight="1" s="755">
      <c r="B13" s="94" t="n"/>
      <c r="C13" s="353" t="n"/>
      <c r="D13" s="498" t="n"/>
      <c r="E13" s="353" t="n"/>
      <c r="F13" s="353" t="n"/>
      <c r="G13" s="353" t="n"/>
      <c r="H13" s="353" t="n"/>
      <c r="I13" s="353" t="n"/>
      <c r="J13" s="353" t="n"/>
      <c r="K13" s="353" t="n"/>
      <c r="L13" s="353" t="n"/>
      <c r="M13" s="353" t="n"/>
      <c r="N13" s="353" t="n"/>
      <c r="O13" s="353" t="n"/>
      <c r="P13" s="353" t="n"/>
      <c r="Q13" s="353" t="n"/>
      <c r="S13" s="349" t="n"/>
    </row>
    <row r="14" ht="15" customHeight="1" s="755">
      <c r="B14" s="69" t="inlineStr">
        <is>
          <t>审计小组可根据实际情况，选择采取ToD抽样策略或全年重新计算策略进行利息金额的测试。</t>
        </is>
      </c>
      <c r="C14" s="353" t="n"/>
      <c r="D14" s="353" t="n"/>
      <c r="E14" s="353" t="n"/>
      <c r="F14" s="353" t="n"/>
      <c r="G14" s="353" t="n"/>
      <c r="H14" s="353" t="n"/>
      <c r="I14" s="353" t="n"/>
      <c r="J14" s="353" t="n"/>
      <c r="K14" s="353" t="n"/>
      <c r="L14" s="353" t="n"/>
      <c r="M14" s="353" t="n"/>
      <c r="N14" s="353" t="n"/>
      <c r="O14" s="353" t="n"/>
      <c r="P14" s="353" t="n"/>
      <c r="Q14" s="353" t="n"/>
      <c r="S14" s="349" t="n"/>
    </row>
    <row r="15" ht="15" customHeight="1" s="755">
      <c r="B15" s="354" t="inlineStr">
        <is>
          <t>利息费用ToD测试</t>
        </is>
      </c>
      <c r="C15" s="355" t="n"/>
      <c r="D15" s="355" t="n"/>
      <c r="E15" s="355" t="n"/>
      <c r="F15" s="355" t="n"/>
      <c r="G15" s="355" t="n"/>
      <c r="H15" s="355" t="n"/>
      <c r="I15" s="355" t="n"/>
      <c r="J15" s="355" t="n"/>
      <c r="K15" s="355" t="n"/>
      <c r="L15" s="355" t="n"/>
      <c r="M15" s="355" t="n"/>
      <c r="N15" s="355" t="n"/>
      <c r="O15" s="355" t="n"/>
      <c r="P15" s="355" t="n"/>
      <c r="Q15" s="355" t="n"/>
      <c r="S15" s="349" t="n"/>
    </row>
    <row r="16" ht="15" customHeight="1" s="755">
      <c r="B16" s="56" t="n"/>
      <c r="C16" s="56" t="n"/>
      <c r="D16" s="56" t="n"/>
      <c r="E16" s="56" t="n"/>
      <c r="I16" s="356" t="n"/>
      <c r="J16" s="356" t="n"/>
      <c r="K16" s="356" t="n"/>
      <c r="Q16" s="350" t="n"/>
      <c r="S16" s="349" t="n"/>
    </row>
    <row r="17" ht="15" customHeight="1" s="755">
      <c r="B17" s="120" t="inlineStr">
        <is>
          <t>利息费用总体价值</t>
        </is>
      </c>
      <c r="C17" s="120" t="n"/>
      <c r="D17" s="780" t="n"/>
      <c r="F17" s="393" t="n"/>
      <c r="G17" s="393" t="n"/>
      <c r="H17" s="393" t="n"/>
      <c r="I17" s="393" t="n"/>
      <c r="J17" s="393" t="n"/>
      <c r="K17" s="393" t="n"/>
      <c r="L17" s="393" t="n"/>
      <c r="M17" s="393" t="n"/>
      <c r="N17" s="393" t="n"/>
      <c r="O17" s="393" t="n"/>
      <c r="P17" s="393" t="n"/>
      <c r="Q17" s="350" t="n"/>
      <c r="S17" s="349" t="n"/>
    </row>
    <row r="18" ht="15" customHeight="1" s="755">
      <c r="B18" s="120" t="inlineStr">
        <is>
          <t>根据后推表确定的金额</t>
        </is>
      </c>
      <c r="C18" s="120" t="n"/>
      <c r="D18" s="780">
        <f>'Q1.01 BKD'!H15</f>
        <v/>
      </c>
      <c r="E18" s="357" t="inlineStr">
        <is>
          <t>Q.01</t>
        </is>
      </c>
      <c r="F18" s="393" t="n"/>
      <c r="G18" s="393" t="n"/>
      <c r="H18" s="393" t="n"/>
      <c r="I18" s="393" t="n"/>
      <c r="J18" s="393" t="n"/>
      <c r="K18" s="393" t="n"/>
      <c r="L18" s="393" t="n"/>
      <c r="M18" s="393" t="n"/>
      <c r="N18" s="393" t="n"/>
      <c r="O18" s="393" t="n"/>
      <c r="P18" s="393" t="n"/>
      <c r="Q18" s="357" t="n"/>
      <c r="S18" s="349" t="n"/>
    </row>
    <row r="19" ht="15" customHeight="1" s="755">
      <c r="B19" s="122" t="inlineStr">
        <is>
          <t>差额</t>
        </is>
      </c>
      <c r="C19" s="122" t="n"/>
      <c r="D19" s="863">
        <f>D17-D18</f>
        <v/>
      </c>
      <c r="F19" s="64" t="inlineStr">
        <is>
          <t xml:space="preserve">是否需要对差额进行进一步调查？     </t>
        </is>
      </c>
      <c r="H19" s="456">
        <f>IF(ABS(D19)&gt;'Q1.00 Lead'!$C$6, "是", "否")</f>
        <v/>
      </c>
      <c r="I19" s="244" t="n"/>
      <c r="J19" s="244" t="n"/>
      <c r="L19" s="393" t="n"/>
      <c r="M19" s="393" t="n"/>
      <c r="N19" s="393" t="n"/>
      <c r="O19" s="393" t="n"/>
      <c r="P19" s="393" t="n"/>
      <c r="Q19" s="357" t="n"/>
      <c r="S19" s="349" t="n"/>
    </row>
    <row r="20" ht="15" customHeight="1" s="755">
      <c r="B20" s="120" t="n"/>
      <c r="C20" s="120" t="n"/>
      <c r="D20" s="780" t="n"/>
      <c r="F20" s="64" t="n"/>
      <c r="H20" s="244" t="n"/>
      <c r="I20" s="244" t="n"/>
      <c r="J20" s="244" t="n"/>
      <c r="L20" s="393" t="n"/>
      <c r="M20" s="393" t="n"/>
      <c r="N20" s="393" t="n"/>
      <c r="O20" s="393" t="n"/>
      <c r="P20" s="393" t="n"/>
      <c r="Q20" s="357" t="n"/>
      <c r="S20" s="349" t="n"/>
    </row>
    <row r="21" ht="15" customHeight="1" s="755">
      <c r="B21" s="101" t="inlineStr">
        <is>
          <t>减：测试的关键项目</t>
        </is>
      </c>
      <c r="C21" s="358" t="n"/>
      <c r="D21" s="780">
        <f>SUMIF($C$40:$C$42,"关键项",$G$40:$G$42)</f>
        <v/>
      </c>
      <c r="F21" s="393" t="n"/>
      <c r="G21" s="393" t="n"/>
      <c r="H21" s="393" t="n"/>
      <c r="I21" s="393" t="n"/>
      <c r="J21" s="393" t="n"/>
      <c r="K21" s="393" t="n"/>
      <c r="L21" s="393" t="n"/>
      <c r="M21" s="393" t="n"/>
      <c r="N21" s="393" t="n"/>
      <c r="O21" s="393" t="n"/>
      <c r="P21" s="393" t="n"/>
      <c r="Q21" s="350" t="n"/>
      <c r="S21" s="349" t="n"/>
    </row>
    <row r="22" ht="15" customHeight="1" s="755">
      <c r="B22" s="122" t="inlineStr">
        <is>
          <t>须进行代表性样本抽样的其余总体</t>
        </is>
      </c>
      <c r="C22" s="499" t="n"/>
      <c r="D22" s="877">
        <f>D17-D21</f>
        <v/>
      </c>
      <c r="E22" s="361" t="n"/>
      <c r="F22" s="393" t="n"/>
      <c r="G22" s="393" t="n"/>
      <c r="H22" s="393" t="n"/>
      <c r="I22" s="393" t="n"/>
      <c r="J22" s="393" t="n"/>
      <c r="K22" s="393" t="n"/>
      <c r="L22" s="393" t="n"/>
      <c r="M22" s="393" t="n"/>
      <c r="Q22" s="350" t="n"/>
      <c r="S22" s="349" t="n"/>
    </row>
    <row r="23" ht="15" customHeight="1" s="755">
      <c r="B23" s="362" t="n"/>
      <c r="C23" s="362" t="n"/>
      <c r="D23" s="362" t="n"/>
      <c r="E23" s="362" t="n"/>
      <c r="F23" s="362" t="n"/>
      <c r="G23" s="362" t="n"/>
      <c r="H23" s="362" t="n"/>
      <c r="I23" s="362" t="n"/>
      <c r="J23" s="362" t="n"/>
      <c r="K23" s="362" t="n"/>
      <c r="L23" s="393" t="n"/>
      <c r="Q23" s="350" t="n"/>
      <c r="S23" s="349" t="n"/>
    </row>
    <row r="24" ht="15" customHeight="1" s="755">
      <c r="B24" s="495" t="inlineStr">
        <is>
          <t>在下面描述选择关键项目的理由：</t>
        </is>
      </c>
      <c r="C24" s="363" t="n"/>
      <c r="D24" s="363" t="n"/>
      <c r="E24" s="363" t="n"/>
      <c r="F24" s="364" t="n"/>
      <c r="G24" s="363" t="n"/>
      <c r="H24" s="363" t="n"/>
      <c r="I24" s="363" t="n"/>
      <c r="J24" s="363" t="n"/>
      <c r="K24" s="363" t="n"/>
      <c r="L24" s="363" t="n"/>
      <c r="M24" s="363" t="n"/>
      <c r="N24" s="363" t="n"/>
      <c r="Q24" s="350" t="n"/>
      <c r="S24" s="349" t="n"/>
    </row>
    <row r="25" ht="15" customHeight="1" s="755">
      <c r="B25" s="702" t="n"/>
      <c r="C25" s="861" t="n"/>
      <c r="D25" s="861" t="n"/>
      <c r="E25" s="861" t="n"/>
      <c r="F25" s="861" t="n"/>
      <c r="G25" s="861" t="n"/>
      <c r="H25" s="861" t="n"/>
      <c r="I25" s="861" t="n"/>
      <c r="J25" s="861" t="n"/>
      <c r="K25" s="861" t="n"/>
      <c r="L25" s="861" t="n"/>
      <c r="M25" s="861" t="n"/>
      <c r="N25" s="861" t="n"/>
      <c r="O25" s="861" t="n"/>
      <c r="P25" s="861" t="n"/>
      <c r="Q25" s="862" t="n"/>
      <c r="S25" s="349" t="n"/>
    </row>
    <row r="26" ht="15" customHeight="1" s="755">
      <c r="B26" s="843" t="n"/>
      <c r="C26" s="799" t="n"/>
      <c r="D26" s="799" t="n"/>
      <c r="E26" s="799" t="n"/>
      <c r="F26" s="799" t="n"/>
      <c r="G26" s="799" t="n"/>
      <c r="H26" s="799" t="n"/>
      <c r="I26" s="799" t="n"/>
      <c r="J26" s="799" t="n"/>
      <c r="K26" s="799" t="n"/>
      <c r="L26" s="799" t="n"/>
      <c r="M26" s="799" t="n"/>
      <c r="N26" s="799" t="n"/>
      <c r="O26" s="799" t="n"/>
      <c r="P26" s="799" t="n"/>
      <c r="Q26" s="844" t="n"/>
      <c r="S26" s="349" t="n"/>
    </row>
    <row r="27" ht="15" customHeight="1" s="755">
      <c r="B27" s="845" t="n"/>
      <c r="C27" s="846" t="n"/>
      <c r="D27" s="846" t="n"/>
      <c r="E27" s="846" t="n"/>
      <c r="F27" s="846" t="n"/>
      <c r="G27" s="846" t="n"/>
      <c r="H27" s="846" t="n"/>
      <c r="I27" s="846" t="n"/>
      <c r="J27" s="846" t="n"/>
      <c r="K27" s="846" t="n"/>
      <c r="L27" s="846" t="n"/>
      <c r="M27" s="846" t="n"/>
      <c r="N27" s="846" t="n"/>
      <c r="O27" s="846" t="n"/>
      <c r="P27" s="846" t="n"/>
      <c r="Q27" s="847" t="n"/>
      <c r="S27" s="349" t="n"/>
    </row>
    <row r="28" ht="15" customHeight="1" s="755">
      <c r="B28" s="120" t="n"/>
      <c r="C28" s="120" t="n"/>
      <c r="D28" s="120" t="n"/>
      <c r="E28" s="120" t="n"/>
      <c r="F28" s="878" t="n"/>
      <c r="H28" s="879" t="n"/>
      <c r="I28" s="879" t="n"/>
      <c r="J28" s="879" t="n"/>
      <c r="K28" s="879" t="n"/>
      <c r="Q28" s="350" t="n"/>
      <c r="S28" s="349" t="n"/>
    </row>
    <row r="29" ht="15" customHeight="1" s="755">
      <c r="A29" s="367" t="n"/>
      <c r="B29" s="368" t="inlineStr">
        <is>
          <t>安永属性测试说明：</t>
        </is>
      </c>
      <c r="C29" s="369" t="n"/>
      <c r="D29" s="369" t="n"/>
      <c r="E29" s="369" t="n"/>
      <c r="F29" s="369" t="n"/>
      <c r="G29" s="369" t="n"/>
      <c r="H29" s="369" t="n"/>
      <c r="I29" s="369" t="n"/>
      <c r="J29" s="369" t="n"/>
      <c r="K29" s="369" t="n"/>
      <c r="L29" s="369" t="n"/>
      <c r="M29" s="369" t="n"/>
      <c r="N29" s="369" t="n"/>
      <c r="O29" s="369" t="n"/>
      <c r="P29" s="369" t="n"/>
      <c r="Q29" s="370" t="n"/>
      <c r="S29" s="349" t="n"/>
    </row>
    <row r="30" ht="15" customHeight="1" s="755">
      <c r="B30" s="371" t="inlineStr">
        <is>
          <t xml:space="preserve">1） 我们获取了实体的利息费用计算结果，并将计算结果与总账中记录的金额进行了核对。 </t>
        </is>
      </c>
      <c r="C30" s="372" t="n"/>
      <c r="D30" s="372" t="n"/>
      <c r="E30" s="372" t="n"/>
      <c r="F30" s="372" t="n"/>
      <c r="G30" s="372" t="n"/>
      <c r="H30" s="372" t="n"/>
      <c r="I30" s="372" t="n"/>
      <c r="J30" s="372" t="n"/>
      <c r="K30" s="372" t="n"/>
      <c r="L30" s="372" t="n"/>
      <c r="M30" s="372" t="n"/>
      <c r="N30" s="372" t="n"/>
      <c r="O30" s="372" t="n"/>
      <c r="P30" s="372" t="n"/>
      <c r="Q30" s="373" t="n"/>
      <c r="S30" s="349" t="n"/>
    </row>
    <row r="31" ht="15" customHeight="1" s="755">
      <c r="B31" s="371" t="inlineStr">
        <is>
          <t>2） 我们验证了利息费用计算的准确性。</t>
        </is>
      </c>
      <c r="C31" s="372" t="n"/>
      <c r="D31" s="372" t="n"/>
      <c r="E31" s="372" t="n"/>
      <c r="F31" s="372" t="n"/>
      <c r="G31" s="372" t="n"/>
      <c r="H31" s="372" t="n"/>
      <c r="I31" s="372" t="n"/>
      <c r="J31" s="372" t="n"/>
      <c r="K31" s="372" t="n"/>
      <c r="L31" s="372" t="n"/>
      <c r="M31" s="372" t="n"/>
      <c r="N31" s="372" t="n"/>
      <c r="O31" s="372" t="n"/>
      <c r="P31" s="372" t="n"/>
      <c r="Q31" s="373" t="n"/>
      <c r="S31" s="349" t="n"/>
    </row>
    <row r="32" ht="15" customHeight="1" s="755">
      <c r="B32" s="371" t="inlineStr">
        <is>
          <t>3） 我们将利息费用明细表中使用的输入值追溯至源文档记录。</t>
        </is>
      </c>
      <c r="C32" s="374" t="n"/>
      <c r="D32" s="374" t="n"/>
      <c r="E32" s="374" t="n"/>
      <c r="F32" s="374" t="n"/>
      <c r="G32" s="374" t="n"/>
      <c r="H32" s="374" t="n"/>
      <c r="I32" s="374" t="n"/>
      <c r="J32" s="374" t="n"/>
      <c r="K32" s="374" t="n"/>
      <c r="L32" s="374" t="n"/>
      <c r="M32" s="374" t="n"/>
      <c r="N32" s="374" t="n"/>
      <c r="O32" s="374" t="n"/>
      <c r="P32" s="374" t="n"/>
      <c r="Q32" s="375" t="n"/>
      <c r="S32" s="349" t="n"/>
    </row>
    <row r="33" ht="15" customHeight="1" s="755">
      <c r="B33" s="371" t="inlineStr">
        <is>
          <t xml:space="preserve">4） 我们参照适用的财务报告框架重新计算了利息费用计算中使用的实际利率，并重新计算了当期确定的利息费用。 </t>
        </is>
      </c>
      <c r="C33" s="376" t="n"/>
      <c r="D33" s="376" t="n"/>
      <c r="E33" s="376" t="n"/>
      <c r="F33" s="376" t="n"/>
      <c r="G33" s="376" t="n"/>
      <c r="H33" s="376" t="n"/>
      <c r="I33" s="376" t="n"/>
      <c r="J33" s="376" t="n"/>
      <c r="K33" s="376" t="n"/>
      <c r="L33" s="376" t="n"/>
      <c r="M33" s="376" t="n"/>
      <c r="N33" s="376" t="n"/>
      <c r="O33" s="376" t="n"/>
      <c r="P33" s="376" t="n"/>
      <c r="Q33" s="377" t="n"/>
      <c r="S33" s="349" t="n"/>
    </row>
    <row r="34" ht="15" customHeight="1" s="755">
      <c r="B34" s="880" t="inlineStr">
        <is>
          <t xml:space="preserve">5） 我们检查了第三方文档记录（例如，从交易对手处收到的银行对账单或函证），以支持并得出结论，以现金支付的利息记录于正确的期间，且金额正确。 </t>
        </is>
      </c>
      <c r="C34" s="767" t="n"/>
      <c r="D34" s="767" t="n"/>
      <c r="E34" s="767" t="n"/>
      <c r="F34" s="767" t="n"/>
      <c r="G34" s="767" t="n"/>
      <c r="H34" s="767" t="n"/>
      <c r="I34" s="767" t="n"/>
      <c r="J34" s="767" t="n"/>
      <c r="K34" s="767" t="n"/>
      <c r="L34" s="767" t="n"/>
      <c r="M34" s="767" t="n"/>
      <c r="N34" s="767" t="n"/>
      <c r="O34" s="767" t="n"/>
      <c r="P34" s="767" t="n"/>
      <c r="Q34" s="768" t="n"/>
      <c r="S34" s="349" t="n"/>
    </row>
    <row r="35" ht="15" customHeight="1" s="755">
      <c r="B35" s="371" t="inlineStr">
        <is>
          <t>6） 我们验证发现，以现金支付的利息符合贷款或借款协议的条款。</t>
        </is>
      </c>
      <c r="C35" s="593" t="n"/>
      <c r="D35" s="593" t="n"/>
      <c r="E35" s="593" t="n"/>
      <c r="F35" s="593" t="n"/>
      <c r="G35" s="593" t="n"/>
      <c r="H35" s="593" t="n"/>
      <c r="I35" s="593" t="n"/>
      <c r="J35" s="593" t="n"/>
      <c r="K35" s="593" t="n"/>
      <c r="L35" s="593" t="n"/>
      <c r="M35" s="593" t="n"/>
      <c r="N35" s="593" t="n"/>
      <c r="O35" s="593" t="n"/>
      <c r="P35" s="593" t="n"/>
      <c r="Q35" s="594" t="n"/>
      <c r="S35" s="349" t="n"/>
    </row>
    <row r="36" ht="15" customHeight="1" s="755">
      <c r="B36" s="378" t="n"/>
      <c r="C36" s="378" t="n"/>
      <c r="D36" s="378" t="n"/>
      <c r="E36" s="378" t="n"/>
      <c r="F36" s="378" t="n"/>
      <c r="Q36" s="350" t="n"/>
      <c r="S36" s="349" t="n"/>
    </row>
    <row r="37" ht="15" customHeight="1" s="755">
      <c r="B37" s="378" t="n"/>
      <c r="C37" s="378" t="n"/>
      <c r="D37" s="378" t="n"/>
      <c r="E37" s="378" t="n"/>
      <c r="F37" s="378" t="n"/>
      <c r="Q37" s="350" t="n"/>
      <c r="S37" s="349" t="n"/>
    </row>
    <row r="38" ht="15" customHeight="1" s="755">
      <c r="B38" s="379" t="n"/>
      <c r="G38" s="380" t="n"/>
      <c r="I38" s="381" t="inlineStr">
        <is>
          <t>|---------Rx---------|</t>
        </is>
      </c>
      <c r="L38" s="706" t="inlineStr">
        <is>
          <t>EY Works</t>
        </is>
      </c>
      <c r="M38" s="758" t="n"/>
      <c r="N38" s="758" t="n"/>
      <c r="O38" s="758" t="n"/>
      <c r="P38" s="758" t="n"/>
      <c r="Q38" s="759" t="n"/>
      <c r="S38" s="349" t="n"/>
    </row>
    <row r="39" ht="55.5" customHeight="1" s="755">
      <c r="B39" s="881" t="inlineStr">
        <is>
          <t>编号</t>
        </is>
      </c>
      <c r="C39" s="383" t="inlineStr">
        <is>
          <t>样本类型
（使用下拉列表）</t>
        </is>
      </c>
      <c r="D39" s="384" t="inlineStr">
        <is>
          <t>债务描述/债务工具</t>
        </is>
      </c>
      <c r="E39" s="882" t="inlineStr">
        <is>
          <t>总账账户</t>
        </is>
      </c>
      <c r="F39" s="386" t="inlineStr">
        <is>
          <t>交易对手方名称</t>
        </is>
      </c>
      <c r="G39" s="387" t="inlineStr">
        <is>
          <t>记录的利息费用</t>
        </is>
      </c>
      <c r="H39" s="881" t="inlineStr">
        <is>
          <t>支持性文档记录中的利息费用</t>
        </is>
      </c>
      <c r="I39" s="388" t="inlineStr">
        <is>
          <t>支持性文档记录与入账金额之间的差额</t>
        </is>
      </c>
      <c r="J39" s="389" t="inlineStr">
        <is>
          <t>利息确认日期</t>
        </is>
      </c>
      <c r="K39" s="388" t="inlineStr">
        <is>
          <t>备注</t>
        </is>
      </c>
      <c r="L39" s="390" t="n">
        <v>1</v>
      </c>
      <c r="M39" s="391" t="n">
        <v>2</v>
      </c>
      <c r="N39" s="391" t="n">
        <v>3</v>
      </c>
      <c r="O39" s="391" t="n">
        <v>4</v>
      </c>
      <c r="P39" s="391" t="n">
        <v>5</v>
      </c>
      <c r="Q39" s="391" t="n">
        <v>6</v>
      </c>
      <c r="S39" s="349" t="n"/>
    </row>
    <row r="40" ht="15" customHeight="1" s="755">
      <c r="B40" s="455" t="n"/>
      <c r="C40" s="540" t="n"/>
      <c r="D40" s="455" t="n"/>
      <c r="E40" s="455" t="n"/>
      <c r="F40" s="541" t="n"/>
      <c r="G40" s="873" t="n"/>
      <c r="H40" s="873" t="n"/>
      <c r="I40" s="858">
        <f>G40-H40</f>
        <v/>
      </c>
      <c r="J40" s="542" t="n"/>
      <c r="K40" s="392" t="n"/>
      <c r="L40" s="455" t="n"/>
      <c r="M40" s="455" t="n"/>
      <c r="N40" s="455" t="n"/>
      <c r="O40" s="455" t="n"/>
      <c r="P40" s="455" t="n"/>
      <c r="Q40" s="455" t="n"/>
      <c r="S40" s="349" t="n"/>
    </row>
    <row r="41" ht="15" customHeight="1" s="755">
      <c r="B41" s="455" t="n"/>
      <c r="C41" s="540" t="n"/>
      <c r="D41" s="455" t="n"/>
      <c r="E41" s="455" t="n"/>
      <c r="F41" s="455" t="n"/>
      <c r="G41" s="873" t="n"/>
      <c r="H41" s="873" t="n"/>
      <c r="I41" s="858">
        <f>G41-H41</f>
        <v/>
      </c>
      <c r="J41" s="542" t="n"/>
      <c r="K41" s="392" t="n"/>
      <c r="L41" s="455" t="n"/>
      <c r="M41" s="455" t="n"/>
      <c r="N41" s="455" t="n"/>
      <c r="O41" s="455" t="n"/>
      <c r="P41" s="455" t="n"/>
      <c r="Q41" s="455" t="n"/>
      <c r="S41" s="349" t="n"/>
    </row>
    <row r="42" ht="15" customHeight="1" s="755">
      <c r="B42" s="455" t="n"/>
      <c r="C42" s="540" t="n"/>
      <c r="D42" s="455" t="n"/>
      <c r="E42" s="455" t="n"/>
      <c r="F42" s="455" t="n"/>
      <c r="G42" s="873" t="n"/>
      <c r="H42" s="873" t="n"/>
      <c r="I42" s="858">
        <f>G42-H42</f>
        <v/>
      </c>
      <c r="J42" s="542" t="n"/>
      <c r="K42" s="392" t="n"/>
      <c r="L42" s="455" t="n"/>
      <c r="M42" s="455" t="n"/>
      <c r="N42" s="455" t="n"/>
      <c r="O42" s="455" t="n"/>
      <c r="P42" s="455" t="n"/>
      <c r="Q42" s="455" t="n"/>
      <c r="S42" s="349" t="n"/>
    </row>
    <row r="43" ht="15" customHeight="1" s="755">
      <c r="B43" s="101" t="n"/>
      <c r="C43" s="101" t="n"/>
      <c r="D43" s="101" t="n"/>
      <c r="E43" s="393" t="n"/>
      <c r="F43" s="393" t="n"/>
      <c r="G43" s="393" t="n"/>
      <c r="H43" s="393" t="n"/>
      <c r="I43" s="393" t="n"/>
      <c r="J43" s="393" t="n"/>
      <c r="K43" s="393" t="n"/>
      <c r="L43" s="393" t="n"/>
      <c r="M43" s="393" t="n"/>
      <c r="N43" s="393" t="n"/>
      <c r="O43" s="393" t="n"/>
      <c r="P43" s="393" t="n"/>
      <c r="Q43" s="393" t="n"/>
      <c r="S43" s="349" t="n"/>
    </row>
    <row r="44" ht="13" customHeight="1" s="755">
      <c r="B44" s="393" t="inlineStr">
        <is>
          <t>标记图例：记录识别的异常的详细信息以及如何解决这些异常，包括执行的额外实质性程序（指引:包括充分的描述，以使经验丰富目之前与审计没有关联的审计师能够了解执行的程序）</t>
        </is>
      </c>
      <c r="C44" s="394" t="n"/>
      <c r="D44" s="394" t="n"/>
      <c r="E44" s="394" t="n"/>
      <c r="F44" s="394" t="n"/>
      <c r="Q44" s="350" t="n"/>
      <c r="S44" s="349" t="n"/>
    </row>
    <row r="45">
      <c r="B45" s="883" t="n"/>
      <c r="C45" s="770" t="n"/>
      <c r="D45" s="770" t="n"/>
      <c r="E45" s="770" t="n"/>
      <c r="F45" s="771" t="n"/>
      <c r="Q45" s="350" t="n"/>
      <c r="S45" s="349" t="n"/>
    </row>
    <row r="46">
      <c r="B46" s="772" t="n"/>
      <c r="F46" s="773" t="n"/>
      <c r="Q46" s="350" t="n"/>
      <c r="S46" s="349" t="n"/>
    </row>
    <row r="47">
      <c r="B47" s="772" t="n"/>
      <c r="F47" s="773" t="n"/>
      <c r="Q47" s="350" t="n"/>
      <c r="S47" s="349" t="n"/>
    </row>
    <row r="48">
      <c r="B48" s="775" t="n"/>
      <c r="C48" s="762" t="n"/>
      <c r="D48" s="762" t="n"/>
      <c r="E48" s="762" t="n"/>
      <c r="F48" s="761" t="n"/>
      <c r="Q48" s="350" t="n"/>
      <c r="S48" s="349" t="n"/>
    </row>
    <row r="49">
      <c r="S49" s="395" t="n"/>
    </row>
    <row r="50">
      <c r="A50" s="395" t="n"/>
      <c r="B50" s="395" t="n"/>
      <c r="C50" s="395" t="n"/>
      <c r="D50" s="395" t="n"/>
      <c r="E50" s="395" t="n"/>
      <c r="F50" s="395" t="n"/>
      <c r="G50" s="395" t="n"/>
      <c r="H50" s="395" t="n"/>
      <c r="I50" s="395" t="n"/>
      <c r="J50" s="395" t="n"/>
      <c r="K50" s="395" t="n"/>
      <c r="L50" s="395" t="n"/>
      <c r="M50" s="395" t="n"/>
      <c r="N50" s="395" t="n"/>
      <c r="O50" s="395" t="n"/>
      <c r="P50" s="395" t="n"/>
      <c r="Q50" s="395" t="n"/>
      <c r="R50" s="395" t="n"/>
      <c r="S50" s="395" t="n"/>
    </row>
  </sheetData>
  <mergeCells count="5">
    <mergeCell ref="B34:Q34"/>
    <mergeCell ref="B7:Q9"/>
    <mergeCell ref="B25:Q27"/>
    <mergeCell ref="B45:F48"/>
    <mergeCell ref="L38:Q38"/>
  </mergeCells>
  <conditionalFormatting sqref="B40:J42">
    <cfRule type="containsBlanks" priority="2" dxfId="1">
      <formula>LEN(TRIM(B40))=0</formula>
    </cfRule>
  </conditionalFormatting>
  <conditionalFormatting sqref="B7:Q9 B17 B19 B21 B25:Q27 B45:F48 D17:D19 D21:D22 H19">
    <cfRule type="containsBlanks" priority="4" dxfId="1">
      <formula>LEN(TRIM(B7))=0</formula>
    </cfRule>
  </conditionalFormatting>
  <conditionalFormatting sqref="L40:Q42">
    <cfRule type="containsBlanks" priority="3" dxfId="1">
      <formula>LEN(TRIM(L40))=0</formula>
    </cfRule>
  </conditionalFormatting>
  <dataValidations count="2">
    <dataValidation sqref="C40:C42" showDropDown="0" showInputMessage="1" showErrorMessage="0" allowBlank="1" type="list">
      <formula1>"关键项,代表性样本"</formula1>
    </dataValidation>
    <dataValidation sqref="L40:Q42" showDropDown="0" showInputMessage="1" showErrorMessage="0" allowBlank="1" type="list">
      <formula1>"Y,N"</formula1>
    </dataValidation>
  </dataValidations>
  <hyperlinks>
    <hyperlink ref="B4" location="汇总!A1" display="返回汇总页"/>
    <hyperlink xmlns:r="http://schemas.openxmlformats.org/officeDocument/2006/relationships" ref="D12" display="https://eychinamanaged.sharepoint.cn/:x:/r/sites/china.audit.standard.working.paper/Shared Documents/FY26/Q/SWP/%E5%BE%85%E4%BF%AE%E6%94%B9V6%E5%BA%95%E7%A8%BF/Supplementary-%E5%80%9F%E6%AC%BE/Q SWP %E5%88%A9%E6%81%AF%E8%B5%84%E6%9C%AC%E5%8C%96%E6%B5%8B%E8%AF%95 202YMMDD XYZ%E5%85%AC%E5%8F%B8.xlsx?d=w31a5b2dd40d045589e2a4e753797aa2c&amp;csf=1&amp;web=1&amp;e=EnC21P"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S41"/>
  <sheetViews>
    <sheetView showGridLines="0" zoomScale="70" zoomScaleNormal="70" workbookViewId="0">
      <selection activeCell="W12" sqref="W12"/>
    </sheetView>
  </sheetViews>
  <sheetFormatPr baseColWidth="8" defaultColWidth="8.453125" defaultRowHeight="12.5" outlineLevelRow="2"/>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69" t="inlineStr">
        <is>
          <t>Q1.04.02 利息费用（重新计算）</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3" customHeight="1" s="755">
      <c r="A6" s="437" t="n"/>
      <c r="B6" s="69" t="inlineStr">
        <is>
          <t>审计小组可根据实际情况，选择采取ToD策略或全年重新计算策略进行利息金额的测试。</t>
        </is>
      </c>
      <c r="C6" s="437" t="n"/>
      <c r="D6" s="437" t="n"/>
      <c r="E6" s="437" t="n"/>
      <c r="F6" s="437" t="n"/>
      <c r="G6" s="437" t="n"/>
      <c r="H6" s="437" t="n"/>
      <c r="I6" s="437" t="n"/>
      <c r="J6" s="437" t="n"/>
      <c r="K6" s="437" t="n"/>
      <c r="L6" s="437" t="n"/>
      <c r="M6" s="437" t="n"/>
      <c r="N6" s="437" t="n"/>
      <c r="O6" s="437" t="n"/>
      <c r="P6" s="437" t="n"/>
      <c r="R6" s="437" t="n"/>
      <c r="S6" s="349" t="n"/>
    </row>
    <row r="7" ht="15" customHeight="1" s="755">
      <c r="A7" s="356" t="n"/>
      <c r="B7" s="354" t="inlineStr">
        <is>
          <t>利息费用重新计算测试</t>
        </is>
      </c>
      <c r="C7" s="355" t="n"/>
      <c r="D7" s="355" t="n"/>
      <c r="E7" s="355" t="n"/>
      <c r="F7" s="355" t="n"/>
      <c r="G7" s="355" t="n"/>
      <c r="H7" s="355" t="n"/>
      <c r="I7" s="355" t="n"/>
      <c r="J7" s="355" t="n"/>
      <c r="K7" s="355" t="n"/>
      <c r="L7" s="355" t="n"/>
      <c r="M7" s="355" t="n"/>
      <c r="N7" s="355" t="n"/>
      <c r="O7" s="355" t="n"/>
      <c r="P7" s="355" t="n"/>
      <c r="Q7" s="355" t="n"/>
      <c r="S7" s="395" t="n"/>
    </row>
    <row r="8" ht="15" customHeight="1" s="755">
      <c r="A8" s="356" t="n"/>
      <c r="B8" s="363" t="n"/>
      <c r="Q8" s="350" t="n"/>
      <c r="S8" s="349" t="n"/>
    </row>
    <row r="9" ht="15" customHeight="1" s="755">
      <c r="B9" s="94" t="inlineStr">
        <is>
          <t>如涉及资本化利息测算可参考此链接：</t>
        </is>
      </c>
      <c r="C9" s="353" t="n"/>
      <c r="D9" s="756" t="inlineStr">
        <is>
          <t>Q1 SWP 利息资本化测试 202YMMDD XYZ公司.xlsx</t>
        </is>
      </c>
      <c r="E9" s="353" t="n"/>
      <c r="F9" s="353" t="n"/>
      <c r="G9" s="353" t="n"/>
      <c r="H9" s="353" t="n"/>
      <c r="I9" s="353" t="n"/>
      <c r="J9" s="353" t="n"/>
      <c r="K9" s="353" t="n"/>
      <c r="L9" s="353" t="n"/>
      <c r="M9" s="353" t="n"/>
      <c r="N9" s="353" t="n"/>
      <c r="O9" s="353" t="n"/>
      <c r="P9" s="353" t="n"/>
      <c r="Q9" s="353" t="n"/>
      <c r="S9" s="349" t="n"/>
    </row>
    <row r="10" ht="15" customHeight="1" s="755">
      <c r="B10" s="94" t="n"/>
      <c r="C10" s="353" t="n"/>
      <c r="D10" s="95" t="n"/>
      <c r="E10" s="353" t="n"/>
      <c r="F10" s="353" t="n"/>
      <c r="G10" s="353" t="n"/>
      <c r="H10" s="353" t="n"/>
      <c r="I10" s="353" t="n"/>
      <c r="J10" s="353" t="n"/>
      <c r="K10" s="353" t="n"/>
      <c r="L10" s="353" t="n"/>
      <c r="M10" s="353" t="n"/>
      <c r="N10" s="353" t="n"/>
      <c r="O10" s="353" t="n"/>
      <c r="P10" s="353" t="n"/>
      <c r="Q10" s="353" t="n"/>
      <c r="S10" s="349" t="n"/>
    </row>
    <row r="11" outlineLevel="1" ht="15.75" customHeight="1" s="755">
      <c r="A11" s="396" t="n"/>
      <c r="B11" s="102" t="inlineStr">
        <is>
          <t>安永属性测试说明：</t>
        </is>
      </c>
      <c r="C11" s="103" t="n"/>
      <c r="D11" s="103" t="n"/>
      <c r="E11" s="103" t="n"/>
      <c r="F11" s="103" t="n"/>
      <c r="G11" s="103" t="n"/>
      <c r="H11" s="103" t="n"/>
      <c r="I11" s="103" t="n"/>
      <c r="J11" s="103" t="n"/>
      <c r="K11" s="103" t="n"/>
      <c r="L11" s="103" t="n"/>
      <c r="M11" s="103" t="n"/>
      <c r="N11" s="103" t="n"/>
      <c r="O11" s="104" t="n"/>
      <c r="S11" s="395" t="n"/>
    </row>
    <row r="12" outlineLevel="1" ht="15.75" customHeight="1" s="755">
      <c r="A12" s="356" t="n"/>
      <c r="B12" s="105" t="inlineStr">
        <is>
          <t xml:space="preserve">1）我们获取了公司的利息费用计算表，并将计算表金额与总账中记录的金额进行了核对。 </t>
        </is>
      </c>
      <c r="C12" s="106" t="n"/>
      <c r="D12" s="106" t="n"/>
      <c r="E12" s="106" t="n"/>
      <c r="F12" s="106" t="n"/>
      <c r="G12" s="106" t="n"/>
      <c r="H12" s="106" t="n"/>
      <c r="I12" s="106" t="n"/>
      <c r="J12" s="106" t="n"/>
      <c r="K12" s="106" t="n"/>
      <c r="L12" s="106" t="n"/>
      <c r="M12" s="106" t="n"/>
      <c r="N12" s="106" t="n"/>
      <c r="O12" s="107" t="n"/>
      <c r="S12" s="395" t="n"/>
    </row>
    <row r="13" outlineLevel="1" ht="15.75" customHeight="1" s="755">
      <c r="A13" s="356" t="n"/>
      <c r="B13" s="399" t="inlineStr">
        <is>
          <t>2）我们验证了利息费用计算表计算的准确性</t>
        </is>
      </c>
      <c r="C13" s="397" t="n"/>
      <c r="D13" s="397" t="n"/>
      <c r="E13" s="397" t="n"/>
      <c r="F13" s="397" t="n"/>
      <c r="G13" s="397" t="n"/>
      <c r="H13" s="397" t="n"/>
      <c r="I13" s="397" t="n"/>
      <c r="J13" s="397" t="n"/>
      <c r="K13" s="397" t="n"/>
      <c r="L13" s="397" t="n"/>
      <c r="M13" s="397" t="n"/>
      <c r="N13" s="397" t="n"/>
      <c r="O13" s="398" t="n"/>
      <c r="S13" s="395" t="n"/>
    </row>
    <row r="14" outlineLevel="1" ht="15.75" customHeight="1" s="755">
      <c r="A14" s="356" t="n"/>
      <c r="B14" s="399" t="inlineStr">
        <is>
          <t>3）我们将利息费用明细表中使用的数值追查至原始文档记录</t>
        </is>
      </c>
      <c r="C14" s="111" t="n"/>
      <c r="D14" s="111" t="n"/>
      <c r="E14" s="111" t="n"/>
      <c r="F14" s="111" t="n"/>
      <c r="G14" s="111" t="n"/>
      <c r="H14" s="111" t="n"/>
      <c r="I14" s="111" t="n"/>
      <c r="J14" s="111" t="n"/>
      <c r="K14" s="111" t="n"/>
      <c r="L14" s="111" t="n"/>
      <c r="M14" s="111" t="n"/>
      <c r="N14" s="111" t="n"/>
      <c r="O14" s="400" t="n"/>
      <c r="S14" s="395" t="n"/>
    </row>
    <row r="15" outlineLevel="1" ht="15.75" customHeight="1" s="755">
      <c r="A15" s="356" t="n"/>
      <c r="B15" s="108" t="inlineStr">
        <is>
          <t>4）我们根据适用的财务报告框架重新计算了利息费用计算中使用的实际利率，并重新计算了本期确认的利息费用。 （请自主设计计算表格并在本底稿中清楚记录计算过程及结果）</t>
        </is>
      </c>
      <c r="C15" s="109" t="n"/>
      <c r="D15" s="109" t="n"/>
      <c r="E15" s="109" t="n"/>
      <c r="F15" s="109" t="n"/>
      <c r="G15" s="109" t="n"/>
      <c r="H15" s="109" t="n"/>
      <c r="I15" s="109" t="n"/>
      <c r="J15" s="109" t="n"/>
      <c r="K15" s="109" t="n"/>
      <c r="L15" s="109" t="n"/>
      <c r="M15" s="109" t="n"/>
      <c r="N15" s="109" t="n"/>
      <c r="O15" s="110" t="n"/>
      <c r="S15" s="395" t="n"/>
    </row>
    <row r="16" outlineLevel="1" ht="15.75" customHeight="1" s="755">
      <c r="A16" s="356" t="n"/>
      <c r="B16" s="111" t="n"/>
      <c r="C16" s="111" t="n"/>
      <c r="D16" s="111" t="n"/>
      <c r="E16" s="111" t="n"/>
      <c r="F16" s="111" t="n"/>
      <c r="G16" s="111" t="n"/>
      <c r="H16" s="111" t="n"/>
      <c r="I16" s="111" t="n"/>
      <c r="J16" s="111" t="n"/>
      <c r="K16" s="111" t="n"/>
      <c r="L16" s="111" t="n"/>
      <c r="M16" s="111" t="n"/>
      <c r="N16" s="111" t="n"/>
      <c r="O16" s="111" t="n"/>
      <c r="S16" s="395" t="n"/>
    </row>
    <row r="17" outlineLevel="1" ht="15.75" customHeight="1" s="755">
      <c r="A17" s="356" t="n"/>
      <c r="B17" s="401" t="inlineStr">
        <is>
          <t>期初时间</t>
        </is>
      </c>
      <c r="C17" s="457" t="n">
        <v>45658</v>
      </c>
      <c r="D17" s="402" t="n"/>
      <c r="E17" s="403" t="n"/>
      <c r="F17" s="403" t="n"/>
      <c r="G17" s="403" t="n"/>
      <c r="H17" s="404" t="n"/>
      <c r="I17" s="404" t="n"/>
      <c r="J17" s="403" t="n"/>
      <c r="K17" s="403" t="n"/>
      <c r="L17" s="403" t="n"/>
      <c r="M17" s="403" t="n"/>
      <c r="N17" s="403" t="n"/>
      <c r="O17" s="9" t="n"/>
      <c r="P17" s="9" t="n"/>
      <c r="S17" s="395" t="n"/>
    </row>
    <row r="18" outlineLevel="1" ht="15.75" customHeight="1" s="755">
      <c r="A18" s="356" t="n"/>
      <c r="B18" s="405" t="inlineStr">
        <is>
          <t>期末时间</t>
        </is>
      </c>
      <c r="C18" s="458" t="n">
        <v>46022</v>
      </c>
      <c r="D18" s="404" t="n"/>
      <c r="E18" s="406" t="n"/>
      <c r="F18" s="407" t="n"/>
      <c r="G18" s="404" t="n"/>
      <c r="H18" s="404" t="n"/>
      <c r="I18" s="404" t="n"/>
      <c r="J18" s="404" t="n"/>
      <c r="K18" s="404" t="n"/>
      <c r="L18" s="404" t="n"/>
      <c r="M18" s="404" t="n"/>
      <c r="N18" s="404" t="n"/>
      <c r="O18" s="404" t="n"/>
      <c r="P18" s="406" t="n"/>
      <c r="S18" s="395" t="n"/>
    </row>
    <row r="19" outlineLevel="1" ht="15.75" customHeight="1" s="755">
      <c r="A19" s="356" t="n"/>
      <c r="B19" s="404" t="n"/>
      <c r="C19" s="408" t="n"/>
      <c r="D19" s="404" t="n"/>
      <c r="E19" s="406" t="n"/>
      <c r="F19" s="407" t="n"/>
      <c r="G19" s="404" t="n"/>
      <c r="H19" s="404" t="n"/>
      <c r="I19" s="404" t="n"/>
      <c r="J19" s="404" t="n"/>
      <c r="K19" s="404" t="n"/>
      <c r="L19" s="404" t="n"/>
      <c r="M19" s="404" t="n"/>
      <c r="N19" s="404" t="n"/>
      <c r="O19" s="404" t="n"/>
      <c r="P19" s="406" t="n"/>
      <c r="S19" s="395" t="n"/>
    </row>
    <row r="20" outlineLevel="1" ht="15.75" customHeight="1" s="755">
      <c r="A20" s="356" t="n"/>
      <c r="B20" s="409" t="inlineStr">
        <is>
          <t>银行借款利息测算表</t>
        </is>
      </c>
      <c r="C20" s="404" t="n"/>
      <c r="D20" s="404" t="n"/>
      <c r="E20" s="406" t="n"/>
      <c r="F20" s="404" t="n"/>
      <c r="G20" s="407" t="n"/>
      <c r="H20" s="404" t="n"/>
      <c r="I20" s="404" t="n"/>
      <c r="J20" s="404" t="n"/>
      <c r="K20" s="410" t="n"/>
      <c r="L20" s="404" t="n"/>
      <c r="M20" s="404" t="n"/>
      <c r="N20" s="404" t="n"/>
      <c r="O20" s="406" t="n"/>
      <c r="P20" s="406" t="n"/>
      <c r="S20" s="395" t="n"/>
    </row>
    <row r="21" outlineLevel="2" ht="15.75" customHeight="1" s="755">
      <c r="A21" s="356" t="n"/>
      <c r="B21" s="404" t="n"/>
      <c r="C21" s="404" t="n"/>
      <c r="D21" s="411" t="n"/>
      <c r="E21" s="411" t="n"/>
      <c r="F21" s="412" t="inlineStr">
        <is>
          <t>|-------------------------------------------------------------------------------------------------------------------安永测试--------------------------------------- -- -----------------------------------------------------------------------|</t>
        </is>
      </c>
      <c r="G21" s="413" t="n"/>
      <c r="H21" s="413" t="n"/>
      <c r="I21" s="413" t="n"/>
      <c r="J21" s="413" t="n"/>
      <c r="K21" s="413" t="n"/>
      <c r="L21" s="413" t="n"/>
      <c r="M21" s="413" t="n"/>
      <c r="N21" s="413" t="n"/>
      <c r="O21" s="413" t="n"/>
      <c r="P21" s="9" t="n"/>
      <c r="S21" s="395" t="n"/>
    </row>
    <row r="22" outlineLevel="2" ht="39" customFormat="1" customHeight="1" s="415">
      <c r="A22" s="356" t="n"/>
      <c r="B22" s="35" t="inlineStr">
        <is>
          <t>总账账户</t>
        </is>
      </c>
      <c r="C22" s="35" t="inlineStr">
        <is>
          <t>债务描述/债务工具</t>
        </is>
      </c>
      <c r="D22" s="35" t="inlineStr">
        <is>
          <t>执行年利率
a</t>
        </is>
      </c>
      <c r="E22" s="35" t="inlineStr">
        <is>
          <t>借款本金及变动
（借正贷负）
b</t>
        </is>
      </c>
      <c r="F22" s="35" t="inlineStr">
        <is>
          <t>借款本金变动时间</t>
        </is>
      </c>
      <c r="G22" s="35" t="inlineStr">
        <is>
          <t xml:space="preserve">单笔计息日
c </t>
        </is>
      </c>
      <c r="H22" s="35" t="inlineStr">
        <is>
          <t>已发生利息合计
d=a*b*c/360</t>
        </is>
      </c>
      <c r="I22" s="35" t="inlineStr">
        <is>
          <t>Notes</t>
        </is>
      </c>
      <c r="J22" s="35" t="inlineStr">
        <is>
          <t>本年实际最后结息日</t>
        </is>
      </c>
      <c r="K22" s="35" t="inlineStr">
        <is>
          <t>本年实际最后结息日
至年末天数 
e</t>
        </is>
      </c>
      <c r="L22" s="35" t="inlineStr">
        <is>
          <t>应付利息余额测算
f=a*b(期末余额)*e/360</t>
        </is>
      </c>
      <c r="M22" s="35" t="inlineStr">
        <is>
          <t>应计利息（包括在借款余额中）g1</t>
        </is>
      </c>
      <c r="N22" s="113" t="inlineStr">
        <is>
          <t>尚未支付的到期利息（包括在应付利息中）g2</t>
        </is>
      </c>
      <c r="O22" s="35" t="inlineStr">
        <is>
          <t>测算差额
h=f-g1-g2</t>
        </is>
      </c>
      <c r="P22" s="414" t="n"/>
      <c r="Q22" s="41" t="n"/>
      <c r="S22" s="395" t="n"/>
    </row>
    <row r="23" outlineLevel="2" ht="15.75" customHeight="1" s="755">
      <c r="A23" s="356" t="n"/>
      <c r="B23" s="556" t="n"/>
      <c r="C23" s="455" t="n"/>
      <c r="D23" s="884" t="n"/>
      <c r="E23" s="884" t="n"/>
      <c r="F23" s="459">
        <f>C17</f>
        <v/>
      </c>
      <c r="G23" s="595">
        <f>F24-F23</f>
        <v/>
      </c>
      <c r="H23" s="885">
        <f>-D23*E23*G23/360</f>
        <v/>
      </c>
      <c r="I23" s="558" t="n"/>
      <c r="J23" s="598" t="n"/>
      <c r="K23" s="886">
        <f>IF(J23&lt;&gt;"",+$C$18-J23,0)</f>
        <v/>
      </c>
      <c r="L23" s="887">
        <f>D23*E23*K23/360</f>
        <v/>
      </c>
      <c r="M23" s="884" t="n"/>
      <c r="N23" s="884" t="n"/>
      <c r="O23" s="888">
        <f>L23-M23-N23</f>
        <v/>
      </c>
      <c r="P23" s="9" t="n"/>
      <c r="S23" s="395" t="n"/>
    </row>
    <row r="24" outlineLevel="2" ht="15.75" customHeight="1" s="755">
      <c r="A24" s="356" t="n"/>
      <c r="B24" s="556" t="n"/>
      <c r="C24" s="455" t="n"/>
      <c r="D24" s="884" t="n"/>
      <c r="E24" s="884" t="n"/>
      <c r="F24" s="416" t="n"/>
      <c r="G24" s="595">
        <f>F25-F24</f>
        <v/>
      </c>
      <c r="H24" s="885">
        <f>-D24*E24*G24/360</f>
        <v/>
      </c>
      <c r="I24" s="558" t="n"/>
      <c r="J24" s="598" t="n"/>
      <c r="K24" s="886">
        <f>IF(J24&lt;&gt;"",+$C$18-J24,0)</f>
        <v/>
      </c>
      <c r="L24" s="887">
        <f>D24*E24*K24/360</f>
        <v/>
      </c>
      <c r="M24" s="884" t="n"/>
      <c r="N24" s="884" t="n"/>
      <c r="O24" s="888">
        <f>L24-M24-N24</f>
        <v/>
      </c>
      <c r="P24" s="9" t="n"/>
      <c r="S24" s="395" t="n"/>
    </row>
    <row r="25" outlineLevel="2" ht="15.75" customHeight="1" s="755">
      <c r="A25" s="356" t="n"/>
      <c r="B25" s="556" t="n"/>
      <c r="C25" s="455" t="n"/>
      <c r="D25" s="884" t="n"/>
      <c r="E25" s="884" t="n"/>
      <c r="F25" s="416" t="n"/>
      <c r="G25" s="595">
        <f>F26-F25</f>
        <v/>
      </c>
      <c r="H25" s="885">
        <f>-D25*E25*G25/360</f>
        <v/>
      </c>
      <c r="I25" s="558" t="n"/>
      <c r="J25" s="598" t="n"/>
      <c r="K25" s="886">
        <f>IF(J25&lt;&gt;"",+$C$18-J25,0)</f>
        <v/>
      </c>
      <c r="L25" s="887">
        <f>D25*E25*K25/360</f>
        <v/>
      </c>
      <c r="M25" s="884" t="n"/>
      <c r="N25" s="884" t="n"/>
      <c r="O25" s="888">
        <f>L25-M25-N25</f>
        <v/>
      </c>
      <c r="P25" s="9" t="n"/>
      <c r="S25" s="395" t="n"/>
    </row>
    <row r="26" outlineLevel="2" ht="15.75" customHeight="1" s="755">
      <c r="A26" s="356" t="n"/>
      <c r="B26" s="556" t="n"/>
      <c r="C26" s="455" t="n"/>
      <c r="D26" s="884" t="n"/>
      <c r="E26" s="884" t="n"/>
      <c r="F26" s="416" t="n"/>
      <c r="G26" s="595">
        <f>F27-F26</f>
        <v/>
      </c>
      <c r="H26" s="885">
        <f>-D26*E26*G26/360</f>
        <v/>
      </c>
      <c r="I26" s="558" t="n"/>
      <c r="J26" s="598" t="n"/>
      <c r="K26" s="886">
        <f>IF(J26&lt;&gt;"",+$C$18-J26,0)</f>
        <v/>
      </c>
      <c r="L26" s="887">
        <f>D26*E26*K26/360</f>
        <v/>
      </c>
      <c r="M26" s="884" t="n"/>
      <c r="N26" s="884" t="n"/>
      <c r="O26" s="888">
        <f>L26-M26-N26</f>
        <v/>
      </c>
      <c r="P26" s="9" t="n"/>
      <c r="S26" s="395" t="n"/>
    </row>
    <row r="27" outlineLevel="2" ht="15.75" customHeight="1" s="755">
      <c r="A27" s="356" t="n"/>
      <c r="B27" s="556" t="n"/>
      <c r="C27" s="455" t="n"/>
      <c r="D27" s="884" t="n"/>
      <c r="E27" s="889" t="n"/>
      <c r="F27" s="416" t="n"/>
      <c r="G27" s="595">
        <f>F28-F27</f>
        <v/>
      </c>
      <c r="H27" s="885">
        <f>-D27*E27*G27/360</f>
        <v/>
      </c>
      <c r="I27" s="558" t="n"/>
      <c r="J27" s="598" t="n"/>
      <c r="K27" s="886">
        <f>IF(J27&lt;&gt;"",+$C$18-J27,0)</f>
        <v/>
      </c>
      <c r="L27" s="887">
        <f>D27*E27*K27/360</f>
        <v/>
      </c>
      <c r="M27" s="884" t="n"/>
      <c r="N27" s="884" t="n"/>
      <c r="O27" s="888">
        <f>L27-M27-N27</f>
        <v/>
      </c>
      <c r="P27" s="9" t="n"/>
      <c r="S27" s="395" t="n"/>
    </row>
    <row r="28" outlineLevel="2" ht="15.75" customHeight="1" s="755">
      <c r="A28" s="356" t="n"/>
      <c r="B28" s="557" t="n"/>
      <c r="C28" s="557" t="n"/>
      <c r="D28" s="890" t="n"/>
      <c r="E28" s="891" t="n"/>
      <c r="F28" s="416" t="n"/>
      <c r="G28" s="595">
        <f>F29-F28</f>
        <v/>
      </c>
      <c r="H28" s="885">
        <f>-D28*E28*G28/360</f>
        <v/>
      </c>
      <c r="I28" s="558" t="n"/>
      <c r="J28" s="598" t="n"/>
      <c r="K28" s="886">
        <f>IF(J28&lt;&gt;"",+$C$18-J28,0)</f>
        <v/>
      </c>
      <c r="L28" s="887">
        <f>D28*E28*K28/360</f>
        <v/>
      </c>
      <c r="M28" s="884" t="n"/>
      <c r="N28" s="884" t="n"/>
      <c r="O28" s="888">
        <f>L28-M28-N28</f>
        <v/>
      </c>
      <c r="P28" s="9" t="n"/>
      <c r="S28" s="395" t="n"/>
    </row>
    <row r="29" outlineLevel="2" ht="15.75" customHeight="1" s="755">
      <c r="A29" s="356" t="n"/>
      <c r="B29" s="557" t="n"/>
      <c r="C29" s="557" t="n"/>
      <c r="D29" s="890" t="n"/>
      <c r="E29" s="891" t="n"/>
      <c r="F29" s="416" t="n"/>
      <c r="G29" s="595">
        <f>F30-F29</f>
        <v/>
      </c>
      <c r="H29" s="885">
        <f>-D29*E29*G29/360</f>
        <v/>
      </c>
      <c r="I29" s="558" t="n"/>
      <c r="J29" s="598" t="n"/>
      <c r="K29" s="886">
        <f>IF(J29&lt;&gt;"",+$C$18-J29,0)</f>
        <v/>
      </c>
      <c r="L29" s="887">
        <f>D29*E29*K29/360</f>
        <v/>
      </c>
      <c r="M29" s="884" t="n"/>
      <c r="N29" s="884" t="n"/>
      <c r="O29" s="888">
        <f>L29-M29-N29</f>
        <v/>
      </c>
      <c r="P29" s="9" t="n"/>
      <c r="S29" s="395" t="n"/>
    </row>
    <row r="30" outlineLevel="2" ht="15.75" customHeight="1" s="755">
      <c r="A30" s="356" t="n"/>
      <c r="B30" s="557" t="n"/>
      <c r="C30" s="557" t="n"/>
      <c r="D30" s="890" t="n"/>
      <c r="E30" s="891" t="n"/>
      <c r="F30" s="416" t="n"/>
      <c r="G30" s="595">
        <f>F31-F30</f>
        <v/>
      </c>
      <c r="H30" s="885">
        <f>-D30*E30*G30/360</f>
        <v/>
      </c>
      <c r="I30" s="558" t="n"/>
      <c r="J30" s="598" t="n"/>
      <c r="K30" s="886">
        <f>IF(J30&lt;&gt;"",+$C$18-J30,0)</f>
        <v/>
      </c>
      <c r="L30" s="887">
        <f>D30*E30*K30/360</f>
        <v/>
      </c>
      <c r="M30" s="884" t="n"/>
      <c r="N30" s="884" t="n"/>
      <c r="O30" s="888">
        <f>L30-M30-N30</f>
        <v/>
      </c>
      <c r="P30" s="9" t="n"/>
      <c r="S30" s="395" t="n"/>
    </row>
    <row r="31" outlineLevel="2" ht="15.75" customHeight="1" s="755">
      <c r="A31" s="356" t="n"/>
      <c r="B31" s="557" t="n"/>
      <c r="C31" s="557" t="n"/>
      <c r="D31" s="890" t="n"/>
      <c r="E31" s="891" t="n"/>
      <c r="F31" s="416" t="n"/>
      <c r="G31" s="596" t="n"/>
      <c r="H31" s="885">
        <f>-D31*E31*G31/360</f>
        <v/>
      </c>
      <c r="I31" s="558" t="n"/>
      <c r="J31" s="598" t="n"/>
      <c r="K31" s="886">
        <f>IF(J31&lt;&gt;"",+$C$18-J31,0)</f>
        <v/>
      </c>
      <c r="L31" s="887">
        <f>D31*E31*K31/360</f>
        <v/>
      </c>
      <c r="M31" s="884" t="n"/>
      <c r="N31" s="884" t="n"/>
      <c r="O31" s="888">
        <f>L31-M31-N31</f>
        <v/>
      </c>
      <c r="P31" s="9" t="n"/>
      <c r="S31" s="395" t="n"/>
    </row>
    <row r="32" outlineLevel="2" ht="15.75" customFormat="1" customHeight="1" s="415">
      <c r="A32" s="356" t="n"/>
      <c r="B32" s="892" t="n"/>
      <c r="C32" s="892" t="n"/>
      <c r="D32" s="893" t="n"/>
      <c r="E32" s="419" t="n"/>
      <c r="F32" s="420" t="n"/>
      <c r="G32" s="421" t="inlineStr">
        <is>
          <t>合计</t>
        </is>
      </c>
      <c r="H32" s="894">
        <f>SUM(H23:H31)</f>
        <v/>
      </c>
      <c r="I32" s="422" t="n"/>
      <c r="J32" s="423" t="n"/>
      <c r="K32" s="895" t="n"/>
      <c r="L32" s="894">
        <f>SUM(L23:L31)</f>
        <v/>
      </c>
      <c r="M32" s="894">
        <f>SUM(M23:M31)</f>
        <v/>
      </c>
      <c r="N32" s="894">
        <f>SUM(N23:N31)</f>
        <v/>
      </c>
      <c r="O32" s="896">
        <f>SUM(O23:O31)</f>
        <v/>
      </c>
      <c r="P32" s="414" t="n"/>
      <c r="Q32" s="41" t="n"/>
      <c r="S32" s="395" t="n"/>
    </row>
    <row r="33" outlineLevel="2" ht="15.75" customHeight="1" s="755">
      <c r="A33" s="356" t="n"/>
      <c r="B33" s="404" t="n"/>
      <c r="C33" s="404" t="n"/>
      <c r="D33" s="404" t="n"/>
      <c r="E33" s="404" t="n"/>
      <c r="F33" s="404" t="n"/>
      <c r="G33" s="404" t="n"/>
      <c r="H33" s="425" t="inlineStr">
        <is>
          <t>RX</t>
        </is>
      </c>
      <c r="I33" s="404" t="n"/>
      <c r="J33" s="404" t="n"/>
      <c r="K33" s="404" t="n"/>
      <c r="L33" s="404" t="n"/>
      <c r="M33" s="404" t="n"/>
      <c r="N33" s="404" t="n"/>
      <c r="O33" s="404" t="n"/>
      <c r="P33" s="9" t="n"/>
      <c r="S33" s="395" t="n"/>
    </row>
    <row r="34" outlineLevel="1" ht="15.75" customHeight="1" s="755">
      <c r="A34" s="356" t="n"/>
      <c r="B34" s="404" t="n"/>
      <c r="C34" s="404" t="n"/>
      <c r="D34" s="404" t="n"/>
      <c r="E34" s="404" t="n"/>
      <c r="F34" s="404" t="n"/>
      <c r="G34" s="404" t="n"/>
      <c r="H34" s="425" t="n"/>
      <c r="I34" s="404" t="n"/>
      <c r="J34" s="404" t="n"/>
      <c r="K34" s="404" t="n"/>
      <c r="L34" s="404" t="n"/>
      <c r="M34" s="404" t="n"/>
      <c r="N34" s="404" t="n"/>
      <c r="O34" s="404" t="n"/>
      <c r="P34" s="404" t="n"/>
      <c r="S34" s="395" t="n"/>
    </row>
    <row r="35" outlineLevel="1" ht="15.75" customHeight="1" s="755">
      <c r="A35" s="356" t="n"/>
      <c r="B35" s="426" t="inlineStr">
        <is>
          <t>Uexp财务费用BKD</t>
        </is>
      </c>
      <c r="C35" s="460" t="inlineStr">
        <is>
          <t>财务费用-利息支出</t>
        </is>
      </c>
      <c r="D35" s="897" t="n"/>
      <c r="E35" s="898" t="n"/>
      <c r="I35" s="428" t="n"/>
      <c r="J35" s="404" t="n"/>
      <c r="K35" s="404" t="n"/>
      <c r="L35" s="404" t="n"/>
      <c r="M35" s="404" t="n"/>
      <c r="N35" s="404" t="n"/>
      <c r="O35" s="404" t="n"/>
      <c r="P35" s="404" t="n"/>
      <c r="S35" s="395" t="n"/>
    </row>
    <row r="36" outlineLevel="1" ht="15.75" customHeight="1" s="755">
      <c r="A36" s="356" t="n"/>
      <c r="B36" s="429" t="inlineStr">
        <is>
          <t>J1.01BKD</t>
        </is>
      </c>
      <c r="C36" s="461" t="inlineStr">
        <is>
          <t>在建工程-资本化利息</t>
        </is>
      </c>
      <c r="D36" s="899" t="n"/>
      <c r="E36" s="898" t="n"/>
      <c r="I36" s="428" t="n"/>
      <c r="J36" s="404" t="n"/>
      <c r="K36" s="404" t="n"/>
      <c r="L36" s="404" t="n"/>
      <c r="M36" s="404" t="n"/>
      <c r="N36" s="404" t="n"/>
      <c r="O36" s="404" t="n"/>
      <c r="P36" s="404" t="n"/>
      <c r="S36" s="395" t="n"/>
    </row>
    <row r="37" outlineLevel="1" ht="15.75" customHeight="1" s="755">
      <c r="A37" s="356" t="n"/>
      <c r="B37" s="430" t="n"/>
      <c r="C37" s="462" t="inlineStr">
        <is>
          <t>[...]</t>
        </is>
      </c>
      <c r="D37" s="899" t="n"/>
      <c r="E37" s="898" t="n"/>
      <c r="I37" s="428" t="n"/>
      <c r="J37" s="404" t="n"/>
      <c r="K37" s="404" t="n"/>
      <c r="L37" s="404" t="n"/>
      <c r="M37" s="404" t="n"/>
      <c r="N37" s="404" t="n"/>
      <c r="O37" s="404" t="n"/>
      <c r="P37" s="404" t="n"/>
      <c r="S37" s="395" t="n"/>
    </row>
    <row r="38" outlineLevel="1" ht="15.75" customHeight="1" s="755">
      <c r="A38" s="356" t="n"/>
      <c r="B38" s="431" t="n"/>
      <c r="C38" s="496" t="inlineStr">
        <is>
          <t>合计</t>
        </is>
      </c>
      <c r="D38" s="900">
        <f>SUM(D35:D37)</f>
        <v/>
      </c>
      <c r="E38" s="898" t="n"/>
      <c r="I38" s="428" t="n"/>
      <c r="J38" s="404" t="n"/>
      <c r="K38" s="404" t="n"/>
      <c r="L38" s="404" t="n"/>
      <c r="M38" s="404" t="n"/>
      <c r="N38" s="404" t="n"/>
      <c r="O38" s="404" t="n"/>
      <c r="P38" s="404" t="n"/>
      <c r="S38" s="395" t="n"/>
    </row>
    <row r="39" outlineLevel="1" ht="15.75" customHeight="1" s="755">
      <c r="A39" s="356" t="n"/>
      <c r="B39" s="433" t="n"/>
      <c r="C39" s="434" t="inlineStr">
        <is>
          <t>差异</t>
        </is>
      </c>
      <c r="D39" s="901">
        <f>H32-D38</f>
        <v/>
      </c>
      <c r="E39" s="898" t="n"/>
      <c r="I39" s="436" t="n"/>
      <c r="J39" s="404" t="n"/>
      <c r="K39" s="404" t="n"/>
      <c r="L39" s="404" t="n"/>
      <c r="M39" s="404" t="n"/>
      <c r="N39" s="404" t="n"/>
      <c r="O39" s="404" t="n"/>
      <c r="P39" s="404" t="n"/>
      <c r="S39" s="395" t="n"/>
    </row>
    <row r="40">
      <c r="S40" s="395" t="n"/>
    </row>
    <row r="41">
      <c r="A41" s="395" t="n"/>
      <c r="B41" s="395" t="n"/>
      <c r="C41" s="395" t="n"/>
      <c r="D41" s="395" t="n"/>
      <c r="E41" s="395" t="n"/>
      <c r="F41" s="395" t="n"/>
      <c r="G41" s="395" t="n"/>
      <c r="H41" s="395" t="n"/>
      <c r="I41" s="395" t="n"/>
      <c r="J41" s="395" t="n"/>
      <c r="K41" s="395" t="n"/>
      <c r="L41" s="395" t="n"/>
      <c r="M41" s="395" t="n"/>
      <c r="N41" s="395" t="n"/>
      <c r="O41" s="395" t="n"/>
      <c r="P41" s="395" t="n"/>
      <c r="Q41" s="395" t="n"/>
      <c r="R41" s="395" t="n"/>
      <c r="S41" s="395" t="n"/>
    </row>
  </sheetData>
  <conditionalFormatting sqref="B23:F31 C17:C18 C35:D37 J23:J31 M23:N31">
    <cfRule type="containsBlanks" priority="2" dxfId="1">
      <formula>LEN(TRIM(B17))=0</formula>
    </cfRule>
  </conditionalFormatting>
  <conditionalFormatting sqref="G31">
    <cfRule type="containsBlanks" priority="1" dxfId="1">
      <formula>LEN(TRIM(G31))=0</formula>
    </cfRule>
  </conditionalFormatting>
  <dataValidations count="1">
    <dataValidation sqref="F24:F32" showDropDown="0" showInputMessage="1" showErrorMessage="1" allowBlank="1" prompt="请按照 &quot;yyyy-mm-dd&quot; 格式输入"/>
  </dataValidations>
  <hyperlinks>
    <hyperlink ref="B4" location="汇总!A1" display="返回汇总页"/>
    <hyperlink xmlns:r="http://schemas.openxmlformats.org/officeDocument/2006/relationships" ref="D9"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1.xml><?xml version="1.0" encoding="utf-8"?>
<worksheet xmlns="http://schemas.openxmlformats.org/spreadsheetml/2006/main">
  <sheetPr codeName="Sheet13">
    <outlinePr summaryBelow="1" summaryRight="1"/>
    <pageSetUpPr autoPageBreaks="0"/>
  </sheetPr>
  <dimension ref="A1:U59"/>
  <sheetViews>
    <sheetView showGridLines="0" zoomScale="70" zoomScaleNormal="70" workbookViewId="0">
      <selection activeCell="B4" sqref="B4"/>
    </sheetView>
  </sheetViews>
  <sheetFormatPr baseColWidth="8" defaultColWidth="8.453125" defaultRowHeight="15" customHeight="1"/>
  <cols>
    <col width="2.453125" customWidth="1" style="42" min="1" max="1"/>
    <col width="14.7265625" customWidth="1" style="42" min="2" max="5"/>
    <col width="25.7265625" customWidth="1" style="42" min="6" max="6"/>
    <col width="16.08984375" customWidth="1" style="42" min="7" max="7"/>
    <col width="14.7265625" customWidth="1" style="42" min="8" max="9"/>
    <col width="9.36328125" customWidth="1" style="42" min="10" max="13"/>
    <col width="11" customWidth="1" style="42" min="14" max="14"/>
    <col width="2.6328125" customWidth="1" style="42" min="15" max="15"/>
    <col width="1.6328125" customWidth="1" style="42" min="16" max="16"/>
    <col width="8.453125" customWidth="1" style="42" min="17" max="16384"/>
  </cols>
  <sheetData>
    <row r="1" ht="50.25" customHeight="1" s="755">
      <c r="B1" s="739" t="inlineStr">
        <is>
          <t>标准工作底稿：Q1 SWP 银行借款</t>
        </is>
      </c>
      <c r="C1" s="841" t="n"/>
      <c r="D1" s="841" t="n"/>
      <c r="E1" s="841" t="n"/>
      <c r="F1" s="841" t="n"/>
      <c r="G1" s="841" t="n"/>
      <c r="H1" s="841" t="n"/>
      <c r="I1" s="841" t="n"/>
      <c r="J1" s="841" t="n"/>
      <c r="K1" s="841" t="n"/>
      <c r="L1" s="841" t="n"/>
      <c r="M1" s="841" t="n"/>
      <c r="N1" s="841" t="n"/>
      <c r="P1" s="163" t="n"/>
    </row>
    <row r="2" ht="30" customHeight="1" s="755">
      <c r="A2" s="47" t="n"/>
      <c r="B2" s="48" t="inlineStr">
        <is>
          <t xml:space="preserve">Q1.05 测试遵循贷款协议契约条件的情况 </t>
        </is>
      </c>
      <c r="C2" s="49" t="n"/>
      <c r="D2" s="49" t="n"/>
      <c r="E2" s="49" t="n"/>
      <c r="F2" s="49" t="n"/>
      <c r="G2" s="49" t="n"/>
      <c r="H2" s="49" t="n"/>
      <c r="I2" s="49" t="n"/>
      <c r="J2" s="49" t="n"/>
      <c r="K2" s="49" t="n"/>
      <c r="L2" s="49" t="n"/>
      <c r="M2" s="49" t="n"/>
      <c r="N2" s="50" t="n"/>
      <c r="P2" s="163" t="n"/>
    </row>
    <row r="3" ht="15" customHeight="1" s="755">
      <c r="B3" s="51" t="n"/>
      <c r="C3" s="51" t="n"/>
      <c r="D3" s="51" t="n"/>
      <c r="E3" s="51" t="n"/>
      <c r="F3" s="51" t="n"/>
      <c r="G3" s="51" t="n"/>
      <c r="H3" s="51" t="n"/>
      <c r="I3" s="51" t="n"/>
      <c r="J3" s="51" t="n"/>
      <c r="P3" s="163" t="n"/>
    </row>
    <row r="4" ht="15" customHeight="1" s="755">
      <c r="B4" s="249" t="inlineStr">
        <is>
          <t>返回汇总页</t>
        </is>
      </c>
      <c r="C4" s="51" t="n"/>
      <c r="D4" s="51" t="n"/>
      <c r="E4" s="51" t="n"/>
      <c r="F4" s="51" t="n"/>
      <c r="G4" s="51" t="n"/>
      <c r="H4" s="51" t="n"/>
      <c r="I4" s="51" t="n"/>
      <c r="J4" s="51" t="n"/>
      <c r="P4" s="163" t="n"/>
    </row>
    <row r="5" ht="15" customHeight="1" s="755">
      <c r="B5" s="51" t="n"/>
      <c r="C5" s="51" t="n"/>
      <c r="D5" s="51" t="n"/>
      <c r="E5" s="51" t="n"/>
      <c r="F5" s="51" t="n"/>
      <c r="G5" s="51" t="n"/>
      <c r="H5" s="51" t="n"/>
      <c r="I5" s="51" t="n"/>
      <c r="J5" s="51" t="n"/>
      <c r="P5" s="163" t="n"/>
    </row>
    <row r="6" ht="15" customFormat="1" customHeight="1" s="47">
      <c r="B6" s="52" t="inlineStr">
        <is>
          <t xml:space="preserve">记录为识别我们合规测试所涵盖的债务工具而执行的程序： </t>
        </is>
      </c>
      <c r="C6" s="53" t="n"/>
      <c r="D6" s="53" t="n"/>
      <c r="E6" s="53" t="n"/>
      <c r="F6" s="53" t="n"/>
      <c r="G6" s="53" t="n"/>
      <c r="H6" s="53" t="n"/>
      <c r="I6" s="53" t="n"/>
      <c r="J6" s="53" t="n"/>
      <c r="K6" s="53" t="n"/>
      <c r="L6" s="53" t="n"/>
      <c r="M6" s="54" t="n"/>
      <c r="N6" s="54" t="n"/>
      <c r="P6" s="163" t="n"/>
    </row>
    <row r="7" ht="15" customFormat="1" customHeight="1" s="47">
      <c r="B7" s="902" t="n"/>
      <c r="C7" s="796" t="n"/>
      <c r="D7" s="796" t="n"/>
      <c r="E7" s="796" t="n"/>
      <c r="F7" s="797" t="n"/>
      <c r="G7" s="51" t="n"/>
      <c r="H7" s="51" t="n"/>
      <c r="I7" s="51" t="n"/>
      <c r="J7" s="51" t="n"/>
      <c r="K7" s="51" t="n"/>
      <c r="L7" s="51" t="n"/>
      <c r="M7" s="51" t="n"/>
      <c r="N7" s="55" t="n"/>
      <c r="P7" s="163" t="n"/>
    </row>
    <row r="8" ht="15" customFormat="1" customHeight="1" s="47">
      <c r="B8" s="798" t="n"/>
      <c r="C8" s="799" t="n"/>
      <c r="D8" s="799" t="n"/>
      <c r="E8" s="799" t="n"/>
      <c r="F8" s="800" t="n"/>
      <c r="G8" s="51" t="n"/>
      <c r="H8" s="51" t="n"/>
      <c r="I8" s="51" t="n"/>
      <c r="J8" s="51" t="n"/>
      <c r="K8" s="51" t="n"/>
      <c r="L8" s="51" t="n"/>
      <c r="M8" s="51" t="n"/>
      <c r="N8" s="55" t="n"/>
      <c r="P8" s="163" t="n"/>
    </row>
    <row r="9" ht="15" customFormat="1" customHeight="1" s="47">
      <c r="B9" s="801" t="n"/>
      <c r="C9" s="802" t="n"/>
      <c r="D9" s="802" t="n"/>
      <c r="E9" s="802" t="n"/>
      <c r="F9" s="803" t="n"/>
      <c r="G9" s="51" t="n"/>
      <c r="H9" s="51" t="n"/>
      <c r="I9" s="51" t="n"/>
      <c r="J9" s="51" t="n"/>
      <c r="K9" s="51" t="n"/>
      <c r="L9" s="51" t="n"/>
      <c r="M9" s="51" t="n"/>
      <c r="N9" s="55" t="n"/>
      <c r="P9" s="163" t="n"/>
    </row>
    <row r="10" ht="15" customFormat="1" customHeight="1" s="47">
      <c r="B10" s="56" t="n"/>
      <c r="C10" s="56" t="n"/>
      <c r="D10" s="56" t="n"/>
      <c r="P10" s="163" t="n"/>
    </row>
    <row r="11" ht="15" customFormat="1" customHeight="1" s="47">
      <c r="B11" s="120" t="inlineStr">
        <is>
          <t xml:space="preserve">具有限制性契约的借款数量 </t>
        </is>
      </c>
      <c r="C11" s="120" t="n"/>
      <c r="D11" s="120" t="n"/>
      <c r="E11" s="780" t="n"/>
      <c r="H11" s="58" t="n"/>
      <c r="I11" s="58" t="n"/>
      <c r="J11" s="58" t="n"/>
      <c r="K11" s="58" t="n"/>
      <c r="L11" s="58" t="n"/>
      <c r="M11" s="58" t="n"/>
      <c r="P11" s="163" t="n"/>
    </row>
    <row r="12" ht="15" customFormat="1" customHeight="1" s="47">
      <c r="B12" s="119" t="inlineStr">
        <is>
          <t>Breakdown中的借款数量</t>
        </is>
      </c>
      <c r="C12" s="120" t="n"/>
      <c r="D12" s="60" t="n"/>
      <c r="E12" s="780">
        <f>'Q1.01 BKD'!Q15</f>
        <v/>
      </c>
      <c r="F12" s="61" t="inlineStr">
        <is>
          <t>Q.01</t>
        </is>
      </c>
      <c r="H12" s="58" t="n"/>
      <c r="I12" s="58" t="n"/>
      <c r="J12" s="58" t="n"/>
      <c r="K12" s="58" t="n"/>
      <c r="L12" s="58" t="n"/>
      <c r="M12" s="58" t="n"/>
      <c r="P12" s="163" t="n"/>
    </row>
    <row r="13" ht="15" customFormat="1" customHeight="1" s="47">
      <c r="B13" s="122" t="inlineStr">
        <is>
          <t>差额</t>
        </is>
      </c>
      <c r="C13" s="122" t="n"/>
      <c r="D13" s="122" t="n"/>
      <c r="E13" s="863">
        <f>E11-E12</f>
        <v/>
      </c>
      <c r="F13" s="61" t="inlineStr">
        <is>
          <t>Rx</t>
        </is>
      </c>
      <c r="G13" s="64" t="inlineStr">
        <is>
          <t xml:space="preserve">是否需要对差额进行进一步调查？     </t>
        </is>
      </c>
      <c r="I13" s="65">
        <f>IF(ABS(E13)&gt;'Q1.00 Lead'!$C$6, "是", "否")</f>
        <v/>
      </c>
      <c r="M13" s="58" t="n"/>
      <c r="P13" s="163" t="n"/>
    </row>
    <row r="14" ht="15" customFormat="1" customHeight="1" s="47">
      <c r="B14" s="120" t="n"/>
      <c r="C14" s="120" t="n"/>
      <c r="D14" s="120" t="n"/>
      <c r="E14" s="780" t="n"/>
      <c r="F14" s="61" t="n"/>
      <c r="G14" s="64" t="n"/>
      <c r="I14" s="67" t="n"/>
      <c r="M14" s="58" t="n"/>
      <c r="P14" s="163" t="n"/>
    </row>
    <row r="15" ht="15" customFormat="1" customHeight="1" s="47">
      <c r="B15" s="119" t="inlineStr">
        <is>
          <t>减：本金已分类为流动负债的借款数量</t>
        </is>
      </c>
      <c r="C15" s="120" t="n"/>
      <c r="D15" s="60" t="n"/>
      <c r="E15" s="780" t="n"/>
      <c r="F15" s="69" t="n"/>
      <c r="G15" s="64" t="n"/>
      <c r="I15" s="67" t="n"/>
      <c r="M15" s="58" t="n"/>
      <c r="P15" s="163" t="n"/>
    </row>
    <row r="16" ht="15" customFormat="1" customHeight="1" s="47">
      <c r="B16" s="122" t="inlineStr">
        <is>
          <t>测试总体</t>
        </is>
      </c>
      <c r="C16" s="122" t="n"/>
      <c r="D16" s="122" t="n"/>
      <c r="E16" s="863">
        <f>E13-E15</f>
        <v/>
      </c>
      <c r="F16" s="61" t="n"/>
      <c r="H16" s="64" t="n"/>
      <c r="I16" s="67" t="n"/>
      <c r="M16" s="58" t="n"/>
      <c r="P16" s="163" t="n"/>
    </row>
    <row r="17" ht="15" customFormat="1" customHeight="1" s="47">
      <c r="B17" s="120" t="n"/>
      <c r="C17" s="120" t="n"/>
      <c r="D17" s="120" t="n"/>
      <c r="E17" s="866" t="n"/>
      <c r="G17" s="865" t="n"/>
      <c r="H17" s="73" t="n"/>
      <c r="P17" s="163" t="n"/>
    </row>
    <row r="18" ht="15" customFormat="1" customHeight="1" s="47">
      <c r="A18" s="74" t="n"/>
      <c r="B18" s="75" t="inlineStr">
        <is>
          <t>安永属性测试说明：</t>
        </is>
      </c>
      <c r="C18" s="76" t="n"/>
      <c r="D18" s="76" t="n"/>
      <c r="E18" s="76" t="n"/>
      <c r="F18" s="76" t="n"/>
      <c r="G18" s="76" t="n"/>
      <c r="H18" s="76" t="n"/>
      <c r="I18" s="76" t="n"/>
      <c r="J18" s="76" t="n"/>
      <c r="K18" s="76" t="n"/>
      <c r="L18" s="76" t="n"/>
      <c r="M18" s="77" t="n"/>
      <c r="N18" s="78" t="n"/>
      <c r="P18" s="163" t="n"/>
    </row>
    <row r="19" ht="15" customFormat="1" customHeight="1" s="47">
      <c r="B19" s="79" t="inlineStr">
        <is>
          <t>1） 我们获取了实体的契约条件合规情况文档记录和相关计算。</t>
        </is>
      </c>
      <c r="C19" s="439" t="n"/>
      <c r="D19" s="80" t="n"/>
      <c r="E19" s="80" t="n"/>
      <c r="F19" s="80" t="n"/>
      <c r="G19" s="80" t="n"/>
      <c r="H19" s="81" t="n"/>
      <c r="I19" s="80" t="n"/>
      <c r="J19" s="80" t="n"/>
      <c r="K19" s="80" t="n"/>
      <c r="L19" s="80" t="n"/>
      <c r="M19" s="82" t="n"/>
      <c r="N19" s="78" t="n"/>
      <c r="P19" s="163" t="n"/>
    </row>
    <row r="20" ht="15" customFormat="1" customHeight="1" s="47">
      <c r="B20" s="79" t="inlineStr">
        <is>
          <t>2） 我们将契约条件合规性计算的基础与已签署的债务协议核对一致。</t>
        </is>
      </c>
      <c r="C20" s="83" t="n"/>
      <c r="D20" s="83" t="n"/>
      <c r="E20" s="83" t="n"/>
      <c r="F20" s="83" t="n"/>
      <c r="G20" s="83" t="n"/>
      <c r="H20" s="83" t="n"/>
      <c r="I20" s="83" t="n"/>
      <c r="J20" s="83" t="n"/>
      <c r="K20" s="83" t="n"/>
      <c r="L20" s="83" t="n"/>
      <c r="M20" s="84" t="n"/>
      <c r="P20" s="163" t="n"/>
    </row>
    <row r="21" ht="15" customFormat="1" customHeight="1" s="47">
      <c r="B21" s="79" t="inlineStr">
        <is>
          <t xml:space="preserve">3） 我们检查了相应的支持性文档记录（例如，经审计的试算表、财务报表或其他支持性证据），以支持契约条件合规性计算的输入值。 </t>
        </is>
      </c>
      <c r="C21" s="83" t="n"/>
      <c r="D21" s="83" t="n"/>
      <c r="E21" s="83" t="n"/>
      <c r="F21" s="83" t="n"/>
      <c r="G21" s="83" t="n"/>
      <c r="H21" s="83" t="n"/>
      <c r="I21" s="83" t="n"/>
      <c r="J21" s="83" t="n"/>
      <c r="K21" s="83" t="n"/>
      <c r="L21" s="83" t="n"/>
      <c r="M21" s="84" t="n"/>
      <c r="P21" s="163" t="n"/>
    </row>
    <row r="22" ht="15" customFormat="1" customHeight="1" s="47">
      <c r="B22" s="79" t="inlineStr">
        <is>
          <t>4） 我们验证了实体契约条件合规性计算的准确性。</t>
        </is>
      </c>
      <c r="C22" s="439" t="n"/>
      <c r="D22" s="80" t="n"/>
      <c r="E22" s="80" t="n"/>
      <c r="F22" s="80" t="n"/>
      <c r="G22" s="80" t="n"/>
      <c r="H22" s="80" t="n"/>
      <c r="I22" s="80" t="n"/>
      <c r="J22" s="80" t="n"/>
      <c r="K22" s="80" t="n"/>
      <c r="L22" s="80" t="n"/>
      <c r="M22" s="82" t="n"/>
      <c r="N22" s="78" t="n"/>
      <c r="P22" s="163" t="n"/>
    </row>
    <row r="23" ht="15" customFormat="1" customHeight="1" s="47">
      <c r="B23" s="79" t="inlineStr">
        <is>
          <t>5） 评估了财务报表中对限制性契约的披露是否符合适用的财务报告框架，以及是否对具有限制性契约的贷款安排产生的所有非流动负债进行了披露</t>
        </is>
      </c>
      <c r="C23" s="85" t="n"/>
      <c r="D23" s="85" t="n"/>
      <c r="E23" s="85" t="n"/>
      <c r="F23" s="85" t="n"/>
      <c r="G23" s="86" t="n"/>
      <c r="H23" s="86" t="n"/>
      <c r="I23" s="86" t="n"/>
      <c r="J23" s="86" t="n"/>
      <c r="K23" s="86" t="n"/>
      <c r="L23" s="86" t="n"/>
      <c r="M23" s="87" t="n"/>
      <c r="P23" s="163" t="n"/>
    </row>
    <row r="24" ht="15" customFormat="1" customHeight="1" s="47">
      <c r="B24" s="88" t="n"/>
      <c r="C24" s="89" t="n"/>
      <c r="D24" s="89" t="n"/>
      <c r="E24" s="89" t="n"/>
      <c r="F24" s="89" t="n"/>
      <c r="P24" s="163" t="n"/>
    </row>
    <row r="25" ht="15" customFormat="1" customHeight="1" s="47">
      <c r="B25" s="19" t="n"/>
      <c r="I25" s="58" t="n"/>
      <c r="J25" s="871" t="inlineStr">
        <is>
          <t>EY Works</t>
        </is>
      </c>
      <c r="K25" s="764" t="n"/>
      <c r="L25" s="764" t="n"/>
      <c r="M25" s="764" t="n"/>
      <c r="N25" s="765" t="n"/>
      <c r="P25" s="163" t="n"/>
    </row>
    <row r="26" ht="64.5" customFormat="1" customHeight="1" s="47">
      <c r="B26" s="35" t="inlineStr">
        <is>
          <t>编号</t>
        </is>
      </c>
      <c r="C26" s="35" t="inlineStr">
        <is>
          <t>债务描述/债务工具</t>
        </is>
      </c>
      <c r="D26" s="35" t="inlineStr">
        <is>
          <t>总账账户</t>
        </is>
      </c>
      <c r="E26" s="35" t="inlineStr">
        <is>
          <t>交易对手名称</t>
        </is>
      </c>
      <c r="F26" s="35" t="inlineStr">
        <is>
          <t xml:space="preserve">契约条件描述 </t>
        </is>
      </c>
      <c r="G26" s="38" t="inlineStr">
        <is>
          <t>公司契约条件计算表明合规还是不合规？
（使用下拉列表）</t>
        </is>
      </c>
      <c r="H26" s="344" t="inlineStr">
        <is>
          <t>Notes</t>
        </is>
      </c>
      <c r="I26" s="35" t="inlineStr">
        <is>
          <t>索引</t>
        </is>
      </c>
      <c r="J26" s="35" t="n">
        <v>1</v>
      </c>
      <c r="K26" s="35" t="n">
        <v>2</v>
      </c>
      <c r="L26" s="35" t="n">
        <v>3</v>
      </c>
      <c r="M26" s="35" t="n">
        <v>4</v>
      </c>
      <c r="N26" s="35" t="n">
        <v>5</v>
      </c>
      <c r="P26" s="163" t="n"/>
    </row>
    <row r="27" ht="14.5" customFormat="1" customHeight="1" s="47">
      <c r="B27" s="559" t="n"/>
      <c r="C27" s="716" t="n"/>
      <c r="D27" s="716" t="n"/>
      <c r="E27" s="716" t="n"/>
      <c r="F27" s="475" t="inlineStr">
        <is>
          <t>详见附注</t>
        </is>
      </c>
      <c r="G27" s="859" t="n"/>
      <c r="H27" s="740" t="n"/>
      <c r="I27" s="740" t="n"/>
      <c r="J27" s="250" t="n"/>
      <c r="K27" s="250" t="n"/>
      <c r="L27" s="250" t="n"/>
      <c r="M27" s="250" t="n"/>
      <c r="N27" s="250" t="n"/>
      <c r="P27" s="163" t="n"/>
    </row>
    <row r="28" ht="14.5" customFormat="1" customHeight="1" s="47">
      <c r="B28" s="559" t="n"/>
      <c r="C28" s="740" t="n"/>
      <c r="D28" s="740" t="n"/>
      <c r="E28" s="740" t="n"/>
      <c r="F28" s="475" t="inlineStr">
        <is>
          <t>详见附注</t>
        </is>
      </c>
      <c r="G28" s="859" t="n"/>
      <c r="H28" s="740" t="n"/>
      <c r="I28" s="740" t="n"/>
      <c r="J28" s="250" t="n"/>
      <c r="K28" s="250" t="n"/>
      <c r="L28" s="250" t="n"/>
      <c r="M28" s="250" t="n"/>
      <c r="N28" s="250" t="n"/>
      <c r="P28" s="163" t="n"/>
    </row>
    <row r="29" ht="14" customFormat="1" customHeight="1" s="9">
      <c r="A29" s="10" t="n"/>
      <c r="B29" s="90" t="n"/>
      <c r="C29" s="8" t="n"/>
      <c r="D29" s="8" t="n"/>
      <c r="E29" s="8" t="n"/>
      <c r="F29" s="13" t="n"/>
      <c r="G29" s="13" t="n"/>
      <c r="H29" s="13" t="n"/>
      <c r="P29" s="163" t="n"/>
    </row>
    <row r="30" ht="15" customFormat="1" customHeight="1" s="47">
      <c r="B30" s="261" t="inlineStr">
        <is>
          <t>标记图例：记录识别的异常的详细信息以及如何解决这些异常，包括执行的额外实质性程序（指引:包括充分的描述，以使经验丰富目之前与审计没有关联的审计师能够了解执行的程序）</t>
        </is>
      </c>
      <c r="C30" s="21" t="n"/>
      <c r="D30" s="21" t="n"/>
      <c r="E30" s="21" t="n"/>
      <c r="F30" s="21" t="n"/>
      <c r="G30" s="58" t="n"/>
      <c r="H30" s="58" t="n"/>
      <c r="P30" s="163" t="n"/>
    </row>
    <row r="31" ht="15" customFormat="1" customHeight="1" s="47">
      <c r="B31" s="903" t="n"/>
      <c r="C31" s="904" t="n"/>
      <c r="D31" s="904" t="n"/>
      <c r="E31" s="904" t="n"/>
      <c r="F31" s="905" t="n"/>
      <c r="G31" s="58" t="n"/>
      <c r="H31" s="58" t="n"/>
      <c r="I31" s="58" t="n"/>
      <c r="J31" s="58" t="n"/>
      <c r="K31" s="58" t="n"/>
      <c r="L31" s="58" t="n"/>
      <c r="M31" s="58" t="n"/>
      <c r="N31" s="58" t="n"/>
      <c r="P31" s="163" t="n"/>
    </row>
    <row r="32" ht="15" customFormat="1" customHeight="1" s="47">
      <c r="B32" s="906" t="n"/>
      <c r="F32" s="907" t="n"/>
      <c r="G32" s="91" t="n"/>
      <c r="H32" s="91" t="n"/>
      <c r="I32" s="91" t="n"/>
      <c r="J32" s="91" t="n"/>
      <c r="K32" s="91" t="n"/>
      <c r="L32" s="91" t="n"/>
      <c r="M32" s="91" t="n"/>
      <c r="P32" s="163" t="n"/>
    </row>
    <row r="33" ht="15" customFormat="1" customHeight="1" s="47">
      <c r="B33" s="908" t="n"/>
      <c r="C33" s="909" t="n"/>
      <c r="D33" s="909" t="n"/>
      <c r="E33" s="909" t="n"/>
      <c r="F33" s="910" t="n"/>
      <c r="G33" s="91" t="n"/>
      <c r="H33" s="91" t="n"/>
      <c r="I33" s="91" t="n"/>
      <c r="J33" s="91" t="n"/>
      <c r="K33" s="91" t="n"/>
      <c r="L33" s="91" t="n"/>
      <c r="M33" s="91" t="n"/>
      <c r="P33" s="163" t="n"/>
    </row>
    <row r="34" ht="15" customHeight="1" s="755">
      <c r="B34" s="12" t="n"/>
      <c r="C34" s="12" t="n"/>
      <c r="D34" s="12" t="n"/>
      <c r="E34" s="12" t="n"/>
      <c r="F34" s="717" t="n"/>
      <c r="P34" s="163" t="n"/>
    </row>
    <row r="35" ht="14.5" customHeight="1" s="755">
      <c r="B35" s="597" t="inlineStr">
        <is>
          <t>附注：针对编号1的贷款记录,我们摘录了&lt;AA-01-3326 流动资金借款合同&gt;. 并测试如下：</t>
        </is>
      </c>
      <c r="C35" s="12" t="n"/>
      <c r="D35" s="12" t="n"/>
      <c r="E35" s="12" t="n"/>
      <c r="F35" s="717" t="n"/>
      <c r="P35" s="163" t="n"/>
    </row>
    <row r="36" ht="14" customHeight="1" s="755">
      <c r="B36" s="15" t="n"/>
      <c r="C36" s="15" t="n"/>
      <c r="D36" s="15" t="n"/>
      <c r="E36" s="15" t="n"/>
      <c r="F36" s="717" t="n"/>
      <c r="P36" s="163" t="n"/>
    </row>
    <row r="37" ht="14.5" customHeight="1" s="755">
      <c r="B37" s="251" t="inlineStr">
        <is>
          <t>合同编号</t>
        </is>
      </c>
      <c r="C37" s="740" t="n"/>
      <c r="D37" s="758" t="n"/>
      <c r="E37" s="759" t="n"/>
      <c r="F37" s="717" t="n"/>
      <c r="P37" s="163" t="n"/>
    </row>
    <row r="38" ht="14.5" customHeight="1" s="755">
      <c r="B38" s="251" t="inlineStr">
        <is>
          <t>借款金额</t>
        </is>
      </c>
      <c r="C38" s="746" t="n"/>
      <c r="D38" s="758" t="n"/>
      <c r="E38" s="759" t="n"/>
      <c r="F38" s="717" t="n"/>
      <c r="P38" s="163" t="n"/>
    </row>
    <row r="39" ht="14.5" customHeight="1" s="755">
      <c r="B39" s="251" t="inlineStr">
        <is>
          <t>借款银行</t>
        </is>
      </c>
      <c r="C39" s="740" t="n"/>
      <c r="D39" s="758" t="n"/>
      <c r="E39" s="759" t="n"/>
      <c r="F39" s="717" t="n"/>
      <c r="P39" s="163" t="n"/>
    </row>
    <row r="40" ht="14" customHeight="1" s="755">
      <c r="B40" s="15" t="n"/>
      <c r="C40" s="15" t="n"/>
      <c r="D40" s="15" t="n"/>
      <c r="E40" s="15" t="n"/>
      <c r="F40" s="717" t="n"/>
      <c r="P40" s="163" t="n"/>
    </row>
    <row r="41" ht="14.5" customHeight="1" s="755">
      <c r="B41" s="252" t="inlineStr">
        <is>
          <t>Step1</t>
        </is>
      </c>
      <c r="C41" s="745" t="inlineStr">
        <is>
          <t>摘录借款合同中的对被审计单位财务情况的限制条件：</t>
        </is>
      </c>
      <c r="D41" s="764" t="n"/>
      <c r="E41" s="765" t="n"/>
      <c r="F41" s="717" t="n"/>
      <c r="P41" s="163" t="n"/>
    </row>
    <row r="42" ht="14" customHeight="1" s="755">
      <c r="B42" s="16" t="n"/>
      <c r="C42" s="16" t="n"/>
      <c r="D42" s="16" t="n"/>
      <c r="E42" s="16" t="n"/>
      <c r="F42" s="717" t="n"/>
      <c r="P42" s="163" t="n"/>
    </row>
    <row r="43" ht="14" customHeight="1" s="755">
      <c r="B43" s="911" t="inlineStr">
        <is>
          <t>条件1</t>
        </is>
      </c>
      <c r="C43" s="912" t="n"/>
      <c r="D43" s="770" t="n"/>
      <c r="E43" s="771" t="n"/>
      <c r="F43" s="717" t="n"/>
      <c r="P43" s="163" t="n"/>
    </row>
    <row r="44" ht="14" customHeight="1" s="755">
      <c r="B44" s="913" t="n"/>
      <c r="C44" s="914" t="n"/>
      <c r="E44" s="773" t="n"/>
      <c r="P44" s="163" t="n"/>
    </row>
    <row r="45" ht="14" customHeight="1" s="755">
      <c r="B45" s="913" t="n"/>
      <c r="C45" s="914" t="n"/>
      <c r="E45" s="773" t="n"/>
      <c r="P45" s="163" t="n"/>
    </row>
    <row r="46" ht="14" customHeight="1" s="755">
      <c r="B46" s="913" t="n"/>
      <c r="C46" s="914" t="n"/>
      <c r="E46" s="773" t="n"/>
      <c r="P46" s="163" t="n"/>
    </row>
    <row r="47" ht="14" customHeight="1" s="755">
      <c r="B47" s="787" t="n"/>
      <c r="C47" s="915" t="n"/>
      <c r="D47" s="762" t="n"/>
      <c r="E47" s="761" t="n"/>
      <c r="P47" s="163" t="n"/>
    </row>
    <row r="48" ht="14" customHeight="1" s="755">
      <c r="B48" s="911" t="inlineStr">
        <is>
          <t>测试过程</t>
        </is>
      </c>
      <c r="C48" s="912" t="n"/>
      <c r="D48" s="770" t="n"/>
      <c r="E48" s="771" t="n"/>
      <c r="F48" s="717" t="n"/>
      <c r="P48" s="163" t="n"/>
    </row>
    <row r="49" ht="14" customHeight="1" s="755">
      <c r="B49" s="913" t="n"/>
      <c r="C49" s="914" t="n"/>
      <c r="E49" s="773" t="n"/>
      <c r="P49" s="163" t="n"/>
    </row>
    <row r="50" ht="14" customHeight="1" s="755">
      <c r="B50" s="787" t="n"/>
      <c r="C50" s="915" t="n"/>
      <c r="D50" s="762" t="n"/>
      <c r="E50" s="761" t="n"/>
      <c r="P50" s="163" t="n"/>
    </row>
    <row r="51" ht="14.5" customHeight="1" s="755">
      <c r="B51" s="253" t="inlineStr">
        <is>
          <t>测试结论</t>
        </is>
      </c>
      <c r="C51" s="916" t="n"/>
      <c r="D51" s="764" t="n"/>
      <c r="E51" s="765" t="n"/>
      <c r="F51" s="717" t="n"/>
      <c r="P51" s="163" t="n"/>
    </row>
    <row r="52" ht="14" customHeight="1" s="755">
      <c r="B52" s="17" t="n"/>
      <c r="C52" s="15" t="n"/>
      <c r="D52" s="15" t="n"/>
      <c r="E52" s="15" t="n"/>
      <c r="F52" s="717" t="n"/>
      <c r="P52" s="163" t="n"/>
    </row>
    <row r="53" ht="14.5" customHeight="1" s="755">
      <c r="B53" s="11" t="inlineStr">
        <is>
          <t>（如有其他条件，请继续添加）</t>
        </is>
      </c>
      <c r="C53" s="15" t="n"/>
      <c r="D53" s="15" t="n"/>
      <c r="E53" s="15" t="n"/>
      <c r="F53" s="717" t="n"/>
      <c r="P53" s="163" t="n"/>
    </row>
    <row r="54" ht="14" customHeight="1" s="755">
      <c r="B54" s="14" t="n"/>
      <c r="C54" s="15" t="n"/>
      <c r="D54" s="15" t="n"/>
      <c r="E54" s="15" t="n"/>
      <c r="F54" s="717" t="n"/>
      <c r="P54" s="163" t="n"/>
    </row>
    <row r="55" ht="14.5" customHeight="1" s="755">
      <c r="B55" s="254" t="inlineStr">
        <is>
          <t>结论</t>
        </is>
      </c>
      <c r="C55" s="740" t="n"/>
      <c r="D55" s="758" t="n"/>
      <c r="E55" s="759" t="n"/>
      <c r="F55" s="717" t="n"/>
      <c r="P55" s="163" t="n"/>
    </row>
    <row r="56" ht="14" customHeight="1" s="755">
      <c r="B56" s="15" t="n"/>
      <c r="C56" s="15" t="n"/>
      <c r="D56" s="15" t="n"/>
      <c r="E56" s="15" t="n"/>
      <c r="F56" s="717" t="n"/>
      <c r="P56" s="163" t="n"/>
    </row>
    <row r="57" ht="72" customHeight="1" s="755">
      <c r="B57" s="253" t="inlineStr">
        <is>
          <t>（如适用）针对已经触发限制性条款的借款我们执行程序如下：</t>
        </is>
      </c>
      <c r="C57" s="716" t="n"/>
      <c r="D57" s="758" t="n"/>
      <c r="E57" s="759" t="n"/>
      <c r="F57" s="717" t="n"/>
      <c r="P57" s="163" t="n"/>
    </row>
    <row r="58" ht="15" customHeight="1" s="755">
      <c r="P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T59" s="47" t="n"/>
      <c r="U59" s="47" t="n"/>
    </row>
  </sheetData>
  <mergeCells count="23">
    <mergeCell ref="C50:E50"/>
    <mergeCell ref="C44:E44"/>
    <mergeCell ref="C41:E41"/>
    <mergeCell ref="C55:E55"/>
    <mergeCell ref="B7:F9"/>
    <mergeCell ref="B31:F33"/>
    <mergeCell ref="C43:E43"/>
    <mergeCell ref="C51:E51"/>
    <mergeCell ref="C46:E46"/>
    <mergeCell ref="F43:F47"/>
    <mergeCell ref="F48:F50"/>
    <mergeCell ref="C39:E39"/>
    <mergeCell ref="C48:E48"/>
    <mergeCell ref="C38:E38"/>
    <mergeCell ref="C57:E57"/>
    <mergeCell ref="C37:E37"/>
    <mergeCell ref="J25:N25"/>
    <mergeCell ref="C49:E49"/>
    <mergeCell ref="B43:B47"/>
    <mergeCell ref="B1:N1"/>
    <mergeCell ref="B48:B50"/>
    <mergeCell ref="C45:E45"/>
    <mergeCell ref="C47:E47"/>
  </mergeCells>
  <conditionalFormatting sqref="B7 B27:G28 C37:E39 C43:E51 C55:E55 C57:E57 E11 E15">
    <cfRule type="containsBlanks" priority="3" dxfId="1">
      <formula>LEN(TRIM(B7))=0</formula>
    </cfRule>
  </conditionalFormatting>
  <conditionalFormatting sqref="B31">
    <cfRule type="containsBlanks" priority="1" dxfId="1">
      <formula>LEN(TRIM(B31))=0</formula>
    </cfRule>
  </conditionalFormatting>
  <conditionalFormatting sqref="J27:N28">
    <cfRule type="containsBlanks" priority="2" dxfId="0">
      <formula>LEN(TRIM(J27))=0</formula>
    </cfRule>
  </conditionalFormatting>
  <dataValidations count="2">
    <dataValidation sqref="G27:G28" showDropDown="0" showInputMessage="1" showErrorMessage="0" allowBlank="1" type="list">
      <formula1>"合规, 不合规"</formula1>
    </dataValidation>
    <dataValidation sqref="J27:N28"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itle>Q SWP 金融负债+银行借款-johnny.xlsx</dc:title>
  <dc:description>8FF2F26C-5001-4193-B09A-5DB4A21C22D7</dc:description>
  <dcterms:created xsi:type="dcterms:W3CDTF">2025-07-24T14:44:50Z</dcterms:created>
  <dcterms:modified xsi:type="dcterms:W3CDTF">2026-05-20T04:05:14Z</dcterms:modified>
  <cp:lastModifiedBy>Alina Ye</cp:lastModifiedBy>
  <cp:revision>1</cp:revision>
  <cp:keywords>Final Audit.V6.Q1.0926</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0x010100C356E0873AC37D4FB8A3D698F54DBA6C</vt:lpwstr>
  </property>
</Properties>
</file>
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fullCalcOnLoad="1"/>
</workbook>
</file>

<file path=xl/styles.xml><?xml version="1.0" encoding="utf-8"?>
<styleSheet xmlns="http://schemas.openxmlformats.org/spreadsheetml/2006/main">
  <numFmts count="37">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29">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463" t="inlineStr">
        <is>
          <t>2026-12-31</t>
        </is>
      </c>
      <c r="D3" s="598" t="n"/>
      <c r="O3" s="599" t="n"/>
      <c r="Q3" s="250" t="n"/>
    </row>
    <row r="4" ht="17.4" customFormat="1" customHeight="1" s="247">
      <c r="B4" s="263" t="inlineStr">
        <is>
          <t>分析日期</t>
        </is>
      </c>
      <c r="C4" s="463" t="inlineStr">
        <is>
          <t>2026-05-20</t>
        </is>
      </c>
      <c r="D4" s="598" t="n"/>
      <c r="O4" s="599" t="n"/>
      <c r="Q4" s="250" t="n"/>
    </row>
    <row r="5" ht="17.4" customFormat="1" customHeight="1" s="247">
      <c r="B5" s="263" t="inlineStr">
        <is>
          <t>可容忍误差(TE）</t>
        </is>
      </c>
      <c r="C5" s="600" t="n"/>
      <c r="D5" s="598" t="n"/>
      <c r="O5" s="599" t="n"/>
      <c r="Q5" s="250" t="n"/>
    </row>
    <row r="6" ht="17.4" customFormat="1" customHeight="1" s="247">
      <c r="B6" s="263" t="inlineStr">
        <is>
          <t>名义金额（SAD）</t>
        </is>
      </c>
      <c r="C6" s="600" t="n"/>
      <c r="D6" s="598" t="n"/>
      <c r="O6" s="599" t="n"/>
      <c r="Q6" s="250" t="n"/>
    </row>
    <row r="7" ht="17.4" customFormat="1" customHeight="1" s="247">
      <c r="B7" s="263" t="inlineStr">
        <is>
          <t>公认会计准则（GAAP）</t>
        </is>
      </c>
      <c r="C7" s="464" t="n"/>
      <c r="D7" s="598" t="n"/>
      <c r="O7" s="599" t="n"/>
      <c r="Q7" s="250" t="n"/>
    </row>
    <row r="8" ht="17.4" customFormat="1" customHeight="1" s="247">
      <c r="B8" s="498" t="inlineStr">
        <is>
          <t>记账本位币</t>
        </is>
      </c>
      <c r="C8" s="465" t="n"/>
      <c r="D8" s="601" t="n"/>
      <c r="E8" s="602" t="n"/>
      <c r="F8" s="602" t="n"/>
      <c r="G8" s="602" t="n"/>
      <c r="H8" s="602" t="n"/>
      <c r="I8" s="602" t="n"/>
      <c r="J8" s="602" t="n"/>
      <c r="K8" s="602" t="n"/>
      <c r="L8" s="602" t="n"/>
      <c r="M8" s="602" t="n"/>
      <c r="N8" s="602" t="n"/>
      <c r="O8" s="603"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4" t="n"/>
      <c r="G11" s="604" t="n"/>
      <c r="H11" s="604" t="n"/>
      <c r="I11" s="604" t="n"/>
      <c r="J11" s="604" t="n"/>
      <c r="K11" s="604" t="n"/>
      <c r="P11" s="51" t="n"/>
      <c r="Q11" s="52" t="n"/>
    </row>
    <row r="12" ht="15" customHeight="1">
      <c r="F12" s="604" t="n"/>
      <c r="G12" s="604" t="n"/>
      <c r="H12" s="604" t="n"/>
      <c r="I12" s="604" t="n"/>
      <c r="J12" s="604" t="n"/>
      <c r="K12" s="604" t="n"/>
      <c r="P12" s="51" t="n"/>
      <c r="Q12" s="52" t="n"/>
    </row>
    <row r="13" ht="15" customHeight="1">
      <c r="B13" s="7" t="n"/>
      <c r="C13" s="7" t="n"/>
      <c r="D13" s="197" t="inlineStr">
        <is>
          <t>Threshold(s)</t>
        </is>
      </c>
      <c r="E13" s="198" t="n"/>
      <c r="F13" s="604" t="n"/>
      <c r="G13" s="604" t="n"/>
      <c r="H13" s="605" t="inlineStr">
        <is>
          <t>安永标记</t>
        </is>
      </c>
      <c r="I13" s="606" t="n"/>
      <c r="J13" s="606" t="n"/>
      <c r="K13" s="606" t="n"/>
      <c r="L13" s="607" t="n"/>
      <c r="P13" s="51" t="n"/>
      <c r="Q13" s="52" t="n"/>
    </row>
    <row r="14" ht="15" customHeight="1">
      <c r="B14" s="458" t="inlineStr">
        <is>
          <t>认定</t>
        </is>
      </c>
      <c r="C14" s="458" t="inlineStr">
        <is>
          <t>CRA</t>
        </is>
      </c>
      <c r="D14" s="458" t="inlineStr">
        <is>
          <t>各项认定1</t>
        </is>
      </c>
      <c r="E14" s="459" t="inlineStr">
        <is>
          <t>所有相关认定 2</t>
        </is>
      </c>
      <c r="F14" s="604" t="n"/>
      <c r="G14" s="604"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8">
        <f>IF(C15="Minimal",$C$5*100%,IF(C15="Low",$C$5*75%,IF(C15="Moderate",$C$5*50%,IF(C15="High",$C$5*25%,IF(C15="N/A","-",)))))</f>
        <v/>
      </c>
      <c r="E15" s="609">
        <f>MIN($D$15:$D$19)</f>
        <v/>
      </c>
      <c r="F15" s="604" t="n"/>
      <c r="G15" s="604"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8">
        <f>IF(C16="Minimal",$C$5*100%,IF(C16="Low",$C$5*75%,IF(C16="Moderate",$C$5*50%,IF(C16="High",$C$5*25%,IF(C16="N/A","-",)))))</f>
        <v/>
      </c>
      <c r="E16" s="610" t="n"/>
      <c r="F16" s="604" t="n"/>
      <c r="G16" s="604"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8">
        <f>IF(C17="Minimal",$C$5*100%,IF(C17="Low",$C$5*75%,IF(C17="Moderate",$C$5*50%,IF(C17="High",$C$5*25%,IF(C17="N/A","-",)))))</f>
        <v/>
      </c>
      <c r="E17" s="610" t="n"/>
      <c r="F17" s="604" t="n"/>
      <c r="G17" s="604"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8">
        <f>IF(C18="Minimal",$C$5*100%,IF(C18="Low",$C$5*75%,IF(C18="Moderate",$C$5*50%,IF(C18="High",$C$5*25%,IF(C18="N/A","-",)))))</f>
        <v/>
      </c>
      <c r="E18" s="610" t="n"/>
      <c r="F18" s="604" t="n"/>
      <c r="G18" s="604"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8">
        <f>IF(C19="Minimal",$C$5*100%,IF(C19="Low",$C$5*75%,IF(C19="Moderate",$C$5*50%,IF(C19="High",$C$5*25%,IF(C19="N/A","-",)))))</f>
        <v/>
      </c>
      <c r="E19" s="611" t="n"/>
      <c r="F19" s="604" t="n"/>
      <c r="G19" s="604"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2" t="n"/>
      <c r="D26" s="612" t="n"/>
      <c r="E26" s="612" t="n"/>
      <c r="F26" s="613" t="n"/>
      <c r="G26" s="122" t="n"/>
      <c r="H26" s="122" t="n"/>
      <c r="I26" s="122" t="n"/>
      <c r="J26" s="122" t="n"/>
      <c r="K26" s="122" t="n"/>
      <c r="P26" s="51" t="n"/>
      <c r="Q26" s="52" t="n"/>
    </row>
    <row r="27" ht="15" customHeight="1">
      <c r="B27" s="614" t="n"/>
      <c r="C27" s="615" t="n"/>
      <c r="D27" s="615" t="n"/>
      <c r="E27" s="615" t="n"/>
      <c r="F27" s="616" t="n"/>
      <c r="G27" s="122" t="n"/>
      <c r="H27" s="122" t="n"/>
      <c r="I27" s="122" t="n"/>
      <c r="J27" s="122" t="n"/>
      <c r="K27" s="122" t="n"/>
      <c r="P27" s="51" t="n"/>
      <c r="Q27" s="52" t="n"/>
    </row>
    <row r="28" ht="15" customHeight="1">
      <c r="B28" s="614" t="n"/>
      <c r="C28" s="615" t="n"/>
      <c r="D28" s="615" t="n"/>
      <c r="E28" s="615" t="n"/>
      <c r="F28" s="616" t="n"/>
      <c r="G28" s="122" t="n"/>
      <c r="H28" s="122" t="n"/>
      <c r="I28" s="122" t="n"/>
      <c r="J28" s="122" t="n"/>
      <c r="K28" s="122" t="n"/>
      <c r="P28" s="51" t="n"/>
      <c r="Q28" s="52" t="n"/>
    </row>
    <row r="29" ht="15" customHeight="1">
      <c r="B29" s="617" t="n"/>
      <c r="C29" s="618" t="n"/>
      <c r="D29" s="618" t="n"/>
      <c r="E29" s="618" t="n"/>
      <c r="F29" s="619"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0"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1">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2">
        <f>"货币/单位: "&amp;C8</f>
        <v/>
      </c>
      <c r="F39" s="596" t="n"/>
      <c r="G39" s="596" t="n"/>
      <c r="H39" s="596" t="n"/>
      <c r="I39" s="596" t="n"/>
      <c r="J39" s="623" t="n"/>
      <c r="K39" s="355" t="n"/>
      <c r="L39" s="355" t="n"/>
      <c r="M39" s="356" t="n"/>
      <c r="N39" s="356" t="n"/>
      <c r="O39" s="357" t="n"/>
      <c r="Q39" s="52" t="n"/>
    </row>
    <row r="40" ht="15" customHeight="1">
      <c r="B40" s="368" t="n"/>
      <c r="C40" s="369" t="n"/>
      <c r="D40" s="369" t="n"/>
      <c r="E40" s="624">
        <f>C3</f>
        <v/>
      </c>
      <c r="F40" s="606" t="n"/>
      <c r="G40" s="606" t="n"/>
      <c r="H40" s="606" t="n"/>
      <c r="I40" s="607" t="n"/>
      <c r="J40" s="358">
        <f>DATE(YEAR($C$3)-1,12,31)</f>
        <v/>
      </c>
      <c r="K40" s="625" t="inlineStr">
        <is>
          <t>本期和上期期末余额</t>
        </is>
      </c>
      <c r="L40" s="626" t="n"/>
      <c r="M40" s="370" t="n"/>
      <c r="N40" s="627" t="inlineStr">
        <is>
          <t>基于波动幅度判断，是否进一步调查？</t>
        </is>
      </c>
      <c r="O40" s="628"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29" t="n"/>
      <c r="O41" s="630" t="n"/>
      <c r="Q41" s="52" t="n"/>
    </row>
    <row r="42" ht="15" customHeight="1">
      <c r="B42" s="466" t="n"/>
      <c r="C42" s="376" t="inlineStr">
        <is>
          <t>无形资产</t>
        </is>
      </c>
      <c r="D42" s="70" t="inlineStr">
        <is>
          <t>L.01.1</t>
        </is>
      </c>
      <c r="E42" s="631">
        <f>'L1.01.1 Agree SL to GL'!T37</f>
        <v/>
      </c>
      <c r="F42" s="632" t="n"/>
      <c r="G42" s="631">
        <f>E42+F42</f>
        <v/>
      </c>
      <c r="H42" s="632" t="n"/>
      <c r="I42" s="631">
        <f>G42+H42</f>
        <v/>
      </c>
      <c r="J42" s="633">
        <f>G42+H42</f>
        <v/>
      </c>
      <c r="K42" s="634">
        <f>I42-J42</f>
        <v/>
      </c>
      <c r="L42" s="390">
        <f>IF(J42&lt;&gt;0,K42/J42,1)</f>
        <v/>
      </c>
      <c r="M42" s="70" t="inlineStr">
        <is>
          <t>[A]</t>
        </is>
      </c>
      <c r="N42" s="377">
        <f>IF(AND(ABS(K42)&gt;=$C$32,ABS(L42)&gt;=$C$33),"是","否")</f>
        <v/>
      </c>
      <c r="O42" s="377" t="n"/>
      <c r="Q42" s="52" t="n"/>
    </row>
    <row r="43" ht="15" customHeight="1">
      <c r="B43" s="466" t="n"/>
      <c r="C43" s="376" t="inlineStr">
        <is>
          <t>累计摊销</t>
        </is>
      </c>
      <c r="D43" s="70" t="inlineStr">
        <is>
          <t>L.01.1</t>
        </is>
      </c>
      <c r="E43" s="631">
        <f>'L1.01.1 Agree SL to GL'!T39</f>
        <v/>
      </c>
      <c r="F43" s="632" t="n"/>
      <c r="G43" s="631">
        <f>E43+F43</f>
        <v/>
      </c>
      <c r="H43" s="632" t="n"/>
      <c r="I43" s="631">
        <f>G43+H43</f>
        <v/>
      </c>
      <c r="J43" s="631">
        <f>G43+H43</f>
        <v/>
      </c>
      <c r="K43" s="634">
        <f>I43-J43</f>
        <v/>
      </c>
      <c r="L43" s="390">
        <f>IF(J43&lt;&gt;0,K43/J43,1)</f>
        <v/>
      </c>
      <c r="M43" s="70" t="n"/>
      <c r="N43" s="377">
        <f>IF(AND(ABS(K43)&gt;=$C$32,ABS(L43)&gt;=$C$33),"是","否")</f>
        <v/>
      </c>
      <c r="O43" s="377" t="n"/>
      <c r="Q43" s="52" t="n"/>
    </row>
    <row r="44" ht="15" customHeight="1">
      <c r="B44" s="466" t="n"/>
      <c r="C44" s="376" t="inlineStr">
        <is>
          <t>减值准备</t>
        </is>
      </c>
      <c r="D44" s="70" t="inlineStr">
        <is>
          <t>L.01.1</t>
        </is>
      </c>
      <c r="E44" s="631">
        <f>'L1.01.1 Agree SL to GL'!T41</f>
        <v/>
      </c>
      <c r="F44" s="632" t="n"/>
      <c r="G44" s="631">
        <f>E44+F44</f>
        <v/>
      </c>
      <c r="H44" s="632" t="n"/>
      <c r="I44" s="631">
        <f>G44+H44</f>
        <v/>
      </c>
      <c r="J44" s="631">
        <f>G44+H44</f>
        <v/>
      </c>
      <c r="K44" s="634">
        <f>I44-J44</f>
        <v/>
      </c>
      <c r="L44" s="390">
        <f>IF(J44&lt;&gt;0,K44/J44,1)</f>
        <v/>
      </c>
      <c r="M44" s="70" t="n"/>
      <c r="N44" s="377">
        <f>IF(AND(ABS(K44)&gt;=$C$32,ABS(L44)&gt;=$C$33),"是","否")</f>
        <v/>
      </c>
      <c r="O44" s="377" t="n"/>
      <c r="Q44" s="52" t="n"/>
    </row>
    <row r="45" ht="15" customHeight="1">
      <c r="B45" s="163" t="n"/>
      <c r="C45" s="266" t="n"/>
      <c r="D45" s="267" t="n"/>
      <c r="E45" s="635" t="n"/>
      <c r="F45" s="636" t="n"/>
      <c r="G45" s="635" t="n"/>
      <c r="H45" s="636" t="n"/>
      <c r="I45" s="635" t="n"/>
      <c r="J45" s="635" t="n"/>
      <c r="K45" s="637" t="n"/>
      <c r="L45" s="638" t="n"/>
      <c r="M45" s="70" t="n"/>
      <c r="N45" s="377" t="n"/>
      <c r="O45" s="377" t="n"/>
      <c r="Q45" s="52" t="n"/>
    </row>
    <row r="46" ht="15" customHeight="1" thickBot="1">
      <c r="C46" s="71" t="inlineStr">
        <is>
          <t>合计</t>
        </is>
      </c>
      <c r="D46" s="71" t="n"/>
      <c r="E46" s="639">
        <f>E42-E43-E44</f>
        <v/>
      </c>
      <c r="F46" s="639">
        <f>F42-F43-F44</f>
        <v/>
      </c>
      <c r="G46" s="639">
        <f>G42-G43-G44</f>
        <v/>
      </c>
      <c r="H46" s="639">
        <f>H42-H43-H44</f>
        <v/>
      </c>
      <c r="I46" s="639">
        <f>I42-I43-I44</f>
        <v/>
      </c>
      <c r="J46" s="639">
        <f>I42-I43-I44</f>
        <v/>
      </c>
      <c r="K46" s="639">
        <f>K42-K43-K44</f>
        <v/>
      </c>
      <c r="L46" s="391">
        <f>IF(J46&lt;&gt;0,K46/J46,1)</f>
        <v/>
      </c>
      <c r="M46" s="70" t="n"/>
      <c r="N46" s="377">
        <f>IF(AND(ABS(K46)&gt;=$C$32,ABS(L46)&gt;=$C$33),"是","否")</f>
        <v/>
      </c>
      <c r="O46" s="377" t="n"/>
      <c r="Q46" s="52" t="n"/>
    </row>
    <row r="47" ht="15" customHeight="1" thickTop="1">
      <c r="C47" s="71" t="n"/>
      <c r="D47" s="71" t="n"/>
      <c r="E47" s="640" t="n"/>
      <c r="F47" s="640" t="n"/>
      <c r="G47" s="640" t="n"/>
      <c r="H47" s="640" t="n"/>
      <c r="I47" s="640" t="n"/>
      <c r="J47" s="640" t="n"/>
      <c r="K47" s="640" t="n"/>
      <c r="L47" s="641" t="n"/>
      <c r="M47" s="70" t="n"/>
      <c r="N47" s="270" t="n"/>
      <c r="O47" s="375" t="n"/>
      <c r="Q47" s="52" t="n"/>
    </row>
    <row r="48" ht="15" customHeight="1">
      <c r="C48" s="21" t="inlineStr">
        <is>
          <t>check with A3</t>
        </is>
      </c>
      <c r="D48" s="71" t="n"/>
      <c r="E48" s="47" t="n"/>
      <c r="F48" s="642" t="n"/>
      <c r="G48" s="633" t="n"/>
      <c r="H48" s="642" t="n"/>
      <c r="I48" s="633" t="n"/>
      <c r="J48" s="633" t="n"/>
      <c r="K48" s="642" t="n"/>
      <c r="L48" s="641" t="n"/>
      <c r="M48" s="70" t="n"/>
      <c r="Q48" s="52" t="n"/>
    </row>
    <row r="49" ht="15" customFormat="1" customHeight="1" s="62">
      <c r="A49" s="51" t="n"/>
      <c r="C49" s="21" t="inlineStr">
        <is>
          <t>Diff</t>
        </is>
      </c>
      <c r="D49" s="72" t="n"/>
      <c r="E49" s="47" t="n"/>
      <c r="F49" s="643" t="n"/>
      <c r="G49" s="644">
        <f>G48-G46</f>
        <v/>
      </c>
      <c r="H49" s="643" t="n"/>
      <c r="I49" s="644">
        <f>I48-I46</f>
        <v/>
      </c>
      <c r="J49" s="644">
        <f>I48-I46</f>
        <v/>
      </c>
      <c r="K49" s="645" t="n"/>
      <c r="L49" s="72" t="n"/>
      <c r="M49" s="73" t="n"/>
      <c r="N49" s="73" t="n"/>
      <c r="O49" s="73" t="n"/>
      <c r="Q49" s="64" t="n"/>
    </row>
    <row r="50" ht="15" customFormat="1" customHeight="1" s="62">
      <c r="A50" s="51" t="n"/>
      <c r="C50" s="21" t="n"/>
      <c r="D50" s="72" t="n"/>
      <c r="E50" s="47" t="n"/>
      <c r="F50" s="643" t="n"/>
      <c r="G50" s="646" t="n"/>
      <c r="H50" s="643" t="n"/>
      <c r="I50" s="646" t="n"/>
      <c r="J50" s="646" t="n"/>
      <c r="K50" s="645"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47" t="inlineStr">
        <is>
          <t>[A]</t>
        </is>
      </c>
      <c r="C52" s="596" t="n"/>
      <c r="D52" s="596" t="n"/>
      <c r="E52" s="596" t="n"/>
      <c r="F52" s="623" t="n"/>
      <c r="M52" s="648" t="n"/>
      <c r="N52" s="75" t="n"/>
      <c r="O52" s="75" t="n"/>
      <c r="P52" s="75" t="n"/>
      <c r="Q52" s="52" t="n"/>
      <c r="R52" s="60" t="n"/>
    </row>
    <row r="53" ht="15" customHeight="1">
      <c r="B53" s="649" t="n"/>
      <c r="F53" s="650" t="n"/>
      <c r="M53" s="648" t="n"/>
      <c r="N53" s="75" t="n"/>
      <c r="O53" s="75" t="n"/>
      <c r="P53" s="75" t="n"/>
      <c r="Q53" s="52" t="n"/>
      <c r="R53" s="60" t="n"/>
    </row>
    <row r="54" ht="15" customHeight="1">
      <c r="B54" s="649" t="n"/>
      <c r="F54" s="650" t="n"/>
      <c r="M54" s="648" t="n"/>
      <c r="N54" s="75" t="n"/>
      <c r="O54" s="75" t="n"/>
      <c r="P54" s="75" t="n"/>
      <c r="Q54" s="52" t="n"/>
      <c r="R54" s="60" t="n"/>
    </row>
    <row r="55" ht="15" customHeight="1">
      <c r="B55" s="651" t="n"/>
      <c r="C55" s="652" t="n"/>
      <c r="D55" s="652" t="n"/>
      <c r="E55" s="652" t="n"/>
      <c r="F55" s="653" t="n"/>
      <c r="M55" s="648" t="n"/>
      <c r="N55" s="75" t="n"/>
      <c r="O55" s="75" t="n"/>
      <c r="P55" s="75" t="n"/>
      <c r="Q55" s="52" t="n"/>
      <c r="R55" s="60" t="n"/>
    </row>
    <row r="56" ht="15" customHeight="1">
      <c r="B56" s="577" t="n"/>
      <c r="C56" s="577" t="n"/>
      <c r="D56" s="577" t="n"/>
      <c r="E56" s="577" t="n"/>
      <c r="F56" s="577" t="n"/>
      <c r="M56" s="648" t="n"/>
      <c r="N56" s="75" t="n"/>
      <c r="O56" s="75" t="n"/>
      <c r="P56" s="75" t="n"/>
      <c r="Q56" s="52" t="n"/>
      <c r="R56" s="60" t="n"/>
    </row>
    <row r="57" ht="15" customHeight="1">
      <c r="B57" s="275" t="inlineStr">
        <is>
          <t>调整汇总表（如不适用请删除）</t>
        </is>
      </c>
      <c r="C57" s="43" t="n"/>
      <c r="D57" s="276" t="n"/>
      <c r="E57" s="276" t="n"/>
      <c r="F57" s="577" t="n"/>
      <c r="M57" s="648" t="n"/>
      <c r="N57" s="75" t="n"/>
      <c r="O57" s="75" t="n"/>
      <c r="P57" s="75" t="n"/>
      <c r="Q57" s="52" t="n"/>
      <c r="R57" s="60" t="n"/>
    </row>
    <row r="58" ht="15" customHeight="1">
      <c r="B58" s="277" t="inlineStr">
        <is>
          <t>调整类型</t>
        </is>
      </c>
      <c r="C58" s="278" t="n"/>
      <c r="D58" s="278" t="n"/>
      <c r="E58" s="279" t="n"/>
      <c r="F58" s="279" t="n"/>
      <c r="M58" s="648" t="n"/>
      <c r="N58" s="75" t="n"/>
      <c r="O58" s="75" t="n"/>
      <c r="P58" s="75" t="n"/>
      <c r="Q58" s="52" t="n"/>
      <c r="R58" s="60" t="n"/>
    </row>
    <row r="59" ht="15" customHeight="1">
      <c r="B59" s="470" t="n"/>
      <c r="C59" s="280" t="n"/>
      <c r="D59" s="280" t="n"/>
      <c r="E59" s="471" t="n"/>
      <c r="F59" s="472" t="n"/>
      <c r="M59" s="648" t="n"/>
      <c r="N59" s="75" t="n"/>
      <c r="O59" s="75" t="n"/>
      <c r="P59" s="75" t="n"/>
      <c r="Q59" s="52" t="n"/>
      <c r="R59" s="60" t="n"/>
    </row>
    <row r="60" ht="15" customHeight="1">
      <c r="B60" s="473" t="n"/>
      <c r="C60" s="467" t="n"/>
      <c r="D60" s="467" t="n"/>
      <c r="E60" s="277" t="n"/>
      <c r="F60" s="474" t="n"/>
      <c r="M60" s="648" t="n"/>
      <c r="N60" s="75" t="n"/>
      <c r="O60" s="75" t="n"/>
      <c r="P60" s="75" t="n"/>
      <c r="Q60" s="52" t="n"/>
      <c r="R60" s="60" t="n"/>
    </row>
    <row r="61" ht="15" customHeight="1">
      <c r="B61" s="473" t="n"/>
      <c r="C61" s="467" t="n"/>
      <c r="D61" s="467" t="n"/>
      <c r="E61" s="277" t="n"/>
      <c r="F61" s="474" t="n"/>
      <c r="M61" s="648" t="n"/>
      <c r="N61" s="75" t="n"/>
      <c r="O61" s="75" t="n"/>
      <c r="P61" s="75" t="n"/>
      <c r="Q61" s="52" t="n"/>
      <c r="R61" s="60" t="n"/>
    </row>
    <row r="62" ht="15" customHeight="1">
      <c r="B62" s="475" t="n"/>
      <c r="C62" s="468" t="n"/>
      <c r="D62" s="468" t="n"/>
      <c r="E62" s="468" t="n"/>
      <c r="F62" s="469" t="n"/>
      <c r="M62" s="648" t="n"/>
      <c r="N62" s="75" t="n"/>
      <c r="O62" s="75" t="n"/>
      <c r="P62" s="75" t="n"/>
      <c r="Q62" s="52" t="n"/>
      <c r="R62" s="60" t="n"/>
    </row>
    <row r="63" ht="15" customHeight="1">
      <c r="B63" s="577" t="n"/>
      <c r="C63" s="577" t="n"/>
      <c r="D63" s="577" t="n"/>
      <c r="E63" s="577" t="n"/>
      <c r="F63" s="577" t="n"/>
      <c r="M63" s="648" t="n"/>
      <c r="N63" s="75" t="n"/>
      <c r="O63" s="75" t="n"/>
      <c r="P63" s="75" t="n"/>
      <c r="Q63" s="52" t="n"/>
      <c r="R63" s="60" t="n"/>
    </row>
    <row r="64" ht="7.5" customHeight="1">
      <c r="A64" s="52" t="n"/>
      <c r="B64" s="52" t="n"/>
      <c r="C64" s="52" t="n"/>
      <c r="D64" s="52" t="n"/>
      <c r="E64" s="52" t="n"/>
      <c r="F64" s="52" t="n"/>
      <c r="G64" s="52" t="n"/>
      <c r="H64" s="52" t="n"/>
      <c r="I64" s="52" t="n"/>
      <c r="J64" s="52" t="n"/>
      <c r="K64" s="52" t="n"/>
      <c r="L64" s="654" t="n"/>
      <c r="M64" s="77" t="n"/>
      <c r="N64" s="77" t="n"/>
      <c r="O64" s="77" t="n"/>
      <c r="P64" s="52" t="n"/>
      <c r="Q64" s="52" t="n"/>
    </row>
    <row r="65" ht="15" customHeight="1">
      <c r="L65" s="648" t="n"/>
      <c r="M65" s="75" t="n"/>
      <c r="N65" s="75" t="n"/>
      <c r="O65" s="75" t="n"/>
    </row>
    <row r="66" ht="15" customHeight="1">
      <c r="L66" s="648"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5" t="inlineStr">
        <is>
          <t>标准工作底稿: L1 SWP 无形资产</t>
        </is>
      </c>
      <c r="W1" s="656"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软件</t>
        </is>
      </c>
      <c r="J10" s="176" t="n"/>
      <c r="K10" s="169" t="n"/>
      <c r="L10" s="170" t="inlineStr">
        <is>
          <t>商标权</t>
        </is>
      </c>
      <c r="M10" s="176" t="n"/>
      <c r="N10" s="169" t="n"/>
      <c r="O10" s="170" t="inlineStr">
        <is>
          <t>专利权</t>
        </is>
      </c>
      <c r="P10" s="176" t="n"/>
      <c r="Q10" s="169" t="n"/>
      <c r="R10" s="170" t="inlineStr">
        <is>
          <t>特许权</t>
        </is>
      </c>
      <c r="S10" s="176" t="n"/>
      <c r="T10" s="169" t="n"/>
      <c r="U10" s="170" t="inlineStr">
        <is>
          <t>合计</t>
        </is>
      </c>
      <c r="V10" s="176" t="n"/>
      <c r="W10" s="657"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58" t="n"/>
      <c r="Y11" s="52" t="n"/>
      <c r="Z11" s="138" t="n"/>
    </row>
    <row r="12" ht="12.75" customFormat="1" customHeight="1" s="20">
      <c r="A12" s="5" t="n"/>
      <c r="B12" s="659" t="inlineStr">
        <is>
          <t>原值</t>
        </is>
      </c>
      <c r="C12" s="128" t="inlineStr">
        <is>
          <t>年初余额</t>
        </is>
      </c>
      <c r="D12" s="325" t="inlineStr">
        <is>
          <t>PY</t>
        </is>
      </c>
      <c r="E12" s="660" t="n"/>
      <c r="F12" s="661" t="n"/>
      <c r="G12" s="661">
        <f>SUM(E12:F12)</f>
        <v/>
      </c>
      <c r="H12" s="660" t="n"/>
      <c r="I12" s="661" t="n"/>
      <c r="J12" s="661">
        <f>SUM(H12:I12)</f>
        <v/>
      </c>
      <c r="K12" s="660" t="n"/>
      <c r="L12" s="661" t="n"/>
      <c r="M12" s="661">
        <f>SUM(K12:L12)</f>
        <v/>
      </c>
      <c r="N12" s="660" t="n"/>
      <c r="O12" s="661" t="n"/>
      <c r="P12" s="661">
        <f>SUM(N12:O12)</f>
        <v/>
      </c>
      <c r="Q12" s="661" t="n"/>
      <c r="R12" s="661" t="n"/>
      <c r="S12" s="661">
        <f>SUM(Q12:R12)</f>
        <v/>
      </c>
      <c r="T12" s="661">
        <f>SUM(Q12,N12,K12,H12,E12)</f>
        <v/>
      </c>
      <c r="U12" s="661">
        <f>F12+I12+L12+O12+R12</f>
        <v/>
      </c>
      <c r="V12" s="661">
        <f>G12+J12+M12+P12+S12</f>
        <v/>
      </c>
      <c r="W12" s="662">
        <f>V12-'L1.00 Lead sheet'!I42</f>
        <v/>
      </c>
      <c r="Y12" s="52" t="n"/>
      <c r="Z12" s="138" t="n"/>
    </row>
    <row r="13" ht="12.75" customFormat="1" customHeight="1" s="20">
      <c r="A13" s="5" t="n"/>
      <c r="B13" s="663" t="n"/>
      <c r="C13" s="396" t="inlineStr">
        <is>
          <t>购置</t>
        </is>
      </c>
      <c r="D13" s="126" t="inlineStr">
        <is>
          <t>L1.02.1</t>
        </is>
      </c>
      <c r="E13" s="664" t="n"/>
      <c r="F13" s="665" t="n"/>
      <c r="G13" s="665">
        <f>SUM(E13:F13)</f>
        <v/>
      </c>
      <c r="H13" s="664" t="n"/>
      <c r="I13" s="665" t="n"/>
      <c r="J13" s="665">
        <f>SUM(H13:I13)</f>
        <v/>
      </c>
      <c r="K13" s="664" t="n"/>
      <c r="L13" s="665" t="n"/>
      <c r="M13" s="665">
        <f>SUM(K13:L13)</f>
        <v/>
      </c>
      <c r="N13" s="664" t="n"/>
      <c r="O13" s="665" t="n"/>
      <c r="P13" s="665">
        <f>SUM(N13:O13)</f>
        <v/>
      </c>
      <c r="Q13" s="665" t="n"/>
      <c r="R13" s="665" t="n"/>
      <c r="S13" s="665">
        <f>SUM(Q13:R13)</f>
        <v/>
      </c>
      <c r="T13" s="665">
        <f>SUM(Q13,N13,K13,H13,E13)</f>
        <v/>
      </c>
      <c r="U13" s="665">
        <f>F13+I13+L13+O13+R13</f>
        <v/>
      </c>
      <c r="V13" s="665">
        <f>G13+J13+M13+P13+S13</f>
        <v/>
      </c>
      <c r="W13" s="666" t="n"/>
      <c r="Y13" s="52" t="n"/>
      <c r="Z13" s="138" t="n"/>
    </row>
    <row r="14" ht="12.75" customFormat="1" customHeight="1" s="20">
      <c r="A14" s="5" t="n"/>
      <c r="B14" s="663" t="n"/>
      <c r="C14" s="397" t="inlineStr">
        <is>
          <t>本年其他新增</t>
        </is>
      </c>
      <c r="D14" s="126" t="n"/>
      <c r="E14" s="664" t="n"/>
      <c r="F14" s="665" t="n"/>
      <c r="G14" s="665">
        <f>SUM(E14:F14)</f>
        <v/>
      </c>
      <c r="H14" s="664" t="n"/>
      <c r="I14" s="665" t="n"/>
      <c r="J14" s="665">
        <f>SUM(H14:I14)</f>
        <v/>
      </c>
      <c r="K14" s="664" t="n"/>
      <c r="L14" s="665" t="n"/>
      <c r="M14" s="665">
        <f>SUM(K14:L14)</f>
        <v/>
      </c>
      <c r="N14" s="664" t="n"/>
      <c r="O14" s="665" t="n"/>
      <c r="P14" s="665">
        <f>SUM(N14:O14)</f>
        <v/>
      </c>
      <c r="Q14" s="665" t="n"/>
      <c r="R14" s="665" t="n"/>
      <c r="S14" s="665">
        <f>SUM(Q14:R14)</f>
        <v/>
      </c>
      <c r="T14" s="665">
        <f>SUM(Q14,N14,K14,H14,E14)</f>
        <v/>
      </c>
      <c r="U14" s="665">
        <f>F14+I14+L14+O14+R14</f>
        <v/>
      </c>
      <c r="V14" s="665">
        <f>G14+J14+M14+P14+S14</f>
        <v/>
      </c>
      <c r="W14" s="666" t="n"/>
      <c r="Y14" s="52" t="n"/>
      <c r="Z14" s="138" t="n"/>
    </row>
    <row r="15" ht="12.75" customFormat="1" customHeight="1" s="20">
      <c r="A15" s="5" t="n"/>
      <c r="B15" s="663" t="n"/>
      <c r="C15" s="396" t="inlineStr">
        <is>
          <t>处置或报废</t>
        </is>
      </c>
      <c r="D15" s="126" t="inlineStr">
        <is>
          <t>L1.02.2</t>
        </is>
      </c>
      <c r="E15" s="664" t="n"/>
      <c r="F15" s="665" t="n"/>
      <c r="G15" s="665">
        <f>SUM(E15:F15)</f>
        <v/>
      </c>
      <c r="H15" s="664" t="n"/>
      <c r="I15" s="665" t="n"/>
      <c r="J15" s="665">
        <f>SUM(H15:I15)</f>
        <v/>
      </c>
      <c r="K15" s="664" t="n"/>
      <c r="L15" s="665" t="n"/>
      <c r="M15" s="665">
        <f>SUM(K15:L15)</f>
        <v/>
      </c>
      <c r="N15" s="664" t="n"/>
      <c r="O15" s="665" t="n"/>
      <c r="P15" s="665">
        <f>SUM(N15:O15)</f>
        <v/>
      </c>
      <c r="Q15" s="665" t="n"/>
      <c r="R15" s="665" t="n"/>
      <c r="S15" s="665">
        <f>SUM(Q15:R15)</f>
        <v/>
      </c>
      <c r="T15" s="665">
        <f>SUM(Q15,N15,K15,H15,E15)</f>
        <v/>
      </c>
      <c r="U15" s="665">
        <f>F15+I15+L15+O15+R15</f>
        <v/>
      </c>
      <c r="V15" s="665">
        <f>G15+J15+M15+P15+S15</f>
        <v/>
      </c>
      <c r="W15" s="666" t="n"/>
      <c r="Y15" s="52" t="n"/>
      <c r="Z15" s="138" t="n"/>
    </row>
    <row r="16" ht="12.75" customFormat="1" customHeight="1" s="20">
      <c r="A16" s="5" t="n"/>
      <c r="B16" s="663" t="n"/>
      <c r="C16" s="396" t="inlineStr">
        <is>
          <t>本年其他转出</t>
        </is>
      </c>
      <c r="D16" s="126" t="n"/>
      <c r="E16" s="664" t="n"/>
      <c r="F16" s="665" t="n"/>
      <c r="G16" s="665">
        <f>SUM(E16:F16)</f>
        <v/>
      </c>
      <c r="H16" s="664" t="n"/>
      <c r="I16" s="665" t="n"/>
      <c r="J16" s="665">
        <f>SUM(H16:I16)</f>
        <v/>
      </c>
      <c r="K16" s="664" t="n"/>
      <c r="L16" s="665" t="n"/>
      <c r="M16" s="665">
        <f>SUM(K16:L16)</f>
        <v/>
      </c>
      <c r="N16" s="664" t="n"/>
      <c r="O16" s="665" t="n"/>
      <c r="P16" s="665">
        <f>SUM(N16:O16)</f>
        <v/>
      </c>
      <c r="Q16" s="665" t="n"/>
      <c r="R16" s="665" t="n"/>
      <c r="S16" s="665">
        <f>SUM(Q16:R16)</f>
        <v/>
      </c>
      <c r="T16" s="665">
        <f>SUM(Q16,N16,K16,H16,E16)</f>
        <v/>
      </c>
      <c r="U16" s="665">
        <f>F16+I16+L16+O16+R16</f>
        <v/>
      </c>
      <c r="V16" s="665">
        <f>G16+J16+M16+P16+S16</f>
        <v/>
      </c>
      <c r="W16" s="666" t="n"/>
      <c r="Y16" s="52" t="n"/>
      <c r="Z16" s="138" t="n"/>
    </row>
    <row r="17" ht="12.75" customFormat="1" customHeight="1" s="20">
      <c r="A17" s="5" t="n"/>
      <c r="B17" s="658" t="n"/>
      <c r="C17" s="128" t="inlineStr">
        <is>
          <t>年末余额</t>
        </is>
      </c>
      <c r="D17" s="129" t="inlineStr">
        <is>
          <t>Rx</t>
        </is>
      </c>
      <c r="E17" s="660">
        <f>SUM(E12:E16)</f>
        <v/>
      </c>
      <c r="F17" s="660">
        <f>SUM(F12:F16)</f>
        <v/>
      </c>
      <c r="G17" s="660">
        <f>SUM(G12:G16)</f>
        <v/>
      </c>
      <c r="H17" s="660">
        <f>SUM(H12:H16)</f>
        <v/>
      </c>
      <c r="I17" s="660">
        <f>SUM(I12:I16)</f>
        <v/>
      </c>
      <c r="J17" s="660">
        <f>SUM(J12:J16)</f>
        <v/>
      </c>
      <c r="K17" s="660">
        <f>SUM(K12:K16)</f>
        <v/>
      </c>
      <c r="L17" s="660">
        <f>SUM(L12:L16)</f>
        <v/>
      </c>
      <c r="M17" s="660">
        <f>SUM(M12:M16)</f>
        <v/>
      </c>
      <c r="N17" s="660">
        <f>SUM(N12:N16)</f>
        <v/>
      </c>
      <c r="O17" s="660">
        <f>SUM(O12:O16)</f>
        <v/>
      </c>
      <c r="P17" s="660">
        <f>SUM(P12:P16)</f>
        <v/>
      </c>
      <c r="Q17" s="660">
        <f>SUM(Q12:Q16)</f>
        <v/>
      </c>
      <c r="R17" s="660">
        <f>SUM(R12:R16)</f>
        <v/>
      </c>
      <c r="S17" s="660">
        <f>SUM(S12:S16)</f>
        <v/>
      </c>
      <c r="T17" s="661">
        <f>SUM(T12:T16)</f>
        <v/>
      </c>
      <c r="U17" s="660">
        <f>SUM(U12:U16)</f>
        <v/>
      </c>
      <c r="V17" s="660">
        <f>SUM(V12:V16)</f>
        <v/>
      </c>
      <c r="W17" s="662">
        <f>V17-'L1.00 Lead sheet'!I42</f>
        <v/>
      </c>
      <c r="Y17" s="52" t="n"/>
      <c r="Z17" s="138" t="n"/>
    </row>
    <row r="18" ht="12.75" customFormat="1" customHeight="1" s="20">
      <c r="A18" s="5" t="n"/>
      <c r="B18" s="568" t="n"/>
      <c r="C18" s="128" t="inlineStr">
        <is>
          <t>年初余额</t>
        </is>
      </c>
      <c r="D18" s="326" t="inlineStr">
        <is>
          <t>PY</t>
        </is>
      </c>
      <c r="E18" s="661" t="n"/>
      <c r="F18" s="661" t="n"/>
      <c r="G18" s="661">
        <f>SUM(E18:F18)</f>
        <v/>
      </c>
      <c r="H18" s="661" t="n"/>
      <c r="I18" s="661" t="n"/>
      <c r="J18" s="661">
        <f>SUM(H18:I18)</f>
        <v/>
      </c>
      <c r="K18" s="661" t="n"/>
      <c r="L18" s="661" t="n"/>
      <c r="M18" s="661">
        <f>SUM(K18:L18)</f>
        <v/>
      </c>
      <c r="N18" s="661" t="n"/>
      <c r="O18" s="661" t="n"/>
      <c r="P18" s="661">
        <f>SUM(N18:O18)</f>
        <v/>
      </c>
      <c r="Q18" s="661" t="n"/>
      <c r="R18" s="661" t="n"/>
      <c r="S18" s="661">
        <f>SUM(Q18:R18)</f>
        <v/>
      </c>
      <c r="T18" s="661">
        <f>SUM(Q18,N18,K18,H18,E18)</f>
        <v/>
      </c>
      <c r="U18" s="661">
        <f>F18+I18+L18+O18+R18</f>
        <v/>
      </c>
      <c r="V18" s="661">
        <f>G18+J18+M18+P18+S18</f>
        <v/>
      </c>
      <c r="W18" s="662">
        <f>V18-'L1.00 Lead sheet'!J43</f>
        <v/>
      </c>
      <c r="Y18" s="52" t="n"/>
      <c r="Z18" s="138" t="n"/>
    </row>
    <row r="19" ht="12.75" customFormat="1" customHeight="1" s="20">
      <c r="A19" s="5" t="n"/>
      <c r="B19" s="570" t="n"/>
      <c r="C19" s="396" t="inlineStr">
        <is>
          <t>计提</t>
        </is>
      </c>
      <c r="D19" s="126" t="inlineStr">
        <is>
          <t>L1.01.1a</t>
        </is>
      </c>
      <c r="E19" s="665" t="n"/>
      <c r="F19" s="665" t="n"/>
      <c r="G19" s="665">
        <f>SUM(E19:F19)</f>
        <v/>
      </c>
      <c r="H19" s="665" t="n"/>
      <c r="I19" s="665" t="n"/>
      <c r="J19" s="665">
        <f>SUM(H19:I19)</f>
        <v/>
      </c>
      <c r="K19" s="665" t="n"/>
      <c r="L19" s="665" t="n"/>
      <c r="M19" s="665">
        <f>SUM(K19:L19)</f>
        <v/>
      </c>
      <c r="N19" s="665" t="n"/>
      <c r="O19" s="665" t="n"/>
      <c r="P19" s="665">
        <f>SUM(N19:O19)</f>
        <v/>
      </c>
      <c r="Q19" s="665" t="n"/>
      <c r="R19" s="665" t="n"/>
      <c r="S19" s="665">
        <f>SUM(Q19:R19)</f>
        <v/>
      </c>
      <c r="T19" s="665">
        <f>SUM(Q19,N19,K19,H19,E19)</f>
        <v/>
      </c>
      <c r="U19" s="665">
        <f>F19+I19+L19+O19+R19</f>
        <v/>
      </c>
      <c r="V19" s="665">
        <f>G19+J19+M19+P19+S19</f>
        <v/>
      </c>
      <c r="W19" s="666">
        <f>V19+'L1.03 摊销测试'!H18</f>
        <v/>
      </c>
      <c r="Y19" s="52" t="n"/>
      <c r="Z19" s="138" t="n"/>
    </row>
    <row r="20" ht="12.75" customFormat="1" customHeight="1" s="20">
      <c r="A20" s="5" t="n"/>
      <c r="B20" s="570" t="inlineStr">
        <is>
          <t>累计摊销</t>
        </is>
      </c>
      <c r="C20" s="396" t="inlineStr">
        <is>
          <t>处置或报废</t>
        </is>
      </c>
      <c r="D20" s="126" t="inlineStr">
        <is>
          <t>L1.02.2</t>
        </is>
      </c>
      <c r="E20" s="665" t="n"/>
      <c r="F20" s="665" t="n"/>
      <c r="G20" s="665">
        <f>SUM(E20:F20)</f>
        <v/>
      </c>
      <c r="H20" s="665" t="n"/>
      <c r="I20" s="665" t="n"/>
      <c r="J20" s="665">
        <f>SUM(H20:I20)</f>
        <v/>
      </c>
      <c r="K20" s="665" t="n"/>
      <c r="L20" s="665" t="n"/>
      <c r="M20" s="665">
        <f>SUM(K20:L20)</f>
        <v/>
      </c>
      <c r="N20" s="665" t="n"/>
      <c r="O20" s="665" t="n"/>
      <c r="P20" s="665">
        <f>SUM(N20:O20)</f>
        <v/>
      </c>
      <c r="Q20" s="665" t="n"/>
      <c r="R20" s="665" t="n"/>
      <c r="S20" s="665">
        <f>SUM(Q20:R20)</f>
        <v/>
      </c>
      <c r="T20" s="665">
        <f>SUM(Q20,N20,K20,H20,E20)</f>
        <v/>
      </c>
      <c r="U20" s="665">
        <f>F20+I20+L20+O20+R20</f>
        <v/>
      </c>
      <c r="V20" s="665">
        <f>G20+J20+M20+P20+S20</f>
        <v/>
      </c>
      <c r="W20" s="666" t="n"/>
      <c r="Y20" s="52" t="n"/>
      <c r="Z20" s="138" t="n"/>
    </row>
    <row r="21" ht="12.75" customFormat="1" customHeight="1" s="20">
      <c r="A21" s="5" t="n"/>
      <c r="B21" s="570" t="n"/>
      <c r="C21" s="396" t="inlineStr">
        <is>
          <t>本年其他转出</t>
        </is>
      </c>
      <c r="D21" s="126" t="n"/>
      <c r="E21" s="665" t="n"/>
      <c r="F21" s="665" t="n"/>
      <c r="G21" s="665">
        <f>SUM(E21:F21)</f>
        <v/>
      </c>
      <c r="H21" s="665" t="n"/>
      <c r="I21" s="665" t="n"/>
      <c r="J21" s="665">
        <f>SUM(H21:I21)</f>
        <v/>
      </c>
      <c r="K21" s="665" t="n"/>
      <c r="L21" s="665" t="n"/>
      <c r="M21" s="665">
        <f>SUM(K21:L21)</f>
        <v/>
      </c>
      <c r="N21" s="665" t="n"/>
      <c r="O21" s="665" t="n"/>
      <c r="P21" s="665">
        <f>SUM(N21:O21)</f>
        <v/>
      </c>
      <c r="Q21" s="665" t="n"/>
      <c r="R21" s="665" t="n"/>
      <c r="S21" s="665">
        <f>SUM(Q21:R21)</f>
        <v/>
      </c>
      <c r="T21" s="665">
        <f>SUM(Q21,N21,K21,H21,E21)</f>
        <v/>
      </c>
      <c r="U21" s="665">
        <f>F21+I21+L21+O21+R21</f>
        <v/>
      </c>
      <c r="V21" s="665">
        <f>G21+J21+M21+P21+S21</f>
        <v/>
      </c>
      <c r="W21" s="666" t="n"/>
      <c r="Y21" s="52" t="n"/>
      <c r="Z21" s="138" t="n"/>
    </row>
    <row r="22" ht="12.75" customFormat="1" customHeight="1" s="20">
      <c r="A22" s="5" t="n"/>
      <c r="B22" s="569" t="n"/>
      <c r="C22" s="128">
        <f>C17</f>
        <v/>
      </c>
      <c r="D22" s="129" t="inlineStr">
        <is>
          <t>Rx</t>
        </is>
      </c>
      <c r="E22" s="660">
        <f>SUM(E18:E21)</f>
        <v/>
      </c>
      <c r="F22" s="660">
        <f>SUM(F18:F21)</f>
        <v/>
      </c>
      <c r="G22" s="660">
        <f>SUM(G18:G21)</f>
        <v/>
      </c>
      <c r="H22" s="660">
        <f>SUM(H18:H21)</f>
        <v/>
      </c>
      <c r="I22" s="660">
        <f>SUM(I18:I21)</f>
        <v/>
      </c>
      <c r="J22" s="660">
        <f>SUM(J18:J21)</f>
        <v/>
      </c>
      <c r="K22" s="660">
        <f>SUM(K18:K21)</f>
        <v/>
      </c>
      <c r="L22" s="660">
        <f>SUM(L18:L21)</f>
        <v/>
      </c>
      <c r="M22" s="660">
        <f>SUM(M18:M21)</f>
        <v/>
      </c>
      <c r="N22" s="660">
        <f>SUM(N18:N21)</f>
        <v/>
      </c>
      <c r="O22" s="660">
        <f>SUM(O18:O21)</f>
        <v/>
      </c>
      <c r="P22" s="660">
        <f>SUM(P18:P21)</f>
        <v/>
      </c>
      <c r="Q22" s="660">
        <f>SUM(Q18:Q21)</f>
        <v/>
      </c>
      <c r="R22" s="660">
        <f>SUM(R18:R21)</f>
        <v/>
      </c>
      <c r="S22" s="660">
        <f>SUM(S18:S21)</f>
        <v/>
      </c>
      <c r="T22" s="661">
        <f>SUM(T18:T21)</f>
        <v/>
      </c>
      <c r="U22" s="660">
        <f>SUM(U18:U21)</f>
        <v/>
      </c>
      <c r="V22" s="660">
        <f>SUM(V18:V21)</f>
        <v/>
      </c>
      <c r="W22" s="662">
        <f>V22-'L1.00 Lead sheet'!I43</f>
        <v/>
      </c>
      <c r="Y22" s="52" t="n"/>
      <c r="Z22" s="138" t="n"/>
    </row>
    <row r="23" ht="12.75" customFormat="1" customHeight="1" s="20">
      <c r="A23" s="5" t="n"/>
      <c r="B23" s="568" t="n"/>
      <c r="C23" s="128" t="inlineStr">
        <is>
          <t>年初余额</t>
        </is>
      </c>
      <c r="D23" s="326" t="inlineStr">
        <is>
          <t>PY</t>
        </is>
      </c>
      <c r="E23" s="661" t="n"/>
      <c r="F23" s="661" t="n"/>
      <c r="G23" s="661">
        <f>SUM(E23:F23)</f>
        <v/>
      </c>
      <c r="H23" s="661" t="n"/>
      <c r="I23" s="661" t="n"/>
      <c r="J23" s="661">
        <f>SUM(H23:I23)</f>
        <v/>
      </c>
      <c r="K23" s="661" t="n"/>
      <c r="L23" s="661" t="n"/>
      <c r="M23" s="661">
        <f>SUM(K23:L23)</f>
        <v/>
      </c>
      <c r="N23" s="661" t="n"/>
      <c r="O23" s="661" t="n"/>
      <c r="P23" s="661">
        <f>SUM(N23:O23)</f>
        <v/>
      </c>
      <c r="Q23" s="661" t="n"/>
      <c r="R23" s="661" t="n"/>
      <c r="S23" s="661">
        <f>SUM(Q23:R23)</f>
        <v/>
      </c>
      <c r="T23" s="661">
        <f>SUM(Q23,N23,K23,H23,E23)</f>
        <v/>
      </c>
      <c r="U23" s="661">
        <f>F23+I23+L23+O23+R23</f>
        <v/>
      </c>
      <c r="V23" s="661">
        <f>G23+J23+M23+P23+S23</f>
        <v/>
      </c>
      <c r="W23" s="662">
        <f>V23-'L1.00 Lead sheet'!J44</f>
        <v/>
      </c>
      <c r="Y23" s="52" t="n"/>
      <c r="Z23" s="138" t="n"/>
    </row>
    <row r="24" ht="12.75" customFormat="1" customHeight="1" s="20">
      <c r="A24" s="5" t="n"/>
      <c r="B24" s="570" t="n"/>
      <c r="C24" s="396" t="inlineStr">
        <is>
          <t>计提</t>
        </is>
      </c>
      <c r="D24" s="126" t="inlineStr">
        <is>
          <t>SWP减值</t>
        </is>
      </c>
      <c r="E24" s="665" t="n"/>
      <c r="F24" s="665" t="n"/>
      <c r="G24" s="665">
        <f>SUM(E24:F24)</f>
        <v/>
      </c>
      <c r="H24" s="665" t="n"/>
      <c r="I24" s="665" t="n"/>
      <c r="J24" s="665">
        <f>SUM(H24:I24)</f>
        <v/>
      </c>
      <c r="K24" s="665" t="n"/>
      <c r="L24" s="665" t="n"/>
      <c r="M24" s="665">
        <f>SUM(K24:L24)</f>
        <v/>
      </c>
      <c r="N24" s="665" t="n"/>
      <c r="O24" s="665" t="n"/>
      <c r="P24" s="665">
        <f>SUM(N24:O24)</f>
        <v/>
      </c>
      <c r="Q24" s="665" t="n"/>
      <c r="R24" s="665" t="n"/>
      <c r="S24" s="665">
        <f>SUM(Q24:R24)</f>
        <v/>
      </c>
      <c r="T24" s="665">
        <f>SUM(Q24,N24,K24,H24,E24)</f>
        <v/>
      </c>
      <c r="U24" s="665">
        <f>F24+I24+L24+O24+R24</f>
        <v/>
      </c>
      <c r="V24" s="665">
        <f>G24+J24+M24+P24+S24</f>
        <v/>
      </c>
      <c r="W24" s="666" t="n"/>
      <c r="Y24" s="52" t="n"/>
      <c r="Z24" s="138" t="n"/>
    </row>
    <row r="25" ht="12.75" customFormat="1" customHeight="1" s="20">
      <c r="A25" s="5" t="n"/>
      <c r="B25" s="570" t="inlineStr">
        <is>
          <t>减值准备</t>
        </is>
      </c>
      <c r="C25" s="396" t="inlineStr">
        <is>
          <t>处置或报废</t>
        </is>
      </c>
      <c r="D25" s="126" t="inlineStr">
        <is>
          <t>L1.02.2</t>
        </is>
      </c>
      <c r="E25" s="665" t="n"/>
      <c r="F25" s="665" t="n"/>
      <c r="G25" s="665">
        <f>SUM(E25:F25)</f>
        <v/>
      </c>
      <c r="H25" s="665" t="n"/>
      <c r="I25" s="665" t="n"/>
      <c r="J25" s="665">
        <f>SUM(H25:I25)</f>
        <v/>
      </c>
      <c r="K25" s="665" t="n"/>
      <c r="L25" s="665" t="n"/>
      <c r="M25" s="665">
        <f>SUM(K25:L25)</f>
        <v/>
      </c>
      <c r="N25" s="665" t="n"/>
      <c r="O25" s="665" t="n"/>
      <c r="P25" s="665">
        <f>SUM(N25:O25)</f>
        <v/>
      </c>
      <c r="Q25" s="665" t="n"/>
      <c r="R25" s="665" t="n"/>
      <c r="S25" s="665">
        <f>SUM(Q25:R25)</f>
        <v/>
      </c>
      <c r="T25" s="665">
        <f>SUM(Q25,N25,K25,H25,E25)</f>
        <v/>
      </c>
      <c r="U25" s="665">
        <f>F25+I25+L25+O25+R25</f>
        <v/>
      </c>
      <c r="V25" s="665">
        <f>G25+J25+M25+P25+S25</f>
        <v/>
      </c>
      <c r="W25" s="666" t="n"/>
      <c r="Y25" s="52" t="n"/>
      <c r="Z25" s="138" t="n"/>
    </row>
    <row r="26" ht="12.75" customFormat="1" customHeight="1" s="20">
      <c r="A26" s="5" t="n"/>
      <c r="B26" s="570" t="n"/>
      <c r="C26" s="396" t="inlineStr">
        <is>
          <t>本年其他转出</t>
        </is>
      </c>
      <c r="D26" s="327" t="inlineStr">
        <is>
          <t>SWP减值</t>
        </is>
      </c>
      <c r="E26" s="665" t="n"/>
      <c r="F26" s="665" t="n"/>
      <c r="G26" s="665">
        <f>SUM(E26:F26)</f>
        <v/>
      </c>
      <c r="H26" s="665" t="n"/>
      <c r="I26" s="665" t="n"/>
      <c r="J26" s="665">
        <f>SUM(H26:I26)</f>
        <v/>
      </c>
      <c r="K26" s="665" t="n"/>
      <c r="L26" s="665" t="n"/>
      <c r="M26" s="665">
        <f>SUM(K26:L26)</f>
        <v/>
      </c>
      <c r="N26" s="665" t="n"/>
      <c r="O26" s="665" t="n"/>
      <c r="P26" s="665">
        <f>SUM(N26:O26)</f>
        <v/>
      </c>
      <c r="Q26" s="665" t="n"/>
      <c r="R26" s="665" t="n"/>
      <c r="S26" s="665">
        <f>SUM(Q26:R26)</f>
        <v/>
      </c>
      <c r="T26" s="665">
        <f>SUM(Q26,N26,K26,H26,E26)</f>
        <v/>
      </c>
      <c r="U26" s="665">
        <f>F26+I26+L26+O26+R26</f>
        <v/>
      </c>
      <c r="V26" s="665">
        <f>G26+J26+M26+P26+S26</f>
        <v/>
      </c>
      <c r="W26" s="666" t="n"/>
      <c r="Y26" s="52" t="n"/>
      <c r="Z26" s="138" t="n"/>
    </row>
    <row r="27" ht="12.75" customFormat="1" customHeight="1" s="20">
      <c r="A27" s="5" t="n"/>
      <c r="B27" s="569" t="n"/>
      <c r="C27" s="128">
        <f>C17</f>
        <v/>
      </c>
      <c r="D27" s="129" t="inlineStr">
        <is>
          <t>Rx</t>
        </is>
      </c>
      <c r="E27" s="660">
        <f>SUM(E23:E26)</f>
        <v/>
      </c>
      <c r="F27" s="660">
        <f>SUM(F23:F26)</f>
        <v/>
      </c>
      <c r="G27" s="660">
        <f>SUM(G23:G26)</f>
        <v/>
      </c>
      <c r="H27" s="660">
        <f>SUM(H23:H26)</f>
        <v/>
      </c>
      <c r="I27" s="660">
        <f>SUM(I23:I26)</f>
        <v/>
      </c>
      <c r="J27" s="660">
        <f>SUM(J23:J26)</f>
        <v/>
      </c>
      <c r="K27" s="660">
        <f>SUM(K23:K26)</f>
        <v/>
      </c>
      <c r="L27" s="660">
        <f>SUM(L23:L26)</f>
        <v/>
      </c>
      <c r="M27" s="660">
        <f>SUM(M23:M26)</f>
        <v/>
      </c>
      <c r="N27" s="660">
        <f>SUM(N23:N26)</f>
        <v/>
      </c>
      <c r="O27" s="660">
        <f>SUM(O23:O26)</f>
        <v/>
      </c>
      <c r="P27" s="660">
        <f>SUM(P23:P26)</f>
        <v/>
      </c>
      <c r="Q27" s="660">
        <f>SUM(Q23:Q26)</f>
        <v/>
      </c>
      <c r="R27" s="660">
        <f>SUM(R23:R26)</f>
        <v/>
      </c>
      <c r="S27" s="660">
        <f>SUM(S23:S26)</f>
        <v/>
      </c>
      <c r="T27" s="661">
        <f>SUM(T23:T26)</f>
        <v/>
      </c>
      <c r="U27" s="660">
        <f>SUM(U23:U26)</f>
        <v/>
      </c>
      <c r="V27" s="660">
        <f>SUM(V23:V26)</f>
        <v/>
      </c>
      <c r="W27" s="662">
        <f>V27-'L1.00 Lead sheet'!I44</f>
        <v/>
      </c>
      <c r="Y27" s="52" t="n"/>
      <c r="Z27" s="138" t="n"/>
    </row>
    <row r="28" ht="12.75" customFormat="1" customHeight="1" s="138">
      <c r="A28" s="21" t="n"/>
      <c r="B28" s="667" t="inlineStr">
        <is>
          <t>净值 (NBV)</t>
        </is>
      </c>
      <c r="C28" s="128">
        <f>C17</f>
        <v/>
      </c>
      <c r="D28" s="129" t="inlineStr">
        <is>
          <t>Rx</t>
        </is>
      </c>
      <c r="E28" s="660">
        <f>E17-E22-E27</f>
        <v/>
      </c>
      <c r="F28" s="660">
        <f>F17-F22-F27</f>
        <v/>
      </c>
      <c r="G28" s="660">
        <f>G17-G22-G27</f>
        <v/>
      </c>
      <c r="H28" s="660">
        <f>H17-H22-H27</f>
        <v/>
      </c>
      <c r="I28" s="660">
        <f>I17-I22-I27</f>
        <v/>
      </c>
      <c r="J28" s="660">
        <f>J17-J22-J27</f>
        <v/>
      </c>
      <c r="K28" s="660">
        <f>K17-K22-K27</f>
        <v/>
      </c>
      <c r="L28" s="660">
        <f>L17-L22-L27</f>
        <v/>
      </c>
      <c r="M28" s="660">
        <f>M17-M22-M27</f>
        <v/>
      </c>
      <c r="N28" s="660">
        <f>N17-N22-N27</f>
        <v/>
      </c>
      <c r="O28" s="660">
        <f>O17-O22-O27</f>
        <v/>
      </c>
      <c r="P28" s="661">
        <f>P17-P22-P27</f>
        <v/>
      </c>
      <c r="Q28" s="661">
        <f>Q17-Q22-Q27</f>
        <v/>
      </c>
      <c r="R28" s="661">
        <f>R17-R22-R27</f>
        <v/>
      </c>
      <c r="S28" s="661">
        <f>S17-S22-S27</f>
        <v/>
      </c>
      <c r="T28" s="661">
        <f>SUM(S28,N28,K28,H28,E28)</f>
        <v/>
      </c>
      <c r="U28" s="660">
        <f>F28+I28+L28+O28+R28</f>
        <v/>
      </c>
      <c r="V28" s="660">
        <f>G28+J28+M28+P28+S28</f>
        <v/>
      </c>
      <c r="W28" s="662">
        <f>V28-'L1.00 Lead sheet'!I48</f>
        <v/>
      </c>
      <c r="Y28" s="52" t="n"/>
    </row>
    <row r="29" ht="12.75" customFormat="1" customHeight="1" s="20">
      <c r="A29" s="5" t="n"/>
      <c r="B29" s="658" t="n"/>
      <c r="C29" s="127">
        <f>C12</f>
        <v/>
      </c>
      <c r="D29" s="130" t="inlineStr">
        <is>
          <t>Rx</t>
        </is>
      </c>
      <c r="E29" s="660">
        <f>E12-E18-E23</f>
        <v/>
      </c>
      <c r="F29" s="660">
        <f>F12-F18-F23</f>
        <v/>
      </c>
      <c r="G29" s="660">
        <f>G12-G18-G23</f>
        <v/>
      </c>
      <c r="H29" s="660">
        <f>H12-H18-H23</f>
        <v/>
      </c>
      <c r="I29" s="660">
        <f>I12-I18-I23</f>
        <v/>
      </c>
      <c r="J29" s="660">
        <f>J12-J18-J23</f>
        <v/>
      </c>
      <c r="K29" s="660">
        <f>K12-K18-K23</f>
        <v/>
      </c>
      <c r="L29" s="660">
        <f>L12-L18-L23</f>
        <v/>
      </c>
      <c r="M29" s="660">
        <f>M12-M18-M23</f>
        <v/>
      </c>
      <c r="N29" s="660">
        <f>N12-N18-N23</f>
        <v/>
      </c>
      <c r="O29" s="660">
        <f>O12-O18-O23</f>
        <v/>
      </c>
      <c r="P29" s="660">
        <f>P12-P18-P23</f>
        <v/>
      </c>
      <c r="Q29" s="660">
        <f>Q12-Q18-Q23</f>
        <v/>
      </c>
      <c r="R29" s="660">
        <f>R12-R18-R23</f>
        <v/>
      </c>
      <c r="S29" s="660">
        <f>S12-S18-S23</f>
        <v/>
      </c>
      <c r="T29" s="661">
        <f>SUM(S29,N29,K29,H29,E29)</f>
        <v/>
      </c>
      <c r="U29" s="660">
        <f>F29+I29+L29+O29+R29</f>
        <v/>
      </c>
      <c r="V29" s="660">
        <f>G29+J29+M29+P29+S29</f>
        <v/>
      </c>
      <c r="W29" s="662">
        <f>V29-'L1.00 Lead sheet'!J48</f>
        <v/>
      </c>
      <c r="Y29" s="52" t="n"/>
      <c r="Z29" s="138" t="n"/>
    </row>
    <row r="30" ht="12.75" customFormat="1" customHeight="1" s="20">
      <c r="A30" s="5" t="n"/>
      <c r="B30" s="667" t="inlineStr">
        <is>
          <t>变动</t>
        </is>
      </c>
      <c r="C30" s="398" t="inlineStr">
        <is>
          <t>原值变动金额</t>
        </is>
      </c>
      <c r="D30" s="668" t="inlineStr">
        <is>
          <t>本年VS上年</t>
        </is>
      </c>
      <c r="E30" s="664">
        <f>E17-E12</f>
        <v/>
      </c>
      <c r="F30" s="664">
        <f>F17-F12</f>
        <v/>
      </c>
      <c r="G30" s="664">
        <f>G17-G12</f>
        <v/>
      </c>
      <c r="H30" s="664">
        <f>H17-H12</f>
        <v/>
      </c>
      <c r="I30" s="664">
        <f>I17-I12</f>
        <v/>
      </c>
      <c r="J30" s="664">
        <f>J17-J12</f>
        <v/>
      </c>
      <c r="K30" s="664">
        <f>K17-K12</f>
        <v/>
      </c>
      <c r="L30" s="664">
        <f>L17-L12</f>
        <v/>
      </c>
      <c r="M30" s="664">
        <f>M17-M12</f>
        <v/>
      </c>
      <c r="N30" s="664">
        <f>N17-N12</f>
        <v/>
      </c>
      <c r="O30" s="664">
        <f>O17-O12</f>
        <v/>
      </c>
      <c r="P30" s="664">
        <f>P17-P12</f>
        <v/>
      </c>
      <c r="Q30" s="664">
        <f>Q17-Q12</f>
        <v/>
      </c>
      <c r="R30" s="665">
        <f>R17-R12</f>
        <v/>
      </c>
      <c r="S30" s="665">
        <f>S17-S12</f>
        <v/>
      </c>
      <c r="T30" s="665">
        <f>T17-T12</f>
        <v/>
      </c>
      <c r="U30" s="664">
        <f>U17-U12</f>
        <v/>
      </c>
      <c r="V30" s="664">
        <f>V17-V12</f>
        <v/>
      </c>
      <c r="W30" s="669" t="n"/>
      <c r="Y30" s="52" t="n"/>
      <c r="Z30" s="138" t="n"/>
    </row>
    <row r="31" ht="12.75" customFormat="1" customHeight="1" s="20">
      <c r="A31" s="5" t="n"/>
      <c r="B31" s="663"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3" t="n"/>
      <c r="C32" s="398" t="inlineStr">
        <is>
          <t>累计摊销变动金额</t>
        </is>
      </c>
      <c r="D32" s="668" t="inlineStr">
        <is>
          <t>本年VS上年</t>
        </is>
      </c>
      <c r="E32" s="670">
        <f>E22-E18</f>
        <v/>
      </c>
      <c r="F32" s="670" t="n"/>
      <c r="G32" s="670">
        <f>G22-G18</f>
        <v/>
      </c>
      <c r="H32" s="670">
        <f>H22-H18</f>
        <v/>
      </c>
      <c r="I32" s="670" t="n"/>
      <c r="J32" s="670">
        <f>J22-J18</f>
        <v/>
      </c>
      <c r="K32" s="670">
        <f>K22-K18</f>
        <v/>
      </c>
      <c r="L32" s="670" t="n"/>
      <c r="M32" s="670">
        <f>M22-M18</f>
        <v/>
      </c>
      <c r="N32" s="670">
        <f>N22-N18</f>
        <v/>
      </c>
      <c r="O32" s="670" t="n"/>
      <c r="P32" s="670">
        <f>P22-P18</f>
        <v/>
      </c>
      <c r="Q32" s="670">
        <f>Q22-Q18</f>
        <v/>
      </c>
      <c r="R32" s="670" t="n"/>
      <c r="S32" s="670">
        <f>S22-S18</f>
        <v/>
      </c>
      <c r="T32" s="670">
        <f>T22-T18</f>
        <v/>
      </c>
      <c r="U32" s="670" t="n"/>
      <c r="V32" s="670">
        <f>V22-V18</f>
        <v/>
      </c>
      <c r="W32" s="403" t="n"/>
      <c r="Y32" s="52" t="n"/>
      <c r="Z32" s="138" t="n"/>
    </row>
    <row r="33" ht="12.75" customFormat="1" customHeight="1" s="20">
      <c r="A33" s="5" t="n"/>
      <c r="B33" s="663"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3" t="n"/>
      <c r="C34" s="398" t="inlineStr">
        <is>
          <t>减值准备变动金额</t>
        </is>
      </c>
      <c r="D34" s="131" t="inlineStr">
        <is>
          <t>本年VS上年</t>
        </is>
      </c>
      <c r="E34" s="670">
        <f>E27-E23</f>
        <v/>
      </c>
      <c r="F34" s="670" t="n"/>
      <c r="G34" s="670">
        <f>G27-G23</f>
        <v/>
      </c>
      <c r="H34" s="670">
        <f>H27-H23</f>
        <v/>
      </c>
      <c r="I34" s="670" t="n"/>
      <c r="J34" s="670">
        <f>J27-J23</f>
        <v/>
      </c>
      <c r="K34" s="670">
        <f>K27-K23</f>
        <v/>
      </c>
      <c r="L34" s="670" t="n"/>
      <c r="M34" s="670">
        <f>M27-M23</f>
        <v/>
      </c>
      <c r="N34" s="670">
        <f>N27-N23</f>
        <v/>
      </c>
      <c r="O34" s="670" t="n"/>
      <c r="P34" s="670">
        <f>P27-P23</f>
        <v/>
      </c>
      <c r="Q34" s="670">
        <f>Q27-Q23</f>
        <v/>
      </c>
      <c r="R34" s="670" t="n"/>
      <c r="S34" s="670">
        <f>S27-S23</f>
        <v/>
      </c>
      <c r="T34" s="670">
        <f>T27-T23</f>
        <v/>
      </c>
      <c r="U34" s="670" t="n"/>
      <c r="V34" s="670">
        <f>V27-V23</f>
        <v/>
      </c>
      <c r="W34" s="404" t="n"/>
      <c r="Y34" s="52" t="n"/>
      <c r="Z34" s="138" t="n"/>
    </row>
    <row r="35" ht="12.75" customFormat="1" customHeight="1" s="20">
      <c r="A35" s="5" t="n"/>
      <c r="B35" s="658"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1" t="n"/>
      <c r="D37" s="671" t="n"/>
      <c r="E37" s="672" t="n"/>
      <c r="F37" s="672" t="n"/>
      <c r="G37" s="672" t="n"/>
      <c r="H37" s="672" t="n"/>
      <c r="I37" s="672" t="n"/>
      <c r="J37" s="673" t="n"/>
      <c r="K37" s="672" t="n"/>
      <c r="L37" s="673" t="n"/>
      <c r="M37" s="672" t="n"/>
      <c r="N37" s="672" t="n"/>
      <c r="O37" s="672" t="n"/>
      <c r="P37" s="672" t="n"/>
      <c r="Q37" s="672" t="n"/>
      <c r="R37" s="672" t="n"/>
      <c r="S37" s="673" t="n"/>
      <c r="T37" s="674">
        <f>E37+H37+K37+N37+Q37</f>
        <v/>
      </c>
      <c r="W37" s="5" t="n"/>
      <c r="Y37" s="52" t="n"/>
    </row>
    <row r="38" ht="15.6" customFormat="1" customHeight="1" s="675">
      <c r="A38" s="676" t="n"/>
      <c r="B38" s="330" t="inlineStr">
        <is>
          <t>差异</t>
        </is>
      </c>
      <c r="C38" s="677" t="n"/>
      <c r="D38" s="678" t="n"/>
      <c r="E38" s="679">
        <f>E37-E17</f>
        <v/>
      </c>
      <c r="F38" s="679" t="n"/>
      <c r="G38" s="679" t="n"/>
      <c r="H38" s="679">
        <f>H37-H17</f>
        <v/>
      </c>
      <c r="I38" s="679" t="n"/>
      <c r="J38" s="679" t="n"/>
      <c r="K38" s="679">
        <f>K37-K17</f>
        <v/>
      </c>
      <c r="L38" s="679" t="n"/>
      <c r="M38" s="679" t="n"/>
      <c r="N38" s="679">
        <f>N37-N17</f>
        <v/>
      </c>
      <c r="O38" s="679" t="n"/>
      <c r="P38" s="679" t="n"/>
      <c r="Q38" s="679">
        <f>Q37-Q17</f>
        <v/>
      </c>
      <c r="R38" s="679" t="n"/>
      <c r="S38" s="679" t="n"/>
      <c r="T38" s="680">
        <f>T37-T17</f>
        <v/>
      </c>
      <c r="U38" s="681" t="n"/>
      <c r="V38" s="681" t="n"/>
      <c r="W38" s="5" t="n"/>
      <c r="X38" s="681" t="n"/>
      <c r="Y38" s="52" t="n"/>
      <c r="Z38" s="681" t="n"/>
      <c r="AA38" s="681" t="n"/>
      <c r="AB38" s="681" t="n"/>
      <c r="AC38" s="681" t="n"/>
      <c r="AD38" s="681" t="n"/>
      <c r="AE38" s="681" t="n"/>
    </row>
    <row r="39" ht="15.6" customFormat="1" customHeight="1" s="675">
      <c r="A39" s="676" t="n"/>
      <c r="B39" s="330" t="inlineStr">
        <is>
          <t>TB-累计摊销</t>
        </is>
      </c>
      <c r="C39" s="677" t="n"/>
      <c r="D39" s="678" t="n"/>
      <c r="E39" s="672" t="n"/>
      <c r="F39" s="672" t="n"/>
      <c r="G39" s="672" t="n"/>
      <c r="H39" s="672" t="n"/>
      <c r="I39" s="672" t="n"/>
      <c r="J39" s="673" t="n"/>
      <c r="K39" s="672" t="n"/>
      <c r="L39" s="673" t="n"/>
      <c r="M39" s="672" t="n"/>
      <c r="N39" s="672" t="n"/>
      <c r="O39" s="672" t="n"/>
      <c r="P39" s="672" t="n"/>
      <c r="Q39" s="672" t="n"/>
      <c r="R39" s="679" t="n"/>
      <c r="S39" s="679" t="n"/>
      <c r="T39" s="674">
        <f>E39+H39+K39+N39+Q39</f>
        <v/>
      </c>
      <c r="U39" s="681" t="n"/>
      <c r="V39" s="681" t="n"/>
      <c r="W39" s="5" t="n"/>
      <c r="X39" s="681" t="n"/>
      <c r="Y39" s="52" t="n"/>
      <c r="Z39" s="681" t="n"/>
      <c r="AA39" s="681" t="n"/>
      <c r="AB39" s="681" t="n"/>
      <c r="AC39" s="681" t="n"/>
      <c r="AD39" s="681" t="n"/>
      <c r="AE39" s="681" t="n"/>
    </row>
    <row r="40" ht="15.6" customFormat="1" customHeight="1" s="675">
      <c r="A40" s="676" t="n"/>
      <c r="B40" s="330" t="inlineStr">
        <is>
          <t>差异</t>
        </is>
      </c>
      <c r="C40" s="677" t="n"/>
      <c r="D40" s="678" t="n"/>
      <c r="E40" s="679">
        <f>E39-E22</f>
        <v/>
      </c>
      <c r="F40" s="679" t="n"/>
      <c r="G40" s="679" t="n"/>
      <c r="H40" s="679">
        <f>H39-H22</f>
        <v/>
      </c>
      <c r="I40" s="679" t="n"/>
      <c r="J40" s="679" t="n"/>
      <c r="K40" s="679">
        <f>K39-K22</f>
        <v/>
      </c>
      <c r="L40" s="679" t="n"/>
      <c r="M40" s="679" t="n"/>
      <c r="N40" s="679">
        <f>N39-N22</f>
        <v/>
      </c>
      <c r="O40" s="679" t="n"/>
      <c r="P40" s="679" t="n"/>
      <c r="Q40" s="679">
        <f>Q39-Q22</f>
        <v/>
      </c>
      <c r="R40" s="679" t="n"/>
      <c r="S40" s="679" t="n"/>
      <c r="T40" s="680">
        <f>T39-T22</f>
        <v/>
      </c>
      <c r="U40" s="681" t="n"/>
      <c r="V40" s="681" t="n"/>
      <c r="W40" s="5" t="n"/>
      <c r="X40" s="681" t="n"/>
      <c r="Y40" s="52" t="n"/>
      <c r="Z40" s="681" t="n"/>
      <c r="AA40" s="681" t="n"/>
      <c r="AB40" s="681" t="n"/>
      <c r="AC40" s="681" t="n"/>
      <c r="AD40" s="681" t="n"/>
      <c r="AE40" s="681" t="n"/>
    </row>
    <row r="41" ht="15.6" customFormat="1" customHeight="1" s="675">
      <c r="A41" s="676" t="n"/>
      <c r="B41" s="330" t="inlineStr">
        <is>
          <t>TB-减值准备</t>
        </is>
      </c>
      <c r="C41" s="677" t="n"/>
      <c r="D41" s="678" t="n"/>
      <c r="E41" s="672" t="n"/>
      <c r="F41" s="672" t="n"/>
      <c r="G41" s="672" t="n"/>
      <c r="H41" s="672" t="n"/>
      <c r="I41" s="672" t="n"/>
      <c r="J41" s="673" t="n"/>
      <c r="K41" s="672" t="n"/>
      <c r="L41" s="673" t="n"/>
      <c r="M41" s="672" t="n"/>
      <c r="N41" s="672" t="n"/>
      <c r="O41" s="672" t="n"/>
      <c r="P41" s="672" t="n"/>
      <c r="Q41" s="672" t="n"/>
      <c r="R41" s="679" t="n"/>
      <c r="S41" s="679" t="n"/>
      <c r="T41" s="674">
        <f>E41+H41+K41+N41+Q41</f>
        <v/>
      </c>
      <c r="U41" s="681" t="n"/>
      <c r="V41" s="681" t="n"/>
      <c r="W41" s="5" t="n"/>
      <c r="X41" s="681" t="n"/>
      <c r="Y41" s="52" t="n"/>
      <c r="Z41" s="681" t="n"/>
      <c r="AA41" s="681" t="n"/>
      <c r="AB41" s="681" t="n"/>
      <c r="AC41" s="681" t="n"/>
      <c r="AD41" s="681" t="n"/>
      <c r="AE41" s="681" t="n"/>
    </row>
    <row r="42" ht="15.6" customFormat="1" customHeight="1" s="675">
      <c r="A42" s="676" t="n"/>
      <c r="B42" s="330" t="inlineStr">
        <is>
          <t>差异</t>
        </is>
      </c>
      <c r="C42" s="677" t="n"/>
      <c r="D42" s="678" t="n"/>
      <c r="E42" s="679">
        <f>E41-E27</f>
        <v/>
      </c>
      <c r="F42" s="679" t="n"/>
      <c r="G42" s="679" t="n"/>
      <c r="H42" s="679">
        <f>H41-H27</f>
        <v/>
      </c>
      <c r="I42" s="679" t="n"/>
      <c r="J42" s="679" t="n"/>
      <c r="K42" s="679">
        <f>K41-K27</f>
        <v/>
      </c>
      <c r="L42" s="679" t="n"/>
      <c r="M42" s="679" t="n"/>
      <c r="N42" s="679">
        <f>N41-N27</f>
        <v/>
      </c>
      <c r="O42" s="679" t="n"/>
      <c r="P42" s="679" t="n"/>
      <c r="Q42" s="679">
        <f>Q41-Q27</f>
        <v/>
      </c>
      <c r="R42" s="679" t="n"/>
      <c r="S42" s="679" t="n"/>
      <c r="T42" s="680">
        <f>T41-T27</f>
        <v/>
      </c>
      <c r="U42" s="681" t="n"/>
      <c r="V42" s="681" t="n"/>
      <c r="W42" s="5" t="n"/>
      <c r="X42" s="681" t="n"/>
      <c r="Y42" s="52" t="n"/>
      <c r="Z42" s="681" t="n"/>
      <c r="AA42" s="681" t="n"/>
      <c r="AB42" s="681" t="n"/>
      <c r="AC42" s="681" t="n"/>
      <c r="AD42" s="681" t="n"/>
      <c r="AE42" s="681" t="n"/>
    </row>
    <row r="43" ht="15.6" customFormat="1" customHeight="1" s="675">
      <c r="A43" s="676" t="n"/>
      <c r="B43" s="330" t="inlineStr">
        <is>
          <t>TB-净值</t>
        </is>
      </c>
      <c r="C43" s="677" t="n"/>
      <c r="D43" s="678" t="n"/>
      <c r="E43" s="672" t="n"/>
      <c r="F43" s="672" t="n"/>
      <c r="G43" s="672" t="n"/>
      <c r="H43" s="672" t="n"/>
      <c r="I43" s="672" t="n"/>
      <c r="J43" s="673" t="n"/>
      <c r="K43" s="672" t="n"/>
      <c r="L43" s="673" t="n"/>
      <c r="M43" s="672" t="n"/>
      <c r="N43" s="672" t="n"/>
      <c r="O43" s="672" t="n"/>
      <c r="P43" s="672" t="n"/>
      <c r="Q43" s="672" t="n"/>
      <c r="R43" s="679" t="n"/>
      <c r="S43" s="679" t="n"/>
      <c r="T43" s="674">
        <f>E43+H43+K43+N43+Q43</f>
        <v/>
      </c>
      <c r="U43" s="681" t="n"/>
      <c r="V43" s="681" t="n"/>
      <c r="W43" s="5" t="n"/>
      <c r="X43" s="681" t="n"/>
      <c r="Y43" s="52" t="n"/>
      <c r="Z43" s="681" t="n"/>
      <c r="AA43" s="681" t="n"/>
      <c r="AB43" s="681" t="n"/>
      <c r="AC43" s="681" t="n"/>
      <c r="AD43" s="681" t="n"/>
      <c r="AE43" s="681" t="n"/>
    </row>
    <row r="44" ht="15.6" customFormat="1" customHeight="1" s="675">
      <c r="A44" s="676" t="n"/>
      <c r="B44" s="330" t="inlineStr">
        <is>
          <t>差异</t>
        </is>
      </c>
      <c r="C44" s="677" t="n"/>
      <c r="D44" s="678" t="n"/>
      <c r="E44" s="679">
        <f>E43-E28</f>
        <v/>
      </c>
      <c r="F44" s="679" t="n"/>
      <c r="G44" s="679" t="n"/>
      <c r="H44" s="679">
        <f>H43-H28</f>
        <v/>
      </c>
      <c r="I44" s="679" t="n"/>
      <c r="J44" s="679" t="n"/>
      <c r="K44" s="679">
        <f>K43-K28</f>
        <v/>
      </c>
      <c r="L44" s="679" t="n"/>
      <c r="M44" s="679" t="n"/>
      <c r="N44" s="679">
        <f>N43-N28</f>
        <v/>
      </c>
      <c r="O44" s="679" t="n"/>
      <c r="P44" s="679" t="n"/>
      <c r="Q44" s="679">
        <f>Q43-Q28</f>
        <v/>
      </c>
      <c r="R44" s="679" t="n"/>
      <c r="S44" s="679" t="n"/>
      <c r="T44" s="680">
        <f>T43-T28</f>
        <v/>
      </c>
      <c r="U44" s="681" t="n"/>
      <c r="V44" s="681" t="n"/>
      <c r="W44" s="5" t="n"/>
      <c r="X44" s="681" t="n"/>
      <c r="Y44" s="52" t="n"/>
      <c r="Z44" s="681" t="n"/>
      <c r="AA44" s="681" t="n"/>
      <c r="AB44" s="681" t="n"/>
      <c r="AC44" s="681" t="n"/>
      <c r="AD44" s="681" t="n"/>
      <c r="AE44" s="681" t="n"/>
    </row>
    <row r="45" ht="13.2" customFormat="1" customHeight="1" s="675">
      <c r="A45" s="676" t="n"/>
      <c r="B45" s="682" t="n"/>
      <c r="C45" s="677" t="n"/>
      <c r="D45" s="678" t="n"/>
      <c r="E45" s="683" t="n"/>
      <c r="F45" s="683" t="n"/>
      <c r="G45" s="683" t="n"/>
      <c r="H45" s="683" t="n"/>
      <c r="I45" s="683" t="n"/>
      <c r="J45" s="683" t="n"/>
      <c r="K45" s="683" t="n"/>
      <c r="L45" s="683" t="n"/>
      <c r="M45" s="683" t="n"/>
      <c r="N45" s="683" t="n"/>
      <c r="O45" s="683" t="n"/>
      <c r="P45" s="683" t="n"/>
      <c r="Q45" s="683" t="n"/>
      <c r="R45" s="683" t="n"/>
      <c r="S45" s="683" t="n"/>
      <c r="T45" s="684" t="n"/>
      <c r="U45" s="681" t="n"/>
      <c r="V45" s="681" t="n"/>
      <c r="W45" s="5" t="n"/>
      <c r="X45" s="681" t="n"/>
      <c r="Y45" s="52" t="n"/>
      <c r="Z45" s="681" t="n"/>
      <c r="AA45" s="681" t="n"/>
      <c r="AB45" s="681" t="n"/>
      <c r="AC45" s="681" t="n"/>
      <c r="AD45" s="681" t="n"/>
      <c r="AE45" s="681" t="n"/>
    </row>
    <row r="46" ht="13.2" customFormat="1" customHeight="1" s="675">
      <c r="A46" s="676" t="n"/>
      <c r="C46" s="677" t="n"/>
      <c r="D46" s="678" t="n"/>
      <c r="E46" s="684" t="n"/>
      <c r="F46" s="684" t="n"/>
      <c r="G46" s="684" t="n"/>
      <c r="H46" s="684" t="n"/>
      <c r="I46" s="684" t="n"/>
      <c r="J46" s="684" t="n"/>
      <c r="K46" s="684" t="n"/>
      <c r="L46" s="684" t="n"/>
      <c r="M46" s="684" t="n"/>
      <c r="N46" s="684" t="n"/>
      <c r="O46" s="684" t="n"/>
      <c r="P46" s="684" t="n"/>
      <c r="Q46" s="684" t="n"/>
      <c r="R46" s="684" t="n"/>
      <c r="S46" s="684" t="n"/>
      <c r="T46" s="684" t="n"/>
      <c r="U46" s="681" t="n"/>
      <c r="V46" s="681" t="n"/>
      <c r="W46" s="5" t="n"/>
      <c r="X46" s="681" t="n"/>
      <c r="Y46" s="52" t="n"/>
      <c r="Z46" s="681" t="n"/>
      <c r="AA46" s="681" t="n"/>
      <c r="AB46" s="681" t="n"/>
      <c r="AC46" s="681" t="n"/>
      <c r="AD46" s="681" t="n"/>
      <c r="AE46" s="681"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5">
        <f>SUMIF('L1.03 摊销测试'!$D$12:$D$17,$B51,'L1.03 摊销测试'!$J$12:$J$17)</f>
        <v/>
      </c>
      <c r="D51" s="685">
        <f>SUMIF('L1.03 摊销测试'!$D$12:$D$17,$B51,'L1.03 摊销测试'!$K$12:$K$17)</f>
        <v/>
      </c>
      <c r="E51" s="685">
        <f>SUMIF('L1.03 摊销测试'!$D$12:$D$17,$B51,'L1.03 摊销测试'!$L$12:$L$17)</f>
        <v/>
      </c>
      <c r="F51" s="685">
        <f>SUMIF('L1.03 摊销测试'!$D$12:$D$17,$B51,'L1.03 摊销测试'!$M$12:$M$17)</f>
        <v/>
      </c>
      <c r="G51" s="417" t="n"/>
      <c r="H51" s="685">
        <f>C51-E17</f>
        <v/>
      </c>
      <c r="I51" s="685">
        <f>D51-E22</f>
        <v/>
      </c>
      <c r="J51" s="685">
        <f>E51-E27</f>
        <v/>
      </c>
      <c r="K51" s="685">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5">
        <f>SUMIF('L1.03 摊销测试'!$D$12:$D$17,$B52,'L1.03 摊销测试'!$J$12:$J$17)</f>
        <v/>
      </c>
      <c r="D52" s="685">
        <f>SUMIF('L1.03 摊销测试'!$D$12:$D$17,$B52,'L1.03 摊销测试'!$K$12:$K$17)</f>
        <v/>
      </c>
      <c r="E52" s="685">
        <f>SUMIF('L1.03 摊销测试'!$D$12:$D$17,$B52,'L1.03 摊销测试'!$L$12:$L$17)</f>
        <v/>
      </c>
      <c r="F52" s="685">
        <f>SUMIF('L1.03 摊销测试'!$D$12:$D$17,$B52,'L1.03 摊销测试'!$M$12:$M$17)</f>
        <v/>
      </c>
      <c r="G52" s="417" t="n"/>
      <c r="H52" s="685">
        <f>C52-H17</f>
        <v/>
      </c>
      <c r="I52" s="685">
        <f>D52-H22</f>
        <v/>
      </c>
      <c r="J52" s="685">
        <f>E52-H27</f>
        <v/>
      </c>
      <c r="K52" s="685">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5">
        <f>SUMIF('L1.03 摊销测试'!$D$12:$D$17,$B53,'L1.03 摊销测试'!$J$12:$J$17)</f>
        <v/>
      </c>
      <c r="D53" s="685">
        <f>SUMIF('L1.03 摊销测试'!$D$12:$D$17,$B53,'L1.03 摊销测试'!$K$12:$K$17)</f>
        <v/>
      </c>
      <c r="E53" s="685">
        <f>SUMIF('L1.03 摊销测试'!$D$12:$D$17,$B53,'L1.03 摊销测试'!$L$12:$L$17)</f>
        <v/>
      </c>
      <c r="F53" s="685">
        <f>SUMIF('L1.03 摊销测试'!$D$12:$D$17,$B53,'L1.03 摊销测试'!$M$12:$M$17)</f>
        <v/>
      </c>
      <c r="G53" s="417" t="n"/>
      <c r="H53" s="685">
        <f>C53-K17</f>
        <v/>
      </c>
      <c r="I53" s="685">
        <f>D53-K22</f>
        <v/>
      </c>
      <c r="J53" s="685">
        <f>E53-K27</f>
        <v/>
      </c>
      <c r="K53" s="685">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5">
        <f>SUMIF('L1.03 摊销测试'!$D$12:$D$17,$B54,'L1.03 摊销测试'!$J$12:$J$17)</f>
        <v/>
      </c>
      <c r="D54" s="685">
        <f>SUMIF('L1.03 摊销测试'!$D$12:$D$17,$B54,'L1.03 摊销测试'!$K$12:$K$17)</f>
        <v/>
      </c>
      <c r="E54" s="685">
        <f>SUMIF('L1.03 摊销测试'!$D$12:$D$17,$B54,'L1.03 摊销测试'!$L$12:$L$17)</f>
        <v/>
      </c>
      <c r="F54" s="685">
        <f>SUMIF('L1.03 摊销测试'!$D$12:$D$17,$B54,'L1.03 摊销测试'!$M$12:$M$17)</f>
        <v/>
      </c>
      <c r="G54" s="417" t="n"/>
      <c r="H54" s="685">
        <f>C54-N17</f>
        <v/>
      </c>
      <c r="I54" s="685">
        <f>D54-N22</f>
        <v/>
      </c>
      <c r="J54" s="685">
        <f>E54-N27</f>
        <v/>
      </c>
      <c r="K54" s="685">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5">
        <f>SUMIF('L1.03 摊销测试'!$D$12:$D$17,$B55,'L1.03 摊销测试'!$J$12:$J$17)</f>
        <v/>
      </c>
      <c r="D55" s="685">
        <f>SUMIF('L1.03 摊销测试'!$D$12:$D$17,$B55,'L1.03 摊销测试'!$K$12:$K$17)</f>
        <v/>
      </c>
      <c r="E55" s="685">
        <f>SUMIF('L1.03 摊销测试'!$D$12:$D$17,$B55,'L1.03 摊销测试'!$L$12:$L$17)</f>
        <v/>
      </c>
      <c r="F55" s="685">
        <f>SUMIF('L1.03 摊销测试'!$D$12:$D$17,$B55,'L1.03 摊销测试'!$M$12:$M$17)</f>
        <v/>
      </c>
      <c r="G55" s="417" t="n"/>
      <c r="H55" s="685">
        <f>C55-Q17</f>
        <v/>
      </c>
      <c r="I55" s="685">
        <f>D55-Q22</f>
        <v/>
      </c>
      <c r="J55" s="685">
        <f>E55-Q27</f>
        <v/>
      </c>
      <c r="K55" s="685">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5">
        <f>SUM(C51:C55)</f>
        <v/>
      </c>
      <c r="D56" s="685">
        <f>SUMIF('L1.03 摊销测试'!$D$12:$D$17,$B56,'L1.03 摊销测试'!$K$12:$K$17)</f>
        <v/>
      </c>
      <c r="E56" s="685">
        <f>SUMIF('L1.03 摊销测试'!$D$12:$D$17,$B56,'L1.03 摊销测试'!$L$12:$L$17)</f>
        <v/>
      </c>
      <c r="F56" s="685">
        <f>SUMIF('L1.03 摊销测试'!$D$12:$D$17,$B56,'L1.03 摊销测试'!$M$12:$M$17)</f>
        <v/>
      </c>
      <c r="G56" s="418" t="n"/>
      <c r="H56" s="685">
        <f>C56-T17</f>
        <v/>
      </c>
      <c r="I56" s="685">
        <f>D56-T22</f>
        <v/>
      </c>
      <c r="J56" s="685">
        <f>E56-T27</f>
        <v/>
      </c>
      <c r="K56" s="685">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6" t="n"/>
      <c r="C59" s="687" t="n"/>
      <c r="D59" s="687" t="n"/>
      <c r="E59" s="687" t="n"/>
      <c r="F59" s="688"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89" t="n"/>
      <c r="C60" s="615" t="n"/>
      <c r="D60" s="615" t="n"/>
      <c r="E60" s="615" t="n"/>
      <c r="F60" s="690"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89" t="n"/>
      <c r="C61" s="615" t="n"/>
      <c r="D61" s="615" t="n"/>
      <c r="E61" s="615" t="n"/>
      <c r="F61" s="690"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1" t="n"/>
      <c r="C62" s="618" t="n"/>
      <c r="D62" s="618" t="n"/>
      <c r="E62" s="618" t="n"/>
      <c r="F62" s="692"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3" t="n"/>
      <c r="C65" s="687" t="n"/>
      <c r="D65" s="687" t="n"/>
      <c r="E65" s="687" t="n"/>
      <c r="F65" s="688"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89" t="n"/>
      <c r="C66" s="615" t="n"/>
      <c r="D66" s="615" t="n"/>
      <c r="E66" s="615" t="n"/>
      <c r="F66" s="690"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89" t="n"/>
      <c r="C67" s="615" t="n"/>
      <c r="D67" s="615" t="n"/>
      <c r="E67" s="615" t="n"/>
      <c r="F67" s="690"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1" t="n"/>
      <c r="C68" s="618" t="n"/>
      <c r="D68" s="618" t="n"/>
      <c r="E68" s="618" t="n"/>
      <c r="F68" s="692"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4" t="n"/>
      <c r="G74" s="288" t="n"/>
      <c r="H74" s="281" t="n"/>
      <c r="I74" s="281" t="n"/>
      <c r="J74" s="281" t="n"/>
      <c r="K74" s="281" t="n"/>
      <c r="Y74" s="52" t="n"/>
    </row>
    <row r="75" ht="15" customHeight="1">
      <c r="A75" s="21" t="n"/>
      <c r="B75" s="289" t="n"/>
      <c r="C75" s="290" t="n"/>
      <c r="D75" s="277" t="n"/>
      <c r="E75" s="291" t="inlineStr">
        <is>
          <t>管理费用</t>
        </is>
      </c>
      <c r="F75" s="694" t="n"/>
      <c r="G75" s="288" t="n"/>
      <c r="H75" s="281" t="n"/>
      <c r="I75" s="281" t="n"/>
      <c r="J75" s="281" t="n"/>
      <c r="K75" s="281" t="n"/>
      <c r="Y75" s="52" t="n"/>
    </row>
    <row r="76" ht="15" customHeight="1">
      <c r="A76" s="21" t="n"/>
      <c r="B76" s="289" t="n"/>
      <c r="C76" s="290" t="n"/>
      <c r="D76" s="277" t="n"/>
      <c r="E76" s="291" t="inlineStr">
        <is>
          <t>研发费用</t>
        </is>
      </c>
      <c r="F76" s="694" t="n"/>
      <c r="G76" s="288" t="n"/>
      <c r="H76" s="281" t="n"/>
      <c r="I76" s="281" t="n"/>
      <c r="J76" s="281" t="n"/>
      <c r="K76" s="281" t="n"/>
      <c r="Y76" s="52" t="n"/>
    </row>
    <row r="77" ht="15" customHeight="1">
      <c r="A77" s="21" t="n"/>
      <c r="B77" s="289" t="n"/>
      <c r="C77" s="290" t="n"/>
      <c r="D77" s="277" t="n"/>
      <c r="E77" s="291" t="inlineStr">
        <is>
          <t>销售费用</t>
        </is>
      </c>
      <c r="F77" s="694" t="n"/>
      <c r="G77" s="288" t="n"/>
      <c r="H77" s="281" t="n"/>
      <c r="I77" s="281" t="n"/>
      <c r="J77" s="281" t="n"/>
      <c r="K77" s="281" t="n"/>
      <c r="Y77" s="52" t="n"/>
    </row>
    <row r="78" ht="15" customHeight="1">
      <c r="A78" s="21" t="n"/>
      <c r="B78" s="289" t="n"/>
      <c r="C78" s="290" t="n"/>
      <c r="D78" s="277" t="n"/>
      <c r="E78" s="291" t="inlineStr">
        <is>
          <t>[…]</t>
        </is>
      </c>
      <c r="F78" s="694" t="n"/>
      <c r="G78" s="288" t="n"/>
      <c r="H78" s="281" t="n"/>
      <c r="I78" s="281" t="n"/>
      <c r="J78" s="281" t="n"/>
      <c r="K78" s="281" t="n"/>
      <c r="Y78" s="52" t="n"/>
    </row>
    <row r="79" ht="15" customHeight="1" thickBot="1">
      <c r="A79" s="21" t="n"/>
      <c r="B79" s="293" t="n"/>
      <c r="C79" s="294" t="n"/>
      <c r="D79" s="294" t="n"/>
      <c r="E79" s="291" t="inlineStr">
        <is>
          <t>合计</t>
        </is>
      </c>
      <c r="F79" s="695">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6">
        <f>T19</f>
        <v/>
      </c>
      <c r="G81" s="288" t="n"/>
      <c r="H81" s="281" t="n"/>
      <c r="I81" s="281" t="n"/>
      <c r="J81" s="281" t="n"/>
      <c r="K81" s="281" t="n"/>
      <c r="Y81" s="52" t="n"/>
    </row>
    <row r="82" ht="15" customHeight="1" thickBot="1">
      <c r="A82" s="21" t="n"/>
      <c r="B82" s="293" t="n"/>
      <c r="C82" s="294" t="n"/>
      <c r="D82" s="294" t="n"/>
      <c r="E82" s="291" t="inlineStr">
        <is>
          <t>差异</t>
        </is>
      </c>
      <c r="F82" s="695">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3" t="n"/>
      <c r="C7" s="687" t="n"/>
      <c r="D7" s="687" t="n"/>
      <c r="E7" s="687" t="n"/>
      <c r="F7" s="688" t="n"/>
      <c r="G7" s="132" t="n"/>
      <c r="H7" s="132" t="n"/>
      <c r="I7" s="132" t="n"/>
      <c r="J7" s="132" t="n"/>
      <c r="K7" s="132" t="n"/>
      <c r="L7" s="132" t="n"/>
      <c r="M7" s="132" t="n"/>
      <c r="U7" s="52" t="n"/>
    </row>
    <row r="8" ht="15" customHeight="1">
      <c r="B8" s="689" t="n"/>
      <c r="C8" s="615" t="n"/>
      <c r="D8" s="615" t="n"/>
      <c r="E8" s="615" t="n"/>
      <c r="F8" s="690" t="n"/>
      <c r="G8" s="132" t="n"/>
      <c r="H8" s="132" t="n"/>
      <c r="I8" s="132" t="n"/>
      <c r="J8" s="132" t="n"/>
      <c r="K8" s="132" t="n"/>
      <c r="L8" s="132" t="n"/>
      <c r="M8" s="132" t="n"/>
      <c r="U8" s="52" t="n"/>
    </row>
    <row r="9" ht="15" customHeight="1">
      <c r="B9" s="689" t="n"/>
      <c r="C9" s="615" t="n"/>
      <c r="D9" s="615" t="n"/>
      <c r="E9" s="615" t="n"/>
      <c r="F9" s="690" t="n"/>
      <c r="G9" s="132" t="n"/>
      <c r="H9" s="132" t="n"/>
      <c r="I9" s="132" t="n"/>
      <c r="J9" s="132" t="n"/>
      <c r="K9" s="132" t="n"/>
      <c r="L9" s="132" t="n"/>
      <c r="M9" s="132" t="n"/>
      <c r="U9" s="52" t="n"/>
    </row>
    <row r="10" ht="15" customHeight="1">
      <c r="B10" s="691" t="n"/>
      <c r="C10" s="618" t="n"/>
      <c r="D10" s="618" t="n"/>
      <c r="E10" s="618" t="n"/>
      <c r="F10" s="692"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37" t="n"/>
      <c r="U12" s="52" t="n"/>
    </row>
    <row r="13" ht="15" customHeight="1">
      <c r="B13" s="94" t="inlineStr">
        <is>
          <t>Breakdown中购置金额</t>
        </is>
      </c>
      <c r="C13" s="94" t="n"/>
      <c r="E13" s="697">
        <f>'L1.01.1 Agree SL to GL'!T13</f>
        <v/>
      </c>
      <c r="F13" s="83" t="inlineStr">
        <is>
          <t>L1.01.1</t>
        </is>
      </c>
      <c r="U13" s="52" t="n"/>
    </row>
    <row r="14" ht="15" customHeight="1">
      <c r="B14" s="84" t="inlineStr">
        <is>
          <t>差异</t>
        </is>
      </c>
      <c r="C14" s="84" t="n"/>
      <c r="D14" s="85" t="n"/>
      <c r="E14" s="698">
        <f>E12-E13</f>
        <v/>
      </c>
      <c r="F14" s="70" t="inlineStr">
        <is>
          <t>Rx</t>
        </is>
      </c>
      <c r="G14" s="87" t="inlineStr">
        <is>
          <t xml:space="preserve">差异是否需要进一步调查？     </t>
        </is>
      </c>
      <c r="J14" s="187">
        <f>IF(ABS(E14)&gt;'L1.00 Lead sheet'!$C$6, "Yes", "No")</f>
        <v/>
      </c>
      <c r="U14" s="52" t="n"/>
    </row>
    <row r="15" ht="15" customHeight="1">
      <c r="B15" s="94" t="n"/>
      <c r="C15" s="94" t="n"/>
      <c r="E15" s="697" t="n"/>
      <c r="U15" s="52" t="n"/>
    </row>
    <row r="16" ht="15" customHeight="1">
      <c r="B16" s="68" t="inlineStr">
        <is>
          <t>减：测试的关键项目</t>
        </is>
      </c>
      <c r="C16" s="68" t="n"/>
      <c r="D16" s="88" t="n"/>
      <c r="E16" s="637" t="n"/>
      <c r="G16" s="88" t="n"/>
      <c r="H16" s="88" t="n"/>
      <c r="K16" s="88" t="n"/>
      <c r="U16" s="52" t="n"/>
    </row>
    <row r="17" ht="15" customHeight="1">
      <c r="B17" s="84" t="inlineStr">
        <is>
          <t>进行代表性抽样的剩余总体</t>
        </is>
      </c>
      <c r="C17" s="84" t="n"/>
      <c r="D17" s="89" t="n"/>
      <c r="E17" s="699">
        <f>E12-E16</f>
        <v/>
      </c>
      <c r="G17" s="700" t="n"/>
      <c r="H17" s="701"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3" t="n"/>
      <c r="C20" s="687" t="n"/>
      <c r="D20" s="687" t="n"/>
      <c r="E20" s="687" t="n"/>
      <c r="F20" s="688" t="n"/>
      <c r="G20" s="132" t="n"/>
      <c r="H20" s="132" t="n"/>
      <c r="I20" s="132" t="n"/>
      <c r="J20" s="132" t="n"/>
      <c r="K20" s="132" t="n"/>
      <c r="L20" s="132" t="n"/>
      <c r="M20" s="132" t="n"/>
      <c r="U20" s="52" t="n"/>
    </row>
    <row r="21" ht="15" customHeight="1">
      <c r="B21" s="689" t="n"/>
      <c r="C21" s="615" t="n"/>
      <c r="D21" s="615" t="n"/>
      <c r="E21" s="615" t="n"/>
      <c r="F21" s="690" t="n"/>
      <c r="G21" s="132" t="n"/>
      <c r="H21" s="132" t="n"/>
      <c r="I21" s="132" t="n"/>
      <c r="J21" s="132" t="n"/>
      <c r="K21" s="132" t="n"/>
      <c r="L21" s="132" t="n"/>
      <c r="M21" s="132" t="n"/>
      <c r="U21" s="52" t="n"/>
    </row>
    <row r="22" ht="15" customHeight="1">
      <c r="B22" s="689" t="n"/>
      <c r="C22" s="615" t="n"/>
      <c r="D22" s="615" t="n"/>
      <c r="E22" s="615" t="n"/>
      <c r="F22" s="690" t="n"/>
      <c r="G22" s="132" t="n"/>
      <c r="H22" s="132" t="n"/>
      <c r="I22" s="132" t="n"/>
      <c r="J22" s="132" t="n"/>
      <c r="K22" s="132" t="n"/>
      <c r="L22" s="132" t="n"/>
      <c r="M22" s="132" t="n"/>
      <c r="U22" s="52" t="n"/>
    </row>
    <row r="23" ht="15" customHeight="1">
      <c r="B23" s="691" t="n"/>
      <c r="C23" s="618" t="n"/>
      <c r="D23" s="618" t="n"/>
      <c r="E23" s="618" t="n"/>
      <c r="F23" s="692" t="n"/>
      <c r="G23" s="132" t="n"/>
      <c r="H23" s="132" t="n"/>
      <c r="I23" s="132" t="n"/>
      <c r="J23" s="132" t="n"/>
      <c r="K23" s="132" t="n"/>
      <c r="L23" s="132" t="n"/>
      <c r="M23" s="132" t="n"/>
      <c r="U23" s="52" t="n"/>
    </row>
    <row r="24" ht="15" customHeight="1">
      <c r="B24" s="94" t="n"/>
      <c r="C24" s="94" t="n"/>
      <c r="D24" s="702" t="n"/>
      <c r="E24" s="702"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3" t="n"/>
      <c r="I33" s="427" t="n"/>
      <c r="J33" s="426" t="n"/>
      <c r="K33" s="429" t="n"/>
      <c r="L33" s="420" t="n"/>
      <c r="M33" s="704" t="n"/>
      <c r="N33" s="420" t="n"/>
      <c r="O33" s="705">
        <f>M33-H33</f>
        <v/>
      </c>
      <c r="P33" s="435" t="n"/>
      <c r="Q33" s="435" t="n"/>
      <c r="R33" s="435" t="n"/>
      <c r="S33" s="435" t="n"/>
      <c r="U33" s="52" t="n"/>
    </row>
    <row r="34" ht="15" customHeight="1">
      <c r="A34" s="59" t="n"/>
      <c r="B34" s="194" t="n">
        <v>2</v>
      </c>
      <c r="C34" s="421" t="n"/>
      <c r="D34" s="422" t="n"/>
      <c r="E34" s="422" t="n"/>
      <c r="F34" s="422" t="n"/>
      <c r="G34" s="424" t="n"/>
      <c r="H34" s="703" t="n"/>
      <c r="I34" s="428" t="n"/>
      <c r="J34" s="425" t="n"/>
      <c r="K34" s="429" t="n"/>
      <c r="L34" s="420" t="n"/>
      <c r="M34" s="704" t="n"/>
      <c r="N34" s="420" t="n"/>
      <c r="O34" s="705">
        <f>M34-H34</f>
        <v/>
      </c>
      <c r="P34" s="435" t="n"/>
      <c r="Q34" s="435" t="n"/>
      <c r="R34" s="435" t="n"/>
      <c r="S34" s="435" t="n"/>
      <c r="U34" s="52" t="n"/>
    </row>
    <row r="35" ht="15" customHeight="1">
      <c r="A35" s="59" t="n"/>
      <c r="B35" s="194" t="n">
        <v>3</v>
      </c>
      <c r="C35" s="421" t="n"/>
      <c r="D35" s="422" t="n"/>
      <c r="E35" s="422" t="n"/>
      <c r="F35" s="422" t="n"/>
      <c r="G35" s="424" t="n"/>
      <c r="H35" s="703" t="n"/>
      <c r="I35" s="428" t="n"/>
      <c r="J35" s="425" t="n"/>
      <c r="K35" s="429" t="n"/>
      <c r="L35" s="420" t="n"/>
      <c r="M35" s="704" t="n"/>
      <c r="N35" s="420" t="n"/>
      <c r="O35" s="705">
        <f>M35-H35</f>
        <v/>
      </c>
      <c r="P35" s="435" t="n"/>
      <c r="Q35" s="435" t="n"/>
      <c r="R35" s="435" t="n"/>
      <c r="S35" s="435" t="n"/>
      <c r="U35" s="52" t="n"/>
    </row>
    <row r="36" ht="15" customHeight="1">
      <c r="A36" s="59" t="n"/>
      <c r="B36" s="194" t="n">
        <v>4</v>
      </c>
      <c r="C36" s="421" t="n"/>
      <c r="D36" s="422" t="n"/>
      <c r="E36" s="422" t="n"/>
      <c r="F36" s="422" t="n"/>
      <c r="G36" s="424" t="n"/>
      <c r="H36" s="703" t="n"/>
      <c r="I36" s="428" t="n"/>
      <c r="J36" s="426" t="n"/>
      <c r="K36" s="429" t="n"/>
      <c r="L36" s="420" t="n"/>
      <c r="M36" s="704" t="n"/>
      <c r="N36" s="420" t="n"/>
      <c r="O36" s="705">
        <f>M36-H36</f>
        <v/>
      </c>
      <c r="P36" s="435" t="n"/>
      <c r="Q36" s="435" t="n"/>
      <c r="R36" s="435" t="n"/>
      <c r="S36" s="435" t="n"/>
      <c r="U36" s="52" t="n"/>
    </row>
    <row r="37" ht="15" customHeight="1">
      <c r="A37" s="59" t="n"/>
      <c r="B37" s="194" t="n">
        <v>5</v>
      </c>
      <c r="C37" s="421" t="n"/>
      <c r="D37" s="425" t="n"/>
      <c r="E37" s="425" t="n"/>
      <c r="F37" s="425" t="n"/>
      <c r="G37" s="424" t="n"/>
      <c r="H37" s="703" t="n"/>
      <c r="I37" s="428" t="n"/>
      <c r="J37" s="426" t="n"/>
      <c r="K37" s="429" t="n"/>
      <c r="L37" s="420" t="n"/>
      <c r="M37" s="704" t="n"/>
      <c r="N37" s="420" t="n"/>
      <c r="O37" s="705">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3" t="n"/>
      <c r="C40" s="687" t="n"/>
      <c r="D40" s="687" t="n"/>
      <c r="E40" s="687" t="n"/>
      <c r="F40" s="688" t="n"/>
      <c r="U40" s="52" t="n"/>
    </row>
    <row r="41" ht="15" customHeight="1">
      <c r="B41" s="689" t="n"/>
      <c r="C41" s="615" t="n"/>
      <c r="D41" s="615" t="n"/>
      <c r="E41" s="615" t="n"/>
      <c r="F41" s="690" t="n"/>
      <c r="U41" s="52" t="n"/>
    </row>
    <row r="42" ht="15" customHeight="1">
      <c r="B42" s="689" t="n"/>
      <c r="C42" s="615" t="n"/>
      <c r="D42" s="615" t="n"/>
      <c r="E42" s="615" t="n"/>
      <c r="F42" s="690" t="n"/>
      <c r="U42" s="52" t="n"/>
    </row>
    <row r="43" ht="15" customHeight="1">
      <c r="B43" s="691" t="n"/>
      <c r="C43" s="618" t="n"/>
      <c r="D43" s="618" t="n"/>
      <c r="E43" s="618" t="n"/>
      <c r="F43" s="692"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6"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07"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07"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08" t="n"/>
      <c r="C7" s="687" t="n"/>
      <c r="D7" s="687" t="n"/>
      <c r="E7" s="687" t="n"/>
      <c r="F7" s="688" t="n"/>
      <c r="G7" s="148" t="n"/>
      <c r="H7" s="148" t="n"/>
      <c r="I7" s="148" t="n"/>
      <c r="J7" s="148" t="n"/>
      <c r="K7" s="148" t="n"/>
      <c r="Q7" s="112" t="n"/>
      <c r="R7" s="112" t="n"/>
      <c r="S7" s="112" t="n"/>
      <c r="T7" s="112" t="n"/>
      <c r="U7" s="112" t="n"/>
      <c r="V7" s="112" t="n"/>
      <c r="W7" s="52" t="n"/>
    </row>
    <row r="8" ht="15" customHeight="1">
      <c r="A8" s="83" t="n"/>
      <c r="B8" s="689" t="n"/>
      <c r="C8" s="615" t="n"/>
      <c r="D8" s="615" t="n"/>
      <c r="E8" s="615" t="n"/>
      <c r="F8" s="690" t="n"/>
      <c r="G8" s="148" t="n"/>
      <c r="H8" s="148" t="n"/>
      <c r="I8" s="148" t="n"/>
      <c r="J8" s="148" t="n"/>
      <c r="K8" s="148" t="n"/>
      <c r="Q8" s="112" t="n"/>
      <c r="R8" s="112" t="n"/>
      <c r="S8" s="112" t="n"/>
      <c r="T8" s="112" t="n"/>
      <c r="U8" s="112" t="n"/>
      <c r="V8" s="112" t="n"/>
      <c r="W8" s="52" t="n"/>
    </row>
    <row r="9" ht="15" customHeight="1">
      <c r="A9" s="83" t="n"/>
      <c r="B9" s="689" t="n"/>
      <c r="C9" s="615" t="n"/>
      <c r="D9" s="615" t="n"/>
      <c r="E9" s="615" t="n"/>
      <c r="F9" s="690" t="n"/>
      <c r="G9" s="148" t="n"/>
      <c r="H9" s="148" t="n"/>
      <c r="I9" s="148" t="n"/>
      <c r="J9" s="148" t="n"/>
      <c r="K9" s="148" t="n"/>
      <c r="Q9" s="112" t="n"/>
      <c r="R9" s="112" t="n"/>
      <c r="S9" s="112" t="n"/>
      <c r="T9" s="112" t="n"/>
      <c r="U9" s="112" t="n"/>
      <c r="V9" s="112" t="n"/>
      <c r="W9" s="52" t="n"/>
    </row>
    <row r="10" ht="15" customHeight="1">
      <c r="A10" s="83" t="n"/>
      <c r="B10" s="691" t="n"/>
      <c r="C10" s="618" t="n"/>
      <c r="D10" s="618" t="n"/>
      <c r="E10" s="618" t="n"/>
      <c r="F10" s="692"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09">
        <f>G14-I14-K14</f>
        <v/>
      </c>
      <c r="F14" s="315" t="n"/>
      <c r="G14" s="709" t="n"/>
      <c r="H14" s="315" t="n"/>
      <c r="I14" s="710" t="n"/>
      <c r="K14" s="710" t="n"/>
      <c r="M14" s="62" t="n"/>
      <c r="W14" s="52" t="n"/>
    </row>
    <row r="15" ht="15" customHeight="1">
      <c r="B15" s="120" t="inlineStr">
        <is>
          <t>Breakdown中减少金额</t>
        </is>
      </c>
      <c r="C15" s="94" t="n"/>
      <c r="E15" s="709">
        <f>G15-I15-K15</f>
        <v/>
      </c>
      <c r="F15" s="70" t="inlineStr">
        <is>
          <t>L1.01.1</t>
        </is>
      </c>
      <c r="G15" s="709">
        <f>-('L1.01.1 Agree SL to GL'!T15)</f>
        <v/>
      </c>
      <c r="H15" s="83" t="inlineStr">
        <is>
          <t>L1.01.1</t>
        </is>
      </c>
      <c r="I15" s="709">
        <f>-('L1.01.1 Agree SL to GL'!T20)</f>
        <v/>
      </c>
      <c r="J15" s="83" t="inlineStr">
        <is>
          <t>L1.01.1</t>
        </is>
      </c>
      <c r="K15" s="709">
        <f>-('L1.01.1 Agree SL to GL'!T25)</f>
        <v/>
      </c>
      <c r="L15" s="83" t="inlineStr">
        <is>
          <t>L1.01.1</t>
        </is>
      </c>
      <c r="M15" s="62" t="n"/>
      <c r="W15" s="52" t="n"/>
    </row>
    <row r="16" ht="15" customHeight="1">
      <c r="B16" s="84" t="inlineStr">
        <is>
          <t>差异</t>
        </is>
      </c>
      <c r="C16" s="84" t="n"/>
      <c r="D16" s="85" t="n"/>
      <c r="E16" s="711">
        <f>E14-E15</f>
        <v/>
      </c>
      <c r="F16" s="316" t="inlineStr">
        <is>
          <t>Rx</t>
        </is>
      </c>
      <c r="G16" s="711">
        <f>G14-G15</f>
        <v/>
      </c>
      <c r="H16" s="316" t="inlineStr">
        <is>
          <t>Rx</t>
        </is>
      </c>
      <c r="I16" s="711">
        <f>I14-I15</f>
        <v/>
      </c>
      <c r="J16" s="70" t="inlineStr">
        <is>
          <t>Rx</t>
        </is>
      </c>
      <c r="K16" s="711">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0" t="n"/>
      <c r="F19" s="315" t="n"/>
      <c r="G19" s="315" t="n"/>
      <c r="H19" s="315" t="n"/>
      <c r="I19" s="315" t="n"/>
      <c r="W19" s="52" t="n"/>
    </row>
    <row r="20" ht="15" customHeight="1">
      <c r="B20" s="84" t="inlineStr">
        <is>
          <t>进行代表性抽样的剩余总体</t>
        </is>
      </c>
      <c r="C20" s="84" t="n"/>
      <c r="D20" s="89" t="n"/>
      <c r="E20" s="712">
        <f>E14-E19</f>
        <v/>
      </c>
      <c r="W20" s="52" t="n"/>
    </row>
    <row r="21" ht="15" customHeight="1">
      <c r="C21" s="94" t="n"/>
      <c r="D21" s="702"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3" t="n"/>
      <c r="C23" s="687" t="n"/>
      <c r="D23" s="687" t="n"/>
      <c r="E23" s="687" t="n"/>
      <c r="F23" s="688" t="n"/>
      <c r="G23" s="132" t="n"/>
      <c r="H23" s="132" t="n"/>
      <c r="I23" s="132" t="n"/>
      <c r="J23" s="132" t="n"/>
      <c r="K23" s="132" t="n"/>
      <c r="W23" s="52" t="n"/>
    </row>
    <row r="24" ht="15" customHeight="1">
      <c r="B24" s="689" t="n"/>
      <c r="C24" s="615" t="n"/>
      <c r="D24" s="615" t="n"/>
      <c r="E24" s="615" t="n"/>
      <c r="F24" s="690" t="n"/>
      <c r="G24" s="132" t="n"/>
      <c r="H24" s="132" t="n"/>
      <c r="I24" s="132" t="n"/>
      <c r="J24" s="132" t="n"/>
      <c r="K24" s="132" t="n"/>
      <c r="W24" s="52" t="n"/>
    </row>
    <row r="25" ht="15" customHeight="1">
      <c r="B25" s="689" t="n"/>
      <c r="C25" s="615" t="n"/>
      <c r="D25" s="615" t="n"/>
      <c r="E25" s="615" t="n"/>
      <c r="F25" s="690" t="n"/>
      <c r="G25" s="132" t="n"/>
      <c r="H25" s="132" t="n"/>
      <c r="I25" s="132" t="n"/>
      <c r="J25" s="132" t="n"/>
      <c r="K25" s="132" t="n"/>
      <c r="W25" s="52" t="n"/>
    </row>
    <row r="26" ht="15" customHeight="1">
      <c r="B26" s="691" t="n"/>
      <c r="C26" s="618" t="n"/>
      <c r="D26" s="618" t="n"/>
      <c r="E26" s="618" t="n"/>
      <c r="F26" s="692"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3" t="n"/>
      <c r="J36" s="703" t="n"/>
      <c r="K36" s="703" t="n"/>
      <c r="L36" s="703">
        <f>SUM(I36:K36)</f>
        <v/>
      </c>
      <c r="M36" s="703" t="n"/>
      <c r="N36" s="485" t="n"/>
      <c r="O36" s="713">
        <f>M36-L36</f>
        <v/>
      </c>
      <c r="P36" s="713" t="n"/>
      <c r="Q36" s="714">
        <f>P36-M36</f>
        <v/>
      </c>
      <c r="R36" s="433" t="n"/>
      <c r="S36" s="435" t="n"/>
      <c r="T36" s="435" t="n"/>
      <c r="U36" s="435" t="n"/>
      <c r="W36" s="52" t="n"/>
    </row>
    <row r="37" ht="15" customHeight="1">
      <c r="B37" s="194" t="n">
        <v>2</v>
      </c>
      <c r="C37" s="421" t="n"/>
      <c r="D37" s="422" t="n"/>
      <c r="E37" s="422" t="n"/>
      <c r="F37" s="426" t="n"/>
      <c r="G37" s="432" t="n"/>
      <c r="H37" s="318" t="n"/>
      <c r="I37" s="703" t="n"/>
      <c r="J37" s="703" t="n"/>
      <c r="K37" s="703" t="n"/>
      <c r="L37" s="703">
        <f>SUM(I37:K37)</f>
        <v/>
      </c>
      <c r="M37" s="703" t="n"/>
      <c r="N37" s="485" t="n"/>
      <c r="O37" s="713">
        <f>M37-L37</f>
        <v/>
      </c>
      <c r="P37" s="713" t="n"/>
      <c r="Q37" s="714">
        <f>P37-M37</f>
        <v/>
      </c>
      <c r="R37" s="433" t="n"/>
      <c r="S37" s="435" t="n"/>
      <c r="T37" s="435" t="n"/>
      <c r="U37" s="435" t="n"/>
      <c r="W37" s="52" t="n"/>
    </row>
    <row r="38" ht="15" customHeight="1">
      <c r="B38" s="194" t="n">
        <v>3</v>
      </c>
      <c r="C38" s="421" t="n"/>
      <c r="D38" s="422" t="n"/>
      <c r="E38" s="422" t="n"/>
      <c r="F38" s="426" t="n"/>
      <c r="G38" s="432" t="n"/>
      <c r="H38" s="318" t="n"/>
      <c r="I38" s="703" t="n"/>
      <c r="J38" s="703" t="n"/>
      <c r="K38" s="703" t="n"/>
      <c r="L38" s="703">
        <f>SUM(I38:K38)</f>
        <v/>
      </c>
      <c r="M38" s="703" t="n"/>
      <c r="N38" s="485" t="n"/>
      <c r="O38" s="713">
        <f>M38-L38</f>
        <v/>
      </c>
      <c r="P38" s="713" t="n"/>
      <c r="Q38" s="714">
        <f>P38-M38</f>
        <v/>
      </c>
      <c r="R38" s="433" t="n"/>
      <c r="S38" s="435" t="n"/>
      <c r="T38" s="435" t="n"/>
      <c r="U38" s="435" t="n"/>
      <c r="W38" s="52" t="n"/>
    </row>
    <row r="39" ht="15" customHeight="1">
      <c r="B39" s="194" t="n">
        <v>4</v>
      </c>
      <c r="C39" s="421" t="n"/>
      <c r="D39" s="422" t="n"/>
      <c r="E39" s="422" t="n"/>
      <c r="F39" s="426" t="n"/>
      <c r="G39" s="432" t="n"/>
      <c r="H39" s="318" t="n"/>
      <c r="I39" s="703" t="n"/>
      <c r="J39" s="703" t="n"/>
      <c r="K39" s="703" t="n"/>
      <c r="L39" s="703">
        <f>SUM(I39:K39)</f>
        <v/>
      </c>
      <c r="M39" s="703" t="n"/>
      <c r="N39" s="485" t="n"/>
      <c r="O39" s="713">
        <f>M39-L39</f>
        <v/>
      </c>
      <c r="P39" s="713" t="n"/>
      <c r="Q39" s="714">
        <f>P39-M39</f>
        <v/>
      </c>
      <c r="R39" s="433" t="n"/>
      <c r="S39" s="435" t="n"/>
      <c r="T39" s="435" t="n"/>
      <c r="U39" s="435" t="n"/>
      <c r="W39" s="52" t="n"/>
    </row>
    <row r="40" ht="15" customHeight="1">
      <c r="B40" s="194" t="n">
        <v>5</v>
      </c>
      <c r="C40" s="421" t="n"/>
      <c r="D40" s="422" t="n"/>
      <c r="E40" s="422" t="n"/>
      <c r="F40" s="426" t="n"/>
      <c r="G40" s="432" t="n"/>
      <c r="H40" s="318" t="n"/>
      <c r="I40" s="703" t="n"/>
      <c r="J40" s="703" t="n"/>
      <c r="K40" s="703" t="n"/>
      <c r="L40" s="703">
        <f>SUM(I40:K40)</f>
        <v/>
      </c>
      <c r="M40" s="703" t="n"/>
      <c r="N40" s="485" t="n"/>
      <c r="O40" s="713">
        <f>M40-L40</f>
        <v/>
      </c>
      <c r="P40" s="713" t="n"/>
      <c r="Q40" s="714">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3" t="n"/>
      <c r="C43" s="687" t="n"/>
      <c r="D43" s="687" t="n"/>
      <c r="E43" s="687" t="n"/>
      <c r="F43" s="688" t="n"/>
      <c r="W43" s="52" t="n"/>
    </row>
    <row r="44" ht="15" customHeight="1">
      <c r="B44" s="689" t="n"/>
      <c r="C44" s="615" t="n"/>
      <c r="D44" s="615" t="n"/>
      <c r="E44" s="615" t="n"/>
      <c r="F44" s="690" t="n"/>
      <c r="W44" s="52" t="n"/>
    </row>
    <row r="45" ht="15" customHeight="1">
      <c r="B45" s="689" t="n"/>
      <c r="C45" s="615" t="n"/>
      <c r="D45" s="615" t="n"/>
      <c r="E45" s="615" t="n"/>
      <c r="F45" s="690" t="n"/>
      <c r="W45" s="52" t="n"/>
    </row>
    <row r="46" ht="15" customHeight="1">
      <c r="B46" s="691" t="n"/>
      <c r="C46" s="618" t="n"/>
      <c r="D46" s="618" t="n"/>
      <c r="E46" s="618" t="n"/>
      <c r="F46" s="692"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6"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5" t="inlineStr">
        <is>
          <t xml:space="preserve">    若处置或报废，须填写</t>
        </is>
      </c>
      <c r="O11" s="607" t="n"/>
      <c r="P11" s="716" t="inlineStr">
        <is>
          <t>EY Works</t>
        </is>
      </c>
      <c r="Q11" s="606" t="n"/>
      <c r="R11" s="606" t="n"/>
      <c r="S11" s="606" t="n"/>
      <c r="T11" s="607"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17" t="n"/>
      <c r="I13" s="718" t="n"/>
      <c r="J13" s="717" t="n"/>
      <c r="K13" s="717" t="n"/>
      <c r="L13" s="717" t="n"/>
      <c r="M13" s="719" t="n"/>
      <c r="N13" s="437" t="n"/>
      <c r="O13" s="720" t="n"/>
      <c r="P13" s="361">
        <f>IFERROR(EOMONTH(E13,G13-MONTH(1)),"")</f>
        <v/>
      </c>
      <c r="Q13" s="721">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2">
        <f>-(IFERROR(IF(J13=0,(O13*(1-F13))/G13*Q13,(J13*(1-F13))/G13*Q13),0))</f>
        <v/>
      </c>
      <c r="S13" s="721">
        <f>R13-H13</f>
        <v/>
      </c>
      <c r="T13" s="157">
        <f>IF(ABS(S13)&gt;'L1.00 Lead sheet'!$C$6,"Note","w")</f>
        <v/>
      </c>
      <c r="V13" s="52" t="n"/>
      <c r="W13" s="10" t="n"/>
    </row>
    <row r="14" ht="13.2" customFormat="1" customHeight="1" s="19">
      <c r="A14" s="18" t="n"/>
      <c r="B14" s="308" t="n"/>
      <c r="C14" s="304" t="n"/>
      <c r="D14" s="305" t="n"/>
      <c r="E14" s="436" t="n"/>
      <c r="F14" s="306" t="n"/>
      <c r="G14" s="307" t="n"/>
      <c r="H14" s="717" t="n"/>
      <c r="I14" s="718" t="n"/>
      <c r="J14" s="717" t="n"/>
      <c r="K14" s="717" t="n"/>
      <c r="L14" s="717" t="n"/>
      <c r="M14" s="719" t="n"/>
      <c r="N14" s="437" t="n"/>
      <c r="O14" s="720" t="n"/>
      <c r="P14" s="361">
        <f>IFERROR(EOMONTH(E14,G14-MONTH(1)),"")</f>
        <v/>
      </c>
      <c r="Q14" s="721">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2">
        <f>-(IFERROR(IF(J14=0,(O14*(1-F14))/G14*Q14,(J14*(1-F14))/G14*Q14),0))</f>
        <v/>
      </c>
      <c r="S14" s="722">
        <f>R14-H14</f>
        <v/>
      </c>
      <c r="T14" s="157">
        <f>IF(ABS(S14)&gt;'L1.00 Lead sheet'!$C$6,"Note","w")</f>
        <v/>
      </c>
      <c r="V14" s="52" t="n"/>
      <c r="W14" s="10" t="n"/>
    </row>
    <row r="15" ht="13.2" customFormat="1" customHeight="1" s="19">
      <c r="A15" s="18" t="n"/>
      <c r="B15" s="308" t="n"/>
      <c r="C15" s="304" t="n"/>
      <c r="D15" s="305" t="n"/>
      <c r="E15" s="436" t="n"/>
      <c r="F15" s="306" t="n"/>
      <c r="G15" s="307" t="n"/>
      <c r="H15" s="717" t="n"/>
      <c r="I15" s="718" t="n"/>
      <c r="J15" s="717" t="n"/>
      <c r="K15" s="717" t="n"/>
      <c r="L15" s="717" t="n"/>
      <c r="M15" s="719" t="n"/>
      <c r="N15" s="437" t="n"/>
      <c r="O15" s="720" t="n"/>
      <c r="P15" s="361">
        <f>IFERROR(EOMONTH(E15,G15-MONTH(1)),"")</f>
        <v/>
      </c>
      <c r="Q15" s="721">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2">
        <f>-(IFERROR(IF(J15=0,(O15*(1-F15))/G15*Q15,(J15*(1-F15))/G15*Q15),0))</f>
        <v/>
      </c>
      <c r="S15" s="722">
        <f>R15-H15</f>
        <v/>
      </c>
      <c r="T15" s="157">
        <f>IF(ABS(S15)&gt;'L1.00 Lead sheet'!$C$6,"Note","w")</f>
        <v/>
      </c>
      <c r="V15" s="52" t="n"/>
      <c r="W15" s="10" t="n"/>
    </row>
    <row r="16" ht="13.2" customFormat="1" customHeight="1" s="19">
      <c r="A16" s="18" t="n"/>
      <c r="B16" s="308" t="n"/>
      <c r="C16" s="307" t="n"/>
      <c r="D16" s="309" t="n"/>
      <c r="E16" s="436" t="n"/>
      <c r="F16" s="306" t="n"/>
      <c r="G16" s="307" t="n"/>
      <c r="H16" s="717" t="n"/>
      <c r="I16" s="718" t="n"/>
      <c r="J16" s="717" t="n"/>
      <c r="K16" s="717" t="n"/>
      <c r="L16" s="717" t="n"/>
      <c r="M16" s="719" t="n"/>
      <c r="N16" s="437" t="n"/>
      <c r="O16" s="720" t="n"/>
      <c r="P16" s="361">
        <f>IFERROR(EOMONTH(E16,G16-MONTH(1)),"")</f>
        <v/>
      </c>
      <c r="Q16" s="721">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2">
        <f>-(IFERROR(IF(J16=0,(O16*(1-F16))/G16*Q16,(J16*(1-F16))/G16*Q16),0))</f>
        <v/>
      </c>
      <c r="S16" s="722">
        <f>R16-H16</f>
        <v/>
      </c>
      <c r="T16" s="157">
        <f>IF(ABS(S16)&gt;'L1.00 Lead sheet'!$C$6,"Note","w")</f>
        <v/>
      </c>
      <c r="V16" s="52" t="n"/>
      <c r="W16" s="10" t="n"/>
    </row>
    <row r="17" ht="13.2" customFormat="1" customHeight="1" s="19">
      <c r="A17" s="18" t="n"/>
      <c r="B17" s="308" t="n"/>
      <c r="C17" s="307" t="n"/>
      <c r="D17" s="309" t="n"/>
      <c r="E17" s="436" t="n"/>
      <c r="F17" s="306" t="n"/>
      <c r="G17" s="307" t="n"/>
      <c r="H17" s="717" t="n"/>
      <c r="I17" s="718" t="n"/>
      <c r="J17" s="717" t="n"/>
      <c r="K17" s="717" t="n"/>
      <c r="L17" s="717" t="n"/>
      <c r="M17" s="719" t="n"/>
      <c r="N17" s="437" t="n"/>
      <c r="O17" s="720" t="n"/>
      <c r="P17" s="361">
        <f>IFERROR(EOMONTH(E17,G17-MONTH(1)),"")</f>
        <v/>
      </c>
      <c r="Q17" s="721">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2">
        <f>-(IFERROR(IF(J17=0,(O17*(1-F17))/G17*Q17,(J17*(1-F17))/G17*Q17),0))</f>
        <v/>
      </c>
      <c r="S17" s="722">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3">
        <f>SUM(H12:H17)</f>
        <v/>
      </c>
      <c r="I18" s="723">
        <f>SUM(I12:I17)</f>
        <v/>
      </c>
      <c r="J18" s="723">
        <f>SUM(J12:J17)</f>
        <v/>
      </c>
      <c r="K18" s="723">
        <f>SUM(K12:K17)</f>
        <v/>
      </c>
      <c r="L18" s="723">
        <f>SUM(L12:L17)</f>
        <v/>
      </c>
      <c r="M18" s="724">
        <f>SUM(M12:M17)</f>
        <v/>
      </c>
      <c r="N18" s="186" t="n"/>
      <c r="O18" s="724">
        <f>SUM(O12:O17)</f>
        <v/>
      </c>
      <c r="P18" s="126" t="n"/>
      <c r="Q18" s="126" t="n"/>
      <c r="R18" s="724">
        <f>SUM(R12:R17)</f>
        <v/>
      </c>
      <c r="S18" s="724">
        <f>SUM(S12:S17)</f>
        <v/>
      </c>
      <c r="T18" s="438">
        <f>IF(ABS(S18)&gt;'L1.00 Lead sheet'!$C$6,"Note","w")</f>
        <v/>
      </c>
      <c r="U18" s="10" t="n"/>
      <c r="V18" s="52" t="n"/>
      <c r="W18" s="10" t="n"/>
      <c r="X18" s="10" t="n"/>
      <c r="Y18" s="10" t="n"/>
    </row>
    <row r="19" ht="13.2" customFormat="1" customHeight="1" s="10">
      <c r="A19" s="9" t="n"/>
      <c r="B19" s="40" t="n"/>
      <c r="C19" s="41" t="n"/>
      <c r="D19" s="41" t="n"/>
      <c r="E19" s="40" t="n"/>
      <c r="F19" s="725"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5"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59" t="inlineStr">
        <is>
          <t>资产类别</t>
        </is>
      </c>
      <c r="C23" s="448">
        <f>YEAR('L1.00 Lead sheet'!C3)&amp;"年度"</f>
        <v/>
      </c>
      <c r="D23" s="448">
        <f>YEAR('L1.00 Lead sheet'!C3)-1&amp;"年度"</f>
        <v/>
      </c>
      <c r="E23" s="726" t="inlineStr">
        <is>
          <t>差异</t>
        </is>
      </c>
      <c r="F23" s="726" t="inlineStr">
        <is>
          <t>差异说明</t>
        </is>
      </c>
      <c r="G23" s="449" t="inlineStr">
        <is>
          <t>使用寿命的</t>
        </is>
      </c>
      <c r="H23" s="28" t="n"/>
      <c r="I23" s="28" t="n"/>
      <c r="J23" s="28" t="n"/>
      <c r="K23" s="28" t="n"/>
      <c r="L23" s="28" t="n"/>
      <c r="M23" s="28" t="n"/>
      <c r="V23" s="52" t="n"/>
    </row>
    <row r="24" ht="31.2" customFormat="1" customHeight="1" s="10">
      <c r="A24" s="9" t="n"/>
      <c r="B24" s="658" t="n"/>
      <c r="C24" s="177" t="inlineStr">
        <is>
          <t>使用寿命</t>
        </is>
      </c>
      <c r="D24" s="177" t="inlineStr">
        <is>
          <t>使用寿命</t>
        </is>
      </c>
      <c r="E24" s="658" t="n"/>
      <c r="F24" s="658" t="n"/>
      <c r="G24" s="450" t="inlineStr">
        <is>
          <t>商业合理性分析</t>
        </is>
      </c>
      <c r="H24" s="28" t="n"/>
      <c r="I24" s="28" t="n"/>
      <c r="J24" s="28" t="n"/>
      <c r="K24" s="28" t="n"/>
      <c r="L24" s="28" t="n"/>
      <c r="M24" s="28" t="n"/>
      <c r="V24" s="52" t="n"/>
    </row>
    <row r="25" ht="13.2" customFormat="1" customHeight="1" s="10">
      <c r="A25" s="9" t="n"/>
      <c r="B25" s="224">
        <f>'L1.01.1 Agree SL to GL'!F10</f>
        <v/>
      </c>
      <c r="C25" s="727" t="n"/>
      <c r="D25" s="727" t="n"/>
      <c r="E25" s="728">
        <f>C25=D25</f>
        <v/>
      </c>
      <c r="F25" s="312" t="n"/>
      <c r="G25" s="313" t="n"/>
      <c r="H25" s="28" t="n"/>
      <c r="I25" s="28" t="n"/>
      <c r="J25" s="28" t="n"/>
      <c r="K25" s="28" t="n"/>
      <c r="L25" s="28" t="n"/>
      <c r="M25" s="28" t="n"/>
      <c r="V25" s="52" t="n"/>
    </row>
    <row r="26" ht="13.2" customFormat="1" customHeight="1" s="10">
      <c r="A26" s="9" t="n"/>
      <c r="B26" s="224">
        <f>'L1.01.1 Agree SL to GL'!I10</f>
        <v/>
      </c>
      <c r="C26" s="727" t="n"/>
      <c r="D26" s="727" t="n"/>
      <c r="E26" s="728">
        <f>C26=D26</f>
        <v/>
      </c>
      <c r="F26" s="312" t="n"/>
      <c r="G26" s="313" t="n"/>
      <c r="H26" s="28" t="n"/>
      <c r="I26" s="28" t="n"/>
      <c r="J26" s="28" t="n"/>
      <c r="K26" s="28" t="n"/>
      <c r="L26" s="28" t="n"/>
      <c r="M26" s="28" t="n"/>
      <c r="V26" s="52" t="n"/>
    </row>
    <row r="27" ht="13.2" customFormat="1" customHeight="1" s="10">
      <c r="A27" s="9" t="n"/>
      <c r="B27" s="224">
        <f>'L1.01.1 Agree SL to GL'!L10</f>
        <v/>
      </c>
      <c r="C27" s="727" t="n"/>
      <c r="D27" s="727" t="n"/>
      <c r="E27" s="728">
        <f>C27=D27</f>
        <v/>
      </c>
      <c r="F27" s="312" t="n"/>
      <c r="G27" s="313" t="n"/>
      <c r="H27" s="28" t="n"/>
      <c r="I27" s="28" t="n"/>
      <c r="J27" s="28" t="n"/>
      <c r="K27" s="28" t="n"/>
      <c r="L27" s="28" t="n"/>
      <c r="M27" s="28" t="n"/>
      <c r="V27" s="52" t="n"/>
    </row>
    <row r="28" ht="13.2" customFormat="1" customHeight="1" s="10">
      <c r="A28" s="9" t="n"/>
      <c r="B28" s="224">
        <f>'L1.01.1 Agree SL to GL'!O10</f>
        <v/>
      </c>
      <c r="C28" s="727" t="n"/>
      <c r="D28" s="727" t="n"/>
      <c r="E28" s="728">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28">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2026-05-20T04:05:08Z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
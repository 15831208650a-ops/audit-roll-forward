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5" firstSheet="1" activeTab="1" autoFilterDateGrouping="1"/>
  </bookViews>
  <sheets>
    <sheet name="SkywindSettingSheet" sheetId="1" state="veryHidden" r:id="rId1"/>
    <sheet name="汇总" sheetId="2" state="visible" r:id="rId2"/>
    <sheet name="L2.00 Lead" sheetId="3" state="visible" r:id="rId3"/>
    <sheet name="L2.01.1 BKD" sheetId="4" state="visible" r:id="rId4"/>
    <sheet name="L2.02.1存在性测试" sheetId="5" state="visible" r:id="rId5"/>
    <sheet name="L2.02.1a 选样输出" sheetId="6" state="visible"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Key1" localSheetId="1" hidden="1">#REF!</definedName>
    <definedName name="_Sort" localSheetId="1" hidden="1">#REF!</definedName>
    <definedName name="adas" localSheetId="1" hidden="1">{"M1Print",#N/A,TRUE,"M1";"M2Print",#N/A,TRUE,"M2";"M1sPrint",#N/A,TRUE,"M1s";"M2aPrint",#N/A,TRUE,"M2a";"M4Print",#N/A,TRUE,"M4";"M5Print",#N/A,TRUE,"M5";"M6Print",#N/A,TRUE,"M6";"M6_1Print",#N/A,TRUE,"M6_1";"M6_2Print",#N/A,TRUE,"M6_2";"M7_1Print",#N/A,TRUE,"M7_1";"M7_2Print",#N/A,TRUE,"M7_2"}</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1" localSheetId="1" hidden="1">#REF!</definedName>
    <definedName name="XREF_COLUMN_2" localSheetId="1" hidden="1">#REF!</definedName>
    <definedName name="XREF_COLUMN_3" localSheetId="1" hidden="1">#REF!</definedName>
    <definedName name="XREF_COLUMN_4" localSheetId="1" hidden="1">#REF!</definedName>
    <definedName name="XREF_COLUMN_5" localSheetId="1" hidden="1">#REF!</definedName>
    <definedName name="XRefCopy1" localSheetId="1" hidden="1">#REF!</definedName>
    <definedName name="XRefCopy11" localSheetId="1" hidden="1">#REF!</definedName>
    <definedName name="XRefCopy13Row" localSheetId="1" hidden="1">#REF!</definedName>
    <definedName name="XRefCopy14" localSheetId="1" hidden="1">#REF!</definedName>
    <definedName name="XRefCopy16Row" localSheetId="1" hidden="1">#REF!</definedName>
    <definedName name="XRefPaste2" localSheetId="1" hidden="1">#REF!</definedName>
    <definedName name="XRefPaste2Row" localSheetId="1" hidden="1">#REF!</definedName>
    <definedName name="XRefPaste3" localSheetId="1" hidden="1">#REF!</definedName>
    <definedName name="XRefPaste6Row" localSheetId="1" hidden="1">#REF!</definedName>
    <definedName name="XRefPaste7" localSheetId="1" hidden="1">#REF!</definedName>
    <definedName name="xzxsfd" localSheetId="1" hidden="1">{"M1Print",#N/A,FALSE,"M1"}</definedName>
    <definedName name="Z_E738B51C_56AE_4F9F_8D8A_36AD6137B90D_.wvu.PrintTitles" localSheetId="1" hidden="1">#REF!,#REF!</definedName>
    <definedName name="Z_E738B51C_56AE_4F9F_8D8A_36AD6137B90D_.wvu.Rows" localSheetId="1" hidden="1">#REF!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123Graph_A" localSheetId="2" hidden="1">#REF!</definedName>
    <definedName name="__123Graph_AGraph1" localSheetId="2" hidden="1">#REF!</definedName>
    <definedName name="__123Graph_B" localSheetId="2" hidden="1">#REF!</definedName>
    <definedName name="__123Graph_BGraph1" localSheetId="2" hidden="1">#REF!</definedName>
    <definedName name="__123Graph_C" localSheetId="2" hidden="1">#REF!</definedName>
    <definedName name="__123Graph_CGraph1" localSheetId="2" hidden="1">#REF!</definedName>
    <definedName name="__123Graph_D" localSheetId="2" hidden="1">#REF!</definedName>
    <definedName name="__123Graph_DGraph1" localSheetId="2" hidden="1">#REF!</definedName>
    <definedName name="__123Graph_E" localSheetId="2" hidden="1">#REF!</definedName>
    <definedName name="__123Graph_EGraph1" localSheetId="2" hidden="1">#REF!</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Row"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Copy3Row"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Row" localSheetId="2" hidden="1">#REF!</definedName>
    <definedName name="XRefCopy7Row" localSheetId="2" hidden="1">#REF!</definedName>
    <definedName name="XRefCopy8Row" localSheetId="2" hidden="1">#REF!</definedName>
    <definedName name="XRefCopy9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1" localSheetId="3" hidden="1">#REF!</definedName>
    <definedName name="XREF_COLUMN_2" localSheetId="3" hidden="1">#REF!</definedName>
    <definedName name="XREF_COLUMN_3" localSheetId="3" hidden="1">#REF!</definedName>
    <definedName name="XREF_COLUMN_4" localSheetId="3" hidden="1">#REF!</definedName>
    <definedName name="XREF_COLUMN_5" localSheetId="3" hidden="1">#REF!</definedName>
    <definedName name="XRefCopy1" localSheetId="3" hidden="1">#REF!</definedName>
    <definedName name="XRefCopy11" localSheetId="3" hidden="1">#REF!</definedName>
    <definedName name="XRefCopy13Row" localSheetId="3" hidden="1">#REF!</definedName>
    <definedName name="XRefCopy14" localSheetId="3" hidden="1">#REF!</definedName>
    <definedName name="XRefCopy16Row" localSheetId="3" hidden="1">#REF!</definedName>
    <definedName name="XRefPaste2"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s>
  <calcPr calcId="191028" fullCalcOnLoad="1"/>
</workbook>
</file>

<file path=xl/styles.xml><?xml version="1.0" encoding="utf-8"?>
<styleSheet xmlns="http://schemas.openxmlformats.org/spreadsheetml/2006/main">
  <numFmts count="43">
    <numFmt numFmtId="164" formatCode="#,##0.00_ ;[Red]\-#,##0.00\ "/>
    <numFmt numFmtId="165" formatCode="_(&quot;¥&quot;* #,##0.00_);_(&quot;¥&quot;* \(#,##0.00\);_(&quot;¥&quot;* &quot;-&quot;??_);_(@_)"/>
    <numFmt numFmtId="166" formatCode="_([$€-2]* #,##0.00000_);_([$€-2]* \(#,##0.00000\);_([$€-2]* &quot;-&quot;??_)"/>
    <numFmt numFmtId="167" formatCode="_(* #,##0_);_(* \(#,##0\);_(* &quot;-&quot;??_);_(@_)"/>
    <numFmt numFmtId="168" formatCode="#,##0;\(#,##0\);\-#,##0"/>
    <numFmt numFmtId="169" formatCode="mmmm\ d\,\ yyyy"/>
    <numFmt numFmtId="170" formatCode="0.0%"/>
    <numFmt numFmtId="171" formatCode="_(&quot;$&quot;* #,##0.00_);_(&quot;$&quot;* \(#,##0.00\);_(&quot;$&quot;* &quot;-&quot;??_);_(@_)"/>
    <numFmt numFmtId="172" formatCode="_-* #,##0.0000000000_-;\-* #,##0.0000000000_-;_-* &quot;-&quot;??_-;_-@_-"/>
    <numFmt numFmtId="173" formatCode="0.0%;\(0.0%\)"/>
    <numFmt numFmtId="174" formatCode="[$-804]aaaa;@"/>
    <numFmt numFmtId="175" formatCode="#,##0.000000"/>
    <numFmt numFmtId="176" formatCode="_-* #,##0_-;\-* #,##0_-;_-* &quot;-&quot;_-;_-@_-"/>
    <numFmt numFmtId="177" formatCode="&quot;￥&quot;#,##0;\-&quot;￥&quot;#,##0"/>
    <numFmt numFmtId="178" formatCode="\¥#,##0;\-\¥#,##0"/>
    <numFmt numFmtId="179" formatCode="#,##0;\(#,##0\)"/>
    <numFmt numFmtId="180" formatCode="&quot;$&quot;#,##0;[Red]&quot;$&quot;&quot;$&quot;&quot;$&quot;&quot;$&quot;&quot;$&quot;&quot;$&quot;&quot;$&quot;\-#,##0"/>
    <numFmt numFmtId="181" formatCode="#,##0;\-#,##0;&quot;-&quot;"/>
    <numFmt numFmtId="182" formatCode="#,##0.0_);\(#,##0.0\)"/>
    <numFmt numFmtId="183" formatCode="_(* #,##0.0000_);_(* \(#,##0.0000\);_(* &quot;-&quot;??_);_(@_)"/>
    <numFmt numFmtId="184" formatCode="#,##0\ &quot;FB&quot;;\-#,##0\ &quot;FB&quot;"/>
    <numFmt numFmtId="185" formatCode="&quot;$&quot;#,##0_);\(&quot;$&quot;#,##0\)"/>
    <numFmt numFmtId="186" formatCode="&quot;$&quot;#,##0.00_);\(&quot;$&quot;#,##0.00\)"/>
    <numFmt numFmtId="187" formatCode="0.00000&quot;  &quot;"/>
    <numFmt numFmtId="188" formatCode="_-* #,##0.00_-;\-* #,##0.00_-;_-* &quot;-&quot;??_-;_-@_-"/>
    <numFmt numFmtId="189" formatCode="&quot;\&quot;#,##0;[Red]&quot;\&quot;\-#,##0"/>
    <numFmt numFmtId="190" formatCode="_(\¥* #,##0.00_);_(\¥* \(#,##0.00\);_(\¥* &quot;-&quot;??_);_(@_)"/>
    <numFmt numFmtId="191" formatCode="\$#,##0.00;\(\$#,##0.00\)"/>
    <numFmt numFmtId="192" formatCode="\$#,##0;\(\$#,##0\)"/>
    <numFmt numFmtId="193" formatCode="_ [$€-2]* #,##0.00_ ;_ [$€-2]* \-#,##0.00_ ;_ [$€-2]* &quot;-&quot;??_ "/>
    <numFmt numFmtId="194" formatCode="_([$€-2]* #,##0.00_);_([$€-2]* \(#,##0.00\);_([$€-2]* &quot;-&quot;??_)"/>
    <numFmt numFmtId="195" formatCode="_-* #,##0.00\ _B_E_F_-;\-* #,##0.00\ _B_E_F_-;_-* &quot;-&quot;??\ _B_E_F_-;_-@_-"/>
    <numFmt numFmtId="196" formatCode="_-&quot;$&quot;* #,##0_-;\-&quot;$&quot;* #,##0_-;_-&quot;$&quot;* &quot;-&quot;_-;_-@_-"/>
    <numFmt numFmtId="197" formatCode="&quot;\&quot;#,##0;[Red]&quot;\&quot;&quot;\&quot;\-#,##0"/>
    <numFmt numFmtId="198" formatCode="#,##0.00\ &quot;FB&quot;;\-#,##0.00\ &quot;FB&quot;"/>
    <numFmt numFmtId="199" formatCode="#,##0.00\ &quot;FB&quot;;[Red]\-#,##0.00\ &quot;FB&quot;"/>
    <numFmt numFmtId="200" formatCode="_-* #,##0\ _k_r_-;\-* #,##0\ _k_r_-;_-* &quot;-&quot;\ _k_r_-;_-@_-"/>
    <numFmt numFmtId="201" formatCode="_-* #,##0.00\ _k_r_-;\-* #,##0.00\ _k_r_-;_-* &quot;-&quot;??\ _k_r_-;_-@_-"/>
    <numFmt numFmtId="202" formatCode="#,##0.00_);#,##0.00\)"/>
    <numFmt numFmtId="203" formatCode="_-&quot;$&quot;* #,##0.00_-;\-&quot;$&quot;* #,##0.00_-;_-&quot;$&quot;* &quot;-&quot;??_-;_-@_-"/>
    <numFmt numFmtId="204" formatCode="&quot;\&quot;#,##0.00;[Red]&quot;\&quot;&quot;\&quot;&quot;\&quot;&quot;\&quot;&quot;\&quot;&quot;\&quot;\-#,##0.00"/>
    <numFmt numFmtId="205" formatCode="&quot;\&quot;#,##0.00;[Red]&quot;\&quot;\-#,##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56">
    <font>
      <name val="宋体"/>
      <charset val="134"/>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Arial"/>
      <family val="2"/>
      <color theme="1"/>
      <sz val="10"/>
    </font>
    <font>
      <name val="Arial"/>
      <family val="2"/>
      <b val="1"/>
      <color rgb="FFFF0000"/>
      <sz val="10"/>
    </font>
    <font>
      <name val="Arial"/>
      <family val="2"/>
      <color rgb="FF000000"/>
      <sz val="10"/>
    </font>
    <font>
      <name val="Arial"/>
      <family val="2"/>
      <b val="1"/>
      <color theme="1"/>
      <sz val="10"/>
    </font>
    <font>
      <name val="Arial"/>
      <family val="2"/>
      <color rgb="FFFF0000"/>
      <sz val="10"/>
      <u val="single"/>
    </font>
    <font>
      <name val="Arial"/>
      <family val="2"/>
      <color theme="1"/>
      <sz val="11"/>
    </font>
    <font>
      <name val="Arial"/>
      <family val="2"/>
      <sz val="10"/>
    </font>
    <font>
      <name val="Arial"/>
      <family val="2"/>
      <b val="1"/>
      <color indexed="10"/>
      <sz val="10"/>
      <u val="single"/>
    </font>
    <font>
      <name val="Arial"/>
      <family val="2"/>
      <color rgb="FFFF0000"/>
      <sz val="10"/>
    </font>
    <font>
      <name val="Arial"/>
      <family val="2"/>
      <b val="1"/>
      <color indexed="10"/>
      <sz val="10"/>
    </font>
    <font>
      <name val="Arial"/>
      <family val="2"/>
      <b val="1"/>
      <sz val="10"/>
    </font>
    <font>
      <name val="Arial"/>
      <family val="2"/>
      <color theme="10"/>
      <sz val="10"/>
      <u val="single"/>
    </font>
    <font>
      <name val="Arial"/>
      <family val="2"/>
      <color indexed="8"/>
      <sz val="10"/>
    </font>
    <font>
      <name val="Arial"/>
      <family val="2"/>
      <color indexed="10"/>
      <sz val="10"/>
    </font>
    <font>
      <name val="Arial"/>
      <family val="2"/>
      <b val="1"/>
      <color rgb="FF0000FF"/>
      <sz val="10"/>
    </font>
    <font>
      <name val="Arial"/>
      <family val="2"/>
      <b val="1"/>
      <color indexed="8"/>
      <sz val="10"/>
    </font>
    <font>
      <name val="Arial"/>
      <family val="2"/>
      <color theme="0"/>
      <sz val="10"/>
    </font>
    <font>
      <name val="Arial"/>
      <family val="2"/>
      <b val="1"/>
      <color rgb="FF000000"/>
      <sz val="10"/>
    </font>
    <font>
      <name val="Arial"/>
      <family val="2"/>
      <color rgb="FF0563C1"/>
      <sz val="10"/>
      <u val="single"/>
    </font>
    <font>
      <name val="宋体"/>
      <charset val="134"/>
      <family val="3"/>
      <color theme="0"/>
      <sz val="11"/>
      <scheme val="minor"/>
    </font>
    <font>
      <name val="宋体"/>
      <charset val="134"/>
      <family val="3"/>
      <color indexed="8"/>
      <sz val="12"/>
    </font>
    <font>
      <name val="宋体"/>
      <charset val="134"/>
      <family val="3"/>
      <sz val="10"/>
    </font>
    <font>
      <name val="Arial"/>
      <family val="2"/>
      <b val="1"/>
      <color indexed="39"/>
      <sz val="10"/>
    </font>
    <font>
      <name val="宋体"/>
      <charset val="134"/>
      <family val="3"/>
      <color indexed="9"/>
      <sz val="12"/>
    </font>
    <font>
      <name val="Arial"/>
      <family val="2"/>
      <sz val="8"/>
    </font>
    <font>
      <name val="微软雅黑"/>
      <family val="2"/>
      <color theme="1"/>
      <sz val="10"/>
    </font>
    <font>
      <name val="Calibri"/>
      <family val="2"/>
      <color rgb="FF000000"/>
      <sz val="11"/>
    </font>
    <font>
      <name val="宋体"/>
      <charset val="134"/>
      <family val="3"/>
      <sz val="12"/>
    </font>
    <font>
      <name val="Times New Roman"/>
      <family val="1"/>
      <sz val="9"/>
    </font>
    <font>
      <name val="Helv"/>
      <family val="2"/>
      <sz val="10"/>
    </font>
    <font>
      <name val="宋体"/>
      <charset val="134"/>
      <family val="3"/>
      <color indexed="20"/>
      <sz val="11"/>
    </font>
    <font>
      <name val="Arial"/>
      <family val="2"/>
      <color indexed="39"/>
      <sz val="10"/>
    </font>
    <font>
      <name val="宋体"/>
      <charset val="134"/>
      <family val="3"/>
      <color indexed="9"/>
      <sz val="11"/>
    </font>
    <font>
      <name val="宋体"/>
      <charset val="134"/>
      <family val="3"/>
      <color indexed="26"/>
      <sz val="11"/>
    </font>
    <font>
      <name val="Times New Roman"/>
      <family val="1"/>
      <color theme="1"/>
      <sz val="10"/>
    </font>
    <font>
      <name val="Tms Rmn"/>
      <family val="1"/>
      <sz val="13"/>
    </font>
    <font>
      <name val="宋体"/>
      <charset val="134"/>
      <family val="3"/>
      <color theme="10"/>
      <sz val="11"/>
      <u val="single"/>
      <scheme val="minor"/>
    </font>
    <font>
      <name val="宋体"/>
      <charset val="134"/>
      <family val="3"/>
      <color indexed="8"/>
      <sz val="11"/>
    </font>
    <font>
      <name val="等线"/>
      <charset val="134"/>
      <family val="3"/>
      <color theme="10"/>
      <sz val="10"/>
      <u val="single"/>
    </font>
    <font>
      <name val="Times New Roman"/>
      <family val="1"/>
      <sz val="12"/>
    </font>
    <font>
      <name val="ＭＳ Ｐゴシック"/>
      <family val="2"/>
      <sz val="11"/>
    </font>
    <font>
      <name val="Times New Roman"/>
      <family val="1"/>
      <sz val="10"/>
    </font>
    <font>
      <name val="宋体"/>
      <charset val="134"/>
      <family val="3"/>
      <color indexed="17"/>
      <sz val="11"/>
    </font>
    <font>
      <name val="宋体"/>
      <charset val="134"/>
      <family val="3"/>
      <b val="1"/>
      <color theme="0"/>
      <sz val="11"/>
      <scheme val="minor"/>
    </font>
    <font>
      <name val="宋体"/>
      <charset val="134"/>
      <family val="3"/>
      <color rgb="FF9C0006"/>
      <sz val="11"/>
      <scheme val="minor"/>
    </font>
    <font>
      <name val="Arial"/>
      <family val="2"/>
      <b val="1"/>
      <sz val="12"/>
    </font>
    <font>
      <name val="Helv"/>
      <family val="2"/>
      <b val="1"/>
      <sz val="10"/>
    </font>
    <font>
      <name val="宋体"/>
      <charset val="134"/>
      <family val="3"/>
      <color indexed="12"/>
      <sz val="10"/>
      <u val="single"/>
    </font>
    <font>
      <name val="Arial"/>
      <family val="2"/>
      <sz val="12"/>
    </font>
    <font>
      <name val="宋体"/>
      <charset val="134"/>
      <family val="3"/>
      <color theme="1"/>
      <sz val="11"/>
    </font>
    <font>
      <name val="宋体"/>
      <charset val="134"/>
      <family val="3"/>
      <b val="1"/>
      <color indexed="62"/>
      <sz val="18"/>
    </font>
    <font>
      <name val="宋体"/>
      <charset val="134"/>
      <family val="3"/>
      <b val="1"/>
      <color theme="0"/>
      <sz val="11"/>
    </font>
    <font>
      <name val="Tms Rmn"/>
      <family val="1"/>
      <b val="1"/>
      <sz val="13"/>
    </font>
    <font>
      <name val="宋体"/>
      <charset val="134"/>
      <family val="3"/>
      <color indexed="21"/>
      <sz val="11"/>
    </font>
    <font>
      <name val="宋体"/>
      <charset val="134"/>
      <family val="3"/>
      <color indexed="38"/>
      <sz val="11"/>
    </font>
    <font>
      <name val="宋体"/>
      <charset val="134"/>
      <family val="3"/>
      <color indexed="12"/>
      <sz val="12"/>
      <u val="single"/>
    </font>
    <font>
      <name val="宋体"/>
      <charset val="134"/>
      <family val="3"/>
      <color theme="10"/>
      <sz val="11"/>
      <u val="single"/>
    </font>
    <font>
      <name val="宋体"/>
      <charset val="134"/>
      <family val="3"/>
      <b val="1"/>
      <color theme="1"/>
      <sz val="10"/>
    </font>
    <font>
      <name val="Tahoma"/>
      <family val="2"/>
      <sz val="10"/>
    </font>
    <font>
      <name val="Geneva"/>
      <family val="2"/>
      <sz val="10"/>
    </font>
    <font>
      <name val="宋体"/>
      <charset val="134"/>
      <family val="3"/>
      <color rgb="FF006100"/>
      <sz val="11"/>
      <scheme val="minor"/>
    </font>
    <font>
      <name val="官帕眉"/>
      <family val="2"/>
      <sz val="12"/>
    </font>
    <font>
      <name val="宋体"/>
      <charset val="134"/>
      <family val="3"/>
      <color theme="1"/>
      <sz val="11"/>
      <scheme val="minor"/>
    </font>
    <font>
      <name val="EYInterstate Light"/>
      <sz val="8"/>
    </font>
    <font>
      <name val="Calibri"/>
      <family val="2"/>
      <color indexed="8"/>
      <sz val="11"/>
    </font>
    <font>
      <name val="Helv"/>
      <family val="2"/>
      <b val="1"/>
      <sz val="12"/>
    </font>
    <font>
      <name val="宋体"/>
      <charset val="134"/>
      <family val="3"/>
      <b val="1"/>
      <color indexed="8"/>
      <sz val="12"/>
    </font>
    <font>
      <name val="Invensys Andale"/>
      <family val="2"/>
      <sz val="10"/>
    </font>
    <font>
      <name val="宋体"/>
      <charset val="134"/>
      <family val="3"/>
      <b val="1"/>
      <color rgb="FFFF0000"/>
      <sz val="11"/>
    </font>
    <font>
      <name val="宋体"/>
      <charset val="134"/>
      <family val="3"/>
      <color theme="1"/>
      <sz val="12"/>
    </font>
    <font>
      <name val="柧挬"/>
      <family val="2"/>
      <sz val="14"/>
    </font>
    <font>
      <name val="Times New Roman"/>
      <family val="1"/>
      <b val="1"/>
      <sz val="9"/>
    </font>
    <font>
      <name val="新細明體"/>
      <family val="1"/>
      <sz val="12"/>
    </font>
    <font>
      <name val="宋体"/>
      <charset val="134"/>
      <family val="3"/>
      <color rgb="FF006100"/>
      <sz val="11"/>
    </font>
    <font>
      <name val="Helv"/>
      <family val="2"/>
      <b val="1"/>
      <sz val="11"/>
    </font>
    <font>
      <name val="宋体"/>
      <charset val="134"/>
      <family val="3"/>
      <color rgb="FF9C5700"/>
      <sz val="11"/>
      <scheme val="minor"/>
    </font>
    <font>
      <name val="宋体"/>
      <charset val="134"/>
      <family val="3"/>
      <sz val="10"/>
    </font>
    <font>
      <name val="等线"/>
      <charset val="134"/>
      <family val="3"/>
      <color theme="1"/>
      <sz val="10"/>
    </font>
    <font>
      <name val="Arial"/>
      <family val="2"/>
      <strike val="1"/>
      <sz val="10"/>
    </font>
    <font>
      <name val="MS Sans Serif"/>
      <family val="2"/>
      <color indexed="8"/>
      <sz val="10"/>
    </font>
    <font>
      <name val="Century Schoolbook"/>
      <family val="1"/>
      <color indexed="16"/>
      <sz val="8"/>
    </font>
    <font>
      <name val="宋体"/>
      <charset val="134"/>
      <family val="3"/>
      <b val="1"/>
      <color indexed="35"/>
      <sz val="18"/>
    </font>
    <font>
      <name val="Arial"/>
      <family val="2"/>
      <b val="1"/>
      <color indexed="8"/>
      <sz val="12"/>
    </font>
    <font>
      <name val="Arial"/>
      <family val="2"/>
      <color indexed="48"/>
      <sz val="19"/>
    </font>
    <font>
      <name val="Times New Roman"/>
      <family val="1"/>
      <b val="1"/>
      <i val="1"/>
      <sz val="10"/>
    </font>
    <font>
      <name val="明朝"/>
      <charset val="255"/>
      <family val="1"/>
      <sz val="11"/>
    </font>
    <font>
      <name val="Arial Narrow"/>
      <family val="2"/>
      <sz val="10"/>
    </font>
    <font>
      <name val="Century Schoolbook"/>
      <family val="1"/>
      <sz val="8"/>
    </font>
    <font>
      <name val="宋体"/>
      <charset val="134"/>
      <family val="3"/>
      <color indexed="16"/>
      <sz val="12"/>
    </font>
    <font>
      <name val="宋体"/>
      <charset val="134"/>
      <family val="3"/>
      <sz val="10"/>
      <scheme val="minor"/>
    </font>
    <font>
      <name val="Calibri"/>
      <family val="2"/>
      <color rgb="FF000000"/>
      <sz val="12"/>
    </font>
    <font>
      <name val="宋体"/>
      <charset val="134"/>
      <family val="3"/>
      <color indexed="17"/>
      <sz val="12"/>
    </font>
    <font>
      <name val="奔覆眉"/>
      <family val="2"/>
      <sz val="10"/>
    </font>
    <font>
      <name val="柧挬"/>
      <family val="2"/>
      <sz val="12"/>
    </font>
    <font>
      <name val="바탕체"/>
      <family val="3"/>
      <sz val="12"/>
    </font>
    <font>
      <name val="宋体"/>
      <charset val="134"/>
      <family val="3"/>
      <color theme="1"/>
      <sz val="11"/>
      <scheme val="minor"/>
    </font>
    <font>
      <name val="宋体"/>
      <charset val="134"/>
      <family val="3"/>
      <sz val="9"/>
      <scheme val="minor"/>
    </font>
    <font>
      <name val="微软雅黑"/>
      <charset val="134"/>
      <family val="2"/>
      <sz val="10"/>
    </font>
    <font>
      <name val="微软雅黑"/>
      <charset val="134"/>
      <family val="2"/>
      <b val="1"/>
      <color rgb="FFFF0000"/>
      <sz val="10"/>
    </font>
    <font>
      <name val="微软雅黑"/>
      <charset val="134"/>
      <family val="2"/>
      <b val="1"/>
      <sz val="10"/>
    </font>
    <font>
      <name val="宋体"/>
      <charset val="134"/>
      <family val="2"/>
      <color theme="1"/>
      <sz val="11"/>
      <scheme val="minor"/>
    </font>
    <font>
      <name val="微软雅黑"/>
      <charset val="134"/>
      <family val="2"/>
      <color rgb="FFFF0000"/>
      <sz val="10"/>
      <u val="single"/>
    </font>
    <font>
      <name val="宋体"/>
      <family val="2"/>
      <color theme="10"/>
      <sz val="11"/>
      <u val="single"/>
      <scheme val="minor"/>
    </font>
    <font>
      <name val="微软雅黑"/>
      <charset val="134"/>
      <family val="2"/>
      <color theme="1"/>
      <sz val="10"/>
    </font>
    <font>
      <name val="微软雅黑"/>
      <charset val="134"/>
      <family val="2"/>
      <b val="1"/>
      <color rgb="FFFF0000"/>
      <sz val="10"/>
      <u val="single"/>
    </font>
    <font>
      <name val="微软雅黑"/>
      <charset val="134"/>
      <family val="2"/>
      <color rgb="FF000000"/>
      <sz val="10"/>
    </font>
    <font>
      <name val="微软雅黑"/>
      <charset val="134"/>
      <family val="2"/>
      <b val="1"/>
      <color rgb="FF000000"/>
      <sz val="10"/>
    </font>
    <font>
      <name val="微软雅黑"/>
      <charset val="134"/>
      <family val="2"/>
      <b val="1"/>
      <color rgb="FFFF0000"/>
      <sz val="14"/>
    </font>
    <font>
      <name val="宋体"/>
      <charset val="134"/>
      <family val="3"/>
      <sz val="9"/>
      <scheme val="minor"/>
    </font>
    <font>
      <name val="宋体"/>
      <charset val="134"/>
      <family val="3"/>
      <color theme="1"/>
      <sz val="10"/>
    </font>
    <font>
      <name val="宋体"/>
      <charset val="134"/>
      <family val="2"/>
      <color theme="10"/>
      <sz val="11"/>
      <u val="single"/>
      <scheme val="minor"/>
    </font>
    <font>
      <name val="Arial"/>
      <charset val="134"/>
      <family val="2"/>
      <color rgb="FF006100"/>
      <sz val="10"/>
    </font>
    <font>
      <name val="Arial"/>
      <family val="2"/>
      <color theme="4" tint="-0.249977111117893"/>
      <sz val="10"/>
    </font>
    <font>
      <name val="宋体"/>
      <family val="2"/>
      <color theme="1"/>
      <sz val="11"/>
      <scheme val="minor"/>
    </font>
    <font>
      <name val="Arial"/>
      <family val="2"/>
      <b val="1"/>
      <sz val="14"/>
      <u val="single"/>
    </font>
    <font>
      <name val="微软雅黑"/>
      <charset val="134"/>
      <family val="2"/>
      <b val="1"/>
      <sz val="14"/>
      <u val="single"/>
    </font>
    <font>
      <name val="Arial"/>
      <family val="2"/>
      <color theme="1"/>
      <sz val="14"/>
    </font>
    <font>
      <name val="Arial"/>
      <family val="2"/>
      <b val="1"/>
      <sz val="14"/>
    </font>
    <font>
      <name val="微软雅黑"/>
      <charset val="134"/>
      <family val="2"/>
      <color theme="1"/>
      <sz val="14"/>
    </font>
    <font>
      <name val="Arial"/>
      <family val="2"/>
      <sz val="14"/>
    </font>
    <font>
      <name val="Arial"/>
      <family val="2"/>
      <b val="1"/>
      <color theme="1"/>
      <sz val="14"/>
    </font>
    <font>
      <name val="微软雅黑"/>
      <charset val="134"/>
      <family val="2"/>
      <b val="1"/>
      <color theme="1"/>
      <sz val="14"/>
    </font>
    <font>
      <name val="微软雅黑"/>
      <charset val="134"/>
      <family val="2"/>
      <b val="1"/>
      <sz val="14"/>
    </font>
    <font>
      <name val="微软雅黑"/>
      <charset val="134"/>
      <family val="2"/>
      <sz val="14"/>
    </font>
    <font>
      <name val="Arial"/>
      <family val="2"/>
      <b val="1"/>
      <color rgb="FFFF0000"/>
      <sz val="14"/>
    </font>
    <font>
      <name val="Arial"/>
      <family val="2"/>
      <color rgb="FFFF0000"/>
      <sz val="14"/>
    </font>
    <font>
      <name val="Arial"/>
      <family val="2"/>
      <b val="1"/>
      <color theme="1"/>
      <sz val="14"/>
      <u val="single"/>
    </font>
    <font>
      <name val="Arial"/>
      <family val="2"/>
      <color indexed="8"/>
      <sz val="14"/>
    </font>
    <font>
      <name val="Arial"/>
      <family val="2"/>
      <color theme="4" tint="-0.249977111117893"/>
      <sz val="10"/>
      <u val="single"/>
    </font>
    <font>
      <name val="Arial"/>
      <family val="2"/>
      <b val="1"/>
      <color theme="0"/>
      <sz val="10"/>
    </font>
    <font>
      <name val="微软雅黑"/>
      <charset val="134"/>
      <family val="2"/>
      <i val="1"/>
      <color rgb="FFFF0000"/>
      <sz val="10"/>
    </font>
    <font>
      <name val="Arial"/>
      <family val="2"/>
      <b val="1"/>
      <strike val="1"/>
      <color rgb="FF0000FF"/>
      <sz val="10"/>
    </font>
    <font>
      <name val="宋体"/>
      <charset val="134"/>
      <family val="3"/>
      <color theme="1"/>
      <sz val="11"/>
      <scheme val="minor"/>
    </font>
    <font>
      <name val="微软雅黑"/>
      <charset val="134"/>
      <family val="2"/>
      <color rgb="FF0563C1"/>
      <sz val="10"/>
      <u val="single"/>
    </font>
    <font>
      <name val="微软雅黑"/>
      <charset val="134"/>
      <family val="2"/>
      <b val="1"/>
      <i val="1"/>
      <color rgb="FFFF0000"/>
      <sz val="10"/>
    </font>
    <font>
      <name val="宋体"/>
      <charset val="134"/>
      <family val="3"/>
      <color theme="1"/>
      <sz val="11"/>
      <scheme val="minor"/>
    </font>
    <font>
      <name val="宋体"/>
      <charset val="134"/>
      <family val="2"/>
      <sz val="9"/>
      <scheme val="minor"/>
    </font>
    <font>
      <name val="宋体"/>
      <charset val="128"/>
      <family val="3"/>
      <sz val="6"/>
      <scheme val="minor"/>
    </font>
    <font>
      <name val="Arial"/>
      <family val="2"/>
      <i val="1"/>
      <color rgb="FFFF0000"/>
      <sz val="10"/>
    </font>
    <font>
      <name val="Arial"/>
      <family val="2"/>
      <color rgb="FFFFFFFF"/>
      <sz val="10"/>
    </font>
    <font>
      <name val="微软雅黑"/>
      <charset val="134"/>
      <family val="2"/>
      <color theme="1"/>
      <sz val="11"/>
    </font>
    <font>
      <name val="微软雅黑"/>
      <charset val="134"/>
      <family val="2"/>
      <color indexed="8"/>
      <sz val="14"/>
    </font>
    <font>
      <name val="微软雅黑"/>
      <charset val="134"/>
      <family val="2"/>
      <b val="1"/>
      <color indexed="8"/>
      <sz val="10"/>
    </font>
    <font>
      <name val="Arial"/>
      <family val="2"/>
      <b val="1"/>
      <color rgb="FFFF0000"/>
      <sz val="10"/>
      <u val="single"/>
    </font>
    <font>
      <name val="Arial"/>
      <family val="2"/>
      <i val="1"/>
      <sz val="10"/>
    </font>
    <font>
      <name val="Arial"/>
      <family val="2"/>
      <color rgb="FF000000"/>
      <sz val="14"/>
    </font>
    <font>
      <name val="微软雅黑"/>
      <charset val="134"/>
      <family val="2"/>
      <b val="1"/>
      <i val="1"/>
      <color rgb="FFFF0000"/>
      <sz val="14"/>
    </font>
    <font>
      <name val="Arial"/>
      <family val="2"/>
      <color rgb="FFFFFFFF"/>
      <sz val="14"/>
    </font>
    <font>
      <name val="Arial"/>
      <family val="2"/>
      <b val="1"/>
      <color rgb="FFFFFFFF"/>
      <sz val="10"/>
    </font>
    <font>
      <name val="Arial"/>
      <family val="2"/>
      <b val="1"/>
      <i val="1"/>
      <color rgb="FFFF0000"/>
      <sz val="14"/>
    </font>
    <font>
      <name val="Arial"/>
      <charset val="134"/>
      <family val="2"/>
      <color rgb="FFFF0000"/>
      <sz val="10"/>
      <u val="single"/>
    </font>
  </fonts>
  <fills count="56">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indexed="65"/>
        <bgColor indexed="64"/>
      </patternFill>
    </fill>
    <fill>
      <patternFill patternType="solid">
        <fgColor rgb="FFFFFFFF"/>
        <bgColor indexed="64"/>
      </patternFill>
    </fill>
    <fill>
      <patternFill patternType="solid">
        <fgColor indexed="40"/>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45"/>
        <bgColor indexed="64"/>
      </patternFill>
    </fill>
    <fill>
      <patternFill patternType="solid">
        <fgColor indexed="52"/>
        <bgColor indexed="64"/>
      </patternFill>
    </fill>
    <fill>
      <patternFill patternType="solid">
        <fgColor indexed="54"/>
        <bgColor indexed="64"/>
      </patternFill>
    </fill>
    <fill>
      <patternFill patternType="solid">
        <fgColor indexed="41"/>
        <bgColor indexed="64"/>
      </patternFill>
    </fill>
    <fill>
      <patternFill patternType="solid">
        <fgColor indexed="57"/>
        <bgColor indexed="64"/>
      </patternFill>
    </fill>
    <fill>
      <patternFill patternType="solid">
        <fgColor indexed="51"/>
        <bgColor indexed="64"/>
      </patternFill>
    </fill>
    <fill>
      <patternFill patternType="solid">
        <fgColor theme="9" tint="0.7993102816858425"/>
        <bgColor indexed="64"/>
      </patternFill>
    </fill>
    <fill>
      <patternFill patternType="solid">
        <fgColor theme="4" tint="0.7993102816858425"/>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rgb="FFA5A5A5"/>
        <bgColor indexed="64"/>
      </patternFill>
    </fill>
    <fill>
      <patternFill patternType="solid">
        <fgColor indexed="27"/>
        <bgColor indexed="64"/>
      </patternFill>
    </fill>
    <fill>
      <patternFill patternType="solid">
        <fgColor indexed="13"/>
        <bgColor indexed="64"/>
      </patternFill>
    </fill>
    <fill>
      <patternFill patternType="lightUp">
        <fgColor indexed="48"/>
        <bgColor indexed="41"/>
      </patternFill>
    </fill>
    <fill>
      <patternFill patternType="solid">
        <fgColor indexed="53"/>
        <bgColor indexed="64"/>
      </patternFill>
    </fill>
    <fill>
      <patternFill patternType="solid">
        <fgColor rgb="FFFFC7CE"/>
        <bgColor indexed="64"/>
      </patternFill>
    </fill>
    <fill>
      <patternFill patternType="solid">
        <fgColor indexed="24"/>
        <bgColor indexed="64"/>
      </patternFill>
    </fill>
    <fill>
      <patternFill patternType="solid">
        <fgColor indexed="18"/>
        <bgColor indexed="64"/>
      </patternFill>
    </fill>
    <fill>
      <patternFill patternType="solid">
        <fgColor indexed="56"/>
        <bgColor indexed="64"/>
      </patternFill>
    </fill>
    <fill>
      <patternFill patternType="solid">
        <fgColor rgb="FF808080"/>
        <bgColor indexed="64"/>
      </patternFill>
    </fill>
    <fill>
      <patternFill patternType="solid">
        <fgColor rgb="FFC6EFCE"/>
        <bgColor indexed="64"/>
      </patternFill>
    </fill>
    <fill>
      <patternFill patternType="lightUp">
        <fgColor indexed="9"/>
        <bgColor indexed="55"/>
      </patternFill>
    </fill>
    <fill>
      <patternFill patternType="lightUp">
        <fgColor indexed="9"/>
        <bgColor indexed="29"/>
      </patternFill>
    </fill>
    <fill>
      <patternFill patternType="solid">
        <fgColor rgb="FFFFEB9C"/>
        <bgColor indexed="64"/>
      </patternFill>
    </fill>
    <fill>
      <patternFill patternType="solid">
        <fgColor indexed="15"/>
        <bgColor indexed="64"/>
      </patternFill>
    </fill>
    <fill>
      <patternFill patternType="lightUp">
        <fgColor indexed="9"/>
        <bgColor indexed="22"/>
      </patternFill>
    </fill>
    <fill>
      <patternFill patternType="solid">
        <fgColor rgb="FFC6EFCE"/>
      </patternFill>
    </fill>
    <fill>
      <patternFill patternType="solid">
        <fgColor theme="4" tint="0.7999816888943144"/>
        <bgColor indexed="65"/>
      </patternFill>
    </fill>
    <fill>
      <patternFill patternType="solid">
        <fgColor theme="4" tint="0.7999816888943144"/>
        <bgColor indexed="64"/>
      </patternFill>
    </fill>
    <fill>
      <patternFill patternType="solid">
        <fgColor theme="0" tint="-0.3499862666707358"/>
        <bgColor indexed="64"/>
      </patternFill>
    </fill>
    <fill>
      <patternFill patternType="solid">
        <fgColor rgb="FFDCE6F1"/>
        <bgColor rgb="FF000000"/>
      </patternFill>
    </fill>
    <fill>
      <patternFill patternType="solid">
        <fgColor rgb="FFFFFFFF"/>
        <bgColor rgb="FF000000"/>
      </patternFill>
    </fill>
    <fill>
      <patternFill patternType="solid">
        <fgColor rgb="FFA6A6A6"/>
        <bgColor rgb="FF000000"/>
      </patternFill>
    </fill>
    <fill>
      <patternFill patternType="solid">
        <fgColor rgb="FF333399"/>
        <bgColor rgb="FF000000"/>
      </patternFill>
    </fill>
    <fill>
      <patternFill patternType="solid">
        <fgColor theme="0" tint="-0.3499862666707358"/>
        <bgColor rgb="FF000000"/>
      </patternFill>
    </fill>
  </fills>
  <borders count="99">
    <border>
      <left/>
      <right/>
      <top/>
      <bottom/>
      <diagonal/>
    </border>
    <border>
      <left/>
      <right/>
      <top/>
      <bottom style="thin">
        <color auto="1"/>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style="thin">
        <color auto="1"/>
      </top>
      <bottom style="double">
        <color auto="1"/>
      </bottom>
      <diagonal/>
    </border>
    <border>
      <left style="thin">
        <color indexed="48"/>
      </left>
      <right style="thin">
        <color indexed="48"/>
      </right>
      <top style="thin">
        <color indexed="48"/>
      </top>
      <bottom style="thin">
        <color indexed="48"/>
      </bottom>
      <diagonal/>
    </border>
    <border>
      <left style="double">
        <color rgb="FF3F3F3F"/>
      </left>
      <right style="double">
        <color rgb="FF3F3F3F"/>
      </right>
      <top style="double">
        <color rgb="FF3F3F3F"/>
      </top>
      <bottom style="double">
        <color rgb="FF3F3F3F"/>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top style="medium">
        <color indexed="64"/>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auto="1"/>
      </left>
      <right/>
      <top style="medium">
        <color auto="1"/>
      </top>
      <bottom style="medium">
        <color rgb="FF000000"/>
      </bottom>
      <diagonal/>
    </border>
    <border>
      <left style="thin">
        <color auto="1"/>
      </left>
      <right style="thin">
        <color indexed="64"/>
      </right>
      <top style="medium">
        <color rgb="FF000000"/>
      </top>
      <bottom style="thin">
        <color auto="1"/>
      </bottom>
      <diagonal/>
    </border>
    <border>
      <left style="medium">
        <color indexed="64"/>
      </left>
      <right/>
      <top style="thin">
        <color indexed="64"/>
      </top>
      <bottom/>
      <diagonal/>
    </border>
    <border>
      <left style="thin">
        <color auto="1"/>
      </left>
      <right style="thin">
        <color auto="1"/>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style="medium">
        <color auto="1"/>
      </right>
      <top style="thin">
        <color indexed="64"/>
      </top>
      <bottom style="medium">
        <color auto="1"/>
      </bottom>
      <diagonal/>
    </border>
    <border>
      <left/>
      <right/>
      <top style="thin">
        <color auto="1"/>
      </top>
      <bottom style="double">
        <color auto="1"/>
      </bottom>
      <diagonal/>
    </border>
    <border>
      <left/>
      <right/>
      <top style="thin">
        <color indexed="64"/>
      </top>
      <bottom style="medium">
        <color auto="1"/>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medium">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right/>
      <top style="medium">
        <color indexed="64"/>
      </top>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style="thin">
        <color auto="1"/>
      </right>
      <top/>
      <bottom/>
      <diagonal/>
    </border>
    <border>
      <left style="medium">
        <color auto="1"/>
      </left>
      <right style="medium">
        <color auto="1"/>
      </right>
      <top/>
      <bottom/>
      <diagonal/>
    </border>
  </borders>
  <cellStyleXfs count="2439">
    <xf numFmtId="0" fontId="0" fillId="0" borderId="0"/>
    <xf numFmtId="0" fontId="140" fillId="0" borderId="0"/>
    <xf numFmtId="41" fontId="11" fillId="0" borderId="0"/>
    <xf numFmtId="10" fontId="140" fillId="0" borderId="20"/>
    <xf numFmtId="0" fontId="140" fillId="0" borderId="0"/>
    <xf numFmtId="0" fontId="17" fillId="7" borderId="23" applyAlignment="1">
      <alignment horizontal="right" vertical="center"/>
    </xf>
    <xf numFmtId="0" fontId="11" fillId="8" borderId="23" applyAlignment="1">
      <alignment horizontal="left" vertical="top" indent="1"/>
    </xf>
    <xf numFmtId="43" fontId="140" fillId="0" borderId="0"/>
    <xf numFmtId="43" fontId="140" fillId="0" borderId="0"/>
    <xf numFmtId="0" fontId="25" fillId="9" borderId="0"/>
    <xf numFmtId="0" fontId="140" fillId="0" borderId="0"/>
    <xf numFmtId="169" fontId="11" fillId="0" borderId="0"/>
    <xf numFmtId="41" fontId="140" fillId="0" borderId="0"/>
    <xf numFmtId="41" fontId="11" fillId="0" borderId="0"/>
    <xf numFmtId="0" fontId="81" fillId="0" borderId="0"/>
    <xf numFmtId="0" fontId="20" fillId="10" borderId="23" applyAlignment="1">
      <alignment horizontal="left" vertical="top" indent="1"/>
    </xf>
    <xf numFmtId="43" fontId="11" fillId="0" borderId="0"/>
    <xf numFmtId="43" fontId="140" fillId="0" borderId="0"/>
    <xf numFmtId="43" fontId="140" fillId="0" borderId="0"/>
    <xf numFmtId="0" fontId="81" fillId="0" borderId="0"/>
    <xf numFmtId="41" fontId="11" fillId="0" borderId="0"/>
    <xf numFmtId="43" fontId="140" fillId="0" borderId="0"/>
    <xf numFmtId="0" fontId="27" fillId="10" borderId="23" applyAlignment="1">
      <alignment vertical="center"/>
    </xf>
    <xf numFmtId="0" fontId="28" fillId="11" borderId="0"/>
    <xf numFmtId="41" fontId="140" fillId="0" borderId="0"/>
    <xf numFmtId="43" fontId="140" fillId="0" borderId="0"/>
    <xf numFmtId="0" fontId="20" fillId="10" borderId="23" applyAlignment="1">
      <alignment horizontal="left" vertical="top" indent="1"/>
    </xf>
    <xf numFmtId="0" fontId="29" fillId="12" borderId="20"/>
    <xf numFmtId="0" fontId="16" fillId="0" borderId="0"/>
    <xf numFmtId="0" fontId="140" fillId="0" borderId="0" applyAlignment="1">
      <alignment vertical="center"/>
    </xf>
    <xf numFmtId="0" fontId="30" fillId="0" borderId="20" applyAlignment="1">
      <alignment horizontal="right" vertical="center"/>
    </xf>
    <xf numFmtId="43" fontId="11" fillId="0" borderId="0"/>
    <xf numFmtId="43" fontId="31" fillId="0" borderId="0"/>
    <xf numFmtId="41" fontId="140" fillId="0" borderId="0"/>
    <xf numFmtId="0" fontId="32" fillId="0" borderId="0"/>
    <xf numFmtId="0" fontId="11" fillId="0" borderId="0"/>
    <xf numFmtId="170" fontId="140" fillId="0" borderId="0"/>
    <xf numFmtId="43" fontId="140" fillId="0" borderId="0"/>
    <xf numFmtId="43" fontId="140" fillId="0" borderId="0"/>
    <xf numFmtId="0" fontId="29" fillId="9" borderId="20"/>
    <xf numFmtId="171" fontId="11" fillId="0" borderId="0"/>
    <xf numFmtId="0" fontId="20" fillId="10" borderId="23" applyAlignment="1">
      <alignment vertical="center"/>
    </xf>
    <xf numFmtId="0" fontId="33" fillId="0" borderId="0" applyAlignment="1">
      <alignment horizontal="left"/>
    </xf>
    <xf numFmtId="0" fontId="27" fillId="10" borderId="23" applyAlignment="1">
      <alignment vertical="center"/>
    </xf>
    <xf numFmtId="0" fontId="11" fillId="0" borderId="20"/>
    <xf numFmtId="0" fontId="30" fillId="0" borderId="20" applyAlignment="1">
      <alignment horizontal="right" vertical="center"/>
    </xf>
    <xf numFmtId="0" fontId="17" fillId="13" borderId="23" applyAlignment="1">
      <alignment horizontal="right" vertical="center"/>
    </xf>
    <xf numFmtId="43" fontId="11" fillId="0" borderId="0"/>
    <xf numFmtId="43" fontId="140" fillId="0" borderId="0"/>
    <xf numFmtId="43" fontId="140" fillId="0" borderId="0"/>
    <xf numFmtId="171" fontId="34" fillId="0" borderId="0"/>
    <xf numFmtId="0" fontId="17" fillId="14" borderId="23" applyAlignment="1">
      <alignment horizontal="right" vertical="center"/>
    </xf>
    <xf numFmtId="0" fontId="17" fillId="15" borderId="23" applyAlignment="1">
      <alignment horizontal="right" vertical="center"/>
    </xf>
    <xf numFmtId="0" fontId="35" fillId="16" borderId="0"/>
    <xf numFmtId="43" fontId="140" fillId="0" borderId="0"/>
    <xf numFmtId="0" fontId="30" fillId="0" borderId="20"/>
    <xf numFmtId="0" fontId="140" fillId="0" borderId="20"/>
    <xf numFmtId="0" fontId="17" fillId="13" borderId="23" applyAlignment="1">
      <alignment horizontal="right" vertical="center"/>
    </xf>
    <xf numFmtId="0" fontId="17" fillId="13" borderId="23" applyAlignment="1">
      <alignment horizontal="right" vertical="center"/>
    </xf>
    <xf numFmtId="172" fontId="32" fillId="0" borderId="0"/>
    <xf numFmtId="0" fontId="11" fillId="0" borderId="20"/>
    <xf numFmtId="4" fontId="140" fillId="0" borderId="20" applyAlignment="1">
      <alignment horizontal="right"/>
    </xf>
    <xf numFmtId="0" fontId="30" fillId="0" borderId="20" applyAlignment="1">
      <alignment horizontal="right" vertical="center"/>
    </xf>
    <xf numFmtId="0" fontId="28" fillId="17" borderId="0"/>
    <xf numFmtId="0" fontId="17" fillId="13" borderId="23" applyAlignment="1">
      <alignment horizontal="right" vertical="center"/>
    </xf>
    <xf numFmtId="0" fontId="28" fillId="18" borderId="0"/>
    <xf numFmtId="41" fontId="140" fillId="0" borderId="0"/>
    <xf numFmtId="43" fontId="31" fillId="0" borderId="0"/>
    <xf numFmtId="41" fontId="140" fillId="0" borderId="0"/>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top" indent="1"/>
    </xf>
    <xf numFmtId="0" fontId="17" fillId="20" borderId="23" applyAlignment="1">
      <alignment horizontal="right" vertical="center"/>
    </xf>
    <xf numFmtId="0" fontId="11" fillId="7" borderId="23" applyAlignment="1">
      <alignment horizontal="left" vertical="top" indent="1"/>
    </xf>
    <xf numFmtId="43" fontId="140" fillId="0" borderId="0"/>
    <xf numFmtId="43" fontId="11" fillId="0" borderId="0"/>
    <xf numFmtId="0" fontId="17" fillId="7" borderId="23" applyAlignment="1">
      <alignment horizontal="right" vertical="center"/>
    </xf>
    <xf numFmtId="0" fontId="81" fillId="0" borderId="0"/>
    <xf numFmtId="0" fontId="140" fillId="0" borderId="0"/>
    <xf numFmtId="41" fontId="11" fillId="0" borderId="0"/>
    <xf numFmtId="173" fontId="34" fillId="0" borderId="0"/>
    <xf numFmtId="0" fontId="140" fillId="0" borderId="0"/>
    <xf numFmtId="43" fontId="140" fillId="0" borderId="0"/>
    <xf numFmtId="0" fontId="11" fillId="8" borderId="23" applyAlignment="1">
      <alignment horizontal="left" vertical="top" indent="1"/>
    </xf>
    <xf numFmtId="41" fontId="140" fillId="0" borderId="0"/>
    <xf numFmtId="0" fontId="17" fillId="21" borderId="23" applyAlignment="1">
      <alignment horizontal="right" vertical="center"/>
    </xf>
    <xf numFmtId="171" fontId="34" fillId="0" borderId="0"/>
    <xf numFmtId="0" fontId="17" fillId="16" borderId="23" applyAlignment="1">
      <alignment horizontal="right" vertical="center"/>
    </xf>
    <xf numFmtId="43" fontId="140" fillId="0" borderId="0"/>
    <xf numFmtId="0" fontId="38" fillId="21" borderId="0"/>
    <xf numFmtId="0" fontId="140" fillId="0" borderId="0"/>
    <xf numFmtId="0" fontId="16" fillId="0" borderId="0"/>
    <xf numFmtId="0" fontId="29" fillId="12" borderId="20"/>
    <xf numFmtId="0" fontId="17" fillId="12" borderId="23" applyAlignment="1">
      <alignment horizontal="left" vertical="top" indent="1"/>
    </xf>
    <xf numFmtId="0" fontId="140" fillId="0" borderId="20"/>
    <xf numFmtId="0" fontId="17" fillId="16" borderId="23" applyAlignment="1">
      <alignment horizontal="right" vertical="center"/>
    </xf>
    <xf numFmtId="0" fontId="140" fillId="0" borderId="0"/>
    <xf numFmtId="0" fontId="140" fillId="0" borderId="0"/>
    <xf numFmtId="41" fontId="11" fillId="0" borderId="0"/>
    <xf numFmtId="174" fontId="39" fillId="0" borderId="0" applyProtection="1">
      <protection locked="0" hidden="0"/>
    </xf>
    <xf numFmtId="43" fontId="140" fillId="0" borderId="0"/>
    <xf numFmtId="0" fontId="11" fillId="8" borderId="23" applyAlignment="1">
      <alignment horizontal="left" vertical="top" indent="1"/>
    </xf>
    <xf numFmtId="41" fontId="140" fillId="0" borderId="0"/>
    <xf numFmtId="0" fontId="140" fillId="22" borderId="0"/>
    <xf numFmtId="0" fontId="30" fillId="0" borderId="20" applyAlignment="1">
      <alignment horizontal="right" vertical="center"/>
    </xf>
    <xf numFmtId="43" fontId="11" fillId="0" borderId="0"/>
    <xf numFmtId="43" fontId="11" fillId="0" borderId="0"/>
    <xf numFmtId="43" fontId="140" fillId="0" borderId="0"/>
    <xf numFmtId="171" fontId="34" fillId="0" borderId="0"/>
    <xf numFmtId="0" fontId="17" fillId="7" borderId="23" applyAlignment="1">
      <alignment horizontal="right" vertical="center"/>
    </xf>
    <xf numFmtId="0" fontId="20" fillId="10" borderId="23" applyAlignment="1">
      <alignment horizontal="left" vertical="center" indent="1"/>
    </xf>
    <xf numFmtId="0" fontId="10" fillId="0" borderId="0"/>
    <xf numFmtId="41" fontId="11" fillId="0" borderId="0"/>
    <xf numFmtId="170" fontId="40" fillId="0" borderId="0"/>
    <xf numFmtId="0" fontId="11" fillId="8" borderId="23" applyAlignment="1">
      <alignment horizontal="left" vertical="top" indent="1"/>
    </xf>
    <xf numFmtId="0" fontId="17" fillId="7" borderId="23" applyAlignment="1">
      <alignment horizontal="right" vertical="center"/>
    </xf>
    <xf numFmtId="43" fontId="140" fillId="0" borderId="0"/>
    <xf numFmtId="0" fontId="17" fillId="7" borderId="23" applyAlignment="1">
      <alignment horizontal="right" vertical="center"/>
    </xf>
    <xf numFmtId="0" fontId="140" fillId="0" borderId="0"/>
    <xf numFmtId="41" fontId="140" fillId="0" borderId="0"/>
    <xf numFmtId="41" fontId="11" fillId="0" borderId="0"/>
    <xf numFmtId="0" fontId="41" fillId="0" borderId="0"/>
    <xf numFmtId="0" fontId="140" fillId="0" borderId="0"/>
    <xf numFmtId="43" fontId="140" fillId="0" borderId="0"/>
    <xf numFmtId="0" fontId="17" fillId="7" borderId="23" applyAlignment="1">
      <alignment horizontal="left" vertical="center" indent="1"/>
    </xf>
    <xf numFmtId="0" fontId="16" fillId="0" borderId="0"/>
    <xf numFmtId="43" fontId="140" fillId="0" borderId="0"/>
    <xf numFmtId="0" fontId="140" fillId="0" borderId="0"/>
    <xf numFmtId="41" fontId="42" fillId="0" borderId="0"/>
    <xf numFmtId="0" fontId="140" fillId="23" borderId="0"/>
    <xf numFmtId="0" fontId="17" fillId="7" borderId="23" applyAlignment="1">
      <alignment horizontal="left" vertical="top" indent="1"/>
    </xf>
    <xf numFmtId="4" fontId="140" fillId="0" borderId="20" applyAlignment="1">
      <alignment horizontal="right"/>
    </xf>
    <xf numFmtId="43" fontId="140" fillId="0" borderId="0"/>
    <xf numFmtId="0" fontId="140" fillId="0" borderId="0"/>
    <xf numFmtId="41" fontId="11" fillId="0" borderId="0"/>
    <xf numFmtId="0" fontId="140" fillId="0" borderId="0"/>
    <xf numFmtId="41" fontId="140" fillId="0" borderId="0"/>
    <xf numFmtId="43" fontId="32" fillId="0" borderId="0"/>
    <xf numFmtId="43" fontId="140" fillId="0" borderId="0"/>
    <xf numFmtId="43" fontId="140" fillId="0" borderId="0"/>
    <xf numFmtId="0" fontId="41" fillId="0" borderId="0"/>
    <xf numFmtId="175" fontId="11" fillId="0" borderId="0" applyProtection="1">
      <protection locked="0" hidden="0"/>
    </xf>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19" borderId="23" applyAlignment="1">
      <alignment horizontal="left" vertical="top" indent="1"/>
    </xf>
    <xf numFmtId="0" fontId="43" fillId="0" borderId="0"/>
    <xf numFmtId="176" fontId="44" fillId="0" borderId="0"/>
    <xf numFmtId="0" fontId="140" fillId="0" borderId="0"/>
    <xf numFmtId="0" fontId="17" fillId="16" borderId="23" applyAlignment="1">
      <alignment horizontal="right" vertical="center"/>
    </xf>
    <xf numFmtId="0" fontId="11" fillId="19" borderId="23" applyAlignment="1">
      <alignment horizontal="left" vertical="top" indent="1"/>
    </xf>
    <xf numFmtId="175" fontId="11" fillId="0" borderId="0" applyProtection="1">
      <protection locked="0" hidden="0"/>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27" fillId="10" borderId="23" applyAlignment="1">
      <alignment vertical="center"/>
    </xf>
    <xf numFmtId="0" fontId="25" fillId="25" borderId="0"/>
    <xf numFmtId="10" fontId="40" fillId="0" borderId="0"/>
    <xf numFmtId="0" fontId="17" fillId="21" borderId="23" applyAlignment="1">
      <alignment horizontal="right" vertical="center"/>
    </xf>
    <xf numFmtId="43" fontId="140" fillId="0" borderId="0"/>
    <xf numFmtId="177" fontId="32" fillId="0" borderId="0"/>
    <xf numFmtId="41" fontId="140" fillId="0" borderId="0"/>
    <xf numFmtId="0" fontId="28" fillId="26" borderId="0"/>
    <xf numFmtId="178" fontId="32" fillId="0" borderId="0"/>
    <xf numFmtId="43" fontId="140" fillId="0" borderId="0"/>
    <xf numFmtId="0" fontId="140" fillId="0" borderId="0"/>
    <xf numFmtId="41" fontId="11" fillId="0" borderId="0"/>
    <xf numFmtId="41" fontId="140" fillId="0" borderId="0"/>
    <xf numFmtId="43" fontId="140" fillId="0" borderId="0"/>
    <xf numFmtId="43" fontId="140" fillId="0" borderId="0"/>
    <xf numFmtId="0" fontId="25" fillId="25" borderId="0"/>
    <xf numFmtId="43" fontId="140" fillId="0" borderId="0"/>
    <xf numFmtId="0" fontId="140" fillId="0" borderId="0"/>
    <xf numFmtId="4" fontId="140" fillId="0" borderId="20" applyAlignment="1">
      <alignment horizontal="right"/>
    </xf>
    <xf numFmtId="0" fontId="30" fillId="0" borderId="20"/>
    <xf numFmtId="0" fontId="28" fillId="8" borderId="0"/>
    <xf numFmtId="0" fontId="81" fillId="0" borderId="0"/>
    <xf numFmtId="0" fontId="25" fillId="12" borderId="0"/>
    <xf numFmtId="0" fontId="17" fillId="12" borderId="23" applyAlignment="1">
      <alignment horizontal="left" vertical="center" indent="1"/>
    </xf>
    <xf numFmtId="0" fontId="17" fillId="7" borderId="23" applyAlignment="1">
      <alignment horizontal="left" vertical="center" indent="1"/>
    </xf>
    <xf numFmtId="0" fontId="24" fillId="27" borderId="0"/>
    <xf numFmtId="0" fontId="45" fillId="0" borderId="0"/>
    <xf numFmtId="179" fontId="46" fillId="0" borderId="0"/>
    <xf numFmtId="10" fontId="140" fillId="0" borderId="20"/>
    <xf numFmtId="43" fontId="140" fillId="0" borderId="0"/>
    <xf numFmtId="0" fontId="47" fillId="28" borderId="0"/>
    <xf numFmtId="0" fontId="140" fillId="0" borderId="20"/>
    <xf numFmtId="43" fontId="140" fillId="0" borderId="0"/>
    <xf numFmtId="41" fontId="140" fillId="0" borderId="0"/>
    <xf numFmtId="180" fontId="11" fillId="0" borderId="0"/>
    <xf numFmtId="0" fontId="25" fillId="12" borderId="0"/>
    <xf numFmtId="0" fontId="28" fillId="29" borderId="0"/>
    <xf numFmtId="0" fontId="17" fillId="21" borderId="23" applyAlignment="1">
      <alignment horizontal="right" vertical="center"/>
    </xf>
    <xf numFmtId="0" fontId="25" fillId="28" borderId="0"/>
    <xf numFmtId="0" fontId="28" fillId="9"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0" fontId="28" fillId="11" borderId="0"/>
    <xf numFmtId="43" fontId="11" fillId="0" borderId="0"/>
    <xf numFmtId="0" fontId="47" fillId="28" borderId="0"/>
    <xf numFmtId="0" fontId="140" fillId="0" borderId="20"/>
    <xf numFmtId="41" fontId="140" fillId="0" borderId="0"/>
    <xf numFmtId="43" fontId="140" fillId="0" borderId="0"/>
    <xf numFmtId="41" fontId="140" fillId="0" borderId="0"/>
    <xf numFmtId="43" fontId="140" fillId="0" borderId="0"/>
    <xf numFmtId="0" fontId="17" fillId="30" borderId="23" applyAlignment="1">
      <alignment horizontal="right" vertical="center"/>
    </xf>
    <xf numFmtId="0" fontId="25" fillId="25" borderId="0"/>
    <xf numFmtId="0" fontId="38" fillId="21" borderId="0"/>
    <xf numFmtId="0" fontId="140" fillId="0" borderId="0"/>
    <xf numFmtId="43" fontId="140" fillId="0" borderId="0"/>
    <xf numFmtId="0" fontId="20" fillId="10" borderId="23" applyAlignment="1">
      <alignment horizontal="left" vertical="center" indent="1"/>
    </xf>
    <xf numFmtId="41" fontId="42" fillId="0" borderId="0"/>
    <xf numFmtId="0" fontId="25" fillId="9" borderId="0"/>
    <xf numFmtId="0" fontId="36" fillId="12" borderId="23" applyAlignment="1">
      <alignment vertical="center"/>
    </xf>
    <xf numFmtId="0" fontId="11" fillId="18" borderId="23" applyAlignment="1">
      <alignment horizontal="left" vertical="center" indent="1"/>
    </xf>
    <xf numFmtId="0" fontId="140" fillId="0" borderId="0"/>
    <xf numFmtId="0" fontId="28" fillId="9" borderId="0"/>
    <xf numFmtId="43" fontId="140" fillId="0" borderId="0"/>
    <xf numFmtId="43" fontId="140" fillId="0" borderId="0"/>
    <xf numFmtId="0" fontId="11" fillId="18" borderId="23" applyAlignment="1">
      <alignment horizontal="left" vertical="top" indent="1"/>
    </xf>
    <xf numFmtId="0" fontId="17" fillId="14" borderId="23" applyAlignment="1">
      <alignment horizontal="right" vertical="center"/>
    </xf>
    <xf numFmtId="0" fontId="48" fillId="31" borderId="24"/>
    <xf numFmtId="0" fontId="28" fillId="18" borderId="0"/>
    <xf numFmtId="0" fontId="140" fillId="0" borderId="20"/>
    <xf numFmtId="0" fontId="27" fillId="10" borderId="23" applyAlignment="1">
      <alignment vertical="center"/>
    </xf>
    <xf numFmtId="43" fontId="140" fillId="0" borderId="0"/>
    <xf numFmtId="0" fontId="20" fillId="10" borderId="23" applyAlignment="1">
      <alignment vertical="center"/>
    </xf>
    <xf numFmtId="0" fontId="25" fillId="32" borderId="0"/>
    <xf numFmtId="0" fontId="36" fillId="19" borderId="23" applyAlignment="1">
      <alignment horizontal="righ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7" fillId="20" borderId="23" applyAlignment="1">
      <alignment horizontal="right" vertical="center"/>
    </xf>
    <xf numFmtId="0" fontId="29" fillId="33" borderId="20"/>
    <xf numFmtId="0" fontId="25" fillId="25" borderId="0"/>
    <xf numFmtId="43" fontId="140" fillId="0" borderId="0"/>
    <xf numFmtId="43" fontId="140" fillId="0" borderId="0"/>
    <xf numFmtId="0" fontId="11" fillId="19" borderId="23" applyAlignment="1">
      <alignment horizontal="left" vertical="center" indent="1"/>
    </xf>
    <xf numFmtId="0" fontId="17" fillId="13" borderId="23" applyAlignment="1">
      <alignment horizontal="right" vertical="center"/>
    </xf>
    <xf numFmtId="0" fontId="28" fillId="8" borderId="0"/>
    <xf numFmtId="41" fontId="140" fillId="0" borderId="0"/>
    <xf numFmtId="0" fontId="20" fillId="34" borderId="25" applyAlignment="1">
      <alignment horizontal="left" vertical="center" indent="1"/>
    </xf>
    <xf numFmtId="43" fontId="140" fillId="0" borderId="0"/>
    <xf numFmtId="41" fontId="140" fillId="0" borderId="0"/>
    <xf numFmtId="0" fontId="17" fillId="21" borderId="23" applyAlignment="1">
      <alignment horizontal="right" vertical="center"/>
    </xf>
    <xf numFmtId="0" fontId="25" fillId="12" borderId="0"/>
    <xf numFmtId="0" fontId="17" fillId="35" borderId="23" applyAlignment="1">
      <alignment horizontal="right" vertical="center"/>
    </xf>
    <xf numFmtId="0" fontId="25" fillId="24" borderId="0"/>
    <xf numFmtId="0" fontId="28" fillId="24" borderId="0"/>
    <xf numFmtId="0" fontId="17" fillId="14" borderId="23" applyAlignment="1">
      <alignment horizontal="right" vertical="center"/>
    </xf>
    <xf numFmtId="0" fontId="17" fillId="15" borderId="23" applyAlignment="1">
      <alignment horizontal="right" vertical="center"/>
    </xf>
    <xf numFmtId="0" fontId="20" fillId="10" borderId="23" applyAlignment="1">
      <alignmen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7" fillId="17" borderId="23" applyAlignment="1">
      <alignment horizontal="right" vertical="center"/>
    </xf>
    <xf numFmtId="0" fontId="49" fillId="36" borderId="0"/>
    <xf numFmtId="0" fontId="17" fillId="12" borderId="23" applyAlignment="1">
      <alignment horizontal="left" vertical="top" indent="1"/>
    </xf>
    <xf numFmtId="4" fontId="30" fillId="0" borderId="20" applyAlignment="1">
      <alignment horizontal="right" vertical="center"/>
    </xf>
    <xf numFmtId="0" fontId="17" fillId="17" borderId="23" applyAlignment="1">
      <alignment horizontal="right" vertical="center"/>
    </xf>
    <xf numFmtId="0" fontId="49" fillId="36" borderId="0"/>
    <xf numFmtId="0" fontId="17" fillId="7" borderId="23" applyAlignment="1">
      <alignment horizontal="left" vertical="top" indent="1"/>
    </xf>
    <xf numFmtId="181" fontId="17" fillId="0" borderId="0"/>
    <xf numFmtId="182" fontId="34" fillId="0" borderId="0"/>
    <xf numFmtId="43" fontId="140" fillId="0" borderId="0"/>
    <xf numFmtId="0" fontId="20" fillId="10" borderId="23" applyAlignment="1">
      <alignment horizontal="left" vertical="center" indent="1"/>
    </xf>
    <xf numFmtId="0" fontId="140" fillId="0" borderId="0"/>
    <xf numFmtId="183" fontId="34" fillId="0" borderId="0"/>
    <xf numFmtId="175" fontId="11" fillId="0" borderId="0" applyProtection="1">
      <protection locked="0" hidden="0"/>
    </xf>
    <xf numFmtId="184" fontId="11" fillId="0" borderId="0"/>
    <xf numFmtId="0" fontId="140" fillId="0" borderId="0"/>
    <xf numFmtId="173" fontId="34" fillId="0" borderId="0"/>
    <xf numFmtId="0" fontId="17" fillId="12" borderId="23" applyAlignment="1">
      <alignment horizontal="left" vertical="top" indent="1"/>
    </xf>
    <xf numFmtId="43" fontId="140" fillId="0" borderId="0"/>
    <xf numFmtId="43" fontId="140" fillId="0" borderId="0"/>
    <xf numFmtId="182" fontId="34" fillId="0" borderId="0"/>
    <xf numFmtId="0" fontId="17" fillId="12" borderId="23" applyAlignment="1">
      <alignment horizontal="left" vertical="top" indent="1"/>
    </xf>
    <xf numFmtId="0" fontId="17" fillId="16" borderId="23" applyAlignment="1">
      <alignment horizontal="right" vertical="center"/>
    </xf>
    <xf numFmtId="180" fontId="11" fillId="0" borderId="0"/>
    <xf numFmtId="0" fontId="27" fillId="10" borderId="23" applyAlignment="1">
      <alignment vertical="center"/>
    </xf>
    <xf numFmtId="0" fontId="50" fillId="0" borderId="54" applyAlignment="1">
      <alignment horizontal="left" vertical="center"/>
    </xf>
    <xf numFmtId="0" fontId="51" fillId="0" borderId="0"/>
    <xf numFmtId="0" fontId="11" fillId="8" borderId="23" applyAlignment="1">
      <alignment horizontal="left" vertical="center" indent="1"/>
    </xf>
    <xf numFmtId="0" fontId="36" fillId="19" borderId="23" applyAlignment="1">
      <alignment horizontal="right" vertical="center"/>
    </xf>
    <xf numFmtId="0" fontId="17" fillId="21" borderId="23" applyAlignment="1">
      <alignment horizontal="right" vertical="center"/>
    </xf>
    <xf numFmtId="4" fontId="30" fillId="0" borderId="20" applyAlignment="1">
      <alignment horizontal="righ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1" fillId="7" borderId="23" applyAlignment="1">
      <alignment horizontal="left" vertical="center" indent="1"/>
    </xf>
    <xf numFmtId="0" fontId="52" fillId="0" borderId="0" applyProtection="1">
      <protection locked="0" hidden="0"/>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3" fontId="140" fillId="0" borderId="0"/>
    <xf numFmtId="4" fontId="30" fillId="0" borderId="20" applyAlignment="1">
      <alignment horizontal="right" vertical="center"/>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 fontId="30" fillId="0" borderId="20" applyAlignment="1">
      <alignment horizontal="right" vertical="center"/>
    </xf>
    <xf numFmtId="43" fontId="140" fillId="0" borderId="0"/>
    <xf numFmtId="0" fontId="17" fillId="15" borderId="23" applyAlignment="1">
      <alignment horizontal="right" vertical="center"/>
    </xf>
    <xf numFmtId="0" fontId="11" fillId="7" borderId="23" applyAlignment="1">
      <alignment horizontal="left" vertical="center" indent="1"/>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40" fillId="0" borderId="0"/>
    <xf numFmtId="0" fontId="17" fillId="12" borderId="23" applyAlignment="1">
      <alignment vertical="center"/>
    </xf>
    <xf numFmtId="41" fontId="140" fillId="0" borderId="0"/>
    <xf numFmtId="0" fontId="17" fillId="12" borderId="23" applyAlignment="1">
      <alignment horizontal="left" vertical="top" indent="1"/>
    </xf>
    <xf numFmtId="41" fontId="11" fillId="0" borderId="0"/>
    <xf numFmtId="4" fontId="30" fillId="0" borderId="20" applyAlignment="1">
      <alignment horizontal="right" vertical="center"/>
    </xf>
    <xf numFmtId="0" fontId="11" fillId="19" borderId="23" applyAlignment="1">
      <alignment horizontal="left" vertical="top" indent="1"/>
    </xf>
    <xf numFmtId="0" fontId="140" fillId="0" borderId="0"/>
    <xf numFmtId="0" fontId="17" fillId="12" borderId="23" applyAlignment="1">
      <alignment vertical="center"/>
    </xf>
    <xf numFmtId="0" fontId="140" fillId="0" borderId="0"/>
    <xf numFmtId="41" fontId="140" fillId="0" borderId="0"/>
    <xf numFmtId="0" fontId="17" fillId="12" borderId="23" applyAlignment="1">
      <alignment horizontal="left" vertical="top" indent="1"/>
    </xf>
    <xf numFmtId="4" fontId="30" fillId="0" borderId="20" applyAlignment="1">
      <alignment horizontal="right" vertical="center"/>
    </xf>
    <xf numFmtId="0" fontId="11" fillId="19" borderId="23" applyAlignment="1">
      <alignment horizontal="left" vertical="top" indent="1"/>
    </xf>
    <xf numFmtId="0" fontId="17" fillId="17" borderId="23" applyAlignment="1">
      <alignment horizontal="right" vertical="center"/>
    </xf>
    <xf numFmtId="43" fontId="11" fillId="0" borderId="0"/>
    <xf numFmtId="0" fontId="50" fillId="0" borderId="54" applyAlignment="1">
      <alignment horizontal="left" vertical="center"/>
    </xf>
    <xf numFmtId="0" fontId="140" fillId="0" borderId="0"/>
    <xf numFmtId="4" fontId="30" fillId="0" borderId="20" applyAlignment="1">
      <alignment horizontal="right" vertical="center"/>
    </xf>
    <xf numFmtId="0" fontId="11" fillId="18" borderId="23" applyAlignment="1">
      <alignment horizontal="left" vertical="top" indent="1"/>
    </xf>
    <xf numFmtId="41" fontId="140" fillId="0" borderId="0"/>
    <xf numFmtId="0" fontId="36" fillId="19" borderId="23" applyAlignment="1">
      <alignment horizontal="right" vertical="center"/>
    </xf>
    <xf numFmtId="171" fontId="34" fillId="0" borderId="0"/>
    <xf numFmtId="4" fontId="140" fillId="0" borderId="20" applyAlignment="1">
      <alignment horizontal="right"/>
    </xf>
    <xf numFmtId="4" fontId="140" fillId="0" borderId="20" applyAlignment="1">
      <alignment horizontal="right"/>
    </xf>
    <xf numFmtId="43" fontId="140" fillId="0" borderId="0"/>
    <xf numFmtId="4" fontId="140" fillId="0" borderId="20" applyAlignment="1">
      <alignment horizontal="right"/>
    </xf>
    <xf numFmtId="43" fontId="140" fillId="0" borderId="0"/>
    <xf numFmtId="4" fontId="140" fillId="0" borderId="20" applyAlignment="1">
      <alignment horizontal="right"/>
    </xf>
    <xf numFmtId="0" fontId="140" fillId="0" borderId="0"/>
    <xf numFmtId="0" fontId="36" fillId="19" borderId="23" applyAlignment="1">
      <alignment horizontal="right" vertical="center"/>
    </xf>
    <xf numFmtId="0" fontId="11" fillId="7" borderId="23" applyAlignment="1">
      <alignment horizontal="left" vertical="top" indent="1"/>
    </xf>
    <xf numFmtId="41" fontId="140" fillId="0" borderId="0"/>
    <xf numFmtId="43" fontId="140" fillId="0" borderId="0"/>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40" fillId="0" borderId="0"/>
    <xf numFmtId="0" fontId="36" fillId="19" borderId="23" applyAlignment="1">
      <alignment horizontal="right" vertical="center"/>
    </xf>
    <xf numFmtId="37" fontId="40"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43" fontId="140" fillId="0" borderId="0"/>
    <xf numFmtId="0" fontId="17" fillId="7" borderId="23" applyAlignment="1">
      <alignment horizontal="right" vertical="center"/>
    </xf>
    <xf numFmtId="0" fontId="11"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0" fontId="140" fillId="0" borderId="0"/>
    <xf numFmtId="0" fontId="53" fillId="0" borderId="0"/>
    <xf numFmtId="4" fontId="140" fillId="0" borderId="20" applyAlignment="1">
      <alignment horizontal="right"/>
    </xf>
    <xf numFmtId="0" fontId="140" fillId="0" borderId="20"/>
    <xf numFmtId="41" fontId="140" fillId="0" borderId="0"/>
    <xf numFmtId="4" fontId="140" fillId="0" borderId="20" applyAlignment="1">
      <alignment horizontal="right"/>
    </xf>
    <xf numFmtId="4" fontId="140" fillId="0" borderId="20" applyAlignment="1">
      <alignment horizontal="right"/>
    </xf>
    <xf numFmtId="41" fontId="140" fillId="0" borderId="0"/>
    <xf numFmtId="0" fontId="140" fillId="0" borderId="0"/>
    <xf numFmtId="43" fontId="140" fillId="0" borderId="0"/>
    <xf numFmtId="0" fontId="11" fillId="7" borderId="23" applyAlignment="1">
      <alignment horizontal="left" vertical="top" indent="1"/>
    </xf>
    <xf numFmtId="0" fontId="140" fillId="0" borderId="0"/>
    <xf numFmtId="0" fontId="17" fillId="7" borderId="23" applyAlignment="1">
      <alignment horizontal="right" vertical="center"/>
    </xf>
    <xf numFmtId="43" fontId="140" fillId="0" borderId="0"/>
    <xf numFmtId="43" fontId="140" fillId="0" borderId="0"/>
    <xf numFmtId="0" fontId="11" fillId="7" borderId="23" applyAlignment="1">
      <alignment horizontal="left" vertical="top" indent="1"/>
    </xf>
    <xf numFmtId="173" fontId="34" fillId="0" borderId="0"/>
    <xf numFmtId="0" fontId="17" fillId="7" borderId="23" applyAlignment="1">
      <alignment horizontal="right" vertical="center"/>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 fontId="140" fillId="0" borderId="20" applyAlignment="1">
      <alignment horizontal="right"/>
    </xf>
    <xf numFmtId="0" fontId="27" fillId="10" borderId="23" applyAlignment="1">
      <alignment vertical="center"/>
    </xf>
    <xf numFmtId="0" fontId="35" fillId="16" borderId="0"/>
    <xf numFmtId="4" fontId="140" fillId="0" borderId="20" applyAlignment="1">
      <alignment horizontal="right"/>
    </xf>
    <xf numFmtId="0" fontId="30" fillId="0" borderId="20" applyAlignment="1">
      <alignment horizontal="right" vertical="center"/>
    </xf>
    <xf numFmtId="0" fontId="27" fillId="10" borderId="23" applyAlignment="1">
      <alignment vertical="center"/>
    </xf>
    <xf numFmtId="4" fontId="140" fillId="0" borderId="20" applyAlignment="1">
      <alignment horizontal="right"/>
    </xf>
    <xf numFmtId="0" fontId="30" fillId="0" borderId="20" applyAlignment="1">
      <alignment horizontal="right" vertical="center"/>
    </xf>
    <xf numFmtId="4" fontId="140" fillId="0" borderId="20" applyAlignment="1">
      <alignment horizontal="right"/>
    </xf>
    <xf numFmtId="0" fontId="30" fillId="0" borderId="20" applyAlignment="1">
      <alignment horizontal="right" vertical="center"/>
    </xf>
    <xf numFmtId="43" fontId="140" fillId="0" borderId="0"/>
    <xf numFmtId="0" fontId="11" fillId="0" borderId="20"/>
    <xf numFmtId="4" fontId="140" fillId="0" borderId="20" applyAlignment="1">
      <alignment horizontal="right"/>
    </xf>
    <xf numFmtId="0" fontId="30" fillId="0" borderId="20" applyAlignment="1">
      <alignment horizontal="right" vertical="center"/>
    </xf>
    <xf numFmtId="0" fontId="17" fillId="7" borderId="23" applyAlignment="1">
      <alignment horizontal="left" vertical="top" indent="1"/>
    </xf>
    <xf numFmtId="10" fontId="140" fillId="0" borderId="20"/>
    <xf numFmtId="0" fontId="30" fillId="0" borderId="20" applyAlignment="1">
      <alignment horizontal="right" vertical="center"/>
    </xf>
    <xf numFmtId="43" fontId="140" fillId="0" borderId="0"/>
    <xf numFmtId="0" fontId="30" fillId="0" borderId="20" applyAlignment="1">
      <alignment horizontal="right" vertical="center"/>
    </xf>
    <xf numFmtId="41" fontId="140" fillId="0" borderId="0"/>
    <xf numFmtId="41" fontId="140" fillId="0" borderId="0"/>
    <xf numFmtId="43" fontId="140" fillId="0" borderId="0"/>
    <xf numFmtId="43" fontId="11" fillId="0" borderId="0"/>
    <xf numFmtId="0" fontId="11" fillId="0" borderId="0"/>
    <xf numFmtId="43" fontId="140" fillId="0" borderId="0"/>
    <xf numFmtId="0" fontId="30" fillId="0" borderId="20" applyAlignment="1">
      <alignment horizontal="right" vertical="center"/>
    </xf>
    <xf numFmtId="0" fontId="30" fillId="0" borderId="20" applyAlignment="1">
      <alignment horizontal="right" vertical="center"/>
    </xf>
    <xf numFmtId="0" fontId="30" fillId="0" borderId="20" applyAlignment="1">
      <alignment horizontal="right" vertical="center"/>
    </xf>
    <xf numFmtId="43" fontId="140" fillId="0" borderId="0"/>
    <xf numFmtId="43" fontId="140" fillId="0" borderId="0"/>
    <xf numFmtId="0" fontId="30" fillId="0" borderId="20" applyAlignment="1">
      <alignment horizontal="right" vertical="center"/>
    </xf>
    <xf numFmtId="43" fontId="140" fillId="0" borderId="0"/>
    <xf numFmtId="0" fontId="54" fillId="0" borderId="0"/>
    <xf numFmtId="43" fontId="11" fillId="0" borderId="0"/>
    <xf numFmtId="41" fontId="140" fillId="0" borderId="0"/>
    <xf numFmtId="10" fontId="140" fillId="0" borderId="20"/>
    <xf numFmtId="10" fontId="140" fillId="0" borderId="20"/>
    <xf numFmtId="41" fontId="140" fillId="0" borderId="0"/>
    <xf numFmtId="0" fontId="20" fillId="10" borderId="23" applyAlignment="1">
      <alignment horizontal="left" vertical="top" indent="1"/>
    </xf>
    <xf numFmtId="0" fontId="29" fillId="12" borderId="20"/>
    <xf numFmtId="41" fontId="140" fillId="0" borderId="0"/>
    <xf numFmtId="10" fontId="140" fillId="0" borderId="20"/>
    <xf numFmtId="43" fontId="140" fillId="0" borderId="0"/>
    <xf numFmtId="185" fontId="40" fillId="0" borderId="0"/>
    <xf numFmtId="10" fontId="140" fillId="0" borderId="20"/>
    <xf numFmtId="10" fontId="140" fillId="0" borderId="20"/>
    <xf numFmtId="0" fontId="11" fillId="19" borderId="23" applyAlignment="1">
      <alignment horizontal="left" vertical="top" indent="1"/>
    </xf>
    <xf numFmtId="43" fontId="140" fillId="0" borderId="0"/>
    <xf numFmtId="186" fontId="40" fillId="0" borderId="0"/>
    <xf numFmtId="10" fontId="140" fillId="0" borderId="20"/>
    <xf numFmtId="0" fontId="11" fillId="19" borderId="23" applyAlignment="1">
      <alignment horizontal="left" vertical="top" indent="1"/>
    </xf>
    <xf numFmtId="10" fontId="140" fillId="0" borderId="20"/>
    <xf numFmtId="0" fontId="11" fillId="19" borderId="23" applyAlignment="1">
      <alignment horizontal="left" vertical="top" indent="1"/>
    </xf>
    <xf numFmtId="43" fontId="140" fillId="0" borderId="0"/>
    <xf numFmtId="43" fontId="140" fillId="0" borderId="0"/>
    <xf numFmtId="41" fontId="140" fillId="0" borderId="0"/>
    <xf numFmtId="10" fontId="140" fillId="0" borderId="20"/>
    <xf numFmtId="10" fontId="140" fillId="0" borderId="20"/>
    <xf numFmtId="10" fontId="140" fillId="0" borderId="20"/>
    <xf numFmtId="10" fontId="140" fillId="0" borderId="20"/>
    <xf numFmtId="0" fontId="55" fillId="0" borderId="0"/>
    <xf numFmtId="43" fontId="140" fillId="0" borderId="0"/>
    <xf numFmtId="0" fontId="56" fillId="37" borderId="26"/>
    <xf numFmtId="0" fontId="48" fillId="31" borderId="24"/>
    <xf numFmtId="43" fontId="140" fillId="0" borderId="0"/>
    <xf numFmtId="43" fontId="140" fillId="0" borderId="0"/>
    <xf numFmtId="0" fontId="57" fillId="0" borderId="1" applyAlignment="1">
      <alignment horizontal="center"/>
    </xf>
    <xf numFmtId="43" fontId="32" fillId="0" borderId="0"/>
    <xf numFmtId="0" fontId="140" fillId="0" borderId="0"/>
    <xf numFmtId="180" fontId="11" fillId="0" borderId="0"/>
    <xf numFmtId="0" fontId="50" fillId="0" borderId="54" applyAlignment="1">
      <alignment horizontal="left" vertical="center"/>
    </xf>
    <xf numFmtId="0" fontId="11" fillId="8" borderId="23" applyAlignment="1">
      <alignment horizontal="left" vertical="center" indent="1"/>
    </xf>
    <xf numFmtId="0" fontId="36" fillId="19" borderId="23" applyAlignment="1">
      <alignment horizontal="right" vertical="center"/>
    </xf>
    <xf numFmtId="43" fontId="140" fillId="0" borderId="0"/>
    <xf numFmtId="0" fontId="11" fillId="19" borderId="23" applyAlignment="1">
      <alignment horizontal="left" vertical="center" indent="1"/>
    </xf>
    <xf numFmtId="0" fontId="17" fillId="16" borderId="23" applyAlignment="1">
      <alignment horizontal="right" vertical="center"/>
    </xf>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180" fontId="11" fillId="0" borderId="0"/>
    <xf numFmtId="0" fontId="27" fillId="10" borderId="23" applyAlignment="1">
      <alignment vertical="center"/>
    </xf>
    <xf numFmtId="0" fontId="58" fillId="38" borderId="0"/>
    <xf numFmtId="41" fontId="140" fillId="0" borderId="0"/>
    <xf numFmtId="43" fontId="140" fillId="0" borderId="0"/>
    <xf numFmtId="0" fontId="20" fillId="10" borderId="23" applyAlignment="1">
      <alignment horizontal="left" vertical="top" indent="1"/>
    </xf>
    <xf numFmtId="41" fontId="140" fillId="0" borderId="0"/>
    <xf numFmtId="43" fontId="140" fillId="0" borderId="0"/>
    <xf numFmtId="41" fontId="140" fillId="0" borderId="0"/>
    <xf numFmtId="43" fontId="140" fillId="0" borderId="0"/>
    <xf numFmtId="0" fontId="11" fillId="7" borderId="23" applyAlignment="1">
      <alignment horizontal="left" vertical="top" indent="1"/>
    </xf>
    <xf numFmtId="41" fontId="140" fillId="0" borderId="0"/>
    <xf numFmtId="0" fontId="20" fillId="10" borderId="23" applyAlignment="1">
      <alignment vertical="center"/>
    </xf>
    <xf numFmtId="41" fontId="140" fillId="0" borderId="0"/>
    <xf numFmtId="43" fontId="140" fillId="0" borderId="0"/>
    <xf numFmtId="41" fontId="140" fillId="0" borderId="0"/>
    <xf numFmtId="0" fontId="17" fillId="19" borderId="23" applyAlignment="1">
      <alignment horizontal="right" vertical="center"/>
    </xf>
    <xf numFmtId="43" fontId="140" fillId="0" borderId="0"/>
    <xf numFmtId="43" fontId="140" fillId="0" borderId="0"/>
    <xf numFmtId="9" fontId="140" fillId="0" borderId="0"/>
    <xf numFmtId="0" fontId="11" fillId="7" borderId="23" applyAlignment="1">
      <alignment horizontal="left" vertical="top" indent="1"/>
    </xf>
    <xf numFmtId="0" fontId="140" fillId="0" borderId="0"/>
    <xf numFmtId="0" fontId="140" fillId="0" borderId="0"/>
    <xf numFmtId="14" fontId="17" fillId="0" borderId="0"/>
    <xf numFmtId="41" fontId="140" fillId="0" borderId="0"/>
    <xf numFmtId="0" fontId="20" fillId="10" borderId="23" applyAlignment="1">
      <alignment vertical="center"/>
    </xf>
    <xf numFmtId="41" fontId="140" fillId="0" borderId="0"/>
    <xf numFmtId="0" fontId="20" fillId="10" borderId="23" applyAlignment="1">
      <alignment vertical="center"/>
    </xf>
    <xf numFmtId="41" fontId="140" fillId="0" borderId="0"/>
    <xf numFmtId="0" fontId="59" fillId="39" borderId="0"/>
    <xf numFmtId="0" fontId="140" fillId="0" borderId="20"/>
    <xf numFmtId="41" fontId="140" fillId="0" borderId="0"/>
    <xf numFmtId="0" fontId="20" fillId="10" borderId="23" applyAlignment="1">
      <alignment vertical="center"/>
    </xf>
    <xf numFmtId="0" fontId="140" fillId="0" borderId="20"/>
    <xf numFmtId="41" fontId="140" fillId="0" borderId="0"/>
    <xf numFmtId="0" fontId="20" fillId="10" borderId="23" applyAlignment="1">
      <alignment vertical="center"/>
    </xf>
    <xf numFmtId="41" fontId="140" fillId="0" borderId="0"/>
    <xf numFmtId="41" fontId="140" fillId="0" borderId="0"/>
    <xf numFmtId="41" fontId="140" fillId="0" borderId="0"/>
    <xf numFmtId="41" fontId="140" fillId="0" borderId="0"/>
    <xf numFmtId="41" fontId="140" fillId="0" borderId="0"/>
    <xf numFmtId="41" fontId="140" fillId="0" borderId="0"/>
    <xf numFmtId="41" fontId="140" fillId="0" borderId="0"/>
    <xf numFmtId="43" fontId="140" fillId="0" borderId="0"/>
    <xf numFmtId="43" fontId="11" fillId="0" borderId="0"/>
    <xf numFmtId="41" fontId="140" fillId="0" borderId="0"/>
    <xf numFmtId="43" fontId="140" fillId="0" borderId="0"/>
    <xf numFmtId="43" fontId="31" fillId="0" borderId="0"/>
    <xf numFmtId="0" fontId="47" fillId="28" borderId="0"/>
    <xf numFmtId="0" fontId="17" fillId="7" borderId="23" applyAlignment="1">
      <alignment horizontal="left" vertical="center" indent="1"/>
    </xf>
    <xf numFmtId="41" fontId="140" fillId="0" borderId="0"/>
    <xf numFmtId="43" fontId="11" fillId="0" borderId="0"/>
    <xf numFmtId="41" fontId="140" fillId="0" borderId="0"/>
    <xf numFmtId="43" fontId="140" fillId="0" borderId="0"/>
    <xf numFmtId="43" fontId="11" fillId="0" borderId="0"/>
    <xf numFmtId="41" fontId="140" fillId="0" borderId="0"/>
    <xf numFmtId="43" fontId="11" fillId="0" borderId="0"/>
    <xf numFmtId="41" fontId="140" fillId="0" borderId="0"/>
    <xf numFmtId="0" fontId="17" fillId="7" borderId="23" applyAlignment="1">
      <alignment horizontal="left" vertical="center" indent="1"/>
    </xf>
    <xf numFmtId="43" fontId="11" fillId="0" borderId="0"/>
    <xf numFmtId="41" fontId="140" fillId="0" borderId="0"/>
    <xf numFmtId="41" fontId="140" fillId="0" borderId="0"/>
    <xf numFmtId="0" fontId="140" fillId="0" borderId="0"/>
    <xf numFmtId="41" fontId="140" fillId="0" borderId="0"/>
    <xf numFmtId="0" fontId="20" fillId="10" borderId="23" applyAlignment="1">
      <alignment vertical="center"/>
    </xf>
    <xf numFmtId="41" fontId="11" fillId="0" borderId="0"/>
    <xf numFmtId="41" fontId="140" fillId="0" borderId="0"/>
    <xf numFmtId="41" fontId="140" fillId="0" borderId="0"/>
    <xf numFmtId="41" fontId="140" fillId="0" borderId="0"/>
    <xf numFmtId="43" fontId="140" fillId="0" borderId="0"/>
    <xf numFmtId="43" fontId="140" fillId="0" borderId="0"/>
    <xf numFmtId="0" fontId="17" fillId="30" borderId="23" applyAlignment="1">
      <alignment horizontal="right" vertical="center"/>
    </xf>
    <xf numFmtId="43" fontId="140" fillId="0" borderId="0"/>
    <xf numFmtId="41" fontId="140" fillId="0" borderId="0"/>
    <xf numFmtId="41" fontId="140" fillId="0" borderId="0"/>
    <xf numFmtId="43" fontId="32" fillId="0" borderId="0"/>
    <xf numFmtId="41" fontId="140" fillId="0" borderId="0"/>
    <xf numFmtId="43"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41"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0" fontId="29" fillId="33" borderId="20"/>
    <xf numFmtId="43" fontId="140" fillId="0" borderId="0"/>
    <xf numFmtId="43" fontId="140" fillId="0" borderId="0"/>
    <xf numFmtId="41" fontId="32" fillId="0" borderId="0"/>
    <xf numFmtId="0" fontId="17" fillId="19" borderId="23" applyAlignment="1">
      <alignment horizontal="right" vertical="center"/>
    </xf>
    <xf numFmtId="0" fontId="17" fillId="30" borderId="23" applyAlignment="1">
      <alignment horizontal="right" vertical="center"/>
    </xf>
    <xf numFmtId="0" fontId="60" fillId="0" borderId="0" applyProtection="1">
      <protection locked="0" hidden="0"/>
    </xf>
    <xf numFmtId="0" fontId="140" fillId="0" borderId="20"/>
    <xf numFmtId="43" fontId="140" fillId="0" borderId="0"/>
    <xf numFmtId="43"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171" fontId="34" fillId="0" borderId="0"/>
    <xf numFmtId="43" fontId="140" fillId="0" borderId="0"/>
    <xf numFmtId="0" fontId="17" fillId="16" borderId="23" applyAlignment="1">
      <alignment horizontal="right" vertical="center"/>
    </xf>
    <xf numFmtId="0" fontId="29" fillId="9" borderId="20"/>
    <xf numFmtId="43" fontId="140" fillId="0" borderId="0"/>
    <xf numFmtId="0" fontId="20" fillId="10" borderId="23" applyAlignment="1">
      <alignment vertical="center"/>
    </xf>
    <xf numFmtId="43" fontId="140" fillId="0" borderId="0"/>
    <xf numFmtId="43" fontId="140" fillId="0" borderId="0"/>
    <xf numFmtId="0" fontId="11"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20" fillId="10" borderId="23" applyAlignment="1">
      <alignment horizontal="left" vertical="center" indent="1"/>
    </xf>
    <xf numFmtId="0" fontId="140" fillId="0" borderId="0"/>
    <xf numFmtId="0" fontId="35" fillId="16" borderId="0"/>
    <xf numFmtId="43" fontId="140" fillId="0" borderId="0"/>
    <xf numFmtId="41" fontId="11" fillId="0" borderId="0"/>
    <xf numFmtId="43" fontId="140" fillId="0" borderId="0"/>
    <xf numFmtId="43" fontId="140" fillId="0" borderId="0"/>
    <xf numFmtId="43" fontId="140" fillId="0" borderId="0"/>
    <xf numFmtId="187" fontId="32" fillId="0" borderId="0"/>
    <xf numFmtId="43" fontId="140" fillId="0" borderId="0"/>
    <xf numFmtId="0" fontId="140" fillId="0" borderId="0"/>
    <xf numFmtId="41" fontId="140" fillId="0" borderId="0"/>
    <xf numFmtId="0" fontId="61" fillId="0" borderId="0"/>
    <xf numFmtId="0" fontId="17" fillId="16" borderId="23" applyAlignment="1">
      <alignment horizontal="right" vertical="center"/>
    </xf>
    <xf numFmtId="43" fontId="140" fillId="0" borderId="0"/>
    <xf numFmtId="0" fontId="41" fillId="0" borderId="0"/>
    <xf numFmtId="0" fontId="11" fillId="0" borderId="0"/>
    <xf numFmtId="43" fontId="140" fillId="0" borderId="0"/>
    <xf numFmtId="0" fontId="11" fillId="19" borderId="23" applyAlignment="1">
      <alignment horizontal="left" vertical="top" indent="1"/>
    </xf>
    <xf numFmtId="43" fontId="140" fillId="0" borderId="0"/>
    <xf numFmtId="0" fontId="81" fillId="0" borderId="0"/>
    <xf numFmtId="0" fontId="20" fillId="10" borderId="23" applyAlignment="1">
      <alignment horizontal="left" vertical="top" indent="1"/>
    </xf>
    <xf numFmtId="43" fontId="140" fillId="0" borderId="0"/>
    <xf numFmtId="0" fontId="140" fillId="0"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188" fontId="11" fillId="0" borderId="0"/>
    <xf numFmtId="0" fontId="140" fillId="0" borderId="20"/>
    <xf numFmtId="43" fontId="140" fillId="0" borderId="0"/>
    <xf numFmtId="0" fontId="11" fillId="7" borderId="23" applyAlignment="1">
      <alignment horizontal="left" vertical="center" indent="1"/>
    </xf>
    <xf numFmtId="43" fontId="140" fillId="0" borderId="0"/>
    <xf numFmtId="0" fontId="140" fillId="0" borderId="20"/>
    <xf numFmtId="43" fontId="140" fillId="0" borderId="0"/>
    <xf numFmtId="0" fontId="11" fillId="8" borderId="23" applyAlignment="1">
      <alignment horizontal="left" vertical="center" indent="1"/>
    </xf>
    <xf numFmtId="43" fontId="140" fillId="0" borderId="0"/>
    <xf numFmtId="0" fontId="17" fillId="7" borderId="23" applyAlignment="1">
      <alignment horizontal="right" vertical="center"/>
    </xf>
    <xf numFmtId="43" fontId="140" fillId="0" borderId="0"/>
    <xf numFmtId="0" fontId="45" fillId="0" borderId="0"/>
    <xf numFmtId="43" fontId="140" fillId="0" borderId="0"/>
    <xf numFmtId="0" fontId="50" fillId="0" borderId="54" applyAlignment="1">
      <alignment horizontal="lef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0" fontId="11" fillId="18"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63"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175" fontId="11" fillId="0" borderId="0" applyProtection="1">
      <protection locked="0" hidden="0"/>
    </xf>
    <xf numFmtId="0" fontId="17" fillId="17" borderId="23" applyAlignment="1">
      <alignment horizontal="right" vertical="center"/>
    </xf>
    <xf numFmtId="0" fontId="36" fillId="12" borderId="23" applyAlignment="1">
      <alignment vertical="center"/>
    </xf>
    <xf numFmtId="43" fontId="140" fillId="0" borderId="0"/>
    <xf numFmtId="43" fontId="140" fillId="0" borderId="0"/>
    <xf numFmtId="0" fontId="17" fillId="30" borderId="23" applyAlignment="1">
      <alignment horizontal="right" vertical="center"/>
    </xf>
    <xf numFmtId="0" fontId="11" fillId="18" borderId="23" applyAlignment="1">
      <alignment horizontal="left" vertical="center" indent="1"/>
    </xf>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38" fillId="21" borderId="0"/>
    <xf numFmtId="43" fontId="140" fillId="0" borderId="0"/>
    <xf numFmtId="43" fontId="140" fillId="0" borderId="0"/>
    <xf numFmtId="0" fontId="11" fillId="18" borderId="23" applyAlignment="1">
      <alignment horizontal="left" vertical="center" indent="1"/>
    </xf>
    <xf numFmtId="43" fontId="140" fillId="0" borderId="0"/>
    <xf numFmtId="0" fontId="17" fillId="15" borderId="23" applyAlignment="1">
      <alignment horizontal="right" vertical="center"/>
    </xf>
    <xf numFmtId="43" fontId="140" fillId="0" borderId="0"/>
    <xf numFmtId="184" fontId="11"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3" fontId="140" fillId="0" borderId="0"/>
    <xf numFmtId="0" fontId="17" fillId="12" borderId="23" applyAlignment="1">
      <alignment horizontal="left" vertical="center" indent="1"/>
    </xf>
    <xf numFmtId="43" fontId="140" fillId="0" borderId="0"/>
    <xf numFmtId="4" fontId="64"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1" fillId="7" borderId="23" applyAlignment="1">
      <alignment horizontal="left" vertical="center" indent="1"/>
    </xf>
    <xf numFmtId="43" fontId="140" fillId="0" borderId="0"/>
    <xf numFmtId="43" fontId="140" fillId="0" borderId="0"/>
    <xf numFmtId="43" fontId="140" fillId="0" borderId="0"/>
    <xf numFmtId="0" fontId="17" fillId="7" borderId="23" applyAlignment="1">
      <alignment horizontal="left" vertical="center" indent="1"/>
    </xf>
    <xf numFmtId="43" fontId="140" fillId="0" borderId="0"/>
    <xf numFmtId="0" fontId="18" fillId="19" borderId="23" applyAlignment="1">
      <alignment horizontal="right" vertical="center"/>
    </xf>
    <xf numFmtId="43" fontId="140" fillId="0" borderId="0"/>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43" fontId="140" fillId="0" borderId="0"/>
    <xf numFmtId="0" fontId="65" fillId="41" borderId="0"/>
    <xf numFmtId="43" fontId="140" fillId="0" borderId="0"/>
    <xf numFmtId="43" fontId="140" fillId="0" borderId="0"/>
    <xf numFmtId="43" fontId="32" fillId="0" borderId="0"/>
    <xf numFmtId="0" fontId="17" fillId="20" borderId="23" applyAlignment="1">
      <alignment horizontal="right" vertical="center"/>
    </xf>
    <xf numFmtId="189" fontId="66" fillId="0" borderId="0"/>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30" fillId="0" borderId="20"/>
    <xf numFmtId="43" fontId="140" fillId="0" borderId="0"/>
    <xf numFmtId="43" fontId="140" fillId="0" borderId="0"/>
    <xf numFmtId="0" fontId="11" fillId="19" borderId="23" applyAlignment="1">
      <alignment horizontal="left" vertical="center" indent="1"/>
    </xf>
    <xf numFmtId="0" fontId="11" fillId="8" borderId="23" applyAlignment="1">
      <alignment horizontal="left" vertical="top" indent="1"/>
    </xf>
    <xf numFmtId="43" fontId="140" fillId="0" borderId="0"/>
    <xf numFmtId="43" fontId="140" fillId="0" borderId="0"/>
    <xf numFmtId="0" fontId="62" fillId="40" borderId="20" applyAlignment="1">
      <alignment horizontal="center" vertical="center"/>
    </xf>
    <xf numFmtId="0" fontId="36"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43" fontId="140" fillId="0" borderId="0"/>
    <xf numFmtId="43" fontId="140" fillId="0" borderId="0"/>
    <xf numFmtId="9" fontId="140" fillId="0" borderId="0"/>
    <xf numFmtId="0" fontId="44" fillId="0" borderId="0"/>
    <xf numFmtId="0" fontId="29" fillId="9" borderId="20"/>
    <xf numFmtId="0" fontId="11" fillId="8" borderId="23" applyAlignment="1">
      <alignment horizontal="left" vertical="top" indent="1"/>
    </xf>
    <xf numFmtId="43" fontId="140" fillId="0" borderId="0"/>
    <xf numFmtId="43" fontId="140" fillId="0" borderId="0"/>
    <xf numFmtId="43" fontId="140" fillId="0" borderId="0"/>
    <xf numFmtId="43" fontId="11" fillId="0" borderId="0"/>
    <xf numFmtId="0" fontId="20" fillId="10" borderId="23" applyAlignment="1">
      <alignment vertical="center"/>
    </xf>
    <xf numFmtId="43" fontId="11" fillId="0" borderId="0"/>
    <xf numFmtId="41" fontId="140" fillId="0" borderId="0"/>
    <xf numFmtId="0" fontId="17" fillId="15" borderId="23" applyAlignment="1">
      <alignment horizontal="right" vertical="center"/>
    </xf>
    <xf numFmtId="41" fontId="140" fillId="0" borderId="0"/>
    <xf numFmtId="0" fontId="17" fillId="15" borderId="23" applyAlignment="1">
      <alignment horizontal="right" vertical="center"/>
    </xf>
    <xf numFmtId="41" fontId="140" fillId="0" borderId="0"/>
    <xf numFmtId="43" fontId="140" fillId="0" borderId="0"/>
    <xf numFmtId="43" fontId="140" fillId="0" borderId="0"/>
    <xf numFmtId="0" fontId="140" fillId="0" borderId="0"/>
    <xf numFmtId="43" fontId="140" fillId="0" borderId="0"/>
    <xf numFmtId="41" fontId="140" fillId="0" borderId="0"/>
    <xf numFmtId="43" fontId="140" fillId="0" borderId="0"/>
    <xf numFmtId="43" fontId="31" fillId="0" borderId="0"/>
    <xf numFmtId="43" fontId="11" fillId="0" borderId="0"/>
    <xf numFmtId="43" fontId="140" fillId="0" borderId="0"/>
    <xf numFmtId="43" fontId="140" fillId="0" borderId="0"/>
    <xf numFmtId="43" fontId="32" fillId="0" borderId="0"/>
    <xf numFmtId="0" fontId="29" fillId="12" borderId="20"/>
    <xf numFmtId="43" fontId="140" fillId="0" borderId="0"/>
    <xf numFmtId="43" fontId="140" fillId="0" borderId="0"/>
    <xf numFmtId="41" fontId="32" fillId="0" borderId="0"/>
    <xf numFmtId="43" fontId="31" fillId="0" borderId="0"/>
    <xf numFmtId="0" fontId="17" fillId="16" borderId="23" applyAlignment="1">
      <alignment horizontal="right" vertical="center"/>
    </xf>
    <xf numFmtId="41" fontId="140" fillId="0" borderId="0"/>
    <xf numFmtId="43" fontId="31" fillId="0" borderId="0"/>
    <xf numFmtId="43" fontId="140" fillId="0" borderId="0"/>
    <xf numFmtId="43" fontId="140" fillId="0" borderId="0"/>
    <xf numFmtId="0" fontId="50" fillId="0" borderId="54" applyAlignment="1">
      <alignment horizontal="left" vertical="center"/>
    </xf>
    <xf numFmtId="43" fontId="31" fillId="0" borderId="0"/>
    <xf numFmtId="0" fontId="140" fillId="0" borderId="0"/>
    <xf numFmtId="43" fontId="140" fillId="0" borderId="0"/>
    <xf numFmtId="43" fontId="140" fillId="0" borderId="0"/>
    <xf numFmtId="0" fontId="29" fillId="9" borderId="20"/>
    <xf numFmtId="43" fontId="140" fillId="0" borderId="0"/>
    <xf numFmtId="41" fontId="140" fillId="0" borderId="0"/>
    <xf numFmtId="41" fontId="140" fillId="0" borderId="0"/>
    <xf numFmtId="43" fontId="11" fillId="0" borderId="0"/>
    <xf numFmtId="43" fontId="11" fillId="0" borderId="0"/>
    <xf numFmtId="43" fontId="140" fillId="0" borderId="0"/>
    <xf numFmtId="43" fontId="140" fillId="0" borderId="0"/>
    <xf numFmtId="41" fontId="140" fillId="0" borderId="0"/>
    <xf numFmtId="43" fontId="31" fillId="0" borderId="0"/>
    <xf numFmtId="43" fontId="11" fillId="0" borderId="0"/>
    <xf numFmtId="41" fontId="140" fillId="0" borderId="0"/>
    <xf numFmtId="0" fontId="11" fillId="19" borderId="23" applyAlignment="1">
      <alignment horizontal="left" vertical="center" indent="1"/>
    </xf>
    <xf numFmtId="43" fontId="31" fillId="0" borderId="0"/>
    <xf numFmtId="0" fontId="68" fillId="0" borderId="0" applyAlignment="1">
      <alignment vertical="center"/>
    </xf>
    <xf numFmtId="43" fontId="140" fillId="0" borderId="0"/>
    <xf numFmtId="175" fontId="11" fillId="0" borderId="0" applyProtection="1">
      <protection locked="0" hidden="0"/>
    </xf>
    <xf numFmtId="43" fontId="140" fillId="0" borderId="0"/>
    <xf numFmtId="43" fontId="140" fillId="0" borderId="0"/>
    <xf numFmtId="0" fontId="20" fillId="10" borderId="23" applyAlignment="1">
      <alignment vertical="center"/>
    </xf>
    <xf numFmtId="43" fontId="140" fillId="0" borderId="0"/>
    <xf numFmtId="43" fontId="140" fillId="0" borderId="0"/>
    <xf numFmtId="0" fontId="50" fillId="0" borderId="54" applyAlignment="1">
      <alignment horizontal="left" vertical="center"/>
    </xf>
    <xf numFmtId="43" fontId="140" fillId="0" borderId="0"/>
    <xf numFmtId="43" fontId="140" fillId="0" borderId="0"/>
    <xf numFmtId="0" fontId="11" fillId="18" borderId="23" applyAlignment="1">
      <alignment horizontal="left" vertical="top" indent="1"/>
    </xf>
    <xf numFmtId="43" fontId="140" fillId="0" borderId="0"/>
    <xf numFmtId="0" fontId="17" fillId="12" borderId="23" applyAlignment="1">
      <alignment horizontal="left" vertical="top" indent="1"/>
    </xf>
    <xf numFmtId="43" fontId="140" fillId="0" borderId="0"/>
    <xf numFmtId="43" fontId="140" fillId="0" borderId="0"/>
    <xf numFmtId="0" fontId="17" fillId="12"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29" fillId="9" borderId="20"/>
    <xf numFmtId="43" fontId="140" fillId="0" borderId="0"/>
    <xf numFmtId="43" fontId="140" fillId="0" borderId="0"/>
    <xf numFmtId="43" fontId="140" fillId="0" borderId="0"/>
    <xf numFmtId="0" fontId="20" fillId="10" borderId="23" applyAlignment="1">
      <alignment vertical="center"/>
    </xf>
    <xf numFmtId="43" fontId="140" fillId="0" borderId="0"/>
    <xf numFmtId="0" fontId="17" fillId="15" borderId="23" applyAlignment="1">
      <alignment horizontal="right" vertical="center"/>
    </xf>
    <xf numFmtId="43" fontId="140" fillId="0" borderId="0"/>
    <xf numFmtId="43" fontId="140" fillId="0" borderId="0"/>
    <xf numFmtId="43" fontId="31" fillId="0" borderId="0"/>
    <xf numFmtId="0" fontId="11" fillId="18" borderId="23" applyAlignment="1">
      <alignment horizontal="left" vertical="top" indent="1"/>
    </xf>
    <xf numFmtId="41"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31" fillId="0" borderId="0"/>
    <xf numFmtId="43" fontId="31" fillId="0" borderId="0"/>
    <xf numFmtId="0" fontId="30" fillId="0" borderId="20"/>
    <xf numFmtId="0" fontId="140" fillId="0" borderId="0"/>
    <xf numFmtId="41" fontId="140" fillId="0" borderId="0"/>
    <xf numFmtId="0" fontId="140" fillId="0" borderId="0"/>
    <xf numFmtId="41" fontId="140" fillId="0" borderId="0"/>
    <xf numFmtId="43" fontId="140" fillId="0" borderId="0"/>
    <xf numFmtId="43" fontId="140" fillId="0" borderId="0"/>
    <xf numFmtId="0" fontId="17" fillId="15" borderId="23" applyAlignment="1">
      <alignment horizontal="right" vertical="center"/>
    </xf>
    <xf numFmtId="0" fontId="140" fillId="0" borderId="0"/>
    <xf numFmtId="41" fontId="140" fillId="0" borderId="0"/>
    <xf numFmtId="0" fontId="44" fillId="0" borderId="0"/>
    <xf numFmtId="43" fontId="140" fillId="0" borderId="0"/>
    <xf numFmtId="0" fontId="140" fillId="0" borderId="0"/>
    <xf numFmtId="0" fontId="68" fillId="0" borderId="0" applyAlignment="1">
      <alignment vertical="center"/>
    </xf>
    <xf numFmtId="43" fontId="140" fillId="0" borderId="0"/>
    <xf numFmtId="0" fontId="20" fillId="10" borderId="23" applyAlignment="1">
      <alignment horizontal="left" vertical="top" indent="1"/>
    </xf>
    <xf numFmtId="0" fontId="140" fillId="0" borderId="0"/>
    <xf numFmtId="43" fontId="11" fillId="0" borderId="0"/>
    <xf numFmtId="0" fontId="20" fillId="10" borderId="23" applyAlignment="1">
      <alignment horizontal="left" vertical="top" indent="1"/>
    </xf>
    <xf numFmtId="43" fontId="140" fillId="0" borderId="0"/>
    <xf numFmtId="41" fontId="140" fillId="0" borderId="0"/>
    <xf numFmtId="0" fontId="5" fillId="0" borderId="0"/>
    <xf numFmtId="0" fontId="20" fillId="10" borderId="23" applyAlignment="1">
      <alignment horizontal="left" vertical="top" indent="1"/>
    </xf>
    <xf numFmtId="0" fontId="62" fillId="40" borderId="20" applyAlignment="1">
      <alignment horizontal="center" vertical="center"/>
    </xf>
    <xf numFmtId="43" fontId="31" fillId="0" borderId="0"/>
    <xf numFmtId="43" fontId="11" fillId="0" borderId="0"/>
    <xf numFmtId="0" fontId="17" fillId="20" borderId="23" applyAlignment="1">
      <alignment horizontal="right" vertical="center"/>
    </xf>
    <xf numFmtId="0" fontId="69" fillId="0" borderId="0"/>
    <xf numFmtId="0" fontId="17" fillId="7" borderId="23" applyAlignment="1">
      <alignment horizontal="left" vertical="center" indent="1"/>
    </xf>
    <xf numFmtId="41" fontId="140" fillId="0" borderId="0"/>
    <xf numFmtId="41" fontId="140" fillId="0" borderId="0"/>
    <xf numFmtId="43" fontId="140" fillId="0" borderId="0"/>
    <xf numFmtId="43" fontId="140" fillId="0" borderId="0"/>
    <xf numFmtId="0" fontId="11" fillId="7" borderId="23" applyAlignment="1">
      <alignment horizontal="left" vertical="top" indent="1"/>
    </xf>
    <xf numFmtId="182" fontId="34" fillId="0" borderId="0"/>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182" fontId="34"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1" fillId="18" borderId="23" applyAlignment="1">
      <alignment horizontal="left" vertical="top" indent="1"/>
    </xf>
    <xf numFmtId="0" fontId="70" fillId="0" borderId="0" applyAlignment="1">
      <alignment horizontal="left"/>
    </xf>
    <xf numFmtId="43" fontId="46" fillId="0" borderId="0"/>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17" fillId="17" borderId="23" applyAlignment="1">
      <alignment horizontal="right" vertical="center"/>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0" fontId="17" fillId="35" borderId="23" applyAlignment="1">
      <alignment horizontal="right" vertical="center"/>
    </xf>
    <xf numFmtId="0" fontId="140" fillId="0" borderId="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0" fontId="71" fillId="42" borderId="0"/>
    <xf numFmtId="171" fontId="34" fillId="0" borderId="0"/>
    <xf numFmtId="43" fontId="140" fillId="0" borderId="0"/>
    <xf numFmtId="43" fontId="140" fillId="0" borderId="0"/>
    <xf numFmtId="0" fontId="30" fillId="0" borderId="2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0" fontId="17" fillId="12" borderId="23" applyAlignment="1">
      <alignment horizontal="left" vertical="center" indent="1"/>
    </xf>
    <xf numFmtId="43" fontId="140" fillId="0" borderId="0"/>
    <xf numFmtId="43" fontId="140" fillId="0" borderId="0"/>
    <xf numFmtId="43" fontId="140" fillId="0" borderId="0"/>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1" fontId="11" fillId="0" borderId="0"/>
    <xf numFmtId="41" fontId="11" fillId="0" borderId="0"/>
    <xf numFmtId="41" fontId="11" fillId="0" borderId="0"/>
    <xf numFmtId="41" fontId="11" fillId="0" borderId="0"/>
    <xf numFmtId="43" fontId="140" fillId="0" borderId="0"/>
    <xf numFmtId="41" fontId="11" fillId="0" borderId="0"/>
    <xf numFmtId="0" fontId="140" fillId="0" borderId="0"/>
    <xf numFmtId="41" fontId="11" fillId="0" borderId="0"/>
    <xf numFmtId="41" fontId="11" fillId="0" borderId="0"/>
    <xf numFmtId="41" fontId="11" fillId="0" borderId="0"/>
    <xf numFmtId="43" fontId="140" fillId="0" borderId="0"/>
    <xf numFmtId="0" fontId="20" fillId="10" borderId="23" applyAlignment="1">
      <alignment horizontal="left" vertical="center" indent="1"/>
    </xf>
    <xf numFmtId="0" fontId="17" fillId="30" borderId="23" applyAlignment="1">
      <alignment horizontal="right" vertical="center"/>
    </xf>
    <xf numFmtId="41" fontId="11" fillId="0" borderId="0"/>
    <xf numFmtId="0" fontId="140" fillId="0" borderId="0"/>
    <xf numFmtId="41" fontId="11" fillId="0" borderId="0"/>
    <xf numFmtId="41" fontId="11" fillId="0" borderId="0"/>
    <xf numFmtId="41" fontId="11" fillId="0" borderId="0"/>
    <xf numFmtId="0" fontId="35" fillId="16" borderId="0"/>
    <xf numFmtId="41" fontId="11" fillId="0" borderId="0"/>
    <xf numFmtId="41" fontId="11" fillId="0" borderId="0"/>
    <xf numFmtId="0" fontId="140" fillId="0" borderId="0"/>
    <xf numFmtId="43" fontId="140" fillId="0" borderId="0"/>
    <xf numFmtId="41" fontId="11" fillId="0" borderId="0"/>
    <xf numFmtId="41" fontId="11" fillId="0" borderId="0"/>
    <xf numFmtId="43" fontId="32" fillId="0" borderId="0"/>
    <xf numFmtId="43" fontId="140" fillId="0" borderId="0"/>
    <xf numFmtId="43" fontId="140" fillId="0" borderId="0"/>
    <xf numFmtId="0" fontId="17"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27" fillId="10" borderId="23" applyAlignment="1">
      <alignment vertical="center"/>
    </xf>
    <xf numFmtId="43" fontId="140" fillId="0" borderId="0"/>
    <xf numFmtId="0" fontId="16" fillId="0" borderId="0"/>
    <xf numFmtId="171" fontId="34" fillId="0" borderId="0"/>
    <xf numFmtId="43" fontId="140" fillId="0" borderId="0"/>
    <xf numFmtId="0" fontId="30" fillId="0" borderId="20"/>
    <xf numFmtId="0" fontId="140" fillId="0" borderId="20"/>
    <xf numFmtId="43" fontId="140" fillId="0" borderId="0"/>
    <xf numFmtId="0" fontId="140" fillId="0" borderId="0"/>
    <xf numFmtId="0" fontId="140" fillId="0" borderId="20"/>
    <xf numFmtId="42" fontId="11" fillId="0" borderId="0"/>
    <xf numFmtId="0" fontId="30" fillId="0" borderId="2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40" fillId="0" borderId="20"/>
    <xf numFmtId="43" fontId="140" fillId="0" borderId="0"/>
    <xf numFmtId="0" fontId="17" fillId="17" borderId="23" applyAlignment="1">
      <alignment horizontal="right" vertical="center"/>
    </xf>
    <xf numFmtId="43" fontId="32" fillId="0" borderId="0"/>
    <xf numFmtId="43" fontId="140" fillId="0" borderId="0"/>
    <xf numFmtId="43" fontId="140" fillId="0" borderId="0"/>
    <xf numFmtId="43" fontId="32" fillId="0" borderId="0"/>
    <xf numFmtId="43" fontId="140" fillId="0" borderId="0"/>
    <xf numFmtId="43" fontId="140" fillId="0" borderId="0"/>
    <xf numFmtId="0" fontId="20" fillId="10" borderId="23" applyAlignment="1">
      <alignment horizontal="left" vertical="center" indent="1"/>
    </xf>
    <xf numFmtId="37" fontId="72" fillId="0" borderId="0"/>
    <xf numFmtId="0" fontId="17" fillId="35" borderId="23" applyAlignment="1">
      <alignment horizontal="right" vertical="center"/>
    </xf>
    <xf numFmtId="43" fontId="140" fillId="0" borderId="0"/>
    <xf numFmtId="43" fontId="140" fillId="0" borderId="0"/>
    <xf numFmtId="43" fontId="140" fillId="0" borderId="0"/>
    <xf numFmtId="0" fontId="20" fillId="10" borderId="23" applyAlignment="1">
      <alignment horizontal="left" vertical="center" indent="1"/>
    </xf>
    <xf numFmtId="43" fontId="140" fillId="0" borderId="0"/>
    <xf numFmtId="0" fontId="140" fillId="0" borderId="0"/>
    <xf numFmtId="43" fontId="140" fillId="0" borderId="0"/>
    <xf numFmtId="0" fontId="20" fillId="10" borderId="23" applyAlignment="1">
      <alignment horizontal="left" vertical="center" indent="1"/>
    </xf>
    <xf numFmtId="0" fontId="140" fillId="0" borderId="0"/>
    <xf numFmtId="43" fontId="140" fillId="0" borderId="0"/>
    <xf numFmtId="0" fontId="140" fillId="0" borderId="20"/>
    <xf numFmtId="0" fontId="17" fillId="7" borderId="23" applyAlignment="1">
      <alignment horizontal="right" vertical="center"/>
    </xf>
    <xf numFmtId="43" fontId="140" fillId="0" borderId="0"/>
    <xf numFmtId="43" fontId="140" fillId="0" borderId="0"/>
    <xf numFmtId="0" fontId="5" fillId="0" borderId="0"/>
    <xf numFmtId="0" fontId="20" fillId="10" borderId="23" applyAlignment="1">
      <alignment horizontal="left" vertical="top" indent="1"/>
    </xf>
    <xf numFmtId="43" fontId="140" fillId="0" borderId="0"/>
    <xf numFmtId="0" fontId="31" fillId="0" borderId="0"/>
    <xf numFmtId="43" fontId="140" fillId="0" borderId="0"/>
    <xf numFmtId="0" fontId="17" fillId="12" borderId="23" applyAlignment="1">
      <alignment horizontal="left" vertical="center" indent="1"/>
    </xf>
    <xf numFmtId="0" fontId="17" fillId="7" borderId="23" applyAlignment="1">
      <alignment horizontal="left" vertical="center" indent="1"/>
    </xf>
    <xf numFmtId="43" fontId="140" fillId="0" borderId="0"/>
    <xf numFmtId="0" fontId="140" fillId="0" borderId="0"/>
    <xf numFmtId="43" fontId="140" fillId="0" borderId="0"/>
    <xf numFmtId="43" fontId="140" fillId="0" borderId="0"/>
    <xf numFmtId="0" fontId="140" fillId="0" borderId="0"/>
    <xf numFmtId="43" fontId="140" fillId="0" borderId="0"/>
    <xf numFmtId="0" fontId="17" fillId="7" borderId="23" applyAlignment="1">
      <alignment horizontal="right" vertical="center"/>
    </xf>
    <xf numFmtId="0" fontId="5" fillId="0" borderId="0"/>
    <xf numFmtId="43" fontId="140" fillId="0" borderId="0"/>
    <xf numFmtId="0" fontId="140" fillId="0" borderId="20"/>
    <xf numFmtId="43" fontId="140" fillId="0" borderId="0"/>
    <xf numFmtId="0" fontId="11" fillId="7" borderId="23" applyAlignment="1">
      <alignment horizontal="left" vertical="center" indent="1"/>
    </xf>
    <xf numFmtId="0" fontId="29" fillId="12" borderId="20"/>
    <xf numFmtId="43" fontId="140" fillId="0" borderId="0"/>
    <xf numFmtId="0" fontId="17" fillId="12" borderId="23" applyAlignment="1">
      <alignment horizontal="left" vertical="top" indent="1"/>
    </xf>
    <xf numFmtId="0" fontId="140" fillId="0" borderId="20"/>
    <xf numFmtId="39" fontId="40" fillId="0" borderId="0"/>
    <xf numFmtId="43" fontId="140" fillId="0" borderId="0"/>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0" fontId="17" fillId="35" borderId="23" applyAlignment="1">
      <alignment horizontal="right" vertical="center"/>
    </xf>
    <xf numFmtId="41" fontId="140" fillId="0" borderId="0"/>
    <xf numFmtId="41" fontId="140" fillId="0" borderId="0"/>
    <xf numFmtId="0" fontId="17" fillId="7" borderId="23" applyAlignment="1">
      <alignment horizontal="right" vertical="center"/>
    </xf>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41" fontId="140" fillId="0" borderId="0"/>
    <xf numFmtId="0" fontId="11" fillId="7" borderId="23" applyAlignment="1">
      <alignment horizontal="left" vertical="center" indent="1"/>
    </xf>
    <xf numFmtId="41" fontId="140" fillId="0" borderId="0"/>
    <xf numFmtId="0" fontId="29" fillId="12" borderId="20"/>
    <xf numFmtId="0" fontId="17" fillId="12" borderId="23" applyAlignment="1">
      <alignment horizontal="left" vertical="top" indent="1"/>
    </xf>
    <xf numFmtId="0" fontId="140" fillId="0" borderId="20"/>
    <xf numFmtId="0" fontId="17" fillId="20" borderId="23" applyAlignment="1">
      <alignment horizontal="right" vertical="center"/>
    </xf>
    <xf numFmtId="0" fontId="140" fillId="0" borderId="20"/>
    <xf numFmtId="43" fontId="140" fillId="0" borderId="0"/>
    <xf numFmtId="0" fontId="11" fillId="19" borderId="23" applyAlignment="1">
      <alignment horizontal="left" vertical="top" indent="1"/>
    </xf>
    <xf numFmtId="43" fontId="140" fillId="0" borderId="0"/>
    <xf numFmtId="43" fontId="140" fillId="0" borderId="0"/>
    <xf numFmtId="43" fontId="140" fillId="0" borderId="0"/>
    <xf numFmtId="182" fontId="40" fillId="0" borderId="0"/>
    <xf numFmtId="171" fontId="34" fillId="0" borderId="0"/>
    <xf numFmtId="0" fontId="73" fillId="0" borderId="0"/>
    <xf numFmtId="190" fontId="140" fillId="0" borderId="0"/>
    <xf numFmtId="191" fontId="46" fillId="0" borderId="0"/>
    <xf numFmtId="0" fontId="11" fillId="19" borderId="23" applyAlignment="1">
      <alignment horizontal="left" vertical="center" indent="1"/>
    </xf>
    <xf numFmtId="0" fontId="140" fillId="0" borderId="20"/>
    <xf numFmtId="0" fontId="11" fillId="0" borderId="0"/>
    <xf numFmtId="0" fontId="74" fillId="0" borderId="0"/>
    <xf numFmtId="0" fontId="18" fillId="19" borderId="23" applyAlignment="1">
      <alignment horizontal="right" vertical="center"/>
    </xf>
    <xf numFmtId="0" fontId="140" fillId="0" borderId="20"/>
    <xf numFmtId="0" fontId="140" fillId="0" borderId="20"/>
    <xf numFmtId="0" fontId="20" fillId="10" borderId="23" applyAlignment="1">
      <alignment vertical="center"/>
    </xf>
    <xf numFmtId="0" fontId="140" fillId="0" borderId="20"/>
    <xf numFmtId="0" fontId="17" fillId="21" borderId="23" applyAlignment="1">
      <alignment horizontal="right" vertical="center"/>
    </xf>
    <xf numFmtId="0" fontId="140" fillId="0" borderId="20"/>
    <xf numFmtId="0" fontId="30" fillId="0" borderId="20"/>
    <xf numFmtId="0" fontId="140" fillId="0" borderId="20"/>
    <xf numFmtId="0" fontId="30" fillId="0" borderId="20"/>
    <xf numFmtId="0" fontId="140" fillId="0" borderId="20"/>
    <xf numFmtId="0" fontId="74" fillId="0" borderId="0"/>
    <xf numFmtId="0" fontId="30" fillId="0" borderId="20"/>
    <xf numFmtId="0" fontId="29" fillId="12" borderId="20"/>
    <xf numFmtId="0" fontId="140" fillId="0" borderId="20"/>
    <xf numFmtId="0" fontId="29" fillId="12" borderId="20"/>
    <xf numFmtId="0" fontId="17" fillId="12" borderId="23" applyAlignment="1">
      <alignment horizontal="left" vertical="top" indent="1"/>
    </xf>
    <xf numFmtId="0" fontId="140" fillId="0" borderId="20"/>
    <xf numFmtId="9" fontId="31" fillId="0" borderId="0"/>
    <xf numFmtId="40" fontId="75" fillId="0" borderId="0"/>
    <xf numFmtId="0" fontId="29" fillId="12" borderId="20"/>
    <xf numFmtId="0" fontId="17" fillId="12" borderId="23" applyAlignment="1">
      <alignment horizontal="left" vertical="top" indent="1"/>
    </xf>
    <xf numFmtId="0" fontId="140" fillId="0" borderId="20"/>
    <xf numFmtId="0" fontId="140" fillId="0" borderId="20"/>
    <xf numFmtId="0" fontId="17" fillId="17" borderId="23" applyAlignment="1">
      <alignment horizontal="right" vertical="center"/>
    </xf>
    <xf numFmtId="0" fontId="140" fillId="0" borderId="20"/>
    <xf numFmtId="0" fontId="140" fillId="0" borderId="20"/>
    <xf numFmtId="0" fontId="140" fillId="0" borderId="20"/>
    <xf numFmtId="0" fontId="140" fillId="0" borderId="20"/>
    <xf numFmtId="174" fontId="140" fillId="0" borderId="0" applyProtection="1">
      <protection locked="0" hidden="0"/>
    </xf>
    <xf numFmtId="0" fontId="140" fillId="0" borderId="20"/>
    <xf numFmtId="0" fontId="17" fillId="20" borderId="23" applyAlignment="1">
      <alignment horizontal="right" vertical="center"/>
    </xf>
    <xf numFmtId="0" fontId="140" fillId="0" borderId="20"/>
    <xf numFmtId="0" fontId="140" fillId="0" borderId="20"/>
    <xf numFmtId="0" fontId="31" fillId="0" borderId="0"/>
    <xf numFmtId="182" fontId="34" fillId="0" borderId="0"/>
    <xf numFmtId="0" fontId="140" fillId="0" borderId="20"/>
    <xf numFmtId="0" fontId="140" fillId="0" borderId="20"/>
    <xf numFmtId="0" fontId="17" fillId="30" borderId="23" applyAlignment="1">
      <alignment horizontal="right" vertical="center"/>
    </xf>
    <xf numFmtId="0" fontId="140" fillId="0" borderId="20"/>
    <xf numFmtId="0" fontId="47" fillId="28" borderId="0"/>
    <xf numFmtId="0" fontId="17" fillId="30" borderId="23" applyAlignment="1">
      <alignment horizontal="right" vertical="center"/>
    </xf>
    <xf numFmtId="0" fontId="60" fillId="0" borderId="0" applyProtection="1">
      <protection locked="0" hidden="0"/>
    </xf>
    <xf numFmtId="0" fontId="140" fillId="0" borderId="20"/>
    <xf numFmtId="0" fontId="17" fillId="30" borderId="23" applyAlignment="1">
      <alignment horizontal="right" vertical="center"/>
    </xf>
    <xf numFmtId="0" fontId="41" fillId="0" borderId="0"/>
    <xf numFmtId="0" fontId="140" fillId="0" borderId="20"/>
    <xf numFmtId="0" fontId="17" fillId="30" borderId="23" applyAlignment="1">
      <alignment horizontal="right" vertical="center"/>
    </xf>
    <xf numFmtId="0" fontId="140" fillId="0" borderId="20"/>
    <xf numFmtId="0" fontId="17" fillId="13" borderId="23" applyAlignment="1">
      <alignment horizontal="right" vertical="center"/>
    </xf>
    <xf numFmtId="0" fontId="17" fillId="30" borderId="23" applyAlignment="1">
      <alignment horizontal="right" vertical="center"/>
    </xf>
    <xf numFmtId="0" fontId="11" fillId="19" borderId="23" applyAlignment="1">
      <alignment horizontal="left" vertical="center" indent="1"/>
    </xf>
    <xf numFmtId="0" fontId="140" fillId="0" borderId="20"/>
    <xf numFmtId="0" fontId="17" fillId="13" borderId="23" applyAlignment="1">
      <alignment horizontal="right" vertical="center"/>
    </xf>
    <xf numFmtId="0" fontId="140" fillId="0" borderId="20"/>
    <xf numFmtId="0" fontId="140" fillId="0" borderId="20"/>
    <xf numFmtId="0" fontId="20" fillId="10" borderId="23" applyAlignment="1">
      <alignment horizontal="left" vertical="center" indent="1"/>
    </xf>
    <xf numFmtId="0" fontId="140" fillId="0" borderId="20"/>
    <xf numFmtId="0" fontId="20" fillId="10" borderId="23" applyAlignment="1">
      <alignment horizontal="left" vertical="center" indent="1"/>
    </xf>
    <xf numFmtId="0" fontId="140" fillId="0" borderId="20"/>
    <xf numFmtId="175" fontId="11" fillId="0" borderId="0" applyProtection="1">
      <protection locked="0" hidden="0"/>
    </xf>
    <xf numFmtId="0" fontId="140" fillId="0" borderId="20"/>
    <xf numFmtId="182" fontId="34" fillId="0" borderId="0"/>
    <xf numFmtId="0" fontId="140" fillId="0" borderId="20"/>
    <xf numFmtId="0" fontId="140" fillId="0" borderId="20"/>
    <xf numFmtId="0" fontId="11" fillId="8" borderId="23" applyAlignment="1">
      <alignment horizontal="left" vertical="center" indent="1"/>
    </xf>
    <xf numFmtId="0" fontId="31" fillId="0" borderId="0"/>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192" fontId="46" fillId="0" borderId="0"/>
    <xf numFmtId="0" fontId="29" fillId="33" borderId="20"/>
    <xf numFmtId="0" fontId="20" fillId="10" borderId="23" applyAlignment="1">
      <alignment horizontal="left" vertical="top" indent="1"/>
    </xf>
    <xf numFmtId="0" fontId="29" fillId="33" borderId="20"/>
    <xf numFmtId="0" fontId="20" fillId="10" borderId="23" applyAlignment="1">
      <alignment horizontal="left" vertical="center" indent="1"/>
    </xf>
    <xf numFmtId="0" fontId="17" fillId="19" borderId="23" applyAlignment="1">
      <alignment horizontal="right" vertical="center"/>
    </xf>
    <xf numFmtId="0" fontId="29" fillId="33" borderId="20"/>
    <xf numFmtId="0" fontId="17" fillId="19" borderId="23" applyAlignment="1">
      <alignment horizontal="right" vertical="center"/>
    </xf>
    <xf numFmtId="0" fontId="71" fillId="43" borderId="0"/>
    <xf numFmtId="9" fontId="140" fillId="0" borderId="0"/>
    <xf numFmtId="0" fontId="76" fillId="0" borderId="0" applyAlignment="1">
      <alignment horizontal="center"/>
    </xf>
    <xf numFmtId="0" fontId="29" fillId="33" borderId="20"/>
    <xf numFmtId="0" fontId="17" fillId="20" borderId="23" applyAlignment="1">
      <alignment horizontal="right" vertical="center"/>
    </xf>
    <xf numFmtId="0" fontId="29" fillId="33" borderId="20"/>
    <xf numFmtId="0" fontId="77" fillId="0" borderId="0"/>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193" fontId="81" fillId="0" borderId="0"/>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0" fontId="78" fillId="39" borderId="0"/>
    <xf numFmtId="0" fontId="65" fillId="41" borderId="0"/>
    <xf numFmtId="0" fontId="17" fillId="12" borderId="23" applyAlignment="1">
      <alignment horizontal="left" vertical="center" indent="1"/>
    </xf>
    <xf numFmtId="0" fontId="65" fillId="41" borderId="0"/>
    <xf numFmtId="0" fontId="17" fillId="12" borderId="23" applyAlignment="1">
      <alignment horizontal="left" vertical="center" indent="1"/>
    </xf>
    <xf numFmtId="0" fontId="17" fillId="7" borderId="23" applyAlignment="1">
      <alignment horizontal="left" vertical="center" indent="1"/>
    </xf>
    <xf numFmtId="0" fontId="17" fillId="21" borderId="23" applyAlignment="1">
      <alignment horizontal="right" vertical="center"/>
    </xf>
    <xf numFmtId="0" fontId="65" fillId="41" borderId="0"/>
    <xf numFmtId="0" fontId="29" fillId="9" borderId="0"/>
    <xf numFmtId="0" fontId="11" fillId="8" borderId="23" applyAlignment="1">
      <alignment horizontal="left" vertical="top" indent="1"/>
    </xf>
    <xf numFmtId="43" fontId="140" fillId="0" borderId="0"/>
    <xf numFmtId="0" fontId="41" fillId="0" borderId="0"/>
    <xf numFmtId="0" fontId="50" fillId="0" borderId="40"/>
    <xf numFmtId="0" fontId="140" fillId="0" borderId="0"/>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182" fontId="34" fillId="0" borderId="0"/>
    <xf numFmtId="0" fontId="50" fillId="0" borderId="54" applyAlignment="1">
      <alignment horizontal="left" vertical="center"/>
    </xf>
    <xf numFmtId="0" fontId="50" fillId="0" borderId="54" applyAlignment="1">
      <alignment horizontal="left" vertical="center"/>
    </xf>
    <xf numFmtId="0" fontId="11" fillId="19" borderId="23" applyAlignment="1">
      <alignment horizontal="left" vertical="center" indent="1"/>
    </xf>
    <xf numFmtId="0" fontId="31" fillId="0" borderId="0"/>
    <xf numFmtId="0" fontId="50" fillId="0" borderId="54" applyAlignment="1">
      <alignment horizontal="left" vertical="center"/>
    </xf>
    <xf numFmtId="0" fontId="50" fillId="0" borderId="54" applyAlignment="1">
      <alignment horizontal="left" vertical="center"/>
    </xf>
    <xf numFmtId="0" fontId="11" fillId="8" borderId="23" applyAlignment="1">
      <alignment horizontal="left" vertical="center" indent="1"/>
    </xf>
    <xf numFmtId="175" fontId="11" fillId="0" borderId="0" applyProtection="1">
      <protection locked="0" hidden="0"/>
    </xf>
    <xf numFmtId="0" fontId="36" fillId="19" borderId="23" applyAlignment="1">
      <alignment horizontal="right" vertical="center"/>
    </xf>
    <xf numFmtId="0" fontId="62" fillId="40" borderId="20" applyAlignment="1">
      <alignment horizontal="center"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7" fillId="12" borderId="23" applyAlignment="1">
      <alignment horizontal="left" vertical="center" indent="1"/>
    </xf>
    <xf numFmtId="0" fontId="16" fillId="0" borderId="0"/>
    <xf numFmtId="0" fontId="140" fillId="0" borderId="0"/>
    <xf numFmtId="0" fontId="41" fillId="0" borderId="0"/>
    <xf numFmtId="0" fontId="17" fillId="12" borderId="23" applyAlignment="1">
      <alignment horizontal="left" vertical="center" indent="1"/>
    </xf>
    <xf numFmtId="0" fontId="41" fillId="0" borderId="0"/>
    <xf numFmtId="0" fontId="61" fillId="0" borderId="0"/>
    <xf numFmtId="0" fontId="41" fillId="0" borderId="0"/>
    <xf numFmtId="0" fontId="17" fillId="19" borderId="23" applyAlignment="1">
      <alignment horizontal="right" vertical="center"/>
    </xf>
    <xf numFmtId="0" fontId="11" fillId="7" borderId="23" applyAlignment="1">
      <alignment horizontal="left" vertical="center" indent="1"/>
    </xf>
    <xf numFmtId="0" fontId="41" fillId="0" borderId="0"/>
    <xf numFmtId="43" fontId="69" fillId="0" borderId="0"/>
    <xf numFmtId="0" fontId="29" fillId="12" borderId="20"/>
    <xf numFmtId="0" fontId="29" fillId="12" borderId="20"/>
    <xf numFmtId="0" fontId="29" fillId="12" borderId="20"/>
    <xf numFmtId="0" fontId="29" fillId="12" borderId="20"/>
    <xf numFmtId="0" fontId="29" fillId="12" borderId="20"/>
    <xf numFmtId="0" fontId="17" fillId="7" borderId="23" applyAlignment="1">
      <alignment horizontal="left" vertical="center" indent="1"/>
    </xf>
    <xf numFmtId="0" fontId="79" fillId="0" borderId="8"/>
    <xf numFmtId="0" fontId="17" fillId="16" borderId="23" applyAlignment="1">
      <alignment horizontal="right" vertical="center"/>
    </xf>
    <xf numFmtId="0" fontId="80" fillId="44" borderId="0"/>
    <xf numFmtId="170" fontId="32" fillId="0" borderId="0"/>
    <xf numFmtId="0" fontId="140" fillId="0" borderId="0"/>
    <xf numFmtId="0"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0" fontId="17" fillId="30" borderId="23" applyAlignment="1">
      <alignment horizontal="right" vertical="center"/>
    </xf>
    <xf numFmtId="0" fontId="140" fillId="0" borderId="0" applyAlignment="1">
      <alignment vertical="center"/>
    </xf>
    <xf numFmtId="0" fontId="140" fillId="0" borderId="0"/>
    <xf numFmtId="0" fontId="140" fillId="0" borderId="0"/>
    <xf numFmtId="0" fontId="140" fillId="0" borderId="0"/>
    <xf numFmtId="0" fontId="140" fillId="0" borderId="0"/>
    <xf numFmtId="0" fontId="11" fillId="18" borderId="23" applyAlignment="1">
      <alignment horizontal="left" vertical="top" indent="1"/>
    </xf>
    <xf numFmtId="0" fontId="140" fillId="0" borderId="0"/>
    <xf numFmtId="0" fontId="17" fillId="16" borderId="23" applyAlignment="1">
      <alignment horizontal="right" vertical="center"/>
    </xf>
    <xf numFmtId="0" fontId="17" fillId="30" borderId="23" applyAlignment="1">
      <alignment horizontal="right" vertical="center"/>
    </xf>
    <xf numFmtId="0" fontId="140" fillId="0" borderId="0" applyAlignment="1">
      <alignment vertical="center"/>
    </xf>
    <xf numFmtId="0" fontId="140" fillId="0" borderId="0"/>
    <xf numFmtId="0" fontId="17" fillId="30" borderId="23" applyAlignment="1">
      <alignment horizontal="right" vertical="center"/>
    </xf>
    <xf numFmtId="0" fontId="81" fillId="0" borderId="0"/>
    <xf numFmtId="0" fontId="140" fillId="0" borderId="0"/>
    <xf numFmtId="0" fontId="140" fillId="0" borderId="0"/>
    <xf numFmtId="0" fontId="140" fillId="0" borderId="0"/>
    <xf numFmtId="0" fontId="17" fillId="30" borderId="23" applyAlignment="1">
      <alignment horizontal="right" vertical="center"/>
    </xf>
    <xf numFmtId="0" fontId="140" fillId="0" borderId="0"/>
    <xf numFmtId="0" fontId="11" fillId="0" borderId="0"/>
    <xf numFmtId="0" fontId="69" fillId="0" borderId="0"/>
    <xf numFmtId="0" fontId="11" fillId="0" borderId="0"/>
    <xf numFmtId="0" fontId="11" fillId="0" borderId="0"/>
    <xf numFmtId="0" fontId="20" fillId="10" borderId="23" applyAlignment="1">
      <alignment horizontal="left" vertical="top" indent="1"/>
    </xf>
    <xf numFmtId="0" fontId="68" fillId="0" borderId="0" applyAlignment="1">
      <alignment vertical="center"/>
    </xf>
    <xf numFmtId="0" fontId="20" fillId="10" borderId="23" applyAlignment="1">
      <alignment horizontal="left" vertical="top" indent="1"/>
    </xf>
    <xf numFmtId="0" fontId="17" fillId="13" borderId="23" applyAlignment="1">
      <alignment horizontal="right" vertical="center"/>
    </xf>
    <xf numFmtId="0" fontId="140" fillId="0" borderId="0"/>
    <xf numFmtId="0" fontId="17" fillId="16" borderId="23" applyAlignment="1">
      <alignment horizontal="right" vertical="center"/>
    </xf>
    <xf numFmtId="0" fontId="140" fillId="0" borderId="0"/>
    <xf numFmtId="0" fontId="20" fillId="10" borderId="23" applyAlignment="1">
      <alignment horizontal="left" vertical="top" indent="1"/>
    </xf>
    <xf numFmtId="0" fontId="140" fillId="0" borderId="0"/>
    <xf numFmtId="0" fontId="5" fillId="0" borderId="0"/>
    <xf numFmtId="0" fontId="20" fillId="10" borderId="23" applyAlignment="1">
      <alignment horizontal="left" vertical="top" indent="1"/>
    </xf>
    <xf numFmtId="0" fontId="140" fillId="0" borderId="0"/>
    <xf numFmtId="0" fontId="140" fillId="0" borderId="0"/>
    <xf numFmtId="0" fontId="81" fillId="0" borderId="0"/>
    <xf numFmtId="0" fontId="20" fillId="10" borderId="23" applyAlignment="1">
      <alignment horizontal="left" vertical="top" indent="1"/>
    </xf>
    <xf numFmtId="0" fontId="47" fillId="39" borderId="0"/>
    <xf numFmtId="0" fontId="140" fillId="0" borderId="0"/>
    <xf numFmtId="0" fontId="81" fillId="0" borderId="0"/>
    <xf numFmtId="0" fontId="20" fillId="10" borderId="23" applyAlignment="1">
      <alignment horizontal="left" vertical="top" indent="1"/>
    </xf>
    <xf numFmtId="0" fontId="81" fillId="0" borderId="0"/>
    <xf numFmtId="0" fontId="20" fillId="10" borderId="23" applyAlignment="1">
      <alignment horizontal="left" vertical="top" indent="1"/>
    </xf>
    <xf numFmtId="0" fontId="140" fillId="0" borderId="0"/>
    <xf numFmtId="0" fontId="20" fillId="10" borderId="23" applyAlignment="1">
      <alignment horizontal="left" vertical="top" indent="1"/>
    </xf>
    <xf numFmtId="0" fontId="31" fillId="0" borderId="0"/>
    <xf numFmtId="0" fontId="29" fillId="9" borderId="20"/>
    <xf numFmtId="0" fontId="140" fillId="0" borderId="0"/>
    <xf numFmtId="0" fontId="20" fillId="10" borderId="23" applyAlignment="1">
      <alignment horizontal="left" vertical="top" indent="1"/>
    </xf>
    <xf numFmtId="0" fontId="140" fillId="0" borderId="0" applyAlignment="1">
      <alignment vertical="center"/>
    </xf>
    <xf numFmtId="0" fontId="20" fillId="10" borderId="23" applyAlignment="1">
      <alignment horizontal="left" vertical="top" indent="1"/>
    </xf>
    <xf numFmtId="0" fontId="140" fillId="0" borderId="0"/>
    <xf numFmtId="0" fontId="20" fillId="10" borderId="23" applyAlignment="1">
      <alignment horizontal="left" vertical="top" indent="1"/>
    </xf>
    <xf numFmtId="0" fontId="140" fillId="0" borderId="0"/>
    <xf numFmtId="194" fontId="34" fillId="0" borderId="0" applyProtection="1">
      <protection locked="0" hidden="0"/>
    </xf>
    <xf numFmtId="0" fontId="81" fillId="0" borderId="0"/>
    <xf numFmtId="0" fontId="140" fillId="0" borderId="0"/>
    <xf numFmtId="0" fontId="47" fillId="28" borderId="0"/>
    <xf numFmtId="0" fontId="140" fillId="0" borderId="0"/>
    <xf numFmtId="0" fontId="44" fillId="0" borderId="0"/>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1" fillId="19" borderId="23" applyAlignment="1">
      <alignment horizontal="left" vertical="top" indent="1"/>
    </xf>
    <xf numFmtId="0" fontId="42" fillId="0" borderId="0" applyProtection="1">
      <protection locked="0" hidden="0"/>
    </xf>
    <xf numFmtId="0" fontId="17" fillId="16" borderId="23" applyAlignment="1">
      <alignment horizontal="right" vertical="center"/>
    </xf>
    <xf numFmtId="0" fontId="11" fillId="19" borderId="23" applyAlignment="1">
      <alignment horizontal="left" vertical="top" indent="1"/>
    </xf>
    <xf numFmtId="0" fontId="32" fillId="0" borderId="0"/>
    <xf numFmtId="0" fontId="17" fillId="16" borderId="23" applyAlignment="1">
      <alignment horizontal="right" vertical="center"/>
    </xf>
    <xf numFmtId="0" fontId="11" fillId="19" borderId="23" applyAlignment="1">
      <alignment horizontal="left" vertical="top" indent="1"/>
    </xf>
    <xf numFmtId="0" fontId="17" fillId="15" borderId="23" applyAlignment="1">
      <alignment horizontal="right" vertical="center"/>
    </xf>
    <xf numFmtId="194" fontId="46" fillId="0" borderId="0" applyProtection="1">
      <protection locked="0" hidden="0"/>
    </xf>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9" fontId="140" fillId="0" borderId="0"/>
    <xf numFmtId="166" fontId="81" fillId="0" borderId="0"/>
    <xf numFmtId="0" fontId="17" fillId="35" borderId="23" applyAlignment="1">
      <alignment horizontal="right" vertical="center"/>
    </xf>
    <xf numFmtId="0" fontId="42" fillId="0" borderId="0" applyProtection="1">
      <protection locked="0" hidden="0"/>
    </xf>
    <xf numFmtId="0" fontId="17" fillId="16" borderId="23" applyAlignment="1">
      <alignment horizontal="right" vertical="center"/>
    </xf>
    <xf numFmtId="0" fontId="140" fillId="0" borderId="0" applyAlignment="1" applyProtection="1">
      <alignment vertical="center"/>
      <protection locked="0" hidden="0"/>
    </xf>
    <xf numFmtId="0" fontId="17" fillId="35" borderId="23" applyAlignment="1">
      <alignment horizontal="right" vertical="center"/>
    </xf>
    <xf numFmtId="0" fontId="140" fillId="0" borderId="0"/>
    <xf numFmtId="0" fontId="17" fillId="16" borderId="23" applyAlignment="1">
      <alignment horizontal="right" vertical="center"/>
    </xf>
    <xf numFmtId="9" fontId="31" fillId="0" borderId="0"/>
    <xf numFmtId="0" fontId="36" fillId="12" borderId="23" applyAlignment="1">
      <alignment vertical="center"/>
    </xf>
    <xf numFmtId="0" fontId="11" fillId="18" borderId="23" applyAlignment="1">
      <alignment horizontal="left" vertical="top" indent="1"/>
    </xf>
    <xf numFmtId="0" fontId="140" fillId="0" borderId="0"/>
    <xf numFmtId="0" fontId="20" fillId="10" borderId="23" applyAlignment="1">
      <alignment horizontal="left" vertical="top" indent="1"/>
    </xf>
    <xf numFmtId="0" fontId="17" fillId="35" borderId="23" applyAlignment="1">
      <alignment horizontal="right" vertical="center"/>
    </xf>
    <xf numFmtId="0" fontId="140" fillId="0" borderId="0"/>
    <xf numFmtId="0" fontId="17" fillId="35" borderId="23" applyAlignment="1">
      <alignment horizontal="right" vertical="center"/>
    </xf>
    <xf numFmtId="0" fontId="140" fillId="0" borderId="0"/>
    <xf numFmtId="0" fontId="140" fillId="0" borderId="0"/>
    <xf numFmtId="0" fontId="31" fillId="0" borderId="0"/>
    <xf numFmtId="0" fontId="140" fillId="0" borderId="0"/>
    <xf numFmtId="0" fontId="17" fillId="7" borderId="23" applyAlignment="1">
      <alignment horizontal="left" vertical="center" indent="1"/>
    </xf>
    <xf numFmtId="0" fontId="31" fillId="0" borderId="0"/>
    <xf numFmtId="0" fontId="17" fillId="35" borderId="23" applyAlignment="1">
      <alignment horizontal="right" vertical="center"/>
    </xf>
    <xf numFmtId="0" fontId="140"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31" fillId="0" borderId="0"/>
    <xf numFmtId="0" fontId="140" fillId="0" borderId="0"/>
    <xf numFmtId="0" fontId="140" fillId="0" borderId="0" applyAlignment="1">
      <alignment vertical="center"/>
    </xf>
    <xf numFmtId="0" fontId="20" fillId="10" borderId="23" applyAlignment="1">
      <alignment horizontal="left" vertical="top" indent="1"/>
    </xf>
    <xf numFmtId="0" fontId="54" fillId="0" borderId="0"/>
    <xf numFmtId="0" fontId="36" fillId="12" borderId="23" applyAlignment="1">
      <alignment vertical="center"/>
    </xf>
    <xf numFmtId="0" fontId="82" fillId="0" borderId="0" applyAlignment="1">
      <alignment vertical="center"/>
    </xf>
    <xf numFmtId="0" fontId="83" fillId="0" borderId="0"/>
    <xf numFmtId="0" fontId="84" fillId="0" borderId="0"/>
    <xf numFmtId="195" fontId="11" fillId="0" borderId="0"/>
    <xf numFmtId="0" fontId="17" fillId="13" borderId="23" applyAlignment="1">
      <alignment horizontal="right" vertical="center"/>
    </xf>
    <xf numFmtId="10" fontId="11" fillId="0" borderId="0"/>
    <xf numFmtId="9" fontId="140" fillId="0" borderId="0"/>
    <xf numFmtId="170" fontId="140" fillId="0" borderId="0"/>
    <xf numFmtId="9" fontId="140" fillId="0" borderId="0"/>
    <xf numFmtId="170" fontId="140" fillId="0" borderId="0"/>
    <xf numFmtId="9" fontId="11" fillId="0" borderId="0"/>
    <xf numFmtId="170" fontId="140" fillId="0" borderId="0"/>
    <xf numFmtId="0" fontId="11" fillId="18" borderId="23" applyAlignment="1">
      <alignment horizontal="left" vertical="center" indent="1"/>
    </xf>
    <xf numFmtId="170" fontId="140" fillId="0" borderId="0"/>
    <xf numFmtId="9" fontId="32" fillId="0" borderId="0"/>
    <xf numFmtId="0" fontId="11" fillId="18" borderId="23" applyAlignment="1">
      <alignment horizontal="left" vertical="center" indent="1"/>
    </xf>
    <xf numFmtId="9" fontId="32" fillId="0" borderId="0"/>
    <xf numFmtId="9" fontId="140" fillId="0" borderId="0"/>
    <xf numFmtId="170" fontId="140" fillId="0" borderId="0"/>
    <xf numFmtId="9" fontId="140" fillId="0" borderId="0"/>
    <xf numFmtId="0" fontId="17" fillId="7" borderId="23" applyAlignment="1">
      <alignment horizontal="left" vertical="center" indent="1"/>
    </xf>
    <xf numFmtId="9" fontId="140" fillId="0" borderId="0"/>
    <xf numFmtId="0" fontId="17" fillId="7" borderId="23" applyAlignment="1">
      <alignment horizontal="left" vertical="center" indent="1"/>
    </xf>
    <xf numFmtId="9" fontId="140" fillId="0" borderId="0"/>
    <xf numFmtId="0" fontId="29" fillId="9" borderId="20"/>
    <xf numFmtId="41" fontId="32" fillId="0" borderId="0"/>
    <xf numFmtId="0" fontId="29" fillId="9" borderId="20"/>
    <xf numFmtId="0" fontId="29" fillId="9" borderId="20"/>
    <xf numFmtId="0" fontId="20" fillId="10" borderId="23" applyAlignment="1">
      <alignment horizontal="left" vertical="center" indent="1"/>
    </xf>
    <xf numFmtId="0" fontId="29" fillId="9" borderId="20"/>
    <xf numFmtId="41" fontId="32" fillId="0" borderId="0"/>
    <xf numFmtId="0" fontId="29" fillId="9" borderId="20"/>
    <xf numFmtId="0" fontId="17" fillId="12" borderId="23" applyAlignment="1">
      <alignment horizontal="left" vertical="top" indent="1"/>
    </xf>
    <xf numFmtId="0" fontId="29" fillId="9" borderId="20"/>
    <xf numFmtId="0" fontId="17" fillId="16" borderId="23" applyAlignment="1">
      <alignment horizontal="right" vertical="center"/>
    </xf>
    <xf numFmtId="0" fontId="29" fillId="9" borderId="20"/>
    <xf numFmtId="0" fontId="29" fillId="9" borderId="20"/>
    <xf numFmtId="0" fontId="17" fillId="7" borderId="23" applyAlignment="1">
      <alignment horizontal="left" vertical="center" indent="1"/>
    </xf>
    <xf numFmtId="182" fontId="34" fillId="0" borderId="0"/>
    <xf numFmtId="0" fontId="17" fillId="35" borderId="23" applyAlignment="1">
      <alignment horizontal="right" vertical="center"/>
    </xf>
    <xf numFmtId="173" fontId="34" fillId="0" borderId="0"/>
    <xf numFmtId="182" fontId="34" fillId="0" borderId="0"/>
    <xf numFmtId="4" fontId="33" fillId="0" borderId="0" applyAlignment="1">
      <alignment horizontal="right"/>
    </xf>
    <xf numFmtId="0" fontId="11" fillId="19" borderId="23" applyAlignment="1">
      <alignment horizontal="left" vertical="center" indent="1"/>
    </xf>
    <xf numFmtId="0" fontId="17" fillId="13" borderId="23" applyAlignment="1">
      <alignment horizontal="right" vertical="center"/>
    </xf>
    <xf numFmtId="171" fontId="11" fillId="0" borderId="0"/>
    <xf numFmtId="4" fontId="85" fillId="0" borderId="0" applyAlignment="1">
      <alignment horizontal="right"/>
    </xf>
    <xf numFmtId="0" fontId="11" fillId="8" borderId="23" applyAlignment="1">
      <alignment horizontal="left" vertical="top" indent="1"/>
    </xf>
    <xf numFmtId="41" fontId="46"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196" fontId="44"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17" fillId="7" borderId="23" applyAlignment="1">
      <alignment horizontal="righ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8" borderId="23" applyAlignment="1">
      <alignment horizontal="left" vertical="top"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27" fillId="10" borderId="23" applyAlignment="1">
      <alignment vertical="center"/>
    </xf>
    <xf numFmtId="0" fontId="17" fillId="12" borderId="23" applyAlignment="1">
      <alignment horizontal="left" vertical="center"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0" fillId="10" borderId="23" applyAlignment="1">
      <alignment horizontal="left" vertical="center" indent="1"/>
    </xf>
    <xf numFmtId="0" fontId="17" fillId="19"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30"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top" indent="1"/>
    </xf>
    <xf numFmtId="0" fontId="20" fillId="10" borderId="23" applyAlignment="1">
      <alignment horizontal="left" vertical="top" indent="1"/>
    </xf>
    <xf numFmtId="0" fontId="20" fillId="7" borderId="0" applyAlignment="1">
      <alignment horizontal="left" vertical="center" indent="1"/>
    </xf>
    <xf numFmtId="0" fontId="17" fillId="16" borderId="23" applyAlignment="1">
      <alignment horizontal="right" vertical="center"/>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81" fillId="0" borderId="0"/>
    <xf numFmtId="0" fontId="17" fillId="35"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3"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197" fontId="11" fillId="0"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14" borderId="23" applyAlignment="1">
      <alignment horizontal="right" vertical="center"/>
    </xf>
    <xf numFmtId="0" fontId="17" fillId="14"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86" fillId="0" borderId="0"/>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8" borderId="23" applyAlignment="1">
      <alignment horizontal="left" vertical="top" indent="1"/>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38" fillId="21" borderId="0"/>
    <xf numFmtId="0" fontId="17" fillId="21" borderId="23" applyAlignment="1">
      <alignment horizontal="right" vertical="center"/>
    </xf>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17" fillId="12" borderId="23" applyAlignment="1">
      <alignment horizontal="left" vertical="center" indent="1"/>
    </xf>
    <xf numFmtId="0" fontId="17" fillId="7" borderId="23" applyAlignment="1">
      <alignment horizontal="left" vertical="center" indent="1"/>
    </xf>
    <xf numFmtId="0" fontId="17" fillId="17"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32" fillId="0" borderId="0"/>
    <xf numFmtId="0" fontId="17" fillId="35" borderId="23" applyAlignment="1">
      <alignment horizontal="right" vertical="center"/>
    </xf>
    <xf numFmtId="0" fontId="32" fillId="0" borderId="0" applyAlignment="1">
      <alignment vertical="center"/>
    </xf>
    <xf numFmtId="0" fontId="17" fillId="35" borderId="23" applyAlignment="1">
      <alignment horizontal="right" vertical="center"/>
    </xf>
    <xf numFmtId="0" fontId="17" fillId="19" borderId="0" applyAlignment="1">
      <alignment horizontal="left" vertical="center" indent="1"/>
    </xf>
    <xf numFmtId="0" fontId="140" fillId="0" borderId="0" applyAlignment="1">
      <alignment vertical="center"/>
    </xf>
    <xf numFmtId="0" fontId="17" fillId="35" borderId="23" applyAlignment="1">
      <alignment horizontal="right" vertical="center"/>
    </xf>
    <xf numFmtId="0" fontId="17" fillId="35"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19" borderId="0"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36" fillId="12" borderId="23" applyAlignment="1">
      <alignment vertical="center"/>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2" borderId="23" applyAlignment="1">
      <alignmen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1" fillId="7" borderId="23" applyAlignment="1">
      <alignment horizontal="left" vertical="center" indent="1"/>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87" fillId="18" borderId="0" applyAlignment="1">
      <alignment horizontal="left" vertical="center" indent="1"/>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38" fillId="21" borderId="0"/>
    <xf numFmtId="0" fontId="17" fillId="7" borderId="0"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74" fillId="0" borderId="0"/>
    <xf numFmtId="0" fontId="11" fillId="18" borderId="23" applyAlignment="1">
      <alignment horizontal="left" vertical="center" indent="1"/>
    </xf>
    <xf numFmtId="0" fontId="36" fillId="12" borderId="23" applyAlignment="1">
      <alignment vertical="center"/>
    </xf>
    <xf numFmtId="166" fontId="81"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7" borderId="23" applyAlignment="1">
      <alignment horizontal="left" vertical="center" indent="1"/>
    </xf>
    <xf numFmtId="0" fontId="11" fillId="18" borderId="23" applyAlignment="1">
      <alignment horizontal="left" vertical="center"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36" fillId="12" borderId="23" applyAlignment="1">
      <alignment vertical="center"/>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59" fillId="39" borderId="0"/>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7" borderId="23" applyAlignment="1">
      <alignment horizontal="left" vertical="center" indent="1"/>
    </xf>
    <xf numFmtId="0" fontId="36" fillId="19" borderId="23" applyAlignment="1">
      <alignment horizontal="right" vertical="center"/>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40" fillId="0" borderId="0"/>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40" fillId="0" borderId="0"/>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9" fontId="44" fillId="0" borderId="0"/>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19" borderId="23" applyAlignment="1">
      <alignment horizontal="left" vertical="center" indent="1"/>
    </xf>
    <xf numFmtId="0" fontId="11" fillId="19" borderId="23" applyAlignment="1">
      <alignment horizontal="left" vertical="center" indent="1"/>
    </xf>
    <xf numFmtId="0" fontId="17" fillId="19" borderId="23" applyAlignment="1">
      <alignment horizontal="right" vertical="center"/>
    </xf>
    <xf numFmtId="0" fontId="11" fillId="19" borderId="23" applyAlignment="1">
      <alignment horizontal="left" vertical="center" indent="1"/>
    </xf>
    <xf numFmtId="0" fontId="17" fillId="12"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40" fillId="0" borderId="0"/>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31" fillId="0" borderId="0"/>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88" fillId="45" borderId="0" applyAlignment="1">
      <alignment horizontal="left" vertical="center" indent="1"/>
    </xf>
    <xf numFmtId="0" fontId="17" fillId="12" borderId="23" applyAlignment="1">
      <alignment horizontal="left" vertical="center"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47" fillId="39" borderId="0"/>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40" fillId="0" borderId="0"/>
    <xf numFmtId="0" fontId="18" fillId="19" borderId="23" applyAlignment="1">
      <alignment horizontal="right" vertical="center"/>
    </xf>
    <xf numFmtId="0" fontId="18" fillId="19" borderId="23" applyAlignment="1">
      <alignment horizontal="right" vertical="center"/>
    </xf>
    <xf numFmtId="0" fontId="89" fillId="0" borderId="0" applyAlignment="1">
      <alignment horizontal="left"/>
    </xf>
    <xf numFmtId="43" fontId="29" fillId="0" borderId="27"/>
    <xf numFmtId="43" fontId="29" fillId="0" borderId="27"/>
    <xf numFmtId="0" fontId="79" fillId="0" borderId="0"/>
    <xf numFmtId="49" fontId="17" fillId="0" borderId="0"/>
    <xf numFmtId="198" fontId="11" fillId="0" borderId="0"/>
    <xf numFmtId="199" fontId="11" fillId="0" borderId="0"/>
    <xf numFmtId="175" fontId="11" fillId="0" borderId="77" applyProtection="1">
      <protection locked="0" hidden="0"/>
    </xf>
    <xf numFmtId="200" fontId="11" fillId="0" borderId="0"/>
    <xf numFmtId="201" fontId="11" fillId="0" borderId="0"/>
    <xf numFmtId="202" fontId="32" fillId="0" borderId="0"/>
    <xf numFmtId="9" fontId="90" fillId="0" borderId="0"/>
    <xf numFmtId="43" fontId="32" fillId="0" borderId="0"/>
    <xf numFmtId="0" fontId="44" fillId="0" borderId="0"/>
    <xf numFmtId="0" fontId="91" fillId="0" borderId="0"/>
    <xf numFmtId="188" fontId="44" fillId="0" borderId="0"/>
    <xf numFmtId="9" fontId="11" fillId="0" borderId="0"/>
    <xf numFmtId="9" fontId="32" fillId="0" borderId="0"/>
    <xf numFmtId="9" fontId="69" fillId="0" borderId="0"/>
    <xf numFmtId="9" fontId="11" fillId="0" borderId="0"/>
    <xf numFmtId="9" fontId="32" fillId="0" borderId="0"/>
    <xf numFmtId="9" fontId="140" fillId="0" borderId="0"/>
    <xf numFmtId="9" fontId="81" fillId="0" borderId="0"/>
    <xf numFmtId="9" fontId="140" fillId="0" borderId="0"/>
    <xf numFmtId="9" fontId="140" fillId="0" borderId="0"/>
    <xf numFmtId="0" fontId="75" fillId="0" borderId="0"/>
    <xf numFmtId="0" fontId="75" fillId="0" borderId="0"/>
    <xf numFmtId="4" fontId="92" fillId="0" borderId="0" applyAlignment="1">
      <alignment horizontal="right"/>
    </xf>
    <xf numFmtId="0" fontId="38" fillId="21" borderId="0"/>
    <xf numFmtId="0" fontId="35" fillId="16" borderId="0"/>
    <xf numFmtId="0" fontId="93" fillId="16" borderId="0"/>
    <xf numFmtId="0" fontId="35" fillId="16" borderId="0"/>
    <xf numFmtId="0" fontId="35" fillId="16" borderId="0"/>
    <xf numFmtId="0" fontId="35" fillId="16" borderId="0"/>
    <xf numFmtId="0" fontId="35" fillId="16" borderId="0"/>
    <xf numFmtId="0" fontId="35" fillId="16" borderId="0"/>
    <xf numFmtId="0" fontId="38" fillId="21" borderId="0"/>
    <xf numFmtId="0" fontId="37" fillId="33" borderId="0"/>
    <xf numFmtId="0" fontId="35" fillId="16" borderId="0"/>
    <xf numFmtId="0" fontId="38" fillId="21" borderId="0"/>
    <xf numFmtId="0" fontId="37" fillId="33" borderId="0"/>
    <xf numFmtId="0" fontId="38" fillId="21" borderId="0"/>
    <xf numFmtId="43" fontId="81" fillId="0" borderId="0"/>
    <xf numFmtId="0" fontId="38" fillId="21" borderId="0"/>
    <xf numFmtId="0" fontId="38" fillId="21" borderId="0"/>
    <xf numFmtId="0" fontId="38" fillId="21" borderId="0"/>
    <xf numFmtId="0" fontId="35" fillId="16" borderId="0"/>
    <xf numFmtId="0" fontId="38" fillId="21" borderId="0"/>
    <xf numFmtId="0" fontId="38" fillId="21" borderId="0"/>
    <xf numFmtId="0" fontId="38" fillId="21" borderId="0"/>
    <xf numFmtId="0" fontId="38" fillId="21" borderId="0"/>
    <xf numFmtId="0" fontId="140" fillId="0" borderId="0"/>
    <xf numFmtId="166" fontId="94" fillId="0" borderId="0"/>
    <xf numFmtId="0" fontId="32" fillId="0" borderId="0"/>
    <xf numFmtId="0" fontId="32" fillId="0" borderId="0"/>
    <xf numFmtId="0" fontId="81" fillId="0" borderId="0"/>
    <xf numFmtId="0" fontId="140" fillId="0" borderId="0"/>
    <xf numFmtId="0" fontId="69" fillId="0" borderId="0" applyProtection="1">
      <protection locked="0" hidden="0"/>
    </xf>
    <xf numFmtId="0" fontId="11" fillId="0" borderId="0" applyProtection="1">
      <protection locked="0" hidden="0"/>
    </xf>
    <xf numFmtId="0" fontId="140" fillId="0" borderId="0"/>
    <xf numFmtId="0" fontId="32" fillId="0" borderId="0"/>
    <xf numFmtId="0" fontId="69" fillId="0" borderId="0" applyProtection="1">
      <protection locked="0" hidden="0"/>
    </xf>
    <xf numFmtId="0" fontId="82" fillId="0" borderId="0" applyAlignment="1">
      <alignment vertical="center"/>
    </xf>
    <xf numFmtId="0" fontId="32" fillId="0" borderId="0"/>
    <xf numFmtId="0" fontId="81" fillId="0" borderId="0"/>
    <xf numFmtId="0" fontId="140" fillId="0" borderId="0"/>
    <xf numFmtId="0" fontId="81" fillId="0" borderId="0"/>
    <xf numFmtId="0" fontId="140" fillId="0" borderId="0"/>
    <xf numFmtId="0" fontId="11" fillId="0" borderId="0" applyProtection="1">
      <protection locked="0" hidden="0"/>
    </xf>
    <xf numFmtId="0" fontId="95" fillId="0" borderId="0"/>
    <xf numFmtId="0" fontId="140" fillId="0" borderId="0"/>
    <xf numFmtId="0" fontId="140" fillId="0" borderId="0"/>
    <xf numFmtId="0" fontId="140" fillId="0" borderId="0"/>
    <xf numFmtId="0" fontId="140" fillId="0" borderId="0" applyAlignment="1">
      <alignment vertical="center"/>
    </xf>
    <xf numFmtId="0" fontId="140" fillId="0" borderId="0"/>
    <xf numFmtId="0" fontId="81" fillId="0" borderId="0"/>
    <xf numFmtId="0" fontId="60" fillId="0" borderId="0" applyProtection="1">
      <protection locked="0" hidden="0"/>
    </xf>
    <xf numFmtId="0" fontId="41" fillId="0" borderId="0"/>
    <xf numFmtId="0" fontId="16" fillId="0" borderId="0"/>
    <xf numFmtId="0" fontId="52" fillId="0" borderId="0" applyProtection="1">
      <protection locked="0" hidden="0"/>
    </xf>
    <xf numFmtId="0" fontId="59" fillId="39" borderId="0"/>
    <xf numFmtId="0" fontId="47" fillId="39" borderId="0"/>
    <xf numFmtId="0" fontId="47" fillId="39" borderId="0"/>
    <xf numFmtId="0" fontId="47" fillId="39" borderId="0"/>
    <xf numFmtId="0" fontId="47" fillId="28" borderId="0"/>
    <xf numFmtId="0" fontId="59" fillId="39" borderId="0"/>
    <xf numFmtId="0" fontId="96" fillId="28" borderId="0"/>
    <xf numFmtId="0" fontId="47" fillId="28" borderId="0"/>
    <xf numFmtId="0" fontId="47" fillId="28" borderId="0"/>
    <xf numFmtId="0" fontId="47" fillId="28" borderId="0"/>
    <xf numFmtId="0" fontId="47" fillId="28" borderId="0"/>
    <xf numFmtId="0" fontId="47" fillId="28" borderId="0"/>
    <xf numFmtId="0" fontId="47" fillId="39" borderId="0"/>
    <xf numFmtId="0" fontId="59" fillId="39" borderId="0"/>
    <xf numFmtId="0" fontId="59" fillId="39" borderId="0"/>
    <xf numFmtId="0" fontId="47" fillId="39" borderId="0"/>
    <xf numFmtId="0" fontId="59" fillId="39" borderId="0"/>
    <xf numFmtId="0" fontId="59" fillId="39" borderId="0"/>
    <xf numFmtId="0" fontId="59" fillId="39" borderId="0"/>
    <xf numFmtId="0" fontId="58" fillId="38" borderId="0"/>
    <xf numFmtId="0" fontId="59" fillId="39" borderId="0"/>
    <xf numFmtId="0" fontId="47" fillId="28" borderId="0"/>
    <xf numFmtId="0" fontId="47" fillId="39" borderId="0"/>
    <xf numFmtId="0" fontId="59" fillId="39" borderId="0"/>
    <xf numFmtId="0" fontId="47" fillId="39" borderId="0"/>
    <xf numFmtId="0" fontId="59" fillId="39" borderId="0"/>
    <xf numFmtId="0" fontId="59" fillId="39" borderId="0"/>
    <xf numFmtId="0" fontId="59" fillId="39" borderId="0"/>
    <xf numFmtId="0" fontId="59" fillId="39" borderId="0"/>
    <xf numFmtId="0" fontId="59" fillId="39" borderId="0"/>
    <xf numFmtId="0" fontId="58" fillId="38" borderId="0"/>
    <xf numFmtId="0" fontId="58" fillId="38" borderId="0"/>
    <xf numFmtId="0" fontId="47" fillId="39" borderId="0"/>
    <xf numFmtId="41" fontId="11" fillId="0" borderId="0"/>
    <xf numFmtId="196" fontId="77" fillId="0" borderId="0"/>
    <xf numFmtId="203" fontId="77" fillId="0" borderId="0"/>
    <xf numFmtId="204" fontId="11" fillId="0" borderId="0"/>
    <xf numFmtId="205" fontId="66" fillId="0" borderId="0"/>
    <xf numFmtId="203" fontId="44" fillId="0" borderId="0"/>
    <xf numFmtId="0" fontId="46" fillId="0" borderId="0"/>
    <xf numFmtId="41" fontId="46" fillId="0" borderId="0"/>
    <xf numFmtId="43" fontId="140" fillId="0" borderId="0"/>
    <xf numFmtId="43" fontId="11" fillId="0" borderId="0"/>
    <xf numFmtId="0" fontId="140" fillId="0" borderId="0"/>
    <xf numFmtId="43" fontId="32" fillId="0" borderId="0"/>
    <xf numFmtId="43" fontId="140" fillId="0" borderId="0"/>
    <xf numFmtId="43" fontId="69" fillId="0" borderId="0"/>
    <xf numFmtId="43" fontId="140" fillId="0" borderId="0"/>
    <xf numFmtId="43" fontId="140" fillId="0" borderId="0"/>
    <xf numFmtId="43" fontId="11" fillId="0" borderId="0"/>
    <xf numFmtId="43" fontId="11" fillId="0" borderId="0"/>
    <xf numFmtId="43" fontId="140" fillId="0" borderId="0"/>
    <xf numFmtId="43" fontId="140" fillId="0" borderId="0"/>
    <xf numFmtId="43" fontId="69" fillId="0" borderId="0"/>
    <xf numFmtId="43" fontId="11" fillId="0" borderId="0"/>
    <xf numFmtId="43" fontId="32" fillId="0" borderId="0"/>
    <xf numFmtId="43" fontId="31" fillId="0" borderId="0"/>
    <xf numFmtId="43" fontId="81" fillId="0" borderId="0"/>
    <xf numFmtId="43" fontId="81" fillId="0" borderId="0"/>
    <xf numFmtId="43" fontId="140" fillId="0" borderId="0"/>
    <xf numFmtId="43" fontId="81" fillId="0" borderId="0"/>
    <xf numFmtId="43" fontId="140" fillId="0" borderId="0"/>
    <xf numFmtId="43" fontId="140" fillId="0" borderId="0"/>
    <xf numFmtId="43" fontId="32" fillId="0" borderId="0"/>
    <xf numFmtId="43" fontId="32"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32"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1" fontId="32" fillId="0" borderId="0"/>
    <xf numFmtId="0" fontId="97" fillId="0" borderId="0"/>
    <xf numFmtId="0" fontId="71" fillId="46" borderId="0"/>
    <xf numFmtId="206" fontId="64" fillId="0" borderId="0"/>
    <xf numFmtId="0" fontId="98" fillId="0" borderId="0"/>
    <xf numFmtId="38" fontId="75" fillId="0" borderId="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38" fontId="45" fillId="0" borderId="0"/>
    <xf numFmtId="40" fontId="45" fillId="0" borderId="0"/>
    <xf numFmtId="0" fontId="99" fillId="0" borderId="0"/>
    <xf numFmtId="0" fontId="118" fillId="0" borderId="0"/>
    <xf numFmtId="0" fontId="105" fillId="0" borderId="0"/>
    <xf numFmtId="0" fontId="107" fillId="0" borderId="0"/>
    <xf numFmtId="0" fontId="105" fillId="0" borderId="0"/>
    <xf numFmtId="0" fontId="105" fillId="0" borderId="0"/>
    <xf numFmtId="0" fontId="105" fillId="0" borderId="0"/>
    <xf numFmtId="43" fontId="105" fillId="0" borderId="0"/>
    <xf numFmtId="9" fontId="105" fillId="0" borderId="0"/>
    <xf numFmtId="0" fontId="105" fillId="0" borderId="0"/>
    <xf numFmtId="0" fontId="105" fillId="0" borderId="0"/>
    <xf numFmtId="0" fontId="105" fillId="0" borderId="0" applyAlignment="1">
      <alignment vertical="center"/>
    </xf>
    <xf numFmtId="0" fontId="105" fillId="0" borderId="0" applyAlignment="1">
      <alignment vertical="center"/>
    </xf>
    <xf numFmtId="0" fontId="140" fillId="0" borderId="0"/>
    <xf numFmtId="0" fontId="140" fillId="0" borderId="0"/>
    <xf numFmtId="43" fontId="140" fillId="0" borderId="0"/>
    <xf numFmtId="0" fontId="140" fillId="0" borderId="0"/>
    <xf numFmtId="9" fontId="140" fillId="0" borderId="0"/>
    <xf numFmtId="43" fontId="140" fillId="0" borderId="0"/>
    <xf numFmtId="0" fontId="140" fillId="0" borderId="0"/>
    <xf numFmtId="0" fontId="140" fillId="0" borderId="0"/>
    <xf numFmtId="190" fontId="140" fillId="0" borderId="0"/>
    <xf numFmtId="43" fontId="140" fillId="0" borderId="0"/>
    <xf numFmtId="43" fontId="140" fillId="0" borderId="0"/>
    <xf numFmtId="0" fontId="140" fillId="0" borderId="0"/>
    <xf numFmtId="9" fontId="140" fillId="0" borderId="0"/>
    <xf numFmtId="0" fontId="140" fillId="0" borderId="0" applyAlignment="1" applyProtection="1">
      <alignment vertical="center"/>
      <protection locked="0" hidden="0"/>
    </xf>
    <xf numFmtId="0" fontId="118" fillId="0" borderId="0"/>
    <xf numFmtId="0" fontId="140" fillId="0" borderId="0" applyAlignment="1">
      <alignment vertical="center"/>
    </xf>
    <xf numFmtId="0" fontId="140" fillId="0" borderId="0"/>
    <xf numFmtId="0" fontId="140" fillId="0" borderId="0"/>
    <xf numFmtId="9" fontId="140" fillId="0" borderId="0"/>
    <xf numFmtId="43" fontId="140" fillId="0" borderId="0"/>
    <xf numFmtId="0" fontId="140" fillId="0" borderId="0"/>
    <xf numFmtId="0" fontId="140" fillId="0" borderId="0"/>
    <xf numFmtId="0" fontId="140" fillId="0" borderId="0" applyAlignment="1">
      <alignment vertical="center"/>
    </xf>
    <xf numFmtId="0" fontId="65" fillId="41" borderId="0"/>
    <xf numFmtId="41" fontId="140" fillId="0" borderId="0"/>
    <xf numFmtId="0" fontId="140" fillId="0" borderId="0"/>
    <xf numFmtId="0" fontId="108" fillId="0" borderId="71"/>
    <xf numFmtId="0" fontId="140" fillId="0" borderId="71"/>
    <xf numFmtId="0" fontId="140" fillId="0" borderId="71"/>
    <xf numFmtId="0" fontId="118" fillId="0" borderId="0"/>
    <xf numFmtId="0" fontId="140" fillId="0" borderId="0"/>
    <xf numFmtId="0" fontId="140" fillId="0" borderId="0"/>
    <xf numFmtId="43" fontId="140" fillId="0" borderId="0"/>
    <xf numFmtId="0" fontId="41" fillId="0" borderId="0"/>
    <xf numFmtId="9" fontId="140" fillId="0" borderId="0"/>
    <xf numFmtId="0" fontId="140" fillId="0" borderId="0" applyAlignment="1">
      <alignment vertical="center"/>
    </xf>
    <xf numFmtId="0" fontId="114" fillId="0" borderId="0"/>
    <xf numFmtId="165" fontId="140" fillId="0" borderId="0"/>
    <xf numFmtId="0" fontId="105" fillId="0" borderId="0"/>
    <xf numFmtId="0" fontId="52" fillId="0" borderId="0" applyProtection="1">
      <protection locked="0" hidden="0"/>
    </xf>
    <xf numFmtId="41" fontId="140" fillId="0" borderId="0"/>
    <xf numFmtId="41" fontId="140" fillId="0" borderId="0"/>
    <xf numFmtId="0" fontId="140" fillId="0" borderId="0"/>
    <xf numFmtId="0" fontId="140" fillId="0" borderId="0"/>
    <xf numFmtId="0" fontId="115" fillId="0" borderId="0"/>
    <xf numFmtId="0" fontId="105" fillId="0" borderId="0"/>
    <xf numFmtId="0" fontId="105" fillId="48" borderId="0" applyAlignment="1">
      <alignment vertical="center"/>
    </xf>
    <xf numFmtId="41" fontId="105" fillId="0" borderId="0"/>
    <xf numFmtId="0" fontId="140" fillId="0" borderId="0"/>
    <xf numFmtId="43" fontId="32" fillId="0" borderId="0"/>
    <xf numFmtId="41" fontId="140" fillId="0" borderId="0"/>
    <xf numFmtId="0" fontId="41" fillId="0" borderId="0" applyAlignment="1">
      <alignment vertical="center"/>
    </xf>
    <xf numFmtId="0" fontId="116" fillId="47" borderId="0" applyAlignment="1">
      <alignment vertical="center"/>
    </xf>
    <xf numFmtId="43" fontId="140" fillId="0" borderId="0" applyAlignment="1">
      <alignment vertical="center"/>
    </xf>
    <xf numFmtId="0" fontId="140" fillId="0" borderId="0"/>
    <xf numFmtId="0" fontId="140" fillId="0" borderId="0"/>
    <xf numFmtId="0" fontId="118" fillId="0" borderId="0"/>
    <xf numFmtId="0" fontId="118" fillId="0" borderId="0"/>
    <xf numFmtId="43" fontId="140" fillId="0" borderId="0"/>
    <xf numFmtId="165" fontId="118" fillId="0" borderId="0"/>
    <xf numFmtId="0" fontId="140" fillId="0" borderId="0"/>
    <xf numFmtId="0" fontId="140" fillId="0" borderId="0" applyAlignment="1">
      <alignment vertical="center"/>
    </xf>
    <xf numFmtId="43" fontId="140" fillId="0" borderId="0" applyAlignment="1">
      <alignment vertical="center"/>
    </xf>
    <xf numFmtId="9" fontId="140" fillId="0" borderId="0" applyAlignment="1">
      <alignment vertical="center"/>
    </xf>
  </cellStyleXfs>
  <cellXfs count="829">
    <xf numFmtId="0" fontId="0" fillId="0" borderId="0" pivotButton="0" quotePrefix="0" xfId="0"/>
    <xf numFmtId="0" fontId="5" fillId="0" borderId="0" applyAlignment="1" pivotButton="0" quotePrefix="0" xfId="0">
      <alignment vertical="center"/>
    </xf>
    <xf numFmtId="0" fontId="5" fillId="0" borderId="0" pivotButton="0" quotePrefix="0" xfId="0"/>
    <xf numFmtId="0" fontId="9" fillId="3" borderId="0" pivotButton="0" quotePrefix="0" xfId="28"/>
    <xf numFmtId="0" fontId="5" fillId="0" borderId="0" applyAlignment="1" applyProtection="1" pivotButton="0" quotePrefix="0" xfId="2238">
      <alignment vertical="center"/>
      <protection locked="0" hidden="0"/>
    </xf>
    <xf numFmtId="0" fontId="11" fillId="0" borderId="0" applyAlignment="1" applyProtection="1" pivotButton="0" quotePrefix="0" xfId="2238">
      <alignment vertical="center"/>
      <protection locked="0" hidden="0"/>
    </xf>
    <xf numFmtId="0" fontId="11" fillId="0" borderId="0" applyAlignment="1" pivotButton="0" quotePrefix="0" xfId="0">
      <alignment vertical="center"/>
    </xf>
    <xf numFmtId="0" fontId="17" fillId="0" borderId="0" applyAlignment="1" pivotButton="0" quotePrefix="0" xfId="929">
      <alignment vertical="center"/>
    </xf>
    <xf numFmtId="0" fontId="13" fillId="2" borderId="0" applyAlignment="1" pivotButton="0" quotePrefix="0" xfId="929">
      <alignment vertical="center" wrapText="1"/>
    </xf>
    <xf numFmtId="164" fontId="17" fillId="0" borderId="0" applyAlignment="1" pivotButton="0" quotePrefix="0" xfId="929">
      <alignment vertical="center"/>
    </xf>
    <xf numFmtId="0" fontId="5" fillId="0" borderId="0" applyAlignment="1" pivotButton="0" quotePrefix="0" xfId="2238">
      <alignment vertical="center"/>
    </xf>
    <xf numFmtId="0" fontId="5" fillId="0" borderId="0" applyAlignment="1" applyProtection="1" pivotButton="0" quotePrefix="0" xfId="2238">
      <alignment vertical="center" wrapText="1"/>
      <protection locked="0" hidden="0"/>
    </xf>
    <xf numFmtId="9" fontId="5" fillId="0" borderId="0" applyAlignment="1" applyProtection="1" pivotButton="0" quotePrefix="0" xfId="2238">
      <alignment vertical="center"/>
      <protection locked="0" hidden="0"/>
    </xf>
    <xf numFmtId="0" fontId="5" fillId="2" borderId="0" applyAlignment="1" pivotButton="0" quotePrefix="0" xfId="0">
      <alignment horizontal="left" vertical="center"/>
    </xf>
    <xf numFmtId="37" fontId="15" fillId="0" borderId="14" applyAlignment="1" pivotButton="0" quotePrefix="0" xfId="1087">
      <alignment vertical="center"/>
    </xf>
    <xf numFmtId="0" fontId="5" fillId="0" borderId="14" pivotButton="0" quotePrefix="0" xfId="0"/>
    <xf numFmtId="0" fontId="18" fillId="0" borderId="14" applyAlignment="1" pivotButton="0" quotePrefix="0" xfId="0">
      <alignment vertical="center"/>
    </xf>
    <xf numFmtId="0" fontId="15" fillId="2" borderId="9" applyAlignment="1" pivotButton="0" quotePrefix="0" xfId="0">
      <alignmen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4" fillId="0" borderId="0" applyAlignment="1" applyProtection="1" pivotButton="0" quotePrefix="0" xfId="2228">
      <alignment horizontal="center" vertical="center"/>
      <protection locked="0" hidden="0"/>
    </xf>
    <xf numFmtId="43" fontId="11" fillId="0" borderId="0" applyAlignment="1" pivotButton="0" quotePrefix="0" xfId="2296">
      <alignment vertical="center" shrinkToFit="1"/>
    </xf>
    <xf numFmtId="43" fontId="11" fillId="0" borderId="0" applyAlignment="1" pivotButton="0" quotePrefix="0" xfId="2296">
      <alignment vertical="center" shrinkToFit="1"/>
    </xf>
    <xf numFmtId="0" fontId="15" fillId="0" borderId="0" applyAlignment="1" applyProtection="1" pivotButton="0" quotePrefix="0" xfId="1466">
      <alignment horizontal="right" vertical="center"/>
      <protection locked="0" hidden="0"/>
    </xf>
    <xf numFmtId="0" fontId="15" fillId="0" borderId="0" applyAlignment="1" applyProtection="1" pivotButton="0" quotePrefix="0" xfId="1466">
      <alignment horizontal="center" vertical="center" wrapText="1"/>
      <protection locked="0" hidden="0"/>
    </xf>
    <xf numFmtId="0" fontId="15" fillId="0" borderId="0" applyAlignment="1" applyProtection="1" pivotButton="0" quotePrefix="0" xfId="1466">
      <alignment vertical="center" wrapText="1"/>
      <protection locked="0" hidden="0"/>
    </xf>
    <xf numFmtId="0" fontId="15" fillId="0" borderId="0" applyAlignment="1" applyProtection="1" pivotButton="0" quotePrefix="0" xfId="2238">
      <alignment horizontal="left" vertical="center"/>
      <protection locked="0" hidden="0"/>
    </xf>
    <xf numFmtId="0" fontId="6" fillId="0" borderId="0" applyAlignment="1" applyProtection="1" pivotButton="0" quotePrefix="0" xfId="2238">
      <alignment horizontal="left" vertical="center"/>
      <protection locked="0" hidden="0"/>
    </xf>
    <xf numFmtId="0" fontId="11" fillId="0" borderId="0" applyAlignment="1" applyProtection="1" pivotButton="0" quotePrefix="0" xfId="2238">
      <alignment horizontal="center" vertical="center"/>
      <protection locked="0" hidden="0"/>
    </xf>
    <xf numFmtId="0" fontId="6" fillId="0" borderId="0" applyAlignment="1" applyProtection="1" pivotButton="0" quotePrefix="0" xfId="1466">
      <alignment horizontal="center" vertical="center" wrapText="1"/>
      <protection locked="0" hidden="0"/>
    </xf>
    <xf numFmtId="0" fontId="6" fillId="0" borderId="0" applyAlignment="1" applyProtection="1" pivotButton="0" quotePrefix="0" xfId="2228">
      <alignment horizontal="center" vertical="center"/>
      <protection locked="0" hidden="0"/>
    </xf>
    <xf numFmtId="0" fontId="11" fillId="0" borderId="19" applyAlignment="1" applyProtection="1" pivotButton="0" quotePrefix="0" xfId="437">
      <alignment horizontal="left" vertical="center" wrapText="1"/>
      <protection locked="0" hidden="0"/>
    </xf>
    <xf numFmtId="0" fontId="23" fillId="0" borderId="0" applyAlignment="1" applyProtection="1" pivotButton="0" quotePrefix="0" xfId="124">
      <alignment vertical="center"/>
      <protection locked="0" hidden="0"/>
    </xf>
    <xf numFmtId="0" fontId="16" fillId="0" borderId="0" applyAlignment="1" applyProtection="1" pivotButton="0" quotePrefix="0" xfId="28">
      <alignment horizontal="center" vertical="center"/>
      <protection locked="0" hidden="0"/>
    </xf>
    <xf numFmtId="0" fontId="16" fillId="0" borderId="0" applyProtection="1" pivotButton="0" quotePrefix="0" xfId="1211">
      <protection locked="0" hidden="0"/>
    </xf>
    <xf numFmtId="0" fontId="16" fillId="0" borderId="0" applyAlignment="1" applyProtection="1" pivotButton="0" quotePrefix="0" xfId="1211">
      <alignment vertical="center" wrapText="1"/>
      <protection locked="0" hidden="0"/>
    </xf>
    <xf numFmtId="49" fontId="0" fillId="0" borderId="0" pivotButton="0" quotePrefix="0" xfId="0"/>
    <xf numFmtId="37" fontId="15" fillId="0" borderId="34" applyAlignment="1" pivotButton="0" quotePrefix="0" xfId="1087">
      <alignment vertical="center"/>
    </xf>
    <xf numFmtId="0" fontId="5" fillId="0" borderId="0" applyAlignment="1" applyProtection="1" pivotButton="0" quotePrefix="0" xfId="2375">
      <alignment vertical="center"/>
      <protection locked="0" hidden="0"/>
    </xf>
    <xf numFmtId="0" fontId="6" fillId="0" borderId="0" applyAlignment="1" applyProtection="1" pivotButton="0" quotePrefix="0" xfId="2375">
      <alignment horizontal="left" vertical="center"/>
      <protection locked="0" hidden="0"/>
    </xf>
    <xf numFmtId="0" fontId="7" fillId="0" borderId="0" applyAlignment="1" applyProtection="1" pivotButton="0" quotePrefix="0" xfId="2375">
      <alignment horizontal="left" vertical="center"/>
      <protection locked="0" hidden="0"/>
    </xf>
    <xf numFmtId="0" fontId="5" fillId="0" borderId="0" applyProtection="1" pivotButton="0" quotePrefix="0" xfId="2375">
      <protection locked="0" hidden="0"/>
    </xf>
    <xf numFmtId="0" fontId="7" fillId="0" borderId="0" applyAlignment="1" applyProtection="1" pivotButton="0" quotePrefix="0" xfId="2375">
      <alignment vertical="center" wrapText="1"/>
      <protection locked="0" hidden="0"/>
    </xf>
    <xf numFmtId="0" fontId="7" fillId="0" borderId="0" applyProtection="1" pivotButton="0" quotePrefix="0" xfId="2375">
      <protection locked="0" hidden="0"/>
    </xf>
    <xf numFmtId="0" fontId="11" fillId="0" borderId="0" applyAlignment="1" applyProtection="1" pivotButton="0" quotePrefix="0" xfId="2375">
      <alignment vertical="center" wrapText="1"/>
      <protection locked="0" hidden="0"/>
    </xf>
    <xf numFmtId="0" fontId="15" fillId="3" borderId="36" applyAlignment="1" pivotButton="0" quotePrefix="0" xfId="2375">
      <alignment horizontal="center" vertical="center"/>
    </xf>
    <xf numFmtId="0" fontId="15" fillId="3" borderId="37" applyAlignment="1" pivotButton="0" quotePrefix="0" xfId="2375">
      <alignment horizontal="center" vertical="center"/>
    </xf>
    <xf numFmtId="0" fontId="15" fillId="3" borderId="38" applyAlignment="1" pivotButton="0" quotePrefix="0" xfId="2375">
      <alignment horizontal="center" vertical="center" wrapText="1"/>
    </xf>
    <xf numFmtId="0" fontId="15" fillId="3" borderId="38" applyAlignment="1" pivotButton="0" quotePrefix="0" xfId="2375">
      <alignment horizontal="center" vertical="center"/>
    </xf>
    <xf numFmtId="0" fontId="11" fillId="0" borderId="19" applyAlignment="1" applyProtection="1" pivotButton="0" quotePrefix="0" xfId="2375">
      <alignment horizontal="left" vertical="center"/>
      <protection locked="0" hidden="0"/>
    </xf>
    <xf numFmtId="0" fontId="5" fillId="0" borderId="19" applyAlignment="1" applyProtection="1" pivotButton="0" quotePrefix="0" xfId="2375">
      <alignment horizontal="left" vertical="center" wrapText="1"/>
      <protection locked="0" hidden="0"/>
    </xf>
    <xf numFmtId="0" fontId="5" fillId="0" borderId="0" applyAlignment="1" pivotButton="0" quotePrefix="0" xfId="2376">
      <alignment horizontal="left" vertical="center"/>
    </xf>
    <xf numFmtId="0" fontId="5" fillId="0" borderId="0" applyAlignment="1" pivotButton="0" quotePrefix="0" xfId="2376">
      <alignment vertical="center"/>
    </xf>
    <xf numFmtId="0" fontId="8" fillId="0" borderId="0" applyAlignment="1" applyProtection="1" pivotButton="0" quotePrefix="0" xfId="2378">
      <alignment vertical="center"/>
      <protection locked="0" hidden="0"/>
    </xf>
    <xf numFmtId="0" fontId="5" fillId="0" borderId="0" applyAlignment="1" pivotButton="0" quotePrefix="0" xfId="2375">
      <alignment vertical="center"/>
    </xf>
    <xf numFmtId="0" fontId="5" fillId="0" borderId="0" applyAlignment="1" pivotButton="0" quotePrefix="0" xfId="2375">
      <alignment horizontal="left" vertical="center" wrapText="1"/>
    </xf>
    <xf numFmtId="0" fontId="5" fillId="0" borderId="0" applyAlignment="1" pivotButton="0" quotePrefix="0" xfId="2375">
      <alignment horizontal="left" vertical="center"/>
    </xf>
    <xf numFmtId="9" fontId="5" fillId="0" borderId="0" applyAlignment="1" pivotButton="0" quotePrefix="0" xfId="2375">
      <alignment horizontal="left" vertical="center"/>
    </xf>
    <xf numFmtId="9" fontId="5" fillId="0" borderId="0" applyAlignment="1" applyProtection="1" pivotButton="0" quotePrefix="0" xfId="2379">
      <alignment vertical="center"/>
      <protection locked="0" hidden="0"/>
    </xf>
    <xf numFmtId="0" fontId="5" fillId="0" borderId="0" pivotButton="0" quotePrefix="0" xfId="2375"/>
    <xf numFmtId="0" fontId="11" fillId="0" borderId="0" applyAlignment="1" applyProtection="1" pivotButton="0" quotePrefix="0" xfId="2375">
      <alignment vertical="center"/>
      <protection locked="0" hidden="0"/>
    </xf>
    <xf numFmtId="0" fontId="11" fillId="2" borderId="0" applyAlignment="1" pivotButton="0" quotePrefix="0" xfId="2375">
      <alignment vertical="center"/>
    </xf>
    <xf numFmtId="9" fontId="5" fillId="0" borderId="0" applyAlignment="1" pivotButton="0" quotePrefix="0" xfId="2379">
      <alignment vertical="center"/>
    </xf>
    <xf numFmtId="0" fontId="11" fillId="5" borderId="0" applyAlignment="1" pivotButton="0" quotePrefix="0" xfId="2375">
      <alignment vertical="center"/>
    </xf>
    <xf numFmtId="0" fontId="5" fillId="0" borderId="0" applyAlignment="1" pivotButton="0" quotePrefix="0" xfId="2377">
      <alignment vertical="center" wrapText="1"/>
    </xf>
    <xf numFmtId="0" fontId="5" fillId="0" borderId="0" applyAlignment="1" pivotButton="0" quotePrefix="0" xfId="2376">
      <alignment vertical="center" wrapText="1"/>
    </xf>
    <xf numFmtId="43" fontId="5" fillId="0" borderId="0" applyAlignment="1" pivotButton="0" quotePrefix="0" xfId="2375">
      <alignment vertical="center" shrinkToFit="1"/>
    </xf>
    <xf numFmtId="0" fontId="11" fillId="0" borderId="0" applyAlignment="1" pivotButton="0" quotePrefix="0" xfId="2375">
      <alignment vertical="center"/>
    </xf>
    <xf numFmtId="9" fontId="5" fillId="0" borderId="0" applyAlignment="1" pivotButton="0" quotePrefix="0" xfId="2379">
      <alignment vertical="center" shrinkToFit="1"/>
    </xf>
    <xf numFmtId="0" fontId="5" fillId="0" borderId="0" applyAlignment="1" pivotButton="0" quotePrefix="0" xfId="2375">
      <alignment vertical="center" shrinkToFit="1"/>
    </xf>
    <xf numFmtId="0" fontId="5" fillId="0" borderId="0" applyAlignment="1" pivotButton="0" quotePrefix="0" xfId="2381">
      <alignment vertical="center"/>
    </xf>
    <xf numFmtId="0" fontId="11" fillId="0" borderId="0" applyAlignment="1" pivotButton="0" quotePrefix="0" xfId="2381">
      <alignment vertical="center"/>
    </xf>
    <xf numFmtId="0" fontId="5" fillId="0" borderId="0" applyAlignment="1" applyProtection="1" pivotButton="0" quotePrefix="0" xfId="2375">
      <alignment horizontal="left" vertical="center"/>
      <protection locked="0" hidden="0"/>
    </xf>
    <xf numFmtId="0" fontId="5" fillId="2" borderId="0" applyAlignment="1" pivotButton="0" quotePrefix="0" xfId="2376">
      <alignment vertical="center"/>
    </xf>
    <xf numFmtId="0" fontId="6" fillId="0" borderId="0" applyAlignment="1" pivotButton="0" quotePrefix="0" xfId="2375">
      <alignment vertical="center"/>
    </xf>
    <xf numFmtId="0" fontId="6" fillId="2" borderId="0" applyAlignment="1" pivotButton="0" quotePrefix="0" xfId="2375">
      <alignment vertical="center"/>
    </xf>
    <xf numFmtId="0" fontId="5" fillId="2" borderId="0" applyAlignment="1" pivotButton="0" quotePrefix="0" xfId="2375">
      <alignment vertical="center"/>
    </xf>
    <xf numFmtId="0" fontId="5" fillId="0" borderId="15" applyAlignment="1" pivotButton="0" quotePrefix="0" xfId="2375">
      <alignment horizontal="center" vertical="top" wrapText="1"/>
    </xf>
    <xf numFmtId="49" fontId="5" fillId="0" borderId="14" applyAlignment="1" pivotButton="0" quotePrefix="0" xfId="2384">
      <alignment horizontal="lef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0" fontId="5" fillId="0" borderId="14" applyAlignment="1" pivotButton="0" quotePrefix="0" xfId="2384">
      <alignment horizontal="center" vertical="center" shrinkToFit="1"/>
    </xf>
    <xf numFmtId="0" fontId="5" fillId="0" borderId="0" applyAlignment="1" pivotButton="0" quotePrefix="0" xfId="2384">
      <alignment vertical="center"/>
    </xf>
    <xf numFmtId="43" fontId="5" fillId="0" borderId="0" applyAlignment="1" pivotButton="0" quotePrefix="0" xfId="2384">
      <alignment vertical="center"/>
    </xf>
    <xf numFmtId="43" fontId="5" fillId="0" borderId="0" applyAlignment="1" applyProtection="1" pivotButton="0" quotePrefix="0" xfId="2385">
      <alignment horizontal="right" vertical="center" shrinkToFit="1"/>
      <protection locked="0" hidden="0"/>
    </xf>
    <xf numFmtId="43" fontId="5" fillId="0" borderId="0" applyAlignment="1" pivotButton="0" quotePrefix="0" xfId="2385">
      <alignment horizontal="right" vertical="center" shrinkToFit="1"/>
    </xf>
    <xf numFmtId="41" fontId="11" fillId="5" borderId="0" applyAlignment="1" pivotButton="0" quotePrefix="0" xfId="2375">
      <alignment vertical="center"/>
    </xf>
    <xf numFmtId="0" fontId="5" fillId="0" borderId="0" applyAlignment="1" applyProtection="1" pivotButton="0" quotePrefix="0" xfId="2376">
      <alignment vertical="center"/>
      <protection locked="0" hidden="0"/>
    </xf>
    <xf numFmtId="0" fontId="5" fillId="0" borderId="0" applyAlignment="1" applyProtection="1" pivotButton="0" quotePrefix="0" xfId="2377">
      <alignment vertical="center"/>
      <protection locked="0" hidden="0"/>
    </xf>
    <xf numFmtId="0" fontId="5" fillId="0" borderId="0" applyAlignment="1" applyProtection="1" pivotButton="0" quotePrefix="0" xfId="2376">
      <alignment horizontal="left" vertical="center"/>
      <protection locked="0" hidden="0"/>
    </xf>
    <xf numFmtId="0" fontId="11" fillId="0" borderId="0" applyAlignment="1" pivotButton="0" quotePrefix="0" xfId="2375">
      <alignment vertical="center" shrinkToFit="1"/>
    </xf>
    <xf numFmtId="0" fontId="5" fillId="3" borderId="15" applyAlignment="1" pivotButton="0" quotePrefix="0" xfId="2375">
      <alignment horizontal="center" vertical="center" wrapText="1"/>
    </xf>
    <xf numFmtId="0" fontId="11" fillId="3" borderId="38" applyAlignment="1" pivotButton="0" quotePrefix="0" xfId="2375">
      <alignment horizontal="center" vertical="center" wrapText="1"/>
    </xf>
    <xf numFmtId="0" fontId="5" fillId="0" borderId="0" applyAlignment="1" pivotButton="0" quotePrefix="0" xfId="2375">
      <alignment vertical="center" wrapText="1"/>
    </xf>
    <xf numFmtId="0" fontId="5" fillId="4" borderId="0" applyAlignment="1" pivotButton="0" quotePrefix="0" xfId="2375">
      <alignment vertical="center" wrapText="1"/>
    </xf>
    <xf numFmtId="9" fontId="5" fillId="0" borderId="0" applyAlignment="1" pivotButton="0" quotePrefix="0" xfId="2379">
      <alignment vertical="center" wrapText="1"/>
    </xf>
    <xf numFmtId="49" fontId="11" fillId="0" borderId="18" applyAlignment="1" pivotButton="0" quotePrefix="0" xfId="2381">
      <alignment horizontal="left" vertical="center" shrinkToFit="1"/>
    </xf>
    <xf numFmtId="43" fontId="11" fillId="0" borderId="3" applyAlignment="1" pivotButton="0" quotePrefix="0" xfId="2375">
      <alignment horizontal="right" vertical="center" shrinkToFit="1"/>
    </xf>
    <xf numFmtId="43" fontId="5" fillId="0" borderId="0" applyAlignment="1" applyProtection="1" pivotButton="0" quotePrefix="0" xfId="2377">
      <alignment vertical="center"/>
      <protection locked="0" hidden="0"/>
    </xf>
    <xf numFmtId="0" fontId="15" fillId="0" borderId="0" applyAlignment="1" pivotButton="0" quotePrefix="0" xfId="2382">
      <alignment horizontal="center"/>
    </xf>
    <xf numFmtId="0" fontId="15" fillId="0" borderId="0" applyAlignment="1" pivotButton="0" quotePrefix="0" xfId="2382">
      <alignment vertical="center"/>
    </xf>
    <xf numFmtId="0" fontId="21" fillId="0" borderId="0" applyAlignment="1" pivotButton="0" quotePrefix="0" xfId="2382">
      <alignment vertical="center"/>
    </xf>
    <xf numFmtId="0" fontId="6" fillId="0" borderId="1" applyAlignment="1" pivotButton="0" quotePrefix="0" xfId="2381">
      <alignment horizontal="center" vertical="center" wrapText="1"/>
    </xf>
    <xf numFmtId="0" fontId="6" fillId="0" borderId="1" applyAlignment="1" applyProtection="1" pivotButton="0" quotePrefix="0" xfId="2388">
      <alignment horizontal="center" vertical="center" wrapText="1"/>
      <protection locked="0" hidden="0"/>
    </xf>
    <xf numFmtId="0" fontId="15" fillId="0" borderId="1" applyAlignment="1" applyProtection="1" pivotButton="0" quotePrefix="0" xfId="2388">
      <alignment horizontal="center" vertical="center" wrapText="1"/>
      <protection locked="0" hidden="0"/>
    </xf>
    <xf numFmtId="43" fontId="6" fillId="0" borderId="1" applyAlignment="1" applyProtection="1" pivotButton="0" quotePrefix="0" xfId="2388">
      <alignment horizontal="center" vertical="center" wrapText="1" shrinkToFit="1"/>
      <protection locked="0" hidden="0"/>
    </xf>
    <xf numFmtId="10" fontId="15" fillId="0" borderId="1" applyAlignment="1" applyProtection="1" pivotButton="0" quotePrefix="0" xfId="2388">
      <alignment horizontal="center" vertical="center" wrapText="1"/>
      <protection locked="0" hidden="0"/>
    </xf>
    <xf numFmtId="0" fontId="6" fillId="2" borderId="0" applyAlignment="1" applyProtection="1" pivotButton="0" quotePrefix="0" xfId="2388">
      <alignment horizontal="center" vertical="center" wrapText="1"/>
      <protection locked="0" hidden="0"/>
    </xf>
    <xf numFmtId="0" fontId="11" fillId="2" borderId="31" applyAlignment="1" applyProtection="1" pivotButton="0" quotePrefix="0" xfId="2388">
      <alignment horizontal="center" vertical="center" wrapText="1"/>
      <protection locked="0" hidden="0"/>
    </xf>
    <xf numFmtId="0" fontId="11" fillId="2" borderId="41" applyAlignment="1" applyProtection="1" pivotButton="0" quotePrefix="0" xfId="2388">
      <alignment horizontal="center" vertical="center" wrapText="1"/>
      <protection locked="0" hidden="0"/>
    </xf>
    <xf numFmtId="0" fontId="11" fillId="2" borderId="32"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center" vertical="center" wrapText="1"/>
      <protection locked="0" hidden="0"/>
    </xf>
    <xf numFmtId="0" fontId="11" fillId="6" borderId="30" applyAlignment="1" applyProtection="1" pivotButton="0" quotePrefix="0" xfId="2388">
      <alignment vertical="center" wrapText="1"/>
      <protection locked="0" hidden="0"/>
    </xf>
    <xf numFmtId="0" fontId="11" fillId="6" borderId="42" applyAlignment="1" applyProtection="1" pivotButton="0" quotePrefix="0" xfId="2388">
      <alignment vertical="center" wrapText="1"/>
      <protection locked="0" hidden="0"/>
    </xf>
    <xf numFmtId="14" fontId="11" fillId="6" borderId="30"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right" vertical="center" wrapText="1" shrinkToFit="1"/>
      <protection locked="0" hidden="0"/>
    </xf>
    <xf numFmtId="0" fontId="11" fillId="2" borderId="42" applyAlignment="1" applyProtection="1" pivotButton="0" quotePrefix="0" xfId="2388">
      <alignment horizontal="left" vertical="center" wrapText="1" shrinkToFit="1"/>
      <protection locked="0" hidden="0"/>
    </xf>
    <xf numFmtId="0" fontId="6" fillId="4" borderId="35" applyAlignment="1" applyProtection="1" pivotButton="0" quotePrefix="0" xfId="2388">
      <alignment vertical="center" wrapText="1"/>
      <protection locked="0" hidden="0"/>
    </xf>
    <xf numFmtId="0" fontId="11" fillId="2" borderId="0" applyAlignment="1" applyProtection="1" pivotButton="0" quotePrefix="0" xfId="2388">
      <alignment horizontal="center" vertical="center" wrapText="1"/>
      <protection locked="0" hidden="0"/>
    </xf>
    <xf numFmtId="0" fontId="11" fillId="6" borderId="19" applyAlignment="1" applyProtection="1" pivotButton="0" quotePrefix="0" xfId="2388">
      <alignment horizontal="center" vertical="top" wrapText="1"/>
      <protection locked="0" hidden="0"/>
    </xf>
    <xf numFmtId="0" fontId="11" fillId="6" borderId="6" applyAlignment="1" applyProtection="1" pivotButton="0" quotePrefix="0" xfId="2388">
      <alignment horizontal="center" vertical="top" wrapText="1"/>
      <protection locked="0" hidden="0"/>
    </xf>
    <xf numFmtId="0" fontId="11" fillId="3" borderId="6" applyAlignment="1" applyProtection="1" pivotButton="0" quotePrefix="0" xfId="2388">
      <alignment horizontal="center" vertical="top" wrapText="1"/>
      <protection locked="0" hidden="0"/>
    </xf>
    <xf numFmtId="0" fontId="11" fillId="3" borderId="19" applyAlignment="1" applyProtection="1" pivotButton="0" quotePrefix="0" xfId="2388">
      <alignment horizontal="center" vertical="center" wrapText="1"/>
      <protection locked="0" hidden="0"/>
    </xf>
    <xf numFmtId="0" fontId="11" fillId="4" borderId="19" applyAlignment="1" applyProtection="1" pivotButton="0" quotePrefix="0" xfId="2388">
      <alignment horizontal="center" vertical="center" wrapText="1"/>
      <protection locked="0" hidden="0"/>
    </xf>
    <xf numFmtId="0" fontId="11" fillId="2" borderId="16" applyAlignment="1" applyProtection="1" pivotButton="0" quotePrefix="0" xfId="2388">
      <alignment horizontal="center" vertical="center" wrapText="1"/>
      <protection locked="0" hidden="0"/>
    </xf>
    <xf numFmtId="0" fontId="11" fillId="2" borderId="15" applyAlignment="1" applyProtection="1" pivotButton="0" quotePrefix="0" xfId="2388">
      <alignment horizontal="center" vertical="center" wrapText="1"/>
      <protection locked="0" hidden="0"/>
    </xf>
    <xf numFmtId="0" fontId="6" fillId="4" borderId="21" applyAlignment="1" applyProtection="1" pivotButton="0" quotePrefix="0" xfId="2388">
      <alignment horizontal="center" vertical="top" wrapText="1"/>
      <protection locked="0" hidden="0"/>
    </xf>
    <xf numFmtId="0" fontId="11" fillId="2" borderId="0" applyAlignment="1" applyProtection="1" pivotButton="0" quotePrefix="0" xfId="2388">
      <alignment vertical="center"/>
      <protection locked="0" hidden="0"/>
    </xf>
    <xf numFmtId="49" fontId="11" fillId="0" borderId="15" applyAlignment="1" pivotButton="0" quotePrefix="0" xfId="2381">
      <alignment vertical="center" shrinkToFit="1"/>
    </xf>
    <xf numFmtId="49" fontId="11" fillId="0" borderId="19" applyAlignment="1" applyProtection="1" pivotButton="0" quotePrefix="0" xfId="2388">
      <alignment horizontal="left" vertical="center"/>
      <protection locked="0" hidden="0"/>
    </xf>
    <xf numFmtId="49" fontId="11" fillId="0" borderId="21" applyAlignment="1" applyProtection="1" pivotButton="0" quotePrefix="0" xfId="2388">
      <alignment vertical="center"/>
      <protection locked="0" hidden="0"/>
    </xf>
    <xf numFmtId="0" fontId="11" fillId="0" borderId="0" applyAlignment="1" applyProtection="1" pivotButton="0" quotePrefix="0" xfId="2388">
      <alignment horizontal="right" vertical="center"/>
      <protection locked="0" hidden="0"/>
    </xf>
    <xf numFmtId="0" fontId="11" fillId="0" borderId="0" applyAlignment="1" applyProtection="1" pivotButton="0" quotePrefix="0" xfId="2388">
      <alignment vertical="center"/>
      <protection locked="0" hidden="0"/>
    </xf>
    <xf numFmtId="49" fontId="11" fillId="0" borderId="0" applyAlignment="1" applyProtection="1" pivotButton="0" quotePrefix="0" xfId="2388">
      <alignment horizontal="center" vertical="center"/>
      <protection locked="0" hidden="0"/>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10" fontId="11" fillId="0" borderId="14" applyAlignment="1" applyProtection="1" pivotButton="0" quotePrefix="0" xfId="2388">
      <alignment horizontal="right" vertical="center" shrinkToFit="1"/>
      <protection locked="0" hidden="0"/>
    </xf>
    <xf numFmtId="0" fontId="11" fillId="0" borderId="14" applyAlignment="1" applyProtection="1" pivotButton="0" quotePrefix="0" xfId="2388">
      <alignment vertical="center"/>
      <protection locked="0" hidden="0"/>
    </xf>
    <xf numFmtId="49" fontId="20" fillId="0" borderId="0" applyAlignment="1" applyProtection="1" pivotButton="0" quotePrefix="0" xfId="2388">
      <alignment horizontal="center" vertical="center" shrinkToFit="1"/>
      <protection locked="0" hidden="0"/>
    </xf>
    <xf numFmtId="0" fontId="6" fillId="0" borderId="0" applyAlignment="1" pivotButton="0" quotePrefix="0" xfId="2375">
      <alignment horizontal="right" vertical="center"/>
    </xf>
    <xf numFmtId="43" fontId="11" fillId="0" borderId="0" applyAlignment="1" pivotButton="0" quotePrefix="0" xfId="2375">
      <alignment horizontal="right" vertical="center" shrinkToFit="1"/>
    </xf>
    <xf numFmtId="0" fontId="13" fillId="0" borderId="0" applyAlignment="1" pivotButton="0" quotePrefix="0" xfId="2375">
      <alignment horizontal="center" vertical="center"/>
    </xf>
    <xf numFmtId="43" fontId="11"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11" fillId="0" borderId="0" applyAlignment="1" applyProtection="1" pivotButton="0" quotePrefix="0" xfId="2377">
      <alignment vertical="center"/>
      <protection locked="0" hidden="0"/>
    </xf>
    <xf numFmtId="43" fontId="6" fillId="0" borderId="0" applyAlignment="1" applyProtection="1" pivotButton="0" quotePrefix="0" xfId="2377">
      <alignment horizontal="center" vertical="center" wrapText="1"/>
      <protection locked="0" hidden="0"/>
    </xf>
    <xf numFmtId="43" fontId="15" fillId="0" borderId="0" applyAlignment="1" pivotButton="0" quotePrefix="0" xfId="2377">
      <alignment vertical="center"/>
    </xf>
    <xf numFmtId="43" fontId="21" fillId="0" borderId="0" applyAlignment="1" pivotButton="0" quotePrefix="0" xfId="2377">
      <alignment vertical="center"/>
    </xf>
    <xf numFmtId="0" fontId="15" fillId="0" borderId="28" applyAlignment="1" pivotButton="0" quotePrefix="0" xfId="2382">
      <alignment vertical="center"/>
    </xf>
    <xf numFmtId="0" fontId="11" fillId="0" borderId="39" applyAlignment="1" pivotButton="0" quotePrefix="0" xfId="2382">
      <alignment vertical="center"/>
    </xf>
    <xf numFmtId="0" fontId="11" fillId="0" borderId="16" applyAlignment="1" pivotButton="0" quotePrefix="0" xfId="2382">
      <alignment vertical="center" wrapText="1"/>
    </xf>
    <xf numFmtId="0" fontId="5" fillId="0" borderId="0" applyAlignment="1" applyProtection="1" pivotButton="0" quotePrefix="0" xfId="818">
      <alignment vertical="center"/>
      <protection locked="0" hidden="0"/>
    </xf>
    <xf numFmtId="0" fontId="5" fillId="0" borderId="0" applyAlignment="1" applyProtection="1" pivotButton="0" quotePrefix="0" xfId="2375">
      <alignment vertical="center" wrapText="1"/>
      <protection locked="0" hidden="0"/>
    </xf>
    <xf numFmtId="0" fontId="5" fillId="0" borderId="0" applyAlignment="1" applyProtection="1" pivotButton="0" quotePrefix="0" xfId="2375">
      <alignment horizontal="left" vertical="center" wrapText="1"/>
      <protection locked="0" hidden="0"/>
    </xf>
    <xf numFmtId="0" fontId="6" fillId="0" borderId="0" applyAlignment="1" pivotButton="0" quotePrefix="0" xfId="2375">
      <alignment horizontal="center" vertical="center"/>
    </xf>
    <xf numFmtId="0" fontId="11" fillId="0" borderId="0" applyAlignment="1" applyProtection="1" pivotButton="0" quotePrefix="0" xfId="818">
      <alignment vertical="center"/>
      <protection locked="0" hidden="0"/>
    </xf>
    <xf numFmtId="0" fontId="11" fillId="2" borderId="0" applyAlignment="1" pivotButton="0" quotePrefix="0" xfId="1370">
      <alignment vertical="center"/>
    </xf>
    <xf numFmtId="43" fontId="5" fillId="0" borderId="0" applyAlignment="1" pivotButton="0" quotePrefix="0" xfId="2384">
      <alignment horizontal="right" vertical="center" shrinkToFit="1"/>
    </xf>
    <xf numFmtId="0" fontId="5" fillId="0" borderId="14" pivotButton="0" quotePrefix="0" xfId="2375"/>
    <xf numFmtId="0" fontId="6" fillId="2" borderId="14" applyAlignment="1" pivotButton="0" quotePrefix="0" xfId="1370">
      <alignment vertical="center"/>
    </xf>
    <xf numFmtId="0" fontId="6" fillId="2" borderId="14" applyAlignment="1" pivotButton="0" quotePrefix="0" xfId="1370">
      <alignment horizontal="right" vertical="center"/>
    </xf>
    <xf numFmtId="0" fontId="5" fillId="3" borderId="32" applyAlignment="1" pivotButton="0" quotePrefix="0" xfId="0">
      <alignment vertical="center" wrapText="1"/>
    </xf>
    <xf numFmtId="43" fontId="5" fillId="0" borderId="29" applyAlignment="1" pivotButton="0" quotePrefix="0" xfId="2423">
      <alignment horizontal="center" vertical="center" wrapText="1" shrinkToFit="1"/>
    </xf>
    <xf numFmtId="0" fontId="5" fillId="3" borderId="19" applyAlignment="1" pivotButton="0" quotePrefix="0" xfId="0">
      <alignment horizontal="center" vertical="top" wrapText="1"/>
    </xf>
    <xf numFmtId="43" fontId="11" fillId="0" borderId="11" applyAlignment="1" pivotButton="0" quotePrefix="0" xfId="2388">
      <alignment horizontal="center" vertical="center" wrapText="1" shrinkToFit="1"/>
    </xf>
    <xf numFmtId="0" fontId="11" fillId="0" borderId="19" applyAlignment="1" applyProtection="1" pivotButton="0" quotePrefix="0" xfId="0">
      <alignment horizontal="center" vertical="center" wrapText="1"/>
      <protection locked="0" hidden="0"/>
    </xf>
    <xf numFmtId="0" fontId="5" fillId="0" borderId="19" applyAlignment="1" pivotButton="0" quotePrefix="0" xfId="2423">
      <alignment horizontal="center" vertical="center" wrapText="1"/>
    </xf>
    <xf numFmtId="49" fontId="5" fillId="0" borderId="19" applyAlignment="1" pivotButton="0" quotePrefix="0" xfId="0">
      <alignment horizontal="center" vertical="center"/>
    </xf>
    <xf numFmtId="0" fontId="8" fillId="2" borderId="0" applyAlignment="1" pivotButton="0" quotePrefix="0" xfId="0">
      <alignment vertical="center"/>
    </xf>
    <xf numFmtId="0" fontId="6" fillId="2" borderId="0" applyAlignment="1" pivotButton="0" quotePrefix="0" xfId="0">
      <alignment horizontal="center" vertical="center"/>
    </xf>
    <xf numFmtId="0" fontId="6"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43" fontId="5" fillId="0" borderId="0" applyAlignment="1" pivotButton="0" quotePrefix="0" xfId="2423">
      <alignment vertical="center" shrinkToFit="1"/>
    </xf>
    <xf numFmtId="0" fontId="6" fillId="2" borderId="0" applyAlignment="1" pivotButton="0" quotePrefix="0" xfId="0">
      <alignment horizontal="left" vertical="center" wrapText="1"/>
    </xf>
    <xf numFmtId="0" fontId="19" fillId="0" borderId="0" applyAlignment="1" pivotButton="0" quotePrefix="0" xfId="0">
      <alignment horizontal="center" vertical="center"/>
    </xf>
    <xf numFmtId="0" fontId="6" fillId="0" borderId="0" applyAlignment="1" pivotButton="0" quotePrefix="0" xfId="0">
      <alignment horizontal="center" vertical="center"/>
    </xf>
    <xf numFmtId="43" fontId="5" fillId="0" borderId="0" applyAlignment="1" pivotButton="0" quotePrefix="0" xfId="2423">
      <alignment horizontal="center" vertical="center" wrapText="1" shrinkToFit="1"/>
    </xf>
    <xf numFmtId="0" fontId="5" fillId="0" borderId="0" applyAlignment="1" pivotButton="0" quotePrefix="0" xfId="0">
      <alignment horizontal="left" vertical="center" wrapTex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0" fontId="5" fillId="0" borderId="30" applyAlignment="1" pivotButton="0" quotePrefix="0" xfId="0">
      <alignment vertical="center" wrapText="1"/>
    </xf>
    <xf numFmtId="0" fontId="5" fillId="0" borderId="30" applyAlignment="1" pivotButton="0" quotePrefix="0" xfId="0">
      <alignment horizontal="right" vertical="center" wrapText="1"/>
    </xf>
    <xf numFmtId="0" fontId="5" fillId="0" borderId="30" applyAlignment="1" pivotButton="0" quotePrefix="0" xfId="0">
      <alignment vertical="center"/>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0" fontId="5" fillId="0" borderId="15" applyAlignment="1" pivotButton="0" quotePrefix="0" xfId="0">
      <alignment horizontal="center" vertical="top" wrapText="1"/>
    </xf>
    <xf numFmtId="0" fontId="5" fillId="0" borderId="19" applyAlignment="1" pivotButton="0" quotePrefix="0" xfId="0">
      <alignment horizontal="center" vertical="top" wrapText="1"/>
    </xf>
    <xf numFmtId="0" fontId="5" fillId="3" borderId="19" applyAlignment="1" pivotButton="0" quotePrefix="0" xfId="0">
      <alignment horizontal="center" vertical="center" wrapText="1"/>
    </xf>
    <xf numFmtId="0" fontId="5" fillId="0" borderId="0" applyAlignment="1" pivotButton="0" quotePrefix="0" xfId="0">
      <alignment horizontal="left" vertical="center"/>
    </xf>
    <xf numFmtId="49" fontId="5" fillId="0" borderId="15" applyAlignment="1" pivotButton="0" quotePrefix="0" xfId="0">
      <alignment horizontal="center" vertical="center"/>
    </xf>
    <xf numFmtId="14" fontId="5" fillId="0" borderId="19" applyAlignment="1" pivotButton="0" quotePrefix="0" xfId="0">
      <alignment horizontal="left" vertical="center"/>
    </xf>
    <xf numFmtId="0" fontId="5" fillId="0" borderId="0" applyAlignment="1" pivotButton="0" quotePrefix="0" xfId="2423">
      <alignment vertical="center" shrinkToFit="1"/>
    </xf>
    <xf numFmtId="0" fontId="5" fillId="0" borderId="0" applyAlignment="1" pivotButton="0" quotePrefix="0" xfId="0">
      <alignment horizontal="left" vertical="center" shrinkToFit="1"/>
    </xf>
    <xf numFmtId="49" fontId="5" fillId="0" borderId="14" applyAlignment="1" pivotButton="0" quotePrefix="0" xfId="0">
      <alignment horizontal="left" vertical="center" shrinkToFit="1"/>
    </xf>
    <xf numFmtId="14" fontId="5" fillId="0" borderId="14" applyAlignment="1" pivotButton="0" quotePrefix="0" xfId="0">
      <alignment horizontal="right" vertical="center" shrinkToFit="1"/>
    </xf>
    <xf numFmtId="0" fontId="5" fillId="0" borderId="14" applyAlignment="1" pivotButton="0" quotePrefix="0" xfId="0">
      <alignment horizontal="right" vertical="center" shrinkToFit="1"/>
    </xf>
    <xf numFmtId="14" fontId="11" fillId="0" borderId="14" applyAlignment="1" pivotButton="0" quotePrefix="0" xfId="2388">
      <alignment horizontal="right" vertical="center" shrinkToFit="1"/>
    </xf>
    <xf numFmtId="0" fontId="5" fillId="0" borderId="14" applyAlignment="1" pivotButton="0" quotePrefix="0" xfId="2423">
      <alignment vertical="center" shrinkToFit="1"/>
    </xf>
    <xf numFmtId="14" fontId="5" fillId="0" borderId="0" applyAlignment="1" pivotButton="0" quotePrefix="0" xfId="0">
      <alignment horizontal="center" vertical="center"/>
    </xf>
    <xf numFmtId="0" fontId="8" fillId="0" borderId="0" applyAlignment="1" pivotButton="0" quotePrefix="0" xfId="0">
      <alignment horizontal="center" vertical="center"/>
    </xf>
    <xf numFmtId="43" fontId="5" fillId="0" borderId="0" applyAlignment="1" pivotButton="0" quotePrefix="0" xfId="0">
      <alignment horizontal="right" shrinkToFit="1"/>
    </xf>
    <xf numFmtId="0" fontId="5" fillId="0" borderId="0" applyAlignment="1" pivotButton="0" quotePrefix="0" xfId="0">
      <alignment horizontal="center" vertical="center"/>
    </xf>
    <xf numFmtId="14" fontId="11" fillId="0" borderId="0" applyAlignment="1" pivotButton="0" quotePrefix="0" xfId="2388">
      <alignment horizontal="right" vertical="center" shrinkToFit="1"/>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0" fontId="5" fillId="2" borderId="0" applyAlignment="1" pivotButton="0" quotePrefix="0" xfId="2423">
      <alignment vertical="center"/>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5" fillId="2" borderId="0"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0" fontId="15" fillId="2" borderId="0" applyAlignment="1" pivotButton="0" quotePrefix="0" xfId="0">
      <alignment vertical="center"/>
    </xf>
    <xf numFmtId="0" fontId="15" fillId="2" borderId="0" applyAlignment="1" pivotButton="0" quotePrefix="0" xfId="0">
      <alignment horizontal="center" vertical="center"/>
    </xf>
    <xf numFmtId="43" fontId="5" fillId="0" borderId="12" applyAlignment="1" pivotButton="0" quotePrefix="0" xfId="2423">
      <alignment vertical="center" shrinkToFit="1"/>
    </xf>
    <xf numFmtId="0" fontId="5" fillId="2" borderId="0" applyAlignment="1" applyProtection="1" pivotButton="0" quotePrefix="0" xfId="2423">
      <alignment vertical="center"/>
      <protection locked="0" hidden="0"/>
    </xf>
    <xf numFmtId="43" fontId="13" fillId="0" borderId="9"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0" fontId="5" fillId="0" borderId="12" applyAlignment="1" pivotButton="0" quotePrefix="0" xfId="2423">
      <alignment vertical="center"/>
    </xf>
    <xf numFmtId="0" fontId="11" fillId="2" borderId="0" applyAlignment="1" pivotButton="0" quotePrefix="0" xfId="0">
      <alignment vertical="center"/>
    </xf>
    <xf numFmtId="0" fontId="5" fillId="0" borderId="0" applyAlignment="1" pivotButton="0" quotePrefix="0" xfId="2423">
      <alignment vertical="center"/>
    </xf>
    <xf numFmtId="43" fontId="13" fillId="0" borderId="9" applyAlignment="1" pivotButton="0" quotePrefix="0" xfId="2385">
      <alignment vertical="center"/>
    </xf>
    <xf numFmtId="43" fontId="13" fillId="0" borderId="0" applyAlignment="1" pivotButton="0" quotePrefix="0" xfId="2385">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0" fontId="11" fillId="0" borderId="0" applyAlignment="1" pivotButton="0" quotePrefix="0" xfId="0">
      <alignment horizontal="center" vertical="center"/>
    </xf>
    <xf numFmtId="0" fontId="5" fillId="0" borderId="10" applyAlignment="1" applyProtection="1" pivotButton="0" quotePrefix="0" xfId="2423">
      <alignment vertical="center"/>
      <protection locked="0" hidden="0"/>
    </xf>
    <xf numFmtId="0" fontId="5" fillId="0" borderId="8" applyAlignment="1" applyProtection="1" pivotButton="0" quotePrefix="0" xfId="2423">
      <alignment vertical="center"/>
      <protection locked="0" hidden="0"/>
    </xf>
    <xf numFmtId="0" fontId="5" fillId="0" borderId="13" applyAlignment="1" applyProtection="1" pivotButton="0" quotePrefix="0" xfId="2423">
      <alignment vertical="center"/>
      <protection locked="0" hidden="0"/>
    </xf>
    <xf numFmtId="41" fontId="11" fillId="5" borderId="0" applyAlignment="1" pivotButton="0" quotePrefix="0" xfId="0">
      <alignment vertical="center"/>
    </xf>
    <xf numFmtId="165" fontId="5" fillId="2" borderId="0" applyAlignment="1" pivotButton="0" quotePrefix="0" xfId="2423">
      <alignment vertical="center"/>
    </xf>
    <xf numFmtId="0" fontId="11" fillId="0" borderId="45" applyAlignment="1" applyProtection="1" pivotButton="0" quotePrefix="0" xfId="2375">
      <alignment horizontal="center" vertical="center"/>
      <protection locked="0" hidden="0"/>
    </xf>
    <xf numFmtId="0" fontId="6" fillId="49" borderId="0" applyAlignment="1" pivotButton="0" quotePrefix="0" xfId="2375">
      <alignment horizontal="center"/>
    </xf>
    <xf numFmtId="0" fontId="6" fillId="49" borderId="0" applyAlignment="1" pivotButton="0" quotePrefix="0" xfId="2375">
      <alignment horizontal="center" vertical="center"/>
    </xf>
    <xf numFmtId="0" fontId="6" fillId="49" borderId="0" pivotButton="0" quotePrefix="0" xfId="2375"/>
    <xf numFmtId="0" fontId="6" fillId="49" borderId="0" pivotButton="0" quotePrefix="0" xfId="0"/>
    <xf numFmtId="43" fontId="5" fillId="49" borderId="0" applyAlignment="1" pivotButton="0" quotePrefix="0" xfId="2423">
      <alignment horizontal="center" vertical="center" wrapText="1" shrinkToFit="1"/>
    </xf>
    <xf numFmtId="0" fontId="6" fillId="0" borderId="0" applyAlignment="1" pivotButton="0" quotePrefix="0" xfId="0">
      <alignment vertical="center"/>
    </xf>
    <xf numFmtId="0" fontId="22" fillId="0" borderId="9" applyAlignment="1" applyProtection="1" pivotButton="0" quotePrefix="0" xfId="2382">
      <alignment horizontal="left" vertical="center"/>
      <protection locked="0" hidden="0"/>
    </xf>
    <xf numFmtId="0" fontId="5" fillId="0" borderId="0" applyAlignment="1" applyProtection="1" pivotButton="0" quotePrefix="0" xfId="2382">
      <alignment vertical="center"/>
      <protection locked="0" hidden="0"/>
    </xf>
    <xf numFmtId="0" fontId="6" fillId="0" borderId="0" applyAlignment="1" applyProtection="1" pivotButton="0" quotePrefix="0" xfId="2382">
      <alignment vertical="center"/>
      <protection locked="0" hidden="0"/>
    </xf>
    <xf numFmtId="0" fontId="5" fillId="0" borderId="12" applyAlignment="1" applyProtection="1" pivotButton="0" quotePrefix="0" xfId="2382">
      <alignment vertical="center"/>
      <protection locked="0" hidden="0"/>
    </xf>
    <xf numFmtId="0" fontId="119" fillId="0" borderId="34" applyAlignment="1" pivotButton="0" quotePrefix="0" xfId="2375">
      <alignment vertical="center"/>
    </xf>
    <xf numFmtId="0" fontId="121" fillId="0" borderId="14" applyAlignment="1" pivotButton="0" quotePrefix="0" xfId="2382">
      <alignment vertical="center"/>
    </xf>
    <xf numFmtId="0" fontId="122" fillId="0" borderId="35" applyAlignment="1" pivotButton="0" quotePrefix="0" xfId="1372">
      <alignment vertical="center" wrapText="1"/>
    </xf>
    <xf numFmtId="0" fontId="121" fillId="0" borderId="9" applyAlignment="1" pivotButton="0" quotePrefix="0" xfId="2375">
      <alignment vertical="center"/>
    </xf>
    <xf numFmtId="0" fontId="121" fillId="0" borderId="0" applyAlignment="1" pivotButton="0" quotePrefix="0" xfId="2382">
      <alignment vertical="center"/>
    </xf>
    <xf numFmtId="0" fontId="122" fillId="0" borderId="12" applyAlignment="1" pivotButton="0" quotePrefix="0" xfId="1372">
      <alignment vertical="center" wrapText="1"/>
    </xf>
    <xf numFmtId="0" fontId="124" fillId="0" borderId="9" applyAlignment="1" pivotButton="0" quotePrefix="0" xfId="2375">
      <alignment vertical="center"/>
    </xf>
    <xf numFmtId="17" fontId="124" fillId="0" borderId="0" applyAlignment="1" pivotButton="0" quotePrefix="0" xfId="2375">
      <alignment horizontal="center" vertical="center"/>
    </xf>
    <xf numFmtId="0" fontId="122" fillId="0" borderId="0" applyAlignment="1" pivotButton="0" quotePrefix="0" xfId="2375">
      <alignment vertical="center"/>
    </xf>
    <xf numFmtId="0" fontId="124" fillId="0" borderId="10" applyAlignment="1" applyProtection="1" pivotButton="0" quotePrefix="0" xfId="2375">
      <alignment vertical="center"/>
      <protection locked="0" hidden="0"/>
    </xf>
    <xf numFmtId="17" fontId="124" fillId="0" borderId="8" applyAlignment="1" pivotButton="0" quotePrefix="0" xfId="2375">
      <alignment horizontal="center" vertical="center"/>
    </xf>
    <xf numFmtId="0" fontId="122" fillId="0" borderId="13" applyAlignment="1" pivotButton="0" quotePrefix="0" xfId="2375">
      <alignment vertical="center"/>
    </xf>
    <xf numFmtId="0" fontId="129" fillId="49" borderId="0" applyAlignment="1" pivotButton="0" quotePrefix="0" xfId="0">
      <alignment vertical="center"/>
    </xf>
    <xf numFmtId="0" fontId="11" fillId="0" borderId="15" applyAlignment="1" applyProtection="1" pivotButton="0" quotePrefix="0" xfId="2388">
      <alignment horizontal="center" vertical="center" wrapText="1"/>
      <protection locked="0" hidden="0"/>
    </xf>
    <xf numFmtId="0" fontId="11" fillId="2" borderId="19" applyAlignment="1" applyProtection="1" pivotButton="0" quotePrefix="0" xfId="2388">
      <alignment horizontal="center" vertical="center" wrapText="1"/>
      <protection locked="0" hidden="0"/>
    </xf>
    <xf numFmtId="49" fontId="16" fillId="0" borderId="6" applyAlignment="1" applyProtection="1" pivotButton="0" quotePrefix="0" xfId="28">
      <alignment horizontal="left" vertical="center"/>
      <protection locked="0" hidden="0"/>
    </xf>
    <xf numFmtId="0" fontId="119" fillId="0" borderId="14" applyAlignment="1" pivotButton="0" quotePrefix="0" xfId="2375">
      <alignment vertical="center"/>
    </xf>
    <xf numFmtId="0" fontId="129" fillId="0" borderId="35" applyAlignment="1" pivotButton="0" quotePrefix="0" xfId="2376">
      <alignment vertical="center"/>
    </xf>
    <xf numFmtId="0" fontId="124" fillId="0" borderId="0" applyAlignment="1" pivotButton="0" quotePrefix="0" xfId="2375">
      <alignment vertical="center" wrapText="1"/>
    </xf>
    <xf numFmtId="0" fontId="124" fillId="0" borderId="0" applyAlignment="1" pivotButton="0" quotePrefix="0" xfId="2375">
      <alignment vertical="center"/>
    </xf>
    <xf numFmtId="0" fontId="121" fillId="0" borderId="12" applyAlignment="1" pivotButton="0" quotePrefix="0" xfId="2376">
      <alignment vertical="center"/>
    </xf>
    <xf numFmtId="0" fontId="121" fillId="0" borderId="9" applyAlignment="1" pivotButton="0" quotePrefix="0" xfId="2376">
      <alignment vertical="center" wrapText="1"/>
    </xf>
    <xf numFmtId="0" fontId="121" fillId="0" borderId="0" applyAlignment="1" pivotButton="0" quotePrefix="0" xfId="2376">
      <alignment vertical="center" wrapText="1"/>
    </xf>
    <xf numFmtId="0" fontId="121" fillId="0" borderId="12" applyAlignment="1" pivotButton="0" quotePrefix="0" xfId="2376">
      <alignment vertical="center" wrapText="1"/>
    </xf>
    <xf numFmtId="0" fontId="7" fillId="0" borderId="0" pivotButton="0" quotePrefix="0" xfId="0"/>
    <xf numFmtId="0" fontId="131" fillId="0" borderId="34" applyAlignment="1" pivotButton="0" quotePrefix="0" xfId="2376">
      <alignment vertical="center"/>
    </xf>
    <xf numFmtId="0" fontId="129" fillId="0" borderId="14" applyAlignment="1" pivotButton="0" quotePrefix="0" xfId="2375">
      <alignment vertical="center"/>
    </xf>
    <xf numFmtId="0" fontId="124" fillId="0" borderId="14" applyAlignment="1" pivotButton="0" quotePrefix="0" xfId="2375">
      <alignment vertical="center"/>
    </xf>
    <xf numFmtId="0" fontId="124" fillId="0" borderId="35" applyAlignment="1" pivotButton="0" quotePrefix="0" xfId="2375">
      <alignment vertical="center"/>
    </xf>
    <xf numFmtId="0" fontId="124" fillId="0" borderId="9" applyAlignment="1" pivotButton="0" quotePrefix="0" xfId="2376">
      <alignment vertical="center"/>
    </xf>
    <xf numFmtId="0" fontId="124" fillId="0" borderId="0" applyAlignment="1" pivotButton="0" quotePrefix="0" xfId="2376">
      <alignment vertical="center"/>
    </xf>
    <xf numFmtId="0" fontId="124" fillId="0" borderId="12" applyAlignment="1" pivotButton="0" quotePrefix="0" xfId="2376">
      <alignment vertical="center"/>
    </xf>
    <xf numFmtId="0" fontId="129" fillId="0" borderId="9" applyAlignment="1" pivotButton="0" quotePrefix="0" xfId="2376">
      <alignment vertical="center"/>
    </xf>
    <xf numFmtId="0" fontId="129" fillId="0" borderId="0" applyAlignment="1" pivotButton="0" quotePrefix="0" xfId="2375">
      <alignment vertical="center"/>
    </xf>
    <xf numFmtId="0" fontId="124" fillId="0" borderId="12" applyAlignment="1" pivotButton="0" quotePrefix="0" xfId="2375">
      <alignment vertical="center"/>
    </xf>
    <xf numFmtId="0" fontId="11" fillId="3" borderId="39" applyAlignment="1" pivotButton="0" quotePrefix="0" xfId="2375">
      <alignment horizontal="center" vertical="center" wrapText="1"/>
    </xf>
    <xf numFmtId="0" fontId="5" fillId="3" borderId="16" applyAlignment="1" pivotButton="0" quotePrefix="0" xfId="2423">
      <alignment horizontal="center" vertical="center" wrapText="1"/>
    </xf>
    <xf numFmtId="43" fontId="6" fillId="0" borderId="0" applyAlignment="1" applyProtection="1" pivotButton="0" quotePrefix="0" xfId="2377">
      <alignment vertical="center"/>
      <protection locked="0" hidden="0"/>
    </xf>
    <xf numFmtId="43" fontId="5" fillId="0" borderId="0" applyAlignment="1" applyProtection="1" pivotButton="0" quotePrefix="0" xfId="2385">
      <alignment vertical="center"/>
      <protection locked="0" hidden="0"/>
    </xf>
    <xf numFmtId="43" fontId="6" fillId="0" borderId="0" applyAlignment="1" pivotButton="0" quotePrefix="0" xfId="2377">
      <alignment vertical="center"/>
    </xf>
    <xf numFmtId="0" fontId="11" fillId="50" borderId="38" applyAlignment="1" pivotButton="0" quotePrefix="0" xfId="2375">
      <alignment horizontal="center" vertical="center" wrapText="1"/>
    </xf>
    <xf numFmtId="0" fontId="6" fillId="2" borderId="35" applyAlignment="1" pivotButton="0" quotePrefix="0" xfId="1370">
      <alignment vertical="center"/>
    </xf>
    <xf numFmtId="0" fontId="5" fillId="50" borderId="14" applyAlignment="1" applyProtection="1" pivotButton="0" quotePrefix="0" xfId="2382">
      <alignment vertical="center"/>
      <protection locked="0" hidden="0"/>
    </xf>
    <xf numFmtId="0" fontId="6" fillId="50" borderId="14" applyAlignment="1" applyProtection="1" pivotButton="0" quotePrefix="0" xfId="2382">
      <alignment vertical="center"/>
      <protection locked="0" hidden="0"/>
    </xf>
    <xf numFmtId="0" fontId="5" fillId="50" borderId="35" applyAlignment="1" applyProtection="1" pivotButton="0" quotePrefix="0" xfId="2382">
      <alignment vertical="center"/>
      <protection locked="0" hidden="0"/>
    </xf>
    <xf numFmtId="0" fontId="15" fillId="6" borderId="0" applyAlignment="1" applyProtection="1" pivotButton="0" quotePrefix="0" xfId="437">
      <alignment horizontal="left" vertical="center"/>
      <protection locked="0" hidden="0"/>
    </xf>
    <xf numFmtId="0" fontId="7" fillId="0" borderId="8" applyAlignment="1" applyProtection="1" pivotButton="0" quotePrefix="0" xfId="0">
      <alignment horizontal="left" vertical="center"/>
      <protection locked="0" hidden="0"/>
    </xf>
    <xf numFmtId="0" fontId="5" fillId="0" borderId="8" applyAlignment="1" applyProtection="1" pivotButton="0" quotePrefix="0" xfId="0">
      <alignment horizontal="left" vertical="center"/>
      <protection locked="0" hidden="0"/>
    </xf>
    <xf numFmtId="0" fontId="7" fillId="0" borderId="8" applyAlignment="1" applyProtection="1" pivotButton="0" quotePrefix="0" xfId="0">
      <alignment horizontal="center" vertical="center" wrapText="1"/>
      <protection locked="0" hidden="0"/>
    </xf>
    <xf numFmtId="0" fontId="7" fillId="0" borderId="8" applyAlignment="1" applyProtection="1" pivotButton="0" quotePrefix="0" xfId="0">
      <alignment horizontal="left" vertical="center" wrapText="1"/>
      <protection locked="0" hidden="0"/>
    </xf>
    <xf numFmtId="0" fontId="7" fillId="0" borderId="50" applyAlignment="1" applyProtection="1" pivotButton="0" quotePrefix="0" xfId="0">
      <alignment vertical="center" wrapText="1"/>
      <protection locked="0" hidden="0"/>
    </xf>
    <xf numFmtId="0" fontId="7" fillId="0" borderId="51" applyAlignment="1" applyProtection="1" pivotButton="0" quotePrefix="0" xfId="0">
      <alignment vertical="center" wrapText="1"/>
      <protection locked="0" hidden="0"/>
    </xf>
    <xf numFmtId="0" fontId="7" fillId="0" borderId="52" applyAlignment="1" applyProtection="1" pivotButton="0" quotePrefix="0" xfId="0">
      <alignment vertical="center" wrapText="1"/>
      <protection locked="0" hidden="0"/>
    </xf>
    <xf numFmtId="43" fontId="6" fillId="0" borderId="0" applyAlignment="1" applyProtection="1" pivotButton="0" quotePrefix="0" xfId="2377">
      <alignment horizontal="center" vertical="center"/>
      <protection locked="0" hidden="0"/>
    </xf>
    <xf numFmtId="43" fontId="6" fillId="0" borderId="0" applyAlignment="1" pivotButton="0" quotePrefix="0" xfId="2377">
      <alignment horizontal="center" vertical="center"/>
    </xf>
    <xf numFmtId="166" fontId="133" fillId="0" borderId="0" applyAlignment="1" applyProtection="1" pivotButton="0" quotePrefix="0" xfId="1429">
      <alignment horizontal="left" vertical="center"/>
      <protection locked="0" hidden="0"/>
    </xf>
    <xf numFmtId="0" fontId="11" fillId="6" borderId="49" applyAlignment="1" applyProtection="1" pivotButton="0" quotePrefix="0" xfId="437">
      <alignment horizontal="center" vertical="center"/>
      <protection locked="0" hidden="0"/>
    </xf>
    <xf numFmtId="0" fontId="22" fillId="50" borderId="34" applyAlignment="1" applyProtection="1" pivotButton="0" quotePrefix="0" xfId="2382">
      <alignment horizontal="left" vertical="center"/>
      <protection locked="0" hidden="0"/>
    </xf>
    <xf numFmtId="0" fontId="11" fillId="50" borderId="29" applyAlignment="1" pivotButton="0" quotePrefix="0" xfId="2375">
      <alignment horizontal="center" vertical="center" wrapText="1"/>
    </xf>
    <xf numFmtId="0" fontId="5" fillId="0" borderId="55" applyAlignment="1" applyProtection="1" pivotButton="0" quotePrefix="0" xfId="2375">
      <alignment horizontal="left" vertical="center" wrapText="1"/>
      <protection locked="0" hidden="0"/>
    </xf>
    <xf numFmtId="0" fontId="5" fillId="0" borderId="0" applyAlignment="1" pivotButton="0" quotePrefix="0" xfId="0">
      <alignment horizontal="center" vertical="center" wrapText="1"/>
    </xf>
    <xf numFmtId="0" fontId="5" fillId="0" borderId="0" applyAlignment="1" applyProtection="1" pivotButton="0" quotePrefix="0" xfId="2238">
      <alignment horizontal="center" vertical="center" wrapText="1"/>
      <protection locked="0" hidden="0"/>
    </xf>
    <xf numFmtId="9" fontId="5" fillId="0" borderId="0" applyAlignment="1" pivotButton="0" quotePrefix="0" xfId="2379">
      <alignment horizontal="center" vertical="center" wrapText="1"/>
    </xf>
    <xf numFmtId="0" fontId="6" fillId="0" borderId="0" pivotButton="0" quotePrefix="0" xfId="0"/>
    <xf numFmtId="0" fontId="122" fillId="49" borderId="56" applyAlignment="1" applyProtection="1" pivotButton="0" quotePrefix="0" xfId="818">
      <alignment horizontal="left" vertical="center" wrapText="1"/>
      <protection locked="0" hidden="0"/>
    </xf>
    <xf numFmtId="49" fontId="11" fillId="0" borderId="14" applyAlignment="1" applyProtection="1" pivotButton="0" quotePrefix="0" xfId="2388">
      <alignment horizontal="center" vertical="center"/>
      <protection locked="0" hidden="0"/>
    </xf>
    <xf numFmtId="49" fontId="6" fillId="0" borderId="14" applyAlignment="1" applyProtection="1" pivotButton="0" quotePrefix="0" xfId="2249">
      <alignment horizontal="center" vertical="center" shrinkToFit="1"/>
      <protection locked="0" hidden="0"/>
    </xf>
    <xf numFmtId="0" fontId="11" fillId="3" borderId="57" applyAlignment="1" applyProtection="1" pivotButton="0" quotePrefix="0" xfId="2388">
      <alignment vertical="center" wrapText="1"/>
      <protection locked="0" hidden="0"/>
    </xf>
    <xf numFmtId="43" fontId="11" fillId="0" borderId="30" applyAlignment="1" applyProtection="1" pivotButton="0" quotePrefix="0" xfId="2388">
      <alignment horizontal="right" vertical="center" shrinkToFit="1"/>
      <protection locked="0" hidden="0"/>
    </xf>
    <xf numFmtId="0" fontId="11" fillId="2" borderId="54" applyAlignment="1" applyProtection="1" pivotButton="0" quotePrefix="0" xfId="2388">
      <alignment horizontal="center" vertical="center" wrapText="1"/>
      <protection locked="0" hidden="0"/>
    </xf>
    <xf numFmtId="43" fontId="11" fillId="0" borderId="54" applyAlignment="1" pivotButton="0" quotePrefix="0" xfId="2388">
      <alignment horizontal="right" vertical="center" shrinkToFit="1"/>
    </xf>
    <xf numFmtId="0" fontId="5" fillId="0" borderId="55" applyAlignment="1" pivotButton="0" quotePrefix="0" xfId="0">
      <alignment horizontal="center" vertical="center" wrapTex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9" fontId="5" fillId="0" borderId="46" applyAlignment="1" pivotButton="0" quotePrefix="0" xfId="0">
      <alignment horizontal="center" vertical="center"/>
    </xf>
    <xf numFmtId="14" fontId="5" fillId="0" borderId="46" applyAlignment="1" pivotButton="0" quotePrefix="0" xfId="0">
      <alignment horizontal="center" vertical="center"/>
    </xf>
    <xf numFmtId="43" fontId="5" fillId="0" borderId="46" applyAlignment="1" pivotButton="0" quotePrefix="0" xfId="0">
      <alignment horizontal="center" vertical="center"/>
    </xf>
    <xf numFmtId="43" fontId="11" fillId="0" borderId="53" applyAlignment="1" pivotButton="0" quotePrefix="0" xfId="2375">
      <alignment horizontal="right" vertical="center" shrinkToFit="1"/>
    </xf>
    <xf numFmtId="49" fontId="11" fillId="0" borderId="46" applyAlignment="1" pivotButton="0" quotePrefix="0" xfId="2375">
      <alignment horizontal="left" vertical="center" shrinkToFit="1"/>
    </xf>
    <xf numFmtId="14" fontId="11" fillId="0" borderId="46" applyAlignment="1" pivotButton="0" quotePrefix="0" xfId="2375">
      <alignment horizontal="left" vertical="center" shrinkToFit="1"/>
    </xf>
    <xf numFmtId="43" fontId="11" fillId="0" borderId="47" applyAlignment="1" pivotButton="0" quotePrefix="0" xfId="2375">
      <alignment horizontal="right" vertical="center" shrinkToFit="1"/>
    </xf>
    <xf numFmtId="0" fontId="6" fillId="49" borderId="0" applyAlignment="1" pivotButton="0" quotePrefix="0" xfId="0">
      <alignment vertical="center"/>
    </xf>
    <xf numFmtId="0" fontId="13" fillId="0" borderId="0" pivotButton="0" quotePrefix="0" xfId="0"/>
    <xf numFmtId="43" fontId="6" fillId="0" borderId="0" applyAlignment="1" pivotButton="0" quotePrefix="0" xfId="2423">
      <alignment horizontal="center" vertical="center" wrapText="1" shrinkToFit="1"/>
    </xf>
    <xf numFmtId="0" fontId="124" fillId="0" borderId="56" applyAlignment="1" applyProtection="1" pivotButton="0" quotePrefix="0" xfId="818">
      <alignment horizontal="left" vertical="center" wrapText="1"/>
      <protection locked="0" hidden="0"/>
    </xf>
    <xf numFmtId="0" fontId="122" fillId="0" borderId="56" applyAlignment="1" pivotButton="0" quotePrefix="0" xfId="2375">
      <alignment vertical="center"/>
    </xf>
    <xf numFmtId="0" fontId="6" fillId="0" borderId="0" applyAlignment="1" pivotButton="0" quotePrefix="0" xfId="0">
      <alignment horizontal="right" vertical="center"/>
    </xf>
    <xf numFmtId="0" fontId="6" fillId="2" borderId="0" applyAlignment="1" pivotButton="0" quotePrefix="0" xfId="2375">
      <alignment horizontal="right" vertical="center"/>
    </xf>
    <xf numFmtId="0" fontId="6" fillId="0" borderId="15" applyAlignment="1" pivotButton="0" quotePrefix="0" xfId="2382">
      <alignment horizontal="left" vertical="center"/>
    </xf>
    <xf numFmtId="0" fontId="11" fillId="50" borderId="60" applyAlignment="1" pivotButton="0" quotePrefix="0" xfId="2375">
      <alignment horizontal="center" vertical="center" wrapText="1"/>
    </xf>
    <xf numFmtId="0" fontId="11" fillId="3" borderId="60" applyAlignment="1" pivotButton="0" quotePrefix="0" xfId="2375">
      <alignment horizontal="center" vertical="center" wrapText="1" shrinkToFit="1"/>
    </xf>
    <xf numFmtId="0" fontId="6" fillId="3" borderId="61" applyAlignment="1" pivotButton="0" quotePrefix="0" xfId="2375">
      <alignment horizontal="center" vertical="center" wrapText="1" shrinkToFit="1"/>
    </xf>
    <xf numFmtId="0" fontId="5" fillId="3" borderId="34" applyAlignment="1" applyProtection="1" pivotButton="0" quotePrefix="0" xfId="0">
      <alignment vertical="center"/>
      <protection locked="0" hidden="0"/>
    </xf>
    <xf numFmtId="0" fontId="5" fillId="3" borderId="14" applyAlignment="1" applyProtection="1" pivotButton="0" quotePrefix="0" xfId="0">
      <alignment vertical="center"/>
      <protection locked="0" hidden="0"/>
    </xf>
    <xf numFmtId="0" fontId="5" fillId="3" borderId="35" applyAlignment="1" applyProtection="1" pivotButton="0" quotePrefix="0" xfId="0">
      <alignment vertical="center"/>
      <protection locked="0" hidden="0"/>
    </xf>
    <xf numFmtId="0" fontId="5" fillId="2" borderId="9" applyAlignment="1" applyProtection="1" pivotButton="0" quotePrefix="0" xfId="0">
      <alignment horizontal="left" vertical="center"/>
      <protection locked="0" hidden="0"/>
    </xf>
    <xf numFmtId="49" fontId="5" fillId="6" borderId="0" applyAlignment="1" applyProtection="1" pivotButton="0" quotePrefix="0" xfId="0">
      <alignment horizontal="center" vertical="center" shrinkToFit="1"/>
      <protection locked="0" hidden="0"/>
    </xf>
    <xf numFmtId="0" fontId="5" fillId="3" borderId="0" applyAlignment="1" applyProtection="1" pivotButton="0" quotePrefix="0" xfId="0">
      <alignment vertical="center"/>
      <protection locked="0" hidden="0"/>
    </xf>
    <xf numFmtId="0" fontId="5" fillId="0" borderId="0" applyAlignment="1" applyProtection="1" pivotButton="0" quotePrefix="0" xfId="0">
      <alignment horizontal="left" vertical="center"/>
      <protection locked="0" hidden="0"/>
    </xf>
    <xf numFmtId="43" fontId="5" fillId="2" borderId="12" applyAlignment="1" applyProtection="1" pivotButton="0" quotePrefix="0" xfId="0">
      <alignment horizontal="right" vertical="center" shrinkToFit="1"/>
      <protection locked="0" hidden="0"/>
    </xf>
    <xf numFmtId="0" fontId="5" fillId="3" borderId="9" applyAlignment="1" applyProtection="1" pivotButton="0" quotePrefix="0" xfId="0">
      <alignment vertical="center"/>
      <protection locked="0" hidden="0"/>
    </xf>
    <xf numFmtId="0" fontId="5" fillId="3" borderId="0" applyAlignment="1" applyProtection="1" pivotButton="0" quotePrefix="0" xfId="0">
      <alignment horizontal="left" vertical="center"/>
      <protection locked="0" hidden="0"/>
    </xf>
    <xf numFmtId="0" fontId="5" fillId="3" borderId="12" applyAlignment="1" applyProtection="1" pivotButton="0" quotePrefix="0" xfId="0">
      <alignment vertical="center"/>
      <protection locked="0" hidden="0"/>
    </xf>
    <xf numFmtId="14" fontId="5" fillId="6" borderId="0" applyAlignment="1" applyProtection="1" pivotButton="0" quotePrefix="0" xfId="0">
      <alignment horizontal="center" vertical="center" shrinkToFit="1"/>
      <protection locked="0" hidden="0"/>
    </xf>
    <xf numFmtId="0" fontId="5" fillId="2" borderId="0" applyAlignment="1" applyProtection="1" pivotButton="0" quotePrefix="0" xfId="0">
      <alignment horizontal="left" vertical="center"/>
      <protection locked="0" hidden="0"/>
    </xf>
    <xf numFmtId="0" fontId="13" fillId="3" borderId="0" applyAlignment="1" applyProtection="1" pivotButton="0" quotePrefix="0" xfId="0">
      <alignment vertical="center"/>
      <protection locked="0" hidden="0"/>
    </xf>
    <xf numFmtId="0" fontId="5" fillId="50" borderId="0" applyAlignment="1" applyProtection="1" pivotButton="0" quotePrefix="0" xfId="0">
      <alignment horizontal="left" vertical="center"/>
      <protection locked="0" hidden="0"/>
    </xf>
    <xf numFmtId="0" fontId="5" fillId="50" borderId="12" applyAlignment="1" applyProtection="1" pivotButton="0" quotePrefix="0" xfId="0">
      <alignment horizontal="left" vertical="center"/>
      <protection locked="0" hidden="0"/>
    </xf>
    <xf numFmtId="0" fontId="5" fillId="3" borderId="10" applyAlignment="1" applyProtection="1" pivotButton="0" quotePrefix="0" xfId="0">
      <alignment vertical="center"/>
      <protection locked="0" hidden="0"/>
    </xf>
    <xf numFmtId="0" fontId="5" fillId="3" borderId="8" applyAlignment="1" applyProtection="1" pivotButton="0" quotePrefix="0" xfId="0">
      <alignment vertical="center"/>
      <protection locked="0" hidden="0"/>
    </xf>
    <xf numFmtId="0" fontId="5" fillId="3" borderId="13" applyAlignment="1" applyProtection="1" pivotButton="0" quotePrefix="0" xfId="0">
      <alignment vertical="center"/>
      <protection locked="0" hidden="0"/>
    </xf>
    <xf numFmtId="0" fontId="11" fillId="0" borderId="0" applyAlignment="1" applyProtection="1" pivotButton="0" quotePrefix="0" xfId="0">
      <alignment horizontal="right" vertical="center"/>
      <protection locked="0" hidden="0"/>
    </xf>
    <xf numFmtId="0" fontId="15" fillId="50" borderId="28" applyAlignment="1" pivotButton="0" quotePrefix="0" xfId="0">
      <alignment horizontal="center" vertical="center"/>
    </xf>
    <xf numFmtId="0" fontId="15" fillId="50" borderId="38" applyAlignment="1" pivotButton="0" quotePrefix="0" xfId="0">
      <alignment horizontal="center" vertical="center"/>
    </xf>
    <xf numFmtId="0" fontId="15" fillId="50" borderId="39" applyAlignment="1" pivotButton="0" quotePrefix="0" xfId="0">
      <alignment horizontal="center" vertical="center"/>
    </xf>
    <xf numFmtId="0" fontId="15" fillId="50" borderId="36" applyAlignment="1" pivotButton="0" quotePrefix="0" xfId="0">
      <alignment horizontal="center" vertical="center"/>
    </xf>
    <xf numFmtId="0" fontId="11" fillId="0" borderId="0" applyAlignment="1" applyProtection="1" pivotButton="0" quotePrefix="0" xfId="0">
      <alignment vertical="center"/>
      <protection locked="0" hidden="0"/>
    </xf>
    <xf numFmtId="0" fontId="134" fillId="0" borderId="0" applyAlignment="1" pivotButton="0" quotePrefix="0" xfId="0">
      <alignment horizontal="center" vertical="center"/>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5" fillId="0" borderId="58" applyAlignment="1" applyProtection="1" pivotButton="0" quotePrefix="0" xfId="2437">
      <alignment vertical="center"/>
      <protection locked="0" hidden="0"/>
    </xf>
    <xf numFmtId="0" fontId="143" fillId="0" borderId="0" applyAlignment="1" applyProtection="1" pivotButton="0" quotePrefix="0" xfId="0">
      <alignment vertical="center"/>
      <protection locked="0" hidden="0"/>
    </xf>
    <xf numFmtId="0" fontId="7" fillId="2" borderId="0" applyAlignment="1" pivotButton="0" quotePrefix="0" xfId="0">
      <alignment horizontal="center" vertical="center" wrapText="1"/>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0" fontId="5" fillId="0" borderId="0" applyAlignment="1" pivotButton="0" quotePrefix="0" xfId="2391">
      <alignment vertical="center"/>
    </xf>
    <xf numFmtId="0" fontId="6" fillId="0" borderId="0" applyAlignment="1" pivotButton="0" quotePrefix="0" xfId="2391">
      <alignment vertical="center"/>
    </xf>
    <xf numFmtId="0" fontId="11" fillId="0" borderId="0" applyAlignment="1" pivotButton="0" quotePrefix="0" xfId="2391">
      <alignment vertical="center"/>
    </xf>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0" fontId="129" fillId="0" borderId="0" applyAlignment="1" pivotButton="0" quotePrefix="0" xfId="0">
      <alignment vertical="center"/>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6" fillId="0" borderId="0" applyAlignment="1" pivotButton="0" quotePrefix="0" xfId="2382">
      <alignment horizontal="center"/>
    </xf>
    <xf numFmtId="0" fontId="6" fillId="0" borderId="0" applyAlignment="1" applyProtection="1" pivotButton="0" quotePrefix="0" xfId="2375">
      <alignment horizontal="center" vertical="center"/>
      <protection locked="0" hidden="0"/>
    </xf>
    <xf numFmtId="0" fontId="6" fillId="0" borderId="8" applyAlignment="1" pivotButton="0" quotePrefix="0" xfId="2375">
      <alignment horizontal="center"/>
    </xf>
    <xf numFmtId="0" fontId="5" fillId="0" borderId="8" pivotButton="0" quotePrefix="0" xfId="2375"/>
    <xf numFmtId="0" fontId="5" fillId="0" borderId="62" pivotButton="0" quotePrefix="0" xfId="2375"/>
    <xf numFmtId="0" fontId="11" fillId="50" borderId="63" applyAlignment="1" pivotButton="0" quotePrefix="0" xfId="2375">
      <alignment horizontal="center" vertical="center" wrapText="1"/>
    </xf>
    <xf numFmtId="0" fontId="11" fillId="50" borderId="63" applyAlignment="1" pivotButton="0" quotePrefix="0" xfId="2375">
      <alignment horizontal="center" vertical="center" wrapText="1" shrinkToFit="1"/>
    </xf>
    <xf numFmtId="0" fontId="22" fillId="50" borderId="39" applyAlignment="1" pivotButton="0" quotePrefix="0" xfId="0">
      <alignment horizontal="center" vertical="center"/>
    </xf>
    <xf numFmtId="0" fontId="5" fillId="0" borderId="46" applyAlignment="1" applyProtection="1" pivotButton="0" quotePrefix="0" xfId="0">
      <alignment horizontal="center" vertical="center"/>
      <protection locked="0" hidden="0"/>
    </xf>
    <xf numFmtId="0" fontId="11" fillId="0" borderId="47" applyAlignment="1" applyProtection="1" pivotButton="0" quotePrefix="0" xfId="437">
      <alignment horizontal="left" vertical="center" wrapText="1"/>
      <protection locked="0" hidden="0"/>
    </xf>
    <xf numFmtId="0" fontId="121" fillId="0" borderId="13" applyAlignment="1" applyProtection="1" pivotButton="0" quotePrefix="0" xfId="2375">
      <alignment horizontal="left" vertical="center"/>
      <protection locked="0" hidden="0"/>
    </xf>
    <xf numFmtId="0" fontId="122" fillId="51" borderId="56" applyAlignment="1" pivotButton="0" quotePrefix="0" xfId="0">
      <alignment horizontal="left" vertical="center" wrapText="1"/>
    </xf>
    <xf numFmtId="0" fontId="15" fillId="0" borderId="0" applyAlignment="1" pivotButton="0" quotePrefix="0" xfId="0">
      <alignment horizontal="right" vertical="center"/>
    </xf>
    <xf numFmtId="0" fontId="15" fillId="0" borderId="0" applyAlignment="1" pivotButton="0" quotePrefix="0" xfId="0">
      <alignment vertical="center" wrapText="1"/>
    </xf>
    <xf numFmtId="0" fontId="7" fillId="52" borderId="0" applyAlignment="1" pivotButton="0" quotePrefix="0" xfId="0">
      <alignment vertical="center"/>
    </xf>
    <xf numFmtId="0" fontId="15" fillId="0" borderId="0" applyAlignment="1" pivotButton="0" quotePrefix="0" xfId="0">
      <alignment vertical="center"/>
    </xf>
    <xf numFmtId="0" fontId="144" fillId="0" borderId="0" applyAlignment="1" pivotButton="0" quotePrefix="0" xfId="0">
      <alignment vertical="center"/>
    </xf>
    <xf numFmtId="0" fontId="15" fillId="55" borderId="36" applyAlignment="1" pivotButton="0" quotePrefix="0" xfId="0">
      <alignment horizontal="left" vertical="center"/>
    </xf>
    <xf numFmtId="167" fontId="11" fillId="0" borderId="39" applyAlignment="1" pivotButton="0" quotePrefix="0" xfId="0">
      <alignment vertical="center" wrapText="1"/>
    </xf>
    <xf numFmtId="0" fontId="11" fillId="0" borderId="0" applyAlignment="1" pivotButton="0" quotePrefix="0" xfId="0">
      <alignment horizontal="center" vertical="center" wrapText="1"/>
    </xf>
    <xf numFmtId="0" fontId="7" fillId="0" borderId="0" applyAlignment="1" pivotButton="0" quotePrefix="0" xfId="0">
      <alignment vertical="center"/>
    </xf>
    <xf numFmtId="0" fontId="143" fillId="0" borderId="0" applyAlignment="1" pivotButton="0" quotePrefix="0" xfId="0">
      <alignment vertical="center"/>
    </xf>
    <xf numFmtId="0" fontId="6" fillId="0" borderId="0" applyAlignment="1" applyProtection="1" pivotButton="0" quotePrefix="0" xfId="2375">
      <alignment vertical="center"/>
      <protection locked="0" hidden="0"/>
    </xf>
    <xf numFmtId="0" fontId="6" fillId="0" borderId="0" applyProtection="1" pivotButton="0" quotePrefix="0" xfId="2375">
      <protection locked="0" hidden="0"/>
    </xf>
    <xf numFmtId="0" fontId="6" fillId="0" borderId="0" applyAlignment="1" applyProtection="1" pivotButton="0" quotePrefix="0" xfId="0">
      <alignment vertical="center"/>
      <protection locked="0" hidden="0"/>
    </xf>
    <xf numFmtId="0" fontId="15" fillId="3" borderId="39" applyAlignment="1" pivotButton="0" quotePrefix="0" xfId="2375">
      <alignment horizontal="center" vertical="center" wrapText="1"/>
    </xf>
    <xf numFmtId="0" fontId="11" fillId="0" borderId="51" applyAlignment="1" applyProtection="1" pivotButton="0" quotePrefix="0" xfId="28">
      <alignment horizontal="left" vertical="center" wrapText="1"/>
      <protection locked="0" hidden="0"/>
    </xf>
    <xf numFmtId="0" fontId="6" fillId="2" borderId="0" applyAlignment="1" applyProtection="1" pivotButton="0" quotePrefix="0" xfId="2388">
      <alignment vertical="center"/>
      <protection locked="0" hidden="0"/>
    </xf>
    <xf numFmtId="0" fontId="6" fillId="0" borderId="0" applyAlignment="1" applyProtection="1" pivotButton="0" quotePrefix="0" xfId="2388">
      <alignment horizontal="left" vertical="center"/>
      <protection locked="0" hidden="0"/>
    </xf>
    <xf numFmtId="43" fontId="6" fillId="0" borderId="0" applyAlignment="1" applyProtection="1" pivotButton="0" quotePrefix="0" xfId="2377">
      <alignment vertical="center"/>
      <protection locked="0" hidden="0"/>
    </xf>
    <xf numFmtId="0" fontId="148" fillId="0" borderId="0" applyAlignment="1" pivotButton="0" quotePrefix="0" xfId="0">
      <alignment horizontal="left" vertical="center"/>
    </xf>
    <xf numFmtId="49" fontId="6" fillId="0" borderId="0" applyAlignment="1" pivotButton="0" quotePrefix="0" xfId="2375">
      <alignment vertical="center"/>
    </xf>
    <xf numFmtId="0" fontId="6" fillId="0" borderId="0" applyAlignment="1" applyProtection="1" pivotButton="0" quotePrefix="0" xfId="2376">
      <alignment vertical="center"/>
      <protection locked="0" hidden="0"/>
    </xf>
    <xf numFmtId="0" fontId="6" fillId="0" borderId="0" applyAlignment="1" pivotButton="0" quotePrefix="0" xfId="2376">
      <alignment vertical="center"/>
    </xf>
    <xf numFmtId="43" fontId="6" fillId="0" borderId="0" applyAlignment="1" pivotButton="0" quotePrefix="0" xfId="2423">
      <alignment vertical="center" shrinkToFit="1"/>
    </xf>
    <xf numFmtId="43" fontId="6" fillId="2" borderId="0" applyAlignment="1" pivotButton="0" quotePrefix="0" xfId="2423">
      <alignment vertical="center" shrinkToFit="1"/>
    </xf>
    <xf numFmtId="0" fontId="15" fillId="50" borderId="28" applyAlignment="1" pivotButton="0" quotePrefix="0" xfId="0">
      <alignment vertical="center"/>
    </xf>
    <xf numFmtId="0" fontId="6" fillId="50" borderId="30" applyAlignment="1" pivotButton="0" quotePrefix="0" xfId="0">
      <alignment vertical="center"/>
    </xf>
    <xf numFmtId="0" fontId="6" fillId="50" borderId="42" applyAlignment="1" pivotButton="0" quotePrefix="0" xfId="0">
      <alignment vertical="center"/>
    </xf>
    <xf numFmtId="0" fontId="149" fillId="0" borderId="64" applyAlignment="1" pivotButton="0" quotePrefix="0" xfId="0">
      <alignment vertical="center"/>
    </xf>
    <xf numFmtId="0" fontId="6" fillId="0" borderId="4" applyAlignment="1" pivotButton="0" quotePrefix="0" xfId="0">
      <alignment vertical="center"/>
    </xf>
    <xf numFmtId="0" fontId="6" fillId="0" borderId="33" applyAlignment="1" pivotButton="0" quotePrefix="0" xfId="0">
      <alignment vertical="center"/>
    </xf>
    <xf numFmtId="0" fontId="11" fillId="0" borderId="9" applyAlignment="1" pivotButton="0" quotePrefix="0" xfId="0">
      <alignment horizontal="left" vertical="center"/>
    </xf>
    <xf numFmtId="0" fontId="11" fillId="0" borderId="12" applyAlignment="1" pivotButton="0" quotePrefix="0" xfId="0">
      <alignment horizontal="left" vertical="center"/>
    </xf>
    <xf numFmtId="0" fontId="11" fillId="2" borderId="9" applyAlignment="1" pivotButton="0" quotePrefix="0" xfId="0">
      <alignment horizontal="left" vertical="center"/>
    </xf>
    <xf numFmtId="0" fontId="11" fillId="2" borderId="0" applyAlignment="1" pivotButton="0" quotePrefix="0" xfId="0">
      <alignment horizontal="left" vertical="center"/>
    </xf>
    <xf numFmtId="0" fontId="11" fillId="2" borderId="12" applyAlignment="1" pivotButton="0" quotePrefix="0" xfId="0">
      <alignment horizontal="left" vertical="center"/>
    </xf>
    <xf numFmtId="0" fontId="11" fillId="0" borderId="10" applyAlignment="1" pivotButton="0" quotePrefix="0" xfId="0">
      <alignment horizontal="left" vertical="center" indent="2"/>
    </xf>
    <xf numFmtId="0" fontId="11" fillId="0" borderId="8" applyAlignment="1" pivotButton="0" quotePrefix="0" xfId="0">
      <alignment horizontal="left" vertical="center" indent="2"/>
    </xf>
    <xf numFmtId="0" fontId="11" fillId="0" borderId="13" applyAlignment="1" pivotButton="0" quotePrefix="0" xfId="0">
      <alignment horizontal="left" vertical="center" indent="2"/>
    </xf>
    <xf numFmtId="0" fontId="11" fillId="0" borderId="0" applyAlignment="1" pivotButton="0" quotePrefix="0" xfId="0">
      <alignment horizontal="left" vertical="center" indent="2"/>
    </xf>
    <xf numFmtId="0" fontId="6" fillId="0" borderId="0" applyAlignment="1" pivotButton="0" quotePrefix="0" xfId="2375">
      <alignment vertical="center" wrapText="1"/>
    </xf>
    <xf numFmtId="0" fontId="11" fillId="53" borderId="59" applyAlignment="1" pivotButton="0" quotePrefix="0" xfId="0">
      <alignment horizontal="center" vertical="center" wrapText="1"/>
    </xf>
    <xf numFmtId="0" fontId="11" fillId="53" borderId="60" applyAlignment="1" pivotButton="0" quotePrefix="0" xfId="0">
      <alignment horizontal="center" vertical="center" wrapText="1"/>
    </xf>
    <xf numFmtId="49" fontId="11" fillId="0" borderId="15" applyAlignment="1" pivotButton="0" quotePrefix="0" xfId="2381">
      <alignment horizontal="left" vertical="center" shrinkToFit="1"/>
    </xf>
    <xf numFmtId="0" fontId="153" fillId="0" borderId="0" applyAlignment="1" applyProtection="1" pivotButton="0" quotePrefix="0" xfId="2375">
      <alignment vertical="center"/>
      <protection locked="0" hidden="0"/>
    </xf>
    <xf numFmtId="0" fontId="153" fillId="0" borderId="0" applyAlignment="1" pivotButton="0" quotePrefix="0" xfId="2375">
      <alignment vertical="center"/>
    </xf>
    <xf numFmtId="0" fontId="153" fillId="2" borderId="0" pivotButton="0" quotePrefix="0" xfId="0"/>
    <xf numFmtId="0" fontId="153" fillId="0" borderId="0" applyAlignment="1" applyProtection="1" pivotButton="0" quotePrefix="0" xfId="2376">
      <alignment vertical="center"/>
      <protection locked="0" hidden="0"/>
    </xf>
    <xf numFmtId="0" fontId="10" fillId="0" borderId="0" pivotButton="0" quotePrefix="0" xfId="0"/>
    <xf numFmtId="0" fontId="121" fillId="2" borderId="0" pivotButton="0" quotePrefix="0" xfId="0"/>
    <xf numFmtId="0" fontId="129" fillId="2" borderId="0" pivotButton="0" quotePrefix="0" xfId="0"/>
    <xf numFmtId="0" fontId="121" fillId="49" borderId="0" pivotButton="0" quotePrefix="0" xfId="0"/>
    <xf numFmtId="0" fontId="129" fillId="2" borderId="0" applyAlignment="1" pivotButton="0" quotePrefix="0" xfId="0">
      <alignment wrapText="1"/>
    </xf>
    <xf numFmtId="0" fontId="121" fillId="2" borderId="0" applyAlignment="1" pivotButton="0" quotePrefix="0" xfId="0">
      <alignment wrapText="1"/>
    </xf>
    <xf numFmtId="0" fontId="154" fillId="49" borderId="0" pivotButton="0" quotePrefix="0" xfId="0"/>
    <xf numFmtId="0" fontId="121" fillId="49" borderId="0" applyAlignment="1" pivotButton="0" quotePrefix="0" xfId="0">
      <alignment wrapText="1"/>
    </xf>
    <xf numFmtId="0" fontId="121" fillId="0" borderId="0" pivotButton="0" quotePrefix="0" xfId="0"/>
    <xf numFmtId="0" fontId="11" fillId="0" borderId="0" applyAlignment="1" pivotButton="0" quotePrefix="0" xfId="0">
      <alignment horizontal="right" vertical="center"/>
    </xf>
    <xf numFmtId="0" fontId="121" fillId="0" borderId="47" applyAlignment="1" applyProtection="1" pivotButton="0" quotePrefix="0" xfId="2375">
      <alignment vertical="center" wrapText="1"/>
      <protection locked="0" hidden="0"/>
    </xf>
    <xf numFmtId="0" fontId="121" fillId="0" borderId="44" applyAlignment="1" applyProtection="1" pivotButton="0" quotePrefix="0" xfId="2375">
      <alignment vertical="center" wrapText="1"/>
      <protection locked="0" hidden="0"/>
    </xf>
    <xf numFmtId="0" fontId="5" fillId="0" borderId="0" applyAlignment="1" pivotButton="0" quotePrefix="0" xfId="2375">
      <alignment horizontal="right" vertical="center"/>
    </xf>
    <xf numFmtId="0" fontId="11" fillId="0" borderId="0" applyAlignment="1" pivotButton="0" quotePrefix="0" xfId="2375">
      <alignment horizontal="right" vertical="center"/>
    </xf>
    <xf numFmtId="0" fontId="11" fillId="2" borderId="0" applyAlignment="1" pivotButton="0" quotePrefix="0" xfId="2375">
      <alignment horizontal="right" vertical="center"/>
    </xf>
    <xf numFmtId="0" fontId="14" fillId="0" borderId="0" applyAlignment="1" pivotButton="0" quotePrefix="0" xfId="2375">
      <alignment horizontal="right" vertical="center" wrapText="1"/>
    </xf>
    <xf numFmtId="0" fontId="14" fillId="0" borderId="0" applyAlignment="1" pivotButton="0" quotePrefix="0" xfId="2375">
      <alignment horizontal="right" vertical="center"/>
    </xf>
    <xf numFmtId="0" fontId="14" fillId="2" borderId="0" applyAlignment="1" pivotButton="0" quotePrefix="0" xfId="2375">
      <alignment horizontal="right" vertical="center"/>
    </xf>
    <xf numFmtId="0" fontId="155" fillId="3" borderId="0" applyAlignment="1" pivotButton="0" quotePrefix="0" xfId="28">
      <alignment vertical="center"/>
    </xf>
    <xf numFmtId="0" fontId="11" fillId="0" borderId="15" applyAlignment="1" applyProtection="1" pivotButton="0" quotePrefix="0" xfId="2375">
      <alignment horizontal="center" vertical="center"/>
      <protection locked="0" hidden="0"/>
    </xf>
    <xf numFmtId="0" fontId="11" fillId="6" borderId="19" applyAlignment="1" applyProtection="1" pivotButton="0" quotePrefix="0" xfId="437">
      <alignment horizontal="center" vertical="center"/>
      <protection locked="0" hidden="0"/>
    </xf>
    <xf numFmtId="0" fontId="6" fillId="0" borderId="0" applyAlignment="1" pivotButton="0" quotePrefix="0" xfId="2375">
      <alignment horizontal="center"/>
    </xf>
    <xf numFmtId="0" fontId="5" fillId="0" borderId="19" applyAlignment="1" pivotButton="0" quotePrefix="0" xfId="0">
      <alignment horizontal="center" vertical="center" wrapText="1"/>
    </xf>
    <xf numFmtId="0" fontId="150" fillId="54" borderId="0" applyAlignment="1" pivotButton="0" quotePrefix="0" xfId="0">
      <alignment vertical="center"/>
    </xf>
    <xf numFmtId="0" fontId="11" fillId="0" borderId="46" applyAlignment="1" applyProtection="1" pivotButton="0" quotePrefix="0" xfId="2375">
      <alignment horizontal="left" vertical="center" wrapText="1"/>
      <protection locked="0" hidden="0"/>
    </xf>
    <xf numFmtId="0" fontId="11" fillId="0" borderId="65" applyAlignment="1" applyProtection="1" pivotButton="0" quotePrefix="0" xfId="2375">
      <alignment horizontal="left" vertical="center" wrapText="1"/>
      <protection locked="0" hidden="0"/>
    </xf>
    <xf numFmtId="0" fontId="117" fillId="0" borderId="5" applyAlignment="1" pivotButton="0" quotePrefix="0" xfId="0">
      <alignment horizontal="left" vertical="top" wrapText="1"/>
    </xf>
    <xf numFmtId="0" fontId="117" fillId="0" borderId="0" applyAlignment="1" pivotButton="0" quotePrefix="0" xfId="0">
      <alignment horizontal="left" vertical="top" wrapText="1"/>
    </xf>
    <xf numFmtId="0" fontId="117" fillId="0" borderId="12" applyAlignment="1" pivotButton="0" quotePrefix="0" xfId="0">
      <alignment horizontal="left" vertical="top" wrapText="1"/>
    </xf>
    <xf numFmtId="0" fontId="11" fillId="0" borderId="48" applyAlignment="1" pivotButton="0" quotePrefix="0" xfId="0">
      <alignment horizontal="left" vertical="top" wrapText="1"/>
    </xf>
    <xf numFmtId="0" fontId="11" fillId="0" borderId="8" applyAlignment="1" pivotButton="0" quotePrefix="0" xfId="0">
      <alignment horizontal="left" vertical="top" wrapText="1"/>
    </xf>
    <xf numFmtId="0" fontId="11" fillId="0" borderId="13" applyAlignment="1" pivotButton="0" quotePrefix="0" xfId="0">
      <alignment horizontal="left" vertical="top" wrapText="1"/>
    </xf>
    <xf numFmtId="0" fontId="7" fillId="0" borderId="40"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1" fillId="0" borderId="18" applyAlignment="1" applyProtection="1" pivotButton="0" quotePrefix="0" xfId="2375">
      <alignment horizontal="center" vertical="center"/>
      <protection locked="0" hidden="0"/>
    </xf>
    <xf numFmtId="0" fontId="11" fillId="0" borderId="15" applyAlignment="1" applyProtection="1" pivotButton="0" quotePrefix="0" xfId="2375">
      <alignment horizontal="center" vertical="center"/>
      <protection locked="0" hidden="0"/>
    </xf>
    <xf numFmtId="0" fontId="11" fillId="0" borderId="46" applyAlignment="1" applyProtection="1" pivotButton="0" quotePrefix="0" xfId="2375">
      <alignment horizontal="center" vertical="center"/>
      <protection locked="0" hidden="0"/>
    </xf>
    <xf numFmtId="0" fontId="11" fillId="0" borderId="19" applyAlignment="1" applyProtection="1" pivotButton="0" quotePrefix="0" xfId="2375">
      <alignment horizontal="center" vertical="center"/>
      <protection locked="0" hidden="0"/>
    </xf>
    <xf numFmtId="0" fontId="11" fillId="0" borderId="46" applyAlignment="1" applyProtection="1" pivotButton="0" quotePrefix="0" xfId="437">
      <alignment horizontal="center" vertical="center" wrapText="1"/>
      <protection locked="0" hidden="0"/>
    </xf>
    <xf numFmtId="0" fontId="11" fillId="0" borderId="19" applyAlignment="1" applyProtection="1" pivotButton="0" quotePrefix="0" xfId="437">
      <alignment horizontal="center" vertical="center" wrapText="1"/>
      <protection locked="0" hidden="0"/>
    </xf>
    <xf numFmtId="0" fontId="11" fillId="6" borderId="46" applyAlignment="1" applyProtection="1" pivotButton="0" quotePrefix="0" xfId="437">
      <alignment horizontal="center" vertical="center"/>
      <protection locked="0" hidden="0"/>
    </xf>
    <xf numFmtId="0" fontId="11" fillId="6" borderId="19" applyAlignment="1" applyProtection="1" pivotButton="0" quotePrefix="0" xfId="437">
      <alignment horizontal="center" vertical="center"/>
      <protection locked="0" hidden="0"/>
    </xf>
    <xf numFmtId="0" fontId="5" fillId="0" borderId="46" applyAlignment="1" applyProtection="1" pivotButton="0" quotePrefix="0" xfId="2375">
      <alignment horizontal="center" vertical="center" wrapText="1"/>
      <protection locked="0" hidden="0"/>
    </xf>
    <xf numFmtId="0" fontId="5" fillId="0" borderId="19" applyAlignment="1" applyProtection="1" pivotButton="0" quotePrefix="0" xfId="2375">
      <alignment horizontal="center" vertical="center" wrapText="1"/>
      <protection locked="0" hidden="0"/>
    </xf>
    <xf numFmtId="0" fontId="6" fillId="0" borderId="0" applyAlignment="1" pivotButton="0" quotePrefix="0" xfId="2375">
      <alignment horizontal="center"/>
    </xf>
    <xf numFmtId="0" fontId="122" fillId="49" borderId="53" applyAlignment="1" pivotButton="0" quotePrefix="0" xfId="2375">
      <alignment horizontal="left" vertical="top"/>
    </xf>
    <xf numFmtId="0" fontId="122" fillId="49" borderId="54" applyAlignment="1" pivotButton="0" quotePrefix="0" xfId="2375">
      <alignment horizontal="left" vertical="top"/>
    </xf>
    <xf numFmtId="0" fontId="122" fillId="49" borderId="55" applyAlignment="1" pivotButton="0" quotePrefix="0" xfId="2375">
      <alignment horizontal="left" vertical="top"/>
    </xf>
    <xf numFmtId="0" fontId="124" fillId="0" borderId="53" applyAlignment="1" pivotButton="0" quotePrefix="0" xfId="0">
      <alignment horizontal="left" vertical="top" wrapText="1"/>
    </xf>
    <xf numFmtId="0" fontId="124" fillId="0" borderId="54" applyAlignment="1" pivotButton="0" quotePrefix="0" xfId="0">
      <alignment horizontal="left" vertical="top" wrapText="1"/>
    </xf>
    <xf numFmtId="0" fontId="124" fillId="0" borderId="55" applyAlignment="1" pivotButton="0" quotePrefix="0" xfId="0">
      <alignment horizontal="left" vertical="top" wrapText="1"/>
    </xf>
    <xf numFmtId="0" fontId="132" fillId="0" borderId="53" applyAlignment="1" pivotButton="0" quotePrefix="0" xfId="0">
      <alignment horizontal="left" vertical="top" wrapText="1"/>
    </xf>
    <xf numFmtId="0" fontId="132" fillId="0" borderId="54" applyAlignment="1" pivotButton="0" quotePrefix="0" xfId="0">
      <alignment horizontal="left" vertical="top" wrapText="1"/>
    </xf>
    <xf numFmtId="0" fontId="132" fillId="0" borderId="55" applyAlignment="1" pivotButton="0" quotePrefix="0" xfId="0">
      <alignment horizontal="left" vertical="top" wrapText="1"/>
    </xf>
    <xf numFmtId="0" fontId="11" fillId="0" borderId="34" applyAlignment="1" applyProtection="1" pivotButton="0" quotePrefix="0" xfId="2238">
      <alignment horizontal="left" vertical="center" wrapText="1"/>
      <protection locked="0" hidden="0"/>
    </xf>
    <xf numFmtId="0" fontId="11" fillId="0" borderId="14" applyAlignment="1" applyProtection="1" pivotButton="0" quotePrefix="0" xfId="2238">
      <alignment horizontal="left" vertical="center" wrapText="1"/>
      <protection locked="0" hidden="0"/>
    </xf>
    <xf numFmtId="0" fontId="11" fillId="0" borderId="35" applyAlignment="1" applyProtection="1" pivotButton="0" quotePrefix="0" xfId="2238">
      <alignment horizontal="left" vertical="center" wrapText="1"/>
      <protection locked="0" hidden="0"/>
    </xf>
    <xf numFmtId="0" fontId="11" fillId="0" borderId="9" applyAlignment="1" applyProtection="1" pivotButton="0" quotePrefix="0" xfId="2238">
      <alignment horizontal="left" vertical="center" wrapText="1"/>
      <protection locked="0" hidden="0"/>
    </xf>
    <xf numFmtId="0" fontId="11" fillId="0" borderId="0" applyAlignment="1" applyProtection="1" pivotButton="0" quotePrefix="0" xfId="2238">
      <alignment horizontal="left" vertical="center" wrapText="1"/>
      <protection locked="0" hidden="0"/>
    </xf>
    <xf numFmtId="0" fontId="11" fillId="0" borderId="12" applyAlignment="1" applyProtection="1" pivotButton="0" quotePrefix="0" xfId="2238">
      <alignment horizontal="left" vertical="center" wrapText="1"/>
      <protection locked="0" hidden="0"/>
    </xf>
    <xf numFmtId="0" fontId="11" fillId="0" borderId="10" applyAlignment="1" applyProtection="1" pivotButton="0" quotePrefix="0" xfId="2238">
      <alignment horizontal="left" vertical="center" wrapText="1"/>
      <protection locked="0" hidden="0"/>
    </xf>
    <xf numFmtId="0" fontId="11" fillId="0" borderId="8" applyAlignment="1" applyProtection="1" pivotButton="0" quotePrefix="0" xfId="2238">
      <alignment horizontal="left" vertical="center" wrapText="1"/>
      <protection locked="0" hidden="0"/>
    </xf>
    <xf numFmtId="0" fontId="11" fillId="0" borderId="13" applyAlignment="1" applyProtection="1" pivotButton="0" quotePrefix="0" xfId="2238">
      <alignment horizontal="left" vertical="center" wrapText="1"/>
      <protection locked="0" hidden="0"/>
    </xf>
    <xf numFmtId="0" fontId="11" fillId="0" borderId="34" applyAlignment="1" pivotButton="0" quotePrefix="0" xfId="2391">
      <alignment horizontal="left" vertical="center" wrapText="1"/>
    </xf>
    <xf numFmtId="0" fontId="11" fillId="0" borderId="14" applyAlignment="1" pivotButton="0" quotePrefix="0" xfId="2391">
      <alignment horizontal="left" vertical="center" wrapText="1"/>
    </xf>
    <xf numFmtId="0" fontId="11" fillId="0" borderId="35" applyAlignment="1" pivotButton="0" quotePrefix="0" xfId="2391">
      <alignment horizontal="left" vertical="center" wrapText="1"/>
    </xf>
    <xf numFmtId="0" fontId="11" fillId="0" borderId="9" applyAlignment="1" pivotButton="0" quotePrefix="0" xfId="2391">
      <alignment horizontal="left" vertical="center" wrapText="1"/>
    </xf>
    <xf numFmtId="0" fontId="11" fillId="0" borderId="0" applyAlignment="1" pivotButton="0" quotePrefix="0" xfId="2391">
      <alignment horizontal="left" vertical="center" wrapText="1"/>
    </xf>
    <xf numFmtId="0" fontId="11" fillId="0" borderId="12" applyAlignment="1" pivotButton="0" quotePrefix="0" xfId="2391">
      <alignment horizontal="left" vertical="center" wrapText="1"/>
    </xf>
    <xf numFmtId="0" fontId="11" fillId="0" borderId="10" applyAlignment="1" pivotButton="0" quotePrefix="0" xfId="2391">
      <alignment horizontal="left" vertical="center" wrapText="1"/>
    </xf>
    <xf numFmtId="0" fontId="11" fillId="0" borderId="8" applyAlignment="1" pivotButton="0" quotePrefix="0" xfId="2391">
      <alignment horizontal="left" vertical="center" wrapText="1"/>
    </xf>
    <xf numFmtId="0" fontId="11" fillId="0" borderId="13" applyAlignment="1" pivotButton="0" quotePrefix="0" xfId="2391">
      <alignment horizontal="left" vertical="center" wrapText="1"/>
    </xf>
    <xf numFmtId="0" fontId="11" fillId="0" borderId="34" applyAlignment="1" pivotButton="0" quotePrefix="0" xfId="0">
      <alignment horizontal="left" vertical="center" wrapText="1"/>
    </xf>
    <xf numFmtId="0" fontId="11" fillId="0" borderId="14" applyAlignment="1" pivotButton="0" quotePrefix="0" xfId="0">
      <alignment horizontal="left" vertical="center" wrapText="1"/>
    </xf>
    <xf numFmtId="0" fontId="11" fillId="0" borderId="35" applyAlignment="1" pivotButton="0" quotePrefix="0" xfId="0">
      <alignment horizontal="left" vertical="center" wrapText="1"/>
    </xf>
    <xf numFmtId="0" fontId="11" fillId="0" borderId="9"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12"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8" applyAlignment="1" pivotButton="0" quotePrefix="0" xfId="0">
      <alignment horizontal="left" vertical="center" wrapText="1"/>
    </xf>
    <xf numFmtId="0" fontId="11" fillId="0" borderId="13" applyAlignment="1" pivotButton="0" quotePrefix="0" xfId="0">
      <alignment horizontal="left" vertical="center" wrapText="1"/>
    </xf>
    <xf numFmtId="0" fontId="5" fillId="0" borderId="19" applyAlignment="1" pivotButton="0" quotePrefix="0" xfId="0">
      <alignment horizontal="center" vertical="center" wrapText="1"/>
    </xf>
    <xf numFmtId="0" fontId="5" fillId="0" borderId="6" applyAlignment="1" pivotButton="0" quotePrefix="0" xfId="0">
      <alignment horizontal="center" vertical="center" wrapText="1"/>
    </xf>
    <xf numFmtId="0" fontId="124" fillId="0" borderId="53" applyAlignment="1" pivotButton="0" quotePrefix="0" xfId="2375">
      <alignment horizontal="left" vertical="top" wrapText="1"/>
    </xf>
    <xf numFmtId="0" fontId="124" fillId="0" borderId="54" applyAlignment="1" pivotButton="0" quotePrefix="0" xfId="2375">
      <alignment horizontal="left" vertical="top" wrapText="1"/>
    </xf>
    <xf numFmtId="0" fontId="124" fillId="0" borderId="55" applyAlignment="1" pivotButton="0" quotePrefix="0" xfId="2375">
      <alignment horizontal="left" vertical="top" wrapText="1"/>
    </xf>
    <xf numFmtId="0" fontId="124" fillId="0" borderId="9" applyAlignment="1" pivotButton="0" quotePrefix="0" xfId="2376">
      <alignment horizontal="left" vertical="center" wrapText="1"/>
    </xf>
    <xf numFmtId="0" fontId="124" fillId="0" borderId="0" applyAlignment="1" pivotButton="0" quotePrefix="0" xfId="2376">
      <alignment horizontal="left" vertical="center" wrapText="1"/>
    </xf>
    <xf numFmtId="0" fontId="124" fillId="0" borderId="12" applyAlignment="1" pivotButton="0" quotePrefix="0" xfId="2376">
      <alignment horizontal="left" vertical="center" wrapText="1"/>
    </xf>
    <xf numFmtId="0" fontId="11" fillId="0" borderId="34" applyAlignment="1" pivotButton="0" quotePrefix="0" xfId="2375">
      <alignment horizontal="left" vertical="center" wrapText="1"/>
    </xf>
    <xf numFmtId="0" fontId="11" fillId="0" borderId="14" applyAlignment="1" pivotButton="0" quotePrefix="0" xfId="2375">
      <alignment horizontal="left" vertical="center" wrapText="1"/>
    </xf>
    <xf numFmtId="0" fontId="11" fillId="0" borderId="35" applyAlignment="1" pivotButton="0" quotePrefix="0" xfId="2375">
      <alignment horizontal="left" vertical="center" wrapText="1"/>
    </xf>
    <xf numFmtId="0" fontId="11" fillId="0" borderId="9" applyAlignment="1" pivotButton="0" quotePrefix="0" xfId="2375">
      <alignment horizontal="left" vertical="center" wrapText="1"/>
    </xf>
    <xf numFmtId="0" fontId="11" fillId="0" borderId="0" applyAlignment="1" pivotButton="0" quotePrefix="0" xfId="2375">
      <alignment horizontal="left" vertical="center" wrapText="1"/>
    </xf>
    <xf numFmtId="0" fontId="11" fillId="0" borderId="12" applyAlignment="1" pivotButton="0" quotePrefix="0" xfId="2375">
      <alignment horizontal="left" vertical="center" wrapText="1"/>
    </xf>
    <xf numFmtId="0" fontId="11" fillId="0" borderId="10" applyAlignment="1" pivotButton="0" quotePrefix="0" xfId="2375">
      <alignment horizontal="left" vertical="center" wrapText="1"/>
    </xf>
    <xf numFmtId="0" fontId="11" fillId="0" borderId="8" applyAlignment="1" pivotButton="0" quotePrefix="0" xfId="2375">
      <alignment horizontal="left" vertical="center" wrapText="1"/>
    </xf>
    <xf numFmtId="0" fontId="11" fillId="0" borderId="13" applyAlignment="1" pivotButton="0" quotePrefix="0" xfId="2375">
      <alignment horizontal="left" vertical="center" wrapText="1"/>
    </xf>
    <xf numFmtId="0" fontId="122" fillId="49" borderId="53" applyAlignment="1" applyProtection="1" pivotButton="0" quotePrefix="0" xfId="818">
      <alignment horizontal="left" vertical="top" wrapText="1"/>
      <protection locked="0" hidden="0"/>
    </xf>
    <xf numFmtId="0" fontId="122" fillId="49" borderId="54" applyAlignment="1" applyProtection="1" pivotButton="0" quotePrefix="0" xfId="818">
      <alignment horizontal="left" vertical="top" wrapText="1"/>
      <protection locked="0" hidden="0"/>
    </xf>
    <xf numFmtId="0" fontId="122" fillId="49" borderId="55" applyAlignment="1" applyProtection="1" pivotButton="0" quotePrefix="0" xfId="818">
      <alignment horizontal="left" vertical="top" wrapText="1"/>
      <protection locked="0" hidden="0"/>
    </xf>
    <xf numFmtId="0" fontId="121" fillId="0" borderId="53" applyAlignment="1" applyProtection="1" pivotButton="0" quotePrefix="0" xfId="2375">
      <alignment horizontal="left" vertical="top" wrapText="1"/>
      <protection locked="0" hidden="0"/>
    </xf>
    <xf numFmtId="0" fontId="121" fillId="0" borderId="54" applyAlignment="1" applyProtection="1" pivotButton="0" quotePrefix="0" xfId="2375">
      <alignment horizontal="left" vertical="top" wrapText="1"/>
      <protection locked="0" hidden="0"/>
    </xf>
    <xf numFmtId="0" fontId="121" fillId="0" borderId="55" applyAlignment="1" applyProtection="1" pivotButton="0" quotePrefix="0" xfId="2375">
      <alignment horizontal="left" vertical="top" wrapText="1"/>
      <protection locked="0" hidden="0"/>
    </xf>
    <xf numFmtId="0" fontId="152" fillId="54" borderId="0" applyAlignment="1" pivotButton="0" quotePrefix="0" xfId="0">
      <alignment vertical="center"/>
    </xf>
    <xf numFmtId="0" fontId="150" fillId="54" borderId="0" applyAlignment="1" pivotButton="0" quotePrefix="0" xfId="0">
      <alignment vertical="center"/>
    </xf>
    <xf numFmtId="0" fontId="15" fillId="50" borderId="66" applyAlignment="1" pivotButton="0" quotePrefix="0" xfId="0">
      <alignment horizontal="center" vertical="center"/>
    </xf>
    <xf numFmtId="9" fontId="15" fillId="50" borderId="67" applyAlignment="1" pivotButton="0" quotePrefix="0" xfId="2438">
      <alignment horizontal="center" vertical="center"/>
    </xf>
    <xf numFmtId="0" fontId="15" fillId="50" borderId="68" applyAlignment="1" pivotButton="0" quotePrefix="0" xfId="0">
      <alignment horizontal="center" vertical="center"/>
    </xf>
    <xf numFmtId="0" fontId="15" fillId="50" borderId="69" applyAlignment="1" pivotButton="0" quotePrefix="0" xfId="0">
      <alignment horizontal="center" vertical="center"/>
    </xf>
    <xf numFmtId="0" fontId="7" fillId="2" borderId="70" applyAlignment="1" pivotButton="0" quotePrefix="0" xfId="0">
      <alignment horizontal="center" vertical="center" wrapText="1"/>
    </xf>
    <xf numFmtId="0" fontId="7" fillId="0" borderId="71" applyAlignment="1" pivotButton="0" quotePrefix="0" xfId="0">
      <alignment horizontal="center" vertical="center"/>
    </xf>
    <xf numFmtId="167" fontId="7" fillId="0" borderId="71" applyAlignment="1" applyProtection="1" pivotButton="0" quotePrefix="0" xfId="2437">
      <alignment horizontal="right" vertical="center"/>
      <protection locked="0" hidden="0"/>
    </xf>
    <xf numFmtId="0" fontId="7" fillId="2" borderId="72" applyAlignment="1" pivotButton="0" quotePrefix="0" xfId="0">
      <alignment horizontal="center" vertical="center" wrapText="1"/>
    </xf>
    <xf numFmtId="0" fontId="7" fillId="0" borderId="73" applyAlignment="1" pivotButton="0" quotePrefix="0" xfId="0">
      <alignment horizontal="center" vertical="center"/>
    </xf>
    <xf numFmtId="167" fontId="7" fillId="0" borderId="73" applyAlignment="1" applyProtection="1" pivotButton="0" quotePrefix="0" xfId="2437">
      <alignment horizontal="right" vertical="center"/>
      <protection locked="0" hidden="0"/>
    </xf>
    <xf numFmtId="0" fontId="5" fillId="0" borderId="71" applyAlignment="1" applyProtection="1" pivotButton="0" quotePrefix="0" xfId="2375">
      <alignment horizontal="left" vertical="center" wrapText="1"/>
      <protection locked="0" hidden="0"/>
    </xf>
    <xf numFmtId="0" fontId="5" fillId="0" borderId="71" applyAlignment="1" applyProtection="1" pivotButton="0" quotePrefix="0" xfId="0">
      <alignment horizontal="center" vertical="center"/>
      <protection locked="0" hidden="0"/>
    </xf>
    <xf numFmtId="0" fontId="23" fillId="2" borderId="71" applyAlignment="1" applyProtection="1" pivotButton="0" quotePrefix="0" xfId="28">
      <alignment horizontal="center" vertical="center"/>
      <protection locked="0" hidden="0"/>
    </xf>
    <xf numFmtId="0" fontId="11" fillId="2" borderId="67" applyAlignment="1" applyProtection="1" pivotButton="0" quotePrefix="0" xfId="2375">
      <alignment horizontal="left" vertical="center" wrapText="1"/>
      <protection locked="0" hidden="0"/>
    </xf>
    <xf numFmtId="0" fontId="5" fillId="0" borderId="67" applyAlignment="1" applyProtection="1" pivotButton="0" quotePrefix="0" xfId="2375">
      <alignment horizontal="left" vertical="center" wrapText="1"/>
      <protection locked="0" hidden="0"/>
    </xf>
    <xf numFmtId="0" fontId="11" fillId="0" borderId="67" applyAlignment="1" applyProtection="1" pivotButton="0" quotePrefix="0" xfId="437">
      <alignment horizontal="left" vertical="center" wrapText="1"/>
      <protection locked="0" hidden="0"/>
    </xf>
    <xf numFmtId="0" fontId="11" fillId="0" borderId="73" applyAlignment="1" applyProtection="1" pivotButton="0" quotePrefix="0" xfId="2375">
      <alignment horizontal="left" vertical="center"/>
      <protection locked="0" hidden="0"/>
    </xf>
    <xf numFmtId="0" fontId="11" fillId="0" borderId="73" applyAlignment="1" applyProtection="1" pivotButton="0" quotePrefix="0" xfId="437">
      <alignment vertical="center" wrapText="1"/>
      <protection locked="0" hidden="0"/>
    </xf>
    <xf numFmtId="0" fontId="11" fillId="6" borderId="73" applyAlignment="1" applyProtection="1" pivotButton="0" quotePrefix="0" xfId="437">
      <alignment horizontal="center" vertical="center"/>
      <protection locked="0" hidden="0"/>
    </xf>
    <xf numFmtId="0" fontId="5" fillId="0" borderId="74" applyAlignment="1" applyProtection="1" pivotButton="0" quotePrefix="0" xfId="2375">
      <alignment horizontal="left" vertical="center" wrapText="1"/>
      <protection locked="0" hidden="0"/>
    </xf>
    <xf numFmtId="0" fontId="5" fillId="0" borderId="73" applyAlignment="1" applyProtection="1" pivotButton="0" quotePrefix="0" xfId="2375">
      <alignment horizontal="left" vertical="center" wrapText="1"/>
      <protection locked="0" hidden="0"/>
    </xf>
    <xf numFmtId="0" fontId="5" fillId="0" borderId="73" applyAlignment="1" applyProtection="1" pivotButton="0" quotePrefix="0" xfId="0">
      <alignment horizontal="center" vertical="center"/>
      <protection locked="0" hidden="0"/>
    </xf>
    <xf numFmtId="0" fontId="23" fillId="2" borderId="73" applyAlignment="1" applyProtection="1" pivotButton="0" quotePrefix="0" xfId="28">
      <alignment horizontal="center" vertical="center"/>
      <protection locked="0" hidden="0"/>
    </xf>
    <xf numFmtId="0" fontId="11" fillId="0" borderId="69" applyAlignment="1" applyProtection="1" pivotButton="0" quotePrefix="0" xfId="437">
      <alignment horizontal="left" vertical="center" wrapText="1"/>
      <protection locked="0" hidden="0"/>
    </xf>
    <xf numFmtId="0" fontId="11" fillId="2" borderId="66" applyAlignment="1" applyProtection="1" pivotButton="0" quotePrefix="0" xfId="1372">
      <alignment horizontal="center" vertical="top"/>
      <protection locked="0" hidden="0"/>
    </xf>
    <xf numFmtId="0" fontId="11" fillId="2" borderId="68" applyAlignment="1" applyProtection="1" pivotButton="0" quotePrefix="0" xfId="1372">
      <alignment horizontal="center" vertical="top"/>
      <protection locked="0" hidden="0"/>
    </xf>
    <xf numFmtId="0" fontId="6" fillId="0" borderId="66" applyAlignment="1" pivotButton="0" quotePrefix="0" xfId="2382">
      <alignment horizontal="left" vertical="center"/>
    </xf>
    <xf numFmtId="0" fontId="11" fillId="0" borderId="67" applyAlignment="1" pivotButton="0" quotePrefix="0" xfId="2382">
      <alignment vertical="center" wrapText="1"/>
    </xf>
    <xf numFmtId="0" fontId="11" fillId="0" borderId="67" applyAlignment="1" pivotButton="0" quotePrefix="0" xfId="2382">
      <alignment horizontal="left" vertical="center" wrapText="1"/>
    </xf>
    <xf numFmtId="0" fontId="136" fillId="0" borderId="66" applyAlignment="1" pivotButton="0" quotePrefix="0" xfId="0">
      <alignment horizontal="left" vertical="center"/>
    </xf>
    <xf numFmtId="0" fontId="7" fillId="0" borderId="67" applyAlignment="1" pivotButton="0" quotePrefix="0" xfId="0">
      <alignment vertical="center" wrapText="1"/>
    </xf>
    <xf numFmtId="0" fontId="7" fillId="0" borderId="67" applyAlignment="1" pivotButton="0" quotePrefix="0" xfId="0">
      <alignment horizontal="left" vertical="center" wrapText="1"/>
    </xf>
    <xf numFmtId="0" fontId="6" fillId="0" borderId="68" applyAlignment="1" pivotButton="0" quotePrefix="0" xfId="2382">
      <alignment horizontal="left" vertical="center"/>
    </xf>
    <xf numFmtId="0" fontId="11" fillId="0" borderId="69" applyAlignment="1" pivotButton="0" quotePrefix="0" xfId="2382">
      <alignment vertical="center" wrapText="1"/>
    </xf>
    <xf numFmtId="0" fontId="125" fillId="49" borderId="66" applyAlignment="1" pivotButton="0" quotePrefix="0" xfId="2375">
      <alignment vertical="center"/>
    </xf>
    <xf numFmtId="0" fontId="122" fillId="49" borderId="71" applyAlignment="1" applyProtection="1" pivotButton="0" quotePrefix="0" xfId="818">
      <alignment horizontal="left" vertical="center" wrapText="1"/>
      <protection locked="0" hidden="0"/>
    </xf>
    <xf numFmtId="0" fontId="122" fillId="49" borderId="71" applyAlignment="1" applyProtection="1" pivotButton="0" quotePrefix="0" xfId="818">
      <alignment horizontal="left" vertical="top" wrapText="1"/>
      <protection locked="0" hidden="0"/>
    </xf>
    <xf numFmtId="0" fontId="121" fillId="0" borderId="66" applyAlignment="1" pivotButton="0" quotePrefix="0" xfId="2375">
      <alignment horizontal="left" vertical="center"/>
    </xf>
    <xf numFmtId="0" fontId="129" fillId="0" borderId="71" applyAlignment="1" pivotButton="0" quotePrefix="0" xfId="2375">
      <alignment vertical="center"/>
    </xf>
    <xf numFmtId="0" fontId="124" fillId="0" borderId="71" applyAlignment="1" applyProtection="1" pivotButton="0" quotePrefix="0" xfId="818">
      <alignment horizontal="left" vertical="center" wrapText="1"/>
      <protection locked="0" hidden="0"/>
    </xf>
    <xf numFmtId="0" fontId="124" fillId="0" borderId="66" applyAlignment="1" applyProtection="1" pivotButton="0" quotePrefix="0" xfId="2375">
      <alignment horizontal="left" vertical="center"/>
      <protection locked="0" hidden="0"/>
    </xf>
    <xf numFmtId="0" fontId="15" fillId="55" borderId="68" applyAlignment="1" pivotButton="0" quotePrefix="0" xfId="0">
      <alignment horizontal="left" vertical="center"/>
    </xf>
    <xf numFmtId="9" fontId="11" fillId="0" borderId="69" applyAlignment="1" pivotButton="0" quotePrefix="0" xfId="0">
      <alignment vertical="center" wrapText="1"/>
    </xf>
    <xf numFmtId="43" fontId="11" fillId="0" borderId="66" applyAlignment="1" applyProtection="1" pivotButton="0" quotePrefix="0" xfId="2388">
      <alignment horizontal="right" vertical="center" shrinkToFit="1"/>
      <protection locked="0" hidden="0"/>
    </xf>
    <xf numFmtId="49" fontId="11" fillId="0" borderId="71" applyAlignment="1" applyProtection="1" pivotButton="0" quotePrefix="0" xfId="2388">
      <alignment horizontal="lef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66" applyAlignment="1" pivotButton="0" quotePrefix="0" xfId="2388">
      <alignment horizontal="right" vertical="center" shrinkToFit="1"/>
    </xf>
    <xf numFmtId="10" fontId="11" fillId="0" borderId="67" applyAlignment="1" pivotButton="0" quotePrefix="0" xfId="2388">
      <alignment horizontal="right" vertical="center" shrinkToFit="1"/>
    </xf>
    <xf numFmtId="0" fontId="11" fillId="0" borderId="68" applyAlignment="1" applyProtection="1" pivotButton="0" quotePrefix="0" xfId="2388">
      <alignment horizontal="right" vertical="center"/>
      <protection locked="0" hidden="0"/>
    </xf>
    <xf numFmtId="49" fontId="11" fillId="0" borderId="73" applyAlignment="1" applyProtection="1" pivotButton="0" quotePrefix="0" xfId="2388">
      <alignment horizontal="right" vertical="center"/>
      <protection locked="0" hidden="0"/>
    </xf>
    <xf numFmtId="49" fontId="11" fillId="0" borderId="74" applyAlignment="1" applyProtection="1" pivotButton="0" quotePrefix="0" xfId="2388">
      <alignment horizontal="right" vertical="center"/>
      <protection locked="0" hidden="0"/>
    </xf>
    <xf numFmtId="43" fontId="6" fillId="0" borderId="68" applyAlignment="1" applyProtection="1" pivotButton="0" quotePrefix="0" xfId="2388">
      <alignment horizontal="right" vertical="center" shrinkToFit="1"/>
      <protection locked="0" hidden="0"/>
    </xf>
    <xf numFmtId="49" fontId="6" fillId="0" borderId="73" applyAlignment="1" applyProtection="1" pivotButton="0" quotePrefix="0" xfId="2228">
      <alignment horizontal="left" vertical="center"/>
      <protection locked="0" hidden="0"/>
    </xf>
    <xf numFmtId="0" fontId="6" fillId="0" borderId="73" applyAlignment="1" applyProtection="1" pivotButton="0" quotePrefix="0" xfId="2228">
      <alignment horizontal="center" vertical="center"/>
      <protection locked="0" hidden="0"/>
    </xf>
    <xf numFmtId="43" fontId="11" fillId="0" borderId="73" applyAlignment="1" pivotButton="0" quotePrefix="0" xfId="2388">
      <alignment horizontal="right" vertical="center" shrinkToFit="1"/>
    </xf>
    <xf numFmtId="49" fontId="11" fillId="0" borderId="73" applyAlignment="1" applyProtection="1" pivotButton="0" quotePrefix="0" xfId="2388">
      <alignment horizontal="left" vertical="center" shrinkToFit="1"/>
      <protection locked="0" hidden="0"/>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10" fontId="11" fillId="0" borderId="69" applyAlignment="1" pivotButton="0" quotePrefix="0" xfId="2388">
      <alignment horizontal="right" vertical="center" shrinkToFit="1"/>
    </xf>
    <xf numFmtId="0" fontId="11" fillId="0" borderId="76" applyAlignment="1" applyProtection="1" pivotButton="0" quotePrefix="0" xfId="2388">
      <alignment horizontal="right" vertical="center"/>
      <protection locked="0" hidden="0"/>
    </xf>
    <xf numFmtId="43" fontId="11" fillId="0" borderId="77" applyAlignment="1" pivotButton="0" quotePrefix="0" xfId="2388">
      <alignment horizontal="right" vertical="center" shrinkToFit="1"/>
    </xf>
    <xf numFmtId="10" fontId="11" fillId="0" borderId="77" applyAlignment="1" pivotButton="0" quotePrefix="0" xfId="2388">
      <alignment horizontal="right" vertical="center" shrinkToFit="1"/>
    </xf>
    <xf numFmtId="0" fontId="122" fillId="51" borderId="67" applyAlignment="1" pivotButton="0" quotePrefix="0" xfId="0">
      <alignment horizontal="left" vertical="center" wrapText="1"/>
    </xf>
    <xf numFmtId="0" fontId="121" fillId="0" borderId="66" applyAlignment="1" pivotButton="0" quotePrefix="0" xfId="2376">
      <alignment horizontal="left" vertical="center"/>
    </xf>
    <xf numFmtId="0" fontId="124" fillId="0" borderId="67" applyAlignment="1" pivotButton="0" quotePrefix="0" xfId="2375">
      <alignment vertical="center"/>
    </xf>
    <xf numFmtId="0" fontId="121" fillId="0" borderId="72" applyAlignment="1" pivotButton="0" quotePrefix="0" xfId="2376">
      <alignment horizontal="left" vertical="center"/>
    </xf>
    <xf numFmtId="0" fontId="130" fillId="0" borderId="78" applyAlignment="1" applyProtection="1" pivotButton="0" quotePrefix="0" xfId="2375">
      <alignment horizontal="left" vertical="center"/>
      <protection locked="0" hidden="0"/>
    </xf>
    <xf numFmtId="0" fontId="121" fillId="0" borderId="78" applyAlignment="1" applyProtection="1" pivotButton="0" quotePrefix="0" xfId="2375">
      <alignment horizontal="left" vertical="center"/>
      <protection locked="0" hidden="0"/>
    </xf>
    <xf numFmtId="0" fontId="5" fillId="4" borderId="71" applyAlignment="1" pivotButton="0" quotePrefix="0" xfId="0">
      <alignment horizontal="center" vertical="center" wrapText="1"/>
    </xf>
    <xf numFmtId="0" fontId="5" fillId="4" borderId="71" applyAlignment="1" pivotButton="0" quotePrefix="0" xfId="0">
      <alignment horizontal="center" vertical="center"/>
    </xf>
    <xf numFmtId="0" fontId="5" fillId="0" borderId="71" applyAlignment="1" pivotButton="0" quotePrefix="0" xfId="0">
      <alignment horizontal="center" vertical="center"/>
    </xf>
    <xf numFmtId="0" fontId="5" fillId="0" borderId="71" applyAlignment="1" pivotButton="0" quotePrefix="0" xfId="0">
      <alignment horizontal="center" vertical="center" wrapTex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9" fontId="5" fillId="0" borderId="71" applyAlignment="1" pivotButton="0" quotePrefix="0" xfId="0">
      <alignment horizontal="center" vertical="center"/>
    </xf>
    <xf numFmtId="14" fontId="5" fillId="0" borderId="71" applyAlignment="1" pivotButton="0" quotePrefix="0" xfId="0">
      <alignment horizontal="center" vertical="center"/>
    </xf>
    <xf numFmtId="43" fontId="5" fillId="0" borderId="71" applyAlignment="1" pivotButton="0" quotePrefix="0" xfId="0">
      <alignment horizontal="center" vertical="center"/>
    </xf>
    <xf numFmtId="10" fontId="5" fillId="0" borderId="71" applyAlignment="1" pivotButton="0" quotePrefix="0" xfId="0">
      <alignment horizontal="center" vertical="center"/>
    </xf>
    <xf numFmtId="49" fontId="11" fillId="0" borderId="71" applyAlignment="1" pivotButton="0" quotePrefix="0" xfId="2375">
      <alignment horizontal="left" vertical="center" shrinkToFit="1"/>
    </xf>
    <xf numFmtId="14" fontId="11" fillId="0" borderId="71" applyAlignment="1" pivotButton="0" quotePrefix="0" xfId="2388">
      <alignment horizontal="left" vertical="center" shrinkToFit="1"/>
    </xf>
    <xf numFmtId="0" fontId="11" fillId="0" borderId="71" applyAlignment="1" pivotButton="0" quotePrefix="0" xfId="0">
      <alignment horizontal="left" vertical="center" shrinkToFit="1"/>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71" applyAlignment="1" pivotButton="0" quotePrefix="0" xfId="2385">
      <alignment horizontal="right" vertical="center" shrinkToFit="1"/>
    </xf>
    <xf numFmtId="49" fontId="5" fillId="0" borderId="67" applyAlignment="1" pivotButton="0" quotePrefix="0" xfId="2423">
      <alignment horizontal="left" vertical="center" shrinkToFit="1"/>
    </xf>
    <xf numFmtId="49" fontId="5" fillId="0" borderId="66" applyAlignment="1" pivotButton="0" quotePrefix="0" xfId="0">
      <alignment horizontal="center" vertical="center"/>
    </xf>
    <xf numFmtId="43" fontId="5" fillId="0" borderId="71" applyAlignment="1" pivotButton="0" quotePrefix="0" xfId="2385">
      <alignment horizontal="center" vertical="center"/>
    </xf>
    <xf numFmtId="14" fontId="5" fillId="0" borderId="71" applyAlignment="1" pivotButton="0" quotePrefix="0" xfId="0">
      <alignment horizontal="left" vertical="center"/>
    </xf>
    <xf numFmtId="0" fontId="5" fillId="0" borderId="68" applyAlignment="1" pivotButton="0" quotePrefix="0" xfId="0">
      <alignment horizontal="center" vertical="center"/>
    </xf>
    <xf numFmtId="0" fontId="5" fillId="0" borderId="73" applyAlignment="1" pivotButton="0" quotePrefix="0" xfId="0">
      <alignment horizontal="center" vertical="center"/>
    </xf>
    <xf numFmtId="0" fontId="5" fillId="0" borderId="73" applyAlignment="1" pivotButton="0" quotePrefix="0" xfId="0">
      <alignment horizontal="left" vertical="center"/>
    </xf>
    <xf numFmtId="43" fontId="5" fillId="0" borderId="73" applyAlignment="1" pivotButton="0" quotePrefix="0" xfId="2385">
      <alignment horizontal="center" vertical="center"/>
    </xf>
    <xf numFmtId="0" fontId="8" fillId="0" borderId="73" applyAlignment="1" pivotButton="0" quotePrefix="0" xfId="0">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10" fontId="5" fillId="0" borderId="73" applyAlignment="1" pivotButton="0" quotePrefix="0" xfId="0">
      <alignment horizontal="center" vertical="center"/>
    </xf>
    <xf numFmtId="49" fontId="11" fillId="0" borderId="73" applyAlignment="1" pivotButton="0" quotePrefix="0" xfId="2375">
      <alignment horizontal="left" vertical="center" shrinkToFit="1"/>
    </xf>
    <xf numFmtId="14" fontId="11" fillId="0" borderId="73" applyAlignment="1" pivotButton="0" quotePrefix="0" xfId="2388">
      <alignment horizontal="left" vertical="center" shrinkToFit="1"/>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73" applyAlignment="1" pivotButton="0" quotePrefix="0" xfId="2385">
      <alignment horizontal="right" vertical="center" shrinkToFit="1"/>
    </xf>
    <xf numFmtId="49" fontId="5" fillId="0" borderId="69" applyAlignment="1" pivotButton="0" quotePrefix="0" xfId="2423">
      <alignment horizontal="left" vertical="center" shrinkToFit="1"/>
    </xf>
    <xf numFmtId="43" fontId="5" fillId="0" borderId="77" applyAlignment="1" pivotButton="0" quotePrefix="0" xfId="2384">
      <alignment horizontal="right" vertical="center" shrinkToFit="1"/>
    </xf>
    <xf numFmtId="43" fontId="5" fillId="0" borderId="77" applyAlignment="1" pivotButton="0" quotePrefix="0" xfId="0">
      <alignment horizontal="right" vertical="center" shrinkToFit="1"/>
    </xf>
    <xf numFmtId="10" fontId="5" fillId="0" borderId="77" applyAlignment="1" pivotButton="0" quotePrefix="0" xfId="0">
      <alignment horizontal="center" vertical="center"/>
    </xf>
    <xf numFmtId="0" fontId="125" fillId="49" borderId="66" applyAlignment="1" applyProtection="1" pivotButton="0" quotePrefix="0" xfId="818">
      <alignment horizontal="left" vertical="center"/>
      <protection locked="0" hidden="0"/>
    </xf>
    <xf numFmtId="0" fontId="124" fillId="0" borderId="66" applyAlignment="1" pivotButton="0" quotePrefix="0" xfId="2375">
      <alignment horizontal="left" vertical="center"/>
    </xf>
    <xf numFmtId="0" fontId="129" fillId="0" borderId="71" applyAlignment="1" applyProtection="1" pivotButton="0" quotePrefix="0" xfId="2375">
      <alignment horizontal="left" vertical="center"/>
      <protection locked="0" hidden="0"/>
    </xf>
    <xf numFmtId="0" fontId="129" fillId="0" borderId="71" applyAlignment="1" applyProtection="1" pivotButton="0" quotePrefix="0" xfId="2375">
      <alignment horizontal="left" vertical="center" wrapText="1"/>
      <protection locked="0" hidden="0"/>
    </xf>
    <xf numFmtId="0" fontId="124" fillId="0" borderId="71" applyAlignment="1" applyProtection="1" pivotButton="0" quotePrefix="0" xfId="818">
      <alignment horizontal="centerContinuous" vertical="center" wrapText="1"/>
      <protection locked="0" hidden="0"/>
    </xf>
    <xf numFmtId="0" fontId="121" fillId="0" borderId="67" applyAlignment="1" applyProtection="1" pivotButton="0" quotePrefix="0" xfId="2375">
      <alignment vertical="center" wrapText="1"/>
      <protection locked="0" hidden="0"/>
    </xf>
    <xf numFmtId="0" fontId="124" fillId="0" borderId="72" applyAlignment="1" pivotButton="0" quotePrefix="0" xfId="2375">
      <alignment horizontal="left" vertical="center"/>
    </xf>
    <xf numFmtId="0" fontId="124" fillId="0" borderId="78" applyAlignment="1" pivotButton="0" quotePrefix="0" xfId="2375">
      <alignment vertical="center"/>
    </xf>
    <xf numFmtId="0" fontId="124" fillId="0" borderId="76" applyAlignment="1" pivotButton="0" quotePrefix="0" xfId="2375">
      <alignment vertical="center"/>
    </xf>
    <xf numFmtId="49" fontId="11" fillId="0" borderId="66" applyAlignment="1" pivotButton="0" quotePrefix="0" xfId="2381">
      <alignment horizontal="left" vertical="center" shrinkToFit="1"/>
    </xf>
    <xf numFmtId="14" fontId="11" fillId="0" borderId="71" applyAlignment="1" pivotButton="0" quotePrefix="0" xfId="2375">
      <alignment horizontal="left" vertical="center" shrinkToFit="1"/>
    </xf>
    <xf numFmtId="43" fontId="11" fillId="0" borderId="67" applyAlignment="1" pivotButton="0" quotePrefix="0" xfId="2375">
      <alignment horizontal="right" vertical="center" shrinkToFit="1"/>
    </xf>
    <xf numFmtId="49" fontId="11" fillId="0" borderId="79" applyAlignment="1" pivotButton="0" quotePrefix="0" xfId="2375">
      <alignment horizontal="left" vertical="center" shrinkToFit="1"/>
    </xf>
    <xf numFmtId="49" fontId="5" fillId="0" borderId="71" applyAlignment="1" pivotButton="0" quotePrefix="0" xfId="2376">
      <alignment horizontal="left" vertical="center" shrinkToFit="1"/>
    </xf>
    <xf numFmtId="49" fontId="5" fillId="0" borderId="80" applyAlignment="1" pivotButton="0" quotePrefix="0" xfId="2376">
      <alignment horizontal="left" vertical="center" shrinkToFit="1"/>
    </xf>
    <xf numFmtId="49" fontId="11" fillId="2" borderId="68" applyAlignment="1" pivotButton="0" quotePrefix="0" xfId="2381">
      <alignment horizontal="left" vertical="center" shrinkToFit="1"/>
    </xf>
    <xf numFmtId="14" fontId="11" fillId="0" borderId="73" applyAlignment="1" pivotButton="0" quotePrefix="0" xfId="2375">
      <alignment horizontal="lef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49" fontId="11" fillId="0" borderId="81" applyAlignment="1" pivotButton="0" quotePrefix="0" xfId="2375">
      <alignment horizontal="left" vertical="center" shrinkToFit="1"/>
    </xf>
    <xf numFmtId="49" fontId="5" fillId="0" borderId="82" applyAlignment="1" pivotButton="0" quotePrefix="0" xfId="2376">
      <alignment horizontal="left" vertical="center" shrinkToFit="1"/>
    </xf>
    <xf numFmtId="49" fontId="5" fillId="0" borderId="83" applyAlignment="1" pivotButton="0" quotePrefix="0" xfId="2376">
      <alignment horizontal="left" vertical="center" shrinkToFit="1"/>
    </xf>
    <xf numFmtId="43" fontId="5" fillId="2" borderId="12" applyAlignment="1" applyProtection="1" pivotButton="0" quotePrefix="0" xfId="0">
      <alignment horizontal="right" vertical="center" shrinkToFit="1"/>
      <protection locked="0" hidden="0"/>
    </xf>
    <xf numFmtId="167" fontId="7" fillId="0" borderId="71" applyAlignment="1" applyProtection="1" pivotButton="0" quotePrefix="0" xfId="2437">
      <alignment horizontal="right" vertical="center"/>
      <protection locked="0" hidden="0"/>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7" fillId="0" borderId="73" applyAlignment="1" applyProtection="1" pivotButton="0" quotePrefix="0" xfId="2437">
      <alignment horizontal="right" vertical="center"/>
      <protection locked="0" hidden="0"/>
    </xf>
    <xf numFmtId="167" fontId="5" fillId="0" borderId="58" applyAlignment="1" applyProtection="1" pivotButton="0" quotePrefix="0" xfId="2437">
      <alignment vertical="center"/>
      <protection locked="0" hidden="0"/>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166" fontId="133" fillId="0" borderId="0" applyAlignment="1" applyProtection="1" pivotButton="0" quotePrefix="0" xfId="1429">
      <alignment horizontal="left" vertical="center"/>
      <protection locked="0" hidden="0"/>
    </xf>
    <xf numFmtId="0" fontId="11" fillId="0" borderId="89" applyAlignment="1" applyProtection="1" pivotButton="0" quotePrefix="0" xfId="2375">
      <alignment horizontal="center" vertical="center"/>
      <protection locked="0" hidden="0"/>
    </xf>
    <xf numFmtId="0" fontId="11" fillId="0" borderId="20" applyAlignment="1" applyProtection="1" pivotButton="0" quotePrefix="0" xfId="2375">
      <alignment horizontal="center" vertical="center"/>
      <protection locked="0" hidden="0"/>
    </xf>
    <xf numFmtId="0" fontId="11" fillId="0" borderId="20" applyAlignment="1" applyProtection="1" pivotButton="0" quotePrefix="0" xfId="437">
      <alignment horizontal="center" vertical="center" wrapText="1"/>
      <protection locked="0" hidden="0"/>
    </xf>
    <xf numFmtId="0" fontId="11" fillId="6" borderId="20" applyAlignment="1" applyProtection="1" pivotButton="0" quotePrefix="0" xfId="437">
      <alignment horizontal="center" vertical="center"/>
      <protection locked="0" hidden="0"/>
    </xf>
    <xf numFmtId="0" fontId="5" fillId="0" borderId="20" applyAlignment="1" applyProtection="1" pivotButton="0" quotePrefix="0" xfId="2375">
      <alignment horizontal="center" vertical="center" wrapText="1"/>
      <protection locked="0" hidden="0"/>
    </xf>
    <xf numFmtId="0" fontId="0" fillId="0" borderId="15" applyProtection="1" pivotButton="0" quotePrefix="0" xfId="0">
      <protection locked="0" hidden="0"/>
    </xf>
    <xf numFmtId="0" fontId="0" fillId="0" borderId="19" applyProtection="1" pivotButton="0" quotePrefix="0" xfId="0">
      <protection locked="0" hidden="0"/>
    </xf>
    <xf numFmtId="0" fontId="0" fillId="0" borderId="65" applyProtection="1" pivotButton="0" quotePrefix="0" xfId="0">
      <protection locked="0" hidden="0"/>
    </xf>
    <xf numFmtId="0" fontId="7" fillId="0" borderId="50" applyAlignment="1" applyProtection="1" pivotButton="0" quotePrefix="0" xfId="0">
      <alignment horizontal="left" vertical="center"/>
      <protection locked="0" hidden="0"/>
    </xf>
    <xf numFmtId="0" fontId="0" fillId="0" borderId="50" applyProtection="1" pivotButton="0" quotePrefix="0" xfId="0">
      <protection locked="0" hidden="0"/>
    </xf>
    <xf numFmtId="0" fontId="117" fillId="0" borderId="84" applyAlignment="1" pivotButton="0" quotePrefix="0" xfId="0">
      <alignment horizontal="left" vertical="top" wrapText="1"/>
    </xf>
    <xf numFmtId="0" fontId="0" fillId="0" borderId="12" pivotButton="0" quotePrefix="0" xfId="0"/>
    <xf numFmtId="0" fontId="11" fillId="0" borderId="85" applyAlignment="1" pivotButton="0" quotePrefix="0" xfId="0">
      <alignment horizontal="left" vertical="top" wrapText="1"/>
    </xf>
    <xf numFmtId="0" fontId="0" fillId="0" borderId="86" pivotButton="0" quotePrefix="0" xfId="0"/>
    <xf numFmtId="0" fontId="0" fillId="0" borderId="87" pivotButton="0" quotePrefix="0" xfId="0"/>
    <xf numFmtId="43" fontId="5" fillId="0" borderId="0" applyAlignment="1" applyProtection="1" pivotButton="0" quotePrefix="0" xfId="2377">
      <alignment vertical="center"/>
      <protection locked="0" hidden="0"/>
    </xf>
    <xf numFmtId="0" fontId="122" fillId="49" borderId="20" applyAlignment="1" pivotButton="0" quotePrefix="0" xfId="2375">
      <alignment horizontal="left" vertical="top"/>
    </xf>
    <xf numFmtId="0" fontId="0" fillId="0" borderId="54" pivotButton="0" quotePrefix="0" xfId="0"/>
    <xf numFmtId="0" fontId="0" fillId="0" borderId="55" pivotButton="0" quotePrefix="0" xfId="0"/>
    <xf numFmtId="0" fontId="124" fillId="0" borderId="20" applyAlignment="1" pivotButton="0" quotePrefix="0" xfId="0">
      <alignment horizontal="left" vertical="top" wrapText="1"/>
    </xf>
    <xf numFmtId="0" fontId="132" fillId="0" borderId="20" applyAlignment="1" pivotButton="0" quotePrefix="0" xfId="0">
      <alignment horizontal="left" vertical="top" wrapText="1"/>
    </xf>
    <xf numFmtId="0" fontId="11" fillId="0" borderId="92" applyAlignment="1" pivotButton="0" quotePrefix="0" xfId="2391">
      <alignment horizontal="left" vertical="center" wrapText="1"/>
    </xf>
    <xf numFmtId="0" fontId="0" fillId="0" borderId="93" pivotButton="0" quotePrefix="0" xfId="0"/>
    <xf numFmtId="0" fontId="0" fillId="0" borderId="95" pivotButton="0" quotePrefix="0" xfId="0"/>
    <xf numFmtId="0" fontId="0" fillId="0" borderId="94" pivotButton="0" quotePrefix="0" xfId="0"/>
    <xf numFmtId="0" fontId="0" fillId="0" borderId="96" pivotButton="0" quotePrefix="0" xfId="0"/>
    <xf numFmtId="0" fontId="0" fillId="0" borderId="8" pivotButton="0" quotePrefix="0" xfId="0"/>
    <xf numFmtId="0" fontId="0" fillId="0" borderId="13" pivotButton="0" quotePrefix="0" xfId="0"/>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167" fontId="11" fillId="0" borderId="39" applyAlignment="1" pivotButton="0" quotePrefix="0" xfId="0">
      <alignment vertical="center" wrapText="1"/>
    </xf>
    <xf numFmtId="43" fontId="6" fillId="0" borderId="1" applyAlignment="1" applyProtection="1" pivotButton="0" quotePrefix="0" xfId="2388">
      <alignment horizontal="center" vertical="center" wrapText="1" shrinkToFit="1"/>
      <protection locked="0" hidden="0"/>
    </xf>
    <xf numFmtId="43" fontId="11" fillId="0" borderId="66" applyAlignment="1" applyProtection="1" pivotButton="0" quotePrefix="0" xfId="2388">
      <alignment horizontal="righ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54" applyAlignment="1" pivotButton="0" quotePrefix="0" xfId="2388">
      <alignment horizontal="right" vertical="center" shrinkToFit="1"/>
    </xf>
    <xf numFmtId="43" fontId="11" fillId="0" borderId="66" applyAlignment="1" pivotButton="0" quotePrefix="0" xfId="2388">
      <alignment horizontal="right" vertical="center" shrinkToFit="1"/>
    </xf>
    <xf numFmtId="43" fontId="6" fillId="0" borderId="68" applyAlignment="1" applyProtection="1" pivotButton="0" quotePrefix="0" xfId="2388">
      <alignment horizontal="right" vertical="center" shrinkToFit="1"/>
      <protection locked="0" hidden="0"/>
    </xf>
    <xf numFmtId="43" fontId="11" fillId="0" borderId="73" applyAlignment="1" pivotButton="0" quotePrefix="0" xfId="2388">
      <alignment horizontal="right" vertical="center" shrinkToFit="1"/>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43" fontId="11" fillId="0" borderId="30" applyAlignment="1" applyProtection="1" pivotButton="0" quotePrefix="0" xfId="2388">
      <alignment horizontal="right" vertical="center" shrinkToFit="1"/>
      <protection locked="0" hidden="0"/>
    </xf>
    <xf numFmtId="43" fontId="11" fillId="0" borderId="77" applyAlignment="1" pivotButton="0" quotePrefix="0" xfId="2388">
      <alignment horizontal="right" vertical="center" shrinkToFit="1"/>
    </xf>
    <xf numFmtId="43" fontId="11" fillId="0" borderId="0" applyAlignment="1" pivotButton="0" quotePrefix="0" xfId="2375">
      <alignment horizontal="right" vertical="center" shrinkToFit="1"/>
    </xf>
    <xf numFmtId="43" fontId="11" fillId="0" borderId="0" applyAlignment="1" applyProtection="1" pivotButton="0" quotePrefix="0" xfId="2377">
      <alignment vertical="center"/>
      <protection locked="0" hidden="0"/>
    </xf>
    <xf numFmtId="43" fontId="6"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5" fillId="0" borderId="0" applyAlignment="1" applyProtection="1" pivotButton="0" quotePrefix="0" xfId="2385">
      <alignment horizontal="right" vertical="center" shrinkToFit="1"/>
      <protection locked="0" hidden="0"/>
    </xf>
    <xf numFmtId="43" fontId="6" fillId="0" borderId="0" applyAlignment="1" applyProtection="1" pivotButton="0" quotePrefix="0" xfId="2377">
      <alignment horizontal="center" vertical="center" wrapText="1"/>
      <protection locked="0" hidden="0"/>
    </xf>
    <xf numFmtId="43" fontId="5" fillId="0" borderId="0" applyAlignment="1" pivotButton="0" quotePrefix="0" xfId="2385">
      <alignment horizontal="right" vertical="center" shrinkToFit="1"/>
    </xf>
    <xf numFmtId="43" fontId="15" fillId="0" borderId="0" applyAlignment="1" pivotButton="0" quotePrefix="0" xfId="2377">
      <alignment vertical="center"/>
    </xf>
    <xf numFmtId="43" fontId="21" fillId="0" borderId="0" applyAlignment="1" pivotButton="0" quotePrefix="0" xfId="2377">
      <alignment vertical="center"/>
    </xf>
    <xf numFmtId="41" fontId="11" fillId="5" borderId="0" applyAlignment="1" pivotButton="0" quotePrefix="0" xfId="2375">
      <alignment vertical="center"/>
    </xf>
    <xf numFmtId="0" fontId="11" fillId="0" borderId="92" applyAlignment="1" pivotButton="0" quotePrefix="0" xfId="0">
      <alignment horizontal="left" vertical="center" wrapText="1"/>
    </xf>
    <xf numFmtId="0" fontId="11" fillId="0" borderId="92" applyAlignment="1" applyProtection="1" pivotButton="0" quotePrefix="0" xfId="2238">
      <alignment horizontal="left" vertical="center" wrapText="1"/>
      <protection locked="0" hidden="0"/>
    </xf>
    <xf numFmtId="0" fontId="0" fillId="0" borderId="93" applyProtection="1" pivotButton="0" quotePrefix="0" xfId="0">
      <protection locked="0" hidden="0"/>
    </xf>
    <xf numFmtId="0" fontId="0" fillId="0" borderId="95" applyProtection="1" pivotButton="0" quotePrefix="0" xfId="0">
      <protection locked="0" hidden="0"/>
    </xf>
    <xf numFmtId="0" fontId="0" fillId="0" borderId="94"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96" applyProtection="1" pivotButton="0" quotePrefix="0" xfId="0">
      <protection locked="0" hidden="0"/>
    </xf>
    <xf numFmtId="0" fontId="0" fillId="0" borderId="8" applyProtection="1" pivotButton="0" quotePrefix="0" xfId="0">
      <protection locked="0" hidden="0"/>
    </xf>
    <xf numFmtId="0" fontId="0" fillId="0" borderId="13" applyProtection="1" pivotButton="0" quotePrefix="0" xfId="0">
      <protection locked="0" hidden="0"/>
    </xf>
    <xf numFmtId="0" fontId="124" fillId="0" borderId="20" applyAlignment="1" pivotButton="0" quotePrefix="0" xfId="2375">
      <alignment horizontal="left" vertical="top" wrapText="1"/>
    </xf>
    <xf numFmtId="43" fontId="5" fillId="0" borderId="0" applyAlignment="1" pivotButton="0" quotePrefix="0" xfId="2423">
      <alignment vertical="center" shrinkToFit="1"/>
    </xf>
    <xf numFmtId="43" fontId="6" fillId="0" borderId="0" applyAlignment="1" pivotButton="0" quotePrefix="0" xfId="2423">
      <alignment vertical="center" shrinkToFit="1"/>
    </xf>
    <xf numFmtId="43" fontId="5" fillId="0" borderId="0" applyAlignment="1" pivotButton="0" quotePrefix="0" xfId="2423">
      <alignment horizontal="center" vertical="center" wrapText="1" shrinkToFit="1"/>
    </xf>
    <xf numFmtId="43" fontId="6" fillId="0" borderId="0" applyAlignment="1" pivotButton="0" quotePrefix="0" xfId="2423">
      <alignment horizontal="center" vertical="center" wrapText="1" shrinkToFit="1"/>
    </xf>
    <xf numFmtId="43" fontId="5" fillId="49" borderId="0" applyAlignment="1" pivotButton="0" quotePrefix="0" xfId="2423">
      <alignment horizontal="center" vertical="center" wrapText="1" shrinkToFi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43" fontId="5" fillId="0" borderId="29" applyAlignment="1" pivotButton="0" quotePrefix="0" xfId="2423">
      <alignment horizontal="center" vertical="center" wrapText="1" shrinkToFit="1"/>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0" fillId="0" borderId="11" pivotButton="0" quotePrefix="0" xfId="0"/>
    <xf numFmtId="43" fontId="11" fillId="0" borderId="11" applyAlignment="1" pivotButton="0" quotePrefix="0" xfId="2388">
      <alignment horizontal="center" vertical="center" wrapText="1" shrinkToFi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3" fontId="5" fillId="0" borderId="71" applyAlignment="1" pivotButton="0" quotePrefix="0" xfId="0">
      <alignment horizontal="center" vertical="center"/>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3" fontId="5" fillId="0" borderId="46" applyAlignment="1" pivotButton="0" quotePrefix="0" xfId="0">
      <alignment horizontal="center" vertical="center"/>
    </xf>
    <xf numFmtId="43" fontId="5" fillId="0" borderId="73" applyAlignment="1" pivotButton="0" quotePrefix="0" xfId="2385">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43" fontId="5" fillId="0" borderId="0" applyAlignment="1" pivotButton="0" quotePrefix="0" xfId="2384">
      <alignment horizontal="right" vertical="center" shrinkToFit="1"/>
    </xf>
    <xf numFmtId="43" fontId="5" fillId="0" borderId="77" applyAlignment="1" pivotButton="0" quotePrefix="0" xfId="2384">
      <alignment horizontal="right" vertical="center" shrinkToFit="1"/>
    </xf>
    <xf numFmtId="43" fontId="5" fillId="0" borderId="0" applyAlignment="1" pivotButton="0" quotePrefix="0" xfId="0">
      <alignment horizontal="right" shrinkToFit="1"/>
    </xf>
    <xf numFmtId="43" fontId="5" fillId="0" borderId="77" applyAlignment="1" pivotButton="0" quotePrefix="0" xfId="0">
      <alignment horizontal="right" vertical="center" shrinkToFit="1"/>
    </xf>
    <xf numFmtId="43" fontId="5" fillId="0" borderId="0" applyAlignment="1" pivotButton="0" quotePrefix="0" xfId="2384">
      <alignment vertical="center"/>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43" fontId="11" fillId="0" borderId="0" applyAlignment="1" pivotButton="0" quotePrefix="0" xfId="2296">
      <alignment vertical="center" shrinkToFit="1"/>
    </xf>
    <xf numFmtId="43" fontId="5" fillId="2" borderId="0" applyAlignment="1" pivotButton="0" quotePrefix="0" xfId="2423">
      <alignment vertical="center" shrinkToFit="1"/>
    </xf>
    <xf numFmtId="43" fontId="6" fillId="2" borderId="0" applyAlignment="1" pivotButton="0" quotePrefix="0" xfId="2423">
      <alignment vertical="center" shrinkToFit="1"/>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43" fontId="5" fillId="0" borderId="12" applyAlignment="1" pivotButton="0" quotePrefix="0" xfId="2423">
      <alignment vertical="center" shrinkToFit="1"/>
    </xf>
    <xf numFmtId="165" fontId="5" fillId="2" borderId="0" applyAlignment="1" pivotButton="0" quotePrefix="0" xfId="2423">
      <alignment vertical="center"/>
    </xf>
    <xf numFmtId="43" fontId="13" fillId="0" borderId="9" applyAlignment="1" applyProtection="1" pivotButton="0" quotePrefix="0" xfId="2385">
      <alignment vertical="center"/>
      <protection locked="0" hidden="0"/>
    </xf>
    <xf numFmtId="43" fontId="6" fillId="0" borderId="0" applyAlignment="1" applyProtection="1" pivotButton="0" quotePrefix="0" xfId="2377">
      <alignment horizontal="center" vertical="center"/>
      <protection locked="0" hidden="0"/>
    </xf>
    <xf numFmtId="43" fontId="5" fillId="0" borderId="0"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43" fontId="13" fillId="0" borderId="9" applyAlignment="1" pivotButton="0" quotePrefix="0" xfId="2385">
      <alignment vertical="center"/>
    </xf>
    <xf numFmtId="43" fontId="6" fillId="0" borderId="0" applyAlignment="1" pivotButton="0" quotePrefix="0" xfId="2377">
      <alignment horizontal="center" vertical="center"/>
    </xf>
    <xf numFmtId="43" fontId="6" fillId="0" borderId="0" applyAlignment="1" pivotButton="0" quotePrefix="0" xfId="2377">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13" fillId="0" borderId="0" applyAlignment="1" pivotButton="0" quotePrefix="0" xfId="2385">
      <alignment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41" fontId="11" fillId="5" borderId="0" applyAlignment="1" pivotButton="0" quotePrefix="0" xfId="0">
      <alignment vertical="center"/>
    </xf>
    <xf numFmtId="0" fontId="124" fillId="0" borderId="98" applyAlignment="1" pivotButton="0" quotePrefix="0" xfId="2376">
      <alignment horizontal="left" vertical="center" wrapText="1"/>
    </xf>
    <xf numFmtId="43" fontId="5" fillId="0" borderId="0" applyAlignment="1" pivotButton="0" quotePrefix="0" xfId="2375">
      <alignment vertical="center" shrinkToFit="1"/>
    </xf>
    <xf numFmtId="0" fontId="122" fillId="49" borderId="20" applyAlignment="1" applyProtection="1" pivotButton="0" quotePrefix="0" xfId="818">
      <alignment horizontal="left" vertical="top" wrapText="1"/>
      <protection locked="0" hidden="0"/>
    </xf>
    <xf numFmtId="0" fontId="0" fillId="0" borderId="54" applyProtection="1" pivotButton="0" quotePrefix="0" xfId="0">
      <protection locked="0" hidden="0"/>
    </xf>
    <xf numFmtId="0" fontId="0" fillId="0" borderId="55" applyProtection="1" pivotButton="0" quotePrefix="0" xfId="0">
      <protection locked="0" hidden="0"/>
    </xf>
    <xf numFmtId="0" fontId="121" fillId="0" borderId="20" applyAlignment="1" applyProtection="1" pivotButton="0" quotePrefix="0" xfId="2375">
      <alignment horizontal="left" vertical="top" wrapText="1"/>
      <protection locked="0" hidden="0"/>
    </xf>
    <xf numFmtId="0" fontId="11" fillId="0" borderId="92" applyAlignment="1" pivotButton="0" quotePrefix="0" xfId="2375">
      <alignment horizontal="left" vertical="center" wrapText="1"/>
    </xf>
    <xf numFmtId="43" fontId="11" fillId="0" borderId="53" applyAlignment="1" pivotButton="0" quotePrefix="0" xfId="2375">
      <alignment horizontal="right" vertical="center" shrinkToFit="1"/>
    </xf>
    <xf numFmtId="43" fontId="11" fillId="0" borderId="67" applyAlignment="1" pivotButton="0" quotePrefix="0" xfId="2375">
      <alignment horizontal="right" vertical="center" shrinkToFit="1"/>
    </xf>
    <xf numFmtId="43" fontId="11" fillId="0" borderId="3" applyAlignment="1" pivotButton="0" quotePrefix="0" xfId="2375">
      <alignment horizontal="right" vertical="center" shrinkToFit="1"/>
    </xf>
    <xf numFmtId="43" fontId="11" fillId="0" borderId="47" applyAlignment="1" pivotButton="0" quotePrefix="0" xfId="2375">
      <alignment horizontal="righ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164" fontId="17" fillId="0" borderId="0" applyAlignment="1" pivotButton="0" quotePrefix="0" xfId="929">
      <alignment vertical="center"/>
    </xf>
  </cellXfs>
  <cellStyles count="2439">
    <cellStyle name="Normal" xfId="0" builtinId="0"/>
    <cellStyle name="Normal 7 3 3 2" xfId="1"/>
    <cellStyle name="だ[0]_Total (2)" xfId="2"/>
    <cellStyle name="cellStylePer 8" xfId="3"/>
    <cellStyle name="Normal 3 2 2" xfId="4"/>
    <cellStyle name="SAPBEXformats 9" xfId="5"/>
    <cellStyle name="SAPBEXHLevel2X 2 2 3" xfId="6"/>
    <cellStyle name="Comma 23 2 2 2" xfId="7"/>
    <cellStyle name="Comma 18 2 2 2" xfId="8"/>
    <cellStyle name="Accent2 - 40%" xfId="9"/>
    <cellStyle name="Normal 126" xfId="10"/>
    <cellStyle name="Calc Percent (1)" xfId="11"/>
    <cellStyle name="Comma [0] 2 4 3" xfId="12"/>
    <cellStyle name="Comma 3 6" xfId="13"/>
    <cellStyle name="Normal 2 7" xfId="14"/>
    <cellStyle name="SAPBEXaggItemX 2 7" xfId="15"/>
    <cellStyle name="Comma 2 2 3 2" xfId="16"/>
    <cellStyle name="Comma 30 2 2 2" xfId="17"/>
    <cellStyle name="Comma 25 2 2 2" xfId="18"/>
    <cellStyle name="常规 7 3" xfId="19"/>
    <cellStyle name="Comma 3 2 4" xfId="20"/>
    <cellStyle name="Comma 4 3 2 2" xfId="21"/>
    <cellStyle name="SAPBEXaggDataEmph 3 3" xfId="22"/>
    <cellStyle name="Accent2 - 60%" xfId="23"/>
    <cellStyle name="Comma [0] 3" xfId="24"/>
    <cellStyle name="Comma 2 3 6" xfId="25"/>
    <cellStyle name="SAPBEXaggItemX 2 2 7" xfId="26"/>
    <cellStyle name="Input [yellow] 4" xfId="27"/>
    <cellStyle name="Hyperlink" xfId="28" builtinId="8"/>
    <cellStyle name="Normal 9 2" xfId="29"/>
    <cellStyle name="cellStylePer 2 2" xfId="30"/>
    <cellStyle name="Comma 2 2 7" xfId="31"/>
    <cellStyle name="Comma 2 3 2_1" xfId="32"/>
    <cellStyle name="Comma 2 10" xfId="33"/>
    <cellStyle name="常规 2 2 3 3 2" xfId="34"/>
    <cellStyle name="_x000a_mouse.drv=lm" xfId="35"/>
    <cellStyle name="Percent 2 5" xfId="36"/>
    <cellStyle name="Comma 34 2 2" xfId="37"/>
    <cellStyle name="Comma 29 2 2" xfId="38"/>
    <cellStyle name="Prefilled 5" xfId="39"/>
    <cellStyle name="Monétaire_PERSONAL" xfId="40"/>
    <cellStyle name="SAPBEXaggData 2 4" xfId="41"/>
    <cellStyle name="entry" xfId="42"/>
    <cellStyle name="SAPBEXaggDataEmph 3 2" xfId="43"/>
    <cellStyle name="资产 4" xfId="44"/>
    <cellStyle name="cellStylePer 2 2 7" xfId="45"/>
    <cellStyle name="SAPBEXexcBad9 2 6" xfId="46"/>
    <cellStyle name="Comma 2" xfId="47"/>
    <cellStyle name="Comma 12 3 2 2" xfId="48"/>
    <cellStyle name="Comma 2 2 2 4" xfId="49"/>
    <cellStyle name="Calc Units (0)" xfId="50"/>
    <cellStyle name="SAPBEXexcBad8 3 2" xfId="51"/>
    <cellStyle name="SAPBEXexcGood3 2 6" xfId="52"/>
    <cellStyle name="差_货币资金 岳华" xfId="53"/>
    <cellStyle name="Comma 12 3" xfId="54"/>
    <cellStyle name="evenStyle 2 2" xfId="55"/>
    <cellStyle name="dataStyle 2 2 4" xfId="56"/>
    <cellStyle name="SAPBEXexcBad9 2 3" xfId="57"/>
    <cellStyle name="SAPBEXexcBad9 2 4" xfId="58"/>
    <cellStyle name="0%" xfId="59"/>
    <cellStyle name="资产 3" xfId="60"/>
    <cellStyle name="cellStyleNum 9" xfId="61"/>
    <cellStyle name="cellStylePer 2 2 6" xfId="62"/>
    <cellStyle name="Accent6 2" xfId="63"/>
    <cellStyle name="SAPBEXexcBad9 2 5" xfId="64"/>
    <cellStyle name="Accent1 2" xfId="65"/>
    <cellStyle name="Comma 2 2 2 6" xfId="66"/>
    <cellStyle name="Comma 2 2 2 2_1" xfId="67"/>
    <cellStyle name="Comma [0] 2 2 2 2 2 2" xfId="68"/>
    <cellStyle name="SAPBEXaggDataEmph 3 4" xfId="69"/>
    <cellStyle name="Comma 2 2 2 2 2 2" xfId="70"/>
    <cellStyle name="Comma 11 2" xfId="71"/>
    <cellStyle name="SAPBEXHLevel2 3 5" xfId="72"/>
    <cellStyle name="SAPBEXstdDataEmph 3 4" xfId="73"/>
    <cellStyle name="SAPBEXHLevel2X 2 2" xfId="74"/>
    <cellStyle name="SAPBEXexcGood1 2 6" xfId="75"/>
    <cellStyle name="SAPBEXHLevel1X 2 2 5" xfId="76"/>
    <cellStyle name="Comma 16 5" xfId="77"/>
    <cellStyle name="Comma 2 2 4 2" xfId="78"/>
    <cellStyle name="SAPBEXformats 2 2 8" xfId="79"/>
    <cellStyle name="常规 8 3" xfId="80"/>
    <cellStyle name="Normal 3 2 5" xfId="81"/>
    <cellStyle name="Comma 3 3 4" xfId="82"/>
    <cellStyle name="Link Units (1)" xfId="83"/>
    <cellStyle name="Normal 2 4 4" xfId="84"/>
    <cellStyle name="Comma 2 5 3" xfId="85"/>
    <cellStyle name="SAPBEXHLevel2X 11" xfId="86"/>
    <cellStyle name="Comma [0] 2 3 2 3" xfId="87"/>
    <cellStyle name="SAPBEXexcCritical4 3 6" xfId="88"/>
    <cellStyle name="Enter Units (0)" xfId="89"/>
    <cellStyle name="SAPBEXexcBad7 2 2 5" xfId="90"/>
    <cellStyle name="Comma 10" xfId="91"/>
    <cellStyle name="差_Book2" xfId="92"/>
    <cellStyle name="Normal 2 3 2 2" xfId="93"/>
    <cellStyle name="Hyperlink 2 2 4" xfId="94"/>
    <cellStyle name="Input [yellow] 2 7" xfId="95"/>
    <cellStyle name="SAPBEXresItemX 3 6" xfId="96"/>
    <cellStyle name="dataStyle 2 8" xfId="97"/>
    <cellStyle name="SAPBEXexcBad7 2 8" xfId="98"/>
    <cellStyle name="常规 8 2" xfId="99"/>
    <cellStyle name="Normal 3 2 4" xfId="100"/>
    <cellStyle name="Comma 3 3 3" xfId="101"/>
    <cellStyle name="Normal 2 4 3" xfId="102"/>
    <cellStyle name="Comma 2 5 2" xfId="103"/>
    <cellStyle name="SAPBEXHLevel2X 10" xfId="104"/>
    <cellStyle name="Comma [0] 2 3 2 2" xfId="105"/>
    <cellStyle name="20% - Accent6 2" xfId="106"/>
    <cellStyle name="cellStylePer 2 4" xfId="107"/>
    <cellStyle name="Comma 2 2 9" xfId="108"/>
    <cellStyle name="Comma 2 12" xfId="109"/>
    <cellStyle name="Comma 2 2 4 2 3" xfId="110"/>
    <cellStyle name="Link Units (0)" xfId="111"/>
    <cellStyle name="SAPBEXformats 7" xfId="112"/>
    <cellStyle name="SAPBEXaggItem 3 8" xfId="113"/>
    <cellStyle name="Normal 124" xfId="114"/>
    <cellStyle name="Comma 3 4" xfId="115"/>
    <cellStyle name="0.0%" xfId="116"/>
    <cellStyle name="SAPBEXHLevel2X 2 2 2" xfId="117"/>
    <cellStyle name="SAPBEXformats 2 2 4" xfId="118"/>
    <cellStyle name="Comma 16 5 2" xfId="119"/>
    <cellStyle name="SAPBEXformats 8" xfId="120"/>
    <cellStyle name="Normal 125" xfId="121"/>
    <cellStyle name="Comma [0] 2 4 2" xfId="122"/>
    <cellStyle name="Comma 3 5" xfId="123"/>
    <cellStyle name="Hyperlink 2" xfId="124"/>
    <cellStyle name="Normal 7 2 2" xfId="125"/>
    <cellStyle name="Comma 2 5 4" xfId="126"/>
    <cellStyle name="SAPBEXstdItem" xfId="127"/>
    <cellStyle name="Hyperlink 3" xfId="128"/>
    <cellStyle name="Comma 7 3 2" xfId="129"/>
    <cellStyle name="Normal 7 2 3" xfId="130"/>
    <cellStyle name="Comma 2 5 5" xfId="131"/>
    <cellStyle name="20% - Accent1 2" xfId="132"/>
    <cellStyle name="SAPBEXstdItemX 3 5" xfId="133"/>
    <cellStyle name="cellStyleNum" xfId="134"/>
    <cellStyle name="Comma 10 3 2 2" xfId="135"/>
    <cellStyle name="Normal 3 2 3" xfId="136"/>
    <cellStyle name="Comma 3 3 2" xfId="137"/>
    <cellStyle name="Normal 118 2" xfId="138"/>
    <cellStyle name="Comma [0] 2 4 4" xfId="139"/>
    <cellStyle name="Comma 3 7" xfId="140"/>
    <cellStyle name="Comma 16 2 2 2" xfId="141"/>
    <cellStyle name="Comma 21 2 2 2" xfId="142"/>
    <cellStyle name="Hyperlink 4" xfId="143"/>
    <cellStyle name="F2" xfId="144"/>
    <cellStyle name="SAPBEXaggDataEmph 3 5" xfId="145"/>
    <cellStyle name="Comma 2 2 2 2 2 3" xfId="146"/>
    <cellStyle name="Comma 11 3" xfId="147"/>
    <cellStyle name="SAPBEXHLevel2 3 6" xfId="148"/>
    <cellStyle name="SAPBEXstdDataEmph 3 5" xfId="149"/>
    <cellStyle name="SAPBEXHLevel3X" xfId="150"/>
    <cellStyle name="Hyperlink 5" xfId="151"/>
    <cellStyle name="だ[0]_PLDT" xfId="152"/>
    <cellStyle name="Normal 129" xfId="153"/>
    <cellStyle name="SAPBEXexcBad7 2 2" xfId="154"/>
    <cellStyle name="SAPBEXHLevel3X 2 2 3" xfId="155"/>
    <cellStyle name="F3" xfId="156"/>
    <cellStyle name="Comma 22 4 2" xfId="157"/>
    <cellStyle name="Comma 11 4" xfId="158"/>
    <cellStyle name="Comma 17 4 2" xfId="159"/>
    <cellStyle name="SAPBEXHLevel2 3 7" xfId="160"/>
    <cellStyle name="SAPBEXstdDataEmph 3 6" xfId="161"/>
    <cellStyle name="SAPBEXaggDataEmph 3 6" xfId="162"/>
    <cellStyle name="Accent1 - 20%" xfId="163"/>
    <cellStyle name="0.00%" xfId="164"/>
    <cellStyle name="SAPBEXexcCritical4 2 3" xfId="165"/>
    <cellStyle name="Comma 2 2 5 2" xfId="166"/>
    <cellStyle name="00" xfId="167"/>
    <cellStyle name="Comma [0] 2 2 2 2 3" xfId="168"/>
    <cellStyle name="Accent2 2" xfId="169"/>
    <cellStyle name="00 2" xfId="170"/>
    <cellStyle name="Comma 2 2 3 6" xfId="171"/>
    <cellStyle name="常规 9 2" xfId="172"/>
    <cellStyle name="Comma 3 4 3" xfId="173"/>
    <cellStyle name="Comma [0] 2 2 2 2 2" xfId="174"/>
    <cellStyle name="Comma 31 4 2" xfId="175"/>
    <cellStyle name="Comma 26 4 2" xfId="176"/>
    <cellStyle name="Accent1 - 40%" xfId="177"/>
    <cellStyle name="Comma 4 4 2" xfId="178"/>
    <cellStyle name="Normal 4 3 3" xfId="179"/>
    <cellStyle name="cellStyleNum 2 8" xfId="180"/>
    <cellStyle name="evenStyle" xfId="181"/>
    <cellStyle name="Accent1 - 60%" xfId="182"/>
    <cellStyle name="常规 3 2 3" xfId="183"/>
    <cellStyle name="Accent2 - 20%" xfId="184"/>
    <cellStyle name="SAPBEXresItem 3 5" xfId="185"/>
    <cellStyle name="SAPBEXstdItem 3" xfId="186"/>
    <cellStyle name="Accent2 2 2" xfId="187"/>
    <cellStyle name="통화_BOILER-CO1" xfId="188"/>
    <cellStyle name="comma zerodec" xfId="189"/>
    <cellStyle name="cellStylePer 9" xfId="190"/>
    <cellStyle name="Comma 2 2 5 3" xfId="191"/>
    <cellStyle name="好_50-营业成本（空白模板）" xfId="192"/>
    <cellStyle name="dateStyle 2" xfId="193"/>
    <cellStyle name="Comma 8 2 2" xfId="194"/>
    <cellStyle name="Comma [0] 2 2 2 2 4" xfId="195"/>
    <cellStyle name="Comma  - Style2" xfId="196"/>
    <cellStyle name="Accent3 - 20%" xfId="197"/>
    <cellStyle name="Accent5 2" xfId="198"/>
    <cellStyle name="SAPBEXexcCritical4 2 7" xfId="199"/>
    <cellStyle name="Accent3 - 40%" xfId="200"/>
    <cellStyle name="Accent3 - 60%" xfId="201"/>
    <cellStyle name="Comma 2 2 2 2 4" xfId="202"/>
    <cellStyle name="SAPBEXexcBad7 2 2 8" xfId="203"/>
    <cellStyle name="SAPBEXformats 3 3" xfId="204"/>
    <cellStyle name="Comma 13" xfId="205"/>
    <cellStyle name="Accent3 2" xfId="206"/>
    <cellStyle name="Comma 2 2 4 6" xfId="207"/>
    <cellStyle name="好_货币资金 岳华" xfId="208"/>
    <cellStyle name="dateStyle 3" xfId="209"/>
    <cellStyle name="Comma [0] 2 2 2 2 5" xfId="210"/>
    <cellStyle name="Comma 36 2 2" xfId="211"/>
    <cellStyle name="Comma [0] 2 5 2" xfId="212"/>
    <cellStyle name="Comma 4 5" xfId="213"/>
    <cellStyle name="SAPBEXexcGood2 2 2" xfId="214"/>
    <cellStyle name="Accent4 - 20%" xfId="215"/>
    <cellStyle name="差_ZA0货币资金审定表 " xfId="216"/>
    <cellStyle name="Normal 121 2 2 3" xfId="217"/>
    <cellStyle name="Comma 6 5" xfId="218"/>
    <cellStyle name="SAPBEXaggItem 7" xfId="219"/>
    <cellStyle name="Comma [0] 2 7 2" xfId="220"/>
    <cellStyle name="Accent4 - 40%" xfId="221"/>
    <cellStyle name="SAPBEXresDataEmph 3 8" xfId="222"/>
    <cellStyle name="SAPBEXHLevel0 3 6" xfId="223"/>
    <cellStyle name="Normal 12 2" xfId="224"/>
    <cellStyle name="Accent4 - 60%" xfId="225"/>
    <cellStyle name="Comma 8 5" xfId="226"/>
    <cellStyle name="Comma 2 3 2 2 4" xfId="227"/>
    <cellStyle name="SAPBEXHLevel0X 2 2 3" xfId="228"/>
    <cellStyle name="SAPBEXexcBad8 2 2 8" xfId="229"/>
    <cellStyle name="Check Cell 2 2" xfId="230"/>
    <cellStyle name="Accent4 2" xfId="231"/>
    <cellStyle name="dateStyle" xfId="232"/>
    <cellStyle name="SAPBEXaggDataEmph 10" xfId="233"/>
    <cellStyle name="Comma 8 2" xfId="234"/>
    <cellStyle name="SAPBEXaggData 2 2 7" xfId="235"/>
    <cellStyle name="Accent5 - 20%" xfId="236"/>
    <cellStyle name="SAPBEXstdDataEmph 5" xfId="237"/>
    <cellStyle name="cellStyleNum 2 3 5" xfId="238"/>
    <cellStyle name="SAPBEXaggDataEmph 5" xfId="239"/>
    <cellStyle name="cellStyleNum 2" xfId="240"/>
    <cellStyle name="SAPBEXexcGood1 8" xfId="241"/>
    <cellStyle name="entry box 2" xfId="242"/>
    <cellStyle name="Accent5 - 40%" xfId="243"/>
    <cellStyle name="Comma 23 3 2" xfId="244"/>
    <cellStyle name="Comma 18 3 2" xfId="245"/>
    <cellStyle name="SAPBEXHLevel3 2 7" xfId="246"/>
    <cellStyle name="SAPBEXexcBad9 2 2 8" xfId="247"/>
    <cellStyle name="Accent5 - 60%" xfId="248"/>
    <cellStyle name="Comma [0] 2 2 4 3" xfId="249"/>
    <cellStyle name="SAPBEXfilterDrill" xfId="250"/>
    <cellStyle name="Comma 6 3 2" xfId="251"/>
    <cellStyle name="Comma [0] 2 2 2 5" xfId="252"/>
    <cellStyle name="SAPBEXexcCritical4 2" xfId="253"/>
    <cellStyle name="Accent6 - 20%" xfId="254"/>
    <cellStyle name="SAPBEXexcCritical6 2" xfId="255"/>
    <cellStyle name="Accent6 - 40%" xfId="256"/>
    <cellStyle name="Accent6 - 60%" xfId="257"/>
    <cellStyle name="SAPBEXexcBad8 3 3" xfId="258"/>
    <cellStyle name="SAPBEXexcGood3 2 7" xfId="259"/>
    <cellStyle name="SAPBEXaggData 3 2" xfId="260"/>
    <cellStyle name="SAPBEXresItemX 2 2 5" xfId="261"/>
    <cellStyle name="SAPBEXstdData 9" xfId="262"/>
    <cellStyle name="cellStyleNum 2 2 4" xfId="263"/>
    <cellStyle name="SAPBEXexcCritical5 2 2 2" xfId="264"/>
    <cellStyle name="Bad 2" xfId="265"/>
    <cellStyle name="SAPBEXresItemX 2 2 6" xfId="266"/>
    <cellStyle name="cellStyleNum 2 2 5" xfId="267"/>
    <cellStyle name="SAPBEXexcCritical5 2 2 3" xfId="268"/>
    <cellStyle name="Bad 3" xfId="269"/>
    <cellStyle name="SAPBEXstdItemX 6" xfId="270"/>
    <cellStyle name="Calc Currency (0)" xfId="271"/>
    <cellStyle name="Calc Currency (2)" xfId="272"/>
    <cellStyle name="Comma 2 2 3 3 2" xfId="273"/>
    <cellStyle name="SAPBEXaggItem 3 5" xfId="274"/>
    <cellStyle name="Normal 121" xfId="275"/>
    <cellStyle name="Calc Percent (0)" xfId="276"/>
    <cellStyle name="F5" xfId="277"/>
    <cellStyle name="Calc Percent (2)" xfId="278"/>
    <cellStyle name="Normal 124 2 2" xfId="279"/>
    <cellStyle name="Calc Units (1)" xfId="280"/>
    <cellStyle name="SAPBEXresItemX 4" xfId="281"/>
    <cellStyle name="Comma 9 2" xfId="282"/>
    <cellStyle name="Comma 3 4 2 2" xfId="283"/>
    <cellStyle name="Calc Units (2)" xfId="284"/>
    <cellStyle name="SAPBEXresItemX 9" xfId="285"/>
    <cellStyle name="SAPBEXexcBad7 10" xfId="286"/>
    <cellStyle name="Comma  - Style3" xfId="287"/>
    <cellStyle name="SAPBEXaggDataEmph 2 2" xfId="288"/>
    <cellStyle name="Header2 7" xfId="289"/>
    <cellStyle name="category" xfId="290"/>
    <cellStyle name="SAPBEXHLevel2 2 3" xfId="291"/>
    <cellStyle name="SAPBEXstdDataEmph 2 2" xfId="292"/>
    <cellStyle name="SAPBEXexcCritical4 3 8" xfId="293"/>
    <cellStyle name="cellStyleNum 2 2" xfId="294"/>
    <cellStyle name="SAPBEXresItemX 2 2 3" xfId="295"/>
    <cellStyle name="SAPBEXstdData 7" xfId="296"/>
    <cellStyle name="cellStyleNum 2 2 2" xfId="297"/>
    <cellStyle name="SAPBEXHLevel1 2 3" xfId="298"/>
    <cellStyle name="Hyperlink 7" xfId="299"/>
    <cellStyle name="cellStyleNum 2 2 2 2" xfId="300"/>
    <cellStyle name="cellStyleNum 2 2 2 3" xfId="301"/>
    <cellStyle name="cellStyleNum 2 2 2 4" xfId="302"/>
    <cellStyle name="cellStyleNum 2 2 2 5" xfId="303"/>
    <cellStyle name="Comma 36 2" xfId="304"/>
    <cellStyle name="cellStyleNum 2 2 2 6" xfId="305"/>
    <cellStyle name="Comma 16 3 2" xfId="306"/>
    <cellStyle name="Comma 21 3 2" xfId="307"/>
    <cellStyle name="SAPBEXexcGood3 3 3" xfId="308"/>
    <cellStyle name="SAPBEXHLevel1 2 7" xfId="309"/>
    <cellStyle name="cellStyleNum 2 2 2 7" xfId="310"/>
    <cellStyle name="Comma 16 3 3" xfId="311"/>
    <cellStyle name="SAPBEXexcGood3 3 4" xfId="312"/>
    <cellStyle name="SAPBEXHLevel1 2 8" xfId="313"/>
    <cellStyle name="SAPBEXresItemX 2 2 4" xfId="314"/>
    <cellStyle name="SAPBEXstdData 8" xfId="315"/>
    <cellStyle name="cellStyleNum 2 2 3" xfId="316"/>
    <cellStyle name="Normal 125 2" xfId="317"/>
    <cellStyle name="SAPBEXresData 8" xfId="318"/>
    <cellStyle name="Comma [0] 2 4 2 2" xfId="319"/>
    <cellStyle name="SAPBEXresItemX 2 2 7" xfId="320"/>
    <cellStyle name="Comma 3 5 2" xfId="321"/>
    <cellStyle name="cellStyleNum 2 2 6" xfId="322"/>
    <cellStyle name="SAPBEXHLevel3X 10" xfId="323"/>
    <cellStyle name="Normal 125 3" xfId="324"/>
    <cellStyle name="SAPBEXresData 9" xfId="325"/>
    <cellStyle name="Normal 111 2 2" xfId="326"/>
    <cellStyle name="Comma [0] 2 2 2 3 2" xfId="327"/>
    <cellStyle name="SAPBEXresItemX 2 2 8" xfId="328"/>
    <cellStyle name="cellStyleNum 2 2 7" xfId="329"/>
    <cellStyle name="SAPBEXHLevel3X 11" xfId="330"/>
    <cellStyle name="SAPBEXexcCritical5 2 2 6" xfId="331"/>
    <cellStyle name="Comma 2 2 6 2" xfId="332"/>
    <cellStyle name="Header2 2" xfId="333"/>
    <cellStyle name="Normal 111 2 3" xfId="334"/>
    <cellStyle name="cellStyleNum 2 2 8" xfId="335"/>
    <cellStyle name="SAPBEXHLevel0X 3 4" xfId="336"/>
    <cellStyle name="Comma 2 3 4 2 2" xfId="337"/>
    <cellStyle name="SAPBEXstdDataEmph" xfId="338"/>
    <cellStyle name="Enter Currency (0)" xfId="339"/>
    <cellStyle name="cellStyleNum 2 3" xfId="340"/>
    <cellStyle name="cellStyleNum 2 3 2" xfId="341"/>
    <cellStyle name="Comma 23 3 2 2" xfId="342"/>
    <cellStyle name="cellStyleNum 2 3 3" xfId="343"/>
    <cellStyle name="Comma 18 3 2 2" xfId="344"/>
    <cellStyle name="cellStyleNum 2 3 4" xfId="345"/>
    <cellStyle name="Normal 126 2" xfId="346"/>
    <cellStyle name="SAPBEXstdDataEmph 6" xfId="347"/>
    <cellStyle name="SAPBEXHLevel1X" xfId="348"/>
    <cellStyle name="Comma [0] 2 4 3 2" xfId="349"/>
    <cellStyle name="Comma 3 6 2" xfId="350"/>
    <cellStyle name="cellStyleNum 2 3 6" xfId="351"/>
    <cellStyle name="SAPBEXaggDataEmph 6" xfId="352"/>
    <cellStyle name="cellStyleNum 3" xfId="353"/>
    <cellStyle name="SAPBEXaggDataEmph 7" xfId="354"/>
    <cellStyle name="cellStyleNum 4" xfId="355"/>
    <cellStyle name="Normal 126 3" xfId="356"/>
    <cellStyle name="SAPBEXstdDataEmph 7" xfId="357"/>
    <cellStyle name="Comma,0" xfId="358"/>
    <cellStyle name="cellStyleNum 2 3 7" xfId="359"/>
    <cellStyle name="Comma 13 2" xfId="360"/>
    <cellStyle name="SAPBEXformats 2 6" xfId="361"/>
    <cellStyle name="cellStyleNum 2 4" xfId="362"/>
    <cellStyle name="Comma 13 3" xfId="363"/>
    <cellStyle name="SAPBEXformats 2 7" xfId="364"/>
    <cellStyle name="Normal 2 10 2 2" xfId="365"/>
    <cellStyle name="cellStyleNum 2 5" xfId="366"/>
    <cellStyle name="Comma 13 4" xfId="367"/>
    <cellStyle name="SAPBEXformats 2 8" xfId="368"/>
    <cellStyle name="cellStyleNum 2 6" xfId="369"/>
    <cellStyle name="Normal 4 3 2" xfId="370"/>
    <cellStyle name="Date_capinves" xfId="371"/>
    <cellStyle name="cellStyleNum 2 7" xfId="372"/>
    <cellStyle name="dataStyle 3 2" xfId="373"/>
    <cellStyle name="Comma [0] 2 2 3 2 2" xfId="374"/>
    <cellStyle name="cellStyleNum 2 9" xfId="375"/>
    <cellStyle name="cellStyleNum 3 2" xfId="376"/>
    <cellStyle name="Comma 2 2 2 2 5" xfId="377"/>
    <cellStyle name="Normal 32" xfId="378"/>
    <cellStyle name="Comma 14" xfId="379"/>
    <cellStyle name="SAPBEXHLevel1X 2" xfId="380"/>
    <cellStyle name="Normal 126 2 2" xfId="381"/>
    <cellStyle name="SAPBEXformats 3 4" xfId="382"/>
    <cellStyle name="Comma 15" xfId="383"/>
    <cellStyle name="Comma 20" xfId="384"/>
    <cellStyle name="SAPBEXHLevel1X 3" xfId="385"/>
    <cellStyle name="Enter Units (1)" xfId="386"/>
    <cellStyle name="SAPBEXformats 3 5" xfId="387"/>
    <cellStyle name="cellStyleNum 3 3" xfId="388"/>
    <cellStyle name="Comma 16" xfId="389"/>
    <cellStyle name="Comma 21" xfId="390"/>
    <cellStyle name="SAPBEXHLevel1X 4" xfId="391"/>
    <cellStyle name="Comma 14 2" xfId="392"/>
    <cellStyle name="SAPBEXformats 3 6" xfId="393"/>
    <cellStyle name="SAPBEXHLevel1X 2 2" xfId="394"/>
    <cellStyle name="cellStyleNum 3 4" xfId="395"/>
    <cellStyle name="Comma 17" xfId="396"/>
    <cellStyle name="Comma 22" xfId="397"/>
    <cellStyle name="SAPBEXHLevel1X 5" xfId="398"/>
    <cellStyle name="Comma 14 3" xfId="399"/>
    <cellStyle name="SAPBEXformats 3 7" xfId="400"/>
    <cellStyle name="SAPBEXHLevel1X 2 3" xfId="401"/>
    <cellStyle name="cellStyleNum 3 5" xfId="402"/>
    <cellStyle name="Comma 23" xfId="403"/>
    <cellStyle name="Comma 18" xfId="404"/>
    <cellStyle name="SAPBEXHLevel1X 6" xfId="405"/>
    <cellStyle name="Comma 14 4" xfId="406"/>
    <cellStyle name="SAPBEXformats 3 8" xfId="407"/>
    <cellStyle name="SAPBEXHLevel1X 2 4" xfId="408"/>
    <cellStyle name="cellStyleNum 3 6" xfId="409"/>
    <cellStyle name="Comma 24" xfId="410"/>
    <cellStyle name="Comma 19" xfId="411"/>
    <cellStyle name="SAPBEXHLevel1X 7" xfId="412"/>
    <cellStyle name="SAPBEXHLevel1X 2 5" xfId="413"/>
    <cellStyle name="cellStyleNum 3 7" xfId="414"/>
    <cellStyle name="SAPBEXaggDataEmph 8" xfId="415"/>
    <cellStyle name="差_55-资产减值损失（空白模板）" xfId="416"/>
    <cellStyle name="cellStyleNum 5" xfId="417"/>
    <cellStyle name="cellStylePer 2 2 2" xfId="418"/>
    <cellStyle name="SAPBEXaggDataEmph 9" xfId="419"/>
    <cellStyle name="cellStyleNum 6" xfId="420"/>
    <cellStyle name="cellStylePer 2 2 3" xfId="421"/>
    <cellStyle name="cellStyleNum 7" xfId="422"/>
    <cellStyle name="cellStylePer 2 2 4" xfId="423"/>
    <cellStyle name="Comma 16 3 3 2" xfId="424"/>
    <cellStyle name="资产 2" xfId="425"/>
    <cellStyle name="cellStyleNum 8" xfId="426"/>
    <cellStyle name="cellStylePer 2 2 5" xfId="427"/>
    <cellStyle name="SAPBEXstdItemX 2 5" xfId="428"/>
    <cellStyle name="cellStylePer" xfId="429"/>
    <cellStyle name="cellStylePer 2" xfId="430"/>
    <cellStyle name="Comma 3 3 4 2" xfId="431"/>
    <cellStyle name="cellStylePer 2 3" xfId="432"/>
    <cellStyle name="Comma 2 2 8" xfId="433"/>
    <cellStyle name="Comma 2 11" xfId="434"/>
    <cellStyle name="Comma 2 2 4 2 2" xfId="435"/>
    <cellStyle name="Comma 2 13" xfId="436"/>
    <cellStyle name="Normal 10 10" xfId="437"/>
    <cellStyle name="Comma 11 2 2" xfId="438"/>
    <cellStyle name="cellStylePer 2 5" xfId="439"/>
    <cellStyle name="cellStylePer 2 6" xfId="440"/>
    <cellStyle name="cellStylePer 2 7" xfId="441"/>
    <cellStyle name="Comma 33 2" xfId="442"/>
    <cellStyle name="Comma 28 2" xfId="443"/>
    <cellStyle name="cellStylePer 2 8" xfId="444"/>
    <cellStyle name="Comma 28 3" xfId="445"/>
    <cellStyle name="Normal 2 5 3" xfId="446"/>
    <cellStyle name="Comma 2 6 2" xfId="447"/>
    <cellStyle name="Comma [0] 2 3 3 2" xfId="448"/>
    <cellStyle name="cellStylePer 3" xfId="449"/>
    <cellStyle name="cellStylePer 3 2" xfId="450"/>
    <cellStyle name="Comma 2 3 7" xfId="451"/>
    <cellStyle name="SAPBEXaggItemX 2 2 8" xfId="452"/>
    <cellStyle name="Input [yellow] 5" xfId="453"/>
    <cellStyle name="Comma [0] 2 3 3 2 2" xfId="454"/>
    <cellStyle name="cellStylePer 3 3" xfId="455"/>
    <cellStyle name="Comma 2 3 8" xfId="456"/>
    <cellStyle name="Currency,0" xfId="457"/>
    <cellStyle name="cellStylePer 3 4" xfId="458"/>
    <cellStyle name="cellStylePer 3 5" xfId="459"/>
    <cellStyle name="SAPBEXHLevel3X 2" xfId="460"/>
    <cellStyle name="Comma 11 3 2" xfId="461"/>
    <cellStyle name="Currency,2" xfId="462"/>
    <cellStyle name="cellStylePer 3 6" xfId="463"/>
    <cellStyle name="SAPBEXHLevel3X 3" xfId="464"/>
    <cellStyle name="cellStylePer 3 7" xfId="465"/>
    <cellStyle name="SAPBEXHLevel3X 4" xfId="466"/>
    <cellStyle name="Comma 34 2" xfId="467"/>
    <cellStyle name="Comma 29 2" xfId="468"/>
    <cellStyle name="Comma [0] 2 3 3 3" xfId="469"/>
    <cellStyle name="cellStylePer 4" xfId="470"/>
    <cellStyle name="cellStylePer 5" xfId="471"/>
    <cellStyle name="cellStylePer 6" xfId="472"/>
    <cellStyle name="cellStylePer 7" xfId="473"/>
    <cellStyle name="表标题" xfId="474"/>
    <cellStyle name="Comma 16 2 3 2" xfId="475"/>
    <cellStyle name="Check Cell 2" xfId="476"/>
    <cellStyle name="Check Cell 2 3" xfId="477"/>
    <cellStyle name="Comma 24 2 2" xfId="478"/>
    <cellStyle name="Comma 19 2 2" xfId="479"/>
    <cellStyle name="Col Heads" xfId="480"/>
    <cellStyle name="千位_1995" xfId="481"/>
    <cellStyle name="Normal 103 2" xfId="482"/>
    <cellStyle name="Comma  - Style1" xfId="483"/>
    <cellStyle name="Header2 8" xfId="484"/>
    <cellStyle name="SAPBEXHLevel2 2 4" xfId="485"/>
    <cellStyle name="SAPBEXstdDataEmph 2 3" xfId="486"/>
    <cellStyle name="Comma 12 5 2" xfId="487"/>
    <cellStyle name="SAPBEXHLevel3 5" xfId="488"/>
    <cellStyle name="SAPBEXexcBad7 11" xfId="489"/>
    <cellStyle name="Comma  - Style4" xfId="490"/>
    <cellStyle name="SAPBEXaggDataEmph 2 3" xfId="491"/>
    <cellStyle name="Comma 10 2" xfId="492"/>
    <cellStyle name="SAPBEXHLevel2 2 5" xfId="493"/>
    <cellStyle name="SAPBEXstdDataEmph 2 4" xfId="494"/>
    <cellStyle name="Normal 2 3 2 2 2" xfId="495"/>
    <cellStyle name="Comma  - Style5" xfId="496"/>
    <cellStyle name="SAPBEXaggDataEmph 2 4" xfId="497"/>
    <cellStyle name="Comma 10 3" xfId="498"/>
    <cellStyle name="SAPBEXHLevel2 2 6" xfId="499"/>
    <cellStyle name="SAPBEXstdDataEmph 2 5" xfId="500"/>
    <cellStyle name="Normal 2 3 2 2 3" xfId="501"/>
    <cellStyle name="Comma  - Style6" xfId="502"/>
    <cellStyle name="SAPBEXaggDataEmph 2 5" xfId="503"/>
    <cellStyle name="Comma 10 4" xfId="504"/>
    <cellStyle name="Comma 17 3 2" xfId="505"/>
    <cellStyle name="Comma 22 3 2" xfId="506"/>
    <cellStyle name="SAPBEXHLevel2 2 7" xfId="507"/>
    <cellStyle name="SAPBEXstdDataEmph 2 6" xfId="508"/>
    <cellStyle name="Normal 2 9 2" xfId="509"/>
    <cellStyle name="Comma  - Style7" xfId="510"/>
    <cellStyle name="SAPBEXaggDataEmph 2 6" xfId="511"/>
    <cellStyle name="Comma  - Style8" xfId="512"/>
    <cellStyle name="SAPBEXaggDataEmph 2 7" xfId="513"/>
    <cellStyle name="好_大信底稿目录" xfId="514"/>
    <cellStyle name="Comma [0] 2" xfId="515"/>
    <cellStyle name="Comma 2 3 5" xfId="516"/>
    <cellStyle name="SAPBEXaggItemX 2 2 6" xfId="517"/>
    <cellStyle name="Comma [0] 2 2" xfId="518"/>
    <cellStyle name="Comma 2 3 5 2" xfId="519"/>
    <cellStyle name="Comma [0] 2 2 2" xfId="520"/>
    <cellStyle name="Comma 2 3 5 2 2" xfId="521"/>
    <cellStyle name="SAPBEXHLevel1X 10" xfId="522"/>
    <cellStyle name="Comma [0] 2 2 2 2" xfId="523"/>
    <cellStyle name="SAPBEXaggData 2 7" xfId="524"/>
    <cellStyle name="Comma [0] 2 2 2 2 2 3" xfId="525"/>
    <cellStyle name="Comma 2 3 2 4 2" xfId="526"/>
    <cellStyle name="Comma 2 2 2 7" xfId="527"/>
    <cellStyle name="SAPBEXstdData 2 8" xfId="528"/>
    <cellStyle name="Comma 24 3 2 2" xfId="529"/>
    <cellStyle name="Comma 19 3 2 2" xfId="530"/>
    <cellStyle name="Percent 3 2" xfId="531"/>
    <cellStyle name="SAPBEXHLevel1X 11" xfId="532"/>
    <cellStyle name="Normal 111 2" xfId="533"/>
    <cellStyle name="Normal 106 2" xfId="534"/>
    <cellStyle name="Date Short" xfId="535"/>
    <cellStyle name="Comma [0] 2 2 2 3" xfId="536"/>
    <cellStyle name="SAPBEXaggData 2 8" xfId="537"/>
    <cellStyle name="Comma [0] 2 2 2 4" xfId="538"/>
    <cellStyle name="SAPBEXaggData 2 9" xfId="539"/>
    <cellStyle name="Comma [0] 2 2 3" xfId="540"/>
    <cellStyle name="好_货币资金 天职" xfId="541"/>
    <cellStyle name="dataStyle 3" xfId="542"/>
    <cellStyle name="Comma [0] 2 2 3 2" xfId="543"/>
    <cellStyle name="SAPBEXaggData 3 7" xfId="544"/>
    <cellStyle name="dataStyle 4" xfId="545"/>
    <cellStyle name="Comma [0] 2 2 3 3" xfId="546"/>
    <cellStyle name="SAPBEXaggData 3 8" xfId="547"/>
    <cellStyle name="Comma [0] 2 2 4" xfId="548"/>
    <cellStyle name="Comma [0] 2 2 4 2" xfId="549"/>
    <cellStyle name="Comma [0] 2 2 4 2 2" xfId="550"/>
    <cellStyle name="Comma [0] 2 2 5" xfId="551"/>
    <cellStyle name="Comma [0] 2 2 5 2" xfId="552"/>
    <cellStyle name="Comma [0] 2 2 6" xfId="553"/>
    <cellStyle name="Comma [0] 2 3" xfId="554"/>
    <cellStyle name="Comma 2 3 5 3" xfId="555"/>
    <cellStyle name="Comma 2 5" xfId="556"/>
    <cellStyle name="Comma [0] 2 3 2" xfId="557"/>
    <cellStyle name="Comma 10 2 4" xfId="558"/>
    <cellStyle name="Comma 2 2 3_1" xfId="559"/>
    <cellStyle name="好_19-无形资产（空白模板）" xfId="560"/>
    <cellStyle name="SAPBEXstdItem 3 4" xfId="561"/>
    <cellStyle name="Comma [0] 2 3 2 2 2" xfId="562"/>
    <cellStyle name="Comma 2 6" xfId="563"/>
    <cellStyle name="Comma [0] 2 3 3" xfId="564"/>
    <cellStyle name="Comma 10 2 5" xfId="565"/>
    <cellStyle name="Comma 2 7" xfId="566"/>
    <cellStyle name="Comma [0] 2 3 4" xfId="567"/>
    <cellStyle name="Comma 2 7 2" xfId="568"/>
    <cellStyle name="Comma [0] 2 3 4 2" xfId="569"/>
    <cellStyle name="SAPBEXstdItem 2 2 2" xfId="570"/>
    <cellStyle name="Comma 2 8" xfId="571"/>
    <cellStyle name="Comma [0] 2 3 5" xfId="572"/>
    <cellStyle name="Comma [0] 2 4" xfId="573"/>
    <cellStyle name="Normal 125 2 2" xfId="574"/>
    <cellStyle name="Comma [0] 2 4 2 2 2" xfId="575"/>
    <cellStyle name="SAPBEXaggData 5" xfId="576"/>
    <cellStyle name="Comma 3 5 2 2" xfId="577"/>
    <cellStyle name="Comma [0] 2 5" xfId="578"/>
    <cellStyle name="Comma [0] 2 5 2 2" xfId="579"/>
    <cellStyle name="Comma [0] 2 5 3" xfId="580"/>
    <cellStyle name="Comma 15 2 2" xfId="581"/>
    <cellStyle name="Comma 20 2 2" xfId="582"/>
    <cellStyle name="SAPBEXexcGood2 2 3" xfId="583"/>
    <cellStyle name="Comma 16 3 2 2 2" xfId="584"/>
    <cellStyle name="Comma [0] 2 6" xfId="585"/>
    <cellStyle name="Comma [0] 2 6 2" xfId="586"/>
    <cellStyle name="Comma 5 5" xfId="587"/>
    <cellStyle name="Comma [0] 2 6 2 2" xfId="588"/>
    <cellStyle name="Comma 5 5 2" xfId="589"/>
    <cellStyle name="SAPBEXexcGood2 4" xfId="590"/>
    <cellStyle name="Normal 10" xfId="591"/>
    <cellStyle name="SAPBEXaggItemX 10" xfId="592"/>
    <cellStyle name="Comma [0] 2 7" xfId="593"/>
    <cellStyle name="SAPBEXHLevel1X 2 8" xfId="594"/>
    <cellStyle name="Comma 32" xfId="595"/>
    <cellStyle name="Comma 27" xfId="596"/>
    <cellStyle name="Comma [0] 3 2" xfId="597"/>
    <cellStyle name="Comma 2 3 6 2" xfId="598"/>
    <cellStyle name="entry box 2 3" xfId="599"/>
    <cellStyle name="Comma 32 2" xfId="600"/>
    <cellStyle name="Comma 27 2" xfId="601"/>
    <cellStyle name="Comma [0] 3 2 2" xfId="602"/>
    <cellStyle name="SAPBEXstdData 3 5" xfId="603"/>
    <cellStyle name="SAPBEXexcGood2 2 2 5" xfId="604"/>
    <cellStyle name="超链接 3" xfId="605"/>
    <cellStyle name="dataStyle 4 4" xfId="606"/>
    <cellStyle name="Comma 9 3 2" xfId="607"/>
    <cellStyle name="Comma 2 3 2 3 2 2" xfId="608"/>
    <cellStyle name="SAPBEXHLevel1X 2 9" xfId="609"/>
    <cellStyle name="Comma 33" xfId="610"/>
    <cellStyle name="Comma 28" xfId="611"/>
    <cellStyle name="Comma [0] 3 3" xfId="612"/>
    <cellStyle name="Comma 24 4 2" xfId="613"/>
    <cellStyle name="Comma [00]" xfId="614"/>
    <cellStyle name="Comma 19 4 2" xfId="615"/>
    <cellStyle name="SAPBEXexcBad7 8" xfId="616"/>
    <cellStyle name="Prefilled 2" xfId="617"/>
    <cellStyle name="Comma 2 3" xfId="618"/>
    <cellStyle name="SAPBEXaggData 11" xfId="619"/>
    <cellStyle name="Comma 10 2 2" xfId="620"/>
    <cellStyle name="Comma 2 2 3 2 4" xfId="621"/>
    <cellStyle name="Normal 2 2 3" xfId="622"/>
    <cellStyle name="Comma 2 3 2" xfId="623"/>
    <cellStyle name="SAPBEXaggItemX 2 2 3" xfId="624"/>
    <cellStyle name="Comma 10 2 2 2" xfId="625"/>
    <cellStyle name="Comma 2 4" xfId="626"/>
    <cellStyle name="Comma 10 2 3" xfId="627"/>
    <cellStyle name="SAPBEXaggItem 3 7" xfId="628"/>
    <cellStyle name="Normal 118" xfId="629"/>
    <cellStyle name="差_2-交易性金融资产（空白模板）" xfId="630"/>
    <cellStyle name="Comma 10 3 2" xfId="631"/>
    <cellStyle name="Comma 3 3" xfId="632"/>
    <cellStyle name="Comma 10 4 2" xfId="633"/>
    <cellStyle name="Comma 17 3 2 2" xfId="634"/>
    <cellStyle name="Comma 22 3 2 2" xfId="635"/>
    <cellStyle name="Valuta_pldt" xfId="636"/>
    <cellStyle name="Comma 4 3" xfId="637"/>
    <cellStyle name="Normal 2 3 2 3" xfId="638"/>
    <cellStyle name="Comma 2 2 2 2 2" xfId="639"/>
    <cellStyle name="Hyperlink 2 2 5" xfId="640"/>
    <cellStyle name="SAPBEXexcBad7 2 2 6" xfId="641"/>
    <cellStyle name="Comma 11" xfId="642"/>
    <cellStyle name="Hyperlink 2 2 3" xfId="643"/>
    <cellStyle name="Normal 10 10 2" xfId="644"/>
    <cellStyle name="Comma 11 2 2 2" xfId="645"/>
    <cellStyle name="SAPBEXHLevel3X 2 2" xfId="646"/>
    <cellStyle name="Comma 11 3 2 2" xfId="647"/>
    <cellStyle name="Normal 8" xfId="648"/>
    <cellStyle name="SAPBEXaggItemX 8" xfId="649"/>
    <cellStyle name="Comma 11 4 2" xfId="650"/>
    <cellStyle name="Normal 2 3 2 4" xfId="651"/>
    <cellStyle name="Comma 2 2 2 2 3" xfId="652"/>
    <cellStyle name="SAPBEXexcBad7 2 2 7" xfId="653"/>
    <cellStyle name="SAPBEXformats 3 2" xfId="654"/>
    <cellStyle name="Comma 12" xfId="655"/>
    <cellStyle name="Comma 12 2" xfId="656"/>
    <cellStyle name="dateStyle 2 4" xfId="657"/>
    <cellStyle name="Comma 12 3 2" xfId="658"/>
    <cellStyle name="SAPBEXHLevel1 5" xfId="659"/>
    <cellStyle name="Comma 12 4" xfId="660"/>
    <cellStyle name="dateStyle 7" xfId="661"/>
    <cellStyle name="Comma 12 4 2" xfId="662"/>
    <cellStyle name="SAPBEXHLevel2 5" xfId="663"/>
    <cellStyle name="Comma 12 4 2 2" xfId="664"/>
    <cellStyle name="SAPBEXformats 2 3" xfId="665"/>
    <cellStyle name="Comma 12 5" xfId="666"/>
    <cellStyle name="통화 [0]_BOILER-CO1" xfId="667"/>
    <cellStyle name="Comma 13 2 2" xfId="668"/>
    <cellStyle name="Header2 2 4" xfId="669"/>
    <cellStyle name="Comma 37" xfId="670"/>
    <cellStyle name="Comma 13 2 2 2" xfId="671"/>
    <cellStyle name="Comma 13 3 2" xfId="672"/>
    <cellStyle name="Comma 13 3 2 2" xfId="673"/>
    <cellStyle name="Comma 13 4 2" xfId="674"/>
    <cellStyle name="Comma 14 2 2" xfId="675"/>
    <cellStyle name="SAPBEXexcGood1 2 3" xfId="676"/>
    <cellStyle name="SAPBEXHLevel1X 2 2 2" xfId="677"/>
    <cellStyle name="Comma 16 2" xfId="678"/>
    <cellStyle name="Comma 21 2" xfId="679"/>
    <cellStyle name="Comma 16 2 2" xfId="680"/>
    <cellStyle name="Comma 21 2 2" xfId="681"/>
    <cellStyle name="SAPBEXexcGood3 2 3" xfId="682"/>
    <cellStyle name="SAPBEXresData 3 6" xfId="683"/>
    <cellStyle name="Comma 14 2 2 2" xfId="684"/>
    <cellStyle name="Comma 14 3 2" xfId="685"/>
    <cellStyle name="SAPBEXexcGood1 3 3" xfId="686"/>
    <cellStyle name="Comma 17 2" xfId="687"/>
    <cellStyle name="Comma 22 2" xfId="688"/>
    <cellStyle name="Comma 14 3 2 2" xfId="689"/>
    <cellStyle name="SAPBEXHLevel0X 6" xfId="690"/>
    <cellStyle name="Comma 17 2 2" xfId="691"/>
    <cellStyle name="Comma 22 2 2" xfId="692"/>
    <cellStyle name="Comma 23 2" xfId="693"/>
    <cellStyle name="Comma 18 2" xfId="694"/>
    <cellStyle name="Comma 14 4 2" xfId="695"/>
    <cellStyle name="headStyle 6" xfId="696"/>
    <cellStyle name="Comma 15 2" xfId="697"/>
    <cellStyle name="Comma 20 2" xfId="698"/>
    <cellStyle name="SAPBEXHLevel1X 3 2" xfId="699"/>
    <cellStyle name="Normal 2 24" xfId="700"/>
    <cellStyle name="Comma 15 2 2 2" xfId="701"/>
    <cellStyle name="Comma 20 2 2 2" xfId="702"/>
    <cellStyle name="headStyle 7" xfId="703"/>
    <cellStyle name="Comma 15 3" xfId="704"/>
    <cellStyle name="Comma 20 3" xfId="705"/>
    <cellStyle name="SAPBEXHLevel1X 3 3" xfId="706"/>
    <cellStyle name="Fixed" xfId="707"/>
    <cellStyle name="SAPBEXexcCritical5 10" xfId="708"/>
    <cellStyle name="SAPBEXresDataEmph 2 9" xfId="709"/>
    <cellStyle name="Comma 15 3 2" xfId="710"/>
    <cellStyle name="Comma 20 3 2" xfId="711"/>
    <cellStyle name="SAPBEXexcGood2 3 3" xfId="712"/>
    <cellStyle name="SAPBEXHLevel0 2 7" xfId="713"/>
    <cellStyle name="Comma 15 3 2 2" xfId="714"/>
    <cellStyle name="Comma 20 3 2 2" xfId="715"/>
    <cellStyle name="headStyle 8" xfId="716"/>
    <cellStyle name="Comma 15 4" xfId="717"/>
    <cellStyle name="Comma 20 4" xfId="718"/>
    <cellStyle name="SAPBEXHLevel1X 3 4" xfId="719"/>
    <cellStyle name="差_未分配利润" xfId="720"/>
    <cellStyle name="Comma 15 4 2" xfId="721"/>
    <cellStyle name="Comma 20 4 2" xfId="722"/>
    <cellStyle name="SAPBEXHLevel0 3 7" xfId="723"/>
    <cellStyle name="Comma 16 2 2 2 2" xfId="724"/>
    <cellStyle name="SAPBEXexcGood3 10" xfId="725"/>
    <cellStyle name="Comma 16 2 3" xfId="726"/>
    <cellStyle name="Percent [0]" xfId="727"/>
    <cellStyle name="SAPBEXexcGood3 2 4" xfId="728"/>
    <cellStyle name="SAPBEXresData 3 7" xfId="729"/>
    <cellStyle name="Comma 16 2 3 2 2" xfId="730"/>
    <cellStyle name="Comma 16 2 4" xfId="731"/>
    <cellStyle name="SAPBEXexcGood3 2 5" xfId="732"/>
    <cellStyle name="SAPBEXresData 3 8" xfId="733"/>
    <cellStyle name="Comma 16 2 4 2" xfId="734"/>
    <cellStyle name="SAPBEXexcGood1 2 4" xfId="735"/>
    <cellStyle name="SAPBEXHLevel1X 2 2 3" xfId="736"/>
    <cellStyle name="Comma 16 3" xfId="737"/>
    <cellStyle name="Comma 21 3" xfId="738"/>
    <cellStyle name="Comma 16 3 2 2" xfId="739"/>
    <cellStyle name="Comma 21 3 2 2" xfId="740"/>
    <cellStyle name="SAPBEXaggItemX 3 6" xfId="741"/>
    <cellStyle name="Comma 16 3 3 2 2" xfId="742"/>
    <cellStyle name="Comma 16 3 4" xfId="743"/>
    <cellStyle name="SAPBEXexcGood3 3 5" xfId="744"/>
    <cellStyle name="SAPBEXHLevel1 2 9" xfId="745"/>
    <cellStyle name="Comma 2 2 3 3 2 2" xfId="746"/>
    <cellStyle name="SAPBEXresItem 2 2 5" xfId="747"/>
    <cellStyle name="Comma 16 3 4 2" xfId="748"/>
    <cellStyle name="桁区切り [0.00]_１１月価格表" xfId="749"/>
    <cellStyle name="SAPBEXexcGood1 2 5" xfId="750"/>
    <cellStyle name="SAPBEXHLevel1X 2 2 4" xfId="751"/>
    <cellStyle name="Comma 16 4" xfId="752"/>
    <cellStyle name="Comma 21 4" xfId="753"/>
    <cellStyle name="Comma 16 4 2" xfId="754"/>
    <cellStyle name="Comma 21 4 2" xfId="755"/>
    <cellStyle name="SAPBEXHLevel1 3 7" xfId="756"/>
    <cellStyle name="Comma 34" xfId="757"/>
    <cellStyle name="Comma 29" xfId="758"/>
    <cellStyle name="Comma 16 4 2 2" xfId="759"/>
    <cellStyle name="SAPBEXstdItem 2 2 8" xfId="760"/>
    <cellStyle name="Comma 16 5 2 2" xfId="761"/>
    <cellStyle name="SAPBEXundefined 3 2" xfId="762"/>
    <cellStyle name="Comma 16 6" xfId="763"/>
    <cellStyle name="SAPBEXHLevel2 10" xfId="764"/>
    <cellStyle name="SAPBEXexcGood1 2 7" xfId="765"/>
    <cellStyle name="SAPBEXHLevel1X 2 2 6" xfId="766"/>
    <cellStyle name="Comma 16 6 2" xfId="767"/>
    <cellStyle name="Good 3" xfId="768"/>
    <cellStyle name="Comma 17 2 2 2" xfId="769"/>
    <cellStyle name="Comma 22 2 2 2" xfId="770"/>
    <cellStyle name="Comma 5 2 2 2" xfId="771"/>
    <cellStyle name="SAPBEXexcGood1 3 4" xfId="772"/>
    <cellStyle name="烹拳_1202" xfId="773"/>
    <cellStyle name="Comma 17 3" xfId="774"/>
    <cellStyle name="Comma 22 3" xfId="775"/>
    <cellStyle name="SAPBEXexcGood1 3 5" xfId="776"/>
    <cellStyle name="Comma 22 4" xfId="777"/>
    <cellStyle name="Comma 17 4" xfId="778"/>
    <cellStyle name="Comma 23 2 2" xfId="779"/>
    <cellStyle name="Comma 18 2 2" xfId="780"/>
    <cellStyle name="Comma 23 3" xfId="781"/>
    <cellStyle name="Comma 18 3" xfId="782"/>
    <cellStyle name="Comma 23 4" xfId="783"/>
    <cellStyle name="Comma 18 4" xfId="784"/>
    <cellStyle name="evenStyle 5" xfId="785"/>
    <cellStyle name="Comma 23 4 2" xfId="786"/>
    <cellStyle name="Comma 18 4 2" xfId="787"/>
    <cellStyle name="SAPBEXHLevel3 3 7" xfId="788"/>
    <cellStyle name="SAPBEXHLevel2X 4" xfId="789"/>
    <cellStyle name="Comma 24 2" xfId="790"/>
    <cellStyle name="Comma 19 2" xfId="791"/>
    <cellStyle name="headStyle 2 4" xfId="792"/>
    <cellStyle name="SAPBEXstdDataEmph 2 2 7" xfId="793"/>
    <cellStyle name="Comma 24 2 2 2" xfId="794"/>
    <cellStyle name="Comma 19 2 2 2" xfId="795"/>
    <cellStyle name="SAPBEXHLevel2X 5" xfId="796"/>
    <cellStyle name="Comma 24 3" xfId="797"/>
    <cellStyle name="Comma 19 3" xfId="798"/>
    <cellStyle name="Comma 24 3 2" xfId="799"/>
    <cellStyle name="Comma 19 3 2" xfId="800"/>
    <cellStyle name="Percent 3" xfId="801"/>
    <cellStyle name="样式 1" xfId="802"/>
    <cellStyle name="Prefilled" xfId="803"/>
    <cellStyle name="SAPBEXHLevel2X 6" xfId="804"/>
    <cellStyle name="Comma 24 4" xfId="805"/>
    <cellStyle name="Comma 19 4" xfId="806"/>
    <cellStyle name="Comma 2 2 3 2 3" xfId="807"/>
    <cellStyle name="Comma 2 2" xfId="808"/>
    <cellStyle name="SAPBEXaggData 10" xfId="809"/>
    <cellStyle name="Comma 2 2 10" xfId="810"/>
    <cellStyle name="Comma 2 2 2" xfId="811"/>
    <cellStyle name="SAPBEXexcGood3 3 7" xfId="812"/>
    <cellStyle name="Comma 2 2 2 2" xfId="813"/>
    <cellStyle name="SAPBEXexcGood3 3 8" xfId="814"/>
    <cellStyle name="Comma 2 2 2 3" xfId="815"/>
    <cellStyle name="Comma 2 2 2 3 2" xfId="816"/>
    <cellStyle name="Comma 2 4 2 3" xfId="817"/>
    <cellStyle name="Normal 2 10" xfId="818"/>
    <cellStyle name="Comma 2 2 2 3 3" xfId="819"/>
    <cellStyle name="Comma 2 4 2 4" xfId="820"/>
    <cellStyle name="Comma 2 2 2 5" xfId="821"/>
    <cellStyle name="Comma 2 2 2_1" xfId="822"/>
    <cellStyle name="Comma 2 2 3" xfId="823"/>
    <cellStyle name="Comma 2 2 3 2 2" xfId="824"/>
    <cellStyle name="Comma 2 2 3 2 2 2" xfId="825"/>
    <cellStyle name="千位分隔 2 4" xfId="826"/>
    <cellStyle name="Input [yellow]" xfId="827"/>
    <cellStyle name="Comma 2 2 3 2 2 2 2" xfId="828"/>
    <cellStyle name="Comma 2 2 3 2 2 3" xfId="829"/>
    <cellStyle name="千位分隔[0] 2 2 2" xfId="830"/>
    <cellStyle name="Comma 2 2 3 2 2_1" xfId="831"/>
    <cellStyle name="SAPBEXexcBad7 2 2 3" xfId="832"/>
    <cellStyle name="Comma 84 2 3" xfId="833"/>
    <cellStyle name="Comma 2 2 3 2_1" xfId="834"/>
    <cellStyle name="Comma 2 2 3 3" xfId="835"/>
    <cellStyle name="Comma 2 2 3 3 3" xfId="836"/>
    <cellStyle name="Header2 2 2" xfId="837"/>
    <cellStyle name="Comma 2 2 3 3_1" xfId="838"/>
    <cellStyle name="Normal 111 2 3 2" xfId="839"/>
    <cellStyle name="Comma 2 2 3 4" xfId="840"/>
    <cellStyle name="Comma 2 2 3 4 2" xfId="841"/>
    <cellStyle name="Prefilled 7" xfId="842"/>
    <cellStyle name="Comma 2 2 3 5" xfId="843"/>
    <cellStyle name="Comma 2 2 3 7" xfId="844"/>
    <cellStyle name="Comma 84 2 2 2" xfId="845"/>
    <cellStyle name="Comma 2 2 3 8" xfId="846"/>
    <cellStyle name="Comma 2 2 4" xfId="847"/>
    <cellStyle name="Comma 2 2 4 3" xfId="848"/>
    <cellStyle name="Comma 2 2 4 4" xfId="849"/>
    <cellStyle name="Comma 2 2 4 5" xfId="850"/>
    <cellStyle name="Comma 2 2 4_1" xfId="851"/>
    <cellStyle name="Comma 2 2 5" xfId="852"/>
    <cellStyle name="Comma 2 2 6" xfId="853"/>
    <cellStyle name="SAPBEXHLevel3 2 9" xfId="854"/>
    <cellStyle name="Comma 2 2_1" xfId="855"/>
    <cellStyle name="Normal 2 2 3 2" xfId="856"/>
    <cellStyle name="Comma 2 3 2 2" xfId="857"/>
    <cellStyle name="Heading2" xfId="858"/>
    <cellStyle name="Comma 8 3" xfId="859"/>
    <cellStyle name="Comma 2 3 2 2 2" xfId="860"/>
    <cellStyle name="SAPBEXaggData 2 2 8" xfId="861"/>
    <cellStyle name="Comma 8 3 2" xfId="862"/>
    <cellStyle name="Comma 2 3 2 2 2 2" xfId="863"/>
    <cellStyle name="Header2 3" xfId="864"/>
    <cellStyle name="Comma 8 4" xfId="865"/>
    <cellStyle name="Comma 2 3 2 2 3" xfId="866"/>
    <cellStyle name="SAPBEXHLevel0X 2 2 2" xfId="867"/>
    <cellStyle name="Comma 2 3 2 3" xfId="868"/>
    <cellStyle name="SAPBEXresItemX 5" xfId="869"/>
    <cellStyle name="Comma 9 3" xfId="870"/>
    <cellStyle name="Comma 2 3 2 3 2" xfId="871"/>
    <cellStyle name="SAPBEXresItemX 6" xfId="872"/>
    <cellStyle name="Comma 9 4" xfId="873"/>
    <cellStyle name="Comma 2 3 2 3 3" xfId="874"/>
    <cellStyle name="Comma 2 3 2 4" xfId="875"/>
    <cellStyle name="Comma 2 3 2 5" xfId="876"/>
    <cellStyle name="Comma 2 3 3" xfId="877"/>
    <cellStyle name="SAPBEXaggItemX 2 2 4" xfId="878"/>
    <cellStyle name="Comma 2 3 3 2" xfId="879"/>
    <cellStyle name="Comma 2 3 3 2 2" xfId="880"/>
    <cellStyle name="Prefilled 8" xfId="881"/>
    <cellStyle name="Comma 2 3 3 2 2 2" xfId="882"/>
    <cellStyle name="Comma 2 3 3 2 3" xfId="883"/>
    <cellStyle name="Comma 2 3 3 3" xfId="884"/>
    <cellStyle name="SAPBEXaggData 6" xfId="885"/>
    <cellStyle name="Comma 2 3 3 3 2" xfId="886"/>
    <cellStyle name="SAPBEXexcGood3 2 2 5" xfId="887"/>
    <cellStyle name="Comma 2 3 3 3 2 2" xfId="888"/>
    <cellStyle name="Comma 2 3 3 4" xfId="889"/>
    <cellStyle name="Comma 2_1" xfId="890"/>
    <cellStyle name="SAPBEXHLevel0X" xfId="891"/>
    <cellStyle name="Comma 84 2 4" xfId="892"/>
    <cellStyle name="Comma 2 3 3 4 2" xfId="893"/>
    <cellStyle name="Comma 2 3 3 5" xfId="894"/>
    <cellStyle name="Comma 2 3 4" xfId="895"/>
    <cellStyle name="SAPBEXaggItemX 2 2 5" xfId="896"/>
    <cellStyle name="Comma 2 3 4 2" xfId="897"/>
    <cellStyle name="Comma 2 3 4 3" xfId="898"/>
    <cellStyle name="Comma 2 3 4 4" xfId="899"/>
    <cellStyle name="Normal 2 2_2" xfId="900"/>
    <cellStyle name="Comma 2 3_1" xfId="901"/>
    <cellStyle name="evenStyle 7" xfId="902"/>
    <cellStyle name="Normal 2 3 3" xfId="903"/>
    <cellStyle name="Comma 2 4 2" xfId="904"/>
    <cellStyle name="Normal 2 3 3 2" xfId="905"/>
    <cellStyle name="Comma 2 4 2 2" xfId="906"/>
    <cellStyle name="Comma 39" xfId="907"/>
    <cellStyle name="Comma 2 4 2 2 2" xfId="908"/>
    <cellStyle name="SAPBEXexcGood3 6" xfId="909"/>
    <cellStyle name="Normal 2 3 4" xfId="910"/>
    <cellStyle name="Comma 2 4 3" xfId="911"/>
    <cellStyle name="Normal 2 3 4 2" xfId="912"/>
    <cellStyle name="Comma 2 4 3 2" xfId="913"/>
    <cellStyle name="Normal 2 3 5" xfId="914"/>
    <cellStyle name="Normal 2" xfId="915"/>
    <cellStyle name="Comma 2 4 4" xfId="916"/>
    <cellStyle name="SAPBEXaggItemX 2" xfId="917"/>
    <cellStyle name="Normal 3" xfId="918"/>
    <cellStyle name="Comma 2 4 5" xfId="919"/>
    <cellStyle name="SAPBEXaggItemX 3" xfId="920"/>
    <cellStyle name="Comma 7 2 2" xfId="921"/>
    <cellStyle name="Comma 2 4 6" xfId="922"/>
    <cellStyle name="Normal 4" xfId="923"/>
    <cellStyle name="SAPBEXaggItemX 4" xfId="924"/>
    <cellStyle name="headStyle 2 6" xfId="925"/>
    <cellStyle name="Comma 2 4_1" xfId="926"/>
    <cellStyle name="Comma 2 8 2" xfId="927"/>
    <cellStyle name="SAPBEXexcGood1" xfId="928"/>
    <cellStyle name="Normal 3 2 2 2 2" xfId="929"/>
    <cellStyle name="SAPBEXstdItem 2 2 3" xfId="930"/>
    <cellStyle name="Comma 2 9" xfId="931"/>
    <cellStyle name="Comma 2 9 2" xfId="932"/>
    <cellStyle name="Comma 30" xfId="933"/>
    <cellStyle name="Comma 25" xfId="934"/>
    <cellStyle name="SAPBEXHLevel1X 8" xfId="935"/>
    <cellStyle name="Enter Units (2)" xfId="936"/>
    <cellStyle name="SAPBEXHLevel1X 2 6" xfId="937"/>
    <cellStyle name="Comma 30 2" xfId="938"/>
    <cellStyle name="Comma 25 2" xfId="939"/>
    <cellStyle name="Comma 30 2 2" xfId="940"/>
    <cellStyle name="Comma 25 2 2" xfId="941"/>
    <cellStyle name="Comma 30 3" xfId="942"/>
    <cellStyle name="Comma 25 3" xfId="943"/>
    <cellStyle name="Comma 30 3 2" xfId="944"/>
    <cellStyle name="Comma 25 3 2" xfId="945"/>
    <cellStyle name="Currency [00]" xfId="946"/>
    <cellStyle name="Comma 30 3 2 2" xfId="947"/>
    <cellStyle name="Comma 25 3 2 2" xfId="948"/>
    <cellStyle name="Comma 30 4" xfId="949"/>
    <cellStyle name="Comma 25 4" xfId="950"/>
    <cellStyle name="Comma 30 4 2" xfId="951"/>
    <cellStyle name="Comma 25 4 2" xfId="952"/>
    <cellStyle name="SAPBEXHLevel0X 2 2 7" xfId="953"/>
    <cellStyle name="HEADER" xfId="954"/>
    <cellStyle name="千分位_ 白土" xfId="955"/>
    <cellStyle name="Comma 31" xfId="956"/>
    <cellStyle name="Comma 26" xfId="957"/>
    <cellStyle name="SAPBEXHLevel1X 9" xfId="958"/>
    <cellStyle name="SAPBEXHLevel1X 2 7" xfId="959"/>
    <cellStyle name="Comma 31 2" xfId="960"/>
    <cellStyle name="Comma 26 2" xfId="961"/>
    <cellStyle name="SAPBEXstdData 2 5" xfId="962"/>
    <cellStyle name="Comma 31 2 2" xfId="963"/>
    <cellStyle name="Comma 26 2 2" xfId="964"/>
    <cellStyle name="Comma 31 2 2 2" xfId="965"/>
    <cellStyle name="Comma 26 2 2 2" xfId="966"/>
    <cellStyle name="SAPBEXexcCritical5 3 5" xfId="967"/>
    <cellStyle name="Comma 31 3" xfId="968"/>
    <cellStyle name="Comma 26 3" xfId="969"/>
    <cellStyle name="SAPBEXstdData 2 6" xfId="970"/>
    <cellStyle name="Comma 31 3 2" xfId="971"/>
    <cellStyle name="Comma 26 3 2" xfId="972"/>
    <cellStyle name="SAPBEXHLevel2X 2 2 5" xfId="973"/>
    <cellStyle name="Comma 31 3 2 2" xfId="974"/>
    <cellStyle name="Comma 26 3 2 2" xfId="975"/>
    <cellStyle name="SAPBEXexcCritical6 3 5" xfId="976"/>
    <cellStyle name="Normal 7 4" xfId="977"/>
    <cellStyle name="Comma 31 4" xfId="978"/>
    <cellStyle name="Comma 26 4" xfId="979"/>
    <cellStyle name="SAPBEXstdData 2 7" xfId="980"/>
    <cellStyle name="Comma 32 2 2" xfId="981"/>
    <cellStyle name="Comma 27 2 2" xfId="982"/>
    <cellStyle name="Comma 32 2 2 2" xfId="983"/>
    <cellStyle name="Comma 27 2 2 2" xfId="984"/>
    <cellStyle name="entry box 2 4" xfId="985"/>
    <cellStyle name="Comma 32 3" xfId="986"/>
    <cellStyle name="Comma 27 3" xfId="987"/>
    <cellStyle name="SAPBEXstdData 3 6" xfId="988"/>
    <cellStyle name="Comma 32 3 2" xfId="989"/>
    <cellStyle name="Comma 27 3 2" xfId="990"/>
    <cellStyle name="Comma 32 3 2 2" xfId="991"/>
    <cellStyle name="Comma 27 3 2 2" xfId="992"/>
    <cellStyle name="entry box 2 5" xfId="993"/>
    <cellStyle name="Comma 32 4" xfId="994"/>
    <cellStyle name="Comma 27 4" xfId="995"/>
    <cellStyle name="SAPBEXstdData 3 7" xfId="996"/>
    <cellStyle name="强调 1" xfId="997"/>
    <cellStyle name="PrePop Currency (0)" xfId="998"/>
    <cellStyle name="Comma 32 4 2" xfId="999"/>
    <cellStyle name="Comma 27 4 2" xfId="1000"/>
    <cellStyle name="evenStyle 8" xfId="1001"/>
    <cellStyle name="Comma 33 2 2" xfId="1002"/>
    <cellStyle name="Comma 28 2 2" xfId="1003"/>
    <cellStyle name="Comma 28 2 2 2" xfId="1004"/>
    <cellStyle name="headStyle 2 7" xfId="1005"/>
    <cellStyle name="Comma 28 3 2" xfId="1006"/>
    <cellStyle name="SAPBEXresItem 6" xfId="1007"/>
    <cellStyle name="Comma 28 3 2 2" xfId="1008"/>
    <cellStyle name="Comma 28 4" xfId="1009"/>
    <cellStyle name="Comma 28 4 2" xfId="1010"/>
    <cellStyle name="Comma 29 2 2 2" xfId="1011"/>
    <cellStyle name="SAPBEXHLevel3X 5" xfId="1012"/>
    <cellStyle name="Comma 29 3" xfId="1013"/>
    <cellStyle name="Comma 29 3 2" xfId="1014"/>
    <cellStyle name="SAPBEXresItem 2 3" xfId="1015"/>
    <cellStyle name="Comma 29 3 2 2" xfId="1016"/>
    <cellStyle name="SAPBEXHLevel3X 6" xfId="1017"/>
    <cellStyle name="Comma 29 4" xfId="1018"/>
    <cellStyle name="Comma 29 4 2" xfId="1019"/>
    <cellStyle name="SAPBEXresItem 3 3" xfId="1020"/>
    <cellStyle name="Comma 3" xfId="1021"/>
    <cellStyle name="Comma 3 2" xfId="1022"/>
    <cellStyle name="Comma 3 2 2" xfId="1023"/>
    <cellStyle name="Comma 3 2 2 2" xfId="1024"/>
    <cellStyle name="Comma 3 2 2 2 2" xfId="1025"/>
    <cellStyle name="Comma 3 2 2 3" xfId="1026"/>
    <cellStyle name="常规 7 2" xfId="1027"/>
    <cellStyle name="Comma 3 2 3" xfId="1028"/>
    <cellStyle name="Comma 3 2 3 2" xfId="1029"/>
    <cellStyle name="Comma 3 2 3 2 2" xfId="1030"/>
    <cellStyle name="Comma 3 2 4 2" xfId="1031"/>
    <cellStyle name="SAPBEXaggItem 2 5" xfId="1032"/>
    <cellStyle name="SAPBEXexcGood2 11" xfId="1033"/>
    <cellStyle name="Comma 3 2 5" xfId="1034"/>
    <cellStyle name="Normal 3 2 3 2" xfId="1035"/>
    <cellStyle name="Comma 3 3 2 2" xfId="1036"/>
    <cellStyle name="Comma 3 3 2 2 2" xfId="1037"/>
    <cellStyle name="Comma 3 3 3 2" xfId="1038"/>
    <cellStyle name="差_50-营业成本（空白模板）" xfId="1039"/>
    <cellStyle name="Comma 3 3 3 2 2" xfId="1040"/>
    <cellStyle name="Comma 3 3 5" xfId="1041"/>
    <cellStyle name="Normal 124 2" xfId="1042"/>
    <cellStyle name="Comma 9" xfId="1043"/>
    <cellStyle name="Comma 3 4 2" xfId="1044"/>
    <cellStyle name="Comma 3 7 2" xfId="1045"/>
    <cellStyle name="Comma 40" xfId="1046"/>
    <cellStyle name="Comma 35" xfId="1047"/>
    <cellStyle name="Comma 35 2" xfId="1048"/>
    <cellStyle name="SAPBEXstdItemX 4" xfId="1049"/>
    <cellStyle name="Comma 35 2 2" xfId="1050"/>
    <cellStyle name="Comma 36" xfId="1051"/>
    <cellStyle name="Comma 37 2" xfId="1052"/>
    <cellStyle name="Comma 38" xfId="1053"/>
    <cellStyle name="Comma 38 2" xfId="1054"/>
    <cellStyle name="Comma 4" xfId="1055"/>
    <cellStyle name="Comma 4 2" xfId="1056"/>
    <cellStyle name="Comma 4 2 2" xfId="1057"/>
    <cellStyle name="SAPBEXaggDataEmph 3 8" xfId="1058"/>
    <cellStyle name="Comma 4 2 2 2" xfId="1059"/>
    <cellStyle name="超链接 2 2 2" xfId="1060"/>
    <cellStyle name="Link Currency (0)" xfId="1061"/>
    <cellStyle name="Comma 4 2 3" xfId="1062"/>
    <cellStyle name="evenStyle 2 5" xfId="1063"/>
    <cellStyle name="dataStyle 2 2 7" xfId="1064"/>
    <cellStyle name="Comma 4 3 2" xfId="1065"/>
    <cellStyle name="Normal 4 2 3" xfId="1066"/>
    <cellStyle name="dataStyle 2 2" xfId="1067"/>
    <cellStyle name="Monétaire [0]_PERSONAL" xfId="1068"/>
    <cellStyle name="evenStyle 2 6" xfId="1069"/>
    <cellStyle name="Comma 4 3 3" xfId="1070"/>
    <cellStyle name="Comma 4 4" xfId="1071"/>
    <cellStyle name="Comma 5" xfId="1072"/>
    <cellStyle name="Comma 5 2" xfId="1073"/>
    <cellStyle name="Comma 5 2 2" xfId="1074"/>
    <cellStyle name="Comma 5 2 3" xfId="1075"/>
    <cellStyle name="Comma 5 3" xfId="1076"/>
    <cellStyle name="dataStyle 3 2 7" xfId="1077"/>
    <cellStyle name="Comma 5 3 2" xfId="1078"/>
    <cellStyle name="SAPBEXexcCritical5 11" xfId="1079"/>
    <cellStyle name="Comma 5 3 2 2" xfId="1080"/>
    <cellStyle name="Comma 5 3 3" xfId="1081"/>
    <cellStyle name="Comma 5 4" xfId="1082"/>
    <cellStyle name="Comma 5 4 2" xfId="1083"/>
    <cellStyle name="Comma 6" xfId="1084"/>
    <cellStyle name="Comma 6 2" xfId="1085"/>
    <cellStyle name="SAPBEXaggItem 4" xfId="1086"/>
    <cellStyle name="Normal_0213 Bank Recs 31.03.2010" xfId="1087"/>
    <cellStyle name="SAPBEXexcCritical6 2 2 3" xfId="1088"/>
    <cellStyle name="Comma 6 2 2" xfId="1089"/>
    <cellStyle name="Comma 6 2 2 2" xfId="1090"/>
    <cellStyle name="Comma 6 3" xfId="1091"/>
    <cellStyle name="SAPBEXaggItem 5" xfId="1092"/>
    <cellStyle name="Comma 6 3 2 2" xfId="1093"/>
    <cellStyle name="Normal 121 2 2 2" xfId="1094"/>
    <cellStyle name="Comma 6 4" xfId="1095"/>
    <cellStyle name="SAPBEXaggItem 6" xfId="1096"/>
    <cellStyle name="Normal 121 2 2 2 2" xfId="1097"/>
    <cellStyle name="Comma 6 4 2" xfId="1098"/>
    <cellStyle name="dataStyle 6" xfId="1099"/>
    <cellStyle name="SAPBEXformats 10" xfId="1100"/>
    <cellStyle name="Comma 7" xfId="1101"/>
    <cellStyle name="Comma 7 2" xfId="1102"/>
    <cellStyle name="Normal 3 2" xfId="1103"/>
    <cellStyle name="SAPBEXaggItemX 3 2" xfId="1104"/>
    <cellStyle name="Comma 7 2 2 2" xfId="1105"/>
    <cellStyle name="Normal 7 2_1" xfId="1106"/>
    <cellStyle name="Comma 7 3" xfId="1107"/>
    <cellStyle name="SAPBEXresItem 3 4" xfId="1108"/>
    <cellStyle name="SAPBEXstdItem 2" xfId="1109"/>
    <cellStyle name="Comma 7 3 2 2" xfId="1110"/>
    <cellStyle name="Normal 121 2 3 2" xfId="1111"/>
    <cellStyle name="Comma 7 4" xfId="1112"/>
    <cellStyle name="Comma 7 4 2" xfId="1113"/>
    <cellStyle name="Normal 7 3 3" xfId="1114"/>
    <cellStyle name="Comma 7 5" xfId="1115"/>
    <cellStyle name="SAPBEXformats 11" xfId="1116"/>
    <cellStyle name="Normal 3 3 2" xfId="1117"/>
    <cellStyle name="Comma 8" xfId="1118"/>
    <cellStyle name="dateStyle 2 2" xfId="1119"/>
    <cellStyle name="Comma 8 2 2 2" xfId="1120"/>
    <cellStyle name="SAPBEXHLevel1 3" xfId="1121"/>
    <cellStyle name="Input [yellow] 2 6" xfId="1122"/>
    <cellStyle name="Comma 8 3 2 2" xfId="1123"/>
    <cellStyle name="SAPBEXresItemX 3 5" xfId="1124"/>
    <cellStyle name="dataStyle 2 7" xfId="1125"/>
    <cellStyle name="Comma,2" xfId="1126"/>
    <cellStyle name="Comma 8 4 2" xfId="1127"/>
    <cellStyle name="Comma 84" xfId="1128"/>
    <cellStyle name="dateStyle 2 6" xfId="1129"/>
    <cellStyle name="Comma 84 2" xfId="1130"/>
    <cellStyle name="SAPBEXHLevel1 7" xfId="1131"/>
    <cellStyle name="Comma 84 2 2" xfId="1132"/>
    <cellStyle name="Comma 84 2 2 2 2" xfId="1133"/>
    <cellStyle name="SAPBEXexcCritical6 5" xfId="1134"/>
    <cellStyle name="Comma 84 2 3 2" xfId="1135"/>
    <cellStyle name="Comma 84 2 3 2 2" xfId="1136"/>
    <cellStyle name="SAPBEXformats 3" xfId="1137"/>
    <cellStyle name="Comma 84 2 4 2" xfId="1138"/>
    <cellStyle name="dateStyle 2 7" xfId="1139"/>
    <cellStyle name="Comma 84 3" xfId="1140"/>
    <cellStyle name="SAPBEXHLevel1 8" xfId="1141"/>
    <cellStyle name="Comma 84 3 2" xfId="1142"/>
    <cellStyle name="Comma 84 3 2 2" xfId="1143"/>
    <cellStyle name="Comma 84 4" xfId="1144"/>
    <cellStyle name="SAPBEXHLevel1 9" xfId="1145"/>
    <cellStyle name="Comma 84 4 2" xfId="1146"/>
    <cellStyle name="Input [yellow] 2 5" xfId="1147"/>
    <cellStyle name="SAPBEXresItemX 3 4" xfId="1148"/>
    <cellStyle name="dataStyle 2 6" xfId="1149"/>
    <cellStyle name="SAPBEXexcGood1 10" xfId="1150"/>
    <cellStyle name="dataStyle 3 4" xfId="1151"/>
    <cellStyle name="Comma 9 2 2" xfId="1152"/>
    <cellStyle name="SAPBEXHLevel3X 2 8" xfId="1153"/>
    <cellStyle name="Comma 9 2 2 2" xfId="1154"/>
    <cellStyle name="Comma 9 3 2 2" xfId="1155"/>
    <cellStyle name="Comma 9 4 2" xfId="1156"/>
    <cellStyle name="Comma,1" xfId="1157"/>
    <cellStyle name="PrePop Units (0)" xfId="1158"/>
    <cellStyle name="consultationStyle" xfId="1159"/>
    <cellStyle name="Currency 2" xfId="1160"/>
    <cellStyle name="Currency1" xfId="1161"/>
    <cellStyle name="SAPBEXHLevel3 2 8" xfId="1162"/>
    <cellStyle name="dataStyle" xfId="1163"/>
    <cellStyle name="Normal 10 2 2 2" xfId="1164"/>
    <cellStyle name="常规 3 3 2" xfId="1165"/>
    <cellStyle name="SAPBEXundefined 7" xfId="1166"/>
    <cellStyle name="dataStyle 10" xfId="1167"/>
    <cellStyle name="dataStyle 2" xfId="1168"/>
    <cellStyle name="SAPBEXaggData 3 6" xfId="1169"/>
    <cellStyle name="dataStyle 2 2 2" xfId="1170"/>
    <cellStyle name="SAPBEXexcCritical4 2 9" xfId="1171"/>
    <cellStyle name="dataStyle 2 2 3" xfId="1172"/>
    <cellStyle name="evenStyle 2 3" xfId="1173"/>
    <cellStyle name="dataStyle 2 2 5" xfId="1174"/>
    <cellStyle name="evenStyle 2 4" xfId="1175"/>
    <cellStyle name="dataStyle 2 2 6" xfId="1176"/>
    <cellStyle name="Normal 4 2 2" xfId="1177"/>
    <cellStyle name="evenStyle 2 7" xfId="1178"/>
    <cellStyle name="Input [yellow] 2 2" xfId="1179"/>
    <cellStyle name="dataStyle 2 3" xfId="1180"/>
    <cellStyle name="Input [yellow] 2 3" xfId="1181"/>
    <cellStyle name="SAPBEXresItemX 3 2" xfId="1182"/>
    <cellStyle name="dataStyle 2 4" xfId="1183"/>
    <cellStyle name="Percent 2_3" xfId="1184"/>
    <cellStyle name="寘嬫愗傝 [0.00]_PRODUCT DETAIL Q1" xfId="1185"/>
    <cellStyle name="Input [yellow] 2 4" xfId="1186"/>
    <cellStyle name="SAPBEXresItemX 3 3" xfId="1187"/>
    <cellStyle name="dataStyle 2 5" xfId="1188"/>
    <cellStyle name="dataStyle 3 2 2" xfId="1189"/>
    <cellStyle name="SAPBEXexcCritical5 2 9" xfId="1190"/>
    <cellStyle name="dataStyle 3 2 3" xfId="1191"/>
    <cellStyle name="dataStyle 3 2 4" xfId="1192"/>
    <cellStyle name="dataStyle 3 2 5" xfId="1193"/>
    <cellStyle name="dataStyle 3 2 6" xfId="1194"/>
    <cellStyle name="Normal 5 2 2" xfId="1195"/>
    <cellStyle name="dataStyle 3 3" xfId="1196"/>
    <cellStyle name="SAPBEXexcGood1 11" xfId="1197"/>
    <cellStyle name="dataStyle 3 5" xfId="1198"/>
    <cellStyle name="dataStyle 3 6" xfId="1199"/>
    <cellStyle name="Normal 7 2 2_1" xfId="1200"/>
    <cellStyle name="Enter Currency (2)" xfId="1201"/>
    <cellStyle name="dataStyle 3 7" xfId="1202"/>
    <cellStyle name="dataStyle 3 8" xfId="1203"/>
    <cellStyle name="SAPBEXexcGood2 2 2 3" xfId="1204"/>
    <cellStyle name="dataStyle 4 2" xfId="1205"/>
    <cellStyle name="好_Sheet1" xfId="1206"/>
    <cellStyle name="SAPBEXexcGood2 2 2 4" xfId="1207"/>
    <cellStyle name="超链接 2" xfId="1208"/>
    <cellStyle name="dataStyle 4 3" xfId="1209"/>
    <cellStyle name="SAPBEXexcGood2 2 2 6" xfId="1210"/>
    <cellStyle name="超链接 4" xfId="1211"/>
    <cellStyle name="dataStyle 4 5" xfId="1212"/>
    <cellStyle name="SAPBEXexcGood2 2 2 7" xfId="1213"/>
    <cellStyle name="dataStyle 4 6" xfId="1214"/>
    <cellStyle name="SAPBEXexcBad9 2 2 2" xfId="1215"/>
    <cellStyle name="SAPBEXexcGood2 2 2 8" xfId="1216"/>
    <cellStyle name="SAPBEXHLevel3 2 2" xfId="1217"/>
    <cellStyle name="dataStyle 4 7" xfId="1218"/>
    <cellStyle name="SAPBEXexcBad9 2 2 3" xfId="1219"/>
    <cellStyle name="dataStyle 5" xfId="1220"/>
    <cellStyle name="dataStyle 7" xfId="1221"/>
    <cellStyle name="SAPBEXaggItem 2" xfId="1222"/>
    <cellStyle name="dataStyle 8" xfId="1223"/>
    <cellStyle name="SAPBEXaggItem 3" xfId="1224"/>
    <cellStyle name="dataStyle 9" xfId="1225"/>
    <cellStyle name="Date" xfId="1226"/>
    <cellStyle name="dateStyle 2 3" xfId="1227"/>
    <cellStyle name="Link Units (2)" xfId="1228"/>
    <cellStyle name="dateStyle 2 5" xfId="1229"/>
    <cellStyle name="dateStyle 4" xfId="1230"/>
    <cellStyle name="SAPBEXHLevel2 2" xfId="1231"/>
    <cellStyle name="Normal 2_1" xfId="1232"/>
    <cellStyle name="dateStyle 5" xfId="1233"/>
    <cellStyle name="SAPBEXHLevel2 3" xfId="1234"/>
    <cellStyle name="dateStyle 6" xfId="1235"/>
    <cellStyle name="SAPBEXHLevel2 4" xfId="1236"/>
    <cellStyle name="dateStyle 8" xfId="1237"/>
    <cellStyle name="SAPBEXHLevel2 6" xfId="1238"/>
    <cellStyle name="Dollar (zero dec)" xfId="1239"/>
    <cellStyle name="entry box" xfId="1240"/>
    <cellStyle name="SAPBEXaggItemX 3 7" xfId="1241"/>
    <cellStyle name="entry box 2 2" xfId="1242"/>
    <cellStyle name="SAPBEXaggItem 11" xfId="1243"/>
    <cellStyle name="SAPBEXstdData 3 4" xfId="1244"/>
    <cellStyle name="entry box 2 6" xfId="1245"/>
    <cellStyle name="SAPBEXstdData 3 8" xfId="1246"/>
    <cellStyle name="强调 2" xfId="1247"/>
    <cellStyle name="Percent 4 2" xfId="1248"/>
    <cellStyle name="title 2" xfId="1249"/>
    <cellStyle name="entry box 2 7" xfId="1250"/>
    <cellStyle name="SAPBEXexcGood1 9" xfId="1251"/>
    <cellStyle name="entry box 3" xfId="1252"/>
    <cellStyle name="一般_SGV" xfId="1253"/>
    <cellStyle name="entry box 4" xfId="1254"/>
    <cellStyle name="SAPBEXresDataEmph 2 2 2" xfId="1255"/>
    <cellStyle name="entry box 5" xfId="1256"/>
    <cellStyle name="SAPBEXresDataEmph 2 2 3" xfId="1257"/>
    <cellStyle name="entry box 6" xfId="1258"/>
    <cellStyle name="SAPBEXresDataEmph 2 2 4" xfId="1259"/>
    <cellStyle name="entry box 7" xfId="1260"/>
    <cellStyle name="SAPBEXresDataEmph 2 2 5" xfId="1261"/>
    <cellStyle name="entry box 8" xfId="1262"/>
    <cellStyle name="SAPBEXresDataEmph 2 2 6" xfId="1263"/>
    <cellStyle name="Euro" xfId="1264"/>
    <cellStyle name="evenStyle 2" xfId="1265"/>
    <cellStyle name="SAPBEXHLevel3 3 4" xfId="1266"/>
    <cellStyle name="evenStyle 3" xfId="1267"/>
    <cellStyle name="SAPBEXHLevel3 3 5" xfId="1268"/>
    <cellStyle name="evenStyle 4" xfId="1269"/>
    <cellStyle name="SAPBEXHLevel3 3 6" xfId="1270"/>
    <cellStyle name="evenStyle 6" xfId="1271"/>
    <cellStyle name="SAPBEXHLevel3 3 8" xfId="1272"/>
    <cellStyle name="F4" xfId="1273"/>
    <cellStyle name="F6" xfId="1274"/>
    <cellStyle name="F7" xfId="1275"/>
    <cellStyle name="F8" xfId="1276"/>
    <cellStyle name="Good 2" xfId="1277"/>
    <cellStyle name="Good 2 2" xfId="1278"/>
    <cellStyle name="SAPBEXresItem 3 6" xfId="1279"/>
    <cellStyle name="Good 2 3" xfId="1280"/>
    <cellStyle name="SAPBEXresItem 3 7" xfId="1281"/>
    <cellStyle name="SAPBEXstdItem 5" xfId="1282"/>
    <cellStyle name="SAPBEXexcCritical4" xfId="1283"/>
    <cellStyle name="Good 4" xfId="1284"/>
    <cellStyle name="Grey" xfId="1285"/>
    <cellStyle name="SAPBEXHLevel2X 2 8" xfId="1286"/>
    <cellStyle name="千位分隔 2 3 3" xfId="1287"/>
    <cellStyle name="Hyperlink 4 2 2" xfId="1288"/>
    <cellStyle name="Header1" xfId="1289"/>
    <cellStyle name="Normal 8 2" xfId="1290"/>
    <cellStyle name="Header2" xfId="1291"/>
    <cellStyle name="Header2 2 3" xfId="1292"/>
    <cellStyle name="Header2 2 5" xfId="1293"/>
    <cellStyle name="Header2 2 6" xfId="1294"/>
    <cellStyle name="Link Currency (2)" xfId="1295"/>
    <cellStyle name="Header2 2 7" xfId="1296"/>
    <cellStyle name="Header2 4" xfId="1297"/>
    <cellStyle name="SAPBEXHLevel3 2" xfId="1298"/>
    <cellStyle name="Normal 3_1" xfId="1299"/>
    <cellStyle name="Header2 5" xfId="1300"/>
    <cellStyle name="Header2 6" xfId="1301"/>
    <cellStyle name="SAPBEXHLevel2 2 2" xfId="1302"/>
    <cellStyle name="Heading1" xfId="1303"/>
    <cellStyle name="SAPBEXstdDataEmph 2 9" xfId="1304"/>
    <cellStyle name="headStyle" xfId="1305"/>
    <cellStyle name="headStyle 2" xfId="1306"/>
    <cellStyle name="SAPBEXHLevel0 2 2 6" xfId="1307"/>
    <cellStyle name="headStyle 2 2" xfId="1308"/>
    <cellStyle name="SAPBEXstdDataEmph 2 2 5" xfId="1309"/>
    <cellStyle name="SAPBEXexcCritical4 10" xfId="1310"/>
    <cellStyle name="headStyle 2 3" xfId="1311"/>
    <cellStyle name="SAPBEXstdDataEmph 2 2 6" xfId="1312"/>
    <cellStyle name="SAPBEXexcCritical4 11" xfId="1313"/>
    <cellStyle name="headStyle 2 5" xfId="1314"/>
    <cellStyle name="SAPBEXstdDataEmph 2 2 8" xfId="1315"/>
    <cellStyle name="headStyle 3" xfId="1316"/>
    <cellStyle name="SAPBEXHLevel0 2 2 7" xfId="1317"/>
    <cellStyle name="headStyle 4" xfId="1318"/>
    <cellStyle name="SAPBEXHLevel0 2 2 8" xfId="1319"/>
    <cellStyle name="headStyle 5" xfId="1320"/>
    <cellStyle name="SAPBEXresItem 2 4" xfId="1321"/>
    <cellStyle name="Hyperlink 2 2" xfId="1322"/>
    <cellStyle name="Normal 7 2 2 2" xfId="1323"/>
    <cellStyle name="Hyperlink 2 2 2" xfId="1324"/>
    <cellStyle name="SAPBEXresItem 2 5" xfId="1325"/>
    <cellStyle name="Hyperlink 2 3" xfId="1326"/>
    <cellStyle name="Hyperlink 4 2" xfId="1327"/>
    <cellStyle name="Hyperlink 5 2" xfId="1328"/>
    <cellStyle name="SAPBEXstdData 2 2 5" xfId="1329"/>
    <cellStyle name="SAPBEXHLevel1 2 2" xfId="1330"/>
    <cellStyle name="Hyperlink 6" xfId="1331"/>
    <cellStyle name="千位分隔 2 4 2" xfId="1332"/>
    <cellStyle name="Input [yellow] 2" xfId="1333"/>
    <cellStyle name="Input [yellow] 3" xfId="1334"/>
    <cellStyle name="Input [yellow] 6" xfId="1335"/>
    <cellStyle name="Input [yellow] 7" xfId="1336"/>
    <cellStyle name="Input [yellow] 8" xfId="1337"/>
    <cellStyle name="SAPBEXstdItem 8" xfId="1338"/>
    <cellStyle name="Model" xfId="1339"/>
    <cellStyle name="SAPBEXexcBad7 2 2 4" xfId="1340"/>
    <cellStyle name="Neutral 2" xfId="1341"/>
    <cellStyle name="Normal - Style1" xfId="1342"/>
    <cellStyle name="Normal 10 2 2" xfId="1343"/>
    <cellStyle name="Normal 103" xfId="1344"/>
    <cellStyle name="SAPBEXexcGood2 5" xfId="1345"/>
    <cellStyle name="Normal 11" xfId="1346"/>
    <cellStyle name="SAPBEXaggItemX 11" xfId="1347"/>
    <cellStyle name="SAPBEXexcGood2 6" xfId="1348"/>
    <cellStyle name="Normal 12" xfId="1349"/>
    <cellStyle name="Normal 121 2" xfId="1350"/>
    <cellStyle name="Normal 121 2 2" xfId="1351"/>
    <cellStyle name="Normal 121 2 3" xfId="1352"/>
    <cellStyle name="Normal 121 2 4" xfId="1353"/>
    <cellStyle name="SAPBEXHLevel0X 2 2" xfId="1354"/>
    <cellStyle name="Normal 129 2" xfId="1355"/>
    <cellStyle name="SAPBEXexcBad7 2 2 2" xfId="1356"/>
    <cellStyle name="SAPBEXexcGood2 7" xfId="1357"/>
    <cellStyle name="Normal 13" xfId="1358"/>
    <cellStyle name="Normal 13 2" xfId="1359"/>
    <cellStyle name="SAPBEXexcGood2 8" xfId="1360"/>
    <cellStyle name="Normal 14" xfId="1361"/>
    <cellStyle name="Normal 14 2" xfId="1362"/>
    <cellStyle name="Normal 154" xfId="1363"/>
    <cellStyle name="Normal 182" xfId="1364"/>
    <cellStyle name="SAPBEXexcGood2 2 4" xfId="1365"/>
    <cellStyle name="Normal 182 2" xfId="1366"/>
    <cellStyle name="Normal 2 10 2" xfId="1367"/>
    <cellStyle name="Normal 2 16" xfId="1368"/>
    <cellStyle name="Normal 2 18" xfId="1369"/>
    <cellStyle name="Normal 2 2" xfId="1370"/>
    <cellStyle name="SAPBEXaggItemX 2 2" xfId="1371"/>
    <cellStyle name="Normal 2 2 2" xfId="1372"/>
    <cellStyle name="SAPBEXaggItemX 2 2 2" xfId="1373"/>
    <cellStyle name="SAPBEXexcBad9 3 3" xfId="1374"/>
    <cellStyle name="Normal 2 2 2 2" xfId="1375"/>
    <cellStyle name="SAPBEXexcBad7" xfId="1376"/>
    <cellStyle name="Normal 2 3" xfId="1377"/>
    <cellStyle name="SAPBEXaggItemX 2 3" xfId="1378"/>
    <cellStyle name="Normal 2 3 2" xfId="1379"/>
    <cellStyle name="Normal 2 4" xfId="1380"/>
    <cellStyle name="SAPBEXaggItemX 2 4" xfId="1381"/>
    <cellStyle name="Normal 2 4 2" xfId="1382"/>
    <cellStyle name="Normal 2 4 2 2" xfId="1383"/>
    <cellStyle name="Normal 2 5" xfId="1384"/>
    <cellStyle name="SAPBEXaggItemX 2 5" xfId="1385"/>
    <cellStyle name="好_营业收入" xfId="1386"/>
    <cellStyle name="Normal 2 5 2" xfId="1387"/>
    <cellStyle name="Normal 2 6" xfId="1388"/>
    <cellStyle name="SAPBEXaggItemX 2 6" xfId="1389"/>
    <cellStyle name="Normal 2 8" xfId="1390"/>
    <cellStyle name="SAPBEXaggItemX 2 8" xfId="1391"/>
    <cellStyle name="Normal 2 9" xfId="1392"/>
    <cellStyle name="SAPBEXaggItemX 2 9" xfId="1393"/>
    <cellStyle name="Normal 3 2_2" xfId="1394"/>
    <cellStyle name="Prefilled 4" xfId="1395"/>
    <cellStyle name="Normal 3 3" xfId="1396"/>
    <cellStyle name="SAPBEXaggItemX 3 3" xfId="1397"/>
    <cellStyle name="Normal 3 4" xfId="1398"/>
    <cellStyle name="SAPBEXaggItemX 3 4" xfId="1399"/>
    <cellStyle name="Normal 3 5" xfId="1400"/>
    <cellStyle name="SAPBEXaggItemX 3 5" xfId="1401"/>
    <cellStyle name="Normal 32 2" xfId="1402"/>
    <cellStyle name="Normal 4 2" xfId="1403"/>
    <cellStyle name="Normal 4 3" xfId="1404"/>
    <cellStyle name="Normal 4 4" xfId="1405"/>
    <cellStyle name="好_54-财务费用（空白模板）" xfId="1406"/>
    <cellStyle name="Normal 4 5" xfId="1407"/>
    <cellStyle name="Normal 41 3" xfId="1408"/>
    <cellStyle name="Normal 5" xfId="1409"/>
    <cellStyle name="SAPBEXaggItemX 5" xfId="1410"/>
    <cellStyle name="Normal 5 2" xfId="1411"/>
    <cellStyle name="SAPBEXexcBad7 2 5" xfId="1412"/>
    <cellStyle name="SAPBEXHLevel3X 2 2 6" xfId="1413"/>
    <cellStyle name="Normal 5 3" xfId="1414"/>
    <cellStyle name="SAPBEXexcBad7 2 6" xfId="1415"/>
    <cellStyle name="SAPBEXHLevel3X 2 2 7" xfId="1416"/>
    <cellStyle name="Normal 5 4" xfId="1417"/>
    <cellStyle name="SAPBEXexcBad7 2 7" xfId="1418"/>
    <cellStyle name="SAPBEXHLevel3X 2 2 8" xfId="1419"/>
    <cellStyle name="SAPBEXexcGood3 5" xfId="1420"/>
    <cellStyle name="Normal 56" xfId="1421"/>
    <cellStyle name="Normal 6" xfId="1422"/>
    <cellStyle name="SAPBEXaggItemX 6" xfId="1423"/>
    <cellStyle name="Normal 6 2" xfId="1424"/>
    <cellStyle name="SAPBEXexcBad7 3 5" xfId="1425"/>
    <cellStyle name="SAPBEXexcGood2 2 9" xfId="1426"/>
    <cellStyle name="SAPBEXexcCritical6 2 3" xfId="1427"/>
    <cellStyle name="Normal 6 2 2" xfId="1428"/>
    <cellStyle name="常规 2" xfId="1429"/>
    <cellStyle name="SAPBEXexcCritical6 2 4" xfId="1430"/>
    <cellStyle name="Normal 6 3" xfId="1431"/>
    <cellStyle name="SAPBEXexcBad7 3 6" xfId="1432"/>
    <cellStyle name="常规 3" xfId="1433"/>
    <cellStyle name="SAPBEXexcCritical6 2 5" xfId="1434"/>
    <cellStyle name="Normal 6 4" xfId="1435"/>
    <cellStyle name="SAPBEXexcBad7 3 7" xfId="1436"/>
    <cellStyle name="Normal 6_3" xfId="1437"/>
    <cellStyle name="SAPBEXresDataEmph 2 2 8" xfId="1438"/>
    <cellStyle name="SAPBEXHLevel0X 3 3" xfId="1439"/>
    <cellStyle name="Normal 7" xfId="1440"/>
    <cellStyle name="SAPBEXaggItemX 7" xfId="1441"/>
    <cellStyle name="SAPBEXexcCritical6 3 3" xfId="1442"/>
    <cellStyle name="Normal 7 2" xfId="1443"/>
    <cellStyle name="SAPBEXexcCritical6 3 4" xfId="1444"/>
    <cellStyle name="Normal 7 3" xfId="1445"/>
    <cellStyle name="Normal 7 3 2" xfId="1446"/>
    <cellStyle name="Normal 7 3 3_1" xfId="1447"/>
    <cellStyle name="Normal 7 3 4" xfId="1448"/>
    <cellStyle name="SAPBEXstdItem 2 2 6" xfId="1449"/>
    <cellStyle name="Normal 7 3_1" xfId="1450"/>
    <cellStyle name="SAPBEXexcCritical6 3 6" xfId="1451"/>
    <cellStyle name="Normal 7 5" xfId="1452"/>
    <cellStyle name="SAPBEXexcCritical6 3 7" xfId="1453"/>
    <cellStyle name="SAPBEXstdItem 10" xfId="1454"/>
    <cellStyle name="Normal 7 6" xfId="1455"/>
    <cellStyle name="SAPBEXexcCritical6 3 8" xfId="1456"/>
    <cellStyle name="SAPBEXstdItem 11" xfId="1457"/>
    <cellStyle name="Normal 7 7" xfId="1458"/>
    <cellStyle name="Normal 7_1" xfId="1459"/>
    <cellStyle name="Normal 8 3" xfId="1460"/>
    <cellStyle name="Normal 9" xfId="1461"/>
    <cellStyle name="SAPBEXaggItemX 9" xfId="1462"/>
    <cellStyle name="Normal 9 3" xfId="1463"/>
    <cellStyle name="SAPBEXresDataEmph 3 3" xfId="1464"/>
    <cellStyle name="常规 2 5" xfId="1465"/>
    <cellStyle name="Normal_Sheet2" xfId="1466"/>
    <cellStyle name="Normalny_Arkusz1" xfId="1467"/>
    <cellStyle name="Percent [00]" xfId="1468"/>
    <cellStyle name="SAPBEXexcBad9 2 8" xfId="1469"/>
    <cellStyle name="Percent [2]" xfId="1470"/>
    <cellStyle name="Percent 2" xfId="1471"/>
    <cellStyle name="Percent 2 2" xfId="1472"/>
    <cellStyle name="Percent 2 2 2" xfId="1473"/>
    <cellStyle name="Percent 2 2 3" xfId="1474"/>
    <cellStyle name="Percent 2 3" xfId="1475"/>
    <cellStyle name="Percent 2 3 2" xfId="1476"/>
    <cellStyle name="SAPBEXHLevel0 10" xfId="1477"/>
    <cellStyle name="Percent 2 3 2 2" xfId="1478"/>
    <cellStyle name="Percent 2 3 3" xfId="1479"/>
    <cellStyle name="SAPBEXHLevel0 11" xfId="1480"/>
    <cellStyle name="Percent 2 4" xfId="1481"/>
    <cellStyle name="Percent 2 4 2" xfId="1482"/>
    <cellStyle name="Percent 2 6" xfId="1483"/>
    <cellStyle name="Percent 4" xfId="1484"/>
    <cellStyle name="SAPBEXstdItem 3 2" xfId="1485"/>
    <cellStyle name="Percent 5" xfId="1486"/>
    <cellStyle name="SAPBEXstdItem 3 3" xfId="1487"/>
    <cellStyle name="Percent 6" xfId="1488"/>
    <cellStyle name="Prefilled 2 2" xfId="1489"/>
    <cellStyle name="千位分隔[0] 2" xfId="1490"/>
    <cellStyle name="Prefilled 2 3" xfId="1491"/>
    <cellStyle name="Prefilled 2 4" xfId="1492"/>
    <cellStyle name="SAPBEXaggItem" xfId="1493"/>
    <cellStyle name="Prefilled 2 5" xfId="1494"/>
    <cellStyle name="千位[0]_1995" xfId="1495"/>
    <cellStyle name="Prefilled 2 6" xfId="1496"/>
    <cellStyle name="SAPBEXresItemX" xfId="1497"/>
    <cellStyle name="Prefilled 2 7" xfId="1498"/>
    <cellStyle name="SAPBEXexcBad7 9" xfId="1499"/>
    <cellStyle name="Prefilled 3" xfId="1500"/>
    <cellStyle name="Prefilled 6" xfId="1501"/>
    <cellStyle name="SAPBEXstdItem 7" xfId="1502"/>
    <cellStyle name="PrePop Currency (2)" xfId="1503"/>
    <cellStyle name="SAPBEXexcCritical6" xfId="1504"/>
    <cellStyle name="PrePop Units (1)" xfId="1505"/>
    <cellStyle name="PrePop Units (2)" xfId="1506"/>
    <cellStyle name="price" xfId="1507"/>
    <cellStyle name="SAPBEXHLevel3 2 3" xfId="1508"/>
    <cellStyle name="SAPBEXexcBad9 2 2 4" xfId="1509"/>
    <cellStyle name="通貨 [0.00]_１１月価格表" xfId="1510"/>
    <cellStyle name="revised" xfId="1511"/>
    <cellStyle name="SAPBEXHLevel2X 2 7" xfId="1512"/>
    <cellStyle name="row_def_array" xfId="1513"/>
    <cellStyle name="SAPBEXaggData" xfId="1514"/>
    <cellStyle name="SAPBEXaggData 2" xfId="1515"/>
    <cellStyle name="SAPBEXaggData 2 2" xfId="1516"/>
    <cellStyle name="SAPBEXaggData 2 2 2" xfId="1517"/>
    <cellStyle name="SAPBEXaggData 2 2 3" xfId="1518"/>
    <cellStyle name="SAPBEXaggData 2 2 4" xfId="1519"/>
    <cellStyle name="SAPBEXaggData 2 2 5" xfId="1520"/>
    <cellStyle name="SAPBEXaggData 2 2 6" xfId="1521"/>
    <cellStyle name="SAPBEXaggData 2 3" xfId="1522"/>
    <cellStyle name="SAPBEXaggData 2 5" xfId="1523"/>
    <cellStyle name="SAPBEXaggData 2 6" xfId="1524"/>
    <cellStyle name="SAPBEXaggData 3" xfId="1525"/>
    <cellStyle name="SAPBEXaggData 3 3" xfId="1526"/>
    <cellStyle name="砯刽 [0]_PLDT" xfId="1527"/>
    <cellStyle name="SAPBEXaggData 3 4" xfId="1528"/>
    <cellStyle name="SAPBEXaggData 3 5" xfId="1529"/>
    <cellStyle name="SAPBEXaggData 4" xfId="1530"/>
    <cellStyle name="SAPBEXaggData 7" xfId="1531"/>
    <cellStyle name="SAPBEXaggData 8" xfId="1532"/>
    <cellStyle name="SAPBEXaggData 9" xfId="1533"/>
    <cellStyle name="SAPBEXformats 2 5" xfId="1534"/>
    <cellStyle name="SAPBEXaggDataEmph" xfId="1535"/>
    <cellStyle name="SAPBEXaggDataEmph 11" xfId="1536"/>
    <cellStyle name="SAPBEXaggDataEmph 2" xfId="1537"/>
    <cellStyle name="SAPBEXaggDataEmph 2 2 2" xfId="1538"/>
    <cellStyle name="SAPBEXHLevel2X 2 9" xfId="1539"/>
    <cellStyle name="SAPBEXaggDataEmph 2 2 3" xfId="1540"/>
    <cellStyle name="SAPBEXaggDataEmph 2 2 4" xfId="1541"/>
    <cellStyle name="SAPBEXaggDataEmph 2 2 5" xfId="1542"/>
    <cellStyle name="SAPBEXHLevel0X 10" xfId="1543"/>
    <cellStyle name="SAPBEXaggDataEmph 2 2 6" xfId="1544"/>
    <cellStyle name="SAPBEXHLevel0X 11" xfId="1545"/>
    <cellStyle name="SAPBEXaggDataEmph 2 2 7" xfId="1546"/>
    <cellStyle name="SAPBEXaggDataEmph 2 2 8" xfId="1547"/>
    <cellStyle name="SAPBEXresItem" xfId="1548"/>
    <cellStyle name="SAPBEXaggDataEmph 2 8" xfId="1549"/>
    <cellStyle name="SAPBEXaggDataEmph 2 9" xfId="1550"/>
    <cellStyle name="SAPBEXaggDataEmph 3" xfId="1551"/>
    <cellStyle name="SAPBEXaggDataEmph 3 7" xfId="1552"/>
    <cellStyle name="SAPBEXaggDataEmph 4" xfId="1553"/>
    <cellStyle name="SAPBEXaggItem 10" xfId="1554"/>
    <cellStyle name="SAPBEXstdData 3 3" xfId="1555"/>
    <cellStyle name="SAPBEXaggItem 2 2" xfId="1556"/>
    <cellStyle name="SAPBEXaggItem 2 2 2" xfId="1557"/>
    <cellStyle name="SAPBEXaggItem 2 2 3" xfId="1558"/>
    <cellStyle name="SAPBEXaggItem 2 2 4" xfId="1559"/>
    <cellStyle name="SAPBEXaggItem 2 2 5" xfId="1560"/>
    <cellStyle name="SAPBEXaggItem 2 2 6" xfId="1561"/>
    <cellStyle name="SAPBEXaggItem 2 2 7" xfId="1562"/>
    <cellStyle name="SAPBEXaggItem 2 2 8" xfId="1563"/>
    <cellStyle name="SAPBEXaggItem 2 3" xfId="1564"/>
    <cellStyle name="SAPBEXaggItem 2 4" xfId="1565"/>
    <cellStyle name="SAPBEXexcGood2 10" xfId="1566"/>
    <cellStyle name="SAPBEXaggItem 2 6" xfId="1567"/>
    <cellStyle name="SAPBEXaggItem 2 7" xfId="1568"/>
    <cellStyle name="SAPBEXaggItem 2 8" xfId="1569"/>
    <cellStyle name="SAPBEXaggItem 2 9" xfId="1570"/>
    <cellStyle name="SAPBEXaggItem 3 2" xfId="1571"/>
    <cellStyle name="SAPBEXaggItem 3 3" xfId="1572"/>
    <cellStyle name="SAPBEXaggItem 3 4" xfId="1573"/>
    <cellStyle name="SAPBEXaggItem 3 6" xfId="1574"/>
    <cellStyle name="SAPBEXaggItem 8" xfId="1575"/>
    <cellStyle name="SAPBEXresItem 10" xfId="1576"/>
    <cellStyle name="SAPBEXaggItem 9" xfId="1577"/>
    <cellStyle name="SAPBEXresItem 11" xfId="1578"/>
    <cellStyle name="SAPBEXaggItemX" xfId="1579"/>
    <cellStyle name="SAPBEXaggItemX 3 8" xfId="1580"/>
    <cellStyle name="SAPBEXchaText" xfId="1581"/>
    <cellStyle name="SAPBEXexcBad7 2" xfId="1582"/>
    <cellStyle name="SAPBEXexcBad7 2 3" xfId="1583"/>
    <cellStyle name="SAPBEXHLevel3X 2 2 4" xfId="1584"/>
    <cellStyle name="SAPBEXexcBad7 2 4" xfId="1585"/>
    <cellStyle name="SAPBEXHLevel3X 2 2 5" xfId="1586"/>
    <cellStyle name="SAPBEXexcBad7 2 9" xfId="1587"/>
    <cellStyle name="SAPBEXexcBad7 3" xfId="1588"/>
    <cellStyle name="SAPBEXexcBad7 3 2" xfId="1589"/>
    <cellStyle name="SAPBEXexcGood2 2 6" xfId="1590"/>
    <cellStyle name="SAPBEXexcBad7 3 3" xfId="1591"/>
    <cellStyle name="SAPBEXexcGood2 2 7" xfId="1592"/>
    <cellStyle name="SAPBEXexcBad7 3 4" xfId="1593"/>
    <cellStyle name="SAPBEXexcGood2 2 8" xfId="1594"/>
    <cellStyle name="SAPBEXexcCritical6 2 2" xfId="1595"/>
    <cellStyle name="常规 4" xfId="1596"/>
    <cellStyle name="SAPBEXexcCritical6 2 6" xfId="1597"/>
    <cellStyle name="SAPBEXexcBad7 3 8" xfId="1598"/>
    <cellStyle name="SAPBEXexcBad7 4" xfId="1599"/>
    <cellStyle name="SAPBEXexcBad7 5" xfId="1600"/>
    <cellStyle name="SAPBEXexcBad7 6" xfId="1601"/>
    <cellStyle name="SAPBEXexcBad7 7" xfId="1602"/>
    <cellStyle name="SAPBEXexcBad9 3 4" xfId="1603"/>
    <cellStyle name="SAPBEXexcBad8" xfId="1604"/>
    <cellStyle name="SAPBEXexcBad8 10" xfId="1605"/>
    <cellStyle name="SAPBEXexcBad8 11" xfId="1606"/>
    <cellStyle name="SAPBEXexcBad8 2" xfId="1607"/>
    <cellStyle name="SAPBEXexcBad8 2 2" xfId="1608"/>
    <cellStyle name="SAPBEXresData 2 9" xfId="1609"/>
    <cellStyle name="SAPBEXexcGood1 2 2 5" xfId="1610"/>
    <cellStyle name="SAPBEXexcGood1 2 2 7" xfId="1611"/>
    <cellStyle name="SAPBEXexcBad8 2 2 2" xfId="1612"/>
    <cellStyle name="SAPBEXexcBad8 2 4" xfId="1613"/>
    <cellStyle name="好_Book2" xfId="1614"/>
    <cellStyle name="SAPBEXexcGood1 2 2 8" xfId="1615"/>
    <cellStyle name="SAPBEXexcBad8 2 2 3" xfId="1616"/>
    <cellStyle name="SAPBEXexcBad8 2 5" xfId="1617"/>
    <cellStyle name="SAPBEXexcBad8 2 2 4" xfId="1618"/>
    <cellStyle name="SAPBEXexcBad8 2 6" xfId="1619"/>
    <cellStyle name="SAPBEXexcBad8 2 2 5" xfId="1620"/>
    <cellStyle name="SAPBEXexcBad8 2 7" xfId="1621"/>
    <cellStyle name="SAPBEXstdDataEmph 10" xfId="1622"/>
    <cellStyle name="SAPBEXexcBad8 2 2 6" xfId="1623"/>
    <cellStyle name="SAPBEXexcBad8 2 8" xfId="1624"/>
    <cellStyle name="SAPBEXstdDataEmph 11" xfId="1625"/>
    <cellStyle name="SAPBEXexcBad8 2 2 7" xfId="1626"/>
    <cellStyle name="SAPBEXexcBad8 2 9" xfId="1627"/>
    <cellStyle name="霓付 [0]_1202" xfId="1628"/>
    <cellStyle name="SAPBEXexcGood1 2 2 6" xfId="1629"/>
    <cellStyle name="SAPBEXexcBad8 2 3" xfId="1630"/>
    <cellStyle name="SAPBEXexcBad8 3" xfId="1631"/>
    <cellStyle name="SAPBEXexcBad8 3 4" xfId="1632"/>
    <cellStyle name="SAPBEXexcGood3 2 8" xfId="1633"/>
    <cellStyle name="SAPBEXexcBad8 3 5" xfId="1634"/>
    <cellStyle name="SAPBEXexcGood3 2 9" xfId="1635"/>
    <cellStyle name="SAPBEXexcBad8 3 6" xfId="1636"/>
    <cellStyle name="SAPBEXexcBad8 3 7" xfId="1637"/>
    <cellStyle name="SAPBEXexcBad8 3 8" xfId="1638"/>
    <cellStyle name="SAPBEXexcBad8 4" xfId="1639"/>
    <cellStyle name="SAPBEXexcBad8 5" xfId="1640"/>
    <cellStyle name="SAPBEXexcBad8 6" xfId="1641"/>
    <cellStyle name="SAPBEXexcBad8 7" xfId="1642"/>
    <cellStyle name="好_应收账款" xfId="1643"/>
    <cellStyle name="SAPBEXexcBad8 8" xfId="1644"/>
    <cellStyle name="SAPBEXexcBad8 9" xfId="1645"/>
    <cellStyle name="SAPBEXexcBad9 3 5" xfId="1646"/>
    <cellStyle name="SAPBEXexcBad9" xfId="1647"/>
    <cellStyle name="SAPBEXexcBad9 10" xfId="1648"/>
    <cellStyle name="SAPBEXexcBad9 11" xfId="1649"/>
    <cellStyle name="SAPBEXexcBad9 2" xfId="1650"/>
    <cellStyle name="SAPBEXexcBad9 2 2" xfId="1651"/>
    <cellStyle name="SAPBEXHLevel3 2 4" xfId="1652"/>
    <cellStyle name="SAPBEXexcBad9 2 2 5" xfId="1653"/>
    <cellStyle name="SAPBEXHLevel3 2 5" xfId="1654"/>
    <cellStyle name="SAPBEXexcBad9 2 2 6" xfId="1655"/>
    <cellStyle name="SAPBEXHLevel3 2 6" xfId="1656"/>
    <cellStyle name="SAPBEXexcBad9 2 2 7" xfId="1657"/>
    <cellStyle name="标题 5" xfId="1658"/>
    <cellStyle name="SAPBEXexcBad9 2 7" xfId="1659"/>
    <cellStyle name="SAPBEXexcBad9 2 9" xfId="1660"/>
    <cellStyle name="SAPBEXexcBad9 3" xfId="1661"/>
    <cellStyle name="SAPBEXHLevel0X 9" xfId="1662"/>
    <cellStyle name="SAPBEXexcBad9 3 2" xfId="1663"/>
    <cellStyle name="SAPBEXexcBad9 3 6" xfId="1664"/>
    <cellStyle name="SAPBEXexcBad9 3 7" xfId="1665"/>
    <cellStyle name="SAPBEXresData 2" xfId="1666"/>
    <cellStyle name="SAPBEXexcBad9 3 8" xfId="1667"/>
    <cellStyle name="SAPBEXresData 3" xfId="1668"/>
    <cellStyle name="SAPBEXexcBad9 4" xfId="1669"/>
    <cellStyle name="SAPBEXexcBad9 5" xfId="1670"/>
    <cellStyle name="SAPBEXexcBad9 6" xfId="1671"/>
    <cellStyle name="SAPBEXexcBad9 7" xfId="1672"/>
    <cellStyle name="SAPBEXexcBad9 8" xfId="1673"/>
    <cellStyle name="SAPBEXexcBad9 9" xfId="1674"/>
    <cellStyle name="SAPBEXexcCritical4 2 2" xfId="1675"/>
    <cellStyle name="SAPBEXHLevel3X 3 7" xfId="1676"/>
    <cellStyle name="SAPBEXexcCritical4 2 2 2" xfId="1677"/>
    <cellStyle name="SAPBEXHLevel3X 3 8" xfId="1678"/>
    <cellStyle name="SAPBEXexcCritical4 2 2 3" xfId="1679"/>
    <cellStyle name="SAPBEXexcCritical4 2 2 4" xfId="1680"/>
    <cellStyle name="SAPBEXexcCritical4 2 2 5" xfId="1681"/>
    <cellStyle name="SAPBEXexcCritical4 2 2 6" xfId="1682"/>
    <cellStyle name="SAPBEXexcCritical4 2 2 7" xfId="1683"/>
    <cellStyle name="SAPBEXexcCritical4 2 2 8" xfId="1684"/>
    <cellStyle name="SAPBEXexcCritical4 2 4" xfId="1685"/>
    <cellStyle name="SAPBEXexcCritical4 2 5" xfId="1686"/>
    <cellStyle name="SAPBEXexcCritical4 2 6" xfId="1687"/>
    <cellStyle name="SAPBEXexcCritical4 2 8" xfId="1688"/>
    <cellStyle name="SAPBEXexcCritical4 3" xfId="1689"/>
    <cellStyle name="SAPBEXexcCritical4 3 2" xfId="1690"/>
    <cellStyle name="SAPBEXexcCritical4 3 3" xfId="1691"/>
    <cellStyle name="SAPBEXexcCritical4 3 4" xfId="1692"/>
    <cellStyle name="SAPBEXexcCritical4 3 5" xfId="1693"/>
    <cellStyle name="差_账项明细表" xfId="1694"/>
    <cellStyle name="SAPBEXexcCritical4 3 7" xfId="1695"/>
    <cellStyle name="SAPBEXexcCritical4 4" xfId="1696"/>
    <cellStyle name="常规 2 10" xfId="1697"/>
    <cellStyle name="SAPBEXexcCritical4 5" xfId="1698"/>
    <cellStyle name="常规 2 11" xfId="1699"/>
    <cellStyle name="SAPBEXexcCritical4 6" xfId="1700"/>
    <cellStyle name="常规 2 12" xfId="1701"/>
    <cellStyle name="SAPBEXexcCritical4 7" xfId="1702"/>
    <cellStyle name="常规 2 13" xfId="1703"/>
    <cellStyle name="SAPBEXexcCritical4 8" xfId="1704"/>
    <cellStyle name="常规 2 14" xfId="1705"/>
    <cellStyle name="SAPBEXexcCritical4 9" xfId="1706"/>
    <cellStyle name="SAPBEXresItem 3 8" xfId="1707"/>
    <cellStyle name="SAPBEXstdItem 6" xfId="1708"/>
    <cellStyle name="SAPBEXexcCritical5" xfId="1709"/>
    <cellStyle name="SAPBEXexcCritical5 2" xfId="1710"/>
    <cellStyle name="SAPBEXundefined 3 3" xfId="1711"/>
    <cellStyle name="SAPBEXexcCritical5 2 2" xfId="1712"/>
    <cellStyle name="SAPBEXHLevel2 11" xfId="1713"/>
    <cellStyle name="SAPBEXexcGood1 2 8" xfId="1714"/>
    <cellStyle name="SAPBEXHLevel1X 2 2 7" xfId="1715"/>
    <cellStyle name="SAPBEXexcCritical5 2 2 4" xfId="1716"/>
    <cellStyle name="SAPBEXexcCritical5 2 2 5" xfId="1717"/>
    <cellStyle name="SAPBEXexcCritical5 2 2 7" xfId="1718"/>
    <cellStyle name="SAPBEXexcCritical5 2 2 8" xfId="1719"/>
    <cellStyle name="SAPBEXexcGood1 2 9" xfId="1720"/>
    <cellStyle name="SAPBEXHLevel1X 2 2 8" xfId="1721"/>
    <cellStyle name="SAPBEXundefined 3 4" xfId="1722"/>
    <cellStyle name="SAPBEXexcCritical5 2 3" xfId="1723"/>
    <cellStyle name="SAPBEXundefined 3 5" xfId="1724"/>
    <cellStyle name="SAPBEXexcCritical5 2 4" xfId="1725"/>
    <cellStyle name="SAPBEXundefined 3 6" xfId="1726"/>
    <cellStyle name="SAPBEXexcCritical5 2 5" xfId="1727"/>
    <cellStyle name="SAPBEXundefined 3 7" xfId="1728"/>
    <cellStyle name="SAPBEXexcCritical5 2 6" xfId="1729"/>
    <cellStyle name="SAPBEXundefined 3 8" xfId="1730"/>
    <cellStyle name="SAPBEXexcCritical5 2 7" xfId="1731"/>
    <cellStyle name="SAPBEXexcCritical5 2 8" xfId="1732"/>
    <cellStyle name="SAPBEXexcCritical5 3" xfId="1733"/>
    <cellStyle name="SAPBEXexcGood1 3 8" xfId="1734"/>
    <cellStyle name="SAPBEXexcCritical5 3 2" xfId="1735"/>
    <cellStyle name="SAPBEXexcCritical5 3 3" xfId="1736"/>
    <cellStyle name="SAPBEXexcCritical5 3 4" xfId="1737"/>
    <cellStyle name="SAPBEXexcCritical5 3 6" xfId="1738"/>
    <cellStyle name="SAPBEXexcCritical5 3 7" xfId="1739"/>
    <cellStyle name="SAPBEXexcCritical5 3 8" xfId="1740"/>
    <cellStyle name="SAPBEXexcCritical5 4" xfId="1741"/>
    <cellStyle name="SAPBEXexcCritical5 5" xfId="1742"/>
    <cellStyle name="SAPBEXexcCritical5 6" xfId="1743"/>
    <cellStyle name="SAPBEXexcCritical5 7" xfId="1744"/>
    <cellStyle name="SAPBEXresItem 2" xfId="1745"/>
    <cellStyle name="SAPBEXexcCritical5 8" xfId="1746"/>
    <cellStyle name="SAPBEXresItem 3" xfId="1747"/>
    <cellStyle name="SAPBEXexcCritical5 9" xfId="1748"/>
    <cellStyle name="SAPBEXresItem 4" xfId="1749"/>
    <cellStyle name="SAPBEXexcCritical6 10" xfId="1750"/>
    <cellStyle name="SAPBEXexcCritical6 11" xfId="1751"/>
    <cellStyle name="SAPBEXexcCritical6 2 2 2" xfId="1752"/>
    <cellStyle name="SAPBEXexcCritical6 2 2 4" xfId="1753"/>
    <cellStyle name="SAPBEXexcCritical6 2 2 5" xfId="1754"/>
    <cellStyle name="SAPBEXexcCritical6 2 2 6" xfId="1755"/>
    <cellStyle name="SAPBEXexcCritical6 2 2 7" xfId="1756"/>
    <cellStyle name="SAPBEXexcCritical6 2 2 8" xfId="1757"/>
    <cellStyle name="常规 5" xfId="1758"/>
    <cellStyle name="SAPBEXexcCritical6 2 7" xfId="1759"/>
    <cellStyle name="常规 6" xfId="1760"/>
    <cellStyle name="SAPBEXexcCritical6 2 8" xfId="1761"/>
    <cellStyle name="SAPBEXheaderItem" xfId="1762"/>
    <cellStyle name="常规 7" xfId="1763"/>
    <cellStyle name="SAPBEXexcCritical6 2 9" xfId="1764"/>
    <cellStyle name="SAPBEXexcCritical6 3" xfId="1765"/>
    <cellStyle name="SAPBEXexcGood2 3 8" xfId="1766"/>
    <cellStyle name="SAPBEXexcCritical6 3 2" xfId="1767"/>
    <cellStyle name="SAPBEXexcCritical6 4" xfId="1768"/>
    <cellStyle name="SAPBEXfilterItem" xfId="1769"/>
    <cellStyle name="SAPBEXexcCritical6 6" xfId="1770"/>
    <cellStyle name="SAPBEXexcCritical6 7" xfId="1771"/>
    <cellStyle name="SAPBEXexcCritical6 8" xfId="1772"/>
    <cellStyle name="SAPBEXexcCritical6 9" xfId="1773"/>
    <cellStyle name="SAPBEXexcGood1 2" xfId="1774"/>
    <cellStyle name="SAPBEXexcGood1 2 2" xfId="1775"/>
    <cellStyle name="SAPBEXresData 2 6" xfId="1776"/>
    <cellStyle name="SAPBEXexcGood1 2 2 2" xfId="1777"/>
    <cellStyle name="SAPBEXresData 2 7" xfId="1778"/>
    <cellStyle name="SAPBEXexcGood1 2 2 3" xfId="1779"/>
    <cellStyle name="SAPBEXresData 2 8" xfId="1780"/>
    <cellStyle name="SAPBEXexcGood1 2 2 4" xfId="1781"/>
    <cellStyle name="SAPBEXexcGood1 3" xfId="1782"/>
    <cellStyle name="SAPBEXexcGood1 3 2" xfId="1783"/>
    <cellStyle name="SAPBEXexcGood1 3 6" xfId="1784"/>
    <cellStyle name="SAPBEXexcGood1 3 7" xfId="1785"/>
    <cellStyle name="SAPBEXexcGood1 4" xfId="1786"/>
    <cellStyle name="SAPBEXexcGood1 5" xfId="1787"/>
    <cellStyle name="SAPBEXexcGood1 6" xfId="1788"/>
    <cellStyle name="SAPBEXexcGood1 7" xfId="1789"/>
    <cellStyle name="SAPBEXexcGood2" xfId="1790"/>
    <cellStyle name="SAPBEXexcGood2 2" xfId="1791"/>
    <cellStyle name="SAPBEXexcGood2 2 2 2" xfId="1792"/>
    <cellStyle name="SAPBEXexcGood2 2 5" xfId="1793"/>
    <cellStyle name="SAPBEXexcGood2 3" xfId="1794"/>
    <cellStyle name="SAPBEXresDataEmph 2 8" xfId="1795"/>
    <cellStyle name="SAPBEXexcGood2 3 2" xfId="1796"/>
    <cellStyle name="SAPBEXHLevel0 2 6" xfId="1797"/>
    <cellStyle name="SAPBEXexcGood2 3 4" xfId="1798"/>
    <cellStyle name="SAPBEXHLevel0 2 8" xfId="1799"/>
    <cellStyle name="SAPBEXexcGood2 3 5" xfId="1800"/>
    <cellStyle name="SAPBEXHLevel0 2 9" xfId="1801"/>
    <cellStyle name="SAPBEXexcGood2 3 6" xfId="1802"/>
    <cellStyle name="SAPBEXexcGood2 3 7" xfId="1803"/>
    <cellStyle name="SAPBEXexcGood2 9" xfId="1804"/>
    <cellStyle name="SAPBEXexcGood3" xfId="1805"/>
    <cellStyle name="SAPBEXexcGood3 11" xfId="1806"/>
    <cellStyle name="SAPBEXexcGood3 2" xfId="1807"/>
    <cellStyle name="SAPBEXexcGood3 2 2" xfId="1808"/>
    <cellStyle name="SAPBEXresData 3 5" xfId="1809"/>
    <cellStyle name="SAPBEXexcGood3 2 2 2" xfId="1810"/>
    <cellStyle name="SAPBEXexcGood3 2 2 3" xfId="1811"/>
    <cellStyle name="SAPBEXexcGood3 2 2 4" xfId="1812"/>
    <cellStyle name="SAPBEXexcGood3 2 2 6" xfId="1813"/>
    <cellStyle name="SAPBEXexcGood3 2 2 7" xfId="1814"/>
    <cellStyle name="SAPBEXexcGood3 2 2 8" xfId="1815"/>
    <cellStyle name="SAPBEXexcGood3 3" xfId="1816"/>
    <cellStyle name="SAPBEXexcGood3 3 2" xfId="1817"/>
    <cellStyle name="SAPBEXHLevel1 2 6" xfId="1818"/>
    <cellStyle name="SAPBEXexcGood3 3 6" xfId="1819"/>
    <cellStyle name="SAPBEXexcGood3 4" xfId="1820"/>
    <cellStyle name="SAPBEXexcGood3 7" xfId="1821"/>
    <cellStyle name="SAPBEXexcGood3 8" xfId="1822"/>
    <cellStyle name="SAPBEXexcGood3 9" xfId="1823"/>
    <cellStyle name="SAPBEXfilterText" xfId="1824"/>
    <cellStyle name="SAPBEXformats" xfId="1825"/>
    <cellStyle name="SAPBEXformats 2" xfId="1826"/>
    <cellStyle name="SAPBEXformats 2 2" xfId="1827"/>
    <cellStyle name="SAPBEXformats 2 2 2" xfId="1828"/>
    <cellStyle name="SAPBEXformats 2 2 3" xfId="1829"/>
    <cellStyle name="SAPBEXformats 2 2 5" xfId="1830"/>
    <cellStyle name="SAPBEXformats 2 2 6" xfId="1831"/>
    <cellStyle name="SAPBEXformats 2 2 7" xfId="1832"/>
    <cellStyle name="SAPBEXformats 2 4" xfId="1833"/>
    <cellStyle name="SAPBEXformats 2 9" xfId="1834"/>
    <cellStyle name="SAPBEXformats 4" xfId="1835"/>
    <cellStyle name="SAPBEXformats 5" xfId="1836"/>
    <cellStyle name="SAPBEXformats 6" xfId="1837"/>
    <cellStyle name="差_2应收账款" xfId="1838"/>
    <cellStyle name="SAPBEXheaderText" xfId="1839"/>
    <cellStyle name="SAPBEXHLevel0 8" xfId="1840"/>
    <cellStyle name="SAPBEXHLevel0" xfId="1841"/>
    <cellStyle name="SAPBEXHLevel0 2" xfId="1842"/>
    <cellStyle name="SAPBEXresDataEmph 2 4" xfId="1843"/>
    <cellStyle name="SAPBEXHLevel0 2 2" xfId="1844"/>
    <cellStyle name="SAPBEXHLevel0 2 2 2" xfId="1845"/>
    <cellStyle name="SAPBEXHLevel0 2 2 3" xfId="1846"/>
    <cellStyle name="SAPBEXHLevel0 2 2 4" xfId="1847"/>
    <cellStyle name="SAPBEXHLevel0 2 2 5" xfId="1848"/>
    <cellStyle name="SAPBEXresDataEmph 2 5" xfId="1849"/>
    <cellStyle name="SAPBEXHLevel0 2 3" xfId="1850"/>
    <cellStyle name="SAPBEXresDataEmph 2 6" xfId="1851"/>
    <cellStyle name="SAPBEXHLevel0 2 4" xfId="1852"/>
    <cellStyle name="SAPBEXresDataEmph 2 7" xfId="1853"/>
    <cellStyle name="SAPBEXHLevel0 2 5" xfId="1854"/>
    <cellStyle name="SAPBEXHLevel0 3" xfId="1855"/>
    <cellStyle name="SAPBEXresDataEmph 3 4" xfId="1856"/>
    <cellStyle name="常规 2 6" xfId="1857"/>
    <cellStyle name="SAPBEXHLevel0 3 2" xfId="1858"/>
    <cellStyle name="SAPBEXresDataEmph 3 5" xfId="1859"/>
    <cellStyle name="常规 2 7" xfId="1860"/>
    <cellStyle name="SAPBEXHLevel0 3 3" xfId="1861"/>
    <cellStyle name="SAPBEXresDataEmph 3 6" xfId="1862"/>
    <cellStyle name="常规 2 8" xfId="1863"/>
    <cellStyle name="SAPBEXHLevel0 3 4" xfId="1864"/>
    <cellStyle name="SAPBEXresDataEmph 3 7" xfId="1865"/>
    <cellStyle name="常规 2 9" xfId="1866"/>
    <cellStyle name="SAPBEXHLevel0 3 5" xfId="1867"/>
    <cellStyle name="SAPBEXHLevel0 3 8" xfId="1868"/>
    <cellStyle name="SAPBEXHLevel0 4" xfId="1869"/>
    <cellStyle name="SAPBEXHLevel0 5" xfId="1870"/>
    <cellStyle name="SAPBEXHLevel0 6" xfId="1871"/>
    <cellStyle name="SAPBEXHLevel0 7" xfId="1872"/>
    <cellStyle name="SAPBEXHLevel1" xfId="1873"/>
    <cellStyle name="SAPBEXHLevel0 9" xfId="1874"/>
    <cellStyle name="SAPBEXHLevel0X 2" xfId="1875"/>
    <cellStyle name="SAPBEXHLevel0X 2 2 4" xfId="1876"/>
    <cellStyle name="SAPBEXHLevel0X 2 2 5" xfId="1877"/>
    <cellStyle name="SAPBEXHLevel0X 2 2 6" xfId="1878"/>
    <cellStyle name="SAPBEXHLevel0X 2 2 8" xfId="1879"/>
    <cellStyle name="SAPBEXHLevel0X 2 3" xfId="1880"/>
    <cellStyle name="SAPBEXHLevel0X 2 4" xfId="1881"/>
    <cellStyle name="SAPBEXHLevel0X 2 5" xfId="1882"/>
    <cellStyle name="SAPBEXHLevel0X 2 6" xfId="1883"/>
    <cellStyle name="SAPBEXHLevel0X 2 7" xfId="1884"/>
    <cellStyle name="SAPBEXHLevel0X 2 8" xfId="1885"/>
    <cellStyle name="SAPBEXHLevel0X 2 9" xfId="1886"/>
    <cellStyle name="SAPBEXHLevel0X 3" xfId="1887"/>
    <cellStyle name="SAPBEXresDataEmph 2 2 7" xfId="1888"/>
    <cellStyle name="SAPBEXHLevel0X 3 2" xfId="1889"/>
    <cellStyle name="SAPBEXHLevel0X 3 5" xfId="1890"/>
    <cellStyle name="SAPBEXHLevel0X 3 6" xfId="1891"/>
    <cellStyle name="SAPBEXHLevel0X 3 7" xfId="1892"/>
    <cellStyle name="好_其他应付款" xfId="1893"/>
    <cellStyle name="SAPBEXHLevel0X 3 8" xfId="1894"/>
    <cellStyle name="SAPBEXHLevel0X 4" xfId="1895"/>
    <cellStyle name="SAPBEXHLevel0X 5" xfId="1896"/>
    <cellStyle name="SAPBEXHLevel0X 7" xfId="1897"/>
    <cellStyle name="SAPBEXHLevel0X 8" xfId="1898"/>
    <cellStyle name="SAPBEXHLevel1 10" xfId="1899"/>
    <cellStyle name="SAPBEXstdDataEmph 3 8" xfId="1900"/>
    <cellStyle name="SAPBEXHLevel1 11" xfId="1901"/>
    <cellStyle name="SAPBEXHLevel1 2" xfId="1902"/>
    <cellStyle name="SAPBEXHLevel1 2 2 2" xfId="1903"/>
    <cellStyle name="SAPBEXHLevel1 2 2 3" xfId="1904"/>
    <cellStyle name="SAPBEXHLevel1 2 2 4" xfId="1905"/>
    <cellStyle name="SAPBEXHLevel1 2 2 5" xfId="1906"/>
    <cellStyle name="SAPBEXHLevel1 2 2 6" xfId="1907"/>
    <cellStyle name="SAPBEXHLevel1 2 2 7" xfId="1908"/>
    <cellStyle name="常规 2 2 2 2" xfId="1909"/>
    <cellStyle name="SAPBEXHLevel1 2 2 8" xfId="1910"/>
    <cellStyle name="SAPBEXHLevel1 2 4" xfId="1911"/>
    <cellStyle name="SAPBEXHLevel1 2 5" xfId="1912"/>
    <cellStyle name="SAPBEXHLevel1 3 2" xfId="1913"/>
    <cellStyle name="SAPBEXHLevel1 3 3" xfId="1914"/>
    <cellStyle name="SAPBEXHLevel1 3 4" xfId="1915"/>
    <cellStyle name="SAPBEXHLevel1 3 5" xfId="1916"/>
    <cellStyle name="SAPBEXHLevel1 3 6" xfId="1917"/>
    <cellStyle name="SAPBEXHLevel1 3 8" xfId="1918"/>
    <cellStyle name="SAPBEXHLevel1 4" xfId="1919"/>
    <cellStyle name="SAPBEXHLevel1 6" xfId="1920"/>
    <cellStyle name="SAPBEXHLevel1X 3 5" xfId="1921"/>
    <cellStyle name="SAPBEXundefined 2 2" xfId="1922"/>
    <cellStyle name="SAPBEXHLevel1X 3 6" xfId="1923"/>
    <cellStyle name="SAPBEXundefined 2 3" xfId="1924"/>
    <cellStyle name="SAPBEXHLevel1X 3 7" xfId="1925"/>
    <cellStyle name="SAPBEXundefined 2 4" xfId="1926"/>
    <cellStyle name="SAPBEXHLevel1X 3 8" xfId="1927"/>
    <cellStyle name="SAPBEXHLevel2" xfId="1928"/>
    <cellStyle name="SAPBEXHLevel2 2 2 2" xfId="1929"/>
    <cellStyle name="SAPBEXHLevel2 2 2 3" xfId="1930"/>
    <cellStyle name="SAPBEXHLevel2 2 2 4" xfId="1931"/>
    <cellStyle name="SAPBEXHLevel2 2 2 5" xfId="1932"/>
    <cellStyle name="SAPBEXHLevel2 2 2 6" xfId="1933"/>
    <cellStyle name="SAPBEXHLevel2 2 2 7" xfId="1934"/>
    <cellStyle name="常规 3 2 2 2" xfId="1935"/>
    <cellStyle name="SAPBEXHLevel2 2 2 8" xfId="1936"/>
    <cellStyle name="SAPBEXHLevel2 2 8" xfId="1937"/>
    <cellStyle name="SAPBEXstdDataEmph 2 7" xfId="1938"/>
    <cellStyle name="SAPBEXHLevel2 2 9" xfId="1939"/>
    <cellStyle name="SAPBEXstdDataEmph 2 8" xfId="1940"/>
    <cellStyle name="SAPBEXHLevel2 3 2" xfId="1941"/>
    <cellStyle name="SAPBEXHLevel2 3 3" xfId="1942"/>
    <cellStyle name="SAPBEXstdDataEmph 3 2" xfId="1943"/>
    <cellStyle name="SAPBEXHLevel2 3 4" xfId="1944"/>
    <cellStyle name="SAPBEXstdDataEmph 3 3" xfId="1945"/>
    <cellStyle name="SAPBEXHLevel2 3 8" xfId="1946"/>
    <cellStyle name="SAPBEXstdDataEmph 3 7" xfId="1947"/>
    <cellStyle name="SAPBEXHLevel2 7" xfId="1948"/>
    <cellStyle name="SAPBEXHLevel2 8" xfId="1949"/>
    <cellStyle name="SAPBEXHLevel2 9" xfId="1950"/>
    <cellStyle name="SAPBEXHLevel2X" xfId="1951"/>
    <cellStyle name="SAPBEXHLevel2X 2" xfId="1952"/>
    <cellStyle name="SAPBEXHLevel2X 2 2 4" xfId="1953"/>
    <cellStyle name="SAPBEXHLevel2X 2 2 6" xfId="1954"/>
    <cellStyle name="SAPBEXHLevel2X 2 2 7" xfId="1955"/>
    <cellStyle name="SAPBEXHLevel2X 2 2 8" xfId="1956"/>
    <cellStyle name="SAPBEXHLevel2X 2 3" xfId="1957"/>
    <cellStyle name="SAPBEXHLevel2X 2 4" xfId="1958"/>
    <cellStyle name="SAPBEXHLevel2X 2 5" xfId="1959"/>
    <cellStyle name="SAPBEXHLevel2X 2 6" xfId="1960"/>
    <cellStyle name="SAPBEXHLevel2X 3" xfId="1961"/>
    <cellStyle name="SAPBEXHLevel2X 3 2" xfId="1962"/>
    <cellStyle name="SAPBEXHLevel2X 3 3" xfId="1963"/>
    <cellStyle name="SAPBEXHLevel2X 3 4" xfId="1964"/>
    <cellStyle name="SAPBEXHLevel2X 3 5" xfId="1965"/>
    <cellStyle name="SAPBEXresData 2 2 2" xfId="1966"/>
    <cellStyle name="SAPBEXHLevel2X 3 6" xfId="1967"/>
    <cellStyle name="SAPBEXresData 2 2 3" xfId="1968"/>
    <cellStyle name="SAPBEXHLevel2X 3 7" xfId="1969"/>
    <cellStyle name="SAPBEXresData 2 2 4" xfId="1970"/>
    <cellStyle name="だ_laroux" xfId="1971"/>
    <cellStyle name="SAPBEXHLevel2X 3 8" xfId="1972"/>
    <cellStyle name="SAPBEXresData 2 2 5" xfId="1973"/>
    <cellStyle name="SAPBEXHLevel2X 7" xfId="1974"/>
    <cellStyle name="SAPBEXHLevel2X 8" xfId="1975"/>
    <cellStyle name="SAPBEXHLevel2X 9" xfId="1976"/>
    <cellStyle name="SAPBEXHLevel3" xfId="1977"/>
    <cellStyle name="SAPBEXHLevel3 10" xfId="1978"/>
    <cellStyle name="SAPBEXstdData 2 9" xfId="1979"/>
    <cellStyle name="SAPBEXHLevel3 11" xfId="1980"/>
    <cellStyle name="SAPBEXresItem 2 2" xfId="1981"/>
    <cellStyle name="SAPBEXHLevel3 2 2 2" xfId="1982"/>
    <cellStyle name="SAPBEXHLevel3 2 2 3" xfId="1983"/>
    <cellStyle name="SAPBEXHLevel3 2 2 4" xfId="1984"/>
    <cellStyle name="SAPBEXHLevel3 2 2 5" xfId="1985"/>
    <cellStyle name="常规 6 2" xfId="1986"/>
    <cellStyle name="SAPBEXHLevel3 2 2 6" xfId="1987"/>
    <cellStyle name="SAPBEXHLevel3 2 2 7" xfId="1988"/>
    <cellStyle name="SAPBEXHLevel3 2 2 8" xfId="1989"/>
    <cellStyle name="SAPBEXHLevel3 3" xfId="1990"/>
    <cellStyle name="SAPBEXHLevel3 3 2" xfId="1991"/>
    <cellStyle name="SAPBEXHLevel3 3 3" xfId="1992"/>
    <cellStyle name="SAPBEXHLevel3 4" xfId="1993"/>
    <cellStyle name="SAPBEXHLevel3 6" xfId="1994"/>
    <cellStyle name="SAPBEXHLevel3 7" xfId="1995"/>
    <cellStyle name="SAPBEXHLevel3 8" xfId="1996"/>
    <cellStyle name="SAPBEXHLevel3 9" xfId="1997"/>
    <cellStyle name="SAPBEXHLevel3X 2 2 2" xfId="1998"/>
    <cellStyle name="SAPBEXHLevel3X 2 3" xfId="1999"/>
    <cellStyle name="SAPBEXHLevel3X 2 4" xfId="2000"/>
    <cellStyle name="SAPBEXstdData 10" xfId="2001"/>
    <cellStyle name="SAPBEXHLevel3X 2 5" xfId="2002"/>
    <cellStyle name="SAPBEXstdData 11" xfId="2003"/>
    <cellStyle name="SAPBEXHLevel3X 2 6" xfId="2004"/>
    <cellStyle name="SAPBEXHLevel3X 2 7" xfId="2005"/>
    <cellStyle name="SAPBEXHLevel3X 2 9" xfId="2006"/>
    <cellStyle name="SAPBEXHLevel3X 3 2" xfId="2007"/>
    <cellStyle name="SAPBEXHLevel3X 3 3" xfId="2008"/>
    <cellStyle name="SAPBEXHLevel3X 3 4" xfId="2009"/>
    <cellStyle name="SAPBEXHLevel3X 3 5" xfId="2010"/>
    <cellStyle name="SAPBEXHLevel3X 3 6" xfId="2011"/>
    <cellStyle name="SAPBEXHLevel3X 7" xfId="2012"/>
    <cellStyle name="SAPBEXHLevel3X 8" xfId="2013"/>
    <cellStyle name="SAPBEXstdData 2 2 2" xfId="2014"/>
    <cellStyle name="SAPBEXHLevel3X 9" xfId="2015"/>
    <cellStyle name="SAPBEXstdData 2 2 3" xfId="2016"/>
    <cellStyle name="SAPBEXresData" xfId="2017"/>
    <cellStyle name="SAPBEXresData 10" xfId="2018"/>
    <cellStyle name="SAPBEXresData 11" xfId="2019"/>
    <cellStyle name="SAPBEXresData 2 2" xfId="2020"/>
    <cellStyle name="SAPBEXresData 2 2 6" xfId="2021"/>
    <cellStyle name="SAPBEXresData 2 2 7" xfId="2022"/>
    <cellStyle name="SAPBEXresData 2 2 8" xfId="2023"/>
    <cellStyle name="SAPBEXresData 2 3" xfId="2024"/>
    <cellStyle name="SAPBEXresData 2 4" xfId="2025"/>
    <cellStyle name="SAPBEXresData 2 5" xfId="2026"/>
    <cellStyle name="SAPBEXresData 3 2" xfId="2027"/>
    <cellStyle name="SAPBEXresData 3 3" xfId="2028"/>
    <cellStyle name="SAPBEXresData 3 4" xfId="2029"/>
    <cellStyle name="SAPBEXresData 4" xfId="2030"/>
    <cellStyle name="SAPBEXresData 5" xfId="2031"/>
    <cellStyle name="SAPBEXresData 6" xfId="2032"/>
    <cellStyle name="SAPBEXresData 7" xfId="2033"/>
    <cellStyle name="SAPBEXresDataEmph" xfId="2034"/>
    <cellStyle name="SAPBEXresDataEmph 10" xfId="2035"/>
    <cellStyle name="SAPBEXresDataEmph 11" xfId="2036"/>
    <cellStyle name="SAPBEXresDataEmph 2" xfId="2037"/>
    <cellStyle name="SAPBEXresDataEmph 2 2" xfId="2038"/>
    <cellStyle name="SAPBEXresDataEmph 2 3" xfId="2039"/>
    <cellStyle name="SAPBEXresDataEmph 3" xfId="2040"/>
    <cellStyle name="SAPBEXresDataEmph 3 2" xfId="2041"/>
    <cellStyle name="SAPBEXresDataEmph 4" xfId="2042"/>
    <cellStyle name="SAPBEXresDataEmph 5" xfId="2043"/>
    <cellStyle name="SAPBEXresDataEmph 6" xfId="2044"/>
    <cellStyle name="SAPBEXresDataEmph 7" xfId="2045"/>
    <cellStyle name="SAPBEXresDataEmph 8" xfId="2046"/>
    <cellStyle name="SAPBEXresDataEmph 9" xfId="2047"/>
    <cellStyle name="SAPBEXresItem 2 2 2" xfId="2048"/>
    <cellStyle name="SAPBEXresItem 2 2 3" xfId="2049"/>
    <cellStyle name="SAPBEXresItem 2 2 4" xfId="2050"/>
    <cellStyle name="SAPBEXresItem 2 2 6" xfId="2051"/>
    <cellStyle name="常规 3 2_3" xfId="2052"/>
    <cellStyle name="SAPBEXresItem 2 2 7" xfId="2053"/>
    <cellStyle name="SAPBEXresItem 2 2 8" xfId="2054"/>
    <cellStyle name="SAPBEXresItem 2 6" xfId="2055"/>
    <cellStyle name="SAPBEXresItem 2 7" xfId="2056"/>
    <cellStyle name="SAPBEXresItem 2 8" xfId="2057"/>
    <cellStyle name="SAPBEXresItem 2 9" xfId="2058"/>
    <cellStyle name="SAPBEXresItem 3 2" xfId="2059"/>
    <cellStyle name="SAPBEXresItem 5" xfId="2060"/>
    <cellStyle name="SAPBEXresItem 7" xfId="2061"/>
    <cellStyle name="SAPBEXresItem 8" xfId="2062"/>
    <cellStyle name="SAPBEXtitle" xfId="2063"/>
    <cellStyle name="SAPBEXresItem 9" xfId="2064"/>
    <cellStyle name="SAPBEXresItemX 10" xfId="2065"/>
    <cellStyle name="SAPBEXresItemX 11" xfId="2066"/>
    <cellStyle name="SAPBEXresItemX 2" xfId="2067"/>
    <cellStyle name="SAPBEXresItemX 2 2" xfId="2068"/>
    <cellStyle name="SAPBEXresItemX 2 2 2" xfId="2069"/>
    <cellStyle name="SAPBEXstdData 6" xfId="2070"/>
    <cellStyle name="SAPBEXresItemX 2 3" xfId="2071"/>
    <cellStyle name="SAPBEXresItemX 2 4" xfId="2072"/>
    <cellStyle name="SAPBEXresItemX 2 5" xfId="2073"/>
    <cellStyle name="SAPBEXresItemX 2 6" xfId="2074"/>
    <cellStyle name="SAPBEXresItemX 2 7" xfId="2075"/>
    <cellStyle name="SAPBEXresItemX 2 8" xfId="2076"/>
    <cellStyle name="SAPBEXresItemX 2 9" xfId="2077"/>
    <cellStyle name="SAPBEXresItemX 3" xfId="2078"/>
    <cellStyle name="SAPBEXresItemX 3 7" xfId="2079"/>
    <cellStyle name="SAPBEXresItemX 3 8" xfId="2080"/>
    <cellStyle name="SAPBEXresItemX 7" xfId="2081"/>
    <cellStyle name="SAPBEXresItemX 8" xfId="2082"/>
    <cellStyle name="SAPBEXstdData" xfId="2083"/>
    <cellStyle name="SAPBEXstdData 2" xfId="2084"/>
    <cellStyle name="SAPBEXstdData 2 2" xfId="2085"/>
    <cellStyle name="SAPBEXstdData 2 2 4" xfId="2086"/>
    <cellStyle name="SAPBEXstdData 2 2 6" xfId="2087"/>
    <cellStyle name="SAPBEXstdData 2 2 7" xfId="2088"/>
    <cellStyle name="SAPBEXstdData 2 2 8" xfId="2089"/>
    <cellStyle name="SAPBEXstdData 2 3" xfId="2090"/>
    <cellStyle name="SAPBEXstdData 2 4" xfId="2091"/>
    <cellStyle name="SAPBEXstdData 3" xfId="2092"/>
    <cellStyle name="SAPBEXstdData 3 2" xfId="2093"/>
    <cellStyle name="SAPBEXstdData 4" xfId="2094"/>
    <cellStyle name="SAPBEXstdData 5" xfId="2095"/>
    <cellStyle name="SAPBEXstdDataEmph 2" xfId="2096"/>
    <cellStyle name="SAPBEXstdDataEmph 2 2 2" xfId="2097"/>
    <cellStyle name="SAPBEXstdDataEmph 2 2 3" xfId="2098"/>
    <cellStyle name="SAPBEXstdDataEmph 2 2 4" xfId="2099"/>
    <cellStyle name="SAPBEXstdDataEmph 3" xfId="2100"/>
    <cellStyle name="SAPBEXstdDataEmph 4" xfId="2101"/>
    <cellStyle name="SAPBEXstdDataEmph 8" xfId="2102"/>
    <cellStyle name="SAPBEXstdDataEmph 9" xfId="2103"/>
    <cellStyle name="SAPBEXstdItem 2 2" xfId="2104"/>
    <cellStyle name="SAPBEXstdItem 2 2 4" xfId="2105"/>
    <cellStyle name="SAPBEXstdItem 2 2 5" xfId="2106"/>
    <cellStyle name="SAPBEXstdItem 2 2 7" xfId="2107"/>
    <cellStyle name="SAPBEXstdItem 2 3" xfId="2108"/>
    <cellStyle name="SAPBEXstdItem 2 4" xfId="2109"/>
    <cellStyle name="SAPBEXstdItem 2 5" xfId="2110"/>
    <cellStyle name="SAPBEXstdItem 2 6" xfId="2111"/>
    <cellStyle name="SAPBEXstdItem 2 7" xfId="2112"/>
    <cellStyle name="SAPBEXstdItem 2 8" xfId="2113"/>
    <cellStyle name="SAPBEXstdItem 2 9" xfId="2114"/>
    <cellStyle name="SAPBEXstdItem 3 5" xfId="2115"/>
    <cellStyle name="SAPBEXstdItem 3 6" xfId="2116"/>
    <cellStyle name="SAPBEXstdItem 3 7" xfId="2117"/>
    <cellStyle name="SAPBEXstdItem 3 8" xfId="2118"/>
    <cellStyle name="SAPBEXstdItem 4" xfId="2119"/>
    <cellStyle name="SAPBEXstdItem 9" xfId="2120"/>
    <cellStyle name="SAPBEXstdItemX" xfId="2121"/>
    <cellStyle name="SAPBEXstdItemX 10" xfId="2122"/>
    <cellStyle name="SAPBEXstdItemX 11" xfId="2123"/>
    <cellStyle name="SAPBEXstdItemX 2" xfId="2124"/>
    <cellStyle name="SAPBEXstdItemX 2 2" xfId="2125"/>
    <cellStyle name="SAPBEXstdItemX 2 2 2" xfId="2126"/>
    <cellStyle name="SAPBEXstdItemX 2 2 3" xfId="2127"/>
    <cellStyle name="SAPBEXstdItemX 2 2 4" xfId="2128"/>
    <cellStyle name="好_应收利息" xfId="2129"/>
    <cellStyle name="SAPBEXstdItemX 2 2 5" xfId="2130"/>
    <cellStyle name="SAPBEXstdItemX 2 2 6" xfId="2131"/>
    <cellStyle name="SAPBEXstdItemX 2 2 7" xfId="2132"/>
    <cellStyle name="SAPBEXstdItemX 2 2 8" xfId="2133"/>
    <cellStyle name="SAPBEXstdItemX 2 3" xfId="2134"/>
    <cellStyle name="SAPBEXstdItemX 2 4" xfId="2135"/>
    <cellStyle name="SAPBEXstdItemX 2 6" xfId="2136"/>
    <cellStyle name="SAPBEXstdItemX 2 7" xfId="2137"/>
    <cellStyle name="SAPBEXstdItemX 2 8" xfId="2138"/>
    <cellStyle name="SAPBEXstdItemX 2 9" xfId="2139"/>
    <cellStyle name="SAPBEXstdItemX 3" xfId="2140"/>
    <cellStyle name="SAPBEXstdItemX 3 2" xfId="2141"/>
    <cellStyle name="SAPBEXstdItemX 3 3" xfId="2142"/>
    <cellStyle name="SAPBEXstdItemX 3 4" xfId="2143"/>
    <cellStyle name="SAPBEXstdItemX 3 6" xfId="2144"/>
    <cellStyle name="SAPBEXstdItemX 3 7" xfId="2145"/>
    <cellStyle name="SAPBEXstdItemX 3 8" xfId="2146"/>
    <cellStyle name="SAPBEXstdItemX 5" xfId="2147"/>
    <cellStyle name="SAPBEXstdItemX 7" xfId="2148"/>
    <cellStyle name="SAPBEXstdItemX 8" xfId="2149"/>
    <cellStyle name="SAPBEXstdItemX 9" xfId="2150"/>
    <cellStyle name="SAPBEXundefined" xfId="2151"/>
    <cellStyle name="SAPBEXundefined 10" xfId="2152"/>
    <cellStyle name="SAPBEXundefined 11" xfId="2153"/>
    <cellStyle name="SAPBEXundefined 2" xfId="2154"/>
    <cellStyle name="SAPBEXundefined 2 2 2" xfId="2155"/>
    <cellStyle name="SAPBEXundefined 2 2 3" xfId="2156"/>
    <cellStyle name="SAPBEXundefined 2 2 4" xfId="2157"/>
    <cellStyle name="SAPBEXundefined 2 2 5" xfId="2158"/>
    <cellStyle name="SAPBEXundefined 2 2 6" xfId="2159"/>
    <cellStyle name="SAPBEXundefined 2 2 7" xfId="2160"/>
    <cellStyle name="SAPBEXundefined 2 2 8" xfId="2161"/>
    <cellStyle name="SAPBEXundefined 2 5" xfId="2162"/>
    <cellStyle name="SAPBEXundefined 2 6" xfId="2163"/>
    <cellStyle name="SAPBEXundefined 2 7" xfId="2164"/>
    <cellStyle name="SAPBEXundefined 2 8" xfId="2165"/>
    <cellStyle name="SAPBEXundefined 2 9" xfId="2166"/>
    <cellStyle name="SAPBEXundefined 3" xfId="2167"/>
    <cellStyle name="SAPBEXundefined 4" xfId="2168"/>
    <cellStyle name="SAPBEXundefined 5" xfId="2169"/>
    <cellStyle name="SAPBEXundefined 6" xfId="2170"/>
    <cellStyle name="常规 3 3 3" xfId="2171"/>
    <cellStyle name="SAPBEXundefined 8" xfId="2172"/>
    <cellStyle name="SAPBEXundefined 9" xfId="2173"/>
    <cellStyle name="section" xfId="2174"/>
    <cellStyle name="SOR" xfId="2175"/>
    <cellStyle name="SOR 2" xfId="2176"/>
    <cellStyle name="subhead" xfId="2177"/>
    <cellStyle name="Text Indent A" xfId="2178"/>
    <cellStyle name="Text Indent B" xfId="2179"/>
    <cellStyle name="Text Indent C" xfId="2180"/>
    <cellStyle name="Total 2" xfId="2181"/>
    <cellStyle name="Tusental (0)_pldt" xfId="2182"/>
    <cellStyle name="Tusental_pldt" xfId="2183"/>
    <cellStyle name="Valuta (0)_pldt" xfId="2184"/>
    <cellStyle name="パーセント_laroux" xfId="2185"/>
    <cellStyle name="千位分隔 4 2 5" xfId="2186"/>
    <cellStyle name="_PLDT" xfId="2187"/>
    <cellStyle name="_laroux" xfId="2188"/>
    <cellStyle name="だ_PLDT" xfId="2189"/>
    <cellStyle name="百分比 2" xfId="2190"/>
    <cellStyle name="百分比 2 2" xfId="2191"/>
    <cellStyle name="百分比 2 2 2" xfId="2192"/>
    <cellStyle name="百分比 2 3" xfId="2193"/>
    <cellStyle name="百分比 3" xfId="2194"/>
    <cellStyle name="百分比 3 2" xfId="2195"/>
    <cellStyle name="百分比 4" xfId="2196"/>
    <cellStyle name="百分比 4 2" xfId="2197"/>
    <cellStyle name="百分比 5" xfId="2198"/>
    <cellStyle name="捠壿 [0.00]_PRODUCT DETAIL Q1" xfId="2199"/>
    <cellStyle name="捠壿_PRODUCT DETAIL Q1" xfId="2200"/>
    <cellStyle name="標準_１１月価格表" xfId="2201"/>
    <cellStyle name="差_10存货" xfId="2202"/>
    <cellStyle name="差_19-无形资产（空白模板）" xfId="2203"/>
    <cellStyle name="差_3-2 进一步审计程序-采购与付款循环" xfId="2204"/>
    <cellStyle name="差_3-3 进一步审计程序-存货与生产循环" xfId="2205"/>
    <cellStyle name="差_49-营业收入（空白模板）" xfId="2206"/>
    <cellStyle name="差_4-应收账款（空白模板）" xfId="2207"/>
    <cellStyle name="差_51-营业税金及附加（空白模板）" xfId="2208"/>
    <cellStyle name="差_54-财务费用（空白模板）" xfId="2209"/>
    <cellStyle name="差_9管理费用" xfId="2210"/>
    <cellStyle name="差_dxn底稿目录" xfId="2211"/>
    <cellStyle name="差_Sheet1" xfId="2212"/>
    <cellStyle name="差_存货" xfId="2213"/>
    <cellStyle name="差_大信底稿目录" xfId="2214"/>
    <cellStyle name="差_底稿设置宏" xfId="2215"/>
    <cellStyle name="千位分隔 3 5" xfId="2216"/>
    <cellStyle name="差_货币资金" xfId="2217"/>
    <cellStyle name="差_货币资金 天职" xfId="2218"/>
    <cellStyle name="差_其他应付款" xfId="2219"/>
    <cellStyle name="差_其他应付款—YH" xfId="2220"/>
    <cellStyle name="差_无形资产" xfId="2221"/>
    <cellStyle name="差_应付账款" xfId="2222"/>
    <cellStyle name="差_应付职工薪酬" xfId="2223"/>
    <cellStyle name="差_应收账款" xfId="2224"/>
    <cellStyle name="常规 10" xfId="2225"/>
    <cellStyle name="常规 2- " xfId="2226"/>
    <cellStyle name="常规 2 15" xfId="2227"/>
    <cellStyle name="常规 2 2" xfId="2228"/>
    <cellStyle name="常规 2 2 2" xfId="2229"/>
    <cellStyle name="常规 2 2 2 2 2" xfId="2230"/>
    <cellStyle name="常规 2 2 2 3" xfId="2231"/>
    <cellStyle name="常规 2 2 3" xfId="2232"/>
    <cellStyle name="常规 2 2 3 2" xfId="2233"/>
    <cellStyle name="常规 2 3" xfId="2234"/>
    <cellStyle name="常规 2 3 2" xfId="2235"/>
    <cellStyle name="常规 2 4" xfId="2236"/>
    <cellStyle name="常规 2_10存货" xfId="2237"/>
    <cellStyle name="常规 3 2" xfId="2238"/>
    <cellStyle name="常规 3 2 2" xfId="2239"/>
    <cellStyle name="常规 3 3" xfId="2240"/>
    <cellStyle name="常规 3 4" xfId="2241"/>
    <cellStyle name="常规 3 5" xfId="2242"/>
    <cellStyle name="常规 3_1" xfId="2243"/>
    <cellStyle name="常规 4 2" xfId="2244"/>
    <cellStyle name="常规 4 3" xfId="2245"/>
    <cellStyle name="常规 5 2" xfId="2246"/>
    <cellStyle name="常规 8" xfId="2247"/>
    <cellStyle name="常规 9 2 2" xfId="2248"/>
    <cellStyle name="常规_ZA 货币资金" xfId="2249"/>
    <cellStyle name="超级链接_综合类底稿表格" xfId="2250"/>
    <cellStyle name="超链接 2 2" xfId="2251"/>
    <cellStyle name="超链接 2 3" xfId="2252"/>
    <cellStyle name="超链接 4 2" xfId="2253"/>
    <cellStyle name="好_10存货" xfId="2254"/>
    <cellStyle name="好_1财务费用" xfId="2255"/>
    <cellStyle name="好_1营业收入" xfId="2256"/>
    <cellStyle name="好_1资产减值损失" xfId="2257"/>
    <cellStyle name="好_2-交易性金融资产（空白模板）" xfId="2258"/>
    <cellStyle name="好_2应收账款" xfId="2259"/>
    <cellStyle name="好_3-2 进一步审计程序-采购与付款循环" xfId="2260"/>
    <cellStyle name="好_3-3 进一步审计程序-存货与生产循环" xfId="2261"/>
    <cellStyle name="好_49-营业收入（空白模板）" xfId="2262"/>
    <cellStyle name="好_4-应收账款（空白模板）" xfId="2263"/>
    <cellStyle name="好_51-营业税金及附加（空白模板）" xfId="2264"/>
    <cellStyle name="好_55-资产减值损失（空白模板）" xfId="2265"/>
    <cellStyle name="好_9管理费用" xfId="2266"/>
    <cellStyle name="好_ZA0货币资金审定表 " xfId="2267"/>
    <cellStyle name="好_资产负债类底稿模版" xfId="2268"/>
    <cellStyle name="好_财务费用" xfId="2269"/>
    <cellStyle name="好_存货" xfId="2270"/>
    <cellStyle name="好_存货 - 复制" xfId="2271"/>
    <cellStyle name="好_底稿设置宏" xfId="2272"/>
    <cellStyle name="好_底稿设置宏_大信底稿目录" xfId="2273"/>
    <cellStyle name="好_货币资金" xfId="2274"/>
    <cellStyle name="好_其他应付款—YH" xfId="2275"/>
    <cellStyle name="好_实收资本(股本)" xfId="2276"/>
    <cellStyle name="好_未分配利润" xfId="2277"/>
    <cellStyle name="好_无形资产" xfId="2278"/>
    <cellStyle name="好_银行函证结果汇总表" xfId="2279"/>
    <cellStyle name="好_应付账款" xfId="2280"/>
    <cellStyle name="好_应付职工薪酬" xfId="2281"/>
    <cellStyle name="好_账项明细表" xfId="2282"/>
    <cellStyle name="好_资产负债标准底稿" xfId="2283"/>
    <cellStyle name="好_资产负债标准底稿_大信底稿目录" xfId="2284"/>
    <cellStyle name="好_资产负债类底稿模版_大信底稿目录" xfId="2285"/>
    <cellStyle name="好_资产减值损失" xfId="2286"/>
    <cellStyle name="桁区切り_１１月価格表" xfId="2287"/>
    <cellStyle name="貨幣 [0]_SGV" xfId="2288"/>
    <cellStyle name="貨幣_SGV" xfId="2289"/>
    <cellStyle name="霓付_1202" xfId="2290"/>
    <cellStyle name="烹拳 [0]_1202" xfId="2291"/>
    <cellStyle name="砯刽_PLDT" xfId="2292"/>
    <cellStyle name="普通_ 白土" xfId="2293"/>
    <cellStyle name="千分位[0]_ 白土" xfId="2294"/>
    <cellStyle name="千位分隔 10" xfId="2295"/>
    <cellStyle name="千位分隔 2" xfId="2296"/>
    <cellStyle name="千位分隔 2 2" xfId="2297"/>
    <cellStyle name="千位分隔 2 2 2" xfId="2298"/>
    <cellStyle name="千位分隔 2 2 2 2" xfId="2299"/>
    <cellStyle name="千位分隔 2 2 2 3" xfId="2300"/>
    <cellStyle name="千位分隔 2 2 3" xfId="2301"/>
    <cellStyle name="千位分隔 2 2 4" xfId="2302"/>
    <cellStyle name="千位分隔 2 2 5" xfId="2303"/>
    <cellStyle name="千位分隔 2 3" xfId="2304"/>
    <cellStyle name="千位分隔 2 3 2" xfId="2305"/>
    <cellStyle name="千位分隔 2 3 4" xfId="2306"/>
    <cellStyle name="千位分隔 2 5" xfId="2307"/>
    <cellStyle name="千位分隔 2 6" xfId="2308"/>
    <cellStyle name="千位分隔 2 7" xfId="2309"/>
    <cellStyle name="千位分隔 2_1" xfId="2310"/>
    <cellStyle name="千位分隔 3" xfId="2311"/>
    <cellStyle name="千位分隔 3 2" xfId="2312"/>
    <cellStyle name="千位分隔 3 2 2" xfId="2313"/>
    <cellStyle name="千位分隔 3 2 3" xfId="2314"/>
    <cellStyle name="千位分隔 3 3" xfId="2315"/>
    <cellStyle name="千位分隔 3 4" xfId="2316"/>
    <cellStyle name="千位分隔 4" xfId="2317"/>
    <cellStyle name="千位分隔 4 2" xfId="2318"/>
    <cellStyle name="千位分隔 4 2 2" xfId="2319"/>
    <cellStyle name="千位分隔 4 2 2 2" xfId="2320"/>
    <cellStyle name="千位分隔 4 2 3" xfId="2321"/>
    <cellStyle name="千位分隔 4 2 4" xfId="2322"/>
    <cellStyle name="千位分隔 4 2_1" xfId="2323"/>
    <cellStyle name="千位分隔 4 3" xfId="2324"/>
    <cellStyle name="千位分隔 4 3 2" xfId="2325"/>
    <cellStyle name="千位分隔 4 4" xfId="2326"/>
    <cellStyle name="千位分隔 4 5" xfId="2327"/>
    <cellStyle name="千位分隔 4_1" xfId="2328"/>
    <cellStyle name="千位分隔 5" xfId="2329"/>
    <cellStyle name="千位分隔 5 2" xfId="2330"/>
    <cellStyle name="千位分隔 5 3" xfId="2331"/>
    <cellStyle name="千位分隔 5 4" xfId="2332"/>
    <cellStyle name="千位分隔 6" xfId="2333"/>
    <cellStyle name="千位分隔 6 2" xfId="2334"/>
    <cellStyle name="千位分隔 6 3" xfId="2335"/>
    <cellStyle name="千位分隔 7" xfId="2336"/>
    <cellStyle name="千位分隔 7 2" xfId="2337"/>
    <cellStyle name="千位分隔 7 3" xfId="2338"/>
    <cellStyle name="千位分隔 8" xfId="2339"/>
    <cellStyle name="千位分隔 8 2" xfId="2340"/>
    <cellStyle name="千位分隔 9" xfId="2341"/>
    <cellStyle name="千位分隔 9 2" xfId="2342"/>
    <cellStyle name="千位分隔[0] 2 2" xfId="2343"/>
    <cellStyle name="钎霖_(沥焊何巩)岿喊牢盔拌裙" xfId="2344"/>
    <cellStyle name="强调 3" xfId="2345"/>
    <cellStyle name="通貨_１１月価格表" xfId="2346"/>
    <cellStyle name="昗弨_BOOKSHIP" xfId="2347"/>
    <cellStyle name="寘嬫愗傝_PRODUCT DETAIL Q1" xfId="2348"/>
    <cellStyle name="资产" xfId="2349"/>
    <cellStyle name="资产 2 2" xfId="2350"/>
    <cellStyle name="资产 2 3" xfId="2351"/>
    <cellStyle name="资产 2 4" xfId="2352"/>
    <cellStyle name="资产 2 5" xfId="2353"/>
    <cellStyle name="资产 2 6" xfId="2354"/>
    <cellStyle name="资产 2 7" xfId="2355"/>
    <cellStyle name="资产 5" xfId="2356"/>
    <cellStyle name="资产 6" xfId="2357"/>
    <cellStyle name="资产 7" xfId="2358"/>
    <cellStyle name="资产 8" xfId="2359"/>
    <cellStyle name="콤마 [0]_BOILER-CO1" xfId="2360"/>
    <cellStyle name="콤마_BOILER-CO1" xfId="2361"/>
    <cellStyle name="표준_0N-HANDLING " xfId="2362"/>
    <cellStyle name="一般 2" xfId="2363"/>
    <cellStyle name="常规 9" xfId="2364"/>
    <cellStyle name="超連結 2" xfId="2365"/>
    <cellStyle name="常规 10 2" xfId="2366"/>
    <cellStyle name="Normal 15" xfId="2367"/>
    <cellStyle name="Normal 2 3 2 2 4" xfId="2368"/>
    <cellStyle name="Comma 41" xfId="2369"/>
    <cellStyle name="Percent 7" xfId="2370"/>
    <cellStyle name="Normal 121 2 5" xfId="2371"/>
    <cellStyle name="Normal 121 2 2 2 3" xfId="2372"/>
    <cellStyle name="常规 2 16" xfId="2373"/>
    <cellStyle name="常规 2 2 5" xfId="2374"/>
    <cellStyle name="常规 11" xfId="2375"/>
    <cellStyle name="Normal 103 3" xfId="2376"/>
    <cellStyle name="千位分隔 11" xfId="2377"/>
    <cellStyle name="Normal 2 3 6" xfId="2378"/>
    <cellStyle name="百分比 6" xfId="2379"/>
    <cellStyle name="千位分隔 6 4" xfId="2380"/>
    <cellStyle name="Normal 3 6" xfId="2381"/>
    <cellStyle name="Normal 121 2 2 2 4" xfId="2382"/>
    <cellStyle name="货币 2" xfId="2383"/>
    <cellStyle name="Comma 6 2 2 3" xfId="2384"/>
    <cellStyle name="Comma 4 4 2 2" xfId="2385"/>
    <cellStyle name="Normal 2 3 2 2 5" xfId="2386"/>
    <cellStyle name="百分比 6 2" xfId="2387"/>
    <cellStyle name="常规 3 6" xfId="2388"/>
    <cellStyle name="常规 12" xfId="2389"/>
    <cellStyle name="Normal 2 11" xfId="2390"/>
    <cellStyle name="Normal 2 2 4" xfId="2391"/>
    <cellStyle name="常规 8 4" xfId="2392"/>
    <cellStyle name="Percent 2 7" xfId="2393"/>
    <cellStyle name="Comma 2 14" xfId="2394"/>
    <cellStyle name="Normal 3 7" xfId="2395"/>
    <cellStyle name="常规 3 7" xfId="2396"/>
    <cellStyle name="Normal 9 4" xfId="2397"/>
    <cellStyle name="Good 2 4" xfId="2398"/>
    <cellStyle name="Comma [0] 2 8" xfId="2399"/>
    <cellStyle name="Normal 7 4 2" xfId="2400"/>
    <cellStyle name="evenStyle 2 2 2" xfId="2401"/>
    <cellStyle name="dataStyle 2 9" xfId="2402"/>
    <cellStyle name="dateStyle 2 8" xfId="2403"/>
    <cellStyle name="Normal 10 2" xfId="2404"/>
    <cellStyle name="Normal 2 2 2 3" xfId="2405"/>
    <cellStyle name="Normal 4 6" xfId="2406"/>
    <cellStyle name="千位分隔 2 2 6" xfId="2407"/>
    <cellStyle name="超链接 3 3" xfId="2408"/>
    <cellStyle name="百分比 4 3" xfId="2409"/>
    <cellStyle name="常规 9 3" xfId="2410"/>
    <cellStyle name="常规 3 2 3 2" xfId="2411"/>
    <cellStyle name="货币 2 2" xfId="2412"/>
    <cellStyle name="Normal 12 2 2" xfId="2413"/>
    <cellStyle name="超链接 3 2" xfId="2414"/>
    <cellStyle name="Comma 2 2 11" xfId="2415"/>
    <cellStyle name="Comma 2 2 6 3" xfId="2416"/>
    <cellStyle name="Normal 2 2 2 2 2" xfId="2417"/>
    <cellStyle name="Normal 4 3 4" xfId="2418"/>
    <cellStyle name="Hyperlink 5 2 2" xfId="2419"/>
    <cellStyle name="Normal 8 3 2" xfId="2420"/>
    <cellStyle name="20% - Accent1 2 2" xfId="2421"/>
    <cellStyle name="Comma 4 4 3" xfId="2422"/>
    <cellStyle name="Normal 103 2 2" xfId="2423"/>
    <cellStyle name="Comma 5 6" xfId="2424"/>
    <cellStyle name="Comma [0] 2 4 5" xfId="2425"/>
    <cellStyle name="Hyperlink 6 2" xfId="2426"/>
    <cellStyle name="Good 4 2" xfId="2427"/>
    <cellStyle name="Comma 8 6" xfId="2428"/>
    <cellStyle name="Normal 3 8" xfId="2429"/>
    <cellStyle name="常规 3 8" xfId="2430"/>
    <cellStyle name="Normal 15 2" xfId="2431"/>
    <cellStyle name="常规 12 2" xfId="2432"/>
    <cellStyle name="千位分隔 2 8" xfId="2433"/>
    <cellStyle name="Currency" xfId="2434" builtinId="4"/>
    <cellStyle name="Normal 12 2 2 2 2" xfId="2435"/>
    <cellStyle name="Normal 9 2 2" xfId="2436"/>
    <cellStyle name="Comma" xfId="2437" builtinId="3"/>
    <cellStyle name="Percent" xfId="2438" builtinId="5"/>
  </cellStyles>
  <dxfs count="20">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249885555589465"/>
        </patternFill>
      </fill>
    </dxf>
    <dxf>
      <fill>
        <patternFill patternType="solid">
          <bgColor theme="0" tint="-0.249885555589465"/>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border>
        <left style="thin">
          <color auto="1"/>
        </left>
        <right style="thin">
          <color auto="1"/>
        </right>
      </border>
    </dxf>
    <dxf>
      <border>
        <left style="thin">
          <color auto="1"/>
        </left>
        <right style="thin">
          <color auto="1"/>
        </right>
      </border>
    </dxf>
    <dxf>
      <fill>
        <patternFill patternType="solid">
          <bgColor theme="0" tint="-0.1494796594134342"/>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ableStyleMedium2" defaultPivotStyle="PivotStyleLight16">
    <tableStyle name="Table Style 1" pivot="0" count="6">
      <tableStyleElement type="wholeTable" dxfId="19"/>
      <tableStyleElement type="totalRow" dxfId="18"/>
      <tableStyleElement type="firstRowStripe" dxfId="17"/>
      <tableStyleElement type="secondRowStripe" dxfId="16"/>
      <tableStyleElement type="firstColumnStripe" dxfId="15"/>
      <tableStyleElement type="secondColumnStripe" dxfId="14"/>
    </tableStyle>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ive.atlas.ey.com/" TargetMode="External" Id="rId1" /></Relationships>
</file>

<file path=xl/worksheets/sheet1.xml><?xml version="1.0" encoding="utf-8"?>
<worksheet xmlns="http://schemas.openxmlformats.org/spreadsheetml/2006/main">
  <sheetPr codeName="Sheet1">
    <outlinePr summaryBelow="1" summaryRight="1"/>
    <pageSetUpPr/>
  </sheetPr>
  <dimension ref="A1:CP112"/>
  <sheetViews>
    <sheetView workbookViewId="0">
      <selection activeCell="A1" sqref="A1"/>
    </sheetView>
  </sheetViews>
  <sheetFormatPr baseColWidth="8" defaultColWidth="9" defaultRowHeight="13.5"/>
  <cols>
    <col width="0.125" customWidth="1" min="1" max="1"/>
  </cols>
  <sheetData>
    <row r="1">
      <c r="A1" t="inlineStr">
        <is>
          <t>4daea66c-6f39-4954-921d-bcb1ba240ee6</t>
        </is>
      </c>
    </row>
    <row r="6">
      <c r="E6" t="inlineStr">
        <is>
          <t>ABC7VtbbxvHFX4PkP9ACH3UCHPb2Zm+WbdEqGurloqiCAxhrgrr5a66XEYRCgPOQ5E2QZEGbZoCNdDoobWAtk4LuMgV8Z8JKeWpf6GzK5IiuUuK1CWWbemBIGfOmdv3zTdndo/+99XTN159pVb7Vf5Rq839INvbsXM/rM2t/Hxh497ebj02Cz9L0nvrcsemC8vWyVaUbbxpbTZfqzKZm+82tGbyVqiRVjKmAXNEACoCCgRGBiitkJKYQmtZ32WjpTaTTEYrsVSRzf2djJp2tHq1bqOi8b7j5uv+Z9yKol7BLdkoJtEd3obNsnq8XQz7ZIDNm1aWOllrLqZW3jPJbjxadSfZXUpacebLEcK90qUk6pUK2itcibN6VrdNX/jG3b6/bSRvWVNZt9FqNGS6t5lPfOz0T0w2sr3Idic5OO8bd9ZvJZmt7GI9TbZT2VitR9FSmjSbd6z7cWJsr5vc6v789FRYi3daMxABBxTxEDsQGiIBpVICDgMFGIQuFI4EBPJLJELnP+92Hnx1IdgHQQX0jFVBf1zUX9Gxq7oU1W2cLRSuewu31S+szuqurmVWT+KF1SRttCJ5XDu02EN+vckVvXR9NjKZZn7sa7Gxb/tOCRw0et2vgU0Hq9Fgdc95M+kbLted83Z40GwtbtoJndysN7PuaJZsFA1Ssqj/Scume81S8YaN/CJYU2C8Epe5XrZaGmdVDCFNGpvJaiS3y129mewuJqmf4Y3UwzlKi8LmuL7YdhUdHFNcSQsdcwYwgrXXOoiAglgBBwONMCOKEDJXtcCvtepFA1qFgjrKgeaKAioNBNJQv2U4wVjAgIZouIGV2Ay4O2OgIcwBy70TDQQEXCnu+4eSOa/DSIVD7usy9fQpBl9a2BHiYFHut493WPL0O6PViPsGI77DtWiIdJvHu6O0wnFs095mHl7EXILGAF/pUAhoToRe7Toaqr9pXbYuYxvlvKhsoZmlK5Ft+LXrjnau/Xj/6PH+4cH77S8/aP/m46P9gzEO+U6Q2RQufhmzVr4tvMo0diKb2aHqteayLQoH1Dv/uz9/5TSHTtYceiGaQ19SzTEhEyFnAQhDxwBVDgLFhAaCCS9HlFni5ETN4ZQwxX2AhqC2gDITAinDEAioFXMoDAJtJmiOttpgQxGwFEJAucWAW+ElyChHIObMUHtWzSETNIfic2kOecaSc+v8kpPHec1TVaZsdVZhOf7yggazM99rkAyIhMyCQFJ/VFvrw1nBKQiocSpUhgXSXGI4exMvQFgrYthSSJulrVlvM30NHgxpaW+TXO2QFgeDRqXjBZeDk8rjhQxv/ZHjBfNTjpeT2qGlOd/y5I3PskTdjRlJfzoVO6tHl83FrTsr6yXTY1kqDrtbPVNbtLpVN/kXVz8hfoXXUt/r6Mnf23/7+Nun+513Pi055MLXOy8kdAoFHAN/sCBACfcnjXYE+NjYSUSxpNiVGijW2zfSlb6hk7Tfw43NZLGsxyeojz8AhphxwptBg/vzLwzA29GW1Drf41txq6GmBPjw0YeHf3l8+PWf2h98NhFgQ7nSnEDAGPWXIOKQj0WkAgFUPjDgkjjHvw+A6TXAHuC8aHp427//3eGjf0+El3MqSYgUCJ0QgDokADeWe7T9mecCYrgip8I7XF2rkeGCC0A/eGnRd61Y52OQ0ZaNTT3e3lIykrG2WztlYKqo0Hn4z/YXT/LPz9/pPPxr5+E/JhIiEI5CSiWAWHJAKdL+AiIxkDYUTAsLA6JnJkR44YQIXyhCVE26ggyTzZYmmQ1CrIhAEoVezWEOsQsgEAqGAApLtHDOUCGvAMT8GuKzQ6y9qlOMgKOE+Wu8v9NIwygQjkHjz3NBILwCEItriM8MMXcmEMgFAEkGAZV+K3NliQdbBMoJbg0KrgDEQ0+DrzGeDWN/faI89OGYMMpvYyQ4kMwLt5YyYNISFMLZo7NLwBhfY3xmjKGyEGoKgXFEAWoMARxrBLBSBlqmTcjUzBgH02M8dwOVmq/C+OW9YU8IwelUIfi3n783SwgOOUfUMQWUDKkP0qj/xoUDiDCoBUROwNmVfRZGLE7HiFmv5Cc/xry8uVjGFO3OwJLVepTZ9LU0ae2URlMxojOOaqCX6cdW9FWw2DdR7NnYVNqcNocx8/i+51Kaz+3SU6uxUxpl7ojh2GlPmPq5pj/7zGeYfWG6lNZ9P3XZff+z8suWjCY6rMtUNtCsTw/KTeBCjU63I9XHXIXh1lrcfcJ+mv1PY5nu3d6xqcyStPeObG6cw/2xTV1DPuG0KjfxHEFeXXG3qrjCtkpGTpOQi1bOc4rmmEOgsBsk0M36vdJT477hCXF2d3rPmScbFxT57qOnPpJpf/PrzofvHT354vCPB5OdTuHLLFyZgSfVsvC8wmibzdvpRCkYQDNTW5F9y55iWmBZivaGbZ4RdBVbdrRoxKYU0y4vVoX808Skl5s5NDiC0vUrj77HjeqCkowC4RykwgDEJQIUBxBIlT/jD0KIqeBBoIeTSEaTjJz2TlJAwCyCgBIqgGCEAawhDymiCCI8KckIYsY45EAoKQHlJvRXXsOANQhxLYS26MxJRpiW+61Oepw9sXEo9eAZZBltTpFllCeNbB3tH3Q++XrYupxxNGB6at7R2Gb76UelhbhOPJom8ciEOvR0FyAgMAQUEQU4NRJgJQRiXBjI+5H6JSUe4QXU/tef2w8POg8edf77/tGnH11IXr3o5xsNJCEhXJmFdM2Gbsq5kMY5jYBlRgEv0RBwzjVwDjtKtLYOX+a/13TZIGvfPfht55PPjr75Q/vdLy/mH2xgBRmuuTCRC4wFToQCYJm/1jGa+wOaY0Cl0CjgAQo5umQuoAVUW/zR8kwMGExXHCQAp5VywJ93Crz6yt3/Aw==</t>
        </is>
      </c>
      <c r="Y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iOHTs2AQCAYRj2/9ddAr3BoAtKF0Nk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t>
        </is>
      </c>
      <c r="Z6" t="inlineStr">
        <is>
          <t>ABC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Vjx45NAABgGIb9/3WXQm4w6IKSxVBt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t>
        </is>
      </c>
      <c r="AA6" t="inlineStr">
        <is>
          <t>ABC/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xLFjxyYAADAMw/7/ukugNxh0QeliiK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t>
        </is>
      </c>
      <c r="AB6" t="inlineStr">
        <is>
          <t>ABC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cOzYsQkAAAzDsP+/7hLoDQZdULoYIj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t>
        </is>
      </c>
      <c r="AC6" t="inlineStr">
        <is>
          <t>ABC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sWPHJgAAMAzD/v+6S6A3GHRByWKo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t>
        </is>
      </c>
      <c r="AD6" t="inlineStr">
        <is>
          <t>ABC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t>
        </is>
      </c>
      <c r="AE6" t="inlineStr">
        <is>
          <t>ABC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duzYBAAAhmHY/193CfQGgy4oXQyR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t>
        </is>
      </c>
      <c r="AF6" t="inlineStr">
        <is>
          <t>ABC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rHjh2bAADAMAz7/+sugd5g0AWliyEC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t>
        </is>
      </c>
      <c r="AG6" t="inlineStr">
        <is>
          <t>ABC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o4dOzYBAIBhGPb/110CvcGgC0oXQwQ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t>
        </is>
      </c>
      <c r="AH6" t="inlineStr">
        <is>
          <t>A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Hzt2bAIAAMMw7P+vuxRyg0EXlCyGqh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t>
        </is>
      </c>
      <c r="AI6" t="inlineStr">
        <is>
          <t>ABC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t>
        </is>
      </c>
      <c r="AJ6" t="inlineStr">
        <is>
          <t>ABC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vCsWPHJgAAMAzD/v+6S6A3GHRB6WKI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t>
        </is>
      </c>
      <c r="AK6" t="inlineStr">
        <is>
          <t>AB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Bx7NixCQAADMOw/7/uEugNBl1Quhgi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t>
        </is>
      </c>
      <c r="AL6" t="inlineStr">
        <is>
          <t>ABC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OLYsWMTAAAYhmH/f90l0BsMuqB0MUR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t>
        </is>
      </c>
      <c r="AM6" t="inlineStr">
        <is>
          <t>ABC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Tl27NgEAACGYdj/X3cp5AaDLihZDBW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t>
        </is>
      </c>
      <c r="AN6" t="inlineStr">
        <is>
          <t>ABC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jh07NgEAgGEY9v/XXQK9waALShdDB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
        </is>
      </c>
      <c r="AO6" t="inlineStr">
        <is>
          <t>ABC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t>
        </is>
      </c>
      <c r="AP6" t="inlineStr">
        <is>
          <t>ABC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x44dmwAAwDAM+//rLoHeYNAFpYshAh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t>
        </is>
      </c>
      <c r="AQ6" t="inlineStr">
        <is>
          <t>ABC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OHTs2AQCAYRj2/9ddAr3BoAtKF0Mk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t>
        </is>
      </c>
      <c r="AR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Iljx45NAABgGIb9/3WXQm4w6IKSxVCJ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t>
        </is>
      </c>
      <c r="AS6" t="inlineStr">
        <is>
          <t>ABC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4tixmx1Qz/Mqw+eSuSsnthN7CAUEUpGqUomx4x9UNamR04KYMWeMxIA5TBAjDqkVh4Gbvumq01CEKOpaTy8piqLYyed3/1x73Y/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t>
        </is>
      </c>
      <c r="AT6" t="inlineStr">
        <is>
          <t>ABC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HiFix/8R9+9Yv4B//iT37+88+//Xe/fNk//qM///df/zX8vb/ll7+K//oP2Q/+we/97p//I/5Skz/46nu/JX/wu99+86++/fzn/+QPfvaz3/72m1/84ve++vqff/Pl9/7J/oK7R91vZO5ffvPtH/7u5//6q29/6x999fXnf/KzP/7lT973RPvLv+VXPxC/avOPP/rxlx99/eEHP/3s0+/+xP3ikx9+8NmHX3z9wadffv35px99/OPPvvjsL3/svnvsT3//mz/+/Gf/2x+Lv/jLv0Tjr/7s/uD3/+mv/ZD86uf/d370Wx9+968f/ul/+09/+p//65/9+//yZ//jP/zP//4f8w/5i9/5jshf/9A/+8U//Parz//wy2/+7R/9+l/67rfPb39nzZ//uvjhh7/6vfXdr4Kf/eV/+6NfIfuD3/gT8ntf/fybf/PVl3/1r9X9afPx9xbFX/vT5uMf/SZx/m//tPn4e378PfrT5uNPPvrqhz/++LvfDJ9/9d2/ffnjDz799IsPP/jo0w+//OTHX3/82Yc//TvZoB9/+Nf/X3/zz5U/Kb7/9/z9mKBQ+P95wv7pT3744Ucff/LBxz/94XcL8suffPnBZx99+fkHH3723ZD88suvvpuUn0HhbxcF16q/BRQ++ptR+BgK/w/Xqu8W8qcffv3ZB5/85OvvlsInX33ywac//cmPP/joiy8+/uKrL7745Isvvvg7QeFHfwMK/6dr1a//b8tQsBQshWoU5AMU8mooQEE+yIdV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t>
        </is>
      </c>
      <c r="AU6" t="inlineStr">
        <is>
          <t>ABC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C/265gIAAAGgZh/1x1rAbhIYPkj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t>
        </is>
      </c>
      <c r="AV6" t="inlineStr">
        <is>
          <t>ABC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h2O/jokAAGAQiPl33RELhYsElj+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t>
        </is>
      </c>
      <c r="AW6" t="inlineStr">
        <is>
          <t>ABC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OPbrmAgAAAaBmH/XHbFQuEhg+SP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t>
        </is>
      </c>
      <c r="AX6" t="inlineStr">
        <is>
          <t>ABC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Hfh0TAQDAIBDz77ojFgoXCSx/RB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t>
        </is>
      </c>
      <c r="AY6" t="inlineStr">
        <is>
          <t>ABC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t>
        </is>
      </c>
      <c r="AZ6" t="inlineStr">
        <is>
          <t>AB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2O/jokAAGAQiPl33RELhYsElj8y+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A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divYyIAABgEYv5dd6wF4CKB5Y9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t>
        </is>
      </c>
      <c r="BB6" t="inlineStr">
        <is>
          <t>ABC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jv06JgIAgEEg5t91RywULhJY/kh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t>
        </is>
      </c>
      <c r="BC6" t="inlineStr">
        <is>
          <t>ABC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Dh2K9jIgAAGARi/l13xELhIoHlj+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t>
        </is>
      </c>
      <c r="BD6" t="inlineStr">
        <is>
          <t>ABC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t>
        </is>
      </c>
      <c r="BE6" t="inlineStr">
        <is>
          <t>ABC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Bz7dUwEAACDQMy/645YKFwksPwR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t>
        </is>
      </c>
      <c r="BF6" t="inlineStr">
        <is>
          <t>ABC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Rz7dUwEAACDQMy/6461AFwksPwR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t>
        </is>
      </c>
      <c r="BG6" t="inlineStr">
        <is>
          <t>ABC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wrFfx0QAADAIxPy77oiFwkUCyx/B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H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+9uuYCAAABoGYf9cdsVC4SGD5I0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t>
        </is>
      </c>
      <c r="BI6" t="inlineStr">
        <is>
          <t>ABC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t>
        </is>
      </c>
      <c r="BJ6" t="inlineStr">
        <is>
          <t>ABC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Idjv46JAABgEIj5d90RC4WLBJY/gg+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t>
        </is>
      </c>
      <c r="BK6" t="inlineStr">
        <is>
          <t>ABC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wrFzP7uVZ+d1hm+F0PwYPH9IHg4Ty0EMOILRMZAxWSQDw2p1IMkJMsssgwwyynVklFlux0EuI2y1uTYXKbHRqg5q7189kyAtL378Nuv02996u7r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58SSj88P95+QD+4t/+47ff3v32P//hZX/1m+//37efv4r84RP4/kf2i3/xzd9+v+IfSPD3j/W30y/+9rff/fvf3n37r/7+17/+y99+97vfffP49G++e6jNfkDVP2PqjyLq333323/427v/8Pjbv/jl49PdP/7693/4xSsaJfLyg/jnvy+ebu/ub05XN7unm/Pl7nR5ebm7f9o/7Pb3N5e3V4fry+vj+Rfjsfd/993v7379J38WP/yf//A3/Otf3V/83b9+8yN5+fX/67/9q7HQ7/7mGWVvh/717/7lbx/v/uHhu//0m7f/p+e/Vf7ymQnffwaub17+x+e/B17+x/3ty//4R3/03zx++91/fHz4o/+3r+BX/vp0c/90/3i9O+yfbnan/cPl7u64P+2eHu6vHvdXl8ebq/3/x1/5vzn8xeXxLy73//Rf//s//Zf//X/+13/7v//zf/wsH4X98Y98FA7Hn/pRmO482J8L9+/ug/35/Q35ZxwI+3PdGV/PhbDf3z1e391/2h0ejve70/X1/e58eLreXZ4ur47XD9dXz1z8EhfC/rx/P/ZP/GqtVxzWuxHmKw7729sPyXC4vPw5yHC43H+dZDhe3+3P98fT7tPd7XF3uj3c7W6v7p52h083D09Xj3en4/3NFyHD7flPk+HNr9Z6ZKAUPp8Mh/3HTuGw/1mkwmF/9XWS4f5wuz883p1318dPD89k+HR8bk+nw27/8HR3eXX3fEM8PH0JMhz2H2iFN79a65HhiAyfT4bD9cdkONz8LGQ4nL9SMlw9fHp4vHyuD5en53Z9enzY3Z4Pj7vz8fHm4fby+nS6O3wRMhyuPiBD/2qtR4YTMnw2Ga4+BsPVz8KF68uvEwv754vrfDpd767Pj+fd6erm+H2VOO8eb26uH28ub443x+OXwMLVB1TY79/Xx59ChdsvTIVffr5j+Ob5w33x7ePF3W8eLn74G/n5r36UEj/+VduhBjvJTr4nBzvpnmAn2cn3TYOdRAZ2kp18TwZ2EhnYSXbyPRnYSWRgJ9lJdpKdZCenAgc7yU6uSQZ2kp1kJ5GBnawV2Mkay04iAzvJTn5ABnYSGXgGnoFnQAaeoVfgGWosz4AMPAPPwDMkgQw8Q6/AM9RYngEZ/C4ovwuqp/pdUH4XFGqgBmqghn+nsSY4/DsN/05jTTL4dxr+nYZ/p4EM/p1GreDfadRY/04DGfw7Df9O4wMy+HcayMAz8Aw8AzLwDL0Cz1BjeQZk4Bl4Bp4hCWTgGXoFnqHG8gzIwDPwDDxDEsjAM/QKPEON5RmQgWfgGXiGJJCBZ+gVeIYayzMgA8/AM/AMSSADz9Ar8Aw1lmdABp6BZ+AZkkAGnqFX4BlqLM+ADP5UF3+qS09NzfCnuvhTXfJdUAM1UAM1UAM1UAM1UOMCNVADNWanht8/4fdPvCeH3z/BePr9E37/xDsy+P0TyOD3T/j9ExfvyeD3TyCD3z/h90+8J4PfP4EMPAPPwDM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kA/B1cdguPpZuHB9+XViYf98cZ1Pp+vd9fnxvDtd3Ry/rxLn3ePNzfXjzeXN8eZ4/BJYuPqACvv9+/r4U6hw+4Wp8MvPdwzfPH+4L759vLj7zcPFD38jP//Vj1Lix78KNVADNS5QAzVQY3x2UeP1l6IGaqAGaqBGEqiBGqiBGqiBGvnmqIEaqPGSRg3UePMDRg3UQA3UQA3U2A41/Hch/ruQ9+Tw34X4nVz+uxD/Xcg7MvjvQpDBfxfivwu5eE8G/10IMvjvQvx3Ie/J4L8LQQaegWfgGZ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MiH4OpjMFz9LFy4vvw6sbB/vrjOp9P17vr8eN6drm6O31eJ8+7x5ub68eby5nhzPH4JLFx9QIX9/n19/ClUuP3CVPjl5zuGb54/3BffPl7c/ebh4oe/kZ//6kcp8eNfhRqogRoXqIEaqDE+u6jx+ktRAzVQAzVQIwnUQA3UQA3UQI18c9RADdR4SaMGarz5AaMGaqAGaqAGaqAGaqDGBWqgBmqMzy5qvP5S1EAN1EAN1EgCNVADNVADNVAj3xw1UAM1XtKogRpvfsCogRqogRqogRqogRqocYEaXyk1/Dme/hzP9+Tw53j6k3f8OZ7+HM93ZPDneCKDP8fTn+N58Z4M/hxPZPDnePpzPN+TwZ/jiQw8A8/AMy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iQD8HVx2C4+lm4cH35dWJh/3xxnU+n6931+fG8O13dHL+vEufd483N9ePN5c3x5nj8Eli4+oAK+/37+vhTqHD7hanwy893DN88f7gvvn28uPvNw8UPfyM//9WPUuLHvwo1UAM1LlADNVBjfHZR4/WXogZqoAZqoEYSqIEaqIEaqIEa+eaogRqo8ZJGDdR48wNGDdRADdRADdRADdRAjQvUQA3UGJ9d1Hj9paiBGqiBGqiRBGqgBmqgBmqgRr45aqAGarykUQM13vyAUQM1UAM1UAM1UAM1UOMCNVADNcZnFzVefylqoAZqoAZqJIEaqIEaqIEaqJFvjhqogRovadRAjTc/YNRADdRADdRADdRADdS4QA3UQI3x2UWN11+KGqiBGqiBGkmgBmqgBmqgBmrkm6MGaqDGSxo1UOPNDxg1UAM1UAM1UAM1UAM1LlADNVBjfHZR4/WXogZqoAZqoEYSqPHTqbE/Hz7Exv58/Dm4sT+fvlJw7O8er+/uP+0OD8f73en6+n53Pjxd7y5Pl1fH64frq/un/ZcAx/68/4Ac/av1k8lx/MLk+NXnk+NX3/3+8Xc/Sor3qQ2R4fb2QzIcLt//4+XPIMPhcv91kuF4fbc/3x9Pu093t8fd6fZw9/1J8bQ7fLp5eLp6vDsd72++CBluz3+aDG9+tdYjwwEZPpsMh/3xYzLs3//j488hw/7q6yTD/eF2f3h8bhfXx08Pz2T4dNzdP50Ou/3D093l1d3zDfHw9CXIcNgfPiBD/2qtR4YjMnw+GQ4fS4jD4WexEIfD+Sslw9XDp4fHy+f6cHm62Z1Ojw+72/PhcXc+Pt483F5en053hy9ChsMHHuLNr9Z6ZDghA88wORl4Bp5hUTLwDDwDz4AMPEOt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t>
        </is>
      </c>
      <c r="BL6" t="inlineStr">
        <is>
          <t>ABC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xnaosT8fPsTG/nz8ObixP5++UnDs7x6v7+4/7Q4Px/vd6fr6fnc+PF3vLk+XV8frh+ur+6f9lwDH/rz/gBz9q/WTyXH8wuT41eeT41ff/f7xdz9KivepDZHh9vZDMhwu3//j5c8gw+Fy/3WS4Xh9tz/fH0+7T3e3x93p9nD3/UnxtDt8unl4unq8Ox3vb74IGW7Pf5oMb3611iPDARk+mwyH/fFjMuzf/+PjzyHD/urrJMP94XZ/eHxuF9fHTw/PZPh03N0/nQ67/cPT3eXV3fMN8fD0Jchw2B8+IEP/aq1HhiMyfD4ZDh9LiMPhZ7EQh8P5KyXD1cOnh8fL5/pwebrZnU6PD7vb8+Fxdz4+3jzcXl6fTneHL0KGwwce4s2v1npkOCEDzzA5GXgGnmFRMvAMPAPPgAw8Q63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jxlVJjfz58iI39+fhzcGN/Pn2l4NjfPV7f3X/aHR6O97vT9fX97nx4ut5dni6vjtcP11f3T/svAY79ef8BOfpX6yeT4/iFyfGrzyfHr777/ePvfpQU71MbIsPt7YdkOFy+/8fLn0GGw+X+6yTD8fpuf74/nnaf7m6Pu9Pt4e77k+Jpd/h08/B09Xh3Ot7ffBEy3J7/NBne/GqtR4YDMnw2GQ7748dk2L//x8efQ4b91ddJhvvD7f7w+Nwuro+fHp7J8Om4u386HXb7h6e7y6u75xvi4elLkOGwP3xAhv7VWo8MR2T4fDIcPpYQh8PPYiEOh/NXSoarh08Pj5fP9eHydLM7nR4fdrfnw+PufHy8ebi9vD6d7g5fhAyHDzzEm1+t9chwQgaeYXIy8Aw8w6Jk4Bl4Bp4BGXiGW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n+Hzt2s6u3gZ1p9FZ4AwJ0ztGf5xlnkDuQLXmW9KD7/tEuBHzJh0ZUqFQBTsVraGBzc+MT/dha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ht+X4eOPw/DxH9KFT+//nFl4+e3/uL58+PDp3acv37+8+/Dx89tf/irx5d33z58/ff/8/vPb57e3PyILH39QhZeX3//18W+pwk9/cBX+5e83hn/77eM+/v378fU/vh3/+S/yb//0Vyvx159S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ZqvHx5/WE2Xr68/SO68fLlw580HC9fv3/6+vMv716/vf387sOnTz+/+/L666d37z+8//j26dunjz//+vJHhOPly8sPytE/rb+5HG9/cDn+9e8vx7/+n//3/f/+1VL8fup/URl++umHZXh9//v/vPw3yvD6/uXPWYa3T19fvvz89uHdL19/env34afXr3/5X4pf373+8vnbrx+/f/3w9vPnP6QMP335r8vw+NP65yvDqzL83WV4fXn7cRlefv+fj/9OGV4+/jnL8PPrTy+v33/728Wnt1++/VaGX97e/fzrh9d3L99+/fr+49ff/h/i269/RBleX15/UIb+af3zleFNGf7+Mrz+GCFeX/8hCvH6+uVPWoaP33759v39b399eP/h87sPH75/e/fTl9fv7768ff/87af3nz58+Pr6h5Th9QcO8fjT+ucrwwdl4Az/w8vAGTjDP2kZOANn4AzKwBly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t>
        </is>
      </c>
      <c r="BM6" t="inlineStr">
        <is>
          <t>ABC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jD78vw8cdh+PgP6cKn93/OLLz89n9cXz58+PTu05fvX959+Pj57S9/lfjy7vvnz5++f37/+e3z29sfkYWPP6jCy8vv//r4t1Thpz+4Cv/y9xvDv/32cR///v34+h/fjv/8F/m3f/qrlfjrT6m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CN/8+OveTGkRhRFN0KN0CA9RFFbqL3wO/UA3v/sDzgI28JTcPdDchqnXlUZCCVuJKO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VRDNVTjSjVUQzXev13V+PhT1VAN1VAN1diEaqiG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f4+1TjcHT/NxuHu9Fd043B3/kXDcXh4uX14fLo+Pp8er8+3t4/Xd8fX2+ub882X0+3z7ZfH18OPCMfh7vBJOfqn9T+X4/SDy/Hbny/Hb//418s//2spvp/6G5Xh/v7TMhxvvv/r5Q+U4Xhz+DXLcLp9ONw9ns7XTw/3p+vz/fHhP/+keL0+Pn19fv3y8nA+PX79IWW4v/v9Mlz8af18ZTgqw58uw/Fw+rwMh+//+vgjZTh8+TXL8Hi8Pxxfvv3v4vb09PytDE+n68fX8/H68Pz6cPPl4du/IZ5ff0QZjofjJ2Xon9bPV4aTMvz5Mhw/R4jj8S9RiOPx7hctw5fnp+eXm2//fbg5f70+n1+er+/vji/Xd6eXr8/3N7fn88Pxh5Th+IlDXPxp/XxlOCsDZ/g/LwNn4Aw/aRk4A2fgDMrAGXI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t>
        </is>
      </c>
      <c r="BN6" t="inlineStr">
        <is>
          <t>AB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Jsdu9nV28DSM3orvAEBOufod97jHvQdyJY8SzJI7h/tRoMv+dCICt1VgFPxGhawubnxibUsPT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t>
        </is>
      </c>
      <c r="BO6" t="inlineStr">
        <is>
          <t>ABC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8EcZPv4cho//EBc+vf9rsvDy+9+4vnz48Ondpy8/vrz78PHz23/8U+LLux+fP3/68fn957fPb29/Bgsff6LCy8sf//n4X1Hh65+swr/8/Y3h337/uI//8eP49j+/H//5f+Tf/9ffVOJvP0U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r8RdV4+fL6UzZevrz9I9x4+fLhLwrHy7cfn7798uu71+9vv7z78OnTL+++vP726d37D+8/vn36/unjL7+9/BlwvHx5+Ykc/dP6L8vx9ifL8a9/vxz/+r/+z4///Tel+OPU/0cyfP36Uxle3//xPy//DRle37/8NWV4+/Tt5csvbx/e/frt69u7D19fv/3HXyl+e/f66+fvv3388e3D2y+f/xQZvn75v8vw+NP655PhlQx/twyvL28/l+Hlj//5+O/I8PLxrynDL69fX15//P6vi09vv37/XYZf39798tuH13cv33/79v7jt9//DvH9tz9DhteX15/I0D+tfz4Z3sjw98vw+vMI8fr6D6kQr69f/qIyfPz+6/cf73//58P7D5/fffjw4/u7r19ef7z78vbj8/ev7z99+PDt9U+R4fUnHeLxp/XPJ8MHMugM/4/LoDPoDP+kMugMOoPOQAadI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t>
        </is>
      </c>
      <c r="BP6" t="inlineStr">
        <is>
          <t>ABC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p0dOzQBAABAILj/1jbhd7guYjIc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t>
        </is>
      </c>
      <c r="BQ6" t="inlineStr">
        <is>
          <t>AB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Njx45NAABgGIb9/3W2gH/QXkomD1I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t>
        </is>
      </c>
      <c r="BR6" t="inlineStr">
        <is>
          <t>ABC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w9ixmxRcsqwMo1M5E0ioJH/tOwJnIJhNnX/TFIn3xBMFVYhCNVzNCzt2bD7iLu59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H8twy9/G4Zf/k9c+PUv/z9Z+PHPf3H9/vPPv/7w6+9//P7Dz7/89tN//Vfi9x/++O23X//47S+//fTbTz/9I1j45W+o8OOPf/3fx/+JCv/0D1bhn//3jeFf/vy4z7//cf71P/7t/Pdf5D//9HeV+PtPUY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t>
        </is>
      </c>
      <c r="BS6" t="inlineStr">
        <is>
          <t>ABC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8mO3eRqjWhnGJ2KJ4DEOYeiYBKZAxTQTSOZv1Jp+LUfX4Xo/kiVSq3+9vbWh/UAS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4++vxsun159m4+XT27+iGy+fPvxFw/Hy5fvHL19/e/f67e3ruw8fP3599+n1x8d37z+8/+Xt47ePv3z98fJHhOPl08tPytE/rb+7HG9/cDn+7Z8vx7/9+39+/4//tRR/O/X/qAyfP/+0DK/v//avl3+gDK/vX/6aZXj7+OXl09e3D+9++/L57d2Hz69f/vufFD/evf7267cfv3z/8uHt669/SBk+f/qfy/D40/rzleFVGf7pMry+vP28DC9/+9fHP1KGl1/+mmX4+vr55fX77/+7+Pj227ffy/Db27uvPz68vnv59uPL+1++/P5viG8//ogyvL68/qQM/dP685XhTRn++TK8/hwhXl//JQrx+vrpL1qGX7799u37+9//+/D+w6/vPnz4/u3d50+v3999evv+67fP7z9++PDl9Q8pw+tPHOLxp/XnK8MHZeAM/8fLwBk4w5+0DJyBM3AGZeAMO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t>
        </is>
      </c>
      <c r="BT6" t="inlineStr">
        <is>
          <t>ABC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P/Fjh2bAADAMAz7/+tsAf+gvYROHpR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t>
        </is>
      </c>
      <c r="BU6" t="inlineStr">
        <is>
          <t>ABC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w9ixYxMAABiGYf9/nS3gH7SH0smD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t>
        </is>
      </c>
      <c r="BV6" t="inlineStr">
        <is>
          <t>ABC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KMHTs0AQAAQCC4/9Y24Xe4LmIyHG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t>
        </is>
      </c>
      <c r="BW6" t="inlineStr">
        <is>
          <t>ABC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t>
        </is>
      </c>
      <c r="BX6" t="inlineStr">
        <is>
          <t>ABC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Y8eOTQAAYBiG/f91toB/0F5CJw/i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t>
        </is>
      </c>
      <c r="BY6" t="inlineStr">
        <is>
          <t>ABC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IaxYzcpuGRZGUanciaQUEn+2ncEzkAwmzr/pikSb5wnCqoQhWq4mhd27Nh8xF3c++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w1/L8MvfhuGX/xMXfv3L/08WfvzzX1y///zzrz/8+vsfv//w8y+//fRf/5X4/Yc/fvvt1z9++8tvP/3200//CBZ++Rsq/PjjX//38X+iwj/9g1X45/99Y/iXPz/u8+9/nH/9j387//0X+c8//V0l/v5T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t>
        </is>
      </c>
      <c r="BZ6" t="inlineStr">
        <is>
          <t>ABC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bGf7JjBzliXbkVQLfCDQhQVcmytInsQbKkaQbJ/hFnwEt+NqIg3Q04bp/55ecDizhVR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t>
        </is>
      </c>
      <c r="CA6" t="inlineStr">
        <is>
          <t>ABC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PjXUePl0+tP2Xj59PbPcOPl04e/KBwvX75//PL1t3ev396+vvvw8ePXd59ef3x89/7D+1/ePn77+MvXHy9/BBwvn15+Isfzp/V/luPtD5bj3/5xOf7t3//z+3/8r1L8bepfSIbPn38qw+v7v/318nfI8Pr+5a8pw9vHLy+fvr59ePfbl89v7z58fv3y339S/Hj3+tuv33788v3Lh7evv/4hMnz+9D/LcH5afz4ZXsnwD8vw+vL2cxle/vbXx98jw8svf00Zvr5+fnn9/vt/Fx/ffvv2uwy/vb37+uPD67uXbz++vP/ly+9/Q3z78UfI8Pry+hMZnj+tP58Mb2T4x2V4/fkR4vX1n3KFeH399BeV4Zdvv337/v73fx/ef/j13YcP37+9+/zp9fu7T2/ff/32+f3HDx++vP4hMrz+5A5xflp/Phk+kMGd4f+5DO4M7gx/UhncGdwZ3BnI4M7we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vtf7NixCQAADMOw/7/OFvAP2kvo5EG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t>
        </is>
      </c>
      <c r="CB6" t="inlineStr">
        <is>
          <t>ABC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jB27NgEAACGYdj/X2cL+AftoXTyIM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t>
        </is>
      </c>
      <c r="CC6" t="inlineStr">
        <is>
          <t>ABC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Y8cOTQAAABAI7r+1TfgdrouYDNc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t>
        </is>
      </c>
      <c r="CD6" t="inlineStr">
        <is>
          <t>ABC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w9ixYxMAABiGYf9/nS3gH7SX0MmD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t>
        </is>
      </c>
      <c r="CE6" t="inlineStr">
        <is>
          <t>ABC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xh7NihCQAAAALB/be2Cb/DdRGT4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t>
        </is>
      </c>
      <c r="CF6" t="inlineStr">
        <is>
          <t>ABC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t>
        </is>
      </c>
      <c r="CG6" t="inlineStr">
        <is>
          <t>ABC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jB07NgEAgGEY9v/X2QL+QXsJnTyI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t>
        </is>
      </c>
      <c r="CH6" t="inlineStr">
        <is>
          <t>ABC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IaxY4cmAAAACAT339om/A7XRUyG4w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t>
        </is>
      </c>
      <c r="CI6" t="inlineStr">
        <is>
          <t>ABC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hi7NixCQAADMOw/7/OFvAP2kvJ5EH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t>
        </is>
      </c>
      <c r="CJ6" t="inlineStr">
        <is>
          <t>ABC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xg7dmwCAADDMOz/r7MF/IP2Ejp5UG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t>
        </is>
      </c>
      <c r="CK6" t="inlineStr">
        <is>
          <t>AB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Y8eOTQAAYBiG/f91toB/0B5KJw/i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t>
        </is>
      </c>
      <c r="CL6" t="inlineStr">
        <is>
          <t>ABC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jB27CbVjgIKo+hUagKBhJf3Y98ROAPB19T5N43I/ap2BRJEIQ1XM3Dq1OFS2SSL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t>
        </is>
      </c>
      <c r="CM6" t="inlineStr">
        <is>
          <t>ABC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b4uw/O3w/D8n3Th5eP/MwufvvyL6+3z55cPL2/vbx8+P78+/fVfibcP76+vL++vH1+fXp+efkQWnr9RhU+fvv7v4z+pwk8/uAo//3tj+OXLx338/n78+sdvx99/kb/86buV+P5T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JOdOjYBAACBILaK+09p5SvOkP5EEAk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t>
        </is>
      </c>
      <c r="CN6" t="inlineStr">
        <is>
          <t>ABC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RbNTxyYAACAMwF7x/yudrOIN2VsKIqE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t>
        </is>
      </c>
      <c r="CO6" t="inlineStr">
        <is>
          <t>ABC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o9u5ex490KsMwD0S/+GR+0Ge8dgel3wKJEBRQKKimPHMIESSRbsJiI4OJAoaEHW6VBGUgBB/hoT8DCYbzn2OT4ID7EL242qs1fo+Pt57zlzvs81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t>
        </is>
      </c>
      <c r="CP6" t="inlineStr">
        <is>
          <t>ABC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HG/4saP/qHutBnv/Otr3/99sM/+/i//Fe/8cNf94G+E/n4RH+80me/+NWv/PYH33z4mIo/fHjn++3ZVz784A8+vP36r/3h1772yx9+8NFHX314/K0P7t/5m/3Isv907Cca9nsffPhHX7n944cPf+E3vvHH3/rmx1/ad7BKoGr4z2+bN2/vnr5Vrt8+fce8enj65f7Nxe3lw9uLx/vnd9cvn76BHq9ePev/1Lvf/eCbt1/7L5v40W9/7MH82j/73V9fhdR1fP8f/uL7f/7P/Xf66DefvrL7z/2Nj37pw4fbP7r/4E+/sX/r6Zvpl5/U+OFRvLipf/n0TVL/8lWR+2x2/5n7ZLh65/v8xz4Zrq4/jU+Gd5d8eT4ZXt3dPV3zqxcXj7ePjxfXtzfXF3eXd1cXd29urh+vX968un5+/75PhmeX99dXl5dXby5evbh7+h65un1zcXP98uri9u3l29cPD6+vH98+f+cPeOez49mLy1c3j/ePDxf3b69fX1y/ub68ePPw4vXTL89v3zy/vHlz//LxnfH/wafL1dWP781nx+Un+nB553d/Bh8uv/3JP1x+aO5HP/XD5MdTX5wn5+X1e2G5fPlpwPLuki8PLC9e3j7eXb64v7i7e351cf14//AEy9On6N2L+8fbFy8fb67fvvxZPDkv9zf2BOOTvTgvL3/GKnzlk6vwve9++wff/fa/f+evvvdPf/29v/y7H3z7Oz+ViJ8y8ik9Nr/68PUP/uTh/jP9Url8/X5Qbj4VUF5/OUF59fj85e2by7uLy5ePdxfX99fXFzcPd88vLh9vbh+engmXN5dX732p3Fzdvnx4dfPy4ul9c31x/fQnXNw8v3p9cffy7sXD1d2Lm8tX1+95qTw9ch6ubt68vrh9eHx5cf326f+h766e31+8vrt5eX95e/X48Prqf/tSuXz1HpReQOkzg9Jn8BHz5r3m/ISPtP+NOW++nObcPTwpcf/6+cXbl2+eHjEPr24vbu+eP7+4+eH//r+4vn31+Oa95vyfPWJu3uPFq0/mxRUvvtBeeKN4o2TcG4U53iifa3O8UXhRNX5RvPBG8UbJuDcKc7xRPtfmeKPwomr8onjhjeKNknFvFOZ4o3yuzfFG4UXV+EXxwhvFGyXj3ijM8Ub5XJvjjcKLqvGL4oU3ijdKxr1RmOON8rk2xxuFF1XjF8ULbxRvlIx7ozDHG+VzbY43Ci+qxi+KF94o3igZ90ZhjjfK59ocbxReVI1fzp/W9ysPj7ff+tp//+f1zb/mp//T+P7tX7/7/b/5xx989++/9y9/O75En+jH8hVt86fy5UPz2U/s+Cf8HJzP2pf453/u9/8D</t>
        </is>
      </c>
    </row>
    <row r="10">
      <c r="F10">
        <f>#REF!</f>
        <v/>
      </c>
      <c r="G10" t="inlineStr">
        <is>
          <t>fc0cb66c-8dd8-499f-90c3-4c1016bbc5fe</t>
        </is>
      </c>
    </row>
    <row r="11">
      <c r="A11" s="36" t="n">
        <v>112</v>
      </c>
      <c r="F11">
        <f>#REF!</f>
        <v/>
      </c>
      <c r="G11" t="inlineStr">
        <is>
          <t>03dfc22d-86fb-4fbd-837a-26e12df1a115</t>
        </is>
      </c>
    </row>
    <row r="12">
      <c r="F12">
        <f>#REF!</f>
        <v/>
      </c>
      <c r="G12" t="inlineStr">
        <is>
          <t>70d50b30-70c6-4741-b830-a4c9e3195fa2</t>
        </is>
      </c>
    </row>
    <row r="13">
      <c r="F13">
        <f>#REF!</f>
        <v/>
      </c>
      <c r="G13" t="inlineStr">
        <is>
          <t>57dcc1cd-e9ec-452d-bd43-be32f26f233c</t>
        </is>
      </c>
    </row>
    <row r="14">
      <c r="F14">
        <f>#REF!</f>
        <v/>
      </c>
      <c r="G14" t="inlineStr">
        <is>
          <t>fd4b460e-0f90-47f3-a18d-21ed96ba16aa</t>
        </is>
      </c>
    </row>
    <row r="15">
      <c r="A15" s="36" t="n">
        <v>38</v>
      </c>
      <c r="F15">
        <f>#REF!</f>
        <v/>
      </c>
      <c r="G15" t="inlineStr">
        <is>
          <t>565bd57d-b139-464a-a52c-68c15c71c34a</t>
        </is>
      </c>
      <c r="R15">
        <f>'L2.00 Lead'!A24</f>
        <v/>
      </c>
      <c r="S15" t="inlineStr">
        <is>
          <t>5ac1f843-7490-431d-a560-1d864fb3a2bb</t>
        </is>
      </c>
    </row>
    <row r="16">
      <c r="F16">
        <f>#REF!</f>
        <v/>
      </c>
      <c r="G16" t="inlineStr">
        <is>
          <t>67886755-72ad-4aca-8db4-64c269e06e7d</t>
        </is>
      </c>
      <c r="R16">
        <f>'L2.00 Lead'!A29</f>
        <v/>
      </c>
      <c r="S16" t="inlineStr">
        <is>
          <t>2b268d73-6979-4c1f-8fc8-7b717a277146</t>
        </is>
      </c>
    </row>
    <row r="17">
      <c r="F17">
        <f>#REF!</f>
        <v/>
      </c>
      <c r="G17" t="inlineStr">
        <is>
          <t>21381394-4e5f-4f3b-89c9-f0ffec1a7594</t>
        </is>
      </c>
      <c r="R17">
        <f>'L2.01.1 BKD'!A56</f>
        <v/>
      </c>
      <c r="S17" t="inlineStr">
        <is>
          <t>61f7d88f-c906-449b-b00c-fd77c94ef3be</t>
        </is>
      </c>
    </row>
    <row r="18">
      <c r="F18">
        <f>#REF!</f>
        <v/>
      </c>
      <c r="G18" t="inlineStr">
        <is>
          <t>90cb4895-ec47-4306-90ee-5be80f43688d</t>
        </is>
      </c>
      <c r="R18">
        <f>'L2.01.1 BKD'!A58</f>
        <v/>
      </c>
      <c r="S18" t="inlineStr">
        <is>
          <t>826bb702-5199-4e44-9522-71d80ae2f774</t>
        </is>
      </c>
    </row>
    <row r="19">
      <c r="F19">
        <f>#REF!</f>
        <v/>
      </c>
      <c r="G19" t="inlineStr">
        <is>
          <t>69506453-8c52-4776-86f1-25b881c2a5a6</t>
        </is>
      </c>
      <c r="R19">
        <f>汇总!A39</f>
        <v/>
      </c>
      <c r="S19" t="inlineStr">
        <is>
          <t>1d421129-63be-42a9-8452-ac1c7ee74fc0</t>
        </is>
      </c>
    </row>
    <row r="20">
      <c r="F20">
        <f>#REF!</f>
        <v/>
      </c>
      <c r="G20" t="inlineStr">
        <is>
          <t>373e0236-376f-4187-a403-a2280d0be97d</t>
        </is>
      </c>
      <c r="R20">
        <f>汇总!A48</f>
        <v/>
      </c>
      <c r="S20" t="inlineStr">
        <is>
          <t>3168fdfe-dc47-4941-9e37-9e0a90189d5f</t>
        </is>
      </c>
    </row>
    <row r="21">
      <c r="F21">
        <f>#REF!</f>
        <v/>
      </c>
      <c r="G21" t="inlineStr">
        <is>
          <t>ea35ed34-5e93-4a70-96e0-743af0d8cd6c</t>
        </is>
      </c>
      <c r="R21">
        <f>'L2.01.1 BKD'!#REF!</f>
        <v/>
      </c>
      <c r="S21" t="inlineStr">
        <is>
          <t>c543a324-2e6d-493e-9c25-13bfd4550917</t>
        </is>
      </c>
    </row>
    <row r="22">
      <c r="F22">
        <f>#REF!</f>
        <v/>
      </c>
      <c r="G22" t="inlineStr">
        <is>
          <t>6c1710bc-da04-4a81-9c99-b92dae034e54</t>
        </is>
      </c>
      <c r="R22">
        <f>'L2.01.1 BKD'!A27</f>
        <v/>
      </c>
      <c r="S22" t="inlineStr">
        <is>
          <t>b207e90d-1eec-4985-8213-9722ddf3cfe2</t>
        </is>
      </c>
    </row>
    <row r="23">
      <c r="F23">
        <f>#REF!</f>
        <v/>
      </c>
      <c r="G23" t="inlineStr">
        <is>
          <t>e88ef2ba-e6a0-4c2a-871e-764e32761b38</t>
        </is>
      </c>
      <c r="R23">
        <f>汇总!A29</f>
        <v/>
      </c>
      <c r="S23" t="inlineStr">
        <is>
          <t>82a5e685-1b24-44d4-8027-b5b3e2b38164</t>
        </is>
      </c>
    </row>
    <row r="24">
      <c r="F24">
        <f>#REF!</f>
        <v/>
      </c>
      <c r="G24" t="inlineStr">
        <is>
          <t>abc33124-9cfa-44a7-b899-db74c7d885e2</t>
        </is>
      </c>
      <c r="R24">
        <f>汇总!A37</f>
        <v/>
      </c>
      <c r="S24" t="inlineStr">
        <is>
          <t>112e2897-aef5-4c73-b20d-7b85d1a2fe72</t>
        </is>
      </c>
    </row>
    <row r="25">
      <c r="F25">
        <f>#REF!</f>
        <v/>
      </c>
      <c r="G25" t="inlineStr">
        <is>
          <t>e9a0d21f-f3cb-4288-8e70-db6ae3010d78</t>
        </is>
      </c>
      <c r="R25">
        <f>'L2.01.1 BKD'!A18</f>
        <v/>
      </c>
      <c r="S25" t="inlineStr">
        <is>
          <t>3512ab39-3ea8-44d8-a5a0-61eecb0c04b8</t>
        </is>
      </c>
    </row>
    <row r="26">
      <c r="F26">
        <f>#REF!</f>
        <v/>
      </c>
      <c r="G26" t="inlineStr">
        <is>
          <t>40cd486c-4d6a-43c8-9de8-452534fed0e0</t>
        </is>
      </c>
      <c r="R26">
        <f>'L2.01.1 BKD'!A27</f>
        <v/>
      </c>
      <c r="S26" t="inlineStr">
        <is>
          <t>85df1e06-0c66-437d-84c0-b6f68a95ec4e</t>
        </is>
      </c>
    </row>
    <row r="27">
      <c r="F27">
        <f>#REF!</f>
        <v/>
      </c>
      <c r="G27" t="inlineStr">
        <is>
          <t>fc127228-67ea-4dc6-a6da-521f4a2f7b71</t>
        </is>
      </c>
      <c r="R27">
        <f>汇总!A29</f>
        <v/>
      </c>
      <c r="S27" t="inlineStr">
        <is>
          <t>ac0dd467-74a9-4ddf-aaa1-07d0726bef0c</t>
        </is>
      </c>
    </row>
    <row r="28">
      <c r="F28">
        <f>#REF!</f>
        <v/>
      </c>
      <c r="G28" t="inlineStr">
        <is>
          <t>f4a6a6ab-92df-47ec-98be-36e68d1fa19e</t>
        </is>
      </c>
      <c r="R28">
        <f>汇总!A37</f>
        <v/>
      </c>
      <c r="S28" t="inlineStr">
        <is>
          <t>9d58d4eb-4f5c-4400-9ca3-ea6b8f1fd772</t>
        </is>
      </c>
    </row>
    <row r="29">
      <c r="F29">
        <f>#REF!</f>
        <v/>
      </c>
      <c r="G29" t="inlineStr">
        <is>
          <t>8132646a-169b-47ae-8b16-a64ff5250fec</t>
        </is>
      </c>
      <c r="R29">
        <f>汇总!A39</f>
        <v/>
      </c>
      <c r="S29" t="inlineStr">
        <is>
          <t>c2719faa-f0c8-4512-9217-399b7d213dd0</t>
        </is>
      </c>
    </row>
    <row r="30">
      <c r="F30">
        <f>#REF!</f>
        <v/>
      </c>
      <c r="G30" t="inlineStr">
        <is>
          <t>0ababa23-075e-496f-b68b-76871ea2e1ff</t>
        </is>
      </c>
      <c r="R30">
        <f>汇总!A42</f>
        <v/>
      </c>
      <c r="S30" t="inlineStr">
        <is>
          <t>4843dca5-23af-450c-b60e-84ab2242916d</t>
        </is>
      </c>
    </row>
    <row r="31">
      <c r="F31">
        <f>#REF!</f>
        <v/>
      </c>
      <c r="G31" t="inlineStr">
        <is>
          <t>94a48cef-5ade-4018-9bfd-4e4bf5916230</t>
        </is>
      </c>
      <c r="R31">
        <f>'L2.00 Lead'!A24</f>
        <v/>
      </c>
      <c r="S31" t="inlineStr">
        <is>
          <t>fe32c3a5-0ac1-4bc6-8ff4-3cfe34de734c</t>
        </is>
      </c>
    </row>
    <row r="32">
      <c r="F32">
        <f>#REF!</f>
        <v/>
      </c>
      <c r="G32" t="inlineStr">
        <is>
          <t>32ff2b73-82e8-458b-9b61-a980779c8398</t>
        </is>
      </c>
      <c r="R32">
        <f>'L2.00 Lead'!A29</f>
        <v/>
      </c>
      <c r="S32" t="inlineStr">
        <is>
          <t>f9f923d4-36a3-4832-b261-6f79d68d2334</t>
        </is>
      </c>
    </row>
    <row r="33">
      <c r="F33">
        <f>#REF!</f>
        <v/>
      </c>
      <c r="G33" t="inlineStr">
        <is>
          <t>a3f95ae7-baa7-495e-b3f9-14c90f052a07</t>
        </is>
      </c>
      <c r="R33">
        <f>汇总!A29</f>
        <v/>
      </c>
      <c r="S33" t="inlineStr">
        <is>
          <t>cb794f48-c8b4-4ad0-ad4f-783229054713</t>
        </is>
      </c>
    </row>
    <row r="34">
      <c r="F34">
        <f>#REF!</f>
        <v/>
      </c>
      <c r="G34" t="inlineStr">
        <is>
          <t>f374e7a2-9234-4c82-be41-d1646f2c99b1</t>
        </is>
      </c>
      <c r="R34">
        <f>汇总!A37</f>
        <v/>
      </c>
      <c r="S34" t="inlineStr">
        <is>
          <t>fdd0d36f-e84f-4590-8bb8-f00a6faea1b7</t>
        </is>
      </c>
    </row>
    <row r="35">
      <c r="F35">
        <f>#REF!</f>
        <v/>
      </c>
      <c r="G35" t="inlineStr">
        <is>
          <t>eb29e758-5866-4897-8ee8-f04318f87b25</t>
        </is>
      </c>
      <c r="R35">
        <f>汇总!A39</f>
        <v/>
      </c>
      <c r="S35" t="inlineStr">
        <is>
          <t>8436b86c-10ce-46d7-aa77-90cb6f1755cd</t>
        </is>
      </c>
    </row>
    <row r="36">
      <c r="F36">
        <f>#REF!</f>
        <v/>
      </c>
      <c r="G36" t="inlineStr">
        <is>
          <t>2aa5eb29-a486-4190-8621-45245ae855a7</t>
        </is>
      </c>
      <c r="R36">
        <f>汇总!A42</f>
        <v/>
      </c>
      <c r="S36" t="inlineStr">
        <is>
          <t>cecd2d41-e400-48e2-8e9f-edbf30286d4e</t>
        </is>
      </c>
    </row>
    <row r="37">
      <c r="F37">
        <f>#REF!</f>
        <v/>
      </c>
      <c r="G37" t="inlineStr">
        <is>
          <t>a7e247f8-7fc1-4519-8d56-88e7beac5c77</t>
        </is>
      </c>
      <c r="R37">
        <f>'L2.00 Lead'!A24</f>
        <v/>
      </c>
      <c r="S37" t="inlineStr">
        <is>
          <t>fc425a90-6e10-4349-9636-2c0874141012</t>
        </is>
      </c>
    </row>
    <row r="38">
      <c r="F38">
        <f>#REF!</f>
        <v/>
      </c>
      <c r="G38" t="inlineStr">
        <is>
          <t>c965a88a-1123-47c7-89e9-ac3143522cd3</t>
        </is>
      </c>
      <c r="R38">
        <f>'L2.00 Lead'!A29</f>
        <v/>
      </c>
      <c r="S38" t="inlineStr">
        <is>
          <t>c0266808-9baa-48d7-82d6-ed118c99ce1e</t>
        </is>
      </c>
    </row>
    <row r="39">
      <c r="F39">
        <f>#REF!</f>
        <v/>
      </c>
      <c r="G39" t="inlineStr">
        <is>
          <t>3c4a7f9e-c5dd-4899-97fb-98bf19877838</t>
        </is>
      </c>
    </row>
    <row r="40">
      <c r="F40">
        <f>#REF!</f>
        <v/>
      </c>
      <c r="G40" t="inlineStr">
        <is>
          <t>bc2953a2-43fc-4511-a798-844defb4990e</t>
        </is>
      </c>
    </row>
    <row r="41">
      <c r="F41">
        <f>#REF!</f>
        <v/>
      </c>
      <c r="G41" t="inlineStr">
        <is>
          <t>f2cfa147-189b-494c-803f-27e99e7ae345</t>
        </is>
      </c>
    </row>
    <row r="42">
      <c r="F42">
        <f>#REF!</f>
        <v/>
      </c>
      <c r="G42" t="inlineStr">
        <is>
          <t>1ef81fdf-6850-4a74-b980-ef64f3257731</t>
        </is>
      </c>
    </row>
    <row r="43">
      <c r="F43">
        <f>#REF!</f>
        <v/>
      </c>
      <c r="G43" t="inlineStr">
        <is>
          <t>7f10aca5-fdde-47b0-9c59-1b424ddf8d07</t>
        </is>
      </c>
    </row>
    <row r="44">
      <c r="F44">
        <f>#REF!</f>
        <v/>
      </c>
      <c r="G44" t="inlineStr">
        <is>
          <t>493c7851-96b0-4462-bda7-2895219236c7</t>
        </is>
      </c>
    </row>
    <row r="45">
      <c r="F45">
        <f>#REF!</f>
        <v/>
      </c>
      <c r="G45" t="inlineStr">
        <is>
          <t>a6b7fa79-289a-4ac5-9f42-19f0dc9a240d</t>
        </is>
      </c>
    </row>
    <row r="46">
      <c r="F46">
        <f>#REF!</f>
        <v/>
      </c>
      <c r="G46" t="inlineStr">
        <is>
          <t>8b5c44fd-6062-42b1-bf5a-9cfe0808abf5</t>
        </is>
      </c>
    </row>
    <row r="47">
      <c r="F47">
        <f>#REF!</f>
        <v/>
      </c>
      <c r="G47" t="inlineStr">
        <is>
          <t>8939d8b4-8819-4c97-8ad0-b71699cb0e3d</t>
        </is>
      </c>
    </row>
    <row r="48">
      <c r="F48">
        <f>#REF!</f>
        <v/>
      </c>
      <c r="G48" t="inlineStr">
        <is>
          <t>c07c46e3-9828-4259-987f-7f563fdf43e3</t>
        </is>
      </c>
    </row>
    <row r="49">
      <c r="F49">
        <f>'L2.00 Lead'!C27</f>
        <v/>
      </c>
      <c r="G49" t="inlineStr">
        <is>
          <t>a0fb1582-7551-4387-9cf3-b33fa142a42f</t>
        </is>
      </c>
    </row>
    <row r="50">
      <c r="F50">
        <f>'L2.00 Lead'!D27</f>
        <v/>
      </c>
      <c r="G50" t="inlineStr">
        <is>
          <t>d48bc830-664c-43f1-96ab-50b8e98a3ff8</t>
        </is>
      </c>
    </row>
    <row r="51">
      <c r="F51">
        <f>'L2.00 Lead'!E27</f>
        <v/>
      </c>
      <c r="G51" t="inlineStr">
        <is>
          <t>884a371b-7f99-4f19-8de8-66bd6f53d8b3</t>
        </is>
      </c>
    </row>
    <row r="52">
      <c r="F52">
        <f>'L2.00 Lead'!N27</f>
        <v/>
      </c>
      <c r="G52" t="inlineStr">
        <is>
          <t>08814f6b-ba74-404b-b89f-1360c901f905</t>
        </is>
      </c>
    </row>
    <row r="53">
      <c r="F53">
        <f>'L2.00 Lead'!G27</f>
        <v/>
      </c>
      <c r="G53" t="inlineStr">
        <is>
          <t>59f4044a-02a8-441c-b6a2-ae796c9e053c</t>
        </is>
      </c>
    </row>
    <row r="54">
      <c r="F54">
        <f>'L2.00 Lead'!H27</f>
        <v/>
      </c>
      <c r="G54" t="inlineStr">
        <is>
          <t>b391a17c-40a8-4f50-9b07-09e3c9ffd49a</t>
        </is>
      </c>
    </row>
    <row r="55">
      <c r="F55">
        <f>'L2.00 Lead'!I27</f>
        <v/>
      </c>
      <c r="G55" t="inlineStr">
        <is>
          <t>bca37421-f436-4844-ad64-9f60dbc89300</t>
        </is>
      </c>
    </row>
    <row r="56">
      <c r="F56">
        <f>'L2.00 Lead'!K27</f>
        <v/>
      </c>
      <c r="G56" t="inlineStr">
        <is>
          <t>8fd591f5-1a60-4aa8-8be3-4895bf98ed15</t>
        </is>
      </c>
    </row>
    <row r="57">
      <c r="F57">
        <f>'L2.00 Lead'!L27</f>
        <v/>
      </c>
      <c r="G57" t="inlineStr">
        <is>
          <t>2a4487e8-9db6-4198-a67c-caa56ae31703</t>
        </is>
      </c>
    </row>
    <row r="58">
      <c r="F58">
        <f>'L2.00 Lead'!M27</f>
        <v/>
      </c>
      <c r="G58" t="inlineStr">
        <is>
          <t>0be00c40-df3b-4dd3-82c1-2bbd0e6cd76b</t>
        </is>
      </c>
    </row>
    <row r="89">
      <c r="F89">
        <f>'L2.01.1 BKD'!C20</f>
        <v/>
      </c>
      <c r="G89" t="inlineStr">
        <is>
          <t>8a291d74-818b-4928-a2ba-b398061852ed</t>
        </is>
      </c>
    </row>
    <row r="90">
      <c r="F90">
        <f>'L2.01.1 BKD'!D20</f>
        <v/>
      </c>
      <c r="G90" t="inlineStr">
        <is>
          <t>f17a66b6-176e-498f-810f-78607f83c52b</t>
        </is>
      </c>
    </row>
    <row r="91">
      <c r="F91">
        <f>'L2.01.1 BKD'!E20</f>
        <v/>
      </c>
      <c r="G91" t="inlineStr">
        <is>
          <t>43dde9c6-a132-4aa6-bf0b-0bb17275e465</t>
        </is>
      </c>
    </row>
    <row r="92">
      <c r="F92">
        <f>'L2.01.1 BKD'!F20</f>
        <v/>
      </c>
      <c r="G92" t="inlineStr">
        <is>
          <t>5f74d1a9-6ab6-4f0d-9814-6558f616f2ff</t>
        </is>
      </c>
    </row>
    <row r="93">
      <c r="F93">
        <f>'L2.01.1 BKD'!G20</f>
        <v/>
      </c>
      <c r="G93" t="inlineStr">
        <is>
          <t>d5b7ff17-348c-406d-b559-1ad359121425</t>
        </is>
      </c>
    </row>
    <row r="94">
      <c r="F94">
        <f>'L2.01.1 BKD'!H20</f>
        <v/>
      </c>
      <c r="G94" t="inlineStr">
        <is>
          <t>6fa0d763-33d6-4391-b6ae-9034757c9265</t>
        </is>
      </c>
    </row>
    <row r="95">
      <c r="F95">
        <f>'L2.01.1 BKD'!K20</f>
        <v/>
      </c>
      <c r="G95" t="inlineStr">
        <is>
          <t>96381815-5f83-489f-a749-f863db693ab1</t>
        </is>
      </c>
    </row>
    <row r="96">
      <c r="F96">
        <f>'L2.01.1 BKD'!L20</f>
        <v/>
      </c>
      <c r="G96" t="inlineStr">
        <is>
          <t>e77890a1-397c-459a-b92f-e44eb10df571</t>
        </is>
      </c>
    </row>
    <row r="97">
      <c r="F97">
        <f>'L2.01.1 BKD'!I20</f>
        <v/>
      </c>
      <c r="G97" t="inlineStr">
        <is>
          <t>5bcce0a2-842c-4389-9897-ec41c14c836f</t>
        </is>
      </c>
    </row>
    <row r="98">
      <c r="F98">
        <f>'L2.01.1 BKD'!J20</f>
        <v/>
      </c>
      <c r="G98" t="inlineStr">
        <is>
          <t>7fb323b1-33e7-47eb-8034-ffb0fa34f39b</t>
        </is>
      </c>
    </row>
    <row r="99">
      <c r="F99">
        <f>'L2.01.1 BKD'!R20</f>
        <v/>
      </c>
      <c r="G99" t="inlineStr">
        <is>
          <t>0cc578b9-fd9f-4def-aa31-5ac5f072b020</t>
        </is>
      </c>
    </row>
    <row r="100">
      <c r="F100">
        <f>'L2.01.1 BKD'!P20</f>
        <v/>
      </c>
      <c r="G100" t="inlineStr">
        <is>
          <t>9a7209c4-e7ca-469b-ad40-0edd46f82ccd</t>
        </is>
      </c>
    </row>
    <row r="101">
      <c r="F101">
        <f>'L2.01.1 BKD'!Q20</f>
        <v/>
      </c>
      <c r="G101" t="inlineStr">
        <is>
          <t>2893473d-5a33-496d-9d9c-2f2aebf51fc3</t>
        </is>
      </c>
    </row>
    <row r="102">
      <c r="F102">
        <f>'L2.01.1 BKD'!O20</f>
        <v/>
      </c>
      <c r="G102" t="inlineStr">
        <is>
          <t>92ddf12a-92f7-46ff-a544-f37c951207bc</t>
        </is>
      </c>
    </row>
    <row r="103">
      <c r="F103">
        <f>'L2.01.1 BKD'!U20</f>
        <v/>
      </c>
      <c r="G103" t="inlineStr">
        <is>
          <t>931a5e29-6c09-4169-8c22-0097031beb72</t>
        </is>
      </c>
    </row>
    <row r="104">
      <c r="F104">
        <f>'L2.01.1 BKD'!V20</f>
        <v/>
      </c>
      <c r="G104" t="inlineStr">
        <is>
          <t>223f4d77-d061-4467-a016-3e8fa0ed0262</t>
        </is>
      </c>
    </row>
    <row r="105">
      <c r="F105">
        <f>'L2.01.1 BKD'!W20</f>
        <v/>
      </c>
      <c r="G105" t="inlineStr">
        <is>
          <t>2842d283-4e62-4a84-9103-8e637d8e15d8</t>
        </is>
      </c>
    </row>
    <row r="106">
      <c r="F106">
        <f>'L2.01.1 BKD'!X20</f>
        <v/>
      </c>
      <c r="G106" t="inlineStr">
        <is>
          <t>60efacd5-4e36-4fbb-9e9a-7a579c8e92b2</t>
        </is>
      </c>
    </row>
    <row r="107">
      <c r="F107">
        <f>'L2.01.1 BKD'!N20</f>
        <v/>
      </c>
      <c r="G107" t="inlineStr">
        <is>
          <t>2cc69888-872a-45b8-960a-45af828991d3</t>
        </is>
      </c>
    </row>
    <row r="108">
      <c r="F108">
        <f>'L2.01.1 BKD'!T20</f>
        <v/>
      </c>
      <c r="G108" t="inlineStr">
        <is>
          <t>c3462b77-c918-4090-b278-6a7c16544d76</t>
        </is>
      </c>
    </row>
    <row r="109">
      <c r="F109">
        <f>'L2.01.1 BKD'!Z20</f>
        <v/>
      </c>
      <c r="G109" t="inlineStr">
        <is>
          <t>1bf4ae84-f698-48fa-ba0c-e54140e59cfe</t>
        </is>
      </c>
    </row>
    <row r="110">
      <c r="F110">
        <f>'L2.01.1 BKD'!Y20</f>
        <v/>
      </c>
      <c r="G110" t="inlineStr">
        <is>
          <t>04aadc6f-b389-4fcb-93db-971ddae7626e</t>
        </is>
      </c>
    </row>
    <row r="111">
      <c r="F111">
        <f>'L2.01.1 BKD'!S20</f>
        <v/>
      </c>
      <c r="G111" t="inlineStr">
        <is>
          <t>3a2ee7e6-2133-43e5-aae2-35313608c359</t>
        </is>
      </c>
    </row>
    <row r="112">
      <c r="F112">
        <f>'L2.01.1 BKD'!M20</f>
        <v/>
      </c>
      <c r="G112" t="inlineStr">
        <is>
          <t>09a6de1e-9526-4d81-9aef-a2ff87824417</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N55"/>
  <sheetViews>
    <sheetView showGridLines="0" tabSelected="1" zoomScale="70" zoomScaleNormal="70" workbookViewId="0">
      <selection activeCell="E6" sqref="E6"/>
    </sheetView>
  </sheetViews>
  <sheetFormatPr baseColWidth="8" defaultColWidth="9.125" defaultRowHeight="12.75" customHeight="1" outlineLevelRow="1"/>
  <cols>
    <col width="2.75" customWidth="1" style="402" min="1" max="1"/>
    <col width="5.875" customWidth="1" style="38" min="2" max="2"/>
    <col width="17.125" customWidth="1" style="38" min="3" max="3"/>
    <col width="18.375" customWidth="1" style="38" min="4" max="4"/>
    <col width="22.125" customWidth="1" style="38" min="5" max="5"/>
    <col width="21.375" customWidth="1" style="38" min="6" max="6"/>
    <col width="19.5" customWidth="1" style="38" min="7" max="7"/>
    <col width="54.625" customWidth="1" style="38" min="8" max="8"/>
    <col width="13.125" customWidth="1" style="38" min="9" max="9"/>
    <col width="21.125" customWidth="1" style="38" min="10" max="10"/>
    <col width="22.375" customWidth="1" style="38" min="11" max="11"/>
    <col width="24.875" customWidth="1" style="38" min="12" max="12"/>
    <col width="26.125" customWidth="1" style="38" min="13" max="13"/>
    <col width="18.875" customWidth="1" style="38" min="14" max="14"/>
    <col width="9.125" customWidth="1" style="38" min="15" max="61"/>
    <col width="57.375" customWidth="1" style="38" min="62" max="62"/>
    <col width="9.125" customWidth="1" style="38" min="63" max="64"/>
    <col width="61.125" customWidth="1" style="38" min="65" max="65"/>
    <col width="9.125" customWidth="1" style="38" min="66" max="16384"/>
  </cols>
  <sheetData>
    <row r="1" ht="12.75" customHeight="1" thickBot="1">
      <c r="A1" s="435" t="inlineStr">
        <is>
          <t>2541872f-7d3a-44aa-805b-600f79f35308</t>
        </is>
      </c>
      <c r="BJ1" s="39" t="n"/>
      <c r="BM1" s="33" t="n"/>
      <c r="BN1" s="40" t="n"/>
    </row>
    <row r="2" ht="12.75" customHeight="1">
      <c r="C2" s="339" t="n"/>
      <c r="D2" s="340" t="n"/>
      <c r="E2" s="340" t="n"/>
      <c r="F2" s="340" t="n"/>
      <c r="G2" s="341" t="n"/>
      <c r="I2" s="439" t="n"/>
      <c r="BJ2" s="41" t="n"/>
      <c r="BM2" s="34" t="n"/>
      <c r="BN2" s="40" t="n"/>
    </row>
    <row r="3" ht="12.75" customHeight="1">
      <c r="C3" s="342" t="inlineStr">
        <is>
          <t>客户名称</t>
        </is>
      </c>
      <c r="D3" s="343" t="n"/>
      <c r="E3" s="344" t="n"/>
      <c r="F3" s="345" t="inlineStr">
        <is>
          <t>重要性水平(PM)</t>
        </is>
      </c>
      <c r="G3" s="676" t="n"/>
      <c r="BJ3" s="41" t="n"/>
      <c r="BM3" s="34" t="n"/>
      <c r="BN3" s="40" t="n"/>
    </row>
    <row r="4" ht="12.75" customHeight="1">
      <c r="C4" s="347" t="n"/>
      <c r="D4" s="344" t="n"/>
      <c r="E4" s="344" t="n"/>
      <c r="F4" s="348" t="n"/>
      <c r="G4" s="349" t="n"/>
      <c r="BJ4" s="41" t="n"/>
      <c r="BM4" s="34" t="n"/>
      <c r="BN4" s="40" t="n"/>
    </row>
    <row r="5" ht="12.75" customHeight="1">
      <c r="C5" s="342" t="inlineStr">
        <is>
          <t>期末</t>
        </is>
      </c>
      <c r="D5" s="350" t="n">
        <v>45657</v>
      </c>
      <c r="E5" s="344" t="n"/>
      <c r="F5" s="351" t="inlineStr">
        <is>
          <t>可容忍误差(TE)</t>
        </is>
      </c>
      <c r="G5" s="676" t="n"/>
      <c r="BJ5" s="42" t="n"/>
      <c r="BM5" s="35" t="n"/>
      <c r="BN5" s="40" t="n"/>
    </row>
    <row r="6" ht="12.75" customHeight="1">
      <c r="C6" s="347" t="n"/>
      <c r="D6" s="352" t="n"/>
      <c r="E6" s="344" t="n"/>
      <c r="F6" s="348" t="n"/>
      <c r="G6" s="349" t="n"/>
      <c r="BJ6" s="43" t="n"/>
      <c r="BM6" s="34" t="n"/>
      <c r="BN6" s="40" t="n"/>
    </row>
    <row r="7" ht="12.75" customHeight="1">
      <c r="C7" s="342" t="inlineStr">
        <is>
          <t>记账本位币</t>
        </is>
      </c>
      <c r="D7" s="350" t="n"/>
      <c r="E7" s="344" t="n"/>
      <c r="F7" s="345" t="inlineStr">
        <is>
          <t>名义金额(SAD)</t>
        </is>
      </c>
      <c r="G7" s="676" t="n"/>
      <c r="H7" s="38" t="inlineStr">
        <is>
          <t>  </t>
        </is>
      </c>
      <c r="BJ7" s="41" t="n"/>
      <c r="BM7" s="34" t="n"/>
      <c r="BN7" s="40" t="n"/>
    </row>
    <row r="8" ht="12.75" customHeight="1">
      <c r="C8" s="347" t="n"/>
      <c r="D8" s="344" t="n"/>
      <c r="E8" s="344" t="n"/>
      <c r="F8" s="344" t="n"/>
      <c r="G8" s="349" t="n"/>
      <c r="BJ8" s="41" t="n"/>
      <c r="BM8" s="34" t="n"/>
      <c r="BN8" s="40" t="n"/>
    </row>
    <row r="9" ht="12.75" customHeight="1">
      <c r="C9" s="342" t="inlineStr">
        <is>
          <t>适用会计准则</t>
        </is>
      </c>
      <c r="D9" s="343" t="n"/>
      <c r="E9" s="344" t="n"/>
      <c r="F9" s="353" t="n"/>
      <c r="G9" s="354" t="n"/>
      <c r="BJ9" s="41" t="n"/>
      <c r="BM9" s="34" t="n"/>
      <c r="BN9" s="40" t="n"/>
    </row>
    <row r="10" ht="12.75" customHeight="1" thickBot="1">
      <c r="A10" s="403" t="n"/>
      <c r="B10" s="41" t="n"/>
      <c r="C10" s="355" t="n"/>
      <c r="D10" s="356" t="n"/>
      <c r="E10" s="356" t="n"/>
      <c r="F10" s="356" t="n"/>
      <c r="G10" s="357"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41" t="n"/>
      <c r="AN10" s="41" t="n"/>
      <c r="AO10" s="41" t="n"/>
      <c r="AP10" s="41" t="n"/>
      <c r="AQ10" s="41" t="n"/>
      <c r="AR10" s="41" t="n"/>
      <c r="AS10" s="41" t="n"/>
      <c r="AT10" s="41" t="n"/>
      <c r="AU10" s="41" t="n"/>
      <c r="AV10" s="41" t="n"/>
      <c r="AW10" s="41" t="n"/>
      <c r="AX10" s="41" t="n"/>
      <c r="AY10" s="41" t="n"/>
      <c r="AZ10" s="41" t="n"/>
      <c r="BA10" s="41" t="n"/>
      <c r="BB10" s="41" t="n"/>
      <c r="BC10" s="41" t="n"/>
      <c r="BD10" s="41" t="n"/>
      <c r="BE10" s="41" t="n"/>
      <c r="BF10" s="41" t="n"/>
      <c r="BG10" s="41" t="n"/>
      <c r="BH10" s="41" t="n"/>
      <c r="BI10" s="41" t="n"/>
      <c r="BJ10" s="43" t="n"/>
      <c r="BM10" s="34" t="n"/>
      <c r="BN10" s="40" t="n"/>
    </row>
    <row r="11">
      <c r="C11" s="44" t="n"/>
    </row>
    <row r="12" hidden="1" outlineLevel="1">
      <c r="C12" s="362" t="inlineStr">
        <is>
          <t>CRA</t>
        </is>
      </c>
      <c r="D12" s="387" t="inlineStr">
        <is>
          <t>%*</t>
        </is>
      </c>
    </row>
    <row r="13" hidden="1" outlineLevel="1">
      <c r="C13" s="545" t="inlineStr">
        <is>
          <t>High</t>
        </is>
      </c>
      <c r="D13" s="546" t="n">
        <v>0.25</v>
      </c>
    </row>
    <row r="14" hidden="1" outlineLevel="1">
      <c r="C14" s="545" t="inlineStr">
        <is>
          <t>Moderate</t>
        </is>
      </c>
      <c r="D14" s="546" t="n">
        <v>0.5</v>
      </c>
    </row>
    <row r="15" hidden="1" outlineLevel="1">
      <c r="C15" s="545" t="inlineStr">
        <is>
          <t>Low</t>
        </is>
      </c>
      <c r="D15" s="546" t="n">
        <v>0.75</v>
      </c>
    </row>
    <row r="16" hidden="1" outlineLevel="1">
      <c r="C16" s="545" t="inlineStr">
        <is>
          <t>Minimal</t>
        </is>
      </c>
      <c r="D16" s="546" t="n">
        <v>1</v>
      </c>
    </row>
    <row r="17" hidden="1" outlineLevel="1" ht="13.5" customHeight="1" thickBot="1">
      <c r="C17" s="547" t="inlineStr">
        <is>
          <t>N/A</t>
        </is>
      </c>
      <c r="D17" s="548" t="n"/>
    </row>
    <row r="18" hidden="1" outlineLevel="1" ht="16.5" customHeight="1">
      <c r="C18" s="401" t="inlineStr">
        <is>
          <t>*我们期望执行的基准实质性审计程序性质、时间和范围对应的CRA风险比例，此比例为上限，项目组应按照实际情况进行调整。</t>
        </is>
      </c>
      <c r="D18" s="363" t="n"/>
    </row>
    <row r="19" collapsed="1" ht="13.5" customHeight="1" thickBot="1">
      <c r="C19" s="44" t="n"/>
    </row>
    <row r="20" ht="17.25" customFormat="1" customHeight="1" s="363">
      <c r="A20" s="404" t="n"/>
      <c r="B20" s="358" t="n"/>
      <c r="C20" s="359" t="inlineStr">
        <is>
          <t>认定</t>
        </is>
      </c>
      <c r="D20" s="360" t="inlineStr">
        <is>
          <t>CRA</t>
        </is>
      </c>
      <c r="E20" s="360" t="inlineStr">
        <is>
          <t>Threshold</t>
        </is>
      </c>
      <c r="F20" s="361" t="inlineStr">
        <is>
          <t>所有相关认定*</t>
        </is>
      </c>
      <c r="G20" s="177" t="n"/>
      <c r="J20" s="6" t="n"/>
      <c r="M20" s="101" t="n"/>
      <c r="N20" s="101" t="n"/>
      <c r="O20" s="101" t="n"/>
      <c r="P20" s="101" t="n"/>
      <c r="Q20" s="101" t="n"/>
      <c r="R20" s="102" t="n"/>
    </row>
    <row r="21" ht="17.25" customFormat="1" customHeight="1" s="363">
      <c r="A21" s="404" t="n"/>
      <c r="B21" s="364" t="inlineStr">
        <is>
          <t>High</t>
        </is>
      </c>
      <c r="C21" s="549" t="inlineStr">
        <is>
          <t>完整性 (C)</t>
        </is>
      </c>
      <c r="D21" s="550" t="n"/>
      <c r="E21" s="677">
        <f>IFERROR(VLOOKUP(D21,$C$13:$D$16,2,FALSE)*$G$5,"-")</f>
        <v/>
      </c>
      <c r="F21" s="678">
        <f>MIN($E$21:$E$25)</f>
        <v/>
      </c>
      <c r="G21" s="177" t="n"/>
      <c r="J21" s="6" t="n"/>
      <c r="M21" s="101" t="n"/>
      <c r="N21" s="101" t="n"/>
      <c r="O21" s="101" t="n"/>
      <c r="P21" s="101" t="n"/>
      <c r="Q21" s="101" t="n"/>
      <c r="R21" s="102" t="n"/>
    </row>
    <row r="22" ht="17.25" customFormat="1" customHeight="1" s="363">
      <c r="A22" s="404" t="n"/>
      <c r="B22" s="364" t="inlineStr">
        <is>
          <t>Moderate</t>
        </is>
      </c>
      <c r="C22" s="549" t="inlineStr">
        <is>
          <t>存在 (E)</t>
        </is>
      </c>
      <c r="D22" s="550" t="n"/>
      <c r="E22" s="677">
        <f>IFERROR(VLOOKUP(D22,$C$13:$D$16,2,FALSE)*$G$5,"-")</f>
        <v/>
      </c>
      <c r="F22" s="679" t="n"/>
      <c r="G22" s="177" t="n"/>
      <c r="J22" s="6" t="n"/>
      <c r="M22" s="101" t="n"/>
      <c r="N22" s="101" t="n"/>
      <c r="O22" s="101" t="n"/>
      <c r="P22" s="101" t="n"/>
      <c r="Q22" s="101" t="n"/>
      <c r="R22" s="102" t="n"/>
    </row>
    <row r="23" ht="17.25" customFormat="1" customHeight="1" s="363">
      <c r="A23" s="404" t="n"/>
      <c r="B23" s="364" t="inlineStr">
        <is>
          <t>Low</t>
        </is>
      </c>
      <c r="C23" s="549" t="inlineStr">
        <is>
          <t>计价(V)</t>
        </is>
      </c>
      <c r="D23" s="550" t="n"/>
      <c r="E23" s="677">
        <f>IFERROR(VLOOKUP(D23,$C$13:$D$16,2,FALSE)*$G$5,"-")</f>
        <v/>
      </c>
      <c r="F23" s="679" t="n"/>
      <c r="G23" s="177" t="n"/>
      <c r="J23" s="6" t="n"/>
      <c r="M23" s="101" t="n"/>
      <c r="N23" s="101" t="n"/>
      <c r="O23" s="101" t="n"/>
      <c r="P23" s="101" t="n"/>
      <c r="Q23" s="101" t="n"/>
      <c r="R23" s="102" t="n"/>
    </row>
    <row r="24" ht="17.25" customFormat="1" customHeight="1" s="363">
      <c r="A24" s="404" t="n"/>
      <c r="B24" s="364" t="inlineStr">
        <is>
          <t>Minimal</t>
        </is>
      </c>
      <c r="C24" s="549" t="inlineStr">
        <is>
          <t>权利和义务 (R&amp;O)</t>
        </is>
      </c>
      <c r="D24" s="550" t="n"/>
      <c r="E24" s="677">
        <f>IFERROR(VLOOKUP(D24,$C$13:$D$16,2,FALSE)*$G$5,"-")</f>
        <v/>
      </c>
      <c r="F24" s="679" t="n"/>
      <c r="G24" s="177" t="n"/>
      <c r="I24" s="363" t="inlineStr">
        <is>
          <t> </t>
        </is>
      </c>
      <c r="J24" s="6" t="n"/>
      <c r="M24" s="101" t="n"/>
      <c r="N24" s="101" t="n"/>
      <c r="O24" s="101" t="n"/>
      <c r="P24" s="101" t="n"/>
      <c r="Q24" s="101" t="n"/>
      <c r="R24" s="102" t="n"/>
    </row>
    <row r="25" ht="17.25" customFormat="1" customHeight="1" s="363" thickBot="1">
      <c r="A25" s="404" t="n"/>
      <c r="B25" s="364" t="inlineStr">
        <is>
          <t>N/A</t>
        </is>
      </c>
      <c r="C25" s="552" t="inlineStr">
        <is>
          <t>列报和披露 (P&amp;D)</t>
        </is>
      </c>
      <c r="D25" s="553" t="n"/>
      <c r="E25" s="680">
        <f>IFERROR(VLOOKUP(D25,$C$13:$D$16,2,FALSE)*$G$5,"-")</f>
        <v/>
      </c>
      <c r="F25" s="681" t="n"/>
      <c r="G25" s="177" t="n"/>
      <c r="J25" s="6" t="n"/>
      <c r="M25" s="101" t="n"/>
      <c r="N25" s="101" t="n"/>
      <c r="O25" s="101" t="n"/>
      <c r="P25" s="101" t="n"/>
      <c r="Q25" s="101" t="n"/>
      <c r="R25" s="102" t="n"/>
    </row>
    <row r="26" ht="16.5" customFormat="1" customHeight="1" s="363">
      <c r="A26" s="404" t="n"/>
      <c r="B26" s="364" t="n"/>
      <c r="C26" s="368" t="inlineStr">
        <is>
          <t>*该阈值是使用所有相关认定中的最低阈值来计算的</t>
        </is>
      </c>
      <c r="D26" s="369" t="n"/>
      <c r="E26" s="682" t="n"/>
      <c r="F26" s="683" t="n"/>
      <c r="G26" s="177" t="n"/>
      <c r="J26" s="6" t="n"/>
      <c r="M26" s="101" t="n"/>
      <c r="N26" s="101" t="n"/>
      <c r="O26" s="101" t="n"/>
      <c r="P26" s="101" t="n"/>
      <c r="Q26" s="101" t="n"/>
      <c r="R26" s="102" t="n"/>
    </row>
    <row r="27">
      <c r="C27" s="44" t="n"/>
    </row>
    <row r="28" ht="16.5" customHeight="1" thickBot="1">
      <c r="C28" s="156" t="n"/>
      <c r="D28" s="156" t="n"/>
      <c r="E28" s="156" t="n"/>
      <c r="F28" s="156" t="n"/>
      <c r="G28" s="156" t="n"/>
      <c r="H28" s="684" t="n"/>
    </row>
    <row r="29" ht="33" customHeight="1">
      <c r="A29" s="402" t="inlineStr">
        <is>
          <t>P1</t>
        </is>
      </c>
      <c r="C29" s="45" t="inlineStr">
        <is>
          <t>序号</t>
        </is>
      </c>
      <c r="D29" s="46" t="inlineStr">
        <is>
          <t>报表科目</t>
        </is>
      </c>
      <c r="E29" s="48" t="inlineStr">
        <is>
          <t>执行实质性程序</t>
        </is>
      </c>
      <c r="F29" s="47" t="inlineStr">
        <is>
          <t>实质性程序类型</t>
        </is>
      </c>
      <c r="G29" s="48" t="inlineStr">
        <is>
          <t>认定</t>
        </is>
      </c>
      <c r="H29" s="48" t="inlineStr">
        <is>
          <t>程序描述</t>
        </is>
      </c>
      <c r="I29" s="48" t="inlineStr">
        <is>
          <t>执行</t>
        </is>
      </c>
      <c r="J29" s="48" t="inlineStr">
        <is>
          <t>索引</t>
        </is>
      </c>
      <c r="K29" s="405" t="inlineStr">
        <is>
          <t>如不执行PSP， 原因需记录文字多于5个文字</t>
        </is>
      </c>
    </row>
    <row r="30" ht="33" customHeight="1">
      <c r="C30" s="474" t="n">
        <v>1</v>
      </c>
      <c r="D30" s="49" t="inlineStr">
        <is>
          <t>长期待摊费用</t>
        </is>
      </c>
      <c r="E30" s="31" t="inlineStr">
        <is>
          <t>L2-01-GL: 验证存在性和计价</t>
        </is>
      </c>
      <c r="F30" s="480" t="inlineStr">
        <is>
          <t>PSP</t>
        </is>
      </c>
      <c r="G30" s="555" t="inlineStr">
        <is>
          <t>BS: E, V, C, R&amp;O, P&amp;D</t>
        </is>
      </c>
      <c r="H30" s="306" t="inlineStr">
        <is>
          <t>通过执行分析和调查两期的长期待摊费用科目重大变动来确定长期待摊费用科目是否合理。</t>
        </is>
      </c>
      <c r="I30" s="556" t="n"/>
      <c r="J30" s="557" t="inlineStr">
        <is>
          <t>L2.00 Lead</t>
        </is>
      </c>
      <c r="K30" s="558" t="n"/>
    </row>
    <row r="31" ht="30" customHeight="1">
      <c r="C31" s="474" t="n">
        <v>2</v>
      </c>
      <c r="D31" s="49" t="inlineStr">
        <is>
          <t>长期待摊费用</t>
        </is>
      </c>
      <c r="E31" s="31" t="inlineStr">
        <is>
          <t>L2-01-GL: 验证存在性和计价</t>
        </is>
      </c>
      <c r="F31" s="480" t="inlineStr">
        <is>
          <t>PSP</t>
        </is>
      </c>
      <c r="G31" s="50" t="inlineStr">
        <is>
          <t>BS: E, V, C, R&amp;O, P&amp;D</t>
        </is>
      </c>
      <c r="H31" s="50" t="inlineStr">
        <is>
          <t>获取长期待摊费用的明细清单，将明细清单与总账核对，并将查找重大差异原因。</t>
        </is>
      </c>
      <c r="I31" s="556" t="n"/>
      <c r="J31" s="557" t="inlineStr">
        <is>
          <t>L2.01.1 BKD</t>
        </is>
      </c>
      <c r="K31" s="559" t="n"/>
      <c r="L31" s="38" t="inlineStr">
        <is>
          <t> </t>
        </is>
      </c>
    </row>
    <row r="32" ht="35.65" customHeight="1">
      <c r="C32" s="685" t="n">
        <v>3</v>
      </c>
      <c r="D32" s="686" t="inlineStr">
        <is>
          <t>长期待摊费用</t>
        </is>
      </c>
      <c r="E32" s="687" t="inlineStr">
        <is>
          <t>L2-01-GL: 验证存在性和计价</t>
        </is>
      </c>
      <c r="F32" s="688" t="inlineStr">
        <is>
          <t>PSP</t>
        </is>
      </c>
      <c r="G32" s="689" t="inlineStr">
        <is>
          <t>BS: E, V, C, R&amp;O, P&amp;D</t>
        </is>
      </c>
      <c r="H32" s="463" t="inlineStr">
        <is>
          <t>验证存在性和计价-{测试存在性}，例如经营租赁方式租入的固定资产发生的改良支出或装修等进行实地查看，以验证其存在性认定；同时检查本期新增长期待摊费用的原始凭证（例如采购发票、合同等）。复核摊销政策的合理性。</t>
        </is>
      </c>
      <c r="I32" s="556" t="n"/>
      <c r="J32" s="557" t="inlineStr">
        <is>
          <t>L2.02.1 存在性测试</t>
        </is>
      </c>
      <c r="K32" s="560" t="n"/>
    </row>
    <row r="33" ht="36" customHeight="1">
      <c r="C33" s="690" t="n"/>
      <c r="D33" s="691" t="n"/>
      <c r="E33" s="691" t="n"/>
      <c r="F33" s="691" t="n"/>
      <c r="G33" s="691" t="n"/>
      <c r="H33" s="692" t="n"/>
      <c r="I33" s="388" t="n"/>
      <c r="J33" s="557" t="inlineStr">
        <is>
          <t>L2.02.1a 选样输出</t>
        </is>
      </c>
      <c r="K33" s="389" t="n"/>
    </row>
    <row r="34" ht="68.25" customHeight="1" thickBot="1">
      <c r="C34" s="236" t="n">
        <v>4</v>
      </c>
      <c r="D34" s="561" t="inlineStr">
        <is>
          <t>长期待摊费用</t>
        </is>
      </c>
      <c r="E34" s="562" t="inlineStr">
        <is>
          <t>L2-01-GL: 验证存在性和计价</t>
        </is>
      </c>
      <c r="F34" s="563" t="inlineStr">
        <is>
          <t>PSP</t>
        </is>
      </c>
      <c r="G34" s="564" t="inlineStr">
        <is>
          <t>BS: E, V, C, R&amp;O, P&amp;D</t>
        </is>
      </c>
      <c r="H34" s="565" t="inlineStr">
        <is>
          <t>验证存在性和计价{测试减值}：使用在审计过程中所获得的信息来确定管理层是否已识别适当的减值迹象。如有减值迹象的，评价管理层减值评估的合理性。</t>
        </is>
      </c>
      <c r="I34" s="566" t="n"/>
      <c r="J34" s="567" t="n"/>
      <c r="K34" s="568" t="n"/>
    </row>
    <row r="36" ht="12.75" customHeight="1" thickBot="1">
      <c r="C36" s="292" t="inlineStr">
        <is>
          <t>IPE 考虑</t>
        </is>
      </c>
      <c r="D36" s="293" t="n"/>
      <c r="E36" s="294" t="n"/>
      <c r="F36" s="295" t="n"/>
      <c r="G36" s="296" t="n"/>
      <c r="H36" s="296" t="n"/>
      <c r="I36" s="296" t="n"/>
      <c r="J36" s="296" t="n"/>
      <c r="K36" s="296" t="n"/>
    </row>
    <row r="37" ht="33" customHeight="1" thickBot="1">
      <c r="A37" s="402" t="inlineStr">
        <is>
          <t>/P1</t>
        </is>
      </c>
      <c r="C37" s="303" t="n">
        <v>5</v>
      </c>
      <c r="D37" s="693" t="inlineStr">
        <is>
          <t xml:space="preserve"> IPE</t>
        </is>
      </c>
      <c r="E37" s="694" t="n"/>
      <c r="F37" s="297" t="n"/>
      <c r="G37" s="298" t="n"/>
      <c r="H37" s="406" t="inlineStr">
        <is>
          <t>执行IPE程序以评估客户提供的数据的准确性和完整性。可点击此处获取265 Form，获取后需更新链接至执行程序265GL 。</t>
        </is>
      </c>
      <c r="I37" s="566" t="n"/>
      <c r="J37" s="567" t="n"/>
      <c r="K37" s="299" t="n"/>
    </row>
    <row r="38" ht="12.75" customHeight="1" thickBot="1"/>
    <row r="39" ht="12.6" customHeight="1">
      <c r="A39" s="402" t="inlineStr">
        <is>
          <t>N1</t>
        </is>
      </c>
      <c r="C39" s="304" t="inlineStr">
        <is>
          <t>长期待摊费用账户总结陈述</t>
        </is>
      </c>
      <c r="D39" s="289" t="n"/>
      <c r="E39" s="290" t="n"/>
      <c r="F39" s="289" t="n"/>
      <c r="G39" s="291" t="n"/>
    </row>
    <row r="40" ht="12.75" customHeight="1">
      <c r="C40" s="243" t="inlineStr">
        <is>
          <t>通过执行审计程序：</t>
        </is>
      </c>
      <c r="D40" s="244" t="n"/>
      <c r="E40" s="245" t="n"/>
      <c r="F40" s="244" t="n"/>
      <c r="G40" s="246" t="n"/>
    </row>
    <row r="41">
      <c r="C41" s="569" t="n"/>
      <c r="D41" s="695" t="inlineStr">
        <is>
          <t>我们没有发现任何超过SAD的错报</t>
        </is>
      </c>
      <c r="G41" s="696" t="n"/>
    </row>
    <row r="42" ht="35.65" customHeight="1" thickBot="1">
      <c r="A42" s="402" t="inlineStr">
        <is>
          <t>/N1</t>
        </is>
      </c>
      <c r="C42" s="570" t="n"/>
      <c r="D42" s="697" t="inlineStr">
        <is>
          <t>我们已经完成了于该些科目相关的细节测试，并发现了一个或多个超过SAD的错报，我们已经将这些错报记录于审计差异汇总（SAD template)中, 并将该审计差异汇总表放入Canvas。</t>
        </is>
      </c>
      <c r="E42" s="698" t="n"/>
      <c r="F42" s="698" t="n"/>
      <c r="G42" s="699" t="n"/>
    </row>
    <row r="43" ht="12.75" customHeight="1" thickBot="1"/>
    <row r="44" ht="12.75" customHeight="1">
      <c r="C44" s="149" t="inlineStr">
        <is>
          <t>安永标记</t>
        </is>
      </c>
      <c r="D44" s="150" t="n"/>
    </row>
    <row r="45" ht="65.25" customHeight="1">
      <c r="C45" s="335" t="inlineStr">
        <is>
          <t>PY</t>
        </is>
      </c>
      <c r="D45" s="151" t="inlineStr">
        <is>
          <t>与上年审计底稿核对一致（需项目组自行核对或者由GDS 提供服务核对）</t>
        </is>
      </c>
      <c r="E45" s="32" t="n"/>
    </row>
    <row r="46" ht="29.65" customHeight="1">
      <c r="C46" s="571" t="inlineStr">
        <is>
          <t>A3</t>
        </is>
      </c>
      <c r="D46" s="572" t="inlineStr">
        <is>
          <t>与未审数、审定数核对一致</t>
        </is>
      </c>
    </row>
    <row r="47" ht="12.75" customHeight="1">
      <c r="C47" s="571" t="inlineStr">
        <is>
          <t>A5</t>
        </is>
      </c>
      <c r="D47" s="572" t="inlineStr">
        <is>
          <t>与审计调整核对一致</t>
        </is>
      </c>
    </row>
    <row r="48" ht="39" customHeight="1">
      <c r="C48" s="571" t="inlineStr">
        <is>
          <t>TB</t>
        </is>
      </c>
      <c r="D48" s="572" t="inlineStr">
        <is>
          <t>已与科目余额表核对无误</t>
        </is>
      </c>
    </row>
    <row r="49" ht="12.75" customHeight="1">
      <c r="C49" s="571" t="inlineStr">
        <is>
          <t>SL</t>
        </is>
      </c>
      <c r="D49" s="573" t="inlineStr">
        <is>
          <t>已与明细账核对无误</t>
        </is>
      </c>
    </row>
    <row r="50" ht="29.1" customHeight="1">
      <c r="C50" s="574" t="inlineStr">
        <is>
          <t>m</t>
        </is>
      </c>
      <c r="D50" s="575" t="inlineStr">
        <is>
          <t>余额/活动不符合测试范围–无需进一步调查</t>
        </is>
      </c>
    </row>
    <row r="51" ht="34.5" customHeight="1">
      <c r="C51" s="571" t="inlineStr">
        <is>
          <t>FS</t>
        </is>
      </c>
      <c r="D51" s="572" t="inlineStr">
        <is>
          <t>与FS.0x与财务报表核对无误</t>
        </is>
      </c>
    </row>
    <row r="52" ht="29.65" customHeight="1">
      <c r="C52" s="574" t="inlineStr">
        <is>
          <t>w</t>
        </is>
      </c>
      <c r="D52" s="576" t="inlineStr">
        <is>
          <t>低于SAD的金额——放弃进一步调查</t>
        </is>
      </c>
    </row>
    <row r="53" ht="12.75" customHeight="1" thickBot="1">
      <c r="C53" s="577" t="inlineStr">
        <is>
          <t>Rx</t>
        </is>
      </c>
      <c r="D53" s="578" t="inlineStr">
        <is>
          <t>重新计算，无异常</t>
        </is>
      </c>
    </row>
    <row r="55" ht="12.75" customHeight="1">
      <c r="D55" s="38" t="inlineStr">
        <is>
          <t>  </t>
        </is>
      </c>
    </row>
  </sheetData>
  <mergeCells count="9">
    <mergeCell ref="F32:F33"/>
    <mergeCell ref="D41:G41"/>
    <mergeCell ref="D32:D33"/>
    <mergeCell ref="E32:E33"/>
    <mergeCell ref="H32:H33"/>
    <mergeCell ref="D37:E37"/>
    <mergeCell ref="C32:C33"/>
    <mergeCell ref="D42:G42"/>
    <mergeCell ref="G32:G33"/>
  </mergeCells>
  <conditionalFormatting sqref="C41">
    <cfRule type="expression" priority="19" dxfId="10">
      <formula>C42="√"</formula>
    </cfRule>
  </conditionalFormatting>
  <conditionalFormatting sqref="C41:C42">
    <cfRule type="containsBlanks" priority="25" dxfId="0">
      <formula>LEN(TRIM(C41))=0</formula>
    </cfRule>
  </conditionalFormatting>
  <conditionalFormatting sqref="C42">
    <cfRule type="expression" priority="18" dxfId="10">
      <formula>C41="√"</formula>
    </cfRule>
    <cfRule type="expression" priority="20" dxfId="10">
      <formula>"if($C$46=""√"","""")"</formula>
    </cfRule>
  </conditionalFormatting>
  <conditionalFormatting sqref="D3 D5 D7 D9 D21:D25 G3 G5 G7 I30:I34 I37:J37 J34">
    <cfRule type="containsBlanks" priority="1" dxfId="0">
      <formula>LEN(TRIM(D3))=0</formula>
    </cfRule>
  </conditionalFormatting>
  <conditionalFormatting sqref="K30:K34">
    <cfRule type="expression" priority="24" dxfId="8">
      <formula>SUMPRODUCT((I30="No")*(LEN(K30)=0))</formula>
    </cfRule>
  </conditionalFormatting>
  <conditionalFormatting sqref="K37">
    <cfRule type="expression" priority="16" dxfId="7">
      <formula>SUMPRODUCT((I37="No")*(LEN(K37)=0))</formula>
    </cfRule>
  </conditionalFormatting>
  <dataValidations count="3">
    <dataValidation sqref="I30:I34 I37" showDropDown="0" showInputMessage="1" showErrorMessage="1" allowBlank="1" type="list">
      <formula1>"Yes, No"</formula1>
    </dataValidation>
    <dataValidation sqref="C41:C42" showDropDown="0" showInputMessage="1" showErrorMessage="1" allowBlank="1" type="list">
      <formula1>"√,"</formula1>
    </dataValidation>
    <dataValidation sqref="D21:D25" showDropDown="0" showInputMessage="1" showErrorMessage="1" allowBlank="1" type="list">
      <formula1>$C$13:$C$17</formula1>
    </dataValidation>
  </dataValidations>
  <hyperlinks>
    <hyperlink ref="J30" location="L2_Lead!A1" display="L2_Lead"/>
    <hyperlink ref="J31" location="'L2.01.1 BKD'!A1" display="L2.01.1 BKD"/>
    <hyperlink ref="J32" location="L2_200存在性测试!A1" display="L2_200存在性测试"/>
    <hyperlink ref="J33" location="'L2.02.1a 选样输出'!A1" display="'L2.02.1a 选样输出"/>
    <hyperlink xmlns:r="http://schemas.openxmlformats.org/officeDocument/2006/relationships" ref="H37" location="document/589804/pid88119662-589804?pref=20014/4/30&amp;crumb=8/1724596/553542" display="执行IPE程序以评估客户提供的数据的准确性和完整性。可点击此处获取265 From，获取后需更新链接至执行程序265GL 。" r:id="rId1"/>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Q143"/>
  <sheetViews>
    <sheetView showGridLines="0" zoomScale="70" zoomScaleNormal="70" workbookViewId="0">
      <selection activeCell="D33" sqref="D33"/>
    </sheetView>
  </sheetViews>
  <sheetFormatPr baseColWidth="8" defaultColWidth="8.875" defaultRowHeight="12.75" customHeight="1" outlineLevelRow="1"/>
  <cols>
    <col width="2.75" customWidth="1" style="74" min="1" max="1"/>
    <col width="5.625" customWidth="1" style="67" min="2" max="2"/>
    <col width="17.875" customWidth="1" style="67" min="3" max="3"/>
    <col width="30.125" customWidth="1" style="67" min="4" max="4"/>
    <col width="20" customWidth="1" style="67" min="5" max="5"/>
    <col width="21.875" customWidth="1" style="67" min="6" max="6"/>
    <col width="17.875" customWidth="1" style="67" min="7" max="8"/>
    <col width="16.875" customWidth="1" style="67" min="9" max="9"/>
    <col width="17.75" customWidth="1" style="67" min="10" max="10"/>
    <col outlineLevel="1" width="12.875" customWidth="1" style="67" min="11" max="12"/>
    <col width="12.875" customWidth="1" style="67" min="13" max="23"/>
    <col width="8.875" customWidth="1" style="67" min="24" max="25"/>
    <col width="8.875" customWidth="1" style="67" min="26" max="16384"/>
  </cols>
  <sheetData>
    <row r="1" ht="12.75" customHeight="1">
      <c r="A1" s="436" t="inlineStr">
        <is>
          <t>1a53a06e-5a44-4eea-8984-54dfb7bd65ad</t>
        </is>
      </c>
    </row>
    <row r="2" ht="12.75" customFormat="1" customHeight="1" s="60" thickBot="1">
      <c r="A2" s="402" t="n"/>
      <c r="C2" s="38" t="n"/>
      <c r="D2" s="38" t="n"/>
      <c r="E2" s="700" t="n"/>
      <c r="F2" s="38" t="n"/>
      <c r="G2" s="38" t="n"/>
      <c r="H2" s="38" t="n"/>
      <c r="J2" s="3" t="inlineStr">
        <is>
          <t>返回汇总页</t>
        </is>
      </c>
      <c r="K2" s="38" t="n"/>
      <c r="L2" s="38" t="n"/>
      <c r="M2" s="38" t="n"/>
      <c r="N2" s="67" t="n"/>
    </row>
    <row r="3" ht="14.65" customFormat="1" customHeight="1" s="60">
      <c r="A3" s="402" t="n"/>
      <c r="C3" s="247" t="inlineStr">
        <is>
          <t>目标</t>
        </is>
      </c>
      <c r="D3" s="248" t="n"/>
      <c r="E3" s="248" t="n"/>
      <c r="F3" s="248" t="n"/>
      <c r="G3" s="248" t="n"/>
      <c r="H3" s="248" t="n"/>
      <c r="I3" s="248" t="n"/>
      <c r="J3" s="249" t="n"/>
      <c r="K3" s="38" t="n"/>
      <c r="L3" s="38" t="n"/>
      <c r="M3" s="38" t="n"/>
      <c r="N3" s="38" t="n"/>
      <c r="O3" s="38" t="n"/>
      <c r="P3" s="38" t="n"/>
      <c r="Q3" s="67" t="n"/>
    </row>
    <row r="4" ht="25.5" customFormat="1" customHeight="1" s="60">
      <c r="A4" s="402" t="n"/>
      <c r="C4" s="250" t="inlineStr">
        <is>
          <t>通过执行分析和调查两期金额重大变动来确定这些科目是否合理。</t>
        </is>
      </c>
      <c r="D4" s="251" t="n"/>
      <c r="E4" s="251" t="n"/>
      <c r="F4" s="251" t="n"/>
      <c r="G4" s="251" t="n"/>
      <c r="H4" s="251" t="n"/>
      <c r="I4" s="251" t="n"/>
      <c r="J4" s="252" t="n"/>
      <c r="K4" s="38" t="n"/>
      <c r="L4" s="38" t="n"/>
      <c r="M4" s="38" t="n"/>
      <c r="N4" s="38" t="n"/>
      <c r="O4" s="38" t="n"/>
      <c r="P4" s="38" t="n"/>
      <c r="Q4" s="67" t="n"/>
    </row>
    <row r="5" ht="12.75" customFormat="1" customHeight="1" s="60">
      <c r="A5" s="402" t="n"/>
      <c r="C5" s="253" t="n"/>
      <c r="D5" s="251" t="n"/>
      <c r="E5" s="251" t="n"/>
      <c r="F5" s="251" t="n"/>
      <c r="G5" s="251" t="n"/>
      <c r="H5" s="251" t="n"/>
      <c r="I5" s="251" t="n"/>
      <c r="J5" s="252" t="n"/>
      <c r="K5" s="38" t="n"/>
      <c r="L5" s="38" t="n"/>
      <c r="M5" s="38" t="n"/>
      <c r="N5" s="38" t="n"/>
      <c r="O5" s="38" t="n"/>
      <c r="P5" s="38" t="n"/>
      <c r="Q5" s="67" t="n"/>
    </row>
    <row r="6" ht="12.75" customFormat="1" customHeight="1" s="60">
      <c r="A6" s="402" t="n"/>
      <c r="C6" s="253" t="n"/>
      <c r="D6" s="254" t="n"/>
      <c r="E6" s="254" t="n"/>
      <c r="F6" s="254" t="n"/>
      <c r="G6" s="255" t="n"/>
      <c r="H6" s="255" t="n"/>
      <c r="I6" s="255" t="n"/>
      <c r="J6" s="252" t="n"/>
      <c r="K6" s="38" t="n"/>
      <c r="L6" s="38" t="n"/>
      <c r="M6" s="38" t="n"/>
      <c r="N6" s="38" t="n"/>
      <c r="O6" s="38" t="n"/>
      <c r="P6" s="38" t="n"/>
      <c r="Q6" s="67" t="n"/>
    </row>
    <row r="7" ht="21" customFormat="1" customHeight="1" s="60">
      <c r="A7" s="402" t="n"/>
      <c r="C7" s="579" t="inlineStr">
        <is>
          <t>序号</t>
        </is>
      </c>
      <c r="D7" s="701" t="inlineStr">
        <is>
          <t>执行的程序</t>
        </is>
      </c>
      <c r="E7" s="702" t="n"/>
      <c r="F7" s="703" t="n"/>
      <c r="G7" s="580" t="inlineStr">
        <is>
          <t>程序表</t>
        </is>
      </c>
      <c r="H7" s="581" t="inlineStr">
        <is>
          <t>预审完成</t>
        </is>
      </c>
      <c r="I7" s="581" t="inlineStr">
        <is>
          <t>年审完成</t>
        </is>
      </c>
      <c r="J7" s="391" t="inlineStr">
        <is>
          <t>执行注意事项</t>
        </is>
      </c>
      <c r="K7" s="38" t="n"/>
      <c r="L7" s="38" t="n"/>
      <c r="M7" s="38" t="n"/>
      <c r="N7" s="38" t="n"/>
      <c r="O7" s="38" t="n"/>
      <c r="P7" s="38" t="n"/>
      <c r="Q7" s="38" t="n"/>
      <c r="R7" s="67" t="n"/>
    </row>
    <row r="8" outlineLevel="1" ht="21.6" customFormat="1" customHeight="1" s="60">
      <c r="A8" s="402" t="n"/>
      <c r="C8" s="582" t="n">
        <v>1</v>
      </c>
      <c r="D8" s="704" t="inlineStr">
        <is>
          <t>我们获取长期待摊费用科目余额表本期金额以及上年审定数。</t>
        </is>
      </c>
      <c r="E8" s="702" t="n"/>
      <c r="F8" s="703" t="n"/>
      <c r="G8" s="583" t="inlineStr">
        <is>
          <t>表1</t>
        </is>
      </c>
      <c r="H8" s="584" t="inlineStr">
        <is>
          <t>是</t>
        </is>
      </c>
      <c r="I8" s="584" t="n"/>
      <c r="J8" s="331" t="n"/>
      <c r="K8" s="38" t="n"/>
      <c r="L8" s="38" t="n"/>
      <c r="M8" s="38" t="n"/>
      <c r="N8" s="38" t="n"/>
      <c r="O8" s="38" t="n"/>
      <c r="P8" s="38" t="n"/>
      <c r="Q8" s="38" t="n"/>
      <c r="R8" s="67" t="n"/>
    </row>
    <row r="9" outlineLevel="1" ht="46.15" customFormat="1" customHeight="1" s="60">
      <c r="A9" s="402" t="n"/>
      <c r="C9" s="585" t="n">
        <v>2</v>
      </c>
      <c r="D9" s="705" t="inlineStr">
        <is>
          <t>我们将两期审定金额进行比对，对那些变动大于范围的事项，获得管理层解释并对解释是否合理进行调查。</t>
        </is>
      </c>
      <c r="E9" s="702" t="n"/>
      <c r="F9" s="703" t="n"/>
      <c r="G9" s="583" t="inlineStr">
        <is>
          <t>表1</t>
        </is>
      </c>
      <c r="H9" s="584" t="inlineStr">
        <is>
          <t>是</t>
        </is>
      </c>
      <c r="I9" s="584" t="n"/>
      <c r="J9" s="332" t="n"/>
      <c r="K9" s="38" t="n"/>
      <c r="L9" s="38" t="n"/>
      <c r="M9" s="38" t="n"/>
      <c r="N9" s="38" t="n"/>
      <c r="O9" s="38" t="n"/>
      <c r="P9" s="38" t="n"/>
      <c r="Q9" s="38" t="n"/>
      <c r="R9" s="67" t="n"/>
    </row>
    <row r="10" ht="12.75" customFormat="1" customHeight="1" s="60" thickBot="1">
      <c r="A10" s="402" t="n"/>
      <c r="C10" s="256" t="n"/>
      <c r="D10" s="257" t="n"/>
      <c r="E10" s="257" t="n"/>
      <c r="F10" s="257" t="n"/>
      <c r="G10" s="257" t="n"/>
      <c r="H10" s="257" t="n"/>
      <c r="I10" s="257" t="n"/>
      <c r="J10" s="258" t="n"/>
      <c r="K10" s="38" t="n"/>
      <c r="L10" s="38" t="n"/>
      <c r="M10" s="38" t="n"/>
      <c r="N10" s="38" t="n"/>
      <c r="O10" s="38" t="n"/>
      <c r="P10" s="38" t="n"/>
      <c r="Q10" s="38" t="n"/>
      <c r="R10" s="67" t="n"/>
    </row>
    <row r="11" ht="12.75" customFormat="1" customHeight="1" s="60">
      <c r="A11" s="242" t="n"/>
      <c r="B11" s="6" t="n"/>
      <c r="C11" s="392" t="n"/>
      <c r="D11" s="393" t="n"/>
      <c r="E11" s="177" t="n"/>
      <c r="F11" s="177" t="n"/>
      <c r="G11" s="177" t="n"/>
      <c r="H11" s="177" t="n"/>
      <c r="I11" s="6" t="n"/>
      <c r="J11" s="6" t="n"/>
      <c r="K11" s="394" t="n"/>
      <c r="L11" s="395" t="n"/>
      <c r="M11" s="395" t="n"/>
      <c r="N11" s="395" t="n"/>
      <c r="O11" s="395" t="n"/>
      <c r="P11" s="395" t="n"/>
      <c r="Q11" s="395" t="n"/>
      <c r="R11" s="39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row>
    <row r="12" ht="16.15" customFormat="1" customHeight="1" s="374">
      <c r="A12" s="373" t="n"/>
      <c r="B12" s="372" t="n"/>
      <c r="C12" s="373" t="n"/>
      <c r="D12" s="372" t="n"/>
      <c r="E12" s="372" t="n"/>
      <c r="F12" s="372" t="n"/>
      <c r="G12" s="372" t="n"/>
      <c r="H12" s="372" t="n"/>
      <c r="I12" s="372" t="n"/>
      <c r="J12" s="372" t="n"/>
      <c r="K12" s="372" t="n"/>
    </row>
    <row r="13" ht="16.15" customFormat="1" customHeight="1" s="374" thickBot="1">
      <c r="A13" s="373" t="n"/>
      <c r="B13" s="372" t="n"/>
      <c r="C13" s="395" t="inlineStr">
        <is>
          <t>以下描述我们对长期待摊费用的预期，在此期间的相关账户余额和相关波动，以及我们这些预期的依据和理由。（请对长期待摊费用L2.01.1 BKD中表1的变动项分别进行预期，如新增、减少、摊销方法、摊销年限、摊销费用、使用寿命变化等。）</t>
        </is>
      </c>
      <c r="D13" s="372" t="n"/>
      <c r="E13" s="372" t="n"/>
      <c r="F13" s="372" t="n"/>
      <c r="G13" s="372" t="n"/>
      <c r="H13" s="372" t="n"/>
      <c r="I13" s="372" t="n"/>
      <c r="J13" s="372" t="n"/>
      <c r="K13" s="372" t="n"/>
    </row>
    <row r="14" ht="16.15" customFormat="1" customHeight="1" s="374">
      <c r="A14" s="373" t="n"/>
      <c r="B14" s="372" t="n"/>
      <c r="C14" s="706" t="n"/>
      <c r="D14" s="707" t="n"/>
      <c r="E14" s="707" t="n"/>
      <c r="F14" s="707" t="n"/>
      <c r="G14" s="708" t="n"/>
      <c r="H14" s="372" t="n"/>
      <c r="I14" s="372" t="n"/>
      <c r="J14" s="372" t="n"/>
      <c r="K14" s="372" t="n"/>
    </row>
    <row r="15" ht="16.35" customFormat="1" customHeight="1" s="374">
      <c r="A15" s="373" t="n"/>
      <c r="B15" s="372" t="n"/>
      <c r="C15" s="709" t="n"/>
      <c r="G15" s="696" t="n"/>
      <c r="H15" s="372" t="n"/>
      <c r="I15" s="372" t="n"/>
      <c r="J15" s="372" t="n"/>
      <c r="K15" s="372" t="n"/>
    </row>
    <row r="16" ht="16.15" customFormat="1" customHeight="1" s="374" thickBot="1">
      <c r="A16" s="373" t="n"/>
      <c r="B16" s="372" t="n"/>
      <c r="C16" s="710" t="n"/>
      <c r="D16" s="711" t="n"/>
      <c r="E16" s="711" t="n"/>
      <c r="F16" s="711" t="n"/>
      <c r="G16" s="712" t="n"/>
      <c r="H16" s="372" t="n"/>
      <c r="I16" s="372" t="n"/>
      <c r="J16" s="372" t="n"/>
      <c r="K16" s="372" t="n"/>
    </row>
    <row r="17" ht="16.15" customFormat="1" customHeight="1" s="374" thickBot="1">
      <c r="A17" s="373" t="n"/>
      <c r="B17" s="372" t="n"/>
      <c r="C17" s="713" t="n"/>
      <c r="D17" s="714" t="n"/>
      <c r="E17" s="177" t="n"/>
      <c r="F17" s="177" t="n"/>
      <c r="G17" s="177" t="n"/>
      <c r="H17" s="177" t="n"/>
      <c r="I17" s="6" t="n"/>
      <c r="J17" s="372" t="n"/>
      <c r="K17" s="372" t="n"/>
    </row>
    <row r="18" ht="12.75" customFormat="1" customHeight="1" s="60">
      <c r="A18" s="242" t="n"/>
      <c r="B18" s="6" t="n"/>
      <c r="C18" s="397">
        <f>"波动范围 ("&amp;汇总!D7&amp;"):"</f>
        <v/>
      </c>
      <c r="D18" s="715">
        <f>汇总!$F$21</f>
        <v/>
      </c>
      <c r="E18" s="399" t="n"/>
      <c r="F18" s="399" t="n"/>
      <c r="G18" s="399" t="n"/>
      <c r="H18" s="399" t="n"/>
      <c r="I18" s="399" t="n"/>
      <c r="J18" s="399" t="n"/>
      <c r="K18" s="399" t="n"/>
      <c r="L18" s="395" t="n"/>
      <c r="M18" s="395" t="n"/>
      <c r="N18" s="395" t="n"/>
      <c r="O18" s="395" t="n"/>
      <c r="P18" s="395" t="n"/>
      <c r="Q18" s="395" t="n"/>
      <c r="R18" s="39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row>
    <row r="19" ht="17.25" customFormat="1" customHeight="1" s="60" thickBot="1">
      <c r="A19" s="242" t="n"/>
      <c r="B19" s="6" t="n"/>
      <c r="C19" s="586" t="inlineStr">
        <is>
          <t>波动范围 (%):</t>
        </is>
      </c>
      <c r="D19" s="587" t="n"/>
      <c r="E19" s="400" t="n"/>
      <c r="F19" s="400" t="n"/>
      <c r="G19" s="400" t="n"/>
      <c r="H19" s="400" t="n"/>
      <c r="I19" s="400" t="n"/>
      <c r="J19" s="400" t="n"/>
      <c r="K19" s="400" t="n"/>
      <c r="L19" s="395" t="n"/>
      <c r="M19" s="395" t="n"/>
      <c r="N19" s="395" t="n"/>
      <c r="O19" s="395" t="n"/>
      <c r="P19" s="395" t="n"/>
      <c r="Q19" s="395" t="n"/>
      <c r="R19" s="39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2.75" customFormat="1" customHeight="1" s="60">
      <c r="A20" s="402" t="n"/>
      <c r="C20" s="74" t="n"/>
      <c r="D20" s="38" t="n"/>
      <c r="E20" s="700" t="n"/>
      <c r="F20" s="38" t="n"/>
      <c r="G20" s="38" t="n"/>
      <c r="H20" s="38" t="n"/>
      <c r="I20" s="38" t="n"/>
      <c r="J20" s="38" t="n"/>
      <c r="K20" s="38" t="n"/>
      <c r="L20" s="38" t="n"/>
      <c r="M20" s="67" t="n"/>
    </row>
    <row r="21" ht="12.75" customFormat="1" customHeight="1" s="60">
      <c r="A21" s="402" t="n"/>
      <c r="C21" s="38" t="n"/>
      <c r="D21" s="38" t="n"/>
      <c r="E21" s="700" t="n"/>
      <c r="F21" s="38" t="n"/>
      <c r="G21" s="38" t="n"/>
      <c r="H21" s="38" t="n"/>
      <c r="I21" s="38" t="n"/>
      <c r="J21" s="38" t="n"/>
      <c r="K21" s="38" t="n"/>
      <c r="L21" s="38" t="n"/>
      <c r="M21" s="67" t="n"/>
    </row>
    <row r="22" ht="21" customFormat="1" customHeight="1" s="60">
      <c r="A22" s="402" t="n"/>
      <c r="C22" s="259" t="inlineStr">
        <is>
          <t>注：以下表格数据源来自科目余额表，项目组可按照项目实际情况对表格的表头进行修改及行列进行删减</t>
        </is>
      </c>
      <c r="D22" s="237" t="n"/>
      <c r="E22" s="238" t="n"/>
      <c r="F22" s="237" t="n"/>
      <c r="G22" s="238" t="n"/>
      <c r="H22" s="239" t="n"/>
      <c r="I22" s="239" t="n"/>
      <c r="J22" s="155" t="n"/>
      <c r="K22" s="483" t="n"/>
      <c r="M22" s="155" t="n"/>
      <c r="O22" s="100" t="n"/>
      <c r="P22" s="100" t="n"/>
      <c r="Q22" s="67" t="n"/>
      <c r="R22" s="101" t="n"/>
      <c r="S22" s="102" t="n"/>
    </row>
    <row r="23" ht="18" customFormat="1" customHeight="1" s="60">
      <c r="A23" s="402" t="n"/>
      <c r="C23" s="377" t="n"/>
      <c r="D23" s="483" t="n"/>
      <c r="E23" s="155" t="n"/>
      <c r="F23" s="483" t="n"/>
      <c r="G23" s="155" t="inlineStr">
        <is>
          <t>AA</t>
        </is>
      </c>
      <c r="H23" s="155" t="n"/>
      <c r="I23" s="155" t="inlineStr">
        <is>
          <t>BB</t>
        </is>
      </c>
      <c r="J23" s="155" t="inlineStr">
        <is>
          <t>CC=AA+BB</t>
        </is>
      </c>
      <c r="K23" s="155" t="n"/>
      <c r="L23" s="155" t="inlineStr">
        <is>
          <t>DD</t>
        </is>
      </c>
      <c r="M23" s="155" t="inlineStr">
        <is>
          <t>EE=CC+DD</t>
        </is>
      </c>
      <c r="N23" s="381" t="inlineStr">
        <is>
          <t>FF</t>
        </is>
      </c>
      <c r="O23" s="380" t="inlineStr">
        <is>
          <t>GG=EE-FF</t>
        </is>
      </c>
      <c r="P23" s="380" t="inlineStr">
        <is>
          <t>HH=GG/FF</t>
        </is>
      </c>
      <c r="Q23" s="67" t="n"/>
      <c r="R23" s="101" t="n"/>
      <c r="S23" s="102" t="n"/>
    </row>
    <row r="24" ht="13.5" customFormat="1" customHeight="1" s="60" thickBot="1">
      <c r="A24" s="402" t="inlineStr">
        <is>
          <t>T1</t>
        </is>
      </c>
      <c r="C24" s="103" t="inlineStr">
        <is>
          <t>TB</t>
        </is>
      </c>
      <c r="D24" s="104" t="inlineStr">
        <is>
          <t>TB</t>
        </is>
      </c>
      <c r="E24" s="104" t="inlineStr">
        <is>
          <t>TB</t>
        </is>
      </c>
      <c r="F24" s="105" t="n"/>
      <c r="G24" s="716" t="inlineStr">
        <is>
          <t>TB</t>
        </is>
      </c>
      <c r="H24" s="105" t="n"/>
      <c r="I24" s="105" t="n"/>
      <c r="J24" s="105" t="n"/>
      <c r="K24" s="105" t="n"/>
      <c r="L24" s="105" t="n"/>
      <c r="M24" s="105" t="n"/>
      <c r="N24" s="177" t="n"/>
      <c r="O24" s="105" t="n"/>
      <c r="P24" s="107" t="n"/>
      <c r="Q24" s="105" t="n"/>
      <c r="R24" s="101" t="n"/>
      <c r="S24" s="102" t="n"/>
    </row>
    <row r="25" ht="0.2" customFormat="1" customHeight="1" s="128" thickBot="1">
      <c r="A25" s="407" t="n"/>
      <c r="C25" s="434" t="n"/>
      <c r="D25" s="130" t="n"/>
      <c r="E25" s="130" t="n"/>
      <c r="F25" s="262" t="n"/>
      <c r="G25" s="717" t="n"/>
      <c r="H25" s="589" t="n"/>
      <c r="I25" s="718" t="n"/>
      <c r="J25" s="719">
        <f>G25+I25</f>
        <v/>
      </c>
      <c r="K25" s="589" t="n"/>
      <c r="L25" s="718" t="n"/>
      <c r="M25" s="720">
        <f>J25+L25</f>
        <v/>
      </c>
      <c r="N25" s="721" t="n"/>
      <c r="O25" s="722">
        <f>M25-N25</f>
        <v/>
      </c>
      <c r="P25" s="594">
        <f>IF(N25&lt;&gt;0,O25/N25,1)</f>
        <v/>
      </c>
      <c r="Q25" s="131" t="n"/>
    </row>
    <row r="26" ht="12.6" customFormat="1" customHeight="1" s="119">
      <c r="A26" s="108" t="n"/>
      <c r="B26" s="108" t="inlineStr">
        <is>
          <t>表1</t>
        </is>
      </c>
      <c r="C26" s="109" t="n"/>
      <c r="D26" s="110" t="n"/>
      <c r="E26" s="111" t="n"/>
      <c r="F26" s="314" t="n"/>
      <c r="G26" s="112" t="n"/>
      <c r="H26" s="113" t="n"/>
      <c r="I26" s="113" t="n"/>
      <c r="J26" s="115">
        <f>汇总!D5</f>
        <v/>
      </c>
      <c r="K26" s="113" t="n"/>
      <c r="L26" s="113" t="n"/>
      <c r="M26" s="114" t="n"/>
      <c r="N26" s="115">
        <f>DATE(YEAR($J$26)-1,12,31)</f>
        <v/>
      </c>
      <c r="O26" s="116" t="inlineStr">
        <is>
          <t>变</t>
        </is>
      </c>
      <c r="P26" s="117" t="inlineStr">
        <is>
          <t>动</t>
        </is>
      </c>
      <c r="Q26" s="118" t="n"/>
    </row>
    <row r="27" ht="33" customFormat="1" customHeight="1" s="119">
      <c r="A27" s="108" t="n"/>
      <c r="C27" s="77" t="inlineStr">
        <is>
          <t xml:space="preserve">账套名称/账套编码 </t>
        </is>
      </c>
      <c r="D27" s="120" t="inlineStr">
        <is>
          <t>科目编码</t>
        </is>
      </c>
      <c r="E27" s="121" t="inlineStr">
        <is>
          <t>科目名称</t>
        </is>
      </c>
      <c r="F27" s="122" t="inlineStr">
        <is>
          <t>索引号</t>
        </is>
      </c>
      <c r="G27" s="260" t="inlineStr">
        <is>
          <t>期末账面数</t>
        </is>
      </c>
      <c r="H27" s="123" t="inlineStr">
        <is>
          <t>本期账表调整编号</t>
        </is>
      </c>
      <c r="I27" s="124" t="inlineStr">
        <is>
          <t>本期账表调整数</t>
        </is>
      </c>
      <c r="J27" s="261" t="inlineStr">
        <is>
          <t>期末未审数</t>
        </is>
      </c>
      <c r="K27" s="124" t="inlineStr">
        <is>
          <t>本期审计调整编号</t>
        </is>
      </c>
      <c r="L27" s="124" t="inlineStr">
        <is>
          <t>本期审计调整金额</t>
        </is>
      </c>
      <c r="M27" s="125" t="inlineStr">
        <is>
          <t>期末审定数</t>
        </is>
      </c>
      <c r="N27" s="316" t="inlineStr">
        <is>
          <t>上期末审定数
(PY)</t>
        </is>
      </c>
      <c r="O27" s="126" t="inlineStr">
        <is>
          <t>金额</t>
        </is>
      </c>
      <c r="P27" s="125" t="inlineStr">
        <is>
          <t>%</t>
        </is>
      </c>
      <c r="Q27" s="127" t="inlineStr">
        <is>
          <t>Notes</t>
        </is>
      </c>
    </row>
    <row r="28" customFormat="1" s="128">
      <c r="A28" s="407" t="n"/>
      <c r="C28" s="129" t="n"/>
      <c r="D28" s="130" t="n"/>
      <c r="E28" s="130" t="n"/>
      <c r="F28" s="262" t="n"/>
      <c r="G28" s="717" t="n"/>
      <c r="H28" s="589" t="n"/>
      <c r="I28" s="718" t="n"/>
      <c r="J28" s="719">
        <f>G28+I28</f>
        <v/>
      </c>
      <c r="K28" s="589" t="n"/>
      <c r="L28" s="718" t="n"/>
      <c r="M28" s="720">
        <f>J28+L28</f>
        <v/>
      </c>
      <c r="N28" s="721" t="n"/>
      <c r="O28" s="722">
        <f>M28-N28</f>
        <v/>
      </c>
      <c r="P28" s="594">
        <f>IF(N28&lt;&gt;0,O28/N28,1)</f>
        <v/>
      </c>
      <c r="Q28" s="131" t="n"/>
    </row>
    <row r="29" ht="13.5" customFormat="1" customHeight="1" s="132" thickBot="1">
      <c r="A29" s="408" t="inlineStr">
        <is>
          <t>/T1</t>
        </is>
      </c>
      <c r="C29" s="595" t="n"/>
      <c r="D29" s="596" t="n"/>
      <c r="E29" s="596" t="n"/>
      <c r="F29" s="597" t="n"/>
      <c r="G29" s="723" t="n"/>
      <c r="H29" s="599" t="n"/>
      <c r="I29" s="600" t="n"/>
      <c r="J29" s="724">
        <f>G29+I29</f>
        <v/>
      </c>
      <c r="K29" s="602" t="n"/>
      <c r="L29" s="725" t="n"/>
      <c r="M29" s="726">
        <f>J29+L29</f>
        <v/>
      </c>
      <c r="N29" s="727" t="n"/>
      <c r="O29" s="728">
        <f>M29-N29</f>
        <v/>
      </c>
      <c r="P29" s="607">
        <f>IF(N29&lt;&gt;0,O29/N29,1)</f>
        <v/>
      </c>
      <c r="Q29" s="608" t="n"/>
    </row>
    <row r="30" customFormat="1" s="128">
      <c r="A30" s="407" t="n"/>
      <c r="C30" s="138" t="n"/>
      <c r="D30" s="312" t="n"/>
      <c r="E30" s="313" t="n"/>
      <c r="F30" s="313" t="n"/>
      <c r="G30" s="729" t="n"/>
      <c r="H30" s="729" t="n"/>
      <c r="I30" s="729" t="n"/>
      <c r="J30" s="730" t="n"/>
      <c r="K30" s="729" t="n"/>
      <c r="L30" s="729" t="n"/>
      <c r="M30" s="729" t="n"/>
      <c r="N30" s="731" t="n"/>
      <c r="O30" s="729" t="n"/>
      <c r="P30" s="137" t="n"/>
      <c r="Q30" s="138" t="n"/>
    </row>
    <row r="31" ht="17.25" customFormat="1" customHeight="1" s="128" thickBot="1">
      <c r="A31" s="407" t="n"/>
      <c r="C31" s="133" t="n"/>
      <c r="D31" s="134" t="n"/>
      <c r="E31" s="133" t="n"/>
      <c r="F31" s="139" t="inlineStr">
        <is>
          <t>合计</t>
        </is>
      </c>
      <c r="G31" s="732">
        <f>SUM(G27:G29)</f>
        <v/>
      </c>
      <c r="H31" s="59" t="n"/>
      <c r="I31" s="732">
        <f>SUM(I27:I29)</f>
        <v/>
      </c>
      <c r="J31" s="732">
        <f>SUM(J27:J29)</f>
        <v/>
      </c>
      <c r="K31" s="59" t="n"/>
      <c r="L31" s="732">
        <f>SUM(L27:L29)</f>
        <v/>
      </c>
      <c r="M31" s="732">
        <f>SUM(M27:M29)</f>
        <v/>
      </c>
      <c r="N31" s="732">
        <f>SUM(N27:N29)</f>
        <v/>
      </c>
      <c r="O31" s="732">
        <f>M31-N31</f>
        <v/>
      </c>
      <c r="P31" s="610">
        <f>IF(N31&lt;&gt;0,O31/N31,1)</f>
        <v/>
      </c>
      <c r="Q31" s="133" t="n"/>
    </row>
    <row r="32" ht="13.5" customFormat="1" customHeight="1" s="60" thickTop="1">
      <c r="A32" s="402" t="n"/>
      <c r="D32" s="23" t="n"/>
      <c r="F32" s="24" t="n"/>
      <c r="G32" s="155" t="inlineStr">
        <is>
          <t>Rx</t>
        </is>
      </c>
      <c r="H32" s="155" t="n"/>
      <c r="I32" s="155" t="inlineStr">
        <is>
          <t>Rx</t>
        </is>
      </c>
      <c r="J32" s="155" t="inlineStr">
        <is>
          <t>Rx</t>
        </is>
      </c>
      <c r="K32" s="155" t="n"/>
      <c r="L32" s="155" t="inlineStr">
        <is>
          <t>Rx</t>
        </is>
      </c>
      <c r="M32" s="155" t="inlineStr">
        <is>
          <t>Rx</t>
        </is>
      </c>
      <c r="N32" s="155" t="inlineStr">
        <is>
          <t>Rx</t>
        </is>
      </c>
      <c r="O32" s="140" t="n"/>
      <c r="P32" s="140" t="n"/>
      <c r="Q32" s="67" t="n"/>
      <c r="R32" s="101" t="n"/>
      <c r="S32" s="102" t="n"/>
    </row>
    <row r="33" customFormat="1" s="60">
      <c r="A33" s="402" t="n"/>
      <c r="D33" s="23" t="n"/>
      <c r="H33" s="155" t="n"/>
      <c r="I33" s="29" t="inlineStr">
        <is>
          <t>A3</t>
        </is>
      </c>
      <c r="J33" s="733" t="n"/>
      <c r="K33" s="142" t="n"/>
      <c r="M33" s="733" t="n"/>
      <c r="N33" s="733" t="n"/>
      <c r="O33" s="140" t="n"/>
      <c r="P33" s="140" t="n"/>
      <c r="Q33" s="67" t="n"/>
      <c r="R33" s="101" t="n"/>
      <c r="S33" s="102" t="n"/>
    </row>
    <row r="34" customFormat="1" s="734">
      <c r="A34" s="735" t="n"/>
      <c r="B34" s="734" t="n"/>
      <c r="C34" s="734" t="n"/>
      <c r="D34" s="736" t="n"/>
      <c r="E34" s="734" t="n"/>
      <c r="G34" s="737" t="n"/>
      <c r="H34" s="737" t="n"/>
      <c r="I34" s="738" t="inlineStr">
        <is>
          <t>Diff</t>
        </is>
      </c>
      <c r="J34" s="739">
        <f>J31-J33</f>
        <v/>
      </c>
      <c r="K34" s="737" t="n"/>
      <c r="M34" s="739">
        <f>M31-M33</f>
        <v/>
      </c>
      <c r="N34" s="739">
        <f>N31-N33</f>
        <v/>
      </c>
      <c r="O34" s="737" t="n"/>
      <c r="P34" s="737" t="n"/>
      <c r="Q34" s="737" t="n"/>
      <c r="R34" s="740" t="n"/>
      <c r="S34" s="741" t="n"/>
    </row>
    <row r="35" customFormat="1" s="60">
      <c r="A35" s="402" t="n"/>
      <c r="D35" s="23" t="n"/>
      <c r="E35" s="25" t="n"/>
      <c r="F35" s="155" t="n"/>
      <c r="G35" s="155" t="n"/>
      <c r="H35" s="155" t="n"/>
      <c r="I35" s="30" t="n"/>
      <c r="J35" s="67" t="n"/>
      <c r="K35" s="155" t="n"/>
      <c r="L35" s="67" t="n"/>
      <c r="M35" s="101" t="n"/>
      <c r="N35" s="101" t="n"/>
      <c r="O35" s="101" t="n"/>
      <c r="P35" s="101" t="n"/>
      <c r="Q35" s="67" t="n"/>
      <c r="R35" s="101" t="n"/>
      <c r="S35" s="102" t="n"/>
    </row>
    <row r="36" ht="13.5" customHeight="1" thickBot="1">
      <c r="B36" s="333" t="inlineStr">
        <is>
          <t>Notes</t>
        </is>
      </c>
      <c r="C36" s="400" t="inlineStr">
        <is>
          <t>（针对本年新增/减少等重大变动，分析变化原因）</t>
        </is>
      </c>
      <c r="D36" s="742" t="n"/>
      <c r="E36" s="742" t="n"/>
      <c r="F36" s="742" t="n"/>
      <c r="G36" s="742" t="n"/>
      <c r="H36" s="742" t="n"/>
      <c r="I36" s="742" t="n"/>
      <c r="J36" s="742" t="n"/>
    </row>
    <row r="37" ht="14.1" customFormat="1" customHeight="1" s="6">
      <c r="A37" s="242" t="n"/>
      <c r="B37" s="18" t="n"/>
      <c r="C37" s="743" t="n"/>
      <c r="D37" s="707" t="n"/>
      <c r="E37" s="707" t="n"/>
      <c r="F37" s="707" t="n"/>
      <c r="G37" s="708" t="n"/>
      <c r="M37">
        <f>SUM(L32:L35)</f>
        <v/>
      </c>
    </row>
    <row r="38" ht="14.1" customFormat="1" customHeight="1" s="6">
      <c r="A38" s="410" t="n"/>
      <c r="B38" s="19" t="n"/>
      <c r="C38" s="709" t="n"/>
      <c r="G38" s="696" t="n"/>
      <c r="M38" t="inlineStr">
        <is>
          <t>Rx</t>
        </is>
      </c>
    </row>
    <row r="39" ht="14.1" customFormat="1" customHeight="1" s="6" thickBot="1">
      <c r="A39" s="242" t="n"/>
      <c r="B39" s="18" t="n"/>
      <c r="C39" s="710" t="n"/>
      <c r="D39" s="711" t="n"/>
      <c r="E39" s="711" t="n"/>
      <c r="F39" s="711" t="n"/>
      <c r="G39" s="712" t="n"/>
    </row>
    <row r="40">
      <c r="D40" s="742" t="n"/>
      <c r="E40" s="742" t="n"/>
      <c r="F40" s="742" t="n"/>
      <c r="G40" s="742" t="n"/>
      <c r="H40" s="742" t="n"/>
      <c r="I40" s="742" t="n"/>
      <c r="J40" s="742" t="n"/>
    </row>
    <row r="41">
      <c r="D41" s="742" t="n"/>
      <c r="E41" s="742" t="n"/>
      <c r="F41" s="742" t="n"/>
      <c r="G41" s="742" t="n"/>
      <c r="H41" s="742" t="n"/>
      <c r="I41" s="742" t="n"/>
      <c r="J41" s="742" t="n"/>
    </row>
    <row r="42" ht="17.25" customHeight="1" thickBot="1">
      <c r="C42" s="26" t="inlineStr">
        <is>
          <t>调整汇总表</t>
        </is>
      </c>
      <c r="D42" s="27" t="inlineStr">
        <is>
          <t>如不适用请删除</t>
        </is>
      </c>
      <c r="E42" s="28" t="n"/>
      <c r="F42" s="28" t="n"/>
      <c r="G42" s="742" t="n"/>
      <c r="H42" s="742" t="n"/>
      <c r="I42" s="742" t="n"/>
      <c r="J42" s="742" t="n"/>
    </row>
    <row r="43" ht="14.1" customHeight="1">
      <c r="C43" s="744" t="n"/>
      <c r="D43" s="745" t="n"/>
      <c r="E43" s="745" t="n"/>
      <c r="F43" s="746" t="n"/>
      <c r="G43" s="742" t="n"/>
      <c r="H43" s="742" t="n"/>
      <c r="I43" s="742" t="n"/>
      <c r="J43" s="742" t="n"/>
    </row>
    <row r="44" ht="14.1" customHeight="1">
      <c r="C44" s="747" t="n"/>
      <c r="D44" s="748" t="n"/>
      <c r="E44" s="748" t="n"/>
      <c r="F44" s="749" t="n"/>
      <c r="G44" s="742" t="n"/>
      <c r="H44" s="742" t="n"/>
      <c r="I44" s="742" t="n"/>
      <c r="J44" s="742" t="n"/>
    </row>
    <row r="45" ht="14.1" customHeight="1" thickBot="1">
      <c r="C45" s="750" t="n"/>
      <c r="D45" s="751" t="n"/>
      <c r="E45" s="751" t="n"/>
      <c r="F45" s="752" t="n"/>
      <c r="G45" s="742" t="n"/>
      <c r="H45" s="742" t="n"/>
      <c r="I45" s="742" t="n"/>
      <c r="J45" s="742" t="n"/>
    </row>
    <row r="46">
      <c r="C46" s="28" t="n"/>
      <c r="D46" s="28" t="n"/>
      <c r="E46" s="28" t="n"/>
      <c r="G46" s="742" t="n"/>
      <c r="H46" s="742" t="n"/>
      <c r="I46" s="742" t="n"/>
      <c r="J46" s="742" t="n"/>
    </row>
    <row r="47">
      <c r="A47" s="411" t="n"/>
    </row>
    <row r="48" ht="12.75" customHeight="1">
      <c r="A48" s="411" t="n"/>
    </row>
    <row r="49" ht="12.75" customHeight="1">
      <c r="A49" s="411"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row r="94" ht="12.75" customHeight="1">
      <c r="A94" s="411" t="n"/>
    </row>
    <row r="95" ht="12.75" customHeight="1">
      <c r="A95" s="411" t="n"/>
    </row>
    <row r="96" ht="12.75" customHeight="1">
      <c r="A96" s="411" t="n"/>
    </row>
    <row r="97" ht="12.75" customHeight="1">
      <c r="A97" s="411" t="n"/>
    </row>
    <row r="98" ht="12.75" customHeight="1">
      <c r="A98" s="411" t="n"/>
    </row>
    <row r="99" ht="12.75" customHeight="1">
      <c r="A99" s="411" t="n"/>
    </row>
    <row r="100" ht="12.75" customHeight="1">
      <c r="A100" s="411" t="n"/>
    </row>
    <row r="101" ht="12.75" customHeight="1">
      <c r="A101" s="411" t="n"/>
    </row>
    <row r="102" ht="12.75" customHeight="1">
      <c r="A102" s="411" t="n"/>
    </row>
    <row r="103" ht="12.75" customHeight="1">
      <c r="A103" s="411" t="n"/>
    </row>
    <row r="104" ht="12.75" customHeight="1">
      <c r="A104" s="411" t="n"/>
    </row>
    <row r="105" ht="12.75" customHeight="1">
      <c r="A105" s="411" t="n"/>
    </row>
    <row r="106" ht="12.75" customHeight="1">
      <c r="A106" s="411" t="n"/>
    </row>
    <row r="107" ht="12.75" customHeight="1">
      <c r="A107" s="411" t="n"/>
    </row>
    <row r="108" ht="12.75" customHeight="1">
      <c r="A108" s="411" t="n"/>
    </row>
    <row r="109" ht="12.75" customHeight="1">
      <c r="A109" s="411" t="n"/>
    </row>
    <row r="110" ht="12.75" customHeight="1">
      <c r="A110" s="411" t="n"/>
    </row>
    <row r="111" ht="12.75" customHeight="1">
      <c r="A111" s="411" t="n"/>
    </row>
    <row r="112" ht="12.75" customHeight="1">
      <c r="A112" s="411" t="n"/>
    </row>
    <row r="113" ht="12.75" customHeight="1">
      <c r="A113" s="411" t="n"/>
    </row>
    <row r="114" ht="12.75" customHeight="1">
      <c r="A114" s="411" t="n"/>
    </row>
    <row r="115" ht="12.75" customHeight="1">
      <c r="A115" s="411" t="n"/>
    </row>
    <row r="116" ht="12.75" customHeight="1">
      <c r="A116" s="411" t="n"/>
    </row>
    <row r="117" ht="12.75" customHeight="1">
      <c r="A117" s="411" t="n"/>
    </row>
    <row r="118" ht="12.75" customHeight="1">
      <c r="A118" s="411" t="n"/>
    </row>
    <row r="119" ht="12.75" customHeight="1">
      <c r="A119" s="411" t="n"/>
    </row>
    <row r="120" ht="12.75" customHeight="1">
      <c r="A120" s="411" t="n"/>
    </row>
    <row r="121" ht="12.75" customHeight="1">
      <c r="A121" s="411" t="n"/>
    </row>
    <row r="122" ht="12.75" customHeight="1">
      <c r="A122" s="411" t="n"/>
    </row>
    <row r="123" ht="12.75" customHeight="1">
      <c r="A123" s="411" t="n"/>
    </row>
    <row r="124" ht="12.75" customHeight="1">
      <c r="A124" s="411" t="n"/>
    </row>
    <row r="125" ht="12.75" customHeight="1">
      <c r="A125" s="411" t="n"/>
    </row>
    <row r="126" ht="12.75" customHeight="1">
      <c r="A126" s="411" t="n"/>
    </row>
    <row r="127" ht="12.75" customHeight="1">
      <c r="A127" s="411" t="n"/>
    </row>
    <row r="128" ht="12.75" customHeight="1">
      <c r="A128" s="411" t="n"/>
    </row>
    <row r="129" ht="12.75" customHeight="1">
      <c r="A129" s="411" t="n"/>
    </row>
    <row r="130" ht="12.75" customHeight="1">
      <c r="A130" s="411" t="n"/>
    </row>
    <row r="131" ht="12.75" customHeight="1">
      <c r="A131" s="411" t="n"/>
    </row>
    <row r="132" ht="12.75" customHeight="1">
      <c r="A132" s="411" t="n"/>
    </row>
    <row r="133" ht="12.75" customHeight="1">
      <c r="A133" s="411" t="n"/>
    </row>
    <row r="134" ht="12.75" customHeight="1">
      <c r="A134" s="411" t="n"/>
    </row>
    <row r="135" ht="12.75" customHeight="1">
      <c r="A135" s="411" t="n"/>
    </row>
    <row r="136" ht="12.75" customHeight="1">
      <c r="A136" s="411" t="n"/>
    </row>
    <row r="137" ht="12.75" customHeight="1">
      <c r="A137" s="411" t="n"/>
    </row>
    <row r="138" ht="12.75" customHeight="1">
      <c r="A138" s="411" t="n"/>
    </row>
    <row r="139" ht="12.75" customHeight="1">
      <c r="A139" s="411" t="n"/>
    </row>
    <row r="140" ht="12.75" customHeight="1">
      <c r="A140" s="411" t="n"/>
    </row>
    <row r="141" ht="12.75" customHeight="1">
      <c r="A141" s="411" t="n"/>
    </row>
    <row r="142"/>
    <row r="143"/>
  </sheetData>
  <mergeCells count="7">
    <mergeCell ref="C43:F45"/>
    <mergeCell ref="C37:G39"/>
    <mergeCell ref="C14:G16"/>
    <mergeCell ref="D9:F9"/>
    <mergeCell ref="D7:F7"/>
    <mergeCell ref="D8:F8"/>
    <mergeCell ref="K22:L22"/>
  </mergeCells>
  <conditionalFormatting sqref="C14:G16 C25:E25 C28:E29 C37:G39 C43:F45 D19 G8:I9 G25 G28:G29 J33 M33:N33 N25 N28:N2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DX184"/>
  <sheetViews>
    <sheetView showGridLines="0" zoomScale="70" zoomScaleNormal="70" workbookViewId="0">
      <selection activeCell="I40" sqref="I40"/>
    </sheetView>
  </sheetViews>
  <sheetFormatPr baseColWidth="8" defaultColWidth="9.125" defaultRowHeight="12.75" customHeight="1" outlineLevelRow="1"/>
  <cols>
    <col width="2.75" customWidth="1" style="412" min="1" max="1"/>
    <col width="6.5" customWidth="1" style="90" min="2" max="2"/>
    <col width="18.125" customWidth="1" style="88" min="3" max="3"/>
    <col width="28.125" customWidth="1" style="88" min="4" max="4"/>
    <col width="14.875" customWidth="1" style="88" min="5" max="5"/>
    <col width="17.125" customWidth="1" style="88" min="6" max="6"/>
    <col width="16.875" customWidth="1" style="88" min="7" max="7"/>
    <col width="18" customWidth="1" style="89" min="8" max="8"/>
    <col outlineLevel="1" width="22.5" customWidth="1" style="89" min="9" max="9"/>
    <col outlineLevel="1" width="17.125" customWidth="1" style="88" min="10" max="10"/>
    <col outlineLevel="1" width="12.875" customWidth="1" style="88" min="11" max="11"/>
    <col outlineLevel="1" width="15.875" customWidth="1" style="88" min="12" max="13"/>
    <col outlineLevel="1" width="17.5" customWidth="1" style="88" min="14" max="14"/>
    <col outlineLevel="1" width="14.875" customWidth="1" style="88" min="15" max="15"/>
    <col outlineLevel="1" width="13.125" customWidth="1" style="88" min="16" max="16"/>
    <col outlineLevel="1" width="12.375" customWidth="1" style="88" min="17" max="17"/>
    <col outlineLevel="1" width="11.625" customWidth="1" style="88" min="18" max="18"/>
    <col outlineLevel="1" width="14.875" customWidth="1" style="88" min="19" max="19"/>
    <col outlineLevel="1" width="14.625" customWidth="1" style="88" min="20" max="20"/>
    <col outlineLevel="1" collapsed="1" width="12.875" customWidth="1" style="88" min="21" max="21"/>
    <col outlineLevel="1" width="11.5" customWidth="1" style="88" min="22" max="22"/>
    <col outlineLevel="1" width="11" customWidth="1" style="88" min="23" max="23"/>
    <col outlineLevel="1" width="11.5" customWidth="1" style="88" min="24" max="24"/>
    <col outlineLevel="1" width="12.875" customWidth="1" style="88" min="25" max="25"/>
    <col outlineLevel="1" width="12.125" customWidth="1" style="88" min="26" max="26"/>
    <col width="12.875" customWidth="1" style="88" min="27" max="27"/>
    <col width="14.125" customWidth="1" style="88" min="28" max="28"/>
    <col width="12.875" customWidth="1" style="88" min="29" max="33"/>
    <col width="29.75" customWidth="1" style="88" min="34" max="34"/>
    <col width="12.875" customWidth="1" style="88" min="35" max="35"/>
    <col width="13.875" customWidth="1" style="88" min="36" max="36"/>
    <col width="13" customWidth="1" style="88" min="37" max="38"/>
    <col width="9.125" customWidth="1" style="88" min="39" max="16384"/>
  </cols>
  <sheetData>
    <row r="1" ht="12.75" customHeight="1">
      <c r="A1" s="438" t="inlineStr">
        <is>
          <t>b665f979-2ae3-4dc8-a582-4a9c15851781</t>
        </is>
      </c>
    </row>
    <row r="2" ht="12.6" customHeight="1">
      <c r="H2" s="88" t="n"/>
      <c r="J2" s="3" t="inlineStr">
        <is>
          <t>返回汇总页</t>
        </is>
      </c>
    </row>
    <row r="3" ht="13.5" customFormat="1" customHeight="1" s="52" thickBot="1">
      <c r="A3" s="413" t="n"/>
      <c r="B3" s="51" t="n"/>
      <c r="C3" s="63" t="n"/>
      <c r="D3" s="63" t="n"/>
      <c r="E3" s="63" t="n"/>
      <c r="F3" s="63" t="n"/>
      <c r="K3" s="65" t="n"/>
      <c r="L3" s="65" t="n"/>
      <c r="M3" s="65" t="n"/>
      <c r="N3" s="65" t="n"/>
      <c r="O3" s="65" t="n"/>
      <c r="P3" s="65" t="n"/>
      <c r="Q3" s="65" t="n"/>
      <c r="R3" s="65" t="n"/>
      <c r="S3" s="65" t="n"/>
      <c r="T3" s="65" t="n"/>
    </row>
    <row r="4" ht="18" customFormat="1" customHeight="1" s="52">
      <c r="A4" s="413" t="n"/>
      <c r="B4" s="51" t="n"/>
      <c r="C4" s="247" t="inlineStr">
        <is>
          <t>目标</t>
        </is>
      </c>
      <c r="D4" s="263" t="n"/>
      <c r="E4" s="263" t="n"/>
      <c r="F4" s="263" t="n"/>
      <c r="G4" s="263" t="n"/>
      <c r="H4" s="263" t="n"/>
      <c r="I4" s="263" t="n"/>
      <c r="J4" s="264" t="n"/>
      <c r="K4" s="65" t="n"/>
      <c r="L4" s="65" t="n"/>
      <c r="M4" s="65" t="n"/>
    </row>
    <row r="5" ht="18" customFormat="1" customHeight="1" s="52">
      <c r="A5" s="413" t="n"/>
      <c r="B5" s="51" t="n"/>
      <c r="C5" s="253" t="inlineStr">
        <is>
          <t>验证存在性和计价，摊销测试。</t>
        </is>
      </c>
      <c r="D5" s="265" t="n"/>
      <c r="E5" s="265" t="n"/>
      <c r="F5" s="265" t="n"/>
      <c r="G5" s="265" t="n"/>
      <c r="H5" s="265" t="n"/>
      <c r="I5" s="265" t="n"/>
      <c r="J5" s="267" t="n"/>
      <c r="K5" s="67" t="n"/>
      <c r="L5" s="67" t="n"/>
      <c r="M5" s="67" t="n"/>
    </row>
    <row r="6" ht="18" customFormat="1" customHeight="1" s="52">
      <c r="A6" s="413" t="n"/>
      <c r="B6" s="51" t="n"/>
      <c r="C6" s="268" t="n"/>
      <c r="D6" s="269" t="n"/>
      <c r="E6" s="269" t="n"/>
      <c r="F6" s="269" t="n"/>
      <c r="G6" s="269" t="n"/>
      <c r="H6" s="269" t="n"/>
      <c r="I6" s="269" t="n"/>
      <c r="J6" s="270" t="n"/>
      <c r="K6" s="67" t="n"/>
      <c r="L6" s="67" t="n"/>
      <c r="M6" s="67" t="n"/>
    </row>
    <row r="7" ht="18" customFormat="1" customHeight="1" s="52">
      <c r="A7" s="413" t="n"/>
      <c r="B7" s="51" t="n"/>
      <c r="C7" s="579" t="inlineStr">
        <is>
          <t>序号</t>
        </is>
      </c>
      <c r="D7" s="701" t="inlineStr">
        <is>
          <t>执行的程序</t>
        </is>
      </c>
      <c r="E7" s="702" t="n"/>
      <c r="F7" s="703" t="n"/>
      <c r="G7" s="580" t="inlineStr">
        <is>
          <t>程序表</t>
        </is>
      </c>
      <c r="H7" s="581" t="inlineStr">
        <is>
          <t>预审完成</t>
        </is>
      </c>
      <c r="I7" s="581" t="inlineStr">
        <is>
          <t>年审完成</t>
        </is>
      </c>
      <c r="J7" s="611" t="inlineStr">
        <is>
          <t>执行注意事项</t>
        </is>
      </c>
      <c r="K7" s="152" t="n"/>
      <c r="L7" s="65" t="n"/>
      <c r="M7" s="65" t="n"/>
      <c r="N7" s="65" t="n"/>
    </row>
    <row r="8" outlineLevel="1" ht="40.15" customFormat="1" customHeight="1" s="52">
      <c r="A8" s="413" t="n"/>
      <c r="B8" s="51" t="n"/>
      <c r="C8" s="612" t="n">
        <v>1</v>
      </c>
      <c r="D8" s="753" t="inlineStr">
        <is>
          <t>获取本期长期待摊费用明细表，将金额与TB的金额进行核对。</t>
        </is>
      </c>
      <c r="E8" s="702" t="n"/>
      <c r="F8" s="703" t="n"/>
      <c r="G8" s="583" t="inlineStr">
        <is>
          <t>表1</t>
        </is>
      </c>
      <c r="H8" s="584" t="inlineStr">
        <is>
          <t>是</t>
        </is>
      </c>
      <c r="I8" s="584" t="n"/>
      <c r="J8" s="613" t="n"/>
      <c r="K8" s="67" t="n"/>
      <c r="L8" s="65" t="n"/>
      <c r="M8" s="65" t="n"/>
      <c r="N8" s="65" t="n"/>
    </row>
    <row r="9" outlineLevel="1" ht="66.75" customFormat="1" customHeight="1" s="52">
      <c r="A9" s="413" t="n"/>
      <c r="B9" s="51" t="n"/>
      <c r="C9" s="612" t="n">
        <v>2</v>
      </c>
      <c r="D9" s="753" t="inlineStr">
        <is>
          <t>获取本期长期待摊费用摊销计算表，根据公司的摊销政策重新测算本年应计提的摊销费用。重新计算摊销出现差异的，我们与管理层进行讨论。</t>
        </is>
      </c>
      <c r="E9" s="702" t="n"/>
      <c r="F9" s="703" t="n"/>
      <c r="G9" s="583" t="inlineStr">
        <is>
          <t>表1</t>
        </is>
      </c>
      <c r="H9" s="584" t="n"/>
      <c r="I9" s="584" t="n"/>
      <c r="J9" s="613" t="n"/>
      <c r="K9" s="67" t="n"/>
      <c r="L9" s="65" t="n"/>
      <c r="M9" s="65" t="n"/>
      <c r="N9" s="65" t="n"/>
    </row>
    <row r="10" outlineLevel="1" ht="18" customFormat="1" customHeight="1" s="52">
      <c r="A10" s="413" t="n"/>
      <c r="B10" s="51" t="n"/>
      <c r="C10" s="612" t="n">
        <v>3</v>
      </c>
      <c r="D10" s="753" t="inlineStr">
        <is>
          <t>将本期摊销金额与利润表中相关科目进行核对。</t>
        </is>
      </c>
      <c r="E10" s="702" t="n"/>
      <c r="F10" s="703" t="n"/>
      <c r="G10" s="583" t="inlineStr">
        <is>
          <t>表2</t>
        </is>
      </c>
      <c r="H10" s="584" t="n"/>
      <c r="I10" s="584" t="n"/>
      <c r="J10" s="613" t="n"/>
      <c r="K10" s="67" t="n"/>
      <c r="L10" s="65" t="n"/>
      <c r="M10" s="65" t="n"/>
      <c r="N10" s="65" t="n"/>
    </row>
    <row r="11" ht="18.75" customFormat="1" customHeight="1" s="52" thickBot="1">
      <c r="A11" s="413" t="n"/>
      <c r="B11" s="51" t="n"/>
      <c r="C11" s="614" t="n"/>
      <c r="D11" s="615" t="n"/>
      <c r="E11" s="615" t="n"/>
      <c r="F11" s="615" t="n"/>
      <c r="G11" s="616" t="n"/>
      <c r="H11" s="616" t="n"/>
      <c r="I11" s="616" t="n"/>
      <c r="J11" s="390" t="n"/>
      <c r="K11" s="65" t="n"/>
      <c r="L11" s="65" t="n"/>
      <c r="M11" s="65" t="n"/>
      <c r="N11" s="65" t="n"/>
    </row>
    <row r="12" customFormat="1" s="52">
      <c r="A12" s="413" t="n"/>
      <c r="B12" s="51" t="n"/>
      <c r="C12" s="242" t="n"/>
      <c r="D12" s="72" t="n"/>
      <c r="E12" s="72" t="n"/>
      <c r="F12" s="72" t="n"/>
      <c r="G12" s="65" t="n"/>
      <c r="H12" s="64" t="n"/>
      <c r="I12" s="65" t="n"/>
      <c r="J12" s="65" t="n"/>
      <c r="K12" s="271" t="n"/>
      <c r="L12" s="65" t="n"/>
      <c r="M12" s="65" t="n"/>
      <c r="N12" s="65" t="n"/>
      <c r="O12" s="65" t="n"/>
      <c r="P12" s="65" t="n"/>
      <c r="Q12" s="65" t="n"/>
      <c r="R12" s="65" t="n"/>
      <c r="S12" s="65" t="n"/>
      <c r="T12" s="73" t="n"/>
    </row>
    <row r="13" customFormat="1" s="52">
      <c r="A13" s="413" t="n"/>
      <c r="B13" s="51" t="n"/>
      <c r="C13" s="72" t="n"/>
      <c r="D13" s="72" t="n"/>
      <c r="E13" s="72" t="n"/>
      <c r="F13" s="72" t="n"/>
      <c r="G13" s="65" t="n"/>
      <c r="H13" s="64" t="n"/>
      <c r="I13" s="65" t="n"/>
      <c r="J13" s="65" t="n"/>
      <c r="K13" s="65" t="n"/>
      <c r="L13" s="65" t="n"/>
      <c r="M13" s="65" t="n"/>
      <c r="N13" s="65" t="n"/>
      <c r="O13" s="65" t="n"/>
      <c r="P13" s="65" t="n"/>
      <c r="Q13" s="65" t="n"/>
      <c r="R13" s="73" t="n"/>
    </row>
    <row r="14" ht="22.15" customFormat="1" customHeight="1" s="52">
      <c r="A14" s="413" t="n"/>
      <c r="B14" s="51" t="n"/>
      <c r="D14" s="88" t="n"/>
      <c r="E14" s="88" t="n"/>
      <c r="F14" s="88" t="n"/>
      <c r="G14" s="88" t="n"/>
      <c r="H14" s="89" t="n"/>
      <c r="I14" s="89" t="n"/>
      <c r="J14" s="88" t="n"/>
      <c r="K14" s="88" t="n"/>
      <c r="L14" s="88" t="n"/>
      <c r="M14" s="88" t="n"/>
      <c r="N14" s="88" t="n"/>
      <c r="O14" s="88" t="n"/>
      <c r="P14" s="88" t="n"/>
      <c r="Q14" s="88" t="n"/>
      <c r="R14" s="88" t="n"/>
      <c r="S14" s="88" t="n"/>
      <c r="T14" s="88" t="n"/>
    </row>
    <row r="15" customFormat="1" s="754">
      <c r="A15" s="755" t="n"/>
      <c r="B15" s="13" t="n"/>
      <c r="C15" s="169" t="inlineStr">
        <is>
          <t>长期待摊费用明细表</t>
        </is>
      </c>
      <c r="D15" s="2" t="n"/>
      <c r="E15" s="2" t="n"/>
      <c r="F15" s="2" t="n"/>
      <c r="G15" s="2" t="n"/>
      <c r="H15" s="2" t="n"/>
      <c r="I15" s="170" t="n"/>
      <c r="J15" s="2" t="n"/>
      <c r="K15" s="2" t="n"/>
      <c r="L15" s="171" t="n"/>
      <c r="M15" s="171" t="n"/>
      <c r="N15" s="2" t="n"/>
      <c r="O15" s="2" t="n"/>
      <c r="P15" s="2" t="n"/>
      <c r="Q15" s="2" t="n"/>
      <c r="R15" s="2" t="n"/>
      <c r="S15" s="172" t="n"/>
      <c r="T15" s="2" t="n"/>
      <c r="U15" s="2" t="n"/>
      <c r="V15" s="170" t="n"/>
      <c r="W15" s="170" t="n"/>
      <c r="X15" s="2" t="n"/>
      <c r="Y15" s="2" t="n"/>
      <c r="Z15" s="2" t="n"/>
      <c r="AA15" s="2" t="n"/>
      <c r="AB15" s="2" t="n"/>
      <c r="AC15" s="2" t="n"/>
      <c r="AD15" s="2" t="n"/>
      <c r="AE15" s="2" t="n"/>
      <c r="AF15" s="2" t="n"/>
      <c r="AG15" s="2" t="n"/>
      <c r="AH15" s="2" t="n"/>
      <c r="AI15" s="2" t="n"/>
      <c r="AJ15" s="2" t="n"/>
      <c r="AK15" s="2" t="n"/>
      <c r="AL15" s="2" t="n"/>
      <c r="AM15" s="2" t="n"/>
      <c r="AN15" s="2" t="n"/>
      <c r="AO15" s="2" t="n"/>
      <c r="AP15" s="173" t="n"/>
    </row>
    <row r="16" ht="18" customFormat="1" customHeight="1" s="756">
      <c r="A16" s="757" t="n"/>
      <c r="B16" s="175" t="inlineStr">
        <is>
          <t>表1</t>
        </is>
      </c>
      <c r="C16" s="259" t="inlineStr">
        <is>
          <t>注：以下表格数据源为明细账，项目组可按照项目实际情况对表格的表头进行修改及行列进行删减</t>
        </is>
      </c>
      <c r="D16" s="240" t="n"/>
      <c r="E16" s="240" t="n"/>
      <c r="F16" s="240" t="n"/>
      <c r="G16" s="758" t="n"/>
      <c r="H16" s="328" t="n"/>
      <c r="I16" s="328" t="n"/>
      <c r="J16" s="242" t="n"/>
      <c r="K16" s="242" t="n"/>
      <c r="L16" s="242" t="n"/>
      <c r="M16" s="2" t="n"/>
      <c r="N16" s="177" t="n"/>
      <c r="O16" s="176" t="n"/>
      <c r="P16" s="242" t="n"/>
      <c r="Q16" s="242" t="n"/>
      <c r="R16" s="242" t="n"/>
      <c r="T16" s="177" t="n"/>
      <c r="U16" s="176" t="n"/>
      <c r="V16" s="242" t="n"/>
      <c r="W16" s="242" t="n"/>
      <c r="X16" s="242" t="n"/>
      <c r="Z16" s="177" t="n"/>
      <c r="AA16" s="176" t="n"/>
      <c r="AB16" s="177" t="n"/>
      <c r="AC16" s="2" t="n"/>
      <c r="AD16" s="177" t="n"/>
      <c r="AE16" s="2" t="n"/>
      <c r="AF16" s="2" t="n"/>
      <c r="AG16" s="2" t="n"/>
      <c r="AH16" s="2" t="n"/>
      <c r="AI16" s="2" t="n"/>
      <c r="AJ16" s="2" t="n"/>
      <c r="AK16" s="2" t="n"/>
      <c r="AL16" s="2" t="n"/>
      <c r="AM16" s="2" t="n"/>
      <c r="AN16" s="2" t="n"/>
      <c r="AO16" s="2" t="n"/>
      <c r="AP16" s="2" t="n"/>
    </row>
    <row r="17" customFormat="1" s="756">
      <c r="A17" s="757" t="n"/>
      <c r="C17" s="329" t="n"/>
      <c r="D17" s="310" t="n"/>
      <c r="AF17" s="177" t="n"/>
      <c r="AG17" s="177" t="n"/>
      <c r="AM17" s="177" t="n"/>
      <c r="AN17" s="2" t="n"/>
      <c r="AO17" s="2" t="n"/>
      <c r="AP17" s="2" t="n"/>
      <c r="AQ17" s="2" t="n"/>
      <c r="AR17" s="2" t="n"/>
      <c r="AS17" s="2" t="n"/>
      <c r="AT17" s="2" t="n"/>
      <c r="AU17" s="2" t="n"/>
      <c r="AV17" s="2" t="n"/>
      <c r="CV17" s="307" t="n"/>
      <c r="CW17" s="307" t="n"/>
      <c r="CX17" s="307" t="n"/>
      <c r="CY17" s="308" t="n"/>
      <c r="CZ17" s="308" t="n"/>
      <c r="DA17" s="308" t="n"/>
      <c r="DB17" s="308" t="n"/>
      <c r="DC17" s="308" t="n"/>
      <c r="DD17" s="308" t="n"/>
      <c r="DE17" s="308" t="n"/>
      <c r="DF17" s="308" t="n"/>
      <c r="DG17" s="307" t="n"/>
      <c r="DH17" s="308" t="n"/>
      <c r="DI17" s="308" t="n"/>
      <c r="DJ17" s="308" t="n"/>
      <c r="DK17" s="308" t="n"/>
      <c r="DL17" s="308" t="n"/>
      <c r="DM17" s="307" t="n"/>
      <c r="DN17" s="307" t="n"/>
      <c r="DO17" s="307" t="n"/>
      <c r="DP17" s="307" t="n"/>
      <c r="DQ17" s="307" t="n"/>
      <c r="DR17" s="307" t="n"/>
      <c r="DS17" s="307" t="n"/>
      <c r="DT17" s="307" t="n"/>
      <c r="DU17" s="307" t="n"/>
      <c r="DV17" s="309" t="n"/>
      <c r="DW17" s="307" t="n"/>
      <c r="DX17" s="307" t="n"/>
    </row>
    <row r="18" ht="17.1" customFormat="1" customHeight="1" s="756" thickBot="1">
      <c r="A18" s="757" t="n"/>
      <c r="C18" s="329" t="n"/>
      <c r="D18" s="310" t="n"/>
      <c r="E18" s="177" t="inlineStr">
        <is>
          <t>AA</t>
        </is>
      </c>
      <c r="F18" s="177" t="inlineStr">
        <is>
          <t>BB</t>
        </is>
      </c>
      <c r="G18" s="757" t="inlineStr">
        <is>
          <t>CC</t>
        </is>
      </c>
      <c r="H18" s="177" t="n"/>
      <c r="I18" s="177" t="n"/>
      <c r="J18" s="177" t="n"/>
      <c r="K18" s="177" t="n"/>
      <c r="L18" s="177" t="inlineStr">
        <is>
          <t>DD</t>
        </is>
      </c>
      <c r="M18" s="177" t="inlineStr">
        <is>
          <t>EE</t>
        </is>
      </c>
      <c r="N18" s="177" t="inlineStr">
        <is>
          <t>FF=DD+EE</t>
        </is>
      </c>
      <c r="O18" s="177" t="inlineStr">
        <is>
          <t>GG</t>
        </is>
      </c>
      <c r="P18" s="177" t="inlineStr">
        <is>
          <t>HH</t>
        </is>
      </c>
      <c r="Q18" s="177" t="n"/>
      <c r="R18" s="177" t="inlineStr">
        <is>
          <t>II</t>
        </is>
      </c>
      <c r="S18" s="177" t="inlineStr">
        <is>
          <t>JJ</t>
        </is>
      </c>
      <c r="T18" s="177" t="inlineStr">
        <is>
          <t>KK=II+JJ</t>
        </is>
      </c>
      <c r="U18" s="177" t="n"/>
      <c r="V18" s="177" t="n"/>
      <c r="W18" s="177" t="n"/>
      <c r="X18" s="177" t="inlineStr">
        <is>
          <t>LL</t>
        </is>
      </c>
      <c r="Y18" s="177" t="inlineStr">
        <is>
          <t>MM</t>
        </is>
      </c>
      <c r="Z18" s="177" t="inlineStr">
        <is>
          <t>NN=LL+MM</t>
        </is>
      </c>
      <c r="AA18" s="177" t="inlineStr">
        <is>
          <t>OO=CC-GG</t>
        </is>
      </c>
      <c r="AB18" s="177" t="inlineStr">
        <is>
          <t>PP=DD-II</t>
        </is>
      </c>
      <c r="AC18" s="177" t="inlineStr">
        <is>
          <t>QQ</t>
        </is>
      </c>
      <c r="AD18" s="177" t="inlineStr">
        <is>
          <t>RR=PP+QQ</t>
        </is>
      </c>
      <c r="AE18" s="177" t="inlineStr">
        <is>
          <t>SS=RR-OO</t>
        </is>
      </c>
      <c r="AF18" s="271" t="n"/>
      <c r="AG18" s="271" t="n"/>
      <c r="AH18" s="177" t="inlineStr">
        <is>
          <t>TT=EOMONTH(AA,(BB-MONTH(1))</t>
        </is>
      </c>
      <c r="AI18" s="177" t="inlineStr">
        <is>
          <t>UU</t>
        </is>
      </c>
      <c r="AJ18" s="177" t="inlineStr">
        <is>
          <t>VV=DD/BB</t>
        </is>
      </c>
      <c r="AK18" s="177" t="inlineStr">
        <is>
          <t>WW=UU*VV</t>
        </is>
      </c>
      <c r="AL18" s="177" t="inlineStr">
        <is>
          <t>XX=HH-WW</t>
        </is>
      </c>
      <c r="AM18" s="177" t="n"/>
      <c r="AN18" s="2" t="n"/>
      <c r="AO18" s="2" t="n"/>
      <c r="AP18" s="2" t="n"/>
      <c r="AQ18" s="2" t="n"/>
      <c r="AR18" s="2" t="n"/>
      <c r="AS18" s="2" t="n"/>
      <c r="AT18" s="2" t="n"/>
      <c r="AU18" s="2" t="n"/>
      <c r="AV18" s="2" t="n"/>
      <c r="CV18" s="307" t="n"/>
      <c r="CW18" s="307" t="n"/>
      <c r="CX18" s="307" t="n"/>
      <c r="CY18" s="308" t="n"/>
      <c r="CZ18" s="308" t="n"/>
      <c r="DA18" s="308" t="n"/>
      <c r="DB18" s="308" t="n"/>
      <c r="DC18" s="308" t="n"/>
      <c r="DD18" s="308" t="n"/>
      <c r="DE18" s="308" t="n"/>
      <c r="DF18" s="308" t="n"/>
      <c r="DG18" s="307" t="n"/>
      <c r="DH18" s="308" t="n"/>
      <c r="DI18" s="308" t="n"/>
      <c r="DJ18" s="308" t="n"/>
      <c r="DK18" s="308" t="n"/>
      <c r="DL18" s="308" t="n"/>
      <c r="DM18" s="307" t="n"/>
      <c r="DN18" s="307" t="n"/>
      <c r="DO18" s="307" t="n"/>
      <c r="DP18" s="307" t="n"/>
      <c r="DQ18" s="307" t="n"/>
      <c r="DR18" s="307" t="n"/>
      <c r="DS18" s="307" t="n"/>
      <c r="DT18" s="307" t="n"/>
      <c r="DU18" s="307" t="n"/>
      <c r="DV18" s="309" t="n"/>
      <c r="DW18" s="307" t="n"/>
      <c r="DX18" s="307" t="n"/>
    </row>
    <row r="19" ht="31.15" customFormat="1" customHeight="1" s="756">
      <c r="A19" s="757" t="n"/>
      <c r="B19" s="179" t="n"/>
      <c r="C19" s="759" t="n"/>
      <c r="D19" s="760" t="n"/>
      <c r="E19" s="760" t="n"/>
      <c r="F19" s="760" t="n"/>
      <c r="G19" s="761" t="n"/>
      <c r="H19" s="182" t="n"/>
      <c r="I19" s="182" t="n"/>
      <c r="J19" s="183" t="inlineStr">
        <is>
          <t>原值</t>
        </is>
      </c>
      <c r="K19" s="182" t="n"/>
      <c r="L19" s="182" t="n"/>
      <c r="M19" s="182" t="n"/>
      <c r="N19" s="182" t="n"/>
      <c r="O19" s="761" t="n"/>
      <c r="P19" s="182" t="n"/>
      <c r="Q19" s="184" t="inlineStr">
        <is>
          <t>累计摊销</t>
        </is>
      </c>
      <c r="R19" s="182" t="n"/>
      <c r="S19" s="182" t="n"/>
      <c r="T19" s="182" t="n"/>
      <c r="U19" s="761" t="n"/>
      <c r="V19" s="182" t="n"/>
      <c r="W19" s="183" t="inlineStr">
        <is>
          <t>减值准备</t>
        </is>
      </c>
      <c r="X19" s="182" t="n"/>
      <c r="Y19" s="182" t="n"/>
      <c r="Z19" s="182" t="n"/>
      <c r="AA19" s="761" t="n"/>
      <c r="AB19" s="762" t="n"/>
      <c r="AC19" s="763" t="inlineStr">
        <is>
          <t>净值</t>
        </is>
      </c>
      <c r="AD19" s="762" t="n"/>
      <c r="AE19" s="762" t="n"/>
      <c r="AF19" s="762" t="n"/>
      <c r="AG19" s="162" t="n"/>
      <c r="AH19" s="761" t="n"/>
      <c r="AI19" s="764" t="n"/>
      <c r="AJ19" s="764" t="inlineStr">
        <is>
          <t>安永本年摊销金额测算</t>
        </is>
      </c>
      <c r="AK19" s="764" t="n"/>
      <c r="AL19" s="764" t="n"/>
      <c r="AM19" s="765" t="n"/>
    </row>
    <row r="20" ht="25.5" customFormat="1" customHeight="1" s="756">
      <c r="A20" s="757" t="n"/>
      <c r="B20" s="179" t="n"/>
      <c r="C20" s="187" t="inlineStr">
        <is>
          <t>项目编码</t>
        </is>
      </c>
      <c r="D20" s="188" t="inlineStr">
        <is>
          <t>项目名称</t>
        </is>
      </c>
      <c r="E20" s="188" t="inlineStr">
        <is>
          <t>长期待摊费用初始确认日期</t>
        </is>
      </c>
      <c r="F20" s="188" t="inlineStr">
        <is>
          <t>摊销期限（月）</t>
        </is>
      </c>
      <c r="G20" s="318" t="inlineStr">
        <is>
          <t>上期末审定数
(PY)</t>
        </is>
      </c>
      <c r="H20" s="617" t="inlineStr">
        <is>
          <t>本年增加</t>
        </is>
      </c>
      <c r="I20" s="618" t="inlineStr">
        <is>
          <t>本年减少</t>
        </is>
      </c>
      <c r="J20" s="619" t="inlineStr">
        <is>
          <t>减少方式</t>
        </is>
      </c>
      <c r="K20" s="619" t="inlineStr">
        <is>
          <t>减少日期</t>
        </is>
      </c>
      <c r="L20" s="620" t="inlineStr">
        <is>
          <t>账面期末数</t>
        </is>
      </c>
      <c r="M20" s="617" t="inlineStr">
        <is>
          <t>审计调整</t>
        </is>
      </c>
      <c r="N20" s="620" t="inlineStr">
        <is>
          <t>审定期末数</t>
        </is>
      </c>
      <c r="O20" s="318" t="inlineStr">
        <is>
          <t>上期末审定数
(PY)</t>
        </is>
      </c>
      <c r="P20" s="520" t="inlineStr">
        <is>
          <t>本期摊销</t>
        </is>
      </c>
      <c r="Q20" s="520" t="inlineStr">
        <is>
          <t>转销</t>
        </is>
      </c>
      <c r="R20" s="520" t="inlineStr">
        <is>
          <t>账面期末数</t>
        </is>
      </c>
      <c r="S20" s="189" t="inlineStr">
        <is>
          <t>审计调整</t>
        </is>
      </c>
      <c r="T20" s="520" t="inlineStr">
        <is>
          <t>审定期末数</t>
        </is>
      </c>
      <c r="U20" s="318" t="inlineStr">
        <is>
          <t>上期末审定数
(PY)</t>
        </is>
      </c>
      <c r="V20" s="520" t="inlineStr">
        <is>
          <t>本年增加</t>
        </is>
      </c>
      <c r="W20" s="520" t="inlineStr">
        <is>
          <t>本年减少</t>
        </is>
      </c>
      <c r="X20" s="520" t="inlineStr">
        <is>
          <t>账面期末数</t>
        </is>
      </c>
      <c r="Y20" s="189" t="inlineStr">
        <is>
          <t>审计调整</t>
        </is>
      </c>
      <c r="Z20" s="520" t="inlineStr">
        <is>
          <t>审定期末数</t>
        </is>
      </c>
      <c r="AA20" s="318" t="inlineStr">
        <is>
          <t>上期末审定数
(PY)</t>
        </is>
      </c>
      <c r="AB20" s="520" t="inlineStr">
        <is>
          <t>账面期末数</t>
        </is>
      </c>
      <c r="AC20" s="189" t="inlineStr">
        <is>
          <t>审计调整</t>
        </is>
      </c>
      <c r="AD20" s="520" t="inlineStr">
        <is>
          <t>审定期末数</t>
        </is>
      </c>
      <c r="AE20" s="520" t="inlineStr">
        <is>
          <t xml:space="preserve"> 期末审定数vs上期末审定数</t>
        </is>
      </c>
      <c r="AF20" s="766" t="n"/>
      <c r="AG20" s="164" t="inlineStr">
        <is>
          <t>样本类型</t>
        </is>
      </c>
      <c r="AH20" s="767" t="inlineStr">
        <is>
          <t>摊销结束时间</t>
        </is>
      </c>
      <c r="AI20" s="166" t="inlineStr">
        <is>
          <t>本期摊销月数</t>
        </is>
      </c>
      <c r="AJ20" s="166" t="inlineStr">
        <is>
          <t>月摊销额</t>
        </is>
      </c>
      <c r="AK20" s="166" t="inlineStr">
        <is>
          <t>安永测算本年摊销金额</t>
        </is>
      </c>
      <c r="AL20" s="167" t="inlineStr">
        <is>
          <t>差异</t>
        </is>
      </c>
      <c r="AM20" s="283" t="inlineStr">
        <is>
          <t>差异原因</t>
        </is>
      </c>
    </row>
    <row r="21" customFormat="1" s="754">
      <c r="A21" s="755" t="n"/>
      <c r="B21" s="190" t="n"/>
      <c r="C21" s="191" t="n"/>
      <c r="D21" s="168" t="n"/>
      <c r="E21" s="192" t="n"/>
      <c r="F21" s="168" t="n"/>
      <c r="G21" s="768" t="n"/>
      <c r="H21" s="769" t="n"/>
      <c r="I21" s="769" t="n"/>
      <c r="J21" s="623" t="n"/>
      <c r="K21" s="624" t="n"/>
      <c r="L21" s="768" t="n"/>
      <c r="M21" s="770" t="n"/>
      <c r="N21" s="768">
        <f>L21+M21</f>
        <v/>
      </c>
      <c r="O21" s="768" t="n"/>
      <c r="P21" s="770" t="n"/>
      <c r="Q21" s="770" t="n"/>
      <c r="R21" s="768" t="n"/>
      <c r="S21" s="770" t="n"/>
      <c r="T21" s="768">
        <f>R21+S21</f>
        <v/>
      </c>
      <c r="U21" s="768" t="n"/>
      <c r="V21" s="769" t="n"/>
      <c r="W21" s="769" t="n"/>
      <c r="X21" s="768" t="n"/>
      <c r="Y21" s="770" t="n"/>
      <c r="Z21" s="768">
        <f>X21+Y21</f>
        <v/>
      </c>
      <c r="AA21" s="768">
        <f>G21-O21</f>
        <v/>
      </c>
      <c r="AB21" s="770">
        <f>L21-R21</f>
        <v/>
      </c>
      <c r="AC21" s="770" t="n"/>
      <c r="AD21" s="770">
        <f>AB21+AC21</f>
        <v/>
      </c>
      <c r="AE21" s="770">
        <f>AD21-AA21</f>
        <v/>
      </c>
      <c r="AF21" s="626">
        <f>IF(AA21&lt;&gt;0,AE21/AA21,1)</f>
        <v/>
      </c>
      <c r="AG21" s="627" t="n"/>
      <c r="AH21" s="628">
        <f>IFERROR(EOMONTH(E21,(F21-MONTH(1))),"")</f>
        <v/>
      </c>
      <c r="AI21" s="629">
        <f t="array" ref="AI21">IFERROR(_xlfn.IFS(YEAR(E21)&lt;YEAR(汇总!$D$5),_xlfn.IFS(YEAR(AH21)&gt;YEAR(汇总!$D$5),MONTH(汇总!$D$5),YEAR(AH21)=YEAR(汇总!$D$5),IF(MONTH(AH21)&gt;=MONTH(汇总!$D$5),MONTH(汇总!$D$5),MONTH(AH21)),YEAR(AH21)&lt;YEAR(汇总!$D$5),0),(YEAR(E21)=YEAR(汇总!$D$5)),MONTH(汇总!$D$5)+1-(MONTH(E21)),YEAR(E21)&gt;YEAR(汇总!$D$5),0),0)</f>
        <v/>
      </c>
      <c r="AJ21" s="771">
        <f>IF(F21&lt;&gt;0,L21/F21,0)</f>
        <v/>
      </c>
      <c r="AK21" s="772">
        <f>AI21*AJ21</f>
        <v/>
      </c>
      <c r="AL21" s="772">
        <f>P21-AK21</f>
        <v/>
      </c>
      <c r="AM21" s="633" t="n"/>
      <c r="AN21" s="193" t="n"/>
      <c r="AO21" s="193" t="n"/>
      <c r="AP21" s="193" t="n"/>
    </row>
    <row r="22" customFormat="1" s="754">
      <c r="A22" s="755" t="n"/>
      <c r="B22" s="190" t="n"/>
      <c r="C22" s="634" t="n"/>
      <c r="D22" s="168" t="n"/>
      <c r="E22" s="192" t="n"/>
      <c r="F22" s="168" t="n"/>
      <c r="G22" s="768" t="n"/>
      <c r="H22" s="769" t="n"/>
      <c r="I22" s="769" t="n"/>
      <c r="J22" s="623" t="n"/>
      <c r="K22" s="624" t="n"/>
      <c r="L22" s="768" t="n"/>
      <c r="M22" s="770" t="n"/>
      <c r="N22" s="768">
        <f>L22+M22</f>
        <v/>
      </c>
      <c r="O22" s="768" t="n"/>
      <c r="P22" s="770" t="n"/>
      <c r="Q22" s="770" t="n"/>
      <c r="R22" s="768" t="n"/>
      <c r="S22" s="770" t="n"/>
      <c r="T22" s="768">
        <f>R22+S22</f>
        <v/>
      </c>
      <c r="U22" s="768" t="n"/>
      <c r="V22" s="769" t="n"/>
      <c r="W22" s="769" t="n"/>
      <c r="X22" s="768" t="n"/>
      <c r="Y22" s="770" t="n"/>
      <c r="Z22" s="768">
        <f>X22+Y22</f>
        <v/>
      </c>
      <c r="AA22" s="768">
        <f>G22-O22</f>
        <v/>
      </c>
      <c r="AB22" s="770">
        <f>L22-R22</f>
        <v/>
      </c>
      <c r="AC22" s="770" t="n"/>
      <c r="AD22" s="770">
        <f>AB22+AC22</f>
        <v/>
      </c>
      <c r="AE22" s="770">
        <f>AD22-AA22</f>
        <v/>
      </c>
      <c r="AF22" s="626">
        <f>IF(AA22&lt;&gt;0,AE22/AA22,1)</f>
        <v/>
      </c>
      <c r="AG22" s="627" t="n"/>
      <c r="AH22" s="628">
        <f>IFERROR(EOMONTH(E22,(F22-MONTH(1))),"")</f>
        <v/>
      </c>
      <c r="AI22" s="629">
        <f t="array" ref="AI22">IFERROR(_xlfn.IFS(YEAR(E22)&lt;YEAR(汇总!$D$5),_xlfn.IFS(YEAR(AH22)&gt;YEAR(汇总!$D$5),MONTH(汇总!$D$5),YEAR(AH22)=YEAR(汇总!$D$5),IF(MONTH(AH22)&gt;=MONTH(汇总!$D$5),MONTH(汇总!$D$5),MONTH(AH22)),YEAR(AH22)&lt;YEAR(汇总!$D$5),0),(YEAR(E22)=YEAR(汇总!$D$5)),MONTH(汇总!$D$5)+1-(MONTH(E22)),YEAR(E22)&gt;YEAR(汇总!$D$5),0),0)</f>
        <v/>
      </c>
      <c r="AJ22" s="771">
        <f>IF(F22&lt;&gt;0,L22/F22,0)</f>
        <v/>
      </c>
      <c r="AK22" s="772">
        <f>AI22*AJ22</f>
        <v/>
      </c>
      <c r="AL22" s="772">
        <f>P22-AK22</f>
        <v/>
      </c>
      <c r="AM22" s="633" t="n"/>
      <c r="AN22" s="193" t="n"/>
      <c r="AO22" s="193" t="n"/>
      <c r="AP22" s="193" t="n"/>
    </row>
    <row r="23" customFormat="1" s="754">
      <c r="A23" s="755" t="n"/>
      <c r="B23" s="190" t="n"/>
      <c r="C23" s="634" t="n"/>
      <c r="D23" s="623" t="n"/>
      <c r="E23" s="636" t="n"/>
      <c r="F23" s="623" t="n"/>
      <c r="G23" s="773" t="n"/>
      <c r="H23" s="774" t="n"/>
      <c r="I23" s="774" t="n"/>
      <c r="J23" s="321" t="n"/>
      <c r="K23" s="322" t="n"/>
      <c r="L23" s="773" t="n"/>
      <c r="M23" s="775" t="n"/>
      <c r="N23" s="768">
        <f>L23+M23</f>
        <v/>
      </c>
      <c r="O23" s="768" t="n"/>
      <c r="P23" s="770" t="n"/>
      <c r="Q23" s="770" t="n"/>
      <c r="R23" s="768" t="n"/>
      <c r="S23" s="770" t="n"/>
      <c r="T23" s="768">
        <f>R23+S23</f>
        <v/>
      </c>
      <c r="U23" s="768" t="n"/>
      <c r="V23" s="769" t="n"/>
      <c r="W23" s="769" t="n"/>
      <c r="X23" s="768" t="n"/>
      <c r="Y23" s="770" t="n"/>
      <c r="Z23" s="768">
        <f>X23+Y23</f>
        <v/>
      </c>
      <c r="AA23" s="768">
        <f>G23-O23</f>
        <v/>
      </c>
      <c r="AB23" s="770">
        <f>L23-R23</f>
        <v/>
      </c>
      <c r="AC23" s="770" t="n"/>
      <c r="AD23" s="770">
        <f>AB23+AC23</f>
        <v/>
      </c>
      <c r="AE23" s="770">
        <f>AD23-AA23</f>
        <v/>
      </c>
      <c r="AF23" s="626">
        <f>IF(AA23&lt;&gt;0,AE23/AA23,1)</f>
        <v/>
      </c>
      <c r="AG23" s="627" t="n"/>
      <c r="AH23" s="628">
        <f>IFERROR(EOMONTH(E23,(F23-MONTH(1))),"")</f>
        <v/>
      </c>
      <c r="AI23" s="629">
        <f t="array" ref="AI23">IFERROR(_xlfn.IFS(YEAR(E23)&lt;YEAR(汇总!$D$5),_xlfn.IFS(YEAR(AH23)&gt;YEAR(汇总!$D$5),MONTH(汇总!$D$5),YEAR(AH23)=YEAR(汇总!$D$5),IF(MONTH(AH23)&gt;=MONTH(汇总!$D$5),MONTH(汇总!$D$5),MONTH(AH23)),YEAR(AH23)&lt;YEAR(汇总!$D$5),0),(YEAR(E23)=YEAR(汇总!$D$5)),MONTH(汇总!$D$5)+1-(MONTH(E23)),YEAR(E23)&gt;YEAR(汇总!$D$5),0),0)</f>
        <v/>
      </c>
      <c r="AJ23" s="771">
        <f>IF(F23&lt;&gt;0,L23/F23,0)</f>
        <v/>
      </c>
      <c r="AK23" s="772">
        <f>AI23*AJ23</f>
        <v/>
      </c>
      <c r="AL23" s="772">
        <f>P23-AK23</f>
        <v/>
      </c>
      <c r="AM23" s="633" t="n"/>
      <c r="AN23" s="193" t="n"/>
      <c r="AO23" s="193" t="n"/>
      <c r="AP23" s="193" t="n"/>
    </row>
    <row r="24" customFormat="1" s="754">
      <c r="A24" s="755" t="n"/>
      <c r="B24" s="190" t="n"/>
      <c r="C24" s="634" t="n"/>
      <c r="D24" s="623" t="n"/>
      <c r="E24" s="636" t="n"/>
      <c r="F24" s="623" t="n"/>
      <c r="G24" s="773" t="n"/>
      <c r="H24" s="774" t="n"/>
      <c r="I24" s="774" t="n"/>
      <c r="J24" s="321" t="n"/>
      <c r="K24" s="322" t="n"/>
      <c r="L24" s="773" t="n"/>
      <c r="M24" s="775" t="n"/>
      <c r="N24" s="768">
        <f>L24+M24</f>
        <v/>
      </c>
      <c r="O24" s="768" t="n"/>
      <c r="P24" s="770" t="n"/>
      <c r="Q24" s="770" t="n"/>
      <c r="R24" s="768" t="n"/>
      <c r="S24" s="770" t="n"/>
      <c r="T24" s="768">
        <f>R24+S24</f>
        <v/>
      </c>
      <c r="U24" s="768" t="n"/>
      <c r="V24" s="769" t="n"/>
      <c r="W24" s="769" t="n"/>
      <c r="X24" s="768" t="n"/>
      <c r="Y24" s="770" t="n"/>
      <c r="Z24" s="768">
        <f>X24+Y24</f>
        <v/>
      </c>
      <c r="AA24" s="768">
        <f>G24-O24</f>
        <v/>
      </c>
      <c r="AB24" s="770">
        <f>L24-R24</f>
        <v/>
      </c>
      <c r="AC24" s="770" t="n"/>
      <c r="AD24" s="770">
        <f>AB24+AC24</f>
        <v/>
      </c>
      <c r="AE24" s="770">
        <f>AD24-AA24</f>
        <v/>
      </c>
      <c r="AF24" s="626">
        <f>IF(AA24&lt;&gt;0,AE24/AA24,1)</f>
        <v/>
      </c>
      <c r="AG24" s="627" t="n"/>
      <c r="AH24" s="628">
        <f>IFERROR(EOMONTH(E24,(F24-MONTH(1))),"")</f>
        <v/>
      </c>
      <c r="AI24" s="629">
        <f t="array" ref="AI24">IFERROR(_xlfn.IFS(YEAR(E24)&lt;YEAR(汇总!$D$5),_xlfn.IFS(YEAR(AH24)&gt;YEAR(汇总!$D$5),MONTH(汇总!$D$5),YEAR(AH24)=YEAR(汇总!$D$5),IF(MONTH(AH24)&gt;=MONTH(汇总!$D$5),MONTH(汇总!$D$5),MONTH(AH24)),YEAR(AH24)&lt;YEAR(汇总!$D$5),0),(YEAR(E24)=YEAR(汇总!$D$5)),MONTH(汇总!$D$5)+1-(MONTH(E24)),YEAR(E24)&gt;YEAR(汇总!$D$5),0),0)</f>
        <v/>
      </c>
      <c r="AJ24" s="771">
        <f>IF(F24&lt;&gt;0,L24/F24,0)</f>
        <v/>
      </c>
      <c r="AK24" s="772">
        <f>AI24*AJ24</f>
        <v/>
      </c>
      <c r="AL24" s="772">
        <f>P24-AK24</f>
        <v/>
      </c>
      <c r="AM24" s="633" t="n"/>
      <c r="AN24" s="193" t="n"/>
      <c r="AO24" s="193" t="n"/>
      <c r="AP24" s="193" t="n"/>
    </row>
    <row r="25" customFormat="1" s="754">
      <c r="A25" s="755" t="n"/>
      <c r="B25" s="190" t="n"/>
      <c r="C25" s="634" t="n"/>
      <c r="D25" s="623" t="n"/>
      <c r="E25" s="636" t="n"/>
      <c r="F25" s="623" t="n"/>
      <c r="G25" s="773" t="n"/>
      <c r="H25" s="774" t="n"/>
      <c r="I25" s="774" t="n"/>
      <c r="J25" s="321" t="n"/>
      <c r="K25" s="322" t="n"/>
      <c r="L25" s="773" t="n"/>
      <c r="M25" s="775" t="n"/>
      <c r="N25" s="768">
        <f>L25+M25</f>
        <v/>
      </c>
      <c r="O25" s="768" t="n"/>
      <c r="P25" s="770" t="n"/>
      <c r="Q25" s="770" t="n"/>
      <c r="R25" s="768" t="n"/>
      <c r="S25" s="770" t="n"/>
      <c r="T25" s="768">
        <f>R25+S25</f>
        <v/>
      </c>
      <c r="U25" s="768" t="n"/>
      <c r="V25" s="769" t="n"/>
      <c r="W25" s="769" t="n"/>
      <c r="X25" s="768" t="n"/>
      <c r="Y25" s="770" t="n"/>
      <c r="Z25" s="768">
        <f>X25+Y25</f>
        <v/>
      </c>
      <c r="AA25" s="768">
        <f>G25-O25</f>
        <v/>
      </c>
      <c r="AB25" s="770">
        <f>L25-R25</f>
        <v/>
      </c>
      <c r="AC25" s="770" t="n"/>
      <c r="AD25" s="770">
        <f>AB25+AC25</f>
        <v/>
      </c>
      <c r="AE25" s="770">
        <f>AD25-AA25</f>
        <v/>
      </c>
      <c r="AF25" s="626">
        <f>IF(AA25&lt;&gt;0,AE25/AA25,1)</f>
        <v/>
      </c>
      <c r="AG25" s="627" t="n"/>
      <c r="AH25" s="628">
        <f>IFERROR(EOMONTH(E25,(F25-MONTH(1))),"")</f>
        <v/>
      </c>
      <c r="AI25" s="629">
        <f t="array" ref="AI25">IFERROR(_xlfn.IFS(YEAR(E25)&lt;YEAR(汇总!$D$5),_xlfn.IFS(YEAR(AH25)&gt;YEAR(汇总!$D$5),MONTH(汇总!$D$5),YEAR(AH25)=YEAR(汇总!$D$5),IF(MONTH(AH25)&gt;=MONTH(汇总!$D$5),MONTH(汇总!$D$5),MONTH(AH25)),YEAR(AH25)&lt;YEAR(汇总!$D$5),0),(YEAR(E25)=YEAR(汇总!$D$5)),MONTH(汇总!$D$5)+1-(MONTH(E25)),YEAR(E25)&gt;YEAR(汇总!$D$5),0),0)</f>
        <v/>
      </c>
      <c r="AJ25" s="771">
        <f>IF(F25&lt;&gt;0,L25/F25,0)</f>
        <v/>
      </c>
      <c r="AK25" s="772">
        <f>AI25*AJ25</f>
        <v/>
      </c>
      <c r="AL25" s="772">
        <f>P25-AK25</f>
        <v/>
      </c>
      <c r="AM25" s="633" t="n"/>
      <c r="AN25" s="193" t="n"/>
      <c r="AO25" s="193" t="n"/>
      <c r="AP25" s="193" t="n"/>
    </row>
    <row r="26" customFormat="1" s="754">
      <c r="A26" s="755" t="n"/>
      <c r="B26" s="190" t="n"/>
      <c r="C26" s="634" t="n"/>
      <c r="D26" s="623" t="n"/>
      <c r="E26" s="636" t="n"/>
      <c r="F26" s="623" t="n"/>
      <c r="G26" s="773" t="n"/>
      <c r="H26" s="774" t="n"/>
      <c r="I26" s="774" t="n"/>
      <c r="J26" s="321" t="n"/>
      <c r="K26" s="322" t="n"/>
      <c r="L26" s="773" t="n"/>
      <c r="M26" s="775" t="n"/>
      <c r="N26" s="768">
        <f>L26+M26</f>
        <v/>
      </c>
      <c r="O26" s="768" t="n"/>
      <c r="P26" s="770" t="n"/>
      <c r="Q26" s="770" t="n"/>
      <c r="R26" s="768" t="n"/>
      <c r="S26" s="770" t="n"/>
      <c r="T26" s="768">
        <f>R26+S26</f>
        <v/>
      </c>
      <c r="U26" s="768" t="n"/>
      <c r="V26" s="769" t="n"/>
      <c r="W26" s="769" t="n"/>
      <c r="X26" s="768" t="n"/>
      <c r="Y26" s="770" t="n"/>
      <c r="Z26" s="768">
        <f>X26+Y26</f>
        <v/>
      </c>
      <c r="AA26" s="768">
        <f>G26-O26</f>
        <v/>
      </c>
      <c r="AB26" s="770">
        <f>L26-R26</f>
        <v/>
      </c>
      <c r="AC26" s="770" t="n"/>
      <c r="AD26" s="770">
        <f>AB26+AC26</f>
        <v/>
      </c>
      <c r="AE26" s="770">
        <f>AD26-AA26</f>
        <v/>
      </c>
      <c r="AF26" s="626">
        <f>IF(AA26&lt;&gt;0,AE26/AA26,1)</f>
        <v/>
      </c>
      <c r="AG26" s="627" t="n"/>
      <c r="AH26" s="628">
        <f>IFERROR(EOMONTH(E26,(F26-MONTH(1))),"")</f>
        <v/>
      </c>
      <c r="AI26" s="629">
        <f t="array" ref="AI26">IFERROR(_xlfn.IFS(YEAR(E26)&lt;YEAR(汇总!$D$5),_xlfn.IFS(YEAR(AH26)&gt;YEAR(汇总!$D$5),MONTH(汇总!$D$5),YEAR(AH26)=YEAR(汇总!$D$5),IF(MONTH(AH26)&gt;=MONTH(汇总!$D$5),MONTH(汇总!$D$5),MONTH(AH26)),YEAR(AH26)&lt;YEAR(汇总!$D$5),0),(YEAR(E26)=YEAR(汇总!$D$5)),MONTH(汇总!$D$5)+1-(MONTH(E26)),YEAR(E26)&gt;YEAR(汇总!$D$5),0),0)</f>
        <v/>
      </c>
      <c r="AJ26" s="771">
        <f>IF(F26&lt;&gt;0,L26/F26,0)</f>
        <v/>
      </c>
      <c r="AK26" s="772">
        <f>AI26*AJ26</f>
        <v/>
      </c>
      <c r="AL26" s="772">
        <f>P26-AK26</f>
        <v/>
      </c>
      <c r="AM26" s="633" t="n"/>
      <c r="AN26" s="193" t="n"/>
      <c r="AO26" s="193" t="n"/>
      <c r="AP26" s="193" t="n"/>
    </row>
    <row r="27" ht="13.5" customFormat="1" customHeight="1" s="754" thickBot="1">
      <c r="A27" s="755" t="n"/>
      <c r="B27" s="190" t="n"/>
      <c r="C27" s="637" t="n"/>
      <c r="D27" s="638" t="n"/>
      <c r="E27" s="639" t="n"/>
      <c r="F27" s="638" t="n"/>
      <c r="G27" s="776" t="n"/>
      <c r="H27" s="641" t="n"/>
      <c r="I27" s="641" t="n"/>
      <c r="J27" s="638" t="n"/>
      <c r="K27" s="638" t="n"/>
      <c r="L27" s="776" t="n"/>
      <c r="M27" s="638" t="n"/>
      <c r="N27" s="776">
        <f>L27+M27</f>
        <v/>
      </c>
      <c r="O27" s="776" t="n"/>
      <c r="P27" s="777" t="n"/>
      <c r="Q27" s="777" t="n"/>
      <c r="R27" s="776" t="n"/>
      <c r="S27" s="777" t="n"/>
      <c r="T27" s="776">
        <f>R27+S27</f>
        <v/>
      </c>
      <c r="U27" s="776" t="n"/>
      <c r="V27" s="778" t="n"/>
      <c r="W27" s="778" t="n"/>
      <c r="X27" s="776" t="n"/>
      <c r="Y27" s="777" t="n"/>
      <c r="Z27" s="776">
        <f>X27+Y27</f>
        <v/>
      </c>
      <c r="AA27" s="768">
        <f>G27-O27</f>
        <v/>
      </c>
      <c r="AB27" s="770">
        <f>L27-R27</f>
        <v/>
      </c>
      <c r="AC27" s="777" t="n"/>
      <c r="AD27" s="777">
        <f>AB27+AC27</f>
        <v/>
      </c>
      <c r="AE27" s="777">
        <f>AD27-AA27</f>
        <v/>
      </c>
      <c r="AF27" s="644">
        <f>IF(AA27&lt;&gt;0,AE27/AA27,1)</f>
        <v/>
      </c>
      <c r="AG27" s="645" t="n"/>
      <c r="AH27" s="646">
        <f>IFERROR(EOMONTH(E27,(F27-MONTH(1))),"")</f>
        <v/>
      </c>
      <c r="AI27" s="629">
        <f t="array" ref="AI27">IFERROR(_xlfn.IFS(YEAR(E27)&lt;YEAR(汇总!$D$5),_xlfn.IFS(YEAR(AH27)&gt;YEAR(汇总!$D$5),MONTH(汇总!$D$5),YEAR(AH27)=YEAR(汇总!$D$5),IF(MONTH(AH27)&gt;=MONTH(汇总!$D$5),MONTH(汇总!$D$5),MONTH(AH27)),YEAR(AH27)&lt;YEAR(汇总!$D$5),0),(YEAR(E27)=YEAR(汇总!$D$5)),MONTH(汇总!$D$5)+1-(MONTH(E27)),YEAR(E27)&gt;YEAR(汇总!$D$5),0),0)</f>
        <v/>
      </c>
      <c r="AJ27" s="779">
        <f>IF(F27&lt;&gt;0,L27/F27,0)</f>
        <v/>
      </c>
      <c r="AK27" s="780">
        <f>AI27*AJ27</f>
        <v/>
      </c>
      <c r="AL27" s="780">
        <f>P27-AK27</f>
        <v/>
      </c>
      <c r="AM27" s="650" t="n"/>
    </row>
    <row r="28" customFormat="1" s="754">
      <c r="A28" s="755" t="n"/>
      <c r="B28" s="194" t="n"/>
      <c r="C28" s="195" t="n"/>
      <c r="D28" s="78" t="n"/>
      <c r="E28" s="196" t="n"/>
      <c r="F28" s="197" t="n"/>
      <c r="G28" s="781" t="n"/>
      <c r="H28" s="781" t="n"/>
      <c r="I28" s="781" t="n"/>
      <c r="J28" s="781" t="n"/>
      <c r="K28" s="781" t="n"/>
      <c r="L28" s="781" t="n"/>
      <c r="M28" s="781" t="n"/>
      <c r="N28" s="781" t="n"/>
      <c r="O28" s="781" t="n"/>
      <c r="P28" s="781" t="n"/>
      <c r="Q28" s="781" t="n"/>
      <c r="R28" s="782" t="n"/>
      <c r="S28" s="781" t="n"/>
      <c r="T28" s="782" t="n"/>
      <c r="U28" s="781" t="n"/>
      <c r="V28" s="781" t="n"/>
      <c r="W28" s="781" t="n"/>
      <c r="X28" s="781" t="n"/>
      <c r="Y28" s="781" t="n"/>
      <c r="Z28" s="781" t="n"/>
      <c r="AA28" s="781" t="n"/>
      <c r="AB28" s="781" t="n"/>
      <c r="AC28" s="781" t="n"/>
      <c r="AD28" s="781" t="n"/>
      <c r="AE28" s="783" t="n"/>
      <c r="AF28" s="82" t="n"/>
      <c r="AG28" s="784" t="n"/>
      <c r="AH28" s="198" t="n"/>
      <c r="AI28" s="730" t="n"/>
      <c r="AJ28" s="730" t="n"/>
      <c r="AK28" s="730" t="n"/>
      <c r="AL28" s="730" t="n"/>
      <c r="AM28" s="199" t="n"/>
    </row>
    <row r="29" ht="13.5" customFormat="1" customHeight="1" s="754" thickBot="1">
      <c r="A29" s="755" t="n"/>
      <c r="B29" s="190" t="n"/>
      <c r="D29" s="83" t="n"/>
      <c r="E29" s="200" t="n"/>
      <c r="F29" s="201" t="inlineStr">
        <is>
          <t>合计</t>
        </is>
      </c>
      <c r="G29" s="785">
        <f>SUM(G20:G27)</f>
        <v/>
      </c>
      <c r="H29" s="785">
        <f>SUM(H20:H27)</f>
        <v/>
      </c>
      <c r="I29" s="785">
        <f>SUM(I20:I27)</f>
        <v/>
      </c>
      <c r="J29" s="786" t="n"/>
      <c r="K29" s="786" t="n"/>
      <c r="L29" s="785">
        <f>SUM(L20:L27)</f>
        <v/>
      </c>
      <c r="M29" s="785">
        <f>SUM(M20:M27)</f>
        <v/>
      </c>
      <c r="N29" s="785">
        <f>SUM(N20:N27)</f>
        <v/>
      </c>
      <c r="O29" s="785">
        <f>SUM(O20:O27)</f>
        <v/>
      </c>
      <c r="P29" s="785">
        <f>SUM(P20:P27)</f>
        <v/>
      </c>
      <c r="Q29" s="785">
        <f>SUM(Q20:Q27)</f>
        <v/>
      </c>
      <c r="R29" s="785">
        <f>SUM(R20:R27)</f>
        <v/>
      </c>
      <c r="S29" s="785">
        <f>SUM(S20:S27)</f>
        <v/>
      </c>
      <c r="T29" s="785">
        <f>SUM(T20:T27)</f>
        <v/>
      </c>
      <c r="U29" s="785">
        <f>SUM(U20:U27)</f>
        <v/>
      </c>
      <c r="V29" s="785">
        <f>SUM(V20:V27)</f>
        <v/>
      </c>
      <c r="W29" s="785">
        <f>SUM(W20:W27)</f>
        <v/>
      </c>
      <c r="X29" s="785">
        <f>SUM(X20:X27)</f>
        <v/>
      </c>
      <c r="Y29" s="785">
        <f>SUM(Y20:Y27)</f>
        <v/>
      </c>
      <c r="Z29" s="785">
        <f>SUM(Z20:Z27)</f>
        <v/>
      </c>
      <c r="AA29" s="785">
        <f>SUM(AA20:AA27)</f>
        <v/>
      </c>
      <c r="AB29" s="785">
        <f>SUM(AB20:AB27)</f>
        <v/>
      </c>
      <c r="AC29" s="785">
        <f>SUM(AC20:AC27)</f>
        <v/>
      </c>
      <c r="AD29" s="785">
        <f>SUM(AD20:AD27)</f>
        <v/>
      </c>
      <c r="AE29" s="787">
        <f>AA29-AD29</f>
        <v/>
      </c>
      <c r="AF29" s="653">
        <f>IF(AA29&lt;&gt;0,AE29/AA29,1)</f>
        <v/>
      </c>
      <c r="AG29" s="784" t="n"/>
      <c r="AH29" s="784" t="n"/>
      <c r="AI29" s="784" t="n"/>
      <c r="AJ29" s="785">
        <f>SUM(AJ20:AJ27)</f>
        <v/>
      </c>
      <c r="AK29" s="785">
        <f>SUM(AK20:AK27)</f>
        <v/>
      </c>
      <c r="AL29" s="785">
        <f>SUM(AL20:AL27)</f>
        <v/>
      </c>
      <c r="AM29" s="784" t="n"/>
    </row>
    <row r="30" ht="13.5" customFormat="1" customHeight="1" s="754" thickTop="1">
      <c r="A30" s="755" t="n"/>
      <c r="B30" s="190" t="n"/>
      <c r="C30" s="1" t="n"/>
      <c r="D30" s="1" t="n"/>
      <c r="E30" s="1" t="n"/>
      <c r="F30" s="788" t="n"/>
      <c r="G30" s="177" t="inlineStr">
        <is>
          <t>Rx</t>
        </is>
      </c>
      <c r="H30" s="177" t="inlineStr">
        <is>
          <t>Rx</t>
        </is>
      </c>
      <c r="I30" s="177" t="inlineStr">
        <is>
          <t>Rx</t>
        </is>
      </c>
      <c r="J30" s="177" t="n"/>
      <c r="K30" s="177" t="n"/>
      <c r="L30" s="177" t="inlineStr">
        <is>
          <t>Rx</t>
        </is>
      </c>
      <c r="M30" s="177" t="inlineStr">
        <is>
          <t>Rx</t>
        </is>
      </c>
      <c r="N30" s="177" t="inlineStr">
        <is>
          <t>Rx</t>
        </is>
      </c>
      <c r="O30" s="177" t="inlineStr">
        <is>
          <t>Rx</t>
        </is>
      </c>
      <c r="P30" s="177" t="inlineStr">
        <is>
          <t>Rx</t>
        </is>
      </c>
      <c r="Q30" s="177" t="inlineStr">
        <is>
          <t>Rx</t>
        </is>
      </c>
      <c r="R30" s="177" t="inlineStr">
        <is>
          <t>Rx</t>
        </is>
      </c>
      <c r="S30" s="177" t="inlineStr">
        <is>
          <t>Rx</t>
        </is>
      </c>
      <c r="T30" s="177" t="inlineStr">
        <is>
          <t>Rx</t>
        </is>
      </c>
      <c r="U30" s="177" t="inlineStr">
        <is>
          <t>Rx</t>
        </is>
      </c>
      <c r="V30" s="177" t="inlineStr">
        <is>
          <t>Rx</t>
        </is>
      </c>
      <c r="W30" s="177" t="inlineStr">
        <is>
          <t>Rx</t>
        </is>
      </c>
      <c r="X30" s="177" t="inlineStr">
        <is>
          <t>Rx</t>
        </is>
      </c>
      <c r="Y30" s="177" t="inlineStr">
        <is>
          <t>Rx</t>
        </is>
      </c>
      <c r="Z30" s="177" t="inlineStr">
        <is>
          <t>Rx</t>
        </is>
      </c>
      <c r="AA30" s="177" t="inlineStr">
        <is>
          <t>Rx</t>
        </is>
      </c>
      <c r="AB30" s="177" t="inlineStr">
        <is>
          <t>Rx</t>
        </is>
      </c>
      <c r="AC30" s="177" t="inlineStr">
        <is>
          <t>Rx</t>
        </is>
      </c>
      <c r="AD30" s="177" t="inlineStr">
        <is>
          <t>Rx</t>
        </is>
      </c>
      <c r="AE30" s="177" t="n"/>
      <c r="AF30" s="177" t="n"/>
      <c r="AG30" s="203" t="n"/>
      <c r="AH30" s="204" t="n"/>
      <c r="AI30" s="789" t="n"/>
      <c r="AJ30" s="177" t="inlineStr">
        <is>
          <t>Rx</t>
        </is>
      </c>
      <c r="AK30" s="177" t="inlineStr">
        <is>
          <t>Rx</t>
        </is>
      </c>
      <c r="AL30" s="177" t="inlineStr">
        <is>
          <t>Rx</t>
        </is>
      </c>
      <c r="AM30" s="193" t="n"/>
    </row>
    <row r="31" customFormat="1" s="754">
      <c r="A31" s="755" t="n"/>
      <c r="B31" s="13" t="n"/>
      <c r="C31" s="2" t="n"/>
      <c r="D31" s="83" t="n"/>
      <c r="E31" s="2" t="n"/>
      <c r="O31" s="2" t="n"/>
      <c r="P31" s="2" t="n"/>
      <c r="Q31" s="2" t="n"/>
      <c r="R31" s="2" t="n"/>
      <c r="S31" s="2" t="n"/>
      <c r="T31" s="177" t="n"/>
      <c r="U31" s="2" t="n"/>
      <c r="V31" s="2" t="n"/>
      <c r="W31" s="2" t="n"/>
      <c r="X31" s="2" t="n"/>
      <c r="Y31" s="2" t="n"/>
      <c r="Z31" s="790" t="inlineStr">
        <is>
          <t>L2.00 Lead</t>
        </is>
      </c>
      <c r="AA31" s="791">
        <f>'L2.00 Lead'!N31</f>
        <v/>
      </c>
      <c r="AB31" s="791">
        <f>'L2.00 Lead'!G31</f>
        <v/>
      </c>
      <c r="AC31" s="786" t="n"/>
      <c r="AD31" s="791">
        <f>'L2.00 Lead'!M31</f>
        <v/>
      </c>
      <c r="AE31" s="786" t="n"/>
      <c r="AF31" s="177" t="n"/>
      <c r="AG31" s="786" t="n"/>
    </row>
    <row r="32" customFormat="1" s="754">
      <c r="A32" s="755" t="n"/>
      <c r="B32" s="13" t="n"/>
      <c r="C32" s="2" t="n"/>
      <c r="D32" s="2" t="n"/>
      <c r="E32" s="2" t="n"/>
      <c r="O32" s="737" t="n"/>
      <c r="P32" s="737" t="n"/>
      <c r="Q32" s="737" t="n"/>
      <c r="R32" s="737" t="n"/>
      <c r="S32" s="737" t="n"/>
      <c r="T32" s="737" t="n"/>
      <c r="U32" s="737" t="n"/>
      <c r="V32" s="737" t="n"/>
      <c r="W32" s="737" t="n"/>
      <c r="X32" s="737" t="n"/>
      <c r="Y32" s="737" t="n"/>
      <c r="Z32" s="790" t="inlineStr">
        <is>
          <t>Diff</t>
        </is>
      </c>
      <c r="AA32" s="739">
        <f>AA29-AA31</f>
        <v/>
      </c>
      <c r="AB32" s="739">
        <f>AB29-AB31</f>
        <v/>
      </c>
      <c r="AC32" s="737" t="n"/>
      <c r="AD32" s="739">
        <f>AD29-AD31</f>
        <v/>
      </c>
      <c r="AE32" s="737" t="n"/>
      <c r="AF32" s="177" t="n"/>
      <c r="AG32" s="737" t="n"/>
      <c r="AI32" s="737" t="n"/>
      <c r="AJ32" s="737" t="n"/>
      <c r="AK32" s="737" t="n"/>
      <c r="AL32" s="737" t="n"/>
      <c r="AM32" s="737" t="n"/>
      <c r="AN32" s="737" t="n"/>
      <c r="AO32" s="737" t="n"/>
      <c r="AP32" s="737" t="n"/>
    </row>
    <row r="33" customFormat="1" s="754">
      <c r="A33" s="755" t="n"/>
      <c r="B33" s="792" t="n"/>
      <c r="I33" s="20" t="n"/>
      <c r="J33" s="20" t="n"/>
      <c r="K33" s="2" t="n"/>
      <c r="L33" s="20" t="n"/>
      <c r="P33" s="2" t="n"/>
      <c r="Q33" s="2" t="n"/>
      <c r="R33" s="2" t="n"/>
      <c r="S33" s="793" t="n"/>
      <c r="T33" s="794" t="n"/>
      <c r="U33" s="794" t="n"/>
      <c r="V33" s="2" t="n"/>
      <c r="W33" s="793" t="n"/>
      <c r="Z33" s="210" t="n"/>
      <c r="AA33" s="210" t="n"/>
      <c r="AB33" s="210" t="n"/>
      <c r="AH33" s="2" t="n"/>
      <c r="AI33" s="2" t="n"/>
      <c r="AJ33" s="2" t="n"/>
    </row>
    <row r="34" ht="13.5" customFormat="1" customHeight="1" s="754" thickBot="1">
      <c r="A34" s="755" t="n"/>
      <c r="B34" s="333" t="inlineStr">
        <is>
          <t>Notes</t>
        </is>
      </c>
      <c r="C34" s="18" t="inlineStr">
        <is>
          <t>请在此记录长期待摊费用明细账和总账的差异，并详细记录对差异进行的核查程序。</t>
        </is>
      </c>
      <c r="D34" s="448" t="n"/>
      <c r="E34" s="333" t="n"/>
      <c r="F34" s="333" t="n"/>
      <c r="G34" s="333" t="n"/>
      <c r="I34" s="20" t="n"/>
      <c r="J34" s="20" t="n"/>
      <c r="K34" s="2" t="n"/>
      <c r="L34" s="20" t="n"/>
      <c r="P34" s="2" t="n"/>
      <c r="Q34" s="2" t="n"/>
      <c r="R34" s="2" t="n"/>
      <c r="S34" s="793" t="n"/>
      <c r="T34" s="794" t="n"/>
      <c r="U34" s="794" t="n"/>
      <c r="V34" s="2" t="n"/>
      <c r="W34" s="793" t="n"/>
      <c r="Z34" s="210" t="n"/>
      <c r="AA34" s="210" t="n"/>
      <c r="AB34" s="210" t="n"/>
      <c r="AH34" s="2" t="n"/>
      <c r="AI34" s="2" t="n"/>
      <c r="AJ34" s="2" t="n"/>
    </row>
    <row r="35" customFormat="1" s="754">
      <c r="A35" s="755" t="n"/>
      <c r="B35" s="400" t="n"/>
      <c r="C35" s="743" t="n"/>
      <c r="D35" s="707" t="n"/>
      <c r="E35" s="707" t="n"/>
      <c r="F35" s="707" t="n"/>
      <c r="G35" s="708" t="n"/>
      <c r="I35" s="20" t="n"/>
      <c r="J35" s="20" t="n"/>
      <c r="K35" s="2" t="n"/>
      <c r="L35" s="20" t="n"/>
      <c r="P35" s="2" t="n"/>
      <c r="Q35" s="2" t="n"/>
      <c r="R35" s="2" t="n"/>
      <c r="S35" s="793" t="n"/>
      <c r="T35" s="794" t="n"/>
      <c r="U35" s="794" t="n"/>
      <c r="V35" s="2" t="n"/>
      <c r="W35" s="793" t="n"/>
      <c r="Z35" s="210" t="n"/>
      <c r="AA35" s="210" t="n"/>
      <c r="AB35" s="210" t="n"/>
      <c r="AH35" s="2" t="n"/>
      <c r="AI35" s="2" t="n"/>
      <c r="AJ35" s="2" t="n"/>
    </row>
    <row r="36" customFormat="1" s="754">
      <c r="A36" s="755" t="n"/>
      <c r="B36" s="400" t="n"/>
      <c r="C36" s="709" t="n"/>
      <c r="G36" s="696" t="n"/>
      <c r="I36" s="20" t="n"/>
      <c r="J36" s="20" t="n"/>
      <c r="K36" s="2" t="n"/>
      <c r="L36" s="20" t="n"/>
      <c r="P36" s="2" t="n"/>
      <c r="Q36" s="2" t="n"/>
      <c r="R36" s="2" t="n"/>
      <c r="S36" s="793" t="n"/>
      <c r="T36" s="794" t="n"/>
      <c r="U36" s="794" t="n"/>
      <c r="V36" s="2" t="n"/>
      <c r="W36" s="793" t="n"/>
      <c r="Z36" s="210" t="n"/>
      <c r="AA36" s="210" t="n"/>
      <c r="AB36" s="210" t="n"/>
      <c r="AH36" s="2" t="n"/>
      <c r="AI36" s="2" t="n"/>
      <c r="AJ36" s="2" t="n"/>
    </row>
    <row r="37" ht="13.5" customFormat="1" customHeight="1" s="754" thickBot="1">
      <c r="A37" s="755" t="n"/>
      <c r="B37" s="400" t="n"/>
      <c r="C37" s="710" t="n"/>
      <c r="D37" s="711" t="n"/>
      <c r="E37" s="711" t="n"/>
      <c r="F37" s="711" t="n"/>
      <c r="G37" s="712" t="n"/>
      <c r="I37" s="20" t="n"/>
      <c r="J37" s="20" t="n"/>
      <c r="K37" s="2" t="n"/>
      <c r="L37" s="20" t="n"/>
      <c r="P37" s="2" t="n"/>
      <c r="Q37" s="2" t="n"/>
      <c r="R37" s="2" t="n"/>
      <c r="S37" s="793" t="n"/>
      <c r="T37" s="794" t="n"/>
      <c r="U37" s="794" t="n"/>
      <c r="V37" s="2" t="n"/>
      <c r="W37" s="793" t="n"/>
      <c r="Z37" s="210" t="n"/>
      <c r="AA37" s="210" t="n"/>
      <c r="AB37" s="210" t="n"/>
      <c r="AH37" s="2" t="n"/>
      <c r="AI37" s="2" t="n"/>
      <c r="AJ37" s="2" t="n"/>
    </row>
    <row r="38" customFormat="1" s="754">
      <c r="A38" s="755" t="n"/>
      <c r="B38" s="190" t="n"/>
      <c r="C38" s="2" t="n"/>
      <c r="D38" s="2" t="n"/>
      <c r="E38" s="2" t="n"/>
      <c r="I38" s="20" t="n"/>
      <c r="J38" s="20" t="n"/>
      <c r="K38" s="2" t="n"/>
      <c r="L38" s="20" t="n"/>
      <c r="P38" s="2" t="n"/>
      <c r="Q38" s="2" t="n"/>
      <c r="R38" s="2" t="n"/>
      <c r="S38" s="793" t="n"/>
      <c r="T38" s="794" t="n"/>
      <c r="U38" s="794" t="n"/>
      <c r="V38" s="2" t="n"/>
      <c r="W38" s="793" t="n"/>
      <c r="Z38" s="210" t="n"/>
      <c r="AA38" s="210" t="n"/>
      <c r="AB38" s="210" t="n"/>
      <c r="AH38" s="2" t="n"/>
      <c r="AI38" s="2" t="n"/>
      <c r="AJ38" s="2" t="n"/>
    </row>
    <row r="39" ht="13.5" customFormat="1" customHeight="1" s="754" thickBot="1">
      <c r="A39" s="755" t="n"/>
      <c r="B39" s="333" t="inlineStr">
        <is>
          <t>Notes</t>
        </is>
      </c>
      <c r="C39" s="18" t="inlineStr">
        <is>
          <t>摊销测试差异较大，请分析原因并讨论是否出具审计调整。</t>
        </is>
      </c>
      <c r="D39" s="448" t="n"/>
      <c r="E39" s="333" t="n"/>
      <c r="F39" s="333" t="n"/>
      <c r="G39" s="333" t="n"/>
      <c r="I39" s="20" t="n"/>
      <c r="J39" s="20" t="n"/>
      <c r="K39" s="2" t="n"/>
      <c r="L39" s="20" t="n"/>
      <c r="P39" s="2" t="n"/>
      <c r="Q39" s="2" t="n"/>
      <c r="R39" s="2" t="n"/>
      <c r="S39" s="793" t="n"/>
      <c r="T39" s="794" t="n"/>
      <c r="U39" s="794" t="n"/>
      <c r="V39" s="2" t="n"/>
      <c r="W39" s="793" t="n"/>
      <c r="Z39" s="210" t="n"/>
      <c r="AA39" s="210" t="n"/>
      <c r="AB39" s="210" t="n"/>
      <c r="AH39" s="2" t="n"/>
      <c r="AI39" s="2" t="n"/>
      <c r="AJ39" s="2" t="n"/>
    </row>
    <row r="40" customFormat="1" s="754">
      <c r="A40" s="755" t="n"/>
      <c r="B40" s="400" t="n"/>
      <c r="C40" s="743" t="n"/>
      <c r="D40" s="707" t="n"/>
      <c r="E40" s="707" t="n"/>
      <c r="F40" s="707" t="n"/>
      <c r="G40" s="708" t="n"/>
      <c r="I40" s="20" t="n"/>
      <c r="J40" s="20" t="n"/>
      <c r="K40" s="2" t="n"/>
      <c r="L40" s="20" t="n"/>
      <c r="P40" s="2" t="n"/>
      <c r="Q40" s="2" t="n"/>
      <c r="R40" s="2" t="n"/>
      <c r="S40" s="793" t="n"/>
      <c r="T40" s="794" t="n"/>
      <c r="U40" s="794" t="n"/>
      <c r="V40" s="2" t="n"/>
      <c r="W40" s="793" t="n"/>
      <c r="Z40" s="210" t="n"/>
      <c r="AA40" s="210" t="n"/>
      <c r="AB40" s="210" t="n"/>
      <c r="AH40" s="2" t="n"/>
      <c r="AI40" s="2" t="n"/>
      <c r="AJ40" s="2" t="n"/>
    </row>
    <row r="41" customFormat="1" s="754">
      <c r="A41" s="755" t="n"/>
      <c r="B41" s="400" t="n"/>
      <c r="C41" s="709" t="n"/>
      <c r="G41" s="696" t="n"/>
      <c r="I41" s="20" t="n"/>
      <c r="J41" s="20" t="n"/>
      <c r="K41" s="2" t="n"/>
      <c r="L41" s="20" t="n"/>
      <c r="P41" s="2" t="n"/>
      <c r="Q41" s="2" t="n"/>
      <c r="R41" s="2" t="n"/>
      <c r="S41" s="793" t="n"/>
      <c r="T41" s="794" t="n"/>
      <c r="U41" s="794" t="n"/>
      <c r="V41" s="2" t="n"/>
      <c r="W41" s="793" t="n"/>
      <c r="Z41" s="210" t="n"/>
      <c r="AA41" s="210" t="n"/>
      <c r="AB41" s="210" t="n"/>
      <c r="AH41" s="2" t="n"/>
      <c r="AI41" s="2" t="n"/>
      <c r="AJ41" s="2" t="n"/>
    </row>
    <row r="42" ht="13.5" customFormat="1" customHeight="1" s="754" thickBot="1">
      <c r="A42" s="755" t="n"/>
      <c r="B42" s="400" t="n"/>
      <c r="C42" s="710" t="n"/>
      <c r="D42" s="711" t="n"/>
      <c r="E42" s="711" t="n"/>
      <c r="F42" s="711" t="n"/>
      <c r="G42" s="712" t="n"/>
      <c r="I42" s="20" t="n"/>
      <c r="J42" s="20" t="n"/>
      <c r="K42" s="2" t="n"/>
      <c r="L42" s="20" t="n"/>
      <c r="P42" s="2" t="n"/>
      <c r="Q42" s="2" t="n"/>
      <c r="R42" s="2" t="n"/>
      <c r="S42" s="793" t="n"/>
      <c r="T42" s="794" t="n"/>
      <c r="U42" s="794" t="n"/>
      <c r="V42" s="2" t="n"/>
      <c r="W42" s="793" t="n"/>
      <c r="Z42" s="210" t="n"/>
      <c r="AA42" s="210" t="n"/>
      <c r="AB42" s="210" t="n"/>
      <c r="AH42" s="2" t="n"/>
      <c r="AI42" s="2" t="n"/>
      <c r="AJ42" s="2" t="n"/>
    </row>
    <row r="43" ht="13.5" customFormat="1" customHeight="1" s="754" thickBot="1">
      <c r="A43" s="755" t="n"/>
      <c r="B43" s="792" t="n"/>
      <c r="I43" s="20" t="n"/>
      <c r="J43" s="20" t="n"/>
      <c r="K43" s="2" t="n"/>
      <c r="L43" s="20" t="n"/>
      <c r="P43" s="2" t="n"/>
      <c r="Q43" s="2" t="n"/>
      <c r="R43" s="2" t="n"/>
      <c r="S43" s="793" t="n"/>
      <c r="T43" s="794" t="n"/>
      <c r="U43" s="794" t="n"/>
      <c r="V43" s="2" t="n"/>
      <c r="W43" s="793" t="n"/>
      <c r="Z43" s="210" t="n"/>
      <c r="AA43" s="210" t="n"/>
      <c r="AB43" s="210" t="n"/>
      <c r="AH43" s="2" t="n"/>
      <c r="AI43" s="2" t="n"/>
      <c r="AJ43" s="2" t="n"/>
    </row>
    <row r="44" customFormat="1" s="795">
      <c r="A44" s="796" t="n"/>
      <c r="B44" s="797" t="inlineStr">
        <is>
          <t>表2</t>
        </is>
      </c>
      <c r="C44" s="37" t="inlineStr">
        <is>
          <t>与损益表核对如下：</t>
        </is>
      </c>
      <c r="D44" s="14" t="n"/>
      <c r="E44" s="14" t="n"/>
      <c r="F44" s="15" t="n"/>
      <c r="G44" s="16" t="n"/>
      <c r="H44" s="798" t="n"/>
      <c r="Q44" s="2" t="n"/>
      <c r="R44" s="2" t="n"/>
      <c r="S44" s="2" t="n"/>
      <c r="T44" s="794" t="n"/>
      <c r="U44" s="799" t="n"/>
      <c r="V44" s="799" t="n"/>
      <c r="W44" s="799" t="n"/>
      <c r="Z44" s="210" t="n"/>
      <c r="AA44" s="210" t="n"/>
      <c r="AB44" s="210" t="n"/>
      <c r="AC44" s="210" t="n"/>
    </row>
    <row r="45" customFormat="1" s="210">
      <c r="A45" s="171" t="n"/>
      <c r="B45" s="13" t="n"/>
      <c r="C45" s="17" t="inlineStr">
        <is>
          <t>账套名称/账套编码</t>
        </is>
      </c>
      <c r="D45" s="216" t="inlineStr">
        <is>
          <t>交叉索引</t>
        </is>
      </c>
      <c r="E45" s="215" t="inlineStr">
        <is>
          <t>科目编码</t>
        </is>
      </c>
      <c r="F45" s="215" t="inlineStr">
        <is>
          <t>科目名称</t>
        </is>
      </c>
      <c r="G45" s="216" t="inlineStr">
        <is>
          <t>金额</t>
        </is>
      </c>
      <c r="H45" s="800" t="n"/>
      <c r="I45" s="218" t="n"/>
      <c r="J45" s="218" t="n"/>
      <c r="K45" s="6" t="n"/>
      <c r="L45" s="20" t="n"/>
      <c r="O45" s="801" t="n"/>
      <c r="W45" s="20" t="n"/>
      <c r="X45" s="20" t="n"/>
    </row>
    <row r="46" customFormat="1" s="210">
      <c r="A46" s="171" t="n"/>
      <c r="B46" s="13" t="n"/>
      <c r="C46" s="802" t="n"/>
      <c r="D46" s="803" t="inlineStr">
        <is>
          <t>U_200</t>
        </is>
      </c>
      <c r="E46" s="735" t="n"/>
      <c r="F46" s="804" t="inlineStr">
        <is>
          <t>制造费用</t>
        </is>
      </c>
      <c r="G46" s="805" t="n"/>
      <c r="H46" s="221" t="n"/>
      <c r="I46" s="218" t="n"/>
      <c r="J46" s="218" t="n"/>
      <c r="K46" s="222" t="n"/>
      <c r="L46" s="222" t="n"/>
      <c r="O46" s="801" t="n"/>
      <c r="T46" s="222" t="n"/>
      <c r="U46" s="222" t="n"/>
      <c r="V46" s="222" t="n"/>
      <c r="W46" s="223" t="n"/>
      <c r="X46" s="223" t="n"/>
    </row>
    <row r="47" customFormat="1" s="210">
      <c r="A47" s="171" t="n"/>
      <c r="B47" s="13" t="n"/>
      <c r="C47" s="806" t="n"/>
      <c r="D47" s="807" t="inlineStr">
        <is>
          <t>U_400</t>
        </is>
      </c>
      <c r="E47" s="808" t="n"/>
      <c r="F47" s="809" t="inlineStr">
        <is>
          <t>管理费用</t>
        </is>
      </c>
      <c r="G47" s="810" t="n"/>
      <c r="H47" s="221" t="n"/>
      <c r="I47" s="218" t="n"/>
      <c r="J47" s="218" t="n"/>
      <c r="K47" s="222" t="n"/>
      <c r="L47" s="222" t="n"/>
      <c r="T47" s="222" t="n"/>
      <c r="U47" s="222" t="n"/>
      <c r="V47" s="222" t="n"/>
      <c r="W47" s="223" t="n"/>
      <c r="X47" s="223" t="n"/>
    </row>
    <row r="48" customFormat="1" s="210">
      <c r="A48" s="171" t="n"/>
      <c r="B48" s="13" t="n"/>
      <c r="C48" s="806" t="n"/>
      <c r="D48" s="807" t="inlineStr">
        <is>
          <t>U_300</t>
        </is>
      </c>
      <c r="E48" s="808" t="n"/>
      <c r="F48" s="809" t="inlineStr">
        <is>
          <t>销售费用</t>
        </is>
      </c>
      <c r="G48" s="810" t="n"/>
      <c r="H48" s="221" t="n"/>
      <c r="I48" s="218" t="n"/>
      <c r="J48" s="218" t="n"/>
      <c r="K48" s="222" t="n"/>
      <c r="L48" s="222" t="n"/>
      <c r="T48" s="222" t="n"/>
      <c r="U48" s="222" t="n"/>
      <c r="V48" s="222" t="n"/>
      <c r="W48" s="222" t="n"/>
      <c r="X48" s="218" t="n"/>
    </row>
    <row r="49" customFormat="1" s="210">
      <c r="A49" s="171" t="n"/>
      <c r="B49" s="13" t="n"/>
      <c r="C49" s="806" t="n"/>
      <c r="D49" s="811" t="n"/>
      <c r="E49" s="811" t="n"/>
      <c r="F49" s="809" t="inlineStr">
        <is>
          <t>【..】</t>
        </is>
      </c>
      <c r="G49" s="812" t="n"/>
      <c r="H49" s="221" t="n"/>
      <c r="I49" s="218" t="n"/>
      <c r="J49" s="218" t="n"/>
      <c r="K49" s="222" t="n"/>
      <c r="L49" s="222" t="n"/>
      <c r="T49" s="222" t="n"/>
      <c r="U49" s="222" t="n"/>
      <c r="V49" s="222" t="n"/>
      <c r="W49" s="222" t="n"/>
      <c r="X49" s="218" t="n"/>
    </row>
    <row r="50" ht="13.5" customFormat="1" customHeight="1" s="210" thickBot="1">
      <c r="A50" s="171" t="n"/>
      <c r="B50" s="13" t="n"/>
      <c r="C50" s="806" t="n"/>
      <c r="D50" s="811" t="n"/>
      <c r="E50" s="811" t="n"/>
      <c r="F50" s="809" t="inlineStr">
        <is>
          <t>差异</t>
        </is>
      </c>
      <c r="G50" s="813">
        <f>SUM(G46:G49)-P29</f>
        <v/>
      </c>
      <c r="H50" s="221" t="n"/>
      <c r="I50" s="218" t="n"/>
      <c r="J50" s="218" t="n"/>
      <c r="K50" s="222" t="n"/>
      <c r="L50" s="222" t="n"/>
      <c r="T50" s="222" t="n"/>
      <c r="U50" s="222" t="n"/>
      <c r="V50" s="222" t="n"/>
      <c r="W50" s="222" t="n"/>
      <c r="X50" s="218" t="n"/>
    </row>
    <row r="51" ht="13.5" customFormat="1" customHeight="1" s="210" thickTop="1">
      <c r="A51" s="171" t="n"/>
      <c r="B51" s="13" t="n"/>
      <c r="C51" s="806" t="n"/>
      <c r="D51" s="811" t="n"/>
      <c r="E51" s="811" t="n"/>
      <c r="F51" s="18" t="n"/>
      <c r="G51" s="230" t="n"/>
      <c r="H51" s="221" t="n"/>
      <c r="I51" s="218" t="n"/>
      <c r="J51" s="218" t="n"/>
      <c r="K51" s="6" t="n"/>
      <c r="L51" s="20" t="n"/>
      <c r="M51" s="20" t="n"/>
      <c r="N51" s="20" t="n"/>
      <c r="O51" s="20" t="n"/>
      <c r="P51" s="20" t="n"/>
      <c r="Q51" s="20" t="n"/>
      <c r="R51" s="20" t="n"/>
      <c r="S51" s="20" t="n"/>
      <c r="T51" s="20" t="n"/>
      <c r="U51" s="20" t="n"/>
      <c r="V51" s="20" t="n"/>
      <c r="W51" s="20" t="n"/>
      <c r="X51" s="20" t="n"/>
    </row>
    <row r="52" ht="13.5" customFormat="1" customHeight="1" s="210" thickBot="1">
      <c r="A52" s="171" t="n"/>
      <c r="B52" s="13" t="n"/>
      <c r="C52" s="231" t="n"/>
      <c r="D52" s="232" t="n"/>
      <c r="E52" s="232" t="n"/>
      <c r="F52" s="232" t="n"/>
      <c r="G52" s="232" t="n"/>
      <c r="H52" s="233" t="n"/>
      <c r="I52" s="218" t="n"/>
      <c r="J52" s="218" t="n"/>
      <c r="K52" s="222" t="n"/>
      <c r="L52" s="222" t="n"/>
      <c r="M52" s="222" t="n"/>
      <c r="N52" s="222" t="n"/>
      <c r="O52" s="222" t="n"/>
      <c r="P52" s="222" t="n"/>
      <c r="Q52" s="222" t="n"/>
      <c r="R52" s="222" t="n"/>
      <c r="S52" s="222" t="n"/>
      <c r="T52" s="222" t="n"/>
      <c r="U52" s="222" t="n"/>
      <c r="V52" s="222" t="n"/>
      <c r="W52" s="223" t="n"/>
      <c r="X52" s="223" t="n"/>
    </row>
    <row r="53" customFormat="1" s="210">
      <c r="A53" s="171" t="n"/>
      <c r="B53" s="13" t="n"/>
      <c r="C53" s="218" t="n"/>
      <c r="D53" s="218" t="n"/>
      <c r="E53" s="218" t="n"/>
      <c r="F53" s="218" t="n"/>
      <c r="G53" s="218" t="n"/>
      <c r="H53" s="218" t="n"/>
      <c r="I53" s="218" t="n"/>
      <c r="J53" s="222" t="n"/>
      <c r="K53" s="222" t="n"/>
      <c r="L53" s="222" t="n"/>
      <c r="M53" s="222" t="n"/>
      <c r="N53" s="222" t="n"/>
      <c r="O53" s="222" t="n"/>
      <c r="P53" s="222" t="n"/>
      <c r="Q53" s="222" t="n"/>
      <c r="R53" s="222" t="inlineStr">
        <is>
          <t>.</t>
        </is>
      </c>
      <c r="S53" s="222" t="n"/>
      <c r="T53" s="222" t="n"/>
      <c r="U53" s="222" t="n"/>
      <c r="V53" s="223" t="n"/>
      <c r="W53" s="223" t="n"/>
    </row>
    <row r="54" customFormat="1" s="210">
      <c r="A54" s="171" t="n"/>
      <c r="B54" s="13" t="n"/>
      <c r="C54" s="218" t="n"/>
      <c r="D54" s="218" t="n"/>
      <c r="E54" s="218" t="n"/>
      <c r="F54" s="218" t="n"/>
      <c r="G54" s="218" t="n"/>
      <c r="H54" s="218" t="n"/>
      <c r="I54" s="218" t="n"/>
      <c r="J54" s="222" t="n"/>
      <c r="K54" s="222" t="n"/>
      <c r="L54" s="222" t="n"/>
      <c r="M54" s="222" t="n"/>
      <c r="N54" s="222" t="n"/>
      <c r="O54" s="222" t="n"/>
      <c r="P54" s="222" t="n"/>
      <c r="Q54" s="222" t="n"/>
      <c r="R54" s="222" t="n"/>
      <c r="S54" s="222" t="n"/>
      <c r="T54" s="222" t="n"/>
      <c r="U54" s="222" t="n"/>
      <c r="V54" s="222" t="n"/>
      <c r="W54" s="218" t="n"/>
    </row>
    <row r="55" ht="13.5" customFormat="1" customHeight="1" s="210" thickBot="1">
      <c r="A55" s="171" t="n"/>
      <c r="B55" s="333" t="inlineStr">
        <is>
          <t>Notes</t>
        </is>
      </c>
      <c r="C55" s="400" t="inlineStr">
        <is>
          <t>若交叉勾稽存在重大差异，调查原因，修改上述勾稽并在此记录。</t>
        </is>
      </c>
      <c r="D55" s="218" t="n"/>
      <c r="E55" s="218" t="n"/>
      <c r="F55" s="218" t="n"/>
      <c r="G55" s="218" t="n"/>
      <c r="H55" s="218" t="n"/>
      <c r="I55" s="218" t="n"/>
      <c r="J55" s="222" t="n"/>
      <c r="K55" s="222" t="n"/>
      <c r="L55" s="222" t="n"/>
      <c r="M55" s="222" t="n"/>
      <c r="N55" s="222" t="n"/>
      <c r="O55" s="222" t="n"/>
      <c r="P55" s="222" t="n"/>
      <c r="Q55" s="222" t="n"/>
      <c r="R55" s="222" t="n"/>
      <c r="S55" s="222" t="n"/>
      <c r="T55" s="222" t="n"/>
      <c r="U55" s="222" t="n"/>
      <c r="V55" s="222" t="n"/>
      <c r="W55" s="218" t="n"/>
    </row>
    <row r="56" ht="14.1" customFormat="1" customHeight="1" s="6">
      <c r="A56" s="242" t="n"/>
      <c r="B56" s="18" t="n"/>
      <c r="C56" s="743" t="n"/>
      <c r="D56" s="707" t="n"/>
      <c r="E56" s="707" t="n"/>
      <c r="F56" s="707" t="n"/>
      <c r="G56" s="708" t="n"/>
    </row>
    <row r="57" ht="14.1" customFormat="1" customHeight="1" s="6">
      <c r="A57" s="410" t="n"/>
      <c r="B57" s="19" t="n"/>
      <c r="C57" s="709" t="n"/>
      <c r="G57" s="696" t="n"/>
    </row>
    <row r="58" ht="14.1" customFormat="1" customHeight="1" s="6" thickBot="1">
      <c r="A58" s="242" t="n"/>
      <c r="B58" s="18" t="n"/>
      <c r="C58" s="710" t="n"/>
      <c r="D58" s="711" t="n"/>
      <c r="E58" s="711" t="n"/>
      <c r="F58" s="711" t="n"/>
      <c r="G58" s="712" t="n"/>
    </row>
    <row r="59" customFormat="1" s="6">
      <c r="A59" s="242" t="n"/>
      <c r="B59" s="18" t="n"/>
      <c r="D59" s="814" t="n"/>
      <c r="E59" s="814" t="n"/>
      <c r="F59" s="814" t="n"/>
      <c r="G59" s="814" t="n"/>
      <c r="H59" s="814" t="n"/>
      <c r="I59" s="814" t="n"/>
      <c r="J59" s="814" t="n"/>
      <c r="K59" s="814" t="n"/>
      <c r="L59" s="814" t="n"/>
      <c r="M59" s="814" t="n"/>
      <c r="N59" s="814" t="n"/>
      <c r="O59" s="814" t="n"/>
    </row>
    <row r="60" ht="12.75" customFormat="1" customHeight="1" s="52">
      <c r="A60" s="413" t="n"/>
      <c r="B60" s="51" t="n"/>
      <c r="C60" s="88" t="n"/>
      <c r="D60" s="88" t="n"/>
      <c r="E60" s="88" t="n"/>
      <c r="F60" s="88" t="n"/>
      <c r="G60" s="88" t="n"/>
      <c r="H60" s="89" t="n"/>
      <c r="I60" s="89" t="n"/>
      <c r="J60" s="88" t="n"/>
      <c r="K60" s="88" t="n"/>
      <c r="L60" s="88" t="n"/>
      <c r="M60" s="88" t="n"/>
      <c r="N60" s="88" t="n"/>
      <c r="O60" s="88" t="n"/>
      <c r="P60" s="88" t="n"/>
      <c r="Q60" s="88" t="n"/>
      <c r="R60" s="88" t="n"/>
      <c r="S60" s="88" t="n"/>
      <c r="T60" s="88" t="n"/>
    </row>
    <row r="61" ht="12.75" customFormat="1" customHeight="1" s="52">
      <c r="A61" s="413" t="n"/>
      <c r="B61" s="51" t="n"/>
      <c r="C61" s="88" t="n"/>
      <c r="D61" s="88" t="n"/>
      <c r="E61" s="88" t="n"/>
      <c r="F61" s="88" t="n"/>
      <c r="G61" s="88" t="n"/>
      <c r="H61" s="89" t="n"/>
      <c r="I61" s="89" t="n"/>
      <c r="J61" s="88" t="n"/>
      <c r="K61" s="88" t="n"/>
      <c r="L61" s="88" t="n"/>
      <c r="M61" s="88" t="n"/>
      <c r="N61" s="88" t="n"/>
      <c r="O61" s="88" t="n"/>
      <c r="P61" s="88" t="n"/>
      <c r="Q61" s="88" t="n"/>
      <c r="R61" s="88" t="n"/>
      <c r="S61" s="88" t="n"/>
      <c r="T61" s="88" t="n"/>
    </row>
    <row r="62" ht="12.75" customFormat="1" customHeight="1" s="52">
      <c r="A62" s="413" t="n"/>
      <c r="B62" s="51" t="n"/>
      <c r="C62" s="88" t="n"/>
      <c r="D62" s="88" t="n"/>
      <c r="E62" s="88" t="n"/>
      <c r="F62" s="88" t="n"/>
      <c r="G62" s="88" t="n"/>
      <c r="H62" s="89" t="n"/>
      <c r="I62" s="89" t="n"/>
      <c r="J62" s="88" t="n"/>
      <c r="K62" s="88" t="n"/>
      <c r="L62" s="88" t="n"/>
      <c r="M62" s="88" t="n"/>
      <c r="N62" s="88" t="n"/>
      <c r="O62" s="88" t="n"/>
      <c r="P62" s="88" t="n"/>
      <c r="Q62" s="88" t="n"/>
      <c r="R62" s="88" t="n"/>
      <c r="S62" s="88" t="n"/>
      <c r="T62" s="88" t="n"/>
    </row>
    <row r="63" ht="12.75" customFormat="1" customHeight="1" s="52">
      <c r="A63" s="413" t="n"/>
      <c r="B63" s="51" t="n"/>
      <c r="C63" s="88" t="n"/>
      <c r="D63" s="88" t="n"/>
      <c r="E63" s="88" t="n"/>
      <c r="F63" s="88" t="n"/>
      <c r="G63" s="88" t="n"/>
      <c r="H63" s="89" t="n"/>
      <c r="I63" s="89" t="n"/>
      <c r="J63" s="88" t="n"/>
      <c r="K63" s="88" t="n"/>
      <c r="L63" s="88" t="n"/>
      <c r="M63" s="88" t="n"/>
      <c r="N63" s="88" t="n"/>
      <c r="O63" s="88" t="n"/>
      <c r="P63" s="88" t="n"/>
      <c r="Q63" s="88" t="n"/>
      <c r="R63" s="88" t="n"/>
      <c r="S63" s="88" t="n"/>
      <c r="T63" s="88" t="n"/>
    </row>
    <row r="64" ht="12.75" customFormat="1" customHeight="1" s="52">
      <c r="A64" s="413" t="n"/>
      <c r="B64" s="51" t="n"/>
      <c r="C64" s="88" t="n"/>
      <c r="D64" s="88" t="n"/>
      <c r="E64" s="88" t="n"/>
      <c r="F64" s="88" t="n"/>
      <c r="G64" s="88" t="n"/>
      <c r="H64" s="89" t="n"/>
      <c r="I64" s="89" t="n"/>
      <c r="J64" s="88" t="n"/>
      <c r="K64" s="88" t="n"/>
      <c r="L64" s="88" t="n"/>
      <c r="M64" s="88" t="n"/>
      <c r="N64" s="88" t="n"/>
      <c r="O64" s="88" t="n"/>
      <c r="P64" s="88" t="n"/>
      <c r="Q64" s="88" t="n"/>
      <c r="R64" s="88" t="n"/>
      <c r="S64" s="88" t="n"/>
      <c r="T64" s="88" t="n"/>
    </row>
    <row r="65" ht="12.75" customFormat="1" customHeight="1" s="52">
      <c r="A65" s="413" t="n"/>
      <c r="B65" s="51" t="n"/>
      <c r="C65" s="88" t="n"/>
      <c r="D65" s="88" t="n"/>
      <c r="E65" s="88" t="n"/>
      <c r="F65" s="88" t="n"/>
      <c r="G65" s="88" t="n"/>
      <c r="H65" s="89" t="n"/>
      <c r="I65" s="89" t="n"/>
      <c r="J65" s="88" t="n"/>
      <c r="K65" s="88" t="n"/>
      <c r="L65" s="88" t="n"/>
      <c r="M65" s="88" t="n"/>
      <c r="N65" s="88" t="n"/>
      <c r="O65" s="88" t="n"/>
      <c r="P65" s="88" t="n"/>
      <c r="Q65" s="88" t="n"/>
      <c r="R65" s="88" t="n"/>
      <c r="S65" s="88" t="n"/>
      <c r="T65" s="88" t="n"/>
    </row>
    <row r="66" ht="12.75" customFormat="1" customHeight="1" s="52">
      <c r="A66" s="413" t="n"/>
      <c r="B66" s="51" t="n"/>
      <c r="C66" s="88" t="n"/>
      <c r="D66" s="88" t="n"/>
      <c r="E66" s="88" t="n"/>
      <c r="F66" s="88" t="n"/>
      <c r="G66" s="88" t="n"/>
      <c r="H66" s="89" t="n"/>
      <c r="I66" s="89" t="n"/>
      <c r="J66" s="88" t="n"/>
      <c r="K66" s="88" t="n"/>
      <c r="L66" s="88" t="n"/>
      <c r="M66" s="88" t="n"/>
      <c r="N66" s="88" t="n"/>
      <c r="O66" s="88" t="n"/>
      <c r="P66" s="88" t="n"/>
      <c r="Q66" s="88" t="n"/>
      <c r="R66" s="88" t="n"/>
      <c r="S66" s="88" t="n"/>
      <c r="T66" s="88" t="n"/>
    </row>
    <row r="67" ht="12.75" customFormat="1" customHeight="1" s="52">
      <c r="A67" s="413" t="n"/>
      <c r="B67" s="51" t="n"/>
      <c r="C67" s="88" t="n"/>
      <c r="D67" s="88" t="n"/>
      <c r="E67" s="88" t="n"/>
      <c r="F67" s="88" t="n"/>
      <c r="G67" s="88" t="n"/>
      <c r="H67" s="89" t="n"/>
      <c r="I67" s="89" t="n"/>
      <c r="J67" s="88" t="n"/>
      <c r="K67" s="88" t="n"/>
      <c r="L67" s="88" t="n"/>
      <c r="M67" s="88" t="n"/>
      <c r="N67" s="88" t="n"/>
      <c r="O67" s="88" t="n"/>
      <c r="P67" s="88" t="n"/>
      <c r="Q67" s="88" t="n"/>
      <c r="R67" s="88" t="n"/>
      <c r="S67" s="88" t="n"/>
      <c r="T67" s="88" t="n"/>
    </row>
    <row r="68" ht="12.75" customFormat="1" customHeight="1" s="52">
      <c r="A68" s="413" t="n"/>
      <c r="B68" s="51" t="n"/>
      <c r="C68" s="88" t="n"/>
      <c r="D68" s="88" t="n"/>
      <c r="E68" s="88" t="n"/>
      <c r="F68" s="88" t="n"/>
      <c r="G68" s="88" t="n"/>
      <c r="H68" s="89" t="n"/>
      <c r="I68" s="89" t="n"/>
      <c r="J68" s="88" t="n"/>
      <c r="K68" s="88" t="n"/>
      <c r="L68" s="88" t="n"/>
      <c r="M68" s="88" t="n"/>
      <c r="N68" s="88" t="n"/>
      <c r="O68" s="88" t="n"/>
      <c r="P68" s="88" t="n"/>
      <c r="Q68" s="88" t="n"/>
      <c r="R68" s="88" t="n"/>
      <c r="S68" s="88" t="n"/>
      <c r="T68" s="88" t="n"/>
    </row>
    <row r="69" ht="12.75" customFormat="1" customHeight="1" s="52">
      <c r="A69" s="413" t="n"/>
      <c r="B69" s="51" t="n"/>
      <c r="C69" s="88" t="n"/>
      <c r="D69" s="88" t="n"/>
      <c r="E69" s="88" t="n"/>
      <c r="F69" s="88" t="n"/>
      <c r="G69" s="88" t="n"/>
      <c r="H69" s="89" t="n"/>
      <c r="I69" s="89" t="n"/>
      <c r="J69" s="88" t="n"/>
      <c r="K69" s="88" t="n"/>
      <c r="L69" s="88" t="n"/>
      <c r="M69" s="88" t="n"/>
      <c r="N69" s="88" t="n"/>
      <c r="O69" s="88" t="n"/>
      <c r="P69" s="88" t="n"/>
      <c r="Q69" s="88" t="n"/>
      <c r="R69" s="88" t="n"/>
      <c r="S69" s="88" t="n"/>
      <c r="T69" s="88" t="n"/>
    </row>
    <row r="70" ht="12.75" customFormat="1" customHeight="1" s="52">
      <c r="A70" s="413" t="n"/>
      <c r="B70" s="51" t="n"/>
      <c r="C70" s="88" t="n"/>
      <c r="D70" s="88" t="n"/>
      <c r="E70" s="88" t="n"/>
      <c r="F70" s="88" t="n"/>
      <c r="G70" s="88" t="n"/>
      <c r="H70" s="89" t="n"/>
      <c r="I70" s="89" t="n"/>
      <c r="J70" s="88" t="n"/>
      <c r="K70" s="88" t="n"/>
      <c r="L70" s="88" t="n"/>
      <c r="M70" s="88" t="n"/>
      <c r="N70" s="88" t="n"/>
      <c r="O70" s="88" t="n"/>
      <c r="P70" s="88" t="n"/>
      <c r="Q70" s="88" t="n"/>
      <c r="R70" s="88" t="n"/>
      <c r="S70" s="88" t="n"/>
      <c r="T70" s="88" t="n"/>
    </row>
    <row r="71" ht="12.75" customFormat="1" customHeight="1" s="52">
      <c r="A71" s="413" t="n"/>
      <c r="B71" s="51" t="n"/>
      <c r="C71" s="88" t="n"/>
      <c r="D71" s="88" t="n"/>
      <c r="E71" s="88" t="n"/>
      <c r="F71" s="88" t="n"/>
      <c r="G71" s="88" t="n"/>
      <c r="H71" s="89" t="n"/>
      <c r="I71" s="89" t="n"/>
      <c r="J71" s="88" t="n"/>
      <c r="K71" s="88" t="n"/>
      <c r="L71" s="88" t="n"/>
      <c r="M71" s="88" t="n"/>
      <c r="N71" s="88" t="n"/>
      <c r="O71" s="88" t="n"/>
      <c r="P71" s="88" t="n"/>
      <c r="Q71" s="88" t="n"/>
      <c r="R71" s="88" t="n"/>
      <c r="S71" s="88" t="n"/>
      <c r="T71" s="88" t="n"/>
    </row>
    <row r="72" ht="12.75" customFormat="1" customHeight="1" s="52">
      <c r="A72" s="413" t="n"/>
      <c r="B72" s="51" t="n"/>
      <c r="C72" s="88" t="n"/>
      <c r="D72" s="88" t="n"/>
      <c r="E72" s="88" t="n"/>
      <c r="F72" s="88" t="n"/>
      <c r="G72" s="88" t="n"/>
      <c r="H72" s="89" t="n"/>
      <c r="I72" s="89" t="n"/>
      <c r="J72" s="88" t="n"/>
      <c r="K72" s="88" t="n"/>
      <c r="L72" s="88" t="n"/>
      <c r="M72" s="88" t="n"/>
      <c r="N72" s="88" t="n"/>
      <c r="O72" s="88" t="n"/>
      <c r="P72" s="88" t="n"/>
      <c r="Q72" s="88" t="n"/>
      <c r="R72" s="88" t="n"/>
      <c r="S72" s="88" t="n"/>
      <c r="T72" s="88" t="n"/>
    </row>
    <row r="73" ht="12.75" customFormat="1" customHeight="1" s="52">
      <c r="A73" s="413" t="n"/>
      <c r="B73" s="51" t="n"/>
      <c r="C73" s="88" t="n"/>
      <c r="D73" s="88" t="n"/>
      <c r="E73" s="88" t="n"/>
      <c r="F73" s="88" t="n"/>
      <c r="G73" s="88" t="n"/>
      <c r="H73" s="89" t="n"/>
      <c r="I73" s="89" t="n"/>
      <c r="J73" s="88" t="n"/>
      <c r="K73" s="88" t="n"/>
      <c r="L73" s="88" t="n"/>
      <c r="M73" s="88" t="n"/>
      <c r="N73" s="88" t="n"/>
      <c r="O73" s="88" t="n"/>
      <c r="P73" s="88" t="n"/>
      <c r="Q73" s="88" t="n"/>
      <c r="R73" s="88" t="n"/>
      <c r="S73" s="88" t="n"/>
      <c r="T73" s="88" t="n"/>
    </row>
    <row r="74" ht="12.75" customFormat="1" customHeight="1" s="52">
      <c r="A74" s="413" t="n"/>
      <c r="B74" s="51" t="n"/>
      <c r="C74" s="88" t="n"/>
      <c r="D74" s="88" t="n"/>
      <c r="E74" s="88" t="n"/>
      <c r="F74" s="88" t="n"/>
      <c r="G74" s="88" t="n"/>
      <c r="H74" s="89" t="n"/>
      <c r="I74" s="89" t="n"/>
      <c r="J74" s="88" t="n"/>
      <c r="K74" s="88" t="n"/>
      <c r="L74" s="88" t="n"/>
      <c r="M74" s="88" t="n"/>
      <c r="N74" s="88" t="n"/>
      <c r="O74" s="88" t="n"/>
      <c r="P74" s="88" t="n"/>
      <c r="Q74" s="88" t="n"/>
      <c r="R74" s="88" t="n"/>
      <c r="S74" s="88" t="n"/>
      <c r="T74" s="88" t="n"/>
    </row>
    <row r="75" ht="12.75" customFormat="1" customHeight="1" s="52">
      <c r="A75" s="413" t="n"/>
      <c r="B75" s="51" t="n"/>
      <c r="C75" s="88" t="n"/>
      <c r="D75" s="88" t="n"/>
      <c r="E75" s="88" t="n"/>
      <c r="F75" s="88" t="n"/>
      <c r="G75" s="88" t="n"/>
      <c r="H75" s="89" t="n"/>
      <c r="I75" s="89" t="n"/>
      <c r="J75" s="88" t="n"/>
      <c r="K75" s="88" t="n"/>
      <c r="L75" s="88" t="n"/>
      <c r="M75" s="88" t="n"/>
      <c r="N75" s="88" t="n"/>
      <c r="O75" s="88" t="n"/>
      <c r="P75" s="88" t="n"/>
      <c r="Q75" s="88" t="n"/>
      <c r="R75" s="88" t="n"/>
      <c r="S75" s="88" t="n"/>
      <c r="T75" s="88" t="n"/>
    </row>
    <row r="76" ht="12.75" customFormat="1" customHeight="1" s="52">
      <c r="A76" s="413" t="n"/>
      <c r="B76" s="51" t="n"/>
      <c r="C76" s="88" t="n"/>
      <c r="D76" s="88" t="n"/>
      <c r="E76" s="88" t="n"/>
      <c r="F76" s="88" t="n"/>
      <c r="G76" s="88" t="n"/>
      <c r="H76" s="89" t="n"/>
      <c r="I76" s="89" t="n"/>
      <c r="J76" s="88" t="n"/>
      <c r="K76" s="88" t="n"/>
      <c r="L76" s="88" t="n"/>
      <c r="M76" s="88" t="n"/>
      <c r="N76" s="88" t="n"/>
      <c r="O76" s="88" t="n"/>
      <c r="P76" s="88" t="n"/>
      <c r="Q76" s="88" t="n"/>
      <c r="R76" s="88" t="n"/>
      <c r="S76" s="88" t="n"/>
      <c r="T76" s="88" t="n"/>
    </row>
    <row r="77" ht="12.75" customFormat="1" customHeight="1" s="52">
      <c r="A77" s="413" t="n"/>
      <c r="B77" s="51" t="n"/>
      <c r="C77" s="88" t="n"/>
      <c r="D77" s="88" t="n"/>
      <c r="E77" s="88" t="n"/>
      <c r="F77" s="88" t="n"/>
      <c r="G77" s="88" t="n"/>
      <c r="H77" s="89" t="n"/>
      <c r="I77" s="89" t="n"/>
      <c r="J77" s="88" t="n"/>
      <c r="K77" s="88" t="n"/>
      <c r="L77" s="88" t="n"/>
      <c r="M77" s="88" t="n"/>
      <c r="N77" s="88" t="n"/>
      <c r="O77" s="88" t="n"/>
      <c r="P77" s="88" t="n"/>
      <c r="Q77" s="88" t="n"/>
      <c r="R77" s="88" t="n"/>
      <c r="S77" s="88" t="n"/>
      <c r="T77" s="88" t="n"/>
    </row>
    <row r="78" ht="12.75" customFormat="1" customHeight="1" s="52">
      <c r="A78" s="413" t="n"/>
      <c r="B78" s="51" t="n"/>
      <c r="C78" s="88" t="n"/>
      <c r="D78" s="88" t="n"/>
      <c r="E78" s="88" t="n"/>
      <c r="F78" s="88" t="n"/>
      <c r="G78" s="88" t="n"/>
      <c r="H78" s="89" t="n"/>
      <c r="I78" s="89" t="n"/>
      <c r="J78" s="88" t="n"/>
      <c r="K78" s="88" t="n"/>
      <c r="L78" s="88" t="n"/>
      <c r="M78" s="88" t="n"/>
      <c r="N78" s="88" t="n"/>
      <c r="O78" s="88" t="n"/>
      <c r="P78" s="88" t="n"/>
      <c r="Q78" s="88" t="n"/>
      <c r="R78" s="88" t="n"/>
      <c r="S78" s="88" t="n"/>
      <c r="T78" s="88" t="n"/>
    </row>
    <row r="79" ht="12.75" customFormat="1" customHeight="1" s="52">
      <c r="A79" s="413" t="n"/>
      <c r="B79" s="51" t="n"/>
      <c r="C79" s="88" t="n"/>
      <c r="D79" s="88" t="n"/>
      <c r="E79" s="88" t="n"/>
      <c r="F79" s="88" t="n"/>
      <c r="G79" s="88" t="n"/>
      <c r="H79" s="89" t="n"/>
      <c r="I79" s="89" t="n"/>
      <c r="J79" s="88" t="n"/>
      <c r="K79" s="88" t="n"/>
      <c r="L79" s="88" t="n"/>
      <c r="M79" s="88" t="n"/>
      <c r="N79" s="88" t="n"/>
      <c r="O79" s="88" t="n"/>
      <c r="P79" s="88" t="n"/>
      <c r="Q79" s="88" t="n"/>
      <c r="R79" s="88" t="n"/>
      <c r="S79" s="88" t="n"/>
      <c r="T79" s="88" t="n"/>
    </row>
    <row r="80" ht="12.75" customFormat="1" customHeight="1" s="52">
      <c r="A80" s="413" t="n"/>
      <c r="B80" s="51" t="n"/>
      <c r="C80" s="88" t="n"/>
      <c r="D80" s="88" t="n"/>
      <c r="E80" s="88" t="n"/>
      <c r="F80" s="88" t="n"/>
      <c r="G80" s="88" t="n"/>
      <c r="H80" s="89" t="n"/>
      <c r="I80" s="89" t="n"/>
      <c r="J80" s="88" t="n"/>
      <c r="K80" s="88" t="n"/>
      <c r="L80" s="88" t="n"/>
      <c r="M80" s="88" t="n"/>
      <c r="N80" s="88" t="n"/>
      <c r="O80" s="88" t="n"/>
      <c r="P80" s="88" t="n"/>
      <c r="Q80" s="88" t="n"/>
      <c r="R80" s="88" t="n"/>
      <c r="S80" s="88" t="n"/>
      <c r="T80" s="88" t="n"/>
    </row>
    <row r="81" ht="12.75" customFormat="1" customHeight="1" s="52">
      <c r="A81" s="413" t="n"/>
      <c r="B81" s="51" t="n"/>
      <c r="C81" s="88" t="n"/>
      <c r="D81" s="88" t="n"/>
      <c r="E81" s="88" t="n"/>
      <c r="F81" s="88" t="n"/>
      <c r="G81" s="88" t="n"/>
      <c r="H81" s="89" t="n"/>
      <c r="I81" s="89" t="n"/>
      <c r="J81" s="88" t="n"/>
      <c r="K81" s="88" t="n"/>
      <c r="L81" s="88" t="n"/>
      <c r="M81" s="88" t="n"/>
      <c r="N81" s="88" t="n"/>
      <c r="O81" s="88" t="n"/>
      <c r="P81" s="88" t="n"/>
      <c r="Q81" s="88" t="n"/>
      <c r="R81" s="88" t="n"/>
      <c r="S81" s="88" t="n"/>
      <c r="T81" s="88" t="n"/>
    </row>
    <row r="82" ht="12.75" customFormat="1" customHeight="1" s="52">
      <c r="A82" s="413" t="n"/>
      <c r="B82" s="51" t="n"/>
      <c r="C82" s="88" t="n"/>
      <c r="D82" s="88" t="n"/>
      <c r="E82" s="88" t="n"/>
      <c r="F82" s="88" t="n"/>
      <c r="G82" s="88" t="n"/>
      <c r="H82" s="89" t="n"/>
      <c r="I82" s="89" t="n"/>
      <c r="J82" s="88" t="n"/>
      <c r="K82" s="88" t="n"/>
      <c r="L82" s="88" t="n"/>
      <c r="M82" s="88" t="n"/>
      <c r="N82" s="88" t="n"/>
      <c r="O82" s="88" t="n"/>
      <c r="P82" s="88" t="n"/>
      <c r="Q82" s="88" t="n"/>
      <c r="R82" s="88" t="n"/>
      <c r="S82" s="88" t="n"/>
      <c r="T82" s="88" t="n"/>
    </row>
    <row r="83" ht="12.75" customFormat="1" customHeight="1" s="52">
      <c r="A83" s="413" t="n"/>
      <c r="B83" s="51" t="n"/>
      <c r="C83" s="88" t="n"/>
      <c r="D83" s="88" t="n"/>
      <c r="E83" s="88" t="n"/>
      <c r="F83" s="88" t="n"/>
      <c r="G83" s="88" t="n"/>
      <c r="H83" s="89" t="n"/>
      <c r="I83" s="89" t="n"/>
      <c r="J83" s="88" t="n"/>
      <c r="K83" s="88" t="n"/>
      <c r="L83" s="88" t="n"/>
      <c r="M83" s="88" t="n"/>
      <c r="N83" s="88" t="n"/>
      <c r="O83" s="88" t="n"/>
      <c r="P83" s="88" t="n"/>
      <c r="Q83" s="88" t="n"/>
      <c r="R83" s="88" t="n"/>
      <c r="S83" s="88" t="n"/>
      <c r="T83" s="88" t="n"/>
    </row>
    <row r="84" ht="12.75" customFormat="1" customHeight="1" s="52">
      <c r="A84" s="413" t="n"/>
      <c r="B84" s="51" t="n"/>
      <c r="C84" s="88" t="n"/>
      <c r="D84" s="88" t="n"/>
      <c r="E84" s="88" t="n"/>
      <c r="F84" s="88" t="n"/>
      <c r="G84" s="88" t="n"/>
      <c r="H84" s="89" t="n"/>
      <c r="I84" s="89" t="n"/>
      <c r="J84" s="88" t="n"/>
      <c r="K84" s="88" t="n"/>
      <c r="L84" s="88" t="n"/>
      <c r="M84" s="88" t="n"/>
      <c r="N84" s="88" t="n"/>
      <c r="O84" s="88" t="n"/>
      <c r="P84" s="88" t="n"/>
      <c r="Q84" s="88" t="n"/>
      <c r="R84" s="88" t="n"/>
      <c r="S84" s="88" t="n"/>
      <c r="T84" s="88" t="n"/>
    </row>
    <row r="85" ht="12.75" customFormat="1" customHeight="1" s="52">
      <c r="A85" s="413" t="n"/>
      <c r="B85" s="51" t="n"/>
      <c r="C85" s="88" t="n"/>
      <c r="D85" s="88" t="n"/>
      <c r="E85" s="88" t="n"/>
      <c r="F85" s="88" t="n"/>
      <c r="G85" s="88" t="n"/>
      <c r="H85" s="89" t="n"/>
      <c r="I85" s="89" t="n"/>
      <c r="J85" s="88" t="n"/>
      <c r="K85" s="88" t="n"/>
      <c r="L85" s="88" t="n"/>
      <c r="M85" s="88" t="n"/>
      <c r="N85" s="88" t="n"/>
      <c r="O85" s="88" t="n"/>
      <c r="P85" s="88" t="n"/>
      <c r="Q85" s="88" t="n"/>
      <c r="R85" s="88" t="n"/>
      <c r="S85" s="88" t="n"/>
      <c r="T85" s="88" t="n"/>
    </row>
    <row r="86" ht="12.75" customFormat="1" customHeight="1" s="52">
      <c r="A86" s="413" t="n"/>
      <c r="B86" s="51" t="n"/>
      <c r="C86" s="88" t="n"/>
      <c r="D86" s="88" t="n"/>
      <c r="E86" s="88" t="n"/>
      <c r="F86" s="88" t="n"/>
      <c r="G86" s="88" t="n"/>
      <c r="H86" s="89" t="n"/>
      <c r="I86" s="89" t="n"/>
      <c r="J86" s="88" t="n"/>
      <c r="K86" s="88" t="n"/>
      <c r="L86" s="88" t="n"/>
      <c r="M86" s="88" t="n"/>
      <c r="N86" s="88" t="n"/>
      <c r="O86" s="88" t="n"/>
      <c r="P86" s="88" t="n"/>
      <c r="Q86" s="88" t="n"/>
      <c r="R86" s="88" t="n"/>
      <c r="S86" s="88" t="n"/>
      <c r="T86" s="88" t="n"/>
    </row>
    <row r="87" ht="12.75" customFormat="1" customHeight="1" s="52">
      <c r="A87" s="413" t="n"/>
      <c r="B87" s="51" t="n"/>
      <c r="C87" s="88" t="n"/>
      <c r="D87" s="88" t="n"/>
      <c r="E87" s="88" t="n"/>
      <c r="F87" s="88" t="n"/>
      <c r="G87" s="88" t="n"/>
      <c r="H87" s="89" t="n"/>
      <c r="I87" s="89" t="n"/>
      <c r="J87" s="88" t="n"/>
      <c r="K87" s="88" t="n"/>
      <c r="L87" s="88" t="n"/>
      <c r="M87" s="88" t="n"/>
      <c r="N87" s="88" t="n"/>
      <c r="O87" s="88" t="n"/>
      <c r="P87" s="88" t="n"/>
      <c r="Q87" s="88" t="n"/>
      <c r="R87" s="88" t="n"/>
      <c r="S87" s="88" t="n"/>
      <c r="T87" s="88" t="n"/>
    </row>
    <row r="88" ht="12.75" customFormat="1" customHeight="1" s="52">
      <c r="A88" s="413" t="n"/>
      <c r="B88" s="51" t="n"/>
      <c r="C88" s="88" t="n"/>
      <c r="D88" s="88" t="n"/>
      <c r="E88" s="88" t="n"/>
      <c r="F88" s="88" t="n"/>
      <c r="G88" s="88" t="n"/>
      <c r="H88" s="89" t="n"/>
      <c r="I88" s="89" t="n"/>
      <c r="J88" s="88" t="n"/>
      <c r="K88" s="88" t="n"/>
      <c r="L88" s="88" t="n"/>
      <c r="M88" s="88" t="n"/>
      <c r="N88" s="88" t="n"/>
      <c r="O88" s="88" t="n"/>
      <c r="P88" s="88" t="n"/>
      <c r="Q88" s="88" t="n"/>
      <c r="R88" s="88" t="n"/>
      <c r="S88" s="88" t="n"/>
      <c r="T88" s="88" t="n"/>
    </row>
    <row r="89" ht="12.75" customFormat="1" customHeight="1" s="52">
      <c r="A89" s="413" t="n"/>
      <c r="B89" s="51" t="n"/>
      <c r="C89" s="88" t="n"/>
      <c r="D89" s="88" t="n"/>
      <c r="E89" s="88" t="n"/>
      <c r="F89" s="88" t="n"/>
      <c r="G89" s="88" t="n"/>
      <c r="H89" s="89" t="n"/>
      <c r="I89" s="89" t="n"/>
      <c r="J89" s="88" t="n"/>
      <c r="K89" s="88" t="n"/>
      <c r="L89" s="88" t="n"/>
      <c r="M89" s="88" t="n"/>
      <c r="N89" s="88" t="n"/>
      <c r="O89" s="88" t="n"/>
      <c r="P89" s="88" t="n"/>
      <c r="Q89" s="88" t="n"/>
      <c r="R89" s="88" t="n"/>
      <c r="S89" s="88" t="n"/>
      <c r="T89" s="88" t="n"/>
    </row>
    <row r="90" ht="12.75" customFormat="1" customHeight="1" s="52">
      <c r="A90" s="413" t="n"/>
      <c r="B90" s="51" t="n"/>
      <c r="C90" s="88" t="n"/>
      <c r="D90" s="88" t="n"/>
      <c r="E90" s="88" t="n"/>
      <c r="F90" s="88" t="n"/>
      <c r="G90" s="88" t="n"/>
      <c r="H90" s="89" t="n"/>
      <c r="I90" s="89" t="n"/>
      <c r="J90" s="88" t="n"/>
      <c r="K90" s="88" t="n"/>
      <c r="L90" s="88" t="n"/>
      <c r="M90" s="88" t="n"/>
      <c r="N90" s="88" t="n"/>
      <c r="O90" s="88" t="n"/>
      <c r="P90" s="88" t="n"/>
      <c r="Q90" s="88" t="n"/>
      <c r="R90" s="88" t="n"/>
      <c r="S90" s="88" t="n"/>
      <c r="T90" s="88" t="n"/>
    </row>
    <row r="91" ht="12.75" customFormat="1" customHeight="1" s="52">
      <c r="A91" s="413" t="n"/>
      <c r="B91" s="51" t="n"/>
      <c r="C91" s="88" t="n"/>
      <c r="D91" s="88" t="n"/>
      <c r="E91" s="88" t="n"/>
      <c r="F91" s="88" t="n"/>
      <c r="G91" s="88" t="n"/>
      <c r="H91" s="89" t="n"/>
      <c r="I91" s="89" t="n"/>
      <c r="J91" s="88" t="n"/>
      <c r="K91" s="88" t="n"/>
      <c r="L91" s="88" t="n"/>
      <c r="M91" s="88" t="n"/>
      <c r="N91" s="88" t="n"/>
      <c r="O91" s="88" t="n"/>
      <c r="P91" s="88" t="n"/>
      <c r="Q91" s="88" t="n"/>
      <c r="R91" s="88" t="n"/>
      <c r="S91" s="88" t="n"/>
      <c r="T91" s="88" t="n"/>
    </row>
    <row r="92" ht="12.75" customFormat="1" customHeight="1" s="52">
      <c r="A92" s="413" t="n"/>
      <c r="B92" s="51" t="n"/>
      <c r="C92" s="88" t="n"/>
      <c r="D92" s="88" t="n"/>
      <c r="E92" s="88" t="n"/>
      <c r="F92" s="88" t="n"/>
      <c r="G92" s="88" t="n"/>
      <c r="H92" s="89" t="n"/>
      <c r="I92" s="89" t="n"/>
      <c r="J92" s="88" t="n"/>
      <c r="K92" s="88" t="n"/>
      <c r="L92" s="88" t="n"/>
      <c r="M92" s="88" t="n"/>
      <c r="N92" s="88" t="n"/>
      <c r="O92" s="88" t="n"/>
      <c r="P92" s="88" t="n"/>
      <c r="Q92" s="88" t="n"/>
      <c r="R92" s="88" t="n"/>
      <c r="S92" s="88" t="n"/>
      <c r="T92" s="88" t="n"/>
    </row>
    <row r="93" ht="12.75" customFormat="1" customHeight="1" s="52">
      <c r="A93" s="413" t="n"/>
      <c r="B93" s="51" t="n"/>
      <c r="C93" s="88" t="n"/>
      <c r="D93" s="88" t="n"/>
      <c r="E93" s="88" t="n"/>
      <c r="F93" s="88" t="n"/>
      <c r="G93" s="88" t="n"/>
      <c r="H93" s="89" t="n"/>
      <c r="I93" s="89" t="n"/>
      <c r="J93" s="88" t="n"/>
      <c r="K93" s="88" t="n"/>
      <c r="L93" s="88" t="n"/>
      <c r="M93" s="88" t="n"/>
      <c r="N93" s="88" t="n"/>
      <c r="O93" s="88" t="n"/>
      <c r="P93" s="88" t="n"/>
      <c r="Q93" s="88" t="n"/>
      <c r="R93" s="88" t="n"/>
      <c r="S93" s="88" t="n"/>
      <c r="T93" s="88" t="n"/>
    </row>
    <row r="94" ht="12.75" customFormat="1" customHeight="1" s="52">
      <c r="A94" s="413" t="n"/>
      <c r="B94" s="51" t="n"/>
      <c r="C94" s="88" t="n"/>
      <c r="D94" s="88" t="n"/>
      <c r="E94" s="88" t="n"/>
      <c r="F94" s="88" t="n"/>
      <c r="G94" s="88" t="n"/>
      <c r="H94" s="89" t="n"/>
      <c r="I94" s="89" t="n"/>
      <c r="J94" s="88" t="n"/>
      <c r="K94" s="88" t="n"/>
      <c r="L94" s="88" t="n"/>
      <c r="M94" s="88" t="n"/>
      <c r="N94" s="88" t="n"/>
      <c r="O94" s="88" t="n"/>
      <c r="P94" s="88" t="n"/>
      <c r="Q94" s="88" t="n"/>
      <c r="R94" s="88" t="n"/>
      <c r="S94" s="88" t="n"/>
      <c r="T94" s="88" t="n"/>
    </row>
    <row r="95" ht="12.75" customFormat="1" customHeight="1" s="52">
      <c r="A95" s="413" t="n"/>
      <c r="B95" s="51" t="n"/>
      <c r="C95" s="88" t="n"/>
      <c r="D95" s="88" t="n"/>
      <c r="E95" s="88" t="n"/>
      <c r="F95" s="88" t="n"/>
      <c r="G95" s="88" t="n"/>
      <c r="H95" s="89" t="n"/>
      <c r="I95" s="89" t="n"/>
      <c r="J95" s="88" t="n"/>
      <c r="K95" s="88" t="n"/>
      <c r="L95" s="88" t="n"/>
      <c r="M95" s="88" t="n"/>
      <c r="N95" s="88" t="n"/>
      <c r="O95" s="88" t="n"/>
      <c r="P95" s="88" t="n"/>
      <c r="Q95" s="88" t="n"/>
      <c r="R95" s="88" t="n"/>
      <c r="S95" s="88" t="n"/>
      <c r="T95" s="88" t="n"/>
    </row>
    <row r="96" ht="12.75" customFormat="1" customHeight="1" s="52">
      <c r="A96" s="413" t="n"/>
      <c r="B96" s="51" t="n"/>
      <c r="C96" s="88" t="n"/>
      <c r="D96" s="88" t="n"/>
      <c r="E96" s="88" t="n"/>
      <c r="F96" s="88" t="n"/>
      <c r="G96" s="88" t="n"/>
      <c r="H96" s="89" t="n"/>
      <c r="I96" s="89" t="n"/>
      <c r="J96" s="88" t="n"/>
      <c r="K96" s="88" t="n"/>
      <c r="L96" s="88" t="n"/>
      <c r="M96" s="88" t="n"/>
      <c r="N96" s="88" t="n"/>
      <c r="O96" s="88" t="n"/>
      <c r="P96" s="88" t="n"/>
      <c r="Q96" s="88" t="n"/>
      <c r="R96" s="88" t="n"/>
      <c r="S96" s="88" t="n"/>
      <c r="T96" s="88" t="n"/>
    </row>
    <row r="97" ht="12.75" customFormat="1" customHeight="1" s="52">
      <c r="A97" s="413" t="n"/>
      <c r="B97" s="51" t="n"/>
      <c r="C97" s="88" t="n"/>
      <c r="D97" s="88" t="n"/>
      <c r="E97" s="88" t="n"/>
      <c r="F97" s="88" t="n"/>
      <c r="G97" s="88" t="n"/>
      <c r="H97" s="89" t="n"/>
      <c r="I97" s="89" t="n"/>
      <c r="J97" s="88" t="n"/>
      <c r="K97" s="88" t="n"/>
      <c r="L97" s="88" t="n"/>
      <c r="M97" s="88" t="n"/>
      <c r="N97" s="88" t="n"/>
      <c r="O97" s="88" t="n"/>
      <c r="P97" s="88" t="n"/>
      <c r="Q97" s="88" t="n"/>
      <c r="R97" s="88" t="n"/>
      <c r="S97" s="88" t="n"/>
      <c r="T97" s="88" t="n"/>
    </row>
    <row r="98" ht="12.75" customFormat="1" customHeight="1" s="52">
      <c r="A98" s="413" t="n"/>
      <c r="B98" s="51" t="n"/>
      <c r="C98" s="88" t="n"/>
      <c r="D98" s="88" t="n"/>
      <c r="E98" s="88" t="n"/>
      <c r="F98" s="88" t="n"/>
      <c r="G98" s="88" t="n"/>
      <c r="H98" s="89" t="n"/>
      <c r="I98" s="89" t="n"/>
      <c r="J98" s="88" t="n"/>
      <c r="K98" s="88" t="n"/>
      <c r="L98" s="88" t="n"/>
      <c r="M98" s="88" t="n"/>
      <c r="N98" s="88" t="n"/>
      <c r="O98" s="88" t="n"/>
      <c r="P98" s="88" t="n"/>
      <c r="Q98" s="88" t="n"/>
      <c r="R98" s="88" t="n"/>
      <c r="S98" s="88" t="n"/>
      <c r="T98" s="88" t="n"/>
    </row>
    <row r="99" ht="12.75" customFormat="1" customHeight="1" s="52">
      <c r="A99" s="413" t="n"/>
      <c r="B99" s="51" t="n"/>
      <c r="C99" s="88" t="n"/>
      <c r="D99" s="88" t="n"/>
      <c r="E99" s="88" t="n"/>
      <c r="F99" s="88" t="n"/>
      <c r="G99" s="88" t="n"/>
      <c r="H99" s="89" t="n"/>
      <c r="I99" s="89" t="n"/>
      <c r="J99" s="88" t="n"/>
      <c r="K99" s="88" t="n"/>
      <c r="L99" s="88" t="n"/>
      <c r="M99" s="88" t="n"/>
      <c r="N99" s="88" t="n"/>
      <c r="O99" s="88" t="n"/>
      <c r="P99" s="88" t="n"/>
      <c r="Q99" s="88" t="n"/>
      <c r="R99" s="88" t="n"/>
      <c r="S99" s="88" t="n"/>
      <c r="T99" s="88" t="n"/>
    </row>
    <row r="100" ht="12.75" customFormat="1" customHeight="1" s="52">
      <c r="A100" s="413" t="n"/>
      <c r="B100" s="51" t="n"/>
      <c r="C100" s="88" t="n"/>
      <c r="D100" s="88" t="n"/>
      <c r="E100" s="88" t="n"/>
      <c r="F100" s="88" t="n"/>
      <c r="G100" s="88" t="n"/>
      <c r="H100" s="89" t="n"/>
      <c r="I100" s="89" t="n"/>
      <c r="J100" s="88" t="n"/>
      <c r="K100" s="88" t="n"/>
      <c r="L100" s="88" t="n"/>
      <c r="M100" s="88" t="n"/>
      <c r="N100" s="88" t="n"/>
      <c r="O100" s="88" t="n"/>
      <c r="P100" s="88" t="n"/>
      <c r="Q100" s="88" t="n"/>
      <c r="R100" s="88" t="n"/>
      <c r="S100" s="88" t="n"/>
      <c r="T100" s="88" t="n"/>
    </row>
    <row r="101" ht="12.75" customFormat="1" customHeight="1" s="52">
      <c r="A101" s="413" t="n"/>
      <c r="B101" s="51" t="n"/>
      <c r="C101" s="88" t="n"/>
      <c r="D101" s="88" t="n"/>
      <c r="E101" s="88" t="n"/>
      <c r="F101" s="88" t="n"/>
      <c r="G101" s="88" t="n"/>
      <c r="H101" s="89" t="n"/>
      <c r="I101" s="89" t="n"/>
      <c r="J101" s="88" t="n"/>
      <c r="K101" s="88" t="n"/>
      <c r="L101" s="88" t="n"/>
      <c r="M101" s="88" t="n"/>
      <c r="N101" s="88" t="n"/>
      <c r="O101" s="88" t="n"/>
      <c r="P101" s="88" t="n"/>
      <c r="Q101" s="88" t="n"/>
      <c r="R101" s="88" t="n"/>
      <c r="S101" s="88" t="n"/>
      <c r="T101" s="88" t="n"/>
    </row>
    <row r="102" ht="12.75" customFormat="1" customHeight="1" s="52">
      <c r="A102" s="413" t="n"/>
      <c r="B102" s="51" t="n"/>
      <c r="C102" s="88" t="n"/>
      <c r="D102" s="88" t="n"/>
      <c r="E102" s="88" t="n"/>
      <c r="F102" s="88" t="n"/>
      <c r="G102" s="88" t="n"/>
      <c r="H102" s="89" t="n"/>
      <c r="I102" s="89" t="n"/>
      <c r="J102" s="88" t="n"/>
      <c r="K102" s="88" t="n"/>
      <c r="L102" s="88" t="n"/>
      <c r="M102" s="88" t="n"/>
      <c r="N102" s="88" t="n"/>
      <c r="O102" s="88" t="n"/>
      <c r="P102" s="88" t="n"/>
      <c r="Q102" s="88" t="n"/>
      <c r="R102" s="88" t="n"/>
      <c r="S102" s="88" t="n"/>
      <c r="T102" s="88" t="n"/>
    </row>
    <row r="103" ht="12.75" customFormat="1" customHeight="1" s="52">
      <c r="A103" s="413" t="n"/>
      <c r="B103" s="51" t="n"/>
      <c r="C103" s="88" t="n"/>
      <c r="D103" s="88" t="n"/>
      <c r="E103" s="88" t="n"/>
      <c r="F103" s="88" t="n"/>
      <c r="G103" s="88" t="n"/>
      <c r="H103" s="89" t="n"/>
      <c r="I103" s="89" t="n"/>
      <c r="J103" s="88" t="n"/>
      <c r="K103" s="88" t="n"/>
      <c r="L103" s="88" t="n"/>
      <c r="M103" s="88" t="n"/>
      <c r="N103" s="88" t="n"/>
      <c r="O103" s="88" t="n"/>
      <c r="P103" s="88" t="n"/>
      <c r="Q103" s="88" t="n"/>
      <c r="R103" s="88" t="n"/>
      <c r="S103" s="88" t="n"/>
      <c r="T103" s="88" t="n"/>
    </row>
    <row r="104" ht="12.75" customFormat="1" customHeight="1" s="52">
      <c r="A104" s="413" t="n"/>
      <c r="B104" s="51" t="n"/>
      <c r="C104" s="88" t="n"/>
      <c r="D104" s="88" t="n"/>
      <c r="E104" s="88" t="n"/>
      <c r="F104" s="88" t="n"/>
      <c r="G104" s="88" t="n"/>
      <c r="H104" s="89" t="n"/>
      <c r="I104" s="89" t="n"/>
      <c r="J104" s="88" t="n"/>
      <c r="K104" s="88" t="n"/>
      <c r="L104" s="88" t="n"/>
      <c r="M104" s="88" t="n"/>
      <c r="N104" s="88" t="n"/>
      <c r="O104" s="88" t="n"/>
      <c r="P104" s="88" t="n"/>
      <c r="Q104" s="88" t="n"/>
      <c r="R104" s="88" t="n"/>
      <c r="S104" s="88" t="n"/>
      <c r="T104" s="88" t="n"/>
    </row>
    <row r="105" ht="12.75" customFormat="1" customHeight="1" s="52">
      <c r="A105" s="413" t="n"/>
      <c r="B105" s="51" t="n"/>
      <c r="C105" s="88" t="n"/>
      <c r="D105" s="88" t="n"/>
      <c r="E105" s="88" t="n"/>
      <c r="F105" s="88" t="n"/>
      <c r="G105" s="88" t="n"/>
      <c r="H105" s="89" t="n"/>
      <c r="I105" s="89" t="n"/>
      <c r="J105" s="88" t="n"/>
      <c r="K105" s="88" t="n"/>
      <c r="L105" s="88" t="n"/>
      <c r="M105" s="88" t="n"/>
      <c r="N105" s="88" t="n"/>
      <c r="O105" s="88" t="n"/>
      <c r="P105" s="88" t="n"/>
      <c r="Q105" s="88" t="n"/>
      <c r="R105" s="88" t="n"/>
      <c r="S105" s="88" t="n"/>
      <c r="T105" s="88" t="n"/>
    </row>
    <row r="106" ht="12.75" customFormat="1" customHeight="1" s="52">
      <c r="A106" s="413" t="n"/>
      <c r="B106" s="51" t="n"/>
      <c r="C106" s="88" t="n"/>
      <c r="D106" s="88" t="n"/>
      <c r="E106" s="88" t="n"/>
      <c r="F106" s="88" t="n"/>
      <c r="G106" s="88" t="n"/>
      <c r="H106" s="89" t="n"/>
      <c r="I106" s="89" t="n"/>
      <c r="J106" s="88" t="n"/>
      <c r="K106" s="88" t="n"/>
      <c r="L106" s="88" t="n"/>
      <c r="M106" s="88" t="n"/>
      <c r="N106" s="88" t="n"/>
      <c r="O106" s="88" t="n"/>
      <c r="P106" s="88" t="n"/>
      <c r="Q106" s="88" t="n"/>
      <c r="R106" s="88" t="n"/>
      <c r="S106" s="88" t="n"/>
      <c r="T106" s="88" t="n"/>
    </row>
    <row r="107" ht="12.75" customFormat="1" customHeight="1" s="52">
      <c r="A107" s="413" t="n"/>
      <c r="B107" s="51" t="n"/>
      <c r="C107" s="88" t="n"/>
      <c r="D107" s="88" t="n"/>
      <c r="E107" s="88" t="n"/>
      <c r="F107" s="88" t="n"/>
      <c r="G107" s="88" t="n"/>
      <c r="H107" s="89" t="n"/>
      <c r="I107" s="89" t="n"/>
      <c r="J107" s="88" t="n"/>
      <c r="K107" s="88" t="n"/>
      <c r="L107" s="88" t="n"/>
      <c r="M107" s="88" t="n"/>
      <c r="N107" s="88" t="n"/>
      <c r="O107" s="88" t="n"/>
      <c r="P107" s="88" t="n"/>
      <c r="Q107" s="88" t="n"/>
      <c r="R107" s="88" t="n"/>
      <c r="S107" s="88" t="n"/>
      <c r="T107" s="88" t="n"/>
    </row>
    <row r="108" ht="12.75" customFormat="1" customHeight="1" s="52">
      <c r="A108" s="413" t="n"/>
      <c r="B108" s="51" t="n"/>
      <c r="C108" s="88" t="n"/>
      <c r="D108" s="88" t="n"/>
      <c r="E108" s="88" t="n"/>
      <c r="F108" s="88" t="n"/>
      <c r="G108" s="88" t="n"/>
      <c r="H108" s="89" t="n"/>
      <c r="I108" s="89" t="n"/>
      <c r="J108" s="88" t="n"/>
      <c r="K108" s="88" t="n"/>
      <c r="L108" s="88" t="n"/>
      <c r="M108" s="88" t="n"/>
      <c r="N108" s="88" t="n"/>
      <c r="O108" s="88" t="n"/>
      <c r="P108" s="88" t="n"/>
      <c r="Q108" s="88" t="n"/>
      <c r="R108" s="88" t="n"/>
      <c r="S108" s="88" t="n"/>
      <c r="T108" s="88" t="n"/>
    </row>
    <row r="109" ht="12.75" customFormat="1" customHeight="1" s="52">
      <c r="A109" s="413" t="n"/>
      <c r="B109" s="51" t="n"/>
      <c r="C109" s="88" t="n"/>
      <c r="D109" s="88" t="n"/>
      <c r="E109" s="88" t="n"/>
      <c r="F109" s="88" t="n"/>
      <c r="G109" s="88" t="n"/>
      <c r="H109" s="89" t="n"/>
      <c r="I109" s="89" t="n"/>
      <c r="J109" s="88" t="n"/>
      <c r="K109" s="88" t="n"/>
      <c r="L109" s="88" t="n"/>
      <c r="M109" s="88" t="n"/>
      <c r="N109" s="88" t="n"/>
      <c r="O109" s="88" t="n"/>
      <c r="P109" s="88" t="n"/>
      <c r="Q109" s="88" t="n"/>
      <c r="R109" s="88" t="n"/>
      <c r="S109" s="88" t="n"/>
      <c r="T109" s="88" t="n"/>
    </row>
    <row r="110" ht="12.75" customFormat="1" customHeight="1" s="52">
      <c r="A110" s="413" t="n"/>
      <c r="B110" s="51" t="n"/>
      <c r="C110" s="88" t="n"/>
      <c r="D110" s="88" t="n"/>
      <c r="E110" s="88" t="n"/>
      <c r="F110" s="88" t="n"/>
      <c r="G110" s="88" t="n"/>
      <c r="H110" s="89" t="n"/>
      <c r="I110" s="89" t="n"/>
      <c r="J110" s="88" t="n"/>
      <c r="K110" s="88" t="n"/>
      <c r="L110" s="88" t="n"/>
      <c r="M110" s="88" t="n"/>
      <c r="N110" s="88" t="n"/>
      <c r="O110" s="88" t="n"/>
      <c r="P110" s="88" t="n"/>
      <c r="Q110" s="88" t="n"/>
      <c r="R110" s="88" t="n"/>
      <c r="S110" s="88" t="n"/>
      <c r="T110" s="88" t="n"/>
    </row>
    <row r="111" ht="12.75" customFormat="1" customHeight="1" s="52">
      <c r="A111" s="413" t="n"/>
      <c r="B111" s="51" t="n"/>
      <c r="C111" s="88" t="n"/>
      <c r="D111" s="88" t="n"/>
      <c r="E111" s="88" t="n"/>
      <c r="F111" s="88" t="n"/>
      <c r="G111" s="88" t="n"/>
      <c r="H111" s="89" t="n"/>
      <c r="I111" s="89" t="n"/>
      <c r="J111" s="88" t="n"/>
      <c r="K111" s="88" t="n"/>
      <c r="L111" s="88" t="n"/>
      <c r="M111" s="88" t="n"/>
      <c r="N111" s="88" t="n"/>
      <c r="O111" s="88" t="n"/>
      <c r="P111" s="88" t="n"/>
      <c r="Q111" s="88" t="n"/>
      <c r="R111" s="88" t="n"/>
      <c r="S111" s="88" t="n"/>
      <c r="T111" s="88" t="n"/>
    </row>
    <row r="112" ht="12.75" customFormat="1" customHeight="1" s="52">
      <c r="A112" s="413" t="n"/>
      <c r="B112" s="51" t="n"/>
      <c r="C112" s="88" t="n"/>
      <c r="D112" s="88" t="n"/>
      <c r="E112" s="88" t="n"/>
      <c r="F112" s="88" t="n"/>
      <c r="G112" s="88" t="n"/>
      <c r="H112" s="89" t="n"/>
      <c r="I112" s="89" t="n"/>
      <c r="J112" s="88" t="n"/>
      <c r="K112" s="88" t="n"/>
      <c r="L112" s="88" t="n"/>
      <c r="M112" s="88" t="n"/>
      <c r="N112" s="88" t="n"/>
      <c r="O112" s="88" t="n"/>
      <c r="P112" s="88" t="n"/>
      <c r="Q112" s="88" t="n"/>
      <c r="R112" s="88" t="n"/>
      <c r="S112" s="88" t="n"/>
      <c r="T112" s="88" t="n"/>
    </row>
    <row r="113" ht="12.75" customFormat="1" customHeight="1" s="52">
      <c r="A113" s="413" t="n"/>
      <c r="B113" s="51" t="n"/>
      <c r="C113" s="88" t="n"/>
      <c r="D113" s="88" t="n"/>
      <c r="E113" s="88" t="n"/>
      <c r="F113" s="88" t="n"/>
      <c r="G113" s="88" t="n"/>
      <c r="H113" s="89" t="n"/>
      <c r="I113" s="89" t="n"/>
      <c r="J113" s="88" t="n"/>
      <c r="K113" s="88" t="n"/>
      <c r="L113" s="88" t="n"/>
      <c r="M113" s="88" t="n"/>
      <c r="N113" s="88" t="n"/>
      <c r="O113" s="88" t="n"/>
      <c r="P113" s="88" t="n"/>
      <c r="Q113" s="88" t="n"/>
      <c r="R113" s="88" t="n"/>
      <c r="S113" s="88" t="n"/>
      <c r="T113" s="88" t="n"/>
    </row>
    <row r="114" ht="12.75" customFormat="1" customHeight="1" s="52">
      <c r="A114" s="413" t="n"/>
      <c r="B114" s="51" t="n"/>
      <c r="C114" s="88" t="n"/>
      <c r="D114" s="88" t="n"/>
      <c r="E114" s="88" t="n"/>
      <c r="F114" s="88" t="n"/>
      <c r="G114" s="88" t="n"/>
      <c r="H114" s="89" t="n"/>
      <c r="I114" s="89" t="n"/>
      <c r="J114" s="88" t="n"/>
      <c r="K114" s="88" t="n"/>
      <c r="L114" s="88" t="n"/>
      <c r="M114" s="88" t="n"/>
      <c r="N114" s="88" t="n"/>
      <c r="O114" s="88" t="n"/>
      <c r="P114" s="88" t="n"/>
      <c r="Q114" s="88" t="n"/>
      <c r="R114" s="88" t="n"/>
      <c r="S114" s="88" t="n"/>
      <c r="T114" s="88" t="n"/>
    </row>
    <row r="115" ht="12.75" customFormat="1" customHeight="1" s="52">
      <c r="A115" s="413" t="n"/>
      <c r="B115" s="51" t="n"/>
      <c r="C115" s="88" t="n"/>
      <c r="D115" s="88" t="n"/>
      <c r="E115" s="88" t="n"/>
      <c r="F115" s="88" t="n"/>
      <c r="G115" s="88" t="n"/>
      <c r="H115" s="89" t="n"/>
      <c r="I115" s="89" t="n"/>
      <c r="J115" s="88" t="n"/>
      <c r="K115" s="88" t="n"/>
      <c r="L115" s="88" t="n"/>
      <c r="M115" s="88" t="n"/>
      <c r="N115" s="88" t="n"/>
      <c r="O115" s="88" t="n"/>
      <c r="P115" s="88" t="n"/>
      <c r="Q115" s="88" t="n"/>
      <c r="R115" s="88" t="n"/>
      <c r="S115" s="88" t="n"/>
      <c r="T115" s="88" t="n"/>
    </row>
    <row r="116" ht="12.75" customFormat="1" customHeight="1" s="52">
      <c r="A116" s="413" t="n"/>
      <c r="B116" s="51" t="n"/>
      <c r="C116" s="88" t="n"/>
      <c r="D116" s="88" t="n"/>
      <c r="E116" s="88" t="n"/>
      <c r="F116" s="88" t="n"/>
      <c r="G116" s="88" t="n"/>
      <c r="H116" s="89" t="n"/>
      <c r="I116" s="89" t="n"/>
      <c r="J116" s="88" t="n"/>
      <c r="K116" s="88" t="n"/>
      <c r="L116" s="88" t="n"/>
      <c r="M116" s="88" t="n"/>
      <c r="N116" s="88" t="n"/>
      <c r="O116" s="88" t="n"/>
      <c r="P116" s="88" t="n"/>
      <c r="Q116" s="88" t="n"/>
      <c r="R116" s="88" t="n"/>
      <c r="S116" s="88" t="n"/>
      <c r="T116" s="88" t="n"/>
    </row>
    <row r="117" ht="12.75" customFormat="1" customHeight="1" s="52">
      <c r="A117" s="413" t="n"/>
      <c r="B117" s="51" t="n"/>
      <c r="C117" s="88" t="n"/>
      <c r="D117" s="88" t="n"/>
      <c r="E117" s="88" t="n"/>
      <c r="F117" s="88" t="n"/>
      <c r="G117" s="88" t="n"/>
      <c r="H117" s="89" t="n"/>
      <c r="I117" s="89" t="n"/>
      <c r="J117" s="88" t="n"/>
      <c r="K117" s="88" t="n"/>
      <c r="L117" s="88" t="n"/>
      <c r="M117" s="88" t="n"/>
      <c r="N117" s="88" t="n"/>
      <c r="O117" s="88" t="n"/>
      <c r="P117" s="88" t="n"/>
      <c r="Q117" s="88" t="n"/>
      <c r="R117" s="88" t="n"/>
      <c r="S117" s="88" t="n"/>
      <c r="T117" s="88" t="n"/>
    </row>
    <row r="118" ht="12.75" customFormat="1" customHeight="1" s="52">
      <c r="A118" s="413" t="n"/>
      <c r="B118" s="51" t="n"/>
      <c r="C118" s="88" t="n"/>
      <c r="D118" s="88" t="n"/>
      <c r="E118" s="88" t="n"/>
      <c r="F118" s="88" t="n"/>
      <c r="G118" s="88" t="n"/>
      <c r="H118" s="89" t="n"/>
      <c r="I118" s="89" t="n"/>
      <c r="J118" s="88" t="n"/>
      <c r="K118" s="88" t="n"/>
      <c r="L118" s="88" t="n"/>
      <c r="M118" s="88" t="n"/>
      <c r="N118" s="88" t="n"/>
      <c r="O118" s="88" t="n"/>
      <c r="P118" s="88" t="n"/>
      <c r="Q118" s="88" t="n"/>
      <c r="R118" s="88" t="n"/>
      <c r="S118" s="88" t="n"/>
      <c r="T118" s="88" t="n"/>
    </row>
    <row r="119" ht="12.75" customFormat="1" customHeight="1" s="52">
      <c r="A119" s="413" t="n"/>
      <c r="B119" s="51" t="n"/>
      <c r="C119" s="88" t="n"/>
      <c r="D119" s="88" t="n"/>
      <c r="E119" s="88" t="n"/>
      <c r="F119" s="88" t="n"/>
      <c r="G119" s="88" t="n"/>
      <c r="H119" s="89" t="n"/>
      <c r="I119" s="89" t="n"/>
      <c r="J119" s="88" t="n"/>
      <c r="K119" s="88" t="n"/>
      <c r="L119" s="88" t="n"/>
      <c r="M119" s="88" t="n"/>
      <c r="N119" s="88" t="n"/>
      <c r="O119" s="88" t="n"/>
      <c r="P119" s="88" t="n"/>
      <c r="Q119" s="88" t="n"/>
      <c r="R119" s="88" t="n"/>
      <c r="S119" s="88" t="n"/>
      <c r="T119" s="88" t="n"/>
    </row>
    <row r="120" ht="12.75" customFormat="1" customHeight="1" s="52">
      <c r="A120" s="413" t="n"/>
      <c r="B120" s="51" t="n"/>
      <c r="C120" s="88" t="n"/>
      <c r="D120" s="88" t="n"/>
      <c r="E120" s="88" t="n"/>
      <c r="F120" s="88" t="n"/>
      <c r="G120" s="88" t="n"/>
      <c r="H120" s="89" t="n"/>
      <c r="I120" s="89" t="n"/>
      <c r="J120" s="88" t="n"/>
      <c r="K120" s="88" t="n"/>
      <c r="L120" s="88" t="n"/>
      <c r="M120" s="88" t="n"/>
      <c r="N120" s="88" t="n"/>
      <c r="O120" s="88" t="n"/>
      <c r="P120" s="88" t="n"/>
      <c r="Q120" s="88" t="n"/>
      <c r="R120" s="88" t="n"/>
      <c r="S120" s="88" t="n"/>
      <c r="T120" s="88" t="n"/>
    </row>
    <row r="121" ht="12.75" customFormat="1" customHeight="1" s="52">
      <c r="A121" s="413" t="n"/>
      <c r="B121" s="51" t="n"/>
      <c r="C121" s="88" t="n"/>
      <c r="D121" s="88" t="n"/>
      <c r="E121" s="88" t="n"/>
      <c r="F121" s="88" t="n"/>
      <c r="G121" s="88" t="n"/>
      <c r="H121" s="89" t="n"/>
      <c r="I121" s="89" t="n"/>
      <c r="J121" s="88" t="n"/>
      <c r="K121" s="88" t="n"/>
      <c r="L121" s="88" t="n"/>
      <c r="M121" s="88" t="n"/>
      <c r="N121" s="88" t="n"/>
      <c r="O121" s="88" t="n"/>
      <c r="P121" s="88" t="n"/>
      <c r="Q121" s="88" t="n"/>
      <c r="R121" s="88" t="n"/>
      <c r="S121" s="88" t="n"/>
      <c r="T121" s="88" t="n"/>
    </row>
    <row r="122" ht="12.75" customFormat="1" customHeight="1" s="52">
      <c r="A122" s="413" t="n"/>
      <c r="B122" s="51" t="n"/>
      <c r="C122" s="88" t="n"/>
      <c r="D122" s="88" t="n"/>
      <c r="E122" s="88" t="n"/>
      <c r="F122" s="88" t="n"/>
      <c r="G122" s="88" t="n"/>
      <c r="H122" s="89" t="n"/>
      <c r="I122" s="89" t="n"/>
      <c r="J122" s="88" t="n"/>
      <c r="K122" s="88" t="n"/>
      <c r="L122" s="88" t="n"/>
      <c r="M122" s="88" t="n"/>
      <c r="N122" s="88" t="n"/>
      <c r="O122" s="88" t="n"/>
      <c r="P122" s="88" t="n"/>
      <c r="Q122" s="88" t="n"/>
      <c r="R122" s="88" t="n"/>
      <c r="S122" s="88" t="n"/>
      <c r="T122" s="88" t="n"/>
    </row>
    <row r="123" ht="12.75" customFormat="1" customHeight="1" s="52">
      <c r="A123" s="413" t="n"/>
      <c r="B123" s="51" t="n"/>
      <c r="C123" s="88" t="n"/>
      <c r="D123" s="88" t="n"/>
      <c r="E123" s="88" t="n"/>
      <c r="F123" s="88" t="n"/>
      <c r="G123" s="88" t="n"/>
      <c r="H123" s="89" t="n"/>
      <c r="I123" s="89" t="n"/>
      <c r="J123" s="88" t="n"/>
      <c r="K123" s="88" t="n"/>
      <c r="L123" s="88" t="n"/>
      <c r="M123" s="88" t="n"/>
      <c r="N123" s="88" t="n"/>
      <c r="O123" s="88" t="n"/>
      <c r="P123" s="88" t="n"/>
      <c r="Q123" s="88" t="n"/>
      <c r="R123" s="88" t="n"/>
      <c r="S123" s="88" t="n"/>
      <c r="T123" s="88" t="n"/>
    </row>
    <row r="124" ht="12.75" customFormat="1" customHeight="1" s="52">
      <c r="A124" s="413" t="n"/>
      <c r="B124" s="51" t="n"/>
      <c r="C124" s="88" t="n"/>
      <c r="D124" s="88" t="n"/>
      <c r="E124" s="88" t="n"/>
      <c r="F124" s="88" t="n"/>
      <c r="G124" s="88" t="n"/>
      <c r="H124" s="89" t="n"/>
      <c r="I124" s="89" t="n"/>
      <c r="J124" s="88" t="n"/>
      <c r="K124" s="88" t="n"/>
      <c r="L124" s="88" t="n"/>
      <c r="M124" s="88" t="n"/>
      <c r="N124" s="88" t="n"/>
      <c r="O124" s="88" t="n"/>
      <c r="P124" s="88" t="n"/>
      <c r="Q124" s="88" t="n"/>
      <c r="R124" s="88" t="n"/>
      <c r="S124" s="88" t="n"/>
      <c r="T124" s="88" t="n"/>
    </row>
    <row r="125" ht="12.75" customFormat="1" customHeight="1" s="52">
      <c r="A125" s="413" t="n"/>
      <c r="B125" s="51" t="n"/>
      <c r="C125" s="88" t="n"/>
      <c r="D125" s="88" t="n"/>
      <c r="E125" s="88" t="n"/>
      <c r="F125" s="88" t="n"/>
      <c r="G125" s="88" t="n"/>
      <c r="H125" s="89" t="n"/>
      <c r="I125" s="89" t="n"/>
      <c r="J125" s="88" t="n"/>
      <c r="K125" s="88" t="n"/>
      <c r="L125" s="88" t="n"/>
      <c r="M125" s="88" t="n"/>
      <c r="N125" s="88" t="n"/>
      <c r="O125" s="88" t="n"/>
      <c r="P125" s="88" t="n"/>
      <c r="Q125" s="88" t="n"/>
      <c r="R125" s="88" t="n"/>
      <c r="S125" s="88" t="n"/>
      <c r="T125" s="88" t="n"/>
    </row>
    <row r="126" ht="12.75" customFormat="1" customHeight="1" s="52">
      <c r="A126" s="413" t="n"/>
      <c r="B126" s="51" t="n"/>
      <c r="C126" s="88" t="n"/>
      <c r="D126" s="88" t="n"/>
      <c r="E126" s="88" t="n"/>
      <c r="F126" s="88" t="n"/>
      <c r="G126" s="88" t="n"/>
      <c r="H126" s="89" t="n"/>
      <c r="I126" s="89" t="n"/>
      <c r="J126" s="88" t="n"/>
      <c r="K126" s="88" t="n"/>
      <c r="L126" s="88" t="n"/>
      <c r="M126" s="88" t="n"/>
      <c r="N126" s="88" t="n"/>
      <c r="O126" s="88" t="n"/>
      <c r="P126" s="88" t="n"/>
      <c r="Q126" s="88" t="n"/>
      <c r="R126" s="88" t="n"/>
      <c r="S126" s="88" t="n"/>
      <c r="T126" s="88" t="n"/>
    </row>
    <row r="127" ht="12.75" customFormat="1" customHeight="1" s="52">
      <c r="A127" s="413" t="n"/>
      <c r="B127" s="51" t="n"/>
      <c r="C127" s="88" t="n"/>
      <c r="D127" s="88" t="n"/>
      <c r="E127" s="88" t="n"/>
      <c r="F127" s="88" t="n"/>
      <c r="G127" s="88" t="n"/>
      <c r="H127" s="89" t="n"/>
      <c r="I127" s="89" t="n"/>
      <c r="J127" s="88" t="n"/>
      <c r="K127" s="88" t="n"/>
      <c r="L127" s="88" t="n"/>
      <c r="M127" s="88" t="n"/>
      <c r="N127" s="88" t="n"/>
      <c r="O127" s="88" t="n"/>
      <c r="P127" s="88" t="n"/>
      <c r="Q127" s="88" t="n"/>
      <c r="R127" s="88" t="n"/>
      <c r="S127" s="88" t="n"/>
      <c r="T127" s="88" t="n"/>
    </row>
    <row r="128" ht="12.75" customFormat="1" customHeight="1" s="52">
      <c r="A128" s="413" t="n"/>
      <c r="B128" s="51" t="n"/>
      <c r="C128" s="88" t="n"/>
      <c r="D128" s="88" t="n"/>
      <c r="E128" s="88" t="n"/>
      <c r="F128" s="88" t="n"/>
      <c r="G128" s="88" t="n"/>
      <c r="H128" s="89" t="n"/>
      <c r="I128" s="89" t="n"/>
      <c r="J128" s="88" t="n"/>
      <c r="K128" s="88" t="n"/>
      <c r="L128" s="88" t="n"/>
      <c r="M128" s="88" t="n"/>
      <c r="N128" s="88" t="n"/>
      <c r="O128" s="88" t="n"/>
      <c r="P128" s="88" t="n"/>
      <c r="Q128" s="88" t="n"/>
      <c r="R128" s="88" t="n"/>
      <c r="S128" s="88" t="n"/>
      <c r="T128" s="88" t="n"/>
    </row>
    <row r="129" ht="12.75" customFormat="1" customHeight="1" s="52">
      <c r="A129" s="413" t="n"/>
      <c r="B129" s="51" t="n"/>
      <c r="C129" s="88" t="n"/>
      <c r="D129" s="88" t="n"/>
      <c r="E129" s="88" t="n"/>
      <c r="F129" s="88" t="n"/>
      <c r="G129" s="88" t="n"/>
      <c r="H129" s="89" t="n"/>
      <c r="I129" s="89" t="n"/>
      <c r="J129" s="88" t="n"/>
      <c r="K129" s="88" t="n"/>
      <c r="L129" s="88" t="n"/>
      <c r="M129" s="88" t="n"/>
      <c r="N129" s="88" t="n"/>
      <c r="O129" s="88" t="n"/>
      <c r="P129" s="88" t="n"/>
      <c r="Q129" s="88" t="n"/>
      <c r="R129" s="88" t="n"/>
      <c r="S129" s="88" t="n"/>
      <c r="T129" s="88" t="n"/>
    </row>
    <row r="130" ht="12.75" customFormat="1" customHeight="1" s="52">
      <c r="A130" s="413" t="n"/>
      <c r="B130" s="51" t="n"/>
      <c r="C130" s="88" t="n"/>
      <c r="D130" s="88" t="n"/>
      <c r="E130" s="88" t="n"/>
      <c r="F130" s="88" t="n"/>
      <c r="G130" s="88" t="n"/>
      <c r="H130" s="89" t="n"/>
      <c r="I130" s="89" t="n"/>
      <c r="J130" s="88" t="n"/>
      <c r="K130" s="88" t="n"/>
      <c r="L130" s="88" t="n"/>
      <c r="M130" s="88" t="n"/>
      <c r="N130" s="88" t="n"/>
      <c r="O130" s="88" t="n"/>
      <c r="P130" s="88" t="n"/>
      <c r="Q130" s="88" t="n"/>
      <c r="R130" s="88" t="n"/>
      <c r="S130" s="88" t="n"/>
      <c r="T130" s="88" t="n"/>
    </row>
    <row r="131" ht="12.75" customFormat="1" customHeight="1" s="52">
      <c r="A131" s="413" t="n"/>
      <c r="B131" s="51" t="n"/>
      <c r="C131" s="88" t="n"/>
      <c r="D131" s="88" t="n"/>
      <c r="E131" s="88" t="n"/>
      <c r="F131" s="88" t="n"/>
      <c r="G131" s="88" t="n"/>
      <c r="H131" s="89" t="n"/>
      <c r="I131" s="89" t="n"/>
      <c r="J131" s="88" t="n"/>
      <c r="K131" s="88" t="n"/>
      <c r="L131" s="88" t="n"/>
      <c r="M131" s="88" t="n"/>
      <c r="N131" s="88" t="n"/>
      <c r="O131" s="88" t="n"/>
      <c r="P131" s="88" t="n"/>
      <c r="Q131" s="88" t="n"/>
      <c r="R131" s="88" t="n"/>
      <c r="S131" s="88" t="n"/>
      <c r="T131" s="88" t="n"/>
    </row>
    <row r="132" ht="12.75" customFormat="1" customHeight="1" s="52">
      <c r="A132" s="413" t="n"/>
      <c r="B132" s="51" t="n"/>
      <c r="C132" s="88" t="n"/>
      <c r="D132" s="88" t="n"/>
      <c r="E132" s="88" t="n"/>
      <c r="F132" s="88" t="n"/>
      <c r="G132" s="88" t="n"/>
      <c r="H132" s="89" t="n"/>
      <c r="I132" s="89" t="n"/>
      <c r="J132" s="88" t="n"/>
      <c r="K132" s="88" t="n"/>
      <c r="L132" s="88" t="n"/>
      <c r="M132" s="88" t="n"/>
      <c r="N132" s="88" t="n"/>
      <c r="O132" s="88" t="n"/>
      <c r="P132" s="88" t="n"/>
      <c r="Q132" s="88" t="n"/>
      <c r="R132" s="88" t="n"/>
      <c r="S132" s="88" t="n"/>
      <c r="T132" s="88" t="n"/>
    </row>
    <row r="133" ht="12.75" customFormat="1" customHeight="1" s="52">
      <c r="A133" s="413" t="n"/>
      <c r="B133" s="51" t="n"/>
      <c r="C133" s="88" t="n"/>
      <c r="D133" s="88" t="n"/>
      <c r="E133" s="88" t="n"/>
      <c r="F133" s="88" t="n"/>
      <c r="G133" s="88" t="n"/>
      <c r="H133" s="89" t="n"/>
      <c r="I133" s="89" t="n"/>
      <c r="J133" s="88" t="n"/>
      <c r="K133" s="88" t="n"/>
      <c r="L133" s="88" t="n"/>
      <c r="M133" s="88" t="n"/>
      <c r="N133" s="88" t="n"/>
      <c r="O133" s="88" t="n"/>
      <c r="P133" s="88" t="n"/>
      <c r="Q133" s="88" t="n"/>
      <c r="R133" s="88" t="n"/>
      <c r="S133" s="88" t="n"/>
      <c r="T133" s="88" t="n"/>
    </row>
    <row r="134" ht="12.75" customFormat="1" customHeight="1" s="52">
      <c r="A134" s="413" t="n"/>
      <c r="B134" s="51" t="n"/>
      <c r="C134" s="88" t="n"/>
      <c r="D134" s="88" t="n"/>
      <c r="E134" s="88" t="n"/>
      <c r="F134" s="88" t="n"/>
      <c r="G134" s="88" t="n"/>
      <c r="H134" s="89" t="n"/>
      <c r="I134" s="89" t="n"/>
      <c r="J134" s="88" t="n"/>
      <c r="K134" s="88" t="n"/>
      <c r="L134" s="88" t="n"/>
      <c r="M134" s="88" t="n"/>
      <c r="N134" s="88" t="n"/>
      <c r="O134" s="88" t="n"/>
      <c r="P134" s="88" t="n"/>
      <c r="Q134" s="88" t="n"/>
      <c r="R134" s="88" t="n"/>
      <c r="S134" s="88" t="n"/>
      <c r="T134" s="88" t="n"/>
    </row>
    <row r="135" ht="12.75" customFormat="1" customHeight="1" s="52">
      <c r="A135" s="413" t="n"/>
      <c r="B135" s="51" t="n"/>
      <c r="C135" s="88" t="n"/>
      <c r="D135" s="88" t="n"/>
      <c r="E135" s="88" t="n"/>
      <c r="F135" s="88" t="n"/>
      <c r="G135" s="88" t="n"/>
      <c r="H135" s="89" t="n"/>
      <c r="I135" s="89" t="n"/>
      <c r="J135" s="88" t="n"/>
      <c r="K135" s="88" t="n"/>
      <c r="L135" s="88" t="n"/>
      <c r="M135" s="88" t="n"/>
      <c r="N135" s="88" t="n"/>
      <c r="O135" s="88" t="n"/>
      <c r="P135" s="88" t="n"/>
      <c r="Q135" s="88" t="n"/>
      <c r="R135" s="88" t="n"/>
      <c r="S135" s="88" t="n"/>
      <c r="T135" s="88" t="n"/>
    </row>
    <row r="136" ht="12.75" customFormat="1" customHeight="1" s="52">
      <c r="A136" s="413" t="n"/>
      <c r="B136" s="51" t="n"/>
      <c r="C136" s="88" t="n"/>
      <c r="D136" s="88" t="n"/>
      <c r="E136" s="88" t="n"/>
      <c r="F136" s="88" t="n"/>
      <c r="G136" s="88" t="n"/>
      <c r="H136" s="89" t="n"/>
      <c r="I136" s="89" t="n"/>
      <c r="J136" s="88" t="n"/>
      <c r="K136" s="88" t="n"/>
      <c r="L136" s="88" t="n"/>
      <c r="M136" s="88" t="n"/>
      <c r="N136" s="88" t="n"/>
      <c r="O136" s="88" t="n"/>
      <c r="P136" s="88" t="n"/>
      <c r="Q136" s="88" t="n"/>
      <c r="R136" s="88" t="n"/>
      <c r="S136" s="88" t="n"/>
      <c r="T136" s="88" t="n"/>
    </row>
    <row r="137" ht="12.75" customFormat="1" customHeight="1" s="52">
      <c r="A137" s="413" t="n"/>
      <c r="B137" s="51" t="n"/>
      <c r="C137" s="88" t="n"/>
      <c r="D137" s="88" t="n"/>
      <c r="E137" s="88" t="n"/>
      <c r="F137" s="88" t="n"/>
      <c r="G137" s="88" t="n"/>
      <c r="H137" s="89" t="n"/>
      <c r="I137" s="89" t="n"/>
      <c r="J137" s="88" t="n"/>
      <c r="K137" s="88" t="n"/>
      <c r="L137" s="88" t="n"/>
      <c r="M137" s="88" t="n"/>
      <c r="N137" s="88" t="n"/>
      <c r="O137" s="88" t="n"/>
      <c r="P137" s="88" t="n"/>
      <c r="Q137" s="88" t="n"/>
      <c r="R137" s="88" t="n"/>
      <c r="S137" s="88" t="n"/>
      <c r="T137" s="88" t="n"/>
    </row>
    <row r="138" ht="12.75" customFormat="1" customHeight="1" s="52">
      <c r="A138" s="413" t="n"/>
      <c r="B138" s="51" t="n"/>
      <c r="C138" s="88" t="n"/>
      <c r="D138" s="88" t="n"/>
      <c r="E138" s="88" t="n"/>
      <c r="F138" s="88" t="n"/>
      <c r="G138" s="88" t="n"/>
      <c r="H138" s="89" t="n"/>
      <c r="I138" s="89" t="n"/>
      <c r="J138" s="88" t="n"/>
      <c r="K138" s="88" t="n"/>
      <c r="L138" s="88" t="n"/>
      <c r="M138" s="88" t="n"/>
      <c r="N138" s="88" t="n"/>
      <c r="O138" s="88" t="n"/>
      <c r="P138" s="88" t="n"/>
      <c r="Q138" s="88" t="n"/>
      <c r="R138" s="88" t="n"/>
      <c r="S138" s="88" t="n"/>
      <c r="T138" s="88" t="n"/>
    </row>
    <row r="139" ht="12.75" customFormat="1" customHeight="1" s="52">
      <c r="A139" s="413" t="n"/>
      <c r="B139" s="51" t="n"/>
      <c r="C139" s="88" t="n"/>
      <c r="D139" s="88" t="n"/>
      <c r="E139" s="88" t="n"/>
      <c r="F139" s="88" t="n"/>
      <c r="G139" s="88" t="n"/>
      <c r="H139" s="89" t="n"/>
      <c r="I139" s="89" t="n"/>
      <c r="J139" s="88" t="n"/>
      <c r="K139" s="88" t="n"/>
      <c r="L139" s="88" t="n"/>
      <c r="M139" s="88" t="n"/>
      <c r="N139" s="88" t="n"/>
      <c r="O139" s="88" t="n"/>
      <c r="P139" s="88" t="n"/>
      <c r="Q139" s="88" t="n"/>
      <c r="R139" s="88" t="n"/>
      <c r="S139" s="88" t="n"/>
      <c r="T139" s="88" t="n"/>
    </row>
    <row r="140" ht="12.75" customFormat="1" customHeight="1" s="52">
      <c r="A140" s="413" t="n"/>
      <c r="B140" s="51" t="n"/>
      <c r="C140" s="88" t="n"/>
      <c r="D140" s="88" t="n"/>
      <c r="E140" s="88" t="n"/>
      <c r="F140" s="88" t="n"/>
      <c r="G140" s="88" t="n"/>
      <c r="H140" s="89" t="n"/>
      <c r="I140" s="89" t="n"/>
      <c r="J140" s="88" t="n"/>
      <c r="K140" s="88" t="n"/>
      <c r="L140" s="88" t="n"/>
      <c r="M140" s="88" t="n"/>
      <c r="N140" s="88" t="n"/>
      <c r="O140" s="88" t="n"/>
      <c r="P140" s="88" t="n"/>
      <c r="Q140" s="88" t="n"/>
      <c r="R140" s="88" t="n"/>
      <c r="S140" s="88" t="n"/>
      <c r="T140" s="88" t="n"/>
    </row>
    <row r="141" ht="12.75" customFormat="1" customHeight="1" s="52">
      <c r="A141" s="413" t="n"/>
      <c r="B141" s="51" t="n"/>
      <c r="C141" s="88" t="n"/>
      <c r="D141" s="88" t="n"/>
      <c r="E141" s="88" t="n"/>
      <c r="F141" s="88" t="n"/>
      <c r="G141" s="88" t="n"/>
      <c r="H141" s="89" t="n"/>
      <c r="I141" s="89" t="n"/>
      <c r="J141" s="88" t="n"/>
      <c r="K141" s="88" t="n"/>
      <c r="L141" s="88" t="n"/>
      <c r="M141" s="88" t="n"/>
      <c r="N141" s="88" t="n"/>
      <c r="O141" s="88" t="n"/>
      <c r="P141" s="88" t="n"/>
      <c r="Q141" s="88" t="n"/>
      <c r="R141" s="88" t="n"/>
      <c r="S141" s="88" t="n"/>
      <c r="T141" s="88" t="n"/>
    </row>
    <row r="142" ht="12.75" customFormat="1" customHeight="1" s="52">
      <c r="A142" s="413" t="n"/>
      <c r="B142" s="51" t="n"/>
      <c r="C142" s="88" t="n"/>
      <c r="D142" s="88" t="n"/>
      <c r="E142" s="88" t="n"/>
      <c r="F142" s="88" t="n"/>
      <c r="G142" s="88" t="n"/>
      <c r="H142" s="89" t="n"/>
      <c r="I142" s="89" t="n"/>
      <c r="J142" s="88" t="n"/>
      <c r="K142" s="88" t="n"/>
      <c r="L142" s="88" t="n"/>
      <c r="M142" s="88" t="n"/>
      <c r="N142" s="88" t="n"/>
      <c r="O142" s="88" t="n"/>
      <c r="P142" s="88" t="n"/>
      <c r="Q142" s="88" t="n"/>
      <c r="R142" s="88" t="n"/>
      <c r="S142" s="88" t="n"/>
      <c r="T142" s="88" t="n"/>
    </row>
    <row r="143" ht="12.75" customFormat="1" customHeight="1" s="52">
      <c r="A143" s="413" t="n"/>
      <c r="B143" s="51" t="n"/>
      <c r="C143" s="88" t="n"/>
      <c r="D143" s="88" t="n"/>
      <c r="E143" s="88" t="n"/>
      <c r="F143" s="88" t="n"/>
      <c r="G143" s="88" t="n"/>
      <c r="H143" s="89" t="n"/>
      <c r="I143" s="89" t="n"/>
      <c r="J143" s="88" t="n"/>
      <c r="K143" s="88" t="n"/>
      <c r="L143" s="88" t="n"/>
      <c r="M143" s="88" t="n"/>
      <c r="N143" s="88" t="n"/>
      <c r="O143" s="88" t="n"/>
      <c r="P143" s="88" t="n"/>
      <c r="Q143" s="88" t="n"/>
      <c r="R143" s="88" t="n"/>
      <c r="S143" s="88" t="n"/>
      <c r="T143" s="88" t="n"/>
    </row>
    <row r="144" ht="12.75" customFormat="1" customHeight="1" s="52">
      <c r="A144" s="413" t="n"/>
      <c r="B144" s="51" t="n"/>
      <c r="C144" s="88" t="n"/>
      <c r="D144" s="88" t="n"/>
      <c r="E144" s="88" t="n"/>
      <c r="F144" s="88" t="n"/>
      <c r="G144" s="88" t="n"/>
      <c r="H144" s="89" t="n"/>
      <c r="I144" s="89" t="n"/>
      <c r="J144" s="88" t="n"/>
      <c r="K144" s="88" t="n"/>
      <c r="L144" s="88" t="n"/>
      <c r="M144" s="88" t="n"/>
      <c r="N144" s="88" t="n"/>
      <c r="O144" s="88" t="n"/>
      <c r="P144" s="88" t="n"/>
      <c r="Q144" s="88" t="n"/>
      <c r="R144" s="88" t="n"/>
      <c r="S144" s="88" t="n"/>
      <c r="T144" s="88" t="n"/>
    </row>
    <row r="145" ht="12.75" customFormat="1" customHeight="1" s="52">
      <c r="A145" s="413" t="n"/>
      <c r="B145" s="51" t="n"/>
      <c r="C145" s="88" t="n"/>
      <c r="D145" s="88" t="n"/>
      <c r="E145" s="88" t="n"/>
      <c r="F145" s="88" t="n"/>
      <c r="G145" s="88" t="n"/>
      <c r="H145" s="89" t="n"/>
      <c r="I145" s="89" t="n"/>
      <c r="J145" s="88" t="n"/>
      <c r="K145" s="88" t="n"/>
      <c r="L145" s="88" t="n"/>
      <c r="M145" s="88" t="n"/>
      <c r="N145" s="88" t="n"/>
      <c r="O145" s="88" t="n"/>
      <c r="P145" s="88" t="n"/>
      <c r="Q145" s="88" t="n"/>
      <c r="R145" s="88" t="n"/>
      <c r="S145" s="88" t="n"/>
      <c r="T145" s="88" t="n"/>
    </row>
    <row r="146" ht="12.75" customFormat="1" customHeight="1" s="52">
      <c r="A146" s="413" t="n"/>
      <c r="B146" s="51" t="n"/>
      <c r="C146" s="88" t="n"/>
      <c r="D146" s="88" t="n"/>
      <c r="E146" s="88" t="n"/>
      <c r="F146" s="88" t="n"/>
      <c r="G146" s="88" t="n"/>
      <c r="H146" s="89" t="n"/>
      <c r="I146" s="89" t="n"/>
      <c r="J146" s="88" t="n"/>
      <c r="K146" s="88" t="n"/>
      <c r="L146" s="88" t="n"/>
      <c r="M146" s="88" t="n"/>
      <c r="N146" s="88" t="n"/>
      <c r="O146" s="88" t="n"/>
      <c r="P146" s="88" t="n"/>
      <c r="Q146" s="88" t="n"/>
      <c r="R146" s="88" t="n"/>
      <c r="S146" s="88" t="n"/>
      <c r="T146" s="88" t="n"/>
    </row>
    <row r="147" ht="12.75" customFormat="1" customHeight="1" s="52">
      <c r="A147" s="413" t="n"/>
      <c r="B147" s="51" t="n"/>
      <c r="C147" s="88" t="n"/>
      <c r="D147" s="88" t="n"/>
      <c r="E147" s="88" t="n"/>
      <c r="F147" s="88" t="n"/>
      <c r="G147" s="88" t="n"/>
      <c r="H147" s="89" t="n"/>
      <c r="I147" s="89" t="n"/>
      <c r="J147" s="88" t="n"/>
      <c r="K147" s="88" t="n"/>
      <c r="L147" s="88" t="n"/>
      <c r="M147" s="88" t="n"/>
      <c r="N147" s="88" t="n"/>
      <c r="O147" s="88" t="n"/>
      <c r="P147" s="88" t="n"/>
      <c r="Q147" s="88" t="n"/>
      <c r="R147" s="88" t="n"/>
      <c r="S147" s="88" t="n"/>
      <c r="T147" s="88" t="n"/>
    </row>
    <row r="148" ht="12.75" customFormat="1" customHeight="1" s="52">
      <c r="A148" s="413" t="n"/>
      <c r="B148" s="51" t="n"/>
      <c r="C148" s="88" t="n"/>
      <c r="D148" s="88" t="n"/>
      <c r="E148" s="88" t="n"/>
      <c r="F148" s="88" t="n"/>
      <c r="G148" s="88" t="n"/>
      <c r="H148" s="89" t="n"/>
      <c r="I148" s="89" t="n"/>
      <c r="J148" s="88" t="n"/>
      <c r="K148" s="88" t="n"/>
      <c r="L148" s="88" t="n"/>
      <c r="M148" s="88" t="n"/>
      <c r="N148" s="88" t="n"/>
      <c r="O148" s="88" t="n"/>
      <c r="P148" s="88" t="n"/>
      <c r="Q148" s="88" t="n"/>
      <c r="R148" s="88" t="n"/>
      <c r="S148" s="88" t="n"/>
      <c r="T148" s="88" t="n"/>
    </row>
    <row r="149" ht="12.75" customFormat="1" customHeight="1" s="52">
      <c r="A149" s="413" t="n"/>
      <c r="B149" s="51" t="n"/>
      <c r="C149" s="88" t="n"/>
      <c r="D149" s="88" t="n"/>
      <c r="E149" s="88" t="n"/>
      <c r="F149" s="88" t="n"/>
      <c r="G149" s="88" t="n"/>
      <c r="H149" s="89" t="n"/>
      <c r="I149" s="89" t="n"/>
      <c r="J149" s="88" t="n"/>
      <c r="K149" s="88" t="n"/>
      <c r="L149" s="88" t="n"/>
      <c r="M149" s="88" t="n"/>
      <c r="N149" s="88" t="n"/>
      <c r="O149" s="88" t="n"/>
      <c r="P149" s="88" t="n"/>
      <c r="Q149" s="88" t="n"/>
      <c r="R149" s="88" t="n"/>
      <c r="S149" s="88" t="n"/>
      <c r="T149" s="88" t="n"/>
    </row>
    <row r="150" ht="12.75" customFormat="1" customHeight="1" s="52">
      <c r="A150" s="413" t="n"/>
      <c r="B150" s="51" t="n"/>
      <c r="C150" s="88" t="n"/>
      <c r="D150" s="88" t="n"/>
      <c r="E150" s="88" t="n"/>
      <c r="F150" s="88" t="n"/>
      <c r="G150" s="88" t="n"/>
      <c r="H150" s="89" t="n"/>
      <c r="I150" s="89" t="n"/>
      <c r="J150" s="88" t="n"/>
      <c r="K150" s="88" t="n"/>
      <c r="L150" s="88" t="n"/>
      <c r="M150" s="88" t="n"/>
      <c r="N150" s="88" t="n"/>
      <c r="O150" s="88" t="n"/>
      <c r="P150" s="88" t="n"/>
      <c r="Q150" s="88" t="n"/>
      <c r="R150" s="88" t="n"/>
      <c r="S150" s="88" t="n"/>
      <c r="T150" s="88" t="n"/>
    </row>
    <row r="151" ht="12.75" customFormat="1" customHeight="1" s="52">
      <c r="A151" s="413" t="n"/>
      <c r="B151" s="51" t="n"/>
      <c r="C151" s="88" t="n"/>
      <c r="D151" s="88" t="n"/>
      <c r="E151" s="88" t="n"/>
      <c r="F151" s="88" t="n"/>
      <c r="G151" s="88" t="n"/>
      <c r="H151" s="89" t="n"/>
      <c r="I151" s="89" t="n"/>
      <c r="J151" s="88" t="n"/>
      <c r="K151" s="88" t="n"/>
      <c r="L151" s="88" t="n"/>
      <c r="M151" s="88" t="n"/>
      <c r="N151" s="88" t="n"/>
      <c r="O151" s="88" t="n"/>
      <c r="P151" s="88" t="n"/>
      <c r="Q151" s="88" t="n"/>
      <c r="R151" s="88" t="n"/>
      <c r="S151" s="88" t="n"/>
      <c r="T151" s="88" t="n"/>
    </row>
    <row r="152" ht="12.75" customFormat="1" customHeight="1" s="52">
      <c r="A152" s="413" t="n"/>
      <c r="B152" s="51" t="n"/>
      <c r="C152" s="88" t="n"/>
      <c r="D152" s="88" t="n"/>
      <c r="E152" s="88" t="n"/>
      <c r="F152" s="88" t="n"/>
      <c r="G152" s="88" t="n"/>
      <c r="H152" s="89" t="n"/>
      <c r="I152" s="89" t="n"/>
      <c r="J152" s="88" t="n"/>
      <c r="K152" s="88" t="n"/>
      <c r="L152" s="88" t="n"/>
      <c r="M152" s="88" t="n"/>
      <c r="N152" s="88" t="n"/>
      <c r="O152" s="88" t="n"/>
      <c r="P152" s="88" t="n"/>
      <c r="Q152" s="88" t="n"/>
      <c r="R152" s="88" t="n"/>
      <c r="S152" s="88" t="n"/>
      <c r="T152" s="88" t="n"/>
    </row>
    <row r="153" ht="12.75" customFormat="1" customHeight="1" s="52">
      <c r="A153" s="413" t="n"/>
      <c r="B153" s="51" t="n"/>
      <c r="C153" s="88" t="n"/>
      <c r="D153" s="88" t="n"/>
      <c r="E153" s="88" t="n"/>
      <c r="F153" s="88" t="n"/>
      <c r="G153" s="88" t="n"/>
      <c r="H153" s="89" t="n"/>
      <c r="I153" s="89" t="n"/>
      <c r="J153" s="88" t="n"/>
      <c r="K153" s="88" t="n"/>
      <c r="L153" s="88" t="n"/>
      <c r="M153" s="88" t="n"/>
      <c r="N153" s="88" t="n"/>
      <c r="O153" s="88" t="n"/>
      <c r="P153" s="88" t="n"/>
      <c r="Q153" s="88" t="n"/>
      <c r="R153" s="88" t="n"/>
      <c r="S153" s="88" t="n"/>
      <c r="T153" s="88" t="n"/>
    </row>
    <row r="154" ht="12.75" customFormat="1" customHeight="1" s="52">
      <c r="A154" s="413" t="n"/>
      <c r="B154" s="51" t="n"/>
      <c r="C154" s="88" t="n"/>
      <c r="D154" s="88" t="n"/>
      <c r="E154" s="88" t="n"/>
      <c r="F154" s="88" t="n"/>
      <c r="G154" s="88" t="n"/>
      <c r="H154" s="89" t="n"/>
      <c r="I154" s="89" t="n"/>
      <c r="J154" s="88" t="n"/>
      <c r="K154" s="88" t="n"/>
      <c r="L154" s="88" t="n"/>
      <c r="M154" s="88" t="n"/>
      <c r="N154" s="88" t="n"/>
      <c r="O154" s="88" t="n"/>
      <c r="P154" s="88" t="n"/>
      <c r="Q154" s="88" t="n"/>
      <c r="R154" s="88" t="n"/>
      <c r="S154" s="88" t="n"/>
      <c r="T154" s="88" t="n"/>
    </row>
    <row r="155" ht="12.75" customFormat="1" customHeight="1" s="52">
      <c r="A155" s="413" t="n"/>
      <c r="B155" s="51" t="n"/>
      <c r="C155" s="88" t="n"/>
      <c r="D155" s="88" t="n"/>
      <c r="E155" s="88" t="n"/>
      <c r="F155" s="88" t="n"/>
      <c r="G155" s="88" t="n"/>
      <c r="H155" s="89" t="n"/>
      <c r="I155" s="89" t="n"/>
      <c r="J155" s="88" t="n"/>
      <c r="K155" s="88" t="n"/>
      <c r="L155" s="88" t="n"/>
      <c r="M155" s="88" t="n"/>
      <c r="N155" s="88" t="n"/>
      <c r="O155" s="88" t="n"/>
      <c r="P155" s="88" t="n"/>
      <c r="Q155" s="88" t="n"/>
      <c r="R155" s="88" t="n"/>
      <c r="S155" s="88" t="n"/>
      <c r="T155" s="88" t="n"/>
    </row>
    <row r="156" ht="12.75" customFormat="1" customHeight="1" s="52">
      <c r="A156" s="413" t="n"/>
      <c r="B156" s="51" t="n"/>
      <c r="C156" s="88" t="n"/>
      <c r="D156" s="88" t="n"/>
      <c r="E156" s="88" t="n"/>
      <c r="F156" s="88" t="n"/>
      <c r="G156" s="88" t="n"/>
      <c r="H156" s="89" t="n"/>
      <c r="I156" s="89" t="n"/>
      <c r="J156" s="88" t="n"/>
      <c r="K156" s="88" t="n"/>
      <c r="L156" s="88" t="n"/>
      <c r="M156" s="88" t="n"/>
      <c r="N156" s="88" t="n"/>
      <c r="O156" s="88" t="n"/>
      <c r="P156" s="88" t="n"/>
      <c r="Q156" s="88" t="n"/>
      <c r="R156" s="88" t="n"/>
      <c r="S156" s="88" t="n"/>
      <c r="T156" s="88" t="n"/>
    </row>
    <row r="157" ht="12.75" customFormat="1" customHeight="1" s="52">
      <c r="A157" s="413" t="n"/>
      <c r="B157" s="51" t="n"/>
      <c r="C157" s="88" t="n"/>
      <c r="D157" s="88" t="n"/>
      <c r="E157" s="88" t="n"/>
      <c r="F157" s="88" t="n"/>
      <c r="G157" s="88" t="n"/>
      <c r="H157" s="89" t="n"/>
      <c r="I157" s="89" t="n"/>
      <c r="J157" s="88" t="n"/>
      <c r="K157" s="88" t="n"/>
      <c r="L157" s="88" t="n"/>
      <c r="M157" s="88" t="n"/>
      <c r="N157" s="88" t="n"/>
      <c r="O157" s="88" t="n"/>
      <c r="P157" s="88" t="n"/>
      <c r="Q157" s="88" t="n"/>
      <c r="R157" s="88" t="n"/>
      <c r="S157" s="88" t="n"/>
      <c r="T157" s="88" t="n"/>
    </row>
    <row r="158" ht="12.75" customFormat="1" customHeight="1" s="52">
      <c r="A158" s="413" t="n"/>
      <c r="B158" s="51" t="n"/>
      <c r="C158" s="88" t="n"/>
      <c r="D158" s="88" t="n"/>
      <c r="E158" s="88" t="n"/>
      <c r="F158" s="88" t="n"/>
      <c r="G158" s="88" t="n"/>
      <c r="H158" s="89" t="n"/>
      <c r="I158" s="89" t="n"/>
      <c r="J158" s="88" t="n"/>
      <c r="K158" s="88" t="n"/>
      <c r="L158" s="88" t="n"/>
      <c r="M158" s="88" t="n"/>
      <c r="N158" s="88" t="n"/>
      <c r="O158" s="88" t="n"/>
      <c r="P158" s="88" t="n"/>
      <c r="Q158" s="88" t="n"/>
      <c r="R158" s="88" t="n"/>
      <c r="S158" s="88" t="n"/>
      <c r="T158" s="88" t="n"/>
    </row>
    <row r="159" ht="12.75" customFormat="1" customHeight="1" s="52">
      <c r="A159" s="413" t="n"/>
      <c r="B159" s="51" t="n"/>
      <c r="C159" s="88" t="n"/>
      <c r="D159" s="88" t="n"/>
      <c r="E159" s="88" t="n"/>
      <c r="F159" s="88" t="n"/>
      <c r="G159" s="88" t="n"/>
      <c r="H159" s="89" t="n"/>
      <c r="I159" s="89" t="n"/>
      <c r="J159" s="88" t="n"/>
      <c r="K159" s="88" t="n"/>
      <c r="L159" s="88" t="n"/>
      <c r="M159" s="88" t="n"/>
      <c r="N159" s="88" t="n"/>
      <c r="O159" s="88" t="n"/>
      <c r="P159" s="88" t="n"/>
      <c r="Q159" s="88" t="n"/>
      <c r="R159" s="88" t="n"/>
      <c r="S159" s="88" t="n"/>
      <c r="T159" s="88" t="n"/>
    </row>
    <row r="160" ht="12.75" customFormat="1" customHeight="1" s="52">
      <c r="A160" s="413" t="n"/>
      <c r="B160" s="51" t="n"/>
      <c r="C160" s="88" t="n"/>
      <c r="D160" s="88" t="n"/>
      <c r="E160" s="88" t="n"/>
      <c r="F160" s="88" t="n"/>
      <c r="G160" s="88" t="n"/>
      <c r="H160" s="89" t="n"/>
      <c r="I160" s="89" t="n"/>
      <c r="J160" s="88" t="n"/>
      <c r="K160" s="88" t="n"/>
      <c r="L160" s="88" t="n"/>
      <c r="M160" s="88" t="n"/>
      <c r="N160" s="88" t="n"/>
      <c r="O160" s="88" t="n"/>
      <c r="P160" s="88" t="n"/>
      <c r="Q160" s="88" t="n"/>
      <c r="R160" s="88" t="n"/>
      <c r="S160" s="88" t="n"/>
      <c r="T160" s="88" t="n"/>
    </row>
    <row r="161" ht="12.75" customFormat="1" customHeight="1" s="52">
      <c r="A161" s="413" t="n"/>
      <c r="B161" s="51" t="n"/>
      <c r="C161" s="88" t="n"/>
      <c r="D161" s="88" t="n"/>
      <c r="E161" s="88" t="n"/>
      <c r="F161" s="88" t="n"/>
      <c r="G161" s="88" t="n"/>
      <c r="H161" s="89" t="n"/>
      <c r="I161" s="89" t="n"/>
      <c r="J161" s="88" t="n"/>
      <c r="K161" s="88" t="n"/>
      <c r="L161" s="88" t="n"/>
      <c r="M161" s="88" t="n"/>
      <c r="N161" s="88" t="n"/>
      <c r="O161" s="88" t="n"/>
      <c r="P161" s="88" t="n"/>
      <c r="Q161" s="88" t="n"/>
      <c r="R161" s="88" t="n"/>
      <c r="S161" s="88" t="n"/>
      <c r="T161" s="88" t="n"/>
    </row>
    <row r="162" ht="12.75" customFormat="1" customHeight="1" s="52">
      <c r="A162" s="413" t="n"/>
      <c r="B162" s="51" t="n"/>
      <c r="C162" s="88" t="n"/>
      <c r="D162" s="88" t="n"/>
      <c r="E162" s="88" t="n"/>
      <c r="F162" s="88" t="n"/>
      <c r="G162" s="88" t="n"/>
      <c r="H162" s="89" t="n"/>
      <c r="I162" s="89" t="n"/>
      <c r="J162" s="88" t="n"/>
      <c r="K162" s="88" t="n"/>
      <c r="L162" s="88" t="n"/>
      <c r="M162" s="88" t="n"/>
      <c r="N162" s="88" t="n"/>
      <c r="O162" s="88" t="n"/>
      <c r="P162" s="88" t="n"/>
      <c r="Q162" s="88" t="n"/>
      <c r="R162" s="88" t="n"/>
      <c r="S162" s="88" t="n"/>
      <c r="T162" s="88" t="n"/>
    </row>
    <row r="163" ht="12.75" customFormat="1" customHeight="1" s="52">
      <c r="A163" s="413" t="n"/>
      <c r="B163" s="51" t="n"/>
      <c r="C163" s="88" t="n"/>
      <c r="D163" s="88" t="n"/>
      <c r="E163" s="88" t="n"/>
      <c r="F163" s="88" t="n"/>
      <c r="G163" s="88" t="n"/>
      <c r="H163" s="89" t="n"/>
      <c r="I163" s="89" t="n"/>
      <c r="J163" s="88" t="n"/>
      <c r="K163" s="88" t="n"/>
      <c r="L163" s="88" t="n"/>
      <c r="M163" s="88" t="n"/>
      <c r="N163" s="88" t="n"/>
      <c r="O163" s="88" t="n"/>
      <c r="P163" s="88" t="n"/>
      <c r="Q163" s="88" t="n"/>
      <c r="R163" s="88" t="n"/>
      <c r="S163" s="88" t="n"/>
      <c r="T163" s="88" t="n"/>
    </row>
    <row r="164" ht="12.75" customFormat="1" customHeight="1" s="52">
      <c r="A164" s="413" t="n"/>
      <c r="B164" s="51" t="n"/>
      <c r="C164" s="88" t="n"/>
      <c r="D164" s="88" t="n"/>
      <c r="E164" s="88" t="n"/>
      <c r="F164" s="88" t="n"/>
      <c r="G164" s="88" t="n"/>
      <c r="H164" s="89" t="n"/>
      <c r="I164" s="89" t="n"/>
      <c r="J164" s="88" t="n"/>
      <c r="K164" s="88" t="n"/>
      <c r="L164" s="88" t="n"/>
      <c r="M164" s="88" t="n"/>
      <c r="N164" s="88" t="n"/>
      <c r="O164" s="88" t="n"/>
      <c r="P164" s="88" t="n"/>
      <c r="Q164" s="88" t="n"/>
      <c r="R164" s="88" t="n"/>
      <c r="S164" s="88" t="n"/>
      <c r="T164" s="88" t="n"/>
    </row>
    <row r="165" ht="12.75" customFormat="1" customHeight="1" s="52">
      <c r="A165" s="413" t="n"/>
      <c r="B165" s="51" t="n"/>
      <c r="C165" s="88" t="n"/>
      <c r="D165" s="88" t="n"/>
      <c r="E165" s="88" t="n"/>
      <c r="F165" s="88" t="n"/>
      <c r="G165" s="88" t="n"/>
      <c r="H165" s="89" t="n"/>
      <c r="I165" s="89" t="n"/>
      <c r="J165" s="88" t="n"/>
      <c r="K165" s="88" t="n"/>
      <c r="L165" s="88" t="n"/>
      <c r="M165" s="88" t="n"/>
      <c r="N165" s="88" t="n"/>
      <c r="O165" s="88" t="n"/>
      <c r="P165" s="88" t="n"/>
      <c r="Q165" s="88" t="n"/>
      <c r="R165" s="88" t="n"/>
      <c r="S165" s="88" t="n"/>
      <c r="T165" s="88" t="n"/>
    </row>
    <row r="166" ht="12.75" customFormat="1" customHeight="1" s="52">
      <c r="A166" s="413" t="n"/>
      <c r="B166" s="51" t="n"/>
      <c r="C166" s="88" t="n"/>
      <c r="D166" s="88" t="n"/>
      <c r="E166" s="88" t="n"/>
      <c r="F166" s="88" t="n"/>
      <c r="G166" s="88" t="n"/>
      <c r="H166" s="89" t="n"/>
      <c r="I166" s="89" t="n"/>
      <c r="J166" s="88" t="n"/>
      <c r="K166" s="88" t="n"/>
      <c r="L166" s="88" t="n"/>
      <c r="M166" s="88" t="n"/>
      <c r="N166" s="88" t="n"/>
      <c r="O166" s="88" t="n"/>
      <c r="P166" s="88" t="n"/>
      <c r="Q166" s="88" t="n"/>
      <c r="R166" s="88" t="n"/>
      <c r="S166" s="88" t="n"/>
      <c r="T166" s="88" t="n"/>
    </row>
    <row r="167" ht="12.75" customFormat="1" customHeight="1" s="52">
      <c r="A167" s="413" t="n"/>
      <c r="B167" s="51" t="n"/>
      <c r="C167" s="88" t="n"/>
      <c r="D167" s="88" t="n"/>
      <c r="E167" s="88" t="n"/>
      <c r="F167" s="88" t="n"/>
      <c r="G167" s="88" t="n"/>
      <c r="H167" s="89" t="n"/>
      <c r="I167" s="89" t="n"/>
      <c r="J167" s="88" t="n"/>
      <c r="K167" s="88" t="n"/>
      <c r="L167" s="88" t="n"/>
      <c r="M167" s="88" t="n"/>
      <c r="N167" s="88" t="n"/>
      <c r="O167" s="88" t="n"/>
      <c r="P167" s="88" t="n"/>
      <c r="Q167" s="88" t="n"/>
      <c r="R167" s="88" t="n"/>
      <c r="S167" s="88" t="n"/>
      <c r="T167" s="88" t="n"/>
    </row>
    <row r="168" ht="12.75" customFormat="1" customHeight="1" s="52">
      <c r="A168" s="413" t="n"/>
      <c r="B168" s="51" t="n"/>
      <c r="C168" s="88" t="n"/>
      <c r="D168" s="88" t="n"/>
      <c r="E168" s="88" t="n"/>
      <c r="F168" s="88" t="n"/>
      <c r="G168" s="88" t="n"/>
      <c r="H168" s="89" t="n"/>
      <c r="I168" s="89" t="n"/>
      <c r="J168" s="88" t="n"/>
      <c r="K168" s="88" t="n"/>
      <c r="L168" s="88" t="n"/>
      <c r="M168" s="88" t="n"/>
      <c r="N168" s="88" t="n"/>
      <c r="O168" s="88" t="n"/>
      <c r="P168" s="88" t="n"/>
      <c r="Q168" s="88" t="n"/>
      <c r="R168" s="88" t="n"/>
      <c r="S168" s="88" t="n"/>
      <c r="T168" s="88" t="n"/>
    </row>
    <row r="169" ht="12.75" customFormat="1" customHeight="1" s="52">
      <c r="A169" s="413" t="n"/>
      <c r="B169" s="51" t="n"/>
      <c r="C169" s="88" t="n"/>
      <c r="D169" s="88" t="n"/>
      <c r="E169" s="88" t="n"/>
      <c r="F169" s="88" t="n"/>
      <c r="G169" s="88" t="n"/>
      <c r="H169" s="89" t="n"/>
      <c r="I169" s="89" t="n"/>
      <c r="J169" s="88" t="n"/>
      <c r="K169" s="88" t="n"/>
      <c r="L169" s="88" t="n"/>
      <c r="M169" s="88" t="n"/>
      <c r="N169" s="88" t="n"/>
      <c r="O169" s="88" t="n"/>
      <c r="P169" s="88" t="n"/>
      <c r="Q169" s="88" t="n"/>
      <c r="R169" s="88" t="n"/>
      <c r="S169" s="88" t="n"/>
      <c r="T169" s="88" t="n"/>
    </row>
    <row r="170" ht="12.75" customFormat="1" customHeight="1" s="52">
      <c r="A170" s="413" t="n"/>
      <c r="B170" s="51" t="n"/>
      <c r="C170" s="88" t="n"/>
      <c r="D170" s="88" t="n"/>
      <c r="E170" s="88" t="n"/>
      <c r="F170" s="88" t="n"/>
      <c r="G170" s="88" t="n"/>
      <c r="H170" s="89" t="n"/>
      <c r="I170" s="89" t="n"/>
      <c r="J170" s="88" t="n"/>
      <c r="K170" s="88" t="n"/>
      <c r="L170" s="88" t="n"/>
      <c r="M170" s="88" t="n"/>
      <c r="N170" s="88" t="n"/>
      <c r="O170" s="88" t="n"/>
      <c r="P170" s="88" t="n"/>
      <c r="Q170" s="88" t="n"/>
      <c r="R170" s="88" t="n"/>
      <c r="S170" s="88" t="n"/>
      <c r="T170" s="88" t="n"/>
    </row>
    <row r="171" ht="12.75" customFormat="1" customHeight="1" s="52">
      <c r="A171" s="413" t="n"/>
      <c r="B171" s="51" t="n"/>
      <c r="C171" s="88" t="n"/>
      <c r="D171" s="88" t="n"/>
      <c r="E171" s="88" t="n"/>
      <c r="F171" s="88" t="n"/>
      <c r="G171" s="88" t="n"/>
      <c r="H171" s="89" t="n"/>
      <c r="I171" s="89" t="n"/>
      <c r="J171" s="88" t="n"/>
      <c r="K171" s="88" t="n"/>
      <c r="L171" s="88" t="n"/>
      <c r="M171" s="88" t="n"/>
      <c r="N171" s="88" t="n"/>
      <c r="O171" s="88" t="n"/>
      <c r="P171" s="88" t="n"/>
      <c r="Q171" s="88" t="n"/>
      <c r="R171" s="88" t="n"/>
      <c r="S171" s="88" t="n"/>
      <c r="T171" s="88" t="n"/>
    </row>
    <row r="172" ht="12.75" customFormat="1" customHeight="1" s="52">
      <c r="A172" s="413" t="n"/>
      <c r="B172" s="51" t="n"/>
      <c r="C172" s="88" t="n"/>
      <c r="D172" s="88" t="n"/>
      <c r="E172" s="88" t="n"/>
      <c r="F172" s="88" t="n"/>
      <c r="G172" s="88" t="n"/>
      <c r="H172" s="89" t="n"/>
      <c r="I172" s="89" t="n"/>
      <c r="J172" s="88" t="n"/>
      <c r="K172" s="88" t="n"/>
      <c r="L172" s="88" t="n"/>
      <c r="M172" s="88" t="n"/>
      <c r="N172" s="88" t="n"/>
      <c r="O172" s="88" t="n"/>
      <c r="P172" s="88" t="n"/>
      <c r="Q172" s="88" t="n"/>
      <c r="R172" s="88" t="n"/>
      <c r="S172" s="88" t="n"/>
      <c r="T172" s="88" t="n"/>
    </row>
    <row r="173" ht="12.75" customFormat="1" customHeight="1" s="52">
      <c r="A173" s="413" t="n"/>
      <c r="B173" s="51" t="n"/>
      <c r="C173" s="88" t="n"/>
      <c r="D173" s="88" t="n"/>
      <c r="E173" s="88" t="n"/>
      <c r="F173" s="88" t="n"/>
      <c r="G173" s="88" t="n"/>
      <c r="H173" s="89" t="n"/>
      <c r="I173" s="89" t="n"/>
      <c r="J173" s="88" t="n"/>
      <c r="K173" s="88" t="n"/>
      <c r="L173" s="88" t="n"/>
      <c r="M173" s="88" t="n"/>
      <c r="N173" s="88" t="n"/>
      <c r="O173" s="88" t="n"/>
      <c r="P173" s="88" t="n"/>
      <c r="Q173" s="88" t="n"/>
      <c r="R173" s="88" t="n"/>
      <c r="S173" s="88" t="n"/>
      <c r="T173" s="88" t="n"/>
    </row>
    <row r="174" ht="12.75" customFormat="1" customHeight="1" s="52">
      <c r="A174" s="412" t="n"/>
      <c r="B174" s="90" t="n"/>
      <c r="C174" s="88" t="n"/>
      <c r="D174" s="88" t="n"/>
      <c r="E174" s="88" t="n"/>
      <c r="F174" s="88" t="n"/>
      <c r="G174" s="88" t="n"/>
      <c r="H174" s="89" t="n"/>
      <c r="I174" s="89" t="n"/>
      <c r="J174" s="88" t="n"/>
      <c r="K174" s="88" t="n"/>
      <c r="L174" s="88" t="n"/>
      <c r="M174" s="88" t="n"/>
      <c r="N174" s="88" t="n"/>
      <c r="O174" s="88" t="n"/>
      <c r="P174" s="88" t="n"/>
      <c r="Q174" s="88" t="n"/>
      <c r="R174" s="88" t="n"/>
      <c r="S174" s="88" t="n"/>
      <c r="T174" s="88" t="n"/>
    </row>
    <row r="175" ht="12.75" customFormat="1" customHeight="1" s="52">
      <c r="A175" s="412" t="n"/>
      <c r="B175" s="90" t="n"/>
      <c r="C175" s="88" t="n"/>
      <c r="D175" s="88" t="n"/>
      <c r="E175" s="88" t="n"/>
      <c r="F175" s="88" t="n"/>
      <c r="G175" s="88" t="n"/>
      <c r="H175" s="89" t="n"/>
      <c r="I175" s="89" t="n"/>
      <c r="J175" s="88" t="n"/>
      <c r="K175" s="88" t="n"/>
      <c r="L175" s="88" t="n"/>
      <c r="M175" s="88" t="n"/>
      <c r="N175" s="88" t="n"/>
      <c r="O175" s="88" t="n"/>
      <c r="P175" s="88" t="n"/>
      <c r="Q175" s="88" t="n"/>
      <c r="R175" s="88" t="n"/>
      <c r="S175" s="88" t="n"/>
      <c r="T175" s="88" t="n"/>
    </row>
    <row r="176" ht="12.75" customFormat="1" customHeight="1" s="52">
      <c r="A176" s="412" t="n"/>
      <c r="B176" s="90" t="n"/>
      <c r="C176" s="88" t="n"/>
      <c r="D176" s="88" t="n"/>
      <c r="E176" s="88" t="n"/>
      <c r="F176" s="88" t="n"/>
      <c r="G176" s="88" t="n"/>
      <c r="H176" s="89" t="n"/>
      <c r="I176" s="89" t="n"/>
      <c r="J176" s="88" t="n"/>
      <c r="K176" s="88" t="n"/>
      <c r="L176" s="88" t="n"/>
      <c r="M176" s="88" t="n"/>
      <c r="N176" s="88" t="n"/>
      <c r="O176" s="88" t="n"/>
      <c r="P176" s="88" t="n"/>
      <c r="Q176" s="88" t="n"/>
      <c r="R176" s="88" t="n"/>
      <c r="S176" s="88" t="n"/>
      <c r="T176" s="88" t="n"/>
    </row>
    <row r="177" ht="12.75" customFormat="1" customHeight="1" s="52">
      <c r="A177" s="412" t="n"/>
      <c r="B177" s="90" t="n"/>
      <c r="C177" s="88" t="n"/>
      <c r="D177" s="88" t="n"/>
      <c r="E177" s="88" t="n"/>
      <c r="F177" s="88" t="n"/>
      <c r="G177" s="88" t="n"/>
      <c r="H177" s="89" t="n"/>
      <c r="I177" s="89" t="n"/>
      <c r="J177" s="88" t="n"/>
      <c r="K177" s="88" t="n"/>
      <c r="L177" s="88" t="n"/>
      <c r="M177" s="88" t="n"/>
      <c r="N177" s="88" t="n"/>
      <c r="O177" s="88" t="n"/>
      <c r="P177" s="88" t="n"/>
      <c r="Q177" s="88" t="n"/>
      <c r="R177" s="88" t="n"/>
      <c r="S177" s="88" t="n"/>
      <c r="T177" s="88" t="n"/>
    </row>
    <row r="178" ht="12.75" customFormat="1" customHeight="1" s="52">
      <c r="A178" s="412" t="n"/>
      <c r="B178" s="90" t="n"/>
      <c r="C178" s="88" t="n"/>
      <c r="D178" s="88" t="n"/>
      <c r="E178" s="88" t="n"/>
      <c r="F178" s="88" t="n"/>
      <c r="G178" s="88" t="n"/>
      <c r="H178" s="89" t="n"/>
      <c r="I178" s="89" t="n"/>
      <c r="J178" s="88" t="n"/>
      <c r="K178" s="88" t="n"/>
      <c r="L178" s="88" t="n"/>
      <c r="M178" s="88" t="n"/>
      <c r="N178" s="88" t="n"/>
      <c r="O178" s="88" t="n"/>
      <c r="P178" s="88" t="n"/>
      <c r="Q178" s="88" t="n"/>
      <c r="R178" s="88" t="n"/>
      <c r="S178" s="88" t="n"/>
      <c r="T178" s="88" t="n"/>
    </row>
    <row r="179" ht="12.75" customFormat="1" customHeight="1" s="52">
      <c r="A179" s="412" t="n"/>
      <c r="B179" s="90" t="n"/>
      <c r="C179" s="88" t="n"/>
      <c r="D179" s="88" t="n"/>
      <c r="E179" s="88" t="n"/>
      <c r="F179" s="88" t="n"/>
      <c r="G179" s="88" t="n"/>
      <c r="H179" s="89" t="n"/>
      <c r="I179" s="89" t="n"/>
      <c r="J179" s="88" t="n"/>
      <c r="K179" s="88" t="n"/>
      <c r="L179" s="88" t="n"/>
      <c r="M179" s="88" t="n"/>
      <c r="N179" s="88" t="n"/>
      <c r="O179" s="88" t="n"/>
      <c r="P179" s="88" t="n"/>
      <c r="Q179" s="88" t="n"/>
      <c r="R179" s="88" t="n"/>
      <c r="S179" s="88" t="n"/>
      <c r="T179" s="88" t="n"/>
    </row>
    <row r="180" ht="12.75" customFormat="1" customHeight="1" s="52">
      <c r="A180" s="412" t="n"/>
      <c r="B180" s="90" t="n"/>
      <c r="C180" s="88" t="n"/>
      <c r="D180" s="88" t="n"/>
      <c r="E180" s="88" t="n"/>
      <c r="F180" s="88" t="n"/>
      <c r="G180" s="88" t="n"/>
      <c r="H180" s="89" t="n"/>
      <c r="I180" s="89" t="n"/>
      <c r="J180" s="88" t="n"/>
      <c r="K180" s="88" t="n"/>
      <c r="L180" s="88" t="n"/>
      <c r="M180" s="88" t="n"/>
      <c r="N180" s="88" t="n"/>
      <c r="O180" s="88" t="n"/>
      <c r="P180" s="88" t="n"/>
      <c r="Q180" s="88" t="n"/>
      <c r="R180" s="88" t="n"/>
      <c r="S180" s="88" t="n"/>
      <c r="T180" s="88" t="n"/>
    </row>
    <row r="181" ht="12.75" customFormat="1" customHeight="1" s="52">
      <c r="A181" s="412" t="n"/>
      <c r="B181" s="90" t="n"/>
      <c r="C181" s="88" t="n"/>
      <c r="D181" s="88" t="n"/>
      <c r="E181" s="88" t="n"/>
      <c r="F181" s="88" t="n"/>
      <c r="G181" s="88" t="n"/>
      <c r="H181" s="89" t="n"/>
      <c r="I181" s="89" t="n"/>
      <c r="J181" s="88" t="n"/>
      <c r="K181" s="88" t="n"/>
      <c r="L181" s="88" t="n"/>
      <c r="M181" s="88" t="n"/>
      <c r="N181" s="88" t="n"/>
      <c r="O181" s="88" t="n"/>
      <c r="P181" s="88" t="n"/>
      <c r="Q181" s="88" t="n"/>
      <c r="R181" s="88" t="n"/>
      <c r="S181" s="88" t="n"/>
      <c r="T181" s="88" t="n"/>
    </row>
    <row r="182" ht="12.75" customFormat="1" customHeight="1" s="52">
      <c r="A182" s="412" t="n"/>
      <c r="B182" s="90" t="n"/>
      <c r="C182" s="88" t="n"/>
      <c r="D182" s="88" t="n"/>
      <c r="E182" s="88" t="n"/>
      <c r="F182" s="88" t="n"/>
      <c r="G182" s="88" t="n"/>
      <c r="H182" s="89" t="n"/>
      <c r="I182" s="89" t="n"/>
      <c r="J182" s="88" t="n"/>
      <c r="K182" s="88" t="n"/>
      <c r="L182" s="88" t="n"/>
      <c r="M182" s="88" t="n"/>
      <c r="N182" s="88" t="n"/>
      <c r="O182" s="88" t="n"/>
      <c r="P182" s="88" t="n"/>
      <c r="Q182" s="88" t="n"/>
      <c r="R182" s="88" t="n"/>
      <c r="S182" s="88" t="n"/>
      <c r="T182" s="88" t="n"/>
    </row>
    <row r="183" ht="12.75" customFormat="1" customHeight="1" s="52">
      <c r="A183" s="412" t="n"/>
      <c r="B183" s="90" t="n"/>
      <c r="C183" s="88" t="n"/>
      <c r="D183" s="88" t="n"/>
      <c r="E183" s="88" t="n"/>
      <c r="F183" s="88" t="n"/>
      <c r="G183" s="88" t="n"/>
      <c r="H183" s="89" t="n"/>
      <c r="I183" s="89" t="n"/>
      <c r="J183" s="88" t="n"/>
      <c r="K183" s="88" t="n"/>
      <c r="L183" s="88" t="n"/>
      <c r="M183" s="88" t="n"/>
      <c r="N183" s="88" t="n"/>
      <c r="O183" s="88" t="n"/>
      <c r="P183" s="88" t="n"/>
      <c r="Q183" s="88" t="n"/>
      <c r="R183" s="88" t="n"/>
      <c r="S183" s="88" t="n"/>
      <c r="T183" s="88" t="n"/>
    </row>
    <row r="184" ht="12.75" customFormat="1" customHeight="1" s="52">
      <c r="A184" s="412" t="n"/>
      <c r="B184" s="90" t="n"/>
      <c r="C184" s="88" t="n"/>
      <c r="D184" s="88" t="n"/>
      <c r="E184" s="88" t="n"/>
      <c r="F184" s="88" t="n"/>
      <c r="G184" s="88" t="n"/>
      <c r="H184" s="89" t="n"/>
      <c r="I184" s="89" t="n"/>
      <c r="J184" s="88" t="n"/>
      <c r="K184" s="88" t="n"/>
      <c r="L184" s="88" t="n"/>
      <c r="M184" s="88" t="n"/>
      <c r="N184" s="88" t="n"/>
      <c r="O184" s="88" t="n"/>
      <c r="P184" s="88" t="n"/>
      <c r="Q184" s="88" t="n"/>
      <c r="R184" s="88" t="n"/>
      <c r="S184" s="88" t="n"/>
      <c r="T184" s="88" t="n"/>
    </row>
  </sheetData>
  <mergeCells count="8">
    <mergeCell ref="AE20:AF20"/>
    <mergeCell ref="D8:F8"/>
    <mergeCell ref="D10:F10"/>
    <mergeCell ref="D9:F9"/>
    <mergeCell ref="C56:G58"/>
    <mergeCell ref="D7:F7"/>
    <mergeCell ref="C35:G37"/>
    <mergeCell ref="C40:G42"/>
  </mergeCells>
  <conditionalFormatting sqref="C35:G37">
    <cfRule type="cellIs" priority="2" operator="equal" dxfId="0">
      <formula>0</formula>
    </cfRule>
  </conditionalFormatting>
  <conditionalFormatting sqref="C40:G42">
    <cfRule type="cellIs" priority="1" operator="equal" dxfId="0">
      <formula>0</formula>
    </cfRule>
  </conditionalFormatting>
  <conditionalFormatting sqref="C21:L27 C46:E49 C56:G58 F49 G8:I10 G46:G49 O21:R27 U21:X27 AA31:AB31 AD31 AG21:AG27 AM21:AM27">
    <cfRule type="containsBlanks" priority="3" dxfId="0">
      <formula>LEN(TRIM(C8))=0</formula>
    </cfRule>
  </conditionalFormatting>
  <dataValidations count="3">
    <dataValidation sqref="AG21:AG27" showDropDown="0" showInputMessage="1" showErrorMessage="0" allowBlank="1" type="list">
      <formula1>"关键项（key item）,代表性样本"</formula1>
    </dataValidation>
    <dataValidation sqref="I8:I10" showDropDown="0" showInputMessage="1" showErrorMessage="0" allowBlank="1" type="list">
      <formula1>"是,不适用"</formula1>
    </dataValidation>
    <dataValidation sqref="H8:H10"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S93"/>
  <sheetViews>
    <sheetView showGridLines="0" zoomScale="70" zoomScaleNormal="70" workbookViewId="0">
      <selection activeCell="C50" sqref="C50"/>
    </sheetView>
  </sheetViews>
  <sheetFormatPr baseColWidth="8" defaultColWidth="9" defaultRowHeight="12.75" customHeight="1" outlineLevelRow="1"/>
  <cols>
    <col width="2.75" customWidth="1" style="74" min="1" max="1"/>
    <col width="9" customWidth="1" style="451" min="2" max="2"/>
    <col width="27.125" customWidth="1" style="54" min="3" max="3"/>
    <col width="42.375" customWidth="1" style="54" min="4" max="4"/>
    <col width="17.875" customWidth="1" style="54" min="5" max="6"/>
    <col width="25.125" customWidth="1" style="54" min="7" max="7"/>
    <col width="21.5" customWidth="1" style="54" min="8" max="9"/>
    <col width="25.125" customWidth="1" style="54" min="10" max="10"/>
    <col width="21.5" customWidth="1" style="54" min="11" max="12"/>
    <col width="37.125" customWidth="1" style="54" min="13" max="13"/>
    <col width="21.5" customWidth="1" style="54" min="14" max="17"/>
    <col width="20.625" customWidth="1" style="54" min="18" max="18"/>
    <col width="9" customWidth="1" style="54" min="19" max="91"/>
    <col width="14.125" customWidth="1" style="4" min="92" max="92"/>
    <col width="8.125" customWidth="1" style="4" min="93" max="93"/>
    <col width="9" customWidth="1" style="4" min="94" max="103"/>
    <col width="15.625" customWidth="1" style="4" min="104" max="104"/>
    <col width="9" customWidth="1" style="4" min="105" max="110"/>
    <col width="11.375" customWidth="1" style="4" min="111" max="111"/>
    <col width="9" customWidth="1" style="4" min="112" max="115"/>
    <col width="11" customWidth="1" style="4" min="116" max="116"/>
    <col width="13.625" customWidth="1" style="4" min="117" max="117"/>
    <col width="9" customWidth="1" style="58" min="118" max="118"/>
    <col width="9" customWidth="1" style="4" min="119" max="119"/>
    <col width="9" customWidth="1" style="5" min="120" max="120"/>
    <col width="9" customWidth="1" style="54" min="121" max="16384"/>
  </cols>
  <sheetData>
    <row r="1" ht="12.75" customHeight="1">
      <c r="A1" s="436" t="inlineStr">
        <is>
          <t>d7c7e1e9-5307-413b-84da-2b991689d083</t>
        </is>
      </c>
    </row>
    <row r="2" ht="12.75" customHeight="1">
      <c r="B2" s="452" t="n"/>
      <c r="C2" s="61" t="n"/>
      <c r="D2" s="61" t="n"/>
      <c r="E2" s="61" t="n"/>
      <c r="F2" s="61" t="n"/>
      <c r="G2" s="61" t="n"/>
      <c r="H2" s="61" t="n"/>
      <c r="I2" s="61" t="n"/>
      <c r="J2" s="3" t="inlineStr">
        <is>
          <t>返回汇总页</t>
        </is>
      </c>
      <c r="K2" s="61" t="n"/>
      <c r="L2" s="61" t="n"/>
      <c r="M2" s="61" t="n"/>
      <c r="N2" s="61" t="n"/>
      <c r="O2" s="61" t="n"/>
      <c r="P2" s="61" t="n"/>
      <c r="Q2" s="61" t="n"/>
      <c r="R2" s="61" t="n"/>
      <c r="S2" s="61" t="n"/>
      <c r="T2" s="61" t="n"/>
      <c r="U2" s="76" t="n"/>
      <c r="CN2" s="54" t="n"/>
      <c r="CO2" s="53" t="n"/>
      <c r="CP2" s="54" t="n"/>
      <c r="CQ2" s="54" t="n"/>
      <c r="CR2" s="10" t="n"/>
      <c r="CZ2" s="54" t="n"/>
      <c r="DG2" s="54" t="n"/>
      <c r="DH2" s="55" t="n"/>
      <c r="DI2" s="56" t="n"/>
      <c r="DJ2" s="57" t="n"/>
      <c r="DK2" s="57" t="n"/>
      <c r="DL2" s="54" t="n"/>
      <c r="DN2" s="12" t="n"/>
      <c r="DO2" s="58" t="n"/>
      <c r="DP2" s="4" t="n"/>
      <c r="DQ2" s="5" t="n"/>
    </row>
    <row r="3" ht="12.75" customHeight="1" thickBot="1">
      <c r="A3" s="75" t="n"/>
      <c r="B3" s="453" t="n"/>
      <c r="C3" s="61" t="n"/>
      <c r="D3" s="61" t="n"/>
      <c r="E3" s="61" t="n"/>
      <c r="F3" s="61" t="n"/>
      <c r="I3" s="61" t="n"/>
      <c r="K3" s="61" t="n"/>
      <c r="L3" s="61" t="n"/>
      <c r="M3" s="61" t="n"/>
      <c r="P3" s="61" t="n"/>
      <c r="Q3" s="61" t="n"/>
      <c r="R3" s="61" t="n"/>
      <c r="S3" s="76" t="n"/>
      <c r="CM3" s="4" t="n"/>
      <c r="CN3" s="54" t="n"/>
      <c r="CO3" s="54" t="n"/>
      <c r="CX3" s="54" t="n"/>
      <c r="DD3" s="54" t="n"/>
      <c r="DE3" s="54" t="n"/>
      <c r="DF3" s="54" t="n"/>
      <c r="DG3" s="54" t="n"/>
      <c r="DH3" s="54" t="n"/>
      <c r="DI3" s="54" t="n"/>
      <c r="DJ3" s="54" t="n"/>
      <c r="DK3" s="54" t="n"/>
      <c r="DL3" s="54" t="n"/>
      <c r="DM3" s="62" t="n"/>
      <c r="DN3" s="4" t="n"/>
      <c r="DO3" s="5" t="n"/>
      <c r="DP3" s="54" t="n"/>
    </row>
    <row r="4" ht="19.15" customHeight="1">
      <c r="A4" s="75" t="n"/>
      <c r="B4" s="453" t="n"/>
      <c r="C4" s="272" t="inlineStr">
        <is>
          <t>目标</t>
        </is>
      </c>
      <c r="D4" s="273" t="n"/>
      <c r="E4" s="273" t="n"/>
      <c r="F4" s="273" t="n"/>
      <c r="G4" s="274" t="n"/>
      <c r="H4" s="274" t="n"/>
      <c r="I4" s="274" t="n"/>
      <c r="J4" s="275" t="n"/>
      <c r="K4" s="67" t="n"/>
      <c r="L4" s="67" t="n"/>
      <c r="M4" s="61" t="n"/>
      <c r="N4" s="61" t="n"/>
      <c r="CN4" s="54" t="n"/>
      <c r="CO4" s="54" t="n"/>
      <c r="CP4" s="54" t="n"/>
      <c r="CY4" s="54" t="n"/>
      <c r="DE4" s="54" t="n"/>
      <c r="DF4" s="54" t="n"/>
      <c r="DG4" s="54" t="n"/>
      <c r="DH4" s="54" t="n"/>
      <c r="DI4" s="54" t="n"/>
      <c r="DJ4" s="54" t="n"/>
      <c r="DK4" s="54" t="n"/>
      <c r="DL4" s="54" t="n"/>
      <c r="DM4" s="54" t="n"/>
      <c r="DN4" s="62" t="n"/>
      <c r="DO4" s="54" t="n"/>
      <c r="DP4" s="54" t="n"/>
    </row>
    <row r="5" ht="39" customHeight="1">
      <c r="A5" s="75" t="n"/>
      <c r="B5" s="453" t="n"/>
      <c r="C5" s="815" t="inlineStr">
        <is>
          <t>对抽取的样本均需要确认资产实际状态，确保其正常使用，且预期仍然能为被审计单位带来经济利益。例如经营租赁方式租入的固定资产发生的改良支出或装修等进行实地查看，以验证其存在性认定。同时检查本期新增长期待摊费用的第三方证据（例如采购发票、合同等）。</t>
        </is>
      </c>
      <c r="J5" s="696" t="n"/>
      <c r="K5" s="67" t="n"/>
      <c r="L5" s="67" t="n"/>
      <c r="M5" s="61" t="n"/>
      <c r="N5" s="61" t="n"/>
      <c r="CN5" s="54" t="n"/>
      <c r="CO5" s="54" t="n"/>
      <c r="CP5" s="816" t="n"/>
      <c r="CY5" s="54" t="n"/>
      <c r="DE5" s="54" t="n"/>
      <c r="DF5" s="54" t="n"/>
      <c r="DG5" s="54" t="n"/>
      <c r="DH5" s="54" t="n"/>
      <c r="DI5" s="54" t="n"/>
      <c r="DJ5" s="54" t="n"/>
      <c r="DK5" s="54" t="n"/>
      <c r="DL5" s="54" t="n"/>
      <c r="DM5" s="54" t="n"/>
      <c r="DN5" s="62" t="n"/>
      <c r="DO5" s="54" t="n"/>
      <c r="DP5" s="54" t="n"/>
    </row>
    <row r="6" ht="18" customHeight="1">
      <c r="A6" s="75" t="n"/>
      <c r="B6" s="453" t="n"/>
      <c r="C6" s="276" t="inlineStr">
        <is>
          <t>复核摊销政策的合理性。</t>
        </is>
      </c>
      <c r="D6" s="277" t="n"/>
      <c r="E6" s="277" t="n"/>
      <c r="F6" s="277" t="n"/>
      <c r="G6" s="277" t="n"/>
      <c r="H6" s="277" t="n"/>
      <c r="I6" s="277" t="n"/>
      <c r="J6" s="278" t="n"/>
      <c r="K6" s="67" t="n"/>
      <c r="L6" s="67" t="n"/>
      <c r="M6" s="61" t="n"/>
      <c r="N6" s="61" t="n"/>
      <c r="CN6" s="54" t="n"/>
      <c r="CO6" s="54" t="n"/>
      <c r="CP6" s="816" t="n"/>
      <c r="CY6" s="54" t="n"/>
      <c r="DE6" s="54" t="n"/>
      <c r="DF6" s="54" t="n"/>
      <c r="DG6" s="54" t="n"/>
      <c r="DH6" s="54" t="n"/>
      <c r="DI6" s="54" t="n"/>
      <c r="DJ6" s="54" t="n"/>
      <c r="DK6" s="54" t="n"/>
      <c r="DL6" s="54" t="n"/>
      <c r="DM6" s="54" t="n"/>
      <c r="DN6" s="62" t="n"/>
      <c r="DO6" s="54" t="n"/>
      <c r="DP6" s="54" t="n"/>
    </row>
    <row r="7" ht="12.75" customHeight="1">
      <c r="A7" s="75" t="n"/>
      <c r="B7" s="453" t="n"/>
      <c r="C7" s="279" t="n"/>
      <c r="D7" s="280" t="n"/>
      <c r="E7" s="280" t="n"/>
      <c r="F7" s="280" t="n"/>
      <c r="G7" s="266" t="n"/>
      <c r="H7" s="266" t="n"/>
      <c r="I7" s="266" t="n"/>
      <c r="J7" s="281" t="n"/>
      <c r="K7" s="67" t="n"/>
      <c r="L7" s="67" t="n"/>
      <c r="M7" s="61" t="n"/>
      <c r="N7" s="61" t="n"/>
      <c r="CN7" s="54" t="n"/>
      <c r="CO7" s="816" t="n"/>
      <c r="CP7" s="816" t="n"/>
      <c r="CY7" s="816" t="n"/>
      <c r="DE7" s="816" t="n"/>
      <c r="DF7" s="54" t="n"/>
      <c r="DG7" s="54" t="n"/>
      <c r="DH7" s="54" t="n"/>
      <c r="DI7" s="54" t="n"/>
      <c r="DJ7" s="54" t="n"/>
      <c r="DK7" s="816" t="n"/>
      <c r="DL7" s="816" t="n"/>
      <c r="DM7" s="816" t="n"/>
      <c r="DN7" s="68" t="n"/>
      <c r="DO7" s="54" t="n"/>
      <c r="DP7" s="54" t="n"/>
    </row>
    <row r="8" ht="18" customHeight="1">
      <c r="A8" s="75" t="n"/>
      <c r="B8" s="453" t="n"/>
      <c r="C8" s="654" t="inlineStr">
        <is>
          <t>序号</t>
        </is>
      </c>
      <c r="D8" s="817" t="inlineStr">
        <is>
          <t>执行的程序</t>
        </is>
      </c>
      <c r="E8" s="818" t="n"/>
      <c r="F8" s="819" t="n"/>
      <c r="G8" s="580" t="inlineStr">
        <is>
          <t>程序表</t>
        </is>
      </c>
      <c r="H8" s="581" t="inlineStr">
        <is>
          <t>预审完成</t>
        </is>
      </c>
      <c r="I8" s="581" t="inlineStr">
        <is>
          <t>年审完成</t>
        </is>
      </c>
      <c r="J8" s="311" t="inlineStr">
        <is>
          <t>执行注意事项</t>
        </is>
      </c>
      <c r="K8" s="152" t="n"/>
      <c r="L8" s="152" t="n"/>
      <c r="M8" s="61" t="n"/>
      <c r="N8" s="61" t="n"/>
      <c r="O8" s="61" t="n"/>
      <c r="P8" s="8" t="n"/>
      <c r="Q8" s="8" t="n"/>
      <c r="CN8" s="54" t="n"/>
      <c r="CO8" s="69" t="n"/>
      <c r="CP8" s="69" t="n"/>
      <c r="CQ8" s="69" t="n"/>
      <c r="CZ8" s="69" t="n"/>
      <c r="DF8" s="69" t="n"/>
      <c r="DG8" s="816" t="n"/>
      <c r="DH8" s="816" t="n"/>
      <c r="DI8" s="816" t="n"/>
      <c r="DJ8" s="816" t="n"/>
      <c r="DK8" s="816" t="n"/>
      <c r="DL8" s="69" t="n"/>
      <c r="DM8" s="69" t="n"/>
      <c r="DN8" s="69" t="n"/>
      <c r="DO8" s="68" t="n"/>
      <c r="DP8" s="69" t="n"/>
      <c r="DQ8" s="91" t="n"/>
    </row>
    <row r="9" outlineLevel="1" ht="44.65" customHeight="1">
      <c r="A9" s="75" t="n"/>
      <c r="B9" s="453" t="n"/>
      <c r="C9" s="655" t="n">
        <v>1</v>
      </c>
      <c r="D9" s="820" t="inlineStr">
        <is>
          <t>对于识别本期长期待摊费用的金额差异超过测试阈值，或金额未超过测试阈值但性质异常的项目，获取支持性证据以验证其正确性。</t>
        </is>
      </c>
      <c r="E9" s="818" t="n"/>
      <c r="F9" s="819" t="n"/>
      <c r="G9" s="656" t="inlineStr">
        <is>
          <t>表1</t>
        </is>
      </c>
      <c r="H9" s="584" t="inlineStr">
        <is>
          <t>是</t>
        </is>
      </c>
      <c r="I9" s="584" t="n"/>
      <c r="J9" s="449" t="n"/>
      <c r="K9" s="153" t="n"/>
      <c r="L9" s="153" t="n"/>
      <c r="M9" s="61" t="n"/>
      <c r="N9" s="61" t="n"/>
      <c r="O9" s="61" t="n"/>
      <c r="P9" s="8" t="n"/>
      <c r="Q9" s="8" t="n"/>
      <c r="CN9" s="54" t="n"/>
      <c r="CO9" s="69" t="n"/>
      <c r="CP9" s="69" t="n"/>
      <c r="CQ9" s="69" t="n"/>
      <c r="CZ9" s="69" t="n"/>
      <c r="DF9" s="69" t="n"/>
      <c r="DG9" s="816" t="n"/>
      <c r="DH9" s="816" t="n"/>
      <c r="DI9" s="816" t="n"/>
      <c r="DJ9" s="816" t="n"/>
      <c r="DK9" s="816" t="n"/>
      <c r="DL9" s="69" t="n"/>
      <c r="DM9" s="69" t="n"/>
      <c r="DN9" s="69" t="n"/>
      <c r="DO9" s="68" t="n"/>
      <c r="DP9" s="69" t="n"/>
      <c r="DQ9" s="91" t="n"/>
    </row>
    <row r="10" outlineLevel="1" ht="61.15" customHeight="1">
      <c r="A10" s="75" t="n"/>
      <c r="B10" s="453" t="n"/>
      <c r="C10" s="655" t="n">
        <v>2</v>
      </c>
      <c r="D10" s="820" t="inlineStr">
        <is>
          <t>我们将金额超过测试阈值的项目以及可能存在重大错报风险的项目设为关键项（key item）。
我们使用安永抽样工具选择代表性样本进行测试。</t>
        </is>
      </c>
      <c r="E10" s="818" t="n"/>
      <c r="F10" s="819" t="n"/>
      <c r="G10" s="657" t="inlineStr">
        <is>
          <t>L2.02.1a 选样输出</t>
        </is>
      </c>
      <c r="H10" s="584" t="inlineStr">
        <is>
          <t>是</t>
        </is>
      </c>
      <c r="I10" s="658" t="n"/>
      <c r="J10" s="659" t="n"/>
      <c r="K10" s="154" t="n"/>
      <c r="L10" s="154" t="n"/>
      <c r="M10" s="61" t="n"/>
      <c r="N10" s="61" t="n"/>
      <c r="O10" s="61" t="n"/>
      <c r="P10" s="8" t="n"/>
      <c r="Q10" s="8" t="n"/>
      <c r="CN10" s="54" t="n"/>
      <c r="CO10" s="69" t="n"/>
      <c r="CP10" s="69" t="n"/>
      <c r="CQ10" s="69" t="n"/>
      <c r="CZ10" s="69" t="n"/>
      <c r="DF10" s="69" t="n"/>
      <c r="DG10" s="816" t="n"/>
      <c r="DH10" s="816" t="n"/>
      <c r="DI10" s="816" t="n"/>
      <c r="DJ10" s="816" t="n"/>
      <c r="DK10" s="816" t="n"/>
      <c r="DL10" s="69" t="n"/>
      <c r="DM10" s="69" t="n"/>
      <c r="DN10" s="69" t="n"/>
      <c r="DO10" s="68" t="n"/>
      <c r="DP10" s="69" t="n"/>
      <c r="DQ10" s="91" t="n"/>
    </row>
    <row r="11" outlineLevel="1" ht="18" customHeight="1">
      <c r="A11" s="75" t="n"/>
      <c r="B11" s="453" t="n"/>
      <c r="C11" s="655" t="n">
        <v>3</v>
      </c>
      <c r="D11" s="820" t="inlineStr">
        <is>
          <t>对选取的样本按照测试属性进行测试</t>
        </is>
      </c>
      <c r="E11" s="818" t="n"/>
      <c r="F11" s="819" t="n"/>
      <c r="G11" s="656" t="inlineStr">
        <is>
          <t>表1.2</t>
        </is>
      </c>
      <c r="H11" s="584" t="inlineStr">
        <is>
          <t>是</t>
        </is>
      </c>
      <c r="I11" s="658" t="n"/>
      <c r="J11" s="450" t="n"/>
      <c r="K11" s="154" t="n"/>
      <c r="L11" s="154" t="n"/>
      <c r="M11" s="61" t="n"/>
      <c r="N11" s="61" t="n"/>
      <c r="O11" s="61" t="n"/>
      <c r="P11" s="8" t="n"/>
      <c r="Q11" s="8" t="n"/>
      <c r="CN11" s="54" t="n"/>
      <c r="CO11" s="69" t="n"/>
      <c r="CP11" s="69" t="n"/>
      <c r="CQ11" s="69" t="n"/>
      <c r="CZ11" s="69" t="n"/>
      <c r="DF11" s="69" t="n"/>
      <c r="DG11" s="816" t="n"/>
      <c r="DH11" s="816" t="n"/>
      <c r="DI11" s="816" t="n"/>
      <c r="DJ11" s="816" t="n"/>
      <c r="DK11" s="816" t="n"/>
      <c r="DL11" s="69" t="n"/>
      <c r="DM11" s="69" t="n"/>
      <c r="DN11" s="69" t="n"/>
      <c r="DO11" s="68" t="n"/>
      <c r="DP11" s="69" t="n"/>
      <c r="DQ11" s="91" t="n"/>
    </row>
    <row r="12" ht="18.75" customHeight="1" thickBot="1">
      <c r="A12" s="75" t="n"/>
      <c r="B12" s="453" t="n"/>
      <c r="C12" s="660" t="n"/>
      <c r="D12" s="661" t="n"/>
      <c r="E12" s="661" t="n"/>
      <c r="F12" s="661" t="n"/>
      <c r="G12" s="661" t="n"/>
      <c r="H12" s="661" t="n"/>
      <c r="I12" s="661" t="n"/>
      <c r="J12" s="662" t="n"/>
      <c r="K12" s="67" t="n"/>
      <c r="L12" s="67" t="n"/>
      <c r="M12" s="61" t="n"/>
      <c r="N12" s="61" t="n"/>
      <c r="O12" s="61" t="n"/>
      <c r="CM12" s="70" t="n"/>
      <c r="CN12" s="70" t="n"/>
      <c r="CO12" s="70" t="n"/>
      <c r="CX12" s="70" t="n"/>
      <c r="DD12" s="70" t="n"/>
      <c r="DE12" s="70" t="n"/>
      <c r="DF12" s="70" t="n"/>
      <c r="DG12" s="70" t="n"/>
      <c r="DH12" s="70" t="n"/>
      <c r="DI12" s="70" t="n"/>
      <c r="DJ12" s="70" t="n"/>
      <c r="DK12" s="70" t="n"/>
      <c r="DL12" s="70" t="n"/>
      <c r="DM12" s="62" t="n"/>
      <c r="DN12" s="70" t="n"/>
      <c r="DO12" s="71" t="n"/>
      <c r="DP12" s="54" t="n"/>
    </row>
    <row r="13" ht="12.75" customHeight="1">
      <c r="A13" s="75" t="n"/>
      <c r="B13" s="453" t="n"/>
      <c r="C13" s="157" t="n"/>
      <c r="D13" s="61" t="n"/>
      <c r="E13" s="61" t="n"/>
      <c r="F13" s="61" t="n"/>
      <c r="G13" s="61" t="n"/>
      <c r="H13" s="61" t="n"/>
      <c r="I13" s="61" t="n"/>
      <c r="J13" s="61" t="n"/>
      <c r="K13" s="61" t="n"/>
      <c r="L13" s="61" t="n"/>
      <c r="CJ13" s="70" t="n"/>
      <c r="CM13" s="4" t="n"/>
      <c r="CU13" s="54" t="n"/>
      <c r="DA13" s="54" t="n"/>
      <c r="DB13" s="54" t="n"/>
      <c r="DC13" s="54" t="n"/>
      <c r="DD13" s="54" t="n"/>
      <c r="DE13" s="54" t="n"/>
      <c r="DF13" s="54" t="n"/>
      <c r="DG13" s="54" t="n"/>
      <c r="DH13" s="54" t="n"/>
      <c r="DI13" s="54" t="n"/>
      <c r="DJ13" s="62" t="n"/>
      <c r="DK13" s="70" t="n"/>
      <c r="DL13" s="71" t="n"/>
      <c r="DM13" s="54" t="n"/>
      <c r="DN13" s="54" t="n"/>
      <c r="DO13" s="54" t="n"/>
      <c r="DP13" s="54" t="n"/>
    </row>
    <row r="14" ht="12.75" customHeight="1">
      <c r="A14" s="75" t="n"/>
      <c r="B14" s="140" t="inlineStr">
        <is>
          <t>表1.1</t>
        </is>
      </c>
      <c r="C14" s="67" t="inlineStr">
        <is>
          <t>针对L2.01.1长期待摊费用明细表中的长期待摊费用，我们抽取样本进行存在性测试。</t>
        </is>
      </c>
      <c r="D14" s="61" t="n"/>
      <c r="E14" s="61" t="n"/>
      <c r="F14" s="61" t="n"/>
      <c r="G14" s="61" t="n"/>
      <c r="H14" s="61" t="n"/>
      <c r="I14" s="61" t="n"/>
      <c r="J14" s="61" t="n"/>
      <c r="K14" s="61" t="n"/>
      <c r="L14" s="61" t="n"/>
      <c r="CJ14" s="70" t="n"/>
      <c r="CM14" s="4" t="n"/>
      <c r="CU14" s="54" t="n"/>
      <c r="DA14" s="54" t="n"/>
      <c r="DB14" s="54" t="n"/>
      <c r="DC14" s="54" t="n"/>
      <c r="DD14" s="54" t="n"/>
      <c r="DE14" s="54" t="n"/>
      <c r="DF14" s="54" t="n"/>
      <c r="DG14" s="54" t="n"/>
      <c r="DH14" s="54" t="n"/>
      <c r="DI14" s="54" t="n"/>
      <c r="DJ14" s="62" t="n"/>
      <c r="DK14" s="70" t="n"/>
      <c r="DL14" s="71" t="n"/>
      <c r="DM14" s="54" t="n"/>
      <c r="DN14" s="54" t="n"/>
      <c r="DO14" s="54" t="n"/>
      <c r="DP14" s="54" t="n"/>
    </row>
    <row r="15" ht="12.75" customHeight="1" thickBot="1">
      <c r="A15" s="75" t="n"/>
      <c r="B15" s="140" t="n"/>
      <c r="C15" s="67" t="inlineStr">
        <is>
          <t>我们在以下填写抽样策略，包括如何确定关键项和代表性样本（如适用），如将本年金额超过测试阈值的项目以及可能存在重大错报风险的项目设为关键项（key item）</t>
        </is>
      </c>
      <c r="D15" s="61" t="n"/>
      <c r="E15" s="61" t="n"/>
      <c r="F15" s="61" t="n"/>
      <c r="G15" s="61" t="n"/>
      <c r="H15" s="61" t="n"/>
      <c r="I15" s="61" t="n"/>
      <c r="J15" s="61" t="n"/>
      <c r="K15" s="61" t="n"/>
      <c r="L15" s="61" t="n"/>
      <c r="M15" s="61" t="n"/>
      <c r="N15" s="61" t="n"/>
      <c r="O15" s="76" t="n"/>
      <c r="CL15" s="4" t="n"/>
      <c r="CM15" s="4" t="n"/>
      <c r="CT15" s="54" t="n"/>
      <c r="CZ15" s="54" t="n"/>
      <c r="DA15" s="54" t="n"/>
      <c r="DB15" s="54" t="n"/>
      <c r="DC15" s="54" t="n"/>
      <c r="DD15" s="54" t="n"/>
      <c r="DE15" s="54" t="n"/>
      <c r="DF15" s="54" t="n"/>
      <c r="DG15" s="54" t="n"/>
      <c r="DH15" s="54" t="n"/>
      <c r="DI15" s="62" t="n"/>
      <c r="DJ15" s="54" t="n"/>
      <c r="DK15" s="54" t="n"/>
      <c r="DL15" s="54" t="n"/>
      <c r="DM15" s="54" t="n"/>
      <c r="DN15" s="54" t="n"/>
      <c r="DO15" s="54" t="n"/>
      <c r="DP15" s="54" t="n"/>
    </row>
    <row r="16" ht="12.75" customHeight="1">
      <c r="A16" s="75" t="n"/>
      <c r="B16" s="334" t="n"/>
      <c r="C16" s="821" t="n"/>
      <c r="D16" s="707" t="n"/>
      <c r="E16" s="707" t="n"/>
      <c r="F16" s="707" t="n"/>
      <c r="G16" s="708" t="n"/>
      <c r="H16" s="61" t="n"/>
      <c r="I16" s="61" t="n"/>
      <c r="J16" s="61" t="n"/>
      <c r="K16" s="61" t="n"/>
      <c r="L16" s="61" t="n"/>
      <c r="M16" s="61" t="n"/>
      <c r="N16" s="61" t="n"/>
      <c r="O16" s="61" t="n"/>
      <c r="P16" s="61" t="n"/>
      <c r="Q16" s="76" t="n"/>
      <c r="CV16" s="54" t="n"/>
      <c r="DB16" s="54" t="n"/>
      <c r="DC16" s="54" t="n"/>
      <c r="DD16" s="54" t="n"/>
      <c r="DE16" s="54" t="n"/>
      <c r="DF16" s="54" t="n"/>
      <c r="DG16" s="54" t="n"/>
      <c r="DH16" s="54" t="n"/>
      <c r="DI16" s="54" t="n"/>
      <c r="DJ16" s="54" t="n"/>
      <c r="DK16" s="62" t="n"/>
      <c r="DL16" s="54" t="n"/>
      <c r="DM16" s="54" t="n"/>
      <c r="DN16" s="54" t="n"/>
      <c r="DO16" s="54" t="n"/>
      <c r="DP16" s="54" t="n"/>
    </row>
    <row r="17" ht="12.75" customHeight="1">
      <c r="A17" s="75" t="n"/>
      <c r="B17" s="453" t="n"/>
      <c r="C17" s="709" t="n"/>
      <c r="G17" s="696" t="n"/>
      <c r="H17" s="61" t="n"/>
      <c r="I17" s="61" t="n"/>
      <c r="J17" s="61" t="n"/>
      <c r="K17" s="61" t="n"/>
      <c r="L17" s="61" t="n"/>
      <c r="M17" s="61" t="n"/>
      <c r="N17" s="61" t="n"/>
      <c r="O17" s="61" t="n"/>
      <c r="P17" s="61" t="n"/>
      <c r="Q17" s="76" t="n"/>
      <c r="CV17" s="54" t="n"/>
      <c r="DB17" s="54" t="n"/>
      <c r="DC17" s="54" t="n"/>
      <c r="DD17" s="54" t="n"/>
      <c r="DE17" s="54" t="n"/>
      <c r="DF17" s="54" t="n"/>
      <c r="DG17" s="54" t="n"/>
      <c r="DH17" s="54" t="n"/>
      <c r="DI17" s="54" t="n"/>
      <c r="DJ17" s="54" t="n"/>
      <c r="DK17" s="62" t="n"/>
      <c r="DL17" s="54" t="n"/>
      <c r="DM17" s="54" t="n"/>
      <c r="DN17" s="54" t="n"/>
      <c r="DO17" s="54" t="n"/>
      <c r="DP17" s="54" t="n"/>
    </row>
    <row r="18" ht="12.75" customHeight="1" thickBot="1">
      <c r="A18" s="75" t="n"/>
      <c r="B18" s="453" t="n"/>
      <c r="C18" s="710" t="n"/>
      <c r="D18" s="711" t="n"/>
      <c r="E18" s="711" t="n"/>
      <c r="F18" s="711" t="n"/>
      <c r="G18" s="712" t="n"/>
      <c r="H18" s="61" t="n"/>
      <c r="I18" s="61" t="n"/>
      <c r="J18" s="61" t="n"/>
      <c r="K18" s="61" t="n"/>
      <c r="L18" s="61" t="n"/>
      <c r="M18" s="61" t="n"/>
      <c r="N18" s="61" t="n"/>
      <c r="O18" s="61" t="n"/>
      <c r="P18" s="61" t="n"/>
      <c r="Q18" s="76" t="n"/>
      <c r="CV18" s="54" t="n"/>
      <c r="DB18" s="54" t="n"/>
      <c r="DC18" s="54" t="n"/>
      <c r="DD18" s="54" t="n"/>
      <c r="DE18" s="54" t="n"/>
      <c r="DF18" s="54" t="n"/>
      <c r="DG18" s="54" t="n"/>
      <c r="DH18" s="54" t="n"/>
      <c r="DI18" s="54" t="n"/>
      <c r="DJ18" s="54" t="n"/>
      <c r="DK18" s="62" t="n"/>
      <c r="DL18" s="54" t="n"/>
      <c r="DM18" s="54" t="n"/>
      <c r="DN18" s="54" t="n"/>
      <c r="DO18" s="54" t="n"/>
      <c r="DP18" s="54" t="n"/>
    </row>
    <row r="19" ht="12.75" customHeight="1">
      <c r="A19" s="75" t="n"/>
      <c r="B19" s="453" t="n"/>
      <c r="C19" s="61" t="n"/>
      <c r="D19" s="61" t="n"/>
      <c r="E19" s="61" t="n"/>
      <c r="F19" s="61" t="n"/>
      <c r="G19" s="61" t="n"/>
      <c r="H19" s="61" t="n"/>
      <c r="I19" s="61" t="n"/>
      <c r="J19" s="61" t="n"/>
      <c r="K19" s="61" t="n"/>
      <c r="L19" s="61" t="n"/>
      <c r="M19" s="61" t="n"/>
      <c r="N19" s="61" t="n"/>
      <c r="O19" s="61" t="n"/>
      <c r="P19" s="61" t="n"/>
      <c r="Q19" s="76" t="n"/>
      <c r="CV19" s="54" t="n"/>
      <c r="DB19" s="54" t="n"/>
      <c r="DC19" s="54" t="n"/>
      <c r="DD19" s="54" t="n"/>
      <c r="DE19" s="54" t="n"/>
      <c r="DF19" s="54" t="n"/>
      <c r="DG19" s="54" t="n"/>
      <c r="DH19" s="54" t="n"/>
      <c r="DI19" s="54" t="n"/>
      <c r="DJ19" s="54" t="n"/>
      <c r="DK19" s="62" t="n"/>
      <c r="DL19" s="54" t="n"/>
      <c r="DM19" s="54" t="n"/>
      <c r="DN19" s="54" t="n"/>
      <c r="DO19" s="54" t="n"/>
      <c r="DP19" s="54" t="n"/>
    </row>
    <row r="20" ht="12.75" customHeight="1" thickBot="1">
      <c r="A20" s="75" t="n"/>
      <c r="B20" s="334" t="n"/>
      <c r="C20" s="74" t="n"/>
      <c r="D20" s="61" t="n"/>
      <c r="E20" s="61" t="n"/>
      <c r="F20" s="61" t="n"/>
      <c r="G20" s="61" t="n"/>
      <c r="H20" s="61" t="n"/>
      <c r="I20" s="61" t="n"/>
      <c r="J20" s="61" t="n"/>
      <c r="K20" s="61" t="n"/>
      <c r="L20" s="61" t="n"/>
      <c r="M20" s="61" t="n"/>
      <c r="N20" s="61" t="n"/>
      <c r="O20" s="61" t="n"/>
      <c r="P20" s="61" t="n"/>
      <c r="Q20" s="76" t="n"/>
      <c r="CV20" s="54" t="n"/>
      <c r="DB20" s="54" t="n"/>
      <c r="DC20" s="54" t="n"/>
      <c r="DD20" s="54" t="n"/>
      <c r="DE20" s="54" t="n"/>
      <c r="DF20" s="54" t="n"/>
      <c r="DG20" s="54" t="n"/>
      <c r="DH20" s="54" t="n"/>
      <c r="DI20" s="54" t="n"/>
      <c r="DJ20" s="54" t="n"/>
      <c r="DK20" s="62" t="n"/>
      <c r="DL20" s="54" t="n"/>
      <c r="DM20" s="54" t="n"/>
      <c r="DN20" s="54" t="n"/>
      <c r="DO20" s="54" t="n"/>
      <c r="DP20" s="54" t="n"/>
    </row>
    <row r="21" ht="12.75" customHeight="1">
      <c r="A21" s="75" t="n"/>
      <c r="B21" s="140" t="inlineStr">
        <is>
          <t>表1.2</t>
        </is>
      </c>
      <c r="C21" s="416" t="inlineStr">
        <is>
          <t>EY 测试属性解释:</t>
        </is>
      </c>
      <c r="D21" s="417" t="n"/>
      <c r="E21" s="417" t="n"/>
      <c r="F21" s="417" t="n"/>
      <c r="G21" s="418" t="n"/>
      <c r="CD21" s="4" t="n"/>
      <c r="CE21" s="4" t="n"/>
      <c r="CF21" s="4" t="n"/>
      <c r="CG21" s="4" t="n"/>
      <c r="CH21" s="4" t="n"/>
      <c r="CI21" s="4" t="n"/>
      <c r="CJ21" s="4" t="n"/>
      <c r="CK21" s="4" t="n"/>
      <c r="CM21" s="4" t="n"/>
      <c r="CR21" s="54" t="n"/>
      <c r="CS21" s="54" t="n"/>
      <c r="CT21" s="54" t="n"/>
      <c r="CU21" s="54" t="n"/>
      <c r="CV21" s="54" t="n"/>
      <c r="CW21" s="54" t="n"/>
      <c r="CX21" s="54" t="n"/>
      <c r="CY21" s="54" t="n"/>
      <c r="CZ21" s="54" t="n"/>
      <c r="DA21" s="62" t="n"/>
      <c r="DB21" s="54" t="n"/>
      <c r="DC21" s="54" t="n"/>
      <c r="DD21" s="54" t="n"/>
      <c r="DE21" s="54" t="n"/>
      <c r="DF21" s="54" t="n"/>
      <c r="DG21" s="54" t="n"/>
      <c r="DH21" s="54" t="n"/>
      <c r="DI21" s="54" t="n"/>
      <c r="DJ21" s="54" t="n"/>
      <c r="DK21" s="54" t="n"/>
      <c r="DL21" s="54" t="n"/>
      <c r="DM21" s="54" t="n"/>
      <c r="DN21" s="54" t="n"/>
      <c r="DO21" s="54" t="n"/>
      <c r="DP21" s="54" t="n"/>
    </row>
    <row r="22" ht="12.75" customHeight="1">
      <c r="A22" s="75" t="n"/>
      <c r="B22" s="453" t="n"/>
      <c r="C22" s="419" t="inlineStr">
        <is>
          <t>对于选取测试的样本，我们检查相关支持性文件，确保：</t>
        </is>
      </c>
      <c r="D22" s="420" t="n"/>
      <c r="E22" s="420" t="n"/>
      <c r="F22" s="420" t="n"/>
      <c r="G22" s="421" t="n"/>
      <c r="CD22" s="4" t="n"/>
      <c r="CE22" s="4" t="n"/>
      <c r="CF22" s="4" t="n"/>
      <c r="CG22" s="4" t="n"/>
      <c r="CH22" s="4" t="n"/>
      <c r="CI22" s="4" t="n"/>
      <c r="CJ22" s="4" t="n"/>
      <c r="CK22" s="4" t="n"/>
      <c r="CM22" s="4" t="n"/>
      <c r="CR22" s="54" t="n"/>
      <c r="CS22" s="54" t="n"/>
      <c r="CT22" s="54" t="n"/>
      <c r="CU22" s="54" t="n"/>
      <c r="CV22" s="54" t="n"/>
      <c r="CW22" s="54" t="n"/>
      <c r="CX22" s="54" t="n"/>
      <c r="CY22" s="54" t="n"/>
      <c r="CZ22" s="54" t="n"/>
      <c r="DA22" s="62" t="n"/>
      <c r="DB22" s="54" t="n"/>
      <c r="DC22" s="54" t="n"/>
      <c r="DD22" s="54" t="n"/>
      <c r="DE22" s="54" t="n"/>
      <c r="DF22" s="54" t="n"/>
      <c r="DG22" s="54" t="n"/>
      <c r="DH22" s="54" t="n"/>
      <c r="DI22" s="54" t="n"/>
      <c r="DJ22" s="54" t="n"/>
      <c r="DK22" s="54" t="n"/>
      <c r="DL22" s="54" t="n"/>
      <c r="DM22" s="54" t="n"/>
      <c r="DN22" s="54" t="n"/>
      <c r="DO22" s="54" t="n"/>
      <c r="DP22" s="54" t="n"/>
    </row>
    <row r="23" ht="12.75" customHeight="1">
      <c r="A23" s="75" t="n"/>
      <c r="B23" s="453" t="n"/>
      <c r="C23" s="422" t="inlineStr">
        <is>
          <t xml:space="preserve">          1) 管理层采用的摊销年限和方法是适当的（符合实体的会计政策和适用的财务报告框架）</t>
        </is>
      </c>
      <c r="D23" s="18" t="n"/>
      <c r="E23" s="18" t="n"/>
      <c r="F23" s="18" t="n"/>
      <c r="G23" s="423" t="n"/>
      <c r="CD23" s="4" t="n"/>
      <c r="CE23" s="4" t="n"/>
      <c r="CF23" s="4" t="n"/>
      <c r="CG23" s="4" t="n"/>
      <c r="CH23" s="4" t="n"/>
      <c r="CI23" s="4" t="n"/>
      <c r="CJ23" s="4" t="n"/>
      <c r="CK23" s="4" t="n"/>
      <c r="CM23" s="4" t="n"/>
      <c r="CR23" s="54" t="n"/>
      <c r="CS23" s="54" t="n"/>
      <c r="CT23" s="54" t="n"/>
      <c r="CU23" s="54" t="n"/>
      <c r="CV23" s="54" t="n"/>
      <c r="CW23" s="54" t="n"/>
      <c r="CX23" s="54" t="n"/>
      <c r="CY23" s="54" t="n"/>
      <c r="CZ23" s="54" t="n"/>
      <c r="DA23" s="62" t="n"/>
      <c r="DB23" s="54" t="n"/>
      <c r="DC23" s="54" t="n"/>
      <c r="DD23" s="54" t="n"/>
      <c r="DE23" s="54" t="n"/>
      <c r="DF23" s="54" t="n"/>
      <c r="DG23" s="54" t="n"/>
      <c r="DH23" s="54" t="n"/>
      <c r="DI23" s="54" t="n"/>
      <c r="DJ23" s="54" t="n"/>
      <c r="DK23" s="54" t="n"/>
      <c r="DL23" s="54" t="n"/>
      <c r="DM23" s="54" t="n"/>
      <c r="DN23" s="54" t="n"/>
      <c r="DO23" s="54" t="n"/>
      <c r="DP23" s="54" t="n"/>
    </row>
    <row r="24" ht="12.75" customHeight="1">
      <c r="A24" s="75" t="n"/>
      <c r="B24" s="453" t="n"/>
      <c r="C24" s="424" t="inlineStr">
        <is>
          <t xml:space="preserve">          2) 长期待摊费用相关资产正常使用，预期仍然能为被审计单位带来经济利益。</t>
        </is>
      </c>
      <c r="D24" s="425" t="n"/>
      <c r="E24" s="425" t="n"/>
      <c r="F24" s="425" t="n"/>
      <c r="G24" s="426" t="n"/>
      <c r="CD24" s="4" t="n"/>
      <c r="CE24" s="4" t="n"/>
      <c r="CF24" s="4" t="n"/>
      <c r="CG24" s="4" t="n"/>
      <c r="CH24" s="4" t="n"/>
      <c r="CI24" s="4" t="n"/>
      <c r="CJ24" s="4" t="n"/>
      <c r="CK24" s="4" t="n"/>
      <c r="CM24" s="4" t="n"/>
      <c r="CR24" s="54" t="n"/>
      <c r="CS24" s="54" t="n"/>
      <c r="CT24" s="54" t="n"/>
      <c r="CU24" s="54" t="n"/>
      <c r="CV24" s="54" t="n"/>
      <c r="CW24" s="54" t="n"/>
      <c r="CX24" s="54" t="n"/>
      <c r="CY24" s="54" t="n"/>
      <c r="CZ24" s="54" t="n"/>
      <c r="DA24" s="62" t="n"/>
      <c r="DB24" s="54" t="n"/>
      <c r="DC24" s="54" t="n"/>
      <c r="DD24" s="54" t="n"/>
      <c r="DE24" s="54" t="n"/>
      <c r="DF24" s="54" t="n"/>
      <c r="DG24" s="54" t="n"/>
      <c r="DH24" s="54" t="n"/>
      <c r="DI24" s="54" t="n"/>
      <c r="DJ24" s="54" t="n"/>
      <c r="DK24" s="54" t="n"/>
      <c r="DL24" s="54" t="n"/>
      <c r="DM24" s="54" t="n"/>
      <c r="DN24" s="54" t="n"/>
      <c r="DO24" s="54" t="n"/>
      <c r="DP24" s="54" t="n"/>
    </row>
    <row r="25" ht="12.75" customHeight="1">
      <c r="A25" s="75" t="n"/>
      <c r="B25" s="453" t="n"/>
      <c r="C25" s="424" t="inlineStr">
        <is>
          <t xml:space="preserve">          3) 新增资产符合资本化条件，资本化时点与入账日一致。</t>
        </is>
      </c>
      <c r="D25" s="425" t="n"/>
      <c r="E25" s="425" t="n"/>
      <c r="F25" s="425" t="n"/>
      <c r="G25" s="426" t="n"/>
      <c r="CD25" s="4" t="n"/>
      <c r="CE25" s="4" t="n"/>
      <c r="CF25" s="4" t="n"/>
      <c r="CG25" s="4" t="n"/>
      <c r="CH25" s="4" t="n"/>
      <c r="CI25" s="4" t="n"/>
      <c r="CJ25" s="4" t="n"/>
      <c r="CK25" s="4" t="n"/>
      <c r="CM25" s="4" t="n"/>
      <c r="CR25" s="54" t="n"/>
      <c r="CS25" s="54" t="n"/>
      <c r="CT25" s="54" t="n"/>
      <c r="CU25" s="54" t="n"/>
      <c r="CV25" s="54" t="n"/>
      <c r="CW25" s="54" t="n"/>
      <c r="CX25" s="54" t="n"/>
      <c r="CY25" s="54" t="n"/>
      <c r="CZ25" s="54" t="n"/>
      <c r="DA25" s="62" t="n"/>
      <c r="DB25" s="54" t="n"/>
      <c r="DC25" s="54" t="n"/>
      <c r="DD25" s="54" t="n"/>
      <c r="DE25" s="54" t="n"/>
      <c r="DF25" s="54" t="n"/>
      <c r="DG25" s="54" t="n"/>
      <c r="DH25" s="54" t="n"/>
      <c r="DI25" s="54" t="n"/>
      <c r="DJ25" s="54" t="n"/>
      <c r="DK25" s="54" t="n"/>
      <c r="DL25" s="54" t="n"/>
      <c r="DM25" s="54" t="n"/>
      <c r="DN25" s="54" t="n"/>
      <c r="DO25" s="54" t="n"/>
      <c r="DP25" s="54" t="n"/>
    </row>
    <row r="26" ht="12.75" customHeight="1">
      <c r="A26" s="75" t="n"/>
      <c r="B26" s="453" t="n"/>
      <c r="C26" s="424" t="inlineStr">
        <is>
          <t xml:space="preserve">          4) 新增长期待摊费用的合同、发票金额与账面处理一致。</t>
        </is>
      </c>
      <c r="D26" s="425" t="n"/>
      <c r="E26" s="425" t="n"/>
      <c r="F26" s="425" t="n"/>
      <c r="G26" s="426" t="n"/>
      <c r="CD26" s="4" t="n"/>
      <c r="CE26" s="4" t="n"/>
      <c r="CF26" s="4" t="n"/>
      <c r="CG26" s="4" t="n"/>
      <c r="CH26" s="4" t="n"/>
      <c r="CI26" s="4" t="n"/>
      <c r="CJ26" s="4" t="n"/>
      <c r="CK26" s="4" t="n"/>
      <c r="CM26" s="4" t="n"/>
      <c r="CR26" s="54" t="n"/>
      <c r="CS26" s="54" t="n"/>
      <c r="CT26" s="54" t="n"/>
      <c r="CU26" s="54" t="n"/>
      <c r="CV26" s="54" t="n"/>
      <c r="CW26" s="54" t="n"/>
      <c r="CX26" s="54" t="n"/>
      <c r="CY26" s="54" t="n"/>
      <c r="CZ26" s="54" t="n"/>
      <c r="DA26" s="62" t="n"/>
      <c r="DB26" s="54" t="n"/>
      <c r="DC26" s="54" t="n"/>
      <c r="DD26" s="54" t="n"/>
      <c r="DE26" s="54" t="n"/>
      <c r="DF26" s="54" t="n"/>
      <c r="DG26" s="54" t="n"/>
      <c r="DH26" s="54" t="n"/>
      <c r="DI26" s="54" t="n"/>
      <c r="DJ26" s="54" t="n"/>
      <c r="DK26" s="54" t="n"/>
      <c r="DL26" s="54" t="n"/>
      <c r="DM26" s="54" t="n"/>
      <c r="DN26" s="54" t="n"/>
      <c r="DO26" s="54" t="n"/>
      <c r="DP26" s="54" t="n"/>
    </row>
    <row r="27" ht="12.75" customHeight="1" thickBot="1">
      <c r="A27" s="75" t="n"/>
      <c r="B27" s="453" t="n"/>
      <c r="C27" s="427" t="n"/>
      <c r="D27" s="428" t="n"/>
      <c r="E27" s="428" t="n"/>
      <c r="F27" s="428" t="n"/>
      <c r="G27" s="429" t="n"/>
      <c r="CD27" s="4" t="n"/>
      <c r="CE27" s="4" t="n"/>
      <c r="CF27" s="4" t="n"/>
      <c r="CG27" s="4" t="n"/>
      <c r="CH27" s="4" t="n"/>
      <c r="CI27" s="4" t="n"/>
      <c r="CJ27" s="4" t="n"/>
      <c r="CK27" s="4" t="n"/>
      <c r="CM27" s="4" t="n"/>
      <c r="CR27" s="54" t="n"/>
      <c r="CS27" s="54" t="n"/>
      <c r="CT27" s="54" t="n"/>
      <c r="CU27" s="54" t="n"/>
      <c r="CV27" s="54" t="n"/>
      <c r="CW27" s="54" t="n"/>
      <c r="CX27" s="54" t="n"/>
      <c r="CY27" s="54" t="n"/>
      <c r="CZ27" s="54" t="n"/>
      <c r="DA27" s="62" t="n"/>
      <c r="DB27" s="54" t="n"/>
      <c r="DC27" s="54" t="n"/>
      <c r="DD27" s="54" t="n"/>
      <c r="DE27" s="54" t="n"/>
      <c r="DF27" s="54" t="n"/>
      <c r="DG27" s="54" t="n"/>
      <c r="DH27" s="54" t="n"/>
      <c r="DI27" s="54" t="n"/>
      <c r="DJ27" s="54" t="n"/>
      <c r="DK27" s="54" t="n"/>
      <c r="DL27" s="54" t="n"/>
      <c r="DM27" s="54" t="n"/>
      <c r="DN27" s="54" t="n"/>
      <c r="DO27" s="54" t="n"/>
      <c r="DP27" s="54" t="n"/>
    </row>
    <row r="28" ht="12.75" customHeight="1">
      <c r="A28" s="75" t="n"/>
      <c r="B28" s="453" t="n"/>
      <c r="C28" s="430" t="n"/>
      <c r="D28" s="430" t="n"/>
      <c r="E28" s="430" t="n"/>
      <c r="F28" s="430" t="n"/>
      <c r="G28" s="430" t="n"/>
      <c r="H28" s="430" t="n"/>
      <c r="I28" s="430" t="n"/>
      <c r="J28" s="430" t="n"/>
      <c r="K28" s="430" t="n"/>
      <c r="L28" s="430" t="n"/>
      <c r="M28" s="430" t="n"/>
      <c r="N28" s="430" t="n"/>
      <c r="O28" s="430" t="n"/>
      <c r="CV28" s="54" t="n"/>
      <c r="DB28" s="54" t="n"/>
      <c r="DC28" s="54" t="n"/>
      <c r="DD28" s="54" t="n"/>
      <c r="DE28" s="54" t="n"/>
      <c r="DF28" s="54" t="n"/>
      <c r="DG28" s="54" t="n"/>
      <c r="DH28" s="54" t="n"/>
      <c r="DI28" s="54" t="n"/>
      <c r="DJ28" s="54" t="n"/>
      <c r="DK28" s="62" t="n"/>
      <c r="DL28" s="54" t="n"/>
      <c r="DM28" s="54" t="n"/>
      <c r="DN28" s="54" t="n"/>
      <c r="DO28" s="54" t="n"/>
      <c r="DP28" s="54" t="n"/>
    </row>
    <row r="29" ht="27.6" customHeight="1" thickBot="1">
      <c r="A29" s="75" t="n"/>
      <c r="B29" s="334" t="n"/>
      <c r="C29" s="74" t="inlineStr">
        <is>
          <t>详细测试抽样表</t>
        </is>
      </c>
      <c r="D29" s="59" t="n"/>
      <c r="E29" s="59" t="n"/>
      <c r="F29" s="59" t="n"/>
      <c r="G29" s="59" t="n"/>
      <c r="I29" s="430" t="n"/>
      <c r="J29" s="430" t="n"/>
      <c r="K29" s="430" t="n"/>
      <c r="L29" s="430" t="n"/>
      <c r="M29" s="430" t="n"/>
      <c r="N29" s="430" t="n"/>
      <c r="O29" s="430" t="n"/>
      <c r="T29" s="52" t="n"/>
      <c r="U29" s="52" t="n"/>
      <c r="V29" s="52" t="n"/>
      <c r="W29" s="52" t="n"/>
      <c r="X29" s="52" t="n"/>
      <c r="Y29" s="52" t="n"/>
      <c r="Z29" s="52" t="n"/>
      <c r="AA29" s="52" t="n"/>
      <c r="AB29" s="52" t="n"/>
      <c r="CN29" s="54" t="n"/>
      <c r="CO29" s="54" t="n"/>
      <c r="CP29" s="54" t="n"/>
      <c r="CQ29" s="54" t="n"/>
      <c r="CR29" s="54" t="n"/>
      <c r="CS29" s="54" t="n"/>
      <c r="CT29" s="54" t="n"/>
      <c r="CU29" s="54" t="n"/>
      <c r="DD29" s="54" t="n"/>
      <c r="DJ29" s="54" t="n"/>
      <c r="DK29" s="54" t="n"/>
      <c r="DL29" s="54" t="n"/>
      <c r="DM29" s="54" t="n"/>
      <c r="DN29" s="54" t="n"/>
      <c r="DO29" s="54" t="n"/>
      <c r="DP29" s="54" t="n"/>
      <c r="DS29" s="62" t="n"/>
    </row>
    <row r="30" ht="21" customHeight="1" thickBot="1">
      <c r="A30" s="75" t="n"/>
      <c r="C30" s="382" t="n"/>
      <c r="D30" s="383" t="n"/>
      <c r="E30" s="383" t="n"/>
      <c r="F30" s="383" t="n"/>
      <c r="G30" s="383" t="n"/>
      <c r="H30" s="383" t="n"/>
      <c r="I30" s="384" t="n"/>
      <c r="J30" s="159" t="n"/>
      <c r="K30" s="161" t="inlineStr">
        <is>
          <t>EY Works</t>
        </is>
      </c>
      <c r="L30" s="160" t="n"/>
      <c r="M30" s="161" t="n"/>
      <c r="N30" s="160" t="n"/>
      <c r="O30" s="288" t="n"/>
      <c r="T30" s="52" t="n"/>
      <c r="U30" s="52" t="n"/>
      <c r="V30" s="52" t="n"/>
      <c r="W30" s="52" t="n"/>
      <c r="X30" s="52" t="n"/>
      <c r="Y30" s="52" t="n"/>
      <c r="Z30" s="52" t="n"/>
      <c r="AA30" s="52" t="n"/>
      <c r="AB30" s="52" t="n"/>
      <c r="CN30" s="54" t="n"/>
      <c r="CO30" s="54" t="n"/>
      <c r="CP30" s="54" t="n"/>
      <c r="CQ30" s="54" t="n"/>
      <c r="CR30" s="54" t="n"/>
      <c r="CS30" s="54" t="n"/>
      <c r="CT30" s="54" t="n"/>
      <c r="CU30" s="54" t="n"/>
      <c r="DD30" s="54" t="n"/>
      <c r="DJ30" s="54" t="n"/>
      <c r="DK30" s="54" t="n"/>
      <c r="DL30" s="54" t="n"/>
      <c r="DM30" s="54" t="n"/>
      <c r="DN30" s="54" t="n"/>
      <c r="DO30" s="54" t="n"/>
      <c r="DP30" s="54" t="n"/>
      <c r="DS30" s="62" t="n"/>
    </row>
    <row r="31" ht="52.5" customFormat="1" customHeight="1" s="94">
      <c r="A31" s="431" t="n"/>
      <c r="B31" s="454" t="inlineStr">
        <is>
          <t>L2.01.1</t>
        </is>
      </c>
      <c r="C31" s="92" t="inlineStr">
        <is>
          <t xml:space="preserve">账套名称/账套编码 </t>
        </is>
      </c>
      <c r="D31" s="93" t="inlineStr">
        <is>
          <t>样本类型</t>
        </is>
      </c>
      <c r="E31" s="93" t="inlineStr">
        <is>
          <t>项目名称/性质</t>
        </is>
      </c>
      <c r="F31" s="287" t="inlineStr">
        <is>
          <t>长期待摊费用初始确认日期</t>
        </is>
      </c>
      <c r="G31" s="305" t="inlineStr">
        <is>
          <t>原始凭证/合同金额</t>
        </is>
      </c>
      <c r="H31" s="282" t="inlineStr">
        <is>
          <t>摊销期间</t>
        </is>
      </c>
      <c r="I31" s="432" t="inlineStr">
        <is>
          <t>获得的证据/支持的描述（例如，我们检查的具体销售发票/合同/采购单等）</t>
        </is>
      </c>
      <c r="J31" s="385" t="n">
        <v>1</v>
      </c>
      <c r="K31" s="433" t="n">
        <v>2</v>
      </c>
      <c r="L31" s="336" t="n">
        <v>3</v>
      </c>
      <c r="M31" s="386" t="n">
        <v>4</v>
      </c>
      <c r="N31" s="337" t="inlineStr">
        <is>
          <t>支持性文件索引号</t>
        </is>
      </c>
      <c r="O31" s="338" t="inlineStr">
        <is>
          <t>Notes</t>
        </is>
      </c>
      <c r="P31" s="54" t="n"/>
      <c r="Q31" s="54" t="n"/>
      <c r="R31" s="54" t="n"/>
      <c r="S31" s="54" t="n"/>
      <c r="T31" s="65" t="n"/>
      <c r="U31" s="65" t="n"/>
      <c r="V31" s="65" t="n"/>
      <c r="W31" s="65" t="n"/>
      <c r="X31" s="65" t="n"/>
      <c r="Y31" s="65" t="n"/>
      <c r="Z31" s="65" t="n"/>
      <c r="AA31" s="65" t="n"/>
      <c r="AB31" s="65" t="n"/>
      <c r="CS31" s="95" t="n"/>
      <c r="CT31" s="95" t="n"/>
      <c r="CU31" s="95" t="n"/>
      <c r="CV31" s="11" t="n"/>
      <c r="CW31" s="11" t="n"/>
      <c r="CX31" s="11" t="n"/>
      <c r="CY31" s="11" t="n"/>
      <c r="CZ31" s="11" t="n"/>
      <c r="DA31" s="11" t="n"/>
      <c r="DB31" s="11" t="n"/>
      <c r="DC31" s="11" t="n"/>
      <c r="DE31" s="11" t="n"/>
      <c r="DF31" s="11" t="n"/>
      <c r="DG31" s="11" t="n"/>
      <c r="DH31" s="11" t="n"/>
      <c r="DI31" s="11" t="n"/>
      <c r="DS31" s="96" t="n"/>
    </row>
    <row r="32" ht="13.15" customHeight="1">
      <c r="B32" s="455" t="n"/>
      <c r="C32" s="663" t="n"/>
      <c r="D32" s="627" t="n"/>
      <c r="E32" s="627" t="n"/>
      <c r="F32" s="664" t="n"/>
      <c r="G32" s="822" t="n"/>
      <c r="H32" s="823" t="n"/>
      <c r="I32" s="666" t="n"/>
      <c r="J32" s="627" t="n"/>
      <c r="K32" s="627" t="n"/>
      <c r="L32" s="627" t="n"/>
      <c r="M32" s="627" t="n"/>
      <c r="N32" s="667" t="n"/>
      <c r="O32" s="668" t="n"/>
      <c r="T32" s="52" t="n"/>
      <c r="U32" s="52" t="n"/>
      <c r="V32" s="52" t="n"/>
      <c r="W32" s="52" t="n"/>
      <c r="X32" s="52" t="n"/>
      <c r="Y32" s="52" t="n"/>
      <c r="Z32" s="52" t="n"/>
      <c r="AA32" s="52" t="n"/>
      <c r="AB32" s="52" t="n"/>
      <c r="CN32" s="54" t="n"/>
      <c r="CO32" s="54" t="n"/>
      <c r="CP32" s="54" t="n"/>
      <c r="CQ32" s="54" t="n"/>
      <c r="CR32" s="54" t="n"/>
      <c r="CS32" s="54" t="n"/>
      <c r="CT32" s="54" t="n"/>
      <c r="CU32" s="54" t="n"/>
      <c r="DD32" s="54" t="n"/>
      <c r="DJ32" s="54" t="n"/>
      <c r="DK32" s="54" t="n"/>
      <c r="DL32" s="54" t="n"/>
      <c r="DM32" s="54" t="n"/>
      <c r="DN32" s="54" t="n"/>
      <c r="DO32" s="54" t="n"/>
      <c r="DP32" s="54" t="n"/>
      <c r="DS32" s="62" t="n"/>
    </row>
    <row r="33" ht="13.15" customHeight="1">
      <c r="B33" s="455" t="n"/>
      <c r="C33" s="663" t="n"/>
      <c r="D33" s="627" t="n"/>
      <c r="E33" s="627" t="n"/>
      <c r="F33" s="664" t="n"/>
      <c r="G33" s="822" t="n"/>
      <c r="H33" s="823" t="n"/>
      <c r="I33" s="666" t="n"/>
      <c r="J33" s="627" t="n"/>
      <c r="K33" s="627" t="n"/>
      <c r="L33" s="627" t="n"/>
      <c r="M33" s="627" t="n"/>
      <c r="N33" s="667" t="n"/>
      <c r="O33" s="668" t="n"/>
      <c r="T33" s="52" t="n"/>
      <c r="U33" s="52" t="n"/>
      <c r="V33" s="52" t="n"/>
      <c r="W33" s="52" t="n"/>
      <c r="X33" s="52" t="n"/>
      <c r="Y33" s="52" t="n"/>
      <c r="Z33" s="52" t="n"/>
      <c r="AA33" s="52" t="n"/>
      <c r="AB33" s="52" t="n"/>
      <c r="CN33" s="54" t="n"/>
      <c r="CO33" s="54" t="n"/>
      <c r="CP33" s="54" t="n"/>
      <c r="CQ33" s="54" t="n"/>
      <c r="CR33" s="54" t="n"/>
      <c r="CS33" s="54" t="n"/>
      <c r="CT33" s="54" t="n"/>
      <c r="CU33" s="54" t="n"/>
      <c r="DD33" s="54" t="n"/>
      <c r="DJ33" s="54" t="n"/>
      <c r="DK33" s="54" t="n"/>
      <c r="DL33" s="54" t="n"/>
      <c r="DM33" s="54" t="n"/>
      <c r="DN33" s="54" t="n"/>
      <c r="DO33" s="54" t="n"/>
      <c r="DP33" s="54" t="n"/>
      <c r="DS33" s="62" t="n"/>
    </row>
    <row r="34" ht="13.15" customHeight="1">
      <c r="B34" s="455" t="n"/>
      <c r="C34" s="97" t="n"/>
      <c r="D34" s="627" t="n"/>
      <c r="E34" s="325" t="n"/>
      <c r="F34" s="326" t="n"/>
      <c r="G34" s="824" t="n"/>
      <c r="H34" s="825" t="n"/>
      <c r="I34" s="666" t="n"/>
      <c r="J34" s="627" t="n"/>
      <c r="K34" s="627" t="n"/>
      <c r="L34" s="627" t="n"/>
      <c r="M34" s="627" t="n"/>
      <c r="N34" s="667" t="n"/>
      <c r="O34" s="668" t="n"/>
      <c r="T34" s="52" t="n"/>
      <c r="U34" s="52" t="n"/>
      <c r="V34" s="52" t="n"/>
      <c r="W34" s="52" t="n"/>
      <c r="X34" s="52" t="n"/>
      <c r="Y34" s="52" t="n"/>
      <c r="Z34" s="52" t="n"/>
      <c r="AA34" s="52" t="n"/>
      <c r="AB34" s="52" t="n"/>
      <c r="CN34" s="54" t="n"/>
      <c r="CO34" s="54" t="n"/>
      <c r="CP34" s="54" t="n"/>
      <c r="CQ34" s="54" t="n"/>
      <c r="CR34" s="54" t="n"/>
      <c r="CS34" s="54" t="n"/>
      <c r="CT34" s="54" t="n"/>
      <c r="CU34" s="54" t="n"/>
      <c r="DD34" s="54" t="n"/>
      <c r="DJ34" s="54" t="n"/>
      <c r="DK34" s="54" t="n"/>
      <c r="DL34" s="54" t="n"/>
      <c r="DM34" s="54" t="n"/>
      <c r="DN34" s="54" t="n"/>
      <c r="DO34" s="54" t="n"/>
      <c r="DP34" s="54" t="n"/>
      <c r="DS34" s="62" t="n"/>
    </row>
    <row r="35" ht="13.15" customHeight="1">
      <c r="B35" s="455" t="n"/>
      <c r="C35" s="97" t="n"/>
      <c r="D35" s="627" t="n"/>
      <c r="E35" s="325" t="n"/>
      <c r="F35" s="326" t="n"/>
      <c r="G35" s="824" t="n"/>
      <c r="H35" s="825" t="n"/>
      <c r="I35" s="666" t="n"/>
      <c r="J35" s="627" t="n"/>
      <c r="K35" s="627" t="n"/>
      <c r="L35" s="627" t="n"/>
      <c r="M35" s="627" t="n"/>
      <c r="N35" s="667" t="n"/>
      <c r="O35" s="668" t="n"/>
      <c r="T35" s="52" t="n"/>
      <c r="U35" s="52" t="n"/>
      <c r="V35" s="52" t="n"/>
      <c r="W35" s="52" t="n"/>
      <c r="X35" s="52" t="n"/>
      <c r="Y35" s="52" t="n"/>
      <c r="Z35" s="52" t="n"/>
      <c r="AA35" s="52" t="n"/>
      <c r="AB35" s="52" t="n"/>
      <c r="CN35" s="54" t="n"/>
      <c r="CO35" s="54" t="n"/>
      <c r="CP35" s="54" t="n"/>
      <c r="CQ35" s="54" t="n"/>
      <c r="CR35" s="54" t="n"/>
      <c r="CS35" s="54" t="n"/>
      <c r="CT35" s="54" t="n"/>
      <c r="CU35" s="54" t="n"/>
      <c r="DD35" s="54" t="n"/>
      <c r="DJ35" s="54" t="n"/>
      <c r="DK35" s="54" t="n"/>
      <c r="DL35" s="54" t="n"/>
      <c r="DM35" s="54" t="n"/>
      <c r="DN35" s="54" t="n"/>
      <c r="DO35" s="54" t="n"/>
      <c r="DP35" s="54" t="n"/>
      <c r="DS35" s="62" t="n"/>
    </row>
    <row r="36" ht="13.5" customHeight="1" thickBot="1">
      <c r="B36" s="455" t="n"/>
      <c r="C36" s="669" t="n"/>
      <c r="D36" s="645" t="n"/>
      <c r="E36" s="645" t="n"/>
      <c r="F36" s="670" t="n"/>
      <c r="G36" s="826" t="n"/>
      <c r="H36" s="827" t="n"/>
      <c r="I36" s="673" t="n"/>
      <c r="J36" s="645" t="n"/>
      <c r="K36" s="645" t="n"/>
      <c r="L36" s="645" t="n"/>
      <c r="M36" s="645" t="n"/>
      <c r="N36" s="674" t="n"/>
      <c r="O36" s="675" t="n"/>
      <c r="T36" s="52" t="n"/>
      <c r="U36" s="52" t="n"/>
      <c r="V36" s="52" t="n"/>
      <c r="W36" s="52" t="n"/>
      <c r="X36" s="52" t="n"/>
      <c r="Y36" s="52" t="n"/>
      <c r="Z36" s="52" t="n"/>
      <c r="AA36" s="52" t="n"/>
      <c r="AB36" s="52" t="n"/>
      <c r="CN36" s="54" t="n"/>
      <c r="CO36" s="54" t="n"/>
      <c r="CP36" s="54" t="n"/>
      <c r="CQ36" s="54" t="n"/>
      <c r="CR36" s="54" t="n"/>
      <c r="CS36" s="54" t="n"/>
      <c r="CT36" s="54" t="n"/>
      <c r="CU36" s="54" t="n"/>
      <c r="DD36" s="54" t="n"/>
      <c r="DJ36" s="54" t="n"/>
      <c r="DK36" s="54" t="n"/>
      <c r="DL36" s="54" t="n"/>
      <c r="DM36" s="54" t="n"/>
      <c r="DN36" s="54" t="n"/>
      <c r="DO36" s="54" t="n"/>
      <c r="DP36" s="54" t="n"/>
      <c r="DS36" s="62" t="n"/>
    </row>
    <row r="37">
      <c r="A37" s="75" t="n"/>
      <c r="B37" s="456" t="n"/>
      <c r="C37" s="400" t="inlineStr">
        <is>
          <t>标记图例：记录已识别的异常情况以及如何解决这些异常情况的详细信息，包括执行的其他实质性程序（指南：包括足够的描述，以使之前与审计无关的经验丰富的审计师能够理解执行的程序），检查无误标记“Y”</t>
        </is>
      </c>
      <c r="D37" s="61" t="n"/>
      <c r="E37" s="61" t="n"/>
      <c r="F37" s="61" t="n"/>
      <c r="G37" s="61" t="n"/>
      <c r="H37" s="61" t="n"/>
      <c r="I37" s="61" t="n"/>
      <c r="J37" s="61" t="n"/>
      <c r="K37" s="52" t="n"/>
      <c r="L37" s="52" t="n"/>
      <c r="M37" s="52" t="n"/>
      <c r="N37" s="52" t="n"/>
      <c r="O37" s="52" t="n"/>
      <c r="T37" s="52" t="n"/>
      <c r="U37" s="52" t="n"/>
      <c r="V37" s="52" t="n"/>
      <c r="W37" s="52" t="n"/>
      <c r="CN37" s="54" t="n"/>
      <c r="CO37" s="54" t="n"/>
      <c r="CP37" s="54" t="n"/>
      <c r="CY37" s="54" t="n"/>
      <c r="DE37" s="54" t="n"/>
      <c r="DF37" s="54" t="n"/>
      <c r="DG37" s="54" t="n"/>
      <c r="DH37" s="54" t="n"/>
      <c r="DI37" s="54" t="n"/>
      <c r="DJ37" s="54" t="n"/>
      <c r="DK37" s="54" t="n"/>
      <c r="DL37" s="54" t="n"/>
      <c r="DM37" s="54" t="n"/>
      <c r="DN37" s="62" t="n"/>
      <c r="DO37" s="54" t="n"/>
      <c r="DP37" s="54" t="n"/>
    </row>
    <row r="38" ht="13.5" customHeight="1" thickBot="1">
      <c r="B38" s="54" t="n"/>
      <c r="C38" s="7" t="n"/>
      <c r="D38" s="7" t="n"/>
      <c r="E38" s="7" t="n"/>
      <c r="F38" s="7" t="n"/>
      <c r="G38" s="7" t="n"/>
      <c r="H38" s="7" t="n"/>
      <c r="I38" s="7" t="n"/>
      <c r="J38" s="828" t="n"/>
      <c r="K38" s="7" t="n"/>
      <c r="L38" s="76" t="n"/>
      <c r="M38" s="76" t="n"/>
      <c r="CM38" s="4" t="n"/>
      <c r="DM38" s="58" t="n"/>
      <c r="DN38" s="4" t="n"/>
      <c r="DO38" s="5" t="n"/>
      <c r="DP38" s="54" t="n"/>
    </row>
    <row r="39" ht="14.1" customHeight="1">
      <c r="B39" s="140" t="inlineStr">
        <is>
          <t>Notes</t>
        </is>
      </c>
      <c r="C39" s="821" t="n"/>
      <c r="D39" s="707" t="n"/>
      <c r="E39" s="707" t="n"/>
      <c r="F39" s="707" t="n"/>
      <c r="G39" s="708" t="n"/>
      <c r="CM39" s="4" t="n"/>
      <c r="DM39" s="58" t="n"/>
      <c r="DN39" s="4" t="n"/>
      <c r="DO39" s="5" t="n"/>
      <c r="DP39" s="54" t="n"/>
    </row>
    <row r="40" ht="14.1" customHeight="1">
      <c r="C40" s="709" t="n"/>
      <c r="G40" s="696" t="n"/>
    </row>
    <row r="41" ht="14.1" customHeight="1" thickBot="1">
      <c r="A41" s="411" t="n"/>
      <c r="C41" s="710" t="n"/>
      <c r="D41" s="711" t="n"/>
      <c r="E41" s="711" t="n"/>
      <c r="F41" s="711" t="n"/>
      <c r="G41" s="712" t="n"/>
    </row>
    <row r="42">
      <c r="A42" s="411" t="n"/>
    </row>
    <row r="43" ht="12.75" customHeight="1">
      <c r="A43" s="411" t="n"/>
    </row>
    <row r="44" ht="12.75" customHeight="1">
      <c r="A44" s="411" t="n"/>
    </row>
    <row r="45" ht="12.75" customHeight="1">
      <c r="A45" s="411" t="n"/>
    </row>
    <row r="46" ht="12.75" customHeight="1">
      <c r="A46" s="411" t="n"/>
    </row>
    <row r="47" ht="12.75" customHeight="1">
      <c r="A47" s="411" t="n"/>
    </row>
    <row r="48" ht="12.75" customHeight="1">
      <c r="A48" s="411" t="n"/>
    </row>
    <row r="49" ht="12.75" customHeight="1">
      <c r="A49" s="411"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sheetData>
  <mergeCells count="7">
    <mergeCell ref="C16:G18"/>
    <mergeCell ref="D11:F11"/>
    <mergeCell ref="D9:F9"/>
    <mergeCell ref="C5:J5"/>
    <mergeCell ref="D8:F8"/>
    <mergeCell ref="C39:G41"/>
    <mergeCell ref="D10:F10"/>
  </mergeCells>
  <conditionalFormatting sqref="G11">
    <cfRule type="cellIs" priority="2" operator="equal" dxfId="0">
      <formula>0</formula>
    </cfRule>
  </conditionalFormatting>
  <conditionalFormatting sqref="C16:G18 C32:N36 C39:G41 G9:I9">
    <cfRule type="containsBlanks" priority="3" dxfId="0">
      <formula>LEN(TRIM(C9))=0</formula>
    </cfRule>
  </conditionalFormatting>
  <conditionalFormatting sqref="H10:I11">
    <cfRule type="containsBlanks" priority="1" dxfId="0">
      <formula>LEN(TRIM(H10))=0</formula>
    </cfRule>
  </conditionalFormatting>
  <dataValidations count="4">
    <dataValidation sqref="D32:D36" showDropDown="0" showInputMessage="1" showErrorMessage="0" allowBlank="1" type="list">
      <formula1>"关键项（key item）,代表性样本"</formula1>
    </dataValidation>
    <dataValidation sqref="J32:M36" showDropDown="0" showInputMessage="1" showErrorMessage="0" allowBlank="1" type="list">
      <formula1>"Y,N"</formula1>
    </dataValidation>
    <dataValidation sqref="H9:H11" showDropDown="0" showInputMessage="1" showErrorMessage="0" allowBlank="1" type="list">
      <formula1>"是,否"</formula1>
    </dataValidation>
    <dataValidation sqref="I9:I11"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W10"/>
  <sheetViews>
    <sheetView showGridLines="0" zoomScale="70" zoomScaleNormal="70" workbookViewId="0">
      <selection activeCell="R13" sqref="R13"/>
    </sheetView>
  </sheetViews>
  <sheetFormatPr baseColWidth="8" defaultColWidth="9" defaultRowHeight="18"/>
  <cols>
    <col width="2.75" customWidth="1" style="441" min="1" max="1"/>
    <col width="9" customWidth="1" style="440" min="2" max="19"/>
    <col width="52.625" customWidth="1" style="440" min="20" max="20"/>
    <col width="2.125" customWidth="1" style="440" min="21" max="21"/>
    <col width="9" customWidth="1" style="440" min="22" max="16384"/>
  </cols>
  <sheetData>
    <row r="1">
      <c r="A1" s="437" t="inlineStr">
        <is>
          <t>b9adffc1-e6db-49d0-888c-ff2f43ccef26</t>
        </is>
      </c>
      <c r="U1" s="544" t="n"/>
    </row>
    <row r="2" ht="21" customHeight="1">
      <c r="C2" s="259" t="inlineStr">
        <is>
          <t>将此选项页替换为安永智能选样工作文件中的“选样项目详细信息”</t>
        </is>
      </c>
      <c r="D2" s="259" t="n"/>
      <c r="E2" s="259" t="n"/>
      <c r="F2" s="259" t="n"/>
      <c r="G2" s="259" t="n"/>
      <c r="H2" s="259" t="n"/>
      <c r="I2" s="259" t="n"/>
      <c r="J2" s="259" t="n"/>
      <c r="K2" s="442" t="n"/>
      <c r="L2" s="442" t="n"/>
      <c r="U2" s="544" t="n"/>
      <c r="W2" s="457" t="inlineStr">
        <is>
          <t>返回汇总页</t>
        </is>
      </c>
    </row>
    <row r="3" ht="21" customFormat="1" customHeight="1" s="444">
      <c r="A3" s="443" t="n"/>
      <c r="C3" s="445" t="inlineStr">
        <is>
          <t>注：样本存在性测试请与L2.01.1 BKD （期末净值AB29）测试金额核对一致</t>
        </is>
      </c>
      <c r="D3" s="445" t="n"/>
      <c r="E3" s="445" t="n"/>
      <c r="F3" s="445" t="n"/>
      <c r="G3" s="445" t="n"/>
      <c r="H3" s="445" t="n"/>
      <c r="I3" s="445" t="n"/>
      <c r="J3" s="445" t="n"/>
      <c r="K3" s="446" t="n"/>
      <c r="L3" s="446" t="n"/>
      <c r="U3" s="544" t="n"/>
    </row>
    <row r="4">
      <c r="U4" s="544" t="n"/>
    </row>
    <row r="5" ht="8.65" customFormat="1" customHeight="1" s="447">
      <c r="A5" s="543" t="n"/>
      <c r="C5" s="544" t="n"/>
      <c r="D5" s="544" t="n"/>
      <c r="E5" s="544" t="n"/>
      <c r="F5" s="544" t="n"/>
      <c r="G5" s="544" t="n"/>
      <c r="H5" s="544" t="n"/>
      <c r="I5" s="544" t="n"/>
      <c r="J5" s="544" t="n"/>
      <c r="K5" s="544" t="n"/>
      <c r="L5" s="544" t="n"/>
      <c r="M5" s="544" t="n"/>
      <c r="N5" s="544" t="n"/>
      <c r="O5" s="544" t="n"/>
      <c r="P5" s="544" t="n"/>
      <c r="Q5" s="544" t="n"/>
      <c r="R5" s="544" t="n"/>
      <c r="S5" s="544" t="n"/>
      <c r="T5" s="544" t="n"/>
      <c r="U5" s="544" t="n"/>
    </row>
    <row r="10">
      <c r="H10" s="444" t="n"/>
    </row>
  </sheetData>
  <mergeCells count="1">
    <mergeCell ref="A5:B5"/>
  </mergeCells>
  <hyperlinks>
    <hyperlink ref="W2" location="汇总!A1" display="返回汇总页"/>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Skywind_L2_长期待摊费用_20191231_好孩子项目测试.xlsx</dc:title>
  <dc:description>2A5E66E6-5E76-4F04-90F0-810CFA05134A</dc:description>
  <dcterms:created xsi:type="dcterms:W3CDTF">2006-09-16T00:00:00Z</dcterms:created>
  <dcterms:modified xsi:type="dcterms:W3CDTF">2026-05-20T04:05:10Z</dcterms:modified>
  <cp:lastModifiedBy>Evelyn Z Zhao</cp:lastModifiedBy>
  <cp:keywords>Final Audit.V5.L2.1107</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161DA9C9F82648F5AE558EC28CFAC639</vt:lpwstr>
  </property>
  <property name="KSOProductBuildVer" fmtid="{D5CDD505-2E9C-101B-9397-08002B2CF9AE}" pid="4">
    <vt:lpwstr>2052-11.1.0.12358</vt:lpwstr>
  </property>
</Properties>
</file>
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46168.58699327355</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n"/>
      <c r="D7" s="376" t="n"/>
      <c r="O7" s="601" t="n"/>
      <c r="Q7" s="141" t="n"/>
    </row>
    <row r="8" ht="16.5" customFormat="1" customHeight="1" s="140">
      <c r="B8" s="143" t="inlineStr">
        <is>
          <t>记账本位币</t>
        </is>
      </c>
      <c r="C8" s="374" t="n"/>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f>'J.01 Agree SL to GL'!E17</f>
        <v/>
      </c>
      <c r="F45" s="625">
        <f>'J.01 Agree SL to GL'!G17</f>
        <v/>
      </c>
      <c r="G45" s="625">
        <f>E45+F45</f>
        <v/>
      </c>
      <c r="H45" s="625">
        <f>'J.01 Agree SL to GL'!I17</f>
        <v/>
      </c>
      <c r="I45" s="625">
        <f>G45+H45</f>
        <v/>
      </c>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f>'J.01 Agree SL to GL'!E22</f>
        <v/>
      </c>
      <c r="F46" s="625">
        <f>'J.01 Agree SL to GL'!G22</f>
        <v/>
      </c>
      <c r="G46" s="625">
        <f>E46+F46</f>
        <v/>
      </c>
      <c r="H46" s="625">
        <f>'J.01 Agree SL to GL'!I22</f>
        <v/>
      </c>
      <c r="I46" s="625">
        <f>G46+H46</f>
        <v/>
      </c>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f>E45-E46</f>
        <v/>
      </c>
      <c r="F48" s="632">
        <f>F45-F46</f>
        <v/>
      </c>
      <c r="G48" s="632">
        <f>G45-G46</f>
        <v/>
      </c>
      <c r="H48" s="632">
        <f>H45-H46</f>
        <v/>
      </c>
      <c r="I48" s="632">
        <f>I45-I46</f>
        <v/>
      </c>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2026-05-26T06:05:16Z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
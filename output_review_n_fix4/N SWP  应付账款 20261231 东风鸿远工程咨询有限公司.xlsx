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824" firstSheet="0" activeTab="0" autoFilterDateGrouping="1"/>
  </bookViews>
  <sheets>
    <sheet name="汇总" sheetId="1" state="visible" r:id="rId1"/>
    <sheet name="N.00 Lead sheet" sheetId="2" state="visible" r:id="rId2"/>
    <sheet name="N.01 明细账与总账核对" sheetId="3" state="visible" r:id="rId3"/>
    <sheet name="N.01.01明细账" sheetId="4" state="visible" r:id="rId4"/>
    <sheet name="N.02 异常项复核" sheetId="5" state="visible" r:id="rId5"/>
    <sheet name="N.03 截止测试" sheetId="6" state="visible" r:id="rId6"/>
    <sheet name="N.04 寻找未入账负债" sheetId="7" state="visible" r:id="rId7"/>
    <sheet name="SkywindSettingSheet" sheetId="8" state="veryHidden" r:id="rId8"/>
    <sheet name="DS_INTERNAL_SETTINGS_STORAGE" sheetId="9" state="veryHidden" r:id="rId9"/>
    <sheet name="DS_INTERNAL_DOCGROUP_STORAGE" sheetId="10" state="veryHidden" r:id="rId10"/>
    <sheet name="DS_INTERNAL_DOCUMENT_STORAGE" sheetId="11" state="veryHidden" r:id="rId11"/>
    <sheet name="DS_INTERNAL_SNIP_STORAGE" sheetId="12" state="veryHidden" r:id="rId12"/>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F"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IntlFixup" hidden="1">TRUE</definedName>
    <definedName name="_1__123Graph_ACHART_3" hidden="1">#REF!</definedName>
    <definedName name="_15wrn.²Ä1­Ó¤ë1_Ü20¤H." hidden="1">{#N/A,#N/A,FALSE,"²Ä1­Ó¤ë"}</definedName>
    <definedName name="_16wrn.²Ä1­Ó¤ë1_Ü20¤H." hidden="1">{#N/A,#N/A,FALSE,"²Ä1­Ó¤ë"}</definedName>
    <definedName name="_2__123Graph_BCHART_2" hidden="1">#REF!</definedName>
    <definedName name="_3__123Graph_BCHART_3" hidden="1">#REF!</definedName>
    <definedName name="_4__123Graph_CCHART_3" hidden="1">#REF!</definedName>
    <definedName name="_5__123Graph_DCHART_2" hidden="1">#REF!</definedName>
    <definedName name="_57__123Graph_ACHART_1" hidden="1">#REF!</definedName>
    <definedName name="_6__123Graph_DCHART_3" hidden="1">#REF!</definedName>
    <definedName name="_60__123Graph_BCHART_1" hidden="1">#REF!</definedName>
    <definedName name="_63__123Graph_CCHART_1" hidden="1">#REF!</definedName>
    <definedName name="_66__123Graph_DCHART_1" hidden="1">#REF!</definedName>
    <definedName name="_69__123Graph_XCHART_1" hidden="1">#REF!</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In2"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vbrdf" hidden="1">{#N/A,#N/A,FALSE,"OffAdvance";#N/A,#N/A,FALSE,"OffExpRprt";#N/A,#N/A,FALSE,"Travelling";#N/A,#N/A,FALSE,"Entertmnt";#N/A,#N/A,FALSE,"Promotion"}</definedName>
    <definedName name="aaz" hidden="1">{#N/A,#N/A,FALSE,"资产负债表";#N/A,#N/A,FALSE,"资产负债表"}</definedName>
    <definedName name="AccessDatabase" hidden="1">"F:\Track-Pur\Sachs-2000.mdb"</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nakf" hidden="1">{#N/A,#N/A,FALSE,"资产负债表";#N/A,#N/A,FALSE,"资产负债表"}</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das" hidden="1">{#N/A,#N/A,FALSE,"Marketing";#N/A,#N/A,FALSE,"Selling";#N/A,#N/A,FALSE,"Promotional";#N/A,#N/A,FALSE,"Advertising"}</definedName>
    <definedName name="asdg" hidden="1">{#N/A,#N/A,FALSE,"资产负债表";#N/A,#N/A,FALSE,"资产负债表"}</definedName>
    <definedName name="ass" hidden="1">{#N/A,#N/A,TRUE,"CPRD";#N/A,#N/A,TRUE,"BCCPDR";#N/A,#N/A,TRUE,"EWRD";#N/A,#N/A,TRUE,"5100";#N/A,#N/A,TRUE,"5110"}</definedName>
    <definedName name="BG_Del" hidden="1">15</definedName>
    <definedName name="BG_Ins" hidden="1">4</definedName>
    <definedName name="BG_Mod" hidden="1">6</definedName>
    <definedName name="BLPH6"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YD" hidden="1">{#N/A,#N/A,FALSE,"Earn'gs &amp; Val'n";#N/A,#N/A,FALSE,"Interim"}</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oll" hidden="1">{#N/A,#N/A,FALSE,"970301";#N/A,#N/A,FALSE,"970302";#N/A,#N/A,FALSE,"970303";#N/A,#N/A,FALSE,"970304";#N/A,#N/A,FALSE,"COM1";#N/A,#N/A,FALSE,"COM2"}</definedName>
    <definedName name="DBS" hidden="1">#REF!</definedName>
    <definedName name="dcca" hidden="1">{#N/A,#N/A,FALSE,"资产负债表";#N/A,#N/A,FALSE,"资产负债表"}</definedName>
    <definedName name="dfgdafsg" hidden="1">{#N/A,#N/A,FALSE,"OffAdvance";#N/A,#N/A,FALSE,"OffExpRprt";#N/A,#N/A,FALSE,"Travelling";#N/A,#N/A,FALSE,"Entertmnt";#N/A,#N/A,FALSE,"Promotion"}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hidden="1">{#N/A,#N/A,TRUE,"CPRD";#N/A,#N/A,TRUE,"BCCPDR";#N/A,#N/A,TRUE,"EWRD";#N/A,#N/A,TRUE,"5100";#N/A,#N/A,TRUE,"5110"}</definedName>
    <definedName name="dog" hidden="1">{#N/A,#N/A,TRUE,"CPRD";#N/A,#N/A,TRUE,"BCCPDR";#N/A,#N/A,TRUE,"EWRD";#N/A,#N/A,TRUE,"5100";#N/A,#N/A,TRUE,"5110"}</definedName>
    <definedName name="DPL" hidden="1">#REF!</definedName>
    <definedName name="dsd是" hidden="1">#REF!</definedName>
    <definedName name="dvbm" hidden="1">{#N/A,#N/A,FALSE,"资产负债表";#N/A,#N/A,FALSE,"资产负债表"}</definedName>
    <definedName name="ehdg" hidden="1">{#N/A,#N/A,FALSE,"Jan"}</definedName>
    <definedName name="erf" hidden="1">{#N/A,#N/A,FALSE,"970301";#N/A,#N/A,FALSE,"970302";#N/A,#N/A,FALSE,"970303";#N/A,#N/A,FALSE,"970304";#N/A,#N/A,FALSE,"COM1";#N/A,#N/A,FALSE,"COM2"}</definedName>
    <definedName name="eryj" hidden="1">{#N/A,#N/A,FALSE,"资产负债表";#N/A,#N/A,FALSE,"资产负债表"}</definedName>
    <definedName name="EV__LASTREFTIME__" hidden="1">39274.4724884259</definedName>
    <definedName name="ExpenseUpload" hidden="1">{#N/A,#N/A,TRUE,"CPRD";#N/A,#N/A,TRUE,"BCCPDR";#N/A,#N/A,TRUE,"EWRD";#N/A,#N/A,TRUE,"5100";#N/A,#N/A,TRUE,"5110"}</definedName>
    <definedName name="f" hidden="1">#REF!</definedName>
    <definedName name="faif" hidden="1">{#N/A,#N/A,FALSE,"资产负债表";#N/A,#N/A,FALSE,"资产负债表"}</definedName>
    <definedName name="FCode" hidden="1">#REF!</definedName>
    <definedName name="fd" hidden="1">{"M1sPrint",#N/A,FALSE,"M1s"}</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vb" hidden="1">{#N/A,#N/A,FALSE,"资产负债表";#N/A,#N/A,FALSE,"资产负债表"}</definedName>
    <definedName name="G9IJGF" hidden="1">{#N/A,#N/A,FALSE,"资产负债表";#N/A,#N/A,FALSE,"资产负债表"}</definedName>
    <definedName name="hadiah" hidden="1">{#N/A,#N/A,FALSE,"资产负债表";#N/A,#N/A,FALSE,"资产负债表"}</definedName>
    <definedName name="HdctTrnd" hidden="1">{#N/A,#N/A,TRUE,"CPRD";#N/A,#N/A,TRUE,"BCCPDR";#N/A,#N/A,TRUE,"EWRD";#N/A,#N/A,TRUE,"5100";#N/A,#N/A,TRUE,"5110"}</definedName>
    <definedName name="HiddenRows" hidden="1">#REF!</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eoa" hidden="1">{#N/A,#N/A,FALSE,"资产负债表";#N/A,#N/A,FALSE,"资产负债表"}</definedName>
    <definedName name="ieji" hidden="1">{#N/A,#N/A,FALSE,"970301";#N/A,#N/A,FALSE,"970302";#N/A,#N/A,FALSE,"970303";#N/A,#N/A,FALSE,"970304";#N/A,#N/A,FALSE,"COM1";#N/A,#N/A,FALSE,"COM2"}</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39097.571875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ik" hidden="1">{#N/A,#N/A,FALSE,"OffAdvance";#N/A,#N/A,FALSE,"OffExpRprt";#N/A,#N/A,FALSE,"Entertmnt";#N/A,#N/A,FALSE,"Promotion";#N/A,#N/A,FALSE,"Travelling"}</definedName>
    <definedName name="kuj" hidden="1">{"M6Print",#N/A,FALSE,"M6";"M6_1Print",#N/A,FALSE,"M6_1";"M6_2Print",#N/A,FALSE,"M6_2"}</definedName>
    <definedName name="LotusGraphChart1" hidden="1">#REF!</definedName>
    <definedName name="lotusgraphchart1b" hidden="1">#REF!</definedName>
    <definedName name="lotusgraphchart1x" hidden="1">#REF!</definedName>
    <definedName name="lu" hidden="1">{"M1sPrint",#N/A,FALSE,"M1s"}</definedName>
    <definedName name="M_PlaceofPath" hidden="1">"F:\danders\COMPANY\HET\HET_VDF.XLS"</definedName>
    <definedName name="n" hidden="1">{"M2Print",#N/A,FALSE,"M2"}</definedName>
    <definedName name="new" hidden="1">{#N/A,#N/A,FALSE,"Jan"}</definedName>
    <definedName name="ngn" hidden="1">{"M1Print",#N/A,TRUE,"M1";"M2Print",#N/A,TRUE,"M2";"M1sPrint",#N/A,TRUE,"M1s";"M2aPrint",#N/A,TRUE,"M2a";"M4Print",#N/A,TRUE,"M4";"M5Print",#N/A,TRUE,"M5";"M6Print",#N/A,TRUE,"M6";"M6_1Print",#N/A,TRUE,"M6_1";"M6_2Print",#N/A,TRUE,"M6_2";"M7_1Print",#N/A,TRUE,"M7_1";"M7_2Print",#N/A,TRUE,"M7_2"}</definedName>
    <definedName name="notused" hidden="1">{#N/A,#N/A,TRUE,"CPRD";#N/A,#N/A,TRUE,"BCCPDR";#N/A,#N/A,TRUE,"EWRD";#N/A,#N/A,TRUE,"5100";#N/A,#N/A,TRUE,"5110"}</definedName>
    <definedName name="ooo" hidden="1">{#N/A,#N/A,FALSE,"Sales  total 9712";#N/A,#N/A,FALSE,"Sales  total 9712";#N/A,#N/A,FALSE,"Sales  total 9712";#N/A,#N/A,FALSE,"Sales  total 9712"}</definedName>
    <definedName name="OrderTable" hidden="1">#REF!</definedName>
    <definedName name="ProdForm" hidden="1">#REF!</definedName>
    <definedName name="Product" hidden="1">#REF!</definedName>
    <definedName name="qwertyuiopasdfghjkl" hidden="1">{"M2aPrint",#N/A,FALSE,"M2a"}</definedName>
    <definedName name="qwwertyuiop" hidden="1">{"M2Print",#N/A,FALSE,"M2"}</definedName>
    <definedName name="RCArea" hidden="1">#REF!</definedName>
    <definedName name="RJE" hidden="1">{"toptrial",#N/A,TRUE,"toptrial";"adjustment",#N/A,TRUE,"toptrial";"voucher",#N/A,TRUE,"toptrial"}</definedName>
    <definedName name="SAPBEXdnldView" hidden="1">"4D4WVRAZFXWLPKS3R52UJB0QG"</definedName>
    <definedName name="SAPBEXrevision" hidden="1">1</definedName>
    <definedName name="SAPBEXsysID" hidden="1">"PE4"</definedName>
    <definedName name="SAPBEXwbID" hidden="1">"3Q4R7W3VD66V3CXTGQHGIRCBE"</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pecialPrice" hidden="1">#REF!</definedName>
    <definedName name="sssz" hidden="1">{#N/A,#N/A,FALSE,"资产负债表";#N/A,#N/A,FALSE,"资产负债表"}</definedName>
    <definedName name="tbl_ProdInfo" hidden="1">#REF!</definedName>
    <definedName name="terh" hidden="1">{#N/A,#N/A,FALSE,"OffAdvance";#N/A,#N/A,FALSE,"OffExpRprt";#N/A,#N/A,FALSE,"Entertmnt";#N/A,#N/A,FALSE,"Promotion";#N/A,#N/A,FALSE,"Travelling"}</definedName>
    <definedName name="TextRefCopyRangeCount" hidden="1">5</definedName>
    <definedName name="tfhg" hidden="1">{"M1Print",#N/A,FALSE,"M1"}</definedName>
    <definedName name="the" hidden="1">{#N/A,#N/A,FALSE,"Marketing";#N/A,#N/A,FALSE,"Selling";#N/A,#N/A,FALSE,"Promotional";#N/A,#N/A,FALSE,"Advertising"}</definedName>
    <definedName name="ulead" hidden="1">{#N/A,#N/A,FALSE,"970301";#N/A,#N/A,FALSE,"970302";#N/A,#N/A,FALSE,"970303";#N/A,#N/A,FALSE,"970304";#N/A,#N/A,FALSE,"COM1";#N/A,#N/A,FALSE,"COM2"}</definedName>
    <definedName name="uygh" hidden="1">{"M6Print",#N/A,FALSE,"M6";"M6_1Print",#N/A,FALSE,"M6_1";"M6_2Print",#N/A,FALSE,"M6_2"}</definedName>
    <definedName name="vhvkb" hidden="1">{#N/A,#N/A,FALSE,"资产负债表";#N/A,#N/A,FALSE,"资产负债表"}</definedName>
    <definedName name="werwefasd" hidden="1">#REF!</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ERNST." hidden="1">{#N/A,#N/A,FALSE,"YTCHAN";#N/A,#N/A,FALSE,"TOMMY";#N/A,#N/A,FALSE,"REP.OFFICE";#N/A,#N/A,FALSE,"E&amp;Y_CONSULTANT";#N/A,#N/A,FALSE,"BT &amp; CIT"}</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hidden="1">{#N/A,#N/A,FALSE,"OffAdvance";#N/A,#N/A,FALSE,"OffExpRprt";#N/A,#N/A,FALSE,"Entertmnt";#N/A,#N/A,FALSE,"Promotion";#N/A,#N/A,FALSE,"Travelling"}</definedName>
    <definedName name="wrn.gb." hidden="1">{#N/A,#N/A,FALSE,"资产负债表";#N/A,#N/A,FALSE,"资产负债表"}</definedName>
    <definedName name="wrn.Input._.Data." hidden="1">{"Input_Fin",#N/A,FALSE,"By Code";"Input_Opt",#N/A,FALSE,"By Code"}</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hidden="1">{#N/A,#N/A,FALSE,"Sales  total 9712";#N/A,#N/A,FALSE,"Sales  total 9712";#N/A,#N/A,FALSE,"Sales  total 9712";#N/A,#N/A,FALSE,"Sales  total 9712"}</definedName>
    <definedName name="wrn.Sales." hidden="1">{#N/A,#N/A,FALSE,"Marketing";#N/A,#N/A,FALSE,"Selling";#N/A,#N/A,FALSE,"Promotional";#N/A,#N/A,FALSE,"Advertising"}</definedName>
    <definedName name="wrn.sunmicro." hidden="1">{#N/A,#N/A,FALSE,"FREEMAN";#N/A,#N/A,FALSE,"STEPHEN";#N/A,#N/A,FALSE,"VICTOR"}</definedName>
    <definedName name="wrn.test1." hidden="1">{#N/A,#N/A,FALSE,"Earn'gs &amp; Val'n";#N/A,#N/A,FALSE,"Interim"}</definedName>
    <definedName name="wrn.tope" hidden="1">{"toptrial",#N/A,TRUE,"toptrial";"adjustment",#N/A,TRUE,"toptrial";"voucher",#N/A,TRUE,"toptrial"}</definedName>
    <definedName name="wrn.toptrial." hidden="1">{"toptrial",#N/A,TRUE,"toptrial";"adjustment",#N/A,TRUE,"toptrial";"voucher",#N/A,TRUE,"toptrial"}</definedName>
    <definedName name="wrn.voucher9703." hidden="1">{#N/A,#N/A,FALSE,"970301";#N/A,#N/A,FALSE,"970302";#N/A,#N/A,FALSE,"970303";#N/A,#N/A,FALSE,"970304";#N/A,#N/A,FALSE,"COM1";#N/A,#N/A,FALSE,"COM2"}</definedName>
    <definedName name="wrn.ytd." hidden="1">{#N/A,#N/A,FALSE,"YTD"}</definedName>
    <definedName name="wrn100.gb" hidden="1">{#N/A,#N/A,FALSE,"资产负债表";#N/A,#N/A,FALSE,"资产负债表"}</definedName>
    <definedName name="wrnn.all." hidden="1">{#N/A,#N/A,FALSE,"SUM";#N/A,#N/A,FALSE,"SK_TOT";#N/A,#N/A,FALSE,"YM";#N/A,#N/A,FALSE,"TSMC";#N/A,#N/A,FALSE,"ICW";#N/A,#N/A,FALSE,"Sheet1"}</definedName>
    <definedName name="wtr" hidden="1">{#N/A,#N/A,FALSE,"资产负债表";#N/A,#N/A,FALSE,"资产负债表"}</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XXXXXXXXX" hidden="1">#REF!</definedName>
    <definedName name="xyz" hidden="1">#REF!</definedName>
    <definedName name="xzxsfd" hidden="1">{"M1Print",#N/A,FALSE,"M1"}</definedName>
    <definedName name="y" hidden="1">{#N/A,#N/A,FALSE,"970301";#N/A,#N/A,FALSE,"970302";#N/A,#N/A,FALSE,"970303";#N/A,#N/A,FALSE,"970304";#N/A,#N/A,FALSE,"COM1";#N/A,#N/A,FALSE,"COM2"}</definedName>
    <definedName name="Z_1711050D_B2D8_42FB_A40D_E4BD90297684_.wvu.Cols" hidden="1">#REF!,#REF!,#REF!,#REF!,#REF!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CB0E8320_907C_11D8_8F9A_003018607B51_.wvu.Col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ZZZZZZZZZZZZ" hidden="1">#REF!</definedName>
    <definedName name="啊" hidden="1">{#N/A,#N/A,FALSE,"970301";#N/A,#N/A,FALSE,"970302";#N/A,#N/A,FALSE,"970303";#N/A,#N/A,FALSE,"970304";#N/A,#N/A,FALSE,"COM1";#N/A,#N/A,FALSE,"COM2"}</definedName>
    <definedName name="备用" hidden="1">{#N/A,#N/A,FALSE,"OffAdvance";#N/A,#N/A,FALSE,"OffExpRprt";#N/A,#N/A,FALSE,"Entertmnt";#N/A,#N/A,FALSE,"Promotion";#N/A,#N/A,FALSE,"Travelling"}</definedName>
    <definedName name="借款" hidden="1">{#N/A,#N/A,FALSE,"970301";#N/A,#N/A,FALSE,"970302";#N/A,#N/A,FALSE,"970303";#N/A,#N/A,FALSE,"970304";#N/A,#N/A,FALSE,"COM1";#N/A,#N/A,FALSE,"COM2"}</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_____dod1" localSheetId="0" hidden="1">{#N/A,#N/A,TRUE,"CPRD";#N/A,#N/A,TRUE,"BCCPDR";#N/A,#N/A,TRUE,"EWRD";#N/A,#N/A,TRUE,"5100";#N/A,#N/A,TRUE,"5110"}</definedName>
    <definedName name="____dod1" localSheetId="0" hidden="1">{#N/A,#N/A,TRUE,"CPRD";#N/A,#N/A,TRUE,"BCCPDR";#N/A,#N/A,TRUE,"EWRD";#N/A,#N/A,TRUE,"5100";#N/A,#N/A,TRUE,"5110"}</definedName>
    <definedName name="___dod1" localSheetId="0" hidden="1">{#N/A,#N/A,TRUE,"CPRD";#N/A,#N/A,TRUE,"BCCPDR";#N/A,#N/A,TRUE,"EWRD";#N/A,#N/A,TRUE,"5100";#N/A,#N/A,TRUE,"5110"}</definedName>
    <definedName name="___dog1" localSheetId="0" hidden="1">{#N/A,#N/A,TRUE,"CPRD";#N/A,#N/A,TRUE,"BCCPDR";#N/A,#N/A,TRUE,"EWRD";#N/A,#N/A,TRUE,"5100";#N/A,#N/A,TRUE,"5110"}</definedName>
    <definedName name="__dod1" localSheetId="0" hidden="1">{#N/A,#N/A,TRUE,"CPRD";#N/A,#N/A,TRUE,"BCCPDR";#N/A,#N/A,TRUE,"EWRD";#N/A,#N/A,TRUE,"5100";#N/A,#N/A,TRUE,"5110"}</definedName>
    <definedName name="__dog1" localSheetId="0" hidden="1">{#N/A,#N/A,TRUE,"CPRD";#N/A,#N/A,TRUE,"BCCPDR";#N/A,#N/A,TRUE,"EWRD";#N/A,#N/A,TRUE,"5100";#N/A,#N/A,TRUE,"5110"}</definedName>
    <definedName name="_dod1" localSheetId="0" hidden="1">{#N/A,#N/A,TRUE,"CPRD";#N/A,#N/A,TRUE,"BCCPDR";#N/A,#N/A,TRUE,"EWRD";#N/A,#N/A,TRUE,"5100";#N/A,#N/A,TRUE,"5110"}</definedName>
    <definedName name="_dog1" localSheetId="0" hidden="1">{#N/A,#N/A,TRUE,"CPRD";#N/A,#N/A,TRUE,"BCCPDR";#N/A,#N/A,TRUE,"EWRD";#N/A,#N/A,TRUE,"5100";#N/A,#N/A,TRUE,"5110"}</definedName>
    <definedName name="adas" localSheetId="0" hidden="1">{"M1Print",#N/A,TRUE,"M1";"M2Print",#N/A,TRUE,"M2";"M1sPrint",#N/A,TRUE,"M1s";"M2aPrint",#N/A,TRUE,"M2a";"M4Print",#N/A,TRUE,"M4";"M5Print",#N/A,TRUE,"M5";"M6Print",#N/A,TRUE,"M6";"M6_1Print",#N/A,TRUE,"M6_1";"M6_2Print",#N/A,TRUE,"M6_2";"M7_1Print",#N/A,TRUE,"M7_1";"M7_2Print",#N/A,TRUE,"M7_2"}</definedName>
    <definedName name="ass" localSheetId="0" hidden="1">{#N/A,#N/A,TRUE,"CPRD";#N/A,#N/A,TRUE,"BCCPDR";#N/A,#N/A,TRUE,"EWRD";#N/A,#N/A,TRUE,"5100";#N/A,#N/A,TRUE,"5110"}</definedName>
    <definedName name="cashflow20030930" localSheetId="0" hidden="1">{"M1Print",#N/A,TRUE,"M1";"M2Print",#N/A,TRUE,"M2";"M1sPrint",#N/A,TRUE,"M1s";"M2aPrint",#N/A,TRUE,"M2a";"M4Print",#N/A,TRUE,"M4";"M5Print",#N/A,TRUE,"M5";"M6Print",#N/A,TRUE,"M6";"M6_1Print",#N/A,TRUE,"M6_1";"M6_2Print",#N/A,TRUE,"M6_2";"M7_1Print",#N/A,TRUE,"M7_1";"M7_2Print",#N/A,TRUE,"M7_2"}</definedName>
    <definedName name="doddd" localSheetId="0" hidden="1">{#N/A,#N/A,TRUE,"CPRD";#N/A,#N/A,TRUE,"BCCPDR";#N/A,#N/A,TRUE,"EWRD";#N/A,#N/A,TRUE,"5100";#N/A,#N/A,TRUE,"5110"}</definedName>
    <definedName name="dog" localSheetId="0" hidden="1">{#N/A,#N/A,TRUE,"CPRD";#N/A,#N/A,TRUE,"BCCPDR";#N/A,#N/A,TRUE,"EWRD";#N/A,#N/A,TRUE,"5100";#N/A,#N/A,TRUE,"5110"}</definedName>
    <definedName name="ehdg" localSheetId="0" hidden="1">{#N/A,#N/A,FALSE,"Jan"}</definedName>
    <definedName name="ExpenseUpload" localSheetId="0" hidden="1">{#N/A,#N/A,TRUE,"CPRD";#N/A,#N/A,TRUE,"BCCPDR";#N/A,#N/A,TRUE,"EWRD";#N/A,#N/A,TRUE,"5100";#N/A,#N/A,TRUE,"5110"}</definedName>
    <definedName name="feedback" localSheetId="0" hidden="1">{#N/A,#N/A,TRUE,"CPRD";#N/A,#N/A,TRUE,"BCCPDR";#N/A,#N/A,TRUE,"EWRD";#N/A,#N/A,TRUE,"5100";#N/A,#N/A,TRUE,"5110"}</definedName>
    <definedName name="HdctTrnd" localSheetId="0" hidden="1">{#N/A,#N/A,TRUE,"CPRD";#N/A,#N/A,TRUE,"BCCPDR";#N/A,#N/A,TRUE,"EWRD";#N/A,#N/A,TRUE,"5100";#N/A,#N/A,TRUE,"5110"}</definedName>
    <definedName name="HTML_Control" localSheetId="0" hidden="1">{"'Vxxe_times_J750 (2)'!$A$3:$E$14"}</definedName>
    <definedName name="notused" localSheetId="0" hidden="1">{#N/A,#N/A,TRUE,"CPRD";#N/A,#N/A,TRUE,"BCCPDR";#N/A,#N/A,TRUE,"EWRD";#N/A,#N/A,TRUE,"5100";#N/A,#N/A,TRUE,"5110"}</definedName>
    <definedName name="qwertyuiopasdfghjkl" localSheetId="0" hidden="1">{"M2aPrint",#N/A,FALSE,"M2a"}</definedName>
    <definedName name="qwwertyuiop" localSheetId="0" hidden="1">{"M2Print",#N/A,FALSE,"M2"}</definedName>
    <definedName name="wrn.Aging._.and._.Trend._.Analysis." localSheetId="0" hidden="1">{#N/A,#N/A,FALSE,"Aging Summary";#N/A,#N/A,FALSE,"Ratio Analysis";#N/A,#N/A,FALSE,"Test 120 Day Accts";#N/A,#N/A,FALSE,"Tickmarks"}</definedName>
    <definedName name="wrn.ALL." localSheetId="0" hidden="1">{#N/A,#N/A,FALSE,"SUM";#N/A,#N/A,FALSE,"SK_TOT";#N/A,#N/A,FALSE,"YM";#N/A,#N/A,FALSE,"TSMC";#N/A,#N/A,FALSE,"ICW";#N/A,#N/A,FALSE,"Sheet1"}</definedName>
    <definedName name="wrn.All._.M._.Schedules." localSheetId="0" hidden="1">{"M1Print",#N/A,TRUE,"M1";"M2Print",#N/A,TRUE,"M2";"M1sPrint",#N/A,TRUE,"M1s";"M2aPrint",#N/A,TRUE,"M2a";"M4Print",#N/A,TRUE,"M4";"M5Print",#N/A,TRUE,"M5";"M6Print",#N/A,TRUE,"M6";"M6_1Print",#N/A,TRUE,"M6_1";"M6_2Print",#N/A,TRUE,"M6_2";"M7_1Print",#N/A,TRUE,"M7_1";"M7_2Print",#N/A,TRUE,"M7_2"}</definedName>
    <definedName name="wrn.all._.M._.Schedules.1" localSheetId="0" hidden="1">{"M1Print",#N/A,TRUE,"M1";"M2Print",#N/A,TRUE,"M2";"M1sPrint",#N/A,TRUE,"M1s";"M2aPrint",#N/A,TRUE,"M2a";"M4Print",#N/A,TRUE,"M4";"M5Print",#N/A,TRUE,"M5";"M6Print",#N/A,TRUE,"M6";"M6_1Print",#N/A,TRUE,"M6_1";"M6_2Print",#N/A,TRUE,"M6_2";"M7_1Print",#N/A,TRUE,"M7_1";"M7_2Print",#N/A,TRUE,"M7_2"}</definedName>
    <definedName name="wrn.Board._.Reports." localSheetId="0" hidden="1">{#N/A,#N/A,FALSE,"M1s Board";#N/A,#N/A,FALSE,"M3 Board";#N/A,#N/A,FALSE,"M6 Board";#N/A,#N/A,FALSE,"M7";#N/A,#N/A,FALSE,"M7B";#N/A,#N/A,FALSE,"M8";#N/A,#N/A,FALSE,"M8A Board";#N/A,#N/A,FALSE,"AF1 Board"}</definedName>
    <definedName name="wrn.Deposit._.By._.Day." localSheetId="0" hidden="1">{#N/A,#N/A,FALSE,"Deposits by day"}</definedName>
    <definedName name="wrn.Deptartment._.Expenses." localSheetId="0" hidden="1">{#N/A,#N/A,TRUE,"CPRD";#N/A,#N/A,TRUE,"BCCPDR";#N/A,#N/A,TRUE,"EWRD";#N/A,#N/A,TRUE,"5100";#N/A,#N/A,TRUE,"5110"}</definedName>
    <definedName name="wrn.jan." localSheetId="0" hidden="1">{#N/A,#N/A,FALSE,"Jan"}</definedName>
    <definedName name="wrn.M1._.Operating._.Statement." localSheetId="0" hidden="1">{"M1Print",#N/A,FALSE,"M1"}</definedName>
    <definedName name="wrn.M1s._.Statistics." localSheetId="0" hidden="1">{"M1sPrint",#N/A,FALSE,"M1s"}</definedName>
    <definedName name="wrn.M2._.Balance._.Sheet." localSheetId="0" hidden="1">{"M2Print",#N/A,FALSE,"M2"}</definedName>
    <definedName name="wrn.M2a._.Cashflow." localSheetId="0" hidden="1">{"M2aPrint",#N/A,FALSE,"M2a"}</definedName>
    <definedName name="wrn.M4._.Inventories." localSheetId="0" hidden="1">{"M4Print",#N/A,FALSE,"M4"}</definedName>
    <definedName name="wrn.M5._.Flash._.and._.Forecast." localSheetId="0" hidden="1">{"M5Print",#N/A,FALSE,"M5"}</definedName>
    <definedName name="wrn.M6._.Management._.Summary." localSheetId="0" hidden="1">{"M6Print",#N/A,FALSE,"M6";"M6_1Print",#N/A,FALSE,"M6_1";"M6_2Print",#N/A,FALSE,"M6_2"}</definedName>
    <definedName name="wrn.M7._.Financial._.Controllers._.report." localSheetId="0" hidden="1">{"M7_1Print",#N/A,TRUE,"M7_1";"M7_2Print",#N/A,TRUE,"M7_2"}</definedName>
    <definedName name="wrn.ytd." localSheetId="0" hidden="1">{#N/A,#N/A,FALSE,"YTD"}</definedName>
    <definedName name="wrnn.all." localSheetId="0" hidden="1">{#N/A,#N/A,FALSE,"SUM";#N/A,#N/A,FALSE,"SK_TOT";#N/A,#N/A,FALSE,"YM";#N/A,#N/A,FALSE,"TSMC";#N/A,#N/A,FALSE,"ICW";#N/A,#N/A,FALSE,"Sheet1"}</definedName>
    <definedName name="xzxsfd" localSheetId="0" hidden="1">{"M1Print",#N/A,FALSE,"M1"}</definedName>
    <definedName name="苛" localSheetId="0" hidden="1">{"M1sPrint",#N/A,FALSE,"M1s"}</definedName>
    <definedName name="_____dod1" localSheetId="3" hidden="1">{#N/A,#N/A,TRUE,"CPRD";#N/A,#N/A,TRUE,"BCCPDR";#N/A,#N/A,TRUE,"EWRD";#N/A,#N/A,TRUE,"5100";#N/A,#N/A,TRUE,"5110"}</definedName>
    <definedName name="____dod1" localSheetId="3" hidden="1">{#N/A,#N/A,TRUE,"CPRD";#N/A,#N/A,TRUE,"BCCPDR";#N/A,#N/A,TRUE,"EWRD";#N/A,#N/A,TRUE,"5100";#N/A,#N/A,TRUE,"5110"}</definedName>
    <definedName name="___dod1" localSheetId="3" hidden="1">{#N/A,#N/A,TRUE,"CPRD";#N/A,#N/A,TRUE,"BCCPDR";#N/A,#N/A,TRUE,"EWRD";#N/A,#N/A,TRUE,"5100";#N/A,#N/A,TRUE,"5110"}</definedName>
    <definedName name="___dog1" localSheetId="3" hidden="1">{#N/A,#N/A,TRUE,"CPRD";#N/A,#N/A,TRUE,"BCCPDR";#N/A,#N/A,TRUE,"EWRD";#N/A,#N/A,TRUE,"5100";#N/A,#N/A,TRUE,"5110"}</definedName>
    <definedName name="__dod1" localSheetId="3" hidden="1">{#N/A,#N/A,TRUE,"CPRD";#N/A,#N/A,TRUE,"BCCPDR";#N/A,#N/A,TRUE,"EWRD";#N/A,#N/A,TRUE,"5100";#N/A,#N/A,TRUE,"5110"}</definedName>
    <definedName name="__dog1" localSheetId="3" hidden="1">{#N/A,#N/A,TRUE,"CPRD";#N/A,#N/A,TRUE,"BCCPDR";#N/A,#N/A,TRUE,"EWRD";#N/A,#N/A,TRUE,"5100";#N/A,#N/A,TRUE,"5110"}</definedName>
    <definedName name="_dod1" localSheetId="3" hidden="1">{#N/A,#N/A,TRUE,"CPRD";#N/A,#N/A,TRUE,"BCCPDR";#N/A,#N/A,TRUE,"EWRD";#N/A,#N/A,TRUE,"5100";#N/A,#N/A,TRUE,"5110"}</definedName>
    <definedName name="_dog1" localSheetId="3" hidden="1">{#N/A,#N/A,TRUE,"CPRD";#N/A,#N/A,TRUE,"BCCPDR";#N/A,#N/A,TRUE,"EWRD";#N/A,#N/A,TRUE,"5100";#N/A,#N/A,TRUE,"5110"}</definedName>
    <definedName name="adas" localSheetId="3" hidden="1">{"M1Print",#N/A,TRUE,"M1";"M2Print",#N/A,TRUE,"M2";"M1sPrint",#N/A,TRUE,"M1s";"M2aPrint",#N/A,TRUE,"M2a";"M4Print",#N/A,TRUE,"M4";"M5Print",#N/A,TRUE,"M5";"M6Print",#N/A,TRUE,"M6";"M6_1Print",#N/A,TRUE,"M6_1";"M6_2Print",#N/A,TRUE,"M6_2";"M7_1Print",#N/A,TRUE,"M7_1";"M7_2Print",#N/A,TRUE,"M7_2"}</definedName>
    <definedName name="ass" localSheetId="3" hidden="1">{#N/A,#N/A,TRUE,"CPRD";#N/A,#N/A,TRUE,"BCCPDR";#N/A,#N/A,TRUE,"EWRD";#N/A,#N/A,TRUE,"5100";#N/A,#N/A,TRUE,"5110"}</definedName>
    <definedName name="cashflow20030930" localSheetId="3" hidden="1">{"M1Print",#N/A,TRUE,"M1";"M2Print",#N/A,TRUE,"M2";"M1sPrint",#N/A,TRUE,"M1s";"M2aPrint",#N/A,TRUE,"M2a";"M4Print",#N/A,TRUE,"M4";"M5Print",#N/A,TRUE,"M5";"M6Print",#N/A,TRUE,"M6";"M6_1Print",#N/A,TRUE,"M6_1";"M6_2Print",#N/A,TRUE,"M6_2";"M7_1Print",#N/A,TRUE,"M7_1";"M7_2Print",#N/A,TRUE,"M7_2"}</definedName>
    <definedName name="doddd" localSheetId="3" hidden="1">{#N/A,#N/A,TRUE,"CPRD";#N/A,#N/A,TRUE,"BCCPDR";#N/A,#N/A,TRUE,"EWRD";#N/A,#N/A,TRUE,"5100";#N/A,#N/A,TRUE,"5110"}</definedName>
    <definedName name="dog" localSheetId="3" hidden="1">{#N/A,#N/A,TRUE,"CPRD";#N/A,#N/A,TRUE,"BCCPDR";#N/A,#N/A,TRUE,"EWRD";#N/A,#N/A,TRUE,"5100";#N/A,#N/A,TRUE,"5110"}</definedName>
    <definedName name="ehdg" localSheetId="3" hidden="1">{#N/A,#N/A,FALSE,"Jan"}</definedName>
    <definedName name="ExpenseUpload" localSheetId="3" hidden="1">{#N/A,#N/A,TRUE,"CPRD";#N/A,#N/A,TRUE,"BCCPDR";#N/A,#N/A,TRUE,"EWRD";#N/A,#N/A,TRUE,"5100";#N/A,#N/A,TRUE,"5110"}</definedName>
    <definedName name="feedback" localSheetId="3" hidden="1">{#N/A,#N/A,TRUE,"CPRD";#N/A,#N/A,TRUE,"BCCPDR";#N/A,#N/A,TRUE,"EWRD";#N/A,#N/A,TRUE,"5100";#N/A,#N/A,TRUE,"5110"}</definedName>
    <definedName name="HdctTrnd" localSheetId="3" hidden="1">{#N/A,#N/A,TRUE,"CPRD";#N/A,#N/A,TRUE,"BCCPDR";#N/A,#N/A,TRUE,"EWRD";#N/A,#N/A,TRUE,"5100";#N/A,#N/A,TRUE,"5110"}</definedName>
    <definedName name="HTML_Control" localSheetId="3" hidden="1">{"'Vxxe_times_J750 (2)'!$A$3:$E$14"}</definedName>
    <definedName name="notused" localSheetId="3" hidden="1">{#N/A,#N/A,TRUE,"CPRD";#N/A,#N/A,TRUE,"BCCPDR";#N/A,#N/A,TRUE,"EWRD";#N/A,#N/A,TRUE,"5100";#N/A,#N/A,TRUE,"5110"}</definedName>
    <definedName name="qwertyuiopasdfghjkl" localSheetId="3" hidden="1">{"M2aPrint",#N/A,FALSE,"M2a"}</definedName>
    <definedName name="qwwertyuiop" localSheetId="3" hidden="1">{"M2Print",#N/A,FALSE,"M2"}</definedName>
    <definedName name="wrn.Aging._.and._.Trend._.Analysis." localSheetId="3" hidden="1">{#N/A,#N/A,FALSE,"Aging Summary";#N/A,#N/A,FALSE,"Ratio Analysis";#N/A,#N/A,FALSE,"Test 120 Day Accts";#N/A,#N/A,FALSE,"Tickmarks"}</definedName>
    <definedName name="wrn.ALL." localSheetId="3" hidden="1">{#N/A,#N/A,FALSE,"SUM";#N/A,#N/A,FALSE,"SK_TOT";#N/A,#N/A,FALSE,"YM";#N/A,#N/A,FALSE,"TSMC";#N/A,#N/A,FALSE,"ICW";#N/A,#N/A,FALSE,"Sheet1"}</definedName>
    <definedName name="wrn.All._.M._.Schedules." localSheetId="3" hidden="1">{"M1Print",#N/A,TRUE,"M1";"M2Print",#N/A,TRUE,"M2";"M1sPrint",#N/A,TRUE,"M1s";"M2aPrint",#N/A,TRUE,"M2a";"M4Print",#N/A,TRUE,"M4";"M5Print",#N/A,TRUE,"M5";"M6Print",#N/A,TRUE,"M6";"M6_1Print",#N/A,TRUE,"M6_1";"M6_2Print",#N/A,TRUE,"M6_2";"M7_1Print",#N/A,TRUE,"M7_1";"M7_2Print",#N/A,TRUE,"M7_2"}</definedName>
    <definedName name="wrn.all._.M._.Schedules.1" localSheetId="3" hidden="1">{"M1Print",#N/A,TRUE,"M1";"M2Print",#N/A,TRUE,"M2";"M1sPrint",#N/A,TRUE,"M1s";"M2aPrint",#N/A,TRUE,"M2a";"M4Print",#N/A,TRUE,"M4";"M5Print",#N/A,TRUE,"M5";"M6Print",#N/A,TRUE,"M6";"M6_1Print",#N/A,TRUE,"M6_1";"M6_2Print",#N/A,TRUE,"M6_2";"M7_1Print",#N/A,TRUE,"M7_1";"M7_2Print",#N/A,TRUE,"M7_2"}</definedName>
    <definedName name="wrn.Board._.Reports." localSheetId="3" hidden="1">{#N/A,#N/A,FALSE,"M1s Board";#N/A,#N/A,FALSE,"M3 Board";#N/A,#N/A,FALSE,"M6 Board";#N/A,#N/A,FALSE,"M7";#N/A,#N/A,FALSE,"M7B";#N/A,#N/A,FALSE,"M8";#N/A,#N/A,FALSE,"M8A Board";#N/A,#N/A,FALSE,"AF1 Board"}</definedName>
    <definedName name="wrn.Deposit._.By._.Day." localSheetId="3" hidden="1">{#N/A,#N/A,FALSE,"Deposits by day"}</definedName>
    <definedName name="wrn.Deptartment._.Expenses." localSheetId="3" hidden="1">{#N/A,#N/A,TRUE,"CPRD";#N/A,#N/A,TRUE,"BCCPDR";#N/A,#N/A,TRUE,"EWRD";#N/A,#N/A,TRUE,"5100";#N/A,#N/A,TRUE,"5110"}</definedName>
    <definedName name="wrn.jan." localSheetId="3" hidden="1">{#N/A,#N/A,FALSE,"Jan"}</definedName>
    <definedName name="wrn.M1._.Operating._.Statement." localSheetId="3" hidden="1">{"M1Print",#N/A,FALSE,"M1"}</definedName>
    <definedName name="wrn.M1s._.Statistics." localSheetId="3" hidden="1">{"M1sPrint",#N/A,FALSE,"M1s"}</definedName>
    <definedName name="wrn.M2._.Balance._.Sheet." localSheetId="3" hidden="1">{"M2Print",#N/A,FALSE,"M2"}</definedName>
    <definedName name="wrn.M2a._.Cashflow." localSheetId="3" hidden="1">{"M2aPrint",#N/A,FALSE,"M2a"}</definedName>
    <definedName name="wrn.M4._.Inventories." localSheetId="3" hidden="1">{"M4Print",#N/A,FALSE,"M4"}</definedName>
    <definedName name="wrn.M5._.Flash._.and._.Forecast." localSheetId="3" hidden="1">{"M5Print",#N/A,FALSE,"M5"}</definedName>
    <definedName name="wrn.M6._.Management._.Summary." localSheetId="3" hidden="1">{"M6Print",#N/A,FALSE,"M6";"M6_1Print",#N/A,FALSE,"M6_1";"M6_2Print",#N/A,FALSE,"M6_2"}</definedName>
    <definedName name="wrn.M7._.Financial._.Controllers._.report." localSheetId="3" hidden="1">{"M7_1Print",#N/A,TRUE,"M7_1";"M7_2Print",#N/A,TRUE,"M7_2"}</definedName>
    <definedName name="wrn.ytd." localSheetId="3" hidden="1">{#N/A,#N/A,FALSE,"YTD"}</definedName>
    <definedName name="wrnn.all." localSheetId="3" hidden="1">{#N/A,#N/A,FALSE,"SUM";#N/A,#N/A,FALSE,"SK_TOT";#N/A,#N/A,FALSE,"YM";#N/A,#N/A,FALSE,"TSMC";#N/A,#N/A,FALSE,"ICW";#N/A,#N/A,FALSE,"Sheet1"}</definedName>
    <definedName name="xzxsfd" localSheetId="3" hidden="1">{"M1Print",#N/A,FALSE,"M1"}</definedName>
    <definedName name="苛" localSheetId="3" hidden="1">{"M1sPrint",#N/A,FALSE,"M1s"}</definedName>
    <definedName name="_xlnm._FilterDatabase" localSheetId="3" hidden="1">'N.01.01明细账'!$A$6:$X$222</definedName>
    <definedName name="_____dod1" localSheetId="6" hidden="1">{#N/A,#N/A,TRUE,"CPRD";#N/A,#N/A,TRUE,"BCCPDR";#N/A,#N/A,TRUE,"EWRD";#N/A,#N/A,TRUE,"5100";#N/A,#N/A,TRUE,"5110"}</definedName>
    <definedName name="____dod1" localSheetId="6" hidden="1">{#N/A,#N/A,TRUE,"CPRD";#N/A,#N/A,TRUE,"BCCPDR";#N/A,#N/A,TRUE,"EWRD";#N/A,#N/A,TRUE,"5100";#N/A,#N/A,TRUE,"5110"}</definedName>
    <definedName name="___dod1" localSheetId="6" hidden="1">{#N/A,#N/A,TRUE,"CPRD";#N/A,#N/A,TRUE,"BCCPDR";#N/A,#N/A,TRUE,"EWRD";#N/A,#N/A,TRUE,"5100";#N/A,#N/A,TRUE,"5110"}</definedName>
    <definedName name="___dog1" localSheetId="6" hidden="1">{#N/A,#N/A,TRUE,"CPRD";#N/A,#N/A,TRUE,"BCCPDR";#N/A,#N/A,TRUE,"EWRD";#N/A,#N/A,TRUE,"5100";#N/A,#N/A,TRUE,"5110"}</definedName>
    <definedName name="__123Graph_A" localSheetId="6" hidden="1">#REF!</definedName>
    <definedName name="__123Graph_AGraph1" localSheetId="6" hidden="1">#REF!</definedName>
    <definedName name="__123Graph_B" localSheetId="6" hidden="1">#REF!</definedName>
    <definedName name="__123Graph_BGraph1" localSheetId="6" hidden="1">#REF!</definedName>
    <definedName name="__123Graph_D" localSheetId="6" hidden="1">#REF!</definedName>
    <definedName name="__dod1" localSheetId="6" hidden="1">{#N/A,#N/A,TRUE,"CPRD";#N/A,#N/A,TRUE,"BCCPDR";#N/A,#N/A,TRUE,"EWRD";#N/A,#N/A,TRUE,"5100";#N/A,#N/A,TRUE,"5110"}</definedName>
    <definedName name="__dog1" localSheetId="6" hidden="1">{#N/A,#N/A,TRUE,"CPRD";#N/A,#N/A,TRUE,"BCCPDR";#N/A,#N/A,TRUE,"EWRD";#N/A,#N/A,TRUE,"5100";#N/A,#N/A,TRUE,"5110"}</definedName>
    <definedName name="_dod1" localSheetId="6" hidden="1">{#N/A,#N/A,TRUE,"CPRD";#N/A,#N/A,TRUE,"BCCPDR";#N/A,#N/A,TRUE,"EWRD";#N/A,#N/A,TRUE,"5100";#N/A,#N/A,TRUE,"5110"}</definedName>
    <definedName name="_dog1" localSheetId="6" hidden="1">{#N/A,#N/A,TRUE,"CPRD";#N/A,#N/A,TRUE,"BCCPDR";#N/A,#N/A,TRUE,"EWRD";#N/A,#N/A,TRUE,"5100";#N/A,#N/A,TRUE,"5110"}</definedName>
    <definedName name="_Fill" localSheetId="6" hidden="1">#REF!</definedName>
    <definedName name="_Key1" localSheetId="6" hidden="1">#REF!</definedName>
    <definedName name="_Key2" localSheetId="6" hidden="1">#REF!</definedName>
    <definedName name="_Sort" localSheetId="6" hidden="1">#REF!</definedName>
    <definedName name="adas" localSheetId="6" hidden="1">{"M1Print",#N/A,TRUE,"M1";"M2Print",#N/A,TRUE,"M2";"M1sPrint",#N/A,TRUE,"M1s";"M2aPrint",#N/A,TRUE,"M2a";"M4Print",#N/A,TRUE,"M4";"M5Print",#N/A,TRUE,"M5";"M6Print",#N/A,TRUE,"M6";"M6_1Print",#N/A,TRUE,"M6_1";"M6_2Print",#N/A,TRUE,"M6_2";"M7_1Print",#N/A,TRUE,"M7_1";"M7_2Print",#N/A,TRUE,"M7_2"}</definedName>
    <definedName name="AS2TickmarkLS" localSheetId="6" hidden="1">#REF!</definedName>
    <definedName name="ass" localSheetId="6" hidden="1">{#N/A,#N/A,TRUE,"CPRD";#N/A,#N/A,TRUE,"BCCPDR";#N/A,#N/A,TRUE,"EWRD";#N/A,#N/A,TRUE,"5100";#N/A,#N/A,TRUE,"5110"}</definedName>
    <definedName name="BNE_MESSAGES_HIDDEN" localSheetId="6" hidden="1">#REF!</definedName>
    <definedName name="cashflow20030930" localSheetId="6" hidden="1">{"M1Print",#N/A,TRUE,"M1";"M2Print",#N/A,TRUE,"M2";"M1sPrint",#N/A,TRUE,"M1s";"M2aPrint",#N/A,TRUE,"M2a";"M4Print",#N/A,TRUE,"M4";"M5Print",#N/A,TRUE,"M5";"M6Print",#N/A,TRUE,"M6";"M6_1Print",#N/A,TRUE,"M6_1";"M6_2Print",#N/A,TRUE,"M6_2";"M7_1Print",#N/A,TRUE,"M7_1";"M7_2Print",#N/A,TRUE,"M7_2"}</definedName>
    <definedName name="doddd" localSheetId="6" hidden="1">{#N/A,#N/A,TRUE,"CPRD";#N/A,#N/A,TRUE,"BCCPDR";#N/A,#N/A,TRUE,"EWRD";#N/A,#N/A,TRUE,"5100";#N/A,#N/A,TRUE,"5110"}</definedName>
    <definedName name="dog" localSheetId="6" hidden="1">{#N/A,#N/A,TRUE,"CPRD";#N/A,#N/A,TRUE,"BCCPDR";#N/A,#N/A,TRUE,"EWRD";#N/A,#N/A,TRUE,"5100";#N/A,#N/A,TRUE,"5110"}</definedName>
    <definedName name="ehdg" localSheetId="6" hidden="1">{#N/A,#N/A,FALSE,"Jan"}</definedName>
    <definedName name="ExpenseUpload" localSheetId="6" hidden="1">{#N/A,#N/A,TRUE,"CPRD";#N/A,#N/A,TRUE,"BCCPDR";#N/A,#N/A,TRUE,"EWRD";#N/A,#N/A,TRUE,"5100";#N/A,#N/A,TRUE,"5110"}</definedName>
    <definedName name="feedback" localSheetId="6" hidden="1">{#N/A,#N/A,TRUE,"CPRD";#N/A,#N/A,TRUE,"BCCPDR";#N/A,#N/A,TRUE,"EWRD";#N/A,#N/A,TRUE,"5100";#N/A,#N/A,TRUE,"5110"}</definedName>
    <definedName name="HdctTrnd" localSheetId="6" hidden="1">{#N/A,#N/A,TRUE,"CPRD";#N/A,#N/A,TRUE,"BCCPDR";#N/A,#N/A,TRUE,"EWRD";#N/A,#N/A,TRUE,"5100";#N/A,#N/A,TRUE,"5110"}</definedName>
    <definedName name="HTML_Control" localSheetId="6" hidden="1">{"'Vxxe_times_J750 (2)'!$A$3:$E$14"}</definedName>
    <definedName name="LotusGraphChart1" localSheetId="6" hidden="1">#REF!</definedName>
    <definedName name="lotusgraphchart1b" localSheetId="6" hidden="1">#REF!</definedName>
    <definedName name="lotusgraphchart1x" localSheetId="6" hidden="1">#REF!</definedName>
    <definedName name="notused" localSheetId="6" hidden="1">{#N/A,#N/A,TRUE,"CPRD";#N/A,#N/A,TRUE,"BCCPDR";#N/A,#N/A,TRUE,"EWRD";#N/A,#N/A,TRUE,"5100";#N/A,#N/A,TRUE,"5110"}</definedName>
    <definedName name="qwertyuiopasdfghjkl" localSheetId="6" hidden="1">{"M2aPrint",#N/A,FALSE,"M2a"}</definedName>
    <definedName name="qwwertyuiop" localSheetId="6" hidden="1">{"M2Print",#N/A,FALSE,"M2"}</definedName>
    <definedName name="Sheet1_BNE_MESSAGES" localSheetId="6" hidden="1">#REF!</definedName>
    <definedName name="Sheet1_BNE_MESSAGES_HIDDEN" localSheetId="6" hidden="1">#REF!</definedName>
    <definedName name="Sheet1_BNE_MESSAGES_LAMP" localSheetId="6" hidden="1">#REF!</definedName>
    <definedName name="Sheet1_BNE_UPLOAD" localSheetId="6" hidden="1">#REF!</definedName>
    <definedName name="Sheet1_GL_INTERFACE_ACCOUNTING_DATE" localSheetId="6" hidden="1">#REF!</definedName>
    <definedName name="Sheet1_GL_INTERFACE_ACTUAL_FLAG" localSheetId="6" hidden="1">#REF!</definedName>
    <definedName name="Sheet1_GL_INTERFACE_CURRENCY_CODE" localSheetId="6" hidden="1">#REF!</definedName>
    <definedName name="Sheet1_GL_INTERFACE_DATABASE" localSheetId="6" hidden="1">#REF!</definedName>
    <definedName name="Sheet1_GL_INTERFACE_ENTERED_CR" localSheetId="6" hidden="1">#REF!</definedName>
    <definedName name="Sheet1_GL_INTERFACE_ENTERED_DR" localSheetId="6" hidden="1">#REF!</definedName>
    <definedName name="Sheet1_GL_INTERFACE_REFERENCE1" localSheetId="6" hidden="1">#REF!</definedName>
    <definedName name="Sheet1_GL_INTERFACE_REFERENCE10" localSheetId="6" hidden="1">#REF!</definedName>
    <definedName name="Sheet1_GL_INTERFACE_REFERENCE4" localSheetId="6" hidden="1">#REF!</definedName>
    <definedName name="Sheet1_GL_INTERFACE_REFERENCE5" localSheetId="6" hidden="1">#REF!</definedName>
    <definedName name="Sheet1_GL_INTERFACE_REFERENCE6" localSheetId="6" hidden="1">#REF!</definedName>
    <definedName name="Sheet1_GL_INTERFACE_REFERENCE7" localSheetId="6" hidden="1">#REF!</definedName>
    <definedName name="Sheet1_GL_INTERFACE_REFERENCE8" localSheetId="6" hidden="1">#REF!</definedName>
    <definedName name="Sheet1_GL_INTERFACE_SEGMENT1" localSheetId="6" hidden="1">#REF!</definedName>
    <definedName name="Sheet1_GL_INTERFACE_SEGMENT2" localSheetId="6" hidden="1">#REF!</definedName>
    <definedName name="Sheet1_GL_INTERFACE_SEGMENT3" localSheetId="6" hidden="1">#REF!</definedName>
    <definedName name="Sheet1_GL_INTERFACE_SEGMENT4" localSheetId="6" hidden="1">#REF!</definedName>
    <definedName name="Sheet1_GL_INTERFACE_SEGMENT5" localSheetId="6" hidden="1">#REF!</definedName>
    <definedName name="Sheet1_GL_INTERFACE_SEGMENT6" localSheetId="6" hidden="1">#REF!</definedName>
    <definedName name="Sheet1_GL_INTERFACE_SET_OF_BOOKS_ID" localSheetId="6" hidden="1">#REF!</definedName>
    <definedName name="Sheet1_GL_INTERFACE_USER_JE_CATEGORY_NAME" localSheetId="6" hidden="1">#REF!</definedName>
    <definedName name="Sheet1_GL_INTERFACE_USER_JE_SOURCE_NAME" localSheetId="6" hidden="1">#REF!</definedName>
    <definedName name="wrn.Aging._.and._.Trend._.Analysis." localSheetId="6" hidden="1">{#N/A,#N/A,FALSE,"Aging Summary";#N/A,#N/A,FALSE,"Ratio Analysis";#N/A,#N/A,FALSE,"Test 120 Day Accts";#N/A,#N/A,FALSE,"Tickmarks"}</definedName>
    <definedName name="wrn.ALL." localSheetId="6" hidden="1">{#N/A,#N/A,FALSE,"SUM";#N/A,#N/A,FALSE,"SK_TOT";#N/A,#N/A,FALSE,"YM";#N/A,#N/A,FALSE,"TSMC";#N/A,#N/A,FALSE,"ICW";#N/A,#N/A,FALSE,"Sheet1"}</definedName>
    <definedName name="wrn.All._.M._.Schedules." localSheetId="6" hidden="1">{"M1Print",#N/A,TRUE,"M1";"M2Print",#N/A,TRUE,"M2";"M1sPrint",#N/A,TRUE,"M1s";"M2aPrint",#N/A,TRUE,"M2a";"M4Print",#N/A,TRUE,"M4";"M5Print",#N/A,TRUE,"M5";"M6Print",#N/A,TRUE,"M6";"M6_1Print",#N/A,TRUE,"M6_1";"M6_2Print",#N/A,TRUE,"M6_2";"M7_1Print",#N/A,TRUE,"M7_1";"M7_2Print",#N/A,TRUE,"M7_2"}</definedName>
    <definedName name="wrn.all._.M._.Schedules.1" localSheetId="6" hidden="1">{"M1Print",#N/A,TRUE,"M1";"M2Print",#N/A,TRUE,"M2";"M1sPrint",#N/A,TRUE,"M1s";"M2aPrint",#N/A,TRUE,"M2a";"M4Print",#N/A,TRUE,"M4";"M5Print",#N/A,TRUE,"M5";"M6Print",#N/A,TRUE,"M6";"M6_1Print",#N/A,TRUE,"M6_1";"M6_2Print",#N/A,TRUE,"M6_2";"M7_1Print",#N/A,TRUE,"M7_1";"M7_2Print",#N/A,TRUE,"M7_2"}</definedName>
    <definedName name="wrn.Board._.Reports." localSheetId="6" hidden="1">{#N/A,#N/A,FALSE,"M1s Board";#N/A,#N/A,FALSE,"M3 Board";#N/A,#N/A,FALSE,"M6 Board";#N/A,#N/A,FALSE,"M7";#N/A,#N/A,FALSE,"M7B";#N/A,#N/A,FALSE,"M8";#N/A,#N/A,FALSE,"M8A Board";#N/A,#N/A,FALSE,"AF1 Board"}</definedName>
    <definedName name="wrn.Deposit._.By._.Day." localSheetId="6" hidden="1">{#N/A,#N/A,FALSE,"Deposits by day"}</definedName>
    <definedName name="wrn.Deptartment._.Expenses." localSheetId="6" hidden="1">{#N/A,#N/A,TRUE,"CPRD";#N/A,#N/A,TRUE,"BCCPDR";#N/A,#N/A,TRUE,"EWRD";#N/A,#N/A,TRUE,"5100";#N/A,#N/A,TRUE,"5110"}</definedName>
    <definedName name="wrn.jan." localSheetId="6" hidden="1">{#N/A,#N/A,FALSE,"Jan"}</definedName>
    <definedName name="wrn.M1._.Operating._.Statement." localSheetId="6" hidden="1">{"M1Print",#N/A,FALSE,"M1"}</definedName>
    <definedName name="wrn.M1s._.Statistics." localSheetId="6" hidden="1">{"M1sPrint",#N/A,FALSE,"M1s"}</definedName>
    <definedName name="wrn.M2._.Balance._.Sheet." localSheetId="6" hidden="1">{"M2Print",#N/A,FALSE,"M2"}</definedName>
    <definedName name="wrn.M2a._.Cashflow." localSheetId="6" hidden="1">{"M2aPrint",#N/A,FALSE,"M2a"}</definedName>
    <definedName name="wrn.M4._.Inventories." localSheetId="6" hidden="1">{"M4Print",#N/A,FALSE,"M4"}</definedName>
    <definedName name="wrn.M5._.Flash._.and._.Forecast." localSheetId="6" hidden="1">{"M5Print",#N/A,FALSE,"M5"}</definedName>
    <definedName name="wrn.M6._.Management._.Summary." localSheetId="6" hidden="1">{"M6Print",#N/A,FALSE,"M6";"M6_1Print",#N/A,FALSE,"M6_1";"M6_2Print",#N/A,FALSE,"M6_2"}</definedName>
    <definedName name="wrn.M7._.Financial._.Controllers._.report." localSheetId="6" hidden="1">{"M7_1Print",#N/A,TRUE,"M7_1";"M7_2Print",#N/A,TRUE,"M7_2"}</definedName>
    <definedName name="wrn.ytd." localSheetId="6" hidden="1">{#N/A,#N/A,FALSE,"YTD"}</definedName>
    <definedName name="wrnn.all." localSheetId="6" hidden="1">{#N/A,#N/A,FALSE,"SUM";#N/A,#N/A,FALSE,"SK_TOT";#N/A,#N/A,FALSE,"YM";#N/A,#N/A,FALSE,"TSMC";#N/A,#N/A,FALSE,"ICW";#N/A,#N/A,FALSE,"Sheet1"}</definedName>
    <definedName name="XREF_COLUMN_1" localSheetId="6" hidden="1">#REF!</definedName>
    <definedName name="XREF_COLUMN_10" localSheetId="6" hidden="1">#REF!</definedName>
    <definedName name="XREF_COLUMN_11" localSheetId="6" hidden="1">#REF!</definedName>
    <definedName name="XREF_COLUMN_12" localSheetId="6" hidden="1">#REF!</definedName>
    <definedName name="XREF_COLUMN_19" localSheetId="6" hidden="1">#REF!</definedName>
    <definedName name="XREF_COLUMN_2" localSheetId="6" hidden="1">#REF!</definedName>
    <definedName name="XREF_COLUMN_20" localSheetId="6" hidden="1">#REF!</definedName>
    <definedName name="XREF_COLUMN_21" localSheetId="6" hidden="1">#REF!</definedName>
    <definedName name="XREF_COLUMN_3" localSheetId="6" hidden="1">#REF!</definedName>
    <definedName name="XREF_COLUMN_4" localSheetId="6" hidden="1">#REF!</definedName>
    <definedName name="XREF_COLUMN_5" localSheetId="6" hidden="1">#REF!</definedName>
    <definedName name="XREF_COLUMN_6" localSheetId="6" hidden="1">#REF!</definedName>
    <definedName name="XREF_COLUMN_7" localSheetId="6" hidden="1">#REF!</definedName>
    <definedName name="XRefActiveRow" localSheetId="6" hidden="1">#REF!</definedName>
    <definedName name="XRefCopy1" localSheetId="6" hidden="1">#REF!</definedName>
    <definedName name="XRefCopy10" localSheetId="6" hidden="1">#REF!</definedName>
    <definedName name="XRefCopy10Row" localSheetId="6" hidden="1">#REF!</definedName>
    <definedName name="XRefCopy11" localSheetId="6" hidden="1">#REF!</definedName>
    <definedName name="XRefCopy11Row" localSheetId="6" hidden="1">#REF!</definedName>
    <definedName name="XRefCopy12" localSheetId="6" hidden="1">#REF!</definedName>
    <definedName name="XRefCopy13" localSheetId="6" hidden="1">#REF!</definedName>
    <definedName name="XRefCopy13Row" localSheetId="6" hidden="1">#REF!</definedName>
    <definedName name="XRefCopy14" localSheetId="6" hidden="1">#REF!</definedName>
    <definedName name="XRefCopy15" localSheetId="6" hidden="1">#REF!</definedName>
    <definedName name="XRefCopy16Row" localSheetId="6" hidden="1">#REF!</definedName>
    <definedName name="XRefCopy1Row" localSheetId="6" hidden="1">#REF!</definedName>
    <definedName name="XRefCopy2" localSheetId="6" hidden="1">#REF!</definedName>
    <definedName name="XRefCopy2Row" localSheetId="6" hidden="1">#REF!</definedName>
    <definedName name="XRefCopy3" localSheetId="6" hidden="1">#REF!</definedName>
    <definedName name="XRefCopy3Row" localSheetId="6" hidden="1">#REF!</definedName>
    <definedName name="XRefCopy4" localSheetId="6" hidden="1">#REF!</definedName>
    <definedName name="XRefCopy46" localSheetId="6" hidden="1">#REF!</definedName>
    <definedName name="XRefCopy47" localSheetId="6" hidden="1">#REF!</definedName>
    <definedName name="XRefCopy47Row" localSheetId="6" hidden="1">#REF!</definedName>
    <definedName name="XRefCopy48" localSheetId="6" hidden="1">#REF!</definedName>
    <definedName name="XRefCopy48Row" localSheetId="6" hidden="1">#REF!</definedName>
    <definedName name="XRefCopy49" localSheetId="6" hidden="1">#REF!</definedName>
    <definedName name="XRefCopy49Row" localSheetId="6" hidden="1">#REF!</definedName>
    <definedName name="XRefCopy4Row" localSheetId="6" hidden="1">#REF!</definedName>
    <definedName name="XRefCopy5" localSheetId="6" hidden="1">#REF!</definedName>
    <definedName name="XRefCopy50" localSheetId="6" hidden="1">#REF!</definedName>
    <definedName name="XRefCopy50Row" localSheetId="6" hidden="1">#REF!</definedName>
    <definedName name="XRefCopy51" localSheetId="6" hidden="1">#REF!</definedName>
    <definedName name="XRefCopy52" localSheetId="6" hidden="1">#REF!</definedName>
    <definedName name="XRefCopy52Row" localSheetId="6" hidden="1">#REF!</definedName>
    <definedName name="XRefCopy53" localSheetId="6" hidden="1">#REF!</definedName>
    <definedName name="XRefCopy53Row" localSheetId="6" hidden="1">#REF!</definedName>
    <definedName name="XRefCopy54" localSheetId="6" hidden="1">#REF!</definedName>
    <definedName name="XRefCopy54Row" localSheetId="6" hidden="1">#REF!</definedName>
    <definedName name="XRefCopy55" localSheetId="6" hidden="1">#REF!</definedName>
    <definedName name="XRefCopy55Row" localSheetId="6" hidden="1">#REF!</definedName>
    <definedName name="XRefCopy56" localSheetId="6" hidden="1">#REF!</definedName>
    <definedName name="XRefCopy56Row" localSheetId="6" hidden="1">#REF!</definedName>
    <definedName name="XRefCopy57" localSheetId="6" hidden="1">#REF!</definedName>
    <definedName name="XRefCopy57Row" localSheetId="6" hidden="1">#REF!</definedName>
    <definedName name="XRefCopy5Row" localSheetId="6" hidden="1">#REF!</definedName>
    <definedName name="XRefCopy6" localSheetId="6" hidden="1">#REF!</definedName>
    <definedName name="XRefCopy6Row" localSheetId="6" hidden="1">#REF!</definedName>
    <definedName name="XRefCopy7" localSheetId="6" hidden="1">#REF!</definedName>
    <definedName name="XRefCopy7Row" localSheetId="6" hidden="1">#REF!</definedName>
    <definedName name="XRefCopy8" localSheetId="6" hidden="1">#REF!</definedName>
    <definedName name="XRefCopy8Row" localSheetId="6" hidden="1">#REF!</definedName>
    <definedName name="XRefCopy9" localSheetId="6" hidden="1">#REF!</definedName>
    <definedName name="XRefCopy9Row" localSheetId="6" hidden="1">#REF!</definedName>
    <definedName name="XRefPaste1" localSheetId="6" hidden="1">#REF!</definedName>
    <definedName name="XRefPaste10" localSheetId="6" hidden="1">#REF!</definedName>
    <definedName name="XRefPaste11" localSheetId="6" hidden="1">#REF!</definedName>
    <definedName name="XRefPaste1Row" localSheetId="6" hidden="1">#REF!</definedName>
    <definedName name="XRefPaste2" localSheetId="6" hidden="1">#REF!</definedName>
    <definedName name="XRefPaste24" localSheetId="6" hidden="1">#REF!</definedName>
    <definedName name="XRefPaste24Row" localSheetId="6" hidden="1">#REF!</definedName>
    <definedName name="XRefPaste25" localSheetId="6" hidden="1">#REF!</definedName>
    <definedName name="XRefPaste25Row" localSheetId="6" hidden="1">#REF!</definedName>
    <definedName name="XRefPaste26" localSheetId="6" hidden="1">#REF!</definedName>
    <definedName name="XRefPaste26Row" localSheetId="6" hidden="1">#REF!</definedName>
    <definedName name="XRefPaste27" localSheetId="6" hidden="1">#REF!</definedName>
    <definedName name="XRefPaste27Row" localSheetId="6" hidden="1">#REF!</definedName>
    <definedName name="XRefPaste28" localSheetId="6" hidden="1">#REF!</definedName>
    <definedName name="XRefPaste28Row" localSheetId="6" hidden="1">#REF!</definedName>
    <definedName name="XRefPaste29" localSheetId="6" hidden="1">#REF!</definedName>
    <definedName name="XRefPaste29Row" localSheetId="6" hidden="1">#REF!</definedName>
    <definedName name="XRefPaste2Row" localSheetId="6" hidden="1">#REF!</definedName>
    <definedName name="XRefPaste3" localSheetId="6" hidden="1">#REF!</definedName>
    <definedName name="XRefPaste3Row" localSheetId="6" hidden="1">#REF!</definedName>
    <definedName name="XRefPaste4" localSheetId="6" hidden="1">#REF!</definedName>
    <definedName name="XRefPaste4Row" localSheetId="6" hidden="1">#REF!</definedName>
    <definedName name="XRefPaste5" localSheetId="6" hidden="1">#REF!</definedName>
    <definedName name="XRefPaste6" localSheetId="6" hidden="1">#REF!</definedName>
    <definedName name="XRefPaste6Row" localSheetId="6" hidden="1">#REF!</definedName>
    <definedName name="XRefPaste7" localSheetId="6" hidden="1">#REF!</definedName>
    <definedName name="XRefPaste8" localSheetId="6" hidden="1">#REF!</definedName>
    <definedName name="XRefPaste9" localSheetId="6" hidden="1">#REF!</definedName>
    <definedName name="xzxsfd" localSheetId="6" hidden="1">{"M1Print",#N/A,FALSE,"M1"}</definedName>
    <definedName name="Z_1711050D_B2D8_42FB_A40D_E4BD90297684_.wvu.Cols" localSheetId="6" hidden="1">#REF!,#REF!,#REF!,#REF!,#REF!</definedName>
    <definedName name="Z_E738B51C_56AE_4F9F_8D8A_36AD6137B90D_.wvu.Cols" localSheetId="6" hidden="1">#REF!</definedName>
    <definedName name="Z_E738B51C_56AE_4F9F_8D8A_36AD6137B90D_.wvu.PrintArea" localSheetId="6" hidden="1">#REF!</definedName>
    <definedName name="Z_E738B51C_56AE_4F9F_8D8A_36AD6137B90D_.wvu.PrintTitles" localSheetId="6" hidden="1">#REF!,#REF!</definedName>
    <definedName name="Z_E738B51C_56AE_4F9F_8D8A_36AD6137B90D_.wvu.Rows" localSheetId="6" hidden="1">#REF!</definedName>
    <definedName name="苛" localSheetId="6" hidden="1">{"M1sPrint",#N/A,FALSE,"M1s"}</definedName>
  </definedNames>
  <calcPr calcId="191028" calcMode="auto" fullCalcOnLoad="1" forceFullCalc="1"/>
</workbook>
</file>

<file path=xl/styles.xml><?xml version="1.0" encoding="utf-8"?>
<styleSheet xmlns="http://schemas.openxmlformats.org/spreadsheetml/2006/main">
  <numFmts count="12">
    <numFmt numFmtId="164" formatCode="_(&quot;$&quot;* #,##0_);_(&quot;$&quot;* \(#,##0\);_(&quot;$&quot;* &quot;-&quot;??_);_(@_)"/>
    <numFmt numFmtId="165" formatCode="_(* #,##0_);_(* \(#,##0\);_(* &quot;-&quot;??_);_(@_)"/>
    <numFmt numFmtId="166" formatCode="_ * #,##0.00_ ;_ * \-#,##0.00_ ;_ * &quot;-&quot;??_ ;_ @_ "/>
    <numFmt numFmtId="167" formatCode="#,##0;\(#,##0\);\-#,##0"/>
    <numFmt numFmtId="168" formatCode="0.0%"/>
    <numFmt numFmtId="169" formatCode="_([$€-2]* #,##0.00000_);_([$€-2]* \(#,##0.00000\);_([$€-2]* &quot;-&quot;??_)"/>
    <numFmt numFmtId="170" formatCode="_(&quot;$&quot;* #,##0.00_);_(&quot;$&quot;* \(#,##0.00\);_(&quot;$&quot;* &quot;-&quot;??_);_(@_)"/>
    <numFmt numFmtId="171" formatCode="yyyy/mm/dd"/>
    <numFmt numFmtId="172" formatCode="yyyy-mm-dd h:mm:ss"/>
    <numFmt numFmtId="173" formatCode="_(&quot;¥&quot;* #,##0.00_);_(&quot;¥&quot;* \(#,##0.00\);_(&quot;¥&quot;* &quot;-&quot;??_);_(@_)"/>
    <numFmt numFmtId="174" formatCode="m/d/yy;@"/>
    <numFmt numFmtId="175" formatCode="yyyy/m/d;@"/>
  </numFmts>
  <fonts count="132">
    <font>
      <name val="等线"/>
      <charset val="134"/>
      <color theme="1"/>
      <sz val="11"/>
      <scheme val="minor"/>
    </font>
    <font>
      <name val="等线"/>
      <charset val="134"/>
      <family val="2"/>
      <color theme="1"/>
      <sz val="11"/>
      <scheme val="minor"/>
    </font>
    <font>
      <name val="等线"/>
      <charset val="134"/>
      <family val="2"/>
      <color theme="1"/>
      <sz val="11"/>
      <scheme val="minor"/>
    </font>
    <font>
      <name val="Arial"/>
      <family val="2"/>
      <color theme="1"/>
      <sz val="11"/>
    </font>
    <font>
      <name val="Arial"/>
      <family val="2"/>
      <color rgb="FF000000"/>
      <sz val="10"/>
    </font>
    <font>
      <name val="Arial"/>
      <family val="2"/>
      <sz val="10"/>
    </font>
    <font>
      <name val="Arial"/>
      <family val="2"/>
      <color theme="1"/>
      <sz val="10"/>
    </font>
    <font>
      <name val="Arial"/>
      <family val="2"/>
      <b val="1"/>
      <color rgb="FF000000"/>
      <sz val="10"/>
    </font>
    <font>
      <name val="等线"/>
      <charset val="134"/>
      <family val="3"/>
      <color theme="10"/>
      <sz val="11"/>
      <u val="single"/>
      <scheme val="minor"/>
    </font>
    <font>
      <name val="宋体"/>
      <charset val="134"/>
      <family val="3"/>
      <sz val="12"/>
    </font>
    <font>
      <name val="等线"/>
      <charset val="134"/>
      <family val="3"/>
      <b val="1"/>
      <color theme="0"/>
      <sz val="11"/>
      <scheme val="minor"/>
    </font>
    <font>
      <name val="Calibri"/>
      <family val="2"/>
      <color rgb="FF000000"/>
      <sz val="11"/>
    </font>
    <font>
      <name val="等线"/>
      <charset val="134"/>
      <family val="3"/>
      <color rgb="FF006100"/>
      <sz val="11"/>
      <scheme val="minor"/>
    </font>
    <font>
      <name val="EYInterstate Light"/>
      <sz val="8"/>
    </font>
    <font>
      <name val="宋体"/>
      <charset val="134"/>
      <family val="3"/>
      <sz val="10"/>
    </font>
    <font>
      <name val="Arial"/>
      <family val="2"/>
      <strike val="1"/>
      <sz val="10"/>
    </font>
    <font>
      <name val="等线"/>
      <charset val="134"/>
      <family val="3"/>
      <sz val="10"/>
      <scheme val="minor"/>
    </font>
    <font>
      <name val="Calibri"/>
      <family val="2"/>
      <color indexed="8"/>
      <sz val="11"/>
    </font>
    <font>
      <name val="楷体"/>
      <charset val="134"/>
      <family val="3"/>
      <sz val="12"/>
    </font>
    <font>
      <name val="微软雅黑"/>
      <charset val="134"/>
      <family val="2"/>
      <color rgb="FF000000"/>
      <sz val="10"/>
    </font>
    <font>
      <name val="微软雅黑"/>
      <charset val="134"/>
      <family val="2"/>
      <color theme="1"/>
      <sz val="10"/>
    </font>
    <font>
      <name val="微软雅黑"/>
      <charset val="134"/>
      <family val="2"/>
      <b val="1"/>
      <color rgb="FFFF0000"/>
      <sz val="10"/>
    </font>
    <font>
      <name val="微软雅黑"/>
      <charset val="134"/>
      <family val="2"/>
      <b val="1"/>
      <color theme="1"/>
      <sz val="10"/>
    </font>
    <font>
      <name val="微软雅黑"/>
      <charset val="134"/>
      <family val="2"/>
      <b val="1"/>
      <sz val="10"/>
    </font>
    <font>
      <name val="等线"/>
      <charset val="134"/>
      <family val="3"/>
      <color theme="1"/>
      <sz val="11"/>
      <scheme val="minor"/>
    </font>
    <font>
      <name val="等线"/>
      <charset val="134"/>
      <family val="3"/>
      <sz val="9"/>
      <scheme val="minor"/>
    </font>
    <font>
      <name val="等线"/>
      <charset val="134"/>
      <family val="2"/>
      <color theme="1"/>
      <sz val="11"/>
      <scheme val="minor"/>
    </font>
    <font>
      <name val="宋体"/>
      <charset val="134"/>
      <family val="3"/>
      <color indexed="12"/>
      <sz val="10"/>
      <u val="single"/>
    </font>
    <font>
      <name val="等线"/>
      <charset val="134"/>
      <family val="2"/>
      <sz val="9"/>
      <scheme val="minor"/>
    </font>
    <font>
      <name val="Arial"/>
      <family val="2"/>
      <b val="1"/>
      <color rgb="FFFF0000"/>
      <sz val="10"/>
    </font>
    <font>
      <name val="Arial"/>
      <family val="2"/>
      <color rgb="FFFF0000"/>
      <sz val="10"/>
    </font>
    <font>
      <name val="Arial"/>
      <family val="2"/>
      <b val="1"/>
      <sz val="10"/>
    </font>
    <font>
      <name val="Arial"/>
      <family val="2"/>
      <color theme="10"/>
      <sz val="11"/>
      <u val="single"/>
    </font>
    <font>
      <name val="Arial"/>
      <family val="2"/>
      <color theme="1"/>
      <sz val="14"/>
    </font>
    <font>
      <name val="Arial"/>
      <family val="2"/>
      <b val="1"/>
      <color indexed="10"/>
      <sz val="10"/>
    </font>
    <font>
      <name val="Arial"/>
      <family val="2"/>
      <b val="1"/>
      <color theme="1"/>
      <sz val="10"/>
    </font>
    <font>
      <name val="等线"/>
      <family val="2"/>
      <color theme="1"/>
      <sz val="11"/>
      <scheme val="minor"/>
    </font>
    <font>
      <name val="Arial"/>
      <charset val="134"/>
      <family val="2"/>
      <b val="1"/>
      <color theme="1"/>
      <sz val="10"/>
    </font>
    <font>
      <name val="Arial"/>
      <family val="2"/>
      <b val="1"/>
      <color theme="0"/>
      <sz val="14"/>
    </font>
    <font>
      <name val="等线"/>
      <charset val="128"/>
      <family val="3"/>
      <sz val="6"/>
      <scheme val="minor"/>
    </font>
    <font>
      <name val="Arial"/>
      <family val="2"/>
      <b val="1"/>
      <color rgb="FFFFC000"/>
      <sz val="14"/>
    </font>
    <font>
      <name val="Arial"/>
      <family val="2"/>
      <b val="1"/>
      <color rgb="FF000000"/>
      <sz val="12"/>
    </font>
    <font>
      <name val="EYInterstate Light"/>
      <family val="2"/>
      <sz val="8"/>
    </font>
    <font>
      <name val="Arial"/>
      <family val="2"/>
      <b val="1"/>
      <i val="1"/>
      <color rgb="FFFF0000"/>
      <sz val="10"/>
    </font>
    <font>
      <name val="EYInterstate Light"/>
      <b val="1"/>
      <i val="1"/>
      <color theme="0"/>
      <sz val="10"/>
    </font>
    <font>
      <name val="SimSun"/>
      <charset val="134"/>
      <family val="3"/>
      <color theme="1"/>
      <sz val="11"/>
    </font>
    <font>
      <name val="SimSun"/>
      <charset val="134"/>
      <family val="3"/>
      <color theme="10"/>
      <sz val="11"/>
      <u val="single"/>
    </font>
    <font>
      <name val="SimSun"/>
      <charset val="134"/>
      <family val="3"/>
      <color theme="1"/>
      <sz val="11"/>
    </font>
    <font>
      <name val="等线"/>
      <family val="2"/>
      <sz val="8"/>
      <scheme val="minor"/>
    </font>
    <font>
      <name val="Arial"/>
      <family val="2"/>
      <b val="1"/>
      <color indexed="8"/>
      <sz val="12"/>
    </font>
    <font>
      <name val="Arial"/>
      <family val="2"/>
      <b val="1"/>
      <color indexed="8"/>
      <sz val="18"/>
    </font>
    <font>
      <name val="等线"/>
      <family val="2"/>
      <color theme="10"/>
      <sz val="11"/>
      <u val="single"/>
      <scheme val="minor"/>
    </font>
    <font>
      <name val="Arial"/>
      <family val="2"/>
      <b val="1"/>
      <strike val="1"/>
      <color rgb="FFFF0000"/>
      <sz val="10"/>
    </font>
    <font>
      <name val="Arial"/>
      <family val="2"/>
      <b val="1"/>
      <color rgb="FFFFFFFF"/>
      <sz val="14"/>
    </font>
    <font>
      <name val="Arial"/>
      <family val="2"/>
      <color rgb="FFFFFFFF"/>
      <sz val="10"/>
    </font>
    <font>
      <name val="Arial"/>
      <family val="2"/>
      <color theme="10"/>
      <sz val="10"/>
      <u val="single"/>
    </font>
    <font>
      <name val="等线"/>
      <charset val="134"/>
      <family val="3"/>
      <color rgb="FFFF0000"/>
      <sz val="11"/>
      <u val="single"/>
      <scheme val="minor"/>
    </font>
    <font>
      <name val="Arial"/>
      <family val="2"/>
      <color rgb="FFFF0000"/>
      <sz val="11"/>
      <u val="single"/>
    </font>
    <font>
      <name val="Arial"/>
      <family val="2"/>
      <i val="1"/>
      <sz val="10"/>
    </font>
    <font>
      <name val="微软雅黑"/>
      <charset val="134"/>
      <family val="2"/>
      <b val="1"/>
      <color rgb="FFFF0000"/>
      <sz val="14"/>
    </font>
    <font>
      <name val="Arial"/>
      <family val="2"/>
      <b val="1"/>
      <color rgb="FF000000"/>
      <sz val="14"/>
    </font>
    <font>
      <name val="Arial"/>
      <family val="2"/>
      <b val="1"/>
      <color theme="4"/>
      <sz val="10"/>
      <u val="single"/>
    </font>
    <font>
      <name val="微软雅黑"/>
      <charset val="134"/>
      <family val="2"/>
      <color rgb="FFFF0000"/>
      <sz val="11"/>
      <u val="single"/>
    </font>
    <font>
      <name val="微软雅黑"/>
      <family val="2"/>
      <color rgb="FF000000"/>
      <sz val="10"/>
    </font>
    <font>
      <name val="微软雅黑"/>
      <family val="2"/>
      <sz val="10"/>
    </font>
    <font>
      <name val="Arial"/>
      <family val="2"/>
      <b val="1"/>
      <sz val="14"/>
    </font>
    <font>
      <name val="微软雅黑"/>
      <charset val="134"/>
      <family val="2"/>
      <color theme="1"/>
      <sz val="10"/>
    </font>
    <font>
      <name val="微软雅黑"/>
      <family val="2"/>
      <color theme="1"/>
      <sz val="10"/>
    </font>
    <font>
      <name val="微软雅黑"/>
      <family val="2"/>
      <b val="1"/>
      <color rgb="FFFF0000"/>
      <sz val="10"/>
    </font>
    <font>
      <name val="微软雅黑"/>
      <family val="2"/>
      <b val="1"/>
      <color theme="1"/>
      <sz val="10"/>
    </font>
    <font>
      <name val="微软雅黑"/>
      <family val="2"/>
      <color rgb="FFFF0000"/>
      <sz val="10"/>
    </font>
    <font>
      <name val="微软雅黑"/>
      <charset val="134"/>
      <family val="2"/>
      <b val="1"/>
      <color rgb="FF000000"/>
      <sz val="14"/>
    </font>
    <font>
      <name val="微软雅黑"/>
      <family val="2"/>
      <b val="1"/>
      <color rgb="FF000000"/>
      <sz val="14"/>
    </font>
    <font>
      <name val="微软雅黑"/>
      <family val="2"/>
      <b val="1"/>
      <color rgb="FF000000"/>
      <sz val="10"/>
    </font>
    <font>
      <name val="微软雅黑"/>
      <family val="2"/>
      <b val="1"/>
      <sz val="10"/>
    </font>
    <font>
      <name val="微软雅黑"/>
      <family val="2"/>
      <b val="1"/>
      <color theme="4"/>
      <sz val="10"/>
      <u val="single"/>
    </font>
    <font>
      <name val="微软雅黑"/>
      <charset val="134"/>
      <family val="2"/>
      <b val="1"/>
      <color theme="0"/>
      <sz val="14"/>
    </font>
    <font>
      <name val="微软雅黑"/>
      <family val="2"/>
      <color theme="1"/>
      <sz val="14"/>
    </font>
    <font>
      <name val="微软雅黑"/>
      <family val="2"/>
      <b val="1"/>
      <color rgb="FFFFC000"/>
      <sz val="14"/>
    </font>
    <font>
      <name val="微软雅黑"/>
      <family val="2"/>
      <b val="1"/>
      <color rgb="FF000000"/>
      <sz val="12"/>
    </font>
    <font>
      <name val="微软雅黑"/>
      <family val="2"/>
      <color theme="1"/>
      <sz val="11"/>
    </font>
    <font>
      <name val="微软雅黑"/>
      <family val="2"/>
      <color rgb="FFFF0000"/>
      <sz val="11"/>
      <u val="single"/>
    </font>
    <font>
      <name val="微软雅黑"/>
      <family val="2"/>
      <b val="1"/>
      <color indexed="10"/>
      <sz val="10"/>
    </font>
    <font>
      <name val="微软雅黑"/>
      <family val="2"/>
      <b val="1"/>
      <i val="1"/>
      <color rgb="FFFF0000"/>
      <sz val="10"/>
    </font>
    <font>
      <name val="微软雅黑"/>
      <family val="2"/>
      <i val="1"/>
      <sz val="10"/>
    </font>
    <font>
      <name val="微软雅黑"/>
      <family val="2"/>
      <b val="1"/>
      <color theme="0"/>
      <sz val="14"/>
    </font>
    <font>
      <name val="微软雅黑"/>
      <family val="2"/>
      <b val="1"/>
      <color indexed="8"/>
      <sz val="12"/>
    </font>
    <font>
      <name val="微软雅黑"/>
      <family val="2"/>
      <b val="1"/>
      <color rgb="FFFFFFFF"/>
      <sz val="14"/>
    </font>
    <font>
      <name val="微软雅黑"/>
      <family val="2"/>
      <b val="1"/>
      <i val="1"/>
      <sz val="10"/>
    </font>
    <font>
      <name val="微软雅黑"/>
      <family val="2"/>
      <b val="1"/>
      <color indexed="8"/>
      <sz val="18"/>
    </font>
    <font>
      <name val="微软雅黑"/>
      <family val="2"/>
      <color rgb="FF2E2E38"/>
      <sz val="7"/>
    </font>
    <font>
      <name val="Arial"/>
      <family val="2"/>
      <color theme="1"/>
      <sz val="10"/>
    </font>
    <font>
      <name val="Arial"/>
      <family val="2"/>
      <color rgb="FF000000"/>
      <sz val="12"/>
    </font>
    <font>
      <name val="Arial"/>
      <family val="2"/>
      <color theme="1"/>
      <sz val="12"/>
    </font>
    <font>
      <name val="Arial"/>
      <family val="2"/>
      <color theme="1"/>
      <sz val="11"/>
    </font>
    <font>
      <name val="Arial"/>
      <family val="2"/>
      <color indexed="10"/>
      <sz val="10"/>
    </font>
    <font>
      <name val="Arial"/>
      <family val="2"/>
      <color rgb="FF242424"/>
      <sz val="10"/>
    </font>
    <font>
      <name val="Arial"/>
      <family val="2"/>
      <b val="1"/>
      <sz val="12"/>
    </font>
    <font>
      <name val="Arial"/>
      <family val="2"/>
      <b val="1"/>
      <color rgb="FFFF0000"/>
      <sz val="12"/>
    </font>
    <font>
      <name val="Arial"/>
      <family val="2"/>
      <b val="1"/>
      <color rgb="FFFF0000"/>
      <sz val="10"/>
      <vertAlign val="superscript"/>
    </font>
    <font>
      <name val="Arial"/>
      <family val="2"/>
      <b val="1"/>
      <color rgb="FF0000FF"/>
      <sz val="10"/>
    </font>
    <font>
      <name val="Arial"/>
      <family val="2"/>
      <b val="1"/>
      <strike val="1"/>
      <color rgb="FF0000FF"/>
      <sz val="10"/>
    </font>
    <font>
      <name val="Arial"/>
      <family val="2"/>
      <b val="1"/>
      <color indexed="10"/>
      <sz val="10"/>
    </font>
    <font>
      <name val="Arial"/>
      <family val="2"/>
      <i val="1"/>
      <color rgb="FF000000"/>
      <sz val="10"/>
    </font>
    <font>
      <name val="Arial"/>
      <family val="2"/>
      <b val="1"/>
      <i val="1"/>
      <color theme="1"/>
      <sz val="10"/>
    </font>
    <font>
      <name val="微软雅黑"/>
      <charset val="134"/>
      <family val="2"/>
      <b val="1"/>
      <color indexed="8"/>
      <sz val="12"/>
    </font>
    <font>
      <name val="微软雅黑"/>
      <charset val="134"/>
      <family val="2"/>
      <b val="1"/>
      <color rgb="FF000000"/>
      <sz val="12"/>
    </font>
    <font>
      <name val="微软雅黑"/>
      <charset val="134"/>
      <family val="2"/>
      <color theme="1"/>
      <sz val="14"/>
    </font>
    <font>
      <name val="微软雅黑"/>
      <charset val="134"/>
      <family val="2"/>
      <b val="1"/>
      <color rgb="FFFFC000"/>
      <sz val="14"/>
    </font>
    <font>
      <name val="微软雅黑"/>
      <charset val="134"/>
      <family val="2"/>
      <b val="1"/>
      <color indexed="8"/>
      <sz val="18"/>
    </font>
    <font>
      <name val="Arial"/>
      <family val="2"/>
      <b val="1"/>
      <i val="1"/>
      <color rgb="FFFF0000"/>
      <sz val="9"/>
    </font>
    <font>
      <name val="Arial"/>
      <family val="2"/>
      <color theme="1"/>
      <sz val="10"/>
    </font>
    <font>
      <name val="Arial"/>
      <family val="2"/>
      <b val="1"/>
      <color indexed="10"/>
      <sz val="10"/>
    </font>
    <font>
      <name val="Arial"/>
      <family val="2"/>
      <sz val="10"/>
    </font>
    <font>
      <name val="Arial"/>
      <family val="2"/>
      <i val="1"/>
      <color theme="1"/>
      <sz val="10"/>
    </font>
    <font>
      <name val="Arial"/>
      <family val="2"/>
      <color rgb="FFFF0000"/>
      <sz val="10"/>
      <u val="single"/>
    </font>
    <font>
      <name val="微软雅黑"/>
      <charset val="134"/>
      <family val="2"/>
      <b val="1"/>
      <color rgb="FF000000"/>
      <sz val="10"/>
    </font>
    <font>
      <name val="等线"/>
      <charset val="134"/>
      <family val="3"/>
      <color theme="10"/>
      <sz val="11"/>
      <u val="single"/>
      <scheme val="minor"/>
    </font>
    <font>
      <name val="微软雅黑"/>
      <charset val="134"/>
      <family val="2"/>
      <sz val="10"/>
    </font>
    <font>
      <name val="等线"/>
      <charset val="134"/>
      <family val="3"/>
      <color theme="10"/>
      <sz val="11"/>
      <u val="single"/>
      <scheme val="minor"/>
    </font>
    <font>
      <name val="Arial"/>
      <family val="2"/>
      <b val="1"/>
      <color rgb="FFFF0000"/>
      <sz val="16"/>
    </font>
    <font>
      <name val="Arial"/>
      <family val="2"/>
      <color theme="1"/>
      <sz val="9"/>
    </font>
    <font>
      <name val="Arial"/>
      <family val="2"/>
      <color indexed="8"/>
      <sz val="9"/>
    </font>
    <font>
      <name val="Arial"/>
      <family val="2"/>
      <color rgb="FF000000"/>
      <sz val="9"/>
    </font>
    <font>
      <name val="微软雅黑"/>
      <charset val="134"/>
      <family val="2"/>
      <color rgb="FF000000"/>
      <sz val="9"/>
    </font>
    <font>
      <name val="Arial"/>
      <family val="2"/>
      <b val="1"/>
      <color rgb="FFFF0000"/>
      <sz val="9"/>
    </font>
    <font>
      <name val="微软雅黑"/>
      <charset val="134"/>
      <family val="2"/>
      <color theme="1"/>
      <sz val="9"/>
    </font>
    <font>
      <name val="宋体"/>
      <charset val="134"/>
      <family val="2"/>
      <color rgb="FF000000"/>
      <sz val="9"/>
    </font>
    <font>
      <name val="Arial"/>
      <family val="2"/>
      <sz val="9"/>
    </font>
    <font>
      <name val="微软雅黑"/>
      <charset val="134"/>
      <family val="2"/>
      <color theme="1"/>
      <sz val="11"/>
    </font>
    <font>
      <name val="Arial"/>
      <family val="2"/>
      <color indexed="8"/>
      <sz val="10"/>
    </font>
    <font>
      <name val="Arial"/>
      <charset val="134"/>
      <family val="2"/>
      <color theme="1"/>
      <sz val="11"/>
    </font>
  </fonts>
  <fills count="22">
    <fill>
      <patternFill/>
    </fill>
    <fill>
      <patternFill patternType="gray125"/>
    </fill>
    <fill>
      <patternFill patternType="solid">
        <fgColor theme="0"/>
        <bgColor indexed="64"/>
      </patternFill>
    </fill>
    <fill>
      <patternFill patternType="solid">
        <fgColor rgb="FFFFFFFF"/>
        <bgColor indexed="64"/>
      </patternFill>
    </fill>
    <fill>
      <patternFill patternType="solid">
        <fgColor indexed="65"/>
        <bgColor indexed="64"/>
      </patternFill>
    </fill>
    <fill>
      <patternFill patternType="solid">
        <fgColor theme="0" tint="-0.3499862666707358"/>
        <bgColor indexed="64"/>
      </patternFill>
    </fill>
    <fill>
      <patternFill patternType="solid">
        <fgColor rgb="FFA5A5A5"/>
        <bgColor indexed="64"/>
      </patternFill>
    </fill>
    <fill>
      <patternFill patternType="solid">
        <fgColor rgb="FFC6EFCE"/>
        <bgColor indexed="64"/>
      </patternFill>
    </fill>
    <fill>
      <patternFill patternType="solid">
        <fgColor theme="4" tint="0.7999816888943144"/>
        <bgColor indexed="64"/>
      </patternFill>
    </fill>
    <fill>
      <patternFill patternType="solid">
        <fgColor rgb="FFD9E1F2"/>
        <bgColor rgb="FF000000"/>
      </patternFill>
    </fill>
    <fill>
      <patternFill patternType="solid">
        <fgColor theme="1"/>
        <bgColor indexed="64"/>
      </patternFill>
    </fill>
    <fill>
      <patternFill patternType="solid">
        <fgColor rgb="FF000000"/>
        <bgColor rgb="FF000000"/>
      </patternFill>
    </fill>
    <fill>
      <patternFill patternType="solid">
        <fgColor rgb="FF333399"/>
        <bgColor rgb="FF000000"/>
      </patternFill>
    </fill>
    <fill>
      <patternFill patternType="solid">
        <fgColor theme="0" tint="-0.0499893185216834"/>
        <bgColor indexed="64"/>
      </patternFill>
    </fill>
    <fill>
      <patternFill patternType="solid">
        <fgColor rgb="FF333399"/>
        <bgColor indexed="64"/>
      </patternFill>
    </fill>
    <fill>
      <patternFill patternType="solid">
        <fgColor rgb="FF000099"/>
        <bgColor rgb="FF000000"/>
      </patternFill>
    </fill>
    <fill>
      <patternFill patternType="solid">
        <fgColor theme="0" tint="-0.3499862666707358"/>
        <bgColor rgb="FF000000"/>
      </patternFill>
    </fill>
    <fill>
      <patternFill patternType="solid">
        <fgColor rgb="FFFFFFFF"/>
        <bgColor rgb="FF000000"/>
      </patternFill>
    </fill>
    <fill>
      <patternFill patternType="solid">
        <fgColor rgb="FFFFFFCC"/>
        <bgColor indexed="64"/>
      </patternFill>
    </fill>
    <fill>
      <patternFill patternType="solid">
        <fgColor theme="0" tint="-0.3498947111423078"/>
        <bgColor indexed="64"/>
      </patternFill>
    </fill>
    <fill>
      <patternFill patternType="solid">
        <fgColor theme="0" tint="-0.3499557481612598"/>
        <bgColor indexed="64"/>
      </patternFill>
    </fill>
    <fill>
      <patternFill patternType="solid">
        <fgColor rgb="00FFFF99"/>
      </patternFill>
    </fill>
  </fills>
  <borders count="109">
    <border>
      <left/>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style="thin">
        <color auto="1"/>
      </top>
      <bottom style="double">
        <color auto="1"/>
      </bottom>
      <diagonal/>
    </border>
    <border>
      <left style="medium">
        <color auto="1"/>
      </left>
      <right style="medium">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style="thin">
        <color auto="1"/>
      </left>
      <right/>
      <top/>
      <bottom style="thin">
        <color auto="1"/>
      </bottom>
      <diagonal/>
    </border>
    <border>
      <left style="thin">
        <color rgb="FF000000"/>
      </left>
      <right style="thin">
        <color rgb="FF000000"/>
      </right>
      <top style="thin">
        <color rgb="FF000000"/>
      </top>
      <bottom/>
      <diagonal/>
    </border>
    <border>
      <left style="thin">
        <color auto="1"/>
      </left>
      <right/>
      <top style="thin">
        <color auto="1"/>
      </top>
      <bottom/>
      <diagonal/>
    </border>
    <border>
      <left/>
      <right/>
      <top style="thin">
        <color auto="1"/>
      </top>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right style="thin">
        <color auto="1"/>
      </right>
      <top/>
      <bottom style="thin">
        <color auto="1"/>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right/>
      <top style="thin">
        <color rgb="FF000000"/>
      </top>
      <bottom/>
      <diagonal/>
    </border>
    <border>
      <left/>
      <right/>
      <top style="thin">
        <color rgb="FF000000"/>
      </top>
      <bottom style="thin">
        <color rgb="FF000000"/>
      </bottom>
      <diagonal/>
    </border>
    <border>
      <left style="thin">
        <color auto="1"/>
      </left>
      <right style="thin">
        <color auto="1"/>
      </right>
      <top style="thin">
        <color auto="1"/>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auto="1"/>
      </left>
      <right style="thin">
        <color rgb="FF000000"/>
      </right>
      <top style="thin">
        <color rgb="FF000000"/>
      </top>
      <bottom style="thin">
        <color auto="1"/>
      </bottom>
      <diagonal/>
    </border>
    <border>
      <left style="thin">
        <color rgb="FF000000"/>
      </left>
      <right style="thin">
        <color auto="1"/>
      </right>
      <top style="thin">
        <color auto="1"/>
      </top>
      <bottom style="thin">
        <color auto="1"/>
      </bottom>
      <diagonal/>
    </border>
    <border>
      <left style="thin">
        <color auto="1"/>
      </left>
      <right style="thin">
        <color rgb="FF000000"/>
      </right>
      <top style="thin">
        <color auto="1"/>
      </top>
      <bottom style="thin">
        <color auto="1"/>
      </bottom>
      <diagonal/>
    </border>
    <border>
      <left style="thin">
        <color rgb="FF000000"/>
      </left>
      <right style="thin">
        <color auto="1"/>
      </right>
      <top style="thin">
        <color auto="1"/>
      </top>
      <bottom style="thin">
        <color rgb="FF000000"/>
      </bottom>
      <diagonal/>
    </border>
    <border>
      <left style="thin">
        <color auto="1"/>
      </left>
      <right style="thin">
        <color rgb="FF000000"/>
      </right>
      <top style="thin">
        <color auto="1"/>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auto="1"/>
      </right>
      <top style="thin">
        <color rgb="FF000000"/>
      </top>
      <bottom/>
      <diagonal/>
    </border>
    <border>
      <left style="thin">
        <color auto="1"/>
      </left>
      <right style="thin">
        <color auto="1"/>
      </right>
      <top style="thin">
        <color rgb="FF000000"/>
      </top>
      <bottom/>
      <diagonal/>
    </border>
    <border>
      <left/>
      <right style="thin">
        <color auto="1"/>
      </right>
      <top style="thin">
        <color rgb="FF000000"/>
      </top>
      <bottom/>
      <diagonal/>
    </border>
    <border>
      <left style="thin">
        <color rgb="FF000000"/>
      </left>
      <right style="thin">
        <color auto="1"/>
      </right>
      <top/>
      <bottom style="thin">
        <color auto="1"/>
      </bottom>
      <diagonal/>
    </border>
    <border>
      <left style="thin">
        <color auto="1"/>
      </left>
      <right/>
      <top style="thin">
        <color rgb="FF000000"/>
      </top>
      <bottom/>
      <diagonal/>
    </border>
    <border>
      <left style="thin">
        <color auto="1"/>
      </left>
      <right style="thin">
        <color auto="1"/>
      </right>
      <top/>
      <bottom style="thin">
        <color rgb="FF000000"/>
      </bottom>
      <diagonal/>
    </border>
    <border>
      <left/>
      <right style="thin">
        <color rgb="FF000000"/>
      </right>
      <top style="thin">
        <color auto="1"/>
      </top>
      <bottom style="thin">
        <color auto="1"/>
      </bottom>
      <diagonal/>
    </border>
    <border>
      <left/>
      <right style="thin">
        <color rgb="FF000000"/>
      </right>
      <top style="thin">
        <color auto="1"/>
      </top>
      <bottom style="thin">
        <color rgb="FF000000"/>
      </bottom>
      <diagonal/>
    </border>
    <border>
      <left style="thin">
        <color rgb="FF000000"/>
      </left>
      <right/>
      <top style="thin">
        <color auto="1"/>
      </top>
      <bottom style="thin">
        <color rgb="FF000000"/>
      </bottom>
      <diagonal/>
    </border>
    <border>
      <left style="medium">
        <color indexed="64"/>
      </left>
      <right style="medium">
        <color indexed="64"/>
      </right>
      <top style="thin">
        <color rgb="FF000000"/>
      </top>
      <bottom/>
      <diagonal/>
    </border>
    <border>
      <left style="medium">
        <color auto="1"/>
      </left>
      <right style="thin">
        <color rgb="FF000000"/>
      </right>
      <top style="thin">
        <color rgb="FF000000"/>
      </top>
      <bottom/>
      <diagonal/>
    </border>
    <border>
      <left style="thin">
        <color rgb="FF000000"/>
      </left>
      <right/>
      <top style="thin">
        <color auto="1"/>
      </top>
      <bottom/>
      <diagonal/>
    </border>
    <border>
      <left style="thin">
        <color rgb="FF000000"/>
      </left>
      <right/>
      <top/>
      <bottom style="thin">
        <color auto="1"/>
      </bottom>
      <diagonal/>
    </border>
    <border>
      <left/>
      <right style="thin">
        <color rgb="FF000000"/>
      </right>
      <top/>
      <bottom style="thin">
        <color auto="1"/>
      </bottom>
      <diagonal/>
    </border>
    <border>
      <left style="thin">
        <color rgb="FF000000"/>
      </left>
      <right style="thin">
        <color rgb="FF000000"/>
      </right>
      <top/>
      <bottom style="thin">
        <color auto="1"/>
      </bottom>
      <diagonal/>
    </border>
    <border>
      <left style="thin">
        <color rgb="FF000000"/>
      </left>
      <right/>
      <top style="thin">
        <color rgb="FF000000"/>
      </top>
      <bottom style="thin">
        <color indexed="64"/>
      </bottom>
      <diagonal/>
    </border>
    <border>
      <left style="thin">
        <color rgb="FF000000"/>
      </left>
      <right/>
      <top style="thin">
        <color auto="1"/>
      </top>
      <bottom style="thin">
        <color indexed="64"/>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rgb="FF000000"/>
      </right>
      <top style="thin">
        <color auto="1"/>
      </top>
      <bottom/>
      <diagonal/>
    </border>
    <border>
      <left style="thin">
        <color auto="1"/>
      </left>
      <right style="thin">
        <color rgb="FF000000"/>
      </right>
      <top/>
      <bottom style="thin">
        <color auto="1"/>
      </bottom>
      <diagonal/>
    </border>
    <border>
      <left style="medium">
        <color auto="1"/>
      </left>
      <right style="medium">
        <color auto="1"/>
      </right>
      <top style="thin">
        <color rgb="FF000000"/>
      </top>
      <bottom style="thin">
        <color auto="1"/>
      </bottom>
      <diagonal/>
    </border>
    <border>
      <left style="medium">
        <color indexed="64"/>
      </left>
      <right/>
      <top style="thin">
        <color rgb="FF000000"/>
      </top>
      <bottom style="thin">
        <color indexed="64"/>
      </bottom>
      <diagonal/>
    </border>
    <border>
      <left style="medium">
        <color indexed="64"/>
      </left>
      <right style="thin">
        <color rgb="FF000000"/>
      </right>
      <top style="thin">
        <color rgb="FF000000"/>
      </top>
      <bottom style="thin">
        <color indexed="64"/>
      </bottom>
      <diagonal/>
    </border>
    <border>
      <left style="thin">
        <color auto="1"/>
      </left>
      <right style="thin">
        <color rgb="FF000000"/>
      </right>
      <top/>
      <bottom/>
      <diagonal/>
    </border>
    <border>
      <left style="thin">
        <color indexed="64"/>
      </left>
      <right style="thin">
        <color indexed="64"/>
      </right>
      <top style="thin">
        <color rgb="FF000000"/>
      </top>
      <bottom style="thin">
        <color indexed="64"/>
      </bottom>
      <diagonal/>
    </border>
    <border>
      <left/>
      <right style="thin">
        <color indexed="64"/>
      </right>
      <top style="thin">
        <color rgb="FF000000"/>
      </top>
      <bottom/>
      <diagonal/>
    </border>
    <border>
      <left style="thin">
        <color auto="1"/>
      </left>
      <right style="thin">
        <color auto="1"/>
      </right>
      <top style="thin">
        <color rgb="FF000000"/>
      </top>
      <bottom style="thin">
        <color auto="1"/>
      </bottom>
      <diagonal/>
    </border>
    <border>
      <left/>
      <right style="thin">
        <color auto="1"/>
      </right>
      <top style="thin">
        <color rgb="FF000000"/>
      </top>
      <bottom style="thin">
        <color auto="1"/>
      </bottom>
      <diagonal/>
    </border>
    <border>
      <left style="thin">
        <color auto="1"/>
      </left>
      <right/>
      <top style="thin">
        <color rgb="FF000000"/>
      </top>
      <bottom style="thin">
        <color auto="1"/>
      </bottom>
      <diagonal/>
    </border>
    <border>
      <left style="thin">
        <color indexed="64"/>
      </left>
      <right style="thin">
        <color indexed="64"/>
      </right>
      <top style="thin">
        <color indexed="64"/>
      </top>
      <bottom style="thin">
        <color rgb="FF000000"/>
      </bottom>
      <diagonal/>
    </border>
    <border>
      <left/>
      <right/>
      <top style="thin">
        <color indexed="64"/>
      </top>
      <bottom/>
      <diagonal/>
    </border>
    <border>
      <left/>
      <right style="thin">
        <color indexed="64"/>
      </right>
      <top style="thin">
        <color indexed="64"/>
      </top>
      <bottom/>
      <diagonal/>
    </border>
    <border>
      <left style="thin">
        <color rgb="FF000000"/>
      </left>
      <right style="thin">
        <color auto="1"/>
      </right>
      <top style="thin">
        <color rgb="FF000000"/>
      </top>
      <bottom style="thin">
        <color auto="1"/>
      </bottom>
      <diagonal/>
    </border>
    <border>
      <left style="thin">
        <color rgb="FF000000"/>
      </left>
      <right style="thin">
        <color auto="1"/>
      </right>
      <top/>
      <bottom/>
      <diagonal/>
    </border>
    <border>
      <left/>
      <right style="thin">
        <color rgb="FF000000"/>
      </right>
      <top style="thin">
        <color auto="1"/>
      </top>
      <bottom/>
      <diagonal/>
    </border>
    <border>
      <left style="thin">
        <color rgb="FF000000"/>
      </left>
      <right style="thin">
        <color indexed="64"/>
      </right>
      <top style="thin">
        <color rgb="FF000000"/>
      </top>
      <bottom style="thin">
        <color indexed="64"/>
      </bottom>
      <diagonal/>
    </border>
    <border>
      <left style="thin">
        <color rgb="FF000000"/>
      </left>
      <right style="thin">
        <color rgb="FF000000"/>
      </right>
      <top style="thin">
        <color rgb="FF000000"/>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right/>
      <top style="medium">
        <color indexed="64"/>
      </top>
      <bottom style="thin">
        <color auto="1"/>
      </bottom>
      <diagonal/>
    </border>
    <border>
      <left/>
      <right style="thin">
        <color auto="1"/>
      </right>
      <top style="medium">
        <color indexed="64"/>
      </top>
      <bottom style="thin">
        <color auto="1"/>
      </bottom>
      <diagonal/>
    </border>
    <border>
      <left style="medium">
        <color indexed="64"/>
      </left>
      <right style="medium">
        <color auto="1"/>
      </right>
      <top style="medium">
        <color indexed="64"/>
      </top>
      <bottom style="thin">
        <color auto="1"/>
      </bottom>
      <diagonal/>
    </border>
    <border>
      <left/>
      <right style="thin">
        <color auto="1"/>
      </right>
      <top style="medium">
        <color auto="1"/>
      </top>
      <bottom style="thin">
        <color auto="1"/>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medium">
        <color auto="1"/>
      </right>
      <top style="thin">
        <color auto="1"/>
      </top>
      <bottom style="medium">
        <color indexed="64"/>
      </bottom>
      <diagonal/>
    </border>
    <border>
      <left/>
      <right style="thin">
        <color auto="1"/>
      </right>
      <top style="thin">
        <color auto="1"/>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double">
        <color indexed="64"/>
      </bottom>
      <diagonal/>
    </border>
    <border>
      <left style="medium">
        <color indexed="64"/>
      </left>
      <right style="medium">
        <color indexed="64"/>
      </right>
      <top/>
      <bottom/>
      <diagonal/>
    </border>
    <border/>
  </borders>
  <cellStyleXfs count="337">
    <xf numFmtId="0" fontId="0" fillId="0" borderId="0" applyAlignment="1">
      <alignment vertical="center"/>
    </xf>
    <xf numFmtId="0" fontId="24" fillId="0" borderId="0"/>
    <xf numFmtId="43" fontId="24" fillId="0" borderId="0"/>
    <xf numFmtId="41" fontId="9" fillId="0" borderId="0"/>
    <xf numFmtId="0" fontId="10" fillId="6" borderId="11"/>
    <xf numFmtId="9" fontId="24" fillId="0" borderId="0"/>
    <xf numFmtId="41" fontId="24" fillId="0" borderId="0"/>
    <xf numFmtId="41" fontId="24" fillId="0" borderId="0"/>
    <xf numFmtId="41" fontId="24" fillId="0" borderId="0"/>
    <xf numFmtId="41" fontId="24" fillId="0" borderId="0"/>
    <xf numFmtId="41" fontId="24" fillId="0" borderId="0"/>
    <xf numFmtId="41" fontId="24" fillId="0" borderId="0"/>
    <xf numFmtId="0" fontId="24" fillId="0" borderId="0"/>
    <xf numFmtId="0" fontId="24" fillId="0" borderId="0"/>
    <xf numFmtId="41" fontId="9" fillId="0" borderId="0"/>
    <xf numFmtId="0" fontId="119" fillId="0" borderId="0"/>
    <xf numFmtId="0" fontId="119" fillId="0" borderId="0"/>
    <xf numFmtId="4" fontId="24" fillId="0" borderId="5" applyAlignment="1">
      <alignment horizontal="right"/>
    </xf>
    <xf numFmtId="0" fontId="24" fillId="0" borderId="0"/>
    <xf numFmtId="0" fontId="10" fillId="6" borderId="11"/>
    <xf numFmtId="43" fontId="24" fillId="0" borderId="0"/>
    <xf numFmtId="41" fontId="24" fillId="0" borderId="0"/>
    <xf numFmtId="41" fontId="24" fillId="0" borderId="0"/>
    <xf numFmtId="41" fontId="24" fillId="0" borderId="0"/>
    <xf numFmtId="0"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11" fillId="0" borderId="0"/>
    <xf numFmtId="43" fontId="24" fillId="0" borderId="0"/>
    <xf numFmtId="43" fontId="24" fillId="0" borderId="0"/>
    <xf numFmtId="43" fontId="9" fillId="0" borderId="0"/>
    <xf numFmtId="0" fontId="24" fillId="0" borderId="5"/>
    <xf numFmtId="0" fontId="24" fillId="0" borderId="5"/>
    <xf numFmtId="0" fontId="12" fillId="7" borderId="0"/>
    <xf numFmtId="0" fontId="12" fillId="7" borderId="0"/>
    <xf numFmtId="0" fontId="119" fillId="0" borderId="0"/>
    <xf numFmtId="0" fontId="119" fillId="0" borderId="0"/>
    <xf numFmtId="0" fontId="24" fillId="0" borderId="0"/>
    <xf numFmtId="0" fontId="113"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applyProtection="1">
      <protection locked="0" hidden="0"/>
    </xf>
    <xf numFmtId="0" fontId="24" fillId="0" borderId="0" applyProtection="1">
      <protection locked="0" hidden="0"/>
    </xf>
    <xf numFmtId="0" fontId="24" fillId="0" borderId="0"/>
    <xf numFmtId="0" fontId="24" fillId="0" borderId="0"/>
    <xf numFmtId="0" fontId="113" fillId="0" borderId="0"/>
    <xf numFmtId="0" fontId="13" fillId="0" borderId="0" applyAlignment="1">
      <alignment vertical="center"/>
    </xf>
    <xf numFmtId="0" fontId="13" fillId="0" borderId="0" applyAlignment="1">
      <alignment vertical="center"/>
    </xf>
    <xf numFmtId="0" fontId="13" fillId="0" borderId="0" applyAlignment="1">
      <alignment vertical="center"/>
    </xf>
    <xf numFmtId="0" fontId="11"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14" fillId="0" borderId="0"/>
    <xf numFmtId="0" fontId="111" fillId="0" borderId="0"/>
    <xf numFmtId="0" fontId="9" fillId="0" borderId="0"/>
    <xf numFmtId="0" fontId="24" fillId="0" borderId="0"/>
    <xf numFmtId="0" fontId="24" fillId="0" borderId="0"/>
    <xf numFmtId="0" fontId="14" fillId="0" borderId="0"/>
    <xf numFmtId="0" fontId="24" fillId="0" borderId="0" applyAlignment="1">
      <alignment vertical="center"/>
    </xf>
    <xf numFmtId="9" fontId="9" fillId="0" borderId="0"/>
    <xf numFmtId="0" fontId="113" fillId="0" borderId="0"/>
    <xf numFmtId="0" fontId="15" fillId="0" borderId="0"/>
    <xf numFmtId="168" fontId="24" fillId="0" borderId="0"/>
    <xf numFmtId="168" fontId="24" fillId="0" borderId="0"/>
    <xf numFmtId="9" fontId="24" fillId="0" borderId="0"/>
    <xf numFmtId="9" fontId="24" fillId="0" borderId="0"/>
    <xf numFmtId="9" fontId="113" fillId="0" borderId="0"/>
    <xf numFmtId="9" fontId="24" fillId="0" borderId="0"/>
    <xf numFmtId="9" fontId="24" fillId="0" borderId="0"/>
    <xf numFmtId="169" fontId="14" fillId="0" borderId="0"/>
    <xf numFmtId="169" fontId="16" fillId="0" borderId="0"/>
    <xf numFmtId="169" fontId="16" fillId="0" borderId="0"/>
    <xf numFmtId="0" fontId="113" fillId="0" borderId="0" applyProtection="1">
      <protection locked="0" hidden="0"/>
    </xf>
    <xf numFmtId="0" fontId="17" fillId="0" borderId="0" applyProtection="1">
      <protection locked="0" hidden="0"/>
    </xf>
    <xf numFmtId="0" fontId="24" fillId="0" borderId="0"/>
    <xf numFmtId="0" fontId="17" fillId="0" borderId="0" applyProtection="1">
      <protection locked="0" hidden="0"/>
    </xf>
    <xf numFmtId="0" fontId="17" fillId="0" borderId="0" applyProtection="1">
      <protection locked="0" hidden="0"/>
    </xf>
    <xf numFmtId="0" fontId="9" fillId="0" borderId="0"/>
    <xf numFmtId="0" fontId="17" fillId="0" borderId="0" applyProtection="1">
      <protection locked="0" hidden="0"/>
    </xf>
    <xf numFmtId="0" fontId="113" fillId="0" borderId="0" applyProtection="1">
      <protection locked="0" hidden="0"/>
    </xf>
    <xf numFmtId="0" fontId="14" fillId="0" borderId="0"/>
    <xf numFmtId="0" fontId="24" fillId="0" borderId="0"/>
    <xf numFmtId="0" fontId="24" fillId="0" borderId="0"/>
    <xf numFmtId="0" fontId="119" fillId="0" borderId="0"/>
    <xf numFmtId="0" fontId="18"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0" fontId="14" fillId="0" borderId="0"/>
    <xf numFmtId="0" fontId="14" fillId="0" borderId="0"/>
    <xf numFmtId="0" fontId="26" fillId="0" borderId="0" applyAlignment="1">
      <alignment vertical="center"/>
    </xf>
    <xf numFmtId="0" fontId="27" fillId="0" borderId="0" applyProtection="1">
      <protection locked="0" hidden="0"/>
    </xf>
    <xf numFmtId="0" fontId="26" fillId="0" borderId="0" applyAlignment="1">
      <alignment vertical="center"/>
    </xf>
    <xf numFmtId="43" fontId="24" fillId="0" borderId="0"/>
    <xf numFmtId="41" fontId="9" fillId="0" borderId="0"/>
    <xf numFmtId="41" fontId="24" fillId="0" borderId="0"/>
    <xf numFmtId="41" fontId="24" fillId="0" borderId="0"/>
    <xf numFmtId="41" fontId="24" fillId="0" borderId="0"/>
    <xf numFmtId="41" fontId="24" fillId="0" borderId="0"/>
    <xf numFmtId="41" fontId="24" fillId="0" borderId="0"/>
    <xf numFmtId="41" fontId="24" fillId="0" borderId="0"/>
    <xf numFmtId="41" fontId="9" fillId="0" borderId="0"/>
    <xf numFmtId="43" fontId="24" fillId="0" borderId="0"/>
    <xf numFmtId="41" fontId="24" fillId="0" borderId="0"/>
    <xf numFmtId="41" fontId="24" fillId="0" borderId="0"/>
    <xf numFmtId="41"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24" fillId="0" borderId="0"/>
    <xf numFmtId="43" fontId="24" fillId="0" borderId="0"/>
    <xf numFmtId="43" fontId="9"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0" fontId="24" fillId="0" borderId="0" applyAlignment="1">
      <alignment vertical="center"/>
    </xf>
    <xf numFmtId="0" fontId="24" fillId="0" borderId="0" applyAlignment="1">
      <alignment vertical="center"/>
    </xf>
    <xf numFmtId="0" fontId="24" fillId="0" borderId="0" applyAlignment="1">
      <alignment vertical="center"/>
    </xf>
    <xf numFmtId="0" fontId="24" fillId="0" borderId="0"/>
    <xf numFmtId="0" fontId="24" fillId="0" borderId="0"/>
    <xf numFmtId="0" fontId="26" fillId="0" borderId="0"/>
    <xf numFmtId="0" fontId="24" fillId="0" borderId="0"/>
    <xf numFmtId="0" fontId="24" fillId="0" borderId="0" applyAlignment="1">
      <alignment vertical="center"/>
    </xf>
    <xf numFmtId="0" fontId="26" fillId="0" borderId="0" applyAlignment="1">
      <alignment vertical="center"/>
    </xf>
    <xf numFmtId="0" fontId="24" fillId="0" borderId="0"/>
    <xf numFmtId="0" fontId="24" fillId="0" borderId="0" applyAlignment="1">
      <alignment vertical="center"/>
    </xf>
    <xf numFmtId="0" fontId="13" fillId="0" borderId="0" applyAlignment="1">
      <alignment vertical="center"/>
    </xf>
    <xf numFmtId="0" fontId="26" fillId="0" borderId="0" applyAlignment="1">
      <alignment vertical="center"/>
    </xf>
    <xf numFmtId="0" fontId="113" fillId="0" borderId="0"/>
    <xf numFmtId="0" fontId="13" fillId="0" borderId="0" applyAlignment="1">
      <alignment vertical="center"/>
    </xf>
    <xf numFmtId="0" fontId="119" fillId="0" borderId="0"/>
    <xf numFmtId="0" fontId="24" fillId="0" borderId="0" applyAlignment="1">
      <alignment vertical="center"/>
    </xf>
    <xf numFmtId="9" fontId="24" fillId="0" borderId="0"/>
    <xf numFmtId="0" fontId="24" fillId="0" borderId="0" applyAlignment="1">
      <alignment vertical="center"/>
    </xf>
    <xf numFmtId="0" fontId="24" fillId="0" borderId="0"/>
    <xf numFmtId="0" fontId="119" fillId="0" borderId="0" applyAlignment="1">
      <alignment vertical="center"/>
    </xf>
    <xf numFmtId="0" fontId="26" fillId="0" borderId="0"/>
    <xf numFmtId="0" fontId="26" fillId="0" borderId="0" applyAlignment="1">
      <alignment vertical="center"/>
    </xf>
    <xf numFmtId="0" fontId="36" fillId="0" borderId="0"/>
    <xf numFmtId="0" fontId="26" fillId="0" borderId="0"/>
    <xf numFmtId="43" fontId="24" fillId="0" borderId="0"/>
    <xf numFmtId="41" fontId="9" fillId="0" borderId="0"/>
    <xf numFmtId="41" fontId="24" fillId="0" borderId="0"/>
    <xf numFmtId="41" fontId="24" fillId="0" borderId="0"/>
    <xf numFmtId="41" fontId="24" fillId="0" borderId="0"/>
    <xf numFmtId="41" fontId="24" fillId="0" borderId="0"/>
    <xf numFmtId="41" fontId="24" fillId="0" borderId="0"/>
    <xf numFmtId="41" fontId="24" fillId="0" borderId="0"/>
    <xf numFmtId="41" fontId="9" fillId="0" borderId="0"/>
    <xf numFmtId="43" fontId="24" fillId="0" borderId="0"/>
    <xf numFmtId="41" fontId="24" fillId="0" borderId="0"/>
    <xf numFmtId="41" fontId="24" fillId="0" borderId="0"/>
    <xf numFmtId="41"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24" fillId="0" borderId="0"/>
    <xf numFmtId="43" fontId="24" fillId="0" borderId="0"/>
    <xf numFmtId="43" fontId="9"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0" fontId="26" fillId="0" borderId="0" applyAlignment="1">
      <alignment vertical="center"/>
    </xf>
    <xf numFmtId="0" fontId="26" fillId="0" borderId="0" applyAlignment="1">
      <alignment vertical="center"/>
    </xf>
    <xf numFmtId="43" fontId="24" fillId="0" borderId="0"/>
    <xf numFmtId="41" fontId="9" fillId="0" borderId="0"/>
    <xf numFmtId="41" fontId="24" fillId="0" borderId="0"/>
    <xf numFmtId="41" fontId="24" fillId="0" borderId="0"/>
    <xf numFmtId="41" fontId="24" fillId="0" borderId="0"/>
    <xf numFmtId="41" fontId="24" fillId="0" borderId="0"/>
    <xf numFmtId="41" fontId="24" fillId="0" borderId="0"/>
    <xf numFmtId="41" fontId="24" fillId="0" borderId="0"/>
    <xf numFmtId="41" fontId="9" fillId="0" borderId="0"/>
    <xf numFmtId="43" fontId="24" fillId="0" borderId="0"/>
    <xf numFmtId="41" fontId="24" fillId="0" borderId="0"/>
    <xf numFmtId="41" fontId="24" fillId="0" borderId="0"/>
    <xf numFmtId="41"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24" fillId="0" borderId="0"/>
    <xf numFmtId="43" fontId="24" fillId="0" borderId="0"/>
    <xf numFmtId="43" fontId="9"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0" fontId="26" fillId="0" borderId="0" applyAlignment="1">
      <alignment vertical="center"/>
    </xf>
    <xf numFmtId="0" fontId="26" fillId="0" borderId="0" applyAlignment="1">
      <alignment vertical="center"/>
    </xf>
    <xf numFmtId="0" fontId="26" fillId="0" borderId="0"/>
    <xf numFmtId="0" fontId="26" fillId="0" borderId="0" applyAlignment="1">
      <alignment vertical="center"/>
    </xf>
    <xf numFmtId="43" fontId="24" fillId="0" borderId="0"/>
    <xf numFmtId="41" fontId="9" fillId="0" borderId="0"/>
    <xf numFmtId="41" fontId="24" fillId="0" borderId="0"/>
    <xf numFmtId="41" fontId="24" fillId="0" borderId="0"/>
    <xf numFmtId="41" fontId="24" fillId="0" borderId="0"/>
    <xf numFmtId="41" fontId="24" fillId="0" borderId="0"/>
    <xf numFmtId="41" fontId="24" fillId="0" borderId="0"/>
    <xf numFmtId="41" fontId="24" fillId="0" borderId="0"/>
    <xf numFmtId="41" fontId="9" fillId="0" borderId="0"/>
    <xf numFmtId="43" fontId="24" fillId="0" borderId="0"/>
    <xf numFmtId="41" fontId="24" fillId="0" borderId="0"/>
    <xf numFmtId="41" fontId="24" fillId="0" borderId="0"/>
    <xf numFmtId="41"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24" fillId="0" borderId="0"/>
    <xf numFmtId="43" fontId="24" fillId="0" borderId="0"/>
    <xf numFmtId="43" fontId="9"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43" fontId="24" fillId="0" borderId="0"/>
    <xf numFmtId="41" fontId="9" fillId="0" borderId="0"/>
    <xf numFmtId="41" fontId="24" fillId="0" borderId="0"/>
    <xf numFmtId="41" fontId="24" fillId="0" borderId="0"/>
    <xf numFmtId="41" fontId="24" fillId="0" borderId="0"/>
    <xf numFmtId="41" fontId="24" fillId="0" borderId="0"/>
    <xf numFmtId="41" fontId="24" fillId="0" borderId="0"/>
    <xf numFmtId="41" fontId="24" fillId="0" borderId="0"/>
    <xf numFmtId="41" fontId="9" fillId="0" borderId="0"/>
    <xf numFmtId="43" fontId="24" fillId="0" borderId="0"/>
    <xf numFmtId="41" fontId="24" fillId="0" borderId="0"/>
    <xf numFmtId="41" fontId="24" fillId="0" borderId="0"/>
    <xf numFmtId="41"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24" fillId="0" borderId="0"/>
    <xf numFmtId="43" fontId="24" fillId="0" borderId="0"/>
    <xf numFmtId="43" fontId="9"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0" fontId="36" fillId="0" borderId="0"/>
    <xf numFmtId="0" fontId="42" fillId="0" borderId="0" applyAlignment="1">
      <alignment vertical="center"/>
    </xf>
    <xf numFmtId="0" fontId="94" fillId="0" borderId="0"/>
    <xf numFmtId="43" fontId="36" fillId="0" borderId="0"/>
    <xf numFmtId="0" fontId="47" fillId="0" borderId="0"/>
    <xf numFmtId="0" fontId="46" fillId="0" borderId="0"/>
    <xf numFmtId="0" fontId="47" fillId="0" borderId="0"/>
    <xf numFmtId="43" fontId="47" fillId="0" borderId="0"/>
    <xf numFmtId="38" fontId="47" fillId="0" borderId="0" applyAlignment="1">
      <alignment vertical="center"/>
    </xf>
    <xf numFmtId="170" fontId="47" fillId="0" borderId="0"/>
    <xf numFmtId="0" fontId="51" fillId="0" borderId="0"/>
    <xf numFmtId="38" fontId="36" fillId="0" borderId="0" applyAlignment="1">
      <alignment vertical="center"/>
    </xf>
    <xf numFmtId="170" fontId="36" fillId="0" borderId="0"/>
    <xf numFmtId="0" fontId="36" fillId="0" borderId="0"/>
    <xf numFmtId="41" fontId="9" fillId="0" borderId="0"/>
    <xf numFmtId="43" fontId="24" fillId="0" borderId="0"/>
    <xf numFmtId="43" fontId="24" fillId="0" borderId="0"/>
    <xf numFmtId="43" fontId="24" fillId="0" borderId="0"/>
    <xf numFmtId="0" fontId="55" fillId="0" borderId="0"/>
    <xf numFmtId="0" fontId="26" fillId="0" borderId="0" applyAlignment="1">
      <alignment vertical="center"/>
    </xf>
    <xf numFmtId="0" fontId="14" fillId="0" borderId="0"/>
    <xf numFmtId="0" fontId="42" fillId="0" borderId="0" applyAlignment="1">
      <alignment vertical="center"/>
    </xf>
    <xf numFmtId="0" fontId="26" fillId="0" borderId="0"/>
    <xf numFmtId="0" fontId="26" fillId="0" borderId="0"/>
    <xf numFmtId="0" fontId="17" fillId="0" borderId="0"/>
    <xf numFmtId="9" fontId="24" fillId="0" borderId="0"/>
    <xf numFmtId="9" fontId="24" fillId="0" borderId="0"/>
    <xf numFmtId="0" fontId="9" fillId="0" borderId="0"/>
    <xf numFmtId="0" fontId="26" fillId="0" borderId="0" applyAlignment="1">
      <alignment vertical="center"/>
    </xf>
    <xf numFmtId="0" fontId="26" fillId="0" borderId="0" applyAlignment="1">
      <alignment vertical="center"/>
    </xf>
    <xf numFmtId="0" fontId="26" fillId="0" borderId="0" applyAlignment="1">
      <alignment vertical="center"/>
    </xf>
    <xf numFmtId="0" fontId="26" fillId="0" borderId="0"/>
    <xf numFmtId="43" fontId="113" fillId="0" borderId="0"/>
    <xf numFmtId="43" fontId="26" fillId="0" borderId="0"/>
    <xf numFmtId="0" fontId="36" fillId="0" borderId="0"/>
    <xf numFmtId="43" fontId="36" fillId="0" borderId="0" applyAlignment="1">
      <alignment vertical="center"/>
    </xf>
    <xf numFmtId="0" fontId="119" fillId="0" borderId="0" applyAlignment="1">
      <alignment vertical="center"/>
    </xf>
    <xf numFmtId="0" fontId="119" fillId="0" borderId="0" applyAlignment="1">
      <alignment vertical="center"/>
    </xf>
  </cellStyleXfs>
  <cellXfs count="868">
    <xf numFmtId="0" fontId="0" fillId="0" borderId="0" applyAlignment="1" pivotButton="0" quotePrefix="0" xfId="0">
      <alignment vertical="center"/>
    </xf>
    <xf numFmtId="49" fontId="0" fillId="0" borderId="0" applyAlignment="1" pivotButton="0" quotePrefix="0" xfId="0">
      <alignment vertical="center"/>
    </xf>
    <xf numFmtId="0" fontId="6" fillId="0" borderId="0" applyAlignment="1" pivotButton="0" quotePrefix="0" xfId="0">
      <alignment vertical="center"/>
    </xf>
    <xf numFmtId="0" fontId="5" fillId="0" borderId="0" applyAlignment="1" pivotButton="0" quotePrefix="0" xfId="0">
      <alignment vertical="center"/>
    </xf>
    <xf numFmtId="0" fontId="5" fillId="0" borderId="0" applyAlignment="1" pivotButton="0" quotePrefix="0" xfId="0">
      <alignment horizontal="left" vertical="center"/>
    </xf>
    <xf numFmtId="0" fontId="6" fillId="2" borderId="0" applyAlignment="1" pivotButton="0" quotePrefix="0" xfId="164">
      <alignment vertical="center"/>
    </xf>
    <xf numFmtId="0" fontId="6" fillId="0" borderId="0" applyAlignment="1" applyProtection="1" pivotButton="0" quotePrefix="0" xfId="100">
      <alignment vertical="center"/>
      <protection locked="0" hidden="0"/>
    </xf>
    <xf numFmtId="0" fontId="5" fillId="0" borderId="0" applyAlignment="1" applyProtection="1" pivotButton="0" quotePrefix="0" xfId="100">
      <alignment vertical="center"/>
      <protection locked="0" hidden="0"/>
    </xf>
    <xf numFmtId="9" fontId="6" fillId="0" borderId="0" applyAlignment="1" applyProtection="1" pivotButton="0" quotePrefix="0" xfId="165">
      <alignment vertical="center"/>
      <protection locked="0" hidden="0"/>
    </xf>
    <xf numFmtId="0" fontId="29" fillId="2" borderId="0" applyAlignment="1" pivotButton="0" quotePrefix="0" xfId="164">
      <alignment vertical="center"/>
    </xf>
    <xf numFmtId="0" fontId="6" fillId="0" borderId="0" applyAlignment="1" applyProtection="1" pivotButton="0" quotePrefix="0" xfId="171">
      <alignment vertical="center"/>
      <protection locked="0" hidden="0"/>
    </xf>
    <xf numFmtId="0" fontId="6" fillId="0" borderId="0" applyAlignment="1" applyProtection="1" pivotButton="0" quotePrefix="0" xfId="171">
      <alignment horizontal="center" vertical="center" wrapText="1"/>
      <protection locked="0" hidden="0"/>
    </xf>
    <xf numFmtId="0" fontId="4" fillId="0" borderId="0" applyAlignment="1" applyProtection="1" pivotButton="0" quotePrefix="0" xfId="171">
      <alignment horizontal="left" vertical="center"/>
      <protection locked="0" hidden="0"/>
    </xf>
    <xf numFmtId="0" fontId="29" fillId="0" borderId="0" applyAlignment="1" applyProtection="1" pivotButton="0" quotePrefix="0" xfId="171">
      <alignment horizontal="center" vertical="center"/>
      <protection locked="0" hidden="0"/>
    </xf>
    <xf numFmtId="0" fontId="33" fillId="10" borderId="8" applyAlignment="1" applyProtection="1" pivotButton="0" quotePrefix="0" xfId="171">
      <alignment horizontal="centerContinuous" vertical="center"/>
      <protection locked="0" hidden="0"/>
    </xf>
    <xf numFmtId="0" fontId="40" fillId="11" borderId="10" applyAlignment="1" applyProtection="1" pivotButton="0" quotePrefix="0" xfId="171">
      <alignment horizontal="centerContinuous" vertical="center"/>
      <protection locked="0" hidden="0"/>
    </xf>
    <xf numFmtId="0" fontId="40" fillId="11" borderId="3" applyAlignment="1" applyProtection="1" pivotButton="0" quotePrefix="0" xfId="171">
      <alignment horizontal="centerContinuous" vertical="center"/>
      <protection locked="0" hidden="0"/>
    </xf>
    <xf numFmtId="0" fontId="6" fillId="14" borderId="0" applyAlignment="1" applyProtection="1" pivotButton="0" quotePrefix="0" xfId="171">
      <alignment vertical="center"/>
      <protection locked="0" hidden="0"/>
    </xf>
    <xf numFmtId="0" fontId="49" fillId="13" borderId="7" applyAlignment="1" applyProtection="1" pivotButton="0" quotePrefix="0" xfId="171">
      <alignment vertical="center"/>
      <protection locked="0" hidden="0"/>
    </xf>
    <xf numFmtId="0" fontId="49" fillId="13" borderId="8" applyAlignment="1" applyProtection="1" pivotButton="0" quotePrefix="0" xfId="171">
      <alignment vertical="center"/>
      <protection locked="0" hidden="0"/>
    </xf>
    <xf numFmtId="0" fontId="49" fillId="13" borderId="4" applyAlignment="1" applyProtection="1" pivotButton="0" quotePrefix="0" xfId="171">
      <alignment vertical="center"/>
      <protection locked="0" hidden="0"/>
    </xf>
    <xf numFmtId="0" fontId="50" fillId="0" borderId="0" applyAlignment="1" applyProtection="1" pivotButton="0" quotePrefix="0" xfId="171">
      <alignment vertical="center" wrapText="1"/>
      <protection locked="0" hidden="0"/>
    </xf>
    <xf numFmtId="0" fontId="35" fillId="0" borderId="0" applyAlignment="1" applyProtection="1" pivotButton="0" quotePrefix="0" xfId="171">
      <alignment vertical="center"/>
      <protection locked="0" hidden="0"/>
    </xf>
    <xf numFmtId="0" fontId="52" fillId="0" borderId="0" applyAlignment="1" applyProtection="1" pivotButton="0" quotePrefix="0" xfId="171">
      <alignment horizontal="center" vertical="center"/>
      <protection locked="0" hidden="0"/>
    </xf>
    <xf numFmtId="0" fontId="29" fillId="0" borderId="5" applyAlignment="1" applyProtection="1" pivotButton="0" quotePrefix="0" xfId="302">
      <alignment vertical="center"/>
      <protection locked="0" hidden="0"/>
    </xf>
    <xf numFmtId="164" fontId="4" fillId="0" borderId="0" applyAlignment="1" applyProtection="1" pivotButton="0" quotePrefix="0" xfId="311">
      <alignment horizontal="center" vertical="center"/>
      <protection locked="0" hidden="0"/>
    </xf>
    <xf numFmtId="0" fontId="3" fillId="0" borderId="0" applyAlignment="1" applyProtection="1" pivotButton="0" quotePrefix="0" xfId="171">
      <alignment horizontal="center" vertical="center"/>
      <protection locked="0" hidden="0"/>
    </xf>
    <xf numFmtId="165" fontId="35" fillId="0" borderId="0" applyAlignment="1" applyProtection="1" pivotButton="0" quotePrefix="0" xfId="171">
      <alignment vertical="center"/>
      <protection locked="0" hidden="0"/>
    </xf>
    <xf numFmtId="165" fontId="29" fillId="0" borderId="0" applyAlignment="1" applyProtection="1" pivotButton="0" quotePrefix="0" xfId="171">
      <alignment horizontal="center" vertical="center"/>
      <protection locked="0" hidden="0"/>
    </xf>
    <xf numFmtId="0" fontId="6" fillId="0" borderId="0" applyAlignment="1" applyProtection="1" pivotButton="0" quotePrefix="0" xfId="312">
      <alignment vertical="center"/>
      <protection locked="0" hidden="0"/>
    </xf>
    <xf numFmtId="0" fontId="4" fillId="0" borderId="0" pivotButton="0" quotePrefix="0" xfId="312"/>
    <xf numFmtId="0" fontId="4" fillId="15" borderId="0" pivotButton="0" quotePrefix="0" xfId="312"/>
    <xf numFmtId="0" fontId="4" fillId="0" borderId="0" applyAlignment="1" pivotButton="0" quotePrefix="0" xfId="312">
      <alignment vertical="center"/>
    </xf>
    <xf numFmtId="0" fontId="41" fillId="13" borderId="26" applyAlignment="1" pivotButton="0" quotePrefix="0" xfId="312">
      <alignment vertical="center"/>
    </xf>
    <xf numFmtId="0" fontId="41" fillId="13" borderId="27" applyAlignment="1" pivotButton="0" quotePrefix="0" xfId="312">
      <alignment vertical="center"/>
    </xf>
    <xf numFmtId="0" fontId="4" fillId="15" borderId="0" applyAlignment="1" pivotButton="0" quotePrefix="0" xfId="312">
      <alignment vertical="center"/>
    </xf>
    <xf numFmtId="0" fontId="54" fillId="0" borderId="0" pivotButton="0" quotePrefix="0" xfId="312"/>
    <xf numFmtId="0" fontId="5" fillId="0" borderId="0" pivotButton="0" quotePrefix="0" xfId="312"/>
    <xf numFmtId="0" fontId="49" fillId="0" borderId="0" applyAlignment="1" applyProtection="1" pivotButton="0" quotePrefix="0" xfId="171">
      <alignment vertical="center"/>
      <protection locked="0" hidden="0"/>
    </xf>
    <xf numFmtId="0" fontId="5" fillId="0" borderId="0" applyAlignment="1" applyProtection="1" pivotButton="0" quotePrefix="0" xfId="58">
      <alignment horizontal="left" vertical="top" wrapText="1"/>
      <protection locked="0" hidden="0"/>
    </xf>
    <xf numFmtId="0" fontId="4" fillId="0" borderId="0" applyAlignment="1" pivotButton="0" quotePrefix="0" xfId="150">
      <alignment vertical="center"/>
    </xf>
    <xf numFmtId="0" fontId="6" fillId="0" borderId="0" applyAlignment="1" pivotButton="0" quotePrefix="0" xfId="150">
      <alignment horizontal="center" vertical="center"/>
    </xf>
    <xf numFmtId="0" fontId="6" fillId="0" borderId="0" applyAlignment="1" pivotButton="0" quotePrefix="0" xfId="150">
      <alignment vertical="center"/>
    </xf>
    <xf numFmtId="0" fontId="35" fillId="0" borderId="0" applyAlignment="1" pivotButton="0" quotePrefix="0" xfId="150">
      <alignment horizontal="center" vertical="center"/>
    </xf>
    <xf numFmtId="0" fontId="30" fillId="0" borderId="0" applyAlignment="1" pivotButton="0" quotePrefix="0" xfId="150">
      <alignment vertical="center"/>
    </xf>
    <xf numFmtId="0" fontId="6" fillId="0" borderId="0" applyAlignment="1" pivotButton="0" quotePrefix="0" xfId="150">
      <alignment horizontal="left" vertical="center"/>
    </xf>
    <xf numFmtId="0" fontId="57" fillId="5" borderId="0" applyAlignment="1" applyProtection="1" pivotButton="0" quotePrefix="0" xfId="335">
      <alignment vertical="center"/>
      <protection locked="0" hidden="0"/>
    </xf>
    <xf numFmtId="0" fontId="6" fillId="5" borderId="4" applyAlignment="1" applyProtection="1" pivotButton="0" quotePrefix="0" xfId="171">
      <alignment vertical="center"/>
      <protection locked="0" hidden="0"/>
    </xf>
    <xf numFmtId="0" fontId="5" fillId="0" borderId="5" applyAlignment="1" pivotButton="0" quotePrefix="0" xfId="2">
      <alignment horizontal="left" vertical="center" shrinkToFit="1"/>
    </xf>
    <xf numFmtId="0" fontId="6" fillId="14" borderId="18" applyAlignment="1" applyProtection="1" pivotButton="0" quotePrefix="0" xfId="171">
      <alignment vertical="center"/>
      <protection locked="0" hidden="0"/>
    </xf>
    <xf numFmtId="0" fontId="29" fillId="0" borderId="0" applyAlignment="1" applyProtection="1" pivotButton="0" quotePrefix="0" xfId="0">
      <alignment horizontal="center" vertical="center"/>
      <protection locked="0" hidden="0"/>
    </xf>
    <xf numFmtId="0" fontId="56" fillId="0" borderId="0" applyAlignment="1" applyProtection="1" pivotButton="0" quotePrefix="0" xfId="335">
      <alignment vertical="center"/>
      <protection locked="0" hidden="0"/>
    </xf>
    <xf numFmtId="0" fontId="59" fillId="0" borderId="0" pivotButton="0" quotePrefix="0" xfId="0"/>
    <xf numFmtId="0" fontId="6" fillId="0" borderId="13" applyAlignment="1" applyProtection="1" pivotButton="0" quotePrefix="0" xfId="0">
      <alignment horizontal="left" vertical="center"/>
      <protection locked="0" hidden="0"/>
    </xf>
    <xf numFmtId="0" fontId="6" fillId="0" borderId="0" applyAlignment="1" pivotButton="0" quotePrefix="0" xfId="333">
      <alignment vertical="center"/>
    </xf>
    <xf numFmtId="166" fontId="6" fillId="0" borderId="5" applyAlignment="1" pivotButton="0" quotePrefix="0" xfId="334">
      <alignment vertical="center" shrinkToFit="1"/>
    </xf>
    <xf numFmtId="166" fontId="6" fillId="0" borderId="5" applyAlignment="1" pivotButton="0" quotePrefix="0" xfId="333">
      <alignment vertical="center" shrinkToFit="1"/>
    </xf>
    <xf numFmtId="0" fontId="5" fillId="0" borderId="4" applyAlignment="1" pivotButton="0" quotePrefix="0" xfId="2">
      <alignment horizontal="left" vertical="center" shrinkToFit="1"/>
    </xf>
    <xf numFmtId="0" fontId="5" fillId="0" borderId="24" applyAlignment="1" pivotButton="0" quotePrefix="0" xfId="2">
      <alignment horizontal="left" vertical="center" shrinkToFit="1"/>
    </xf>
    <xf numFmtId="0" fontId="35" fillId="8" borderId="13" applyAlignment="1" pivotButton="0" quotePrefix="0" xfId="150">
      <alignment horizontal="center" vertical="center"/>
    </xf>
    <xf numFmtId="0" fontId="31" fillId="8" borderId="13" applyAlignment="1" pivotButton="0" quotePrefix="0" xfId="169">
      <alignment horizontal="center" vertical="center" wrapText="1"/>
    </xf>
    <xf numFmtId="0" fontId="5" fillId="0" borderId="13" applyAlignment="1" pivotButton="0" quotePrefix="0" xfId="150">
      <alignment horizontal="center" vertical="center"/>
    </xf>
    <xf numFmtId="0" fontId="6" fillId="0" borderId="13" applyAlignment="1" pivotButton="0" quotePrefix="0" xfId="150">
      <alignment horizontal="center" vertical="center"/>
    </xf>
    <xf numFmtId="0" fontId="5" fillId="0" borderId="13" applyAlignment="1" pivotButton="0" quotePrefix="0" xfId="150">
      <alignment horizontal="center" vertical="center" wrapText="1"/>
    </xf>
    <xf numFmtId="0" fontId="30" fillId="0" borderId="13" applyAlignment="1" pivotButton="0" quotePrefix="0" xfId="150">
      <alignment horizontal="center" vertical="center" wrapText="1"/>
    </xf>
    <xf numFmtId="0" fontId="61" fillId="0" borderId="13" applyAlignment="1" pivotButton="0" quotePrefix="1" xfId="335">
      <alignment horizontal="center" vertical="center" wrapText="1"/>
    </xf>
    <xf numFmtId="0" fontId="65" fillId="0" borderId="0" applyAlignment="1" pivotButton="0" quotePrefix="0" xfId="0">
      <alignment vertical="center"/>
    </xf>
    <xf numFmtId="0" fontId="67" fillId="0" borderId="0" applyAlignment="1" pivotButton="0" quotePrefix="0" xfId="0">
      <alignment vertical="center"/>
    </xf>
    <xf numFmtId="0" fontId="69" fillId="0" borderId="0" applyAlignment="1" pivotButton="0" quotePrefix="0" xfId="0">
      <alignment vertical="center"/>
    </xf>
    <xf numFmtId="0" fontId="32" fillId="0" borderId="0" applyAlignment="1" pivotButton="0" quotePrefix="0" xfId="335">
      <alignment vertical="center"/>
    </xf>
    <xf numFmtId="0" fontId="66" fillId="0" borderId="0" applyAlignment="1" applyProtection="1" pivotButton="0" quotePrefix="0" xfId="171">
      <alignment vertical="center"/>
      <protection locked="0" hidden="0"/>
    </xf>
    <xf numFmtId="0" fontId="81" fillId="5" borderId="0" applyAlignment="1" applyProtection="1" pivotButton="0" quotePrefix="0" xfId="335">
      <alignment vertical="center"/>
      <protection locked="0" hidden="0"/>
    </xf>
    <xf numFmtId="0" fontId="67" fillId="0" borderId="0" applyAlignment="1" applyProtection="1" pivotButton="0" quotePrefix="0" xfId="0">
      <alignment vertical="center"/>
      <protection locked="0" hidden="0"/>
    </xf>
    <xf numFmtId="0" fontId="67" fillId="2" borderId="0" applyAlignment="1" pivotButton="0" quotePrefix="0" xfId="0">
      <alignment vertical="center"/>
    </xf>
    <xf numFmtId="0" fontId="82" fillId="2" borderId="0" applyAlignment="1" pivotButton="0" quotePrefix="0" xfId="0">
      <alignment vertical="center"/>
    </xf>
    <xf numFmtId="0" fontId="67" fillId="0" borderId="0" applyAlignment="1" pivotButton="0" quotePrefix="0" xfId="0">
      <alignment vertical="center" shrinkToFit="1"/>
    </xf>
    <xf numFmtId="0" fontId="64" fillId="0" borderId="0" applyAlignment="1" pivotButton="0" quotePrefix="0" xfId="0">
      <alignment horizontal="left" vertical="center"/>
    </xf>
    <xf numFmtId="0" fontId="76" fillId="10" borderId="7" applyAlignment="1" applyProtection="1" pivotButton="0" quotePrefix="0" xfId="171">
      <alignment horizontal="centerContinuous" vertical="center"/>
      <protection locked="0" hidden="0"/>
    </xf>
    <xf numFmtId="0" fontId="77" fillId="10" borderId="8" applyAlignment="1" applyProtection="1" pivotButton="0" quotePrefix="0" xfId="171">
      <alignment horizontal="centerContinuous" vertical="center"/>
      <protection locked="0" hidden="0"/>
    </xf>
    <xf numFmtId="0" fontId="78" fillId="11" borderId="10" applyAlignment="1" applyProtection="1" pivotButton="0" quotePrefix="0" xfId="171">
      <alignment horizontal="centerContinuous" vertical="center"/>
      <protection locked="0" hidden="0"/>
    </xf>
    <xf numFmtId="0" fontId="78" fillId="11" borderId="3" applyAlignment="1" applyProtection="1" pivotButton="0" quotePrefix="0" xfId="171">
      <alignment horizontal="centerContinuous" vertical="center"/>
      <protection locked="0" hidden="0"/>
    </xf>
    <xf numFmtId="0" fontId="67" fillId="14" borderId="0" applyAlignment="1" applyProtection="1" pivotButton="0" quotePrefix="0" xfId="171">
      <alignment vertical="center"/>
      <protection locked="0" hidden="0"/>
    </xf>
    <xf numFmtId="0" fontId="86" fillId="13" borderId="7" applyAlignment="1" applyProtection="1" pivotButton="0" quotePrefix="0" xfId="171">
      <alignment vertical="center"/>
      <protection locked="0" hidden="0"/>
    </xf>
    <xf numFmtId="0" fontId="86" fillId="13" borderId="8" applyAlignment="1" applyProtection="1" pivotButton="0" quotePrefix="0" xfId="171">
      <alignment vertical="center"/>
      <protection locked="0" hidden="0"/>
    </xf>
    <xf numFmtId="0" fontId="86" fillId="13" borderId="4" applyAlignment="1" applyProtection="1" pivotButton="0" quotePrefix="0" xfId="171">
      <alignment vertical="center"/>
      <protection locked="0" hidden="0"/>
    </xf>
    <xf numFmtId="0" fontId="38" fillId="10" borderId="7" applyAlignment="1" applyProtection="1" pivotButton="0" quotePrefix="0" xfId="171">
      <alignment horizontal="centerContinuous" vertical="center"/>
      <protection locked="0" hidden="0"/>
    </xf>
    <xf numFmtId="0" fontId="35" fillId="5" borderId="7" applyAlignment="1" pivotButton="0" quotePrefix="0" xfId="171">
      <alignment vertical="center"/>
    </xf>
    <xf numFmtId="0" fontId="35" fillId="0" borderId="0" applyAlignment="1" applyProtection="1" pivotButton="0" quotePrefix="0" xfId="171">
      <alignment horizontal="center" vertical="center"/>
      <protection locked="0" hidden="0"/>
    </xf>
    <xf numFmtId="0" fontId="6" fillId="0" borderId="2" applyAlignment="1" applyProtection="1" pivotButton="0" quotePrefix="0" xfId="301">
      <alignment horizontal="center" vertical="center"/>
      <protection locked="0" hidden="0"/>
    </xf>
    <xf numFmtId="0" fontId="6" fillId="0" borderId="50" applyAlignment="1" applyProtection="1" pivotButton="0" quotePrefix="0" xfId="301">
      <alignment horizontal="center" vertical="center"/>
      <protection locked="0" hidden="0"/>
    </xf>
    <xf numFmtId="0" fontId="30" fillId="0" borderId="5" applyAlignment="1" pivotButton="0" quotePrefix="0" xfId="333">
      <alignment vertical="center"/>
    </xf>
    <xf numFmtId="0" fontId="6" fillId="2" borderId="5" applyAlignment="1" pivotButton="0" quotePrefix="0" xfId="333">
      <alignment vertical="center"/>
    </xf>
    <xf numFmtId="0" fontId="3" fillId="0" borderId="0" pivotButton="0" quotePrefix="0" xfId="312"/>
    <xf numFmtId="0" fontId="41" fillId="13" borderId="25" applyAlignment="1" pivotButton="0" quotePrefix="0" xfId="312">
      <alignment vertical="center"/>
    </xf>
    <xf numFmtId="0" fontId="3" fillId="0" borderId="0" applyAlignment="1" pivotButton="0" quotePrefix="0" xfId="312">
      <alignment vertical="center"/>
    </xf>
    <xf numFmtId="0" fontId="89" fillId="0" borderId="0" applyAlignment="1" applyProtection="1" pivotButton="0" quotePrefix="0" xfId="171">
      <alignment vertical="center" wrapText="1"/>
      <protection locked="0" hidden="0"/>
    </xf>
    <xf numFmtId="0" fontId="67" fillId="0" borderId="0" applyAlignment="1" pivotButton="0" quotePrefix="0" xfId="100">
      <alignment vertical="center"/>
    </xf>
    <xf numFmtId="9" fontId="67" fillId="0" borderId="0" applyAlignment="1" pivotButton="0" quotePrefix="0" xfId="5">
      <alignment vertical="center"/>
    </xf>
    <xf numFmtId="0" fontId="82" fillId="2" borderId="0" applyAlignment="1" pivotButton="0" quotePrefix="0" xfId="65">
      <alignment vertical="center"/>
    </xf>
    <xf numFmtId="0" fontId="74" fillId="0" borderId="0" applyAlignment="1" pivotButton="0" quotePrefix="0" xfId="0">
      <alignment vertical="center"/>
    </xf>
    <xf numFmtId="41" fontId="67" fillId="2" borderId="0" applyAlignment="1" pivotButton="0" quotePrefix="0" xfId="7">
      <alignment vertical="center"/>
    </xf>
    <xf numFmtId="0" fontId="67" fillId="2" borderId="0" applyAlignment="1" pivotButton="0" quotePrefix="0" xfId="65">
      <alignment vertical="center"/>
    </xf>
    <xf numFmtId="0" fontId="67" fillId="0" borderId="0" applyAlignment="1" applyProtection="1" pivotButton="0" quotePrefix="0" xfId="100">
      <alignment vertical="center"/>
      <protection locked="0" hidden="0"/>
    </xf>
    <xf numFmtId="9" fontId="67" fillId="0" borderId="0" applyAlignment="1" applyProtection="1" pivotButton="0" quotePrefix="0" xfId="87">
      <alignment vertical="center"/>
      <protection locked="0" hidden="0"/>
    </xf>
    <xf numFmtId="0" fontId="64" fillId="0" borderId="0" applyAlignment="1" applyProtection="1" pivotButton="0" quotePrefix="0" xfId="100">
      <alignment vertical="center"/>
      <protection locked="0" hidden="0"/>
    </xf>
    <xf numFmtId="0" fontId="82" fillId="0" borderId="0" applyAlignment="1" pivotButton="0" quotePrefix="0" xfId="65">
      <alignment vertical="center"/>
    </xf>
    <xf numFmtId="0" fontId="67" fillId="0" borderId="0" applyAlignment="1" pivotButton="0" quotePrefix="0" xfId="65">
      <alignment vertical="center"/>
    </xf>
    <xf numFmtId="9" fontId="67" fillId="0" borderId="0" applyAlignment="1" applyProtection="1" pivotButton="0" quotePrefix="0" xfId="87">
      <alignment vertical="center"/>
      <protection locked="0" hidden="0"/>
    </xf>
    <xf numFmtId="0" fontId="68" fillId="17" borderId="0" applyAlignment="1" pivotButton="0" quotePrefix="0" xfId="0">
      <alignment vertical="center"/>
    </xf>
    <xf numFmtId="0" fontId="63" fillId="17" borderId="0" applyAlignment="1" pivotButton="0" quotePrefix="0" xfId="0">
      <alignment vertical="center"/>
    </xf>
    <xf numFmtId="0" fontId="63" fillId="0" borderId="0" applyAlignment="1" pivotButton="0" quotePrefix="0" xfId="0">
      <alignment vertical="center"/>
    </xf>
    <xf numFmtId="0" fontId="67" fillId="0" borderId="0" applyAlignment="1" pivotButton="0" quotePrefix="0" xfId="164">
      <alignment vertical="center"/>
    </xf>
    <xf numFmtId="0" fontId="67" fillId="2" borderId="0" applyAlignment="1" pivotButton="0" quotePrefix="0" xfId="164">
      <alignment vertical="center"/>
    </xf>
    <xf numFmtId="0" fontId="82" fillId="2" borderId="0" applyAlignment="1" pivotButton="0" quotePrefix="0" xfId="164">
      <alignment vertical="center"/>
    </xf>
    <xf numFmtId="9" fontId="67" fillId="0" borderId="0" applyAlignment="1" pivotButton="0" quotePrefix="0" xfId="165">
      <alignment vertical="center"/>
    </xf>
    <xf numFmtId="41" fontId="67" fillId="0" borderId="0" applyAlignment="1" pivotButton="0" quotePrefix="0" xfId="7">
      <alignment vertical="center"/>
    </xf>
    <xf numFmtId="0" fontId="73" fillId="17" borderId="0" applyAlignment="1" pivotButton="0" quotePrefix="0" xfId="0">
      <alignment vertical="center"/>
    </xf>
    <xf numFmtId="0" fontId="73" fillId="0" borderId="0" applyAlignment="1" pivotButton="0" quotePrefix="0" xfId="0">
      <alignment vertical="center"/>
    </xf>
    <xf numFmtId="0" fontId="67" fillId="0" borderId="0" applyAlignment="1" applyProtection="1" pivotButton="0" quotePrefix="0" xfId="0">
      <alignment horizontal="center" vertical="center"/>
      <protection locked="0" hidden="0"/>
    </xf>
    <xf numFmtId="43" fontId="64" fillId="2" borderId="0" applyAlignment="1" pivotButton="0" quotePrefix="0" xfId="111">
      <alignment vertical="center"/>
    </xf>
    <xf numFmtId="0" fontId="74" fillId="5" borderId="36" applyAlignment="1" pivotButton="0" quotePrefix="0" xfId="0">
      <alignment horizontal="center" vertical="center"/>
    </xf>
    <xf numFmtId="14" fontId="88" fillId="5" borderId="35" applyAlignment="1" pivotButton="0" quotePrefix="0" xfId="0">
      <alignment vertical="center"/>
    </xf>
    <xf numFmtId="0" fontId="64" fillId="0" borderId="5" applyAlignment="1" pivotButton="0" quotePrefix="0" xfId="0">
      <alignment horizontal="left" vertical="center" wrapText="1" shrinkToFit="1"/>
    </xf>
    <xf numFmtId="0" fontId="64" fillId="0" borderId="36" applyAlignment="1" pivotButton="0" quotePrefix="0" xfId="0">
      <alignment horizontal="left" vertical="center" wrapText="1" shrinkToFit="1"/>
    </xf>
    <xf numFmtId="14" fontId="88" fillId="0" borderId="0" applyAlignment="1" pivotButton="0" quotePrefix="0" xfId="0">
      <alignment horizontal="center" vertical="center"/>
    </xf>
    <xf numFmtId="14" fontId="64" fillId="0" borderId="0" applyAlignment="1" pivotButton="0" quotePrefix="0" xfId="0">
      <alignment vertical="center"/>
    </xf>
    <xf numFmtId="9" fontId="64" fillId="0" borderId="0" applyAlignment="1" pivotButton="0" quotePrefix="0" xfId="0">
      <alignment vertical="center"/>
    </xf>
    <xf numFmtId="43" fontId="64" fillId="0" borderId="0" applyAlignment="1" pivotButton="0" quotePrefix="0" xfId="111">
      <alignment vertical="center"/>
    </xf>
    <xf numFmtId="0" fontId="64" fillId="0" borderId="0" applyAlignment="1" pivotButton="0" quotePrefix="0" xfId="100">
      <alignment vertical="center"/>
    </xf>
    <xf numFmtId="0" fontId="80" fillId="3" borderId="0" applyAlignment="1" pivotButton="0" quotePrefix="0" xfId="0">
      <alignment vertical="center" wrapText="1"/>
    </xf>
    <xf numFmtId="0" fontId="90" fillId="3" borderId="0" applyAlignment="1" pivotButton="0" quotePrefix="0" xfId="0">
      <alignment vertical="center" wrapText="1"/>
    </xf>
    <xf numFmtId="0" fontId="30" fillId="0" borderId="13" applyAlignment="1" pivotButton="0" quotePrefix="0" xfId="0">
      <alignment vertical="center" wrapText="1"/>
    </xf>
    <xf numFmtId="0" fontId="91" fillId="0" borderId="0" applyAlignment="1" applyProtection="1" pivotButton="0" quotePrefix="0" xfId="171">
      <alignment vertical="center"/>
      <protection locked="0" hidden="0"/>
    </xf>
    <xf numFmtId="0" fontId="92" fillId="0" borderId="0" applyAlignment="1" pivotButton="0" quotePrefix="0" xfId="171">
      <alignment vertical="center"/>
    </xf>
    <xf numFmtId="0" fontId="92" fillId="12" borderId="18" applyAlignment="1" pivotButton="0" quotePrefix="0" xfId="171">
      <alignment vertical="center"/>
    </xf>
    <xf numFmtId="0" fontId="93" fillId="0" borderId="0" applyAlignment="1" applyProtection="1" pivotButton="0" quotePrefix="0" xfId="171">
      <alignment vertical="center"/>
      <protection locked="0" hidden="0"/>
    </xf>
    <xf numFmtId="0" fontId="94" fillId="0" borderId="0" applyAlignment="1" applyProtection="1" pivotButton="0" quotePrefix="0" xfId="171">
      <alignment vertical="center"/>
      <protection locked="0" hidden="0"/>
    </xf>
    <xf numFmtId="0" fontId="91" fillId="0" borderId="0" applyAlignment="1" applyProtection="1" pivotButton="0" quotePrefix="0" xfId="300">
      <alignment vertical="center"/>
      <protection locked="0" hidden="0"/>
    </xf>
    <xf numFmtId="0" fontId="91" fillId="2" borderId="0" applyAlignment="1" pivotButton="0" quotePrefix="0" xfId="0">
      <alignment vertical="center"/>
    </xf>
    <xf numFmtId="0" fontId="91" fillId="0" borderId="0" applyAlignment="1" applyProtection="1" pivotButton="0" quotePrefix="0" xfId="171">
      <alignment horizontal="left" vertical="center"/>
      <protection locked="0" hidden="0"/>
    </xf>
    <xf numFmtId="0" fontId="91" fillId="0" borderId="0" applyAlignment="1" applyProtection="1" pivotButton="0" quotePrefix="0" xfId="171">
      <alignment horizontal="left" vertical="center" wrapText="1"/>
      <protection locked="0" hidden="0"/>
    </xf>
    <xf numFmtId="0" fontId="96" fillId="0" borderId="0" applyAlignment="1" applyProtection="1" pivotButton="0" quotePrefix="0" xfId="0">
      <alignment horizontal="center" vertical="center"/>
      <protection locked="0" hidden="0"/>
    </xf>
    <xf numFmtId="0" fontId="91" fillId="2" borderId="0" applyAlignment="1" pivotButton="0" quotePrefix="0" xfId="171">
      <alignment vertical="center"/>
    </xf>
    <xf numFmtId="0" fontId="91" fillId="0" borderId="0" applyAlignment="1" applyProtection="1" pivotButton="0" quotePrefix="0" xfId="312">
      <alignment vertical="center"/>
      <protection locked="0" hidden="0"/>
    </xf>
    <xf numFmtId="43" fontId="95" fillId="0" borderId="0" applyAlignment="1" pivotButton="0" quotePrefix="0" xfId="80">
      <alignment horizontal="left" shrinkToFit="1"/>
    </xf>
    <xf numFmtId="0" fontId="97" fillId="0" borderId="56" applyAlignment="1" pivotButton="0" quotePrefix="0" xfId="171">
      <alignment horizontal="left" vertical="center"/>
    </xf>
    <xf numFmtId="0" fontId="97" fillId="0" borderId="33" applyAlignment="1" pivotButton="0" quotePrefix="0" xfId="171">
      <alignment horizontal="left" vertical="center"/>
    </xf>
    <xf numFmtId="14" fontId="97" fillId="13" borderId="12" applyAlignment="1" applyProtection="1" pivotButton="0" quotePrefix="0" xfId="161">
      <alignment horizontal="right" vertical="center"/>
      <protection locked="0" hidden="0"/>
    </xf>
    <xf numFmtId="0" fontId="97" fillId="0" borderId="57" applyAlignment="1" pivotButton="0" quotePrefix="0" xfId="171">
      <alignment horizontal="left" vertical="center"/>
    </xf>
    <xf numFmtId="0" fontId="100" fillId="0" borderId="5" applyAlignment="1" pivotButton="0" quotePrefix="0" xfId="0">
      <alignment horizontal="center" vertical="center"/>
    </xf>
    <xf numFmtId="0" fontId="101" fillId="0" borderId="5" applyAlignment="1" pivotButton="0" quotePrefix="0" xfId="0">
      <alignment horizontal="center" vertical="center"/>
    </xf>
    <xf numFmtId="0" fontId="102" fillId="2" borderId="0" applyAlignment="1" pivotButton="0" quotePrefix="0" xfId="0">
      <alignment vertical="center"/>
    </xf>
    <xf numFmtId="0" fontId="103" fillId="0" borderId="0" applyAlignment="1" applyProtection="1" pivotButton="0" quotePrefix="0" xfId="171">
      <alignment horizontal="left" vertical="center" wrapText="1"/>
      <protection locked="0" hidden="0"/>
    </xf>
    <xf numFmtId="0" fontId="100" fillId="0" borderId="0" applyAlignment="1" applyProtection="1" pivotButton="0" quotePrefix="0" xfId="0">
      <alignment horizontal="center" vertical="center"/>
      <protection locked="0" hidden="0"/>
    </xf>
    <xf numFmtId="0" fontId="104" fillId="0" borderId="0" applyAlignment="1" applyProtection="1" pivotButton="0" quotePrefix="0" xfId="301">
      <alignment horizontal="right" vertical="center"/>
      <protection locked="0" hidden="0"/>
    </xf>
    <xf numFmtId="43" fontId="100" fillId="0" borderId="0" applyAlignment="1" pivotButton="0" quotePrefix="0" xfId="105">
      <alignment horizontal="center" shrinkToFit="1"/>
    </xf>
    <xf numFmtId="0" fontId="20" fillId="0" borderId="0" applyAlignment="1" applyProtection="1" pivotButton="0" quotePrefix="0" xfId="171">
      <alignment vertical="center"/>
      <protection locked="0" hidden="0"/>
    </xf>
    <xf numFmtId="0" fontId="31" fillId="0" borderId="0" applyAlignment="1" pivotButton="0" quotePrefix="0" xfId="100">
      <alignment horizontal="left" vertical="center"/>
    </xf>
    <xf numFmtId="0" fontId="68" fillId="0" borderId="0" applyAlignment="1" pivotButton="0" quotePrefix="0" xfId="0">
      <alignment vertical="center"/>
    </xf>
    <xf numFmtId="0" fontId="74" fillId="5" borderId="16" applyAlignment="1" applyProtection="1" pivotButton="0" quotePrefix="0" xfId="0">
      <alignment vertical="center"/>
      <protection locked="0" hidden="0"/>
    </xf>
    <xf numFmtId="0" fontId="74" fillId="5" borderId="17" applyAlignment="1" applyProtection="1" pivotButton="0" quotePrefix="0" xfId="0">
      <alignment vertical="center"/>
      <protection locked="0" hidden="0"/>
    </xf>
    <xf numFmtId="0" fontId="74" fillId="5" borderId="20" applyAlignment="1" applyProtection="1" pivotButton="0" quotePrefix="0" xfId="0">
      <alignment vertical="center"/>
      <protection locked="0" hidden="0"/>
    </xf>
    <xf numFmtId="0" fontId="74" fillId="5" borderId="5" applyAlignment="1" pivotButton="0" quotePrefix="0" xfId="0">
      <alignment horizontal="center" vertical="center"/>
    </xf>
    <xf numFmtId="0" fontId="6" fillId="0" borderId="17" applyAlignment="1" pivotButton="0" quotePrefix="0" xfId="0">
      <alignment vertical="center"/>
    </xf>
    <xf numFmtId="0" fontId="6" fillId="2" borderId="0" applyAlignment="1" pivotButton="0" quotePrefix="0" xfId="0">
      <alignment vertical="center"/>
    </xf>
    <xf numFmtId="0" fontId="6" fillId="0" borderId="1" applyAlignment="1" pivotButton="0" quotePrefix="0" xfId="0">
      <alignment vertical="center"/>
    </xf>
    <xf numFmtId="0" fontId="6" fillId="0" borderId="21" applyAlignment="1" pivotButton="0" quotePrefix="0" xfId="0">
      <alignment vertical="center"/>
    </xf>
    <xf numFmtId="0" fontId="20" fillId="14" borderId="18" applyAlignment="1" applyProtection="1" pivotButton="0" quotePrefix="0" xfId="171">
      <alignment vertical="center"/>
      <protection locked="0" hidden="0"/>
    </xf>
    <xf numFmtId="0" fontId="109" fillId="0" borderId="0" applyAlignment="1" applyProtection="1" pivotButton="0" quotePrefix="0" xfId="171">
      <alignment vertical="center" wrapText="1"/>
      <protection locked="0" hidden="0"/>
    </xf>
    <xf numFmtId="0" fontId="4" fillId="0" borderId="0" applyAlignment="1" pivotButton="0" quotePrefix="0" xfId="0">
      <alignment vertical="center"/>
    </xf>
    <xf numFmtId="0" fontId="73" fillId="5" borderId="43" applyAlignment="1" pivotButton="0" quotePrefix="0" xfId="0">
      <alignment vertical="center"/>
    </xf>
    <xf numFmtId="14" fontId="97" fillId="13" borderId="12" applyAlignment="1" pivotButton="0" quotePrefix="0" xfId="173">
      <alignment horizontal="right" vertical="center" shrinkToFit="1"/>
    </xf>
    <xf numFmtId="0" fontId="97" fillId="13" borderId="6" applyAlignment="1" pivotButton="0" quotePrefix="0" xfId="173">
      <alignment horizontal="right" vertical="center" shrinkToFit="1"/>
    </xf>
    <xf numFmtId="166" fontId="97" fillId="13" borderId="12" applyAlignment="1" pivotButton="0" quotePrefix="0" xfId="173">
      <alignment horizontal="right" vertical="center" shrinkToFit="1"/>
    </xf>
    <xf numFmtId="0" fontId="97" fillId="13" borderId="12" applyAlignment="1" pivotButton="0" quotePrefix="0" xfId="173">
      <alignment horizontal="right" vertical="center" shrinkToFit="1"/>
    </xf>
    <xf numFmtId="0" fontId="97" fillId="13" borderId="2" applyAlignment="1" pivotButton="0" quotePrefix="0" xfId="173">
      <alignment horizontal="right" vertical="center" shrinkToFit="1"/>
    </xf>
    <xf numFmtId="0" fontId="110" fillId="0" borderId="0" applyAlignment="1" pivotButton="0" quotePrefix="0" xfId="0">
      <alignment vertical="center"/>
    </xf>
    <xf numFmtId="0" fontId="64" fillId="0" borderId="35" applyAlignment="1" pivotButton="0" quotePrefix="0" xfId="0">
      <alignment horizontal="left" vertical="center" wrapText="1" shrinkToFit="1"/>
    </xf>
    <xf numFmtId="0" fontId="68" fillId="5" borderId="34" applyAlignment="1" pivotButton="0" quotePrefix="0" xfId="0">
      <alignment horizontal="center" vertical="center" wrapText="1"/>
    </xf>
    <xf numFmtId="12" fontId="4" fillId="5" borderId="5" applyAlignment="1" pivotButton="0" quotePrefix="0" xfId="333">
      <alignment horizontal="left" vertical="center" wrapText="1"/>
    </xf>
    <xf numFmtId="12" fontId="4" fillId="5" borderId="5" applyAlignment="1" pivotButton="0" quotePrefix="0" xfId="333">
      <alignment horizontal="center" vertical="center" wrapText="1"/>
    </xf>
    <xf numFmtId="14" fontId="31" fillId="5" borderId="63" applyAlignment="1" applyProtection="1" pivotButton="0" quotePrefix="0" xfId="0">
      <alignment horizontal="center" vertical="center"/>
      <protection locked="0" hidden="0"/>
    </xf>
    <xf numFmtId="0" fontId="31" fillId="5" borderId="62" applyAlignment="1" pivotButton="0" quotePrefix="0" xfId="0">
      <alignment horizontal="center" vertical="center" wrapText="1"/>
    </xf>
    <xf numFmtId="0" fontId="31" fillId="5" borderId="63" applyAlignment="1" pivotButton="0" quotePrefix="0" xfId="0">
      <alignment horizontal="center" vertical="center" wrapText="1"/>
    </xf>
    <xf numFmtId="0" fontId="31" fillId="5" borderId="16" applyAlignment="1" applyProtection="1" pivotButton="0" quotePrefix="0" xfId="0">
      <alignment horizontal="centerContinuous" vertical="center"/>
      <protection locked="0" hidden="0"/>
    </xf>
    <xf numFmtId="0" fontId="31" fillId="5" borderId="17" applyAlignment="1" applyProtection="1" pivotButton="0" quotePrefix="0" xfId="0">
      <alignment horizontal="centerContinuous" vertical="center"/>
      <protection locked="0" hidden="0"/>
    </xf>
    <xf numFmtId="0" fontId="31" fillId="5" borderId="20" applyAlignment="1" applyProtection="1" pivotButton="0" quotePrefix="0" xfId="0">
      <alignment horizontal="centerContinuous" vertical="center"/>
      <protection locked="0" hidden="0"/>
    </xf>
    <xf numFmtId="0" fontId="29" fillId="0" borderId="5" applyAlignment="1" applyProtection="1" pivotButton="0" quotePrefix="0" xfId="302">
      <alignment horizontal="left" vertical="center"/>
      <protection locked="0" hidden="0"/>
    </xf>
    <xf numFmtId="0" fontId="29" fillId="0" borderId="5" applyAlignment="1" applyProtection="1" pivotButton="0" quotePrefix="0" xfId="302">
      <alignment horizontal="center" vertical="center"/>
      <protection locked="0" hidden="0"/>
    </xf>
    <xf numFmtId="0" fontId="74" fillId="5" borderId="35" applyAlignment="1" pivotButton="0" quotePrefix="0" xfId="0">
      <alignment horizontal="center" vertical="center"/>
    </xf>
    <xf numFmtId="0" fontId="74" fillId="5" borderId="5" applyAlignment="1" pivotButton="0" quotePrefix="0" xfId="0">
      <alignment horizontal="center" vertical="center" wrapText="1"/>
    </xf>
    <xf numFmtId="0" fontId="73" fillId="5" borderId="5" applyAlignment="1" pivotButton="0" quotePrefix="0" xfId="0">
      <alignment horizontal="center" vertical="center" wrapText="1"/>
    </xf>
    <xf numFmtId="14" fontId="69" fillId="5" borderId="5" applyAlignment="1" pivotButton="0" quotePrefix="0" xfId="0">
      <alignment horizontal="center" vertical="center" wrapText="1"/>
    </xf>
    <xf numFmtId="0" fontId="111" fillId="0" borderId="0" applyAlignment="1" applyProtection="1" pivotButton="0" quotePrefix="0" xfId="171">
      <alignment vertical="center"/>
      <protection locked="0" hidden="0"/>
    </xf>
    <xf numFmtId="0" fontId="112" fillId="0" borderId="0" applyAlignment="1" pivotButton="0" quotePrefix="0" xfId="0">
      <alignment vertical="center"/>
    </xf>
    <xf numFmtId="0" fontId="111" fillId="0" borderId="0" applyAlignment="1" pivotButton="0" quotePrefix="0" xfId="0">
      <alignment vertical="center"/>
    </xf>
    <xf numFmtId="0" fontId="111" fillId="0" borderId="0" applyAlignment="1" pivotButton="0" quotePrefix="0" xfId="100">
      <alignment vertical="center"/>
    </xf>
    <xf numFmtId="9" fontId="111" fillId="0" borderId="0" applyAlignment="1" pivotButton="0" quotePrefix="0" xfId="85">
      <alignment vertical="center"/>
    </xf>
    <xf numFmtId="0" fontId="113" fillId="0" borderId="0" applyAlignment="1" pivotButton="0" quotePrefix="0" xfId="100">
      <alignment vertical="center"/>
    </xf>
    <xf numFmtId="0" fontId="111" fillId="0" borderId="0" applyAlignment="1" pivotButton="0" quotePrefix="0" xfId="0">
      <alignment horizontal="right" vertical="center"/>
    </xf>
    <xf numFmtId="0" fontId="111" fillId="0" borderId="0" applyAlignment="1" pivotButton="0" quotePrefix="0" xfId="100">
      <alignment horizontal="center" vertical="center"/>
    </xf>
    <xf numFmtId="0" fontId="115" fillId="5" borderId="0" applyAlignment="1" applyProtection="1" pivotButton="0" quotePrefix="0" xfId="335">
      <alignment vertical="center"/>
      <protection locked="0" hidden="0"/>
    </xf>
    <xf numFmtId="166" fontId="64" fillId="0" borderId="5" applyAlignment="1" pivotButton="0" quotePrefix="0" xfId="0">
      <alignment horizontal="right" vertical="center" wrapText="1" shrinkToFit="1"/>
    </xf>
    <xf numFmtId="0" fontId="76" fillId="10" borderId="60" applyAlignment="1" applyProtection="1" pivotButton="0" quotePrefix="0" xfId="171">
      <alignment horizontal="centerContinuous" vertical="center"/>
      <protection locked="0" hidden="0"/>
    </xf>
    <xf numFmtId="0" fontId="76" fillId="10" borderId="26" applyAlignment="1" applyProtection="1" pivotButton="0" quotePrefix="0" xfId="171">
      <alignment horizontal="centerContinuous" vertical="center"/>
      <protection locked="0" hidden="0"/>
    </xf>
    <xf numFmtId="0" fontId="107" fillId="10" borderId="26" applyAlignment="1" applyProtection="1" pivotButton="0" quotePrefix="0" xfId="171">
      <alignment horizontal="centerContinuous" vertical="center"/>
      <protection locked="0" hidden="0"/>
    </xf>
    <xf numFmtId="0" fontId="108" fillId="11" borderId="66" applyAlignment="1" applyProtection="1" pivotButton="0" quotePrefix="0" xfId="171">
      <alignment horizontal="centerContinuous" vertical="center"/>
      <protection locked="0" hidden="0"/>
    </xf>
    <xf numFmtId="0" fontId="108" fillId="11" borderId="68" applyAlignment="1" applyProtection="1" pivotButton="0" quotePrefix="0" xfId="171">
      <alignment horizontal="centerContinuous" vertical="center"/>
      <protection locked="0" hidden="0"/>
    </xf>
    <xf numFmtId="0" fontId="105" fillId="13" borderId="53" applyAlignment="1" applyProtection="1" pivotButton="0" quotePrefix="0" xfId="171">
      <alignment vertical="center"/>
      <protection locked="0" hidden="0"/>
    </xf>
    <xf numFmtId="0" fontId="105" fillId="13" borderId="23" applyAlignment="1" applyProtection="1" pivotButton="0" quotePrefix="0" xfId="171">
      <alignment vertical="center"/>
      <protection locked="0" hidden="0"/>
    </xf>
    <xf numFmtId="0" fontId="105" fillId="13" borderId="52" applyAlignment="1" applyProtection="1" pivotButton="0" quotePrefix="0" xfId="171">
      <alignment vertical="center"/>
      <protection locked="0" hidden="0"/>
    </xf>
    <xf numFmtId="0" fontId="5" fillId="0" borderId="2" applyAlignment="1" pivotButton="0" quotePrefix="0" xfId="2">
      <alignment horizontal="left" vertical="center" shrinkToFit="1"/>
    </xf>
    <xf numFmtId="0" fontId="37" fillId="5" borderId="0" applyAlignment="1" applyProtection="1" pivotButton="0" quotePrefix="0" xfId="171">
      <alignment vertical="center"/>
      <protection locked="0" hidden="0"/>
    </xf>
    <xf numFmtId="0" fontId="6" fillId="5" borderId="0" applyAlignment="1" applyProtection="1" pivotButton="0" quotePrefix="0" xfId="171">
      <alignment vertical="center"/>
      <protection locked="0" hidden="0"/>
    </xf>
    <xf numFmtId="0" fontId="38" fillId="10" borderId="39" applyAlignment="1" applyProtection="1" pivotButton="0" quotePrefix="0" xfId="171">
      <alignment horizontal="centerContinuous" vertical="center"/>
      <protection locked="0" hidden="0"/>
    </xf>
    <xf numFmtId="0" fontId="33" fillId="10" borderId="28" applyAlignment="1" applyProtection="1" pivotButton="0" quotePrefix="0" xfId="171">
      <alignment horizontal="centerContinuous" vertical="center"/>
      <protection locked="0" hidden="0"/>
    </xf>
    <xf numFmtId="0" fontId="40" fillId="11" borderId="54" applyAlignment="1" applyProtection="1" pivotButton="0" quotePrefix="0" xfId="171">
      <alignment horizontal="centerContinuous" vertical="center"/>
      <protection locked="0" hidden="0"/>
    </xf>
    <xf numFmtId="0" fontId="40" fillId="11" borderId="55" applyAlignment="1" applyProtection="1" pivotButton="0" quotePrefix="0" xfId="171">
      <alignment horizontal="centerContinuous" vertical="center"/>
      <protection locked="0" hidden="0"/>
    </xf>
    <xf numFmtId="0" fontId="4" fillId="0" borderId="0" applyAlignment="1" pivotButton="0" quotePrefix="0" xfId="171">
      <alignment vertical="center"/>
    </xf>
    <xf numFmtId="0" fontId="4" fillId="12" borderId="18" applyAlignment="1" pivotButton="0" quotePrefix="0" xfId="171">
      <alignment vertical="center"/>
    </xf>
    <xf numFmtId="0" fontId="41" fillId="13" borderId="53" applyAlignment="1" applyProtection="1" pivotButton="0" quotePrefix="0" xfId="171">
      <alignment vertical="center"/>
      <protection locked="0" hidden="0"/>
    </xf>
    <xf numFmtId="0" fontId="41" fillId="13" borderId="23" applyAlignment="1" applyProtection="1" pivotButton="0" quotePrefix="0" xfId="171">
      <alignment vertical="center" wrapText="1"/>
      <protection locked="0" hidden="0"/>
    </xf>
    <xf numFmtId="0" fontId="41" fillId="13" borderId="52" applyAlignment="1" applyProtection="1" pivotButton="0" quotePrefix="0" xfId="171">
      <alignment vertical="center" wrapText="1"/>
      <protection locked="0" hidden="0"/>
    </xf>
    <xf numFmtId="0" fontId="6" fillId="0" borderId="0" applyAlignment="1" applyProtection="1" pivotButton="0" quotePrefix="0" xfId="0">
      <alignment vertical="center"/>
      <protection locked="0" hidden="0"/>
    </xf>
    <xf numFmtId="0" fontId="31" fillId="5" borderId="7" applyAlignment="1" pivotButton="0" quotePrefix="0" xfId="0">
      <alignment horizontal="centerContinuous" vertical="center"/>
    </xf>
    <xf numFmtId="0" fontId="31" fillId="5" borderId="4" applyAlignment="1" pivotButton="0" quotePrefix="0" xfId="0">
      <alignment horizontal="centerContinuous" vertical="center"/>
    </xf>
    <xf numFmtId="0" fontId="29" fillId="0" borderId="5" applyAlignment="1" pivotButton="0" quotePrefix="0" xfId="0">
      <alignment horizontal="center" vertical="center"/>
    </xf>
    <xf numFmtId="0" fontId="6" fillId="0" borderId="7" applyAlignment="1" pivotButton="0" quotePrefix="0" xfId="0">
      <alignment vertical="center"/>
    </xf>
    <xf numFmtId="0" fontId="5" fillId="0" borderId="5" applyAlignment="1" pivotButton="0" quotePrefix="0" xfId="173">
      <alignment horizontal="left" vertical="center" shrinkToFit="1"/>
    </xf>
    <xf numFmtId="165" fontId="4" fillId="2" borderId="7" applyAlignment="1" applyProtection="1" pivotButton="0" quotePrefix="0" xfId="173">
      <alignment horizontal="right" vertical="center"/>
      <protection locked="0" hidden="0"/>
    </xf>
    <xf numFmtId="165" fontId="6" fillId="2" borderId="15" applyAlignment="1" applyProtection="1" pivotButton="0" quotePrefix="0" xfId="173">
      <alignment vertical="center"/>
      <protection locked="0" hidden="0"/>
    </xf>
    <xf numFmtId="0" fontId="6" fillId="0" borderId="8" applyAlignment="1" pivotButton="0" quotePrefix="0" xfId="0">
      <alignment vertical="center"/>
    </xf>
    <xf numFmtId="0" fontId="6" fillId="0" borderId="4" applyAlignment="1" pivotButton="0" quotePrefix="0" xfId="0">
      <alignment vertical="center"/>
    </xf>
    <xf numFmtId="165" fontId="6" fillId="2" borderId="31" applyAlignment="1" applyProtection="1" pivotButton="0" quotePrefix="0" xfId="173">
      <alignment vertical="center"/>
      <protection locked="0" hidden="0"/>
    </xf>
    <xf numFmtId="0" fontId="5" fillId="0" borderId="7" applyAlignment="1" pivotButton="0" quotePrefix="0" xfId="167">
      <alignment vertical="center"/>
    </xf>
    <xf numFmtId="0" fontId="6" fillId="0" borderId="28" applyAlignment="1" pivotButton="0" quotePrefix="0" xfId="0">
      <alignment vertical="center"/>
    </xf>
    <xf numFmtId="0" fontId="6" fillId="0" borderId="29" applyAlignment="1" pivotButton="0" quotePrefix="0" xfId="0">
      <alignment vertical="center"/>
    </xf>
    <xf numFmtId="0" fontId="29" fillId="0" borderId="5" applyAlignment="1" applyProtection="1" pivotButton="0" quotePrefix="0" xfId="0">
      <alignment horizontal="center" vertical="center"/>
      <protection locked="0" hidden="0"/>
    </xf>
    <xf numFmtId="0" fontId="6" fillId="0" borderId="1" applyAlignment="1" applyProtection="1" pivotButton="0" quotePrefix="0" xfId="0">
      <alignment vertical="center"/>
      <protection locked="0" hidden="0"/>
    </xf>
    <xf numFmtId="0" fontId="6" fillId="0" borderId="8" applyAlignment="1" applyProtection="1" pivotButton="0" quotePrefix="0" xfId="0">
      <alignment vertical="center"/>
      <protection locked="0" hidden="0"/>
    </xf>
    <xf numFmtId="0" fontId="6" fillId="0" borderId="4" applyAlignment="1" applyProtection="1" pivotButton="0" quotePrefix="0" xfId="0">
      <alignment vertical="center"/>
      <protection locked="0" hidden="0"/>
    </xf>
    <xf numFmtId="0" fontId="5" fillId="0" borderId="30" applyAlignment="1" pivotButton="0" quotePrefix="0" xfId="173">
      <alignment horizontal="left" vertical="center" shrinkToFit="1"/>
    </xf>
    <xf numFmtId="165" fontId="6" fillId="2" borderId="32" applyAlignment="1" applyProtection="1" pivotButton="0" quotePrefix="0" xfId="173">
      <alignment vertical="center"/>
      <protection locked="0" hidden="0"/>
    </xf>
    <xf numFmtId="0" fontId="6" fillId="0" borderId="0" applyAlignment="1" applyProtection="1" pivotButton="0" quotePrefix="0" xfId="300">
      <alignment vertical="center"/>
      <protection locked="0" hidden="0"/>
    </xf>
    <xf numFmtId="0" fontId="29" fillId="0" borderId="34" applyAlignment="1" pivotButton="0" quotePrefix="0" xfId="0">
      <alignment horizontal="center" vertical="center"/>
    </xf>
    <xf numFmtId="0" fontId="4" fillId="0" borderId="61" applyAlignment="1" pivotButton="0" quotePrefix="0" xfId="0">
      <alignment vertical="center"/>
    </xf>
    <xf numFmtId="0" fontId="6" fillId="0" borderId="21" applyAlignment="1" applyProtection="1" pivotButton="0" quotePrefix="0" xfId="0">
      <alignment vertical="center"/>
      <protection locked="0" hidden="0"/>
    </xf>
    <xf numFmtId="0" fontId="29" fillId="0" borderId="0" applyAlignment="1" pivotButton="0" quotePrefix="0" xfId="0">
      <alignment horizontal="center" vertical="center"/>
    </xf>
    <xf numFmtId="0" fontId="31" fillId="0" borderId="0" applyAlignment="1" pivotButton="0" quotePrefix="0" xfId="171">
      <alignment vertical="center"/>
    </xf>
    <xf numFmtId="0" fontId="43" fillId="0" borderId="0" applyAlignment="1" applyProtection="1" pivotButton="0" quotePrefix="0" xfId="171">
      <alignment vertical="center" wrapText="1"/>
      <protection locked="0" hidden="0"/>
    </xf>
    <xf numFmtId="0" fontId="31" fillId="5" borderId="7" applyAlignment="1" pivotButton="0" quotePrefix="0" xfId="171">
      <alignment horizontal="centerContinuous" vertical="center"/>
    </xf>
    <xf numFmtId="0" fontId="31" fillId="5" borderId="4" applyAlignment="1" pivotButton="0" quotePrefix="0" xfId="171">
      <alignment horizontal="centerContinuous" vertical="center"/>
    </xf>
    <xf numFmtId="165" fontId="5" fillId="0" borderId="0" applyAlignment="1" applyProtection="1" pivotButton="0" quotePrefix="0" xfId="173">
      <alignment vertical="center" wrapText="1"/>
      <protection locked="0" hidden="0"/>
    </xf>
    <xf numFmtId="0" fontId="5" fillId="0" borderId="0" applyAlignment="1" applyProtection="1" pivotButton="0" quotePrefix="0" xfId="162">
      <alignment horizontal="center" vertical="center" wrapText="1"/>
      <protection locked="0" hidden="0"/>
    </xf>
    <xf numFmtId="0" fontId="30" fillId="0" borderId="0" applyAlignment="1" applyProtection="1" pivotButton="0" quotePrefix="0" xfId="171">
      <alignment vertical="center"/>
      <protection locked="0" hidden="0"/>
    </xf>
    <xf numFmtId="0" fontId="31" fillId="5" borderId="5" applyAlignment="1" pivotButton="0" quotePrefix="0" xfId="161">
      <alignment horizontal="left" vertical="center"/>
    </xf>
    <xf numFmtId="165" fontId="5" fillId="2" borderId="5" applyAlignment="1" applyProtection="1" pivotButton="0" quotePrefix="0" xfId="173">
      <alignment horizontal="right" vertical="center" wrapText="1"/>
      <protection locked="0" hidden="0"/>
    </xf>
    <xf numFmtId="9" fontId="5" fillId="0" borderId="0" applyAlignment="1" applyProtection="1" pivotButton="0" quotePrefix="0" xfId="162">
      <alignment vertical="center" wrapText="1"/>
      <protection locked="0" hidden="0"/>
    </xf>
    <xf numFmtId="9" fontId="5" fillId="0" borderId="5" applyAlignment="1" pivotButton="0" quotePrefix="0" xfId="173">
      <alignment horizontal="right" vertical="center" shrinkToFit="1"/>
    </xf>
    <xf numFmtId="9" fontId="5" fillId="0" borderId="0" applyAlignment="1" applyProtection="1" pivotButton="0" quotePrefix="0" xfId="162">
      <alignment horizontal="left" vertical="center" wrapText="1"/>
      <protection locked="0" hidden="0"/>
    </xf>
    <xf numFmtId="0" fontId="6" fillId="0" borderId="0" applyAlignment="1" applyProtection="1" pivotButton="0" quotePrefix="0" xfId="171">
      <alignment horizontal="left" vertical="center"/>
      <protection locked="0" hidden="0"/>
    </xf>
    <xf numFmtId="0" fontId="30" fillId="0" borderId="0" applyAlignment="1" applyProtection="1" pivotButton="0" quotePrefix="0" xfId="171">
      <alignment horizontal="left" vertical="center"/>
      <protection locked="0" hidden="0"/>
    </xf>
    <xf numFmtId="0" fontId="31" fillId="0" borderId="0" applyAlignment="1" pivotButton="0" quotePrefix="0" xfId="161">
      <alignment horizontal="left" vertical="center"/>
    </xf>
    <xf numFmtId="9" fontId="5" fillId="0" borderId="0" applyAlignment="1" applyProtection="1" pivotButton="0" quotePrefix="0" xfId="161">
      <alignment horizontal="right" vertical="center" wrapText="1"/>
      <protection locked="0" hidden="0"/>
    </xf>
    <xf numFmtId="0" fontId="29" fillId="0" borderId="0" applyAlignment="1" applyProtection="1" pivotButton="0" quotePrefix="0" xfId="171">
      <alignment horizontal="left" vertical="center"/>
      <protection locked="0" hidden="0"/>
    </xf>
    <xf numFmtId="0" fontId="30" fillId="0" borderId="0" applyAlignment="1" applyProtection="1" pivotButton="0" quotePrefix="0" xfId="171">
      <alignment horizontal="left" vertical="center" wrapText="1"/>
      <protection locked="0" hidden="0"/>
    </xf>
    <xf numFmtId="0" fontId="6" fillId="0" borderId="0" applyAlignment="1" applyProtection="1" pivotButton="0" quotePrefix="0" xfId="171">
      <alignment horizontal="left" vertical="center" wrapText="1"/>
      <protection locked="0" hidden="0"/>
    </xf>
    <xf numFmtId="0" fontId="4" fillId="0" borderId="0" applyAlignment="1" pivotButton="0" quotePrefix="0" xfId="171">
      <alignment vertical="center" wrapText="1"/>
    </xf>
    <xf numFmtId="0" fontId="5" fillId="0" borderId="0" applyAlignment="1" pivotButton="0" quotePrefix="0" xfId="173">
      <alignment horizontal="left" vertical="center" shrinkToFit="1"/>
    </xf>
    <xf numFmtId="0" fontId="29" fillId="0" borderId="0" applyAlignment="1" applyProtection="1" pivotButton="0" quotePrefix="0" xfId="0">
      <alignment horizontal="left" vertical="center"/>
      <protection locked="0" hidden="0"/>
    </xf>
    <xf numFmtId="10" fontId="5" fillId="0" borderId="0" applyAlignment="1" applyProtection="1" pivotButton="0" quotePrefix="0" xfId="5">
      <alignment horizontal="center"/>
      <protection locked="0" hidden="0"/>
    </xf>
    <xf numFmtId="0" fontId="29" fillId="0" borderId="0" applyAlignment="1" applyProtection="1" pivotButton="0" quotePrefix="0" xfId="301">
      <alignment horizontal="left" vertical="center"/>
      <protection locked="0" hidden="0"/>
    </xf>
    <xf numFmtId="0" fontId="4" fillId="0" borderId="0" applyAlignment="1" pivotButton="0" quotePrefix="0" xfId="0">
      <alignment horizontal="center" vertical="center"/>
    </xf>
    <xf numFmtId="0" fontId="6" fillId="0" borderId="0" applyAlignment="1" applyProtection="1" pivotButton="0" quotePrefix="0" xfId="301">
      <alignment horizontal="left" vertical="center"/>
      <protection locked="0" hidden="0"/>
    </xf>
    <xf numFmtId="0" fontId="5" fillId="0" borderId="0" applyAlignment="1" applyProtection="1" pivotButton="0" quotePrefix="0" xfId="301">
      <alignment horizontal="right" vertical="center"/>
      <protection locked="0" hidden="0"/>
    </xf>
    <xf numFmtId="165" fontId="6" fillId="0" borderId="0" applyAlignment="1" applyProtection="1" pivotButton="0" quotePrefix="0" xfId="302">
      <alignment horizontal="right" vertical="center"/>
      <protection locked="0" hidden="0"/>
    </xf>
    <xf numFmtId="165" fontId="6" fillId="0" borderId="0" applyAlignment="1" applyProtection="1" pivotButton="0" quotePrefix="0" xfId="302">
      <alignment vertical="center"/>
      <protection locked="0" hidden="0"/>
    </xf>
    <xf numFmtId="10" fontId="6" fillId="0" borderId="0" applyAlignment="1" applyProtection="1" pivotButton="0" quotePrefix="0" xfId="5">
      <alignment horizontal="center"/>
      <protection locked="0" hidden="0"/>
    </xf>
    <xf numFmtId="0" fontId="30" fillId="0" borderId="0" applyAlignment="1" applyProtection="1" pivotButton="0" quotePrefix="0" xfId="301">
      <alignment vertical="center"/>
      <protection locked="0" hidden="0"/>
    </xf>
    <xf numFmtId="9" fontId="6" fillId="0" borderId="0" applyAlignment="1" applyProtection="1" pivotButton="0" quotePrefix="0" xfId="301">
      <alignment horizontal="center" vertical="center"/>
      <protection locked="0" hidden="0"/>
    </xf>
    <xf numFmtId="0" fontId="35" fillId="0" borderId="0" applyAlignment="1" pivotButton="0" quotePrefix="0" xfId="0">
      <alignment horizontal="right" vertical="center"/>
    </xf>
    <xf numFmtId="0" fontId="35" fillId="0" borderId="0" applyAlignment="1" pivotButton="0" quotePrefix="0" xfId="0">
      <alignment horizontal="left" vertical="center"/>
    </xf>
    <xf numFmtId="10" fontId="6" fillId="0" borderId="9" applyAlignment="1" applyProtection="1" pivotButton="0" quotePrefix="0" xfId="5">
      <alignment horizontal="center"/>
      <protection locked="0" hidden="0"/>
    </xf>
    <xf numFmtId="43" fontId="34" fillId="0" borderId="0" applyAlignment="1" pivotButton="0" quotePrefix="0" xfId="100">
      <alignment horizontal="center" vertical="center" shrinkToFit="1"/>
    </xf>
    <xf numFmtId="43" fontId="5" fillId="0" borderId="0" applyAlignment="1" pivotButton="0" quotePrefix="0" xfId="56">
      <alignment horizontal="right" vertical="center" shrinkToFit="1"/>
    </xf>
    <xf numFmtId="43" fontId="6" fillId="0" borderId="0" applyAlignment="1" pivotButton="0" quotePrefix="0" xfId="33">
      <alignment horizontal="right" vertical="center" shrinkToFit="1"/>
    </xf>
    <xf numFmtId="0" fontId="29" fillId="0" borderId="0" applyAlignment="1" applyProtection="1" pivotButton="0" quotePrefix="0" xfId="171">
      <alignment horizontal="right" vertical="center"/>
      <protection locked="0" hidden="0"/>
    </xf>
    <xf numFmtId="0" fontId="6" fillId="2" borderId="0" applyAlignment="1" pivotButton="0" quotePrefix="0" xfId="171">
      <alignment vertical="center"/>
    </xf>
    <xf numFmtId="0" fontId="29" fillId="2" borderId="0" applyAlignment="1" pivotButton="0" quotePrefix="0" xfId="171">
      <alignment horizontal="center" vertical="center"/>
    </xf>
    <xf numFmtId="0" fontId="6" fillId="2" borderId="0" applyAlignment="1" pivotButton="0" quotePrefix="0" xfId="171">
      <alignment horizontal="center" vertical="center"/>
    </xf>
    <xf numFmtId="167" fontId="31" fillId="0" borderId="0" applyAlignment="1" pivotButton="0" quotePrefix="0" xfId="81">
      <alignment vertical="center" wrapText="1"/>
    </xf>
    <xf numFmtId="0" fontId="29" fillId="0" borderId="0" applyAlignment="1" applyProtection="1" pivotButton="0" quotePrefix="0" xfId="8">
      <alignment horizontal="left" vertical="center"/>
      <protection locked="0" hidden="0"/>
    </xf>
    <xf numFmtId="0" fontId="29" fillId="2" borderId="0" applyAlignment="1" pivotButton="0" quotePrefix="0" xfId="0">
      <alignment horizontal="right" vertical="center"/>
    </xf>
    <xf numFmtId="0" fontId="30" fillId="2" borderId="0" applyAlignment="1" pivotButton="0" quotePrefix="0" xfId="0">
      <alignment vertical="center"/>
    </xf>
    <xf numFmtId="41" fontId="30" fillId="2" borderId="0" applyAlignment="1" pivotButton="0" quotePrefix="0" xfId="0">
      <alignment vertical="center"/>
    </xf>
    <xf numFmtId="0" fontId="34" fillId="2" borderId="0" applyAlignment="1" pivotButton="0" quotePrefix="0" xfId="0">
      <alignment vertical="center"/>
    </xf>
    <xf numFmtId="0" fontId="30" fillId="0" borderId="0" applyAlignment="1" pivotButton="0" quotePrefix="0" xfId="0">
      <alignment vertical="top"/>
    </xf>
    <xf numFmtId="0" fontId="31" fillId="5" borderId="0" applyAlignment="1" pivotButton="0" quotePrefix="0" xfId="0">
      <alignment vertical="center"/>
    </xf>
    <xf numFmtId="0" fontId="6" fillId="0" borderId="0" applyAlignment="1" pivotButton="0" quotePrefix="0" xfId="0">
      <alignment vertical="center" shrinkToFit="1"/>
    </xf>
    <xf numFmtId="0" fontId="31" fillId="5" borderId="39" applyAlignment="1" pivotButton="0" quotePrefix="0" xfId="0">
      <alignment vertical="center"/>
    </xf>
    <xf numFmtId="0" fontId="31" fillId="5" borderId="28" applyAlignment="1" pivotButton="0" quotePrefix="0" xfId="0">
      <alignment vertical="center"/>
    </xf>
    <xf numFmtId="14" fontId="31" fillId="5" borderId="28" applyAlignment="1" pivotButton="0" quotePrefix="0" xfId="0">
      <alignment horizontal="center" vertical="center"/>
    </xf>
    <xf numFmtId="0" fontId="31" fillId="5" borderId="40" applyAlignment="1" pivotButton="0" quotePrefix="0" xfId="0">
      <alignment horizontal="center" vertical="center"/>
    </xf>
    <xf numFmtId="0" fontId="5" fillId="0" borderId="33" applyAlignment="1" pivotButton="0" quotePrefix="0" xfId="80">
      <alignment shrinkToFit="1"/>
    </xf>
    <xf numFmtId="0" fontId="5" fillId="0" borderId="0" applyAlignment="1" pivotButton="0" quotePrefix="0" xfId="80">
      <alignment shrinkToFit="1"/>
    </xf>
    <xf numFmtId="9" fontId="6" fillId="0" borderId="41" applyAlignment="1" pivotButton="0" quotePrefix="0" xfId="80">
      <alignment horizontal="center" shrinkToFit="1"/>
    </xf>
    <xf numFmtId="43" fontId="31" fillId="0" borderId="33" applyAlignment="1" pivotButton="0" quotePrefix="0" xfId="105">
      <alignment vertical="top" shrinkToFit="1"/>
    </xf>
    <xf numFmtId="43" fontId="31" fillId="0" borderId="0" applyAlignment="1" pivotButton="0" quotePrefix="0" xfId="105">
      <alignment vertical="top" shrinkToFit="1"/>
    </xf>
    <xf numFmtId="43" fontId="29" fillId="0" borderId="0" applyAlignment="1" pivotButton="0" quotePrefix="0" xfId="140">
      <alignment vertical="top" shrinkToFit="1"/>
    </xf>
    <xf numFmtId="43" fontId="5" fillId="0" borderId="0" applyAlignment="1" pivotButton="0" quotePrefix="0" xfId="0">
      <alignment horizontal="center" shrinkToFit="1"/>
    </xf>
    <xf numFmtId="10" fontId="6" fillId="2" borderId="41" applyAlignment="1" pivotButton="0" quotePrefix="0" xfId="5">
      <alignment horizontal="center" shrinkToFit="1"/>
    </xf>
    <xf numFmtId="165" fontId="5" fillId="0" borderId="0" pivotButton="0" quotePrefix="0" xfId="2"/>
    <xf numFmtId="10" fontId="5" fillId="2" borderId="41" applyAlignment="1" pivotButton="0" quotePrefix="0" xfId="5">
      <alignment horizontal="center" shrinkToFit="1"/>
    </xf>
    <xf numFmtId="0" fontId="5" fillId="0" borderId="33" applyAlignment="1" pivotButton="0" quotePrefix="0" xfId="0">
      <alignment vertical="center"/>
    </xf>
    <xf numFmtId="41" fontId="5" fillId="4" borderId="0" applyAlignment="1" pivotButton="0" quotePrefix="0" xfId="0">
      <alignment vertical="center"/>
    </xf>
    <xf numFmtId="41" fontId="5" fillId="0" borderId="41" applyAlignment="1" pivotButton="0" quotePrefix="0" xfId="0">
      <alignment vertical="center"/>
    </xf>
    <xf numFmtId="0" fontId="31" fillId="0" borderId="33" applyAlignment="1" pivotButton="0" quotePrefix="0" xfId="0">
      <alignment horizontal="left" vertical="center"/>
    </xf>
    <xf numFmtId="0" fontId="31" fillId="0" borderId="0" applyAlignment="1" pivotButton="0" quotePrefix="0" xfId="0">
      <alignment horizontal="left" vertical="center"/>
    </xf>
    <xf numFmtId="0" fontId="5" fillId="0" borderId="41" applyAlignment="1" pivotButton="0" quotePrefix="0" xfId="0">
      <alignment horizontal="left" vertical="center"/>
    </xf>
    <xf numFmtId="0" fontId="31" fillId="0" borderId="0" applyAlignment="1" applyProtection="1" pivotButton="0" quotePrefix="0" xfId="100">
      <alignment horizontal="left" vertical="center"/>
      <protection locked="0" hidden="0"/>
    </xf>
    <xf numFmtId="0" fontId="29" fillId="0" borderId="0" applyAlignment="1" applyProtection="1" pivotButton="0" quotePrefix="0" xfId="100">
      <alignment horizontal="left" vertical="center"/>
      <protection locked="0" hidden="0"/>
    </xf>
    <xf numFmtId="0" fontId="5" fillId="0" borderId="0" applyAlignment="1" applyProtection="1" pivotButton="0" quotePrefix="0" xfId="100">
      <alignment horizontal="center" vertical="center"/>
      <protection locked="0" hidden="0"/>
    </xf>
    <xf numFmtId="0" fontId="5" fillId="0" borderId="0" applyAlignment="1" applyProtection="1" pivotButton="0" quotePrefix="0" xfId="0">
      <alignment horizontal="left" vertical="center"/>
      <protection locked="0" hidden="0"/>
    </xf>
    <xf numFmtId="43" fontId="5" fillId="0" borderId="0" applyAlignment="1" applyProtection="1" pivotButton="0" quotePrefix="0" xfId="2">
      <alignment horizontal="left" vertical="center" shrinkToFit="1"/>
      <protection locked="0" hidden="0"/>
    </xf>
    <xf numFmtId="0" fontId="29" fillId="0" borderId="0" applyAlignment="1" applyProtection="1" pivotButton="0" quotePrefix="0" xfId="100">
      <alignment horizontal="center" vertical="center"/>
      <protection locked="0" hidden="0"/>
    </xf>
    <xf numFmtId="0" fontId="31" fillId="0" borderId="0" applyAlignment="1" applyProtection="1" pivotButton="0" quotePrefix="0" xfId="100">
      <alignment horizontal="center" vertical="center"/>
      <protection locked="0" hidden="0"/>
    </xf>
    <xf numFmtId="0" fontId="4" fillId="0" borderId="39" applyAlignment="1" applyProtection="1" pivotButton="0" quotePrefix="0" xfId="100">
      <alignment horizontal="left" vertical="center"/>
      <protection locked="0" hidden="0"/>
    </xf>
    <xf numFmtId="0" fontId="5" fillId="0" borderId="28" applyAlignment="1" applyProtection="1" pivotButton="0" quotePrefix="0" xfId="100">
      <alignment horizontal="left" vertical="center"/>
      <protection locked="0" hidden="0"/>
    </xf>
    <xf numFmtId="0" fontId="4" fillId="0" borderId="33" applyAlignment="1" applyProtection="1" pivotButton="0" quotePrefix="0" xfId="100">
      <alignment horizontal="left" vertical="center"/>
      <protection locked="0" hidden="0"/>
    </xf>
    <xf numFmtId="0" fontId="4" fillId="0" borderId="42" applyAlignment="1" applyProtection="1" pivotButton="0" quotePrefix="0" xfId="100">
      <alignment horizontal="left" vertical="center"/>
      <protection locked="0" hidden="0"/>
    </xf>
    <xf numFmtId="0" fontId="4" fillId="12" borderId="0" applyAlignment="1" pivotButton="0" quotePrefix="0" xfId="171">
      <alignment vertical="center"/>
    </xf>
    <xf numFmtId="0" fontId="38" fillId="10" borderId="60" applyAlignment="1" applyProtection="1" pivotButton="0" quotePrefix="0" xfId="171">
      <alignment horizontal="centerContinuous" vertical="center"/>
      <protection locked="0" hidden="0"/>
    </xf>
    <xf numFmtId="0" fontId="33" fillId="10" borderId="26" applyAlignment="1" applyProtection="1" pivotButton="0" quotePrefix="0" xfId="171">
      <alignment horizontal="centerContinuous" vertical="center"/>
      <protection locked="0" hidden="0"/>
    </xf>
    <xf numFmtId="0" fontId="40" fillId="11" borderId="66" applyAlignment="1" applyProtection="1" pivotButton="0" quotePrefix="0" xfId="171">
      <alignment horizontal="centerContinuous" vertical="center"/>
      <protection locked="0" hidden="0"/>
    </xf>
    <xf numFmtId="0" fontId="40" fillId="11" borderId="67" applyAlignment="1" applyProtection="1" pivotButton="0" quotePrefix="0" xfId="171">
      <alignment horizontal="centerContinuous" vertical="center"/>
      <protection locked="0" hidden="0"/>
    </xf>
    <xf numFmtId="0" fontId="40" fillId="11" borderId="68" applyAlignment="1" applyProtection="1" pivotButton="0" quotePrefix="0" xfId="171">
      <alignment horizontal="centerContinuous" vertical="center"/>
      <protection locked="0" hidden="0"/>
    </xf>
    <xf numFmtId="0" fontId="49" fillId="13" borderId="53" applyAlignment="1" applyProtection="1" pivotButton="0" quotePrefix="0" xfId="171">
      <alignment vertical="center"/>
      <protection locked="0" hidden="0"/>
    </xf>
    <xf numFmtId="0" fontId="49" fillId="13" borderId="23" applyAlignment="1" applyProtection="1" pivotButton="0" quotePrefix="0" xfId="171">
      <alignment vertical="center"/>
      <protection locked="0" hidden="0"/>
    </xf>
    <xf numFmtId="0" fontId="49" fillId="13" borderId="52" applyAlignment="1" applyProtection="1" pivotButton="0" quotePrefix="0" xfId="171">
      <alignment vertical="center"/>
      <protection locked="0" hidden="0"/>
    </xf>
    <xf numFmtId="0" fontId="32" fillId="0" borderId="0" applyAlignment="1" applyProtection="1" pivotButton="0" quotePrefix="0" xfId="309">
      <alignment horizontal="right" vertical="center"/>
      <protection locked="0" hidden="0"/>
    </xf>
    <xf numFmtId="0" fontId="55" fillId="0" borderId="0" applyAlignment="1" applyProtection="1" pivotButton="0" quotePrefix="0" xfId="309">
      <alignment horizontal="right" vertical="center"/>
      <protection locked="0" hidden="0"/>
    </xf>
    <xf numFmtId="0" fontId="34" fillId="0" borderId="0" applyAlignment="1" pivotButton="0" quotePrefix="0" xfId="0">
      <alignment vertical="center"/>
    </xf>
    <xf numFmtId="0" fontId="35" fillId="0" borderId="0" applyAlignment="1" pivotButton="0" quotePrefix="0" xfId="0">
      <alignment vertical="center"/>
    </xf>
    <xf numFmtId="0" fontId="6" fillId="0" borderId="0" applyAlignment="1" pivotButton="0" quotePrefix="0" xfId="78">
      <alignment vertical="center"/>
    </xf>
    <xf numFmtId="0" fontId="6" fillId="0" borderId="0" applyAlignment="1" pivotButton="0" quotePrefix="0" xfId="56">
      <alignment horizontal="left" vertical="top" wrapText="1"/>
    </xf>
    <xf numFmtId="0" fontId="6" fillId="0" borderId="0" applyAlignment="1" pivotButton="0" quotePrefix="0" xfId="100">
      <alignment vertical="center"/>
    </xf>
    <xf numFmtId="9" fontId="6" fillId="0" borderId="0" applyAlignment="1" pivotButton="0" quotePrefix="0" xfId="85">
      <alignment vertical="center"/>
    </xf>
    <xf numFmtId="0" fontId="34" fillId="0" borderId="0" applyAlignment="1" pivotButton="0" quotePrefix="0" xfId="100">
      <alignment vertical="center"/>
    </xf>
    <xf numFmtId="43" fontId="6" fillId="0" borderId="0" applyAlignment="1" pivotButton="0" quotePrefix="0" xfId="2">
      <alignment horizontal="left" vertical="top" wrapText="1"/>
    </xf>
    <xf numFmtId="9" fontId="6" fillId="0" borderId="0" applyAlignment="1" pivotButton="0" quotePrefix="0" xfId="85">
      <alignment vertical="center"/>
    </xf>
    <xf numFmtId="0" fontId="5" fillId="0" borderId="0" applyAlignment="1" pivotButton="0" quotePrefix="0" xfId="100">
      <alignment vertical="center"/>
    </xf>
    <xf numFmtId="43" fontId="6" fillId="0" borderId="0" applyAlignment="1" pivotButton="0" quotePrefix="0" xfId="2">
      <alignment horizontal="left" vertical="top" wrapText="1"/>
    </xf>
    <xf numFmtId="0" fontId="35" fillId="5" borderId="43" applyAlignment="1" pivotButton="0" quotePrefix="0" xfId="0">
      <alignment vertical="center"/>
    </xf>
    <xf numFmtId="0" fontId="6" fillId="5" borderId="43" applyAlignment="1" applyProtection="1" pivotButton="0" quotePrefix="0" xfId="0">
      <alignment vertical="center"/>
      <protection locked="0" hidden="0"/>
    </xf>
    <xf numFmtId="43" fontId="6" fillId="5" borderId="43" applyAlignment="1" pivotButton="0" quotePrefix="0" xfId="2">
      <alignment horizontal="left" vertical="top" wrapText="1"/>
    </xf>
    <xf numFmtId="0" fontId="6" fillId="0" borderId="16" applyAlignment="1" pivotButton="0" quotePrefix="0" xfId="0">
      <alignment vertical="center"/>
    </xf>
    <xf numFmtId="0" fontId="30" fillId="0" borderId="17" applyAlignment="1" pivotButton="0" quotePrefix="0" xfId="0">
      <alignment vertical="center"/>
    </xf>
    <xf numFmtId="0" fontId="35" fillId="0" borderId="20" applyAlignment="1" pivotButton="0" quotePrefix="0" xfId="0">
      <alignment vertical="center"/>
    </xf>
    <xf numFmtId="0" fontId="6" fillId="0" borderId="19" applyAlignment="1" pivotButton="0" quotePrefix="0" xfId="0">
      <alignment vertical="center"/>
    </xf>
    <xf numFmtId="0" fontId="6" fillId="0" borderId="0" applyAlignment="1" pivotButton="0" quotePrefix="0" xfId="0">
      <alignment horizontal="right" vertical="center"/>
    </xf>
    <xf numFmtId="0" fontId="6" fillId="0" borderId="18" applyAlignment="1" pivotButton="0" quotePrefix="0" xfId="0">
      <alignment vertical="center"/>
    </xf>
    <xf numFmtId="0" fontId="6" fillId="2" borderId="14" applyAlignment="1" pivotButton="0" quotePrefix="0" xfId="0">
      <alignment vertical="center"/>
    </xf>
    <xf numFmtId="0" fontId="6" fillId="2" borderId="1" applyAlignment="1" pivotButton="0" quotePrefix="0" xfId="0">
      <alignment horizontal="right" vertical="center"/>
    </xf>
    <xf numFmtId="0" fontId="6" fillId="2" borderId="1" applyAlignment="1" pivotButton="0" quotePrefix="0" xfId="0">
      <alignment vertical="center"/>
    </xf>
    <xf numFmtId="0" fontId="6" fillId="5" borderId="43" applyAlignment="1" pivotButton="0" quotePrefix="0" xfId="0">
      <alignment vertical="center"/>
    </xf>
    <xf numFmtId="0" fontId="6" fillId="5" borderId="43" applyAlignment="1" pivotButton="0" quotePrefix="0" xfId="100">
      <alignment vertical="center"/>
    </xf>
    <xf numFmtId="0" fontId="34" fillId="0" borderId="0" applyAlignment="1" pivotButton="0" quotePrefix="0" xfId="100">
      <alignment horizontal="center" vertical="center"/>
    </xf>
    <xf numFmtId="43" fontId="6" fillId="0" borderId="0" applyAlignment="1" pivotButton="0" quotePrefix="0" xfId="2">
      <alignment horizontal="center" vertical="center" wrapText="1"/>
    </xf>
    <xf numFmtId="0" fontId="6" fillId="0" borderId="0" applyAlignment="1" pivotButton="0" quotePrefix="0" xfId="0">
      <alignment horizontal="center" vertical="center"/>
    </xf>
    <xf numFmtId="0" fontId="6" fillId="0" borderId="0" applyAlignment="1" pivotButton="0" quotePrefix="0" xfId="100">
      <alignment horizontal="center" vertical="center"/>
    </xf>
    <xf numFmtId="9" fontId="6" fillId="0" borderId="0" applyAlignment="1" pivotButton="0" quotePrefix="0" xfId="85">
      <alignment horizontal="center" vertical="center"/>
    </xf>
    <xf numFmtId="0" fontId="5" fillId="0" borderId="0" applyAlignment="1" pivotButton="0" quotePrefix="0" xfId="100">
      <alignment horizontal="center" vertical="center"/>
    </xf>
    <xf numFmtId="0" fontId="7" fillId="5" borderId="5" applyAlignment="1" pivotButton="0" quotePrefix="0" xfId="0">
      <alignment horizontal="center" vertical="center"/>
    </xf>
    <xf numFmtId="0" fontId="7" fillId="5" borderId="14" applyAlignment="1" pivotButton="0" quotePrefix="0" xfId="0">
      <alignment horizontal="center" vertical="center" wrapText="1"/>
    </xf>
    <xf numFmtId="0" fontId="6" fillId="0" borderId="35" applyAlignment="1" pivotButton="0" quotePrefix="0" xfId="0">
      <alignment horizontal="left" vertical="center"/>
    </xf>
    <xf numFmtId="0" fontId="6" fillId="0" borderId="7" applyAlignment="1" pivotButton="0" quotePrefix="0" xfId="0">
      <alignment horizontal="left" vertical="center"/>
    </xf>
    <xf numFmtId="14" fontId="6" fillId="0" borderId="7" applyAlignment="1" pivotButton="0" quotePrefix="0" xfId="0">
      <alignment horizontal="left" vertical="center"/>
    </xf>
    <xf numFmtId="166" fontId="6" fillId="0" borderId="7" applyAlignment="1" pivotButton="0" quotePrefix="0" xfId="0">
      <alignment horizontal="right" vertical="center"/>
    </xf>
    <xf numFmtId="0" fontId="6" fillId="0" borderId="8" applyAlignment="1" pivotButton="0" quotePrefix="0" xfId="0">
      <alignment horizontal="left" vertical="center"/>
    </xf>
    <xf numFmtId="0" fontId="6" fillId="0" borderId="36" applyAlignment="1" pivotButton="0" quotePrefix="0" xfId="0">
      <alignment horizontal="left" vertical="center"/>
    </xf>
    <xf numFmtId="43" fontId="6" fillId="0" borderId="0" applyAlignment="1" pivotButton="0" quotePrefix="0" xfId="2">
      <alignment horizontal="left" vertical="center" wrapText="1"/>
    </xf>
    <xf numFmtId="0" fontId="6" fillId="0" borderId="37" applyAlignment="1" pivotButton="0" quotePrefix="0" xfId="0">
      <alignment horizontal="left" vertical="center"/>
    </xf>
    <xf numFmtId="0" fontId="6" fillId="0" borderId="22" applyAlignment="1" pivotButton="0" quotePrefix="0" xfId="0">
      <alignment horizontal="left" vertical="center"/>
    </xf>
    <xf numFmtId="0" fontId="6" fillId="0" borderId="23" applyAlignment="1" pivotButton="0" quotePrefix="0" xfId="0">
      <alignment horizontal="left" vertical="center"/>
    </xf>
    <xf numFmtId="0" fontId="6" fillId="0" borderId="38" applyAlignment="1" pivotButton="0" quotePrefix="0" xfId="0">
      <alignment horizontal="left" vertical="center"/>
    </xf>
    <xf numFmtId="0" fontId="6" fillId="0" borderId="0" pivotButton="0" quotePrefix="0" xfId="0"/>
    <xf numFmtId="0" fontId="35" fillId="0" borderId="0" applyAlignment="1" pivotButton="0" quotePrefix="0" xfId="100">
      <alignment horizontal="left" vertical="center"/>
    </xf>
    <xf numFmtId="41" fontId="5" fillId="0" borderId="0" applyAlignment="1" pivotButton="0" quotePrefix="0" xfId="0">
      <alignment vertical="center"/>
    </xf>
    <xf numFmtId="0" fontId="31" fillId="0" borderId="0" applyAlignment="1" pivotButton="0" quotePrefix="0" xfId="0">
      <alignment vertical="center"/>
    </xf>
    <xf numFmtId="41" fontId="31" fillId="0" borderId="0" applyAlignment="1" pivotButton="0" quotePrefix="0" xfId="0">
      <alignment vertical="center"/>
    </xf>
    <xf numFmtId="9" fontId="6" fillId="0" borderId="0" applyAlignment="1" pivotButton="0" quotePrefix="0" xfId="85">
      <alignment vertical="center"/>
    </xf>
    <xf numFmtId="0" fontId="31" fillId="16" borderId="5" applyAlignment="1" pivotButton="0" quotePrefix="0" xfId="0">
      <alignment horizontal="center" vertical="center" wrapText="1"/>
    </xf>
    <xf numFmtId="0" fontId="7" fillId="16" borderId="5" applyAlignment="1" pivotButton="0" quotePrefix="0" xfId="0">
      <alignment horizontal="center" vertical="center" wrapText="1"/>
    </xf>
    <xf numFmtId="0" fontId="6" fillId="0" borderId="5" applyAlignment="1" pivotButton="0" quotePrefix="0" xfId="0">
      <alignment horizontal="left" vertical="center"/>
    </xf>
    <xf numFmtId="14" fontId="6" fillId="0" borderId="5" applyAlignment="1" pivotButton="0" quotePrefix="0" xfId="0">
      <alignment horizontal="left" vertical="center"/>
    </xf>
    <xf numFmtId="166" fontId="6" fillId="0" borderId="5" applyAlignment="1" pivotButton="0" quotePrefix="0" xfId="0">
      <alignment horizontal="left" vertical="center"/>
    </xf>
    <xf numFmtId="0" fontId="6" fillId="0" borderId="13" applyAlignment="1" pivotButton="0" quotePrefix="0" xfId="0">
      <alignment horizontal="left" vertical="center"/>
    </xf>
    <xf numFmtId="0" fontId="6" fillId="0" borderId="30" applyAlignment="1" pivotButton="0" quotePrefix="0" xfId="0">
      <alignment horizontal="left" vertical="center"/>
    </xf>
    <xf numFmtId="14" fontId="6" fillId="0" borderId="30" applyAlignment="1" pivotButton="0" quotePrefix="0" xfId="0">
      <alignment horizontal="left" vertical="center"/>
    </xf>
    <xf numFmtId="166" fontId="6" fillId="0" borderId="30" applyAlignment="1" pivotButton="0" quotePrefix="0" xfId="0">
      <alignment horizontal="left" vertical="center"/>
    </xf>
    <xf numFmtId="0" fontId="34" fillId="0" borderId="0" applyAlignment="1" pivotButton="0" quotePrefix="0" xfId="0">
      <alignment horizontal="right" vertical="center"/>
    </xf>
    <xf numFmtId="0" fontId="29" fillId="0" borderId="0" applyAlignment="1" pivotButton="0" quotePrefix="0" xfId="0">
      <alignment horizontal="left" vertical="center"/>
    </xf>
    <xf numFmtId="0" fontId="30" fillId="0" borderId="0" applyAlignment="1" pivotButton="0" quotePrefix="0" xfId="0">
      <alignment vertical="center"/>
    </xf>
    <xf numFmtId="0" fontId="5" fillId="0" borderId="0" pivotButton="0" quotePrefix="0" xfId="0"/>
    <xf numFmtId="0" fontId="21" fillId="0" borderId="0" applyAlignment="1" pivotButton="0" quotePrefix="0" xfId="0">
      <alignment vertical="center"/>
    </xf>
    <xf numFmtId="0" fontId="31" fillId="5" borderId="5" applyAlignment="1" pivotButton="0" quotePrefix="0" xfId="0">
      <alignment horizontal="center" vertical="center"/>
    </xf>
    <xf numFmtId="0" fontId="31" fillId="5" borderId="6" applyAlignment="1" pivotButton="0" quotePrefix="0" xfId="0">
      <alignment horizontal="center" vertical="center"/>
    </xf>
    <xf numFmtId="0" fontId="4" fillId="0" borderId="5" applyAlignment="1" pivotButton="0" quotePrefix="0" xfId="0">
      <alignment horizontal="center" vertical="center"/>
    </xf>
    <xf numFmtId="0" fontId="4" fillId="0" borderId="5" applyAlignment="1" pivotButton="0" quotePrefix="0" xfId="0">
      <alignment horizontal="center" vertical="center" wrapText="1"/>
    </xf>
    <xf numFmtId="0" fontId="84" fillId="0" borderId="0" applyAlignment="1" pivotButton="0" quotePrefix="0" xfId="0">
      <alignment horizontal="center" vertical="center" wrapText="1" shrinkToFit="1"/>
    </xf>
    <xf numFmtId="43" fontId="5" fillId="0" borderId="0" applyAlignment="1" pivotButton="0" quotePrefix="0" xfId="173">
      <alignment horizontal="right" vertical="center" shrinkToFit="1"/>
    </xf>
    <xf numFmtId="43" fontId="5" fillId="0" borderId="0" applyAlignment="1" pivotButton="0" quotePrefix="0" xfId="0">
      <alignment horizontal="right" vertical="center"/>
    </xf>
    <xf numFmtId="43" fontId="5" fillId="0" borderId="0" applyAlignment="1" applyProtection="1" pivotButton="0" quotePrefix="0" xfId="302">
      <alignment vertical="center"/>
      <protection locked="0" hidden="0"/>
    </xf>
    <xf numFmtId="43" fontId="6" fillId="0" borderId="0" applyAlignment="1" applyProtection="1" pivotButton="0" quotePrefix="0" xfId="302">
      <alignment vertical="center"/>
      <protection locked="0" hidden="0"/>
    </xf>
    <xf numFmtId="43" fontId="35" fillId="0" borderId="9" applyAlignment="1" applyProtection="1" pivotButton="0" quotePrefix="0" xfId="302">
      <alignment horizontal="right" vertical="center"/>
      <protection locked="0" hidden="0"/>
    </xf>
    <xf numFmtId="43" fontId="5" fillId="0" borderId="0" applyAlignment="1" pivotButton="0" quotePrefix="0" xfId="2">
      <alignment vertical="center"/>
    </xf>
    <xf numFmtId="43" fontId="5" fillId="0" borderId="1" applyAlignment="1" pivotButton="0" quotePrefix="0" xfId="0">
      <alignment horizontal="right" vertical="center"/>
    </xf>
    <xf numFmtId="43" fontId="5" fillId="0" borderId="0" applyAlignment="1" pivotButton="0" quotePrefix="0" xfId="80">
      <alignment horizontal="right" shrinkToFit="1"/>
    </xf>
    <xf numFmtId="0" fontId="6" fillId="0" borderId="28" applyAlignment="1" pivotButton="0" quotePrefix="0" xfId="0">
      <alignment horizontal="left" vertical="center"/>
    </xf>
    <xf numFmtId="0" fontId="6" fillId="0" borderId="40" applyAlignment="1" pivotButton="0" quotePrefix="0" xfId="0">
      <alignment horizontal="left" vertical="center"/>
    </xf>
    <xf numFmtId="0" fontId="5" fillId="0" borderId="0" applyAlignment="1" applyProtection="1" pivotButton="0" quotePrefix="0" xfId="100">
      <alignment horizontal="left" vertical="center"/>
      <protection locked="0" hidden="0"/>
    </xf>
    <xf numFmtId="0" fontId="6" fillId="0" borderId="0" applyAlignment="1" pivotButton="0" quotePrefix="0" xfId="0">
      <alignment horizontal="left" vertical="center"/>
    </xf>
    <xf numFmtId="0" fontId="6" fillId="0" borderId="41" applyAlignment="1" pivotButton="0" quotePrefix="0" xfId="0">
      <alignment horizontal="left" vertical="center"/>
    </xf>
    <xf numFmtId="0" fontId="5" fillId="0" borderId="43" applyAlignment="1" applyProtection="1" pivotButton="0" quotePrefix="0" xfId="100">
      <alignment horizontal="left" vertical="center"/>
      <protection locked="0" hidden="0"/>
    </xf>
    <xf numFmtId="0" fontId="5" fillId="0" borderId="44" applyAlignment="1" applyProtection="1" pivotButton="0" quotePrefix="0" xfId="100">
      <alignment horizontal="left" vertical="center"/>
      <protection locked="0" hidden="0"/>
    </xf>
    <xf numFmtId="0" fontId="5" fillId="0" borderId="30" applyAlignment="1" pivotButton="0" quotePrefix="0" xfId="2">
      <alignment horizontal="left" vertical="center" shrinkToFit="1"/>
    </xf>
    <xf numFmtId="43" fontId="6" fillId="0" borderId="5" applyAlignment="1" pivotButton="0" quotePrefix="0" xfId="333">
      <alignment horizontal="right" vertical="center" shrinkToFit="1"/>
    </xf>
    <xf numFmtId="43" fontId="5" fillId="0" borderId="5" applyAlignment="1" applyProtection="1" pivotButton="0" quotePrefix="0" xfId="302">
      <alignment horizontal="right" vertical="center" shrinkToFit="1"/>
      <protection locked="0" hidden="0"/>
    </xf>
    <xf numFmtId="43" fontId="5" fillId="0" borderId="5" applyAlignment="1" applyProtection="1" pivotButton="0" quotePrefix="0" xfId="302">
      <alignment horizontal="right" vertical="center" shrinkToFit="1"/>
      <protection locked="0" hidden="0"/>
    </xf>
    <xf numFmtId="43" fontId="31" fillId="0" borderId="4" applyAlignment="1" pivotButton="0" quotePrefix="0" xfId="0">
      <alignment horizontal="right" vertical="center" shrinkToFit="1"/>
    </xf>
    <xf numFmtId="43" fontId="5" fillId="0" borderId="4" applyAlignment="1" pivotButton="0" quotePrefix="0" xfId="0">
      <alignment horizontal="right" vertical="center" shrinkToFit="1"/>
    </xf>
    <xf numFmtId="43" fontId="5" fillId="0" borderId="24" applyAlignment="1" pivotButton="0" quotePrefix="0" xfId="0">
      <alignment horizontal="right" vertical="center" shrinkToFit="1"/>
    </xf>
    <xf numFmtId="43" fontId="35" fillId="0" borderId="9" applyAlignment="1" applyProtection="1" pivotButton="0" quotePrefix="0" xfId="171">
      <alignment horizontal="right" vertical="center" shrinkToFit="1"/>
      <protection locked="0" hidden="0"/>
    </xf>
    <xf numFmtId="43" fontId="6" fillId="0" borderId="7" applyAlignment="1" applyProtection="1" pivotButton="0" quotePrefix="0" xfId="171">
      <alignment vertical="center"/>
      <protection locked="0" hidden="0"/>
    </xf>
    <xf numFmtId="43" fontId="6" fillId="0" borderId="17" applyAlignment="1" pivotButton="0" quotePrefix="0" xfId="0">
      <alignment horizontal="right"/>
    </xf>
    <xf numFmtId="43" fontId="6" fillId="0" borderId="5" applyAlignment="1" pivotButton="0" quotePrefix="0" xfId="0">
      <alignment horizontal="right" vertical="center"/>
    </xf>
    <xf numFmtId="43" fontId="6" fillId="0" borderId="30" applyAlignment="1" pivotButton="0" quotePrefix="0" xfId="0">
      <alignment horizontal="right" vertical="center"/>
    </xf>
    <xf numFmtId="0" fontId="6" fillId="0" borderId="58" applyAlignment="1" pivotButton="0" quotePrefix="0" xfId="0">
      <alignment horizontal="left" vertical="center"/>
    </xf>
    <xf numFmtId="0" fontId="6" fillId="0" borderId="51" applyAlignment="1" pivotButton="0" quotePrefix="0" xfId="0">
      <alignment horizontal="left" vertical="center"/>
    </xf>
    <xf numFmtId="43" fontId="6" fillId="0" borderId="30" applyAlignment="1" pivotButton="0" quotePrefix="0" xfId="0">
      <alignment horizontal="left" vertical="center"/>
    </xf>
    <xf numFmtId="14" fontId="64" fillId="0" borderId="5" applyAlignment="1" pivotButton="0" quotePrefix="0" xfId="2">
      <alignment horizontal="left" shrinkToFit="1"/>
    </xf>
    <xf numFmtId="14" fontId="64" fillId="0" borderId="5" applyAlignment="1" pivotButton="0" quotePrefix="0" xfId="0">
      <alignment horizontal="left" vertical="center" shrinkToFit="1"/>
    </xf>
    <xf numFmtId="0" fontId="67" fillId="0" borderId="5" applyAlignment="1" pivotButton="0" quotePrefix="0" xfId="164">
      <alignment horizontal="left" vertical="center"/>
    </xf>
    <xf numFmtId="0" fontId="60" fillId="0" borderId="0" applyAlignment="1" pivotButton="0" quotePrefix="0" xfId="0">
      <alignment vertical="center"/>
    </xf>
    <xf numFmtId="0" fontId="55" fillId="0" borderId="0" applyAlignment="1" pivotButton="0" quotePrefix="0" xfId="336">
      <alignment vertical="center"/>
    </xf>
    <xf numFmtId="0" fontId="61" fillId="0" borderId="13" applyAlignment="1" pivotButton="0" quotePrefix="1" xfId="335">
      <alignment horizontal="center" vertical="center"/>
    </xf>
    <xf numFmtId="0" fontId="110" fillId="0" borderId="0" applyAlignment="1" pivotButton="0" quotePrefix="0" xfId="0">
      <alignment vertical="center" wrapText="1"/>
    </xf>
    <xf numFmtId="0" fontId="31" fillId="5" borderId="13" applyAlignment="1" pivotButton="0" quotePrefix="0" xfId="0">
      <alignment horizontal="center" vertical="center" wrapText="1"/>
    </xf>
    <xf numFmtId="0" fontId="31" fillId="5" borderId="2" applyAlignment="1" pivotButton="0" quotePrefix="0" xfId="171">
      <alignment horizontal="center" vertical="center" wrapText="1"/>
    </xf>
    <xf numFmtId="0" fontId="31" fillId="5" borderId="14" applyAlignment="1" pivotButton="0" quotePrefix="0" xfId="0">
      <alignment horizontal="center" vertical="center" wrapText="1"/>
    </xf>
    <xf numFmtId="0" fontId="35" fillId="5" borderId="5" applyAlignment="1" pivotButton="0" quotePrefix="0" xfId="0">
      <alignment horizontal="center" vertical="center"/>
    </xf>
    <xf numFmtId="0" fontId="120" fillId="0" borderId="0" applyAlignment="1" pivotButton="0" quotePrefix="0" xfId="150">
      <alignment vertical="center"/>
    </xf>
    <xf numFmtId="0" fontId="29" fillId="0" borderId="2" applyAlignment="1" applyProtection="1" pivotButton="0" quotePrefix="0" xfId="301">
      <alignment horizontal="left" vertical="center"/>
      <protection locked="0" hidden="0"/>
    </xf>
    <xf numFmtId="0" fontId="61" fillId="0" borderId="13" applyAlignment="1" pivotButton="0" quotePrefix="1" xfId="335">
      <alignment horizontal="center" vertical="center"/>
    </xf>
    <xf numFmtId="0" fontId="61" fillId="0" borderId="13" applyAlignment="1" pivotButton="0" quotePrefix="0" xfId="335">
      <alignment horizontal="center" vertical="center"/>
    </xf>
    <xf numFmtId="0" fontId="7" fillId="8" borderId="13" applyAlignment="1" pivotButton="0" quotePrefix="0" xfId="150">
      <alignment horizontal="left" vertical="center"/>
    </xf>
    <xf numFmtId="0" fontId="31" fillId="8" borderId="13" applyAlignment="1" pivotButton="0" quotePrefix="0" xfId="150">
      <alignment horizontal="left" vertical="center"/>
    </xf>
    <xf numFmtId="0" fontId="6" fillId="0" borderId="13" applyAlignment="1" pivotButton="0" quotePrefix="0" xfId="150">
      <alignment vertical="center" wrapText="1"/>
    </xf>
    <xf numFmtId="0" fontId="6" fillId="0" borderId="13" applyAlignment="1" pivotButton="0" quotePrefix="0" xfId="150">
      <alignment horizontal="left" vertical="center" wrapText="1"/>
    </xf>
    <xf numFmtId="0" fontId="31" fillId="8" borderId="13" applyAlignment="1" pivotButton="0" quotePrefix="0" xfId="150">
      <alignment horizontal="left" vertical="center" wrapText="1"/>
    </xf>
    <xf numFmtId="0" fontId="5" fillId="0" borderId="13" applyAlignment="1" pivotButton="0" quotePrefix="0" xfId="148">
      <alignment horizontal="left" vertical="center" wrapText="1"/>
    </xf>
    <xf numFmtId="0" fontId="31" fillId="9" borderId="13" applyAlignment="1" pivotButton="0" quotePrefix="0" xfId="150">
      <alignment horizontal="left" vertical="center" wrapText="1"/>
    </xf>
    <xf numFmtId="0" fontId="4" fillId="0" borderId="13" applyAlignment="1" pivotButton="0" quotePrefix="0" xfId="150">
      <alignment horizontal="left" vertical="center" wrapText="1"/>
    </xf>
    <xf numFmtId="0" fontId="4" fillId="0" borderId="13" applyAlignment="1" pivotButton="0" quotePrefix="0" xfId="148">
      <alignment horizontal="left" vertical="center" wrapText="1"/>
    </xf>
    <xf numFmtId="0" fontId="31" fillId="0" borderId="13" applyAlignment="1" pivotButton="0" quotePrefix="0" xfId="148">
      <alignment horizontal="left" vertical="center" wrapText="1"/>
    </xf>
    <xf numFmtId="0" fontId="7" fillId="8" borderId="13" applyAlignment="1" pivotButton="0" quotePrefix="0" xfId="150">
      <alignment horizontal="left" vertical="center" wrapText="1"/>
    </xf>
    <xf numFmtId="0" fontId="29" fillId="5" borderId="13" applyAlignment="1" pivotButton="0" quotePrefix="0" xfId="0">
      <alignment horizontal="center" vertical="center" wrapText="1"/>
    </xf>
    <xf numFmtId="0" fontId="41" fillId="13" borderId="19" applyAlignment="1" pivotButton="0" quotePrefix="0" xfId="171">
      <alignment horizontal="left" vertical="center" wrapText="1" indent="16"/>
    </xf>
    <xf numFmtId="0" fontId="41" fillId="13" borderId="0" applyAlignment="1" pivotButton="0" quotePrefix="0" xfId="171">
      <alignment horizontal="left" vertical="center" wrapText="1" indent="16"/>
    </xf>
    <xf numFmtId="0" fontId="41" fillId="13" borderId="41" applyAlignment="1" pivotButton="0" quotePrefix="0" xfId="171">
      <alignment horizontal="left" vertical="center" wrapText="1" indent="16"/>
    </xf>
    <xf numFmtId="0" fontId="41" fillId="13" borderId="14" applyAlignment="1" pivotButton="0" quotePrefix="0" xfId="171">
      <alignment horizontal="left" vertical="center" wrapText="1" indent="16"/>
    </xf>
    <xf numFmtId="0" fontId="41" fillId="13" borderId="1" applyAlignment="1" pivotButton="0" quotePrefix="0" xfId="171">
      <alignment horizontal="left" vertical="center" wrapText="1" indent="16"/>
    </xf>
    <xf numFmtId="0" fontId="41" fillId="13" borderId="58" applyAlignment="1" pivotButton="0" quotePrefix="0" xfId="171">
      <alignment horizontal="left" vertical="center" wrapText="1" indent="16"/>
    </xf>
    <xf numFmtId="0" fontId="5" fillId="0" borderId="39" applyAlignment="1" applyProtection="1" pivotButton="0" quotePrefix="0" xfId="171">
      <alignment horizontal="left" vertical="center" wrapText="1"/>
      <protection locked="0" hidden="0"/>
    </xf>
    <xf numFmtId="0" fontId="5" fillId="0" borderId="28" applyAlignment="1" applyProtection="1" pivotButton="0" quotePrefix="0" xfId="171">
      <alignment horizontal="left" vertical="center" wrapText="1"/>
      <protection locked="0" hidden="0"/>
    </xf>
    <xf numFmtId="0" fontId="5" fillId="0" borderId="40" applyAlignment="1" applyProtection="1" pivotButton="0" quotePrefix="0" xfId="171">
      <alignment horizontal="left" vertical="center" wrapText="1"/>
      <protection locked="0" hidden="0"/>
    </xf>
    <xf numFmtId="0" fontId="5" fillId="0" borderId="33" applyAlignment="1" applyProtection="1" pivotButton="0" quotePrefix="0" xfId="171">
      <alignment horizontal="left" vertical="center" wrapText="1"/>
      <protection locked="0" hidden="0"/>
    </xf>
    <xf numFmtId="0" fontId="5" fillId="0" borderId="0" applyAlignment="1" applyProtection="1" pivotButton="0" quotePrefix="0" xfId="171">
      <alignment horizontal="left" vertical="center" wrapText="1"/>
      <protection locked="0" hidden="0"/>
    </xf>
    <xf numFmtId="0" fontId="5" fillId="0" borderId="41" applyAlignment="1" applyProtection="1" pivotButton="0" quotePrefix="0" xfId="171">
      <alignment horizontal="left" vertical="center" wrapText="1"/>
      <protection locked="0" hidden="0"/>
    </xf>
    <xf numFmtId="0" fontId="5" fillId="0" borderId="42" applyAlignment="1" applyProtection="1" pivotButton="0" quotePrefix="0" xfId="171">
      <alignment horizontal="left" vertical="center" wrapText="1"/>
      <protection locked="0" hidden="0"/>
    </xf>
    <xf numFmtId="0" fontId="5" fillId="0" borderId="43" applyAlignment="1" applyProtection="1" pivotButton="0" quotePrefix="0" xfId="171">
      <alignment horizontal="left" vertical="center" wrapText="1"/>
      <protection locked="0" hidden="0"/>
    </xf>
    <xf numFmtId="0" fontId="5" fillId="0" borderId="44" applyAlignment="1" applyProtection="1" pivotButton="0" quotePrefix="0" xfId="171">
      <alignment horizontal="left" vertical="center" wrapText="1"/>
      <protection locked="0" hidden="0"/>
    </xf>
    <xf numFmtId="0" fontId="58" fillId="0" borderId="39" applyAlignment="1" pivotButton="0" quotePrefix="0" xfId="0">
      <alignment horizontal="left" vertical="center" wrapText="1"/>
    </xf>
    <xf numFmtId="0" fontId="58" fillId="0" borderId="28" applyAlignment="1" pivotButton="0" quotePrefix="0" xfId="0">
      <alignment horizontal="left" vertical="center" wrapText="1"/>
    </xf>
    <xf numFmtId="0" fontId="58" fillId="0" borderId="40" applyAlignment="1" pivotButton="0" quotePrefix="0" xfId="0">
      <alignment horizontal="left" vertical="center" wrapText="1"/>
    </xf>
    <xf numFmtId="0" fontId="58" fillId="0" borderId="33" applyAlignment="1" pivotButton="0" quotePrefix="0" xfId="0">
      <alignment horizontal="left" vertical="center" wrapText="1"/>
    </xf>
    <xf numFmtId="0" fontId="58" fillId="0" borderId="0" applyAlignment="1" pivotButton="0" quotePrefix="0" xfId="0">
      <alignment horizontal="left" vertical="center" wrapText="1"/>
    </xf>
    <xf numFmtId="0" fontId="58" fillId="0" borderId="41" applyAlignment="1" pivotButton="0" quotePrefix="0" xfId="0">
      <alignment horizontal="left" vertical="center" wrapText="1"/>
    </xf>
    <xf numFmtId="0" fontId="58" fillId="0" borderId="42" applyAlignment="1" pivotButton="0" quotePrefix="0" xfId="0">
      <alignment horizontal="left" vertical="center" wrapText="1"/>
    </xf>
    <xf numFmtId="0" fontId="58" fillId="0" borderId="43" applyAlignment="1" pivotButton="0" quotePrefix="0" xfId="0">
      <alignment horizontal="left" vertical="center" wrapText="1"/>
    </xf>
    <xf numFmtId="0" fontId="58" fillId="0" borderId="44" applyAlignment="1" pivotButton="0" quotePrefix="0" xfId="0">
      <alignment horizontal="left" vertical="center" wrapText="1"/>
    </xf>
    <xf numFmtId="0" fontId="31" fillId="16" borderId="7" applyAlignment="1" pivotButton="0" quotePrefix="0" xfId="0">
      <alignment horizontal="center" vertical="center"/>
    </xf>
    <xf numFmtId="0" fontId="31" fillId="16" borderId="8" applyAlignment="1" pivotButton="0" quotePrefix="0" xfId="0">
      <alignment horizontal="center" vertical="center"/>
    </xf>
    <xf numFmtId="0" fontId="31" fillId="16" borderId="4" applyAlignment="1" pivotButton="0" quotePrefix="0" xfId="0">
      <alignment horizontal="center" vertical="center"/>
    </xf>
    <xf numFmtId="0" fontId="43" fillId="0" borderId="42" applyAlignment="1" pivotButton="0" quotePrefix="0" xfId="0">
      <alignment horizontal="left" vertical="top" wrapText="1"/>
    </xf>
    <xf numFmtId="0" fontId="43" fillId="0" borderId="43" applyAlignment="1" pivotButton="0" quotePrefix="0" xfId="0">
      <alignment horizontal="left" vertical="top" wrapText="1"/>
    </xf>
    <xf numFmtId="0" fontId="43" fillId="0" borderId="44" applyAlignment="1" pivotButton="0" quotePrefix="0" xfId="0">
      <alignment horizontal="left" vertical="top" wrapText="1"/>
    </xf>
    <xf numFmtId="0" fontId="7" fillId="5" borderId="13" applyAlignment="1" pivotButton="0" quotePrefix="0" xfId="0">
      <alignment horizontal="center" vertical="center" wrapText="1"/>
    </xf>
    <xf numFmtId="0" fontId="110" fillId="0" borderId="0" applyAlignment="1" pivotButton="0" quotePrefix="0" xfId="0">
      <alignment vertical="center" wrapText="1"/>
    </xf>
    <xf numFmtId="0" fontId="23" fillId="5" borderId="13" applyAlignment="1" pivotButton="0" quotePrefix="0" xfId="0">
      <alignment horizontal="center" vertical="center" wrapText="1"/>
    </xf>
    <xf numFmtId="0" fontId="31" fillId="5" borderId="13" applyAlignment="1" pivotButton="0" quotePrefix="0" xfId="0">
      <alignment horizontal="center" vertical="center" wrapText="1"/>
    </xf>
    <xf numFmtId="14" fontId="31" fillId="5" borderId="62" applyAlignment="1" pivotButton="0" quotePrefix="0" xfId="0">
      <alignment horizontal="center" vertical="center"/>
    </xf>
    <xf numFmtId="14" fontId="31" fillId="5" borderId="13" applyAlignment="1" pivotButton="0" quotePrefix="0" xfId="0">
      <alignment horizontal="center" vertical="center"/>
    </xf>
    <xf numFmtId="0" fontId="43" fillId="0" borderId="16" applyAlignment="1" pivotButton="0" quotePrefix="0" xfId="2">
      <alignment horizontal="left" vertical="center" wrapText="1" shrinkToFit="1"/>
    </xf>
    <xf numFmtId="0" fontId="5" fillId="0" borderId="17" applyAlignment="1" pivotButton="0" quotePrefix="0" xfId="2">
      <alignment horizontal="left" vertical="center" wrapText="1" shrinkToFit="1"/>
    </xf>
    <xf numFmtId="0" fontId="5" fillId="0" borderId="20" applyAlignment="1" pivotButton="0" quotePrefix="0" xfId="2">
      <alignment horizontal="left" vertical="center" wrapText="1" shrinkToFit="1"/>
    </xf>
    <xf numFmtId="0" fontId="5" fillId="0" borderId="19" applyAlignment="1" pivotButton="0" quotePrefix="0" xfId="2">
      <alignment horizontal="left" vertical="center" wrapText="1" shrinkToFit="1"/>
    </xf>
    <xf numFmtId="0" fontId="5" fillId="0" borderId="0" applyAlignment="1" pivotButton="0" quotePrefix="0" xfId="2">
      <alignment horizontal="left" vertical="center" wrapText="1" shrinkToFit="1"/>
    </xf>
    <xf numFmtId="0" fontId="5" fillId="0" borderId="18" applyAlignment="1" pivotButton="0" quotePrefix="0" xfId="2">
      <alignment horizontal="left" vertical="center" wrapText="1" shrinkToFit="1"/>
    </xf>
    <xf numFmtId="0" fontId="5" fillId="0" borderId="14" applyAlignment="1" pivotButton="0" quotePrefix="0" xfId="2">
      <alignment horizontal="left" vertical="center" wrapText="1" shrinkToFit="1"/>
    </xf>
    <xf numFmtId="0" fontId="5" fillId="0" borderId="1" applyAlignment="1" pivotButton="0" quotePrefix="0" xfId="2">
      <alignment horizontal="left" vertical="center" wrapText="1" shrinkToFit="1"/>
    </xf>
    <xf numFmtId="0" fontId="5" fillId="0" borderId="21" applyAlignment="1" pivotButton="0" quotePrefix="0" xfId="2">
      <alignment horizontal="left" vertical="center" wrapText="1" shrinkToFit="1"/>
    </xf>
    <xf numFmtId="0" fontId="31" fillId="5" borderId="64" applyAlignment="1" pivotButton="0" quotePrefix="0" xfId="0">
      <alignment horizontal="center" vertical="center" wrapText="1"/>
    </xf>
    <xf numFmtId="0" fontId="31" fillId="5" borderId="65" applyAlignment="1" pivotButton="0" quotePrefix="0" xfId="0">
      <alignment horizontal="center" vertical="center" wrapText="1"/>
    </xf>
    <xf numFmtId="0" fontId="31" fillId="5" borderId="15" applyAlignment="1" pivotButton="0" quotePrefix="0" xfId="0">
      <alignment horizontal="center" vertical="center" wrapText="1"/>
    </xf>
    <xf numFmtId="0" fontId="31" fillId="5" borderId="32" applyAlignment="1" pivotButton="0" quotePrefix="0" xfId="0">
      <alignment horizontal="center" vertical="center" wrapText="1"/>
    </xf>
    <xf numFmtId="0" fontId="29" fillId="5" borderId="7" applyAlignment="1" pivotButton="0" quotePrefix="0" xfId="333">
      <alignment horizontal="center" vertical="center"/>
    </xf>
    <xf numFmtId="0" fontId="29" fillId="5" borderId="4" applyAlignment="1" pivotButton="0" quotePrefix="0" xfId="333">
      <alignment horizontal="center" vertical="center"/>
    </xf>
    <xf numFmtId="0" fontId="31" fillId="5" borderId="25" applyAlignment="1" applyProtection="1" pivotButton="0" quotePrefix="0" xfId="171">
      <alignment horizontal="center" vertical="center"/>
      <protection locked="0" hidden="0"/>
    </xf>
    <xf numFmtId="0" fontId="31" fillId="5" borderId="27" applyAlignment="1" applyProtection="1" pivotButton="0" quotePrefix="0" xfId="171">
      <alignment horizontal="center" vertical="center"/>
      <protection locked="0" hidden="0"/>
    </xf>
    <xf numFmtId="0" fontId="31" fillId="5" borderId="46" applyAlignment="1" pivotButton="0" quotePrefix="0" xfId="171">
      <alignment horizontal="center" vertical="center" wrapText="1"/>
    </xf>
    <xf numFmtId="0" fontId="31" fillId="5" borderId="2" applyAlignment="1" pivotButton="0" quotePrefix="0" xfId="171">
      <alignment horizontal="center" vertical="center" wrapText="1"/>
    </xf>
    <xf numFmtId="0" fontId="31" fillId="5" borderId="15" applyAlignment="1" pivotButton="0" quotePrefix="0" xfId="171">
      <alignment horizontal="center" vertical="center" wrapText="1"/>
    </xf>
    <xf numFmtId="0" fontId="31" fillId="5" borderId="32" applyAlignment="1" pivotButton="0" quotePrefix="0" xfId="171">
      <alignment horizontal="center" vertical="center" wrapText="1"/>
    </xf>
    <xf numFmtId="0" fontId="58" fillId="0" borderId="16" applyAlignment="1" pivotButton="0" quotePrefix="0" xfId="2">
      <alignment horizontal="left" vertical="center" wrapText="1" shrinkToFit="1"/>
    </xf>
    <xf numFmtId="0" fontId="58" fillId="0" borderId="17" applyAlignment="1" pivotButton="0" quotePrefix="0" xfId="2">
      <alignment horizontal="left" vertical="center" wrapText="1" shrinkToFit="1"/>
    </xf>
    <xf numFmtId="0" fontId="58" fillId="0" borderId="20" applyAlignment="1" pivotButton="0" quotePrefix="0" xfId="2">
      <alignment horizontal="left" vertical="center" wrapText="1" shrinkToFit="1"/>
    </xf>
    <xf numFmtId="0" fontId="58" fillId="0" borderId="19" applyAlignment="1" pivotButton="0" quotePrefix="0" xfId="2">
      <alignment horizontal="left" vertical="center" wrapText="1" shrinkToFit="1"/>
    </xf>
    <xf numFmtId="0" fontId="58" fillId="0" borderId="0" applyAlignment="1" pivotButton="0" quotePrefix="0" xfId="2">
      <alignment horizontal="left" vertical="center" wrapText="1" shrinkToFit="1"/>
    </xf>
    <xf numFmtId="0" fontId="58" fillId="0" borderId="18" applyAlignment="1" pivotButton="0" quotePrefix="0" xfId="2">
      <alignment horizontal="left" vertical="center" wrapText="1" shrinkToFit="1"/>
    </xf>
    <xf numFmtId="0" fontId="58" fillId="0" borderId="14" applyAlignment="1" pivotButton="0" quotePrefix="0" xfId="2">
      <alignment horizontal="left" vertical="center" wrapText="1" shrinkToFit="1"/>
    </xf>
    <xf numFmtId="0" fontId="58" fillId="0" borderId="1" applyAlignment="1" pivotButton="0" quotePrefix="0" xfId="2">
      <alignment horizontal="left" vertical="center" wrapText="1" shrinkToFit="1"/>
    </xf>
    <xf numFmtId="0" fontId="58" fillId="0" borderId="21" applyAlignment="1" pivotButton="0" quotePrefix="0" xfId="2">
      <alignment horizontal="left" vertical="center" wrapText="1" shrinkToFit="1"/>
    </xf>
    <xf numFmtId="0" fontId="31" fillId="5" borderId="47" applyAlignment="1" pivotButton="0" quotePrefix="0" xfId="171">
      <alignment horizontal="center" vertical="center" wrapText="1"/>
    </xf>
    <xf numFmtId="0" fontId="31" fillId="5" borderId="21" applyAlignment="1" pivotButton="0" quotePrefix="0" xfId="171">
      <alignment horizontal="center" vertical="center" wrapText="1"/>
    </xf>
    <xf numFmtId="0" fontId="31" fillId="5" borderId="49" applyAlignment="1" pivotButton="0" quotePrefix="0" xfId="171">
      <alignment horizontal="center" vertical="center"/>
    </xf>
    <xf numFmtId="0" fontId="31" fillId="5" borderId="14" applyAlignment="1" pivotButton="0" quotePrefix="0" xfId="171">
      <alignment horizontal="center" vertical="center"/>
    </xf>
    <xf numFmtId="0" fontId="31" fillId="5" borderId="49" applyAlignment="1" pivotButton="0" quotePrefix="0" xfId="171">
      <alignment horizontal="center" vertical="center" wrapText="1"/>
    </xf>
    <xf numFmtId="0" fontId="31" fillId="5" borderId="14" applyAlignment="1" pivotButton="0" quotePrefix="0" xfId="171">
      <alignment horizontal="center" vertical="center" wrapText="1"/>
    </xf>
    <xf numFmtId="0" fontId="53" fillId="11" borderId="22" applyAlignment="1" pivotButton="0" quotePrefix="0" xfId="312">
      <alignment horizontal="center" vertical="center"/>
    </xf>
    <xf numFmtId="0" fontId="53" fillId="11" borderId="23" applyAlignment="1" pivotButton="0" quotePrefix="0" xfId="312">
      <alignment horizontal="center" vertical="center"/>
    </xf>
    <xf numFmtId="0" fontId="53" fillId="11" borderId="24" applyAlignment="1" pivotButton="0" quotePrefix="0" xfId="312">
      <alignment horizontal="center" vertical="center"/>
    </xf>
    <xf numFmtId="0" fontId="0" fillId="18" borderId="16" applyAlignment="1" pivotButton="0" quotePrefix="0" xfId="0">
      <alignment horizontal="center" vertical="center"/>
    </xf>
    <xf numFmtId="0" fontId="0" fillId="18" borderId="17" applyAlignment="1" pivotButton="0" quotePrefix="0" xfId="0">
      <alignment horizontal="center" vertical="center"/>
    </xf>
    <xf numFmtId="0" fontId="0" fillId="18" borderId="20" applyAlignment="1" pivotButton="0" quotePrefix="0" xfId="0">
      <alignment horizontal="center" vertical="center"/>
    </xf>
    <xf numFmtId="0" fontId="0" fillId="18" borderId="19" applyAlignment="1" pivotButton="0" quotePrefix="0" xfId="0">
      <alignment horizontal="center" vertical="center"/>
    </xf>
    <xf numFmtId="0" fontId="0" fillId="18" borderId="0" applyAlignment="1" pivotButton="0" quotePrefix="0" xfId="0">
      <alignment horizontal="center" vertical="center"/>
    </xf>
    <xf numFmtId="0" fontId="0" fillId="18" borderId="18" applyAlignment="1" pivotButton="0" quotePrefix="0" xfId="0">
      <alignment horizontal="center" vertical="center"/>
    </xf>
    <xf numFmtId="0" fontId="0" fillId="18" borderId="14" applyAlignment="1" pivotButton="0" quotePrefix="0" xfId="0">
      <alignment horizontal="center" vertical="center"/>
    </xf>
    <xf numFmtId="0" fontId="0" fillId="18" borderId="1" applyAlignment="1" pivotButton="0" quotePrefix="0" xfId="0">
      <alignment horizontal="center" vertical="center"/>
    </xf>
    <xf numFmtId="0" fontId="0" fillId="18" borderId="21" applyAlignment="1" pivotButton="0" quotePrefix="0" xfId="0">
      <alignment horizontal="center" vertical="center"/>
    </xf>
    <xf numFmtId="0" fontId="31" fillId="5" borderId="13" applyAlignment="1" pivotButton="0" quotePrefix="0" xfId="100">
      <alignment horizontal="center" vertical="center"/>
    </xf>
    <xf numFmtId="0" fontId="29" fillId="5" borderId="13" applyAlignment="1" pivotButton="0" quotePrefix="0" xfId="0">
      <alignment horizontal="center" vertical="center"/>
    </xf>
    <xf numFmtId="0" fontId="35" fillId="5" borderId="40" applyAlignment="1" pivotButton="0" quotePrefix="0" xfId="0">
      <alignment horizontal="center" vertical="center" wrapText="1"/>
    </xf>
    <xf numFmtId="0" fontId="35" fillId="5" borderId="44" applyAlignment="1" pivotButton="0" quotePrefix="0" xfId="0">
      <alignment horizontal="center" vertical="center" wrapText="1"/>
    </xf>
    <xf numFmtId="0" fontId="35" fillId="5" borderId="15" applyAlignment="1" pivotButton="0" quotePrefix="0" xfId="0">
      <alignment horizontal="center" vertical="center" wrapText="1"/>
    </xf>
    <xf numFmtId="0" fontId="35" fillId="5" borderId="32" applyAlignment="1" pivotButton="0" quotePrefix="0" xfId="0">
      <alignment horizontal="center" vertical="center" wrapText="1"/>
    </xf>
    <xf numFmtId="0" fontId="114" fillId="0" borderId="16" applyAlignment="1" pivotButton="0" quotePrefix="0" xfId="0">
      <alignment horizontal="left" vertical="center" wrapText="1"/>
    </xf>
    <xf numFmtId="0" fontId="114" fillId="0" borderId="17" applyAlignment="1" pivotButton="0" quotePrefix="0" xfId="0">
      <alignment horizontal="left" vertical="center" wrapText="1"/>
    </xf>
    <xf numFmtId="0" fontId="114" fillId="0" borderId="20" applyAlignment="1" pivotButton="0" quotePrefix="0" xfId="0">
      <alignment horizontal="left" vertical="center" wrapText="1"/>
    </xf>
    <xf numFmtId="0" fontId="114" fillId="0" borderId="19" applyAlignment="1" pivotButton="0" quotePrefix="0" xfId="0">
      <alignment horizontal="left" vertical="center" wrapText="1"/>
    </xf>
    <xf numFmtId="0" fontId="114" fillId="0" borderId="0" applyAlignment="1" pivotButton="0" quotePrefix="0" xfId="0">
      <alignment horizontal="left" vertical="center" wrapText="1"/>
    </xf>
    <xf numFmtId="0" fontId="114" fillId="0" borderId="18" applyAlignment="1" pivotButton="0" quotePrefix="0" xfId="0">
      <alignment horizontal="left" vertical="center" wrapText="1"/>
    </xf>
    <xf numFmtId="0" fontId="114" fillId="0" borderId="14" applyAlignment="1" pivotButton="0" quotePrefix="0" xfId="0">
      <alignment horizontal="left" vertical="center" wrapText="1"/>
    </xf>
    <xf numFmtId="0" fontId="114" fillId="0" borderId="1" applyAlignment="1" pivotButton="0" quotePrefix="0" xfId="0">
      <alignment horizontal="left" vertical="center" wrapText="1"/>
    </xf>
    <xf numFmtId="0" fontId="114" fillId="0" borderId="21" applyAlignment="1" pivotButton="0" quotePrefix="0" xfId="0">
      <alignment horizontal="left" vertical="center" wrapText="1"/>
    </xf>
    <xf numFmtId="0" fontId="35" fillId="5" borderId="5" applyAlignment="1" pivotButton="0" quotePrefix="0" xfId="0">
      <alignment horizontal="center" vertical="center"/>
    </xf>
    <xf numFmtId="0" fontId="35" fillId="5" borderId="16" applyAlignment="1" pivotButton="0" quotePrefix="0" xfId="0">
      <alignment horizontal="center" vertical="center"/>
    </xf>
    <xf numFmtId="0" fontId="35" fillId="5" borderId="17" applyAlignment="1" pivotButton="0" quotePrefix="0" xfId="0">
      <alignment horizontal="center" vertical="center"/>
    </xf>
    <xf numFmtId="0" fontId="7" fillId="16" borderId="7" applyAlignment="1" pivotButton="0" quotePrefix="0" xfId="0">
      <alignment horizontal="center" vertical="center" wrapText="1"/>
    </xf>
    <xf numFmtId="0" fontId="7" fillId="16" borderId="8" applyAlignment="1" pivotButton="0" quotePrefix="0" xfId="0">
      <alignment horizontal="center" vertical="center" wrapText="1"/>
    </xf>
    <xf numFmtId="0" fontId="7" fillId="16" borderId="51" applyAlignment="1" pivotButton="0" quotePrefix="0" xfId="0">
      <alignment horizontal="center" vertical="center" wrapText="1"/>
    </xf>
    <xf numFmtId="0" fontId="35" fillId="5" borderId="6" applyAlignment="1" pivotButton="0" quotePrefix="0" xfId="0">
      <alignment horizontal="center" vertical="center"/>
    </xf>
    <xf numFmtId="0" fontId="35" fillId="5" borderId="2" applyAlignment="1" pivotButton="0" quotePrefix="0" xfId="0">
      <alignment horizontal="center" vertical="center"/>
    </xf>
    <xf numFmtId="0" fontId="31" fillId="5" borderId="63" applyAlignment="1" applyProtection="1" pivotButton="0" quotePrefix="0" xfId="0">
      <alignment horizontal="left" vertical="center"/>
      <protection locked="0" hidden="0"/>
    </xf>
    <xf numFmtId="0" fontId="31" fillId="5" borderId="29" applyAlignment="1" applyProtection="1" pivotButton="0" quotePrefix="0" xfId="0">
      <alignment horizontal="left" vertical="center"/>
      <protection locked="0" hidden="0"/>
    </xf>
    <xf numFmtId="0" fontId="31" fillId="5" borderId="62" applyAlignment="1" applyProtection="1" pivotButton="0" quotePrefix="0" xfId="0">
      <alignment horizontal="left" vertical="center"/>
      <protection locked="0" hidden="0"/>
    </xf>
    <xf numFmtId="0" fontId="29" fillId="5" borderId="13" applyAlignment="1" pivotButton="0" quotePrefix="0" xfId="100">
      <alignment horizontal="center" vertical="center"/>
    </xf>
    <xf numFmtId="0" fontId="31" fillId="5" borderId="21" applyAlignment="1" pivotButton="0" quotePrefix="0" xfId="0">
      <alignment horizontal="center" vertical="center" wrapText="1"/>
    </xf>
    <xf numFmtId="0" fontId="31" fillId="5" borderId="5" applyAlignment="1" pivotButton="0" quotePrefix="0" xfId="0">
      <alignment horizontal="center" vertical="center" wrapText="1"/>
    </xf>
    <xf numFmtId="0" fontId="31" fillId="5" borderId="2" applyAlignment="1" pivotButton="0" quotePrefix="0" xfId="100">
      <alignment horizontal="center" vertical="center"/>
    </xf>
    <xf numFmtId="0" fontId="31" fillId="5" borderId="5" applyAlignment="1" pivotButton="0" quotePrefix="0" xfId="100">
      <alignment horizontal="center" vertical="center"/>
    </xf>
    <xf numFmtId="0" fontId="31" fillId="5" borderId="14" applyAlignment="1" pivotButton="0" quotePrefix="0" xfId="0">
      <alignment horizontal="center" vertical="center" wrapText="1"/>
    </xf>
    <xf numFmtId="0" fontId="31" fillId="5" borderId="7" applyAlignment="1" pivotButton="0" quotePrefix="0" xfId="0">
      <alignment horizontal="center" vertical="center" wrapText="1"/>
    </xf>
    <xf numFmtId="0" fontId="5" fillId="0" borderId="33" applyAlignment="1" applyProtection="1" pivotButton="0" quotePrefix="0" xfId="0">
      <alignment horizontal="left" vertical="center" wrapText="1"/>
      <protection locked="0" hidden="0"/>
    </xf>
    <xf numFmtId="0" fontId="5" fillId="0" borderId="0" applyAlignment="1" applyProtection="1" pivotButton="0" quotePrefix="0" xfId="0">
      <alignment horizontal="left" vertical="center" wrapText="1"/>
      <protection locked="0" hidden="0"/>
    </xf>
    <xf numFmtId="0" fontId="5" fillId="0" borderId="41" applyAlignment="1" applyProtection="1" pivotButton="0" quotePrefix="0" xfId="0">
      <alignment horizontal="left" vertical="center" wrapText="1"/>
      <protection locked="0" hidden="0"/>
    </xf>
    <xf numFmtId="0" fontId="6" fillId="0" borderId="42" applyAlignment="1" applyProtection="1" pivotButton="0" quotePrefix="0" xfId="0">
      <alignment horizontal="left" vertical="center" wrapText="1"/>
      <protection locked="0" hidden="0"/>
    </xf>
    <xf numFmtId="0" fontId="5" fillId="0" borderId="43" applyAlignment="1" applyProtection="1" pivotButton="0" quotePrefix="0" xfId="0">
      <alignment horizontal="left" vertical="center" wrapText="1"/>
      <protection locked="0" hidden="0"/>
    </xf>
    <xf numFmtId="0" fontId="5" fillId="0" borderId="44" applyAlignment="1" applyProtection="1" pivotButton="0" quotePrefix="0" xfId="0">
      <alignment horizontal="left" vertical="center" wrapText="1"/>
      <protection locked="0" hidden="0"/>
    </xf>
    <xf numFmtId="0" fontId="6" fillId="0" borderId="33" applyAlignment="1" applyProtection="1" pivotButton="0" quotePrefix="0" xfId="0">
      <alignment horizontal="left" vertical="center"/>
      <protection locked="0" hidden="0"/>
    </xf>
    <xf numFmtId="0" fontId="6" fillId="0" borderId="0" applyAlignment="1" applyProtection="1" pivotButton="0" quotePrefix="0" xfId="0">
      <alignment horizontal="left" vertical="center"/>
      <protection locked="0" hidden="0"/>
    </xf>
    <xf numFmtId="0" fontId="6" fillId="0" borderId="41" applyAlignment="1" applyProtection="1" pivotButton="0" quotePrefix="0" xfId="0">
      <alignment horizontal="left" vertical="center"/>
      <protection locked="0" hidden="0"/>
    </xf>
    <xf numFmtId="0" fontId="31" fillId="5" borderId="45" applyAlignment="1" pivotButton="0" quotePrefix="0" xfId="100">
      <alignment horizontal="center" vertical="center"/>
    </xf>
    <xf numFmtId="0" fontId="31" fillId="5" borderId="48" applyAlignment="1" pivotButton="0" quotePrefix="0" xfId="100">
      <alignment horizontal="center" vertical="center"/>
    </xf>
    <xf numFmtId="0" fontId="31" fillId="5" borderId="46" applyAlignment="1" pivotButton="0" quotePrefix="0" xfId="100">
      <alignment horizontal="center" vertical="center"/>
    </xf>
    <xf numFmtId="0" fontId="6" fillId="0" borderId="0" applyAlignment="1" pivotButton="0" quotePrefix="0" xfId="0">
      <alignment horizontal="left" vertical="center" wrapText="1"/>
    </xf>
    <xf numFmtId="0" fontId="84" fillId="0" borderId="16" applyAlignment="1" pivotButton="0" quotePrefix="0" xfId="0">
      <alignment horizontal="left" vertical="center" wrapText="1" shrinkToFit="1"/>
    </xf>
    <xf numFmtId="0" fontId="84" fillId="0" borderId="17" applyAlignment="1" pivotButton="0" quotePrefix="0" xfId="0">
      <alignment horizontal="left" vertical="center" wrapText="1" shrinkToFit="1"/>
    </xf>
    <xf numFmtId="0" fontId="84" fillId="0" borderId="20" applyAlignment="1" pivotButton="0" quotePrefix="0" xfId="0">
      <alignment horizontal="left" vertical="center" wrapText="1" shrinkToFit="1"/>
    </xf>
    <xf numFmtId="0" fontId="84" fillId="0" borderId="19" applyAlignment="1" pivotButton="0" quotePrefix="0" xfId="0">
      <alignment horizontal="left" vertical="center" wrapText="1" shrinkToFit="1"/>
    </xf>
    <xf numFmtId="0" fontId="84" fillId="0" borderId="0" applyAlignment="1" pivotButton="0" quotePrefix="0" xfId="0">
      <alignment horizontal="left" vertical="center" wrapText="1" shrinkToFit="1"/>
    </xf>
    <xf numFmtId="0" fontId="84" fillId="0" borderId="18" applyAlignment="1" pivotButton="0" quotePrefix="0" xfId="0">
      <alignment horizontal="left" vertical="center" wrapText="1" shrinkToFit="1"/>
    </xf>
    <xf numFmtId="0" fontId="84" fillId="0" borderId="14" applyAlignment="1" pivotButton="0" quotePrefix="0" xfId="0">
      <alignment horizontal="left" vertical="center" wrapText="1" shrinkToFit="1"/>
    </xf>
    <xf numFmtId="0" fontId="84" fillId="0" borderId="1" applyAlignment="1" pivotButton="0" quotePrefix="0" xfId="0">
      <alignment horizontal="left" vertical="center" wrapText="1" shrinkToFit="1"/>
    </xf>
    <xf numFmtId="0" fontId="84" fillId="0" borderId="21" applyAlignment="1" pivotButton="0" quotePrefix="0" xfId="0">
      <alignment horizontal="left" vertical="center" wrapText="1" shrinkToFit="1"/>
    </xf>
    <xf numFmtId="0" fontId="118" fillId="0" borderId="16" applyAlignment="1" pivotButton="0" quotePrefix="0" xfId="0">
      <alignment horizontal="left" vertical="center" wrapText="1" shrinkToFit="1"/>
    </xf>
    <xf numFmtId="0" fontId="118" fillId="0" borderId="17" applyAlignment="1" pivotButton="0" quotePrefix="0" xfId="0">
      <alignment horizontal="left" vertical="center" wrapText="1" shrinkToFit="1"/>
    </xf>
    <xf numFmtId="0" fontId="118" fillId="0" borderId="20" applyAlignment="1" pivotButton="0" quotePrefix="0" xfId="0">
      <alignment horizontal="left" vertical="center" wrapText="1" shrinkToFit="1"/>
    </xf>
    <xf numFmtId="0" fontId="118" fillId="0" borderId="19" applyAlignment="1" pivotButton="0" quotePrefix="0" xfId="0">
      <alignment horizontal="left" vertical="center" wrapText="1" shrinkToFit="1"/>
    </xf>
    <xf numFmtId="0" fontId="118" fillId="0" borderId="0" applyAlignment="1" pivotButton="0" quotePrefix="0" xfId="0">
      <alignment horizontal="left" vertical="center" wrapText="1" shrinkToFit="1"/>
    </xf>
    <xf numFmtId="0" fontId="118" fillId="0" borderId="18" applyAlignment="1" pivotButton="0" quotePrefix="0" xfId="0">
      <alignment horizontal="left" vertical="center" wrapText="1" shrinkToFit="1"/>
    </xf>
    <xf numFmtId="0" fontId="118" fillId="0" borderId="14" applyAlignment="1" pivotButton="0" quotePrefix="0" xfId="0">
      <alignment horizontal="left" vertical="center" wrapText="1" shrinkToFit="1"/>
    </xf>
    <xf numFmtId="0" fontId="118" fillId="0" borderId="1" applyAlignment="1" pivotButton="0" quotePrefix="0" xfId="0">
      <alignment horizontal="left" vertical="center" wrapText="1" shrinkToFit="1"/>
    </xf>
    <xf numFmtId="0" fontId="118" fillId="0" borderId="21" applyAlignment="1" pivotButton="0" quotePrefix="0" xfId="0">
      <alignment horizontal="left" vertical="center" wrapText="1" shrinkToFit="1"/>
    </xf>
    <xf numFmtId="0" fontId="73" fillId="5" borderId="60" applyAlignment="1" pivotButton="0" quotePrefix="0" xfId="0">
      <alignment horizontal="center" vertical="center" wrapText="1"/>
    </xf>
    <xf numFmtId="0" fontId="73" fillId="5" borderId="26" applyAlignment="1" pivotButton="0" quotePrefix="0" xfId="0">
      <alignment horizontal="center" vertical="center" wrapText="1"/>
    </xf>
    <xf numFmtId="0" fontId="73" fillId="5" borderId="27" applyAlignment="1" pivotButton="0" quotePrefix="0" xfId="0">
      <alignment horizontal="center" vertical="center" wrapText="1"/>
    </xf>
    <xf numFmtId="0" fontId="73" fillId="5" borderId="25" applyAlignment="1" pivotButton="0" quotePrefix="0" xfId="0">
      <alignment horizontal="center" vertical="center" wrapText="1"/>
    </xf>
    <xf numFmtId="0" fontId="69" fillId="5" borderId="27" applyAlignment="1" pivotButton="0" quotePrefix="0" xfId="0">
      <alignment horizontal="center" vertical="center" wrapText="1"/>
    </xf>
    <xf numFmtId="0" fontId="74" fillId="5" borderId="7" applyAlignment="1" pivotButton="0" quotePrefix="0" xfId="0">
      <alignment horizontal="center" vertical="center"/>
    </xf>
    <xf numFmtId="0" fontId="74" fillId="5" borderId="8" applyAlignment="1" pivotButton="0" quotePrefix="0" xfId="0">
      <alignment horizontal="center" vertical="center"/>
    </xf>
    <xf numFmtId="0" fontId="74" fillId="5" borderId="4" applyAlignment="1" pivotButton="0" quotePrefix="0" xfId="0">
      <alignment horizontal="center" vertical="center"/>
    </xf>
    <xf numFmtId="14" fontId="88" fillId="5" borderId="7" applyAlignment="1" applyProtection="1" pivotButton="0" quotePrefix="0" xfId="0">
      <alignment horizontal="center" vertical="center"/>
      <protection locked="0" hidden="0"/>
    </xf>
    <xf numFmtId="14" fontId="88" fillId="5" borderId="8" applyAlignment="1" applyProtection="1" pivotButton="0" quotePrefix="0" xfId="0">
      <alignment horizontal="center" vertical="center"/>
      <protection locked="0" hidden="0"/>
    </xf>
    <xf numFmtId="14" fontId="88" fillId="5" borderId="51" applyAlignment="1" applyProtection="1" pivotButton="0" quotePrefix="0" xfId="0">
      <alignment horizontal="center" vertical="center"/>
      <protection locked="0" hidden="0"/>
    </xf>
    <xf numFmtId="0" fontId="69" fillId="5" borderId="15" applyAlignment="1" pivotButton="0" quotePrefix="0" xfId="0">
      <alignment horizontal="center" vertical="center" wrapText="1"/>
    </xf>
    <xf numFmtId="0" fontId="69" fillId="5" borderId="59" applyAlignment="1" pivotButton="0" quotePrefix="0" xfId="0">
      <alignment horizontal="center" vertical="center" wrapText="1"/>
    </xf>
    <xf numFmtId="0" fontId="63" fillId="0" borderId="7" applyAlignment="1" applyProtection="1" pivotButton="0" quotePrefix="0" xfId="0">
      <alignment horizontal="left" vertical="center" wrapText="1"/>
      <protection locked="0" hidden="0"/>
    </xf>
    <xf numFmtId="0" fontId="63" fillId="0" borderId="8" applyAlignment="1" applyProtection="1" pivotButton="0" quotePrefix="0" xfId="0">
      <alignment horizontal="left" vertical="center" wrapText="1"/>
      <protection locked="0" hidden="0"/>
    </xf>
    <xf numFmtId="0" fontId="63" fillId="0" borderId="4" applyAlignment="1" applyProtection="1" pivotButton="0" quotePrefix="0" xfId="0">
      <alignment horizontal="left" vertical="center" wrapText="1"/>
      <protection locked="0" hidden="0"/>
    </xf>
    <xf numFmtId="0" fontId="67" fillId="0" borderId="7" applyAlignment="1" pivotButton="0" quotePrefix="0" xfId="164">
      <alignment horizontal="left" vertical="center"/>
    </xf>
    <xf numFmtId="0" fontId="67" fillId="0" borderId="8" applyAlignment="1" pivotButton="0" quotePrefix="0" xfId="164">
      <alignment horizontal="left" vertical="center"/>
    </xf>
    <xf numFmtId="0" fontId="67" fillId="0" borderId="4" applyAlignment="1" pivotButton="0" quotePrefix="0" xfId="164">
      <alignment horizontal="left" vertical="center"/>
    </xf>
    <xf numFmtId="0" fontId="0" fillId="0" borderId="0" pivotButton="0" quotePrefix="0" xfId="0"/>
    <xf numFmtId="0" fontId="0" fillId="0" borderId="29" pivotButton="0" quotePrefix="0" xfId="0"/>
    <xf numFmtId="0" fontId="0" fillId="0" borderId="62" pivotButton="0" quotePrefix="0" xfId="0"/>
    <xf numFmtId="0" fontId="0" fillId="0" borderId="32" pivotButton="0" quotePrefix="0" xfId="0"/>
    <xf numFmtId="0" fontId="41" fillId="13" borderId="65" applyAlignment="1" pivotButton="0" quotePrefix="0" xfId="171">
      <alignment horizontal="left" vertical="center" wrapText="1" indent="16"/>
    </xf>
    <xf numFmtId="0" fontId="0" fillId="0" borderId="41" pivotButton="0" quotePrefix="0" xfId="0"/>
    <xf numFmtId="171" fontId="97" fillId="13" borderId="12" applyAlignment="1" applyProtection="1" pivotButton="0" quotePrefix="0" xfId="161">
      <alignment horizontal="right" vertical="center"/>
      <protection locked="0" hidden="0"/>
    </xf>
    <xf numFmtId="0" fontId="0" fillId="0" borderId="19" pivotButton="0" quotePrefix="0" xfId="0"/>
    <xf numFmtId="171" fontId="97" fillId="13" borderId="12" applyAlignment="1" pivotButton="0" quotePrefix="0" xfId="173">
      <alignment horizontal="right" vertical="center" shrinkToFit="1"/>
    </xf>
    <xf numFmtId="166" fontId="97" fillId="13" borderId="12" applyAlignment="1" pivotButton="0" quotePrefix="0" xfId="173">
      <alignment horizontal="right" vertical="center" shrinkToFit="1"/>
    </xf>
    <xf numFmtId="0" fontId="0" fillId="0" borderId="14" pivotButton="0" quotePrefix="0" xfId="0"/>
    <xf numFmtId="0" fontId="0" fillId="0" borderId="1" pivotButton="0" quotePrefix="0" xfId="0"/>
    <xf numFmtId="0" fontId="0" fillId="0" borderId="58" pivotButton="0" quotePrefix="0" xfId="0"/>
    <xf numFmtId="0" fontId="31" fillId="16" borderId="5" applyAlignment="1" pivotButton="0" quotePrefix="0" xfId="0">
      <alignment horizontal="center" vertical="center"/>
    </xf>
    <xf numFmtId="0" fontId="0" fillId="0" borderId="8" pivotButton="0" quotePrefix="0" xfId="0"/>
    <xf numFmtId="0" fontId="0" fillId="0" borderId="4" pivotButton="0" quotePrefix="0" xfId="0"/>
    <xf numFmtId="165" fontId="4" fillId="2" borderId="7" applyAlignment="1" applyProtection="1" pivotButton="0" quotePrefix="0" xfId="173">
      <alignment horizontal="right" vertical="center"/>
      <protection locked="0" hidden="0"/>
    </xf>
    <xf numFmtId="165" fontId="6" fillId="2" borderId="15" applyAlignment="1" applyProtection="1" pivotButton="0" quotePrefix="0" xfId="173">
      <alignment vertical="center"/>
      <protection locked="0" hidden="0"/>
    </xf>
    <xf numFmtId="165" fontId="6" fillId="2" borderId="31" applyAlignment="1" applyProtection="1" pivotButton="0" quotePrefix="0" xfId="173">
      <alignment vertical="center"/>
      <protection locked="0" hidden="0"/>
    </xf>
    <xf numFmtId="165" fontId="6" fillId="2" borderId="32" applyAlignment="1" applyProtection="1" pivotButton="0" quotePrefix="0" xfId="173">
      <alignment vertical="center"/>
      <protection locked="0" hidden="0"/>
    </xf>
    <xf numFmtId="0" fontId="5" fillId="0" borderId="13" applyAlignment="1" applyProtection="1" pivotButton="0" quotePrefix="0" xfId="171">
      <alignment horizontal="left" vertical="center" wrapText="1"/>
      <protection locked="0" hidden="0"/>
    </xf>
    <xf numFmtId="0" fontId="0" fillId="0" borderId="28" applyProtection="1" pivotButton="0" quotePrefix="0" xfId="0">
      <protection locked="0" hidden="0"/>
    </xf>
    <xf numFmtId="0" fontId="0" fillId="0" borderId="40" applyProtection="1" pivotButton="0" quotePrefix="0" xfId="0">
      <protection locked="0" hidden="0"/>
    </xf>
    <xf numFmtId="0" fontId="0" fillId="0" borderId="33" applyProtection="1" pivotButton="0" quotePrefix="0" xfId="0">
      <protection locked="0" hidden="0"/>
    </xf>
    <xf numFmtId="0" fontId="0" fillId="0" borderId="0" applyProtection="1" pivotButton="0" quotePrefix="0" xfId="0">
      <protection locked="0" hidden="0"/>
    </xf>
    <xf numFmtId="0" fontId="0" fillId="0" borderId="41" applyProtection="1" pivotButton="0" quotePrefix="0" xfId="0">
      <protection locked="0" hidden="0"/>
    </xf>
    <xf numFmtId="0" fontId="0" fillId="0" borderId="42" applyProtection="1" pivotButton="0" quotePrefix="0" xfId="0">
      <protection locked="0" hidden="0"/>
    </xf>
    <xf numFmtId="0" fontId="0" fillId="0" borderId="43" applyProtection="1" pivotButton="0" quotePrefix="0" xfId="0">
      <protection locked="0" hidden="0"/>
    </xf>
    <xf numFmtId="0" fontId="0" fillId="0" borderId="44" applyProtection="1" pivotButton="0" quotePrefix="0" xfId="0">
      <protection locked="0" hidden="0"/>
    </xf>
    <xf numFmtId="165" fontId="5" fillId="0" borderId="0" applyAlignment="1" applyProtection="1" pivotButton="0" quotePrefix="0" xfId="173">
      <alignment vertical="center" wrapText="1"/>
      <protection locked="0" hidden="0"/>
    </xf>
    <xf numFmtId="165" fontId="5" fillId="2" borderId="5" applyAlignment="1" applyProtection="1" pivotButton="0" quotePrefix="0" xfId="173">
      <alignment horizontal="right" vertical="center" wrapText="1"/>
      <protection locked="0" hidden="0"/>
    </xf>
    <xf numFmtId="0" fontId="31" fillId="5" borderId="36" applyAlignment="1" pivotButton="0" quotePrefix="0" xfId="0">
      <alignment horizontal="center" vertical="center" wrapText="1"/>
    </xf>
    <xf numFmtId="171" fontId="31" fillId="5" borderId="63" applyAlignment="1" applyProtection="1" pivotButton="0" quotePrefix="0" xfId="0">
      <alignment horizontal="center" vertical="center"/>
      <protection locked="0" hidden="0"/>
    </xf>
    <xf numFmtId="0" fontId="0" fillId="0" borderId="65" pivotButton="0" quotePrefix="0" xfId="0"/>
    <xf numFmtId="43" fontId="5" fillId="0" borderId="0" applyAlignment="1" pivotButton="0" quotePrefix="0" xfId="173">
      <alignment horizontal="right" vertical="center" shrinkToFit="1"/>
    </xf>
    <xf numFmtId="43" fontId="5" fillId="0" borderId="0" applyAlignment="1" pivotButton="0" quotePrefix="0" xfId="0">
      <alignment horizontal="right" vertical="center"/>
    </xf>
    <xf numFmtId="43" fontId="5" fillId="0" borderId="0" applyAlignment="1" applyProtection="1" pivotButton="0" quotePrefix="0" xfId="302">
      <alignment vertical="center"/>
      <protection locked="0" hidden="0"/>
    </xf>
    <xf numFmtId="43" fontId="6" fillId="0" borderId="0" applyAlignment="1" applyProtection="1" pivotButton="0" quotePrefix="0" xfId="302">
      <alignment vertical="center"/>
      <protection locked="0" hidden="0"/>
    </xf>
    <xf numFmtId="171" fontId="4" fillId="0" borderId="0" applyAlignment="1" pivotButton="0" quotePrefix="0" xfId="0">
      <alignment horizontal="center" vertical="center"/>
    </xf>
    <xf numFmtId="165" fontId="6" fillId="0" borderId="0" applyAlignment="1" applyProtection="1" pivotButton="0" quotePrefix="0" xfId="302">
      <alignment horizontal="right" vertical="center"/>
      <protection locked="0" hidden="0"/>
    </xf>
    <xf numFmtId="165" fontId="6" fillId="0" borderId="0" applyAlignment="1" applyProtection="1" pivotButton="0" quotePrefix="0" xfId="302">
      <alignment vertical="center"/>
      <protection locked="0" hidden="0"/>
    </xf>
    <xf numFmtId="0" fontId="111" fillId="0" borderId="0" applyAlignment="1" applyProtection="1" pivotButton="0" quotePrefix="0" xfId="171">
      <alignment horizontal="left" vertical="center"/>
      <protection locked="0" hidden="0"/>
    </xf>
    <xf numFmtId="0" fontId="111" fillId="0" borderId="0" applyAlignment="1" applyProtection="1" pivotButton="0" quotePrefix="0" xfId="301">
      <alignment horizontal="left" vertical="center"/>
      <protection locked="0" hidden="0"/>
    </xf>
    <xf numFmtId="0" fontId="113" fillId="0" borderId="0" applyAlignment="1" applyProtection="1" pivotButton="0" quotePrefix="0" xfId="301">
      <alignment horizontal="right" vertical="center"/>
      <protection locked="0" hidden="0"/>
    </xf>
    <xf numFmtId="165" fontId="111" fillId="0" borderId="0" applyAlignment="1" applyProtection="1" pivotButton="0" quotePrefix="0" xfId="302">
      <alignment horizontal="right" vertical="center"/>
      <protection locked="0" hidden="0"/>
    </xf>
    <xf numFmtId="165" fontId="111" fillId="0" borderId="0" applyAlignment="1" applyProtection="1" pivotButton="0" quotePrefix="0" xfId="302">
      <alignment vertical="center"/>
      <protection locked="0" hidden="0"/>
    </xf>
    <xf numFmtId="10" fontId="111" fillId="0" borderId="0" applyAlignment="1" applyProtection="1" pivotButton="0" quotePrefix="0" xfId="5">
      <alignment horizontal="center"/>
      <protection locked="0" hidden="0"/>
    </xf>
    <xf numFmtId="9" fontId="111" fillId="0" borderId="0" applyAlignment="1" applyProtection="1" pivotButton="0" quotePrefix="0" xfId="301">
      <alignment horizontal="center" vertical="center"/>
      <protection locked="0" hidden="0"/>
    </xf>
    <xf numFmtId="43" fontId="35" fillId="0" borderId="9" applyAlignment="1" applyProtection="1" pivotButton="0" quotePrefix="0" xfId="302">
      <alignment horizontal="right" vertical="center"/>
      <protection locked="0" hidden="0"/>
    </xf>
    <xf numFmtId="43" fontId="34" fillId="0" borderId="0" applyAlignment="1" pivotButton="0" quotePrefix="0" xfId="100">
      <alignment horizontal="center" vertical="center" shrinkToFit="1"/>
    </xf>
    <xf numFmtId="43" fontId="5" fillId="0" borderId="0" applyAlignment="1" pivotButton="0" quotePrefix="0" xfId="56">
      <alignment horizontal="right" vertical="center" shrinkToFit="1"/>
    </xf>
    <xf numFmtId="43" fontId="6" fillId="0" borderId="0" applyAlignment="1" pivotButton="0" quotePrefix="0" xfId="33">
      <alignment horizontal="right" vertical="center" shrinkToFit="1"/>
    </xf>
    <xf numFmtId="167" fontId="31" fillId="0" borderId="0" applyAlignment="1" pivotButton="0" quotePrefix="0" xfId="81">
      <alignment vertical="center" wrapText="1"/>
    </xf>
    <xf numFmtId="0" fontId="43" fillId="0" borderId="5" applyAlignment="1" pivotButton="0" quotePrefix="0" xfId="2">
      <alignment horizontal="left" vertical="center" wrapText="1" shrinkToFit="1"/>
    </xf>
    <xf numFmtId="0" fontId="0" fillId="0" borderId="17" pivotButton="0" quotePrefix="0" xfId="0"/>
    <xf numFmtId="0" fontId="0" fillId="0" borderId="20" pivotButton="0" quotePrefix="0" xfId="0"/>
    <xf numFmtId="0" fontId="0" fillId="0" borderId="18" pivotButton="0" quotePrefix="0" xfId="0"/>
    <xf numFmtId="0" fontId="0" fillId="0" borderId="21" pivotButton="0" quotePrefix="0" xfId="0"/>
    <xf numFmtId="0" fontId="58" fillId="0" borderId="13" applyAlignment="1" pivotButton="0" quotePrefix="0" xfId="0">
      <alignment horizontal="left" vertical="center" wrapText="1"/>
    </xf>
    <xf numFmtId="0" fontId="0" fillId="0" borderId="28" pivotButton="0" quotePrefix="0" xfId="0"/>
    <xf numFmtId="0" fontId="0" fillId="0" borderId="40" pivotButton="0" quotePrefix="0" xfId="0"/>
    <xf numFmtId="0" fontId="0" fillId="0" borderId="33" pivotButton="0" quotePrefix="0" xfId="0"/>
    <xf numFmtId="0" fontId="0" fillId="0" borderId="42" pivotButton="0" quotePrefix="0" xfId="0"/>
    <xf numFmtId="0" fontId="0" fillId="0" borderId="43" pivotButton="0" quotePrefix="0" xfId="0"/>
    <xf numFmtId="0" fontId="0" fillId="0" borderId="44" pivotButton="0" quotePrefix="0" xfId="0"/>
    <xf numFmtId="41" fontId="30" fillId="2" borderId="0" applyAlignment="1" pivotButton="0" quotePrefix="0" xfId="0">
      <alignment vertical="center"/>
    </xf>
    <xf numFmtId="43" fontId="95" fillId="0" borderId="0" applyAlignment="1" pivotButton="0" quotePrefix="0" xfId="80">
      <alignment horizontal="left" shrinkToFit="1"/>
    </xf>
    <xf numFmtId="43" fontId="100" fillId="0" borderId="0" applyAlignment="1" pivotButton="0" quotePrefix="0" xfId="105">
      <alignment horizontal="center" shrinkToFit="1"/>
    </xf>
    <xf numFmtId="43" fontId="31" fillId="0" borderId="33" applyAlignment="1" pivotButton="0" quotePrefix="0" xfId="105">
      <alignment vertical="top" shrinkToFit="1"/>
    </xf>
    <xf numFmtId="43" fontId="31" fillId="0" borderId="0" applyAlignment="1" pivotButton="0" quotePrefix="0" xfId="105">
      <alignment vertical="top" shrinkToFit="1"/>
    </xf>
    <xf numFmtId="43" fontId="5" fillId="0" borderId="0" applyAlignment="1" pivotButton="0" quotePrefix="0" xfId="2">
      <alignment vertical="center"/>
    </xf>
    <xf numFmtId="43" fontId="29" fillId="0" borderId="0" applyAlignment="1" pivotButton="0" quotePrefix="0" xfId="140">
      <alignment vertical="top" shrinkToFit="1"/>
    </xf>
    <xf numFmtId="43" fontId="5" fillId="0" borderId="1" applyAlignment="1" pivotButton="0" quotePrefix="0" xfId="0">
      <alignment horizontal="right" vertical="center"/>
    </xf>
    <xf numFmtId="43" fontId="5" fillId="0" borderId="0" applyAlignment="1" pivotButton="0" quotePrefix="0" xfId="0">
      <alignment horizontal="center" shrinkToFit="1"/>
    </xf>
    <xf numFmtId="165" fontId="5" fillId="0" borderId="0" pivotButton="0" quotePrefix="0" xfId="2"/>
    <xf numFmtId="43" fontId="5" fillId="0" borderId="0" applyAlignment="1" pivotButton="0" quotePrefix="0" xfId="80">
      <alignment horizontal="right" shrinkToFit="1"/>
    </xf>
    <xf numFmtId="41" fontId="5" fillId="4" borderId="0" applyAlignment="1" pivotButton="0" quotePrefix="0" xfId="0">
      <alignment vertical="center"/>
    </xf>
    <xf numFmtId="41" fontId="5" fillId="0" borderId="41" applyAlignment="1" pivotButton="0" quotePrefix="0" xfId="0">
      <alignment vertical="center"/>
    </xf>
    <xf numFmtId="0" fontId="43" fillId="0" borderId="32" applyAlignment="1" pivotButton="0" quotePrefix="0" xfId="0">
      <alignment horizontal="left" vertical="top" wrapText="1"/>
    </xf>
    <xf numFmtId="43" fontId="5" fillId="0" borderId="0" applyAlignment="1" applyProtection="1" pivotButton="0" quotePrefix="0" xfId="2">
      <alignment horizontal="left" vertical="center" shrinkToFit="1"/>
      <protection locked="0" hidden="0"/>
    </xf>
    <xf numFmtId="43" fontId="6" fillId="0" borderId="7" applyAlignment="1" applyProtection="1" pivotButton="0" quotePrefix="0" xfId="171">
      <alignment vertical="center"/>
      <protection locked="0" hidden="0"/>
    </xf>
    <xf numFmtId="0" fontId="31" fillId="5" borderId="13" applyAlignment="1" pivotButton="0" quotePrefix="0" xfId="171">
      <alignment horizontal="center" vertical="center" wrapText="1"/>
    </xf>
    <xf numFmtId="0" fontId="31" fillId="5" borderId="73" applyAlignment="1" pivotButton="0" quotePrefix="0" xfId="171">
      <alignment horizontal="center" vertical="center" wrapText="1"/>
    </xf>
    <xf numFmtId="0" fontId="31" fillId="5" borderId="74" applyAlignment="1" pivotButton="0" quotePrefix="0" xfId="171">
      <alignment horizontal="center" vertical="center"/>
    </xf>
    <xf numFmtId="0" fontId="31" fillId="5" borderId="74" applyAlignment="1" pivotButton="0" quotePrefix="0" xfId="171">
      <alignment horizontal="center" vertical="center" wrapText="1"/>
    </xf>
    <xf numFmtId="0" fontId="31" fillId="5" borderId="72" applyAlignment="1" pivotButton="0" quotePrefix="0" xfId="171">
      <alignment horizontal="center" vertical="center" wrapText="1"/>
    </xf>
    <xf numFmtId="0" fontId="31" fillId="5" borderId="70" applyAlignment="1" applyProtection="1" pivotButton="0" quotePrefix="0" xfId="171">
      <alignment horizontal="center" vertical="center"/>
      <protection locked="0" hidden="0"/>
    </xf>
    <xf numFmtId="0" fontId="0" fillId="0" borderId="27" applyProtection="1" pivotButton="0" quotePrefix="0" xfId="0">
      <protection locked="0" hidden="0"/>
    </xf>
    <xf numFmtId="0" fontId="0" fillId="0" borderId="2" pivotButton="0" quotePrefix="0" xfId="0"/>
    <xf numFmtId="43" fontId="5" fillId="0" borderId="5" applyAlignment="1" applyProtection="1" pivotButton="0" quotePrefix="0" xfId="302">
      <alignment horizontal="right" vertical="center" shrinkToFit="1"/>
      <protection locked="0" hidden="0"/>
    </xf>
    <xf numFmtId="43" fontId="31" fillId="0" borderId="4" applyAlignment="1" pivotButton="0" quotePrefix="0" xfId="0">
      <alignment horizontal="right" vertical="center" shrinkToFit="1"/>
    </xf>
    <xf numFmtId="43" fontId="5" fillId="0" borderId="4" applyAlignment="1" pivotButton="0" quotePrefix="0" xfId="0">
      <alignment horizontal="right" vertical="center" shrinkToFit="1"/>
    </xf>
    <xf numFmtId="43" fontId="5" fillId="0" borderId="24" applyAlignment="1" pivotButton="0" quotePrefix="0" xfId="0">
      <alignment horizontal="right" vertical="center" shrinkToFit="1"/>
    </xf>
    <xf numFmtId="43" fontId="35" fillId="0" borderId="9" applyAlignment="1" applyProtection="1" pivotButton="0" quotePrefix="0" xfId="171">
      <alignment horizontal="right" vertical="center" shrinkToFit="1"/>
      <protection locked="0" hidden="0"/>
    </xf>
    <xf numFmtId="165" fontId="29" fillId="0" borderId="0" applyAlignment="1" applyProtection="1" pivotButton="0" quotePrefix="0" xfId="171">
      <alignment horizontal="center" vertical="center"/>
      <protection locked="0" hidden="0"/>
    </xf>
    <xf numFmtId="165" fontId="35" fillId="0" borderId="0" applyAlignment="1" applyProtection="1" pivotButton="0" quotePrefix="0" xfId="171">
      <alignment vertical="center"/>
      <protection locked="0" hidden="0"/>
    </xf>
    <xf numFmtId="164" fontId="4" fillId="0" borderId="0" applyAlignment="1" applyProtection="1" pivotButton="0" quotePrefix="0" xfId="311">
      <alignment horizontal="center" vertical="center"/>
      <protection locked="0" hidden="0"/>
    </xf>
    <xf numFmtId="0" fontId="58" fillId="0" borderId="5" applyAlignment="1" pivotButton="0" quotePrefix="0" xfId="2">
      <alignment horizontal="left" vertical="center" wrapText="1" shrinkToFit="1"/>
    </xf>
    <xf numFmtId="0" fontId="29" fillId="5" borderId="5" applyAlignment="1" pivotButton="0" quotePrefix="0" xfId="333">
      <alignment horizontal="center" vertical="center"/>
    </xf>
    <xf numFmtId="166" fontId="6" fillId="0" borderId="5" applyAlignment="1" pivotButton="0" quotePrefix="0" xfId="334">
      <alignment vertical="center" shrinkToFit="1"/>
    </xf>
    <xf numFmtId="43" fontId="6" fillId="0" borderId="5" applyAlignment="1" pivotButton="0" quotePrefix="0" xfId="333">
      <alignment horizontal="right" vertical="center" shrinkToFit="1"/>
    </xf>
    <xf numFmtId="166" fontId="6" fillId="0" borderId="5" applyAlignment="1" pivotButton="0" quotePrefix="0" xfId="333">
      <alignment vertical="center" shrinkToFit="1"/>
    </xf>
    <xf numFmtId="0" fontId="53" fillId="11" borderId="75" applyAlignment="1" pivotButton="0" quotePrefix="0" xfId="312">
      <alignment horizontal="center" vertical="center"/>
    </xf>
    <xf numFmtId="0" fontId="0" fillId="0" borderId="23" pivotButton="0" quotePrefix="0" xfId="0"/>
    <xf numFmtId="0" fontId="0" fillId="0" borderId="24" pivotButton="0" quotePrefix="0" xfId="0"/>
    <xf numFmtId="0" fontId="113" fillId="0" borderId="0" pivotButton="0" quotePrefix="0" xfId="312"/>
    <xf numFmtId="0" fontId="121" fillId="3" borderId="83" applyAlignment="1" pivotButton="0" quotePrefix="0" xfId="0">
      <alignment horizontal="center" vertical="center" wrapText="1"/>
    </xf>
    <xf numFmtId="43" fontId="122" fillId="3" borderId="84" applyAlignment="1" applyProtection="1" pivotButton="0" quotePrefix="0" xfId="2">
      <alignment horizontal="center" vertical="center" wrapText="1"/>
      <protection locked="0" hidden="0"/>
    </xf>
    <xf numFmtId="43" fontId="123" fillId="3" borderId="84" applyAlignment="1" applyProtection="1" pivotButton="0" quotePrefix="0" xfId="2">
      <alignment horizontal="center" vertical="center" wrapText="1"/>
      <protection locked="0" hidden="0"/>
    </xf>
    <xf numFmtId="43" fontId="124" fillId="3" borderId="84" applyAlignment="1" applyProtection="1" pivotButton="0" quotePrefix="0" xfId="2">
      <alignment horizontal="center" vertical="center"/>
      <protection locked="0" hidden="0"/>
    </xf>
    <xf numFmtId="43" fontId="123" fillId="0" borderId="84" applyAlignment="1" applyProtection="1" pivotButton="0" quotePrefix="0" xfId="2">
      <alignment horizontal="center" vertical="center" wrapText="1"/>
      <protection locked="0" hidden="0"/>
    </xf>
    <xf numFmtId="43" fontId="123" fillId="3" borderId="85" applyAlignment="1" applyProtection="1" pivotButton="0" quotePrefix="0" xfId="2">
      <alignment horizontal="center" vertical="center" wrapText="1"/>
      <protection locked="0" hidden="0"/>
    </xf>
    <xf numFmtId="171" fontId="123" fillId="3" borderId="83" applyAlignment="1" applyProtection="1" pivotButton="0" quotePrefix="0" xfId="100">
      <alignment horizontal="center" vertical="center" wrapText="1"/>
      <protection locked="0" hidden="0"/>
    </xf>
    <xf numFmtId="0" fontId="0" fillId="0" borderId="86" applyProtection="1" pivotButton="0" quotePrefix="0" xfId="0">
      <protection locked="0" hidden="0"/>
    </xf>
    <xf numFmtId="0" fontId="0" fillId="0" borderId="87" applyProtection="1" pivotButton="0" quotePrefix="0" xfId="0">
      <protection locked="0" hidden="0"/>
    </xf>
    <xf numFmtId="171" fontId="123" fillId="3" borderId="88" applyProtection="1" pivotButton="0" quotePrefix="0" xfId="2">
      <protection locked="0" hidden="0"/>
    </xf>
    <xf numFmtId="43" fontId="123" fillId="0" borderId="89" applyAlignment="1" applyProtection="1" pivotButton="0" quotePrefix="0" xfId="2">
      <alignment horizontal="center" vertical="center" shrinkToFit="1"/>
      <protection locked="0" hidden="0"/>
    </xf>
    <xf numFmtId="0" fontId="0" fillId="0" borderId="89" applyProtection="1" pivotButton="0" quotePrefix="0" xfId="0">
      <protection locked="0" hidden="0"/>
    </xf>
    <xf numFmtId="43" fontId="125" fillId="19" borderId="84" applyAlignment="1" applyProtection="1" pivotButton="0" quotePrefix="0" xfId="2">
      <alignment horizontal="center" vertical="center" shrinkToFit="1"/>
      <protection locked="0" hidden="0"/>
    </xf>
    <xf numFmtId="43" fontId="126" fillId="2" borderId="84" pivotButton="0" quotePrefix="0" xfId="2"/>
    <xf numFmtId="0" fontId="0" fillId="0" borderId="86" pivotButton="0" quotePrefix="0" xfId="0"/>
    <xf numFmtId="0" fontId="0" fillId="0" borderId="87" pivotButton="0" quotePrefix="0" xfId="0"/>
    <xf numFmtId="0" fontId="0" fillId="0" borderId="90" pivotButton="0" quotePrefix="0" xfId="0"/>
    <xf numFmtId="0" fontId="0" fillId="0" borderId="2" applyProtection="1" pivotButton="0" quotePrefix="0" xfId="0">
      <protection locked="0" hidden="0"/>
    </xf>
    <xf numFmtId="0" fontId="0" fillId="0" borderId="91" applyProtection="1" pivotButton="0" quotePrefix="0" xfId="0">
      <protection locked="0" hidden="0"/>
    </xf>
    <xf numFmtId="0" fontId="122" fillId="0" borderId="3" applyAlignment="1" applyProtection="1" pivotButton="0" quotePrefix="0" xfId="100">
      <alignment horizontal="center" vertical="center" wrapText="1"/>
      <protection locked="0" hidden="0"/>
    </xf>
    <xf numFmtId="0" fontId="122" fillId="3" borderId="5" applyAlignment="1" applyProtection="1" pivotButton="0" quotePrefix="0" xfId="100">
      <alignment horizontal="center" vertical="center" wrapText="1"/>
      <protection locked="0" hidden="0"/>
    </xf>
    <xf numFmtId="43" fontId="123" fillId="19" borderId="5" applyAlignment="1" applyProtection="1" pivotButton="0" quotePrefix="0" xfId="2">
      <alignment horizontal="center" vertical="center" wrapText="1"/>
      <protection locked="0" hidden="0"/>
    </xf>
    <xf numFmtId="43" fontId="127" fillId="19" borderId="5" applyAlignment="1" applyProtection="1" pivotButton="0" quotePrefix="0" xfId="2">
      <alignment horizontal="center" vertical="center" wrapText="1"/>
      <protection locked="0" hidden="0"/>
    </xf>
    <xf numFmtId="43" fontId="122" fillId="0" borderId="92" applyAlignment="1" applyProtection="1" pivotButton="0" quotePrefix="0" xfId="2">
      <alignment horizontal="center" vertical="center" wrapText="1"/>
      <protection locked="0" hidden="0"/>
    </xf>
    <xf numFmtId="43" fontId="122" fillId="0" borderId="10" applyProtection="1" pivotButton="0" quotePrefix="0" xfId="2">
      <protection locked="0" hidden="0"/>
    </xf>
    <xf numFmtId="43" fontId="128" fillId="2" borderId="4" applyProtection="1" pivotButton="0" quotePrefix="0" xfId="2">
      <protection locked="0" hidden="0"/>
    </xf>
    <xf numFmtId="0" fontId="122" fillId="2" borderId="5" applyAlignment="1" applyProtection="1" pivotButton="0" quotePrefix="0" xfId="100">
      <alignment horizontal="center" vertical="center" wrapText="1"/>
      <protection locked="0" hidden="0"/>
    </xf>
    <xf numFmtId="43" fontId="128" fillId="3" borderId="5" pivotButton="0" quotePrefix="0" xfId="2"/>
    <xf numFmtId="43" fontId="128" fillId="0" borderId="92" pivotButton="0" quotePrefix="0" xfId="2"/>
    <xf numFmtId="0" fontId="4" fillId="0" borderId="108" pivotButton="0" quotePrefix="0" xfId="312"/>
    <xf numFmtId="0" fontId="129" fillId="0" borderId="108" pivotButton="0" quotePrefix="0" xfId="312"/>
    <xf numFmtId="49" fontId="126" fillId="0" borderId="108" applyAlignment="1" applyProtection="1" pivotButton="0" quotePrefix="0" xfId="2">
      <alignment horizontal="left" vertical="center" shrinkToFit="1"/>
      <protection locked="0" hidden="0"/>
    </xf>
    <xf numFmtId="49" fontId="126" fillId="0" borderId="108" applyAlignment="1" applyProtection="1" pivotButton="0" quotePrefix="0" xfId="2">
      <alignment vertical="center"/>
      <protection locked="0" hidden="0"/>
    </xf>
    <xf numFmtId="0" fontId="126" fillId="0" borderId="108" applyAlignment="1" pivotButton="0" quotePrefix="0" xfId="2">
      <alignment vertical="center" shrinkToFit="1"/>
    </xf>
    <xf numFmtId="49" fontId="121" fillId="0" borderId="108" applyAlignment="1" pivotButton="0" quotePrefix="0" xfId="2">
      <alignment horizontal="left" vertical="center" shrinkToFit="1"/>
    </xf>
    <xf numFmtId="43" fontId="121" fillId="0" borderId="108" applyProtection="1" pivotButton="0" quotePrefix="0" xfId="2">
      <protection locked="0" hidden="0"/>
    </xf>
    <xf numFmtId="49" fontId="121" fillId="0" borderId="108" applyAlignment="1" applyProtection="1" pivotButton="0" quotePrefix="0" xfId="2">
      <alignment horizontal="left" vertical="center" shrinkToFit="1"/>
      <protection locked="0" hidden="0"/>
    </xf>
    <xf numFmtId="43" fontId="121" fillId="0" borderId="108" applyAlignment="1" applyProtection="1" pivotButton="0" quotePrefix="0" xfId="2">
      <alignment horizontal="right" vertical="center" shrinkToFit="1"/>
      <protection locked="0" hidden="0"/>
    </xf>
    <xf numFmtId="10" fontId="121" fillId="0" borderId="108" applyAlignment="1" applyProtection="1" pivotButton="0" quotePrefix="0" xfId="2">
      <alignment horizontal="right" vertical="center" shrinkToFit="1"/>
      <protection locked="0" hidden="0"/>
    </xf>
    <xf numFmtId="43" fontId="94" fillId="0" borderId="0" pivotButton="0" quotePrefix="0" xfId="2"/>
    <xf numFmtId="0" fontId="19" fillId="0" borderId="108" pivotButton="0" quotePrefix="0" xfId="312"/>
    <xf numFmtId="43" fontId="4" fillId="0" borderId="108" pivotButton="0" quotePrefix="0" xfId="2"/>
    <xf numFmtId="43" fontId="94" fillId="0" borderId="108" pivotButton="0" quotePrefix="0" xfId="2"/>
    <xf numFmtId="0" fontId="0" fillId="0" borderId="108" pivotButton="0" quotePrefix="0" xfId="0"/>
    <xf numFmtId="0" fontId="129" fillId="0" borderId="108" applyAlignment="1" pivotButton="0" quotePrefix="0" xfId="312">
      <alignment horizontal="left"/>
    </xf>
    <xf numFmtId="0" fontId="129" fillId="0" borderId="0" pivotButton="0" quotePrefix="0" xfId="312"/>
    <xf numFmtId="173" fontId="94" fillId="0" borderId="108" pivotButton="0" quotePrefix="0" xfId="312"/>
    <xf numFmtId="0" fontId="94" fillId="0" borderId="0" pivotButton="0" quotePrefix="0" xfId="312"/>
    <xf numFmtId="0" fontId="111" fillId="0" borderId="108" applyAlignment="1" pivotButton="0" quotePrefix="0" xfId="0">
      <alignment vertical="center"/>
    </xf>
    <xf numFmtId="0" fontId="111" fillId="20" borderId="98" applyAlignment="1" pivotButton="0" quotePrefix="0" xfId="0">
      <alignment horizontal="center" vertical="center"/>
    </xf>
    <xf numFmtId="171" fontId="111" fillId="20" borderId="99" applyAlignment="1" pivotButton="0" quotePrefix="0" xfId="0">
      <alignment horizontal="center" vertical="center"/>
    </xf>
    <xf numFmtId="174" fontId="113" fillId="20" borderId="99" applyAlignment="1" pivotButton="0" quotePrefix="0" xfId="0">
      <alignment horizontal="center" vertical="center"/>
    </xf>
    <xf numFmtId="175" fontId="113" fillId="20" borderId="100" applyAlignment="1" pivotButton="0" quotePrefix="0" xfId="0">
      <alignment horizontal="center" vertical="center"/>
    </xf>
    <xf numFmtId="0" fontId="30" fillId="0" borderId="101" applyAlignment="1" pivotButton="0" quotePrefix="0" xfId="0">
      <alignment vertical="center"/>
    </xf>
    <xf numFmtId="10" fontId="111" fillId="2" borderId="0" applyAlignment="1" pivotButton="0" quotePrefix="0" xfId="0">
      <alignment vertical="center"/>
    </xf>
    <xf numFmtId="0" fontId="130" fillId="0" borderId="108" applyAlignment="1" pivotButton="0" quotePrefix="0" xfId="67">
      <alignment horizontal="center" vertical="center"/>
    </xf>
    <xf numFmtId="0" fontId="4" fillId="0" borderId="102" applyAlignment="1" pivotButton="0" quotePrefix="0" xfId="67">
      <alignment horizontal="center" vertical="center"/>
    </xf>
    <xf numFmtId="0" fontId="30" fillId="0" borderId="108" applyAlignment="1" pivotButton="0" quotePrefix="0" xfId="0">
      <alignment vertical="center"/>
    </xf>
    <xf numFmtId="0" fontId="111" fillId="2" borderId="108" applyAlignment="1" pivotButton="0" quotePrefix="0" xfId="0">
      <alignment vertical="center"/>
    </xf>
    <xf numFmtId="10" fontId="111" fillId="2" borderId="108" applyAlignment="1" pivotButton="0" quotePrefix="0" xfId="0">
      <alignment vertical="center"/>
    </xf>
    <xf numFmtId="43" fontId="113" fillId="2" borderId="108" applyAlignment="1" pivotButton="0" quotePrefix="0" xfId="105">
      <alignment horizontal="center" vertical="center"/>
    </xf>
    <xf numFmtId="43" fontId="111" fillId="0" borderId="106" applyAlignment="1" pivotButton="0" quotePrefix="0" xfId="2">
      <alignment vertical="center"/>
    </xf>
    <xf numFmtId="0" fontId="0" fillId="21" borderId="108" pivotButton="0" quotePrefix="0" xfId="0"/>
    <xf numFmtId="0" fontId="94" fillId="21" borderId="0" pivotButton="0" quotePrefix="0" xfId="312"/>
    <xf numFmtId="0" fontId="66" fillId="21" borderId="98" applyAlignment="1" pivotButton="0" quotePrefix="0" xfId="0">
      <alignment horizontal="center" vertical="center"/>
    </xf>
    <xf numFmtId="0" fontId="66" fillId="21" borderId="99" applyAlignment="1" pivotButton="0" quotePrefix="0" xfId="0">
      <alignment horizontal="center" vertical="center"/>
    </xf>
    <xf numFmtId="0" fontId="66" fillId="21" borderId="108" applyAlignment="1" pivotButton="0" quotePrefix="0" xfId="0">
      <alignment horizontal="center" vertical="center"/>
    </xf>
    <xf numFmtId="0" fontId="118" fillId="21" borderId="101" applyAlignment="1" pivotButton="0" quotePrefix="0" xfId="0">
      <alignment vertical="center" wrapText="1" shrinkToFit="1"/>
    </xf>
    <xf numFmtId="43" fontId="118" fillId="21" borderId="0" pivotButton="0" quotePrefix="0" xfId="2"/>
    <xf numFmtId="9" fontId="118" fillId="21" borderId="0" applyAlignment="1" pivotButton="0" quotePrefix="0" xfId="5">
      <alignment vertical="center" wrapText="1" shrinkToFit="1"/>
    </xf>
    <xf numFmtId="0" fontId="129" fillId="21" borderId="102" pivotButton="0" quotePrefix="0" xfId="312"/>
    <xf numFmtId="0" fontId="94" fillId="0" borderId="108" pivotButton="0" quotePrefix="0" xfId="312"/>
    <xf numFmtId="0" fontId="131" fillId="0" borderId="108" pivotButton="0" quotePrefix="0" xfId="312"/>
    <xf numFmtId="43" fontId="118" fillId="0" borderId="108" pivotButton="0" quotePrefix="0" xfId="2"/>
    <xf numFmtId="0" fontId="129" fillId="21" borderId="107" applyAlignment="1" pivotButton="0" quotePrefix="0" xfId="312">
      <alignment horizontal="left" vertical="top" wrapText="1"/>
    </xf>
    <xf numFmtId="0" fontId="129" fillId="21" borderId="101" pivotButton="0" quotePrefix="0" xfId="312"/>
    <xf numFmtId="43" fontId="94" fillId="21" borderId="108" pivotButton="0" quotePrefix="0" xfId="2"/>
    <xf numFmtId="43" fontId="118" fillId="21" borderId="108" pivotButton="0" quotePrefix="0" xfId="2"/>
    <xf numFmtId="0" fontId="94" fillId="21" borderId="108" pivotButton="0" quotePrefix="0" xfId="312"/>
    <xf numFmtId="0" fontId="129" fillId="21" borderId="0" pivotButton="0" quotePrefix="0" xfId="312"/>
    <xf numFmtId="171" fontId="129" fillId="21" borderId="0" pivotButton="0" quotePrefix="0" xfId="2"/>
    <xf numFmtId="43" fontId="129" fillId="21" borderId="0" applyAlignment="1" pivotButton="0" quotePrefix="0" xfId="2">
      <alignment horizontal="right"/>
    </xf>
    <xf numFmtId="43" fontId="129" fillId="21" borderId="0" pivotButton="0" quotePrefix="0" xfId="2"/>
    <xf numFmtId="0" fontId="31" fillId="5" borderId="13" applyAlignment="1" applyProtection="1" pivotButton="0" quotePrefix="0" xfId="0">
      <alignment horizontal="left" vertical="center"/>
      <protection locked="0" hidden="0"/>
    </xf>
    <xf numFmtId="0" fontId="0" fillId="0" borderId="29" applyProtection="1" pivotButton="0" quotePrefix="0" xfId="0">
      <protection locked="0" hidden="0"/>
    </xf>
    <xf numFmtId="0" fontId="0" fillId="0" borderId="62" applyProtection="1" pivotButton="0" quotePrefix="0" xfId="0">
      <protection locked="0" hidden="0"/>
    </xf>
    <xf numFmtId="43" fontId="6" fillId="0" borderId="0" applyAlignment="1" pivotButton="0" quotePrefix="0" xfId="2">
      <alignment horizontal="left" vertical="top" wrapText="1"/>
    </xf>
    <xf numFmtId="0" fontId="5" fillId="0" borderId="31" applyAlignment="1" applyProtection="1" pivotButton="0" quotePrefix="0" xfId="0">
      <alignment horizontal="left" vertical="center" wrapText="1"/>
      <protection locked="0" hidden="0"/>
    </xf>
    <xf numFmtId="0" fontId="6" fillId="0" borderId="31" applyAlignment="1" applyProtection="1" pivotButton="0" quotePrefix="0" xfId="0">
      <alignment horizontal="left" vertical="center"/>
      <protection locked="0" hidden="0"/>
    </xf>
    <xf numFmtId="0" fontId="6" fillId="0" borderId="32" applyAlignment="1" applyProtection="1" pivotButton="0" quotePrefix="0" xfId="0">
      <alignment horizontal="left" vertical="center" wrapText="1"/>
      <protection locked="0" hidden="0"/>
    </xf>
    <xf numFmtId="43" fontId="6" fillId="5" borderId="43" applyAlignment="1" pivotButton="0" quotePrefix="0" xfId="2">
      <alignment horizontal="left" vertical="top" wrapText="1"/>
    </xf>
    <xf numFmtId="43" fontId="6" fillId="0" borderId="17" applyAlignment="1" pivotButton="0" quotePrefix="0" xfId="0">
      <alignment horizontal="right"/>
    </xf>
    <xf numFmtId="0" fontId="31" fillId="5" borderId="78" applyAlignment="1" pivotButton="0" quotePrefix="0" xfId="100">
      <alignment horizontal="center" vertical="center"/>
    </xf>
    <xf numFmtId="0" fontId="31" fillId="5" borderId="72" applyAlignment="1" pivotButton="0" quotePrefix="0" xfId="100">
      <alignment horizontal="center" vertical="center"/>
    </xf>
    <xf numFmtId="43" fontId="6" fillId="0" borderId="0" applyAlignment="1" pivotButton="0" quotePrefix="0" xfId="2">
      <alignment horizontal="center" vertical="center" wrapText="1"/>
    </xf>
    <xf numFmtId="0" fontId="0" fillId="0" borderId="48" pivotButton="0" quotePrefix="0" xfId="0"/>
    <xf numFmtId="43" fontId="6" fillId="0" borderId="5" applyAlignment="1" pivotButton="0" quotePrefix="0" xfId="0">
      <alignment horizontal="right" vertical="center"/>
    </xf>
    <xf numFmtId="166" fontId="6" fillId="0" borderId="7" applyAlignment="1" pivotButton="0" quotePrefix="0" xfId="0">
      <alignment horizontal="right" vertical="center"/>
    </xf>
    <xf numFmtId="43" fontId="6" fillId="0" borderId="0" applyAlignment="1" pivotButton="0" quotePrefix="0" xfId="2">
      <alignment horizontal="left" vertical="center" wrapText="1"/>
    </xf>
    <xf numFmtId="43" fontId="6" fillId="0" borderId="30" applyAlignment="1" pivotButton="0" quotePrefix="0" xfId="0">
      <alignment horizontal="right" vertical="center"/>
    </xf>
    <xf numFmtId="41" fontId="5" fillId="0" borderId="0" applyAlignment="1" pivotButton="0" quotePrefix="0" xfId="0">
      <alignment vertical="center"/>
    </xf>
    <xf numFmtId="41" fontId="31" fillId="0" borderId="0" applyAlignment="1" pivotButton="0" quotePrefix="0" xfId="0">
      <alignment vertical="center"/>
    </xf>
    <xf numFmtId="0" fontId="7" fillId="16" borderId="36" applyAlignment="1" pivotButton="0" quotePrefix="0" xfId="0">
      <alignment horizontal="center" vertical="center" wrapText="1"/>
    </xf>
    <xf numFmtId="0" fontId="0" fillId="0" borderId="51" pivotButton="0" quotePrefix="0" xfId="0"/>
    <xf numFmtId="0" fontId="35" fillId="5" borderId="62" applyAlignment="1" pivotButton="0" quotePrefix="0" xfId="0">
      <alignment horizontal="center" vertical="center" wrapText="1"/>
    </xf>
    <xf numFmtId="0" fontId="35" fillId="5" borderId="13" applyAlignment="1" pivotButton="0" quotePrefix="0" xfId="0">
      <alignment horizontal="center" vertical="center" wrapText="1"/>
    </xf>
    <xf numFmtId="166" fontId="6" fillId="0" borderId="5" applyAlignment="1" pivotButton="0" quotePrefix="0" xfId="0">
      <alignment horizontal="left" vertical="center"/>
    </xf>
    <xf numFmtId="166" fontId="6" fillId="0" borderId="30" applyAlignment="1" pivotButton="0" quotePrefix="0" xfId="0">
      <alignment horizontal="left" vertical="center"/>
    </xf>
    <xf numFmtId="43" fontId="6" fillId="0" borderId="30" applyAlignment="1" pivotButton="0" quotePrefix="0" xfId="0">
      <alignment horizontal="left" vertical="center"/>
    </xf>
    <xf numFmtId="0" fontId="114" fillId="0" borderId="5" applyAlignment="1" pivotButton="0" quotePrefix="0" xfId="0">
      <alignment horizontal="left" vertical="center" wrapText="1"/>
    </xf>
    <xf numFmtId="41" fontId="67" fillId="2" borderId="0" applyAlignment="1" pivotButton="0" quotePrefix="0" xfId="7">
      <alignment vertical="center"/>
    </xf>
    <xf numFmtId="0" fontId="118" fillId="0" borderId="5" applyAlignment="1" pivotButton="0" quotePrefix="0" xfId="0">
      <alignment horizontal="left" vertical="center" wrapText="1" shrinkToFit="1"/>
    </xf>
    <xf numFmtId="41" fontId="67" fillId="0" borderId="0" applyAlignment="1" pivotButton="0" quotePrefix="0" xfId="7">
      <alignment vertical="center"/>
    </xf>
    <xf numFmtId="0" fontId="63" fillId="0" borderId="5" applyAlignment="1" applyProtection="1" pivotButton="0" quotePrefix="0" xfId="0">
      <alignment horizontal="left" vertical="center" wrapText="1"/>
      <protection locked="0" hidden="0"/>
    </xf>
    <xf numFmtId="0" fontId="0" fillId="0" borderId="8" applyProtection="1" pivotButton="0" quotePrefix="0" xfId="0">
      <protection locked="0" hidden="0"/>
    </xf>
    <xf numFmtId="0" fontId="0" fillId="0" borderId="4" applyProtection="1" pivotButton="0" quotePrefix="0" xfId="0">
      <protection locked="0" hidden="0"/>
    </xf>
    <xf numFmtId="43" fontId="64" fillId="2" borderId="0" applyAlignment="1" pivotButton="0" quotePrefix="0" xfId="111">
      <alignment vertical="center"/>
    </xf>
    <xf numFmtId="0" fontId="0" fillId="0" borderId="26" pivotButton="0" quotePrefix="0" xfId="0"/>
    <xf numFmtId="0" fontId="73" fillId="5" borderId="81" applyAlignment="1" pivotButton="0" quotePrefix="0" xfId="0">
      <alignment horizontal="center" vertical="center" wrapText="1"/>
    </xf>
    <xf numFmtId="0" fontId="0" fillId="0" borderId="27" pivotButton="0" quotePrefix="0" xfId="0"/>
    <xf numFmtId="0" fontId="73" fillId="5" borderId="70" applyAlignment="1" pivotButton="0" quotePrefix="0" xfId="0">
      <alignment horizontal="center" vertical="center" wrapText="1"/>
    </xf>
    <xf numFmtId="0" fontId="69" fillId="5" borderId="82" applyAlignment="1" pivotButton="0" quotePrefix="0" xfId="0">
      <alignment horizontal="center" vertical="center" wrapText="1"/>
    </xf>
    <xf numFmtId="0" fontId="0" fillId="0" borderId="59" pivotButton="0" quotePrefix="0" xfId="0"/>
    <xf numFmtId="14" fontId="88" fillId="5" borderId="36" applyAlignment="1" applyProtection="1" pivotButton="0" quotePrefix="0" xfId="0">
      <alignment horizontal="center" vertical="center"/>
      <protection locked="0" hidden="0"/>
    </xf>
    <xf numFmtId="0" fontId="0" fillId="0" borderId="51" applyProtection="1" pivotButton="0" quotePrefix="0" xfId="0">
      <protection locked="0" hidden="0"/>
    </xf>
    <xf numFmtId="166" fontId="64" fillId="0" borderId="5" applyAlignment="1" pivotButton="0" quotePrefix="0" xfId="0">
      <alignment horizontal="right" vertical="center" wrapText="1" shrinkToFit="1"/>
    </xf>
    <xf numFmtId="43" fontId="64" fillId="0" borderId="0" applyAlignment="1" pivotButton="0" quotePrefix="0" xfId="111">
      <alignment vertical="center"/>
    </xf>
    <xf numFmtId="0" fontId="84" fillId="0" borderId="5" applyAlignment="1" pivotButton="0" quotePrefix="0" xfId="0">
      <alignment horizontal="left" vertical="center" wrapText="1" shrinkToFit="1"/>
    </xf>
  </cellXfs>
  <cellStyles count="337">
    <cellStyle name="常规" xfId="0" builtinId="0"/>
    <cellStyle name="Normal 126" xfId="1"/>
    <cellStyle name="千位分隔" xfId="2" builtinId="3"/>
    <cellStyle name="Comma [0] 3" xfId="3"/>
    <cellStyle name="Check Cell 2" xfId="4"/>
    <cellStyle name="百分比" xfId="5" builtinId="5"/>
    <cellStyle name="Comma [0] 2 3" xfId="6"/>
    <cellStyle name="Comma 2" xfId="7"/>
    <cellStyle name="Comma [0] 2" xfId="8"/>
    <cellStyle name="Comma [0] 2 2 2" xfId="9"/>
    <cellStyle name="Comma [0] 2 2 2 2" xfId="10"/>
    <cellStyle name="Comma [0] 2 2 3" xfId="11"/>
    <cellStyle name="Normal 2 3 2 2" xfId="12"/>
    <cellStyle name="Normal 125" xfId="13"/>
    <cellStyle name="千位分隔[0] 2" xfId="14"/>
    <cellStyle name="Hyperlink 2" xfId="15"/>
    <cellStyle name="Hyperlink 4" xfId="16"/>
    <cellStyle name="cellStyleNum 2" xfId="17"/>
    <cellStyle name="Normal 12 2" xfId="18"/>
    <cellStyle name="Check Cell 2 2" xfId="19"/>
    <cellStyle name="千位分隔 3" xfId="20"/>
    <cellStyle name="Comma 2 2" xfId="21"/>
    <cellStyle name="Comma [0] 2 2" xfId="22"/>
    <cellStyle name="Comma [0] 2 4" xfId="23"/>
    <cellStyle name="Normal 2 3 2 4" xfId="24"/>
    <cellStyle name="Comma 12" xfId="25"/>
    <cellStyle name="Comma 15" xfId="26"/>
    <cellStyle name="Comma 2 2 2" xfId="27"/>
    <cellStyle name="千位分隔 4" xfId="28"/>
    <cellStyle name="Comma 2 3" xfId="29"/>
    <cellStyle name="Comma 2 4" xfId="30"/>
    <cellStyle name="Comma 2_1" xfId="31"/>
    <cellStyle name="Comma 3" xfId="32"/>
    <cellStyle name="Comma 4" xfId="33"/>
    <cellStyle name="Comma 5" xfId="34"/>
    <cellStyle name="dataStyle 2" xfId="35"/>
    <cellStyle name="dataStyle 3" xfId="36"/>
    <cellStyle name="Good 2" xfId="37"/>
    <cellStyle name="Good 2 2" xfId="38"/>
    <cellStyle name="Hyperlink 2 2" xfId="39"/>
    <cellStyle name="Hyperlink 4 2" xfId="40"/>
    <cellStyle name="Normal 10" xfId="41"/>
    <cellStyle name="Normal 10 10" xfId="42"/>
    <cellStyle name="Normal 103" xfId="43"/>
    <cellStyle name="Normal 103 2" xfId="44"/>
    <cellStyle name="Normal 103 3" xfId="45"/>
    <cellStyle name="Normal 11" xfId="46"/>
    <cellStyle name="Normal 121 2" xfId="47"/>
    <cellStyle name="Normal 121 2 2" xfId="48"/>
    <cellStyle name="Normal 121 2 2 2" xfId="49"/>
    <cellStyle name="Normal 121 2 3" xfId="50"/>
    <cellStyle name="Normal 125 2" xfId="51"/>
    <cellStyle name="Normal 126 2" xfId="52"/>
    <cellStyle name="Normal 13" xfId="53"/>
    <cellStyle name="Normal 13 2" xfId="54"/>
    <cellStyle name="Normal 2 3 5" xfId="55"/>
    <cellStyle name="Normal 2" xfId="56"/>
    <cellStyle name="Normal 2 10 2" xfId="57"/>
    <cellStyle name="Normal 2 2" xfId="58"/>
    <cellStyle name="Normal 2 2 2" xfId="59"/>
    <cellStyle name="Normal 2 2 3 2" xfId="60"/>
    <cellStyle name="Normal 2 2_1" xfId="61"/>
    <cellStyle name="Normal 2 3" xfId="62"/>
    <cellStyle name="Normal 2 3 2" xfId="63"/>
    <cellStyle name="Normal 2 3 2 2 3" xfId="64"/>
    <cellStyle name="Normal 2 3 3" xfId="65"/>
    <cellStyle name="Normal 2 3 3 2" xfId="66"/>
    <cellStyle name="Normal 2 3 4" xfId="67"/>
    <cellStyle name="Normal 2 4" xfId="68"/>
    <cellStyle name="Normal 3" xfId="69"/>
    <cellStyle name="Normal 3 2" xfId="70"/>
    <cellStyle name="Normal 3 3" xfId="71"/>
    <cellStyle name="Normal 4" xfId="72"/>
    <cellStyle name="Normal 4 3" xfId="73"/>
    <cellStyle name="Normal 5" xfId="74"/>
    <cellStyle name="Normal 6" xfId="75"/>
    <cellStyle name="Normal 7" xfId="76"/>
    <cellStyle name="Normal 8" xfId="77"/>
    <cellStyle name="Normal 9" xfId="78"/>
    <cellStyle name="Percent 5" xfId="79"/>
    <cellStyle name="Normal_N" xfId="80"/>
    <cellStyle name="Normal_Sheet2" xfId="81"/>
    <cellStyle name="Percent 2" xfId="82"/>
    <cellStyle name="Percent 2 2" xfId="83"/>
    <cellStyle name="Percent 3" xfId="84"/>
    <cellStyle name="Percent 4" xfId="85"/>
    <cellStyle name="百分比 2" xfId="86"/>
    <cellStyle name="百分比 2 2" xfId="87"/>
    <cellStyle name="百分比 3" xfId="88"/>
    <cellStyle name="常规 2" xfId="89"/>
    <cellStyle name="常规 2- " xfId="90"/>
    <cellStyle name="常规 2-  2" xfId="91"/>
    <cellStyle name="常规 2 2" xfId="92"/>
    <cellStyle name="常规 2 2 2" xfId="93"/>
    <cellStyle name="常规 2 2 2 2" xfId="94"/>
    <cellStyle name="常规 2 2 2 3" xfId="95"/>
    <cellStyle name="常规 2 2 2 3 2" xfId="96"/>
    <cellStyle name="常规 2 2 3" xfId="97"/>
    <cellStyle name="常规 2 3" xfId="98"/>
    <cellStyle name="常规 3" xfId="99"/>
    <cellStyle name="常规 3 2" xfId="100"/>
    <cellStyle name="常规 3 2 2" xfId="101"/>
    <cellStyle name="常规 4" xfId="102"/>
    <cellStyle name="超链接 2" xfId="103"/>
    <cellStyle name="普通_附23_PBC4" xfId="104"/>
    <cellStyle name="千位分隔 2" xfId="105"/>
    <cellStyle name="千位分隔 2 2" xfId="106"/>
    <cellStyle name="千位分隔 2 2 2" xfId="107"/>
    <cellStyle name="千位分隔 2 2 3" xfId="108"/>
    <cellStyle name="千位分隔 2 3" xfId="109"/>
    <cellStyle name="千位分隔 2 7" xfId="110"/>
    <cellStyle name="千位分隔 3 4" xfId="111"/>
    <cellStyle name="Comma 7" xfId="112"/>
    <cellStyle name="Normal 14" xfId="113"/>
    <cellStyle name="常规 3 2 3" xfId="114"/>
    <cellStyle name="常规 2 4" xfId="115"/>
    <cellStyle name="超链接 3" xfId="116"/>
    <cellStyle name="常规 2 2 5" xfId="117"/>
    <cellStyle name="千位分隔 5" xfId="118"/>
    <cellStyle name="Comma [0] 3 2" xfId="119"/>
    <cellStyle name="Comma [0] 2 3 2" xfId="120"/>
    <cellStyle name="Comma 2 5" xfId="121"/>
    <cellStyle name="Comma [0] 2 5" xfId="122"/>
    <cellStyle name="Comma [0] 2 2 2 3" xfId="123"/>
    <cellStyle name="Comma [0] 2 2 2 2 2" xfId="124"/>
    <cellStyle name="Comma [0] 2 2 3 2" xfId="125"/>
    <cellStyle name="千位分隔[0] 2 2" xfId="126"/>
    <cellStyle name="千位分隔 3 2" xfId="127"/>
    <cellStyle name="Comma 2 2 3" xfId="128"/>
    <cellStyle name="Comma [0] 2 2 4" xfId="129"/>
    <cellStyle name="Comma [0] 2 4 2" xfId="130"/>
    <cellStyle name="Comma 12 2" xfId="131"/>
    <cellStyle name="Comma 15 2" xfId="132"/>
    <cellStyle name="Comma 2 2 2 2" xfId="133"/>
    <cellStyle name="千位分隔 4 2" xfId="134"/>
    <cellStyle name="Comma 2 3 2" xfId="135"/>
    <cellStyle name="Comma 2 4 2" xfId="136"/>
    <cellStyle name="Comma 3 2" xfId="137"/>
    <cellStyle name="Comma 4 2" xfId="138"/>
    <cellStyle name="Comma 5 2" xfId="139"/>
    <cellStyle name="千位分隔 2 4" xfId="140"/>
    <cellStyle name="千位分隔 2 2 4" xfId="141"/>
    <cellStyle name="千位分隔 2 2 2 2" xfId="142"/>
    <cellStyle name="千位分隔 2 2 3 2" xfId="143"/>
    <cellStyle name="千位分隔 2 3 2" xfId="144"/>
    <cellStyle name="千位分隔 2 7 2" xfId="145"/>
    <cellStyle name="千位分隔 3 4 2" xfId="146"/>
    <cellStyle name="Comma 7 2" xfId="147"/>
    <cellStyle name="Normal 12" xfId="148"/>
    <cellStyle name="常规 5" xfId="149"/>
    <cellStyle name="常规 10" xfId="150"/>
    <cellStyle name="Normal 2 3 2 2 4" xfId="151"/>
    <cellStyle name="Normal 121 4" xfId="152"/>
    <cellStyle name="Normal 2 3 6" xfId="153"/>
    <cellStyle name="Normal 12 2 3" xfId="154"/>
    <cellStyle name="Normal 16" xfId="155"/>
    <cellStyle name="常规 2 2 5 2" xfId="156"/>
    <cellStyle name="Normal 12 2 2 2 2" xfId="157"/>
    <cellStyle name="Normal 9 2 2" xfId="158"/>
    <cellStyle name="Normal 2 2 2 2" xfId="159"/>
    <cellStyle name="常规 2 2 5 2 2" xfId="160"/>
    <cellStyle name="Normal 2 2 3" xfId="161"/>
    <cellStyle name="Normal 2 2 4" xfId="162"/>
    <cellStyle name="Hyperlink 2 2 3" xfId="163"/>
    <cellStyle name="常规 7" xfId="164"/>
    <cellStyle name="百分比 4" xfId="165"/>
    <cellStyle name="Normal 12 5" xfId="166"/>
    <cellStyle name="Normal 121 2 2 2 4" xfId="167"/>
    <cellStyle name="超链接 4" xfId="168"/>
    <cellStyle name="Normal 2 3 6 2" xfId="169"/>
    <cellStyle name="常规 2 2 5 3" xfId="170"/>
    <cellStyle name="常规 6" xfId="171"/>
    <cellStyle name="Normal 2 3 6 3" xfId="172"/>
    <cellStyle name="千位分隔 6" xfId="173"/>
    <cellStyle name="Comma [0] 3 3" xfId="174"/>
    <cellStyle name="Comma [0] 2 3 3" xfId="175"/>
    <cellStyle name="Comma 2 6" xfId="176"/>
    <cellStyle name="Comma [0] 2 6" xfId="177"/>
    <cellStyle name="Comma [0] 2 2 2 4" xfId="178"/>
    <cellStyle name="Comma [0] 2 2 2 2 3" xfId="179"/>
    <cellStyle name="Comma [0] 2 2 3 3" xfId="180"/>
    <cellStyle name="千位分隔[0] 2 3" xfId="181"/>
    <cellStyle name="千位分隔 3 3" xfId="182"/>
    <cellStyle name="Comma 2 2 4" xfId="183"/>
    <cellStyle name="Comma [0] 2 2 5" xfId="184"/>
    <cellStyle name="Comma [0] 2 4 3" xfId="185"/>
    <cellStyle name="Comma 12 3" xfId="186"/>
    <cellStyle name="Comma 15 3" xfId="187"/>
    <cellStyle name="Comma 2 2 2 3" xfId="188"/>
    <cellStyle name="千位分隔 4 3" xfId="189"/>
    <cellStyle name="Comma 2 3 3" xfId="190"/>
    <cellStyle name="Comma 2 4 3" xfId="191"/>
    <cellStyle name="Comma 3 3" xfId="192"/>
    <cellStyle name="Comma 4 3" xfId="193"/>
    <cellStyle name="Comma 5 3" xfId="194"/>
    <cellStyle name="千位分隔 2 5" xfId="195"/>
    <cellStyle name="千位分隔 2 2 5" xfId="196"/>
    <cellStyle name="千位分隔 2 2 2 3" xfId="197"/>
    <cellStyle name="千位分隔 2 2 3 3" xfId="198"/>
    <cellStyle name="千位分隔 2 3 3" xfId="199"/>
    <cellStyle name="千位分隔 2 7 3" xfId="200"/>
    <cellStyle name="千位分隔 3 4 3" xfId="201"/>
    <cellStyle name="Comma 7 3" xfId="202"/>
    <cellStyle name="常规 2 4 2" xfId="203"/>
    <cellStyle name="常规 2 2 5 4" xfId="204"/>
    <cellStyle name="千位分隔 5 2" xfId="205"/>
    <cellStyle name="Comma [0] 3 2 2" xfId="206"/>
    <cellStyle name="Comma [0] 2 3 2 2" xfId="207"/>
    <cellStyle name="Comma 2 5 2" xfId="208"/>
    <cellStyle name="Comma [0] 2 5 2" xfId="209"/>
    <cellStyle name="Comma [0] 2 2 2 3 2" xfId="210"/>
    <cellStyle name="Comma [0] 2 2 2 2 2 2" xfId="211"/>
    <cellStyle name="Comma [0] 2 2 3 2 2" xfId="212"/>
    <cellStyle name="千位分隔[0] 2 2 2" xfId="213"/>
    <cellStyle name="千位分隔 3 2 2" xfId="214"/>
    <cellStyle name="Comma 2 2 3 2" xfId="215"/>
    <cellStyle name="Comma [0] 2 2 4 2" xfId="216"/>
    <cellStyle name="Comma [0] 2 4 2 2" xfId="217"/>
    <cellStyle name="Comma 12 2 2" xfId="218"/>
    <cellStyle name="Comma 15 2 2" xfId="219"/>
    <cellStyle name="Comma 2 2 2 2 2" xfId="220"/>
    <cellStyle name="千位分隔 4 2 2" xfId="221"/>
    <cellStyle name="Comma 2 3 2 2" xfId="222"/>
    <cellStyle name="Comma 2 4 2 2" xfId="223"/>
    <cellStyle name="Comma 3 2 2" xfId="224"/>
    <cellStyle name="Comma 4 2 2" xfId="225"/>
    <cellStyle name="Comma 5 2 2" xfId="226"/>
    <cellStyle name="千位分隔 2 4 2" xfId="227"/>
    <cellStyle name="千位分隔 2 2 4 2" xfId="228"/>
    <cellStyle name="千位分隔 2 2 2 2 2" xfId="229"/>
    <cellStyle name="千位分隔 2 2 3 2 2" xfId="230"/>
    <cellStyle name="千位分隔 2 3 2 2" xfId="231"/>
    <cellStyle name="千位分隔 2 7 2 2" xfId="232"/>
    <cellStyle name="千位分隔 3 4 2 2" xfId="233"/>
    <cellStyle name="Comma 7 2 2" xfId="234"/>
    <cellStyle name="常规 2 2 5 2 3" xfId="235"/>
    <cellStyle name="常规 2 2 5 2 2 2" xfId="236"/>
    <cellStyle name="Normal 2 3 6 2 2" xfId="237"/>
    <cellStyle name="常规 2 2 5 3 2" xfId="238"/>
    <cellStyle name="千位分隔 6 2" xfId="239"/>
    <cellStyle name="Comma [0] 3 3 2" xfId="240"/>
    <cellStyle name="Comma [0] 2 3 3 2" xfId="241"/>
    <cellStyle name="Comma 2 6 2" xfId="242"/>
    <cellStyle name="Comma [0] 2 6 2" xfId="243"/>
    <cellStyle name="Comma [0] 2 2 2 4 2" xfId="244"/>
    <cellStyle name="Comma [0] 2 2 2 2 3 2" xfId="245"/>
    <cellStyle name="Comma [0] 2 2 3 3 2" xfId="246"/>
    <cellStyle name="千位分隔[0] 2 3 2" xfId="247"/>
    <cellStyle name="千位分隔 3 3 2" xfId="248"/>
    <cellStyle name="Comma 2 2 4 2" xfId="249"/>
    <cellStyle name="Comma [0] 2 2 5 2" xfId="250"/>
    <cellStyle name="Comma [0] 2 4 3 2" xfId="251"/>
    <cellStyle name="Comma 12 3 2" xfId="252"/>
    <cellStyle name="Comma 15 3 2" xfId="253"/>
    <cellStyle name="Comma 2 2 2 3 2" xfId="254"/>
    <cellStyle name="千位分隔 4 3 2" xfId="255"/>
    <cellStyle name="Comma 2 3 3 2" xfId="256"/>
    <cellStyle name="Comma 2 4 3 2" xfId="257"/>
    <cellStyle name="Comma 3 3 2" xfId="258"/>
    <cellStyle name="Comma 4 3 2" xfId="259"/>
    <cellStyle name="Comma 5 3 2" xfId="260"/>
    <cellStyle name="千位分隔 2 5 2" xfId="261"/>
    <cellStyle name="千位分隔 2 2 5 2" xfId="262"/>
    <cellStyle name="千位分隔 2 2 2 3 2" xfId="263"/>
    <cellStyle name="千位分隔 2 2 3 3 2" xfId="264"/>
    <cellStyle name="千位分隔 2 3 3 2" xfId="265"/>
    <cellStyle name="千位分隔 2 7 3 2" xfId="266"/>
    <cellStyle name="千位分隔 3 4 3 2" xfId="267"/>
    <cellStyle name="Comma 7 3 2" xfId="268"/>
    <cellStyle name="千位分隔 5 2 2" xfId="269"/>
    <cellStyle name="Comma [0] 3 2 2 2" xfId="270"/>
    <cellStyle name="Comma [0] 2 3 2 2 2" xfId="271"/>
    <cellStyle name="Comma 2 5 2 2" xfId="272"/>
    <cellStyle name="Comma [0] 2 5 2 2" xfId="273"/>
    <cellStyle name="Comma [0] 2 2 2 3 2 2" xfId="274"/>
    <cellStyle name="Comma [0] 2 2 2 2 2 2 2" xfId="275"/>
    <cellStyle name="Comma [0] 2 2 3 2 2 2" xfId="276"/>
    <cellStyle name="千位分隔[0] 2 2 2 2" xfId="277"/>
    <cellStyle name="千位分隔 3 2 2 2" xfId="278"/>
    <cellStyle name="Comma 2 2 3 2 2" xfId="279"/>
    <cellStyle name="Comma [0] 2 2 4 2 2" xfId="280"/>
    <cellStyle name="Comma [0] 2 4 2 2 2" xfId="281"/>
    <cellStyle name="Comma 12 2 2 2" xfId="282"/>
    <cellStyle name="Comma 15 2 2 2" xfId="283"/>
    <cellStyle name="Comma 2 2 2 2 2 2" xfId="284"/>
    <cellStyle name="千位分隔 4 2 2 2" xfId="285"/>
    <cellStyle name="Comma 2 3 2 2 2" xfId="286"/>
    <cellStyle name="Comma 2 4 2 2 2" xfId="287"/>
    <cellStyle name="Comma 3 2 2 2" xfId="288"/>
    <cellStyle name="Comma 4 2 2 2" xfId="289"/>
    <cellStyle name="Comma 5 2 2 2" xfId="290"/>
    <cellStyle name="千位分隔 2 4 2 2" xfId="291"/>
    <cellStyle name="千位分隔 2 2 4 2 2" xfId="292"/>
    <cellStyle name="千位分隔 2 2 2 2 2 2" xfId="293"/>
    <cellStyle name="千位分隔 2 2 3 2 2 2" xfId="294"/>
    <cellStyle name="千位分隔 2 3 2 2 2" xfId="295"/>
    <cellStyle name="千位分隔 2 7 2 2 2" xfId="296"/>
    <cellStyle name="千位分隔 3 4 2 2 2" xfId="297"/>
    <cellStyle name="Comma 7 2 2 2" xfId="298"/>
    <cellStyle name="Normal 19" xfId="299"/>
    <cellStyle name="Normal 2 5" xfId="300"/>
    <cellStyle name="Normal 2 6" xfId="301"/>
    <cellStyle name="千位分隔 7" xfId="302"/>
    <cellStyle name="常规 8" xfId="303"/>
    <cellStyle name="超链接 5" xfId="304"/>
    <cellStyle name="Normal 2 7" xfId="305"/>
    <cellStyle name="千位分隔 8" xfId="306"/>
    <cellStyle name="千位分隔[0] 3" xfId="307"/>
    <cellStyle name="货币 2" xfId="308"/>
    <cellStyle name="超链接 6" xfId="309"/>
    <cellStyle name="千位分隔[0] 4" xfId="310"/>
    <cellStyle name="货币 3" xfId="311"/>
    <cellStyle name="Normal 17" xfId="312"/>
    <cellStyle name="Comma [0] 3 2 3" xfId="313"/>
    <cellStyle name="Comma 15 2 3" xfId="314"/>
    <cellStyle name="Comma 2 7" xfId="315"/>
    <cellStyle name="Comma 4 2 3" xfId="316"/>
    <cellStyle name="Hyperlink 2 2 4" xfId="317"/>
    <cellStyle name="Normal 12 3" xfId="318"/>
    <cellStyle name="Normal 2 10" xfId="319"/>
    <cellStyle name="Normal 2 2 2 3" xfId="320"/>
    <cellStyle name="Normal 2 3 6 2 3" xfId="321"/>
    <cellStyle name="Normal 2 3 6 4" xfId="322"/>
    <cellStyle name="Normal 3 2 2 2 2" xfId="323"/>
    <cellStyle name="Percent 2 3" xfId="324"/>
    <cellStyle name="百分比 2 3" xfId="325"/>
    <cellStyle name="常规 2 14" xfId="326"/>
    <cellStyle name="常规 2 2 5 2 4" xfId="327"/>
    <cellStyle name="常规 2 2 5 3 3" xfId="328"/>
    <cellStyle name="常规 2 2 5 5" xfId="329"/>
    <cellStyle name="常规 6 2" xfId="330"/>
    <cellStyle name="千位分隔 2 2 6" xfId="331"/>
    <cellStyle name="千位分隔 6 3" xfId="332"/>
    <cellStyle name="常规 9" xfId="333"/>
    <cellStyle name="千位分隔 9" xfId="334"/>
    <cellStyle name="Hyperlink" xfId="335"/>
    <cellStyle name="超链接" xfId="336" builtinId="8"/>
  </cellStyles>
  <dxfs count="44">
    <dxf>
      <font>
        <color rgb="FFFFFFCC"/>
      </font>
    </dxf>
    <dxf>
      <fill>
        <patternFill>
          <bgColor theme="0" tint="-0.3499862666707358"/>
        </patternFill>
      </fill>
    </dxf>
    <dxf>
      <fill>
        <patternFill>
          <bgColor theme="0" tint="-0.3499862666707358"/>
        </patternFill>
      </fill>
    </dxf>
    <dxf>
      <fill>
        <patternFill>
          <bgColor theme="0" tint="-0.3499862666707358"/>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00"/>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00"/>
        </patternFill>
      </fill>
    </dxf>
    <dxf>
      <font>
        <color rgb="FFFFFFCC"/>
      </font>
    </dxf>
    <dxf>
      <fill>
        <patternFill>
          <bgColor rgb="FFFFFFCC"/>
        </patternFill>
      </fill>
    </dxf>
    <dxf>
      <fill>
        <patternFill>
          <bgColor rgb="FFFFFFCC"/>
        </patternFill>
      </fill>
    </dxf>
    <dxf>
      <fill>
        <patternFill>
          <bgColor rgb="FFFFFF00"/>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00"/>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ont>
        <color auto="1"/>
      </font>
    </dxf>
    <dxf>
      <fill>
        <patternFill>
          <bgColor rgb="FFFFFFCC"/>
        </patternFill>
      </fill>
    </dxf>
    <dxf>
      <font>
        <color auto="1"/>
      </font>
    </dxf>
    <dxf>
      <fill>
        <patternFill patternType="solid">
          <bgColor rgb="FFFFFFCC"/>
        </patternFill>
      </fill>
    </dxf>
    <dxf>
      <fill>
        <patternFill>
          <bgColor rgb="FFFFFFCC"/>
        </patternFill>
      </fill>
    </dxf>
    <dxf>
      <fill>
        <patternFill>
          <bgColor rgb="FFFFFFCC"/>
        </patternFill>
      </fill>
    </dxf>
    <dxf>
      <fill>
        <patternFill>
          <bgColor rgb="FFFFFFC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tc={668FA237-424A-4BDB-AD82-53F2A9ADE947}</author>
    <author>tc={4821C6F6-7640-4971-87C9-72CDAC55A449}</author>
    <author>tc={222248E9-5385-4CB6-B652-6D5646CE7070}</author>
    <author>tc={3CF9B36D-D834-4B98-9665-EDC9B5E1E89A}</author>
    <author>tc={1D65A878-799B-4507-97F6-777CF93977D1}</author>
    <author>tc={507577BA-7187-422E-BE33-07D772D79CDD}</author>
    <author>tc={269D05AB-46F8-4474-A3C7-5FA7BF1C3CBB}</author>
    <author>tc={02C0EB77-B635-4979-B602-04EC3780621A}</author>
    <author>tc={1FD92BCB-0928-44A2-91CF-6A103EBC72E1}</author>
    <author>tc={3CF57968-194D-4E9D-851F-282BEFC9A369}</author>
    <author>tc={A57F8084-8C5C-4C69-94DD-15B221C0220F}</author>
    <author>tc={BB6BDDBF-2072-4C0D-A2AE-BB44372F9CFC}</author>
  </authors>
  <commentList>
    <comment ref="G11" authorId="0" shapeId="0">
      <text>
        <t>[线程批注]
你的Excel版本可读取此线程批注; 但如果在更新版本的Excel中打开文件，则对批注所作的任何改动都将被删除。了解详细信息: https://go.microsoft.com/fwlink/?linkid=870924
注释:
    这是关联方？</t>
      </text>
    </comment>
    <comment ref="G12" authorId="1" shapeId="0">
      <text>
        <t>[线程批注]
你的Excel版本可读取此线程批注; 但如果在更新版本的Excel中打开文件，则对批注所作的任何改动都将被删除。了解详细信息: https://go.microsoft.com/fwlink/?linkid=870924
注释:
    这是关联方/？</t>
      </text>
    </comment>
    <comment ref="G13" authorId="2" shapeId="0">
      <text>
        <t>[线程批注]
你的Excel版本可读取此线程批注; 但如果在更新版本的Excel中打开文件，则对批注所作的任何改动都将被删除。了解详细信息: https://go.microsoft.com/fwlink/?linkid=870924
注释:
    确定是关联方？</t>
      </text>
    </comment>
    <comment ref="B246" authorId="3" shapeId="0">
      <text>
        <t>[线程批注]
你的Excel版本可读取此线程批注; 但如果在更新版本的Excel中打开文件，则对批注所作的任何改动都将被删除。了解详细信息: https://go.microsoft.com/fwlink/?linkid=870924
注释:
    东风咨询有限公司系东风鸿远工程咨询的关联方供应商，主要承接鸿远工程包中符合其服务范围的业务。2024年，因整体业务规模较大，鸿远向其分包的工程包相应增加；2025年业务量有所减少，分包量也随之降低，对应应付东风咨询的款项余额同比下降约25%。</t>
      </text>
    </comment>
    <comment ref="B248" authorId="4" shapeId="0">
      <text>
        <t xml:space="preserve">[线程批注]
你的Excel版本可读取此线程批注; 但如果在更新版本的Excel中打开文件，则对批注所作的任何改动都将被删除。了解详细信息: https://go.microsoft.com/fwlink/?linkid=870924
注释:
    被审计单位对项目成本采取暂估入账方式。具体流程为：业务部门通过金慧项目管理系统进行项目申报与记录；财务部门依据项目预算，在收到发票前，将预估成本计入“应付账款—供应商”科目。
 对于非内部供应商的成本，在暂估阶段，财务系统未按实际供应商明细进行分拆，而是将同一项目下涉及不同供应商的预算成本，统一归集至“应付账款—供应商”科目​中。待项目完成、取得发票后，再冲销暂估，并依据发票信息将成本准确计入具体的供应商明细账户。
​ 因此，暂估科目余额的变动主要与项目预算总额及项目进度挂钩。2025年，因工程总包业务量减少，对应提报的暂估成本总额同步下降，导致“应付账款—暂估”科目余额出现显著减少。
</t>
      </text>
    </comment>
    <comment ref="B250" authorId="5" shapeId="0">
      <text>
        <t>[线程批注]
你的Excel版本可读取此线程批注; 但如果在更新版本的Excel中打开文件，则对批注所作的任何改动都将被删除。了解详细信息: https://go.microsoft.com/fwlink/?linkid=870924
注释:
    写的太口语化了，参考上方cmts修改描述</t>
      </text>
    </comment>
    <comment ref="B252" authorId="6" shapeId="0">
      <text>
        <t>[线程批注]
你的Excel版本可读取此线程批注; 但如果在更新版本的Excel中打开文件，则对批注所作的任何改动都将被删除。了解详细信息: https://go.microsoft.com/fwlink/?linkid=870924
注释:
    太口语化了，修改，”账面显示的变动较大“---是想表达什么</t>
      </text>
    </comment>
    <comment ref="B254" authorId="7" shapeId="0">
      <text>
        <t>[线程批注]
你的Excel版本可读取此线程批注; 但如果在更新版本的Excel中打开文件，则对批注所作的任何改动都将被删除。了解详细信息: https://go.microsoft.com/fwlink/?linkid=870924
注释:
    25年合作工程较24年量大----新增了什么合作工程？补充</t>
      </text>
    </comment>
    <comment ref="B257" authorId="8" shapeId="0">
      <text>
        <t xml:space="preserve">[线程批注]
你的Excel版本可读取此线程批注; 但如果在更新版本的Excel中打开文件，则对批注所作的任何改动都将被删除。了解详细信息: https://go.microsoft.com/fwlink/?linkid=870924
注释:
    为啥只有4个，上面的描述是说选取前五大
</t>
      </text>
    </comment>
    <comment ref="B263" authorId="9" shapeId="0">
      <text>
        <t>[线程批注]
你的Excel版本可读取此线程批注; 但如果在更新版本的Excel中打开文件，则对批注所作的任何改动都将被删除。了解详细信息: https://go.microsoft.com/fwlink/?linkid=870924
注释:
    补充资料（合同，工程形象进度，产值表，结算单等），下同</t>
      </text>
    </comment>
    <comment ref="B265" authorId="10" shapeId="0">
      <text>
        <t>[线程批注]
你的Excel版本可读取此线程批注; 但如果在更新版本的Excel中打开文件，则对批注所作的任何改动都将被删除。了解详细信息: https://go.microsoft.com/fwlink/?linkid=870924
注释:
    补充资料检查，这是还没分析完吗？</t>
      </text>
    </comment>
    <comment ref="B267" authorId="11" shapeId="0">
      <text>
        <t>[线程批注]
你的Excel版本可读取此线程批注; 但如果在更新版本的Excel中打开文件，则对批注所作的任何改动都将被删除。了解详细信息: https://go.microsoft.com/fwlink/?linkid=870924
注释:
    补充资料</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N%20SWP%20%E5%BA%94%E4%BB%98%E8%B4%A6%E6%AC%BE%E8%B4%A6%E9%BE%84%E5%A4%8D%E6%A0%B8%20202YMMDD%20XYZ%E5%85%AC%E5%8F%B8.xlsx?d=wbaf427bca11842b3800de5f38ba2cd51&amp;csf=1&amp;web=1&amp;e=QG5BJl" TargetMode="External" Id="rId1" /><Relationship Type="http://schemas.openxmlformats.org/officeDocument/2006/relationships/hyperlink" Target="https://eychinamanaged.sharepoint.cn/:x:/r/sites/GCknowledgecenter/Shared%20Documents/%E5%AE%A1%E8%AE%A1%E6%A0%87%E5%87%86%E5%BA%95%E7%A8%BF/%E6%A0%87%E5%87%86%E5%AE%A1%E8%AE%A1%E5%BA%95%E7%A8%BF%E6%A8%A1%E6%9D%BF%E7%AC%AC%E5%85%AD%E7%89%88-%E4%BD%BF%E7%94%A8%E7%89%88/%E5%87%BD%E8%AF%81%20SWP%20%E8%B4%9F%E5%80%BA%E7%B1%BB%E7%A7%91%E7%9B%AE%20202YMMDD%20XYZ%E5%85%AC%E5%8F%B8.xlsx?d=w3d16851f9f4b42cdb1b3e5783b626bed&amp;csf=1&amp;web=1&amp;e=qqqCpZ" TargetMode="External" Id="rId2" /></Relationships>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5%85%AD%E7%89%88-%E4%BD%BF%E7%94%A8%E7%89%88/N%26P%20SURL%20SWP%20%E5%AF%BB%E6%89%BE%E6%9C%AA%E5%85%A5%E8%B4%A6%E8%B4%9F%E5%80%BA%20202YMMDD%20XYZ%E5%85%AC%E5%8F%B8.xlsx?d=wfa981cbde0e54153a730db72e2d8a746&amp;csf=1&amp;web=1&amp;e=1Owq15" TargetMode="External" Id="rId1" /></Relationships>
</file>

<file path=xl/worksheets/sheet1.xml><?xml version="1.0" encoding="utf-8"?>
<worksheet xmlns="http://schemas.openxmlformats.org/spreadsheetml/2006/main">
  <sheetPr>
    <outlinePr summaryBelow="1" summaryRight="1"/>
    <pageSetUpPr/>
  </sheetPr>
  <dimension ref="A1:J20"/>
  <sheetViews>
    <sheetView showGridLines="0" tabSelected="1" zoomScale="70" zoomScaleNormal="70" workbookViewId="0">
      <selection activeCell="D2" sqref="D2"/>
    </sheetView>
  </sheetViews>
  <sheetFormatPr baseColWidth="8" defaultColWidth="9" defaultRowHeight="14.25" customHeight="1"/>
  <cols>
    <col width="4.625" customWidth="1" style="42" min="1" max="1"/>
    <col width="11.875" customWidth="1" style="41" min="2" max="2"/>
    <col width="14.625" customWidth="1" style="45" min="3" max="3"/>
    <col width="16.625" customWidth="1" style="42" min="4" max="4"/>
    <col width="25.125" customWidth="1" style="42" min="5" max="5"/>
    <col width="18.75" customWidth="1" style="43" min="6" max="6"/>
    <col width="12.625" customWidth="1" style="41" min="7" max="7"/>
    <col width="21.625" customWidth="1" style="42" min="8" max="8"/>
    <col width="30.75" customWidth="1" style="41" min="9" max="9"/>
    <col width="9" customWidth="1" style="42" min="10" max="16384"/>
  </cols>
  <sheetData>
    <row r="1" ht="27.95" customHeight="1" s="634">
      <c r="A1" s="451" t="inlineStr">
        <is>
          <t>V6 SWP</t>
        </is>
      </c>
    </row>
    <row r="2" ht="21" customHeight="1" s="634">
      <c r="A2" s="40" t="n"/>
      <c r="B2" s="443" t="inlineStr">
        <is>
          <t>该科目涉及OSP底稿及函证底稿可参考此链接</t>
        </is>
      </c>
      <c r="C2" s="66" t="n"/>
      <c r="F2" s="69" t="inlineStr">
        <is>
          <t>OSP N SWP 应付账款账龄复核 202YMMDD XYZ公司.xlsx</t>
        </is>
      </c>
    </row>
    <row r="3" ht="18" customHeight="1" s="634">
      <c r="A3" s="40" t="n"/>
      <c r="B3" s="66" t="n"/>
      <c r="F3" s="69" t="inlineStr">
        <is>
          <t>函证 SWP 负债类科目 202YMMDD XYZ公司.xlsx</t>
        </is>
      </c>
    </row>
    <row r="4" ht="18" customHeight="1" s="634">
      <c r="A4" s="40" t="n"/>
      <c r="B4" s="66" t="n"/>
    </row>
    <row r="5" ht="18" customHeight="1" s="634">
      <c r="B5" s="59" t="inlineStr">
        <is>
          <t>N.00</t>
        </is>
      </c>
      <c r="C5" s="455" t="inlineStr">
        <is>
          <t>N.00 应付账款引导表（认定：E、C）</t>
        </is>
      </c>
      <c r="D5" s="635" t="n"/>
      <c r="E5" s="636" t="n"/>
      <c r="F5" s="60" t="inlineStr">
        <is>
          <t>程序页</t>
        </is>
      </c>
      <c r="G5" s="60" t="inlineStr">
        <is>
          <t>执行</t>
        </is>
      </c>
      <c r="H5" s="60" t="inlineStr">
        <is>
          <t>不执行的原因</t>
        </is>
      </c>
      <c r="I5" s="60" t="inlineStr">
        <is>
          <t>注意事项</t>
        </is>
      </c>
    </row>
    <row r="6" ht="33" customHeight="1" s="634">
      <c r="B6" s="61" t="n">
        <v>1</v>
      </c>
      <c r="C6" s="457" t="inlineStr">
        <is>
          <t>我们将两期金额进行比对，对那些变动大于范围或异常的事项，获得管理层解释并对解释是否合理进行调查并获取相关的支持性文件。</t>
        </is>
      </c>
      <c r="D6" s="635" t="n"/>
      <c r="E6" s="636" t="n"/>
      <c r="F6" s="453" t="inlineStr">
        <is>
          <t>N.00 Lead sheet</t>
        </is>
      </c>
      <c r="G6" s="62" t="n"/>
      <c r="H6" s="53" t="n"/>
      <c r="I6" s="62" t="n"/>
    </row>
    <row r="7" ht="33" customHeight="1" s="634">
      <c r="B7" s="61" t="n">
        <v>2</v>
      </c>
      <c r="C7" s="460" t="inlineStr">
        <is>
          <t>如果项目仅对部分总账科目执行程序，需评估未执行程序的总账科目加总金额是否大于TE，如大于TE，请项目组执行额外的测试程序。</t>
        </is>
      </c>
      <c r="D7" s="635" t="n"/>
      <c r="E7" s="636" t="n"/>
      <c r="F7" s="637" t="n"/>
      <c r="G7" s="62" t="n"/>
      <c r="H7" s="53" t="n"/>
      <c r="I7" s="62" t="n"/>
    </row>
    <row r="8" ht="15" customHeight="1" s="634">
      <c r="B8" s="59" t="inlineStr">
        <is>
          <t>N.01</t>
        </is>
      </c>
      <c r="C8" s="459" t="inlineStr">
        <is>
          <t>N.01 将明细账与总账核对一致（认定：E、C、V）</t>
        </is>
      </c>
      <c r="D8" s="635" t="n"/>
      <c r="E8" s="636" t="n"/>
      <c r="F8" s="60" t="inlineStr">
        <is>
          <t>程序页</t>
        </is>
      </c>
      <c r="G8" s="60" t="inlineStr">
        <is>
          <t>执行</t>
        </is>
      </c>
      <c r="H8" s="60" t="inlineStr">
        <is>
          <t>不执行的原因</t>
        </is>
      </c>
      <c r="I8" s="60" t="inlineStr">
        <is>
          <t>注意事项</t>
        </is>
      </c>
    </row>
    <row r="9" ht="74.09999999999999" customHeight="1" s="634">
      <c r="B9" s="61" t="n">
        <v>1</v>
      </c>
      <c r="C9" s="463" t="inlineStr">
        <is>
          <t>获取应付账款明细账（列示至各供应商的余额）N.01.01明细账BKD，与总账核对，如差异大于SAD，获取差异差异调节表并对调节项金额大于测试阈值及性质异常的项目执行进一步测试。</t>
        </is>
      </c>
      <c r="D9" s="635" t="n"/>
      <c r="E9" s="636" t="n"/>
      <c r="F9" s="453" t="inlineStr">
        <is>
          <t>N.01 明细账与总账核对</t>
        </is>
      </c>
      <c r="G9" s="62" t="n"/>
      <c r="H9" s="53" t="n"/>
      <c r="I9" s="62" t="n"/>
    </row>
    <row r="10" ht="47.45" customHeight="1" s="634">
      <c r="B10" s="61" t="n">
        <v>2</v>
      </c>
      <c r="C10" s="458" t="inlineStr">
        <is>
          <t>对应付账款外币余额，我们使用第三方汇率(独立于被审计单位获得汇率)重新计算，并将重新计算的余额与被审计单位的余额进行比较。</t>
        </is>
      </c>
      <c r="D10" s="635" t="n"/>
      <c r="E10" s="636" t="n"/>
      <c r="F10" s="637" t="n"/>
      <c r="G10" s="62" t="n"/>
      <c r="H10" s="53" t="n"/>
      <c r="I10" s="62" t="n"/>
    </row>
    <row r="11" ht="15" customHeight="1" s="634">
      <c r="B11" s="59" t="inlineStr">
        <is>
          <t>N.02</t>
        </is>
      </c>
      <c r="C11" s="465" t="inlineStr">
        <is>
          <t>N.02 异常项复核（认定：E、C、V、R&amp;O、P&amp;D）</t>
        </is>
      </c>
      <c r="D11" s="635" t="n"/>
      <c r="E11" s="636" t="n"/>
      <c r="F11" s="60" t="inlineStr">
        <is>
          <t>程序页</t>
        </is>
      </c>
      <c r="G11" s="60" t="inlineStr">
        <is>
          <t>执行</t>
        </is>
      </c>
      <c r="H11" s="60" t="inlineStr">
        <is>
          <t>不执行的原因</t>
        </is>
      </c>
      <c r="I11" s="60" t="inlineStr">
        <is>
          <t>注意事项</t>
        </is>
      </c>
    </row>
    <row r="12" ht="70.5" customHeight="1" s="634">
      <c r="B12" s="63" t="n">
        <v>1</v>
      </c>
      <c r="C12" s="457" t="inlineStr">
        <is>
          <t>对（单独或合计）大于测试阈值的借方余额，获取记账分录并检查对应支持性文件，确定对方科目账务处理是否正确，应付账款借方余额是否有必要根据名义金额进行重分类调整。</t>
        </is>
      </c>
      <c r="D12" s="635" t="n"/>
      <c r="E12" s="636" t="n"/>
      <c r="F12" s="453" t="inlineStr">
        <is>
          <t>N.02 异常项复核</t>
        </is>
      </c>
      <c r="G12" s="62" t="n"/>
      <c r="H12" s="53" t="n"/>
      <c r="I12" s="64" t="n"/>
      <c r="J12" s="44" t="n"/>
    </row>
    <row r="13" ht="70.5" customHeight="1" s="634">
      <c r="A13" s="0" t="n"/>
      <c r="B13" s="63" t="n">
        <v>2</v>
      </c>
      <c r="C13" s="458" t="inlineStr">
        <is>
          <t>根据应付账款明细账，我们识别金额、供应商或其他被认为异常或预期外的项目（例如，关联方、员工、客户、严重逾期余额），选择项目并记录做出此决定的依据；我们获取这些项目的支持性证据并记录检查结果。</t>
        </is>
      </c>
      <c r="D13" s="635" t="n"/>
      <c r="E13" s="636" t="n"/>
      <c r="F13" s="637" t="n"/>
      <c r="G13" s="62" t="n"/>
      <c r="H13" s="53" t="n"/>
      <c r="I13" s="64" t="n"/>
      <c r="J13" s="44" t="n"/>
    </row>
    <row r="14" ht="15" customHeight="1" s="634">
      <c r="A14" s="0" t="n"/>
      <c r="B14" s="59" t="inlineStr">
        <is>
          <t>N.03</t>
        </is>
      </c>
      <c r="C14" s="459" t="inlineStr">
        <is>
          <t>N.03 应付账款截止测试（认定：E、C、R&amp;O）</t>
        </is>
      </c>
      <c r="D14" s="635" t="n"/>
      <c r="E14" s="636" t="n"/>
      <c r="F14" s="60" t="inlineStr">
        <is>
          <t>程序页</t>
        </is>
      </c>
      <c r="G14" s="60" t="inlineStr">
        <is>
          <t>执行</t>
        </is>
      </c>
      <c r="H14" s="60" t="inlineStr">
        <is>
          <t>不执行的原因</t>
        </is>
      </c>
      <c r="I14" s="60" t="inlineStr">
        <is>
          <t>注意事项</t>
        </is>
      </c>
      <c r="J14" s="44" t="n"/>
    </row>
    <row r="15" ht="124.5" customHeight="1" s="634">
      <c r="A15" s="0" t="n"/>
      <c r="B15" s="63" t="n">
        <v>1</v>
      </c>
      <c r="C15" s="462" t="inlineStr">
        <is>
          <t>若我们从其他程序中获得一部分审计证据（交叉索引至相关底稿）或未获取审计证据时，需结合我们对于被审计单位业务的了解，考虑截止性测试的范围与涵盖期间，基于风险评估确定样本策略，并记录我们认为影响我们确定截止时间、样本策略的因素。
IPE 考虑：</t>
        </is>
      </c>
      <c r="D15" s="635" t="n"/>
      <c r="E15" s="636" t="n"/>
      <c r="F15" s="453" t="inlineStr">
        <is>
          <t>N.03 截止测试</t>
        </is>
      </c>
      <c r="G15" s="62" t="n"/>
      <c r="H15" s="53" t="n"/>
      <c r="I15" s="131" t="inlineStr">
        <is>
          <t>若我们已从其他程序中获得了充分适当的审计证据，以应对应付账款截止风险时，无需执行本程序，并交叉索引至相关底稿；</t>
        </is>
      </c>
      <c r="J15" s="44" t="n"/>
    </row>
    <row r="16" ht="15" customHeight="1" s="634">
      <c r="A16" s="0" t="n"/>
      <c r="B16" s="59" t="inlineStr">
        <is>
          <t>N.04</t>
        </is>
      </c>
      <c r="C16" s="461" t="inlineStr">
        <is>
          <t>N.04寻找未入账负债（认定：C、V）</t>
        </is>
      </c>
      <c r="D16" s="635" t="n"/>
      <c r="E16" s="636" t="n"/>
      <c r="F16" s="60" t="inlineStr">
        <is>
          <t>程序页</t>
        </is>
      </c>
      <c r="G16" s="60" t="inlineStr">
        <is>
          <t>执行</t>
        </is>
      </c>
      <c r="H16" s="60" t="inlineStr">
        <is>
          <t>不执行的原因</t>
        </is>
      </c>
      <c r="I16" s="60" t="inlineStr">
        <is>
          <t>注意事项</t>
        </is>
      </c>
    </row>
    <row r="17" ht="40.5" customHeight="1" s="634">
      <c r="A17" s="0" t="n"/>
      <c r="B17" s="63" t="n">
        <v>1</v>
      </c>
      <c r="C17" s="462" t="inlineStr">
        <is>
          <t>通过寻找未入账的应付账款，验证资产负债表日应付账款的计价和完整性。</t>
        </is>
      </c>
      <c r="D17" s="635" t="n"/>
      <c r="E17" s="636" t="n"/>
      <c r="F17" s="65" t="inlineStr">
        <is>
          <t>N.04 寻找未入账负债</t>
        </is>
      </c>
      <c r="G17" s="62" t="n"/>
      <c r="H17" s="53" t="n"/>
      <c r="I17" s="62" t="n"/>
    </row>
    <row r="18" ht="14.25" customHeight="1" s="634">
      <c r="A18" s="0" t="n"/>
    </row>
    <row r="19" ht="14.25" customHeight="1" s="634">
      <c r="A19" s="0" t="n"/>
    </row>
    <row r="20" ht="14.25" customHeight="1" s="634">
      <c r="A20" s="0" t="n"/>
    </row>
  </sheetData>
  <mergeCells count="16">
    <mergeCell ref="C16:E16"/>
    <mergeCell ref="C14:E14"/>
    <mergeCell ref="C11:E11"/>
    <mergeCell ref="F9:F10"/>
    <mergeCell ref="C13:E13"/>
    <mergeCell ref="C5:E5"/>
    <mergeCell ref="F12:F13"/>
    <mergeCell ref="C8:E8"/>
    <mergeCell ref="C9:E9"/>
    <mergeCell ref="F6:F7"/>
    <mergeCell ref="C17:E17"/>
    <mergeCell ref="C7:E7"/>
    <mergeCell ref="C15:E15"/>
    <mergeCell ref="C12:E12"/>
    <mergeCell ref="C6:E6"/>
    <mergeCell ref="C10:E10"/>
  </mergeCells>
  <conditionalFormatting sqref="F6 F9 F12 F15:G15 G9:G10 G12:G13">
    <cfRule type="containsBlanks" priority="27" dxfId="4">
      <formula>LEN(TRIM(F6))=0</formula>
    </cfRule>
  </conditionalFormatting>
  <conditionalFormatting sqref="F17:G17">
    <cfRule type="containsBlanks" priority="1" dxfId="4">
      <formula>LEN(TRIM(F17))=0</formula>
    </cfRule>
  </conditionalFormatting>
  <conditionalFormatting sqref="G6:G7">
    <cfRule type="containsBlanks" priority="23" dxfId="4">
      <formula>LEN(TRIM(G6))=0</formula>
    </cfRule>
  </conditionalFormatting>
  <conditionalFormatting sqref="H6:H7 H9:H10 H12:H13 H15 H17">
    <cfRule type="expression" priority="10" dxfId="13">
      <formula>SUMPRODUCT((G6="否")*(LEN(H6)=0))</formula>
    </cfRule>
  </conditionalFormatting>
  <dataValidations disablePrompts="1" count="1">
    <dataValidation sqref="G6:G7 G9:G10 G12:G13 G15 G17" showDropDown="0" showInputMessage="1" showErrorMessage="0" allowBlank="1" type="list">
      <formula1>"是,否"</formula1>
    </dataValidation>
  </dataValidations>
  <hyperlinks>
    <hyperlink xmlns:r="http://schemas.openxmlformats.org/officeDocument/2006/relationships" ref="F2" display="https://eychinamanaged.sharepoint.cn/:x:/r/sites/GCknowledgecenter/Shared Documents/%E5%AE%A1%E8%AE%A1%E6%A0%87%E5%87%86%E5%BA%95%E7%A8%BF/%E6%A0%87%E5%87%86%E5%AE%A1%E8%AE%A1%E5%BA%95%E7%A8%BF%E6%A8%A1%E6%9D%BF%E7%AC%AC%E4%BA%94%E7%89%88-%E4%BD%BF%E7%94%A8%E7%89%88/OSP/OSP N SWP %E5%BA%94%E4%BB%98%E8%B4%A6%E6%AC%BE%E8%B4%A6%E9%BE%84%E5%A4%8D%E6%A0%B8 202YMMDD XYZ%E5%85%AC%E5%8F%B8.xlsx?d=wbaf427bca11842b3800de5f38ba2cd51&amp;csf=1&amp;web=1&amp;e=QG5BJl" r:id="rId1"/>
    <hyperlink xmlns:r="http://schemas.openxmlformats.org/officeDocument/2006/relationships" ref="F3" display="https://eychinamanaged.sharepoint.cn/:x:/r/sites/GCknowledgecenter/Shared Documents/%E5%AE%A1%E8%AE%A1%E6%A0%87%E5%87%86%E5%BA%95%E7%A8%BF/%E6%A0%87%E5%87%86%E5%AE%A1%E8%AE%A1%E5%BA%95%E7%A8%BF%E6%A8%A1%E6%9D%BF%E7%AC%AC%E5%85%AD%E7%89%88-%E4%BD%BF%E7%94%A8%E7%89%88/%E5%87%BD%E8%AF%81 SWP %E8%B4%9F%E5%80%BA%E7%B1%BB%E7%A7%91%E7%9B%AE 202YMMDD XYZ%E5%85%AC%E5%8F%B8.xlsx?d=w3d16851f9f4b42cdb1b3e5783b626bed&amp;csf=1&amp;web=1&amp;e=qqqCpZ" r:id="rId2"/>
    <hyperlink ref="F6" location="'N.00 Lead sheet'!A1" display="N.00 Lead sheet"/>
    <hyperlink ref="F9" location="'N.01 明细账与总账核对'!A1" display="'N.01 明细账与总账核对'!A1"/>
    <hyperlink ref="F12" location="'N.02 异常项复核'!A1" display="'N.02 异常项复核'!A1"/>
    <hyperlink ref="F15" location="'N.03 截止测试'!A1" display="'N.03 截止测试'!A1"/>
    <hyperlink ref="F17" location="'N.04 寻找未入账负债'!A1" display="N.04 寻找未入账的负债"/>
  </hyperlinks>
  <pageMargins left="0.7" right="0.7" top="0.75" bottom="0.75" header="0.3" footer="0.3"/>
</worksheet>
</file>

<file path=xl/worksheets/sheet2.xml><?xml version="1.0" encoding="utf-8"?>
<worksheet xmlns="http://schemas.openxmlformats.org/spreadsheetml/2006/main">
  <sheetPr codeName="Sheet3">
    <outlinePr summaryBelow="1" summaryRight="1"/>
    <pageSetUpPr/>
  </sheetPr>
  <dimension ref="A1:AL92"/>
  <sheetViews>
    <sheetView showGridLines="0" zoomScale="70" zoomScaleNormal="70" workbookViewId="0">
      <selection activeCell="G72" sqref="G72"/>
    </sheetView>
  </sheetViews>
  <sheetFormatPr baseColWidth="8" defaultColWidth="8.75" defaultRowHeight="12.75" customHeight="1"/>
  <cols>
    <col width="2.625" customWidth="1" style="151" min="1" max="1"/>
    <col width="29" customWidth="1" style="138" min="2" max="2"/>
    <col width="23.375" customWidth="1" style="138" min="3" max="3"/>
    <col width="29.25" customWidth="1" style="138" min="4" max="4"/>
    <col width="15.25" customWidth="1" style="138" min="5" max="5"/>
    <col width="16.125" customWidth="1" style="138" min="6" max="6"/>
    <col width="15" customWidth="1" style="138" min="7" max="11"/>
    <col width="14.25" customWidth="1" style="138" min="12" max="12"/>
    <col width="13.125" customWidth="1" style="138" min="13" max="13"/>
    <col width="14.125" customWidth="1" style="138" min="14" max="14"/>
    <col width="15.625" customWidth="1" style="138" min="15" max="15"/>
    <col width="17.625" customWidth="1" style="138" min="16" max="16"/>
    <col width="2.625" customWidth="1" style="138" min="17" max="17"/>
    <col width="1.625" customWidth="1" style="138" min="18" max="18"/>
    <col width="11.125" customWidth="1" style="138" min="19" max="19"/>
    <col width="12.75" customWidth="1" style="138" min="20" max="20"/>
    <col width="8.75" customWidth="1" style="138" min="21" max="16384"/>
  </cols>
  <sheetData>
    <row r="1" ht="50.1" customFormat="1" customHeight="1" s="132">
      <c r="B1" s="214" t="inlineStr">
        <is>
          <t>标准工作底稿: N SWP 应付账款</t>
        </is>
      </c>
      <c r="C1" s="215" t="n"/>
      <c r="D1" s="216" t="n"/>
      <c r="E1" s="216" t="n"/>
      <c r="F1" s="216" t="n"/>
      <c r="G1" s="216" t="n"/>
      <c r="H1" s="216" t="n"/>
      <c r="I1" s="216" t="n"/>
      <c r="J1" s="216" t="n"/>
      <c r="K1" s="216" t="n"/>
      <c r="L1" s="216" t="n"/>
      <c r="M1" s="216" t="n"/>
      <c r="N1" s="216" t="n"/>
      <c r="O1" s="216" t="n"/>
      <c r="P1" s="217" t="n"/>
      <c r="Q1" s="218" t="n"/>
      <c r="R1" s="219" t="n"/>
    </row>
    <row r="2" ht="25.9" customFormat="1" customHeight="1" s="135">
      <c r="B2" s="145" t="inlineStr">
        <is>
          <t>客户名称</t>
        </is>
      </c>
      <c r="C2" s="172" t="inlineStr">
        <is>
          <t>东风鸿远工程咨询有限公司</t>
        </is>
      </c>
      <c r="D2" s="638" t="inlineStr">
        <is>
          <t>此工作底稿需要与以下 Canvas PSP guided workflow forms一起使用：
     •N.00应付账款引导表
     •N.01将明细账与总账核对一致
     •N.02异常项复核
     •N.03应付账款截止测试
     •N.04寻找未入账负债
     •账户结论</t>
        </is>
      </c>
      <c r="P2" s="639" t="n"/>
      <c r="Q2" s="133" t="n"/>
      <c r="R2" s="134" t="n"/>
    </row>
    <row r="3" ht="21.75" customFormat="1" customHeight="1" s="135">
      <c r="B3" s="146" t="inlineStr">
        <is>
          <t>期末</t>
        </is>
      </c>
      <c r="C3" s="640" t="n">
        <v>46387</v>
      </c>
      <c r="D3" s="641" t="n"/>
      <c r="P3" s="639" t="n"/>
      <c r="Q3" s="133" t="n"/>
      <c r="R3" s="134" t="n"/>
    </row>
    <row r="4" ht="21.75" customFormat="1" customHeight="1" s="135">
      <c r="B4" s="146" t="inlineStr">
        <is>
          <t>分析日期</t>
        </is>
      </c>
      <c r="C4" s="642" t="n">
        <v>46170.66847503442</v>
      </c>
      <c r="D4" s="641" t="n"/>
      <c r="P4" s="639" t="n"/>
      <c r="Q4" s="133" t="n"/>
      <c r="R4" s="134" t="n"/>
    </row>
    <row r="5" ht="21.75" customFormat="1" customHeight="1" s="135">
      <c r="B5" s="146" t="inlineStr">
        <is>
          <t>可容忍误差（TE）</t>
        </is>
      </c>
      <c r="C5" s="643" t="n"/>
      <c r="D5" s="641" t="n"/>
      <c r="P5" s="639" t="n"/>
      <c r="Q5" s="133" t="n"/>
      <c r="R5" s="134" t="n"/>
    </row>
    <row r="6" ht="21.75" customFormat="1" customHeight="1" s="135">
      <c r="B6" s="146" t="inlineStr">
        <is>
          <t>名义金额（SAD）</t>
        </is>
      </c>
      <c r="C6" s="643" t="n"/>
      <c r="D6" s="641" t="n"/>
      <c r="P6" s="639" t="n"/>
      <c r="Q6" s="133" t="n"/>
      <c r="R6" s="134" t="n"/>
    </row>
    <row r="7" ht="21.75" customFormat="1" customHeight="1" s="135">
      <c r="B7" s="146" t="inlineStr">
        <is>
          <t>适用会计准则</t>
        </is>
      </c>
      <c r="C7" s="174" t="inlineStr">
        <is>
          <t>PRC</t>
        </is>
      </c>
      <c r="D7" s="641" t="n"/>
      <c r="P7" s="639" t="n"/>
      <c r="Q7" s="133" t="n"/>
      <c r="R7" s="134" t="n"/>
    </row>
    <row r="8" ht="21.75" customFormat="1" customHeight="1" s="135">
      <c r="B8" s="148" t="inlineStr">
        <is>
          <t>记账本位币</t>
        </is>
      </c>
      <c r="C8" s="175" t="inlineStr">
        <is>
          <t>CNY</t>
        </is>
      </c>
      <c r="D8" s="644" t="n"/>
      <c r="E8" s="645" t="n"/>
      <c r="F8" s="645" t="n"/>
      <c r="G8" s="645" t="n"/>
      <c r="H8" s="645" t="n"/>
      <c r="I8" s="645" t="n"/>
      <c r="J8" s="645" t="n"/>
      <c r="K8" s="645" t="n"/>
      <c r="L8" s="645" t="n"/>
      <c r="M8" s="645" t="n"/>
      <c r="N8" s="645" t="n"/>
      <c r="O8" s="645" t="n"/>
      <c r="P8" s="646" t="n"/>
      <c r="Q8" s="133" t="n"/>
      <c r="R8" s="134" t="n"/>
    </row>
    <row r="9" ht="30" customFormat="1" customHeight="1" s="136">
      <c r="B9" s="220" t="inlineStr">
        <is>
          <t>N.00 编制引导表并比较余额</t>
        </is>
      </c>
      <c r="C9" s="221" t="n"/>
      <c r="D9" s="221" t="n"/>
      <c r="E9" s="221" t="n"/>
      <c r="F9" s="221" t="n"/>
      <c r="G9" s="221" t="n"/>
      <c r="H9" s="221" t="n"/>
      <c r="I9" s="221" t="n"/>
      <c r="J9" s="221" t="n"/>
      <c r="K9" s="221" t="n"/>
      <c r="L9" s="221" t="n"/>
      <c r="M9" s="221" t="n"/>
      <c r="N9" s="221" t="n"/>
      <c r="O9" s="221" t="n"/>
      <c r="P9" s="222" t="n"/>
      <c r="Q9" s="218" t="n"/>
      <c r="R9" s="219" t="n"/>
    </row>
    <row r="10" ht="15" customFormat="1" customHeight="1" s="132">
      <c r="B10" s="10" t="n"/>
      <c r="C10" s="10" t="n"/>
      <c r="D10" s="10" t="n"/>
      <c r="E10" s="10" t="n"/>
      <c r="F10" s="10" t="n"/>
      <c r="G10" s="10" t="n"/>
      <c r="H10" s="10" t="n"/>
      <c r="I10" s="10" t="n"/>
      <c r="J10" s="10" t="n"/>
      <c r="K10" s="10" t="n"/>
      <c r="L10" s="10" t="n"/>
      <c r="M10" s="10" t="n"/>
      <c r="N10" s="10" t="n"/>
      <c r="O10" s="10" t="n"/>
      <c r="P10" s="10" t="n"/>
      <c r="Q10" s="218" t="n"/>
      <c r="R10" s="219" t="n"/>
    </row>
    <row r="11" ht="15" customFormat="1" customHeight="1" s="132">
      <c r="B11" s="46" t="inlineStr">
        <is>
          <t>返回汇总页</t>
        </is>
      </c>
      <c r="C11" s="10" t="n"/>
      <c r="D11" s="10" t="n"/>
      <c r="E11" s="10" t="n"/>
      <c r="F11" s="10" t="n"/>
      <c r="G11" s="10" t="n"/>
      <c r="H11" s="10" t="n"/>
      <c r="I11" s="10" t="n"/>
      <c r="J11" s="10" t="n"/>
      <c r="K11" s="10" t="n"/>
      <c r="L11" s="10" t="n"/>
      <c r="M11" s="10" t="n"/>
      <c r="N11" s="10" t="n"/>
      <c r="O11" s="10" t="n"/>
      <c r="P11" s="10" t="n"/>
      <c r="Q11" s="218" t="n"/>
      <c r="R11" s="219" t="n"/>
    </row>
    <row r="12" ht="15" customFormat="1" customHeight="1" s="132">
      <c r="B12" s="10" t="n"/>
      <c r="C12" s="10" t="n"/>
      <c r="D12" s="10" t="n"/>
      <c r="E12" s="10" t="n"/>
      <c r="F12" s="10" t="n"/>
      <c r="G12" s="10" t="n"/>
      <c r="H12" s="10" t="n"/>
      <c r="I12" s="10" t="n"/>
      <c r="J12" s="10" t="n"/>
      <c r="K12" s="10" t="n"/>
      <c r="L12" s="10" t="n"/>
      <c r="M12" s="10" t="n"/>
      <c r="N12" s="10" t="n"/>
      <c r="O12" s="10" t="n"/>
      <c r="P12" s="10" t="n"/>
      <c r="Q12" s="218" t="n"/>
      <c r="R12" s="219" t="n"/>
    </row>
    <row r="13" ht="15" customFormat="1" customHeight="1" s="132">
      <c r="B13" s="223" t="n"/>
      <c r="C13" s="223" t="n"/>
      <c r="D13" s="224" t="inlineStr">
        <is>
          <t>Threshold(s)</t>
        </is>
      </c>
      <c r="E13" s="225" t="n"/>
      <c r="F13" s="10" t="n"/>
      <c r="G13" s="10" t="n"/>
      <c r="H13" s="647" t="inlineStr">
        <is>
          <t>安永标记</t>
        </is>
      </c>
      <c r="I13" s="648" t="n"/>
      <c r="J13" s="648" t="n"/>
      <c r="K13" s="648" t="n"/>
      <c r="L13" s="649" t="n"/>
      <c r="M13" s="10" t="n"/>
      <c r="N13" s="10" t="n"/>
      <c r="O13" s="10" t="n"/>
      <c r="P13" s="10" t="n"/>
      <c r="Q13" s="218" t="n"/>
      <c r="R13" s="219" t="n"/>
    </row>
    <row r="14" ht="15" customFormat="1" customHeight="1" s="132">
      <c r="B14" s="405" t="inlineStr">
        <is>
          <t>认定</t>
        </is>
      </c>
      <c r="C14" s="405" t="inlineStr">
        <is>
          <t>CRA</t>
        </is>
      </c>
      <c r="D14" s="405" t="inlineStr">
        <is>
          <t>各项认定1</t>
        </is>
      </c>
      <c r="E14" s="406" t="inlineStr">
        <is>
          <t>所有相关认定 2</t>
        </is>
      </c>
      <c r="F14" s="10" t="n"/>
      <c r="G14" s="10" t="n"/>
      <c r="H14" s="226" t="inlineStr">
        <is>
          <t>TB</t>
        </is>
      </c>
      <c r="I14" s="227" t="inlineStr">
        <is>
          <t>已与科目余额表核对无误</t>
        </is>
      </c>
      <c r="J14" s="165" t="n"/>
      <c r="K14" s="165" t="n"/>
      <c r="L14" s="166" t="n"/>
      <c r="M14" s="10" t="n"/>
      <c r="N14" s="10" t="n"/>
      <c r="O14" s="10" t="n"/>
      <c r="P14" s="10" t="n"/>
      <c r="Q14" s="218" t="n"/>
      <c r="R14" s="219" t="n"/>
    </row>
    <row r="15" ht="15" customFormat="1" customHeight="1" s="132">
      <c r="B15" s="407" t="inlineStr">
        <is>
          <t>完整性 (C)</t>
        </is>
      </c>
      <c r="C15" s="228" t="n"/>
      <c r="D15" s="650">
        <f>IF(C15="Minimal",$C$5*50%,IF(C15="Low",$C$5*25%,IF(C15="Moderate",$C$5*15%,IF(C15="High",$C$5*10%,IF(C15="N/A","-",)))))</f>
        <v/>
      </c>
      <c r="E15" s="651">
        <f>MIN($D$15:$D$19)</f>
        <v/>
      </c>
      <c r="F15" s="10" t="n"/>
      <c r="G15" s="10" t="n"/>
      <c r="H15" s="149" t="inlineStr">
        <is>
          <t>PY</t>
        </is>
      </c>
      <c r="I15" s="227" t="inlineStr">
        <is>
          <t>与上年最终审定数核对一致</t>
        </is>
      </c>
      <c r="J15" s="163" t="n"/>
      <c r="K15" s="231" t="n"/>
      <c r="L15" s="232" t="n"/>
      <c r="M15" s="10" t="n"/>
      <c r="N15" s="10" t="n"/>
      <c r="O15" s="10" t="n"/>
      <c r="P15" s="10" t="n"/>
      <c r="Q15" s="218" t="n"/>
      <c r="R15" s="219" t="n"/>
    </row>
    <row r="16" ht="15" customFormat="1" customHeight="1" s="132">
      <c r="B16" s="407" t="inlineStr">
        <is>
          <t>存在性 (E)</t>
        </is>
      </c>
      <c r="C16" s="228" t="n"/>
      <c r="D16" s="650">
        <f>IF(C16="Minimal",$C$5*100%,IF(C16="Low",$C$5*75%,IF(C16="Moderate",$C$5*50%,IF(C16="High",$C$5*25%,IF(C16="N/A","-",)))))</f>
        <v/>
      </c>
      <c r="E16" s="652" t="n"/>
      <c r="F16" s="10" t="n"/>
      <c r="G16" s="10" t="n"/>
      <c r="H16" s="226" t="inlineStr">
        <is>
          <t>A3</t>
        </is>
      </c>
      <c r="I16" s="234" t="inlineStr">
        <is>
          <t>与未审数、审定数核对一致</t>
        </is>
      </c>
      <c r="J16" s="235" t="n"/>
      <c r="K16" s="231" t="n"/>
      <c r="L16" s="232" t="n"/>
      <c r="M16" s="10" t="n"/>
      <c r="N16" s="10" t="n"/>
      <c r="O16" s="10" t="n"/>
      <c r="P16" s="10" t="n"/>
      <c r="Q16" s="218" t="n"/>
      <c r="R16" s="219" t="n"/>
    </row>
    <row r="17" ht="15" customFormat="1" customHeight="1" s="132">
      <c r="B17" s="407" t="inlineStr">
        <is>
          <t>计价（V）</t>
        </is>
      </c>
      <c r="C17" s="228" t="n"/>
      <c r="D17" s="650">
        <f>IF(C17="Minimal",$C$5*100%,IF(C17="Low",$C$5*75%,IF(C17="Moderate",$C$5*50%,IF(C17="High",$C$5*25%,IF(C17="N/A","-",)))))</f>
        <v/>
      </c>
      <c r="E17" s="652" t="n"/>
      <c r="F17" s="10" t="n"/>
      <c r="G17" s="10" t="n"/>
      <c r="H17" s="226" t="inlineStr">
        <is>
          <t>A5</t>
        </is>
      </c>
      <c r="I17" s="234" t="inlineStr">
        <is>
          <t>与审计调整核对一致</t>
        </is>
      </c>
      <c r="J17" s="236" t="n"/>
      <c r="K17" s="231" t="n"/>
      <c r="L17" s="232" t="n"/>
      <c r="M17" s="10" t="n"/>
      <c r="N17" s="10" t="n"/>
      <c r="O17" s="10" t="n"/>
      <c r="P17" s="10" t="n"/>
      <c r="Q17" s="218" t="n"/>
      <c r="R17" s="219" t="n"/>
    </row>
    <row r="18" ht="15" customFormat="1" customHeight="1" s="132">
      <c r="B18" s="407" t="inlineStr">
        <is>
          <t>权利和义务（R&amp;O）</t>
        </is>
      </c>
      <c r="C18" s="228" t="n"/>
      <c r="D18" s="650">
        <f>IF(C18="Minimal",$C$5*100%,IF(C18="Low",$C$5*75%,IF(C18="Moderate",$C$5*50%,IF(C18="High",$C$5*25%,IF(C18="N/A","-",)))))</f>
        <v/>
      </c>
      <c r="E18" s="652" t="n"/>
      <c r="F18" s="10" t="n"/>
      <c r="G18" s="10" t="n"/>
      <c r="H18" s="237" t="inlineStr">
        <is>
          <t>FS</t>
        </is>
      </c>
      <c r="I18" s="227" t="inlineStr">
        <is>
          <t>与FS.0x与财务报表核对无误</t>
        </is>
      </c>
      <c r="J18" s="238" t="n"/>
      <c r="K18" s="239" t="n"/>
      <c r="L18" s="240" t="n"/>
      <c r="M18" s="10" t="n"/>
      <c r="N18" s="10" t="n"/>
      <c r="O18" s="10" t="n"/>
      <c r="P18" s="10" t="n"/>
      <c r="Q18" s="218" t="n"/>
      <c r="R18" s="219" t="n"/>
    </row>
    <row r="19" ht="15" customFormat="1" customHeight="1" s="132">
      <c r="B19" s="408" t="inlineStr">
        <is>
          <t>列报和披露（P&amp;D）</t>
        </is>
      </c>
      <c r="C19" s="241" t="n"/>
      <c r="D19" s="650">
        <f>IF(C19="Minimal",$C$5*100%,IF(C19="Low",$C$5*75%,IF(C19="Moderate",$C$5*50%,IF(C19="High",$C$5*25%,IF(C19="N/A","-",)))))</f>
        <v/>
      </c>
      <c r="E19" s="653" t="n"/>
      <c r="F19" s="10" t="n"/>
      <c r="G19" s="10" t="n"/>
      <c r="H19" s="150" t="inlineStr">
        <is>
          <t>w</t>
        </is>
      </c>
      <c r="I19" s="227" t="inlineStr">
        <is>
          <t>低于SAD的金额——放弃进一步调查</t>
        </is>
      </c>
      <c r="J19" s="231" t="n"/>
      <c r="K19" s="231" t="n"/>
      <c r="L19" s="232" t="n"/>
      <c r="M19" s="10" t="n"/>
      <c r="N19" s="10" t="n"/>
      <c r="O19" s="10" t="n"/>
      <c r="P19" s="10" t="n"/>
      <c r="Q19" s="218" t="n"/>
      <c r="R19" s="219" t="n"/>
    </row>
    <row r="20" ht="15" customFormat="1" customHeight="1" s="132">
      <c r="B20" s="498" t="inlineStr">
        <is>
          <t xml:space="preserve">1 各项认定的测试阈值，是根据EY GAM SUBSTANTIVE DESIGN 2.2.1 </t>
        </is>
      </c>
      <c r="F20" s="10" t="n"/>
      <c r="G20" s="10" t="n"/>
      <c r="H20" s="226" t="inlineStr">
        <is>
          <t>Rx</t>
        </is>
      </c>
      <c r="I20" s="227" t="inlineStr">
        <is>
          <t>重新计算，无异常</t>
        </is>
      </c>
      <c r="J20" s="231" t="n"/>
      <c r="K20" s="231" t="n"/>
      <c r="L20" s="232" t="n"/>
      <c r="M20" s="243" t="n"/>
      <c r="N20" s="243" t="n"/>
      <c r="O20" s="243" t="n"/>
      <c r="P20" s="243" t="n"/>
      <c r="Q20" s="218" t="n"/>
      <c r="R20" s="219" t="n"/>
    </row>
    <row r="21" ht="15" customFormat="1" customHeight="1" s="132">
      <c r="B21" s="176" t="inlineStr">
        <is>
          <t>中的示例测试阈值（用占TE的百分比表示）在相应风险等级（CRA）区间的上限计算得出的。</t>
        </is>
      </c>
      <c r="C21" s="498" t="n"/>
      <c r="D21" s="498" t="n"/>
      <c r="E21" s="498" t="n"/>
      <c r="F21" s="10" t="n"/>
      <c r="G21" s="10" t="n"/>
      <c r="H21" s="150" t="inlineStr">
        <is>
          <t>m</t>
        </is>
      </c>
      <c r="I21" s="227" t="inlineStr">
        <is>
          <t>余额/活动不符合测试范围–无需进一步调查</t>
        </is>
      </c>
      <c r="J21" s="231" t="n"/>
      <c r="K21" s="231" t="n"/>
      <c r="L21" s="232" t="n"/>
      <c r="M21" s="243" t="n"/>
      <c r="N21" s="243" t="n"/>
      <c r="O21" s="243" t="n"/>
      <c r="P21" s="243" t="n"/>
      <c r="Q21" s="218" t="n"/>
      <c r="R21" s="219" t="n"/>
    </row>
    <row r="22" ht="15" customFormat="1" customHeight="1" s="132">
      <c r="B22" s="176" t="inlineStr">
        <is>
          <t>除负债/费用类别账户的完整性认定应当使用负债/费用账户表之外，其他类别账户和认定均可使用资产/收入账户表。</t>
        </is>
      </c>
      <c r="C22" s="498" t="n"/>
      <c r="D22" s="498" t="n"/>
      <c r="E22" s="498" t="n"/>
      <c r="F22" s="10" t="n"/>
      <c r="G22" s="10" t="n"/>
      <c r="H22" s="244" t="inlineStr">
        <is>
          <t>SL</t>
        </is>
      </c>
      <c r="I22" s="245" t="inlineStr">
        <is>
          <t>已与明细账核对无误</t>
        </is>
      </c>
      <c r="J22" s="238" t="n"/>
      <c r="K22" s="238" t="n"/>
      <c r="L22" s="246" t="n"/>
      <c r="M22" s="243" t="n"/>
      <c r="N22" s="243" t="n"/>
      <c r="O22" s="243" t="n"/>
      <c r="P22" s="243" t="n"/>
      <c r="Q22" s="218" t="n"/>
      <c r="R22" s="219" t="n"/>
    </row>
    <row r="23" ht="31.5" customFormat="1" customHeight="1" s="132">
      <c r="B23" s="498" t="inlineStr">
        <is>
          <t>2 所有相关认定的测试阈值，是所有有效认定对应之测试阈值的最小值。我们在 Lead中使用该测试阈值：（a）作为选取总账账户进行测试的起点；（b）作为（需要进一步调查的）金额波动范围的起点。</t>
        </is>
      </c>
      <c r="F23" s="10" t="n"/>
      <c r="G23" s="10" t="n"/>
      <c r="H23" s="247" t="n"/>
      <c r="I23" s="169" t="n"/>
      <c r="J23" s="223" t="n"/>
      <c r="K23" s="223" t="n"/>
      <c r="L23" s="223" t="n"/>
      <c r="M23" s="243" t="n"/>
      <c r="N23" s="243" t="n"/>
      <c r="O23" s="243" t="n"/>
      <c r="P23" s="243" t="n"/>
      <c r="Q23" s="218" t="n"/>
      <c r="R23" s="219" t="n"/>
    </row>
    <row r="24" ht="12.75" customHeight="1" s="634">
      <c r="B24" s="164" t="n"/>
      <c r="C24" s="164" t="n"/>
      <c r="D24" s="164" t="n"/>
      <c r="E24" s="164" t="n"/>
      <c r="F24" s="164" t="n"/>
      <c r="G24" s="164" t="n"/>
      <c r="H24" s="164" t="n"/>
      <c r="I24" s="164" t="n"/>
      <c r="J24" s="164" t="n"/>
      <c r="K24" s="164" t="n"/>
      <c r="L24" s="164" t="n"/>
      <c r="M24" s="164" t="n"/>
      <c r="N24" s="164" t="n"/>
      <c r="O24" s="164" t="n"/>
      <c r="P24" s="164" t="n"/>
      <c r="Q24" s="164" t="n"/>
      <c r="R24" s="219" t="n"/>
    </row>
    <row r="25" ht="15" customFormat="1" customHeight="1" s="137">
      <c r="B25" s="248" t="inlineStr">
        <is>
          <t>在下文中描述我们对应付账款在此期间的相关账户余额和相关波动的预期，以及我们对这些预期的依据和理由。</t>
        </is>
      </c>
      <c r="C25" s="152" t="n"/>
      <c r="D25" s="152" t="n"/>
      <c r="E25" s="152" t="n"/>
      <c r="F25" s="152" t="n"/>
      <c r="G25" s="164" t="n"/>
      <c r="H25" s="164" t="n"/>
      <c r="I25" s="164" t="n"/>
      <c r="J25" s="164" t="n"/>
      <c r="K25" s="164" t="n"/>
      <c r="L25" s="164" t="n"/>
      <c r="M25" s="164" t="n"/>
      <c r="N25" s="164" t="n"/>
      <c r="O25" s="164" t="n"/>
      <c r="P25" s="164" t="n"/>
      <c r="Q25" s="218" t="n"/>
      <c r="R25" s="219" t="n"/>
    </row>
    <row r="26" ht="15" customFormat="1" customHeight="1" s="132">
      <c r="B26" s="654" t="n"/>
      <c r="C26" s="655" t="n"/>
      <c r="D26" s="655" t="n"/>
      <c r="E26" s="655" t="n"/>
      <c r="F26" s="656" t="n"/>
      <c r="G26" s="164" t="n"/>
      <c r="H26" s="164" t="n"/>
      <c r="I26" s="164" t="n"/>
      <c r="J26" s="164" t="n"/>
      <c r="K26" s="164" t="n"/>
      <c r="L26" s="164" t="n"/>
      <c r="M26" s="164" t="n"/>
      <c r="N26" s="164" t="n"/>
      <c r="O26" s="164" t="n"/>
      <c r="P26" s="164" t="n"/>
      <c r="Q26" s="218" t="n"/>
      <c r="R26" s="219" t="n"/>
    </row>
    <row r="27" ht="12.95" customFormat="1" customHeight="1" s="132">
      <c r="B27" s="657" t="n"/>
      <c r="C27" s="658" t="n"/>
      <c r="D27" s="658" t="n"/>
      <c r="E27" s="658" t="n"/>
      <c r="F27" s="659" t="n"/>
      <c r="G27" s="164" t="n"/>
      <c r="H27" s="164" t="n"/>
      <c r="I27" s="164" t="n"/>
      <c r="J27" s="164" t="n"/>
      <c r="K27" s="164" t="n"/>
      <c r="L27" s="164" t="n"/>
      <c r="M27" s="164" t="n"/>
      <c r="N27" s="164" t="n"/>
      <c r="O27" s="164" t="n"/>
      <c r="P27" s="164" t="n"/>
      <c r="Q27" s="218" t="n"/>
      <c r="R27" s="219" t="n"/>
    </row>
    <row r="28" ht="12.95" customFormat="1" customHeight="1" s="132">
      <c r="B28" s="660" t="n"/>
      <c r="C28" s="661" t="n"/>
      <c r="D28" s="661" t="n"/>
      <c r="E28" s="661" t="n"/>
      <c r="F28" s="662" t="n"/>
      <c r="G28" s="164" t="n"/>
      <c r="H28" s="164" t="n"/>
      <c r="I28" s="164" t="n"/>
      <c r="J28" s="164" t="n"/>
      <c r="K28" s="164" t="n"/>
      <c r="L28" s="164" t="n"/>
      <c r="M28" s="164" t="n"/>
      <c r="N28" s="164" t="n"/>
      <c r="O28" s="164" t="n"/>
      <c r="P28" s="164" t="n"/>
      <c r="Q28" s="218" t="n"/>
      <c r="R28" s="219" t="n"/>
    </row>
    <row r="29" ht="15" customFormat="1" customHeight="1" s="132">
      <c r="B29" s="12" t="n"/>
      <c r="C29" s="249" t="n"/>
      <c r="D29" s="249" t="n"/>
      <c r="E29" s="249" t="n"/>
      <c r="F29" s="249" t="n"/>
      <c r="G29" s="164" t="n"/>
      <c r="H29" s="164" t="n"/>
      <c r="I29" s="164" t="n"/>
      <c r="J29" s="164" t="n"/>
      <c r="K29" s="164" t="n"/>
      <c r="L29" s="164" t="n"/>
      <c r="M29" s="164" t="n"/>
      <c r="N29" s="164" t="n"/>
      <c r="O29" s="164" t="n"/>
      <c r="P29" s="164" t="n"/>
      <c r="Q29" s="218" t="n"/>
      <c r="R29" s="219" t="n"/>
    </row>
    <row r="30" ht="15" customFormat="1" customHeight="1" s="132">
      <c r="B30" s="250" t="inlineStr">
        <is>
          <t>波动范围</t>
        </is>
      </c>
      <c r="C30" s="251" t="n"/>
      <c r="D30" s="663" t="n"/>
      <c r="E30" s="253" t="n"/>
      <c r="F30" s="253" t="n"/>
      <c r="G30" s="253" t="n"/>
      <c r="H30" s="253" t="n"/>
      <c r="I30" s="253" t="n"/>
      <c r="J30" s="253" t="n"/>
      <c r="K30" s="253" t="n"/>
      <c r="L30" s="10" t="n"/>
      <c r="M30" s="10" t="n"/>
      <c r="N30" s="254" t="n"/>
      <c r="O30" s="10" t="n"/>
      <c r="P30" s="10" t="n"/>
      <c r="Q30" s="218" t="n"/>
      <c r="R30" s="219" t="n"/>
    </row>
    <row r="31" ht="15" customFormat="1" customHeight="1" s="132">
      <c r="B31" s="255">
        <f>"波动幅度 ("&amp;C8&amp; "):"</f>
        <v/>
      </c>
      <c r="C31" s="664">
        <f>$E$15</f>
        <v/>
      </c>
      <c r="D31" s="257" t="n"/>
      <c r="E31" s="10" t="n"/>
      <c r="F31" s="10" t="n"/>
      <c r="G31" s="10" t="n"/>
      <c r="H31" s="10" t="n"/>
      <c r="I31" s="10" t="n"/>
      <c r="J31" s="10" t="n"/>
      <c r="K31" s="10" t="n"/>
      <c r="L31" s="10" t="n"/>
      <c r="M31" s="10" t="n"/>
      <c r="N31" s="254" t="n"/>
      <c r="O31" s="10" t="n"/>
      <c r="P31" s="10" t="n"/>
      <c r="Q31" s="218" t="n"/>
      <c r="R31" s="219" t="n"/>
    </row>
    <row r="32" ht="15" customFormat="1" customHeight="1" s="139">
      <c r="B32" s="255" t="inlineStr">
        <is>
          <t>波动幅度 (%):</t>
        </is>
      </c>
      <c r="C32" s="258" t="n">
        <v>0.1</v>
      </c>
      <c r="D32" s="259" t="n"/>
      <c r="E32" s="260" t="n"/>
      <c r="F32" s="260" t="n"/>
      <c r="G32" s="260" t="n"/>
      <c r="H32" s="260" t="n"/>
      <c r="I32" s="260" t="n"/>
      <c r="J32" s="260" t="n"/>
      <c r="K32" s="260" t="n"/>
      <c r="L32" s="260" t="n"/>
      <c r="M32" s="10" t="n"/>
      <c r="N32" s="261" t="n"/>
      <c r="O32" s="260" t="n"/>
      <c r="P32" s="260" t="n"/>
      <c r="Q32" s="218" t="n"/>
      <c r="R32" s="219" t="n"/>
    </row>
    <row r="33" ht="15" customFormat="1" customHeight="1" s="139">
      <c r="B33" s="262" t="n"/>
      <c r="C33" s="263" t="n"/>
      <c r="D33" s="259" t="n"/>
      <c r="E33" s="260" t="n"/>
      <c r="F33" s="260" t="n"/>
      <c r="G33" s="260" t="n"/>
      <c r="H33" s="260" t="n"/>
      <c r="I33" s="260" t="n"/>
      <c r="J33" s="260" t="n"/>
      <c r="K33" s="260" t="n"/>
      <c r="L33" s="260" t="n"/>
      <c r="M33" s="260" t="n"/>
      <c r="N33" s="10" t="n"/>
      <c r="O33" s="261" t="n"/>
      <c r="P33" s="260" t="n"/>
      <c r="Q33" s="260" t="n"/>
      <c r="R33" s="219" t="n"/>
      <c r="S33" s="260" t="n"/>
      <c r="T33" s="260" t="n"/>
      <c r="U33" s="260" t="n"/>
      <c r="V33" s="260" t="n"/>
    </row>
    <row r="34" ht="15" customFormat="1" customHeight="1" s="139">
      <c r="B34" s="260" t="n"/>
      <c r="C34" s="223" t="n"/>
      <c r="D34" s="223" t="n"/>
      <c r="E34" s="223" t="n"/>
      <c r="F34" s="260" t="n"/>
      <c r="G34" s="50" t="n"/>
      <c r="H34" s="50" t="n"/>
      <c r="I34" s="50" t="n"/>
      <c r="J34" s="50" t="n"/>
      <c r="K34" s="260" t="n"/>
      <c r="L34" s="223" t="n"/>
      <c r="M34" s="223" t="n"/>
      <c r="N34" s="223" t="n"/>
      <c r="O34" s="223" t="n"/>
      <c r="P34" s="223" t="n"/>
      <c r="Q34" s="261" t="n"/>
      <c r="R34" s="219" t="n"/>
      <c r="S34" s="260" t="n"/>
      <c r="T34" s="260" t="n"/>
      <c r="U34" s="260" t="n"/>
      <c r="V34" s="218" t="n"/>
    </row>
    <row r="35" ht="15" customFormat="1" customHeight="1" s="139">
      <c r="B35" s="260" t="n"/>
      <c r="C35" s="223" t="n"/>
      <c r="D35" s="223" t="n"/>
      <c r="E35" s="223" t="n"/>
      <c r="F35" s="50" t="inlineStr">
        <is>
          <t>|------- TB -------|</t>
        </is>
      </c>
      <c r="G35" s="153" t="n"/>
      <c r="H35" s="153" t="n"/>
      <c r="I35" s="153" t="n"/>
      <c r="J35" s="153" t="n"/>
      <c r="K35" s="153" t="inlineStr">
        <is>
          <t>|------- PY -------|</t>
        </is>
      </c>
      <c r="L35" s="153" t="n"/>
      <c r="M35" s="153" t="n"/>
      <c r="N35" s="223" t="n"/>
      <c r="O35" s="223" t="n"/>
      <c r="P35" s="223" t="n"/>
      <c r="Q35" s="261" t="n"/>
      <c r="R35" s="219" t="n"/>
      <c r="S35" s="260" t="n"/>
      <c r="T35" s="260" t="n"/>
      <c r="U35" s="260" t="n"/>
      <c r="V35" s="218" t="n"/>
    </row>
    <row r="36" ht="15" customFormat="1" customHeight="1" s="139">
      <c r="B36" s="264" t="inlineStr">
        <is>
          <t>表1</t>
        </is>
      </c>
      <c r="C36" s="223" t="n"/>
      <c r="D36" s="223" t="n"/>
      <c r="E36" s="223" t="n"/>
      <c r="F36" s="184">
        <f>"货币/单位: "&amp;C8</f>
        <v/>
      </c>
      <c r="G36" s="185" t="n"/>
      <c r="H36" s="185" t="n"/>
      <c r="I36" s="185" t="n"/>
      <c r="J36" s="185" t="n"/>
      <c r="K36" s="186" t="n"/>
      <c r="L36" s="153" t="n"/>
      <c r="M36" s="153" t="n"/>
      <c r="N36" s="223" t="n"/>
      <c r="O36" s="223" t="n"/>
      <c r="P36" s="223" t="n"/>
      <c r="Q36" s="261" t="n"/>
      <c r="R36" s="219" t="n"/>
      <c r="S36" s="260" t="n"/>
      <c r="T36" s="260" t="n"/>
      <c r="U36" s="260" t="n"/>
      <c r="V36" s="218" t="n"/>
    </row>
    <row r="37" ht="15" customFormat="1" customHeight="1" s="139">
      <c r="B37" s="665" t="inlineStr">
        <is>
          <t>账套名称/账套编码</t>
        </is>
      </c>
      <c r="C37" s="500" t="inlineStr">
        <is>
          <t>总账科目编码</t>
        </is>
      </c>
      <c r="D37" s="500" t="inlineStr">
        <is>
          <t>科目名称</t>
        </is>
      </c>
      <c r="E37" s="500" t="inlineStr">
        <is>
          <t>索引号</t>
        </is>
      </c>
      <c r="F37" s="501">
        <f>C3</f>
        <v/>
      </c>
      <c r="G37" s="635" t="n"/>
      <c r="H37" s="635" t="n"/>
      <c r="I37" s="635" t="n"/>
      <c r="J37" s="636" t="n"/>
      <c r="K37" s="666">
        <f>DATE(YEAR($C$3)-1,12,31)</f>
        <v/>
      </c>
      <c r="L37" s="499" t="inlineStr">
        <is>
          <t>本期和上期期末余额</t>
        </is>
      </c>
      <c r="M37" s="636" t="n"/>
      <c r="N37" s="466" t="inlineStr">
        <is>
          <t>Notes</t>
        </is>
      </c>
      <c r="O37" s="497" t="inlineStr">
        <is>
          <t>基于波动幅度判断，是否进一步调查？</t>
        </is>
      </c>
      <c r="P37" s="497" t="inlineStr">
        <is>
          <t>基于定性考虑判断，是否进一步调查？</t>
        </is>
      </c>
      <c r="Q37" s="261" t="n"/>
      <c r="R37" s="219" t="n"/>
      <c r="S37" s="260" t="n"/>
      <c r="T37" s="260" t="n"/>
      <c r="U37" s="260" t="n"/>
      <c r="V37" s="218" t="n"/>
    </row>
    <row r="38" ht="23.45" customFormat="1" customHeight="1" s="140">
      <c r="B38" s="667" t="n"/>
      <c r="C38" s="637" t="n"/>
      <c r="D38" s="637" t="n"/>
      <c r="E38" s="637" t="n"/>
      <c r="F38" s="182" t="inlineStr">
        <is>
          <t>期末账面数</t>
        </is>
      </c>
      <c r="G38" s="500" t="inlineStr">
        <is>
          <t>账表调整数</t>
        </is>
      </c>
      <c r="H38" s="500" t="inlineStr">
        <is>
          <t>期末未审数</t>
        </is>
      </c>
      <c r="I38" s="500" t="inlineStr">
        <is>
          <t>审计调整数</t>
        </is>
      </c>
      <c r="J38" s="500" t="inlineStr">
        <is>
          <t>期末审定数</t>
        </is>
      </c>
      <c r="K38" s="183" t="inlineStr">
        <is>
          <t>上期末审定数</t>
        </is>
      </c>
      <c r="L38" s="500" t="inlineStr">
        <is>
          <t>变动金额</t>
        </is>
      </c>
      <c r="M38" s="500" t="inlineStr">
        <is>
          <t>变动%</t>
        </is>
      </c>
      <c r="N38" s="637" t="n"/>
      <c r="O38" s="637" t="n"/>
      <c r="P38" s="637" t="n"/>
      <c r="Q38" s="265" t="n"/>
      <c r="R38" s="219" t="n"/>
      <c r="S38" s="266" t="n"/>
      <c r="T38" s="266" t="n"/>
      <c r="U38" s="266" t="n"/>
      <c r="V38" s="267" t="n"/>
    </row>
    <row r="39" ht="15" customFormat="1" customHeight="1" s="139">
      <c r="B39" s="268" t="inlineStr">
        <is>
          <t>东风鸿远工程咨询有限公司</t>
        </is>
      </c>
      <c r="C39" s="268" t="n">
        <v>2121</v>
      </c>
      <c r="D39" s="268" t="inlineStr">
        <is>
          <t>应付账款</t>
        </is>
      </c>
      <c r="E39" s="269" t="inlineStr">
        <is>
          <t>N.01/</t>
        </is>
      </c>
      <c r="F39" s="668" t="n"/>
      <c r="G39" s="669" t="n"/>
      <c r="H39" s="670">
        <f>F39+G39</f>
        <v/>
      </c>
      <c r="I39" s="669" t="n"/>
      <c r="J39" s="670">
        <f>H39+I39</f>
        <v/>
      </c>
      <c r="K39" s="668" t="n">
        <v>-57526376.38</v>
      </c>
      <c r="L39" s="671">
        <f>J39-K39</f>
        <v/>
      </c>
      <c r="M39" s="270">
        <f>IFERROR(L39/K39,1)</f>
        <v/>
      </c>
      <c r="N39" s="271" t="inlineStr">
        <is>
          <t>[A]</t>
        </is>
      </c>
      <c r="O39" s="672">
        <f>IF(AND(ABS(L39)&gt;=$C$31,ABS(M39)&gt;=$C$32),"是","否")</f>
        <v/>
      </c>
      <c r="P39" s="268" t="n"/>
      <c r="Q39" s="261" t="n"/>
      <c r="R39" s="219" t="n"/>
      <c r="S39" s="260" t="n"/>
      <c r="T39" s="260" t="n"/>
      <c r="U39" s="260" t="n"/>
      <c r="V39" s="218" t="n"/>
    </row>
    <row r="40" ht="15" customFormat="1" customHeight="1" s="139">
      <c r="B40" s="268" t="n"/>
      <c r="C40" s="268" t="n"/>
      <c r="D40" s="268" t="n"/>
      <c r="E40" s="269" t="n"/>
      <c r="F40" s="668" t="n"/>
      <c r="G40" s="669" t="n"/>
      <c r="H40" s="670">
        <f>F40+G40</f>
        <v/>
      </c>
      <c r="I40" s="669" t="n"/>
      <c r="J40" s="670">
        <f>H40+I40</f>
        <v/>
      </c>
      <c r="K40" s="668" t="n">
        <v>0</v>
      </c>
      <c r="L40" s="671">
        <f>J40-K40</f>
        <v/>
      </c>
      <c r="M40" s="270">
        <f>IFERROR(L40/K40,1)</f>
        <v/>
      </c>
      <c r="N40" s="271" t="n"/>
      <c r="O40" s="672">
        <f>IF(AND(ABS(L40)&gt;=$C$31,ABS(M40)&gt;=$C$32),"是","否")</f>
        <v/>
      </c>
      <c r="P40" s="268" t="n"/>
      <c r="Q40" s="261" t="n"/>
      <c r="R40" s="219" t="n"/>
      <c r="S40" s="260" t="n"/>
      <c r="T40" s="260" t="n"/>
      <c r="U40" s="260" t="n"/>
      <c r="V40" s="218" t="n"/>
    </row>
    <row r="41" ht="15" customFormat="1" customHeight="1" s="139">
      <c r="B41" s="268" t="n"/>
      <c r="C41" s="268" t="n"/>
      <c r="D41" s="268" t="n"/>
      <c r="E41" s="269" t="n"/>
      <c r="F41" s="668" t="n"/>
      <c r="G41" s="669" t="n"/>
      <c r="H41" s="670">
        <f>F41+G41</f>
        <v/>
      </c>
      <c r="I41" s="669" t="n"/>
      <c r="J41" s="670">
        <f>H41+I41</f>
        <v/>
      </c>
      <c r="K41" s="668" t="n"/>
      <c r="L41" s="671">
        <f>J41-K41</f>
        <v/>
      </c>
      <c r="M41" s="270">
        <f>IFERROR(L41/K41,1)</f>
        <v/>
      </c>
      <c r="N41" s="271" t="n"/>
      <c r="O41" s="672">
        <f>IF(AND(ABS(L41)&gt;=$C$31,ABS(M41)&gt;=$C$32),"是","否")</f>
        <v/>
      </c>
      <c r="P41" s="268" t="n"/>
      <c r="Q41" s="261" t="n"/>
      <c r="R41" s="219" t="n"/>
      <c r="S41" s="260" t="n"/>
      <c r="T41" s="260" t="n"/>
      <c r="U41" s="260" t="n"/>
      <c r="V41" s="218" t="n"/>
    </row>
    <row r="42" ht="15" customFormat="1" customHeight="1" s="139">
      <c r="B42" s="268" t="n"/>
      <c r="C42" s="268" t="n"/>
      <c r="D42" s="268" t="n"/>
      <c r="E42" s="269" t="n"/>
      <c r="F42" s="668" t="n"/>
      <c r="G42" s="669" t="n"/>
      <c r="H42" s="670">
        <f>F42+G42</f>
        <v/>
      </c>
      <c r="I42" s="669" t="n"/>
      <c r="J42" s="670">
        <f>H42+I42</f>
        <v/>
      </c>
      <c r="K42" s="668" t="n"/>
      <c r="L42" s="671">
        <f>J42-K42</f>
        <v/>
      </c>
      <c r="M42" s="270">
        <f>IFERROR(L42/K42,1)</f>
        <v/>
      </c>
      <c r="N42" s="271" t="n"/>
      <c r="O42" s="672">
        <f>IF(AND(ABS(L42)&gt;=$C$31,ABS(M42)&gt;=$C$32),"是","否")</f>
        <v/>
      </c>
      <c r="P42" s="268" t="n"/>
      <c r="Q42" s="261" t="n"/>
      <c r="R42" s="219" t="n"/>
      <c r="S42" s="260" t="n"/>
      <c r="T42" s="260" t="n"/>
      <c r="U42" s="260" t="n"/>
      <c r="V42" s="218" t="n"/>
    </row>
    <row r="43" ht="15" customFormat="1" customHeight="1" s="139">
      <c r="B43" s="268" t="n"/>
      <c r="C43" s="268" t="n"/>
      <c r="D43" s="268" t="n"/>
      <c r="E43" s="269" t="n"/>
      <c r="F43" s="668" t="n"/>
      <c r="G43" s="669" t="n"/>
      <c r="H43" s="670">
        <f>F43+G43</f>
        <v/>
      </c>
      <c r="I43" s="669" t="n"/>
      <c r="J43" s="670">
        <f>H43+I43</f>
        <v/>
      </c>
      <c r="K43" s="668" t="n"/>
      <c r="L43" s="671">
        <f>J43-K43</f>
        <v/>
      </c>
      <c r="M43" s="270">
        <f>IFERROR(L43/K43,1)</f>
        <v/>
      </c>
      <c r="N43" s="271" t="n"/>
      <c r="O43" s="672">
        <f>IF(AND(ABS(L43)&gt;=$C$31,ABS(M43)&gt;=$C$32),"是","否")</f>
        <v/>
      </c>
      <c r="P43" s="268" t="n"/>
      <c r="Q43" s="261" t="n"/>
      <c r="R43" s="219" t="n"/>
      <c r="S43" s="260" t="n"/>
      <c r="T43" s="260" t="n"/>
      <c r="U43" s="260" t="n"/>
      <c r="V43" s="218" t="n"/>
    </row>
    <row r="44" ht="15" customFormat="1" customHeight="1" s="139">
      <c r="B44" s="260" t="n"/>
      <c r="C44" s="273" t="n"/>
      <c r="D44" s="274" t="n"/>
      <c r="E44" s="274" t="n"/>
      <c r="F44" s="673" t="n"/>
      <c r="G44" s="673" t="n"/>
      <c r="H44" s="673" t="n"/>
      <c r="I44" s="673" t="n"/>
      <c r="J44" s="673" t="n"/>
      <c r="K44" s="673" t="n"/>
      <c r="L44" s="674" t="n"/>
      <c r="M44" s="277" t="n"/>
      <c r="N44" s="278" t="n"/>
      <c r="O44" s="279" t="n"/>
      <c r="P44" s="141" t="n"/>
      <c r="Q44" s="261" t="n"/>
      <c r="R44" s="219" t="n"/>
      <c r="S44" s="260" t="n"/>
      <c r="T44" s="260" t="n"/>
      <c r="U44" s="260" t="n"/>
      <c r="V44" s="218" t="n"/>
    </row>
    <row r="45" ht="15" customFormat="1" customHeight="1" s="139">
      <c r="B45" s="675" t="n"/>
      <c r="C45" s="676" t="n"/>
      <c r="D45" s="677" t="n"/>
      <c r="E45" s="677" t="n"/>
      <c r="F45" s="678" t="n"/>
      <c r="G45" s="678" t="n"/>
      <c r="H45" s="678" t="n"/>
      <c r="I45" s="678" t="n"/>
      <c r="J45" s="678" t="n"/>
      <c r="K45" s="678" t="n"/>
      <c r="L45" s="679" t="n"/>
      <c r="M45" s="680" t="n"/>
      <c r="N45" s="278" t="n"/>
      <c r="O45" s="681" t="n"/>
      <c r="P45" s="141" t="n"/>
      <c r="Q45" s="261" t="n"/>
      <c r="R45" s="219" t="n"/>
      <c r="S45" s="675" t="n"/>
      <c r="T45" s="675" t="n"/>
      <c r="U45" s="675" t="n"/>
      <c r="V45" s="218" t="n"/>
    </row>
    <row r="46" ht="15" customFormat="1" customHeight="1" s="139">
      <c r="B46" s="260" t="n"/>
      <c r="C46" s="154" t="n"/>
      <c r="D46" s="280" t="inlineStr">
        <is>
          <t>合计</t>
        </is>
      </c>
      <c r="E46" s="281" t="n"/>
      <c r="F46" s="682">
        <f>SUM(F39:F43)</f>
        <v/>
      </c>
      <c r="G46" s="682">
        <f>SUM(G39:G43)</f>
        <v/>
      </c>
      <c r="H46" s="682">
        <f>SUM(H39:H43)</f>
        <v/>
      </c>
      <c r="I46" s="682">
        <f>SUM(I39:I43)</f>
        <v/>
      </c>
      <c r="J46" s="682">
        <f>SUM(J39:J43)</f>
        <v/>
      </c>
      <c r="K46" s="682">
        <f>SUM(K39:K43)</f>
        <v/>
      </c>
      <c r="L46" s="682">
        <f>J46-K46</f>
        <v/>
      </c>
      <c r="M46" s="282">
        <f>IFERROR(L46/K46,1)</f>
        <v/>
      </c>
      <c r="N46" s="278" t="n"/>
      <c r="O46" s="672">
        <f>IF(AND(ABS(L46)&gt;=$C$31,ABS(M46)&gt;=$C$32),"是","否")</f>
        <v/>
      </c>
      <c r="P46" s="268" t="n"/>
      <c r="Q46" s="261" t="n"/>
      <c r="R46" s="219" t="n"/>
      <c r="S46" s="260" t="n"/>
      <c r="T46" s="260" t="n"/>
      <c r="U46" s="260" t="n"/>
      <c r="V46" s="218" t="n"/>
    </row>
    <row r="47" ht="15" customFormat="1" customHeight="1" s="139">
      <c r="B47" s="260" t="n"/>
      <c r="C47" s="262" t="n"/>
      <c r="D47" s="263" t="n"/>
      <c r="E47" s="259" t="n"/>
      <c r="F47" s="13" t="inlineStr">
        <is>
          <t>RX</t>
        </is>
      </c>
      <c r="G47" s="13" t="inlineStr">
        <is>
          <t>RX</t>
        </is>
      </c>
      <c r="H47" s="13" t="inlineStr">
        <is>
          <t>RX</t>
        </is>
      </c>
      <c r="I47" s="13" t="inlineStr">
        <is>
          <t>RX</t>
        </is>
      </c>
      <c r="J47" s="13" t="inlineStr">
        <is>
          <t>RX</t>
        </is>
      </c>
      <c r="K47" s="13" t="inlineStr">
        <is>
          <t>RX</t>
        </is>
      </c>
      <c r="L47" s="10" t="n"/>
      <c r="M47" s="260" t="n"/>
      <c r="N47" s="278" t="n"/>
      <c r="O47" s="279" t="n"/>
      <c r="P47" s="247" t="n"/>
      <c r="Q47" s="261" t="n"/>
      <c r="R47" s="219" t="n"/>
      <c r="S47" s="260" t="n"/>
      <c r="T47" s="260" t="n"/>
      <c r="U47" s="260" t="n"/>
      <c r="V47" s="218" t="n"/>
    </row>
    <row r="48" ht="15" customFormat="1" customHeight="1" s="139">
      <c r="B48" s="262" t="n"/>
      <c r="C48" s="263" t="n"/>
      <c r="D48" s="259" t="n"/>
      <c r="E48" s="260" t="n"/>
      <c r="F48" s="260" t="n"/>
      <c r="G48" s="683" t="inlineStr">
        <is>
          <t>A3</t>
        </is>
      </c>
      <c r="H48" s="684" t="n"/>
      <c r="I48" s="260" t="n"/>
      <c r="J48" s="684" t="n"/>
      <c r="K48" s="684" t="n"/>
      <c r="L48" s="10" t="n"/>
      <c r="M48" s="261" t="n"/>
      <c r="N48" s="278" t="n"/>
      <c r="O48" s="279" t="n"/>
      <c r="P48" s="247" t="n"/>
      <c r="Q48" s="261" t="n"/>
      <c r="R48" s="219" t="n"/>
      <c r="S48" s="260" t="n"/>
      <c r="T48" s="260" t="n"/>
      <c r="U48" s="260" t="n"/>
      <c r="V48" s="260" t="n"/>
    </row>
    <row r="49" customFormat="1" s="142">
      <c r="B49" s="262" t="n"/>
      <c r="C49" s="263" t="n"/>
      <c r="D49" s="259" t="n"/>
      <c r="E49" s="260" t="n"/>
      <c r="F49" s="260" t="n"/>
      <c r="G49" s="683" t="inlineStr">
        <is>
          <t>Diff</t>
        </is>
      </c>
      <c r="H49" s="685">
        <f>H46-H48</f>
        <v/>
      </c>
      <c r="I49" s="260" t="n"/>
      <c r="J49" s="685">
        <f>J46-J48</f>
        <v/>
      </c>
      <c r="K49" s="685">
        <f>K46-K48</f>
        <v/>
      </c>
      <c r="L49" s="10" t="n"/>
      <c r="M49" s="261" t="n"/>
      <c r="N49" s="260" t="n"/>
      <c r="O49" s="260" t="n"/>
      <c r="P49" s="247" t="n"/>
      <c r="Q49" s="261" t="n"/>
      <c r="R49" s="219" t="n"/>
      <c r="S49" s="260" t="n"/>
      <c r="T49" s="260" t="n"/>
      <c r="U49" s="260" t="n"/>
      <c r="V49" s="260" t="n"/>
    </row>
    <row r="50" customFormat="1" s="142">
      <c r="A50" s="164" t="n"/>
      <c r="B50" s="10" t="n"/>
      <c r="C50" s="264" t="n"/>
      <c r="D50" s="286" t="n"/>
      <c r="E50" s="286" t="inlineStr">
        <is>
          <t>未执行程序的总账科目加总金额是否大于TE</t>
        </is>
      </c>
      <c r="F50" s="13">
        <f>IF(ABS(F45-'N.01 明细账与总账核对'!E18)&gt;'N.00 Lead sheet'!$C$5,"是","否")</f>
        <v/>
      </c>
      <c r="G50" s="247" t="inlineStr">
        <is>
          <t>Note2</t>
        </is>
      </c>
      <c r="H50" s="247" t="n"/>
      <c r="I50" s="247" t="n"/>
      <c r="J50" s="287" t="n"/>
      <c r="K50" s="288" t="n"/>
      <c r="L50" s="247" t="n"/>
      <c r="M50" s="261" t="n"/>
      <c r="N50" s="260" t="n"/>
      <c r="O50" s="260" t="n"/>
      <c r="P50" s="247" t="n"/>
      <c r="Q50" s="261" t="n"/>
      <c r="R50" s="219" t="n"/>
      <c r="S50" s="260" t="n"/>
      <c r="T50" s="287" t="n"/>
      <c r="U50" s="287" t="n"/>
      <c r="V50" s="287" t="n"/>
      <c r="W50" s="287" t="n"/>
      <c r="X50" s="287" t="n"/>
      <c r="Y50" s="287" t="n"/>
      <c r="Z50" s="287" t="n"/>
      <c r="AA50" s="287" t="n"/>
      <c r="AB50" s="287" t="n"/>
      <c r="AC50" s="287" t="n"/>
      <c r="AD50" s="287" t="n"/>
      <c r="AE50" s="287" t="n"/>
      <c r="AF50" s="287" t="n"/>
      <c r="AG50" s="288" t="n"/>
      <c r="AH50" s="289" t="n"/>
      <c r="AI50" s="287" t="n"/>
      <c r="AJ50" s="287" t="n"/>
      <c r="AK50" s="287" t="n"/>
      <c r="AL50" s="287" t="n"/>
    </row>
    <row r="51" ht="15" customFormat="1" customHeight="1" s="143">
      <c r="A51" s="164" t="n"/>
      <c r="B51" s="247" t="n"/>
      <c r="C51" s="247" t="n"/>
      <c r="D51" s="247" t="n"/>
      <c r="E51" s="686" t="n"/>
      <c r="F51" s="10" t="n"/>
      <c r="G51" s="264" t="n"/>
      <c r="H51" s="286" t="n"/>
      <c r="I51" s="286" t="n"/>
      <c r="J51" s="13" t="n"/>
      <c r="K51" s="247" t="n"/>
      <c r="L51" s="247" t="n"/>
      <c r="M51" s="247" t="n"/>
      <c r="N51" s="260" t="n"/>
      <c r="O51" s="260" t="n"/>
      <c r="P51" s="247" t="n"/>
      <c r="Q51" s="261" t="n"/>
      <c r="R51" s="219" t="n"/>
      <c r="S51" s="260" t="n"/>
      <c r="T51" s="289" t="n"/>
      <c r="U51" s="287" t="n"/>
      <c r="V51" s="287" t="n"/>
      <c r="W51" s="287" t="n"/>
      <c r="X51" s="287" t="n"/>
      <c r="Y51" s="287" t="n"/>
      <c r="Z51" s="287" t="n"/>
      <c r="AA51" s="287" t="n"/>
      <c r="AB51" s="287" t="n"/>
      <c r="AC51" s="287" t="n"/>
      <c r="AD51" s="287" t="n"/>
      <c r="AE51" s="287" t="n"/>
      <c r="AF51" s="287" t="n"/>
      <c r="AG51" s="287" t="n"/>
      <c r="AH51" s="287" t="n"/>
      <c r="AI51" s="287" t="n"/>
      <c r="AJ51" s="287" t="n"/>
      <c r="AK51" s="288" t="n"/>
      <c r="AL51" s="289" t="n"/>
    </row>
    <row r="52" ht="15" customFormat="1" customHeight="1" s="143">
      <c r="A52" s="29" t="n"/>
      <c r="B52" s="291" t="inlineStr">
        <is>
          <t>波动说明</t>
        </is>
      </c>
      <c r="C52" s="29" t="n"/>
      <c r="D52" s="29" t="n"/>
      <c r="E52" s="29" t="n"/>
      <c r="F52" s="29" t="n"/>
      <c r="G52" s="686" t="n"/>
      <c r="H52" s="29" t="n"/>
      <c r="I52" s="26" t="n"/>
      <c r="J52" s="29" t="n"/>
      <c r="K52" s="29" t="n"/>
      <c r="L52" s="29" t="n"/>
      <c r="M52" s="29" t="n"/>
      <c r="N52" s="260" t="n"/>
      <c r="O52" s="260" t="n"/>
      <c r="P52" s="247" t="n"/>
      <c r="Q52" s="261" t="n"/>
      <c r="R52" s="219" t="n"/>
      <c r="S52" s="260" t="n"/>
      <c r="T52" s="29" t="n"/>
      <c r="U52" s="29" t="n"/>
      <c r="V52" s="29" t="n"/>
      <c r="W52" s="29" t="n"/>
      <c r="X52" s="29" t="n"/>
      <c r="Y52" s="29" t="n"/>
      <c r="Z52" s="29" t="n"/>
      <c r="AA52" s="29" t="n"/>
      <c r="AB52" s="29" t="n"/>
      <c r="AC52" s="29" t="n"/>
      <c r="AD52" s="29" t="n"/>
      <c r="AE52" s="29" t="n"/>
      <c r="AF52" s="29" t="n"/>
      <c r="AG52" s="29" t="n"/>
      <c r="AH52" s="29" t="n"/>
      <c r="AI52" s="29" t="n"/>
      <c r="AJ52" s="29" t="n"/>
      <c r="AK52" s="29" t="n"/>
      <c r="AL52" s="29" t="n"/>
    </row>
    <row r="53" ht="15" customFormat="1" customHeight="1" s="143">
      <c r="A53" s="29" t="n"/>
      <c r="B53" s="687" t="inlineStr">
        <is>
          <t>[A]</t>
        </is>
      </c>
      <c r="C53" s="688" t="n"/>
      <c r="D53" s="688" t="n"/>
      <c r="E53" s="688" t="n"/>
      <c r="F53" s="689" t="n"/>
      <c r="G53" s="686" t="n"/>
      <c r="H53" s="29" t="n"/>
      <c r="I53" s="26" t="n"/>
      <c r="J53" s="29" t="n"/>
      <c r="K53" s="29" t="n"/>
      <c r="L53" s="29" t="n"/>
      <c r="M53" s="29" t="n"/>
      <c r="N53" s="260" t="n"/>
      <c r="O53" s="260" t="n"/>
      <c r="P53" s="247" t="n"/>
      <c r="Q53" s="261" t="n"/>
      <c r="R53" s="219" t="n"/>
      <c r="S53" s="260" t="n"/>
      <c r="T53" s="29" t="n"/>
      <c r="U53" s="29" t="n"/>
      <c r="V53" s="29" t="n"/>
      <c r="W53" s="29" t="n"/>
      <c r="X53" s="29" t="n"/>
      <c r="Y53" s="29" t="n"/>
      <c r="Z53" s="29" t="n"/>
      <c r="AA53" s="29" t="n"/>
      <c r="AB53" s="29" t="n"/>
      <c r="AC53" s="29" t="n"/>
      <c r="AD53" s="29" t="n"/>
      <c r="AE53" s="29" t="n"/>
      <c r="AF53" s="29" t="n"/>
      <c r="AG53" s="29" t="n"/>
      <c r="AH53" s="29" t="n"/>
      <c r="AI53" s="29" t="n"/>
      <c r="AJ53" s="29" t="n"/>
      <c r="AK53" s="29" t="n"/>
      <c r="AL53" s="29" t="n"/>
    </row>
    <row r="54" ht="15" customFormat="1" customHeight="1" s="143">
      <c r="A54" s="29" t="n"/>
      <c r="B54" s="641" t="n"/>
      <c r="F54" s="690" t="n"/>
      <c r="G54" s="686" t="n"/>
      <c r="H54" s="29" t="n"/>
      <c r="I54" s="26" t="n"/>
      <c r="J54" s="29" t="n"/>
      <c r="K54" s="29" t="n"/>
      <c r="L54" s="29" t="n"/>
      <c r="M54" s="29" t="n"/>
      <c r="N54" s="260" t="n"/>
      <c r="O54" s="260" t="n"/>
      <c r="P54" s="247" t="n"/>
      <c r="Q54" s="261" t="n"/>
      <c r="R54" s="219" t="n"/>
      <c r="S54" s="260" t="n"/>
      <c r="T54" s="29" t="n"/>
      <c r="U54" s="29" t="n"/>
      <c r="V54" s="29" t="n"/>
      <c r="W54" s="29" t="n"/>
      <c r="X54" s="29" t="n"/>
      <c r="Y54" s="29" t="n"/>
      <c r="Z54" s="29" t="n"/>
      <c r="AA54" s="29" t="n"/>
      <c r="AB54" s="29" t="n"/>
      <c r="AC54" s="29" t="n"/>
      <c r="AD54" s="29" t="n"/>
      <c r="AE54" s="29" t="n"/>
      <c r="AF54" s="29" t="n"/>
      <c r="AG54" s="29" t="n"/>
      <c r="AH54" s="29" t="n"/>
      <c r="AI54" s="29" t="n"/>
      <c r="AJ54" s="29" t="n"/>
      <c r="AK54" s="29" t="n"/>
      <c r="AL54" s="29" t="n"/>
    </row>
    <row r="55" ht="15" customFormat="1" customHeight="1" s="143">
      <c r="A55" s="29" t="n"/>
      <c r="B55" s="641" t="n"/>
      <c r="F55" s="690" t="n"/>
      <c r="G55" s="686" t="n"/>
      <c r="H55" s="29" t="n"/>
      <c r="I55" s="26" t="n"/>
      <c r="J55" s="29" t="n"/>
      <c r="K55" s="29" t="n"/>
      <c r="L55" s="29" t="n"/>
      <c r="M55" s="29" t="n"/>
      <c r="N55" s="260" t="n"/>
      <c r="O55" s="260" t="n"/>
      <c r="P55" s="247" t="n"/>
      <c r="Q55" s="261" t="n"/>
      <c r="R55" s="219" t="n"/>
      <c r="S55" s="260" t="n"/>
      <c r="T55" s="29" t="n"/>
      <c r="U55" s="29" t="n"/>
      <c r="V55" s="29" t="n"/>
      <c r="W55" s="29" t="n"/>
      <c r="X55" s="29" t="n"/>
      <c r="Y55" s="29" t="n"/>
      <c r="Z55" s="29" t="n"/>
      <c r="AA55" s="29" t="n"/>
      <c r="AB55" s="29" t="n"/>
      <c r="AC55" s="29" t="n"/>
      <c r="AD55" s="29" t="n"/>
      <c r="AE55" s="29" t="n"/>
      <c r="AF55" s="29" t="n"/>
      <c r="AG55" s="29" t="n"/>
      <c r="AH55" s="29" t="n"/>
      <c r="AI55" s="29" t="n"/>
      <c r="AJ55" s="29" t="n"/>
      <c r="AK55" s="29" t="n"/>
      <c r="AL55" s="29" t="n"/>
    </row>
    <row r="56" ht="15" customFormat="1" customHeight="1" s="143">
      <c r="A56" s="29" t="n"/>
      <c r="B56" s="644" t="n"/>
      <c r="C56" s="645" t="n"/>
      <c r="D56" s="645" t="n"/>
      <c r="E56" s="645" t="n"/>
      <c r="F56" s="691" t="n"/>
      <c r="G56" s="686" t="n"/>
      <c r="H56" s="29" t="n"/>
      <c r="I56" s="26" t="n"/>
      <c r="J56" s="29" t="n"/>
      <c r="K56" s="29" t="n"/>
      <c r="L56" s="29" t="n"/>
      <c r="M56" s="29" t="n"/>
      <c r="N56" s="29" t="n"/>
      <c r="O56" s="29" t="n"/>
      <c r="P56" s="247" t="n"/>
      <c r="Q56" s="261" t="n"/>
      <c r="R56" s="219" t="n"/>
      <c r="S56" s="260" t="n"/>
      <c r="T56" s="29" t="n"/>
      <c r="U56" s="29" t="n"/>
      <c r="V56" s="29" t="n"/>
      <c r="W56" s="29" t="n"/>
      <c r="X56" s="29" t="n"/>
      <c r="Y56" s="29" t="n"/>
      <c r="Z56" s="29" t="n"/>
      <c r="AA56" s="29" t="n"/>
      <c r="AB56" s="29" t="n"/>
      <c r="AC56" s="29" t="n"/>
      <c r="AD56" s="29" t="n"/>
      <c r="AE56" s="29" t="n"/>
      <c r="AF56" s="29" t="n"/>
      <c r="AG56" s="29" t="n"/>
      <c r="AH56" s="29" t="n"/>
      <c r="AI56" s="29" t="n"/>
      <c r="AJ56" s="29" t="n"/>
      <c r="AK56" s="29" t="n"/>
      <c r="AL56" s="29" t="n"/>
    </row>
    <row r="57" customFormat="1" s="142">
      <c r="A57" s="29" t="n"/>
      <c r="B57" s="39" t="n"/>
      <c r="C57" s="39" t="n"/>
      <c r="D57" s="39" t="n"/>
      <c r="E57" s="39" t="n"/>
      <c r="F57" s="39" t="n"/>
      <c r="G57" s="686" t="n"/>
      <c r="H57" s="29" t="n"/>
      <c r="I57" s="26" t="n"/>
      <c r="J57" s="29" t="n"/>
      <c r="K57" s="29" t="n"/>
      <c r="L57" s="29" t="n"/>
      <c r="M57" s="29" t="n"/>
      <c r="N57" s="29" t="n"/>
      <c r="O57" s="29" t="n"/>
      <c r="P57" s="247" t="n"/>
      <c r="Q57" s="261" t="n"/>
      <c r="R57" s="219" t="n"/>
      <c r="S57" s="260" t="n"/>
      <c r="T57" s="29" t="n"/>
      <c r="U57" s="29" t="n"/>
      <c r="V57" s="29" t="n"/>
      <c r="W57" s="29" t="n"/>
      <c r="X57" s="29" t="n"/>
      <c r="Y57" s="29" t="n"/>
      <c r="Z57" s="29" t="n"/>
      <c r="AA57" s="29" t="n"/>
      <c r="AB57" s="29" t="n"/>
      <c r="AC57" s="29" t="n"/>
      <c r="AD57" s="29" t="n"/>
      <c r="AE57" s="29" t="n"/>
      <c r="AF57" s="29" t="n"/>
      <c r="AG57" s="29" t="n"/>
      <c r="AH57" s="29" t="n"/>
      <c r="AI57" s="29" t="n"/>
      <c r="AJ57" s="29" t="n"/>
      <c r="AK57" s="29" t="n"/>
      <c r="AL57" s="29" t="n"/>
    </row>
    <row r="58" customFormat="1" s="142">
      <c r="A58" s="164" t="n"/>
      <c r="B58" s="247" t="n"/>
      <c r="C58" s="247" t="n"/>
      <c r="D58" s="247" t="n"/>
      <c r="E58" s="686" t="n"/>
      <c r="F58" s="247" t="n"/>
      <c r="G58" s="686" t="n"/>
      <c r="H58" s="686" t="n"/>
      <c r="I58" s="686" t="n"/>
      <c r="J58" s="247" t="n"/>
      <c r="K58" s="247" t="n"/>
      <c r="L58" s="247" t="n"/>
      <c r="M58" s="247" t="n"/>
      <c r="N58" s="287" t="n"/>
      <c r="O58" s="288" t="n"/>
      <c r="P58" s="247" t="n"/>
      <c r="Q58" s="261" t="n"/>
      <c r="R58" s="219" t="n"/>
      <c r="S58" s="260" t="n"/>
      <c r="T58" s="289" t="n"/>
      <c r="U58" s="287" t="n"/>
      <c r="V58" s="287" t="n"/>
      <c r="W58" s="287" t="n"/>
      <c r="X58" s="287" t="n"/>
      <c r="Y58" s="287" t="n"/>
      <c r="Z58" s="287" t="n"/>
      <c r="AA58" s="287" t="n"/>
      <c r="AB58" s="287" t="n"/>
      <c r="AC58" s="287" t="n"/>
      <c r="AD58" s="287" t="n"/>
      <c r="AE58" s="287" t="n"/>
      <c r="AF58" s="287" t="n"/>
      <c r="AG58" s="287" t="n"/>
      <c r="AH58" s="287" t="n"/>
      <c r="AI58" s="287" t="n"/>
      <c r="AJ58" s="287" t="n"/>
      <c r="AK58" s="288" t="n"/>
      <c r="AL58" s="289" t="n"/>
    </row>
    <row r="59" ht="14.1" customFormat="1" customHeight="1" s="142">
      <c r="A59" s="292" t="n"/>
      <c r="B59" s="29" t="inlineStr">
        <is>
          <t>Note2：如果项目仅对部分总账科目执行程序，需评估未执行程序的总账科目加总金额是否大于TE，如大于TE，请项目组执行额外的测试程序。(如不适用请删除）</t>
        </is>
      </c>
      <c r="C59" s="247" t="n"/>
      <c r="D59" s="247" t="n"/>
      <c r="E59" s="686" t="n"/>
      <c r="F59" s="247" t="n"/>
      <c r="G59" s="686" t="n"/>
      <c r="H59" s="686" t="n"/>
      <c r="I59" s="686" t="n"/>
      <c r="J59" s="247" t="n"/>
      <c r="K59" s="247" t="n"/>
      <c r="L59" s="247" t="n"/>
      <c r="M59" s="247" t="n"/>
      <c r="N59" s="287" t="n"/>
      <c r="O59" s="288" t="n"/>
      <c r="P59" s="247" t="n"/>
      <c r="Q59" s="261" t="n"/>
      <c r="R59" s="219" t="n"/>
      <c r="S59" s="260" t="n"/>
      <c r="T59" s="289" t="n"/>
      <c r="U59" s="287" t="n"/>
      <c r="V59" s="287" t="n"/>
      <c r="W59" s="287" t="n"/>
      <c r="X59" s="287" t="n"/>
      <c r="Y59" s="287" t="n"/>
      <c r="Z59" s="287" t="n"/>
      <c r="AA59" s="287" t="n"/>
      <c r="AB59" s="287" t="n"/>
      <c r="AC59" s="287" t="n"/>
      <c r="AD59" s="287" t="n"/>
      <c r="AE59" s="287" t="n"/>
      <c r="AF59" s="287" t="n"/>
      <c r="AG59" s="287" t="n"/>
      <c r="AH59" s="287" t="n"/>
      <c r="AI59" s="287" t="n"/>
      <c r="AJ59" s="287" t="n"/>
      <c r="AK59" s="288" t="n"/>
      <c r="AL59" s="289" t="n"/>
    </row>
    <row r="60" ht="14.1" customFormat="1" customHeight="1" s="142">
      <c r="A60" s="164" t="n"/>
      <c r="B60" s="692" t="n"/>
      <c r="C60" s="693" t="n"/>
      <c r="D60" s="693" t="n"/>
      <c r="E60" s="693" t="n"/>
      <c r="F60" s="694" t="n"/>
      <c r="G60" s="686" t="n"/>
      <c r="H60" s="686" t="n"/>
      <c r="I60" s="686" t="n"/>
      <c r="J60" s="247" t="n"/>
      <c r="K60" s="247" t="n"/>
      <c r="L60" s="247" t="n"/>
      <c r="M60" s="247" t="n"/>
      <c r="N60" s="287" t="n"/>
      <c r="O60" s="288" t="n"/>
      <c r="P60" s="247" t="n"/>
      <c r="Q60" s="261" t="n"/>
      <c r="R60" s="219" t="n"/>
      <c r="S60" s="260" t="n"/>
      <c r="T60" s="289" t="n"/>
      <c r="U60" s="287" t="n"/>
      <c r="V60" s="287" t="n"/>
      <c r="W60" s="287" t="n"/>
      <c r="X60" s="287" t="n"/>
      <c r="Y60" s="287" t="n"/>
      <c r="Z60" s="287" t="n"/>
      <c r="AA60" s="287" t="n"/>
      <c r="AB60" s="287" t="n"/>
      <c r="AC60" s="287" t="n"/>
      <c r="AD60" s="287" t="n"/>
      <c r="AE60" s="287" t="n"/>
      <c r="AF60" s="287" t="n"/>
      <c r="AG60" s="287" t="n"/>
      <c r="AH60" s="287" t="n"/>
      <c r="AI60" s="287" t="n"/>
      <c r="AJ60" s="287" t="n"/>
      <c r="AK60" s="288" t="n"/>
      <c r="AL60" s="289" t="n"/>
    </row>
    <row r="61" ht="14.1" customFormat="1" customHeight="1" s="142">
      <c r="A61" s="164" t="n"/>
      <c r="B61" s="695" t="n"/>
      <c r="F61" s="639" t="n"/>
      <c r="G61" s="686" t="n"/>
      <c r="H61" s="686" t="n"/>
      <c r="I61" s="686" t="n"/>
      <c r="J61" s="247" t="n"/>
      <c r="K61" s="247" t="n"/>
      <c r="L61" s="247" t="n"/>
      <c r="M61" s="247" t="n"/>
      <c r="N61" s="287" t="n"/>
      <c r="O61" s="288" t="n"/>
      <c r="P61" s="247" t="n"/>
      <c r="Q61" s="261" t="n"/>
      <c r="R61" s="219" t="n"/>
      <c r="S61" s="260" t="n"/>
      <c r="T61" s="289" t="n"/>
      <c r="U61" s="287" t="n"/>
      <c r="V61" s="287" t="n"/>
      <c r="W61" s="287" t="n"/>
      <c r="X61" s="287" t="n"/>
      <c r="Y61" s="287" t="n"/>
      <c r="Z61" s="287" t="n"/>
      <c r="AA61" s="287" t="n"/>
      <c r="AB61" s="287" t="n"/>
      <c r="AC61" s="287" t="n"/>
      <c r="AD61" s="287" t="n"/>
      <c r="AE61" s="287" t="n"/>
      <c r="AF61" s="287" t="n"/>
      <c r="AG61" s="287" t="n"/>
      <c r="AH61" s="287" t="n"/>
      <c r="AI61" s="287" t="n"/>
      <c r="AJ61" s="287" t="n"/>
      <c r="AK61" s="288" t="n"/>
      <c r="AL61" s="289" t="n"/>
    </row>
    <row r="62" ht="14.1" customFormat="1" customHeight="1" s="142">
      <c r="A62" s="164" t="n"/>
      <c r="B62" s="695" t="n"/>
      <c r="F62" s="639" t="n"/>
      <c r="G62" s="686" t="n"/>
      <c r="H62" s="686" t="n"/>
      <c r="I62" s="686" t="n"/>
      <c r="J62" s="247" t="n"/>
      <c r="K62" s="247" t="n"/>
      <c r="L62" s="247" t="n"/>
      <c r="M62" s="247" t="n"/>
      <c r="N62" s="287" t="n"/>
      <c r="O62" s="288" t="n"/>
      <c r="P62" s="247" t="n"/>
      <c r="Q62" s="261" t="n"/>
      <c r="R62" s="219" t="n"/>
      <c r="S62" s="260" t="n"/>
      <c r="T62" s="289" t="n"/>
      <c r="U62" s="287" t="n"/>
      <c r="V62" s="287" t="n"/>
      <c r="W62" s="287" t="n"/>
      <c r="X62" s="287" t="n"/>
      <c r="Y62" s="287" t="n"/>
      <c r="Z62" s="287" t="n"/>
      <c r="AA62" s="287" t="n"/>
      <c r="AB62" s="287" t="n"/>
      <c r="AC62" s="287" t="n"/>
      <c r="AD62" s="287" t="n"/>
      <c r="AE62" s="287" t="n"/>
      <c r="AF62" s="287" t="n"/>
      <c r="AG62" s="287" t="n"/>
      <c r="AH62" s="287" t="n"/>
      <c r="AI62" s="287" t="n"/>
      <c r="AJ62" s="287" t="n"/>
      <c r="AK62" s="288" t="n"/>
      <c r="AL62" s="289" t="n"/>
    </row>
    <row r="63" customFormat="1" s="142">
      <c r="A63" s="164" t="n"/>
      <c r="B63" s="696" t="n"/>
      <c r="C63" s="697" t="n"/>
      <c r="D63" s="697" t="n"/>
      <c r="E63" s="697" t="n"/>
      <c r="F63" s="698" t="n"/>
      <c r="G63" s="686" t="n"/>
      <c r="H63" s="686" t="n"/>
      <c r="I63" s="686" t="n"/>
      <c r="J63" s="247" t="n"/>
      <c r="K63" s="247" t="n"/>
      <c r="L63" s="287" t="n"/>
      <c r="M63" s="247" t="n"/>
      <c r="N63" s="287" t="n"/>
      <c r="O63" s="288" t="n"/>
      <c r="P63" s="247" t="n"/>
      <c r="Q63" s="261" t="n"/>
      <c r="R63" s="219" t="n"/>
      <c r="S63" s="260" t="n"/>
      <c r="T63" s="289" t="n"/>
      <c r="U63" s="287" t="n"/>
      <c r="V63" s="287" t="n"/>
      <c r="W63" s="287" t="n"/>
      <c r="X63" s="287" t="n"/>
      <c r="Y63" s="287" t="n"/>
      <c r="Z63" s="287" t="n"/>
      <c r="AA63" s="287" t="n"/>
      <c r="AB63" s="287" t="n"/>
      <c r="AC63" s="287" t="n"/>
      <c r="AD63" s="287" t="n"/>
      <c r="AE63" s="287" t="n"/>
      <c r="AF63" s="287" t="n"/>
      <c r="AG63" s="287" t="n"/>
      <c r="AH63" s="287" t="n"/>
      <c r="AI63" s="287" t="n"/>
      <c r="AJ63" s="287" t="n"/>
      <c r="AK63" s="288" t="n"/>
      <c r="AL63" s="289" t="n"/>
    </row>
    <row r="64" ht="12.75" customHeight="1" s="634">
      <c r="A64" s="164" t="n"/>
      <c r="B64" s="293" t="n"/>
      <c r="C64" s="699" t="n"/>
      <c r="D64" s="699" t="n"/>
      <c r="E64" s="699" t="n"/>
      <c r="F64" s="699" t="n"/>
      <c r="G64" s="686" t="n"/>
      <c r="H64" s="686" t="n"/>
      <c r="I64" s="686" t="n"/>
      <c r="J64" s="247" t="n"/>
      <c r="K64" s="247" t="n"/>
      <c r="L64" s="247" t="n"/>
      <c r="M64" s="247" t="n"/>
      <c r="N64" s="287" t="n"/>
      <c r="O64" s="288" t="n"/>
      <c r="P64" s="247" t="n"/>
      <c r="Q64" s="261" t="n"/>
      <c r="R64" s="219" t="n"/>
      <c r="S64" s="260" t="n"/>
      <c r="T64" s="289" t="n"/>
      <c r="U64" s="287" t="n"/>
      <c r="V64" s="287" t="n"/>
      <c r="W64" s="287" t="n"/>
      <c r="X64" s="287" t="n"/>
      <c r="Y64" s="287" t="n"/>
      <c r="Z64" s="287" t="n"/>
      <c r="AA64" s="287" t="n"/>
      <c r="AB64" s="287" t="n"/>
      <c r="AC64" s="287" t="n"/>
      <c r="AD64" s="287" t="n"/>
      <c r="AE64" s="287" t="n"/>
      <c r="AF64" s="287" t="n"/>
      <c r="AG64" s="287" t="n"/>
      <c r="AH64" s="287" t="n"/>
      <c r="AI64" s="287" t="n"/>
      <c r="AJ64" s="287" t="n"/>
      <c r="AK64" s="288" t="n"/>
      <c r="AL64" s="289" t="n"/>
    </row>
    <row r="65" ht="22.5" customHeight="1" s="634">
      <c r="A65" s="295" t="n"/>
      <c r="B65" s="164" t="n"/>
      <c r="C65" s="293" t="n"/>
      <c r="D65" s="699" t="n"/>
      <c r="E65" s="699" t="n"/>
      <c r="F65" s="699" t="n"/>
      <c r="G65" s="686" t="n"/>
      <c r="H65" s="686" t="n"/>
      <c r="I65" s="686" t="n"/>
      <c r="J65" s="247" t="n"/>
      <c r="K65" s="247" t="n"/>
      <c r="L65" s="247" t="n"/>
      <c r="M65" s="247" t="n"/>
      <c r="N65" s="287" t="n"/>
      <c r="O65" s="288" t="n"/>
      <c r="P65" s="247" t="n"/>
      <c r="Q65" s="261" t="n"/>
      <c r="R65" s="219" t="n"/>
      <c r="S65" s="260" t="n"/>
      <c r="T65" s="2" t="n"/>
      <c r="U65" s="296" t="n"/>
      <c r="V65" s="164" t="n"/>
      <c r="W65" s="164" t="n"/>
      <c r="X65" s="164" t="n"/>
      <c r="Y65" s="164" t="n"/>
      <c r="Z65" s="164" t="n"/>
      <c r="AA65" s="164" t="n"/>
      <c r="AB65" s="164" t="n"/>
      <c r="AC65" s="164" t="n"/>
      <c r="AD65" s="164" t="n"/>
      <c r="AE65" s="164" t="n"/>
      <c r="AF65" s="164" t="n"/>
      <c r="AG65" s="164" t="n"/>
      <c r="AH65" s="164" t="n"/>
      <c r="AI65" s="164" t="n"/>
      <c r="AJ65" s="164" t="n"/>
      <c r="AK65" s="164" t="n"/>
      <c r="AL65" s="164" t="n"/>
    </row>
    <row r="66" ht="12.75" customHeight="1" s="634">
      <c r="B66" s="297" t="inlineStr">
        <is>
          <t>表2 应付账款周转率分析</t>
        </is>
      </c>
      <c r="C66" s="298" t="n"/>
      <c r="D66" s="298" t="n"/>
      <c r="E66" s="298" t="n"/>
      <c r="F66" s="699" t="n"/>
      <c r="G66" s="686" t="n"/>
      <c r="H66" s="686" t="n"/>
      <c r="I66" s="686" t="n"/>
      <c r="J66" s="247" t="n"/>
      <c r="K66" s="247" t="n"/>
      <c r="L66" s="247" t="n"/>
      <c r="M66" s="247" t="n"/>
      <c r="N66" s="287" t="n"/>
      <c r="O66" s="288" t="n"/>
      <c r="P66" s="247" t="n"/>
      <c r="Q66" s="261" t="n"/>
      <c r="R66" s="219" t="n"/>
      <c r="S66" s="260" t="n"/>
      <c r="T66" s="296" t="n"/>
      <c r="U66" s="164" t="n"/>
    </row>
    <row r="67" ht="12.75" customHeight="1" s="634">
      <c r="B67" s="299" t="n"/>
      <c r="C67" s="300" t="n"/>
      <c r="D67" s="301">
        <f>C3</f>
        <v/>
      </c>
      <c r="E67" s="301">
        <f>K37</f>
        <v/>
      </c>
      <c r="F67" s="302" t="inlineStr">
        <is>
          <t>变动%</t>
        </is>
      </c>
      <c r="G67" s="699" t="n"/>
      <c r="H67" s="686" t="n"/>
      <c r="I67" s="686" t="n"/>
      <c r="J67" s="247" t="n"/>
      <c r="K67" s="247" t="n"/>
      <c r="L67" s="247" t="n"/>
      <c r="M67" s="247" t="n"/>
      <c r="N67" s="247" t="n"/>
      <c r="O67" s="247" t="n"/>
      <c r="P67" s="247" t="n"/>
      <c r="Q67" s="261" t="n"/>
      <c r="R67" s="219" t="n"/>
      <c r="S67" s="260" t="n"/>
      <c r="T67" s="2" t="n"/>
      <c r="U67" s="296" t="n"/>
    </row>
    <row r="68" ht="12.75" customHeight="1" s="634">
      <c r="B68" s="303" t="n"/>
      <c r="C68" s="304" t="n"/>
      <c r="D68" s="700" t="n"/>
      <c r="E68" s="701" t="inlineStr">
        <is>
          <t>PY</t>
        </is>
      </c>
      <c r="F68" s="305" t="n"/>
      <c r="G68" s="699" t="n"/>
      <c r="H68" s="686" t="n"/>
      <c r="I68" s="686" t="n"/>
      <c r="J68" s="247" t="n"/>
      <c r="K68" s="247" t="n"/>
      <c r="L68" s="247" t="n"/>
      <c r="M68" s="247" t="n"/>
      <c r="N68" s="247" t="n"/>
      <c r="O68" s="247" t="n"/>
      <c r="P68" s="247" t="n"/>
      <c r="Q68" s="261" t="n"/>
      <c r="R68" s="219" t="n"/>
      <c r="S68" s="260" t="n"/>
      <c r="T68" s="2" t="n"/>
      <c r="U68" s="296" t="n"/>
    </row>
    <row r="69" ht="12.75" customHeight="1" s="634">
      <c r="B69" s="702" t="inlineStr">
        <is>
          <t>应付账款平均余额 a</t>
        </is>
      </c>
      <c r="C69" s="703" t="n"/>
      <c r="D69" s="704">
        <f>(J46+K46)/2</f>
        <v/>
      </c>
      <c r="E69" s="669" t="n">
        <v>-60856880.625</v>
      </c>
      <c r="F69" s="312">
        <f>IFERROR((D69-E69)/E69,"")</f>
        <v/>
      </c>
      <c r="G69" s="699" t="n"/>
      <c r="H69" s="686" t="n"/>
      <c r="I69" s="686" t="n"/>
      <c r="J69" s="247" t="n"/>
      <c r="K69" s="247" t="n"/>
      <c r="L69" s="247" t="n"/>
      <c r="M69" s="247" t="n"/>
      <c r="N69" s="247" t="n"/>
      <c r="O69" s="247" t="n"/>
      <c r="P69" s="247" t="n"/>
      <c r="Q69" s="261" t="n"/>
      <c r="R69" s="219" t="n"/>
      <c r="S69" s="260" t="n"/>
      <c r="T69" s="2" t="n"/>
      <c r="U69" s="296" t="n"/>
    </row>
    <row r="70" ht="12.75" customHeight="1" s="634">
      <c r="B70" s="702" t="inlineStr">
        <is>
          <t>销售成本 b</t>
        </is>
      </c>
      <c r="C70" s="705" t="inlineStr">
        <is>
          <t>/UGP_Lead</t>
        </is>
      </c>
      <c r="D70" s="706" t="n"/>
      <c r="E70" s="706" t="n">
        <v>64381069.15</v>
      </c>
      <c r="F70" s="312">
        <f>IFERROR((D70-E70)/E70,"")</f>
        <v/>
      </c>
      <c r="G70" s="699" t="n"/>
      <c r="H70" s="686" t="n"/>
      <c r="I70" s="686" t="n"/>
      <c r="J70" s="247" t="n"/>
      <c r="K70" s="247" t="n"/>
      <c r="L70" s="247" t="n"/>
      <c r="M70" s="247" t="n"/>
      <c r="N70" s="247" t="n"/>
      <c r="O70" s="247" t="n"/>
      <c r="P70" s="247" t="n"/>
      <c r="Q70" s="261" t="n"/>
      <c r="R70" s="219" t="n"/>
      <c r="S70" s="260" t="n"/>
      <c r="T70" s="2" t="n"/>
      <c r="U70" s="296" t="n"/>
    </row>
    <row r="71" ht="12.75" customHeight="1" s="634">
      <c r="B71" s="702" t="n"/>
      <c r="C71" s="703" t="n"/>
      <c r="D71" s="707" t="n"/>
      <c r="E71" s="707" t="n"/>
      <c r="F71" s="310" t="n"/>
      <c r="G71" s="699" t="n"/>
      <c r="H71" s="686" t="n"/>
      <c r="I71" s="686" t="n"/>
      <c r="J71" s="247" t="n"/>
      <c r="K71" s="247" t="n"/>
      <c r="L71" s="247" t="n"/>
      <c r="M71" s="247" t="n"/>
      <c r="N71" s="247" t="n"/>
      <c r="O71" s="247" t="n"/>
      <c r="P71" s="247" t="n"/>
      <c r="Q71" s="261" t="n"/>
      <c r="R71" s="219" t="n"/>
      <c r="S71" s="260" t="n"/>
      <c r="T71" s="2" t="n"/>
      <c r="U71" s="296" t="n"/>
    </row>
    <row r="72" ht="12.75" customHeight="1" s="634">
      <c r="B72" s="702" t="inlineStr">
        <is>
          <t>周转天数 c=a/b*365</t>
        </is>
      </c>
      <c r="C72" s="703" t="n"/>
      <c r="D72" s="708">
        <f>IFERROR(ABS(D69)/ABS(D70)*365,0)</f>
        <v/>
      </c>
      <c r="E72" s="708" t="n">
        <v>345.020076885831</v>
      </c>
      <c r="F72" s="310">
        <f>IFERROR((D72-E72)/E72,"")</f>
        <v/>
      </c>
      <c r="G72" s="699" t="n"/>
      <c r="H72" s="686" t="n"/>
      <c r="I72" s="686" t="n"/>
      <c r="J72" s="247" t="n"/>
      <c r="K72" s="247" t="n"/>
      <c r="L72" s="247" t="n"/>
      <c r="M72" s="247" t="n"/>
      <c r="N72" s="247" t="n"/>
      <c r="O72" s="247" t="n"/>
      <c r="P72" s="247" t="n"/>
      <c r="Q72" s="261" t="n"/>
      <c r="R72" s="219" t="n"/>
      <c r="S72" s="260" t="n"/>
      <c r="T72" s="2" t="n"/>
      <c r="U72" s="296" t="n"/>
    </row>
    <row r="73" ht="12.75" customHeight="1" s="634">
      <c r="B73" s="702" t="inlineStr">
        <is>
          <t>周转率 d=b/a</t>
        </is>
      </c>
      <c r="C73" s="703" t="n"/>
      <c r="D73" s="709">
        <f>IFERROR(ABS(D70)/ABS(D69),0)</f>
        <v/>
      </c>
      <c r="E73" s="709" t="n">
        <v>1.057909450645623</v>
      </c>
      <c r="F73" s="312">
        <f>IFERROR((D73-E73)/E73,"")</f>
        <v/>
      </c>
      <c r="G73" s="699" t="n"/>
      <c r="H73" s="686" t="n"/>
      <c r="I73" s="686" t="n"/>
      <c r="J73" s="247" t="n"/>
      <c r="K73" s="247" t="n"/>
      <c r="L73" s="247" t="n"/>
      <c r="M73" s="247" t="n"/>
      <c r="N73" s="247" t="n"/>
      <c r="O73" s="247" t="n"/>
      <c r="P73" s="247" t="n"/>
      <c r="Q73" s="261" t="n"/>
      <c r="R73" s="219" t="n"/>
      <c r="S73" s="260" t="n"/>
      <c r="T73" s="2" t="n"/>
      <c r="U73" s="296" t="n"/>
    </row>
    <row r="74" ht="12.75" customHeight="1" s="634">
      <c r="B74" s="313" t="n"/>
      <c r="C74" s="3" t="n"/>
      <c r="D74" s="710" t="n"/>
      <c r="E74" s="710" t="n"/>
      <c r="F74" s="711" t="n"/>
      <c r="G74" s="699" t="n"/>
      <c r="H74" s="686" t="n"/>
      <c r="I74" s="686" t="n"/>
      <c r="J74" s="247" t="n"/>
      <c r="K74" s="247" t="n"/>
      <c r="L74" s="247" t="n"/>
      <c r="M74" s="247" t="n"/>
      <c r="N74" s="247" t="n"/>
      <c r="O74" s="247" t="n"/>
      <c r="P74" s="247" t="n"/>
      <c r="Q74" s="261" t="n"/>
      <c r="R74" s="219" t="n"/>
      <c r="S74" s="260" t="n"/>
      <c r="T74" s="2" t="n"/>
      <c r="U74" s="296" t="n"/>
    </row>
    <row r="75" ht="47.85" customHeight="1" s="634">
      <c r="B75" s="316" t="inlineStr">
        <is>
          <t>分析:</t>
        </is>
      </c>
      <c r="C75" s="317" t="n"/>
      <c r="D75" s="4" t="n"/>
      <c r="E75" s="4" t="n"/>
      <c r="F75" s="318" t="n"/>
      <c r="G75" s="699" t="n"/>
      <c r="H75" s="686" t="n"/>
      <c r="I75" s="686" t="n"/>
      <c r="J75" s="247" t="n"/>
      <c r="K75" s="247" t="n"/>
      <c r="L75" s="247" t="n"/>
      <c r="M75" s="247" t="n"/>
      <c r="N75" s="247" t="n"/>
      <c r="O75" s="247" t="n"/>
      <c r="P75" s="247" t="n"/>
      <c r="Q75" s="261" t="n"/>
      <c r="R75" s="219" t="n"/>
      <c r="S75" s="260" t="n"/>
      <c r="T75" s="2" t="n"/>
      <c r="U75" s="296" t="n"/>
    </row>
    <row r="76" ht="12.75" customHeight="1" s="634">
      <c r="B76" s="712" t="inlineStr">
        <is>
          <t>在此输入分析。</t>
        </is>
      </c>
      <c r="C76" s="697" t="n"/>
      <c r="D76" s="697" t="n"/>
      <c r="E76" s="697" t="n"/>
      <c r="F76" s="698" t="n"/>
      <c r="G76" s="699" t="n"/>
      <c r="H76" s="686" t="n"/>
      <c r="I76" s="686" t="n"/>
      <c r="J76" s="247" t="n"/>
      <c r="K76" s="247" t="n"/>
      <c r="L76" s="247" t="n"/>
      <c r="M76" s="247" t="n"/>
      <c r="N76" s="247" t="n"/>
      <c r="O76" s="247" t="n"/>
      <c r="P76" s="247" t="n"/>
      <c r="Q76" s="261" t="n"/>
      <c r="R76" s="219" t="n"/>
      <c r="S76" s="260" t="n"/>
      <c r="T76" s="2" t="n"/>
      <c r="U76" s="296" t="n"/>
    </row>
    <row r="77" ht="15" customFormat="1" customHeight="1" s="143">
      <c r="B77" s="293" t="n"/>
      <c r="C77" s="699" t="n"/>
      <c r="D77" s="699" t="n"/>
      <c r="E77" s="699" t="n"/>
      <c r="F77" s="699" t="n"/>
      <c r="G77" s="686" t="n"/>
      <c r="H77" s="686" t="n"/>
      <c r="I77" s="247" t="n"/>
      <c r="J77" s="247" t="n"/>
      <c r="K77" s="247" t="n"/>
      <c r="L77" s="247" t="n"/>
      <c r="M77" s="247" t="n"/>
      <c r="N77" s="247" t="n"/>
      <c r="O77" s="247" t="n"/>
      <c r="P77" s="247" t="n"/>
      <c r="Q77" s="261" t="n"/>
      <c r="R77" s="219" t="n"/>
      <c r="S77" s="260" t="n"/>
      <c r="T77" s="296" t="n"/>
      <c r="U77" s="164" t="n"/>
    </row>
    <row r="78" ht="12.75" customHeight="1" s="634">
      <c r="B78" s="39" t="n"/>
      <c r="C78" s="39" t="n"/>
      <c r="D78" s="39" t="n"/>
      <c r="E78" s="39" t="n"/>
      <c r="F78" s="39" t="n"/>
      <c r="G78" s="686" t="n"/>
      <c r="H78" s="29" t="n"/>
      <c r="I78" s="26" t="n"/>
      <c r="J78" s="29" t="n"/>
      <c r="K78" s="29" t="n"/>
      <c r="L78" s="29" t="n"/>
      <c r="M78" s="29" t="n"/>
      <c r="N78" s="29" t="n"/>
      <c r="O78" s="29" t="n"/>
      <c r="P78" s="247" t="n"/>
      <c r="Q78" s="261" t="n"/>
      <c r="R78" s="219" t="n"/>
      <c r="S78" s="260" t="n"/>
      <c r="T78" s="29" t="n"/>
      <c r="U78" s="29" t="n"/>
    </row>
    <row r="79" ht="12.75" customHeight="1" s="634">
      <c r="B79" s="319" t="inlineStr">
        <is>
          <t>调整汇总表（如不适用请删除）</t>
        </is>
      </c>
      <c r="C79" s="320" t="n"/>
      <c r="D79" s="320" t="n"/>
      <c r="E79" s="321" t="n"/>
      <c r="F79" s="322" t="n"/>
      <c r="G79" s="699" t="n"/>
      <c r="H79" s="686" t="n"/>
      <c r="I79" s="686" t="n"/>
      <c r="J79" s="247" t="n"/>
      <c r="K79" s="247" t="n"/>
      <c r="L79" s="247" t="n"/>
      <c r="M79" s="247" t="n"/>
      <c r="N79" s="247" t="n"/>
      <c r="O79" s="247" t="n"/>
      <c r="P79" s="247" t="n"/>
      <c r="Q79" s="261" t="n"/>
      <c r="R79" s="219" t="n"/>
      <c r="S79" s="260" t="n"/>
      <c r="T79" s="296" t="n"/>
      <c r="U79" s="164" t="n"/>
    </row>
    <row r="80" ht="12.75" customHeight="1" s="634">
      <c r="B80" s="713" t="inlineStr">
        <is>
          <t>调整类型</t>
        </is>
      </c>
      <c r="C80" s="324" t="n"/>
      <c r="D80" s="324" t="n"/>
      <c r="E80" s="325" t="n"/>
      <c r="F80" s="325" t="n"/>
      <c r="G80" s="699" t="n"/>
      <c r="H80" s="686" t="n"/>
      <c r="I80" s="686" t="n"/>
      <c r="J80" s="247" t="n"/>
      <c r="K80" s="247" t="n"/>
      <c r="L80" s="247" t="n"/>
      <c r="M80" s="247" t="n"/>
      <c r="N80" s="247" t="n"/>
      <c r="O80" s="247" t="n"/>
      <c r="P80" s="247" t="n"/>
      <c r="Q80" s="261" t="n"/>
      <c r="R80" s="219" t="n"/>
      <c r="S80" s="260" t="n"/>
      <c r="T80" s="296" t="n"/>
      <c r="U80" s="164" t="n"/>
    </row>
    <row r="81" ht="12.75" customHeight="1" s="634">
      <c r="B81" s="326" t="n"/>
      <c r="C81" s="327" t="n"/>
      <c r="D81" s="327" t="n"/>
      <c r="E81" s="418" t="n"/>
      <c r="F81" s="419" t="n"/>
      <c r="G81" s="699" t="n"/>
      <c r="H81" s="686" t="n"/>
      <c r="I81" s="686" t="n"/>
      <c r="J81" s="247" t="n"/>
      <c r="K81" s="247" t="n"/>
      <c r="L81" s="247" t="n"/>
      <c r="M81" s="247" t="n"/>
      <c r="N81" s="247" t="n"/>
      <c r="O81" s="247" t="n"/>
      <c r="P81" s="247" t="n"/>
      <c r="Q81" s="261" t="n"/>
      <c r="R81" s="219" t="n"/>
      <c r="S81" s="260" t="n"/>
      <c r="T81" s="296" t="n"/>
      <c r="U81" s="164" t="n"/>
    </row>
    <row r="82" ht="12.75" customHeight="1" s="634">
      <c r="A82" s="295" t="n"/>
      <c r="B82" s="328" t="n"/>
      <c r="C82" s="420" t="n"/>
      <c r="D82" s="420" t="n"/>
      <c r="E82" s="421" t="n"/>
      <c r="F82" s="422" t="n"/>
      <c r="G82" s="699" t="n"/>
      <c r="H82" s="686" t="n"/>
      <c r="I82" s="686" t="n"/>
      <c r="J82" s="247" t="n"/>
      <c r="K82" s="247" t="n"/>
      <c r="L82" s="247" t="n"/>
      <c r="M82" s="247" t="n"/>
      <c r="N82" s="247" t="n"/>
      <c r="O82" s="247" t="n"/>
      <c r="P82" s="247" t="n"/>
      <c r="Q82" s="247" t="n"/>
      <c r="R82" s="219" t="n"/>
      <c r="S82" s="2" t="n"/>
      <c r="T82" s="296" t="n"/>
    </row>
    <row r="83" ht="12.6" customHeight="1" s="634">
      <c r="A83" s="295" t="n"/>
      <c r="B83" s="328" t="n"/>
      <c r="C83" s="420" t="n"/>
      <c r="D83" s="420" t="n"/>
      <c r="E83" s="421" t="n"/>
      <c r="F83" s="422" t="n"/>
      <c r="G83" s="699" t="n"/>
      <c r="H83" s="686" t="n"/>
      <c r="I83" s="686" t="n"/>
      <c r="J83" s="247" t="n"/>
      <c r="K83" s="247" t="n"/>
      <c r="L83" s="247" t="n"/>
      <c r="M83" s="247" t="n"/>
      <c r="N83" s="247" t="n"/>
      <c r="O83" s="247" t="n"/>
      <c r="P83" s="247" t="n"/>
      <c r="Q83" s="247" t="n"/>
      <c r="R83" s="219" t="n"/>
      <c r="S83" s="2" t="n"/>
      <c r="T83" s="296" t="n"/>
    </row>
    <row r="84" ht="15" customHeight="1" s="634">
      <c r="A84" s="295" t="n"/>
      <c r="B84" s="329" t="n"/>
      <c r="C84" s="423" t="n"/>
      <c r="D84" s="423" t="n"/>
      <c r="E84" s="423" t="n"/>
      <c r="F84" s="424" t="n"/>
      <c r="G84" s="293" t="n"/>
      <c r="H84" s="686" t="n"/>
      <c r="I84" s="686" t="n"/>
      <c r="J84" s="247" t="n"/>
      <c r="K84" s="247" t="n"/>
      <c r="L84" s="247" t="n"/>
      <c r="M84" s="247" t="n"/>
      <c r="N84" s="247" t="n"/>
      <c r="O84" s="247" t="n"/>
      <c r="P84" s="247" t="n"/>
      <c r="Q84" s="247" t="n"/>
      <c r="R84" s="219" t="n"/>
      <c r="S84" s="2" t="n"/>
      <c r="T84" s="296" t="n"/>
    </row>
    <row r="85" ht="7.5" customHeight="1" s="634">
      <c r="A85" s="295" t="n"/>
      <c r="B85" s="164" t="n"/>
      <c r="C85" s="293" t="n"/>
      <c r="D85" s="699" t="n"/>
      <c r="E85" s="293" t="n"/>
      <c r="F85" s="164" t="n"/>
      <c r="G85" s="164" t="n"/>
      <c r="H85" s="164" t="n"/>
      <c r="I85" s="164" t="n"/>
      <c r="J85" s="164" t="n"/>
      <c r="K85" s="164" t="n"/>
      <c r="L85" s="164" t="n"/>
      <c r="M85" s="164" t="n"/>
      <c r="N85" s="164" t="n"/>
      <c r="O85" s="164" t="n"/>
      <c r="P85" s="164" t="n"/>
      <c r="Q85" s="164" t="n"/>
      <c r="R85" s="219" t="n"/>
      <c r="S85" s="164" t="n"/>
      <c r="T85" s="164" t="n"/>
    </row>
    <row r="86">
      <c r="A86" s="330" t="n"/>
      <c r="B86" s="330" t="n"/>
      <c r="C86" s="330" t="n"/>
      <c r="D86" s="330" t="n"/>
      <c r="E86" s="330" t="n"/>
      <c r="F86" s="330" t="n"/>
      <c r="G86" s="330" t="n"/>
      <c r="H86" s="330" t="n"/>
      <c r="I86" s="330" t="n"/>
      <c r="J86" s="330" t="n"/>
      <c r="K86" s="330" t="n"/>
      <c r="L86" s="330" t="n"/>
      <c r="M86" s="330" t="n"/>
      <c r="N86" s="330" t="n"/>
      <c r="O86" s="330" t="n"/>
      <c r="P86" s="330" t="n"/>
      <c r="Q86" s="330" t="n"/>
      <c r="R86" s="219" t="n"/>
      <c r="S86" s="164" t="n"/>
      <c r="T86" s="164" t="n"/>
    </row>
    <row r="87" ht="12.75" customHeight="1" s="634">
      <c r="A87" s="295" t="n"/>
      <c r="B87" s="164" t="n"/>
      <c r="C87" s="293" t="n"/>
      <c r="D87" s="699" t="n"/>
      <c r="E87" s="293" t="n"/>
      <c r="F87" s="164" t="n"/>
      <c r="G87" s="164" t="n"/>
      <c r="H87" s="164" t="n"/>
      <c r="I87" s="164" t="n"/>
      <c r="J87" s="164" t="n"/>
      <c r="K87" s="164" t="n"/>
      <c r="L87" s="164" t="n"/>
      <c r="M87" s="164" t="n"/>
      <c r="N87" s="164" t="n"/>
      <c r="O87" s="164" t="n"/>
      <c r="P87" s="164" t="n"/>
      <c r="Q87" s="164" t="n"/>
      <c r="R87" s="164" t="n"/>
      <c r="S87" s="164" t="n"/>
      <c r="T87" s="164" t="n"/>
    </row>
    <row r="88" ht="12.75" customHeight="1" s="634">
      <c r="A88" s="295" t="n"/>
      <c r="B88" s="164" t="n"/>
      <c r="C88" s="293" t="n"/>
      <c r="D88" s="699" t="n"/>
      <c r="E88" s="293" t="n"/>
      <c r="F88" s="164" t="n"/>
      <c r="G88" s="164" t="n"/>
      <c r="H88" s="164" t="n"/>
      <c r="I88" s="164" t="n"/>
      <c r="J88" s="164" t="n"/>
      <c r="K88" s="164" t="n"/>
      <c r="L88" s="164" t="n"/>
      <c r="M88" s="164" t="n"/>
      <c r="N88" s="164" t="n"/>
      <c r="O88" s="164" t="n"/>
      <c r="P88" s="164" t="n"/>
      <c r="Q88" s="164" t="n"/>
      <c r="R88" s="164" t="n"/>
      <c r="S88" s="164" t="n"/>
      <c r="T88" s="164" t="n"/>
    </row>
    <row r="89" ht="12.75" customHeight="1" s="634">
      <c r="A89" s="295" t="n"/>
      <c r="B89" s="164" t="n"/>
      <c r="C89" s="293" t="n"/>
      <c r="D89" s="699" t="n"/>
      <c r="E89" s="293" t="n"/>
      <c r="F89" s="164" t="n"/>
      <c r="G89" s="164" t="n"/>
      <c r="H89" s="164" t="n"/>
      <c r="I89" s="164" t="n"/>
      <c r="J89" s="164" t="n"/>
      <c r="K89" s="164" t="n"/>
      <c r="L89" s="164" t="n"/>
      <c r="M89" s="164" t="n"/>
      <c r="N89" s="164" t="n"/>
      <c r="O89" s="164" t="n"/>
      <c r="P89" s="164" t="n"/>
      <c r="Q89" s="164" t="n"/>
      <c r="R89" s="164" t="n"/>
      <c r="S89" s="164" t="n"/>
      <c r="T89" s="164" t="n"/>
    </row>
    <row r="90" ht="12.75" customHeight="1" s="634">
      <c r="A90" s="295" t="n"/>
      <c r="B90" s="164" t="n"/>
      <c r="C90" s="293" t="n"/>
      <c r="D90" s="699" t="n"/>
      <c r="E90" s="164" t="n"/>
      <c r="F90" s="164" t="n"/>
      <c r="G90" s="164" t="n"/>
      <c r="H90" s="164" t="n"/>
      <c r="I90" s="164" t="n"/>
      <c r="J90" s="164" t="n"/>
      <c r="K90" s="164" t="n"/>
      <c r="L90" s="164" t="n"/>
      <c r="M90" s="164" t="n"/>
      <c r="N90" s="164" t="n"/>
      <c r="O90" s="164" t="n"/>
      <c r="P90" s="164" t="n"/>
      <c r="Q90" s="164" t="n"/>
      <c r="R90" s="164" t="n"/>
      <c r="S90" s="164" t="n"/>
      <c r="T90" s="164" t="n"/>
    </row>
    <row r="91" ht="12.75" customHeight="1" s="634">
      <c r="A91" s="295" t="n"/>
      <c r="B91" s="164" t="n"/>
      <c r="C91" s="293" t="n"/>
      <c r="D91" s="699" t="n"/>
      <c r="E91" s="164" t="n"/>
      <c r="F91" s="164" t="n"/>
      <c r="G91" s="164" t="n"/>
      <c r="H91" s="164" t="n"/>
      <c r="I91" s="164" t="n"/>
      <c r="J91" s="164" t="n"/>
      <c r="K91" s="164" t="n"/>
      <c r="L91" s="164" t="n"/>
      <c r="M91" s="164" t="n"/>
      <c r="N91" s="164" t="n"/>
      <c r="O91" s="164" t="n"/>
      <c r="P91" s="164" t="n"/>
      <c r="Q91" s="164" t="n"/>
      <c r="R91" s="164" t="n"/>
      <c r="S91" s="164" t="n"/>
      <c r="T91" s="164" t="n"/>
    </row>
    <row r="92">
      <c r="A92" s="295" t="n"/>
      <c r="B92" s="164" t="n"/>
      <c r="C92" s="293" t="n"/>
      <c r="D92" s="699" t="n"/>
      <c r="E92" s="164" t="n"/>
      <c r="F92" s="164" t="n"/>
      <c r="G92" s="164" t="n"/>
      <c r="H92" s="164" t="n"/>
      <c r="I92" s="164" t="n"/>
      <c r="J92" s="164" t="n"/>
      <c r="K92" s="164" t="n"/>
      <c r="L92" s="164" t="n"/>
      <c r="M92" s="164" t="n"/>
      <c r="N92" s="164" t="n"/>
      <c r="O92" s="164" t="n"/>
      <c r="P92" s="164" t="n"/>
      <c r="Q92" s="164" t="n"/>
      <c r="R92" s="164" t="n"/>
      <c r="S92" s="164" t="n"/>
      <c r="T92" s="164" t="n"/>
    </row>
  </sheetData>
  <mergeCells count="17">
    <mergeCell ref="D2:P8"/>
    <mergeCell ref="B26:F28"/>
    <mergeCell ref="B76:F76"/>
    <mergeCell ref="B23:E23"/>
    <mergeCell ref="F37:J37"/>
    <mergeCell ref="B60:F63"/>
    <mergeCell ref="C37:C38"/>
    <mergeCell ref="D37:D38"/>
    <mergeCell ref="E37:E38"/>
    <mergeCell ref="L37:M37"/>
    <mergeCell ref="B20:E20"/>
    <mergeCell ref="B53:F56"/>
    <mergeCell ref="P37:P38"/>
    <mergeCell ref="O37:O38"/>
    <mergeCell ref="N37:N38"/>
    <mergeCell ref="B37:B38"/>
    <mergeCell ref="H13:L13"/>
  </mergeCells>
  <conditionalFormatting sqref="B26">
    <cfRule type="cellIs" priority="17" operator="equal" dxfId="37">
      <formula>0</formula>
    </cfRule>
    <cfRule type="containsBlanks" priority="27" dxfId="4">
      <formula>LEN(TRIM(B26))=0</formula>
    </cfRule>
    <cfRule type="containsBlanks" priority="36" dxfId="37">
      <formula>LEN(TRIM(B26))=0</formula>
    </cfRule>
  </conditionalFormatting>
  <conditionalFormatting sqref="B53:B55">
    <cfRule type="containsBlanks" priority="6" dxfId="4">
      <formula>LEN(TRIM(B52))=0</formula>
    </cfRule>
  </conditionalFormatting>
  <conditionalFormatting sqref="B60">
    <cfRule type="containsBlanks" priority="16" dxfId="4">
      <formula>LEN(TRIM(B59))=0</formula>
    </cfRule>
  </conditionalFormatting>
  <conditionalFormatting sqref="B39:D43">
    <cfRule type="containsBlanks" priority="13" dxfId="4">
      <formula>LEN(TRIM(B39))=0</formula>
    </cfRule>
  </conditionalFormatting>
  <conditionalFormatting sqref="B81:F81 B82:B84 C82:F82">
    <cfRule type="containsBlanks" priority="5" dxfId="4">
      <formula>LEN(TRIM(B80))=0</formula>
    </cfRule>
  </conditionalFormatting>
  <conditionalFormatting sqref="C2">
    <cfRule type="containsBlanks" priority="29" dxfId="4">
      <formula>LEN(TRIM(C2))=0</formula>
    </cfRule>
  </conditionalFormatting>
  <conditionalFormatting sqref="C3">
    <cfRule type="containsBlanks" priority="32" dxfId="11">
      <formula>LEN(TRIM(C3))=0</formula>
    </cfRule>
  </conditionalFormatting>
  <conditionalFormatting sqref="C4:C8">
    <cfRule type="containsBlanks" priority="30" dxfId="4">
      <formula>LEN(TRIM(C4))=0</formula>
    </cfRule>
  </conditionalFormatting>
  <conditionalFormatting sqref="C15:C19">
    <cfRule type="containsBlanks" priority="31" dxfId="4">
      <formula>LEN(TRIM(C15))=0</formula>
    </cfRule>
  </conditionalFormatting>
  <conditionalFormatting sqref="C32">
    <cfRule type="containsBlanks" priority="14" dxfId="4">
      <formula>LEN(TRIM(C32))=0</formula>
    </cfRule>
  </conditionalFormatting>
  <conditionalFormatting sqref="C83:F84">
    <cfRule type="containsBlanks" priority="4" dxfId="13">
      <formula>LEN(TRIM(C82))=0</formula>
    </cfRule>
  </conditionalFormatting>
  <conditionalFormatting sqref="B76:F76 D70:E70">
    <cfRule type="containsBlanks" priority="35" dxfId="4">
      <formula>LEN(TRIM(B69))=0</formula>
    </cfRule>
  </conditionalFormatting>
  <conditionalFormatting sqref="E39">
    <cfRule type="containsBlanks" priority="25" dxfId="11">
      <formula>LEN(TRIM(E39))=0</formula>
    </cfRule>
  </conditionalFormatting>
  <conditionalFormatting sqref="E69">
    <cfRule type="containsBlanks" priority="1" dxfId="4">
      <formula>LEN(TRIM(E68))=0</formula>
    </cfRule>
  </conditionalFormatting>
  <conditionalFormatting sqref="F39:F43">
    <cfRule type="containsBlanks" priority="12" dxfId="4">
      <formula>LEN(TRIM(F39))=0</formula>
    </cfRule>
  </conditionalFormatting>
  <conditionalFormatting sqref="H30">
    <cfRule type="containsBlanks" priority="20" dxfId="0">
      <formula>LEN(TRIM(H30))=0</formula>
    </cfRule>
  </conditionalFormatting>
  <conditionalFormatting sqref="H39:H43 J39:J43">
    <cfRule type="containsBlanks" priority="28" dxfId="11">
      <formula>LEN(TRIM(H39))=0</formula>
    </cfRule>
  </conditionalFormatting>
  <conditionalFormatting sqref="H48">
    <cfRule type="containsBlanks" priority="24" dxfId="4">
      <formula>LEN(TRIM(H47))=0</formula>
    </cfRule>
  </conditionalFormatting>
  <conditionalFormatting sqref="J48:K48">
    <cfRule type="containsBlanks" priority="2" dxfId="4">
      <formula>LEN(TRIM(J47))=0</formula>
    </cfRule>
  </conditionalFormatting>
  <conditionalFormatting sqref="K39:K43">
    <cfRule type="containsBlanks" priority="11" dxfId="4">
      <formula>LEN(TRIM(K39))=0</formula>
    </cfRule>
  </conditionalFormatting>
  <conditionalFormatting sqref="P39:P43">
    <cfRule type="containsBlanks" priority="7" dxfId="4">
      <formula>LEN(TRIM(P39))=0</formula>
    </cfRule>
  </conditionalFormatting>
  <conditionalFormatting sqref="P46">
    <cfRule type="containsBlanks" priority="3" dxfId="4">
      <formula>LEN(TRIM(P45))=0</formula>
    </cfRule>
  </conditionalFormatting>
  <dataValidations count="4">
    <dataValidation sqref="P39:P43 P46" showDropDown="0" showInputMessage="1" showErrorMessage="1" allowBlank="1" type="list">
      <formula1>"是,否"</formula1>
    </dataValidation>
    <dataValidation sqref="C15:C19" showDropDown="0" showInputMessage="1" showErrorMessage="0" allowBlank="1" type="list">
      <formula1>"Minimal,Low,Moderate,High,N/A"</formula1>
    </dataValidation>
    <dataValidation sqref="P44:P45" showDropDown="0" showInputMessage="1" showErrorMessage="1" allowBlank="1" type="list">
      <formula1>"Yes,No"</formula1>
    </dataValidation>
    <dataValidation sqref="B81:B84" showDropDown="0" showInputMessage="1" showErrorMessage="0" allowBlank="1" type="list">
      <formula1>"管理层账表调整(CLA),已更正审计调整(AA/RA/OA),未更正审计调整(SAD)"</formula1>
    </dataValidation>
  </dataValidations>
  <hyperlinks>
    <hyperlink ref="B11" location="汇总!A1" display="返回汇总页"/>
  </hyperlinks>
  <pageMargins left="0.7" right="0.7" top="0.75" bottom="0.75" header="0.3" footer="0.3"/>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P33"/>
  <sheetViews>
    <sheetView showGridLines="0" zoomScale="70" zoomScaleNormal="70" workbookViewId="0">
      <selection activeCell="K24" sqref="K24"/>
    </sheetView>
  </sheetViews>
  <sheetFormatPr baseColWidth="8" defaultColWidth="8.875" defaultRowHeight="15" customHeight="1"/>
  <cols>
    <col width="2.625" customWidth="1" style="10" min="1" max="1"/>
    <col width="24" customWidth="1" style="10" min="2" max="2"/>
    <col width="25.625" customWidth="1" style="10" min="3" max="6"/>
    <col width="15.875" customWidth="1" style="10" min="7" max="7"/>
    <col width="15.625" customWidth="1" style="10" min="8" max="8"/>
    <col width="19.625" customWidth="1" style="10" min="9" max="9"/>
    <col width="20.5" customWidth="1" style="10" min="10" max="11"/>
    <col width="2.625" customWidth="1" style="10" min="12" max="12"/>
    <col width="1.625" customWidth="1" style="10" min="13" max="13"/>
    <col width="2.875" customWidth="1" style="10" min="14" max="16"/>
    <col width="11.375" customWidth="1" style="10" min="17" max="17"/>
    <col width="8.875" customWidth="1" style="10" min="18" max="18"/>
    <col width="9.875" customWidth="1" style="10" min="19" max="21"/>
    <col width="8.875" customWidth="1" style="10" min="22" max="699"/>
    <col width="9.125" customWidth="1" style="10" min="700" max="700"/>
    <col width="8.875" customWidth="1" style="10" min="701" max="16384"/>
  </cols>
  <sheetData>
    <row r="1" ht="50.1" customHeight="1" s="634">
      <c r="B1" s="85" t="inlineStr">
        <is>
          <t>标准工作底稿: N SWP 应付账款</t>
        </is>
      </c>
      <c r="C1" s="14" t="n"/>
      <c r="D1" s="15" t="n"/>
      <c r="E1" s="15" t="n"/>
      <c r="F1" s="15" t="n"/>
      <c r="G1" s="15" t="n"/>
      <c r="H1" s="15" t="n"/>
      <c r="I1" s="15" t="n"/>
      <c r="J1" s="15" t="n"/>
      <c r="K1" s="16" t="n"/>
      <c r="M1" s="17" t="n"/>
    </row>
    <row r="2" ht="30" customHeight="1" s="634">
      <c r="B2" s="18" t="inlineStr">
        <is>
          <t>N.01: 明细账与总账核对并执行细节测试</t>
        </is>
      </c>
      <c r="C2" s="19" t="n"/>
      <c r="D2" s="19" t="n"/>
      <c r="E2" s="19" t="n"/>
      <c r="F2" s="19" t="n"/>
      <c r="G2" s="19" t="n"/>
      <c r="H2" s="19" t="n"/>
      <c r="I2" s="19" t="n"/>
      <c r="J2" s="19" t="n"/>
      <c r="K2" s="20" t="n"/>
      <c r="M2" s="17" t="n"/>
    </row>
    <row r="3" ht="15" customHeight="1" s="634">
      <c r="M3" s="17" t="n"/>
    </row>
    <row r="4" ht="15" customHeight="1" s="634">
      <c r="B4" s="46" t="inlineStr">
        <is>
          <t>返回汇总页</t>
        </is>
      </c>
      <c r="M4" s="17" t="n"/>
    </row>
    <row r="5" ht="15" customHeight="1" s="634">
      <c r="M5" s="17" t="n"/>
    </row>
    <row r="6" ht="15" customHeight="1" s="634">
      <c r="B6" s="714">
        <f>MIN('N.00 Lead sheet'!$D$15,'N.00 Lead sheet'!$D$16)</f>
        <v/>
      </c>
      <c r="C6" s="86" t="inlineStr">
        <is>
          <t>用于识别总账和明细账之间差异的测试阈值</t>
        </is>
      </c>
      <c r="D6" s="47" t="n"/>
      <c r="M6" s="17" t="n"/>
    </row>
    <row r="7" ht="15" customHeight="1" s="634">
      <c r="M7" s="17" t="n"/>
    </row>
    <row r="8" ht="15" customHeight="1" s="634">
      <c r="B8" s="22" t="n"/>
      <c r="F8" s="23" t="n"/>
      <c r="G8" s="13" t="n"/>
      <c r="J8" s="13" t="n"/>
      <c r="M8" s="17" t="n"/>
    </row>
    <row r="9" ht="19.5" customHeight="1" s="634">
      <c r="B9" s="212" t="inlineStr">
        <is>
          <t>表1 将明细账与总账核对一致。</t>
        </is>
      </c>
      <c r="C9" s="213" t="n"/>
      <c r="D9" s="213" t="n"/>
      <c r="E9" s="13" t="n"/>
      <c r="F9" s="13" t="n"/>
      <c r="H9" s="13" t="n"/>
      <c r="I9" s="13" t="inlineStr">
        <is>
          <t>|------- Rx -------|</t>
        </is>
      </c>
      <c r="J9" s="13" t="n"/>
      <c r="M9" s="17" t="n"/>
    </row>
    <row r="10" ht="15" customHeight="1" s="634">
      <c r="B10" s="715" t="inlineStr">
        <is>
          <t>账套名称/账套编码</t>
        </is>
      </c>
      <c r="C10" s="716" t="inlineStr">
        <is>
          <t>总账科目编码</t>
        </is>
      </c>
      <c r="D10" s="717" t="inlineStr">
        <is>
          <t>科目名称</t>
        </is>
      </c>
      <c r="E10" s="718" t="inlineStr">
        <is>
          <t>Lead页余额</t>
        </is>
      </c>
      <c r="F10" s="719" t="inlineStr">
        <is>
          <t>索引号</t>
        </is>
      </c>
      <c r="G10" s="719" t="inlineStr">
        <is>
          <t>明细账余额</t>
        </is>
      </c>
      <c r="H10" s="719" t="inlineStr">
        <is>
          <t>明细账索引</t>
        </is>
      </c>
      <c r="I10" s="719" t="inlineStr">
        <is>
          <t>差异重新计算
（Note1）</t>
        </is>
      </c>
      <c r="J10" s="720" t="inlineStr">
        <is>
          <t>外币余额</t>
        </is>
      </c>
      <c r="K10" s="721" t="n"/>
      <c r="M10" s="17" t="n"/>
    </row>
    <row r="11" ht="31.5" customHeight="1" s="634">
      <c r="B11" s="637" t="n"/>
      <c r="C11" s="691" t="n"/>
      <c r="D11" s="644" t="n"/>
      <c r="E11" s="644" t="n"/>
      <c r="F11" s="722" t="n"/>
      <c r="G11" s="722" t="n"/>
      <c r="H11" s="722" t="n"/>
      <c r="I11" s="722" t="n"/>
      <c r="J11" s="521" t="inlineStr">
        <is>
          <t>是否适当重新计量?
(使用下拉列表)</t>
        </is>
      </c>
      <c r="K11" s="521" t="inlineStr">
        <is>
          <t>工作底稿参考</t>
        </is>
      </c>
      <c r="M11" s="17" t="n"/>
    </row>
    <row r="12" ht="15" customHeight="1" s="634">
      <c r="B12" s="211" t="n"/>
      <c r="C12" s="57" t="n"/>
      <c r="D12" s="48" t="n"/>
      <c r="E12" s="723">
        <f>-IFERROR(_xlfn.XLOOKUP(C12,'N.00 Lead sheet'!$C$39:$C$43,'N.00 Lead sheet'!$F$39:$F$43),0)</f>
        <v/>
      </c>
      <c r="F12" s="187" t="inlineStr">
        <is>
          <t xml:space="preserve">/N.00 </t>
        </is>
      </c>
      <c r="G12" s="724" t="n"/>
      <c r="H12" s="188" t="inlineStr">
        <is>
          <t>/N.01.01明细账</t>
        </is>
      </c>
      <c r="I12" s="723">
        <f>E12-G12</f>
        <v/>
      </c>
      <c r="J12" s="88" t="n"/>
      <c r="K12" s="452">
        <f>IF(J12="","",IF(J12="是","Note2",IF(J12="否","Note2","不适用")))</f>
        <v/>
      </c>
      <c r="M12" s="17" t="n"/>
    </row>
    <row r="13" ht="15" customHeight="1" s="634">
      <c r="B13" s="48" t="n"/>
      <c r="C13" s="57" t="n"/>
      <c r="D13" s="48" t="n"/>
      <c r="E13" s="723">
        <f>-IFERROR(_xlfn.XLOOKUP(C13,'N.00 Lead sheet'!$C$39:$C$43,'N.00 Lead sheet'!$F$39:$F$43),0)</f>
        <v/>
      </c>
      <c r="F13" s="24" t="n"/>
      <c r="G13" s="725" t="n"/>
      <c r="H13" s="24" t="n"/>
      <c r="I13" s="723">
        <f>E13-G13</f>
        <v/>
      </c>
      <c r="J13" s="88" t="n"/>
      <c r="K13" s="452">
        <f>IF(J13="","",IF(J13="是","Note2",IF(J13="否","Note2","不适用")))</f>
        <v/>
      </c>
      <c r="M13" s="17" t="n"/>
    </row>
    <row r="14" ht="15" customHeight="1" s="634">
      <c r="B14" s="48" t="n"/>
      <c r="C14" s="57" t="n"/>
      <c r="D14" s="48" t="n"/>
      <c r="E14" s="723">
        <f>-IFERROR(_xlfn.XLOOKUP(C14,'N.00 Lead sheet'!$C$39:$C$43,'N.00 Lead sheet'!$F$39:$F$43),0)</f>
        <v/>
      </c>
      <c r="F14" s="24" t="n"/>
      <c r="G14" s="725" t="n"/>
      <c r="H14" s="24" t="n"/>
      <c r="I14" s="723">
        <f>E14-G14</f>
        <v/>
      </c>
      <c r="J14" s="88" t="n"/>
      <c r="K14" s="452">
        <f>IF(J14="","",IF(J14="是","Note2",IF(J14="否","Note2","不适用")))</f>
        <v/>
      </c>
      <c r="M14" s="17" t="n"/>
    </row>
    <row r="15" ht="15" customHeight="1" s="634">
      <c r="B15" s="48" t="n"/>
      <c r="C15" s="57" t="n"/>
      <c r="D15" s="48" t="n"/>
      <c r="E15" s="723">
        <f>-IFERROR(_xlfn.XLOOKUP(C15,'N.00 Lead sheet'!$C$39:$C$43,'N.00 Lead sheet'!$F$39:$F$43),0)</f>
        <v/>
      </c>
      <c r="F15" s="24" t="n"/>
      <c r="G15" s="725" t="n"/>
      <c r="H15" s="24" t="n"/>
      <c r="I15" s="723">
        <f>E15-G15</f>
        <v/>
      </c>
      <c r="J15" s="88" t="n"/>
      <c r="K15" s="452">
        <f>IF(J15="","",IF(J15="是","Note2",IF(J15="否","Note2","不适用")))</f>
        <v/>
      </c>
      <c r="M15" s="17" t="n"/>
    </row>
    <row r="16" ht="15" customHeight="1" s="634">
      <c r="B16" s="48" t="n"/>
      <c r="C16" s="58" t="n"/>
      <c r="D16" s="425" t="n"/>
      <c r="E16" s="723">
        <f>-IFERROR(_xlfn.XLOOKUP(C16,'N.00 Lead sheet'!$C$39:$C$43,'N.00 Lead sheet'!$F$39:$F$43),0)</f>
        <v/>
      </c>
      <c r="F16" s="24" t="n"/>
      <c r="G16" s="726" t="n"/>
      <c r="H16" s="24" t="n"/>
      <c r="I16" s="723">
        <f>E16-G16</f>
        <v/>
      </c>
      <c r="J16" s="89" t="n"/>
      <c r="K16" s="452">
        <f>IF(J16="","",IF(J16="是","Note2",IF(J16="否","Note2","不适用")))</f>
        <v/>
      </c>
      <c r="M16" s="17" t="n"/>
    </row>
    <row r="17" ht="15" customHeight="1" s="634">
      <c r="M17" s="17" t="n"/>
    </row>
    <row r="18" ht="15" customHeight="1" s="634">
      <c r="D18" s="87" t="inlineStr">
        <is>
          <t>合计</t>
        </is>
      </c>
      <c r="E18" s="727">
        <f>SUM(E12:E16)</f>
        <v/>
      </c>
      <c r="G18" s="727">
        <f>SUM(G12:G16)</f>
        <v/>
      </c>
      <c r="I18" s="727">
        <f>SUM(I12:I16)</f>
        <v/>
      </c>
      <c r="J18" s="728" t="n"/>
      <c r="M18" s="17" t="n"/>
    </row>
    <row r="19" ht="15" customHeight="1" s="634">
      <c r="D19" s="87" t="n"/>
      <c r="E19" s="13" t="inlineStr">
        <is>
          <t>RX</t>
        </is>
      </c>
      <c r="F19" s="729" t="n"/>
      <c r="G19" s="13" t="inlineStr">
        <is>
          <t>RX</t>
        </is>
      </c>
      <c r="H19" s="13" t="n"/>
      <c r="I19" s="13" t="inlineStr">
        <is>
          <t>RX</t>
        </is>
      </c>
      <c r="M19" s="17" t="n"/>
    </row>
    <row r="20" ht="15" customHeight="1" s="634">
      <c r="B20" s="12" t="n"/>
      <c r="C20" s="11" t="n"/>
      <c r="D20" s="730" t="n"/>
      <c r="E20" s="730" t="n"/>
      <c r="F20" s="730" t="n"/>
      <c r="G20" s="730" t="n"/>
      <c r="H20" s="26" t="n"/>
      <c r="I20" s="26" t="n"/>
      <c r="J20" s="26" t="n"/>
      <c r="M20" s="17" t="n"/>
    </row>
    <row r="21" ht="15" customFormat="1" customHeight="1" s="29">
      <c r="B21" s="29" t="inlineStr">
        <is>
          <t>Note1：如果总账和明细账差异金额大于SAD请在以下解释差异并执行相应的程序：针对金额大于测试阈值及性质异常的项目我们需进一步进行测试。(如不适用请删除）</t>
        </is>
      </c>
      <c r="I21" s="26" t="n"/>
      <c r="M21" s="17" t="n"/>
      <c r="N21" s="10" t="n"/>
      <c r="O21" s="10" t="n"/>
      <c r="P21" s="10" t="n"/>
    </row>
    <row r="22" ht="15" customFormat="1" customHeight="1" s="29">
      <c r="B22" s="731" t="n"/>
      <c r="C22" s="688" t="n"/>
      <c r="D22" s="688" t="n"/>
      <c r="E22" s="688" t="n"/>
      <c r="F22" s="688" t="n"/>
      <c r="G22" s="689" t="n"/>
      <c r="I22" s="26" t="n"/>
      <c r="M22" s="17" t="n"/>
      <c r="N22" s="10" t="n"/>
      <c r="O22" s="10" t="n"/>
      <c r="P22" s="10" t="n"/>
    </row>
    <row r="23" ht="15" customFormat="1" customHeight="1" s="29">
      <c r="B23" s="641" t="n"/>
      <c r="G23" s="690" t="n"/>
      <c r="I23" s="26" t="n"/>
      <c r="M23" s="17" t="n"/>
      <c r="N23" s="10" t="n"/>
      <c r="O23" s="10" t="n"/>
      <c r="P23" s="10" t="n"/>
    </row>
    <row r="24" ht="15" customFormat="1" customHeight="1" s="29">
      <c r="B24" s="644" t="n"/>
      <c r="C24" s="645" t="n"/>
      <c r="D24" s="645" t="n"/>
      <c r="E24" s="645" t="n"/>
      <c r="F24" s="645" t="n"/>
      <c r="G24" s="691" t="n"/>
      <c r="I24" s="26" t="n"/>
      <c r="M24" s="17" t="n"/>
      <c r="N24" s="10" t="n"/>
      <c r="O24" s="10" t="n"/>
      <c r="P24" s="10" t="n"/>
    </row>
    <row r="25" ht="15" customFormat="1" customHeight="1" s="29">
      <c r="B25" s="39" t="n"/>
      <c r="C25" s="39" t="n"/>
      <c r="D25" s="39" t="n"/>
      <c r="E25" s="39" t="n"/>
      <c r="F25" s="39" t="n"/>
      <c r="I25" s="26" t="n"/>
      <c r="M25" s="17" t="n"/>
      <c r="N25" s="10" t="n"/>
      <c r="O25" s="10" t="n"/>
      <c r="P25" s="10" t="n"/>
    </row>
    <row r="26" ht="15" customFormat="1" customHeight="1" s="29">
      <c r="B26" s="29" t="inlineStr">
        <is>
          <t>Note2：对外币余额，我们使用第三方汇率（独立于客户获得汇率）重新计算，并将重新计算的余额与客户的余额进行比较。(如不适用请删除）</t>
        </is>
      </c>
      <c r="I26" s="26" t="n"/>
      <c r="M26" s="17" t="n"/>
      <c r="N26" s="10" t="n"/>
      <c r="O26" s="10" t="n"/>
      <c r="P26" s="10" t="n"/>
    </row>
    <row r="27" ht="15" customFormat="1" customHeight="1" s="29">
      <c r="B27" s="157" t="n"/>
      <c r="C27" s="50" t="inlineStr">
        <is>
          <t>|------- N.01.01明细账 -------|</t>
        </is>
      </c>
      <c r="D27" s="732" t="inlineStr">
        <is>
          <t>EY Works</t>
        </is>
      </c>
      <c r="E27" s="649" t="n"/>
      <c r="F27" s="50" t="inlineStr">
        <is>
          <t>|------- N.01.01明细账 -------|</t>
        </is>
      </c>
      <c r="G27" s="54" t="n"/>
      <c r="I27" s="26" t="n"/>
      <c r="M27" s="17" t="n"/>
      <c r="N27" s="10" t="n"/>
      <c r="O27" s="10" t="n"/>
      <c r="P27" s="10" t="n"/>
    </row>
    <row r="28" ht="15" customFormat="1" customHeight="1" s="29">
      <c r="B28" s="179" t="inlineStr">
        <is>
          <t>原币币种</t>
        </is>
      </c>
      <c r="C28" s="180" t="inlineStr">
        <is>
          <t>原币金额</t>
        </is>
      </c>
      <c r="D28" s="180" t="inlineStr">
        <is>
          <t>折算汇率</t>
        </is>
      </c>
      <c r="E28" s="180" t="inlineStr">
        <is>
          <t>折合本位币</t>
        </is>
      </c>
      <c r="F28" s="180" t="inlineStr">
        <is>
          <t>账面本位币金额</t>
        </is>
      </c>
      <c r="G28" s="180" t="inlineStr">
        <is>
          <t>差异</t>
        </is>
      </c>
      <c r="I28" s="26" t="n"/>
      <c r="M28" s="17" t="n"/>
      <c r="N28" s="10" t="n"/>
      <c r="O28" s="10" t="n"/>
      <c r="P28" s="10" t="n"/>
    </row>
    <row r="29" ht="15" customFormat="1" customHeight="1" s="29">
      <c r="B29" s="90" t="inlineStr">
        <is>
          <t>USD</t>
        </is>
      </c>
      <c r="C29" s="733" t="n"/>
      <c r="D29" s="734" t="n"/>
      <c r="E29" s="735">
        <f>C29*D29</f>
        <v/>
      </c>
      <c r="F29" s="733" t="n"/>
      <c r="G29" s="733">
        <f>E29-F29</f>
        <v/>
      </c>
      <c r="I29" s="26" t="n"/>
      <c r="M29" s="17" t="n"/>
      <c r="N29" s="10" t="n"/>
      <c r="O29" s="10" t="n"/>
      <c r="P29" s="10" t="n"/>
    </row>
    <row r="30" ht="15" customFormat="1" customHeight="1" s="29">
      <c r="B30" s="90" t="inlineStr">
        <is>
          <t>CNY</t>
        </is>
      </c>
      <c r="C30" s="733" t="n"/>
      <c r="D30" s="734" t="n"/>
      <c r="E30" s="735">
        <f>C30*D30</f>
        <v/>
      </c>
      <c r="F30" s="733" t="n"/>
      <c r="G30" s="733">
        <f>E30-F30</f>
        <v/>
      </c>
      <c r="I30" s="26" t="n"/>
      <c r="M30" s="17" t="n"/>
      <c r="N30" s="10" t="n"/>
      <c r="O30" s="10" t="n"/>
      <c r="P30" s="10" t="n"/>
    </row>
    <row r="31" ht="15" customFormat="1" customHeight="1" s="29">
      <c r="B31" s="91" t="n"/>
      <c r="C31" s="733" t="n"/>
      <c r="D31" s="734" t="n"/>
      <c r="E31" s="735">
        <f>C31*D31</f>
        <v/>
      </c>
      <c r="F31" s="733" t="n"/>
      <c r="G31" s="733">
        <f>E31-F31</f>
        <v/>
      </c>
      <c r="I31" s="26" t="n"/>
      <c r="M31" s="17" t="n"/>
      <c r="N31" s="10" t="n"/>
      <c r="O31" s="10" t="n"/>
      <c r="P31" s="10" t="n"/>
    </row>
    <row r="32" ht="15" customHeight="1" s="634">
      <c r="G32" s="29" t="n"/>
      <c r="H32" s="29" t="n"/>
      <c r="I32" s="26" t="n"/>
      <c r="J32" s="29" t="n"/>
      <c r="K32" s="29" t="n"/>
      <c r="L32" s="29" t="n"/>
      <c r="M32" s="17" t="n"/>
    </row>
    <row r="33" ht="7.5" customHeight="1" s="634">
      <c r="A33" s="17" t="n"/>
      <c r="B33" s="17" t="n"/>
      <c r="C33" s="17" t="n"/>
      <c r="D33" s="17" t="n"/>
      <c r="E33" s="17" t="n"/>
      <c r="F33" s="17" t="n"/>
      <c r="G33" s="17" t="n"/>
      <c r="H33" s="17" t="n"/>
      <c r="I33" s="17" t="n"/>
      <c r="J33" s="17" t="n"/>
      <c r="K33" s="17" t="n"/>
      <c r="L33" s="17" t="n"/>
      <c r="M33" s="17" t="n"/>
    </row>
  </sheetData>
  <mergeCells count="11">
    <mergeCell ref="D10:D11"/>
    <mergeCell ref="I10:I11"/>
    <mergeCell ref="F10:F11"/>
    <mergeCell ref="B22:G24"/>
    <mergeCell ref="D27:E27"/>
    <mergeCell ref="J10:K10"/>
    <mergeCell ref="C10:C11"/>
    <mergeCell ref="B10:B11"/>
    <mergeCell ref="E10:E11"/>
    <mergeCell ref="H10:H11"/>
    <mergeCell ref="G10:G11"/>
  </mergeCells>
  <conditionalFormatting sqref="B22:B23">
    <cfRule type="containsBlanks" priority="8" dxfId="4">
      <formula>LEN(TRIM(B22))=0</formula>
    </cfRule>
  </conditionalFormatting>
  <conditionalFormatting sqref="B12:D16">
    <cfRule type="containsBlanks" priority="3" dxfId="4">
      <formula>LEN(TRIM(B12))=0</formula>
    </cfRule>
  </conditionalFormatting>
  <conditionalFormatting sqref="B29:D31 F29:F31">
    <cfRule type="containsBlanks" priority="1" dxfId="13">
      <formula>LEN(TRIM(B29))=0</formula>
    </cfRule>
  </conditionalFormatting>
  <conditionalFormatting sqref="G12:G16 J12:J16">
    <cfRule type="containsBlanks" priority="2" dxfId="4">
      <formula>LEN(TRIM(G12))=0</formula>
    </cfRule>
  </conditionalFormatting>
  <conditionalFormatting sqref="E12:E16 H12 I12:I16">
    <cfRule type="containsBlanks" priority="4" dxfId="11">
      <formula>LEN(TRIM(E12))=0</formula>
    </cfRule>
  </conditionalFormatting>
  <dataValidations count="1">
    <dataValidation sqref="J12:J16" showDropDown="0" showInputMessage="1" showErrorMessage="0" allowBlank="1" type="list">
      <formula1>"是,否,不适用"</formula1>
    </dataValidation>
  </dataValidations>
  <hyperlinks>
    <hyperlink ref="B4" location="汇总!A1" display="返回汇总页"/>
  </hyperlinks>
  <pageMargins left="0.7" right="0.7" top="0.75" bottom="0.75" header="0.3" footer="0.3"/>
  <pageSetup orientation="landscape" paperSize="9" scale="57" fitToHeight="0" horizontalDpi="300"/>
  <headerFooter>
    <oddHeader/>
    <oddFooter>&amp;LN SWP Trade Payables_x000a_(24 June 2025)</oddFooter>
    <evenHeader/>
    <evenFooter/>
    <firstHeader/>
    <firstFooter/>
  </headerFooter>
</worksheet>
</file>

<file path=xl/worksheets/sheet4.xml><?xml version="1.0" encoding="utf-8"?>
<worksheet xmlns="http://schemas.openxmlformats.org/spreadsheetml/2006/main">
  <sheetPr filterMode="1">
    <outlinePr summaryBelow="1" summaryRight="1"/>
    <pageSetUpPr/>
  </sheetPr>
  <dimension ref="A1:X270"/>
  <sheetViews>
    <sheetView showGridLines="0" zoomScale="70" zoomScaleNormal="70" workbookViewId="0">
      <pane xSplit="5" ySplit="243" topLeftCell="F244" activePane="bottomRight" state="frozen"/>
      <selection pane="topRight"/>
      <selection pane="bottomLeft"/>
      <selection pane="bottomRight" activeCell="A1" sqref="A1"/>
    </sheetView>
  </sheetViews>
  <sheetFormatPr baseColWidth="8" defaultColWidth="8.77734375" defaultRowHeight="13.8"/>
  <cols>
    <col width="2.5546875" customWidth="1" style="91" min="1" max="1"/>
    <col width="50.5546875" customWidth="1" style="91" min="2" max="2"/>
    <col width="33.88671875" customWidth="1" style="91" min="3" max="3"/>
    <col width="20.77734375" customWidth="1" style="91" min="4" max="4"/>
    <col width="40.6640625" customWidth="1" style="91" min="5" max="5"/>
    <col width="20.77734375" customWidth="1" style="91" min="6" max="7"/>
    <col width="9.6640625" customWidth="1" style="91" min="8" max="8"/>
    <col width="14.77734375" bestFit="1" customWidth="1" style="91" min="9" max="10"/>
    <col width="8.88671875" bestFit="1" customWidth="1" style="91" min="11" max="12"/>
    <col width="14.77734375" bestFit="1" customWidth="1" style="91" min="13" max="13"/>
    <col width="15.21875" customWidth="1" style="91" min="14" max="14"/>
    <col width="14.109375" customWidth="1" style="91" min="15" max="15"/>
    <col width="8.88671875" bestFit="1" customWidth="1" style="91" min="16" max="17"/>
    <col width="13.5546875" customWidth="1" style="91" min="18" max="18"/>
    <col width="13.6640625" bestFit="1" customWidth="1" style="91" min="19" max="19"/>
    <col width="14.77734375" bestFit="1" customWidth="1" style="91" min="20" max="20"/>
    <col width="13.6640625" bestFit="1" customWidth="1" style="91" min="21" max="21"/>
    <col width="14.77734375" bestFit="1" customWidth="1" style="91" min="22" max="22"/>
    <col width="8.88671875" bestFit="1" customWidth="1" style="91" min="23" max="23"/>
    <col width="16.77734375" customWidth="1" style="91" min="24" max="24"/>
    <col width="8.77734375" customWidth="1" style="91" min="25" max="16384"/>
  </cols>
  <sheetData>
    <row r="1" ht="50.1" customHeight="1">
      <c r="A1" s="30" t="n"/>
      <c r="B1" s="736" t="inlineStr">
        <is>
          <t>标准底稿: N SWP 应付账款</t>
        </is>
      </c>
      <c r="C1" s="737" t="n"/>
      <c r="D1" s="737" t="n"/>
      <c r="E1" s="737" t="n"/>
      <c r="F1" s="737" t="n"/>
      <c r="G1" s="737" t="n"/>
      <c r="H1" s="738" t="n"/>
      <c r="I1" s="30" t="n"/>
      <c r="J1" s="30" t="n"/>
      <c r="K1" s="30" t="n"/>
      <c r="L1" s="30" t="n"/>
    </row>
    <row r="2" ht="30" customFormat="1" customHeight="1" s="93">
      <c r="A2" s="32" t="n"/>
      <c r="B2" s="93" t="inlineStr">
        <is>
          <t>N.01.01 获取应付账款明细账</t>
        </is>
      </c>
      <c r="C2" s="33" t="n"/>
      <c r="D2" s="33" t="n"/>
      <c r="E2" s="33" t="n"/>
      <c r="F2" s="33" t="n"/>
      <c r="G2" s="33" t="n"/>
      <c r="H2" s="34" t="n"/>
      <c r="I2" s="32" t="n"/>
      <c r="J2" s="32" t="n"/>
      <c r="K2" s="32" t="n"/>
      <c r="L2" s="32" t="n"/>
    </row>
    <row r="3">
      <c r="A3" s="30" t="n"/>
      <c r="B3" s="36" t="n"/>
      <c r="C3" s="36" t="n"/>
      <c r="D3" s="30" t="n"/>
      <c r="E3" s="36" t="n"/>
      <c r="F3" s="739" t="n"/>
      <c r="G3" s="739" t="n"/>
      <c r="H3" s="30" t="n"/>
      <c r="I3" s="30" t="n"/>
      <c r="J3" s="30" t="n"/>
      <c r="K3" s="30" t="n"/>
      <c r="L3" s="30" t="n"/>
    </row>
    <row r="4" ht="14.4" customHeight="1" thickBot="1">
      <c r="A4" s="30" t="n"/>
      <c r="B4" s="30" t="n"/>
      <c r="C4" s="30" t="n"/>
      <c r="D4" s="30" t="n"/>
      <c r="E4" s="30" t="n"/>
      <c r="F4" s="30" t="n"/>
      <c r="G4" s="30" t="n"/>
      <c r="H4" s="30" t="n"/>
      <c r="I4" s="30" t="n"/>
      <c r="J4" s="30" t="n"/>
      <c r="K4" s="30" t="n"/>
      <c r="L4" s="30" t="n"/>
    </row>
    <row r="5" ht="14.4" customHeight="1">
      <c r="A5" s="30" t="n"/>
      <c r="B5" s="740" t="inlineStr">
        <is>
          <t xml:space="preserve">账套名称/账套编码 </t>
        </is>
      </c>
      <c r="C5" s="741" t="inlineStr">
        <is>
          <t>科目编码</t>
        </is>
      </c>
      <c r="D5" s="742" t="inlineStr">
        <is>
          <t>供应商代码</t>
        </is>
      </c>
      <c r="E5" s="743" t="inlineStr">
        <is>
          <t>供应商名称</t>
        </is>
      </c>
      <c r="F5" s="744" t="inlineStr">
        <is>
          <t>款项性质</t>
        </is>
      </c>
      <c r="G5" s="745" t="inlineStr">
        <is>
          <t>供应商性质</t>
        </is>
      </c>
      <c r="H5" s="746" t="n">
        <v>46387</v>
      </c>
      <c r="I5" s="747" t="n"/>
      <c r="J5" s="747" t="n"/>
      <c r="K5" s="747" t="n"/>
      <c r="L5" s="747" t="n"/>
      <c r="M5" s="748" t="n"/>
      <c r="N5" s="749" t="n">
        <v>46022</v>
      </c>
      <c r="O5" s="750" t="inlineStr">
        <is>
          <t>变动</t>
        </is>
      </c>
      <c r="P5" s="751" t="n"/>
      <c r="Q5" s="752" t="inlineStr">
        <is>
          <t>Notes</t>
        </is>
      </c>
      <c r="R5" s="753" t="inlineStr">
        <is>
          <t>应付账款分账龄</t>
        </is>
      </c>
      <c r="S5" s="754" t="n"/>
      <c r="T5" s="754" t="n"/>
      <c r="U5" s="754" t="n"/>
      <c r="V5" s="754" t="n"/>
      <c r="W5" s="755" t="n"/>
    </row>
    <row r="6" ht="22.8" customHeight="1">
      <c r="A6" s="30" t="n"/>
      <c r="B6" s="756" t="n"/>
      <c r="C6" s="757" t="n"/>
      <c r="D6" s="757" t="n"/>
      <c r="E6" s="757" t="n"/>
      <c r="F6" s="757" t="n"/>
      <c r="G6" s="758" t="n"/>
      <c r="H6" s="759" t="inlineStr">
        <is>
          <t>原币币种</t>
        </is>
      </c>
      <c r="I6" s="760" t="inlineStr">
        <is>
          <t>原币金额</t>
        </is>
      </c>
      <c r="J6" s="760" t="inlineStr">
        <is>
          <t>期末账面数</t>
        </is>
      </c>
      <c r="K6" s="761" t="inlineStr">
        <is>
          <t>本期审计调整编号</t>
        </is>
      </c>
      <c r="L6" s="762" t="inlineStr">
        <is>
          <t>重分类调整</t>
        </is>
      </c>
      <c r="M6" s="763" t="inlineStr">
        <is>
          <t>期末审定数</t>
        </is>
      </c>
      <c r="N6" s="764" t="inlineStr">
        <is>
          <t>上期末审定数</t>
        </is>
      </c>
      <c r="O6" s="765" t="inlineStr">
        <is>
          <t>金额</t>
        </is>
      </c>
      <c r="P6" s="766" t="inlineStr">
        <is>
          <t>%</t>
        </is>
      </c>
      <c r="Q6" s="757" t="n"/>
      <c r="R6" s="767" t="inlineStr">
        <is>
          <t>0-90天</t>
        </is>
      </c>
      <c r="S6" s="767" t="inlineStr">
        <is>
          <t>91-365天</t>
        </is>
      </c>
      <c r="T6" s="767" t="inlineStr">
        <is>
          <t>1年至2年</t>
        </is>
      </c>
      <c r="U6" s="767" t="inlineStr">
        <is>
          <t>2年至3年</t>
        </is>
      </c>
      <c r="V6" s="767" t="inlineStr">
        <is>
          <t>3年以上</t>
        </is>
      </c>
      <c r="W6" s="768" t="inlineStr">
        <is>
          <t>check</t>
        </is>
      </c>
    </row>
    <row r="7" hidden="1" ht="15.6" customHeight="1">
      <c r="A7" s="769" t="n"/>
      <c r="B7" s="770" t="inlineStr">
        <is>
          <t>东风鸿远工程咨询有限公司</t>
        </is>
      </c>
      <c r="C7" s="771" t="inlineStr">
        <is>
          <t>2121</t>
        </is>
      </c>
      <c r="D7" s="771" t="inlineStr">
        <is>
          <t>I_9202</t>
        </is>
      </c>
      <c r="E7" s="772" t="inlineStr">
        <is>
          <t>东风鸿远工程咨询有限公司监理分公司</t>
        </is>
      </c>
      <c r="F7" s="770" t="inlineStr">
        <is>
          <t>采购款</t>
        </is>
      </c>
      <c r="G7" s="773" t="inlineStr">
        <is>
          <t>关联方</t>
        </is>
      </c>
      <c r="H7" s="774" t="inlineStr">
        <is>
          <t>CNY</t>
        </is>
      </c>
      <c r="I7" s="775" t="n"/>
      <c r="J7" s="775" t="n"/>
      <c r="K7" s="776" t="n"/>
      <c r="L7" s="777" t="n"/>
      <c r="M7" s="777">
        <f>J7+L7</f>
        <v/>
      </c>
      <c r="N7" s="775" t="n">
        <v>0</v>
      </c>
      <c r="O7" s="775">
        <f>M7-N7</f>
        <v/>
      </c>
      <c r="P7" s="778">
        <f>IF(N7&lt;&gt;0,O7/N7,"")</f>
        <v/>
      </c>
      <c r="Q7" s="776" t="n"/>
      <c r="R7" s="775" t="n"/>
      <c r="S7" s="775" t="n"/>
      <c r="T7" s="775" t="n"/>
      <c r="U7" s="775" t="n"/>
      <c r="V7" s="775" t="n"/>
      <c r="W7" s="775">
        <f>SUM(R7:V7)-M7</f>
        <v/>
      </c>
      <c r="X7" s="779">
        <f>T7+U7+V7</f>
        <v/>
      </c>
    </row>
    <row r="8" ht="15.6" customHeight="1">
      <c r="A8" s="769" t="n"/>
      <c r="B8" s="770" t="inlineStr">
        <is>
          <t>东风鸿远工程咨询有限公司</t>
        </is>
      </c>
      <c r="C8" s="771" t="inlineStr">
        <is>
          <t>2121</t>
        </is>
      </c>
      <c r="D8" s="772" t="inlineStr">
        <is>
          <t>I_9149</t>
        </is>
      </c>
      <c r="E8" s="770" t="inlineStr">
        <is>
          <t>东风咨询有限公司</t>
        </is>
      </c>
      <c r="F8" s="770" t="inlineStr">
        <is>
          <t>采购款</t>
        </is>
      </c>
      <c r="G8" s="773" t="inlineStr">
        <is>
          <t>关联方</t>
        </is>
      </c>
      <c r="H8" s="774" t="inlineStr">
        <is>
          <t>CNY</t>
        </is>
      </c>
      <c r="I8" s="775" t="n"/>
      <c r="J8" s="775" t="n"/>
      <c r="K8" s="776" t="n"/>
      <c r="L8" s="777" t="n"/>
      <c r="M8" s="777">
        <f>J8+L8</f>
        <v/>
      </c>
      <c r="N8" s="775" t="n">
        <v>-3874030.13</v>
      </c>
      <c r="O8" s="775">
        <f>M8-N8</f>
        <v/>
      </c>
      <c r="P8" s="778">
        <f>IF(N8&lt;&gt;0,O8/N8,"")</f>
        <v/>
      </c>
      <c r="Q8" s="776" t="inlineStr">
        <is>
          <t>NB1</t>
        </is>
      </c>
      <c r="R8" s="775" t="n"/>
      <c r="S8" s="775" t="n"/>
      <c r="T8" s="775" t="n"/>
      <c r="U8" s="775" t="n"/>
      <c r="V8" s="775" t="n"/>
      <c r="W8" s="775">
        <f>SUM(R8:V8)-M8</f>
        <v/>
      </c>
      <c r="X8" s="779">
        <f>T8+U8+V8</f>
        <v/>
      </c>
    </row>
    <row r="9" hidden="1" ht="15.6" customHeight="1">
      <c r="A9" s="769" t="n"/>
      <c r="B9" s="770" t="inlineStr">
        <is>
          <t>东风鸿远工程咨询有限公司</t>
        </is>
      </c>
      <c r="C9" s="771" t="inlineStr">
        <is>
          <t>2121</t>
        </is>
      </c>
      <c r="D9" s="780" t="inlineStr">
        <is>
          <t>I_9151</t>
        </is>
      </c>
      <c r="E9" s="780" t="inlineStr">
        <is>
          <t>东风国际招标有限公司</t>
        </is>
      </c>
      <c r="F9" s="770" t="inlineStr">
        <is>
          <t>采购款</t>
        </is>
      </c>
      <c r="G9" s="773" t="inlineStr">
        <is>
          <t>关联方</t>
        </is>
      </c>
      <c r="H9" s="774" t="inlineStr">
        <is>
          <t>CNY</t>
        </is>
      </c>
      <c r="I9" s="781" t="n"/>
      <c r="J9" s="781" t="n"/>
      <c r="K9" s="776" t="n"/>
      <c r="L9" s="777" t="n"/>
      <c r="M9" s="777">
        <f>J9+L9</f>
        <v/>
      </c>
      <c r="N9" s="782" t="n">
        <v>-24168.87</v>
      </c>
      <c r="O9" s="775">
        <f>M9-N9</f>
        <v/>
      </c>
      <c r="P9" s="778">
        <f>IF(N9&lt;&gt;0,O9/N9,"")</f>
        <v/>
      </c>
      <c r="Q9" s="776" t="n"/>
      <c r="R9" s="775" t="n"/>
      <c r="S9" s="775" t="n"/>
      <c r="T9" s="775" t="n"/>
      <c r="U9" s="775" t="n"/>
      <c r="V9" s="775" t="n"/>
      <c r="W9" s="775">
        <f>SUM(R9:V9)-M9</f>
        <v/>
      </c>
      <c r="X9" s="779">
        <f>T9+U9+V9</f>
        <v/>
      </c>
    </row>
    <row r="10" hidden="1" ht="15.6" customHeight="1">
      <c r="A10" s="769" t="n"/>
      <c r="B10" s="770" t="inlineStr">
        <is>
          <t>东风鸿远工程咨询有限公司</t>
        </is>
      </c>
      <c r="C10" s="771" t="inlineStr">
        <is>
          <t>2121</t>
        </is>
      </c>
      <c r="D10" s="780" t="inlineStr">
        <is>
          <t>I_9201</t>
        </is>
      </c>
      <c r="E10" s="780" t="inlineStr">
        <is>
          <t>东风鸿远工程咨询有限公司武汉分公司</t>
        </is>
      </c>
      <c r="F10" s="770" t="inlineStr">
        <is>
          <t>采购款</t>
        </is>
      </c>
      <c r="G10" s="773" t="inlineStr">
        <is>
          <t>关联方</t>
        </is>
      </c>
      <c r="H10" s="774" t="inlineStr">
        <is>
          <t>CNY</t>
        </is>
      </c>
      <c r="I10" s="781" t="n"/>
      <c r="J10" s="781" t="n"/>
      <c r="K10" s="776" t="n"/>
      <c r="L10" s="777" t="n"/>
      <c r="M10" s="777">
        <f>J10+L10</f>
        <v/>
      </c>
      <c r="N10" s="782" t="n">
        <v>0</v>
      </c>
      <c r="O10" s="775">
        <f>M10-N10</f>
        <v/>
      </c>
      <c r="P10" s="778">
        <f>IF(N10&lt;&gt;0,O10/N10,"")</f>
        <v/>
      </c>
      <c r="Q10" s="776" t="n"/>
      <c r="R10" s="775" t="n"/>
      <c r="S10" s="775" t="n"/>
      <c r="T10" s="775" t="n"/>
      <c r="U10" s="775" t="n"/>
      <c r="V10" s="775" t="n"/>
      <c r="W10" s="775">
        <f>SUM(R10:V10)-M10</f>
        <v/>
      </c>
      <c r="X10" s="779">
        <f>T10+U10+V10</f>
        <v/>
      </c>
    </row>
    <row r="11" hidden="1" ht="15.6" customHeight="1">
      <c r="A11" s="783" t="n"/>
      <c r="B11" s="770" t="inlineStr">
        <is>
          <t>东风鸿远工程咨询有限公司</t>
        </is>
      </c>
      <c r="C11" s="771" t="inlineStr">
        <is>
          <t>2121</t>
        </is>
      </c>
      <c r="D11" s="770" t="inlineStr">
        <is>
          <t>I_9205</t>
        </is>
      </c>
      <c r="E11" s="770" t="inlineStr">
        <is>
          <t>上海东南联合工程设计有限公司武汉分公司</t>
        </is>
      </c>
      <c r="F11" s="770" t="inlineStr">
        <is>
          <t>采购款</t>
        </is>
      </c>
      <c r="G11" s="773" t="inlineStr">
        <is>
          <t>关联方</t>
        </is>
      </c>
      <c r="H11" s="774" t="inlineStr">
        <is>
          <t>CNY</t>
        </is>
      </c>
      <c r="I11" s="781" t="n"/>
      <c r="J11" s="781" t="n"/>
      <c r="K11" s="776" t="n"/>
      <c r="L11" s="777" t="n"/>
      <c r="M11" s="777">
        <f>J11+L11</f>
        <v/>
      </c>
      <c r="N11" s="782" t="n">
        <v>-321415.1</v>
      </c>
      <c r="O11" s="775">
        <f>M11-N11</f>
        <v/>
      </c>
      <c r="P11" s="778">
        <f>IF(N11&lt;&gt;0,O11/N11,"")</f>
        <v/>
      </c>
      <c r="Q11" s="776" t="n"/>
      <c r="R11" s="775" t="n"/>
      <c r="S11" s="775" t="n"/>
      <c r="T11" s="775" t="n"/>
      <c r="U11" s="775" t="n"/>
      <c r="V11" s="775" t="n"/>
      <c r="W11" s="775">
        <f>SUM(R11:V11)-M11</f>
        <v/>
      </c>
      <c r="X11" s="779">
        <f>T11+U11+V11</f>
        <v/>
      </c>
    </row>
    <row r="12" hidden="1" ht="15.6" customHeight="1">
      <c r="A12" s="783" t="n"/>
      <c r="B12" s="770" t="inlineStr">
        <is>
          <t>东风鸿远工程咨询有限公司</t>
        </is>
      </c>
      <c r="C12" s="771" t="inlineStr">
        <is>
          <t>2121</t>
        </is>
      </c>
      <c r="D12" s="770" t="inlineStr">
        <is>
          <t>I_9204</t>
        </is>
      </c>
      <c r="E12" s="770" t="inlineStr">
        <is>
          <t>上海东南联合工程设计有限公司</t>
        </is>
      </c>
      <c r="F12" s="770" t="inlineStr">
        <is>
          <t>采购款</t>
        </is>
      </c>
      <c r="G12" s="773" t="inlineStr">
        <is>
          <t>关联方</t>
        </is>
      </c>
      <c r="H12" s="774" t="inlineStr">
        <is>
          <t>CNY</t>
        </is>
      </c>
      <c r="I12" s="781" t="n"/>
      <c r="J12" s="781" t="n"/>
      <c r="K12" s="776" t="n"/>
      <c r="L12" s="777" t="n"/>
      <c r="M12" s="777">
        <f>J12+L12</f>
        <v/>
      </c>
      <c r="N12" s="782" t="n">
        <v>-188000</v>
      </c>
      <c r="O12" s="775">
        <f>M12-N12</f>
        <v/>
      </c>
      <c r="P12" s="778">
        <f>IF(N12&lt;&gt;0,O12/N12,"")</f>
        <v/>
      </c>
      <c r="Q12" s="776" t="n"/>
      <c r="R12" s="775" t="n"/>
      <c r="S12" s="775" t="n"/>
      <c r="T12" s="775" t="n"/>
      <c r="U12" s="775" t="n"/>
      <c r="V12" s="775" t="n"/>
      <c r="W12" s="775">
        <f>SUM(R12:V12)-M12</f>
        <v/>
      </c>
      <c r="X12" s="779">
        <f>T12+U12+V12</f>
        <v/>
      </c>
    </row>
    <row r="13" hidden="1" ht="15.6" customHeight="1">
      <c r="A13" s="783" t="n"/>
      <c r="B13" s="770" t="inlineStr">
        <is>
          <t>东风鸿远工程咨询有限公司</t>
        </is>
      </c>
      <c r="C13" s="771" t="inlineStr">
        <is>
          <t>2121</t>
        </is>
      </c>
      <c r="D13" s="770" t="inlineStr">
        <is>
          <t>I_2446</t>
        </is>
      </c>
      <c r="E13" s="770" t="inlineStr">
        <is>
          <t>联友智连科技有限公司</t>
        </is>
      </c>
      <c r="F13" s="770" t="inlineStr">
        <is>
          <t>采购款</t>
        </is>
      </c>
      <c r="G13" s="773" t="inlineStr">
        <is>
          <t>关联方</t>
        </is>
      </c>
      <c r="H13" s="774" t="inlineStr">
        <is>
          <t>CNY</t>
        </is>
      </c>
      <c r="I13" s="781" t="n"/>
      <c r="J13" s="781" t="n"/>
      <c r="K13" s="776" t="n"/>
      <c r="L13" s="777" t="n"/>
      <c r="M13" s="777">
        <f>J13+L13</f>
        <v/>
      </c>
      <c r="N13" s="782" t="n">
        <v>-9744.98</v>
      </c>
      <c r="O13" s="775">
        <f>M13-N13</f>
        <v/>
      </c>
      <c r="P13" s="778">
        <f>IF(N13&lt;&gt;0,O13/N13,"")</f>
        <v/>
      </c>
      <c r="Q13" s="776" t="n"/>
      <c r="R13" s="775" t="n"/>
      <c r="S13" s="775" t="n"/>
      <c r="T13" s="775" t="n"/>
      <c r="U13" s="775" t="n"/>
      <c r="V13" s="775" t="n"/>
      <c r="W13" s="775">
        <f>SUM(R13:V13)-M13</f>
        <v/>
      </c>
      <c r="X13" s="779">
        <f>T13+U13+V13</f>
        <v/>
      </c>
    </row>
    <row r="14" hidden="1" ht="15.6" customHeight="1">
      <c r="A14" s="783" t="n"/>
      <c r="B14" s="770" t="inlineStr">
        <is>
          <t>东风鸿远工程咨询有限公司</t>
        </is>
      </c>
      <c r="C14" s="771" t="inlineStr">
        <is>
          <t>2121</t>
        </is>
      </c>
      <c r="D14" s="770" t="inlineStr">
        <is>
          <t>E_614092</t>
        </is>
      </c>
      <c r="E14" s="770" t="inlineStr">
        <is>
          <t>襄阳市市政工程设计院有限公司</t>
        </is>
      </c>
      <c r="F14" s="770" t="inlineStr">
        <is>
          <t>采购款</t>
        </is>
      </c>
      <c r="G14" s="773" t="inlineStr">
        <is>
          <t>供应商</t>
        </is>
      </c>
      <c r="H14" s="774" t="inlineStr">
        <is>
          <t>CNY</t>
        </is>
      </c>
      <c r="I14" s="781" t="n"/>
      <c r="J14" s="781" t="n"/>
      <c r="K14" s="776" t="n"/>
      <c r="L14" s="777" t="n"/>
      <c r="M14" s="777">
        <f>J14+L14</f>
        <v/>
      </c>
      <c r="N14" s="782" t="n">
        <v>-1101157.36</v>
      </c>
      <c r="O14" s="775">
        <f>M14-N14</f>
        <v/>
      </c>
      <c r="P14" s="778">
        <f>IF(N14&lt;&gt;0,O14/N14,"")</f>
        <v/>
      </c>
      <c r="Q14" s="776" t="n"/>
      <c r="R14" s="775" t="n"/>
      <c r="S14" s="775" t="n"/>
      <c r="T14" s="775" t="n"/>
      <c r="U14" s="775" t="n"/>
      <c r="V14" s="775" t="n"/>
      <c r="W14" s="775">
        <f>SUM(R14:V14)-M14</f>
        <v/>
      </c>
      <c r="X14" s="779">
        <f>T14+U14+V14</f>
        <v/>
      </c>
    </row>
    <row r="15" hidden="1" ht="15.6" customHeight="1">
      <c r="A15" s="783" t="n"/>
      <c r="B15" s="770" t="inlineStr">
        <is>
          <t>东风鸿远工程咨询有限公司</t>
        </is>
      </c>
      <c r="C15" s="771" t="inlineStr">
        <is>
          <t>2121</t>
        </is>
      </c>
      <c r="D15" s="770" t="inlineStr">
        <is>
          <t>E_625077</t>
        </is>
      </c>
      <c r="E15" s="770" t="inlineStr">
        <is>
          <t>中城科泽工程设计集团有限责任公司襄阳分院</t>
        </is>
      </c>
      <c r="F15" s="770" t="inlineStr">
        <is>
          <t>采购款</t>
        </is>
      </c>
      <c r="G15" s="773" t="inlineStr">
        <is>
          <t>供应商</t>
        </is>
      </c>
      <c r="H15" s="774" t="inlineStr">
        <is>
          <t>CNY</t>
        </is>
      </c>
      <c r="I15" s="781" t="n"/>
      <c r="J15" s="781" t="n"/>
      <c r="K15" s="776" t="n"/>
      <c r="L15" s="777" t="n"/>
      <c r="M15" s="777">
        <f>J15+L15</f>
        <v/>
      </c>
      <c r="N15" s="782" t="n">
        <v>-19417.48</v>
      </c>
      <c r="O15" s="775">
        <f>M15-N15</f>
        <v/>
      </c>
      <c r="P15" s="778">
        <f>IF(N15&lt;&gt;0,O15/N15,"")</f>
        <v/>
      </c>
      <c r="Q15" s="776" t="n"/>
      <c r="R15" s="775" t="n"/>
      <c r="S15" s="775" t="n"/>
      <c r="T15" s="775" t="n"/>
      <c r="U15" s="775" t="n"/>
      <c r="V15" s="775" t="n"/>
      <c r="W15" s="775">
        <f>SUM(R15:V15)-M15</f>
        <v/>
      </c>
      <c r="X15" s="779">
        <f>T15+U15+V15</f>
        <v/>
      </c>
    </row>
    <row r="16" hidden="1" ht="15.6" customHeight="1">
      <c r="A16" s="783" t="n"/>
      <c r="B16" s="770" t="inlineStr">
        <is>
          <t>东风鸿远工程咨询有限公司</t>
        </is>
      </c>
      <c r="C16" s="771" t="inlineStr">
        <is>
          <t>2121</t>
        </is>
      </c>
      <c r="D16" s="770" t="inlineStr">
        <is>
          <t>E_624605</t>
        </is>
      </c>
      <c r="E16" s="770" t="inlineStr">
        <is>
          <t>湖北王壹建筑装饰工程有限公司</t>
        </is>
      </c>
      <c r="F16" s="770" t="inlineStr">
        <is>
          <t>采购款</t>
        </is>
      </c>
      <c r="G16" s="773" t="inlineStr">
        <is>
          <t>供应商</t>
        </is>
      </c>
      <c r="H16" s="774" t="inlineStr">
        <is>
          <t>CNY</t>
        </is>
      </c>
      <c r="I16" s="781" t="n"/>
      <c r="J16" s="781" t="n"/>
      <c r="K16" s="776" t="n"/>
      <c r="L16" s="777" t="n"/>
      <c r="M16" s="777">
        <f>J16+L16</f>
        <v/>
      </c>
      <c r="N16" s="782" t="n">
        <v>0</v>
      </c>
      <c r="O16" s="775">
        <f>M16-N16</f>
        <v/>
      </c>
      <c r="P16" s="778">
        <f>IF(N16&lt;&gt;0,O16/N16,"")</f>
        <v/>
      </c>
      <c r="Q16" s="776" t="n"/>
      <c r="R16" s="775" t="n"/>
      <c r="S16" s="775" t="n"/>
      <c r="T16" s="775" t="n"/>
      <c r="U16" s="775" t="n"/>
      <c r="V16" s="775" t="n"/>
      <c r="W16" s="775">
        <f>SUM(R16:V16)-M16</f>
        <v/>
      </c>
      <c r="X16" s="779">
        <f>T16+U16+V16</f>
        <v/>
      </c>
    </row>
    <row r="17" hidden="1" ht="15.6" customHeight="1">
      <c r="A17" s="783" t="n"/>
      <c r="B17" s="770" t="inlineStr">
        <is>
          <t>东风鸿远工程咨询有限公司</t>
        </is>
      </c>
      <c r="C17" s="771" t="inlineStr">
        <is>
          <t>2121</t>
        </is>
      </c>
      <c r="D17" s="770" t="inlineStr">
        <is>
          <t>E_624955</t>
        </is>
      </c>
      <c r="E17" s="770" t="inlineStr">
        <is>
          <t>襄阳瑞喜钻探工程有限公司</t>
        </is>
      </c>
      <c r="F17" s="770" t="inlineStr">
        <is>
          <t>采购款</t>
        </is>
      </c>
      <c r="G17" s="773" t="inlineStr">
        <is>
          <t>供应商</t>
        </is>
      </c>
      <c r="H17" s="774" t="inlineStr">
        <is>
          <t>CNY</t>
        </is>
      </c>
      <c r="I17" s="781" t="n"/>
      <c r="J17" s="781" t="n"/>
      <c r="K17" s="776" t="n"/>
      <c r="L17" s="777" t="n"/>
      <c r="M17" s="777">
        <f>J17+L17</f>
        <v/>
      </c>
      <c r="N17" s="782" t="n">
        <v>-937233.6800000001</v>
      </c>
      <c r="O17" s="775">
        <f>M17-N17</f>
        <v/>
      </c>
      <c r="P17" s="778">
        <f>IF(N17&lt;&gt;0,O17/N17,"")</f>
        <v/>
      </c>
      <c r="Q17" s="776" t="n"/>
      <c r="R17" s="775" t="n"/>
      <c r="S17" s="775" t="n"/>
      <c r="T17" s="775" t="n"/>
      <c r="U17" s="775" t="n"/>
      <c r="V17" s="775" t="n"/>
      <c r="W17" s="775">
        <f>SUM(R17:V17)-M17</f>
        <v/>
      </c>
      <c r="X17" s="779">
        <f>T17+U17+V17</f>
        <v/>
      </c>
    </row>
    <row r="18" hidden="1" ht="15.6" customHeight="1">
      <c r="A18" s="783" t="n"/>
      <c r="B18" s="770" t="inlineStr">
        <is>
          <t>东风鸿远工程咨询有限公司</t>
        </is>
      </c>
      <c r="C18" s="771" t="inlineStr">
        <is>
          <t>2121</t>
        </is>
      </c>
      <c r="D18" s="770" t="inlineStr">
        <is>
          <t>E_175725</t>
        </is>
      </c>
      <c r="E18" s="770" t="inlineStr">
        <is>
          <t>中机三勘岩土工程有限公司</t>
        </is>
      </c>
      <c r="F18" s="770" t="inlineStr">
        <is>
          <t>采购款</t>
        </is>
      </c>
      <c r="G18" s="773" t="inlineStr">
        <is>
          <t>供应商</t>
        </is>
      </c>
      <c r="H18" s="774" t="inlineStr">
        <is>
          <t>CNY</t>
        </is>
      </c>
      <c r="I18" s="781" t="n"/>
      <c r="J18" s="781" t="n"/>
      <c r="K18" s="776" t="n"/>
      <c r="L18" s="777" t="n"/>
      <c r="M18" s="777">
        <f>J18+L18</f>
        <v/>
      </c>
      <c r="N18" s="782" t="n">
        <v>-2565699.98</v>
      </c>
      <c r="O18" s="775">
        <f>M18-N18</f>
        <v/>
      </c>
      <c r="P18" s="778">
        <f>IF(N18&lt;&gt;0,O18/N18,"")</f>
        <v/>
      </c>
      <c r="Q18" s="776" t="inlineStr">
        <is>
          <t>NB6</t>
        </is>
      </c>
      <c r="R18" s="775" t="n"/>
      <c r="S18" s="775" t="n"/>
      <c r="T18" s="775" t="n"/>
      <c r="U18" s="775" t="n"/>
      <c r="V18" s="775" t="n"/>
      <c r="W18" s="775">
        <f>SUM(R18:V18)-M18</f>
        <v/>
      </c>
      <c r="X18" s="779">
        <f>T18+U18+V18</f>
        <v/>
      </c>
    </row>
    <row r="19" hidden="1" ht="15.6" customHeight="1">
      <c r="A19" s="783" t="n"/>
      <c r="B19" s="770" t="inlineStr">
        <is>
          <t>东风鸿远工程咨询有限公司</t>
        </is>
      </c>
      <c r="C19" s="771" t="inlineStr">
        <is>
          <t>2121</t>
        </is>
      </c>
      <c r="D19" s="770" t="inlineStr">
        <is>
          <t>E_622567</t>
        </is>
      </c>
      <c r="E19" s="770" t="inlineStr">
        <is>
          <t>湖北省地源洁能工程有限公司</t>
        </is>
      </c>
      <c r="F19" s="770" t="inlineStr">
        <is>
          <t>采购款</t>
        </is>
      </c>
      <c r="G19" s="773" t="inlineStr">
        <is>
          <t>供应商</t>
        </is>
      </c>
      <c r="H19" s="774" t="inlineStr">
        <is>
          <t>CNY</t>
        </is>
      </c>
      <c r="I19" s="781" t="n"/>
      <c r="J19" s="781" t="n"/>
      <c r="K19" s="776" t="n"/>
      <c r="L19" s="777" t="n"/>
      <c r="M19" s="777">
        <f>J19+L19</f>
        <v/>
      </c>
      <c r="N19" s="782" t="n">
        <v>0</v>
      </c>
      <c r="O19" s="775">
        <f>M19-N19</f>
        <v/>
      </c>
      <c r="P19" s="778">
        <f>IF(N19&lt;&gt;0,O19/N19,"")</f>
        <v/>
      </c>
      <c r="Q19" s="776" t="n"/>
      <c r="R19" s="775" t="n"/>
      <c r="S19" s="775" t="n"/>
      <c r="T19" s="775" t="n"/>
      <c r="U19" s="775" t="n"/>
      <c r="V19" s="775" t="n"/>
      <c r="W19" s="775">
        <f>SUM(R19:V19)-M19</f>
        <v/>
      </c>
      <c r="X19" s="779">
        <f>T19+U19+V19</f>
        <v/>
      </c>
    </row>
    <row r="20" hidden="1" ht="15.6" customHeight="1">
      <c r="A20" s="783" t="n"/>
      <c r="B20" s="770" t="inlineStr">
        <is>
          <t>东风鸿远工程咨询有限公司</t>
        </is>
      </c>
      <c r="C20" s="771" t="inlineStr">
        <is>
          <t>2121</t>
        </is>
      </c>
      <c r="D20" s="770" t="inlineStr">
        <is>
          <t>E_612717</t>
        </is>
      </c>
      <c r="E20" s="770" t="inlineStr">
        <is>
          <t>湖北建研立科低碳科技有限公司</t>
        </is>
      </c>
      <c r="F20" s="770" t="inlineStr">
        <is>
          <t>采购款</t>
        </is>
      </c>
      <c r="G20" s="773" t="inlineStr">
        <is>
          <t>供应商</t>
        </is>
      </c>
      <c r="H20" s="774" t="inlineStr">
        <is>
          <t>CNY</t>
        </is>
      </c>
      <c r="I20" s="781" t="n"/>
      <c r="J20" s="781" t="n"/>
      <c r="K20" s="776" t="n"/>
      <c r="L20" s="777" t="n"/>
      <c r="M20" s="777">
        <f>J20+L20</f>
        <v/>
      </c>
      <c r="N20" s="782" t="n">
        <v>-230500</v>
      </c>
      <c r="O20" s="775">
        <f>M20-N20</f>
        <v/>
      </c>
      <c r="P20" s="778">
        <f>IF(N20&lt;&gt;0,O20/N20,"")</f>
        <v/>
      </c>
      <c r="Q20" s="776" t="n"/>
      <c r="R20" s="775" t="n"/>
      <c r="S20" s="775" t="n"/>
      <c r="T20" s="775" t="n"/>
      <c r="U20" s="775" t="n"/>
      <c r="V20" s="775" t="n"/>
      <c r="W20" s="775">
        <f>SUM(R20:V20)-M20</f>
        <v/>
      </c>
      <c r="X20" s="779">
        <f>T20+U20+V20</f>
        <v/>
      </c>
    </row>
    <row r="21" hidden="1" ht="15.6" customHeight="1">
      <c r="A21" s="783" t="n"/>
      <c r="B21" s="770" t="inlineStr">
        <is>
          <t>东风鸿远工程咨询有限公司</t>
        </is>
      </c>
      <c r="C21" s="771" t="inlineStr">
        <is>
          <t>2121</t>
        </is>
      </c>
      <c r="D21" s="770" t="inlineStr">
        <is>
          <t>E_679403</t>
        </is>
      </c>
      <c r="E21" s="770" t="inlineStr">
        <is>
          <t>襄阳汇达讯财务咨询有限公司</t>
        </is>
      </c>
      <c r="F21" s="770" t="inlineStr">
        <is>
          <t>采购款</t>
        </is>
      </c>
      <c r="G21" s="773" t="inlineStr">
        <is>
          <t>供应商</t>
        </is>
      </c>
      <c r="H21" s="774" t="inlineStr">
        <is>
          <t>CNY</t>
        </is>
      </c>
      <c r="I21" s="781" t="n"/>
      <c r="J21" s="781" t="n"/>
      <c r="K21" s="776" t="n"/>
      <c r="L21" s="777" t="n"/>
      <c r="M21" s="777">
        <f>J21+L21</f>
        <v/>
      </c>
      <c r="N21" s="782" t="n">
        <v>-16693.76</v>
      </c>
      <c r="O21" s="775">
        <f>M21-N21</f>
        <v/>
      </c>
      <c r="P21" s="778">
        <f>IF(N21&lt;&gt;0,O21/N21,"")</f>
        <v/>
      </c>
      <c r="Q21" s="776" t="n"/>
      <c r="R21" s="775" t="n"/>
      <c r="S21" s="775" t="n"/>
      <c r="T21" s="775" t="n"/>
      <c r="U21" s="775" t="n"/>
      <c r="V21" s="775" t="n"/>
      <c r="W21" s="775">
        <f>SUM(R21:V21)-M21</f>
        <v/>
      </c>
      <c r="X21" s="779">
        <f>T21+U21+V21</f>
        <v/>
      </c>
    </row>
    <row r="22" hidden="1" ht="15.6" customHeight="1">
      <c r="A22" s="783" t="n"/>
      <c r="B22" s="770" t="inlineStr">
        <is>
          <t>东风鸿远工程咨询有限公司</t>
        </is>
      </c>
      <c r="C22" s="771" t="inlineStr">
        <is>
          <t>2121</t>
        </is>
      </c>
      <c r="D22" s="784" t="n">
        <v>66666</v>
      </c>
      <c r="E22" s="770" t="inlineStr">
        <is>
          <t>虚拟客商</t>
        </is>
      </c>
      <c r="F22" s="770" t="inlineStr">
        <is>
          <t>采购款</t>
        </is>
      </c>
      <c r="G22" s="773" t="inlineStr">
        <is>
          <t>供应商</t>
        </is>
      </c>
      <c r="H22" s="774" t="inlineStr">
        <is>
          <t>CNY</t>
        </is>
      </c>
      <c r="I22" s="781" t="n"/>
      <c r="J22" s="781" t="n"/>
      <c r="K22" s="776" t="n"/>
      <c r="L22" s="777" t="n"/>
      <c r="M22" s="777">
        <f>J22+L22</f>
        <v/>
      </c>
      <c r="N22" s="782" t="n">
        <v>0</v>
      </c>
      <c r="O22" s="775">
        <f>M22-N22</f>
        <v/>
      </c>
      <c r="P22" s="778">
        <f>IF(N22&lt;&gt;0,O22/N22,"")</f>
        <v/>
      </c>
      <c r="Q22" s="776" t="n"/>
      <c r="R22" s="775" t="n"/>
      <c r="S22" s="775" t="n"/>
      <c r="T22" s="775" t="n"/>
      <c r="U22" s="775" t="n"/>
      <c r="V22" s="775" t="n"/>
      <c r="W22" s="775">
        <f>SUM(R22:V22)-M22</f>
        <v/>
      </c>
      <c r="X22" s="779">
        <f>T22+U22+V22</f>
        <v/>
      </c>
    </row>
    <row r="23" hidden="1" ht="15.6" customHeight="1">
      <c r="A23" s="783" t="n"/>
      <c r="B23" s="770" t="inlineStr">
        <is>
          <t>东风鸿远工程咨询有限公司</t>
        </is>
      </c>
      <c r="C23" s="771" t="inlineStr">
        <is>
          <t>2121</t>
        </is>
      </c>
      <c r="D23" s="770" t="inlineStr">
        <is>
          <t>E_622929</t>
        </is>
      </c>
      <c r="E23" s="770" t="inlineStr">
        <is>
          <t>武汉管陈岩土工程有限公司</t>
        </is>
      </c>
      <c r="F23" s="770" t="inlineStr">
        <is>
          <t>采购款</t>
        </is>
      </c>
      <c r="G23" s="773" t="inlineStr">
        <is>
          <t>供应商</t>
        </is>
      </c>
      <c r="H23" s="774" t="inlineStr">
        <is>
          <t>CNY</t>
        </is>
      </c>
      <c r="I23" s="781" t="n"/>
      <c r="J23" s="781" t="n"/>
      <c r="K23" s="776" t="n"/>
      <c r="L23" s="777" t="n"/>
      <c r="M23" s="777">
        <f>J23+L23</f>
        <v/>
      </c>
      <c r="N23" s="782" t="n">
        <v>-15125.25</v>
      </c>
      <c r="O23" s="775">
        <f>M23-N23</f>
        <v/>
      </c>
      <c r="P23" s="778">
        <f>IF(N23&lt;&gt;0,O23/N23,"")</f>
        <v/>
      </c>
      <c r="Q23" s="776" t="n"/>
      <c r="R23" s="775" t="n"/>
      <c r="S23" s="775" t="n"/>
      <c r="T23" s="775" t="n"/>
      <c r="U23" s="775" t="n"/>
      <c r="V23" s="775" t="n"/>
      <c r="W23" s="775">
        <f>SUM(R23:V23)-M23</f>
        <v/>
      </c>
      <c r="X23" s="779">
        <f>T23+U23+V23</f>
        <v/>
      </c>
    </row>
    <row r="24" hidden="1" ht="15.6" customHeight="1">
      <c r="A24" s="783" t="n"/>
      <c r="B24" s="770" t="inlineStr">
        <is>
          <t>东风鸿远工程咨询有限公司</t>
        </is>
      </c>
      <c r="C24" s="771" t="inlineStr">
        <is>
          <t>2121</t>
        </is>
      </c>
      <c r="D24" s="770" t="inlineStr">
        <is>
          <t>E_580949</t>
        </is>
      </c>
      <c r="E24" s="770" t="inlineStr">
        <is>
          <t>中建三局集团有限公司</t>
        </is>
      </c>
      <c r="F24" s="770" t="inlineStr">
        <is>
          <t>采购款</t>
        </is>
      </c>
      <c r="G24" s="773" t="inlineStr">
        <is>
          <t>供应商</t>
        </is>
      </c>
      <c r="H24" s="774" t="inlineStr">
        <is>
          <t>CNY</t>
        </is>
      </c>
      <c r="I24" s="781" t="n"/>
      <c r="J24" s="781" t="n"/>
      <c r="K24" s="776" t="n"/>
      <c r="L24" s="777" t="n"/>
      <c r="M24" s="777">
        <f>J24+L24</f>
        <v/>
      </c>
      <c r="N24" s="782" t="n">
        <v>-1857538.49</v>
      </c>
      <c r="O24" s="775">
        <f>M24-N24</f>
        <v/>
      </c>
      <c r="P24" s="778">
        <f>IF(N24&lt;&gt;0,O24/N24,"")</f>
        <v/>
      </c>
      <c r="Q24" s="776" t="n"/>
      <c r="R24" s="775" t="n"/>
      <c r="S24" s="775" t="n"/>
      <c r="T24" s="775" t="n"/>
      <c r="U24" s="775" t="n"/>
      <c r="V24" s="775" t="n"/>
      <c r="W24" s="775">
        <f>SUM(R24:V24)-M24</f>
        <v/>
      </c>
      <c r="X24" s="779">
        <f>T24+U24+V24</f>
        <v/>
      </c>
    </row>
    <row r="25" hidden="1" ht="15.6" customHeight="1">
      <c r="A25" s="783" t="n"/>
      <c r="B25" s="770" t="inlineStr">
        <is>
          <t>东风鸿远工程咨询有限公司</t>
        </is>
      </c>
      <c r="C25" s="771" t="inlineStr">
        <is>
          <t>2121</t>
        </is>
      </c>
      <c r="D25" s="770" t="inlineStr">
        <is>
          <t>E_622215</t>
        </is>
      </c>
      <c r="E25" s="770" t="inlineStr">
        <is>
          <t>山东庆辉联达地质勘察有限公司</t>
        </is>
      </c>
      <c r="F25" s="770" t="inlineStr">
        <is>
          <t>采购款</t>
        </is>
      </c>
      <c r="G25" s="773" t="inlineStr">
        <is>
          <t>供应商</t>
        </is>
      </c>
      <c r="H25" s="774" t="inlineStr">
        <is>
          <t>CNY</t>
        </is>
      </c>
      <c r="I25" s="781" t="n"/>
      <c r="J25" s="781" t="n"/>
      <c r="K25" s="776" t="n"/>
      <c r="L25" s="777" t="n"/>
      <c r="M25" s="777">
        <f>J25+L25</f>
        <v/>
      </c>
      <c r="N25" s="782" t="n">
        <v>-100602</v>
      </c>
      <c r="O25" s="775">
        <f>M25-N25</f>
        <v/>
      </c>
      <c r="P25" s="778">
        <f>IF(N25&lt;&gt;0,O25/N25,"")</f>
        <v/>
      </c>
      <c r="Q25" s="776" t="n"/>
      <c r="R25" s="775" t="n"/>
      <c r="S25" s="775" t="n"/>
      <c r="T25" s="775" t="n"/>
      <c r="U25" s="775" t="n"/>
      <c r="V25" s="775" t="n"/>
      <c r="W25" s="775">
        <f>SUM(R25:V25)-M25</f>
        <v/>
      </c>
      <c r="X25" s="779">
        <f>T25+U25+V25</f>
        <v/>
      </c>
    </row>
    <row r="26" hidden="1" ht="15.6" customHeight="1">
      <c r="A26" s="783" t="n"/>
      <c r="B26" s="770" t="inlineStr">
        <is>
          <t>东风鸿远工程咨询有限公司</t>
        </is>
      </c>
      <c r="C26" s="771" t="inlineStr">
        <is>
          <t>2121</t>
        </is>
      </c>
      <c r="D26" s="770" t="inlineStr">
        <is>
          <t>E_614445</t>
        </is>
      </c>
      <c r="E26" s="770" t="inlineStr">
        <is>
          <t>湖北襄拓建工程有限公司</t>
        </is>
      </c>
      <c r="F26" s="770" t="inlineStr">
        <is>
          <t>采购款</t>
        </is>
      </c>
      <c r="G26" s="773" t="inlineStr">
        <is>
          <t>供应商</t>
        </is>
      </c>
      <c r="H26" s="774" t="inlineStr">
        <is>
          <t>CNY</t>
        </is>
      </c>
      <c r="I26" s="781" t="n"/>
      <c r="J26" s="781" t="n"/>
      <c r="K26" s="776" t="n"/>
      <c r="L26" s="777" t="n"/>
      <c r="M26" s="777">
        <f>J26+L26</f>
        <v/>
      </c>
      <c r="N26" s="782" t="n">
        <v>-380988.56</v>
      </c>
      <c r="O26" s="775">
        <f>M26-N26</f>
        <v/>
      </c>
      <c r="P26" s="778">
        <f>IF(N26&lt;&gt;0,O26/N26,"")</f>
        <v/>
      </c>
      <c r="Q26" s="776" t="n"/>
      <c r="R26" s="775" t="n"/>
      <c r="S26" s="775" t="n"/>
      <c r="T26" s="775" t="n"/>
      <c r="U26" s="775" t="n"/>
      <c r="V26" s="775" t="n"/>
      <c r="W26" s="775">
        <f>SUM(R26:V26)-M26</f>
        <v/>
      </c>
      <c r="X26" s="779">
        <f>T26+U26+V26</f>
        <v/>
      </c>
    </row>
    <row r="27" hidden="1" ht="15.6" customHeight="1">
      <c r="A27" s="783" t="n"/>
      <c r="B27" s="770" t="inlineStr">
        <is>
          <t>东风鸿远工程咨询有限公司</t>
        </is>
      </c>
      <c r="C27" s="771" t="inlineStr">
        <is>
          <t>2121</t>
        </is>
      </c>
      <c r="D27" s="770" t="inlineStr">
        <is>
          <t>E_598238</t>
        </is>
      </c>
      <c r="E27" s="770" t="inlineStr">
        <is>
          <t>中信建筑设计研究总院有限公司</t>
        </is>
      </c>
      <c r="F27" s="770" t="inlineStr">
        <is>
          <t>采购款</t>
        </is>
      </c>
      <c r="G27" s="773" t="inlineStr">
        <is>
          <t>供应商</t>
        </is>
      </c>
      <c r="H27" s="774" t="inlineStr">
        <is>
          <t>CNY</t>
        </is>
      </c>
      <c r="I27" s="781" t="n"/>
      <c r="J27" s="781" t="n"/>
      <c r="K27" s="776" t="n"/>
      <c r="L27" s="777" t="n"/>
      <c r="M27" s="777">
        <f>J27+L27</f>
        <v/>
      </c>
      <c r="N27" s="782" t="n">
        <v>-124711.5</v>
      </c>
      <c r="O27" s="775">
        <f>M27-N27</f>
        <v/>
      </c>
      <c r="P27" s="778">
        <f>IF(N27&lt;&gt;0,O27/N27,"")</f>
        <v/>
      </c>
      <c r="Q27" s="776" t="n"/>
      <c r="R27" s="775" t="n"/>
      <c r="S27" s="775" t="n"/>
      <c r="T27" s="775" t="n"/>
      <c r="U27" s="775" t="n"/>
      <c r="V27" s="775" t="n"/>
      <c r="W27" s="775">
        <f>SUM(R27:V27)-M27</f>
        <v/>
      </c>
      <c r="X27" s="779">
        <f>T27+U27+V27</f>
        <v/>
      </c>
    </row>
    <row r="28" hidden="1" ht="15.6" customHeight="1">
      <c r="A28" s="783" t="n"/>
      <c r="B28" s="770" t="inlineStr">
        <is>
          <t>东风鸿远工程咨询有限公司</t>
        </is>
      </c>
      <c r="C28" s="771" t="inlineStr">
        <is>
          <t>2121</t>
        </is>
      </c>
      <c r="D28" s="770" t="inlineStr">
        <is>
          <t>E_601843</t>
        </is>
      </c>
      <c r="E28" s="770" t="inlineStr">
        <is>
          <t>中国建筑设计研究院有限公司</t>
        </is>
      </c>
      <c r="F28" s="770" t="inlineStr">
        <is>
          <t>采购款</t>
        </is>
      </c>
      <c r="G28" s="773" t="inlineStr">
        <is>
          <t>供应商</t>
        </is>
      </c>
      <c r="H28" s="774" t="inlineStr">
        <is>
          <t>CNY</t>
        </is>
      </c>
      <c r="I28" s="781" t="n"/>
      <c r="J28" s="781" t="n"/>
      <c r="K28" s="776" t="n"/>
      <c r="L28" s="777" t="n"/>
      <c r="M28" s="777">
        <f>J28+L28</f>
        <v/>
      </c>
      <c r="N28" s="782" t="n">
        <v>0</v>
      </c>
      <c r="O28" s="775">
        <f>M28-N28</f>
        <v/>
      </c>
      <c r="P28" s="778">
        <f>IF(N28&lt;&gt;0,O28/N28,"")</f>
        <v/>
      </c>
      <c r="Q28" s="776" t="n"/>
      <c r="R28" s="775" t="n"/>
      <c r="S28" s="775" t="n"/>
      <c r="T28" s="775" t="n"/>
      <c r="U28" s="775" t="n"/>
      <c r="V28" s="775" t="n"/>
      <c r="W28" s="775">
        <f>SUM(R28:V28)-M28</f>
        <v/>
      </c>
      <c r="X28" s="779">
        <f>T28+U28+V28</f>
        <v/>
      </c>
    </row>
    <row r="29" hidden="1" ht="15.6" customHeight="1">
      <c r="A29" s="783" t="n"/>
      <c r="B29" s="770" t="inlineStr">
        <is>
          <t>东风鸿远工程咨询有限公司</t>
        </is>
      </c>
      <c r="C29" s="771" t="inlineStr">
        <is>
          <t>2121</t>
        </is>
      </c>
      <c r="D29" s="770" t="inlineStr">
        <is>
          <t>E_612459</t>
        </is>
      </c>
      <c r="E29" s="770" t="inlineStr">
        <is>
          <t>武汉狮山风景园林规划设计有限公司</t>
        </is>
      </c>
      <c r="F29" s="770" t="inlineStr">
        <is>
          <t>采购款</t>
        </is>
      </c>
      <c r="G29" s="773" t="inlineStr">
        <is>
          <t>供应商</t>
        </is>
      </c>
      <c r="H29" s="774" t="inlineStr">
        <is>
          <t>CNY</t>
        </is>
      </c>
      <c r="I29" s="781" t="n"/>
      <c r="J29" s="781" t="n"/>
      <c r="K29" s="776" t="n"/>
      <c r="L29" s="777" t="n"/>
      <c r="M29" s="777">
        <f>J29+L29</f>
        <v/>
      </c>
      <c r="N29" s="782" t="n">
        <v>-1073083.28</v>
      </c>
      <c r="O29" s="775">
        <f>M29-N29</f>
        <v/>
      </c>
      <c r="P29" s="778">
        <f>IF(N29&lt;&gt;0,O29/N29,"")</f>
        <v/>
      </c>
      <c r="Q29" s="776" t="n"/>
      <c r="R29" s="775" t="n"/>
      <c r="S29" s="775" t="n"/>
      <c r="T29" s="775" t="n"/>
      <c r="U29" s="775" t="n"/>
      <c r="V29" s="775" t="n"/>
      <c r="W29" s="775">
        <f>SUM(R29:V29)-M29</f>
        <v/>
      </c>
      <c r="X29" s="779">
        <f>T29+U29+V29</f>
        <v/>
      </c>
    </row>
    <row r="30" hidden="1" ht="15.6" customHeight="1">
      <c r="A30" s="783" t="n"/>
      <c r="B30" s="770" t="inlineStr">
        <is>
          <t>东风鸿远工程咨询有限公司</t>
        </is>
      </c>
      <c r="C30" s="771" t="inlineStr">
        <is>
          <t>2121</t>
        </is>
      </c>
      <c r="D30" s="770" t="inlineStr">
        <is>
          <t>E_608358</t>
        </is>
      </c>
      <c r="E30" s="770" t="inlineStr">
        <is>
          <t>新泰市泉沟镇华中钻井队</t>
        </is>
      </c>
      <c r="F30" s="770" t="inlineStr">
        <is>
          <t>采购款</t>
        </is>
      </c>
      <c r="G30" s="773" t="inlineStr">
        <is>
          <t>供应商</t>
        </is>
      </c>
      <c r="H30" s="774" t="inlineStr">
        <is>
          <t>CNY</t>
        </is>
      </c>
      <c r="I30" s="781" t="n"/>
      <c r="J30" s="781" t="n"/>
      <c r="K30" s="776" t="n"/>
      <c r="L30" s="777" t="n"/>
      <c r="M30" s="777">
        <f>J30+L30</f>
        <v/>
      </c>
      <c r="N30" s="782" t="n">
        <v>-43649.5</v>
      </c>
      <c r="O30" s="775">
        <f>M30-N30</f>
        <v/>
      </c>
      <c r="P30" s="778">
        <f>IF(N30&lt;&gt;0,O30/N30,"")</f>
        <v/>
      </c>
      <c r="Q30" s="776" t="n"/>
      <c r="R30" s="775" t="n"/>
      <c r="S30" s="775" t="n"/>
      <c r="T30" s="775" t="n"/>
      <c r="U30" s="775" t="n"/>
      <c r="V30" s="775" t="n"/>
      <c r="W30" s="775">
        <f>SUM(R30:V30)-M30</f>
        <v/>
      </c>
      <c r="X30" s="779">
        <f>T30+U30+V30</f>
        <v/>
      </c>
    </row>
    <row r="31" hidden="1" ht="15.6" customHeight="1">
      <c r="A31" s="783" t="n"/>
      <c r="B31" s="770" t="inlineStr">
        <is>
          <t>东风鸿远工程咨询有限公司</t>
        </is>
      </c>
      <c r="C31" s="771" t="inlineStr">
        <is>
          <t>2121</t>
        </is>
      </c>
      <c r="D31" s="770" t="inlineStr">
        <is>
          <t>E_468464</t>
        </is>
      </c>
      <c r="E31" s="770" t="inlineStr">
        <is>
          <t>湖北建科国际工程有限公司</t>
        </is>
      </c>
      <c r="F31" s="770" t="inlineStr">
        <is>
          <t>采购款</t>
        </is>
      </c>
      <c r="G31" s="773" t="inlineStr">
        <is>
          <t>供应商</t>
        </is>
      </c>
      <c r="H31" s="774" t="inlineStr">
        <is>
          <t>CNY</t>
        </is>
      </c>
      <c r="I31" s="781" t="n"/>
      <c r="J31" s="781" t="n"/>
      <c r="K31" s="776" t="n"/>
      <c r="L31" s="777" t="n"/>
      <c r="M31" s="777">
        <f>J31+L31</f>
        <v/>
      </c>
      <c r="N31" s="782" t="n">
        <v>-33909.5</v>
      </c>
      <c r="O31" s="775">
        <f>M31-N31</f>
        <v/>
      </c>
      <c r="P31" s="778">
        <f>IF(N31&lt;&gt;0,O31/N31,"")</f>
        <v/>
      </c>
      <c r="Q31" s="776" t="n"/>
      <c r="R31" s="775" t="n"/>
      <c r="S31" s="775" t="n"/>
      <c r="T31" s="775" t="n"/>
      <c r="U31" s="775" t="n"/>
      <c r="V31" s="775" t="n"/>
      <c r="W31" s="775">
        <f>SUM(R31:V31)-M31</f>
        <v/>
      </c>
      <c r="X31" s="779">
        <f>T31+U31+V31</f>
        <v/>
      </c>
    </row>
    <row r="32" hidden="1" ht="15.6" customHeight="1">
      <c r="A32" s="783" t="n"/>
      <c r="B32" s="770" t="inlineStr">
        <is>
          <t>东风鸿远工程咨询有限公司</t>
        </is>
      </c>
      <c r="C32" s="771" t="inlineStr">
        <is>
          <t>2121</t>
        </is>
      </c>
      <c r="D32" s="770" t="inlineStr">
        <is>
          <t>E_625163</t>
        </is>
      </c>
      <c r="E32" s="770" t="inlineStr">
        <is>
          <t>老河口市蕴航工程勘察有限公司</t>
        </is>
      </c>
      <c r="F32" s="770" t="inlineStr">
        <is>
          <t>采购款</t>
        </is>
      </c>
      <c r="G32" s="773" t="inlineStr">
        <is>
          <t>供应商</t>
        </is>
      </c>
      <c r="H32" s="774" t="inlineStr">
        <is>
          <t>CNY</t>
        </is>
      </c>
      <c r="I32" s="781" t="n"/>
      <c r="J32" s="781" t="n"/>
      <c r="K32" s="776" t="n"/>
      <c r="L32" s="777" t="n"/>
      <c r="M32" s="777">
        <f>J32+L32</f>
        <v/>
      </c>
      <c r="N32" s="782" t="n">
        <v>-269573.72</v>
      </c>
      <c r="O32" s="775">
        <f>M32-N32</f>
        <v/>
      </c>
      <c r="P32" s="778">
        <f>IF(N32&lt;&gt;0,O32/N32,"")</f>
        <v/>
      </c>
      <c r="Q32" s="776" t="n"/>
      <c r="R32" s="775" t="n"/>
      <c r="S32" s="775" t="n"/>
      <c r="T32" s="775" t="n"/>
      <c r="U32" s="775" t="n"/>
      <c r="V32" s="775" t="n"/>
      <c r="W32" s="775">
        <f>SUM(R32:V32)-M32</f>
        <v/>
      </c>
      <c r="X32" s="779">
        <f>T32+U32+V32</f>
        <v/>
      </c>
    </row>
    <row r="33" hidden="1" ht="15.6" customHeight="1">
      <c r="A33" s="783" t="n"/>
      <c r="B33" s="770" t="inlineStr">
        <is>
          <t>东风鸿远工程咨询有限公司</t>
        </is>
      </c>
      <c r="C33" s="771" t="inlineStr">
        <is>
          <t>2121</t>
        </is>
      </c>
      <c r="D33" s="770" t="inlineStr">
        <is>
          <t>E_623952</t>
        </is>
      </c>
      <c r="E33" s="770" t="inlineStr">
        <is>
          <t>武汉蕃华施工图设计审查有限公司</t>
        </is>
      </c>
      <c r="F33" s="770" t="inlineStr">
        <is>
          <t>采购款</t>
        </is>
      </c>
      <c r="G33" s="773" t="inlineStr">
        <is>
          <t>供应商</t>
        </is>
      </c>
      <c r="H33" s="774" t="inlineStr">
        <is>
          <t>CNY</t>
        </is>
      </c>
      <c r="I33" s="781" t="n"/>
      <c r="J33" s="781" t="n"/>
      <c r="K33" s="776" t="n"/>
      <c r="L33" s="777" t="n"/>
      <c r="M33" s="777">
        <f>J33+L33</f>
        <v/>
      </c>
      <c r="N33" s="782" t="n">
        <v>-3883.5</v>
      </c>
      <c r="O33" s="775">
        <f>M33-N33</f>
        <v/>
      </c>
      <c r="P33" s="778">
        <f>IF(N33&lt;&gt;0,O33/N33,"")</f>
        <v/>
      </c>
      <c r="Q33" s="776" t="n"/>
      <c r="R33" s="775" t="n"/>
      <c r="S33" s="775" t="n"/>
      <c r="T33" s="775" t="n"/>
      <c r="U33" s="775" t="n"/>
      <c r="V33" s="775" t="n"/>
      <c r="W33" s="775">
        <f>SUM(R33:V33)-M33</f>
        <v/>
      </c>
      <c r="X33" s="779">
        <f>T33+U33+V33</f>
        <v/>
      </c>
    </row>
    <row r="34" hidden="1" ht="15.6" customHeight="1">
      <c r="A34" s="783" t="n"/>
      <c r="B34" s="770" t="inlineStr">
        <is>
          <t>东风鸿远工程咨询有限公司</t>
        </is>
      </c>
      <c r="C34" s="771" t="inlineStr">
        <is>
          <t>2121</t>
        </is>
      </c>
      <c r="D34" s="770" t="inlineStr">
        <is>
          <t>E_683167</t>
        </is>
      </c>
      <c r="E34" s="770" t="inlineStr">
        <is>
          <t>武汉企创通企业服务有限公司</t>
        </is>
      </c>
      <c r="F34" s="770" t="inlineStr">
        <is>
          <t>采购款</t>
        </is>
      </c>
      <c r="G34" s="773" t="inlineStr">
        <is>
          <t>供应商</t>
        </is>
      </c>
      <c r="H34" s="774" t="inlineStr">
        <is>
          <t>CNY</t>
        </is>
      </c>
      <c r="I34" s="781" t="n"/>
      <c r="J34" s="781" t="n"/>
      <c r="K34" s="776" t="n"/>
      <c r="L34" s="777" t="n"/>
      <c r="M34" s="777">
        <f>J34+L34</f>
        <v/>
      </c>
      <c r="N34" s="782" t="n">
        <v>-3564.36</v>
      </c>
      <c r="O34" s="775">
        <f>M34-N34</f>
        <v/>
      </c>
      <c r="P34" s="778">
        <f>IF(N34&lt;&gt;0,O34/N34,"")</f>
        <v/>
      </c>
      <c r="Q34" s="776" t="n"/>
      <c r="R34" s="775" t="n"/>
      <c r="S34" s="775" t="n"/>
      <c r="T34" s="775" t="n"/>
      <c r="U34" s="775" t="n"/>
      <c r="V34" s="775" t="n"/>
      <c r="W34" s="775">
        <f>SUM(R34:V34)-M34</f>
        <v/>
      </c>
      <c r="X34" s="779">
        <f>T34+U34+V34</f>
        <v/>
      </c>
    </row>
    <row r="35" hidden="1" ht="15.6" customHeight="1">
      <c r="A35" s="783" t="n"/>
      <c r="B35" s="770" t="inlineStr">
        <is>
          <t>东风鸿远工程咨询有限公司</t>
        </is>
      </c>
      <c r="C35" s="771" t="inlineStr">
        <is>
          <t>2121</t>
        </is>
      </c>
      <c r="D35" s="770" t="inlineStr">
        <is>
          <t>E_146666</t>
        </is>
      </c>
      <c r="E35" s="770" t="inlineStr">
        <is>
          <t>襄阳市好邻居连锁超市有限公司</t>
        </is>
      </c>
      <c r="F35" s="770" t="inlineStr">
        <is>
          <t>采购款</t>
        </is>
      </c>
      <c r="G35" s="773" t="inlineStr">
        <is>
          <t>供应商</t>
        </is>
      </c>
      <c r="H35" s="774" t="inlineStr">
        <is>
          <t>CNY</t>
        </is>
      </c>
      <c r="I35" s="781" t="n"/>
      <c r="J35" s="781" t="n"/>
      <c r="K35" s="776" t="n"/>
      <c r="L35" s="777" t="n"/>
      <c r="M35" s="777">
        <f>J35+L35</f>
        <v/>
      </c>
      <c r="N35" s="782" t="n">
        <v>-13500</v>
      </c>
      <c r="O35" s="775">
        <f>M35-N35</f>
        <v/>
      </c>
      <c r="P35" s="778">
        <f>IF(N35&lt;&gt;0,O35/N35,"")</f>
        <v/>
      </c>
      <c r="Q35" s="776" t="n"/>
      <c r="R35" s="775" t="n"/>
      <c r="S35" s="775" t="n"/>
      <c r="T35" s="775" t="n"/>
      <c r="U35" s="775" t="n"/>
      <c r="V35" s="775" t="n"/>
      <c r="W35" s="775">
        <f>SUM(R35:V35)-M35</f>
        <v/>
      </c>
      <c r="X35" s="779">
        <f>T35+U35+V35</f>
        <v/>
      </c>
    </row>
    <row r="36" hidden="1" ht="15.6" customHeight="1">
      <c r="A36" s="783" t="n"/>
      <c r="B36" s="770" t="inlineStr">
        <is>
          <t>东风鸿远工程咨询有限公司</t>
        </is>
      </c>
      <c r="C36" s="771" t="inlineStr">
        <is>
          <t>2121</t>
        </is>
      </c>
      <c r="D36" s="770" t="inlineStr">
        <is>
          <t>E_606612</t>
        </is>
      </c>
      <c r="E36" s="770" t="inlineStr">
        <is>
          <t>广州氢氦照明设计有限公司</t>
        </is>
      </c>
      <c r="F36" s="770" t="inlineStr">
        <is>
          <t>采购款</t>
        </is>
      </c>
      <c r="G36" s="773" t="inlineStr">
        <is>
          <t>供应商</t>
        </is>
      </c>
      <c r="H36" s="774" t="inlineStr">
        <is>
          <t>CNY</t>
        </is>
      </c>
      <c r="I36" s="781" t="n"/>
      <c r="J36" s="781" t="n"/>
      <c r="K36" s="776" t="n"/>
      <c r="L36" s="777" t="n"/>
      <c r="M36" s="777">
        <f>J36+L36</f>
        <v/>
      </c>
      <c r="N36" s="782" t="n">
        <v>0</v>
      </c>
      <c r="O36" s="775">
        <f>M36-N36</f>
        <v/>
      </c>
      <c r="P36" s="778">
        <f>IF(N36&lt;&gt;0,O36/N36,"")</f>
        <v/>
      </c>
      <c r="Q36" s="776" t="n"/>
      <c r="R36" s="775" t="n"/>
      <c r="S36" s="775" t="n"/>
      <c r="T36" s="775" t="n"/>
      <c r="U36" s="775" t="n"/>
      <c r="V36" s="775" t="n"/>
      <c r="W36" s="775">
        <f>SUM(R36:V36)-M36</f>
        <v/>
      </c>
      <c r="X36" s="779">
        <f>T36+U36+V36</f>
        <v/>
      </c>
    </row>
    <row r="37" hidden="1" ht="15.6" customHeight="1">
      <c r="A37" s="783" t="n"/>
      <c r="B37" s="770" t="inlineStr">
        <is>
          <t>东风鸿远工程咨询有限公司</t>
        </is>
      </c>
      <c r="C37" s="771" t="inlineStr">
        <is>
          <t>2121</t>
        </is>
      </c>
      <c r="D37" s="770" t="inlineStr">
        <is>
          <t>E_614017</t>
        </is>
      </c>
      <c r="E37" s="770" t="inlineStr">
        <is>
          <t>襄阳市丹墨数码技术有限公司</t>
        </is>
      </c>
      <c r="F37" s="770" t="inlineStr">
        <is>
          <t>采购款</t>
        </is>
      </c>
      <c r="G37" s="773" t="inlineStr">
        <is>
          <t>供应商</t>
        </is>
      </c>
      <c r="H37" s="774" t="inlineStr">
        <is>
          <t>CNY</t>
        </is>
      </c>
      <c r="I37" s="781" t="n"/>
      <c r="J37" s="781" t="n"/>
      <c r="K37" s="776" t="n"/>
      <c r="L37" s="777" t="n"/>
      <c r="M37" s="777">
        <f>J37+L37</f>
        <v/>
      </c>
      <c r="N37" s="782" t="n">
        <v>-206020.39</v>
      </c>
      <c r="O37" s="775">
        <f>M37-N37</f>
        <v/>
      </c>
      <c r="P37" s="778">
        <f>IF(N37&lt;&gt;0,O37/N37,"")</f>
        <v/>
      </c>
      <c r="Q37" s="776" t="n"/>
      <c r="R37" s="775" t="n"/>
      <c r="S37" s="775" t="n"/>
      <c r="T37" s="775" t="n"/>
      <c r="U37" s="775" t="n"/>
      <c r="V37" s="775" t="n"/>
      <c r="W37" s="775">
        <f>SUM(R37:V37)-M37</f>
        <v/>
      </c>
      <c r="X37" s="779">
        <f>T37+U37+V37</f>
        <v/>
      </c>
    </row>
    <row r="38" hidden="1" ht="15.6" customHeight="1">
      <c r="A38" s="783" t="n"/>
      <c r="B38" s="770" t="inlineStr">
        <is>
          <t>东风鸿远工程咨询有限公司</t>
        </is>
      </c>
      <c r="C38" s="771" t="inlineStr">
        <is>
          <t>2121</t>
        </is>
      </c>
      <c r="D38" s="770" t="inlineStr">
        <is>
          <t>E_176567</t>
        </is>
      </c>
      <c r="E38" s="770" t="inlineStr">
        <is>
          <t>中安广源检测评价技术服务股份有限公司湖北分公司</t>
        </is>
      </c>
      <c r="F38" s="770" t="inlineStr">
        <is>
          <t>采购款</t>
        </is>
      </c>
      <c r="G38" s="773" t="inlineStr">
        <is>
          <t>供应商</t>
        </is>
      </c>
      <c r="H38" s="774" t="inlineStr">
        <is>
          <t>CNY</t>
        </is>
      </c>
      <c r="I38" s="781" t="n"/>
      <c r="J38" s="781" t="n"/>
      <c r="K38" s="776" t="n"/>
      <c r="L38" s="777" t="n"/>
      <c r="M38" s="777">
        <f>J38+L38</f>
        <v/>
      </c>
      <c r="N38" s="782" t="n">
        <v>0</v>
      </c>
      <c r="O38" s="775">
        <f>M38-N38</f>
        <v/>
      </c>
      <c r="P38" s="778">
        <f>IF(N38&lt;&gt;0,O38/N38,"")</f>
        <v/>
      </c>
      <c r="Q38" s="776" t="n"/>
      <c r="R38" s="775" t="n"/>
      <c r="S38" s="775" t="n"/>
      <c r="T38" s="775" t="n"/>
      <c r="U38" s="775" t="n"/>
      <c r="V38" s="775" t="n"/>
      <c r="W38" s="775">
        <f>SUM(R38:V38)-M38</f>
        <v/>
      </c>
      <c r="X38" s="779">
        <f>T38+U38+V38</f>
        <v/>
      </c>
    </row>
    <row r="39" hidden="1" ht="15.6" customHeight="1">
      <c r="A39" s="783" t="n"/>
      <c r="B39" s="770" t="inlineStr">
        <is>
          <t>东风鸿远工程咨询有限公司</t>
        </is>
      </c>
      <c r="C39" s="771" t="inlineStr">
        <is>
          <t>2121</t>
        </is>
      </c>
      <c r="D39" s="770" t="inlineStr">
        <is>
          <t>E_614610</t>
        </is>
      </c>
      <c r="E39" s="770" t="inlineStr">
        <is>
          <t>襄阳晨迪地质勘查技术服务有限公司</t>
        </is>
      </c>
      <c r="F39" s="770" t="inlineStr">
        <is>
          <t>采购款</t>
        </is>
      </c>
      <c r="G39" s="773" t="inlineStr">
        <is>
          <t>供应商</t>
        </is>
      </c>
      <c r="H39" s="774" t="inlineStr">
        <is>
          <t>CNY</t>
        </is>
      </c>
      <c r="I39" s="781" t="n"/>
      <c r="J39" s="781" t="n"/>
      <c r="K39" s="776" t="n"/>
      <c r="L39" s="777" t="n"/>
      <c r="M39" s="777">
        <f>J39+L39</f>
        <v/>
      </c>
      <c r="N39" s="782" t="n">
        <v>-265379.3</v>
      </c>
      <c r="O39" s="775">
        <f>M39-N39</f>
        <v/>
      </c>
      <c r="P39" s="778">
        <f>IF(N39&lt;&gt;0,O39/N39,"")</f>
        <v/>
      </c>
      <c r="Q39" s="776" t="n"/>
      <c r="R39" s="775" t="n"/>
      <c r="S39" s="775" t="n"/>
      <c r="T39" s="775" t="n"/>
      <c r="U39" s="775" t="n"/>
      <c r="V39" s="775" t="n"/>
      <c r="W39" s="775">
        <f>SUM(R39:V39)-M39</f>
        <v/>
      </c>
      <c r="X39" s="779">
        <f>T39+U39+V39</f>
        <v/>
      </c>
    </row>
    <row r="40" hidden="1" ht="15.6" customHeight="1">
      <c r="A40" s="783" t="n"/>
      <c r="B40" s="770" t="inlineStr">
        <is>
          <t>东风鸿远工程咨询有限公司</t>
        </is>
      </c>
      <c r="C40" s="771" t="inlineStr">
        <is>
          <t>2121</t>
        </is>
      </c>
      <c r="D40" s="770" t="inlineStr">
        <is>
          <t>E_658681</t>
        </is>
      </c>
      <c r="E40" s="770" t="inlineStr">
        <is>
          <t>武汉固德孪生数据技术有限公司</t>
        </is>
      </c>
      <c r="F40" s="770" t="inlineStr">
        <is>
          <t>采购款</t>
        </is>
      </c>
      <c r="G40" s="773" t="inlineStr">
        <is>
          <t>供应商</t>
        </is>
      </c>
      <c r="H40" s="774" t="inlineStr">
        <is>
          <t>CNY</t>
        </is>
      </c>
      <c r="I40" s="781" t="n"/>
      <c r="J40" s="781" t="n"/>
      <c r="K40" s="776" t="n"/>
      <c r="L40" s="777" t="n"/>
      <c r="M40" s="777">
        <f>J40+L40</f>
        <v/>
      </c>
      <c r="N40" s="782" t="n">
        <v>-8000</v>
      </c>
      <c r="O40" s="775">
        <f>M40-N40</f>
        <v/>
      </c>
      <c r="P40" s="778">
        <f>IF(N40&lt;&gt;0,O40/N40,"")</f>
        <v/>
      </c>
      <c r="Q40" s="776" t="n"/>
      <c r="R40" s="775" t="n"/>
      <c r="S40" s="775" t="n"/>
      <c r="T40" s="775" t="n"/>
      <c r="U40" s="775" t="n"/>
      <c r="V40" s="775" t="n"/>
      <c r="W40" s="775">
        <f>SUM(R40:V40)-M40</f>
        <v/>
      </c>
      <c r="X40" s="779">
        <f>T40+U40+V40</f>
        <v/>
      </c>
    </row>
    <row r="41" hidden="1" ht="15.6" customHeight="1">
      <c r="A41" s="783" t="n"/>
      <c r="B41" s="770" t="inlineStr">
        <is>
          <t>东风鸿远工程咨询有限公司</t>
        </is>
      </c>
      <c r="C41" s="771" t="inlineStr">
        <is>
          <t>2121</t>
        </is>
      </c>
      <c r="D41" s="770" t="inlineStr">
        <is>
          <t>E_014859</t>
        </is>
      </c>
      <c r="E41" s="770" t="inlineStr">
        <is>
          <t>湖北省建筑工程质量监督检验测试中心</t>
        </is>
      </c>
      <c r="F41" s="770" t="inlineStr">
        <is>
          <t>采购款</t>
        </is>
      </c>
      <c r="G41" s="773" t="inlineStr">
        <is>
          <t>供应商</t>
        </is>
      </c>
      <c r="H41" s="774" t="inlineStr">
        <is>
          <t>CNY</t>
        </is>
      </c>
      <c r="I41" s="781" t="n"/>
      <c r="J41" s="781" t="n"/>
      <c r="K41" s="776" t="n"/>
      <c r="L41" s="777" t="n"/>
      <c r="M41" s="777">
        <f>J41+L41</f>
        <v/>
      </c>
      <c r="N41" s="782" t="n">
        <v>-23584.91</v>
      </c>
      <c r="O41" s="775">
        <f>M41-N41</f>
        <v/>
      </c>
      <c r="P41" s="778">
        <f>IF(N41&lt;&gt;0,O41/N41,"")</f>
        <v/>
      </c>
      <c r="Q41" s="776" t="n"/>
      <c r="R41" s="775" t="n"/>
      <c r="S41" s="775" t="n"/>
      <c r="T41" s="775" t="n"/>
      <c r="U41" s="775" t="n"/>
      <c r="V41" s="775" t="n"/>
      <c r="W41" s="775">
        <f>SUM(R41:V41)-M41</f>
        <v/>
      </c>
      <c r="X41" s="779">
        <f>T41+U41+V41</f>
        <v/>
      </c>
    </row>
    <row r="42" hidden="1" ht="15.6" customHeight="1">
      <c r="A42" s="783" t="n"/>
      <c r="B42" s="770" t="inlineStr">
        <is>
          <t>东风鸿远工程咨询有限公司</t>
        </is>
      </c>
      <c r="C42" s="771" t="inlineStr">
        <is>
          <t>2121</t>
        </is>
      </c>
      <c r="D42" s="770" t="inlineStr">
        <is>
          <t>E_624962</t>
        </is>
      </c>
      <c r="E42" s="770" t="inlineStr">
        <is>
          <t>湖北顺泰岩土工程勘察有限公司</t>
        </is>
      </c>
      <c r="F42" s="770" t="inlineStr">
        <is>
          <t>采购款</t>
        </is>
      </c>
      <c r="G42" s="773" t="inlineStr">
        <is>
          <t>供应商</t>
        </is>
      </c>
      <c r="H42" s="774" t="inlineStr">
        <is>
          <t>CNY</t>
        </is>
      </c>
      <c r="I42" s="781" t="n"/>
      <c r="J42" s="781" t="n"/>
      <c r="K42" s="776" t="n"/>
      <c r="L42" s="777" t="n"/>
      <c r="M42" s="777">
        <f>J42+L42</f>
        <v/>
      </c>
      <c r="N42" s="782" t="n">
        <v>-151476.14</v>
      </c>
      <c r="O42" s="775">
        <f>M42-N42</f>
        <v/>
      </c>
      <c r="P42" s="778">
        <f>IF(N42&lt;&gt;0,O42/N42,"")</f>
        <v/>
      </c>
      <c r="Q42" s="776" t="n"/>
      <c r="R42" s="775" t="n"/>
      <c r="S42" s="775" t="n"/>
      <c r="T42" s="775" t="n"/>
      <c r="U42" s="775" t="n"/>
      <c r="V42" s="775" t="n"/>
      <c r="W42" s="775">
        <f>SUM(R42:V42)-M42</f>
        <v/>
      </c>
      <c r="X42" s="779">
        <f>T42+U42+V42</f>
        <v/>
      </c>
    </row>
    <row r="43" hidden="1" ht="15.6" customHeight="1">
      <c r="A43" s="783" t="n"/>
      <c r="B43" s="770" t="inlineStr">
        <is>
          <t>东风鸿远工程咨询有限公司</t>
        </is>
      </c>
      <c r="C43" s="771" t="inlineStr">
        <is>
          <t>2121</t>
        </is>
      </c>
      <c r="D43" s="770" t="inlineStr">
        <is>
          <t>E_617451</t>
        </is>
      </c>
      <c r="E43" s="770" t="inlineStr">
        <is>
          <t>城安工程技术集团有限公司即墨分公司</t>
        </is>
      </c>
      <c r="F43" s="770" t="inlineStr">
        <is>
          <t>采购款</t>
        </is>
      </c>
      <c r="G43" s="773" t="inlineStr">
        <is>
          <t>供应商</t>
        </is>
      </c>
      <c r="H43" s="774" t="inlineStr">
        <is>
          <t>CNY</t>
        </is>
      </c>
      <c r="I43" s="781" t="n"/>
      <c r="J43" s="781" t="n"/>
      <c r="K43" s="776" t="n"/>
      <c r="L43" s="777" t="n"/>
      <c r="M43" s="777">
        <f>J43+L43</f>
        <v/>
      </c>
      <c r="N43" s="782" t="n">
        <v>0</v>
      </c>
      <c r="O43" s="775">
        <f>M43-N43</f>
        <v/>
      </c>
      <c r="P43" s="778">
        <f>IF(N43&lt;&gt;0,O43/N43,"")</f>
        <v/>
      </c>
      <c r="Q43" s="776" t="n"/>
      <c r="R43" s="775" t="n"/>
      <c r="S43" s="775" t="n"/>
      <c r="T43" s="775" t="n"/>
      <c r="U43" s="775" t="n"/>
      <c r="V43" s="775" t="n"/>
      <c r="W43" s="775">
        <f>SUM(R43:V43)-M43</f>
        <v/>
      </c>
      <c r="X43" s="779">
        <f>T43+U43+V43</f>
        <v/>
      </c>
    </row>
    <row r="44" hidden="1" ht="15.6" customHeight="1">
      <c r="A44" s="783" t="n"/>
      <c r="B44" s="770" t="inlineStr">
        <is>
          <t>东风鸿远工程咨询有限公司</t>
        </is>
      </c>
      <c r="C44" s="771" t="inlineStr">
        <is>
          <t>2121</t>
        </is>
      </c>
      <c r="D44" s="770" t="inlineStr">
        <is>
          <t>E_607903</t>
        </is>
      </c>
      <c r="E44" s="770" t="inlineStr">
        <is>
          <t>武汉力天视觉数字科技有限公司</t>
        </is>
      </c>
      <c r="F44" s="770" t="inlineStr">
        <is>
          <t>采购款</t>
        </is>
      </c>
      <c r="G44" s="773" t="inlineStr">
        <is>
          <t>供应商</t>
        </is>
      </c>
      <c r="H44" s="774" t="inlineStr">
        <is>
          <t>CNY</t>
        </is>
      </c>
      <c r="I44" s="781" t="n"/>
      <c r="J44" s="781" t="n"/>
      <c r="K44" s="776" t="n"/>
      <c r="L44" s="777" t="n"/>
      <c r="M44" s="777">
        <f>J44+L44</f>
        <v/>
      </c>
      <c r="N44" s="782" t="n">
        <v>-27184.47</v>
      </c>
      <c r="O44" s="775">
        <f>M44-N44</f>
        <v/>
      </c>
      <c r="P44" s="778">
        <f>IF(N44&lt;&gt;0,O44/N44,"")</f>
        <v/>
      </c>
      <c r="Q44" s="776" t="n"/>
      <c r="R44" s="775" t="n"/>
      <c r="S44" s="775" t="n"/>
      <c r="T44" s="775" t="n"/>
      <c r="U44" s="775" t="n"/>
      <c r="V44" s="775" t="n"/>
      <c r="W44" s="775">
        <f>SUM(R44:V44)-M44</f>
        <v/>
      </c>
      <c r="X44" s="779">
        <f>T44+U44+V44</f>
        <v/>
      </c>
    </row>
    <row r="45" hidden="1" ht="15.6" customHeight="1">
      <c r="A45" s="783" t="n"/>
      <c r="B45" s="770" t="inlineStr">
        <is>
          <t>东风鸿远工程咨询有限公司</t>
        </is>
      </c>
      <c r="C45" s="771" t="inlineStr">
        <is>
          <t>2121</t>
        </is>
      </c>
      <c r="D45" s="770" t="inlineStr">
        <is>
          <t>E_624456</t>
        </is>
      </c>
      <c r="E45" s="770" t="inlineStr">
        <is>
          <t>湖北勤业会计师事务所（普通合伙）</t>
        </is>
      </c>
      <c r="F45" s="770" t="inlineStr">
        <is>
          <t>采购款</t>
        </is>
      </c>
      <c r="G45" s="773" t="inlineStr">
        <is>
          <t>供应商</t>
        </is>
      </c>
      <c r="H45" s="774" t="inlineStr">
        <is>
          <t>CNY</t>
        </is>
      </c>
      <c r="I45" s="781" t="n"/>
      <c r="J45" s="781" t="n"/>
      <c r="K45" s="776" t="n"/>
      <c r="L45" s="777" t="n"/>
      <c r="M45" s="777">
        <f>J45+L45</f>
        <v/>
      </c>
      <c r="N45" s="782" t="n">
        <v>-28301.89</v>
      </c>
      <c r="O45" s="775">
        <f>M45-N45</f>
        <v/>
      </c>
      <c r="P45" s="778">
        <f>IF(N45&lt;&gt;0,O45/N45,"")</f>
        <v/>
      </c>
      <c r="Q45" s="776" t="n"/>
      <c r="R45" s="775" t="n"/>
      <c r="S45" s="775" t="n"/>
      <c r="T45" s="775" t="n"/>
      <c r="U45" s="775" t="n"/>
      <c r="V45" s="775" t="n"/>
      <c r="W45" s="775">
        <f>SUM(R45:V45)-M45</f>
        <v/>
      </c>
      <c r="X45" s="779">
        <f>T45+U45+V45</f>
        <v/>
      </c>
    </row>
    <row r="46" hidden="1" ht="15.6" customHeight="1">
      <c r="A46" s="783" t="n"/>
      <c r="B46" s="770" t="inlineStr">
        <is>
          <t>东风鸿远工程咨询有限公司</t>
        </is>
      </c>
      <c r="C46" s="771" t="inlineStr">
        <is>
          <t>2121</t>
        </is>
      </c>
      <c r="D46" s="770" t="inlineStr">
        <is>
          <t>E_602883</t>
        </is>
      </c>
      <c r="E46" s="770" t="inlineStr">
        <is>
          <t>中建三局工程设计有限公司</t>
        </is>
      </c>
      <c r="F46" s="770" t="inlineStr">
        <is>
          <t>采购款</t>
        </is>
      </c>
      <c r="G46" s="773" t="inlineStr">
        <is>
          <t>供应商</t>
        </is>
      </c>
      <c r="H46" s="774" t="inlineStr">
        <is>
          <t>CNY</t>
        </is>
      </c>
      <c r="I46" s="781" t="n"/>
      <c r="J46" s="781" t="n"/>
      <c r="K46" s="776" t="n"/>
      <c r="L46" s="777" t="n"/>
      <c r="M46" s="777">
        <f>J46+L46</f>
        <v/>
      </c>
      <c r="N46" s="782" t="n">
        <v>-512090.16</v>
      </c>
      <c r="O46" s="775">
        <f>M46-N46</f>
        <v/>
      </c>
      <c r="P46" s="778">
        <f>IF(N46&lt;&gt;0,O46/N46,"")</f>
        <v/>
      </c>
      <c r="Q46" s="776" t="n"/>
      <c r="R46" s="775" t="n"/>
      <c r="S46" s="775" t="n"/>
      <c r="T46" s="775" t="n"/>
      <c r="U46" s="775" t="n"/>
      <c r="V46" s="775" t="n"/>
      <c r="W46" s="775">
        <f>SUM(R46:V46)-M46</f>
        <v/>
      </c>
      <c r="X46" s="779">
        <f>T46+U46+V46</f>
        <v/>
      </c>
    </row>
    <row r="47" hidden="1" ht="15.6" customHeight="1">
      <c r="A47" s="783" t="n"/>
      <c r="B47" s="770" t="inlineStr">
        <is>
          <t>东风鸿远工程咨询有限公司</t>
        </is>
      </c>
      <c r="C47" s="771" t="inlineStr">
        <is>
          <t>2121</t>
        </is>
      </c>
      <c r="D47" s="770" t="inlineStr">
        <is>
          <t>E_603120</t>
        </is>
      </c>
      <c r="E47" s="770" t="inlineStr">
        <is>
          <t>云龙区佳和雨建筑设计工作室</t>
        </is>
      </c>
      <c r="F47" s="770" t="inlineStr">
        <is>
          <t>采购款</t>
        </is>
      </c>
      <c r="G47" s="773" t="inlineStr">
        <is>
          <t>供应商</t>
        </is>
      </c>
      <c r="H47" s="774" t="inlineStr">
        <is>
          <t>CNY</t>
        </is>
      </c>
      <c r="I47" s="781" t="n"/>
      <c r="J47" s="781" t="n"/>
      <c r="K47" s="776" t="n"/>
      <c r="L47" s="777" t="n"/>
      <c r="M47" s="777">
        <f>J47+L47</f>
        <v/>
      </c>
      <c r="N47" s="782" t="n">
        <v>-10660.19</v>
      </c>
      <c r="O47" s="775">
        <f>M47-N47</f>
        <v/>
      </c>
      <c r="P47" s="778">
        <f>IF(N47&lt;&gt;0,O47/N47,"")</f>
        <v/>
      </c>
      <c r="Q47" s="776" t="n"/>
      <c r="R47" s="775" t="n"/>
      <c r="S47" s="775" t="n"/>
      <c r="T47" s="775" t="n"/>
      <c r="U47" s="775" t="n"/>
      <c r="V47" s="775" t="n"/>
      <c r="W47" s="775">
        <f>SUM(R47:V47)-M47</f>
        <v/>
      </c>
      <c r="X47" s="779">
        <f>T47+U47+V47</f>
        <v/>
      </c>
    </row>
    <row r="48" hidden="1" ht="15.6" customHeight="1">
      <c r="A48" s="783" t="n"/>
      <c r="B48" s="770" t="inlineStr">
        <is>
          <t>东风鸿远工程咨询有限公司</t>
        </is>
      </c>
      <c r="C48" s="771" t="inlineStr">
        <is>
          <t>2121</t>
        </is>
      </c>
      <c r="D48" s="770" t="inlineStr">
        <is>
          <t>E_624681</t>
        </is>
      </c>
      <c r="E48" s="770" t="inlineStr">
        <is>
          <t>湖北南诚工程咨询有限公司</t>
        </is>
      </c>
      <c r="F48" s="770" t="inlineStr">
        <is>
          <t>采购款</t>
        </is>
      </c>
      <c r="G48" s="773" t="inlineStr">
        <is>
          <t>供应商</t>
        </is>
      </c>
      <c r="H48" s="774" t="inlineStr">
        <is>
          <t>CNY</t>
        </is>
      </c>
      <c r="I48" s="781" t="n"/>
      <c r="J48" s="781" t="n"/>
      <c r="K48" s="776" t="n"/>
      <c r="L48" s="777" t="n"/>
      <c r="M48" s="777">
        <f>J48+L48</f>
        <v/>
      </c>
      <c r="N48" s="782" t="n">
        <v>-70000</v>
      </c>
      <c r="O48" s="775">
        <f>M48-N48</f>
        <v/>
      </c>
      <c r="P48" s="778">
        <f>IF(N48&lt;&gt;0,O48/N48,"")</f>
        <v/>
      </c>
      <c r="Q48" s="776" t="n"/>
      <c r="R48" s="775" t="n"/>
      <c r="S48" s="775" t="n"/>
      <c r="T48" s="775" t="n"/>
      <c r="U48" s="775" t="n"/>
      <c r="V48" s="775" t="n"/>
      <c r="W48" s="775">
        <f>SUM(R48:V48)-M48</f>
        <v/>
      </c>
      <c r="X48" s="779">
        <f>T48+U48+V48</f>
        <v/>
      </c>
    </row>
    <row r="49" hidden="1" ht="15.6" customHeight="1">
      <c r="A49" s="783" t="n"/>
      <c r="B49" s="770" t="inlineStr">
        <is>
          <t>东风鸿远工程咨询有限公司</t>
        </is>
      </c>
      <c r="C49" s="771" t="inlineStr">
        <is>
          <t>2121</t>
        </is>
      </c>
      <c r="D49" s="770" t="inlineStr">
        <is>
          <t>E_605958</t>
        </is>
      </c>
      <c r="E49" s="770" t="inlineStr">
        <is>
          <t>四川省建筑设计研究院有限公司</t>
        </is>
      </c>
      <c r="F49" s="770" t="inlineStr">
        <is>
          <t>采购款</t>
        </is>
      </c>
      <c r="G49" s="773" t="inlineStr">
        <is>
          <t>供应商</t>
        </is>
      </c>
      <c r="H49" s="774" t="inlineStr">
        <is>
          <t>CNY</t>
        </is>
      </c>
      <c r="I49" s="781" t="n"/>
      <c r="J49" s="781" t="n"/>
      <c r="K49" s="776" t="n"/>
      <c r="L49" s="777" t="n"/>
      <c r="M49" s="777">
        <f>J49+L49</f>
        <v/>
      </c>
      <c r="N49" s="782" t="n">
        <v>-6146733.91</v>
      </c>
      <c r="O49" s="775">
        <f>M49-N49</f>
        <v/>
      </c>
      <c r="P49" s="778">
        <f>IF(N49&lt;&gt;0,O49/N49,"")</f>
        <v/>
      </c>
      <c r="Q49" s="776" t="inlineStr">
        <is>
          <t>NB7</t>
        </is>
      </c>
      <c r="R49" s="775" t="n"/>
      <c r="S49" s="775" t="n"/>
      <c r="T49" s="775" t="n"/>
      <c r="U49" s="775" t="n"/>
      <c r="V49" s="775" t="n"/>
      <c r="W49" s="775">
        <f>SUM(R49:V49)-M49</f>
        <v/>
      </c>
      <c r="X49" s="779">
        <f>T49+U49+V49</f>
        <v/>
      </c>
    </row>
    <row r="50" hidden="1" ht="15.6" customHeight="1">
      <c r="A50" s="783" t="n"/>
      <c r="B50" s="770" t="inlineStr">
        <is>
          <t>东风鸿远工程咨询有限公司</t>
        </is>
      </c>
      <c r="C50" s="771" t="inlineStr">
        <is>
          <t>2121</t>
        </is>
      </c>
      <c r="D50" s="770" t="inlineStr">
        <is>
          <t>E_622843</t>
        </is>
      </c>
      <c r="E50" s="770" t="inlineStr">
        <is>
          <t>武汉游途网络科技有限公司</t>
        </is>
      </c>
      <c r="F50" s="770" t="inlineStr">
        <is>
          <t>采购款</t>
        </is>
      </c>
      <c r="G50" s="773" t="inlineStr">
        <is>
          <t>供应商</t>
        </is>
      </c>
      <c r="H50" s="774" t="inlineStr">
        <is>
          <t>CNY</t>
        </is>
      </c>
      <c r="I50" s="781" t="n"/>
      <c r="J50" s="781" t="n"/>
      <c r="K50" s="776" t="n"/>
      <c r="L50" s="777" t="n"/>
      <c r="M50" s="777">
        <f>J50+L50</f>
        <v/>
      </c>
      <c r="N50" s="782" t="n">
        <v>0</v>
      </c>
      <c r="O50" s="775">
        <f>M50-N50</f>
        <v/>
      </c>
      <c r="P50" s="778">
        <f>IF(N50&lt;&gt;0,O50/N50,"")</f>
        <v/>
      </c>
      <c r="Q50" s="776" t="n"/>
      <c r="R50" s="775" t="n"/>
      <c r="S50" s="775" t="n"/>
      <c r="T50" s="775" t="n"/>
      <c r="U50" s="775" t="n"/>
      <c r="V50" s="775" t="n"/>
      <c r="W50" s="775">
        <f>SUM(R50:V50)-M50</f>
        <v/>
      </c>
      <c r="X50" s="779">
        <f>T50+U50+V50</f>
        <v/>
      </c>
    </row>
    <row r="51" hidden="1" ht="15.6" customHeight="1">
      <c r="A51" s="783" t="n"/>
      <c r="B51" s="770" t="inlineStr">
        <is>
          <t>东风鸿远工程咨询有限公司</t>
        </is>
      </c>
      <c r="C51" s="771" t="inlineStr">
        <is>
          <t>2121</t>
        </is>
      </c>
      <c r="D51" s="770" t="inlineStr">
        <is>
          <t>E_618178</t>
        </is>
      </c>
      <c r="E51" s="770" t="inlineStr">
        <is>
          <t>北京盈建科软件股份有限公司</t>
        </is>
      </c>
      <c r="F51" s="770" t="inlineStr">
        <is>
          <t>采购款</t>
        </is>
      </c>
      <c r="G51" s="773" t="inlineStr">
        <is>
          <t>供应商</t>
        </is>
      </c>
      <c r="H51" s="774" t="inlineStr">
        <is>
          <t>CNY</t>
        </is>
      </c>
      <c r="I51" s="781" t="n"/>
      <c r="J51" s="781" t="n"/>
      <c r="K51" s="776" t="n"/>
      <c r="L51" s="777" t="n"/>
      <c r="M51" s="777">
        <f>J51+L51</f>
        <v/>
      </c>
      <c r="N51" s="782" t="n">
        <v>-40000</v>
      </c>
      <c r="O51" s="775">
        <f>M51-N51</f>
        <v/>
      </c>
      <c r="P51" s="778">
        <f>IF(N51&lt;&gt;0,O51/N51,"")</f>
        <v/>
      </c>
      <c r="Q51" s="776" t="n"/>
      <c r="R51" s="775" t="n"/>
      <c r="S51" s="775" t="n"/>
      <c r="T51" s="775" t="n"/>
      <c r="U51" s="775" t="n"/>
      <c r="V51" s="775" t="n"/>
      <c r="W51" s="775">
        <f>SUM(R51:V51)-M51</f>
        <v/>
      </c>
      <c r="X51" s="779">
        <f>T51+U51+V51</f>
        <v/>
      </c>
    </row>
    <row r="52" hidden="1" ht="15.6" customHeight="1">
      <c r="A52" s="783" t="n"/>
      <c r="B52" s="770" t="inlineStr">
        <is>
          <t>东风鸿远工程咨询有限公司</t>
        </is>
      </c>
      <c r="C52" s="771" t="inlineStr">
        <is>
          <t>2121</t>
        </is>
      </c>
      <c r="D52" s="770" t="inlineStr">
        <is>
          <t>E_613804</t>
        </is>
      </c>
      <c r="E52" s="770" t="inlineStr">
        <is>
          <t>武汉意创格致建筑工程设计有限公司</t>
        </is>
      </c>
      <c r="F52" s="770" t="inlineStr">
        <is>
          <t>采购款</t>
        </is>
      </c>
      <c r="G52" s="773" t="inlineStr">
        <is>
          <t>供应商</t>
        </is>
      </c>
      <c r="H52" s="774" t="inlineStr">
        <is>
          <t>CNY</t>
        </is>
      </c>
      <c r="I52" s="781" t="n"/>
      <c r="J52" s="781" t="n"/>
      <c r="K52" s="776" t="n"/>
      <c r="L52" s="777" t="n"/>
      <c r="M52" s="777">
        <f>J52+L52</f>
        <v/>
      </c>
      <c r="N52" s="782" t="n">
        <v>-15637.12</v>
      </c>
      <c r="O52" s="775">
        <f>M52-N52</f>
        <v/>
      </c>
      <c r="P52" s="778">
        <f>IF(N52&lt;&gt;0,O52/N52,"")</f>
        <v/>
      </c>
      <c r="Q52" s="776" t="n"/>
      <c r="R52" s="775" t="n"/>
      <c r="S52" s="775" t="n"/>
      <c r="T52" s="775" t="n"/>
      <c r="U52" s="775" t="n"/>
      <c r="V52" s="775" t="n"/>
      <c r="W52" s="775">
        <f>SUM(R52:V52)-M52</f>
        <v/>
      </c>
      <c r="X52" s="779">
        <f>T52+U52+V52</f>
        <v/>
      </c>
    </row>
    <row r="53" hidden="1" ht="15.6" customHeight="1">
      <c r="A53" s="783" t="n"/>
      <c r="B53" s="770" t="inlineStr">
        <is>
          <t>东风鸿远工程咨询有限公司</t>
        </is>
      </c>
      <c r="C53" s="771" t="inlineStr">
        <is>
          <t>2121</t>
        </is>
      </c>
      <c r="D53" s="770" t="inlineStr">
        <is>
          <t>E_614043</t>
        </is>
      </c>
      <c r="E53" s="770" t="inlineStr">
        <is>
          <t>汉江中保信保安服务集团有限公司</t>
        </is>
      </c>
      <c r="F53" s="770" t="inlineStr">
        <is>
          <t>采购款</t>
        </is>
      </c>
      <c r="G53" s="773" t="inlineStr">
        <is>
          <t>供应商</t>
        </is>
      </c>
      <c r="H53" s="774" t="inlineStr">
        <is>
          <t>CNY</t>
        </is>
      </c>
      <c r="I53" s="781" t="n"/>
      <c r="J53" s="781" t="n"/>
      <c r="K53" s="776" t="n"/>
      <c r="L53" s="777" t="n"/>
      <c r="M53" s="777">
        <f>J53+L53</f>
        <v/>
      </c>
      <c r="N53" s="782" t="n">
        <v>-33300</v>
      </c>
      <c r="O53" s="775">
        <f>M53-N53</f>
        <v/>
      </c>
      <c r="P53" s="778">
        <f>IF(N53&lt;&gt;0,O53/N53,"")</f>
        <v/>
      </c>
      <c r="Q53" s="776" t="n"/>
      <c r="R53" s="775" t="n"/>
      <c r="S53" s="775" t="n"/>
      <c r="T53" s="775" t="n"/>
      <c r="U53" s="775" t="n"/>
      <c r="V53" s="775" t="n"/>
      <c r="W53" s="775">
        <f>SUM(R53:V53)-M53</f>
        <v/>
      </c>
      <c r="X53" s="779">
        <f>T53+U53+V53</f>
        <v/>
      </c>
    </row>
    <row r="54" hidden="1" ht="15.6" customHeight="1">
      <c r="A54" s="783" t="n"/>
      <c r="B54" s="770" t="inlineStr">
        <is>
          <t>东风鸿远工程咨询有限公司</t>
        </is>
      </c>
      <c r="C54" s="771" t="inlineStr">
        <is>
          <t>2121</t>
        </is>
      </c>
      <c r="D54" s="770" t="inlineStr">
        <is>
          <t>E_619093</t>
        </is>
      </c>
      <c r="E54" s="770" t="inlineStr">
        <is>
          <t>中兵北勘(河北)工程检测有限公司</t>
        </is>
      </c>
      <c r="F54" s="770" t="inlineStr">
        <is>
          <t>采购款</t>
        </is>
      </c>
      <c r="G54" s="773" t="inlineStr">
        <is>
          <t>供应商</t>
        </is>
      </c>
      <c r="H54" s="774" t="inlineStr">
        <is>
          <t>CNY</t>
        </is>
      </c>
      <c r="I54" s="781" t="n"/>
      <c r="J54" s="781" t="n"/>
      <c r="K54" s="776" t="n"/>
      <c r="L54" s="777" t="n"/>
      <c r="M54" s="777">
        <f>J54+L54</f>
        <v/>
      </c>
      <c r="N54" s="782" t="n">
        <v>0</v>
      </c>
      <c r="O54" s="775">
        <f>M54-N54</f>
        <v/>
      </c>
      <c r="P54" s="778">
        <f>IF(N54&lt;&gt;0,O54/N54,"")</f>
        <v/>
      </c>
      <c r="Q54" s="776" t="n"/>
      <c r="R54" s="775" t="n"/>
      <c r="S54" s="775" t="n"/>
      <c r="T54" s="775" t="n"/>
      <c r="U54" s="775" t="n"/>
      <c r="V54" s="775" t="n"/>
      <c r="W54" s="775">
        <f>SUM(R54:V54)-M54</f>
        <v/>
      </c>
      <c r="X54" s="779">
        <f>T54+U54+V54</f>
        <v/>
      </c>
    </row>
    <row r="55" hidden="1" ht="15.6" customHeight="1">
      <c r="A55" s="783" t="n"/>
      <c r="B55" s="770" t="inlineStr">
        <is>
          <t>东风鸿远工程咨询有限公司</t>
        </is>
      </c>
      <c r="C55" s="771" t="inlineStr">
        <is>
          <t>2121</t>
        </is>
      </c>
      <c r="D55" s="770" t="inlineStr">
        <is>
          <t>E_600087</t>
        </is>
      </c>
      <c r="E55" s="770" t="inlineStr">
        <is>
          <t>湖北省鄂西北工程勘察有限责任公司</t>
        </is>
      </c>
      <c r="F55" s="770" t="inlineStr">
        <is>
          <t>采购款</t>
        </is>
      </c>
      <c r="G55" s="773" t="inlineStr">
        <is>
          <t>供应商</t>
        </is>
      </c>
      <c r="H55" s="774" t="inlineStr">
        <is>
          <t>CNY</t>
        </is>
      </c>
      <c r="I55" s="781" t="n"/>
      <c r="J55" s="781" t="n"/>
      <c r="K55" s="776" t="n"/>
      <c r="L55" s="777" t="n"/>
      <c r="M55" s="777">
        <f>J55+L55</f>
        <v/>
      </c>
      <c r="N55" s="782" t="n">
        <v>-2189774.58</v>
      </c>
      <c r="O55" s="775">
        <f>M55-N55</f>
        <v/>
      </c>
      <c r="P55" s="778">
        <f>IF(N55&lt;&gt;0,O55/N55,"")</f>
        <v/>
      </c>
      <c r="Q55" s="776" t="inlineStr">
        <is>
          <t>NB8</t>
        </is>
      </c>
      <c r="R55" s="775" t="n"/>
      <c r="S55" s="775" t="n"/>
      <c r="T55" s="775" t="n"/>
      <c r="U55" s="775" t="n"/>
      <c r="V55" s="775" t="n"/>
      <c r="W55" s="775">
        <f>SUM(R55:V55)-M55</f>
        <v/>
      </c>
      <c r="X55" s="779">
        <f>T55+U55+V55</f>
        <v/>
      </c>
    </row>
    <row r="56" hidden="1" ht="15.6" customHeight="1">
      <c r="A56" s="783" t="n"/>
      <c r="B56" s="770" t="inlineStr">
        <is>
          <t>东风鸿远工程咨询有限公司</t>
        </is>
      </c>
      <c r="C56" s="771" t="inlineStr">
        <is>
          <t>2121</t>
        </is>
      </c>
      <c r="D56" s="770" t="inlineStr">
        <is>
          <t>E_602726</t>
        </is>
      </c>
      <c r="E56" s="770" t="inlineStr">
        <is>
          <t>临海市华意建筑设计有限公司</t>
        </is>
      </c>
      <c r="F56" s="770" t="inlineStr">
        <is>
          <t>采购款</t>
        </is>
      </c>
      <c r="G56" s="773" t="inlineStr">
        <is>
          <t>供应商</t>
        </is>
      </c>
      <c r="H56" s="774" t="inlineStr">
        <is>
          <t>CNY</t>
        </is>
      </c>
      <c r="I56" s="781" t="n"/>
      <c r="J56" s="781" t="n"/>
      <c r="K56" s="776" t="n"/>
      <c r="L56" s="777" t="n"/>
      <c r="M56" s="777">
        <f>J56+L56</f>
        <v/>
      </c>
      <c r="N56" s="782" t="n">
        <v>-28155.34</v>
      </c>
      <c r="O56" s="775">
        <f>M56-N56</f>
        <v/>
      </c>
      <c r="P56" s="778">
        <f>IF(N56&lt;&gt;0,O56/N56,"")</f>
        <v/>
      </c>
      <c r="Q56" s="776" t="n"/>
      <c r="R56" s="775" t="n"/>
      <c r="S56" s="775" t="n"/>
      <c r="T56" s="775" t="n"/>
      <c r="U56" s="775" t="n"/>
      <c r="V56" s="775" t="n"/>
      <c r="W56" s="775">
        <f>SUM(R56:V56)-M56</f>
        <v/>
      </c>
      <c r="X56" s="779">
        <f>T56+U56+V56</f>
        <v/>
      </c>
    </row>
    <row r="57" hidden="1" ht="15.6" customHeight="1">
      <c r="A57" s="783" t="n"/>
      <c r="B57" s="770" t="inlineStr">
        <is>
          <t>东风鸿远工程咨询有限公司</t>
        </is>
      </c>
      <c r="C57" s="771" t="inlineStr">
        <is>
          <t>2121</t>
        </is>
      </c>
      <c r="D57" s="770" t="inlineStr">
        <is>
          <t>E_614472</t>
        </is>
      </c>
      <c r="E57" s="770" t="inlineStr">
        <is>
          <t>湖北襄阳松涛建筑工程有限公司</t>
        </is>
      </c>
      <c r="F57" s="770" t="inlineStr">
        <is>
          <t>采购款</t>
        </is>
      </c>
      <c r="G57" s="773" t="inlineStr">
        <is>
          <t>供应商</t>
        </is>
      </c>
      <c r="H57" s="774" t="inlineStr">
        <is>
          <t>CNY</t>
        </is>
      </c>
      <c r="I57" s="781" t="n"/>
      <c r="J57" s="781" t="n"/>
      <c r="K57" s="776" t="n"/>
      <c r="L57" s="777" t="n"/>
      <c r="M57" s="777">
        <f>J57+L57</f>
        <v/>
      </c>
      <c r="N57" s="782" t="n">
        <v>-216627.45</v>
      </c>
      <c r="O57" s="775">
        <f>M57-N57</f>
        <v/>
      </c>
      <c r="P57" s="778">
        <f>IF(N57&lt;&gt;0,O57/N57,"")</f>
        <v/>
      </c>
      <c r="Q57" s="776" t="n"/>
      <c r="R57" s="775" t="n"/>
      <c r="S57" s="775" t="n"/>
      <c r="T57" s="775" t="n"/>
      <c r="U57" s="775" t="n"/>
      <c r="V57" s="775" t="n"/>
      <c r="W57" s="775">
        <f>SUM(R57:V57)-M57</f>
        <v/>
      </c>
      <c r="X57" s="779">
        <f>T57+U57+V57</f>
        <v/>
      </c>
    </row>
    <row r="58" hidden="1" ht="15.6" customHeight="1">
      <c r="A58" s="783" t="n"/>
      <c r="B58" s="770" t="inlineStr">
        <is>
          <t>东风鸿远工程咨询有限公司</t>
        </is>
      </c>
      <c r="C58" s="771" t="inlineStr">
        <is>
          <t>2121</t>
        </is>
      </c>
      <c r="D58" s="770" t="inlineStr">
        <is>
          <t>E_659776</t>
        </is>
      </c>
      <c r="E58" s="770" t="inlineStr">
        <is>
          <t>湖北永勘地质勘查技术有限公司</t>
        </is>
      </c>
      <c r="F58" s="770" t="inlineStr">
        <is>
          <t>采购款</t>
        </is>
      </c>
      <c r="G58" s="773" t="inlineStr">
        <is>
          <t>供应商</t>
        </is>
      </c>
      <c r="H58" s="774" t="inlineStr">
        <is>
          <t>CNY</t>
        </is>
      </c>
      <c r="I58" s="781" t="n"/>
      <c r="J58" s="781" t="n"/>
      <c r="K58" s="776" t="n"/>
      <c r="L58" s="777" t="n"/>
      <c r="M58" s="777">
        <f>J58+L58</f>
        <v/>
      </c>
      <c r="N58" s="782" t="n">
        <v>-914.6</v>
      </c>
      <c r="O58" s="775">
        <f>M58-N58</f>
        <v/>
      </c>
      <c r="P58" s="778">
        <f>IF(N58&lt;&gt;0,O58/N58,"")</f>
        <v/>
      </c>
      <c r="Q58" s="776" t="n"/>
      <c r="R58" s="775" t="n"/>
      <c r="S58" s="775" t="n"/>
      <c r="T58" s="775" t="n"/>
      <c r="U58" s="775" t="n"/>
      <c r="V58" s="775" t="n"/>
      <c r="W58" s="775">
        <f>SUM(R58:V58)-M58</f>
        <v/>
      </c>
      <c r="X58" s="779">
        <f>T58+U58+V58</f>
        <v/>
      </c>
    </row>
    <row r="59" hidden="1" ht="15.6" customHeight="1">
      <c r="A59" s="783" t="n"/>
      <c r="B59" s="770" t="inlineStr">
        <is>
          <t>东风鸿远工程咨询有限公司</t>
        </is>
      </c>
      <c r="C59" s="771" t="inlineStr">
        <is>
          <t>2121</t>
        </is>
      </c>
      <c r="D59" s="770" t="inlineStr">
        <is>
          <t>E_614267</t>
        </is>
      </c>
      <c r="E59" s="770" t="inlineStr">
        <is>
          <t>湖北禾汇工程造价咨询有限公司</t>
        </is>
      </c>
      <c r="F59" s="770" t="inlineStr">
        <is>
          <t>采购款</t>
        </is>
      </c>
      <c r="G59" s="773" t="inlineStr">
        <is>
          <t>供应商</t>
        </is>
      </c>
      <c r="H59" s="774" t="inlineStr">
        <is>
          <t>CNY</t>
        </is>
      </c>
      <c r="I59" s="781" t="n"/>
      <c r="J59" s="781" t="n"/>
      <c r="K59" s="776" t="n"/>
      <c r="L59" s="777" t="n"/>
      <c r="M59" s="777">
        <f>J59+L59</f>
        <v/>
      </c>
      <c r="N59" s="782" t="n">
        <v>-1588352.2</v>
      </c>
      <c r="O59" s="775">
        <f>M59-N59</f>
        <v/>
      </c>
      <c r="P59" s="778">
        <f>IF(N59&lt;&gt;0,O59/N59,"")</f>
        <v/>
      </c>
      <c r="Q59" s="776" t="n"/>
      <c r="R59" s="775" t="n"/>
      <c r="S59" s="775" t="n"/>
      <c r="T59" s="775" t="n"/>
      <c r="U59" s="775" t="n"/>
      <c r="V59" s="775" t="n"/>
      <c r="W59" s="775">
        <f>SUM(R59:V59)-M59</f>
        <v/>
      </c>
      <c r="X59" s="779">
        <f>T59+U59+V59</f>
        <v/>
      </c>
    </row>
    <row r="60" hidden="1" ht="15.6" customHeight="1">
      <c r="A60" s="783" t="n"/>
      <c r="B60" s="770" t="inlineStr">
        <is>
          <t>东风鸿远工程咨询有限公司</t>
        </is>
      </c>
      <c r="C60" s="771" t="inlineStr">
        <is>
          <t>2121</t>
        </is>
      </c>
      <c r="D60" s="770" t="inlineStr">
        <is>
          <t>E_602949</t>
        </is>
      </c>
      <c r="E60" s="770" t="inlineStr">
        <is>
          <t>亿企赢企业服务（广州）有限公司</t>
        </is>
      </c>
      <c r="F60" s="770" t="inlineStr">
        <is>
          <t>采购款</t>
        </is>
      </c>
      <c r="G60" s="773" t="inlineStr">
        <is>
          <t>供应商</t>
        </is>
      </c>
      <c r="H60" s="774" t="inlineStr">
        <is>
          <t>CNY</t>
        </is>
      </c>
      <c r="I60" s="781" t="n"/>
      <c r="J60" s="781" t="n"/>
      <c r="K60" s="776" t="n"/>
      <c r="L60" s="777" t="n"/>
      <c r="M60" s="777">
        <f>J60+L60</f>
        <v/>
      </c>
      <c r="N60" s="782" t="n">
        <v>-157102.52</v>
      </c>
      <c r="O60" s="775">
        <f>M60-N60</f>
        <v/>
      </c>
      <c r="P60" s="778">
        <f>IF(N60&lt;&gt;0,O60/N60,"")</f>
        <v/>
      </c>
      <c r="Q60" s="776" t="n"/>
      <c r="R60" s="775" t="n"/>
      <c r="S60" s="775" t="n"/>
      <c r="T60" s="775" t="n"/>
      <c r="U60" s="775" t="n"/>
      <c r="V60" s="775" t="n"/>
      <c r="W60" s="775">
        <f>SUM(R60:V60)-M60</f>
        <v/>
      </c>
      <c r="X60" s="779">
        <f>T60+U60+V60</f>
        <v/>
      </c>
    </row>
    <row r="61" hidden="1" ht="15.6" customHeight="1">
      <c r="A61" s="783" t="n"/>
      <c r="B61" s="770" t="inlineStr">
        <is>
          <t>东风鸿远工程咨询有限公司</t>
        </is>
      </c>
      <c r="C61" s="771" t="inlineStr">
        <is>
          <t>2121</t>
        </is>
      </c>
      <c r="D61" s="770" t="inlineStr">
        <is>
          <t>E_227041</t>
        </is>
      </c>
      <c r="E61" s="770" t="inlineStr">
        <is>
          <t>中核勘察设计研究有限公司</t>
        </is>
      </c>
      <c r="F61" s="770" t="inlineStr">
        <is>
          <t>采购款</t>
        </is>
      </c>
      <c r="G61" s="773" t="inlineStr">
        <is>
          <t>供应商</t>
        </is>
      </c>
      <c r="H61" s="774" t="inlineStr">
        <is>
          <t>CNY</t>
        </is>
      </c>
      <c r="I61" s="781" t="n"/>
      <c r="J61" s="781" t="n"/>
      <c r="K61" s="776" t="n"/>
      <c r="L61" s="777" t="n"/>
      <c r="M61" s="777">
        <f>J61+L61</f>
        <v/>
      </c>
      <c r="N61" s="782" t="n">
        <v>-319104.37</v>
      </c>
      <c r="O61" s="775">
        <f>M61-N61</f>
        <v/>
      </c>
      <c r="P61" s="778">
        <f>IF(N61&lt;&gt;0,O61/N61,"")</f>
        <v/>
      </c>
      <c r="Q61" s="776" t="n"/>
      <c r="R61" s="775" t="n"/>
      <c r="S61" s="775" t="n"/>
      <c r="T61" s="775" t="n"/>
      <c r="U61" s="775" t="n"/>
      <c r="V61" s="775" t="n"/>
      <c r="W61" s="775">
        <f>SUM(R61:V61)-M61</f>
        <v/>
      </c>
      <c r="X61" s="779">
        <f>T61+U61+V61</f>
        <v/>
      </c>
    </row>
    <row r="62" hidden="1" ht="15.6" customHeight="1">
      <c r="A62" s="783" t="n"/>
      <c r="B62" s="770" t="inlineStr">
        <is>
          <t>东风鸿远工程咨询有限公司</t>
        </is>
      </c>
      <c r="C62" s="771" t="inlineStr">
        <is>
          <t>2121</t>
        </is>
      </c>
      <c r="D62" s="770" t="inlineStr">
        <is>
          <t>E_614102</t>
        </is>
      </c>
      <c r="E62" s="770" t="inlineStr">
        <is>
          <t>湖北伟利德商贸有限公司</t>
        </is>
      </c>
      <c r="F62" s="770" t="inlineStr">
        <is>
          <t>采购款</t>
        </is>
      </c>
      <c r="G62" s="773" t="inlineStr">
        <is>
          <t>供应商</t>
        </is>
      </c>
      <c r="H62" s="774" t="inlineStr">
        <is>
          <t>CNY</t>
        </is>
      </c>
      <c r="I62" s="781" t="n"/>
      <c r="J62" s="781" t="n"/>
      <c r="K62" s="776" t="n"/>
      <c r="L62" s="777" t="n"/>
      <c r="M62" s="777">
        <f>J62+L62</f>
        <v/>
      </c>
      <c r="N62" s="782" t="n">
        <v>-13365</v>
      </c>
      <c r="O62" s="775">
        <f>M62-N62</f>
        <v/>
      </c>
      <c r="P62" s="778">
        <f>IF(N62&lt;&gt;0,O62/N62,"")</f>
        <v/>
      </c>
      <c r="Q62" s="776" t="n"/>
      <c r="R62" s="775" t="n"/>
      <c r="S62" s="775" t="n"/>
      <c r="T62" s="775" t="n"/>
      <c r="U62" s="775" t="n"/>
      <c r="V62" s="775" t="n"/>
      <c r="W62" s="775">
        <f>SUM(R62:V62)-M62</f>
        <v/>
      </c>
      <c r="X62" s="779">
        <f>T62+U62+V62</f>
        <v/>
      </c>
    </row>
    <row r="63" hidden="1" ht="15.6" customHeight="1">
      <c r="A63" s="783" t="n"/>
      <c r="B63" s="770" t="inlineStr">
        <is>
          <t>东风鸿远工程咨询有限公司</t>
        </is>
      </c>
      <c r="C63" s="771" t="inlineStr">
        <is>
          <t>2121</t>
        </is>
      </c>
      <c r="D63" s="770" t="inlineStr">
        <is>
          <t>E_613334</t>
        </is>
      </c>
      <c r="E63" s="770" t="inlineStr">
        <is>
          <t>武汉汇沐家居有限公司</t>
        </is>
      </c>
      <c r="F63" s="770" t="inlineStr">
        <is>
          <t>采购款</t>
        </is>
      </c>
      <c r="G63" s="773" t="inlineStr">
        <is>
          <t>供应商</t>
        </is>
      </c>
      <c r="H63" s="774" t="inlineStr">
        <is>
          <t>CNY</t>
        </is>
      </c>
      <c r="I63" s="781" t="n"/>
      <c r="J63" s="781" t="n"/>
      <c r="K63" s="776" t="n"/>
      <c r="L63" s="777" t="n"/>
      <c r="M63" s="777">
        <f>J63+L63</f>
        <v/>
      </c>
      <c r="N63" s="782" t="n">
        <v>-25767.17</v>
      </c>
      <c r="O63" s="775">
        <f>M63-N63</f>
        <v/>
      </c>
      <c r="P63" s="778">
        <f>IF(N63&lt;&gt;0,O63/N63,"")</f>
        <v/>
      </c>
      <c r="Q63" s="776" t="n"/>
      <c r="R63" s="775" t="n"/>
      <c r="S63" s="775" t="n"/>
      <c r="T63" s="775" t="n"/>
      <c r="U63" s="775" t="n"/>
      <c r="V63" s="775" t="n"/>
      <c r="W63" s="775">
        <f>SUM(R63:V63)-M63</f>
        <v/>
      </c>
      <c r="X63" s="779">
        <f>T63+U63+V63</f>
        <v/>
      </c>
    </row>
    <row r="64" hidden="1" ht="15.6" customHeight="1">
      <c r="A64" s="783" t="n"/>
      <c r="B64" s="770" t="inlineStr">
        <is>
          <t>东风鸿远工程咨询有限公司</t>
        </is>
      </c>
      <c r="C64" s="771" t="inlineStr">
        <is>
          <t>2121</t>
        </is>
      </c>
      <c r="D64" s="770" t="inlineStr">
        <is>
          <t>E_629280</t>
        </is>
      </c>
      <c r="E64" s="770" t="inlineStr">
        <is>
          <t>武汉鸿利源岩土工程劳务有限公司</t>
        </is>
      </c>
      <c r="F64" s="770" t="inlineStr">
        <is>
          <t>采购款</t>
        </is>
      </c>
      <c r="G64" s="773" t="inlineStr">
        <is>
          <t>供应商</t>
        </is>
      </c>
      <c r="H64" s="774" t="inlineStr">
        <is>
          <t>CNY</t>
        </is>
      </c>
      <c r="I64" s="781" t="n"/>
      <c r="J64" s="781" t="n"/>
      <c r="K64" s="776" t="n"/>
      <c r="L64" s="777" t="n"/>
      <c r="M64" s="777">
        <f>J64+L64</f>
        <v/>
      </c>
      <c r="N64" s="782" t="n">
        <v>-92679.61</v>
      </c>
      <c r="O64" s="775">
        <f>M64-N64</f>
        <v/>
      </c>
      <c r="P64" s="778">
        <f>IF(N64&lt;&gt;0,O64/N64,"")</f>
        <v/>
      </c>
      <c r="Q64" s="776" t="n"/>
      <c r="R64" s="775" t="n"/>
      <c r="S64" s="775" t="n"/>
      <c r="T64" s="775" t="n"/>
      <c r="U64" s="775" t="n"/>
      <c r="V64" s="775" t="n"/>
      <c r="W64" s="775">
        <f>SUM(R64:V64)-M64</f>
        <v/>
      </c>
      <c r="X64" s="779">
        <f>T64+U64+V64</f>
        <v/>
      </c>
    </row>
    <row r="65" hidden="1" ht="15.6" customHeight="1">
      <c r="A65" s="783" t="n"/>
      <c r="B65" s="770" t="inlineStr">
        <is>
          <t>东风鸿远工程咨询有限公司</t>
        </is>
      </c>
      <c r="C65" s="771" t="inlineStr">
        <is>
          <t>2121</t>
        </is>
      </c>
      <c r="D65" s="770" t="inlineStr">
        <is>
          <t>E_613970</t>
        </is>
      </c>
      <c r="E65" s="770" t="inlineStr">
        <is>
          <t>襄阳君和盛建筑装饰设计工程有限公司</t>
        </is>
      </c>
      <c r="F65" s="770" t="inlineStr">
        <is>
          <t>采购款</t>
        </is>
      </c>
      <c r="G65" s="773" t="inlineStr">
        <is>
          <t>供应商</t>
        </is>
      </c>
      <c r="H65" s="774" t="inlineStr">
        <is>
          <t>CNY</t>
        </is>
      </c>
      <c r="I65" s="781" t="n"/>
      <c r="J65" s="781" t="n"/>
      <c r="K65" s="776" t="n"/>
      <c r="L65" s="777" t="n"/>
      <c r="M65" s="777">
        <f>J65+L65</f>
        <v/>
      </c>
      <c r="N65" s="782" t="n">
        <v>-1030997.95</v>
      </c>
      <c r="O65" s="775">
        <f>M65-N65</f>
        <v/>
      </c>
      <c r="P65" s="778">
        <f>IF(N65&lt;&gt;0,O65/N65,"")</f>
        <v/>
      </c>
      <c r="Q65" s="776" t="n"/>
      <c r="R65" s="775" t="n"/>
      <c r="S65" s="775" t="n"/>
      <c r="T65" s="775" t="n"/>
      <c r="U65" s="775" t="n"/>
      <c r="V65" s="775" t="n"/>
      <c r="W65" s="775">
        <f>SUM(R65:V65)-M65</f>
        <v/>
      </c>
      <c r="X65" s="779">
        <f>T65+U65+V65</f>
        <v/>
      </c>
    </row>
    <row r="66" hidden="1" ht="15.6" customHeight="1">
      <c r="A66" s="783" t="n"/>
      <c r="B66" s="770" t="inlineStr">
        <is>
          <t>东风鸿远工程咨询有限公司</t>
        </is>
      </c>
      <c r="C66" s="771" t="inlineStr">
        <is>
          <t>2121</t>
        </is>
      </c>
      <c r="D66" s="770" t="inlineStr">
        <is>
          <t>E_659630</t>
        </is>
      </c>
      <c r="E66" s="770" t="inlineStr">
        <is>
          <t>武汉炽炫数字科技有限公司</t>
        </is>
      </c>
      <c r="F66" s="770" t="inlineStr">
        <is>
          <t>采购款</t>
        </is>
      </c>
      <c r="G66" s="773" t="inlineStr">
        <is>
          <t>供应商</t>
        </is>
      </c>
      <c r="H66" s="774" t="inlineStr">
        <is>
          <t>CNY</t>
        </is>
      </c>
      <c r="I66" s="781" t="n"/>
      <c r="J66" s="781" t="n"/>
      <c r="K66" s="776" t="n"/>
      <c r="L66" s="777" t="n"/>
      <c r="M66" s="777">
        <f>J66+L66</f>
        <v/>
      </c>
      <c r="N66" s="782" t="n">
        <v>-78178.22</v>
      </c>
      <c r="O66" s="775">
        <f>M66-N66</f>
        <v/>
      </c>
      <c r="P66" s="778">
        <f>IF(N66&lt;&gt;0,O66/N66,"")</f>
        <v/>
      </c>
      <c r="Q66" s="776" t="n"/>
      <c r="R66" s="775" t="n"/>
      <c r="S66" s="775" t="n"/>
      <c r="T66" s="775" t="n"/>
      <c r="U66" s="775" t="n"/>
      <c r="V66" s="775" t="n"/>
      <c r="W66" s="775">
        <f>SUM(R66:V66)-M66</f>
        <v/>
      </c>
      <c r="X66" s="779">
        <f>T66+U66+V66</f>
        <v/>
      </c>
    </row>
    <row r="67" hidden="1" ht="15.6" customHeight="1">
      <c r="A67" s="783" t="n"/>
      <c r="B67" s="770" t="inlineStr">
        <is>
          <t>东风鸿远工程咨询有限公司</t>
        </is>
      </c>
      <c r="C67" s="771" t="inlineStr">
        <is>
          <t>2121</t>
        </is>
      </c>
      <c r="D67" s="770" t="inlineStr">
        <is>
          <t>E_614419</t>
        </is>
      </c>
      <c r="E67" s="770" t="inlineStr">
        <is>
          <t>襄阳市城市规划设计院有限公司</t>
        </is>
      </c>
      <c r="F67" s="770" t="inlineStr">
        <is>
          <t>采购款</t>
        </is>
      </c>
      <c r="G67" s="773" t="inlineStr">
        <is>
          <t>供应商</t>
        </is>
      </c>
      <c r="H67" s="774" t="inlineStr">
        <is>
          <t>CNY</t>
        </is>
      </c>
      <c r="I67" s="781" t="n"/>
      <c r="J67" s="781" t="n"/>
      <c r="K67" s="776" t="n"/>
      <c r="L67" s="777" t="n"/>
      <c r="M67" s="777">
        <f>J67+L67</f>
        <v/>
      </c>
      <c r="N67" s="782" t="n">
        <v>-2130188.68</v>
      </c>
      <c r="O67" s="775">
        <f>M67-N67</f>
        <v/>
      </c>
      <c r="P67" s="778">
        <f>IF(N67&lt;&gt;0,O67/N67,"")</f>
        <v/>
      </c>
      <c r="Q67" s="776" t="n"/>
      <c r="R67" s="775" t="n"/>
      <c r="S67" s="775" t="n"/>
      <c r="T67" s="775" t="n"/>
      <c r="U67" s="775" t="n"/>
      <c r="V67" s="775" t="n"/>
      <c r="W67" s="775">
        <f>SUM(R67:V67)-M67</f>
        <v/>
      </c>
      <c r="X67" s="779">
        <f>T67+U67+V67</f>
        <v/>
      </c>
    </row>
    <row r="68" hidden="1" ht="15.6" customHeight="1">
      <c r="A68" s="783" t="n"/>
      <c r="B68" s="770" t="inlineStr">
        <is>
          <t>东风鸿远工程咨询有限公司</t>
        </is>
      </c>
      <c r="C68" s="771" t="inlineStr">
        <is>
          <t>2121</t>
        </is>
      </c>
      <c r="D68" s="770" t="inlineStr">
        <is>
          <t>E_614093</t>
        </is>
      </c>
      <c r="E68" s="770" t="inlineStr">
        <is>
          <t>襄阳市水利规划设计院有限公司</t>
        </is>
      </c>
      <c r="F68" s="770" t="inlineStr">
        <is>
          <t>采购款</t>
        </is>
      </c>
      <c r="G68" s="773" t="inlineStr">
        <is>
          <t>供应商</t>
        </is>
      </c>
      <c r="H68" s="774" t="inlineStr">
        <is>
          <t>CNY</t>
        </is>
      </c>
      <c r="I68" s="781" t="n"/>
      <c r="J68" s="781" t="n"/>
      <c r="K68" s="776" t="n"/>
      <c r="L68" s="777" t="n"/>
      <c r="M68" s="777">
        <f>J68+L68</f>
        <v/>
      </c>
      <c r="N68" s="782" t="n">
        <v>-1314960.69</v>
      </c>
      <c r="O68" s="775">
        <f>M68-N68</f>
        <v/>
      </c>
      <c r="P68" s="778">
        <f>IF(N68&lt;&gt;0,O68/N68,"")</f>
        <v/>
      </c>
      <c r="Q68" s="776" t="n"/>
      <c r="R68" s="775" t="n"/>
      <c r="S68" s="775" t="n"/>
      <c r="T68" s="775" t="n"/>
      <c r="U68" s="775" t="n"/>
      <c r="V68" s="775" t="n"/>
      <c r="W68" s="775">
        <f>SUM(R68:V68)-M68</f>
        <v/>
      </c>
      <c r="X68" s="779">
        <f>T68+U68+V68</f>
        <v/>
      </c>
    </row>
    <row r="69" hidden="1" ht="15.6" customHeight="1">
      <c r="A69" s="783" t="n"/>
      <c r="B69" s="770" t="inlineStr">
        <is>
          <t>东风鸿远工程咨询有限公司</t>
        </is>
      </c>
      <c r="C69" s="771" t="inlineStr">
        <is>
          <t>2121</t>
        </is>
      </c>
      <c r="D69" s="770" t="inlineStr">
        <is>
          <t>E_187830</t>
        </is>
      </c>
      <c r="E69" s="770" t="inlineStr">
        <is>
          <t>十堰城控建筑设计有限公司</t>
        </is>
      </c>
      <c r="F69" s="770" t="inlineStr">
        <is>
          <t>采购款</t>
        </is>
      </c>
      <c r="G69" s="773" t="inlineStr">
        <is>
          <t>供应商</t>
        </is>
      </c>
      <c r="H69" s="774" t="inlineStr">
        <is>
          <t>CNY</t>
        </is>
      </c>
      <c r="I69" s="781" t="n"/>
      <c r="J69" s="781" t="n"/>
      <c r="K69" s="776" t="n"/>
      <c r="L69" s="777" t="n"/>
      <c r="M69" s="777">
        <f>J69+L69</f>
        <v/>
      </c>
      <c r="N69" s="782" t="n">
        <v>0</v>
      </c>
      <c r="O69" s="775">
        <f>M69-N69</f>
        <v/>
      </c>
      <c r="P69" s="778">
        <f>IF(N69&lt;&gt;0,O69/N69,"")</f>
        <v/>
      </c>
      <c r="Q69" s="776" t="n"/>
      <c r="R69" s="775" t="n"/>
      <c r="S69" s="775" t="n"/>
      <c r="T69" s="775" t="n"/>
      <c r="U69" s="775" t="n"/>
      <c r="V69" s="775" t="n"/>
      <c r="W69" s="775">
        <f>SUM(R69:V69)-M69</f>
        <v/>
      </c>
      <c r="X69" s="779">
        <f>T69+U69+V69</f>
        <v/>
      </c>
    </row>
    <row r="70" hidden="1" ht="15.6" customHeight="1">
      <c r="A70" s="783" t="n"/>
      <c r="B70" s="770" t="inlineStr">
        <is>
          <t>东风鸿远工程咨询有限公司</t>
        </is>
      </c>
      <c r="C70" s="771" t="inlineStr">
        <is>
          <t>2121</t>
        </is>
      </c>
      <c r="D70" s="770" t="inlineStr">
        <is>
          <t>E_608276</t>
        </is>
      </c>
      <c r="E70" s="770" t="inlineStr">
        <is>
          <t>智汇城设计咨询集团有限公司襄阳分公司</t>
        </is>
      </c>
      <c r="F70" s="770" t="inlineStr">
        <is>
          <t>采购款</t>
        </is>
      </c>
      <c r="G70" s="773" t="inlineStr">
        <is>
          <t>供应商</t>
        </is>
      </c>
      <c r="H70" s="774" t="inlineStr">
        <is>
          <t>CNY</t>
        </is>
      </c>
      <c r="I70" s="781" t="n"/>
      <c r="J70" s="781" t="n"/>
      <c r="K70" s="776" t="n"/>
      <c r="L70" s="777" t="n"/>
      <c r="M70" s="777">
        <f>J70+L70</f>
        <v/>
      </c>
      <c r="N70" s="782" t="n">
        <v>-184903.7</v>
      </c>
      <c r="O70" s="775">
        <f>M70-N70</f>
        <v/>
      </c>
      <c r="P70" s="778">
        <f>IF(N70&lt;&gt;0,O70/N70,"")</f>
        <v/>
      </c>
      <c r="Q70" s="776" t="n"/>
      <c r="R70" s="775" t="n"/>
      <c r="S70" s="775" t="n"/>
      <c r="T70" s="775" t="n"/>
      <c r="U70" s="775" t="n"/>
      <c r="V70" s="775" t="n"/>
      <c r="W70" s="775">
        <f>SUM(R70:V70)-M70</f>
        <v/>
      </c>
      <c r="X70" s="779">
        <f>T70+U70+V70</f>
        <v/>
      </c>
    </row>
    <row r="71" hidden="1" ht="15.6" customHeight="1">
      <c r="A71" s="783" t="n"/>
      <c r="B71" s="770" t="inlineStr">
        <is>
          <t>东风鸿远工程咨询有限公司</t>
        </is>
      </c>
      <c r="C71" s="771" t="inlineStr">
        <is>
          <t>2121</t>
        </is>
      </c>
      <c r="D71" s="770" t="inlineStr">
        <is>
          <t>E_597680</t>
        </is>
      </c>
      <c r="E71" s="770" t="inlineStr">
        <is>
          <t>罗婷婷</t>
        </is>
      </c>
      <c r="F71" s="770" t="inlineStr">
        <is>
          <t>采购款</t>
        </is>
      </c>
      <c r="G71" s="773" t="inlineStr">
        <is>
          <t>供应商</t>
        </is>
      </c>
      <c r="H71" s="774" t="inlineStr">
        <is>
          <t>CNY</t>
        </is>
      </c>
      <c r="I71" s="781" t="n"/>
      <c r="J71" s="781" t="n"/>
      <c r="K71" s="776" t="n"/>
      <c r="L71" s="777" t="n"/>
      <c r="M71" s="777">
        <f>J71+L71</f>
        <v/>
      </c>
      <c r="N71" s="782" t="n">
        <v>0</v>
      </c>
      <c r="O71" s="775">
        <f>M71-N71</f>
        <v/>
      </c>
      <c r="P71" s="778">
        <f>IF(N71&lt;&gt;0,O71/N71,"")</f>
        <v/>
      </c>
      <c r="Q71" s="776" t="n"/>
      <c r="R71" s="775" t="n"/>
      <c r="S71" s="775" t="n"/>
      <c r="T71" s="775" t="n"/>
      <c r="U71" s="775" t="n"/>
      <c r="V71" s="775" t="n"/>
      <c r="W71" s="775">
        <f>SUM(R71:V71)-M71</f>
        <v/>
      </c>
      <c r="X71" s="779">
        <f>T71+U71+V71</f>
        <v/>
      </c>
    </row>
    <row r="72" hidden="1" ht="15.6" customHeight="1">
      <c r="A72" s="783" t="n"/>
      <c r="B72" s="770" t="inlineStr">
        <is>
          <t>东风鸿远工程咨询有限公司</t>
        </is>
      </c>
      <c r="C72" s="771" t="inlineStr">
        <is>
          <t>2121</t>
        </is>
      </c>
      <c r="D72" s="770" t="inlineStr">
        <is>
          <t>E_616709</t>
        </is>
      </c>
      <c r="E72" s="770" t="inlineStr">
        <is>
          <t>襄阳市高新技术开发区典雅造型建材厂</t>
        </is>
      </c>
      <c r="F72" s="770" t="inlineStr">
        <is>
          <t>采购款</t>
        </is>
      </c>
      <c r="G72" s="773" t="inlineStr">
        <is>
          <t>供应商</t>
        </is>
      </c>
      <c r="H72" s="774" t="inlineStr">
        <is>
          <t>CNY</t>
        </is>
      </c>
      <c r="I72" s="781" t="n"/>
      <c r="J72" s="781" t="n"/>
      <c r="K72" s="776" t="n"/>
      <c r="L72" s="777" t="n"/>
      <c r="M72" s="777">
        <f>J72+L72</f>
        <v/>
      </c>
      <c r="N72" s="782" t="n">
        <v>-2691.26</v>
      </c>
      <c r="O72" s="775">
        <f>M72-N72</f>
        <v/>
      </c>
      <c r="P72" s="778">
        <f>IF(N72&lt;&gt;0,O72/N72,"")</f>
        <v/>
      </c>
      <c r="Q72" s="776" t="n"/>
      <c r="R72" s="775" t="n"/>
      <c r="S72" s="775" t="n"/>
      <c r="T72" s="775" t="n"/>
      <c r="U72" s="775" t="n"/>
      <c r="V72" s="775" t="n"/>
      <c r="W72" s="775">
        <f>SUM(R72:V72)-M72</f>
        <v/>
      </c>
      <c r="X72" s="779">
        <f>T72+U72+V72</f>
        <v/>
      </c>
    </row>
    <row r="73" hidden="1" ht="15.6" customHeight="1">
      <c r="A73" s="783" t="n"/>
      <c r="B73" s="770" t="inlineStr">
        <is>
          <t>东风鸿远工程咨询有限公司</t>
        </is>
      </c>
      <c r="C73" s="771" t="inlineStr">
        <is>
          <t>2121</t>
        </is>
      </c>
      <c r="D73" s="770" t="inlineStr">
        <is>
          <t>E_623193</t>
        </is>
      </c>
      <c r="E73" s="770" t="inlineStr">
        <is>
          <t>武汉奥创世纪建筑工程有限公司</t>
        </is>
      </c>
      <c r="F73" s="770" t="inlineStr">
        <is>
          <t>采购款</t>
        </is>
      </c>
      <c r="G73" s="773" t="inlineStr">
        <is>
          <t>供应商</t>
        </is>
      </c>
      <c r="H73" s="774" t="inlineStr">
        <is>
          <t>CNY</t>
        </is>
      </c>
      <c r="I73" s="781" t="n"/>
      <c r="J73" s="781" t="n"/>
      <c r="K73" s="776" t="n"/>
      <c r="L73" s="777" t="n"/>
      <c r="M73" s="777">
        <f>J73+L73</f>
        <v/>
      </c>
      <c r="N73" s="782" t="n">
        <v>-236929.84</v>
      </c>
      <c r="O73" s="775">
        <f>M73-N73</f>
        <v/>
      </c>
      <c r="P73" s="778">
        <f>IF(N73&lt;&gt;0,O73/N73,"")</f>
        <v/>
      </c>
      <c r="Q73" s="776" t="n"/>
      <c r="R73" s="775" t="n"/>
      <c r="S73" s="775" t="n"/>
      <c r="T73" s="775" t="n"/>
      <c r="U73" s="775" t="n"/>
      <c r="V73" s="775" t="n"/>
      <c r="W73" s="775">
        <f>SUM(R73:V73)-M73</f>
        <v/>
      </c>
      <c r="X73" s="779">
        <f>T73+U73+V73</f>
        <v/>
      </c>
    </row>
    <row r="74" hidden="1" ht="15.6" customHeight="1">
      <c r="A74" s="783" t="n"/>
      <c r="B74" s="770" t="inlineStr">
        <is>
          <t>东风鸿远工程咨询有限公司</t>
        </is>
      </c>
      <c r="C74" s="771" t="inlineStr">
        <is>
          <t>2121</t>
        </is>
      </c>
      <c r="D74" s="770" t="inlineStr">
        <is>
          <t>E_614460</t>
        </is>
      </c>
      <c r="E74" s="770" t="inlineStr">
        <is>
          <t>湖北精准四维勘测技术有限公司</t>
        </is>
      </c>
      <c r="F74" s="770" t="inlineStr">
        <is>
          <t>采购款</t>
        </is>
      </c>
      <c r="G74" s="773" t="inlineStr">
        <is>
          <t>供应商</t>
        </is>
      </c>
      <c r="H74" s="774" t="inlineStr">
        <is>
          <t>CNY</t>
        </is>
      </c>
      <c r="I74" s="781" t="n"/>
      <c r="J74" s="781" t="n"/>
      <c r="K74" s="776" t="n"/>
      <c r="L74" s="777" t="n"/>
      <c r="M74" s="777">
        <f>J74+L74</f>
        <v/>
      </c>
      <c r="N74" s="782" t="n">
        <v>-805973.7</v>
      </c>
      <c r="O74" s="775">
        <f>M74-N74</f>
        <v/>
      </c>
      <c r="P74" s="778">
        <f>IF(N74&lt;&gt;0,O74/N74,"")</f>
        <v/>
      </c>
      <c r="Q74" s="776" t="n"/>
      <c r="R74" s="775" t="n"/>
      <c r="S74" s="775" t="n"/>
      <c r="T74" s="775" t="n"/>
      <c r="U74" s="775" t="n"/>
      <c r="V74" s="775" t="n"/>
      <c r="W74" s="775">
        <f>SUM(R74:V74)-M74</f>
        <v/>
      </c>
      <c r="X74" s="779">
        <f>T74+U74+V74</f>
        <v/>
      </c>
    </row>
    <row r="75" hidden="1" ht="15.6" customHeight="1">
      <c r="A75" s="783" t="n"/>
      <c r="B75" s="770" t="inlineStr">
        <is>
          <t>东风鸿远工程咨询有限公司</t>
        </is>
      </c>
      <c r="C75" s="771" t="inlineStr">
        <is>
          <t>2121</t>
        </is>
      </c>
      <c r="D75" s="770" t="inlineStr">
        <is>
          <t>E_614367</t>
        </is>
      </c>
      <c r="E75" s="770" t="inlineStr">
        <is>
          <t>襄阳惠创劳务服务有限公司</t>
        </is>
      </c>
      <c r="F75" s="770" t="inlineStr">
        <is>
          <t>采购款</t>
        </is>
      </c>
      <c r="G75" s="773" t="inlineStr">
        <is>
          <t>供应商</t>
        </is>
      </c>
      <c r="H75" s="774" t="inlineStr">
        <is>
          <t>CNY</t>
        </is>
      </c>
      <c r="I75" s="781" t="n"/>
      <c r="J75" s="781" t="n"/>
      <c r="K75" s="776" t="n"/>
      <c r="L75" s="777" t="n"/>
      <c r="M75" s="777">
        <f>J75+L75</f>
        <v/>
      </c>
      <c r="N75" s="782" t="n">
        <v>-620979.1899999999</v>
      </c>
      <c r="O75" s="775">
        <f>M75-N75</f>
        <v/>
      </c>
      <c r="P75" s="778">
        <f>IF(N75&lt;&gt;0,O75/N75,"")</f>
        <v/>
      </c>
      <c r="Q75" s="776" t="n"/>
      <c r="R75" s="775" t="n"/>
      <c r="S75" s="775" t="n"/>
      <c r="T75" s="775" t="n"/>
      <c r="U75" s="775" t="n"/>
      <c r="V75" s="775" t="n"/>
      <c r="W75" s="775">
        <f>SUM(R75:V75)-M75</f>
        <v/>
      </c>
      <c r="X75" s="779">
        <f>T75+U75+V75</f>
        <v/>
      </c>
    </row>
    <row r="76" hidden="1" ht="15.6" customHeight="1">
      <c r="A76" s="783" t="n"/>
      <c r="B76" s="770" t="inlineStr">
        <is>
          <t>东风鸿远工程咨询有限公司</t>
        </is>
      </c>
      <c r="C76" s="771" t="inlineStr">
        <is>
          <t>2121</t>
        </is>
      </c>
      <c r="D76" s="770" t="inlineStr">
        <is>
          <t>E_607980</t>
        </is>
      </c>
      <c r="E76" s="770" t="inlineStr">
        <is>
          <t>武汉实为信息技术股份有限公司</t>
        </is>
      </c>
      <c r="F76" s="770" t="inlineStr">
        <is>
          <t>采购款</t>
        </is>
      </c>
      <c r="G76" s="773" t="inlineStr">
        <is>
          <t>供应商</t>
        </is>
      </c>
      <c r="H76" s="774" t="inlineStr">
        <is>
          <t>CNY</t>
        </is>
      </c>
      <c r="I76" s="781" t="n"/>
      <c r="J76" s="781" t="n"/>
      <c r="K76" s="776" t="n"/>
      <c r="L76" s="777" t="n"/>
      <c r="M76" s="777">
        <f>J76+L76</f>
        <v/>
      </c>
      <c r="N76" s="782" t="n">
        <v>-300000</v>
      </c>
      <c r="O76" s="775">
        <f>M76-N76</f>
        <v/>
      </c>
      <c r="P76" s="778">
        <f>IF(N76&lt;&gt;0,O76/N76,"")</f>
        <v/>
      </c>
      <c r="Q76" s="776" t="n"/>
      <c r="R76" s="775" t="n"/>
      <c r="S76" s="775" t="n"/>
      <c r="T76" s="775" t="n"/>
      <c r="U76" s="775" t="n"/>
      <c r="V76" s="775" t="n"/>
      <c r="W76" s="775">
        <f>SUM(R76:V76)-M76</f>
        <v/>
      </c>
      <c r="X76" s="779">
        <f>T76+U76+V76</f>
        <v/>
      </c>
    </row>
    <row r="77" hidden="1" ht="15.6" customHeight="1">
      <c r="A77" s="783" t="n"/>
      <c r="B77" s="770" t="inlineStr">
        <is>
          <t>东风鸿远工程咨询有限公司</t>
        </is>
      </c>
      <c r="C77" s="771" t="inlineStr">
        <is>
          <t>2121</t>
        </is>
      </c>
      <c r="D77" s="770" t="inlineStr">
        <is>
          <t>E_624233</t>
        </is>
      </c>
      <c r="E77" s="770" t="inlineStr">
        <is>
          <t>襄阳市盛世达人力资源服务有限公司</t>
        </is>
      </c>
      <c r="F77" s="770" t="inlineStr">
        <is>
          <t>采购款</t>
        </is>
      </c>
      <c r="G77" s="773" t="inlineStr">
        <is>
          <t>供应商</t>
        </is>
      </c>
      <c r="H77" s="774" t="inlineStr">
        <is>
          <t>CNY</t>
        </is>
      </c>
      <c r="I77" s="781" t="n"/>
      <c r="J77" s="781" t="n"/>
      <c r="K77" s="776" t="n"/>
      <c r="L77" s="777" t="n"/>
      <c r="M77" s="777">
        <f>J77+L77</f>
        <v/>
      </c>
      <c r="N77" s="782" t="n">
        <v>-600800.55</v>
      </c>
      <c r="O77" s="775">
        <f>M77-N77</f>
        <v/>
      </c>
      <c r="P77" s="778">
        <f>IF(N77&lt;&gt;0,O77/N77,"")</f>
        <v/>
      </c>
      <c r="Q77" s="776" t="n"/>
      <c r="R77" s="775" t="n"/>
      <c r="S77" s="775" t="n"/>
      <c r="T77" s="775" t="n"/>
      <c r="U77" s="775" t="n"/>
      <c r="V77" s="775" t="n"/>
      <c r="W77" s="775">
        <f>SUM(R77:V77)-M77</f>
        <v/>
      </c>
      <c r="X77" s="779">
        <f>T77+U77+V77</f>
        <v/>
      </c>
    </row>
    <row r="78" hidden="1" ht="15.6" customHeight="1">
      <c r="A78" s="783" t="n"/>
      <c r="B78" s="770" t="inlineStr">
        <is>
          <t>东风鸿远工程咨询有限公司</t>
        </is>
      </c>
      <c r="C78" s="771" t="inlineStr">
        <is>
          <t>2121</t>
        </is>
      </c>
      <c r="D78" s="770" t="inlineStr">
        <is>
          <t>E_633694</t>
        </is>
      </c>
      <c r="E78" s="770" t="inlineStr">
        <is>
          <t>中招名鼎(泉州)项目管理有限公司</t>
        </is>
      </c>
      <c r="F78" s="770" t="inlineStr">
        <is>
          <t>采购款</t>
        </is>
      </c>
      <c r="G78" s="773" t="inlineStr">
        <is>
          <t>供应商</t>
        </is>
      </c>
      <c r="H78" s="774" t="inlineStr">
        <is>
          <t>CNY</t>
        </is>
      </c>
      <c r="I78" s="781" t="n"/>
      <c r="J78" s="781" t="n"/>
      <c r="K78" s="776" t="n"/>
      <c r="L78" s="777" t="n"/>
      <c r="M78" s="777">
        <f>J78+L78</f>
        <v/>
      </c>
      <c r="N78" s="782" t="n">
        <v>-74519.42</v>
      </c>
      <c r="O78" s="775">
        <f>M78-N78</f>
        <v/>
      </c>
      <c r="P78" s="778">
        <f>IF(N78&lt;&gt;0,O78/N78,"")</f>
        <v/>
      </c>
      <c r="Q78" s="776" t="n"/>
      <c r="R78" s="775" t="n"/>
      <c r="S78" s="775" t="n"/>
      <c r="T78" s="775" t="n"/>
      <c r="U78" s="775" t="n"/>
      <c r="V78" s="775" t="n"/>
      <c r="W78" s="775">
        <f>SUM(R78:V78)-M78</f>
        <v/>
      </c>
      <c r="X78" s="779">
        <f>T78+U78+V78</f>
        <v/>
      </c>
    </row>
    <row r="79" hidden="1" ht="15.6" customHeight="1">
      <c r="A79" s="783" t="n"/>
      <c r="B79" s="770" t="inlineStr">
        <is>
          <t>东风鸿远工程咨询有限公司</t>
        </is>
      </c>
      <c r="C79" s="771" t="inlineStr">
        <is>
          <t>2121</t>
        </is>
      </c>
      <c r="D79" s="770" t="inlineStr">
        <is>
          <t>E_789192</t>
        </is>
      </c>
      <c r="E79" s="770" t="inlineStr">
        <is>
          <t>保定宏棠资本工程咨询有限公司</t>
        </is>
      </c>
      <c r="F79" s="770" t="inlineStr">
        <is>
          <t>采购款</t>
        </is>
      </c>
      <c r="G79" s="773" t="inlineStr">
        <is>
          <t>供应商</t>
        </is>
      </c>
      <c r="H79" s="774" t="inlineStr">
        <is>
          <t>CNY</t>
        </is>
      </c>
      <c r="I79" s="781" t="n"/>
      <c r="J79" s="781" t="n"/>
      <c r="K79" s="776" t="n"/>
      <c r="L79" s="777" t="n"/>
      <c r="M79" s="777">
        <f>J79+L79</f>
        <v/>
      </c>
      <c r="N79" s="782" t="n">
        <v>-164584.25</v>
      </c>
      <c r="O79" s="775">
        <f>M79-N79</f>
        <v/>
      </c>
      <c r="P79" s="778">
        <f>IF(N79&lt;&gt;0,O79/N79,"")</f>
        <v/>
      </c>
      <c r="Q79" s="776" t="n"/>
      <c r="R79" s="775" t="n"/>
      <c r="S79" s="775" t="n"/>
      <c r="T79" s="775" t="n"/>
      <c r="U79" s="775" t="n"/>
      <c r="V79" s="775" t="n"/>
      <c r="W79" s="775">
        <f>SUM(R79:V79)-M79</f>
        <v/>
      </c>
      <c r="X79" s="779">
        <f>T79+U79+V79</f>
        <v/>
      </c>
    </row>
    <row r="80" hidden="1" ht="15.6" customHeight="1">
      <c r="A80" s="783" t="n"/>
      <c r="B80" s="770" t="inlineStr">
        <is>
          <t>东风鸿远工程咨询有限公司</t>
        </is>
      </c>
      <c r="C80" s="771" t="inlineStr">
        <is>
          <t>2121</t>
        </is>
      </c>
      <c r="D80" s="770" t="inlineStr">
        <is>
          <t>E_621353</t>
        </is>
      </c>
      <c r="E80" s="770" t="inlineStr">
        <is>
          <t>杭州熠然文化创意有限公司</t>
        </is>
      </c>
      <c r="F80" s="770" t="inlineStr">
        <is>
          <t>采购款</t>
        </is>
      </c>
      <c r="G80" s="773" t="inlineStr">
        <is>
          <t>供应商</t>
        </is>
      </c>
      <c r="H80" s="774" t="inlineStr">
        <is>
          <t>CNY</t>
        </is>
      </c>
      <c r="I80" s="781" t="n"/>
      <c r="J80" s="781" t="n"/>
      <c r="K80" s="776" t="n"/>
      <c r="L80" s="777" t="n"/>
      <c r="M80" s="777">
        <f>J80+L80</f>
        <v/>
      </c>
      <c r="N80" s="782" t="n">
        <v>0</v>
      </c>
      <c r="O80" s="775">
        <f>M80-N80</f>
        <v/>
      </c>
      <c r="P80" s="778">
        <f>IF(N80&lt;&gt;0,O80/N80,"")</f>
        <v/>
      </c>
      <c r="Q80" s="776" t="n"/>
      <c r="R80" s="775" t="n"/>
      <c r="S80" s="775" t="n"/>
      <c r="T80" s="775" t="n"/>
      <c r="U80" s="775" t="n"/>
      <c r="V80" s="775" t="n"/>
      <c r="W80" s="775">
        <f>SUM(R80:V80)-M80</f>
        <v/>
      </c>
      <c r="X80" s="779">
        <f>T80+U80+V80</f>
        <v/>
      </c>
    </row>
    <row r="81" hidden="1" ht="15.6" customHeight="1">
      <c r="A81" s="783" t="n"/>
      <c r="B81" s="770" t="inlineStr">
        <is>
          <t>东风鸿远工程咨询有限公司</t>
        </is>
      </c>
      <c r="C81" s="771" t="inlineStr">
        <is>
          <t>2121</t>
        </is>
      </c>
      <c r="D81" s="770" t="inlineStr">
        <is>
          <t>E_169054</t>
        </is>
      </c>
      <c r="E81" s="770" t="inlineStr">
        <is>
          <t>湖北华炬会计师事务有限公司</t>
        </is>
      </c>
      <c r="F81" s="770" t="inlineStr">
        <is>
          <t>采购款</t>
        </is>
      </c>
      <c r="G81" s="773" t="inlineStr">
        <is>
          <t>供应商</t>
        </is>
      </c>
      <c r="H81" s="774" t="inlineStr">
        <is>
          <t>CNY</t>
        </is>
      </c>
      <c r="I81" s="781" t="n"/>
      <c r="J81" s="781" t="n"/>
      <c r="K81" s="776" t="n"/>
      <c r="L81" s="777" t="n"/>
      <c r="M81" s="777">
        <f>J81+L81</f>
        <v/>
      </c>
      <c r="N81" s="782" t="n">
        <v>-42000</v>
      </c>
      <c r="O81" s="775">
        <f>M81-N81</f>
        <v/>
      </c>
      <c r="P81" s="778">
        <f>IF(N81&lt;&gt;0,O81/N81,"")</f>
        <v/>
      </c>
      <c r="Q81" s="776" t="n"/>
      <c r="R81" s="775" t="n"/>
      <c r="S81" s="775" t="n"/>
      <c r="T81" s="775" t="n"/>
      <c r="U81" s="775" t="n"/>
      <c r="V81" s="775" t="n"/>
      <c r="W81" s="775">
        <f>SUM(R81:V81)-M81</f>
        <v/>
      </c>
      <c r="X81" s="779">
        <f>T81+U81+V81</f>
        <v/>
      </c>
    </row>
    <row r="82" hidden="1" ht="15.6" customHeight="1">
      <c r="A82" s="783" t="n"/>
      <c r="B82" s="770" t="inlineStr">
        <is>
          <t>东风鸿远工程咨询有限公司</t>
        </is>
      </c>
      <c r="C82" s="771" t="inlineStr">
        <is>
          <t>2121</t>
        </is>
      </c>
      <c r="D82" s="770" t="inlineStr">
        <is>
          <t>E_614609</t>
        </is>
      </c>
      <c r="E82" s="770" t="inlineStr">
        <is>
          <t>襄阳科力电气化工程有限公司</t>
        </is>
      </c>
      <c r="F82" s="770" t="inlineStr">
        <is>
          <t>采购款</t>
        </is>
      </c>
      <c r="G82" s="773" t="inlineStr">
        <is>
          <t>供应商</t>
        </is>
      </c>
      <c r="H82" s="774" t="inlineStr">
        <is>
          <t>CNY</t>
        </is>
      </c>
      <c r="I82" s="781" t="n"/>
      <c r="J82" s="781" t="n"/>
      <c r="K82" s="776" t="n"/>
      <c r="L82" s="777" t="n"/>
      <c r="M82" s="777">
        <f>J82+L82</f>
        <v/>
      </c>
      <c r="N82" s="782" t="n">
        <v>-39200.57</v>
      </c>
      <c r="O82" s="775">
        <f>M82-N82</f>
        <v/>
      </c>
      <c r="P82" s="778">
        <f>IF(N82&lt;&gt;0,O82/N82,"")</f>
        <v/>
      </c>
      <c r="Q82" s="776" t="n"/>
      <c r="R82" s="775" t="n"/>
      <c r="S82" s="775" t="n"/>
      <c r="T82" s="775" t="n"/>
      <c r="U82" s="775" t="n"/>
      <c r="V82" s="775" t="n"/>
      <c r="W82" s="775">
        <f>SUM(R82:V82)-M82</f>
        <v/>
      </c>
      <c r="X82" s="779">
        <f>T82+U82+V82</f>
        <v/>
      </c>
    </row>
    <row r="83" hidden="1" ht="15.6" customHeight="1">
      <c r="A83" s="783" t="n"/>
      <c r="B83" s="770" t="inlineStr">
        <is>
          <t>东风鸿远工程咨询有限公司</t>
        </is>
      </c>
      <c r="C83" s="771" t="inlineStr">
        <is>
          <t>2121</t>
        </is>
      </c>
      <c r="D83" s="770" t="inlineStr">
        <is>
          <t>E_613535</t>
        </is>
      </c>
      <c r="E83" s="770" t="inlineStr">
        <is>
          <t>湖北省林业勘察设计院</t>
        </is>
      </c>
      <c r="F83" s="770" t="inlineStr">
        <is>
          <t>采购款</t>
        </is>
      </c>
      <c r="G83" s="773" t="inlineStr">
        <is>
          <t>供应商</t>
        </is>
      </c>
      <c r="H83" s="774" t="inlineStr">
        <is>
          <t>CNY</t>
        </is>
      </c>
      <c r="I83" s="781" t="n"/>
      <c r="J83" s="781" t="n"/>
      <c r="K83" s="776" t="n"/>
      <c r="L83" s="777" t="n"/>
      <c r="M83" s="777">
        <f>J83+L83</f>
        <v/>
      </c>
      <c r="N83" s="782" t="n">
        <v>0</v>
      </c>
      <c r="O83" s="775">
        <f>M83-N83</f>
        <v/>
      </c>
      <c r="P83" s="778">
        <f>IF(N83&lt;&gt;0,O83/N83,"")</f>
        <v/>
      </c>
      <c r="Q83" s="776" t="n"/>
      <c r="R83" s="775" t="n"/>
      <c r="S83" s="775" t="n"/>
      <c r="T83" s="775" t="n"/>
      <c r="U83" s="775" t="n"/>
      <c r="V83" s="775" t="n"/>
      <c r="W83" s="775">
        <f>SUM(R83:V83)-M83</f>
        <v/>
      </c>
      <c r="X83" s="779">
        <f>T83+U83+V83</f>
        <v/>
      </c>
    </row>
    <row r="84" hidden="1" ht="15.6" customHeight="1">
      <c r="A84" s="783" t="n"/>
      <c r="B84" s="770" t="inlineStr">
        <is>
          <t>东风鸿远工程咨询有限公司</t>
        </is>
      </c>
      <c r="C84" s="771" t="inlineStr">
        <is>
          <t>2121</t>
        </is>
      </c>
      <c r="D84" s="770" t="inlineStr">
        <is>
          <t>E_614590</t>
        </is>
      </c>
      <c r="E84" s="770" t="inlineStr">
        <is>
          <t>襄阳强力蒙劳务有限公司</t>
        </is>
      </c>
      <c r="F84" s="770" t="inlineStr">
        <is>
          <t>采购款</t>
        </is>
      </c>
      <c r="G84" s="773" t="inlineStr">
        <is>
          <t>供应商</t>
        </is>
      </c>
      <c r="H84" s="774" t="inlineStr">
        <is>
          <t>CNY</t>
        </is>
      </c>
      <c r="I84" s="781" t="n"/>
      <c r="J84" s="781" t="n"/>
      <c r="K84" s="776" t="n"/>
      <c r="L84" s="777" t="n"/>
      <c r="M84" s="777">
        <f>J84+L84</f>
        <v/>
      </c>
      <c r="N84" s="782" t="n">
        <v>-301214.85</v>
      </c>
      <c r="O84" s="775">
        <f>M84-N84</f>
        <v/>
      </c>
      <c r="P84" s="778">
        <f>IF(N84&lt;&gt;0,O84/N84,"")</f>
        <v/>
      </c>
      <c r="Q84" s="776" t="n"/>
      <c r="R84" s="775" t="n"/>
      <c r="S84" s="775" t="n"/>
      <c r="T84" s="775" t="n"/>
      <c r="U84" s="775" t="n"/>
      <c r="V84" s="775" t="n"/>
      <c r="W84" s="775">
        <f>SUM(R84:V84)-M84</f>
        <v/>
      </c>
      <c r="X84" s="779">
        <f>T84+U84+V84</f>
        <v/>
      </c>
    </row>
    <row r="85" hidden="1" ht="15.6" customHeight="1">
      <c r="A85" s="783" t="n"/>
      <c r="B85" s="770" t="inlineStr">
        <is>
          <t>东风鸿远工程咨询有限公司</t>
        </is>
      </c>
      <c r="C85" s="771" t="inlineStr">
        <is>
          <t>2121</t>
        </is>
      </c>
      <c r="D85" s="770" t="inlineStr">
        <is>
          <t>E_562760</t>
        </is>
      </c>
      <c r="E85" s="770" t="inlineStr">
        <is>
          <t>武汉博理建筑工程质量检测有限公司</t>
        </is>
      </c>
      <c r="F85" s="770" t="inlineStr">
        <is>
          <t>采购款</t>
        </is>
      </c>
      <c r="G85" s="773" t="inlineStr">
        <is>
          <t>供应商</t>
        </is>
      </c>
      <c r="H85" s="774" t="inlineStr">
        <is>
          <t>CNY</t>
        </is>
      </c>
      <c r="I85" s="781" t="n"/>
      <c r="J85" s="781" t="n"/>
      <c r="K85" s="776" t="n"/>
      <c r="L85" s="777" t="n"/>
      <c r="M85" s="777">
        <f>J85+L85</f>
        <v/>
      </c>
      <c r="N85" s="782" t="n">
        <v>0</v>
      </c>
      <c r="O85" s="775">
        <f>M85-N85</f>
        <v/>
      </c>
      <c r="P85" s="778">
        <f>IF(N85&lt;&gt;0,O85/N85,"")</f>
        <v/>
      </c>
      <c r="Q85" s="776" t="n"/>
      <c r="R85" s="775" t="n"/>
      <c r="S85" s="775" t="n"/>
      <c r="T85" s="775" t="n"/>
      <c r="U85" s="775" t="n"/>
      <c r="V85" s="775" t="n"/>
      <c r="W85" s="775">
        <f>SUM(R85:V85)-M85</f>
        <v/>
      </c>
      <c r="X85" s="779">
        <f>T85+U85+V85</f>
        <v/>
      </c>
    </row>
    <row r="86" hidden="1" ht="15.6" customHeight="1">
      <c r="A86" s="783" t="n"/>
      <c r="B86" s="770" t="inlineStr">
        <is>
          <t>东风鸿远工程咨询有限公司</t>
        </is>
      </c>
      <c r="C86" s="771" t="inlineStr">
        <is>
          <t>2121</t>
        </is>
      </c>
      <c r="D86" s="770" t="inlineStr">
        <is>
          <t>E_623978</t>
        </is>
      </c>
      <c r="E86" s="770" t="inlineStr">
        <is>
          <t>武汉天绘时空科技有限公司</t>
        </is>
      </c>
      <c r="F86" s="770" t="inlineStr">
        <is>
          <t>采购款</t>
        </is>
      </c>
      <c r="G86" s="773" t="inlineStr">
        <is>
          <t>供应商</t>
        </is>
      </c>
      <c r="H86" s="774" t="inlineStr">
        <is>
          <t>CNY</t>
        </is>
      </c>
      <c r="I86" s="781" t="n"/>
      <c r="J86" s="781" t="n"/>
      <c r="K86" s="776" t="n"/>
      <c r="L86" s="777" t="n"/>
      <c r="M86" s="777">
        <f>J86+L86</f>
        <v/>
      </c>
      <c r="N86" s="782" t="n">
        <v>-13515</v>
      </c>
      <c r="O86" s="775">
        <f>M86-N86</f>
        <v/>
      </c>
      <c r="P86" s="778">
        <f>IF(N86&lt;&gt;0,O86/N86,"")</f>
        <v/>
      </c>
      <c r="Q86" s="776" t="n"/>
      <c r="R86" s="775" t="n"/>
      <c r="S86" s="775" t="n"/>
      <c r="T86" s="775" t="n"/>
      <c r="U86" s="775" t="n"/>
      <c r="V86" s="775" t="n"/>
      <c r="W86" s="775">
        <f>SUM(R86:V86)-M86</f>
        <v/>
      </c>
      <c r="X86" s="779">
        <f>T86+U86+V86</f>
        <v/>
      </c>
    </row>
    <row r="87" hidden="1" ht="15.6" customHeight="1">
      <c r="A87" s="783" t="n"/>
      <c r="B87" s="770" t="inlineStr">
        <is>
          <t>东风鸿远工程咨询有限公司</t>
        </is>
      </c>
      <c r="C87" s="771" t="inlineStr">
        <is>
          <t>2121</t>
        </is>
      </c>
      <c r="D87" s="770" t="inlineStr">
        <is>
          <t>E_612535</t>
        </is>
      </c>
      <c r="E87" s="770" t="inlineStr">
        <is>
          <t>艾比蒙（武汉）信息技术有限公司</t>
        </is>
      </c>
      <c r="F87" s="770" t="inlineStr">
        <is>
          <t>采购款</t>
        </is>
      </c>
      <c r="G87" s="773" t="inlineStr">
        <is>
          <t>供应商</t>
        </is>
      </c>
      <c r="H87" s="774" t="inlineStr">
        <is>
          <t>CNY</t>
        </is>
      </c>
      <c r="I87" s="781" t="n"/>
      <c r="J87" s="781" t="n"/>
      <c r="K87" s="776" t="n"/>
      <c r="L87" s="777" t="n"/>
      <c r="M87" s="777">
        <f>J87+L87</f>
        <v/>
      </c>
      <c r="N87" s="782" t="n">
        <v>-14563.11</v>
      </c>
      <c r="O87" s="775">
        <f>M87-N87</f>
        <v/>
      </c>
      <c r="P87" s="778">
        <f>IF(N87&lt;&gt;0,O87/N87,"")</f>
        <v/>
      </c>
      <c r="Q87" s="776" t="n"/>
      <c r="R87" s="775" t="n"/>
      <c r="S87" s="775" t="n"/>
      <c r="T87" s="775" t="n"/>
      <c r="U87" s="775" t="n"/>
      <c r="V87" s="775" t="n"/>
      <c r="W87" s="775">
        <f>SUM(R87:V87)-M87</f>
        <v/>
      </c>
      <c r="X87" s="779">
        <f>T87+U87+V87</f>
        <v/>
      </c>
    </row>
    <row r="88" hidden="1" ht="15.6" customHeight="1">
      <c r="A88" s="783" t="n"/>
      <c r="B88" s="770" t="inlineStr">
        <is>
          <t>东风鸿远工程咨询有限公司</t>
        </is>
      </c>
      <c r="C88" s="771" t="inlineStr">
        <is>
          <t>2121</t>
        </is>
      </c>
      <c r="D88" s="770" t="inlineStr">
        <is>
          <t>E_668815</t>
        </is>
      </c>
      <c r="E88" s="770" t="inlineStr">
        <is>
          <t>亳州市谯城区恒研建筑设计中心</t>
        </is>
      </c>
      <c r="F88" s="770" t="inlineStr">
        <is>
          <t>采购款</t>
        </is>
      </c>
      <c r="G88" s="773" t="inlineStr">
        <is>
          <t>供应商</t>
        </is>
      </c>
      <c r="H88" s="774" t="inlineStr">
        <is>
          <t>CNY</t>
        </is>
      </c>
      <c r="I88" s="781" t="n"/>
      <c r="J88" s="781" t="n"/>
      <c r="K88" s="776" t="n"/>
      <c r="L88" s="777" t="n"/>
      <c r="M88" s="777">
        <f>J88+L88</f>
        <v/>
      </c>
      <c r="N88" s="782" t="n">
        <v>-94289.94</v>
      </c>
      <c r="O88" s="775">
        <f>M88-N88</f>
        <v/>
      </c>
      <c r="P88" s="778">
        <f>IF(N88&lt;&gt;0,O88/N88,"")</f>
        <v/>
      </c>
      <c r="Q88" s="776" t="n"/>
      <c r="R88" s="775" t="n"/>
      <c r="S88" s="775" t="n"/>
      <c r="T88" s="775" t="n"/>
      <c r="U88" s="775" t="n"/>
      <c r="V88" s="775" t="n"/>
      <c r="W88" s="775">
        <f>SUM(R88:V88)-M88</f>
        <v/>
      </c>
      <c r="X88" s="779">
        <f>T88+U88+V88</f>
        <v/>
      </c>
    </row>
    <row r="89" hidden="1" ht="15.6" customHeight="1">
      <c r="A89" s="783" t="n"/>
      <c r="B89" s="770" t="inlineStr">
        <is>
          <t>东风鸿远工程咨询有限公司</t>
        </is>
      </c>
      <c r="C89" s="771" t="inlineStr">
        <is>
          <t>2121</t>
        </is>
      </c>
      <c r="D89" s="770" t="inlineStr">
        <is>
          <t>E_625279</t>
        </is>
      </c>
      <c r="E89" s="770" t="inlineStr">
        <is>
          <t>汉川市宏昌劳务有限责任公司</t>
        </is>
      </c>
      <c r="F89" s="770" t="inlineStr">
        <is>
          <t>采购款</t>
        </is>
      </c>
      <c r="G89" s="773" t="inlineStr">
        <is>
          <t>供应商</t>
        </is>
      </c>
      <c r="H89" s="774" t="inlineStr">
        <is>
          <t>CNY</t>
        </is>
      </c>
      <c r="I89" s="781" t="n"/>
      <c r="J89" s="781" t="n"/>
      <c r="K89" s="776" t="n"/>
      <c r="L89" s="777" t="n"/>
      <c r="M89" s="777">
        <f>J89+L89</f>
        <v/>
      </c>
      <c r="N89" s="782" t="n">
        <v>-270000</v>
      </c>
      <c r="O89" s="775">
        <f>M89-N89</f>
        <v/>
      </c>
      <c r="P89" s="778">
        <f>IF(N89&lt;&gt;0,O89/N89,"")</f>
        <v/>
      </c>
      <c r="Q89" s="776" t="n"/>
      <c r="R89" s="775" t="n"/>
      <c r="S89" s="775" t="n"/>
      <c r="T89" s="775" t="n"/>
      <c r="U89" s="775" t="n"/>
      <c r="V89" s="775" t="n"/>
      <c r="W89" s="775">
        <f>SUM(R89:V89)-M89</f>
        <v/>
      </c>
      <c r="X89" s="779">
        <f>T89+U89+V89</f>
        <v/>
      </c>
    </row>
    <row r="90" hidden="1" ht="15.6" customHeight="1">
      <c r="A90" s="783" t="n"/>
      <c r="B90" s="770" t="inlineStr">
        <is>
          <t>东风鸿远工程咨询有限公司</t>
        </is>
      </c>
      <c r="C90" s="771" t="inlineStr">
        <is>
          <t>2121</t>
        </is>
      </c>
      <c r="D90" s="770" t="inlineStr">
        <is>
          <t>E_624966</t>
        </is>
      </c>
      <c r="E90" s="770" t="inlineStr">
        <is>
          <t>湖北省华亿达建筑劳务有限公司</t>
        </is>
      </c>
      <c r="F90" s="770" t="inlineStr">
        <is>
          <t>采购款</t>
        </is>
      </c>
      <c r="G90" s="773" t="inlineStr">
        <is>
          <t>供应商</t>
        </is>
      </c>
      <c r="H90" s="774" t="inlineStr">
        <is>
          <t>CNY</t>
        </is>
      </c>
      <c r="I90" s="781" t="n"/>
      <c r="J90" s="781" t="n"/>
      <c r="K90" s="776" t="n"/>
      <c r="L90" s="777" t="n"/>
      <c r="M90" s="777">
        <f>J90+L90</f>
        <v/>
      </c>
      <c r="N90" s="782" t="n">
        <v>-363847.77</v>
      </c>
      <c r="O90" s="775">
        <f>M90-N90</f>
        <v/>
      </c>
      <c r="P90" s="778">
        <f>IF(N90&lt;&gt;0,O90/N90,"")</f>
        <v/>
      </c>
      <c r="Q90" s="776" t="n"/>
      <c r="R90" s="775" t="n"/>
      <c r="S90" s="775" t="n"/>
      <c r="T90" s="775" t="n"/>
      <c r="U90" s="775" t="n"/>
      <c r="V90" s="775" t="n"/>
      <c r="W90" s="775">
        <f>SUM(R90:V90)-M90</f>
        <v/>
      </c>
      <c r="X90" s="779">
        <f>T90+U90+V90</f>
        <v/>
      </c>
    </row>
    <row r="91" hidden="1" ht="15.6" customHeight="1">
      <c r="A91" s="783" t="n"/>
      <c r="B91" s="770" t="inlineStr">
        <is>
          <t>东风鸿远工程咨询有限公司</t>
        </is>
      </c>
      <c r="C91" s="771" t="inlineStr">
        <is>
          <t>2121</t>
        </is>
      </c>
      <c r="D91" s="770" t="inlineStr">
        <is>
          <t>E_599731</t>
        </is>
      </c>
      <c r="E91" s="770" t="inlineStr">
        <is>
          <t>江苏华里设计有限公司</t>
        </is>
      </c>
      <c r="F91" s="770" t="inlineStr">
        <is>
          <t>采购款</t>
        </is>
      </c>
      <c r="G91" s="773" t="inlineStr">
        <is>
          <t>供应商</t>
        </is>
      </c>
      <c r="H91" s="774" t="inlineStr">
        <is>
          <t>CNY</t>
        </is>
      </c>
      <c r="I91" s="781" t="n"/>
      <c r="J91" s="781" t="n"/>
      <c r="K91" s="776" t="n"/>
      <c r="L91" s="777" t="n"/>
      <c r="M91" s="777">
        <f>J91+L91</f>
        <v/>
      </c>
      <c r="N91" s="782" t="n">
        <v>-55301.64</v>
      </c>
      <c r="O91" s="775">
        <f>M91-N91</f>
        <v/>
      </c>
      <c r="P91" s="778">
        <f>IF(N91&lt;&gt;0,O91/N91,"")</f>
        <v/>
      </c>
      <c r="Q91" s="776" t="n"/>
      <c r="R91" s="775" t="n"/>
      <c r="S91" s="775" t="n"/>
      <c r="T91" s="775" t="n"/>
      <c r="U91" s="775" t="n"/>
      <c r="V91" s="775" t="n"/>
      <c r="W91" s="775">
        <f>SUM(R91:V91)-M91</f>
        <v/>
      </c>
      <c r="X91" s="779">
        <f>T91+U91+V91</f>
        <v/>
      </c>
    </row>
    <row r="92" hidden="1" ht="15.6" customHeight="1">
      <c r="A92" s="783" t="n"/>
      <c r="B92" s="770" t="inlineStr">
        <is>
          <t>东风鸿远工程咨询有限公司</t>
        </is>
      </c>
      <c r="C92" s="771" t="inlineStr">
        <is>
          <t>2121</t>
        </is>
      </c>
      <c r="D92" s="770" t="inlineStr">
        <is>
          <t>E_600189</t>
        </is>
      </c>
      <c r="E92" s="770" t="inlineStr">
        <is>
          <t>湖北襄投物业管理有限公司</t>
        </is>
      </c>
      <c r="F92" s="770" t="inlineStr">
        <is>
          <t>采购款</t>
        </is>
      </c>
      <c r="G92" s="773" t="inlineStr">
        <is>
          <t>供应商</t>
        </is>
      </c>
      <c r="H92" s="774" t="inlineStr">
        <is>
          <t>CNY</t>
        </is>
      </c>
      <c r="I92" s="781" t="n"/>
      <c r="J92" s="781" t="n"/>
      <c r="K92" s="776" t="n"/>
      <c r="L92" s="777" t="n"/>
      <c r="M92" s="777">
        <f>J92+L92</f>
        <v/>
      </c>
      <c r="N92" s="782" t="n">
        <v>-213710.64</v>
      </c>
      <c r="O92" s="775">
        <f>M92-N92</f>
        <v/>
      </c>
      <c r="P92" s="778">
        <f>IF(N92&lt;&gt;0,O92/N92,"")</f>
        <v/>
      </c>
      <c r="Q92" s="776" t="n"/>
      <c r="R92" s="775" t="n"/>
      <c r="S92" s="775" t="n"/>
      <c r="T92" s="775" t="n"/>
      <c r="U92" s="775" t="n"/>
      <c r="V92" s="775" t="n"/>
      <c r="W92" s="775">
        <f>SUM(R92:V92)-M92</f>
        <v/>
      </c>
      <c r="X92" s="779">
        <f>T92+U92+V92</f>
        <v/>
      </c>
    </row>
    <row r="93" hidden="1" ht="15.6" customHeight="1">
      <c r="A93" s="783" t="n"/>
      <c r="B93" s="770" t="inlineStr">
        <is>
          <t>东风鸿远工程咨询有限公司</t>
        </is>
      </c>
      <c r="C93" s="771" t="inlineStr">
        <is>
          <t>2121</t>
        </is>
      </c>
      <c r="D93" s="770" t="inlineStr">
        <is>
          <t>E_614306</t>
        </is>
      </c>
      <c r="E93" s="770" t="inlineStr">
        <is>
          <t>湖北铭盛博工程设计咨询有限公司</t>
        </is>
      </c>
      <c r="F93" s="770" t="inlineStr">
        <is>
          <t>采购款</t>
        </is>
      </c>
      <c r="G93" s="773" t="inlineStr">
        <is>
          <t>供应商</t>
        </is>
      </c>
      <c r="H93" s="774" t="inlineStr">
        <is>
          <t>CNY</t>
        </is>
      </c>
      <c r="I93" s="781" t="n"/>
      <c r="J93" s="781" t="n"/>
      <c r="K93" s="776" t="n"/>
      <c r="L93" s="777" t="n"/>
      <c r="M93" s="777">
        <f>J93+L93</f>
        <v/>
      </c>
      <c r="N93" s="782" t="n">
        <v>-24271.84</v>
      </c>
      <c r="O93" s="775">
        <f>M93-N93</f>
        <v/>
      </c>
      <c r="P93" s="778">
        <f>IF(N93&lt;&gt;0,O93/N93,"")</f>
        <v/>
      </c>
      <c r="Q93" s="776" t="n"/>
      <c r="R93" s="775" t="n"/>
      <c r="S93" s="775" t="n"/>
      <c r="T93" s="775" t="n"/>
      <c r="U93" s="775" t="n"/>
      <c r="V93" s="775" t="n"/>
      <c r="W93" s="775">
        <f>SUM(R93:V93)-M93</f>
        <v/>
      </c>
      <c r="X93" s="779">
        <f>T93+U93+V93</f>
        <v/>
      </c>
    </row>
    <row r="94" hidden="1" ht="15.6" customHeight="1">
      <c r="A94" s="783" t="n"/>
      <c r="B94" s="770" t="inlineStr">
        <is>
          <t>东风鸿远工程咨询有限公司</t>
        </is>
      </c>
      <c r="C94" s="771" t="inlineStr">
        <is>
          <t>2121</t>
        </is>
      </c>
      <c r="D94" s="770" t="inlineStr">
        <is>
          <t>E_668731</t>
        </is>
      </c>
      <c r="E94" s="770" t="inlineStr">
        <is>
          <t>武汉江城建设咨询有限公司谷城分公司</t>
        </is>
      </c>
      <c r="F94" s="770" t="inlineStr">
        <is>
          <t>采购款</t>
        </is>
      </c>
      <c r="G94" s="773" t="inlineStr">
        <is>
          <t>供应商</t>
        </is>
      </c>
      <c r="H94" s="774" t="inlineStr">
        <is>
          <t>CNY</t>
        </is>
      </c>
      <c r="I94" s="781" t="n"/>
      <c r="J94" s="781" t="n"/>
      <c r="K94" s="776" t="n"/>
      <c r="L94" s="777" t="n"/>
      <c r="M94" s="777">
        <f>J94+L94</f>
        <v/>
      </c>
      <c r="N94" s="782" t="n">
        <v>-27766.99</v>
      </c>
      <c r="O94" s="775">
        <f>M94-N94</f>
        <v/>
      </c>
      <c r="P94" s="778">
        <f>IF(N94&lt;&gt;0,O94/N94,"")</f>
        <v/>
      </c>
      <c r="Q94" s="776" t="n"/>
      <c r="R94" s="775" t="n"/>
      <c r="S94" s="775" t="n"/>
      <c r="T94" s="775" t="n"/>
      <c r="U94" s="775" t="n"/>
      <c r="V94" s="775" t="n"/>
      <c r="W94" s="775">
        <f>SUM(R94:V94)-M94</f>
        <v/>
      </c>
      <c r="X94" s="779">
        <f>T94+U94+V94</f>
        <v/>
      </c>
    </row>
    <row r="95" ht="15.6" customHeight="1">
      <c r="A95" s="783" t="n"/>
      <c r="B95" s="770" t="inlineStr">
        <is>
          <t>东风鸿远工程咨询有限公司</t>
        </is>
      </c>
      <c r="C95" s="771" t="inlineStr">
        <is>
          <t>2121</t>
        </is>
      </c>
      <c r="D95" s="770" t="inlineStr">
        <is>
          <t>E_628682</t>
        </is>
      </c>
      <c r="E95" s="770" t="inlineStr">
        <is>
          <t>供应商</t>
        </is>
      </c>
      <c r="F95" s="770" t="inlineStr">
        <is>
          <t>采购款</t>
        </is>
      </c>
      <c r="G95" s="773" t="inlineStr">
        <is>
          <t>供应商</t>
        </is>
      </c>
      <c r="H95" s="774" t="inlineStr">
        <is>
          <t>CNY</t>
        </is>
      </c>
      <c r="I95" s="781" t="n"/>
      <c r="J95" s="781" t="n"/>
      <c r="K95" s="776" t="n"/>
      <c r="L95" s="777" t="n"/>
      <c r="M95" s="777">
        <f>J95+L95</f>
        <v/>
      </c>
      <c r="N95" s="782" t="n">
        <v>-2743396.23</v>
      </c>
      <c r="O95" s="775">
        <f>M95-N95</f>
        <v/>
      </c>
      <c r="P95" s="778">
        <f>IF(N95&lt;&gt;0,O95/N95,"")</f>
        <v/>
      </c>
      <c r="Q95" s="776" t="inlineStr">
        <is>
          <t>NB2</t>
        </is>
      </c>
      <c r="R95" s="775" t="n"/>
      <c r="S95" s="775" t="n"/>
      <c r="T95" s="775" t="n"/>
      <c r="U95" s="775" t="n"/>
      <c r="V95" s="775" t="n"/>
      <c r="W95" s="775">
        <f>SUM(R95:V95)-M95</f>
        <v/>
      </c>
      <c r="X95" s="779">
        <f>T95+U95+V95</f>
        <v/>
      </c>
    </row>
    <row r="96" hidden="1" ht="15.6" customHeight="1">
      <c r="A96" s="783" t="n"/>
      <c r="B96" s="770" t="inlineStr">
        <is>
          <t>东风鸿远工程咨询有限公司</t>
        </is>
      </c>
      <c r="C96" s="771" t="inlineStr">
        <is>
          <t>2121</t>
        </is>
      </c>
      <c r="D96" s="770" t="inlineStr">
        <is>
          <t>E_614845</t>
        </is>
      </c>
      <c r="E96" s="770" t="inlineStr">
        <is>
          <t>随州市宜鸿机电有限公司</t>
        </is>
      </c>
      <c r="F96" s="770" t="inlineStr">
        <is>
          <t>采购款</t>
        </is>
      </c>
      <c r="G96" s="773" t="inlineStr">
        <is>
          <t>供应商</t>
        </is>
      </c>
      <c r="H96" s="774" t="inlineStr">
        <is>
          <t>CNY</t>
        </is>
      </c>
      <c r="I96" s="781" t="n"/>
      <c r="J96" s="781" t="n"/>
      <c r="K96" s="776" t="n"/>
      <c r="L96" s="777" t="n"/>
      <c r="M96" s="777">
        <f>J96+L96</f>
        <v/>
      </c>
      <c r="N96" s="782" t="n">
        <v>-16941.74</v>
      </c>
      <c r="O96" s="775">
        <f>M96-N96</f>
        <v/>
      </c>
      <c r="P96" s="778">
        <f>IF(N96&lt;&gt;0,O96/N96,"")</f>
        <v/>
      </c>
      <c r="Q96" s="776" t="n"/>
      <c r="R96" s="775" t="n"/>
      <c r="S96" s="775" t="n"/>
      <c r="T96" s="775" t="n"/>
      <c r="U96" s="775" t="n"/>
      <c r="V96" s="775" t="n"/>
      <c r="W96" s="775">
        <f>SUM(R96:V96)-M96</f>
        <v/>
      </c>
      <c r="X96" s="779">
        <f>T96+U96+V96</f>
        <v/>
      </c>
    </row>
    <row r="97" hidden="1" ht="15.6" customHeight="1">
      <c r="A97" s="783" t="n"/>
      <c r="B97" s="770" t="inlineStr">
        <is>
          <t>东风鸿远工程咨询有限公司</t>
        </is>
      </c>
      <c r="C97" s="771" t="inlineStr">
        <is>
          <t>2121</t>
        </is>
      </c>
      <c r="D97" s="770" t="inlineStr">
        <is>
          <t>E_624410</t>
        </is>
      </c>
      <c r="E97" s="770" t="inlineStr">
        <is>
          <t>襄阳市永通广告传播有限公司</t>
        </is>
      </c>
      <c r="F97" s="770" t="inlineStr">
        <is>
          <t>采购款</t>
        </is>
      </c>
      <c r="G97" s="773" t="inlineStr">
        <is>
          <t>供应商</t>
        </is>
      </c>
      <c r="H97" s="774" t="inlineStr">
        <is>
          <t>CNY</t>
        </is>
      </c>
      <c r="I97" s="781" t="n"/>
      <c r="J97" s="781" t="n"/>
      <c r="K97" s="776" t="n"/>
      <c r="L97" s="777" t="n"/>
      <c r="M97" s="777">
        <f>J97+L97</f>
        <v/>
      </c>
      <c r="N97" s="782" t="n">
        <v>-16504.85</v>
      </c>
      <c r="O97" s="775">
        <f>M97-N97</f>
        <v/>
      </c>
      <c r="P97" s="778">
        <f>IF(N97&lt;&gt;0,O97/N97,"")</f>
        <v/>
      </c>
      <c r="Q97" s="776" t="n"/>
      <c r="R97" s="775" t="n"/>
      <c r="S97" s="775" t="n"/>
      <c r="T97" s="775" t="n"/>
      <c r="U97" s="775" t="n"/>
      <c r="V97" s="775" t="n"/>
      <c r="W97" s="775">
        <f>SUM(R97:V97)-M97</f>
        <v/>
      </c>
      <c r="X97" s="779">
        <f>T97+U97+V97</f>
        <v/>
      </c>
    </row>
    <row r="98" hidden="1" ht="15.6" customHeight="1">
      <c r="A98" s="783" t="n"/>
      <c r="B98" s="770" t="inlineStr">
        <is>
          <t>东风鸿远工程咨询有限公司</t>
        </is>
      </c>
      <c r="C98" s="771" t="inlineStr">
        <is>
          <t>2121</t>
        </is>
      </c>
      <c r="D98" s="770" t="inlineStr">
        <is>
          <t>E_598233</t>
        </is>
      </c>
      <c r="E98" s="770" t="inlineStr">
        <is>
          <t>中南建筑设计院股份有限公司</t>
        </is>
      </c>
      <c r="F98" s="770" t="inlineStr">
        <is>
          <t>采购款</t>
        </is>
      </c>
      <c r="G98" s="773" t="inlineStr">
        <is>
          <t>供应商</t>
        </is>
      </c>
      <c r="H98" s="774" t="inlineStr">
        <is>
          <t>CNY</t>
        </is>
      </c>
      <c r="I98" s="781" t="n"/>
      <c r="J98" s="781" t="n"/>
      <c r="K98" s="776" t="n"/>
      <c r="L98" s="777" t="n"/>
      <c r="M98" s="777">
        <f>J98+L98</f>
        <v/>
      </c>
      <c r="N98" s="782" t="n">
        <v>-603784.91</v>
      </c>
      <c r="O98" s="775">
        <f>M98-N98</f>
        <v/>
      </c>
      <c r="P98" s="778">
        <f>IF(N98&lt;&gt;0,O98/N98,"")</f>
        <v/>
      </c>
      <c r="Q98" s="776" t="n"/>
      <c r="R98" s="775" t="n"/>
      <c r="S98" s="775" t="n"/>
      <c r="T98" s="775" t="n"/>
      <c r="U98" s="775" t="n"/>
      <c r="V98" s="775" t="n"/>
      <c r="W98" s="775">
        <f>SUM(R98:V98)-M98</f>
        <v/>
      </c>
      <c r="X98" s="779">
        <f>T98+U98+V98</f>
        <v/>
      </c>
    </row>
    <row r="99" hidden="1" ht="15.6" customHeight="1">
      <c r="A99" s="783" t="n"/>
      <c r="B99" s="770" t="inlineStr">
        <is>
          <t>东风鸿远工程咨询有限公司</t>
        </is>
      </c>
      <c r="C99" s="771" t="inlineStr">
        <is>
          <t>2121</t>
        </is>
      </c>
      <c r="D99" s="770" t="inlineStr">
        <is>
          <t>E_614260</t>
        </is>
      </c>
      <c r="E99" s="770" t="inlineStr">
        <is>
          <t>襄阳市金枫叶装饰设计工程有限公司</t>
        </is>
      </c>
      <c r="F99" s="770" t="inlineStr">
        <is>
          <t>采购款</t>
        </is>
      </c>
      <c r="G99" s="773" t="inlineStr">
        <is>
          <t>供应商</t>
        </is>
      </c>
      <c r="H99" s="774" t="inlineStr">
        <is>
          <t>CNY</t>
        </is>
      </c>
      <c r="I99" s="781" t="n"/>
      <c r="J99" s="781" t="n"/>
      <c r="K99" s="776" t="n"/>
      <c r="L99" s="777" t="n"/>
      <c r="M99" s="777">
        <f>J99+L99</f>
        <v/>
      </c>
      <c r="N99" s="782" t="n">
        <v>-1053032.26</v>
      </c>
      <c r="O99" s="775">
        <f>M99-N99</f>
        <v/>
      </c>
      <c r="P99" s="778">
        <f>IF(N99&lt;&gt;0,O99/N99,"")</f>
        <v/>
      </c>
      <c r="Q99" s="776" t="n"/>
      <c r="R99" s="775" t="n"/>
      <c r="S99" s="775" t="n"/>
      <c r="T99" s="775" t="n"/>
      <c r="U99" s="775" t="n"/>
      <c r="V99" s="775" t="n"/>
      <c r="W99" s="775">
        <f>SUM(R99:V99)-M99</f>
        <v/>
      </c>
      <c r="X99" s="779">
        <f>T99+U99+V99</f>
        <v/>
      </c>
    </row>
    <row r="100" hidden="1" ht="15.6" customHeight="1">
      <c r="A100" s="783" t="n"/>
      <c r="B100" s="770" t="inlineStr">
        <is>
          <t>东风鸿远工程咨询有限公司</t>
        </is>
      </c>
      <c r="C100" s="771" t="inlineStr">
        <is>
          <t>2121</t>
        </is>
      </c>
      <c r="D100" s="770" t="inlineStr">
        <is>
          <t>E_622115</t>
        </is>
      </c>
      <c r="E100" s="770" t="inlineStr">
        <is>
          <t>城安工程技术集团有限公司</t>
        </is>
      </c>
      <c r="F100" s="770" t="inlineStr">
        <is>
          <t>采购款</t>
        </is>
      </c>
      <c r="G100" s="773" t="inlineStr">
        <is>
          <t>供应商</t>
        </is>
      </c>
      <c r="H100" s="774" t="inlineStr">
        <is>
          <t>CNY</t>
        </is>
      </c>
      <c r="I100" s="781" t="n"/>
      <c r="J100" s="781" t="n"/>
      <c r="K100" s="776" t="n"/>
      <c r="L100" s="777" t="n"/>
      <c r="M100" s="777">
        <f>J100+L100</f>
        <v/>
      </c>
      <c r="N100" s="782" t="n">
        <v>-317036.99</v>
      </c>
      <c r="O100" s="775">
        <f>M100-N100</f>
        <v/>
      </c>
      <c r="P100" s="778">
        <f>IF(N100&lt;&gt;0,O100/N100,"")</f>
        <v/>
      </c>
      <c r="Q100" s="776" t="n"/>
      <c r="R100" s="775" t="n"/>
      <c r="S100" s="775" t="n"/>
      <c r="T100" s="775" t="n"/>
      <c r="U100" s="775" t="n"/>
      <c r="V100" s="775" t="n"/>
      <c r="W100" s="775">
        <f>SUM(R100:V100)-M100</f>
        <v/>
      </c>
      <c r="X100" s="779">
        <f>T100+U100+V100</f>
        <v/>
      </c>
    </row>
    <row r="101" hidden="1" ht="15.6" customHeight="1">
      <c r="A101" s="783" t="n"/>
      <c r="B101" s="770" t="inlineStr">
        <is>
          <t>东风鸿远工程咨询有限公司</t>
        </is>
      </c>
      <c r="C101" s="771" t="inlineStr">
        <is>
          <t>2121</t>
        </is>
      </c>
      <c r="D101" s="770" t="inlineStr">
        <is>
          <t>E_596969</t>
        </is>
      </c>
      <c r="E101" s="770" t="inlineStr">
        <is>
          <t>三峡大学</t>
        </is>
      </c>
      <c r="F101" s="770" t="inlineStr">
        <is>
          <t>采购款</t>
        </is>
      </c>
      <c r="G101" s="773" t="inlineStr">
        <is>
          <t>供应商</t>
        </is>
      </c>
      <c r="H101" s="774" t="inlineStr">
        <is>
          <t>CNY</t>
        </is>
      </c>
      <c r="I101" s="781" t="n"/>
      <c r="J101" s="781" t="n"/>
      <c r="K101" s="776" t="n"/>
      <c r="L101" s="777" t="n"/>
      <c r="M101" s="777">
        <f>J101+L101</f>
        <v/>
      </c>
      <c r="N101" s="782" t="n">
        <v>-75471.7</v>
      </c>
      <c r="O101" s="775">
        <f>M101-N101</f>
        <v/>
      </c>
      <c r="P101" s="778">
        <f>IF(N101&lt;&gt;0,O101/N101,"")</f>
        <v/>
      </c>
      <c r="Q101" s="776" t="n"/>
      <c r="R101" s="775" t="n"/>
      <c r="S101" s="775" t="n"/>
      <c r="T101" s="775" t="n"/>
      <c r="U101" s="775" t="n"/>
      <c r="V101" s="775" t="n"/>
      <c r="W101" s="775">
        <f>SUM(R101:V101)-M101</f>
        <v/>
      </c>
      <c r="X101" s="779">
        <f>T101+U101+V101</f>
        <v/>
      </c>
    </row>
    <row r="102" hidden="1" ht="15.6" customHeight="1">
      <c r="A102" s="783" t="n"/>
      <c r="B102" s="770" t="inlineStr">
        <is>
          <t>东风鸿远工程咨询有限公司</t>
        </is>
      </c>
      <c r="C102" s="771" t="inlineStr">
        <is>
          <t>2121</t>
        </is>
      </c>
      <c r="D102" s="770" t="inlineStr">
        <is>
          <t>E_216546</t>
        </is>
      </c>
      <c r="E102" s="770" t="inlineStr">
        <is>
          <t>湖北志明电子科技有限公司</t>
        </is>
      </c>
      <c r="F102" s="770" t="inlineStr">
        <is>
          <t>采购款</t>
        </is>
      </c>
      <c r="G102" s="773" t="inlineStr">
        <is>
          <t>供应商</t>
        </is>
      </c>
      <c r="H102" s="774" t="inlineStr">
        <is>
          <t>CNY</t>
        </is>
      </c>
      <c r="I102" s="781" t="n"/>
      <c r="J102" s="781" t="n"/>
      <c r="K102" s="776" t="n"/>
      <c r="L102" s="777" t="n"/>
      <c r="M102" s="777">
        <f>J102+L102</f>
        <v/>
      </c>
      <c r="N102" s="782" t="n">
        <v>-17287.55</v>
      </c>
      <c r="O102" s="775">
        <f>M102-N102</f>
        <v/>
      </c>
      <c r="P102" s="778">
        <f>IF(N102&lt;&gt;0,O102/N102,"")</f>
        <v/>
      </c>
      <c r="Q102" s="776" t="n"/>
      <c r="R102" s="775" t="n"/>
      <c r="S102" s="775" t="n"/>
      <c r="T102" s="775" t="n"/>
      <c r="U102" s="775" t="n"/>
      <c r="V102" s="775" t="n"/>
      <c r="W102" s="775">
        <f>SUM(R102:V102)-M102</f>
        <v/>
      </c>
      <c r="X102" s="779">
        <f>T102+U102+V102</f>
        <v/>
      </c>
    </row>
    <row r="103" hidden="1" ht="15.6" customHeight="1">
      <c r="A103" s="783" t="n"/>
      <c r="B103" s="770" t="inlineStr">
        <is>
          <t>东风鸿远工程咨询有限公司</t>
        </is>
      </c>
      <c r="C103" s="771" t="inlineStr">
        <is>
          <t>2121</t>
        </is>
      </c>
      <c r="D103" s="770" t="inlineStr">
        <is>
          <t>E_623582</t>
        </is>
      </c>
      <c r="E103" s="770" t="inlineStr">
        <is>
          <t>武汉固地鼎兴工程技术有限公司</t>
        </is>
      </c>
      <c r="F103" s="770" t="inlineStr">
        <is>
          <t>采购款</t>
        </is>
      </c>
      <c r="G103" s="773" t="inlineStr">
        <is>
          <t>供应商</t>
        </is>
      </c>
      <c r="H103" s="774" t="inlineStr">
        <is>
          <t>CNY</t>
        </is>
      </c>
      <c r="I103" s="781" t="n"/>
      <c r="J103" s="781" t="n"/>
      <c r="K103" s="776" t="n"/>
      <c r="L103" s="777" t="n"/>
      <c r="M103" s="777">
        <f>J103+L103</f>
        <v/>
      </c>
      <c r="N103" s="782" t="n">
        <v>-0.5</v>
      </c>
      <c r="O103" s="775">
        <f>M103-N103</f>
        <v/>
      </c>
      <c r="P103" s="778">
        <f>IF(N103&lt;&gt;0,O103/N103,"")</f>
        <v/>
      </c>
      <c r="Q103" s="776" t="n"/>
      <c r="R103" s="775" t="n"/>
      <c r="S103" s="775" t="n"/>
      <c r="T103" s="775" t="n"/>
      <c r="U103" s="775" t="n"/>
      <c r="V103" s="775" t="n"/>
      <c r="W103" s="775">
        <f>SUM(R103:V103)-M103</f>
        <v/>
      </c>
      <c r="X103" s="779">
        <f>T103+U103+V103</f>
        <v/>
      </c>
    </row>
    <row r="104" hidden="1" ht="15.6" customHeight="1">
      <c r="A104" s="783" t="n"/>
      <c r="B104" s="770" t="inlineStr">
        <is>
          <t>东风鸿远工程咨询有限公司</t>
        </is>
      </c>
      <c r="C104" s="771" t="inlineStr">
        <is>
          <t>2121</t>
        </is>
      </c>
      <c r="D104" s="770" t="inlineStr">
        <is>
          <t>E_614195</t>
        </is>
      </c>
      <c r="E104" s="770" t="inlineStr">
        <is>
          <t>襄阳园冶风景园林集团有限公司</t>
        </is>
      </c>
      <c r="F104" s="770" t="inlineStr">
        <is>
          <t>采购款</t>
        </is>
      </c>
      <c r="G104" s="773" t="inlineStr">
        <is>
          <t>供应商</t>
        </is>
      </c>
      <c r="H104" s="774" t="inlineStr">
        <is>
          <t>CNY</t>
        </is>
      </c>
      <c r="I104" s="781" t="n"/>
      <c r="J104" s="781" t="n"/>
      <c r="K104" s="776" t="n"/>
      <c r="L104" s="777" t="n"/>
      <c r="M104" s="777">
        <f>J104+L104</f>
        <v/>
      </c>
      <c r="N104" s="782" t="n">
        <v>-340862.27</v>
      </c>
      <c r="O104" s="775">
        <f>M104-N104</f>
        <v/>
      </c>
      <c r="P104" s="778">
        <f>IF(N104&lt;&gt;0,O104/N104,"")</f>
        <v/>
      </c>
      <c r="Q104" s="776" t="n"/>
      <c r="R104" s="775" t="n"/>
      <c r="S104" s="775" t="n"/>
      <c r="T104" s="775" t="n"/>
      <c r="U104" s="775" t="n"/>
      <c r="V104" s="775" t="n"/>
      <c r="W104" s="775">
        <f>SUM(R104:V104)-M104</f>
        <v/>
      </c>
      <c r="X104" s="779">
        <f>T104+U104+V104</f>
        <v/>
      </c>
    </row>
    <row r="105" hidden="1" ht="15.6" customHeight="1">
      <c r="A105" s="783" t="n"/>
      <c r="B105" s="770" t="inlineStr">
        <is>
          <t>东风鸿远工程咨询有限公司</t>
        </is>
      </c>
      <c r="C105" s="771" t="inlineStr">
        <is>
          <t>2121</t>
        </is>
      </c>
      <c r="D105" s="770" t="inlineStr">
        <is>
          <t>E_013569</t>
        </is>
      </c>
      <c r="E105" s="770" t="inlineStr">
        <is>
          <t>华诚博远工程技术集团有限公司</t>
        </is>
      </c>
      <c r="F105" s="770" t="inlineStr">
        <is>
          <t>采购款</t>
        </is>
      </c>
      <c r="G105" s="773" t="inlineStr">
        <is>
          <t>供应商</t>
        </is>
      </c>
      <c r="H105" s="774" t="inlineStr">
        <is>
          <t>CNY</t>
        </is>
      </c>
      <c r="I105" s="781" t="n"/>
      <c r="J105" s="781" t="n"/>
      <c r="K105" s="776" t="n"/>
      <c r="L105" s="777" t="n"/>
      <c r="M105" s="777">
        <f>J105+L105</f>
        <v/>
      </c>
      <c r="N105" s="782" t="n">
        <v>-2830.19</v>
      </c>
      <c r="O105" s="775">
        <f>M105-N105</f>
        <v/>
      </c>
      <c r="P105" s="778">
        <f>IF(N105&lt;&gt;0,O105/N105,"")</f>
        <v/>
      </c>
      <c r="Q105" s="776" t="n"/>
      <c r="R105" s="775" t="n"/>
      <c r="S105" s="775" t="n"/>
      <c r="T105" s="775" t="n"/>
      <c r="U105" s="775" t="n"/>
      <c r="V105" s="775" t="n"/>
      <c r="W105" s="775">
        <f>SUM(R105:V105)-M105</f>
        <v/>
      </c>
      <c r="X105" s="779">
        <f>T105+U105+V105</f>
        <v/>
      </c>
    </row>
    <row r="106" hidden="1" ht="15.6" customHeight="1">
      <c r="A106" s="783" t="n"/>
      <c r="B106" s="770" t="inlineStr">
        <is>
          <t>东风鸿远工程咨询有限公司</t>
        </is>
      </c>
      <c r="C106" s="771" t="inlineStr">
        <is>
          <t>2121</t>
        </is>
      </c>
      <c r="D106" s="770" t="inlineStr">
        <is>
          <t>E_725139</t>
        </is>
      </c>
      <c r="E106" s="770" t="inlineStr">
        <is>
          <t>程晓明</t>
        </is>
      </c>
      <c r="F106" s="770" t="inlineStr">
        <is>
          <t>采购款</t>
        </is>
      </c>
      <c r="G106" s="773" t="inlineStr">
        <is>
          <t>供应商</t>
        </is>
      </c>
      <c r="H106" s="774" t="inlineStr">
        <is>
          <t>CNY</t>
        </is>
      </c>
      <c r="I106" s="781" t="n"/>
      <c r="J106" s="781" t="n"/>
      <c r="K106" s="776" t="n"/>
      <c r="L106" s="777" t="n"/>
      <c r="M106" s="777">
        <f>J106+L106</f>
        <v/>
      </c>
      <c r="N106" s="782" t="n">
        <v>-9600</v>
      </c>
      <c r="O106" s="775">
        <f>M106-N106</f>
        <v/>
      </c>
      <c r="P106" s="778">
        <f>IF(N106&lt;&gt;0,O106/N106,"")</f>
        <v/>
      </c>
      <c r="Q106" s="776" t="n"/>
      <c r="R106" s="775" t="n"/>
      <c r="S106" s="775" t="n"/>
      <c r="T106" s="775" t="n"/>
      <c r="U106" s="775" t="n"/>
      <c r="V106" s="775" t="n"/>
      <c r="W106" s="775">
        <f>SUM(R106:V106)-M106</f>
        <v/>
      </c>
      <c r="X106" s="779">
        <f>T106+U106+V106</f>
        <v/>
      </c>
    </row>
    <row r="107" hidden="1" ht="15.6" customHeight="1">
      <c r="A107" s="783" t="n"/>
      <c r="B107" s="770" t="inlineStr">
        <is>
          <t>东风鸿远工程咨询有限公司</t>
        </is>
      </c>
      <c r="C107" s="771" t="inlineStr">
        <is>
          <t>2121</t>
        </is>
      </c>
      <c r="D107" s="770" t="inlineStr">
        <is>
          <t>E_466380</t>
        </is>
      </c>
      <c r="E107" s="770" t="inlineStr">
        <is>
          <t>襄阳富思特建设工程质量检测有限公司</t>
        </is>
      </c>
      <c r="F107" s="770" t="inlineStr">
        <is>
          <t>采购款</t>
        </is>
      </c>
      <c r="G107" s="773" t="inlineStr">
        <is>
          <t>供应商</t>
        </is>
      </c>
      <c r="H107" s="774" t="inlineStr">
        <is>
          <t>CNY</t>
        </is>
      </c>
      <c r="I107" s="781" t="n"/>
      <c r="J107" s="781" t="n"/>
      <c r="K107" s="776" t="n"/>
      <c r="L107" s="777" t="n"/>
      <c r="M107" s="777">
        <f>J107+L107</f>
        <v/>
      </c>
      <c r="N107" s="782" t="n">
        <v>-406000</v>
      </c>
      <c r="O107" s="775">
        <f>M107-N107</f>
        <v/>
      </c>
      <c r="P107" s="778">
        <f>IF(N107&lt;&gt;0,O107/N107,"")</f>
        <v/>
      </c>
      <c r="Q107" s="776" t="n"/>
      <c r="R107" s="775" t="n"/>
      <c r="S107" s="775" t="n"/>
      <c r="T107" s="775" t="n"/>
      <c r="U107" s="775" t="n"/>
      <c r="V107" s="775" t="n"/>
      <c r="W107" s="775">
        <f>SUM(R107:V107)-M107</f>
        <v/>
      </c>
      <c r="X107" s="779">
        <f>T107+U107+V107</f>
        <v/>
      </c>
    </row>
    <row r="108" hidden="1" ht="15.6" customHeight="1">
      <c r="A108" s="783" t="n"/>
      <c r="B108" s="770" t="inlineStr">
        <is>
          <t>东风鸿远工程咨询有限公司</t>
        </is>
      </c>
      <c r="C108" s="771" t="inlineStr">
        <is>
          <t>2121</t>
        </is>
      </c>
      <c r="D108" s="770" t="inlineStr">
        <is>
          <t>E_606429</t>
        </is>
      </c>
      <c r="E108" s="770" t="inlineStr">
        <is>
          <t>广东建筑艺术设计院有限公司华中分公司</t>
        </is>
      </c>
      <c r="F108" s="770" t="inlineStr">
        <is>
          <t>采购款</t>
        </is>
      </c>
      <c r="G108" s="773" t="inlineStr">
        <is>
          <t>供应商</t>
        </is>
      </c>
      <c r="H108" s="774" t="inlineStr">
        <is>
          <t>CNY</t>
        </is>
      </c>
      <c r="I108" s="781" t="n"/>
      <c r="J108" s="781" t="n"/>
      <c r="K108" s="776" t="n"/>
      <c r="L108" s="777" t="n"/>
      <c r="M108" s="777">
        <f>J108+L108</f>
        <v/>
      </c>
      <c r="N108" s="782" t="n">
        <v>-56000</v>
      </c>
      <c r="O108" s="775">
        <f>M108-N108</f>
        <v/>
      </c>
      <c r="P108" s="778">
        <f>IF(N108&lt;&gt;0,O108/N108,"")</f>
        <v/>
      </c>
      <c r="Q108" s="776" t="n"/>
      <c r="R108" s="775" t="n"/>
      <c r="S108" s="775" t="n"/>
      <c r="T108" s="775" t="n"/>
      <c r="U108" s="775" t="n"/>
      <c r="V108" s="775" t="n"/>
      <c r="W108" s="775">
        <f>SUM(R108:V108)-M108</f>
        <v/>
      </c>
      <c r="X108" s="779">
        <f>T108+U108+V108</f>
        <v/>
      </c>
    </row>
    <row r="109" hidden="1" ht="15.6" customHeight="1">
      <c r="A109" s="783" t="n"/>
      <c r="B109" s="770" t="inlineStr">
        <is>
          <t>东风鸿远工程咨询有限公司</t>
        </is>
      </c>
      <c r="C109" s="771" t="inlineStr">
        <is>
          <t>2121</t>
        </is>
      </c>
      <c r="D109" s="770" t="inlineStr">
        <is>
          <t>E_171469</t>
        </is>
      </c>
      <c r="E109" s="770" t="inlineStr">
        <is>
          <t>襄阳市测绘研究院</t>
        </is>
      </c>
      <c r="F109" s="770" t="inlineStr">
        <is>
          <t>采购款</t>
        </is>
      </c>
      <c r="G109" s="773" t="inlineStr">
        <is>
          <t>供应商</t>
        </is>
      </c>
      <c r="H109" s="774" t="inlineStr">
        <is>
          <t>CNY</t>
        </is>
      </c>
      <c r="I109" s="781" t="n"/>
      <c r="J109" s="781" t="n"/>
      <c r="K109" s="776" t="n"/>
      <c r="L109" s="777" t="n"/>
      <c r="M109" s="777">
        <f>J109+L109</f>
        <v/>
      </c>
      <c r="N109" s="782" t="n">
        <v>-58419.81</v>
      </c>
      <c r="O109" s="775">
        <f>M109-N109</f>
        <v/>
      </c>
      <c r="P109" s="778">
        <f>IF(N109&lt;&gt;0,O109/N109,"")</f>
        <v/>
      </c>
      <c r="Q109" s="776" t="n"/>
      <c r="R109" s="775" t="n"/>
      <c r="S109" s="775" t="n"/>
      <c r="T109" s="775" t="n"/>
      <c r="U109" s="775" t="n"/>
      <c r="V109" s="775" t="n"/>
      <c r="W109" s="775">
        <f>SUM(R109:V109)-M109</f>
        <v/>
      </c>
      <c r="X109" s="779">
        <f>T109+U109+V109</f>
        <v/>
      </c>
    </row>
    <row r="110" hidden="1" ht="15.6" customHeight="1">
      <c r="A110" s="783" t="n"/>
      <c r="B110" s="770" t="inlineStr">
        <is>
          <t>东风鸿远工程咨询有限公司</t>
        </is>
      </c>
      <c r="C110" s="771" t="inlineStr">
        <is>
          <t>2121</t>
        </is>
      </c>
      <c r="D110" s="770" t="inlineStr">
        <is>
          <t>E_615147</t>
        </is>
      </c>
      <c r="E110" s="770" t="inlineStr">
        <is>
          <t>深圳市建筑设计��究总院有限公司</t>
        </is>
      </c>
      <c r="F110" s="770" t="inlineStr">
        <is>
          <t>采购款</t>
        </is>
      </c>
      <c r="G110" s="773" t="inlineStr">
        <is>
          <t>供应商</t>
        </is>
      </c>
      <c r="H110" s="774" t="inlineStr">
        <is>
          <t>CNY</t>
        </is>
      </c>
      <c r="I110" s="781" t="n"/>
      <c r="J110" s="781" t="n"/>
      <c r="K110" s="776" t="n"/>
      <c r="L110" s="777" t="n"/>
      <c r="M110" s="777">
        <f>J110+L110</f>
        <v/>
      </c>
      <c r="N110" s="782" t="n">
        <v>-138134.91</v>
      </c>
      <c r="O110" s="775">
        <f>M110-N110</f>
        <v/>
      </c>
      <c r="P110" s="778">
        <f>IF(N110&lt;&gt;0,O110/N110,"")</f>
        <v/>
      </c>
      <c r="Q110" s="776" t="n"/>
      <c r="R110" s="775" t="n"/>
      <c r="S110" s="775" t="n"/>
      <c r="T110" s="775" t="n"/>
      <c r="U110" s="775" t="n"/>
      <c r="V110" s="775" t="n"/>
      <c r="W110" s="775">
        <f>SUM(R110:V110)-M110</f>
        <v/>
      </c>
      <c r="X110" s="779">
        <f>T110+U110+V110</f>
        <v/>
      </c>
    </row>
    <row r="111" hidden="1" ht="15.6" customHeight="1">
      <c r="A111" s="783" t="n"/>
      <c r="B111" s="770" t="inlineStr">
        <is>
          <t>东风鸿远工程咨询有限公司</t>
        </is>
      </c>
      <c r="C111" s="771" t="inlineStr">
        <is>
          <t>2121</t>
        </is>
      </c>
      <c r="D111" s="770" t="inlineStr">
        <is>
          <t>E_624759</t>
        </is>
      </c>
      <c r="E111" s="770" t="inlineStr">
        <is>
          <t>湖北路云信息技术有限公司</t>
        </is>
      </c>
      <c r="F111" s="770" t="inlineStr">
        <is>
          <t>采购款</t>
        </is>
      </c>
      <c r="G111" s="773" t="inlineStr">
        <is>
          <t>供应商</t>
        </is>
      </c>
      <c r="H111" s="774" t="inlineStr">
        <is>
          <t>CNY</t>
        </is>
      </c>
      <c r="I111" s="781" t="n"/>
      <c r="J111" s="781" t="n"/>
      <c r="K111" s="776" t="n"/>
      <c r="L111" s="777" t="n"/>
      <c r="M111" s="777">
        <f>J111+L111</f>
        <v/>
      </c>
      <c r="N111" s="782" t="n">
        <v>-34346.54</v>
      </c>
      <c r="O111" s="775">
        <f>M111-N111</f>
        <v/>
      </c>
      <c r="P111" s="778">
        <f>IF(N111&lt;&gt;0,O111/N111,"")</f>
        <v/>
      </c>
      <c r="Q111" s="776" t="n"/>
      <c r="R111" s="775" t="n"/>
      <c r="S111" s="775" t="n"/>
      <c r="T111" s="775" t="n"/>
      <c r="U111" s="775" t="n"/>
      <c r="V111" s="775" t="n"/>
      <c r="W111" s="775">
        <f>SUM(R111:V111)-M111</f>
        <v/>
      </c>
      <c r="X111" s="779">
        <f>T111+U111+V111</f>
        <v/>
      </c>
    </row>
    <row r="112" hidden="1" ht="15.6" customHeight="1">
      <c r="A112" s="783" t="n"/>
      <c r="B112" s="770" t="inlineStr">
        <is>
          <t>东风鸿远工程咨询有限公司</t>
        </is>
      </c>
      <c r="C112" s="771" t="inlineStr">
        <is>
          <t>2121</t>
        </is>
      </c>
      <c r="D112" s="770" t="inlineStr">
        <is>
          <t>E_599621</t>
        </is>
      </c>
      <c r="E112" s="770" t="inlineStr">
        <is>
          <t>湖北省地质局第八地质大队</t>
        </is>
      </c>
      <c r="F112" s="770" t="inlineStr">
        <is>
          <t>采购款</t>
        </is>
      </c>
      <c r="G112" s="773" t="inlineStr">
        <is>
          <t>供应商</t>
        </is>
      </c>
      <c r="H112" s="774" t="inlineStr">
        <is>
          <t>CNY</t>
        </is>
      </c>
      <c r="I112" s="781" t="n"/>
      <c r="J112" s="781" t="n"/>
      <c r="K112" s="776" t="n"/>
      <c r="L112" s="777" t="n"/>
      <c r="M112" s="777">
        <f>J112+L112</f>
        <v/>
      </c>
      <c r="N112" s="782" t="n">
        <v>-645799.99</v>
      </c>
      <c r="O112" s="775">
        <f>M112-N112</f>
        <v/>
      </c>
      <c r="P112" s="778">
        <f>IF(N112&lt;&gt;0,O112/N112,"")</f>
        <v/>
      </c>
      <c r="Q112" s="776" t="n"/>
      <c r="R112" s="775" t="n"/>
      <c r="S112" s="775" t="n"/>
      <c r="T112" s="775" t="n"/>
      <c r="U112" s="775" t="n"/>
      <c r="V112" s="775" t="n"/>
      <c r="W112" s="775">
        <f>SUM(R112:V112)-M112</f>
        <v/>
      </c>
      <c r="X112" s="779">
        <f>T112+U112+V112</f>
        <v/>
      </c>
    </row>
    <row r="113" hidden="1" ht="15.6" customHeight="1">
      <c r="A113" s="783" t="n"/>
      <c r="B113" s="770" t="inlineStr">
        <is>
          <t>东风鸿远工程咨询有限公司</t>
        </is>
      </c>
      <c r="C113" s="771" t="inlineStr">
        <is>
          <t>2121</t>
        </is>
      </c>
      <c r="D113" s="770" t="inlineStr">
        <is>
          <t>E_617737</t>
        </is>
      </c>
      <c r="E113" s="770" t="inlineStr">
        <is>
          <t>建科环能科技有限公司</t>
        </is>
      </c>
      <c r="F113" s="770" t="inlineStr">
        <is>
          <t>采购款</t>
        </is>
      </c>
      <c r="G113" s="773" t="inlineStr">
        <is>
          <t>供应商</t>
        </is>
      </c>
      <c r="H113" s="774" t="inlineStr">
        <is>
          <t>CNY</t>
        </is>
      </c>
      <c r="I113" s="781" t="n"/>
      <c r="J113" s="781" t="n"/>
      <c r="K113" s="776" t="n"/>
      <c r="L113" s="777" t="n"/>
      <c r="M113" s="777">
        <f>J113+L113</f>
        <v/>
      </c>
      <c r="N113" s="782" t="n">
        <v>-140000</v>
      </c>
      <c r="O113" s="775">
        <f>M113-N113</f>
        <v/>
      </c>
      <c r="P113" s="778">
        <f>IF(N113&lt;&gt;0,O113/N113,"")</f>
        <v/>
      </c>
      <c r="Q113" s="776" t="n"/>
      <c r="R113" s="775" t="n"/>
      <c r="S113" s="775" t="n"/>
      <c r="T113" s="775" t="n"/>
      <c r="U113" s="775" t="n"/>
      <c r="V113" s="775" t="n"/>
      <c r="W113" s="775">
        <f>SUM(R113:V113)-M113</f>
        <v/>
      </c>
      <c r="X113" s="779">
        <f>T113+U113+V113</f>
        <v/>
      </c>
    </row>
    <row r="114" hidden="1" ht="15.6" customHeight="1">
      <c r="A114" s="783" t="n"/>
      <c r="B114" s="770" t="inlineStr">
        <is>
          <t>东风鸿远工程咨询有限公司</t>
        </is>
      </c>
      <c r="C114" s="771" t="inlineStr">
        <is>
          <t>2121</t>
        </is>
      </c>
      <c r="D114" s="770" t="inlineStr">
        <is>
          <t>E_177127</t>
        </is>
      </c>
      <c r="E114" s="770" t="inlineStr">
        <is>
          <t>襄阳鑫瑞杰文化用品有限公司</t>
        </is>
      </c>
      <c r="F114" s="770" t="inlineStr">
        <is>
          <t>采购款</t>
        </is>
      </c>
      <c r="G114" s="773" t="inlineStr">
        <is>
          <t>供应商</t>
        </is>
      </c>
      <c r="H114" s="774" t="inlineStr">
        <is>
          <t>CNY</t>
        </is>
      </c>
      <c r="I114" s="781" t="n"/>
      <c r="J114" s="781" t="n"/>
      <c r="K114" s="776" t="n"/>
      <c r="L114" s="777" t="n"/>
      <c r="M114" s="777">
        <f>J114+L114</f>
        <v/>
      </c>
      <c r="N114" s="782" t="n">
        <v>-1432.5</v>
      </c>
      <c r="O114" s="775">
        <f>M114-N114</f>
        <v/>
      </c>
      <c r="P114" s="778">
        <f>IF(N114&lt;&gt;0,O114/N114,"")</f>
        <v/>
      </c>
      <c r="Q114" s="776" t="n"/>
      <c r="R114" s="775" t="n"/>
      <c r="S114" s="775" t="n"/>
      <c r="T114" s="775" t="n"/>
      <c r="U114" s="775" t="n"/>
      <c r="V114" s="775" t="n"/>
      <c r="W114" s="775">
        <f>SUM(R114:V114)-M114</f>
        <v/>
      </c>
      <c r="X114" s="779">
        <f>T114+U114+V114</f>
        <v/>
      </c>
    </row>
    <row r="115" hidden="1" ht="15.6" customHeight="1">
      <c r="A115" s="783" t="n"/>
      <c r="B115" s="770" t="inlineStr">
        <is>
          <t>东风鸿远工程咨询有限公司</t>
        </is>
      </c>
      <c r="C115" s="771" t="inlineStr">
        <is>
          <t>2121</t>
        </is>
      </c>
      <c r="D115" s="770" t="inlineStr">
        <is>
          <t>E_627733</t>
        </is>
      </c>
      <c r="E115" s="770" t="inlineStr">
        <is>
          <t>中诚圣苑工程设计有限公司雁塔分公司</t>
        </is>
      </c>
      <c r="F115" s="770" t="inlineStr">
        <is>
          <t>采购款</t>
        </is>
      </c>
      <c r="G115" s="773" t="inlineStr">
        <is>
          <t>供应商</t>
        </is>
      </c>
      <c r="H115" s="774" t="inlineStr">
        <is>
          <t>CNY</t>
        </is>
      </c>
      <c r="I115" s="781" t="n"/>
      <c r="J115" s="781" t="n"/>
      <c r="K115" s="776" t="n"/>
      <c r="L115" s="777" t="n"/>
      <c r="M115" s="777">
        <f>J115+L115</f>
        <v/>
      </c>
      <c r="N115" s="782" t="n">
        <v>-306852.1</v>
      </c>
      <c r="O115" s="775">
        <f>M115-N115</f>
        <v/>
      </c>
      <c r="P115" s="778">
        <f>IF(N115&lt;&gt;0,O115/N115,"")</f>
        <v/>
      </c>
      <c r="Q115" s="776" t="n"/>
      <c r="R115" s="775" t="n"/>
      <c r="S115" s="775" t="n"/>
      <c r="T115" s="775" t="n"/>
      <c r="U115" s="775" t="n"/>
      <c r="V115" s="775" t="n"/>
      <c r="W115" s="775">
        <f>SUM(R115:V115)-M115</f>
        <v/>
      </c>
      <c r="X115" s="779">
        <f>T115+U115+V115</f>
        <v/>
      </c>
    </row>
    <row r="116" hidden="1" ht="15.6" customHeight="1">
      <c r="A116" s="783" t="n"/>
      <c r="B116" s="770" t="inlineStr">
        <is>
          <t>东风鸿远工程咨询有限公司</t>
        </is>
      </c>
      <c r="C116" s="771" t="inlineStr">
        <is>
          <t>2121</t>
        </is>
      </c>
      <c r="D116" s="770" t="inlineStr">
        <is>
          <t>E_146627</t>
        </is>
      </c>
      <c r="E116" s="770" t="inlineStr">
        <is>
          <t>湖北华炬税务师事务有限公司</t>
        </is>
      </c>
      <c r="F116" s="770" t="inlineStr">
        <is>
          <t>采购款</t>
        </is>
      </c>
      <c r="G116" s="773" t="inlineStr">
        <is>
          <t>供应商</t>
        </is>
      </c>
      <c r="H116" s="774" t="inlineStr">
        <is>
          <t>CNY</t>
        </is>
      </c>
      <c r="I116" s="781" t="n"/>
      <c r="J116" s="781" t="n"/>
      <c r="K116" s="776" t="n"/>
      <c r="L116" s="777" t="n"/>
      <c r="M116" s="777">
        <f>J116+L116</f>
        <v/>
      </c>
      <c r="N116" s="782" t="n">
        <v>-35000</v>
      </c>
      <c r="O116" s="775">
        <f>M116-N116</f>
        <v/>
      </c>
      <c r="P116" s="778">
        <f>IF(N116&lt;&gt;0,O116/N116,"")</f>
        <v/>
      </c>
      <c r="Q116" s="776" t="n"/>
      <c r="R116" s="775" t="n"/>
      <c r="S116" s="775" t="n"/>
      <c r="T116" s="775" t="n"/>
      <c r="U116" s="775" t="n"/>
      <c r="V116" s="775" t="n"/>
      <c r="W116" s="775">
        <f>SUM(R116:V116)-M116</f>
        <v/>
      </c>
      <c r="X116" s="779">
        <f>T116+U116+V116</f>
        <v/>
      </c>
    </row>
    <row r="117" hidden="1" ht="15.6" customHeight="1">
      <c r="A117" s="783" t="n"/>
      <c r="B117" s="770" t="inlineStr">
        <is>
          <t>东风鸿远工程咨询有限公司</t>
        </is>
      </c>
      <c r="C117" s="771" t="inlineStr">
        <is>
          <t>2121</t>
        </is>
      </c>
      <c r="D117" s="770" t="inlineStr">
        <is>
          <t>E_613979</t>
        </is>
      </c>
      <c r="E117" s="770" t="inlineStr">
        <is>
          <t>襄阳市环知管业有限公司</t>
        </is>
      </c>
      <c r="F117" s="770" t="inlineStr">
        <is>
          <t>采购款</t>
        </is>
      </c>
      <c r="G117" s="773" t="inlineStr">
        <is>
          <t>供应商</t>
        </is>
      </c>
      <c r="H117" s="774" t="inlineStr">
        <is>
          <t>CNY</t>
        </is>
      </c>
      <c r="I117" s="781" t="n"/>
      <c r="J117" s="781" t="n"/>
      <c r="K117" s="776" t="n"/>
      <c r="L117" s="777" t="n"/>
      <c r="M117" s="777">
        <f>J117+L117</f>
        <v/>
      </c>
      <c r="N117" s="782" t="n">
        <v>-1458.41</v>
      </c>
      <c r="O117" s="775">
        <f>M117-N117</f>
        <v/>
      </c>
      <c r="P117" s="778">
        <f>IF(N117&lt;&gt;0,O117/N117,"")</f>
        <v/>
      </c>
      <c r="Q117" s="776" t="n"/>
      <c r="R117" s="775" t="n"/>
      <c r="S117" s="775" t="n"/>
      <c r="T117" s="775" t="n"/>
      <c r="U117" s="775" t="n"/>
      <c r="V117" s="775" t="n"/>
      <c r="W117" s="775">
        <f>SUM(R117:V117)-M117</f>
        <v/>
      </c>
      <c r="X117" s="779">
        <f>T117+U117+V117</f>
        <v/>
      </c>
    </row>
    <row r="118" hidden="1" ht="15.6" customHeight="1">
      <c r="A118" s="783" t="n"/>
      <c r="B118" s="770" t="inlineStr">
        <is>
          <t>东风鸿远工程咨询有限公司</t>
        </is>
      </c>
      <c r="C118" s="771" t="inlineStr">
        <is>
          <t>2121</t>
        </is>
      </c>
      <c r="D118" s="770" t="inlineStr">
        <is>
          <t>E_623969</t>
        </is>
      </c>
      <c r="E118" s="770" t="inlineStr">
        <is>
          <t>武汉源景实创数字科技有限公司</t>
        </is>
      </c>
      <c r="F118" s="770" t="inlineStr">
        <is>
          <t>采购款</t>
        </is>
      </c>
      <c r="G118" s="773" t="inlineStr">
        <is>
          <t>供应商</t>
        </is>
      </c>
      <c r="H118" s="774" t="inlineStr">
        <is>
          <t>CNY</t>
        </is>
      </c>
      <c r="I118" s="781" t="n"/>
      <c r="J118" s="781" t="n"/>
      <c r="K118" s="776" t="n"/>
      <c r="L118" s="777" t="n"/>
      <c r="M118" s="777">
        <f>J118+L118</f>
        <v/>
      </c>
      <c r="N118" s="782" t="n">
        <v>-57915.09</v>
      </c>
      <c r="O118" s="775">
        <f>M118-N118</f>
        <v/>
      </c>
      <c r="P118" s="778">
        <f>IF(N118&lt;&gt;0,O118/N118,"")</f>
        <v/>
      </c>
      <c r="Q118" s="776" t="n"/>
      <c r="R118" s="775" t="n"/>
      <c r="S118" s="775" t="n"/>
      <c r="T118" s="775" t="n"/>
      <c r="U118" s="775" t="n"/>
      <c r="V118" s="775" t="n"/>
      <c r="W118" s="775">
        <f>SUM(R118:V118)-M118</f>
        <v/>
      </c>
      <c r="X118" s="779">
        <f>T118+U118+V118</f>
        <v/>
      </c>
    </row>
    <row r="119" hidden="1" ht="15.6" customHeight="1">
      <c r="A119" s="783" t="n"/>
      <c r="B119" s="770" t="inlineStr">
        <is>
          <t>东风鸿远工程咨询有限公司</t>
        </is>
      </c>
      <c r="C119" s="771" t="inlineStr">
        <is>
          <t>2121</t>
        </is>
      </c>
      <c r="D119" s="770" t="inlineStr">
        <is>
          <t>E_614350</t>
        </is>
      </c>
      <c r="E119" s="770" t="inlineStr">
        <is>
          <t>湖北省汉江亿辉工程有限公司</t>
        </is>
      </c>
      <c r="F119" s="770" t="inlineStr">
        <is>
          <t>采购款</t>
        </is>
      </c>
      <c r="G119" s="773" t="inlineStr">
        <is>
          <t>供应商</t>
        </is>
      </c>
      <c r="H119" s="774" t="inlineStr">
        <is>
          <t>CNY</t>
        </is>
      </c>
      <c r="I119" s="781" t="n"/>
      <c r="J119" s="781" t="n"/>
      <c r="K119" s="776" t="n"/>
      <c r="L119" s="777" t="n"/>
      <c r="M119" s="777">
        <f>J119+L119</f>
        <v/>
      </c>
      <c r="N119" s="782" t="n">
        <v>0</v>
      </c>
      <c r="O119" s="775">
        <f>M119-N119</f>
        <v/>
      </c>
      <c r="P119" s="778">
        <f>IF(N119&lt;&gt;0,O119/N119,"")</f>
        <v/>
      </c>
      <c r="Q119" s="776" t="n"/>
      <c r="R119" s="775" t="n"/>
      <c r="S119" s="775" t="n"/>
      <c r="T119" s="775" t="n"/>
      <c r="U119" s="775" t="n"/>
      <c r="V119" s="775" t="n"/>
      <c r="W119" s="775">
        <f>SUM(R119:V119)-M119</f>
        <v/>
      </c>
      <c r="X119" s="779">
        <f>T119+U119+V119</f>
        <v/>
      </c>
    </row>
    <row r="120" hidden="1" ht="15.6" customHeight="1">
      <c r="A120" s="783" t="n"/>
      <c r="B120" s="770" t="inlineStr">
        <is>
          <t>东风鸿远工程咨询有限公司</t>
        </is>
      </c>
      <c r="C120" s="771" t="inlineStr">
        <is>
          <t>2121</t>
        </is>
      </c>
      <c r="D120" s="770" t="inlineStr">
        <is>
          <t>E_668714</t>
        </is>
      </c>
      <c r="E120" s="770" t="inlineStr">
        <is>
          <t>枣阳市建筑设计研究院</t>
        </is>
      </c>
      <c r="F120" s="770" t="inlineStr">
        <is>
          <t>采购款</t>
        </is>
      </c>
      <c r="G120" s="773" t="inlineStr">
        <is>
          <t>供应商</t>
        </is>
      </c>
      <c r="H120" s="774" t="inlineStr">
        <is>
          <t>CNY</t>
        </is>
      </c>
      <c r="I120" s="781" t="n"/>
      <c r="J120" s="781" t="n"/>
      <c r="K120" s="776" t="n"/>
      <c r="L120" s="777" t="n"/>
      <c r="M120" s="777">
        <f>J120+L120</f>
        <v/>
      </c>
      <c r="N120" s="782" t="n">
        <v>-378207.55</v>
      </c>
      <c r="O120" s="775">
        <f>M120-N120</f>
        <v/>
      </c>
      <c r="P120" s="778">
        <f>IF(N120&lt;&gt;0,O120/N120,"")</f>
        <v/>
      </c>
      <c r="Q120" s="776" t="n"/>
      <c r="R120" s="775" t="n"/>
      <c r="S120" s="775" t="n"/>
      <c r="T120" s="775" t="n"/>
      <c r="U120" s="775" t="n"/>
      <c r="V120" s="775" t="n"/>
      <c r="W120" s="775">
        <f>SUM(R120:V120)-M120</f>
        <v/>
      </c>
      <c r="X120" s="779">
        <f>T120+U120+V120</f>
        <v/>
      </c>
    </row>
    <row r="121" hidden="1" ht="15.6" customHeight="1">
      <c r="A121" s="783" t="n"/>
      <c r="B121" s="770" t="inlineStr">
        <is>
          <t>东风鸿远工程咨询有限公司</t>
        </is>
      </c>
      <c r="C121" s="771" t="inlineStr">
        <is>
          <t>2121</t>
        </is>
      </c>
      <c r="D121" s="770" t="inlineStr">
        <is>
          <t>E_617035</t>
        </is>
      </c>
      <c r="E121" s="770" t="inlineStr">
        <is>
          <t>湖北地智劳务有限公司</t>
        </is>
      </c>
      <c r="F121" s="770" t="inlineStr">
        <is>
          <t>采购款</t>
        </is>
      </c>
      <c r="G121" s="773" t="inlineStr">
        <is>
          <t>供应商</t>
        </is>
      </c>
      <c r="H121" s="774" t="inlineStr">
        <is>
          <t>CNY</t>
        </is>
      </c>
      <c r="I121" s="781" t="n"/>
      <c r="J121" s="781" t="n"/>
      <c r="K121" s="776" t="n"/>
      <c r="L121" s="777" t="n"/>
      <c r="M121" s="777">
        <f>J121+L121</f>
        <v/>
      </c>
      <c r="N121" s="782" t="n">
        <v>0</v>
      </c>
      <c r="O121" s="775">
        <f>M121-N121</f>
        <v/>
      </c>
      <c r="P121" s="778">
        <f>IF(N121&lt;&gt;0,O121/N121,"")</f>
        <v/>
      </c>
      <c r="Q121" s="776" t="n"/>
      <c r="R121" s="775" t="n"/>
      <c r="S121" s="775" t="n"/>
      <c r="T121" s="775" t="n"/>
      <c r="U121" s="775" t="n"/>
      <c r="V121" s="775" t="n"/>
      <c r="W121" s="775">
        <f>SUM(R121:V121)-M121</f>
        <v/>
      </c>
      <c r="X121" s="779">
        <f>T121+U121+V121</f>
        <v/>
      </c>
    </row>
    <row r="122" hidden="1" ht="15.6" customHeight="1">
      <c r="A122" s="783" t="n"/>
      <c r="B122" s="770" t="inlineStr">
        <is>
          <t>东风鸿远工程咨询有限公司</t>
        </is>
      </c>
      <c r="C122" s="771" t="inlineStr">
        <is>
          <t>2121</t>
        </is>
      </c>
      <c r="D122" s="770" t="inlineStr">
        <is>
          <t>E_765323</t>
        </is>
      </c>
      <c r="E122" s="770" t="inlineStr">
        <is>
          <t>秦皇岛市天垚地质勘查施工队</t>
        </is>
      </c>
      <c r="F122" s="770" t="inlineStr">
        <is>
          <t>采购款</t>
        </is>
      </c>
      <c r="G122" s="773" t="inlineStr">
        <is>
          <t>供应商</t>
        </is>
      </c>
      <c r="H122" s="774" t="inlineStr">
        <is>
          <t>CNY</t>
        </is>
      </c>
      <c r="I122" s="781" t="n"/>
      <c r="J122" s="781" t="n"/>
      <c r="K122" s="776" t="n"/>
      <c r="L122" s="777" t="n"/>
      <c r="M122" s="777">
        <f>J122+L122</f>
        <v/>
      </c>
      <c r="N122" s="782" t="n">
        <v>-8453.4</v>
      </c>
      <c r="O122" s="775">
        <f>M122-N122</f>
        <v/>
      </c>
      <c r="P122" s="778">
        <f>IF(N122&lt;&gt;0,O122/N122,"")</f>
        <v/>
      </c>
      <c r="Q122" s="776" t="n"/>
      <c r="R122" s="775" t="n"/>
      <c r="S122" s="775" t="n"/>
      <c r="T122" s="775" t="n"/>
      <c r="U122" s="775" t="n"/>
      <c r="V122" s="775" t="n"/>
      <c r="W122" s="775">
        <f>SUM(R122:V122)-M122</f>
        <v/>
      </c>
      <c r="X122" s="779">
        <f>T122+U122+V122</f>
        <v/>
      </c>
    </row>
    <row r="123" hidden="1" ht="15.6" customHeight="1">
      <c r="A123" s="783" t="n"/>
      <c r="B123" s="770" t="inlineStr">
        <is>
          <t>东风鸿远工程咨询有限公司</t>
        </is>
      </c>
      <c r="C123" s="771" t="inlineStr">
        <is>
          <t>2121</t>
        </is>
      </c>
      <c r="D123" s="770" t="inlineStr">
        <is>
          <t>E_605798</t>
        </is>
      </c>
      <c r="E123" s="770" t="inlineStr">
        <is>
          <t>山东新岳工程勘察有限公司</t>
        </is>
      </c>
      <c r="F123" s="770" t="inlineStr">
        <is>
          <t>采购款</t>
        </is>
      </c>
      <c r="G123" s="773" t="inlineStr">
        <is>
          <t>供应商</t>
        </is>
      </c>
      <c r="H123" s="774" t="inlineStr">
        <is>
          <t>CNY</t>
        </is>
      </c>
      <c r="I123" s="781" t="n"/>
      <c r="J123" s="781" t="n"/>
      <c r="K123" s="776" t="n"/>
      <c r="L123" s="777" t="n"/>
      <c r="M123" s="777">
        <f>J123+L123</f>
        <v/>
      </c>
      <c r="N123" s="782" t="n">
        <v>-50000</v>
      </c>
      <c r="O123" s="775">
        <f>M123-N123</f>
        <v/>
      </c>
      <c r="P123" s="778">
        <f>IF(N123&lt;&gt;0,O123/N123,"")</f>
        <v/>
      </c>
      <c r="Q123" s="776" t="n"/>
      <c r="R123" s="775" t="n"/>
      <c r="S123" s="775" t="n"/>
      <c r="T123" s="775" t="n"/>
      <c r="U123" s="775" t="n"/>
      <c r="V123" s="775" t="n"/>
      <c r="W123" s="775">
        <f>SUM(R123:V123)-M123</f>
        <v/>
      </c>
      <c r="X123" s="779">
        <f>T123+U123+V123</f>
        <v/>
      </c>
    </row>
    <row r="124" hidden="1" ht="15.6" customHeight="1">
      <c r="A124" s="783" t="n"/>
      <c r="B124" s="770" t="inlineStr">
        <is>
          <t>东风鸿远工程咨询有限公司</t>
        </is>
      </c>
      <c r="C124" s="771" t="inlineStr">
        <is>
          <t>2121</t>
        </is>
      </c>
      <c r="D124" s="770" t="inlineStr">
        <is>
          <t>E_736186</t>
        </is>
      </c>
      <c r="E124" s="770" t="inlineStr">
        <is>
          <t>湖北汉江京福科技发展有限公司</t>
        </is>
      </c>
      <c r="F124" s="770" t="inlineStr">
        <is>
          <t>采购款</t>
        </is>
      </c>
      <c r="G124" s="773" t="inlineStr">
        <is>
          <t>供应商</t>
        </is>
      </c>
      <c r="H124" s="774" t="inlineStr">
        <is>
          <t>CNY</t>
        </is>
      </c>
      <c r="I124" s="781" t="n"/>
      <c r="J124" s="781" t="n"/>
      <c r="K124" s="776" t="n"/>
      <c r="L124" s="777" t="n"/>
      <c r="M124" s="777">
        <f>J124+L124</f>
        <v/>
      </c>
      <c r="N124" s="782" t="n">
        <v>-5400</v>
      </c>
      <c r="O124" s="775">
        <f>M124-N124</f>
        <v/>
      </c>
      <c r="P124" s="778">
        <f>IF(N124&lt;&gt;0,O124/N124,"")</f>
        <v/>
      </c>
      <c r="Q124" s="776" t="n"/>
      <c r="R124" s="775" t="n"/>
      <c r="S124" s="775" t="n"/>
      <c r="T124" s="775" t="n"/>
      <c r="U124" s="775" t="n"/>
      <c r="V124" s="775" t="n"/>
      <c r="W124" s="775">
        <f>SUM(R124:V124)-M124</f>
        <v/>
      </c>
      <c r="X124" s="779">
        <f>T124+U124+V124</f>
        <v/>
      </c>
    </row>
    <row r="125" hidden="1" ht="15.6" customHeight="1">
      <c r="A125" s="783" t="n"/>
      <c r="B125" s="770" t="inlineStr">
        <is>
          <t>东风鸿远工程咨询有限公司</t>
        </is>
      </c>
      <c r="C125" s="771" t="inlineStr">
        <is>
          <t>2121</t>
        </is>
      </c>
      <c r="D125" s="770" t="inlineStr">
        <is>
          <t>E_625115</t>
        </is>
      </c>
      <c r="E125" s="770" t="inlineStr">
        <is>
          <t>谷城县建筑设计院</t>
        </is>
      </c>
      <c r="F125" s="770" t="inlineStr">
        <is>
          <t>采购款</t>
        </is>
      </c>
      <c r="G125" s="773" t="inlineStr">
        <is>
          <t>供应商</t>
        </is>
      </c>
      <c r="H125" s="774" t="inlineStr">
        <is>
          <t>CNY</t>
        </is>
      </c>
      <c r="I125" s="781" t="n"/>
      <c r="J125" s="781" t="n"/>
      <c r="K125" s="776" t="n"/>
      <c r="L125" s="777" t="n"/>
      <c r="M125" s="777">
        <f>J125+L125</f>
        <v/>
      </c>
      <c r="N125" s="782" t="n">
        <v>-91769.28999999999</v>
      </c>
      <c r="O125" s="775">
        <f>M125-N125</f>
        <v/>
      </c>
      <c r="P125" s="778">
        <f>IF(N125&lt;&gt;0,O125/N125,"")</f>
        <v/>
      </c>
      <c r="Q125" s="776" t="n"/>
      <c r="R125" s="775" t="n"/>
      <c r="S125" s="775" t="n"/>
      <c r="T125" s="775" t="n"/>
      <c r="U125" s="775" t="n"/>
      <c r="V125" s="775" t="n"/>
      <c r="W125" s="775">
        <f>SUM(R125:V125)-M125</f>
        <v/>
      </c>
      <c r="X125" s="779">
        <f>T125+U125+V125</f>
        <v/>
      </c>
    </row>
    <row r="126" hidden="1" ht="15.6" customHeight="1">
      <c r="A126" s="783" t="n"/>
      <c r="B126" s="770" t="inlineStr">
        <is>
          <t>东风鸿远工程咨询有限公司</t>
        </is>
      </c>
      <c r="C126" s="771" t="inlineStr">
        <is>
          <t>2121</t>
        </is>
      </c>
      <c r="D126" s="770" t="inlineStr">
        <is>
          <t>E_823758</t>
        </is>
      </c>
      <c r="E126" s="770" t="inlineStr">
        <is>
          <t>河北中天环保有限公司</t>
        </is>
      </c>
      <c r="F126" s="770" t="inlineStr">
        <is>
          <t>采购款</t>
        </is>
      </c>
      <c r="G126" s="773" t="inlineStr">
        <is>
          <t>供应商</t>
        </is>
      </c>
      <c r="H126" s="774" t="inlineStr">
        <is>
          <t>CNY</t>
        </is>
      </c>
      <c r="I126" s="781" t="n"/>
      <c r="J126" s="781" t="n"/>
      <c r="K126" s="776" t="n"/>
      <c r="L126" s="777" t="n"/>
      <c r="M126" s="777">
        <f>J126+L126</f>
        <v/>
      </c>
      <c r="N126" s="782" t="n">
        <v>-192000</v>
      </c>
      <c r="O126" s="775">
        <f>M126-N126</f>
        <v/>
      </c>
      <c r="P126" s="778">
        <f>IF(N126&lt;&gt;0,O126/N126,"")</f>
        <v/>
      </c>
      <c r="Q126" s="776" t="n"/>
      <c r="R126" s="775" t="n"/>
      <c r="S126" s="775" t="n"/>
      <c r="T126" s="775" t="n"/>
      <c r="U126" s="775" t="n"/>
      <c r="V126" s="775" t="n"/>
      <c r="W126" s="775">
        <f>SUM(R126:V126)-M126</f>
        <v/>
      </c>
      <c r="X126" s="779">
        <f>T126+U126+V126</f>
        <v/>
      </c>
    </row>
    <row r="127" hidden="1" ht="15.6" customHeight="1">
      <c r="A127" s="783" t="n"/>
      <c r="B127" s="770" t="inlineStr">
        <is>
          <t>东风鸿远工程咨询有限公司</t>
        </is>
      </c>
      <c r="C127" s="771" t="inlineStr">
        <is>
          <t>2121</t>
        </is>
      </c>
      <c r="D127" s="770" t="inlineStr">
        <is>
          <t>E_699582</t>
        </is>
      </c>
      <c r="E127" s="770" t="inlineStr">
        <is>
          <t>襄阳云上家建筑装饰工程有限公司</t>
        </is>
      </c>
      <c r="F127" s="770" t="inlineStr">
        <is>
          <t>采购款</t>
        </is>
      </c>
      <c r="G127" s="773" t="inlineStr">
        <is>
          <t>供应商</t>
        </is>
      </c>
      <c r="H127" s="774" t="inlineStr">
        <is>
          <t>CNY</t>
        </is>
      </c>
      <c r="I127" s="781" t="n"/>
      <c r="J127" s="781" t="n"/>
      <c r="K127" s="776" t="n"/>
      <c r="L127" s="777" t="n"/>
      <c r="M127" s="777">
        <f>J127+L127</f>
        <v/>
      </c>
      <c r="N127" s="782" t="n">
        <v>0</v>
      </c>
      <c r="O127" s="775">
        <f>M127-N127</f>
        <v/>
      </c>
      <c r="P127" s="778">
        <f>IF(N127&lt;&gt;0,O127/N127,"")</f>
        <v/>
      </c>
      <c r="Q127" s="776" t="n"/>
      <c r="R127" s="775" t="n"/>
      <c r="S127" s="775" t="n"/>
      <c r="T127" s="775" t="n"/>
      <c r="U127" s="775" t="n"/>
      <c r="V127" s="775" t="n"/>
      <c r="W127" s="775">
        <f>SUM(R127:V127)-M127</f>
        <v/>
      </c>
      <c r="X127" s="779">
        <f>T127+U127+V127</f>
        <v/>
      </c>
    </row>
    <row r="128" hidden="1" ht="15.6" customHeight="1">
      <c r="A128" s="783" t="n"/>
      <c r="B128" s="770" t="inlineStr">
        <is>
          <t>东风鸿远工程咨询有限公司</t>
        </is>
      </c>
      <c r="C128" s="771" t="inlineStr">
        <is>
          <t>2121</t>
        </is>
      </c>
      <c r="D128" s="770" t="inlineStr">
        <is>
          <t>E_624959</t>
        </is>
      </c>
      <c r="E128" s="770" t="inlineStr">
        <is>
          <t>湖北固石岩土工程勘察有限公司</t>
        </is>
      </c>
      <c r="F128" s="770" t="inlineStr">
        <is>
          <t>采购款</t>
        </is>
      </c>
      <c r="G128" s="773" t="inlineStr">
        <is>
          <t>供应商</t>
        </is>
      </c>
      <c r="H128" s="774" t="inlineStr">
        <is>
          <t>CNY</t>
        </is>
      </c>
      <c r="I128" s="781" t="n"/>
      <c r="J128" s="781" t="n"/>
      <c r="K128" s="776" t="n"/>
      <c r="L128" s="777" t="n"/>
      <c r="M128" s="777">
        <f>J128+L128</f>
        <v/>
      </c>
      <c r="N128" s="782" t="n">
        <v>-248893.31</v>
      </c>
      <c r="O128" s="775">
        <f>M128-N128</f>
        <v/>
      </c>
      <c r="P128" s="778">
        <f>IF(N128&lt;&gt;0,O128/N128,"")</f>
        <v/>
      </c>
      <c r="Q128" s="776" t="n"/>
      <c r="R128" s="775" t="n"/>
      <c r="S128" s="775" t="n"/>
      <c r="T128" s="775" t="n"/>
      <c r="U128" s="775" t="n"/>
      <c r="V128" s="775" t="n"/>
      <c r="W128" s="775">
        <f>SUM(R128:V128)-M128</f>
        <v/>
      </c>
      <c r="X128" s="779">
        <f>T128+U128+V128</f>
        <v/>
      </c>
    </row>
    <row r="129" hidden="1" ht="15.6" customHeight="1">
      <c r="A129" s="783" t="n"/>
      <c r="B129" s="770" t="inlineStr">
        <is>
          <t>东风鸿远工程咨询有限公司</t>
        </is>
      </c>
      <c r="C129" s="771" t="inlineStr">
        <is>
          <t>2121</t>
        </is>
      </c>
      <c r="D129" s="770" t="inlineStr">
        <is>
          <t>E_857900</t>
        </is>
      </c>
      <c r="E129" s="770" t="inlineStr">
        <is>
          <t>湖北省锦安工程设计咨询有限公司</t>
        </is>
      </c>
      <c r="F129" s="770" t="inlineStr">
        <is>
          <t>采购款</t>
        </is>
      </c>
      <c r="G129" s="773" t="inlineStr">
        <is>
          <t>供应商</t>
        </is>
      </c>
      <c r="H129" s="774" t="inlineStr">
        <is>
          <t>CNY</t>
        </is>
      </c>
      <c r="I129" s="781" t="n"/>
      <c r="J129" s="781" t="n"/>
      <c r="K129" s="776" t="n"/>
      <c r="L129" s="777" t="n"/>
      <c r="M129" s="777">
        <f>J129+L129</f>
        <v/>
      </c>
      <c r="N129" s="782" t="n">
        <v>-79207.92</v>
      </c>
      <c r="O129" s="775">
        <f>M129-N129</f>
        <v/>
      </c>
      <c r="P129" s="778">
        <f>IF(N129&lt;&gt;0,O129/N129,"")</f>
        <v/>
      </c>
      <c r="Q129" s="776" t="n"/>
      <c r="R129" s="775" t="n"/>
      <c r="S129" s="775" t="n"/>
      <c r="T129" s="775" t="n"/>
      <c r="U129" s="775" t="n"/>
      <c r="V129" s="775" t="n"/>
      <c r="W129" s="775">
        <f>SUM(R129:V129)-M129</f>
        <v/>
      </c>
      <c r="X129" s="779">
        <f>T129+U129+V129</f>
        <v/>
      </c>
    </row>
    <row r="130" hidden="1" ht="15.6" customHeight="1">
      <c r="A130" s="783" t="n"/>
      <c r="B130" s="770" t="inlineStr">
        <is>
          <t>东风鸿远工程咨询有限公司</t>
        </is>
      </c>
      <c r="C130" s="771" t="inlineStr">
        <is>
          <t>2121</t>
        </is>
      </c>
      <c r="D130" s="770" t="inlineStr">
        <is>
          <t>E_609898</t>
        </is>
      </c>
      <c r="E130" s="770" t="inlineStr">
        <is>
          <t>河北陆源土地规划咨询有限公司</t>
        </is>
      </c>
      <c r="F130" s="770" t="inlineStr">
        <is>
          <t>采购款</t>
        </is>
      </c>
      <c r="G130" s="773" t="inlineStr">
        <is>
          <t>供应商</t>
        </is>
      </c>
      <c r="H130" s="774" t="inlineStr">
        <is>
          <t>CNY</t>
        </is>
      </c>
      <c r="I130" s="781" t="n"/>
      <c r="J130" s="781" t="n"/>
      <c r="K130" s="776" t="n"/>
      <c r="L130" s="777" t="n"/>
      <c r="M130" s="777">
        <f>J130+L130</f>
        <v/>
      </c>
      <c r="N130" s="782" t="n">
        <v>-112655.42</v>
      </c>
      <c r="O130" s="775">
        <f>M130-N130</f>
        <v/>
      </c>
      <c r="P130" s="778">
        <f>IF(N130&lt;&gt;0,O130/N130,"")</f>
        <v/>
      </c>
      <c r="Q130" s="776" t="n"/>
      <c r="R130" s="775" t="n"/>
      <c r="S130" s="775" t="n"/>
      <c r="T130" s="775" t="n"/>
      <c r="U130" s="775" t="n"/>
      <c r="V130" s="775" t="n"/>
      <c r="W130" s="775">
        <f>SUM(R130:V130)-M130</f>
        <v/>
      </c>
      <c r="X130" s="779">
        <f>T130+U130+V130</f>
        <v/>
      </c>
    </row>
    <row r="131" hidden="1" ht="15.6" customHeight="1">
      <c r="A131" s="783" t="n"/>
      <c r="B131" s="770" t="inlineStr">
        <is>
          <t>东风鸿远工程咨询有限公司</t>
        </is>
      </c>
      <c r="C131" s="771" t="inlineStr">
        <is>
          <t>2121</t>
        </is>
      </c>
      <c r="D131" s="770" t="inlineStr">
        <is>
          <t>E_598585</t>
        </is>
      </c>
      <c r="E131" s="770" t="inlineStr">
        <is>
          <t>容海川城乡规划设计有限公司</t>
        </is>
      </c>
      <c r="F131" s="770" t="inlineStr">
        <is>
          <t>采购款</t>
        </is>
      </c>
      <c r="G131" s="773" t="inlineStr">
        <is>
          <t>供应商</t>
        </is>
      </c>
      <c r="H131" s="774" t="inlineStr">
        <is>
          <t>CNY</t>
        </is>
      </c>
      <c r="I131" s="781" t="n"/>
      <c r="J131" s="781" t="n"/>
      <c r="K131" s="776" t="n"/>
      <c r="L131" s="777" t="n"/>
      <c r="M131" s="777">
        <f>J131+L131</f>
        <v/>
      </c>
      <c r="N131" s="782" t="n">
        <v>-94339.62</v>
      </c>
      <c r="O131" s="775">
        <f>M131-N131</f>
        <v/>
      </c>
      <c r="P131" s="778">
        <f>IF(N131&lt;&gt;0,O131/N131,"")</f>
        <v/>
      </c>
      <c r="Q131" s="776" t="n"/>
      <c r="R131" s="775" t="n"/>
      <c r="S131" s="775" t="n"/>
      <c r="T131" s="775" t="n"/>
      <c r="U131" s="775" t="n"/>
      <c r="V131" s="775" t="n"/>
      <c r="W131" s="775">
        <f>SUM(R131:V131)-M131</f>
        <v/>
      </c>
      <c r="X131" s="779">
        <f>T131+U131+V131</f>
        <v/>
      </c>
    </row>
    <row r="132" hidden="1" ht="15.6" customHeight="1">
      <c r="A132" s="783" t="n"/>
      <c r="B132" s="770" t="inlineStr">
        <is>
          <t>东风鸿远工程咨询有限公司</t>
        </is>
      </c>
      <c r="C132" s="771" t="inlineStr">
        <is>
          <t>2121</t>
        </is>
      </c>
      <c r="D132" s="770" t="inlineStr">
        <is>
          <t>E_624793</t>
        </is>
      </c>
      <c r="E132" s="770" t="inlineStr">
        <is>
          <t>中伦国际设计集团有限公司襄阳分公司</t>
        </is>
      </c>
      <c r="F132" s="770" t="inlineStr">
        <is>
          <t>采购款</t>
        </is>
      </c>
      <c r="G132" s="773" t="inlineStr">
        <is>
          <t>供应商</t>
        </is>
      </c>
      <c r="H132" s="774" t="inlineStr">
        <is>
          <t>CNY</t>
        </is>
      </c>
      <c r="I132" s="781" t="n"/>
      <c r="J132" s="781" t="n"/>
      <c r="K132" s="776" t="n"/>
      <c r="L132" s="777" t="n"/>
      <c r="M132" s="777">
        <f>J132+L132</f>
        <v/>
      </c>
      <c r="N132" s="782" t="n">
        <v>-5825.24</v>
      </c>
      <c r="O132" s="775">
        <f>M132-N132</f>
        <v/>
      </c>
      <c r="P132" s="778">
        <f>IF(N132&lt;&gt;0,O132/N132,"")</f>
        <v/>
      </c>
      <c r="Q132" s="776" t="n"/>
      <c r="R132" s="775" t="n"/>
      <c r="S132" s="775" t="n"/>
      <c r="T132" s="775" t="n"/>
      <c r="U132" s="775" t="n"/>
      <c r="V132" s="775" t="n"/>
      <c r="W132" s="775">
        <f>SUM(R132:V132)-M132</f>
        <v/>
      </c>
      <c r="X132" s="779">
        <f>T132+U132+V132</f>
        <v/>
      </c>
    </row>
    <row r="133" hidden="1" ht="15.6" customHeight="1">
      <c r="A133" s="783" t="n"/>
      <c r="B133" s="770" t="inlineStr">
        <is>
          <t>东风鸿远工程咨询有限公司</t>
        </is>
      </c>
      <c r="C133" s="771" t="inlineStr">
        <is>
          <t>2121</t>
        </is>
      </c>
      <c r="D133" s="770" t="inlineStr">
        <is>
          <t>E_614035</t>
        </is>
      </c>
      <c r="E133" s="770" t="inlineStr">
        <is>
          <t>襄阳佳珩商贸有限公司</t>
        </is>
      </c>
      <c r="F133" s="770" t="inlineStr">
        <is>
          <t>采购款</t>
        </is>
      </c>
      <c r="G133" s="773" t="inlineStr">
        <is>
          <t>供应商</t>
        </is>
      </c>
      <c r="H133" s="774" t="inlineStr">
        <is>
          <t>CNY</t>
        </is>
      </c>
      <c r="I133" s="781" t="n"/>
      <c r="J133" s="781" t="n"/>
      <c r="K133" s="776" t="n"/>
      <c r="L133" s="777" t="n"/>
      <c r="M133" s="777">
        <f>J133+L133</f>
        <v/>
      </c>
      <c r="N133" s="782" t="n">
        <v>-10291.26</v>
      </c>
      <c r="O133" s="775">
        <f>M133-N133</f>
        <v/>
      </c>
      <c r="P133" s="778">
        <f>IF(N133&lt;&gt;0,O133/N133,"")</f>
        <v/>
      </c>
      <c r="Q133" s="776" t="n"/>
      <c r="R133" s="775" t="n"/>
      <c r="S133" s="775" t="n"/>
      <c r="T133" s="775" t="n"/>
      <c r="U133" s="775" t="n"/>
      <c r="V133" s="775" t="n"/>
      <c r="W133" s="775">
        <f>SUM(R133:V133)-M133</f>
        <v/>
      </c>
      <c r="X133" s="779">
        <f>T133+U133+V133</f>
        <v/>
      </c>
    </row>
    <row r="134" hidden="1" ht="15.6" customHeight="1">
      <c r="A134" s="783" t="n"/>
      <c r="B134" s="770" t="inlineStr">
        <is>
          <t>东风鸿远工程咨询有限公司</t>
        </is>
      </c>
      <c r="C134" s="771" t="inlineStr">
        <is>
          <t>2121</t>
        </is>
      </c>
      <c r="D134" s="770" t="inlineStr">
        <is>
          <t>E_686470</t>
        </is>
      </c>
      <c r="E134" s="770" t="inlineStr">
        <is>
          <t>湖北梵烨建筑装饰设计有限公司</t>
        </is>
      </c>
      <c r="F134" s="770" t="inlineStr">
        <is>
          <t>采购款</t>
        </is>
      </c>
      <c r="G134" s="773" t="inlineStr">
        <is>
          <t>供应商</t>
        </is>
      </c>
      <c r="H134" s="774" t="inlineStr">
        <is>
          <t>CNY</t>
        </is>
      </c>
      <c r="I134" s="781" t="n"/>
      <c r="J134" s="781" t="n"/>
      <c r="K134" s="776" t="n"/>
      <c r="L134" s="777" t="n"/>
      <c r="M134" s="777">
        <f>J134+L134</f>
        <v/>
      </c>
      <c r="N134" s="782" t="n">
        <v>0</v>
      </c>
      <c r="O134" s="775">
        <f>M134-N134</f>
        <v/>
      </c>
      <c r="P134" s="778">
        <f>IF(N134&lt;&gt;0,O134/N134,"")</f>
        <v/>
      </c>
      <c r="Q134" s="776" t="n"/>
      <c r="R134" s="775" t="n"/>
      <c r="S134" s="775" t="n"/>
      <c r="T134" s="775" t="n"/>
      <c r="U134" s="775" t="n"/>
      <c r="V134" s="775" t="n"/>
      <c r="W134" s="775">
        <f>SUM(R134:V134)-M134</f>
        <v/>
      </c>
      <c r="X134" s="779">
        <f>T134+U134+V134</f>
        <v/>
      </c>
    </row>
    <row r="135" hidden="1" ht="15.6" customHeight="1">
      <c r="A135" s="783" t="n"/>
      <c r="B135" s="770" t="inlineStr">
        <is>
          <t>东风鸿远工程咨询有限公司</t>
        </is>
      </c>
      <c r="C135" s="771" t="inlineStr">
        <is>
          <t>2121</t>
        </is>
      </c>
      <c r="D135" s="770" t="inlineStr">
        <is>
          <t>E_007798</t>
        </is>
      </c>
      <c r="E135" s="770" t="inlineStr">
        <is>
          <t>湖北顺丰速运有限公司</t>
        </is>
      </c>
      <c r="F135" s="770" t="inlineStr">
        <is>
          <t>采购款</t>
        </is>
      </c>
      <c r="G135" s="773" t="inlineStr">
        <is>
          <t>供应商</t>
        </is>
      </c>
      <c r="H135" s="774" t="inlineStr">
        <is>
          <t>CNY</t>
        </is>
      </c>
      <c r="I135" s="781" t="n"/>
      <c r="J135" s="781" t="n"/>
      <c r="K135" s="776" t="n"/>
      <c r="L135" s="777" t="n"/>
      <c r="M135" s="777">
        <f>J135+L135</f>
        <v/>
      </c>
      <c r="N135" s="782" t="n">
        <v>-1465.8</v>
      </c>
      <c r="O135" s="775">
        <f>M135-N135</f>
        <v/>
      </c>
      <c r="P135" s="778">
        <f>IF(N135&lt;&gt;0,O135/N135,"")</f>
        <v/>
      </c>
      <c r="Q135" s="776" t="n"/>
      <c r="R135" s="775" t="n"/>
      <c r="S135" s="775" t="n"/>
      <c r="T135" s="775" t="n"/>
      <c r="U135" s="775" t="n"/>
      <c r="V135" s="775" t="n"/>
      <c r="W135" s="775">
        <f>SUM(R135:V135)-M135</f>
        <v/>
      </c>
      <c r="X135" s="779">
        <f>T135+U135+V135</f>
        <v/>
      </c>
    </row>
    <row r="136" hidden="1" ht="15.6" customHeight="1">
      <c r="A136" s="783" t="n"/>
      <c r="B136" s="770" t="inlineStr">
        <is>
          <t>东风鸿远工程咨询有限公司</t>
        </is>
      </c>
      <c r="C136" s="771" t="inlineStr">
        <is>
          <t>2121</t>
        </is>
      </c>
      <c r="D136" s="770" t="inlineStr">
        <is>
          <t>E_171525</t>
        </is>
      </c>
      <c r="E136" s="770" t="inlineStr">
        <is>
          <t>湖北思扬律师事务所</t>
        </is>
      </c>
      <c r="F136" s="770" t="inlineStr">
        <is>
          <t>采购款</t>
        </is>
      </c>
      <c r="G136" s="773" t="inlineStr">
        <is>
          <t>供应商</t>
        </is>
      </c>
      <c r="H136" s="774" t="inlineStr">
        <is>
          <t>CNY</t>
        </is>
      </c>
      <c r="I136" s="781" t="n"/>
      <c r="J136" s="781" t="n"/>
      <c r="K136" s="776" t="n"/>
      <c r="L136" s="777" t="n"/>
      <c r="M136" s="777">
        <f>J136+L136</f>
        <v/>
      </c>
      <c r="N136" s="782" t="n">
        <v>-82000</v>
      </c>
      <c r="O136" s="775">
        <f>M136-N136</f>
        <v/>
      </c>
      <c r="P136" s="778">
        <f>IF(N136&lt;&gt;0,O136/N136,"")</f>
        <v/>
      </c>
      <c r="Q136" s="776" t="n"/>
      <c r="R136" s="775" t="n"/>
      <c r="S136" s="775" t="n"/>
      <c r="T136" s="775" t="n"/>
      <c r="U136" s="775" t="n"/>
      <c r="V136" s="775" t="n"/>
      <c r="W136" s="775">
        <f>SUM(R136:V136)-M136</f>
        <v/>
      </c>
      <c r="X136" s="779">
        <f>T136+U136+V136</f>
        <v/>
      </c>
    </row>
    <row r="137" hidden="1" ht="15.6" customHeight="1">
      <c r="A137" s="783" t="n"/>
      <c r="B137" s="770" t="inlineStr">
        <is>
          <t>东风鸿远工程咨询有限公司</t>
        </is>
      </c>
      <c r="C137" s="771" t="inlineStr">
        <is>
          <t>2121</t>
        </is>
      </c>
      <c r="D137" s="770" t="inlineStr">
        <is>
          <t>E_658818</t>
        </is>
      </c>
      <c r="E137" s="770" t="inlineStr">
        <is>
          <t>中合一工程设计有限公司襄阳分公司</t>
        </is>
      </c>
      <c r="F137" s="770" t="inlineStr">
        <is>
          <t>采购款</t>
        </is>
      </c>
      <c r="G137" s="773" t="inlineStr">
        <is>
          <t>供应商</t>
        </is>
      </c>
      <c r="H137" s="774" t="inlineStr">
        <is>
          <t>CNY</t>
        </is>
      </c>
      <c r="I137" s="781" t="n"/>
      <c r="J137" s="781" t="n"/>
      <c r="K137" s="776" t="n"/>
      <c r="L137" s="777" t="n"/>
      <c r="M137" s="777">
        <f>J137+L137</f>
        <v/>
      </c>
      <c r="N137" s="782" t="n">
        <v>-429441.19</v>
      </c>
      <c r="O137" s="775">
        <f>M137-N137</f>
        <v/>
      </c>
      <c r="P137" s="778">
        <f>IF(N137&lt;&gt;0,O137/N137,"")</f>
        <v/>
      </c>
      <c r="Q137" s="776" t="n"/>
      <c r="R137" s="775" t="n"/>
      <c r="S137" s="775" t="n"/>
      <c r="T137" s="775" t="n"/>
      <c r="U137" s="775" t="n"/>
      <c r="V137" s="775" t="n"/>
      <c r="W137" s="775">
        <f>SUM(R137:V137)-M137</f>
        <v/>
      </c>
      <c r="X137" s="779">
        <f>T137+U137+V137</f>
        <v/>
      </c>
    </row>
    <row r="138" hidden="1" ht="15.6" customHeight="1">
      <c r="A138" s="783" t="n"/>
      <c r="B138" s="770" t="inlineStr">
        <is>
          <t>东风鸿远工程咨询有限公司</t>
        </is>
      </c>
      <c r="C138" s="771" t="inlineStr">
        <is>
          <t>2121</t>
        </is>
      </c>
      <c r="D138" s="770" t="inlineStr">
        <is>
          <t>E_695163</t>
        </is>
      </c>
      <c r="E138" s="770" t="inlineStr">
        <is>
          <t>湖北纬屹测绘科技有限公司</t>
        </is>
      </c>
      <c r="F138" s="770" t="inlineStr">
        <is>
          <t>采购款</t>
        </is>
      </c>
      <c r="G138" s="773" t="inlineStr">
        <is>
          <t>供应商</t>
        </is>
      </c>
      <c r="H138" s="774" t="inlineStr">
        <is>
          <t>CNY</t>
        </is>
      </c>
      <c r="I138" s="781" t="n"/>
      <c r="J138" s="781" t="n"/>
      <c r="K138" s="776" t="n"/>
      <c r="L138" s="777" t="n"/>
      <c r="M138" s="777">
        <f>J138+L138</f>
        <v/>
      </c>
      <c r="N138" s="782" t="n">
        <v>-21224.99</v>
      </c>
      <c r="O138" s="775">
        <f>M138-N138</f>
        <v/>
      </c>
      <c r="P138" s="778">
        <f>IF(N138&lt;&gt;0,O138/N138,"")</f>
        <v/>
      </c>
      <c r="Q138" s="776" t="n"/>
      <c r="R138" s="775" t="n"/>
      <c r="S138" s="775" t="n"/>
      <c r="T138" s="775" t="n"/>
      <c r="U138" s="775" t="n"/>
      <c r="V138" s="775" t="n"/>
      <c r="W138" s="775">
        <f>SUM(R138:V138)-M138</f>
        <v/>
      </c>
      <c r="X138" s="779">
        <f>T138+U138+V138</f>
        <v/>
      </c>
    </row>
    <row r="139" hidden="1" ht="15.6" customHeight="1">
      <c r="A139" s="783" t="n"/>
      <c r="B139" s="770" t="inlineStr">
        <is>
          <t>东风鸿远工程咨询有限公司</t>
        </is>
      </c>
      <c r="C139" s="771" t="inlineStr">
        <is>
          <t>2121</t>
        </is>
      </c>
      <c r="D139" s="770" t="inlineStr">
        <is>
          <t>E_625053</t>
        </is>
      </c>
      <c r="E139" s="770" t="inlineStr">
        <is>
          <t>襄阳虎威建筑工程有限公司</t>
        </is>
      </c>
      <c r="F139" s="770" t="inlineStr">
        <is>
          <t>采购款</t>
        </is>
      </c>
      <c r="G139" s="773" t="inlineStr">
        <is>
          <t>供应商</t>
        </is>
      </c>
      <c r="H139" s="774" t="inlineStr">
        <is>
          <t>CNY</t>
        </is>
      </c>
      <c r="I139" s="781" t="n"/>
      <c r="J139" s="781" t="n"/>
      <c r="K139" s="776" t="n"/>
      <c r="L139" s="777" t="n"/>
      <c r="M139" s="777">
        <f>J139+L139</f>
        <v/>
      </c>
      <c r="N139" s="782" t="n">
        <v>-84407.77</v>
      </c>
      <c r="O139" s="775">
        <f>M139-N139</f>
        <v/>
      </c>
      <c r="P139" s="778">
        <f>IF(N139&lt;&gt;0,O139/N139,"")</f>
        <v/>
      </c>
      <c r="Q139" s="776" t="n"/>
      <c r="R139" s="775" t="n"/>
      <c r="S139" s="775" t="n"/>
      <c r="T139" s="775" t="n"/>
      <c r="U139" s="775" t="n"/>
      <c r="V139" s="775" t="n"/>
      <c r="W139" s="775">
        <f>SUM(R139:V139)-M139</f>
        <v/>
      </c>
      <c r="X139" s="779">
        <f>T139+U139+V139</f>
        <v/>
      </c>
    </row>
    <row r="140" hidden="1" ht="15.6" customHeight="1">
      <c r="A140" s="783" t="n"/>
      <c r="B140" s="770" t="inlineStr">
        <is>
          <t>东风鸿远工程咨询有限公司</t>
        </is>
      </c>
      <c r="C140" s="771" t="inlineStr">
        <is>
          <t>2121</t>
        </is>
      </c>
      <c r="D140" s="770" t="inlineStr">
        <is>
          <t>E_624758</t>
        </is>
      </c>
      <c r="E140" s="770" t="inlineStr">
        <is>
          <t>湖北重远岩土工程有限公司</t>
        </is>
      </c>
      <c r="F140" s="770" t="inlineStr">
        <is>
          <t>采购款</t>
        </is>
      </c>
      <c r="G140" s="773" t="inlineStr">
        <is>
          <t>供应商</t>
        </is>
      </c>
      <c r="H140" s="774" t="inlineStr">
        <is>
          <t>CNY</t>
        </is>
      </c>
      <c r="I140" s="781" t="n"/>
      <c r="J140" s="781" t="n"/>
      <c r="K140" s="776" t="n"/>
      <c r="L140" s="777" t="n"/>
      <c r="M140" s="777">
        <f>J140+L140</f>
        <v/>
      </c>
      <c r="N140" s="782" t="n">
        <v>-1341571.95</v>
      </c>
      <c r="O140" s="775">
        <f>M140-N140</f>
        <v/>
      </c>
      <c r="P140" s="778">
        <f>IF(N140&lt;&gt;0,O140/N140,"")</f>
        <v/>
      </c>
      <c r="Q140" s="776" t="n"/>
      <c r="R140" s="775" t="n"/>
      <c r="S140" s="775" t="n"/>
      <c r="T140" s="775" t="n"/>
      <c r="U140" s="775" t="n"/>
      <c r="V140" s="775" t="n"/>
      <c r="W140" s="775">
        <f>SUM(R140:V140)-M140</f>
        <v/>
      </c>
      <c r="X140" s="779">
        <f>T140+U140+V140</f>
        <v/>
      </c>
    </row>
    <row r="141" hidden="1" ht="15.6" customHeight="1">
      <c r="A141" s="783" t="n"/>
      <c r="B141" s="770" t="inlineStr">
        <is>
          <t>东风鸿远工程咨询有限公司</t>
        </is>
      </c>
      <c r="C141" s="771" t="inlineStr">
        <is>
          <t>2121</t>
        </is>
      </c>
      <c r="D141" s="770" t="inlineStr">
        <is>
          <t>E_605887</t>
        </is>
      </c>
      <c r="E141" s="770" t="inlineStr">
        <is>
          <t>北桥中七设计有限公司襄阳分公司</t>
        </is>
      </c>
      <c r="F141" s="770" t="inlineStr">
        <is>
          <t>采购款</t>
        </is>
      </c>
      <c r="G141" s="773" t="inlineStr">
        <is>
          <t>供应商</t>
        </is>
      </c>
      <c r="H141" s="774" t="inlineStr">
        <is>
          <t>CNY</t>
        </is>
      </c>
      <c r="I141" s="781" t="n"/>
      <c r="J141" s="781" t="n"/>
      <c r="K141" s="776" t="n"/>
      <c r="L141" s="777" t="n"/>
      <c r="M141" s="777">
        <f>J141+L141</f>
        <v/>
      </c>
      <c r="N141" s="782" t="n">
        <v>-214690.58</v>
      </c>
      <c r="O141" s="775">
        <f>M141-N141</f>
        <v/>
      </c>
      <c r="P141" s="778">
        <f>IF(N141&lt;&gt;0,O141/N141,"")</f>
        <v/>
      </c>
      <c r="Q141" s="776" t="n"/>
      <c r="R141" s="775" t="n"/>
      <c r="S141" s="775" t="n"/>
      <c r="T141" s="775" t="n"/>
      <c r="U141" s="775" t="n"/>
      <c r="V141" s="775" t="n"/>
      <c r="W141" s="775">
        <f>SUM(R141:V141)-M141</f>
        <v/>
      </c>
      <c r="X141" s="779">
        <f>T141+U141+V141</f>
        <v/>
      </c>
    </row>
    <row r="142" hidden="1" ht="15.6" customHeight="1">
      <c r="A142" s="783" t="n"/>
      <c r="B142" s="770" t="inlineStr">
        <is>
          <t>东风鸿远工程咨询有限公司</t>
        </is>
      </c>
      <c r="C142" s="771" t="inlineStr">
        <is>
          <t>2121</t>
        </is>
      </c>
      <c r="D142" s="770" t="inlineStr">
        <is>
          <t>E_679789</t>
        </is>
      </c>
      <c r="E142" s="770" t="inlineStr">
        <is>
          <t>武汉德创志远科技有限公司</t>
        </is>
      </c>
      <c r="F142" s="770" t="inlineStr">
        <is>
          <t>采购款</t>
        </is>
      </c>
      <c r="G142" s="773" t="inlineStr">
        <is>
          <t>供应商</t>
        </is>
      </c>
      <c r="H142" s="774" t="inlineStr">
        <is>
          <t>CNY</t>
        </is>
      </c>
      <c r="I142" s="781" t="n"/>
      <c r="J142" s="781" t="n"/>
      <c r="K142" s="776" t="n"/>
      <c r="L142" s="777" t="n"/>
      <c r="M142" s="777">
        <f>J142+L142</f>
        <v/>
      </c>
      <c r="N142" s="782" t="n">
        <v>0</v>
      </c>
      <c r="O142" s="775">
        <f>M142-N142</f>
        <v/>
      </c>
      <c r="P142" s="778">
        <f>IF(N142&lt;&gt;0,O142/N142,"")</f>
        <v/>
      </c>
      <c r="Q142" s="776" t="n"/>
      <c r="R142" s="775" t="n"/>
      <c r="S142" s="775" t="n"/>
      <c r="T142" s="775" t="n"/>
      <c r="U142" s="775" t="n"/>
      <c r="V142" s="775" t="n"/>
      <c r="W142" s="775">
        <f>SUM(R142:V142)-M142</f>
        <v/>
      </c>
      <c r="X142" s="779">
        <f>T142+U142+V142</f>
        <v/>
      </c>
    </row>
    <row r="143" hidden="1" ht="15.6" customHeight="1">
      <c r="A143" s="783" t="n"/>
      <c r="B143" s="770" t="inlineStr">
        <is>
          <t>东风鸿远工程咨询有限公司</t>
        </is>
      </c>
      <c r="C143" s="771" t="inlineStr">
        <is>
          <t>2121</t>
        </is>
      </c>
      <c r="D143" s="770" t="inlineStr">
        <is>
          <t>E_612422</t>
        </is>
      </c>
      <c r="E143" s="770" t="inlineStr">
        <is>
          <t>湖北盈创建筑装饰设计工程股份有限公司</t>
        </is>
      </c>
      <c r="F143" s="770" t="inlineStr">
        <is>
          <t>采购款</t>
        </is>
      </c>
      <c r="G143" s="773" t="inlineStr">
        <is>
          <t>供应商</t>
        </is>
      </c>
      <c r="H143" s="774" t="inlineStr">
        <is>
          <t>CNY</t>
        </is>
      </c>
      <c r="I143" s="781" t="n"/>
      <c r="J143" s="781" t="n"/>
      <c r="K143" s="776" t="n"/>
      <c r="L143" s="777" t="n"/>
      <c r="M143" s="777">
        <f>J143+L143</f>
        <v/>
      </c>
      <c r="N143" s="782" t="n">
        <v>-124271.84</v>
      </c>
      <c r="O143" s="775">
        <f>M143-N143</f>
        <v/>
      </c>
      <c r="P143" s="778">
        <f>IF(N143&lt;&gt;0,O143/N143,"")</f>
        <v/>
      </c>
      <c r="Q143" s="776" t="n"/>
      <c r="R143" s="775" t="n"/>
      <c r="S143" s="775" t="n"/>
      <c r="T143" s="775" t="n"/>
      <c r="U143" s="775" t="n"/>
      <c r="V143" s="775" t="n"/>
      <c r="W143" s="775">
        <f>SUM(R143:V143)-M143</f>
        <v/>
      </c>
      <c r="X143" s="779">
        <f>T143+U143+V143</f>
        <v/>
      </c>
    </row>
    <row r="144" hidden="1" ht="15.6" customHeight="1">
      <c r="A144" s="783" t="n"/>
      <c r="B144" s="770" t="inlineStr">
        <is>
          <t>东风鸿远工程咨询有限公司</t>
        </is>
      </c>
      <c r="C144" s="771" t="inlineStr">
        <is>
          <t>2121</t>
        </is>
      </c>
      <c r="D144" s="770" t="inlineStr">
        <is>
          <t>E_719753</t>
        </is>
      </c>
      <c r="E144" s="770" t="inlineStr">
        <is>
          <t>普洛斯企业发展(上海)有限公司</t>
        </is>
      </c>
      <c r="F144" s="770" t="inlineStr">
        <is>
          <t>采购款</t>
        </is>
      </c>
      <c r="G144" s="773" t="inlineStr">
        <is>
          <t>供应商</t>
        </is>
      </c>
      <c r="H144" s="774" t="inlineStr">
        <is>
          <t>CNY</t>
        </is>
      </c>
      <c r="I144" s="781" t="n"/>
      <c r="J144" s="781" t="n"/>
      <c r="K144" s="776" t="n"/>
      <c r="L144" s="777" t="n"/>
      <c r="M144" s="777">
        <f>J144+L144</f>
        <v/>
      </c>
      <c r="N144" s="782" t="n">
        <v>-150943.39</v>
      </c>
      <c r="O144" s="775">
        <f>M144-N144</f>
        <v/>
      </c>
      <c r="P144" s="778">
        <f>IF(N144&lt;&gt;0,O144/N144,"")</f>
        <v/>
      </c>
      <c r="Q144" s="776" t="n"/>
      <c r="R144" s="775" t="n"/>
      <c r="S144" s="775" t="n"/>
      <c r="T144" s="775" t="n"/>
      <c r="U144" s="775" t="n"/>
      <c r="V144" s="775" t="n"/>
      <c r="W144" s="775">
        <f>SUM(R144:V144)-M144</f>
        <v/>
      </c>
      <c r="X144" s="779">
        <f>T144+U144+V144</f>
        <v/>
      </c>
    </row>
    <row r="145" hidden="1" ht="15.6" customHeight="1">
      <c r="A145" s="783" t="n"/>
      <c r="B145" s="770" t="inlineStr">
        <is>
          <t>东风鸿远工程咨询有限公司</t>
        </is>
      </c>
      <c r="C145" s="771" t="inlineStr">
        <is>
          <t>2121</t>
        </is>
      </c>
      <c r="D145" s="770" t="inlineStr">
        <is>
          <t>E_614137</t>
        </is>
      </c>
      <c r="E145" s="770" t="inlineStr">
        <is>
          <t>湖北弘毅建设有限公司襄阳分公司</t>
        </is>
      </c>
      <c r="F145" s="770" t="inlineStr">
        <is>
          <t>采购款</t>
        </is>
      </c>
      <c r="G145" s="773" t="inlineStr">
        <is>
          <t>供应商</t>
        </is>
      </c>
      <c r="H145" s="774" t="inlineStr">
        <is>
          <t>CNY</t>
        </is>
      </c>
      <c r="I145" s="781" t="n"/>
      <c r="J145" s="781" t="n"/>
      <c r="K145" s="776" t="n"/>
      <c r="L145" s="777" t="n"/>
      <c r="M145" s="777">
        <f>J145+L145</f>
        <v/>
      </c>
      <c r="N145" s="782" t="n">
        <v>-9708.74</v>
      </c>
      <c r="O145" s="775">
        <f>M145-N145</f>
        <v/>
      </c>
      <c r="P145" s="778">
        <f>IF(N145&lt;&gt;0,O145/N145,"")</f>
        <v/>
      </c>
      <c r="Q145" s="776" t="n"/>
      <c r="R145" s="775" t="n"/>
      <c r="S145" s="775" t="n"/>
      <c r="T145" s="775" t="n"/>
      <c r="U145" s="775" t="n"/>
      <c r="V145" s="775" t="n"/>
      <c r="W145" s="775">
        <f>SUM(R145:V145)-M145</f>
        <v/>
      </c>
      <c r="X145" s="779">
        <f>T145+U145+V145</f>
        <v/>
      </c>
    </row>
    <row r="146" hidden="1" ht="15.6" customHeight="1">
      <c r="A146" s="783" t="n"/>
      <c r="B146" s="770" t="inlineStr">
        <is>
          <t>东风鸿远工程咨询有限公司</t>
        </is>
      </c>
      <c r="C146" s="771" t="inlineStr">
        <is>
          <t>2121</t>
        </is>
      </c>
      <c r="D146" s="770" t="inlineStr">
        <is>
          <t>E_624858</t>
        </is>
      </c>
      <c r="E146" s="770" t="inlineStr">
        <is>
          <t>湖南筑龙工程项目管理有限公司襄阳分公司</t>
        </is>
      </c>
      <c r="F146" s="770" t="inlineStr">
        <is>
          <t>采购款</t>
        </is>
      </c>
      <c r="G146" s="773" t="inlineStr">
        <is>
          <t>供应商</t>
        </is>
      </c>
      <c r="H146" s="774" t="inlineStr">
        <is>
          <t>CNY</t>
        </is>
      </c>
      <c r="I146" s="781" t="n"/>
      <c r="J146" s="781" t="n"/>
      <c r="K146" s="776" t="n"/>
      <c r="L146" s="777" t="n"/>
      <c r="M146" s="777">
        <f>J146+L146</f>
        <v/>
      </c>
      <c r="N146" s="782" t="n">
        <v>-306037.74</v>
      </c>
      <c r="O146" s="775">
        <f>M146-N146</f>
        <v/>
      </c>
      <c r="P146" s="778">
        <f>IF(N146&lt;&gt;0,O146/N146,"")</f>
        <v/>
      </c>
      <c r="Q146" s="776" t="n"/>
      <c r="R146" s="775" t="n"/>
      <c r="S146" s="775" t="n"/>
      <c r="T146" s="775" t="n"/>
      <c r="U146" s="775" t="n"/>
      <c r="V146" s="775" t="n"/>
      <c r="W146" s="775">
        <f>SUM(R146:V146)-M146</f>
        <v/>
      </c>
      <c r="X146" s="779">
        <f>T146+U146+V146</f>
        <v/>
      </c>
    </row>
    <row r="147" hidden="1" ht="15.6" customHeight="1">
      <c r="A147" s="783" t="n"/>
      <c r="B147" s="770" t="inlineStr">
        <is>
          <t>东风鸿远工程咨询有限公司</t>
        </is>
      </c>
      <c r="C147" s="771" t="inlineStr">
        <is>
          <t>2121</t>
        </is>
      </c>
      <c r="D147" s="770" t="inlineStr">
        <is>
          <t>E_625220</t>
        </is>
      </c>
      <c r="E147" s="770" t="inlineStr">
        <is>
          <t>枣阳瀚创项目管理有限公司</t>
        </is>
      </c>
      <c r="F147" s="770" t="inlineStr">
        <is>
          <t>采购款</t>
        </is>
      </c>
      <c r="G147" s="773" t="inlineStr">
        <is>
          <t>供应商</t>
        </is>
      </c>
      <c r="H147" s="774" t="inlineStr">
        <is>
          <t>CNY</t>
        </is>
      </c>
      <c r="I147" s="781" t="n"/>
      <c r="J147" s="781" t="n"/>
      <c r="K147" s="776" t="n"/>
      <c r="L147" s="777" t="n"/>
      <c r="M147" s="777">
        <f>J147+L147</f>
        <v/>
      </c>
      <c r="N147" s="782" t="n">
        <v>-916791.51</v>
      </c>
      <c r="O147" s="775">
        <f>M147-N147</f>
        <v/>
      </c>
      <c r="P147" s="778">
        <f>IF(N147&lt;&gt;0,O147/N147,"")</f>
        <v/>
      </c>
      <c r="Q147" s="776" t="n"/>
      <c r="R147" s="775" t="n"/>
      <c r="S147" s="775" t="n"/>
      <c r="T147" s="775" t="n"/>
      <c r="U147" s="775" t="n"/>
      <c r="V147" s="775" t="n"/>
      <c r="W147" s="775">
        <f>SUM(R147:V147)-M147</f>
        <v/>
      </c>
      <c r="X147" s="779">
        <f>T147+U147+V147</f>
        <v/>
      </c>
    </row>
    <row r="148" hidden="1" ht="15.6" customHeight="1">
      <c r="A148" s="783" t="n"/>
      <c r="B148" s="770" t="inlineStr">
        <is>
          <t>东风鸿远工程咨询有限公司</t>
        </is>
      </c>
      <c r="C148" s="771" t="inlineStr">
        <is>
          <t>2121</t>
        </is>
      </c>
      <c r="D148" s="770" t="inlineStr">
        <is>
          <t>E_672185</t>
        </is>
      </c>
      <c r="E148" s="770" t="inlineStr">
        <is>
          <t>湖北州环建设工程有限公司</t>
        </is>
      </c>
      <c r="F148" s="770" t="inlineStr">
        <is>
          <t>采购款</t>
        </is>
      </c>
      <c r="G148" s="773" t="inlineStr">
        <is>
          <t>供应商</t>
        </is>
      </c>
      <c r="H148" s="774" t="inlineStr">
        <is>
          <t>CNY</t>
        </is>
      </c>
      <c r="I148" s="781" t="n"/>
      <c r="J148" s="781" t="n"/>
      <c r="K148" s="776" t="n"/>
      <c r="L148" s="777" t="n"/>
      <c r="M148" s="777">
        <f>J148+L148</f>
        <v/>
      </c>
      <c r="N148" s="782" t="n">
        <v>-1118670.46</v>
      </c>
      <c r="O148" s="775">
        <f>M148-N148</f>
        <v/>
      </c>
      <c r="P148" s="778">
        <f>IF(N148&lt;&gt;0,O148/N148,"")</f>
        <v/>
      </c>
      <c r="Q148" s="776" t="n"/>
      <c r="R148" s="775" t="n"/>
      <c r="S148" s="775" t="n"/>
      <c r="T148" s="775" t="n"/>
      <c r="U148" s="775" t="n"/>
      <c r="V148" s="775" t="n"/>
      <c r="W148" s="775">
        <f>SUM(R148:V148)-M148</f>
        <v/>
      </c>
      <c r="X148" s="779">
        <f>T148+U148+V148</f>
        <v/>
      </c>
    </row>
    <row r="149" hidden="1" ht="15.6" customHeight="1">
      <c r="A149" s="783" t="n"/>
      <c r="B149" s="770" t="inlineStr">
        <is>
          <t>东风鸿远工程咨询有限公司</t>
        </is>
      </c>
      <c r="C149" s="771" t="inlineStr">
        <is>
          <t>2121</t>
        </is>
      </c>
      <c r="D149" s="770" t="inlineStr">
        <is>
          <t>E_601379</t>
        </is>
      </c>
      <c r="E149" s="770" t="inlineStr">
        <is>
          <t>上海赢顶标识有限公司</t>
        </is>
      </c>
      <c r="F149" s="770" t="inlineStr">
        <is>
          <t>采购款</t>
        </is>
      </c>
      <c r="G149" s="773" t="inlineStr">
        <is>
          <t>供应商</t>
        </is>
      </c>
      <c r="H149" s="774" t="inlineStr">
        <is>
          <t>CNY</t>
        </is>
      </c>
      <c r="I149" s="781" t="n"/>
      <c r="J149" s="781" t="n"/>
      <c r="K149" s="776" t="n"/>
      <c r="L149" s="777" t="n"/>
      <c r="M149" s="777">
        <f>J149+L149</f>
        <v/>
      </c>
      <c r="N149" s="782" t="n">
        <v>-10603.3</v>
      </c>
      <c r="O149" s="775">
        <f>M149-N149</f>
        <v/>
      </c>
      <c r="P149" s="778">
        <f>IF(N149&lt;&gt;0,O149/N149,"")</f>
        <v/>
      </c>
      <c r="Q149" s="776" t="n"/>
      <c r="R149" s="775" t="n"/>
      <c r="S149" s="775" t="n"/>
      <c r="T149" s="775" t="n"/>
      <c r="U149" s="775" t="n"/>
      <c r="V149" s="775" t="n"/>
      <c r="W149" s="775">
        <f>SUM(R149:V149)-M149</f>
        <v/>
      </c>
      <c r="X149" s="779">
        <f>T149+U149+V149</f>
        <v/>
      </c>
    </row>
    <row r="150" hidden="1" ht="15.6" customHeight="1">
      <c r="A150" s="783" t="n"/>
      <c r="B150" s="770" t="inlineStr">
        <is>
          <t>东风鸿远工程咨询有限公司</t>
        </is>
      </c>
      <c r="C150" s="771" t="inlineStr">
        <is>
          <t>2121</t>
        </is>
      </c>
      <c r="D150" s="770" t="inlineStr">
        <is>
          <t>E_016087</t>
        </is>
      </c>
      <c r="E150" s="770" t="inlineStr">
        <is>
          <t>襄阳市建筑设计院</t>
        </is>
      </c>
      <c r="F150" s="770" t="inlineStr">
        <is>
          <t>采购款</t>
        </is>
      </c>
      <c r="G150" s="773" t="inlineStr">
        <is>
          <t>供应商</t>
        </is>
      </c>
      <c r="H150" s="774" t="inlineStr">
        <is>
          <t>CNY</t>
        </is>
      </c>
      <c r="I150" s="781" t="n"/>
      <c r="J150" s="781" t="n"/>
      <c r="K150" s="776" t="n"/>
      <c r="L150" s="777" t="n"/>
      <c r="M150" s="777">
        <f>J150+L150</f>
        <v/>
      </c>
      <c r="N150" s="782" t="n">
        <v>-17516.04</v>
      </c>
      <c r="O150" s="775">
        <f>M150-N150</f>
        <v/>
      </c>
      <c r="P150" s="778">
        <f>IF(N150&lt;&gt;0,O150/N150,"")</f>
        <v/>
      </c>
      <c r="Q150" s="776" t="n"/>
      <c r="R150" s="775" t="n"/>
      <c r="S150" s="775" t="n"/>
      <c r="T150" s="775" t="n"/>
      <c r="U150" s="775" t="n"/>
      <c r="V150" s="775" t="n"/>
      <c r="W150" s="775">
        <f>SUM(R150:V150)-M150</f>
        <v/>
      </c>
      <c r="X150" s="779">
        <f>T150+U150+V150</f>
        <v/>
      </c>
    </row>
    <row r="151" hidden="1" ht="15.6" customHeight="1">
      <c r="A151" s="783" t="n"/>
      <c r="B151" s="770" t="inlineStr">
        <is>
          <t>东风鸿远工程咨询有限公司</t>
        </is>
      </c>
      <c r="C151" s="771" t="inlineStr">
        <is>
          <t>2121</t>
        </is>
      </c>
      <c r="D151" s="770" t="inlineStr">
        <is>
          <t>E_353446</t>
        </is>
      </c>
      <c r="E151" s="770" t="inlineStr">
        <is>
          <t>武汉地质工程勘察院有限公司</t>
        </is>
      </c>
      <c r="F151" s="770" t="inlineStr">
        <is>
          <t>采购款</t>
        </is>
      </c>
      <c r="G151" s="773" t="inlineStr">
        <is>
          <t>供应商</t>
        </is>
      </c>
      <c r="H151" s="774" t="inlineStr">
        <is>
          <t>CNY</t>
        </is>
      </c>
      <c r="I151" s="781" t="n"/>
      <c r="J151" s="781" t="n"/>
      <c r="K151" s="776" t="n"/>
      <c r="L151" s="777" t="n"/>
      <c r="M151" s="777">
        <f>J151+L151</f>
        <v/>
      </c>
      <c r="N151" s="782" t="n">
        <v>-233490.57</v>
      </c>
      <c r="O151" s="775">
        <f>M151-N151</f>
        <v/>
      </c>
      <c r="P151" s="778">
        <f>IF(N151&lt;&gt;0,O151/N151,"")</f>
        <v/>
      </c>
      <c r="Q151" s="776" t="n"/>
      <c r="R151" s="775" t="n"/>
      <c r="S151" s="775" t="n"/>
      <c r="T151" s="775" t="n"/>
      <c r="U151" s="775" t="n"/>
      <c r="V151" s="775" t="n"/>
      <c r="W151" s="775">
        <f>SUM(R151:V151)-M151</f>
        <v/>
      </c>
      <c r="X151" s="779">
        <f>T151+U151+V151</f>
        <v/>
      </c>
    </row>
    <row r="152" hidden="1" ht="15.6" customHeight="1">
      <c r="A152" s="783" t="n"/>
      <c r="B152" s="770" t="inlineStr">
        <is>
          <t>东风鸿远工程咨询有限公司</t>
        </is>
      </c>
      <c r="C152" s="771" t="inlineStr">
        <is>
          <t>2121</t>
        </is>
      </c>
      <c r="D152" s="770" t="inlineStr">
        <is>
          <t>E_658821</t>
        </is>
      </c>
      <c r="E152" s="770" t="inlineStr">
        <is>
          <t>湖北岗达地信科技有限公司</t>
        </is>
      </c>
      <c r="F152" s="770" t="inlineStr">
        <is>
          <t>采购款</t>
        </is>
      </c>
      <c r="G152" s="773" t="inlineStr">
        <is>
          <t>供应商</t>
        </is>
      </c>
      <c r="H152" s="774" t="inlineStr">
        <is>
          <t>CNY</t>
        </is>
      </c>
      <c r="I152" s="781" t="n"/>
      <c r="J152" s="781" t="n"/>
      <c r="K152" s="776" t="n"/>
      <c r="L152" s="777" t="n"/>
      <c r="M152" s="777">
        <f>J152+L152</f>
        <v/>
      </c>
      <c r="N152" s="782" t="n">
        <v>-211303.47</v>
      </c>
      <c r="O152" s="775">
        <f>M152-N152</f>
        <v/>
      </c>
      <c r="P152" s="778">
        <f>IF(N152&lt;&gt;0,O152/N152,"")</f>
        <v/>
      </c>
      <c r="Q152" s="776" t="n"/>
      <c r="R152" s="775" t="n"/>
      <c r="S152" s="775" t="n"/>
      <c r="T152" s="775" t="n"/>
      <c r="U152" s="775" t="n"/>
      <c r="V152" s="775" t="n"/>
      <c r="W152" s="775">
        <f>SUM(R152:V152)-M152</f>
        <v/>
      </c>
      <c r="X152" s="779">
        <f>T152+U152+V152</f>
        <v/>
      </c>
    </row>
    <row r="153" hidden="1" ht="15.6" customHeight="1">
      <c r="A153" s="783" t="n"/>
      <c r="B153" s="770" t="inlineStr">
        <is>
          <t>东风鸿远工程咨询有限公司</t>
        </is>
      </c>
      <c r="C153" s="771" t="inlineStr">
        <is>
          <t>2121</t>
        </is>
      </c>
      <c r="D153" s="770" t="inlineStr">
        <is>
          <t>E_605799</t>
        </is>
      </c>
      <c r="E153" s="770" t="inlineStr">
        <is>
          <t>山东昊立工程勘察有限公司</t>
        </is>
      </c>
      <c r="F153" s="770" t="inlineStr">
        <is>
          <t>采购款</t>
        </is>
      </c>
      <c r="G153" s="773" t="inlineStr">
        <is>
          <t>供应商</t>
        </is>
      </c>
      <c r="H153" s="774" t="inlineStr">
        <is>
          <t>CNY</t>
        </is>
      </c>
      <c r="I153" s="781" t="n"/>
      <c r="J153" s="781" t="n"/>
      <c r="K153" s="776" t="n"/>
      <c r="L153" s="777" t="n"/>
      <c r="M153" s="777">
        <f>J153+L153</f>
        <v/>
      </c>
      <c r="N153" s="782" t="n">
        <v>-126214.56</v>
      </c>
      <c r="O153" s="775">
        <f>M153-N153</f>
        <v/>
      </c>
      <c r="P153" s="778">
        <f>IF(N153&lt;&gt;0,O153/N153,"")</f>
        <v/>
      </c>
      <c r="Q153" s="776" t="n"/>
      <c r="R153" s="775" t="n"/>
      <c r="S153" s="775" t="n"/>
      <c r="T153" s="775" t="n"/>
      <c r="U153" s="775" t="n"/>
      <c r="V153" s="775" t="n"/>
      <c r="W153" s="775">
        <f>SUM(R153:V153)-M153</f>
        <v/>
      </c>
      <c r="X153" s="779">
        <f>T153+U153+V153</f>
        <v/>
      </c>
    </row>
    <row r="154" hidden="1" ht="15.6" customHeight="1">
      <c r="A154" s="783" t="n"/>
      <c r="B154" s="770" t="inlineStr">
        <is>
          <t>东风鸿远工程咨询有限公司</t>
        </is>
      </c>
      <c r="C154" s="771" t="inlineStr">
        <is>
          <t>2121</t>
        </is>
      </c>
      <c r="D154" s="770" t="inlineStr">
        <is>
          <t>E_624644</t>
        </is>
      </c>
      <c r="E154" s="770" t="inlineStr">
        <is>
          <t>湖北津信项目管理有限公司</t>
        </is>
      </c>
      <c r="F154" s="770" t="inlineStr">
        <is>
          <t>采购款</t>
        </is>
      </c>
      <c r="G154" s="773" t="inlineStr">
        <is>
          <t>供应商</t>
        </is>
      </c>
      <c r="H154" s="774" t="inlineStr">
        <is>
          <t>CNY</t>
        </is>
      </c>
      <c r="I154" s="781" t="n"/>
      <c r="J154" s="781" t="n"/>
      <c r="K154" s="776" t="n"/>
      <c r="L154" s="777" t="n"/>
      <c r="M154" s="777">
        <f>J154+L154</f>
        <v/>
      </c>
      <c r="N154" s="782" t="n">
        <v>0</v>
      </c>
      <c r="O154" s="775">
        <f>M154-N154</f>
        <v/>
      </c>
      <c r="P154" s="778">
        <f>IF(N154&lt;&gt;0,O154/N154,"")</f>
        <v/>
      </c>
      <c r="Q154" s="776" t="n"/>
      <c r="R154" s="775" t="n"/>
      <c r="S154" s="775" t="n"/>
      <c r="T154" s="775" t="n"/>
      <c r="U154" s="775" t="n"/>
      <c r="V154" s="775" t="n"/>
      <c r="W154" s="775">
        <f>SUM(R154:V154)-M154</f>
        <v/>
      </c>
      <c r="X154" s="779">
        <f>T154+U154+V154</f>
        <v/>
      </c>
    </row>
    <row r="155" hidden="1" ht="15.6" customHeight="1">
      <c r="A155" s="783" t="n"/>
      <c r="B155" s="770" t="inlineStr">
        <is>
          <t>东风鸿远工程咨询有限公司</t>
        </is>
      </c>
      <c r="C155" s="771" t="inlineStr">
        <is>
          <t>2121</t>
        </is>
      </c>
      <c r="D155" s="770" t="inlineStr">
        <is>
          <t>E_623726</t>
        </is>
      </c>
      <c r="E155" s="770" t="inlineStr">
        <is>
          <t>中瀚设计集团有限公司湖北分公司</t>
        </is>
      </c>
      <c r="F155" s="770" t="inlineStr">
        <is>
          <t>采购款</t>
        </is>
      </c>
      <c r="G155" s="773" t="inlineStr">
        <is>
          <t>供应商</t>
        </is>
      </c>
      <c r="H155" s="774" t="inlineStr">
        <is>
          <t>CNY</t>
        </is>
      </c>
      <c r="I155" s="781" t="n"/>
      <c r="J155" s="781" t="n"/>
      <c r="K155" s="776" t="n"/>
      <c r="L155" s="777" t="n"/>
      <c r="M155" s="777">
        <f>J155+L155</f>
        <v/>
      </c>
      <c r="N155" s="782" t="n">
        <v>-101669.9</v>
      </c>
      <c r="O155" s="775">
        <f>M155-N155</f>
        <v/>
      </c>
      <c r="P155" s="778">
        <f>IF(N155&lt;&gt;0,O155/N155,"")</f>
        <v/>
      </c>
      <c r="Q155" s="776" t="n"/>
      <c r="R155" s="775" t="n"/>
      <c r="S155" s="775" t="n"/>
      <c r="T155" s="775" t="n"/>
      <c r="U155" s="775" t="n"/>
      <c r="V155" s="775" t="n"/>
      <c r="W155" s="775">
        <f>SUM(R155:V155)-M155</f>
        <v/>
      </c>
      <c r="X155" s="779">
        <f>T155+U155+V155</f>
        <v/>
      </c>
    </row>
    <row r="156" hidden="1" ht="15.6" customHeight="1">
      <c r="A156" s="783" t="n"/>
      <c r="B156" s="770" t="inlineStr">
        <is>
          <t>东风鸿远工程咨询有限公司</t>
        </is>
      </c>
      <c r="C156" s="771" t="inlineStr">
        <is>
          <t>2121</t>
        </is>
      </c>
      <c r="D156" s="770" t="inlineStr">
        <is>
          <t>E_176980</t>
        </is>
      </c>
      <c r="E156" s="770" t="inlineStr">
        <is>
          <t>襄阳地质工程勘察院有限责任公司</t>
        </is>
      </c>
      <c r="F156" s="770" t="inlineStr">
        <is>
          <t>采购款</t>
        </is>
      </c>
      <c r="G156" s="773" t="inlineStr">
        <is>
          <t>供应商</t>
        </is>
      </c>
      <c r="H156" s="774" t="inlineStr">
        <is>
          <t>CNY</t>
        </is>
      </c>
      <c r="I156" s="781" t="n"/>
      <c r="J156" s="781" t="n"/>
      <c r="K156" s="776" t="n"/>
      <c r="L156" s="777" t="n"/>
      <c r="M156" s="777">
        <f>J156+L156</f>
        <v/>
      </c>
      <c r="N156" s="782" t="n">
        <v>-1453930.12</v>
      </c>
      <c r="O156" s="775">
        <f>M156-N156</f>
        <v/>
      </c>
      <c r="P156" s="778">
        <f>IF(N156&lt;&gt;0,O156/N156,"")</f>
        <v/>
      </c>
      <c r="Q156" s="776" t="n"/>
      <c r="R156" s="775" t="n"/>
      <c r="S156" s="775" t="n"/>
      <c r="T156" s="775" t="n"/>
      <c r="U156" s="775" t="n"/>
      <c r="V156" s="775" t="n"/>
      <c r="W156" s="775">
        <f>SUM(R156:V156)-M156</f>
        <v/>
      </c>
      <c r="X156" s="779">
        <f>T156+U156+V156</f>
        <v/>
      </c>
    </row>
    <row r="157" hidden="1" ht="15.6" customHeight="1">
      <c r="A157" s="783" t="n"/>
      <c r="B157" s="770" t="inlineStr">
        <is>
          <t>东风鸿远工程咨询有限公司</t>
        </is>
      </c>
      <c r="C157" s="771" t="inlineStr">
        <is>
          <t>2121</t>
        </is>
      </c>
      <c r="D157" s="770" t="inlineStr">
        <is>
          <t>E_624647</t>
        </is>
      </c>
      <c r="E157" s="770" t="inlineStr">
        <is>
          <t>湖北大成嘉业建设工程有限公司襄阳分公司</t>
        </is>
      </c>
      <c r="F157" s="770" t="inlineStr">
        <is>
          <t>采购款</t>
        </is>
      </c>
      <c r="G157" s="773" t="inlineStr">
        <is>
          <t>供应商</t>
        </is>
      </c>
      <c r="H157" s="774" t="inlineStr">
        <is>
          <t>CNY</t>
        </is>
      </c>
      <c r="I157" s="781" t="n"/>
      <c r="J157" s="781" t="n"/>
      <c r="K157" s="776" t="n"/>
      <c r="L157" s="777" t="n"/>
      <c r="M157" s="777">
        <f>J157+L157</f>
        <v/>
      </c>
      <c r="N157" s="782" t="n">
        <v>-107184.47</v>
      </c>
      <c r="O157" s="775">
        <f>M157-N157</f>
        <v/>
      </c>
      <c r="P157" s="778">
        <f>IF(N157&lt;&gt;0,O157/N157,"")</f>
        <v/>
      </c>
      <c r="Q157" s="776" t="n"/>
      <c r="R157" s="775" t="n"/>
      <c r="S157" s="775" t="n"/>
      <c r="T157" s="775" t="n"/>
      <c r="U157" s="775" t="n"/>
      <c r="V157" s="775" t="n"/>
      <c r="W157" s="775">
        <f>SUM(R157:V157)-M157</f>
        <v/>
      </c>
      <c r="X157" s="779">
        <f>T157+U157+V157</f>
        <v/>
      </c>
    </row>
    <row r="158" hidden="1" ht="15.6" customHeight="1">
      <c r="A158" s="783" t="n"/>
      <c r="B158" s="770" t="inlineStr">
        <is>
          <t>东风鸿远工程咨询有限公司</t>
        </is>
      </c>
      <c r="C158" s="771" t="inlineStr">
        <is>
          <t>2121</t>
        </is>
      </c>
      <c r="D158" s="770" t="inlineStr">
        <is>
          <t>E_151442</t>
        </is>
      </c>
      <c r="E158" s="770" t="inlineStr">
        <is>
          <t>武汉理工大设计研究院有限公司</t>
        </is>
      </c>
      <c r="F158" s="770" t="inlineStr">
        <is>
          <t>采购款</t>
        </is>
      </c>
      <c r="G158" s="773" t="inlineStr">
        <is>
          <t>供应商</t>
        </is>
      </c>
      <c r="H158" s="774" t="inlineStr">
        <is>
          <t>CNY</t>
        </is>
      </c>
      <c r="I158" s="781" t="n"/>
      <c r="J158" s="781" t="n"/>
      <c r="K158" s="776" t="n"/>
      <c r="L158" s="777" t="n"/>
      <c r="M158" s="777">
        <f>J158+L158</f>
        <v/>
      </c>
      <c r="N158" s="782" t="n">
        <v>-14626.41</v>
      </c>
      <c r="O158" s="775">
        <f>M158-N158</f>
        <v/>
      </c>
      <c r="P158" s="778">
        <f>IF(N158&lt;&gt;0,O158/N158,"")</f>
        <v/>
      </c>
      <c r="Q158" s="776" t="n"/>
      <c r="R158" s="775" t="n"/>
      <c r="S158" s="775" t="n"/>
      <c r="T158" s="775" t="n"/>
      <c r="U158" s="775" t="n"/>
      <c r="V158" s="775" t="n"/>
      <c r="W158" s="775">
        <f>SUM(R158:V158)-M158</f>
        <v/>
      </c>
      <c r="X158" s="779">
        <f>T158+U158+V158</f>
        <v/>
      </c>
    </row>
    <row r="159" hidden="1" ht="15.6" customHeight="1">
      <c r="A159" s="783" t="n"/>
      <c r="B159" s="770" t="inlineStr">
        <is>
          <t>东风鸿远工程咨询有限公司</t>
        </is>
      </c>
      <c r="C159" s="771" t="inlineStr">
        <is>
          <t>2121</t>
        </is>
      </c>
      <c r="D159" s="770" t="inlineStr">
        <is>
          <t>E_614512</t>
        </is>
      </c>
      <c r="E159" s="770" t="inlineStr">
        <is>
          <t>湖北沃岱岩土工程勘察有限公司</t>
        </is>
      </c>
      <c r="F159" s="770" t="inlineStr">
        <is>
          <t>采购款</t>
        </is>
      </c>
      <c r="G159" s="773" t="inlineStr">
        <is>
          <t>供应商</t>
        </is>
      </c>
      <c r="H159" s="774" t="inlineStr">
        <is>
          <t>CNY</t>
        </is>
      </c>
      <c r="I159" s="781" t="n"/>
      <c r="J159" s="781" t="n"/>
      <c r="K159" s="776" t="n"/>
      <c r="L159" s="777" t="n"/>
      <c r="M159" s="777">
        <f>J159+L159</f>
        <v/>
      </c>
      <c r="N159" s="782" t="n">
        <v>-2223</v>
      </c>
      <c r="O159" s="775">
        <f>M159-N159</f>
        <v/>
      </c>
      <c r="P159" s="778">
        <f>IF(N159&lt;&gt;0,O159/N159,"")</f>
        <v/>
      </c>
      <c r="Q159" s="776" t="n"/>
      <c r="R159" s="775" t="n"/>
      <c r="S159" s="775" t="n"/>
      <c r="T159" s="775" t="n"/>
      <c r="U159" s="775" t="n"/>
      <c r="V159" s="775" t="n"/>
      <c r="W159" s="775">
        <f>SUM(R159:V159)-M159</f>
        <v/>
      </c>
      <c r="X159" s="779">
        <f>T159+U159+V159</f>
        <v/>
      </c>
    </row>
    <row r="160" hidden="1" ht="15.6" customHeight="1">
      <c r="A160" s="783" t="n"/>
      <c r="B160" s="770" t="inlineStr">
        <is>
          <t>东风鸿远工程咨询有限公司</t>
        </is>
      </c>
      <c r="C160" s="771" t="inlineStr">
        <is>
          <t>2121</t>
        </is>
      </c>
      <c r="D160" s="770" t="inlineStr">
        <is>
          <t>E_614634</t>
        </is>
      </c>
      <c r="E160" s="770" t="inlineStr">
        <is>
          <t>谷城县今胜岩土工程有限责任公司</t>
        </is>
      </c>
      <c r="F160" s="770" t="inlineStr">
        <is>
          <t>采购款</t>
        </is>
      </c>
      <c r="G160" s="773" t="inlineStr">
        <is>
          <t>供应商</t>
        </is>
      </c>
      <c r="H160" s="774" t="inlineStr">
        <is>
          <t>CNY</t>
        </is>
      </c>
      <c r="I160" s="781" t="n"/>
      <c r="J160" s="781" t="n"/>
      <c r="K160" s="776" t="n"/>
      <c r="L160" s="777" t="n"/>
      <c r="M160" s="777">
        <f>J160+L160</f>
        <v/>
      </c>
      <c r="N160" s="782" t="n">
        <v>-121749.06</v>
      </c>
      <c r="O160" s="775">
        <f>M160-N160</f>
        <v/>
      </c>
      <c r="P160" s="778">
        <f>IF(N160&lt;&gt;0,O160/N160,"")</f>
        <v/>
      </c>
      <c r="Q160" s="776" t="n"/>
      <c r="R160" s="775" t="n"/>
      <c r="S160" s="775" t="n"/>
      <c r="T160" s="775" t="n"/>
      <c r="U160" s="775" t="n"/>
      <c r="V160" s="775" t="n"/>
      <c r="W160" s="775">
        <f>SUM(R160:V160)-M160</f>
        <v/>
      </c>
      <c r="X160" s="779">
        <f>T160+U160+V160</f>
        <v/>
      </c>
    </row>
    <row r="161" hidden="1" ht="15.6" customHeight="1">
      <c r="A161" s="783" t="n"/>
      <c r="B161" s="770" t="inlineStr">
        <is>
          <t>东风鸿远工程咨询有限公司</t>
        </is>
      </c>
      <c r="C161" s="771" t="inlineStr">
        <is>
          <t>2121</t>
        </is>
      </c>
      <c r="D161" s="770" t="inlineStr">
        <is>
          <t>E_599743</t>
        </is>
      </c>
      <c r="E161" s="770" t="inlineStr">
        <is>
          <t>浙江城建规划设计院有限公司</t>
        </is>
      </c>
      <c r="F161" s="770" t="inlineStr">
        <is>
          <t>采购款</t>
        </is>
      </c>
      <c r="G161" s="773" t="inlineStr">
        <is>
          <t>供应商</t>
        </is>
      </c>
      <c r="H161" s="774" t="inlineStr">
        <is>
          <t>CNY</t>
        </is>
      </c>
      <c r="I161" s="781" t="n"/>
      <c r="J161" s="781" t="n"/>
      <c r="K161" s="776" t="n"/>
      <c r="L161" s="777" t="n"/>
      <c r="M161" s="777">
        <f>J161+L161</f>
        <v/>
      </c>
      <c r="N161" s="782" t="n">
        <v>-88660.49000000001</v>
      </c>
      <c r="O161" s="775">
        <f>M161-N161</f>
        <v/>
      </c>
      <c r="P161" s="778">
        <f>IF(N161&lt;&gt;0,O161/N161,"")</f>
        <v/>
      </c>
      <c r="Q161" s="776" t="n"/>
      <c r="R161" s="775" t="n"/>
      <c r="S161" s="775" t="n"/>
      <c r="T161" s="775" t="n"/>
      <c r="U161" s="775" t="n"/>
      <c r="V161" s="775" t="n"/>
      <c r="W161" s="775">
        <f>SUM(R161:V161)-M161</f>
        <v/>
      </c>
      <c r="X161" s="779">
        <f>T161+U161+V161</f>
        <v/>
      </c>
    </row>
    <row r="162" hidden="1" ht="15.6" customHeight="1">
      <c r="A162" s="783" t="n"/>
      <c r="B162" s="770" t="inlineStr">
        <is>
          <t>东风鸿远工程咨询有限公司</t>
        </is>
      </c>
      <c r="C162" s="771" t="inlineStr">
        <is>
          <t>2121</t>
        </is>
      </c>
      <c r="D162" s="770" t="inlineStr">
        <is>
          <t>E_310853</t>
        </is>
      </c>
      <c r="E162" s="770" t="inlineStr">
        <is>
          <t>武汉琴台生态环境建设有限公司</t>
        </is>
      </c>
      <c r="F162" s="770" t="inlineStr">
        <is>
          <t>采购款</t>
        </is>
      </c>
      <c r="G162" s="773" t="inlineStr">
        <is>
          <t>供应商</t>
        </is>
      </c>
      <c r="H162" s="774" t="inlineStr">
        <is>
          <t>CNY</t>
        </is>
      </c>
      <c r="I162" s="781" t="n"/>
      <c r="J162" s="781" t="n"/>
      <c r="K162" s="776" t="n"/>
      <c r="L162" s="777" t="n"/>
      <c r="M162" s="777">
        <f>J162+L162</f>
        <v/>
      </c>
      <c r="N162" s="782" t="n">
        <v>-38400</v>
      </c>
      <c r="O162" s="775">
        <f>M162-N162</f>
        <v/>
      </c>
      <c r="P162" s="778">
        <f>IF(N162&lt;&gt;0,O162/N162,"")</f>
        <v/>
      </c>
      <c r="Q162" s="776" t="n"/>
      <c r="R162" s="775" t="n"/>
      <c r="S162" s="775" t="n"/>
      <c r="T162" s="775" t="n"/>
      <c r="U162" s="775" t="n"/>
      <c r="V162" s="775" t="n"/>
      <c r="W162" s="775">
        <f>SUM(R162:V162)-M162</f>
        <v/>
      </c>
      <c r="X162" s="779">
        <f>T162+U162+V162</f>
        <v/>
      </c>
    </row>
    <row r="163" hidden="1" ht="15.6" customHeight="1">
      <c r="A163" s="783" t="n"/>
      <c r="B163" s="770" t="inlineStr">
        <is>
          <t>东风鸿远工程咨询有限公司</t>
        </is>
      </c>
      <c r="C163" s="771" t="inlineStr">
        <is>
          <t>2121</t>
        </is>
      </c>
      <c r="D163" s="770" t="inlineStr">
        <is>
          <t>E_607898</t>
        </is>
      </c>
      <c r="E163" s="770" t="inlineStr">
        <is>
          <t>武汉峰境俪致园林景观工程设计有限公司</t>
        </is>
      </c>
      <c r="F163" s="770" t="inlineStr">
        <is>
          <t>采购款</t>
        </is>
      </c>
      <c r="G163" s="773" t="inlineStr">
        <is>
          <t>供应商</t>
        </is>
      </c>
      <c r="H163" s="774" t="inlineStr">
        <is>
          <t>CNY</t>
        </is>
      </c>
      <c r="I163" s="781" t="n"/>
      <c r="J163" s="781" t="n"/>
      <c r="K163" s="776" t="n"/>
      <c r="L163" s="777" t="n"/>
      <c r="M163" s="777">
        <f>J163+L163</f>
        <v/>
      </c>
      <c r="N163" s="782" t="n">
        <v>-271844.66</v>
      </c>
      <c r="O163" s="775">
        <f>M163-N163</f>
        <v/>
      </c>
      <c r="P163" s="778">
        <f>IF(N163&lt;&gt;0,O163/N163,"")</f>
        <v/>
      </c>
      <c r="Q163" s="776" t="n"/>
      <c r="R163" s="775" t="n"/>
      <c r="S163" s="775" t="n"/>
      <c r="T163" s="775" t="n"/>
      <c r="U163" s="775" t="n"/>
      <c r="V163" s="775" t="n"/>
      <c r="W163" s="775">
        <f>SUM(R163:V163)-M163</f>
        <v/>
      </c>
      <c r="X163" s="779">
        <f>T163+U163+V163</f>
        <v/>
      </c>
    </row>
    <row r="164" ht="15.6" customHeight="1">
      <c r="A164" s="783" t="n"/>
      <c r="B164" s="770" t="inlineStr">
        <is>
          <t>东风鸿远工程咨询有限公司</t>
        </is>
      </c>
      <c r="C164" s="771" t="inlineStr">
        <is>
          <t>2121</t>
        </is>
      </c>
      <c r="D164" s="770" t="inlineStr">
        <is>
          <t>E_177287</t>
        </is>
      </c>
      <c r="E164" s="770" t="inlineStr">
        <is>
          <t>襄阳诚智电力设计有限公司</t>
        </is>
      </c>
      <c r="F164" s="770" t="inlineStr">
        <is>
          <t>采购款</t>
        </is>
      </c>
      <c r="G164" s="773" t="inlineStr">
        <is>
          <t>供应商</t>
        </is>
      </c>
      <c r="H164" s="774" t="inlineStr">
        <is>
          <t>CNY</t>
        </is>
      </c>
      <c r="I164" s="781" t="n"/>
      <c r="J164" s="781" t="n"/>
      <c r="K164" s="776" t="n"/>
      <c r="L164" s="777" t="n"/>
      <c r="M164" s="777">
        <f>J164+L164</f>
        <v/>
      </c>
      <c r="N164" s="782" t="n">
        <v>-1160377.36</v>
      </c>
      <c r="O164" s="775">
        <f>M164-N164</f>
        <v/>
      </c>
      <c r="P164" s="778">
        <f>IF(N164&lt;&gt;0,O164/N164,"")</f>
        <v/>
      </c>
      <c r="Q164" s="776" t="inlineStr">
        <is>
          <t>NB3</t>
        </is>
      </c>
      <c r="R164" s="775" t="n"/>
      <c r="S164" s="775" t="n"/>
      <c r="T164" s="775" t="n"/>
      <c r="U164" s="775" t="n"/>
      <c r="V164" s="775" t="n"/>
      <c r="W164" s="775">
        <f>SUM(R164:V164)-M164</f>
        <v/>
      </c>
      <c r="X164" s="779">
        <f>T164+U164+V164</f>
        <v/>
      </c>
    </row>
    <row r="165" hidden="1" ht="15.6" customHeight="1">
      <c r="A165" s="783" t="n"/>
      <c r="B165" s="770" t="inlineStr">
        <is>
          <t>东风鸿远工程咨询有限公司</t>
        </is>
      </c>
      <c r="C165" s="771" t="inlineStr">
        <is>
          <t>2121</t>
        </is>
      </c>
      <c r="D165" s="770" t="inlineStr">
        <is>
          <t>E_599650</t>
        </is>
      </c>
      <c r="E165" s="770" t="inlineStr">
        <is>
          <t>清华大学建筑设计研究院有限公司</t>
        </is>
      </c>
      <c r="F165" s="770" t="inlineStr">
        <is>
          <t>采购款</t>
        </is>
      </c>
      <c r="G165" s="773" t="inlineStr">
        <is>
          <t>供应商</t>
        </is>
      </c>
      <c r="H165" s="774" t="inlineStr">
        <is>
          <t>CNY</t>
        </is>
      </c>
      <c r="I165" s="781" t="n"/>
      <c r="J165" s="781" t="n"/>
      <c r="K165" s="776" t="n"/>
      <c r="L165" s="777" t="n"/>
      <c r="M165" s="777">
        <f>J165+L165</f>
        <v/>
      </c>
      <c r="N165" s="782" t="n">
        <v>-174528.3</v>
      </c>
      <c r="O165" s="775">
        <f>M165-N165</f>
        <v/>
      </c>
      <c r="P165" s="778">
        <f>IF(N165&lt;&gt;0,O165/N165,"")</f>
        <v/>
      </c>
      <c r="Q165" s="776" t="n"/>
      <c r="R165" s="775" t="n"/>
      <c r="S165" s="775" t="n"/>
      <c r="T165" s="775" t="n"/>
      <c r="U165" s="775" t="n"/>
      <c r="V165" s="775" t="n"/>
      <c r="W165" s="775">
        <f>SUM(R165:V165)-M165</f>
        <v/>
      </c>
      <c r="X165" s="779">
        <f>T165+U165+V165</f>
        <v/>
      </c>
    </row>
    <row r="166" hidden="1" ht="15.6" customHeight="1">
      <c r="A166" s="783" t="n"/>
      <c r="B166" s="770" t="inlineStr">
        <is>
          <t>东风鸿远工程咨询有限公司</t>
        </is>
      </c>
      <c r="C166" s="771" t="inlineStr">
        <is>
          <t>2121</t>
        </is>
      </c>
      <c r="D166" s="770" t="inlineStr">
        <is>
          <t>E_628037</t>
        </is>
      </c>
      <c r="E166" s="770" t="inlineStr">
        <is>
          <t>襄阳市高新技术开发区一米森林园艺商行</t>
        </is>
      </c>
      <c r="F166" s="770" t="inlineStr">
        <is>
          <t>采购款</t>
        </is>
      </c>
      <c r="G166" s="773" t="inlineStr">
        <is>
          <t>供应商</t>
        </is>
      </c>
      <c r="H166" s="774" t="inlineStr">
        <is>
          <t>CNY</t>
        </is>
      </c>
      <c r="I166" s="781" t="n"/>
      <c r="J166" s="781" t="n"/>
      <c r="K166" s="776" t="n"/>
      <c r="L166" s="777" t="n"/>
      <c r="M166" s="777">
        <f>J166+L166</f>
        <v/>
      </c>
      <c r="N166" s="782" t="n">
        <v>-21636</v>
      </c>
      <c r="O166" s="775">
        <f>M166-N166</f>
        <v/>
      </c>
      <c r="P166" s="778">
        <f>IF(N166&lt;&gt;0,O166/N166,"")</f>
        <v/>
      </c>
      <c r="Q166" s="776" t="n"/>
      <c r="R166" s="775" t="n"/>
      <c r="S166" s="775" t="n"/>
      <c r="T166" s="775" t="n"/>
      <c r="U166" s="775" t="n"/>
      <c r="V166" s="775" t="n"/>
      <c r="W166" s="775">
        <f>SUM(R166:V166)-M166</f>
        <v/>
      </c>
      <c r="X166" s="779">
        <f>T166+U166+V166</f>
        <v/>
      </c>
    </row>
    <row r="167" hidden="1" ht="15.6" customHeight="1">
      <c r="A167" s="783" t="n"/>
      <c r="B167" s="770" t="inlineStr">
        <is>
          <t>东风鸿远工程咨询有限公司</t>
        </is>
      </c>
      <c r="C167" s="771" t="inlineStr">
        <is>
          <t>2121</t>
        </is>
      </c>
      <c r="D167" s="770" t="inlineStr">
        <is>
          <t>E_601027</t>
        </is>
      </c>
      <c r="E167" s="770" t="inlineStr">
        <is>
          <t>上海志贺建筑设计事务所（普通合伙）</t>
        </is>
      </c>
      <c r="F167" s="770" t="inlineStr">
        <is>
          <t>采购款</t>
        </is>
      </c>
      <c r="G167" s="773" t="inlineStr">
        <is>
          <t>供应商</t>
        </is>
      </c>
      <c r="H167" s="774" t="inlineStr">
        <is>
          <t>CNY</t>
        </is>
      </c>
      <c r="I167" s="781" t="n"/>
      <c r="J167" s="781" t="n"/>
      <c r="K167" s="776" t="n"/>
      <c r="L167" s="777" t="n"/>
      <c r="M167" s="777">
        <f>J167+L167</f>
        <v/>
      </c>
      <c r="N167" s="782" t="n">
        <v>-48500</v>
      </c>
      <c r="O167" s="775">
        <f>M167-N167</f>
        <v/>
      </c>
      <c r="P167" s="778">
        <f>IF(N167&lt;&gt;0,O167/N167,"")</f>
        <v/>
      </c>
      <c r="Q167" s="776" t="n"/>
      <c r="R167" s="775" t="n"/>
      <c r="S167" s="775" t="n"/>
      <c r="T167" s="775" t="n"/>
      <c r="U167" s="775" t="n"/>
      <c r="V167" s="775" t="n"/>
      <c r="W167" s="775">
        <f>SUM(R167:V167)-M167</f>
        <v/>
      </c>
      <c r="X167" s="779">
        <f>T167+U167+V167</f>
        <v/>
      </c>
    </row>
    <row r="168" hidden="1" ht="15.6" customHeight="1">
      <c r="A168" s="783" t="n"/>
      <c r="B168" s="770" t="inlineStr">
        <is>
          <t>东风鸿远工程咨询有限公司</t>
        </is>
      </c>
      <c r="C168" s="771" t="inlineStr">
        <is>
          <t>2121</t>
        </is>
      </c>
      <c r="D168" s="770" t="inlineStr">
        <is>
          <t>E_032471</t>
        </is>
      </c>
      <c r="E168" s="770" t="inlineStr">
        <is>
          <t>罗蒙集团股份有限公司</t>
        </is>
      </c>
      <c r="F168" s="770" t="inlineStr">
        <is>
          <t>采购款</t>
        </is>
      </c>
      <c r="G168" s="773" t="inlineStr">
        <is>
          <t>供应商</t>
        </is>
      </c>
      <c r="H168" s="774" t="inlineStr">
        <is>
          <t>CNY</t>
        </is>
      </c>
      <c r="I168" s="781" t="n"/>
      <c r="J168" s="781" t="n"/>
      <c r="K168" s="776" t="n"/>
      <c r="L168" s="777" t="n"/>
      <c r="M168" s="777">
        <f>J168+L168</f>
        <v/>
      </c>
      <c r="N168" s="782" t="n">
        <v>-52290</v>
      </c>
      <c r="O168" s="775">
        <f>M168-N168</f>
        <v/>
      </c>
      <c r="P168" s="778">
        <f>IF(N168&lt;&gt;0,O168/N168,"")</f>
        <v/>
      </c>
      <c r="Q168" s="776" t="n"/>
      <c r="R168" s="775" t="n"/>
      <c r="S168" s="775" t="n"/>
      <c r="T168" s="775" t="n"/>
      <c r="U168" s="775" t="n"/>
      <c r="V168" s="775" t="n"/>
      <c r="W168" s="775">
        <f>SUM(R168:V168)-M168</f>
        <v/>
      </c>
      <c r="X168" s="779">
        <f>T168+U168+V168</f>
        <v/>
      </c>
    </row>
    <row r="169" hidden="1" ht="15.6" customHeight="1">
      <c r="A169" s="783" t="n"/>
      <c r="B169" s="770" t="inlineStr">
        <is>
          <t>东风鸿远工程咨询有限公司</t>
        </is>
      </c>
      <c r="C169" s="771" t="inlineStr">
        <is>
          <t>2121</t>
        </is>
      </c>
      <c r="D169" s="770" t="inlineStr">
        <is>
          <t>E_617033</t>
        </is>
      </c>
      <c r="E169" s="770" t="inlineStr">
        <is>
          <t>襄阳市慢生活体育文化传媒有限公司</t>
        </is>
      </c>
      <c r="F169" s="770" t="inlineStr">
        <is>
          <t>采购款</t>
        </is>
      </c>
      <c r="G169" s="773" t="inlineStr">
        <is>
          <t>供应商</t>
        </is>
      </c>
      <c r="H169" s="774" t="inlineStr">
        <is>
          <t>CNY</t>
        </is>
      </c>
      <c r="I169" s="781" t="n"/>
      <c r="J169" s="781" t="n"/>
      <c r="K169" s="776" t="n"/>
      <c r="L169" s="777" t="n"/>
      <c r="M169" s="777">
        <f>J169+L169</f>
        <v/>
      </c>
      <c r="N169" s="782" t="n">
        <v>-73640</v>
      </c>
      <c r="O169" s="775">
        <f>M169-N169</f>
        <v/>
      </c>
      <c r="P169" s="778">
        <f>IF(N169&lt;&gt;0,O169/N169,"")</f>
        <v/>
      </c>
      <c r="Q169" s="776" t="n"/>
      <c r="R169" s="775" t="n"/>
      <c r="S169" s="775" t="n"/>
      <c r="T169" s="775" t="n"/>
      <c r="U169" s="775" t="n"/>
      <c r="V169" s="775" t="n"/>
      <c r="W169" s="775">
        <f>SUM(R169:V169)-M169</f>
        <v/>
      </c>
      <c r="X169" s="779">
        <f>T169+U169+V169</f>
        <v/>
      </c>
    </row>
    <row r="170" hidden="1" ht="15.6" customHeight="1">
      <c r="A170" s="783" t="n"/>
      <c r="B170" s="770" t="inlineStr">
        <is>
          <t>东风鸿远工程咨询有限公司</t>
        </is>
      </c>
      <c r="C170" s="771" t="inlineStr">
        <is>
          <t>2121</t>
        </is>
      </c>
      <c r="D170" s="770" t="inlineStr">
        <is>
          <t>E_624943</t>
        </is>
      </c>
      <c r="E170" s="770" t="inlineStr">
        <is>
          <t>湖北筑美空间装饰设计有限公司</t>
        </is>
      </c>
      <c r="F170" s="770" t="inlineStr">
        <is>
          <t>采购款</t>
        </is>
      </c>
      <c r="G170" s="773" t="inlineStr">
        <is>
          <t>供应商</t>
        </is>
      </c>
      <c r="H170" s="774" t="inlineStr">
        <is>
          <t>CNY</t>
        </is>
      </c>
      <c r="I170" s="781" t="n"/>
      <c r="J170" s="781" t="n"/>
      <c r="K170" s="776" t="n"/>
      <c r="L170" s="777" t="n"/>
      <c r="M170" s="777">
        <f>J170+L170</f>
        <v/>
      </c>
      <c r="N170" s="782" t="n">
        <v>0</v>
      </c>
      <c r="O170" s="775">
        <f>M170-N170</f>
        <v/>
      </c>
      <c r="P170" s="778">
        <f>IF(N170&lt;&gt;0,O170/N170,"")</f>
        <v/>
      </c>
      <c r="Q170" s="776" t="n"/>
      <c r="R170" s="775" t="n"/>
      <c r="S170" s="775" t="n"/>
      <c r="T170" s="775" t="n"/>
      <c r="U170" s="775" t="n"/>
      <c r="V170" s="775" t="n"/>
      <c r="W170" s="775">
        <f>SUM(R170:V170)-M170</f>
        <v/>
      </c>
      <c r="X170" s="779">
        <f>T170+U170+V170</f>
        <v/>
      </c>
    </row>
    <row r="171" hidden="1" ht="15.6" customHeight="1">
      <c r="A171" s="783" t="n"/>
      <c r="B171" s="770" t="inlineStr">
        <is>
          <t>东风鸿远工程咨询有限公司</t>
        </is>
      </c>
      <c r="C171" s="771" t="inlineStr">
        <is>
          <t>2121</t>
        </is>
      </c>
      <c r="D171" s="770" t="inlineStr">
        <is>
          <t>E_155145</t>
        </is>
      </c>
      <c r="E171" s="770" t="inlineStr">
        <is>
          <t>武汉市勘察设计有限公司</t>
        </is>
      </c>
      <c r="F171" s="770" t="inlineStr">
        <is>
          <t>采购款</t>
        </is>
      </c>
      <c r="G171" s="773" t="inlineStr">
        <is>
          <t>供应商</t>
        </is>
      </c>
      <c r="H171" s="774" t="inlineStr">
        <is>
          <t>CNY</t>
        </is>
      </c>
      <c r="I171" s="781" t="n"/>
      <c r="J171" s="781" t="n"/>
      <c r="K171" s="776" t="n"/>
      <c r="L171" s="777" t="n"/>
      <c r="M171" s="777">
        <f>J171+L171</f>
        <v/>
      </c>
      <c r="N171" s="782" t="n">
        <v>-75471.7</v>
      </c>
      <c r="O171" s="775">
        <f>M171-N171</f>
        <v/>
      </c>
      <c r="P171" s="778">
        <f>IF(N171&lt;&gt;0,O171/N171,"")</f>
        <v/>
      </c>
      <c r="Q171" s="776" t="n"/>
      <c r="R171" s="775" t="n"/>
      <c r="S171" s="775" t="n"/>
      <c r="T171" s="775" t="n"/>
      <c r="U171" s="775" t="n"/>
      <c r="V171" s="775" t="n"/>
      <c r="W171" s="775">
        <f>SUM(R171:V171)-M171</f>
        <v/>
      </c>
      <c r="X171" s="779">
        <f>T171+U171+V171</f>
        <v/>
      </c>
    </row>
    <row r="172" hidden="1" ht="15.6" customHeight="1">
      <c r="A172" s="783" t="n"/>
      <c r="B172" s="770" t="inlineStr">
        <is>
          <t>东风鸿远工程咨询有限公司</t>
        </is>
      </c>
      <c r="C172" s="771" t="inlineStr">
        <is>
          <t>2121</t>
        </is>
      </c>
      <c r="D172" s="770" t="inlineStr">
        <is>
          <t>E_624672</t>
        </is>
      </c>
      <c r="E172" s="770" t="inlineStr">
        <is>
          <t>湖北广怡基础建筑劳务有限公司</t>
        </is>
      </c>
      <c r="F172" s="770" t="inlineStr">
        <is>
          <t>采购款</t>
        </is>
      </c>
      <c r="G172" s="773" t="inlineStr">
        <is>
          <t>供应商</t>
        </is>
      </c>
      <c r="H172" s="774" t="inlineStr">
        <is>
          <t>CNY</t>
        </is>
      </c>
      <c r="I172" s="781" t="n"/>
      <c r="J172" s="781" t="n"/>
      <c r="K172" s="776" t="n"/>
      <c r="L172" s="777" t="n"/>
      <c r="M172" s="777">
        <f>J172+L172</f>
        <v/>
      </c>
      <c r="N172" s="782" t="n">
        <v>-430734.9</v>
      </c>
      <c r="O172" s="775">
        <f>M172-N172</f>
        <v/>
      </c>
      <c r="P172" s="778">
        <f>IF(N172&lt;&gt;0,O172/N172,"")</f>
        <v/>
      </c>
      <c r="Q172" s="776" t="n"/>
      <c r="R172" s="775" t="n"/>
      <c r="S172" s="775" t="n"/>
      <c r="T172" s="775" t="n"/>
      <c r="U172" s="775" t="n"/>
      <c r="V172" s="775" t="n"/>
      <c r="W172" s="775">
        <f>SUM(R172:V172)-M172</f>
        <v/>
      </c>
      <c r="X172" s="779">
        <f>T172+U172+V172</f>
        <v/>
      </c>
    </row>
    <row r="173" hidden="1" ht="15.6" customHeight="1">
      <c r="A173" s="783" t="n"/>
      <c r="B173" s="770" t="inlineStr">
        <is>
          <t>东风鸿远工程咨询有限公司</t>
        </is>
      </c>
      <c r="C173" s="771" t="inlineStr">
        <is>
          <t>2121</t>
        </is>
      </c>
      <c r="D173" s="770" t="inlineStr">
        <is>
          <t>E_227520</t>
        </is>
      </c>
      <c r="E173" s="770" t="inlineStr">
        <is>
          <t>湖北科远环境检测有限公司</t>
        </is>
      </c>
      <c r="F173" s="770" t="inlineStr">
        <is>
          <t>采购款</t>
        </is>
      </c>
      <c r="G173" s="773" t="inlineStr">
        <is>
          <t>供应商</t>
        </is>
      </c>
      <c r="H173" s="774" t="inlineStr">
        <is>
          <t>CNY</t>
        </is>
      </c>
      <c r="I173" s="781" t="n"/>
      <c r="J173" s="781" t="n"/>
      <c r="K173" s="776" t="n"/>
      <c r="L173" s="777" t="n"/>
      <c r="M173" s="777">
        <f>J173+L173</f>
        <v/>
      </c>
      <c r="N173" s="782" t="n">
        <v>-340776.7</v>
      </c>
      <c r="O173" s="775">
        <f>M173-N173</f>
        <v/>
      </c>
      <c r="P173" s="778">
        <f>IF(N173&lt;&gt;0,O173/N173,"")</f>
        <v/>
      </c>
      <c r="Q173" s="776" t="n"/>
      <c r="R173" s="775" t="n"/>
      <c r="S173" s="775" t="n"/>
      <c r="T173" s="775" t="n"/>
      <c r="U173" s="775" t="n"/>
      <c r="V173" s="775" t="n"/>
      <c r="W173" s="775">
        <f>SUM(R173:V173)-M173</f>
        <v/>
      </c>
      <c r="X173" s="779">
        <f>T173+U173+V173</f>
        <v/>
      </c>
    </row>
    <row r="174" hidden="1" ht="15.6" customHeight="1">
      <c r="A174" s="783" t="n"/>
      <c r="B174" s="770" t="inlineStr">
        <is>
          <t>东风鸿远工程咨询有限公司</t>
        </is>
      </c>
      <c r="C174" s="771" t="inlineStr">
        <is>
          <t>2121</t>
        </is>
      </c>
      <c r="D174" s="770" t="inlineStr">
        <is>
          <t>E_791242</t>
        </is>
      </c>
      <c r="E174" s="770" t="inlineStr">
        <is>
          <t>襄阳市高新区鑫永昌物流部</t>
        </is>
      </c>
      <c r="F174" s="770" t="inlineStr">
        <is>
          <t>采购款</t>
        </is>
      </c>
      <c r="G174" s="773" t="inlineStr">
        <is>
          <t>供应商</t>
        </is>
      </c>
      <c r="H174" s="774" t="inlineStr">
        <is>
          <t>CNY</t>
        </is>
      </c>
      <c r="I174" s="781" t="n"/>
      <c r="J174" s="781" t="n"/>
      <c r="K174" s="776" t="n"/>
      <c r="L174" s="777" t="n"/>
      <c r="M174" s="777">
        <f>J174+L174</f>
        <v/>
      </c>
      <c r="N174" s="782" t="n">
        <v>-15200</v>
      </c>
      <c r="O174" s="775">
        <f>M174-N174</f>
        <v/>
      </c>
      <c r="P174" s="778">
        <f>IF(N174&lt;&gt;0,O174/N174,"")</f>
        <v/>
      </c>
      <c r="Q174" s="776" t="n"/>
      <c r="R174" s="775" t="n"/>
      <c r="S174" s="775" t="n"/>
      <c r="T174" s="775" t="n"/>
      <c r="U174" s="775" t="n"/>
      <c r="V174" s="775" t="n"/>
      <c r="W174" s="775">
        <f>SUM(R174:V174)-M174</f>
        <v/>
      </c>
      <c r="X174" s="779">
        <f>T174+U174+V174</f>
        <v/>
      </c>
    </row>
    <row r="175" hidden="1" ht="15.6" customHeight="1">
      <c r="A175" s="783" t="n"/>
      <c r="B175" s="770" t="inlineStr">
        <is>
          <t>东风鸿远工程咨询有限公司</t>
        </is>
      </c>
      <c r="C175" s="771" t="inlineStr">
        <is>
          <t>2121</t>
        </is>
      </c>
      <c r="D175" s="770" t="inlineStr">
        <is>
          <t>E_855078</t>
        </is>
      </c>
      <c r="E175" s="770" t="inlineStr">
        <is>
          <t>湖北星火合筑工程服务有限公司</t>
        </is>
      </c>
      <c r="F175" s="770" t="inlineStr">
        <is>
          <t>采购款</t>
        </is>
      </c>
      <c r="G175" s="773" t="inlineStr">
        <is>
          <t>供应商</t>
        </is>
      </c>
      <c r="H175" s="774" t="inlineStr">
        <is>
          <t>CNY</t>
        </is>
      </c>
      <c r="I175" s="781" t="n"/>
      <c r="J175" s="781" t="n"/>
      <c r="K175" s="776" t="n"/>
      <c r="L175" s="777" t="n"/>
      <c r="M175" s="777">
        <f>J175+L175</f>
        <v/>
      </c>
      <c r="N175" s="782" t="n">
        <v>-15533.99</v>
      </c>
      <c r="O175" s="775">
        <f>M175-N175</f>
        <v/>
      </c>
      <c r="P175" s="778">
        <f>IF(N175&lt;&gt;0,O175/N175,"")</f>
        <v/>
      </c>
      <c r="Q175" s="776" t="n"/>
      <c r="R175" s="775" t="n"/>
      <c r="S175" s="775" t="n"/>
      <c r="T175" s="775" t="n"/>
      <c r="U175" s="775" t="n"/>
      <c r="V175" s="775" t="n"/>
      <c r="W175" s="775">
        <f>SUM(R175:V175)-M175</f>
        <v/>
      </c>
      <c r="X175" s="779">
        <f>T175+U175+V175</f>
        <v/>
      </c>
    </row>
    <row r="176" hidden="1" ht="15.6" customHeight="1">
      <c r="A176" s="783" t="n"/>
      <c r="B176" s="770" t="inlineStr">
        <is>
          <t>东风鸿远工程咨询有限公司</t>
        </is>
      </c>
      <c r="C176" s="771" t="inlineStr">
        <is>
          <t>2121</t>
        </is>
      </c>
      <c r="D176" s="770" t="inlineStr">
        <is>
          <t>E_146677</t>
        </is>
      </c>
      <c r="E176" s="770" t="inlineStr">
        <is>
          <t>湖北天洋机电工程有限公司</t>
        </is>
      </c>
      <c r="F176" s="770" t="inlineStr">
        <is>
          <t>采购款</t>
        </is>
      </c>
      <c r="G176" s="773" t="inlineStr">
        <is>
          <t>供应商</t>
        </is>
      </c>
      <c r="H176" s="774" t="inlineStr">
        <is>
          <t>CNY</t>
        </is>
      </c>
      <c r="I176" s="781" t="n"/>
      <c r="J176" s="781" t="n"/>
      <c r="K176" s="776" t="n"/>
      <c r="L176" s="777" t="n"/>
      <c r="M176" s="777">
        <f>J176+L176</f>
        <v/>
      </c>
      <c r="N176" s="782" t="n">
        <v>-82964.60000000001</v>
      </c>
      <c r="O176" s="775">
        <f>M176-N176</f>
        <v/>
      </c>
      <c r="P176" s="778">
        <f>IF(N176&lt;&gt;0,O176/N176,"")</f>
        <v/>
      </c>
      <c r="Q176" s="776" t="n"/>
      <c r="R176" s="775" t="n"/>
      <c r="S176" s="775" t="n"/>
      <c r="T176" s="775" t="n"/>
      <c r="U176" s="775" t="n"/>
      <c r="V176" s="775" t="n"/>
      <c r="W176" s="775">
        <f>SUM(R176:V176)-M176</f>
        <v/>
      </c>
      <c r="X176" s="779">
        <f>T176+U176+V176</f>
        <v/>
      </c>
    </row>
    <row r="177" hidden="1" ht="15.6" customHeight="1">
      <c r="A177" s="783" t="n"/>
      <c r="B177" s="770" t="inlineStr">
        <is>
          <t>东风鸿远工程咨询有限公司</t>
        </is>
      </c>
      <c r="C177" s="771" t="inlineStr">
        <is>
          <t>2121</t>
        </is>
      </c>
      <c r="D177" s="770" t="inlineStr">
        <is>
          <t>E_120763</t>
        </is>
      </c>
      <c r="E177" s="770" t="inlineStr">
        <is>
          <t>杭萧钢构股份有限公司</t>
        </is>
      </c>
      <c r="F177" s="770" t="inlineStr">
        <is>
          <t>采购款</t>
        </is>
      </c>
      <c r="G177" s="773" t="inlineStr">
        <is>
          <t>供应商</t>
        </is>
      </c>
      <c r="H177" s="774" t="inlineStr">
        <is>
          <t>CNY</t>
        </is>
      </c>
      <c r="I177" s="781" t="n"/>
      <c r="J177" s="781" t="n"/>
      <c r="K177" s="776" t="n"/>
      <c r="L177" s="777" t="n"/>
      <c r="M177" s="777">
        <f>J177+L177</f>
        <v/>
      </c>
      <c r="N177" s="782" t="n">
        <v>-306603.77</v>
      </c>
      <c r="O177" s="775">
        <f>M177-N177</f>
        <v/>
      </c>
      <c r="P177" s="778">
        <f>IF(N177&lt;&gt;0,O177/N177,"")</f>
        <v/>
      </c>
      <c r="Q177" s="776" t="n"/>
      <c r="R177" s="775" t="n"/>
      <c r="S177" s="775" t="n"/>
      <c r="T177" s="775" t="n"/>
      <c r="U177" s="775" t="n"/>
      <c r="V177" s="775" t="n"/>
      <c r="W177" s="775">
        <f>SUM(R177:V177)-M177</f>
        <v/>
      </c>
      <c r="X177" s="779">
        <f>T177+U177+V177</f>
        <v/>
      </c>
    </row>
    <row r="178" hidden="1" ht="15.6" customHeight="1">
      <c r="A178" s="783" t="n"/>
      <c r="B178" s="770" t="inlineStr">
        <is>
          <t>东风鸿远工程咨询有限公司</t>
        </is>
      </c>
      <c r="C178" s="771" t="inlineStr">
        <is>
          <t>2121</t>
        </is>
      </c>
      <c r="D178" s="770" t="inlineStr">
        <is>
          <t>E_623468</t>
        </is>
      </c>
      <c r="E178" s="770" t="inlineStr">
        <is>
          <t>武汉颠三文化传媒有限公司</t>
        </is>
      </c>
      <c r="F178" s="770" t="inlineStr">
        <is>
          <t>采购款</t>
        </is>
      </c>
      <c r="G178" s="773" t="inlineStr">
        <is>
          <t>供应商</t>
        </is>
      </c>
      <c r="H178" s="774" t="inlineStr">
        <is>
          <t>CNY</t>
        </is>
      </c>
      <c r="I178" s="781" t="n"/>
      <c r="J178" s="781" t="n"/>
      <c r="K178" s="776" t="n"/>
      <c r="L178" s="777" t="n"/>
      <c r="M178" s="777">
        <f>J178+L178</f>
        <v/>
      </c>
      <c r="N178" s="782" t="n">
        <v>-63990.29</v>
      </c>
      <c r="O178" s="775">
        <f>M178-N178</f>
        <v/>
      </c>
      <c r="P178" s="778">
        <f>IF(N178&lt;&gt;0,O178/N178,"")</f>
        <v/>
      </c>
      <c r="Q178" s="776" t="n"/>
      <c r="R178" s="775" t="n"/>
      <c r="S178" s="775" t="n"/>
      <c r="T178" s="775" t="n"/>
      <c r="U178" s="775" t="n"/>
      <c r="V178" s="775" t="n"/>
      <c r="W178" s="775">
        <f>SUM(R178:V178)-M178</f>
        <v/>
      </c>
      <c r="X178" s="779">
        <f>T178+U178+V178</f>
        <v/>
      </c>
    </row>
    <row r="179" hidden="1" ht="15.6" customHeight="1">
      <c r="A179" s="783" t="n"/>
      <c r="B179" s="770" t="inlineStr">
        <is>
          <t>东风鸿远工程咨询有限公司</t>
        </is>
      </c>
      <c r="C179" s="771" t="inlineStr">
        <is>
          <t>2121</t>
        </is>
      </c>
      <c r="D179" s="770" t="inlineStr">
        <is>
          <t>E_787488</t>
        </is>
      </c>
      <c r="E179" s="770" t="inlineStr">
        <is>
          <t>襄阳立弘汽车服务有限公司</t>
        </is>
      </c>
      <c r="F179" s="770" t="inlineStr">
        <is>
          <t>采购款</t>
        </is>
      </c>
      <c r="G179" s="773" t="inlineStr">
        <is>
          <t>供应商</t>
        </is>
      </c>
      <c r="H179" s="774" t="inlineStr">
        <is>
          <t>CNY</t>
        </is>
      </c>
      <c r="I179" s="781" t="n"/>
      <c r="J179" s="781" t="n"/>
      <c r="K179" s="776" t="n"/>
      <c r="L179" s="777" t="n"/>
      <c r="M179" s="777">
        <f>J179+L179</f>
        <v/>
      </c>
      <c r="N179" s="782" t="n">
        <v>-16000</v>
      </c>
      <c r="O179" s="775">
        <f>M179-N179</f>
        <v/>
      </c>
      <c r="P179" s="778">
        <f>IF(N179&lt;&gt;0,O179/N179,"")</f>
        <v/>
      </c>
      <c r="Q179" s="776" t="n"/>
      <c r="R179" s="775" t="n"/>
      <c r="S179" s="775" t="n"/>
      <c r="T179" s="775" t="n"/>
      <c r="U179" s="775" t="n"/>
      <c r="V179" s="775" t="n"/>
      <c r="W179" s="775">
        <f>SUM(R179:V179)-M179</f>
        <v/>
      </c>
      <c r="X179" s="779">
        <f>T179+U179+V179</f>
        <v/>
      </c>
    </row>
    <row r="180" hidden="1" ht="15.6" customHeight="1">
      <c r="A180" s="783" t="n"/>
      <c r="B180" s="770" t="inlineStr">
        <is>
          <t>东风鸿远工程咨询有限公司</t>
        </is>
      </c>
      <c r="C180" s="771" t="inlineStr">
        <is>
          <t>2121</t>
        </is>
      </c>
      <c r="D180" s="770" t="inlineStr">
        <is>
          <t>E_624564</t>
        </is>
      </c>
      <c r="E180" s="770" t="inlineStr">
        <is>
          <t>襄阳新航盛劳务有限公司</t>
        </is>
      </c>
      <c r="F180" s="770" t="inlineStr">
        <is>
          <t>采购款</t>
        </is>
      </c>
      <c r="G180" s="773" t="inlineStr">
        <is>
          <t>供应商</t>
        </is>
      </c>
      <c r="H180" s="774" t="inlineStr">
        <is>
          <t>CNY</t>
        </is>
      </c>
      <c r="I180" s="781" t="n"/>
      <c r="J180" s="781" t="n"/>
      <c r="K180" s="776" t="n"/>
      <c r="L180" s="777" t="n"/>
      <c r="M180" s="777">
        <f>J180+L180</f>
        <v/>
      </c>
      <c r="N180" s="782" t="n">
        <v>-150000</v>
      </c>
      <c r="O180" s="775">
        <f>M180-N180</f>
        <v/>
      </c>
      <c r="P180" s="778">
        <f>IF(N180&lt;&gt;0,O180/N180,"")</f>
        <v/>
      </c>
      <c r="Q180" s="776" t="n"/>
      <c r="R180" s="775" t="n"/>
      <c r="S180" s="775" t="n"/>
      <c r="T180" s="775" t="n"/>
      <c r="U180" s="775" t="n"/>
      <c r="V180" s="775" t="n"/>
      <c r="W180" s="775">
        <f>SUM(R180:V180)-M180</f>
        <v/>
      </c>
      <c r="X180" s="779">
        <f>T180+U180+V180</f>
        <v/>
      </c>
    </row>
    <row r="181" hidden="1" ht="15.6" customHeight="1">
      <c r="A181" s="783" t="n"/>
      <c r="B181" s="770" t="inlineStr">
        <is>
          <t>东风鸿远工程咨询有限公司</t>
        </is>
      </c>
      <c r="C181" s="771" t="inlineStr">
        <is>
          <t>2121</t>
        </is>
      </c>
      <c r="D181" s="770" t="inlineStr">
        <is>
          <t>E_602987</t>
        </is>
      </c>
      <c r="E181" s="770" t="inlineStr">
        <is>
          <t>佛山市亿存新型材料有限公司</t>
        </is>
      </c>
      <c r="F181" s="770" t="inlineStr">
        <is>
          <t>采购款</t>
        </is>
      </c>
      <c r="G181" s="773" t="inlineStr">
        <is>
          <t>供应商</t>
        </is>
      </c>
      <c r="H181" s="774" t="inlineStr">
        <is>
          <t>CNY</t>
        </is>
      </c>
      <c r="I181" s="781" t="n"/>
      <c r="J181" s="781" t="n"/>
      <c r="K181" s="776" t="n"/>
      <c r="L181" s="777" t="n"/>
      <c r="M181" s="777">
        <f>J181+L181</f>
        <v/>
      </c>
      <c r="N181" s="782" t="n">
        <v>-6924.78</v>
      </c>
      <c r="O181" s="775">
        <f>M181-N181</f>
        <v/>
      </c>
      <c r="P181" s="778">
        <f>IF(N181&lt;&gt;0,O181/N181,"")</f>
        <v/>
      </c>
      <c r="Q181" s="776" t="n"/>
      <c r="R181" s="775" t="n"/>
      <c r="S181" s="775" t="n"/>
      <c r="T181" s="775" t="n"/>
      <c r="U181" s="775" t="n"/>
      <c r="V181" s="775" t="n"/>
      <c r="W181" s="775">
        <f>SUM(R181:V181)-M181</f>
        <v/>
      </c>
      <c r="X181" s="779">
        <f>T181+U181+V181</f>
        <v/>
      </c>
    </row>
    <row r="182" hidden="1" ht="15.6" customHeight="1">
      <c r="A182" s="783" t="n"/>
      <c r="B182" s="770" t="inlineStr">
        <is>
          <t>东风鸿远工程咨询有限公司</t>
        </is>
      </c>
      <c r="C182" s="771" t="inlineStr">
        <is>
          <t>2121</t>
        </is>
      </c>
      <c r="D182" s="770" t="inlineStr">
        <is>
          <t>E_015226</t>
        </is>
      </c>
      <c r="E182" s="770" t="inlineStr">
        <is>
          <t>武汉金东方智能景观股份有限公司</t>
        </is>
      </c>
      <c r="F182" s="770" t="inlineStr">
        <is>
          <t>采购款</t>
        </is>
      </c>
      <c r="G182" s="773" t="inlineStr">
        <is>
          <t>供应商</t>
        </is>
      </c>
      <c r="H182" s="774" t="inlineStr">
        <is>
          <t>CNY</t>
        </is>
      </c>
      <c r="I182" s="781" t="n"/>
      <c r="J182" s="781" t="n"/>
      <c r="K182" s="776" t="n"/>
      <c r="L182" s="777" t="n"/>
      <c r="M182" s="777">
        <f>J182+L182</f>
        <v/>
      </c>
      <c r="N182" s="782" t="n">
        <v>-60000</v>
      </c>
      <c r="O182" s="775">
        <f>M182-N182</f>
        <v/>
      </c>
      <c r="P182" s="778">
        <f>IF(N182&lt;&gt;0,O182/N182,"")</f>
        <v/>
      </c>
      <c r="Q182" s="776" t="n"/>
      <c r="R182" s="775" t="n"/>
      <c r="S182" s="775" t="n"/>
      <c r="T182" s="775" t="n"/>
      <c r="U182" s="775" t="n"/>
      <c r="V182" s="775" t="n"/>
      <c r="W182" s="775">
        <f>SUM(R182:V182)-M182</f>
        <v/>
      </c>
      <c r="X182" s="779">
        <f>T182+U182+V182</f>
        <v/>
      </c>
    </row>
    <row r="183" hidden="1" ht="15.6" customHeight="1">
      <c r="A183" s="783" t="n"/>
      <c r="B183" s="770" t="inlineStr">
        <is>
          <t>东风鸿远工程咨询有限公司</t>
        </is>
      </c>
      <c r="C183" s="771" t="inlineStr">
        <is>
          <t>2121</t>
        </is>
      </c>
      <c r="D183" s="770" t="inlineStr">
        <is>
          <t>E_628047</t>
        </is>
      </c>
      <c r="E183" s="770" t="inlineStr">
        <is>
          <t>襄城区隗鹏雕塑工作室</t>
        </is>
      </c>
      <c r="F183" s="770" t="inlineStr">
        <is>
          <t>采购款</t>
        </is>
      </c>
      <c r="G183" s="773" t="inlineStr">
        <is>
          <t>供应商</t>
        </is>
      </c>
      <c r="H183" s="774" t="inlineStr">
        <is>
          <t>CNY</t>
        </is>
      </c>
      <c r="I183" s="781" t="n"/>
      <c r="J183" s="781" t="n"/>
      <c r="K183" s="776" t="n"/>
      <c r="L183" s="777" t="n"/>
      <c r="M183" s="777">
        <f>J183+L183</f>
        <v/>
      </c>
      <c r="N183" s="782" t="n">
        <v>0</v>
      </c>
      <c r="O183" s="775">
        <f>M183-N183</f>
        <v/>
      </c>
      <c r="P183" s="778">
        <f>IF(N183&lt;&gt;0,O183/N183,"")</f>
        <v/>
      </c>
      <c r="Q183" s="776" t="n"/>
      <c r="R183" s="775" t="n"/>
      <c r="S183" s="775" t="n"/>
      <c r="T183" s="775" t="n"/>
      <c r="U183" s="775" t="n"/>
      <c r="V183" s="775" t="n"/>
      <c r="W183" s="775">
        <f>SUM(R183:V183)-M183</f>
        <v/>
      </c>
      <c r="X183" s="779">
        <f>T183+U183+V183</f>
        <v/>
      </c>
    </row>
    <row r="184" hidden="1" ht="15.6" customHeight="1">
      <c r="A184" s="783" t="n"/>
      <c r="B184" s="770" t="inlineStr">
        <is>
          <t>东风鸿远工程咨询有限公司</t>
        </is>
      </c>
      <c r="C184" s="771" t="inlineStr">
        <is>
          <t>2121</t>
        </is>
      </c>
      <c r="D184" s="770" t="inlineStr">
        <is>
          <t>E_601503</t>
        </is>
      </c>
      <c r="E184" s="770" t="inlineStr">
        <is>
          <t>中交远洲交通科技集团有限公司湖北分公司</t>
        </is>
      </c>
      <c r="F184" s="770" t="inlineStr">
        <is>
          <t>采购款</t>
        </is>
      </c>
      <c r="G184" s="773" t="inlineStr">
        <is>
          <t>供应商</t>
        </is>
      </c>
      <c r="H184" s="774" t="inlineStr">
        <is>
          <t>CNY</t>
        </is>
      </c>
      <c r="I184" s="781" t="n"/>
      <c r="J184" s="781" t="n"/>
      <c r="K184" s="776" t="n"/>
      <c r="L184" s="777" t="n"/>
      <c r="M184" s="777">
        <f>J184+L184</f>
        <v/>
      </c>
      <c r="N184" s="782" t="n">
        <v>-15094.34</v>
      </c>
      <c r="O184" s="775">
        <f>M184-N184</f>
        <v/>
      </c>
      <c r="P184" s="778">
        <f>IF(N184&lt;&gt;0,O184/N184,"")</f>
        <v/>
      </c>
      <c r="Q184" s="776" t="n"/>
      <c r="R184" s="775" t="n"/>
      <c r="S184" s="775" t="n"/>
      <c r="T184" s="775" t="n"/>
      <c r="U184" s="775" t="n"/>
      <c r="V184" s="775" t="n"/>
      <c r="W184" s="775">
        <f>SUM(R184:V184)-M184</f>
        <v/>
      </c>
      <c r="X184" s="779">
        <f>T184+U184+V184</f>
        <v/>
      </c>
    </row>
    <row r="185" hidden="1" ht="15.6" customHeight="1">
      <c r="A185" s="783" t="n"/>
      <c r="B185" s="770" t="inlineStr">
        <is>
          <t>东风鸿远工程咨询有限公司</t>
        </is>
      </c>
      <c r="C185" s="771" t="inlineStr">
        <is>
          <t>2121</t>
        </is>
      </c>
      <c r="D185" s="770" t="inlineStr">
        <is>
          <t>E_614310</t>
        </is>
      </c>
      <c r="E185" s="770" t="inlineStr">
        <is>
          <t>襄阳市金真彩广告印务有限公司</t>
        </is>
      </c>
      <c r="F185" s="770" t="inlineStr">
        <is>
          <t>采购款</t>
        </is>
      </c>
      <c r="G185" s="773" t="inlineStr">
        <is>
          <t>供应商</t>
        </is>
      </c>
      <c r="H185" s="774" t="inlineStr">
        <is>
          <t>CNY</t>
        </is>
      </c>
      <c r="I185" s="781" t="n"/>
      <c r="J185" s="781" t="n"/>
      <c r="K185" s="776" t="n"/>
      <c r="L185" s="777" t="n"/>
      <c r="M185" s="777">
        <f>J185+L185</f>
        <v/>
      </c>
      <c r="N185" s="782" t="n">
        <v>-50200.94</v>
      </c>
      <c r="O185" s="775">
        <f>M185-N185</f>
        <v/>
      </c>
      <c r="P185" s="778">
        <f>IF(N185&lt;&gt;0,O185/N185,"")</f>
        <v/>
      </c>
      <c r="Q185" s="776" t="n"/>
      <c r="R185" s="775" t="n"/>
      <c r="S185" s="775" t="n"/>
      <c r="T185" s="775" t="n"/>
      <c r="U185" s="775" t="n"/>
      <c r="V185" s="775" t="n"/>
      <c r="W185" s="775">
        <f>SUM(R185:V185)-M185</f>
        <v/>
      </c>
      <c r="X185" s="779">
        <f>T185+U185+V185</f>
        <v/>
      </c>
    </row>
    <row r="186" hidden="1" ht="15.6" customHeight="1">
      <c r="A186" s="783" t="n"/>
      <c r="B186" s="770" t="inlineStr">
        <is>
          <t>东风鸿远工程咨询有限公司</t>
        </is>
      </c>
      <c r="C186" s="771" t="inlineStr">
        <is>
          <t>2121</t>
        </is>
      </c>
      <c r="D186" s="770" t="inlineStr">
        <is>
          <t>E_621398</t>
        </is>
      </c>
      <c r="E186" s="770" t="inlineStr">
        <is>
          <t>杭州瀚也文化创意有限公司</t>
        </is>
      </c>
      <c r="F186" s="770" t="inlineStr">
        <is>
          <t>采购款</t>
        </is>
      </c>
      <c r="G186" s="773" t="inlineStr">
        <is>
          <t>供应商</t>
        </is>
      </c>
      <c r="H186" s="774" t="inlineStr">
        <is>
          <t>CNY</t>
        </is>
      </c>
      <c r="I186" s="781" t="n"/>
      <c r="J186" s="781" t="n"/>
      <c r="K186" s="776" t="n"/>
      <c r="L186" s="777" t="n"/>
      <c r="M186" s="777">
        <f>J186+L186</f>
        <v/>
      </c>
      <c r="N186" s="782" t="n">
        <v>0</v>
      </c>
      <c r="O186" s="775">
        <f>M186-N186</f>
        <v/>
      </c>
      <c r="P186" s="778">
        <f>IF(N186&lt;&gt;0,O186/N186,"")</f>
        <v/>
      </c>
      <c r="Q186" s="776" t="n"/>
      <c r="R186" s="775" t="n"/>
      <c r="S186" s="775" t="n"/>
      <c r="T186" s="775" t="n"/>
      <c r="U186" s="775" t="n"/>
      <c r="V186" s="775" t="n"/>
      <c r="W186" s="775">
        <f>SUM(R186:V186)-M186</f>
        <v/>
      </c>
      <c r="X186" s="779">
        <f>T186+U186+V186</f>
        <v/>
      </c>
    </row>
    <row r="187" hidden="1" ht="15.6" customHeight="1">
      <c r="A187" s="783" t="n"/>
      <c r="B187" s="770" t="inlineStr">
        <is>
          <t>东风鸿远工程咨询有限公司</t>
        </is>
      </c>
      <c r="C187" s="771" t="inlineStr">
        <is>
          <t>2121</t>
        </is>
      </c>
      <c r="D187" s="770" t="inlineStr">
        <is>
          <t>E_597576</t>
        </is>
      </c>
      <c r="E187" s="770" t="inlineStr">
        <is>
          <t>李晓微</t>
        </is>
      </c>
      <c r="F187" s="770" t="inlineStr">
        <is>
          <t>采购款</t>
        </is>
      </c>
      <c r="G187" s="773" t="inlineStr">
        <is>
          <t>供应商</t>
        </is>
      </c>
      <c r="H187" s="774" t="inlineStr">
        <is>
          <t>CNY</t>
        </is>
      </c>
      <c r="I187" s="781" t="n"/>
      <c r="J187" s="781" t="n"/>
      <c r="K187" s="776" t="n"/>
      <c r="L187" s="777" t="n"/>
      <c r="M187" s="777">
        <f>J187+L187</f>
        <v/>
      </c>
      <c r="N187" s="782" t="n">
        <v>0</v>
      </c>
      <c r="O187" s="775">
        <f>M187-N187</f>
        <v/>
      </c>
      <c r="P187" s="778">
        <f>IF(N187&lt;&gt;0,O187/N187,"")</f>
        <v/>
      </c>
      <c r="Q187" s="776" t="n"/>
      <c r="R187" s="775" t="n"/>
      <c r="S187" s="775" t="n"/>
      <c r="T187" s="775" t="n"/>
      <c r="U187" s="775" t="n"/>
      <c r="V187" s="775" t="n"/>
      <c r="W187" s="775">
        <f>SUM(R187:V187)-M187</f>
        <v/>
      </c>
      <c r="X187" s="779">
        <f>T187+U187+V187</f>
        <v/>
      </c>
    </row>
    <row r="188" hidden="1" ht="15.6" customHeight="1">
      <c r="A188" s="783" t="n"/>
      <c r="B188" s="770" t="inlineStr">
        <is>
          <t>东风鸿远工程咨询有限公司</t>
        </is>
      </c>
      <c r="C188" s="771" t="inlineStr">
        <is>
          <t>2121</t>
        </is>
      </c>
      <c r="D188" s="770" t="inlineStr">
        <is>
          <t>E_624926</t>
        </is>
      </c>
      <c r="E188" s="770" t="inlineStr">
        <is>
          <t>襄阳市佰世欣广告传媒有限公司</t>
        </is>
      </c>
      <c r="F188" s="770" t="inlineStr">
        <is>
          <t>采购款</t>
        </is>
      </c>
      <c r="G188" s="773" t="inlineStr">
        <is>
          <t>供应商</t>
        </is>
      </c>
      <c r="H188" s="774" t="inlineStr">
        <is>
          <t>CNY</t>
        </is>
      </c>
      <c r="I188" s="781" t="n"/>
      <c r="J188" s="781" t="n"/>
      <c r="K188" s="776" t="n"/>
      <c r="L188" s="777" t="n"/>
      <c r="M188" s="777">
        <f>J188+L188</f>
        <v/>
      </c>
      <c r="N188" s="782" t="n">
        <v>0</v>
      </c>
      <c r="O188" s="775">
        <f>M188-N188</f>
        <v/>
      </c>
      <c r="P188" s="778">
        <f>IF(N188&lt;&gt;0,O188/N188,"")</f>
        <v/>
      </c>
      <c r="Q188" s="776" t="n"/>
      <c r="R188" s="775" t="n"/>
      <c r="S188" s="775" t="n"/>
      <c r="T188" s="775" t="n"/>
      <c r="U188" s="775" t="n"/>
      <c r="V188" s="775" t="n"/>
      <c r="W188" s="775">
        <f>SUM(R188:V188)-M188</f>
        <v/>
      </c>
      <c r="X188" s="779">
        <f>T188+U188+V188</f>
        <v/>
      </c>
    </row>
    <row r="189" hidden="1" ht="15.6" customHeight="1">
      <c r="A189" s="783" t="n"/>
      <c r="B189" s="770" t="inlineStr">
        <is>
          <t>东风鸿远工程咨询有限公司</t>
        </is>
      </c>
      <c r="C189" s="771" t="inlineStr">
        <is>
          <t>2121</t>
        </is>
      </c>
      <c r="D189" s="770" t="inlineStr">
        <is>
          <t>E_614431</t>
        </is>
      </c>
      <c r="E189" s="770" t="inlineStr">
        <is>
          <t>襄阳刚威岩土工程有限公司</t>
        </is>
      </c>
      <c r="F189" s="770" t="inlineStr">
        <is>
          <t>采购款</t>
        </is>
      </c>
      <c r="G189" s="773" t="inlineStr">
        <is>
          <t>供应商</t>
        </is>
      </c>
      <c r="H189" s="774" t="inlineStr">
        <is>
          <t>CNY</t>
        </is>
      </c>
      <c r="I189" s="781" t="n"/>
      <c r="J189" s="781" t="n"/>
      <c r="K189" s="776" t="n"/>
      <c r="L189" s="777" t="n"/>
      <c r="M189" s="777">
        <f>J189+L189</f>
        <v/>
      </c>
      <c r="N189" s="782" t="n">
        <v>-34766.02</v>
      </c>
      <c r="O189" s="775">
        <f>M189-N189</f>
        <v/>
      </c>
      <c r="P189" s="778">
        <f>IF(N189&lt;&gt;0,O189/N189,"")</f>
        <v/>
      </c>
      <c r="Q189" s="776" t="n"/>
      <c r="R189" s="775" t="n"/>
      <c r="S189" s="775" t="n"/>
      <c r="T189" s="775" t="n"/>
      <c r="U189" s="775" t="n"/>
      <c r="V189" s="775" t="n"/>
      <c r="W189" s="775">
        <f>SUM(R189:V189)-M189</f>
        <v/>
      </c>
      <c r="X189" s="779">
        <f>T189+U189+V189</f>
        <v/>
      </c>
    </row>
    <row r="190" hidden="1" ht="15.6" customHeight="1">
      <c r="A190" s="783" t="n"/>
      <c r="B190" s="770" t="inlineStr">
        <is>
          <t>东风鸿远工程咨询有限公司</t>
        </is>
      </c>
      <c r="C190" s="771" t="inlineStr">
        <is>
          <t>2121</t>
        </is>
      </c>
      <c r="D190" s="770" t="inlineStr">
        <is>
          <t>E_624348</t>
        </is>
      </c>
      <c r="E190" s="770" t="inlineStr">
        <is>
          <t>湖北省德易科技有限公司</t>
        </is>
      </c>
      <c r="F190" s="770" t="inlineStr">
        <is>
          <t>采购款</t>
        </is>
      </c>
      <c r="G190" s="773" t="inlineStr">
        <is>
          <t>供应商</t>
        </is>
      </c>
      <c r="H190" s="774" t="inlineStr">
        <is>
          <t>CNY</t>
        </is>
      </c>
      <c r="I190" s="781" t="n"/>
      <c r="J190" s="781" t="n"/>
      <c r="K190" s="776" t="n"/>
      <c r="L190" s="777" t="n"/>
      <c r="M190" s="777">
        <f>J190+L190</f>
        <v/>
      </c>
      <c r="N190" s="782" t="n">
        <v>0</v>
      </c>
      <c r="O190" s="775">
        <f>M190-N190</f>
        <v/>
      </c>
      <c r="P190" s="778">
        <f>IF(N190&lt;&gt;0,O190/N190,"")</f>
        <v/>
      </c>
      <c r="Q190" s="776" t="n"/>
      <c r="R190" s="775" t="n"/>
      <c r="S190" s="775" t="n"/>
      <c r="T190" s="775" t="n"/>
      <c r="U190" s="775" t="n"/>
      <c r="V190" s="775" t="n"/>
      <c r="W190" s="775">
        <f>SUM(R190:V190)-M190</f>
        <v/>
      </c>
      <c r="X190" s="779">
        <f>T190+U190+V190</f>
        <v/>
      </c>
    </row>
    <row r="191" hidden="1" ht="15.6" customHeight="1">
      <c r="A191" s="783" t="n"/>
      <c r="B191" s="770" t="inlineStr">
        <is>
          <t>东风鸿远工程咨询有限公司</t>
        </is>
      </c>
      <c r="C191" s="771" t="inlineStr">
        <is>
          <t>2121</t>
        </is>
      </c>
      <c r="D191" s="770" t="inlineStr">
        <is>
          <t>E_628064</t>
        </is>
      </c>
      <c r="E191" s="770" t="inlineStr">
        <is>
          <t>襄阳市樊城区俊美新食代餐馆</t>
        </is>
      </c>
      <c r="F191" s="770" t="inlineStr">
        <is>
          <t>采购款</t>
        </is>
      </c>
      <c r="G191" s="773" t="inlineStr">
        <is>
          <t>供应商</t>
        </is>
      </c>
      <c r="H191" s="774" t="inlineStr">
        <is>
          <t>CNY</t>
        </is>
      </c>
      <c r="I191" s="781" t="n"/>
      <c r="J191" s="781" t="n"/>
      <c r="K191" s="776" t="n"/>
      <c r="L191" s="777" t="n"/>
      <c r="M191" s="777">
        <f>J191+L191</f>
        <v/>
      </c>
      <c r="N191" s="782" t="n">
        <v>-109826</v>
      </c>
      <c r="O191" s="775">
        <f>M191-N191</f>
        <v/>
      </c>
      <c r="P191" s="778">
        <f>IF(N191&lt;&gt;0,O191/N191,"")</f>
        <v/>
      </c>
      <c r="Q191" s="776" t="n"/>
      <c r="R191" s="775" t="n"/>
      <c r="S191" s="775" t="n"/>
      <c r="T191" s="775" t="n"/>
      <c r="U191" s="775" t="n"/>
      <c r="V191" s="775" t="n"/>
      <c r="W191" s="775">
        <f>SUM(R191:V191)-M191</f>
        <v/>
      </c>
      <c r="X191" s="779">
        <f>T191+U191+V191</f>
        <v/>
      </c>
    </row>
    <row r="192" hidden="1" ht="15.6" customHeight="1">
      <c r="A192" s="783" t="n"/>
      <c r="B192" s="770" t="inlineStr">
        <is>
          <t>东风鸿远工程咨询有限公司</t>
        </is>
      </c>
      <c r="C192" s="771" t="inlineStr">
        <is>
          <t>2121</t>
        </is>
      </c>
      <c r="D192" s="770" t="inlineStr">
        <is>
          <t>E_623044</t>
        </is>
      </c>
      <c r="E192" s="770" t="inlineStr">
        <is>
          <t>长江地球物理探测（武汉）有限公司</t>
        </is>
      </c>
      <c r="F192" s="770" t="inlineStr">
        <is>
          <t>采购款</t>
        </is>
      </c>
      <c r="G192" s="773" t="inlineStr">
        <is>
          <t>供应商</t>
        </is>
      </c>
      <c r="H192" s="774" t="inlineStr">
        <is>
          <t>CNY</t>
        </is>
      </c>
      <c r="I192" s="781" t="n"/>
      <c r="J192" s="781" t="n"/>
      <c r="K192" s="776" t="n"/>
      <c r="L192" s="777" t="n"/>
      <c r="M192" s="777">
        <f>J192+L192</f>
        <v/>
      </c>
      <c r="N192" s="782" t="n">
        <v>-29240</v>
      </c>
      <c r="O192" s="775">
        <f>M192-N192</f>
        <v/>
      </c>
      <c r="P192" s="778">
        <f>IF(N192&lt;&gt;0,O192/N192,"")</f>
        <v/>
      </c>
      <c r="Q192" s="776" t="n"/>
      <c r="R192" s="775" t="n"/>
      <c r="S192" s="775" t="n"/>
      <c r="T192" s="775" t="n"/>
      <c r="U192" s="775" t="n"/>
      <c r="V192" s="775" t="n"/>
      <c r="W192" s="775">
        <f>SUM(R192:V192)-M192</f>
        <v/>
      </c>
      <c r="X192" s="779">
        <f>T192+U192+V192</f>
        <v/>
      </c>
    </row>
    <row r="193" hidden="1" ht="15.6" customHeight="1">
      <c r="A193" s="783" t="n"/>
      <c r="B193" s="770" t="inlineStr">
        <is>
          <t>东风鸿远工程咨询有限公司</t>
        </is>
      </c>
      <c r="C193" s="771" t="inlineStr">
        <is>
          <t>2121</t>
        </is>
      </c>
      <c r="D193" s="770" t="inlineStr">
        <is>
          <t>E_624253</t>
        </is>
      </c>
      <c r="E193" s="770" t="inlineStr">
        <is>
          <t>中德华建（北京）国际工程技术有限公司襄阳分公司</t>
        </is>
      </c>
      <c r="F193" s="770" t="inlineStr">
        <is>
          <t>采购款</t>
        </is>
      </c>
      <c r="G193" s="773" t="inlineStr">
        <is>
          <t>供应商</t>
        </is>
      </c>
      <c r="H193" s="774" t="inlineStr">
        <is>
          <t>CNY</t>
        </is>
      </c>
      <c r="I193" s="781" t="n"/>
      <c r="J193" s="781" t="n"/>
      <c r="K193" s="776" t="n"/>
      <c r="L193" s="777" t="n"/>
      <c r="M193" s="777">
        <f>J193+L193</f>
        <v/>
      </c>
      <c r="N193" s="782" t="n">
        <v>-48676.5</v>
      </c>
      <c r="O193" s="775">
        <f>M193-N193</f>
        <v/>
      </c>
      <c r="P193" s="778">
        <f>IF(N193&lt;&gt;0,O193/N193,"")</f>
        <v/>
      </c>
      <c r="Q193" s="776" t="n"/>
      <c r="R193" s="775" t="n"/>
      <c r="S193" s="775" t="n"/>
      <c r="T193" s="775" t="n"/>
      <c r="U193" s="775" t="n"/>
      <c r="V193" s="775" t="n"/>
      <c r="W193" s="775">
        <f>SUM(R193:V193)-M193</f>
        <v/>
      </c>
      <c r="X193" s="779">
        <f>T193+U193+V193</f>
        <v/>
      </c>
    </row>
    <row r="194" hidden="1" ht="15.6" customHeight="1">
      <c r="A194" s="783" t="n"/>
      <c r="B194" s="770" t="inlineStr">
        <is>
          <t>东风鸿远工程咨询有限公司</t>
        </is>
      </c>
      <c r="C194" s="771" t="inlineStr">
        <is>
          <t>2121</t>
        </is>
      </c>
      <c r="D194" s="770" t="inlineStr">
        <is>
          <t>E_614437</t>
        </is>
      </c>
      <c r="E194" s="770" t="inlineStr">
        <is>
          <t>武汉江城建设咨询有限公司襄阳分公司</t>
        </is>
      </c>
      <c r="F194" s="770" t="inlineStr">
        <is>
          <t>采购款</t>
        </is>
      </c>
      <c r="G194" s="773" t="inlineStr">
        <is>
          <t>供应商</t>
        </is>
      </c>
      <c r="H194" s="774" t="inlineStr">
        <is>
          <t>CNY</t>
        </is>
      </c>
      <c r="I194" s="781" t="n"/>
      <c r="J194" s="781" t="n"/>
      <c r="K194" s="776" t="n"/>
      <c r="L194" s="777" t="n"/>
      <c r="M194" s="777">
        <f>J194+L194</f>
        <v/>
      </c>
      <c r="N194" s="782" t="n">
        <v>-27522.94</v>
      </c>
      <c r="O194" s="775">
        <f>M194-N194</f>
        <v/>
      </c>
      <c r="P194" s="778">
        <f>IF(N194&lt;&gt;0,O194/N194,"")</f>
        <v/>
      </c>
      <c r="Q194" s="776" t="n"/>
      <c r="R194" s="775" t="n"/>
      <c r="S194" s="775" t="n"/>
      <c r="T194" s="775" t="n"/>
      <c r="U194" s="775" t="n"/>
      <c r="V194" s="775" t="n"/>
      <c r="W194" s="775">
        <f>SUM(R194:V194)-M194</f>
        <v/>
      </c>
      <c r="X194" s="779">
        <f>T194+U194+V194</f>
        <v/>
      </c>
    </row>
    <row r="195" hidden="1" ht="15.6" customHeight="1">
      <c r="A195" s="783" t="n"/>
      <c r="B195" s="770" t="inlineStr">
        <is>
          <t>东风鸿远工程咨询有限公司</t>
        </is>
      </c>
      <c r="C195" s="771" t="inlineStr">
        <is>
          <t>2121</t>
        </is>
      </c>
      <c r="D195" s="770" t="inlineStr">
        <is>
          <t>E_613573</t>
        </is>
      </c>
      <c r="E195" s="770" t="inlineStr">
        <is>
          <t>湖北基纳于斯建筑劳务有限公司</t>
        </is>
      </c>
      <c r="F195" s="770" t="inlineStr">
        <is>
          <t>采购款</t>
        </is>
      </c>
      <c r="G195" s="773" t="inlineStr">
        <is>
          <t>供应商</t>
        </is>
      </c>
      <c r="H195" s="774" t="inlineStr">
        <is>
          <t>CNY</t>
        </is>
      </c>
      <c r="I195" s="781" t="n"/>
      <c r="J195" s="781" t="n"/>
      <c r="K195" s="776" t="n"/>
      <c r="L195" s="777" t="n"/>
      <c r="M195" s="777">
        <f>J195+L195</f>
        <v/>
      </c>
      <c r="N195" s="782" t="n">
        <v>0</v>
      </c>
      <c r="O195" s="775">
        <f>M195-N195</f>
        <v/>
      </c>
      <c r="P195" s="778">
        <f>IF(N195&lt;&gt;0,O195/N195,"")</f>
        <v/>
      </c>
      <c r="Q195" s="776" t="n"/>
      <c r="R195" s="775" t="n"/>
      <c r="S195" s="775" t="n"/>
      <c r="T195" s="775" t="n"/>
      <c r="U195" s="775" t="n"/>
      <c r="V195" s="775" t="n"/>
      <c r="W195" s="775">
        <f>SUM(R195:V195)-M195</f>
        <v/>
      </c>
      <c r="X195" s="779">
        <f>T195+U195+V195</f>
        <v/>
      </c>
    </row>
    <row r="196" hidden="1" ht="15.6" customHeight="1">
      <c r="A196" s="783" t="n"/>
      <c r="B196" s="770" t="inlineStr">
        <is>
          <t>东风鸿远工程咨询有限公司</t>
        </is>
      </c>
      <c r="C196" s="771" t="inlineStr">
        <is>
          <t>2121</t>
        </is>
      </c>
      <c r="D196" s="770" t="inlineStr">
        <is>
          <t>E_659743</t>
        </is>
      </c>
      <c r="E196" s="770" t="inlineStr">
        <is>
          <t>湖北承信项目管理有限公司</t>
        </is>
      </c>
      <c r="F196" s="770" t="inlineStr">
        <is>
          <t>采购款</t>
        </is>
      </c>
      <c r="G196" s="773" t="inlineStr">
        <is>
          <t>供应商</t>
        </is>
      </c>
      <c r="H196" s="774" t="inlineStr">
        <is>
          <t>CNY</t>
        </is>
      </c>
      <c r="I196" s="781" t="n"/>
      <c r="J196" s="781" t="n"/>
      <c r="K196" s="776" t="n"/>
      <c r="L196" s="777" t="n"/>
      <c r="M196" s="777">
        <f>J196+L196</f>
        <v/>
      </c>
      <c r="N196" s="782" t="n">
        <v>-125000</v>
      </c>
      <c r="O196" s="775">
        <f>M196-N196</f>
        <v/>
      </c>
      <c r="P196" s="778">
        <f>IF(N196&lt;&gt;0,O196/N196,"")</f>
        <v/>
      </c>
      <c r="Q196" s="776" t="n"/>
      <c r="R196" s="775" t="n"/>
      <c r="S196" s="775" t="n"/>
      <c r="T196" s="775" t="n"/>
      <c r="U196" s="775" t="n"/>
      <c r="V196" s="775" t="n"/>
      <c r="W196" s="775">
        <f>SUM(R196:V196)-M196</f>
        <v/>
      </c>
      <c r="X196" s="779">
        <f>T196+U196+V196</f>
        <v/>
      </c>
    </row>
    <row r="197" hidden="1" ht="15.6" customHeight="1">
      <c r="A197" s="783" t="n"/>
      <c r="B197" s="770" t="inlineStr">
        <is>
          <t>东风鸿远工程咨询有限公司</t>
        </is>
      </c>
      <c r="C197" s="771" t="inlineStr">
        <is>
          <t>2121</t>
        </is>
      </c>
      <c r="D197" s="770" t="inlineStr">
        <is>
          <t>E_614544</t>
        </is>
      </c>
      <c r="E197" s="770" t="inlineStr">
        <is>
          <t>湖北晋襄源工程机械制造有限公司</t>
        </is>
      </c>
      <c r="F197" s="770" t="inlineStr">
        <is>
          <t>采购款</t>
        </is>
      </c>
      <c r="G197" s="773" t="inlineStr">
        <is>
          <t>供应商</t>
        </is>
      </c>
      <c r="H197" s="774" t="inlineStr">
        <is>
          <t>CNY</t>
        </is>
      </c>
      <c r="I197" s="781" t="n"/>
      <c r="J197" s="781" t="n"/>
      <c r="K197" s="776" t="n"/>
      <c r="L197" s="777" t="n"/>
      <c r="M197" s="777">
        <f>J197+L197</f>
        <v/>
      </c>
      <c r="N197" s="782" t="n">
        <v>-16407.77</v>
      </c>
      <c r="O197" s="775">
        <f>M197-N197</f>
        <v/>
      </c>
      <c r="P197" s="778">
        <f>IF(N197&lt;&gt;0,O197/N197,"")</f>
        <v/>
      </c>
      <c r="Q197" s="776" t="n"/>
      <c r="R197" s="775" t="n"/>
      <c r="S197" s="775" t="n"/>
      <c r="T197" s="775" t="n"/>
      <c r="U197" s="775" t="n"/>
      <c r="V197" s="775" t="n"/>
      <c r="W197" s="775">
        <f>SUM(R197:V197)-M197</f>
        <v/>
      </c>
      <c r="X197" s="779">
        <f>T197+U197+V197</f>
        <v/>
      </c>
    </row>
    <row r="198" hidden="1" ht="15.6" customHeight="1">
      <c r="A198" s="783" t="n"/>
      <c r="B198" s="770" t="inlineStr">
        <is>
          <t>东风鸿远工程咨询有限公司</t>
        </is>
      </c>
      <c r="C198" s="771" t="inlineStr">
        <is>
          <t>2121</t>
        </is>
      </c>
      <c r="D198" s="770" t="inlineStr">
        <is>
          <t>E_620049</t>
        </is>
      </c>
      <c r="E198" s="770" t="inlineStr">
        <is>
          <t>上海清映数字科技有限公司</t>
        </is>
      </c>
      <c r="F198" s="770" t="inlineStr">
        <is>
          <t>采购款</t>
        </is>
      </c>
      <c r="G198" s="773" t="inlineStr">
        <is>
          <t>供应商</t>
        </is>
      </c>
      <c r="H198" s="774" t="inlineStr">
        <is>
          <t>CNY</t>
        </is>
      </c>
      <c r="I198" s="781" t="n"/>
      <c r="J198" s="781" t="n"/>
      <c r="K198" s="776" t="n"/>
      <c r="L198" s="777" t="n"/>
      <c r="M198" s="777">
        <f>J198+L198</f>
        <v/>
      </c>
      <c r="N198" s="782" t="n">
        <v>0</v>
      </c>
      <c r="O198" s="775">
        <f>M198-N198</f>
        <v/>
      </c>
      <c r="P198" s="778">
        <f>IF(N198&lt;&gt;0,O198/N198,"")</f>
        <v/>
      </c>
      <c r="Q198" s="776" t="n"/>
      <c r="R198" s="775" t="n"/>
      <c r="S198" s="775" t="n"/>
      <c r="T198" s="775" t="n"/>
      <c r="U198" s="775" t="n"/>
      <c r="V198" s="775" t="n"/>
      <c r="W198" s="775">
        <f>SUM(R198:V198)-M198</f>
        <v/>
      </c>
      <c r="X198" s="779">
        <f>T198+U198+V198</f>
        <v/>
      </c>
    </row>
    <row r="199" ht="15.6" customHeight="1">
      <c r="A199" s="783" t="n"/>
      <c r="B199" s="770" t="inlineStr">
        <is>
          <t>东风鸿远工程咨询有限公司</t>
        </is>
      </c>
      <c r="C199" s="771" t="inlineStr">
        <is>
          <t>2121</t>
        </is>
      </c>
      <c r="D199" s="770" t="inlineStr">
        <is>
          <t>E_626371</t>
        </is>
      </c>
      <c r="E199" s="770" t="inlineStr">
        <is>
          <t>深圳市景鸿建设工程有限公司</t>
        </is>
      </c>
      <c r="F199" s="770" t="inlineStr">
        <is>
          <t>采购款</t>
        </is>
      </c>
      <c r="G199" s="773" t="inlineStr">
        <is>
          <t>供应商</t>
        </is>
      </c>
      <c r="H199" s="774" t="inlineStr">
        <is>
          <t>CNY</t>
        </is>
      </c>
      <c r="I199" s="781" t="n"/>
      <c r="J199" s="781" t="n"/>
      <c r="K199" s="776" t="n"/>
      <c r="L199" s="777" t="n"/>
      <c r="M199" s="777">
        <f>J199+L199</f>
        <v/>
      </c>
      <c r="N199" s="782" t="n">
        <v>0</v>
      </c>
      <c r="O199" s="775">
        <f>M199-N199</f>
        <v/>
      </c>
      <c r="P199" s="778">
        <f>IF(N199&lt;&gt;0,O199/N199,"")</f>
        <v/>
      </c>
      <c r="Q199" s="776" t="inlineStr">
        <is>
          <t>NB4</t>
        </is>
      </c>
      <c r="R199" s="775" t="n"/>
      <c r="S199" s="775" t="n"/>
      <c r="T199" s="775" t="n"/>
      <c r="U199" s="775" t="n"/>
      <c r="V199" s="775" t="n"/>
      <c r="W199" s="775">
        <f>SUM(R199:V199)-M199</f>
        <v/>
      </c>
      <c r="X199" s="779">
        <f>T199+U199+V199</f>
        <v/>
      </c>
    </row>
    <row r="200" hidden="1" ht="15.6" customHeight="1">
      <c r="A200" s="783" t="n"/>
      <c r="B200" s="770" t="inlineStr">
        <is>
          <t>东风鸿远工程咨询有限公司</t>
        </is>
      </c>
      <c r="C200" s="771" t="inlineStr">
        <is>
          <t>2121</t>
        </is>
      </c>
      <c r="D200" s="770" t="inlineStr">
        <is>
          <t>E_680313</t>
        </is>
      </c>
      <c r="E200" s="770" t="inlineStr">
        <is>
          <t>四川三问室内设计有限公司</t>
        </is>
      </c>
      <c r="F200" s="770" t="inlineStr">
        <is>
          <t>采购款</t>
        </is>
      </c>
      <c r="G200" s="773" t="inlineStr">
        <is>
          <t>供应商</t>
        </is>
      </c>
      <c r="H200" s="774" t="inlineStr">
        <is>
          <t>CNY</t>
        </is>
      </c>
      <c r="I200" s="781" t="n"/>
      <c r="J200" s="781" t="n"/>
      <c r="K200" s="776" t="n"/>
      <c r="L200" s="777" t="n"/>
      <c r="M200" s="777">
        <f>J200+L200</f>
        <v/>
      </c>
      <c r="N200" s="782" t="n">
        <v>-251622.77</v>
      </c>
      <c r="O200" s="775">
        <f>M200-N200</f>
        <v/>
      </c>
      <c r="P200" s="778">
        <f>IF(N200&lt;&gt;0,O200/N200,"")</f>
        <v/>
      </c>
      <c r="Q200" s="776" t="n"/>
      <c r="R200" s="775" t="n"/>
      <c r="S200" s="775" t="n"/>
      <c r="T200" s="775" t="n"/>
      <c r="U200" s="775" t="n"/>
      <c r="V200" s="775" t="n"/>
      <c r="W200" s="775">
        <f>SUM(R200:V200)-M200</f>
        <v/>
      </c>
      <c r="X200" s="779">
        <f>T200+U200+V200</f>
        <v/>
      </c>
    </row>
    <row r="201" hidden="1" ht="15.6" customHeight="1">
      <c r="A201" s="783" t="n"/>
      <c r="B201" s="770" t="inlineStr">
        <is>
          <t>东风鸿远工程咨询有限公司</t>
        </is>
      </c>
      <c r="C201" s="771" t="inlineStr">
        <is>
          <t>2121</t>
        </is>
      </c>
      <c r="D201" s="770" t="inlineStr">
        <is>
          <t>E_600904</t>
        </is>
      </c>
      <c r="E201" s="770" t="inlineStr">
        <is>
          <t>上海邮电设计咨询研究院有限公司</t>
        </is>
      </c>
      <c r="F201" s="770" t="inlineStr">
        <is>
          <t>采购款</t>
        </is>
      </c>
      <c r="G201" s="773" t="inlineStr">
        <is>
          <t>供应商</t>
        </is>
      </c>
      <c r="H201" s="774" t="inlineStr">
        <is>
          <t>CNY</t>
        </is>
      </c>
      <c r="I201" s="781" t="n"/>
      <c r="J201" s="781" t="n"/>
      <c r="K201" s="776" t="n"/>
      <c r="L201" s="777" t="n"/>
      <c r="M201" s="777">
        <f>J201+L201</f>
        <v/>
      </c>
      <c r="N201" s="782" t="n">
        <v>-184905.66</v>
      </c>
      <c r="O201" s="775">
        <f>M201-N201</f>
        <v/>
      </c>
      <c r="P201" s="778">
        <f>IF(N201&lt;&gt;0,O201/N201,"")</f>
        <v/>
      </c>
      <c r="Q201" s="776" t="n"/>
      <c r="R201" s="775" t="n"/>
      <c r="S201" s="775" t="n"/>
      <c r="T201" s="775" t="n"/>
      <c r="U201" s="775" t="n"/>
      <c r="V201" s="775" t="n"/>
      <c r="W201" s="775">
        <f>SUM(R201:V201)-M201</f>
        <v/>
      </c>
      <c r="X201" s="779">
        <f>T201+U201+V201</f>
        <v/>
      </c>
    </row>
    <row r="202" ht="15.6" customHeight="1">
      <c r="A202" s="783" t="n"/>
      <c r="B202" s="770" t="inlineStr">
        <is>
          <t>东风鸿远工程咨询有限公司</t>
        </is>
      </c>
      <c r="C202" s="771" t="inlineStr">
        <is>
          <t>2121</t>
        </is>
      </c>
      <c r="D202" s="770" t="inlineStr">
        <is>
          <t>E_014855</t>
        </is>
      </c>
      <c r="E202" s="770" t="inlineStr">
        <is>
          <t>湖北省工业建筑总承包集团</t>
        </is>
      </c>
      <c r="F202" s="770" t="inlineStr">
        <is>
          <t>采购款</t>
        </is>
      </c>
      <c r="G202" s="773" t="inlineStr">
        <is>
          <t>供应商</t>
        </is>
      </c>
      <c r="H202" s="774" t="inlineStr">
        <is>
          <t>CNY</t>
        </is>
      </c>
      <c r="I202" s="781" t="n"/>
      <c r="J202" s="781" t="n"/>
      <c r="K202" s="776" t="n"/>
      <c r="L202" s="777" t="n"/>
      <c r="M202" s="777">
        <f>J202+L202</f>
        <v/>
      </c>
      <c r="N202" s="782" t="n">
        <v>-1477909.15</v>
      </c>
      <c r="O202" s="775">
        <f>M202-N202</f>
        <v/>
      </c>
      <c r="P202" s="778">
        <f>IF(N202&lt;&gt;0,O202/N202,"")</f>
        <v/>
      </c>
      <c r="Q202" s="776" t="inlineStr">
        <is>
          <t>NB5</t>
        </is>
      </c>
      <c r="R202" s="775" t="n"/>
      <c r="S202" s="775" t="n"/>
      <c r="T202" s="775" t="n"/>
      <c r="U202" s="775" t="n"/>
      <c r="V202" s="775" t="n"/>
      <c r="W202" s="775">
        <f>SUM(R202:V202)-M202</f>
        <v/>
      </c>
      <c r="X202" s="779">
        <f>T202+U202+V202</f>
        <v/>
      </c>
    </row>
    <row r="203" hidden="1" ht="15.6" customHeight="1">
      <c r="A203" s="783" t="n"/>
      <c r="B203" s="770" t="inlineStr">
        <is>
          <t>东风鸿远工程咨询有限公司</t>
        </is>
      </c>
      <c r="C203" s="771" t="inlineStr">
        <is>
          <t>2121</t>
        </is>
      </c>
      <c r="D203" s="770" t="inlineStr">
        <is>
          <t>E_614399</t>
        </is>
      </c>
      <c r="E203" s="770" t="inlineStr">
        <is>
          <t>襄阳绘景园艺设计工程有限公司</t>
        </is>
      </c>
      <c r="F203" s="770" t="inlineStr">
        <is>
          <t>采购款</t>
        </is>
      </c>
      <c r="G203" s="773" t="inlineStr">
        <is>
          <t>供应商</t>
        </is>
      </c>
      <c r="H203" s="774" t="inlineStr">
        <is>
          <t>CNY</t>
        </is>
      </c>
      <c r="I203" s="781" t="n"/>
      <c r="J203" s="781" t="n"/>
      <c r="K203" s="776" t="n"/>
      <c r="L203" s="777" t="n"/>
      <c r="M203" s="777">
        <f>J203+L203</f>
        <v/>
      </c>
      <c r="N203" s="782" t="n">
        <v>-24466.02</v>
      </c>
      <c r="O203" s="775">
        <f>M203-N203</f>
        <v/>
      </c>
      <c r="P203" s="778">
        <f>IF(N203&lt;&gt;0,O203/N203,"")</f>
        <v/>
      </c>
      <c r="Q203" s="776" t="n"/>
      <c r="R203" s="775" t="n"/>
      <c r="S203" s="775" t="n"/>
      <c r="T203" s="775" t="n"/>
      <c r="U203" s="775" t="n"/>
      <c r="V203" s="775" t="n"/>
      <c r="W203" s="775">
        <f>SUM(R203:V203)-M203</f>
        <v/>
      </c>
      <c r="X203" s="779">
        <f>T203+U203+V203</f>
        <v/>
      </c>
    </row>
    <row r="204" hidden="1" ht="15.6" customHeight="1">
      <c r="A204" s="783" t="n"/>
      <c r="B204" s="770" t="inlineStr">
        <is>
          <t>东风鸿远工程咨询有限公司</t>
        </is>
      </c>
      <c r="C204" s="771" t="inlineStr">
        <is>
          <t>2121</t>
        </is>
      </c>
      <c r="D204" s="770" t="inlineStr">
        <is>
          <t>E_586904</t>
        </is>
      </c>
      <c r="E204" s="770" t="inlineStr">
        <is>
          <t>上木(武汉)建筑设计有限公司</t>
        </is>
      </c>
      <c r="F204" s="770" t="inlineStr">
        <is>
          <t>采购款</t>
        </is>
      </c>
      <c r="G204" s="773" t="inlineStr">
        <is>
          <t>供应商</t>
        </is>
      </c>
      <c r="H204" s="774" t="inlineStr">
        <is>
          <t>CNY</t>
        </is>
      </c>
      <c r="I204" s="781" t="n"/>
      <c r="J204" s="781" t="n"/>
      <c r="K204" s="776" t="n"/>
      <c r="L204" s="777" t="n"/>
      <c r="M204" s="777">
        <f>J204+L204</f>
        <v/>
      </c>
      <c r="N204" s="782" t="n">
        <v>-69465.53999999999</v>
      </c>
      <c r="O204" s="775">
        <f>M204-N204</f>
        <v/>
      </c>
      <c r="P204" s="778">
        <f>IF(N204&lt;&gt;0,O204/N204,"")</f>
        <v/>
      </c>
      <c r="Q204" s="776" t="n"/>
      <c r="R204" s="775" t="n"/>
      <c r="S204" s="775" t="n"/>
      <c r="T204" s="775" t="n"/>
      <c r="U204" s="775" t="n"/>
      <c r="V204" s="775" t="n"/>
      <c r="W204" s="775">
        <f>SUM(R204:V204)-M204</f>
        <v/>
      </c>
      <c r="X204" s="779">
        <f>T204+U204+V204</f>
        <v/>
      </c>
    </row>
    <row r="205" hidden="1" ht="15.6" customHeight="1">
      <c r="A205" s="783" t="n"/>
      <c r="B205" s="770" t="inlineStr">
        <is>
          <t>东风鸿远工程咨询有限公司</t>
        </is>
      </c>
      <c r="C205" s="771" t="inlineStr">
        <is>
          <t>2121</t>
        </is>
      </c>
      <c r="D205" s="770" t="inlineStr">
        <is>
          <t>E_177460</t>
        </is>
      </c>
      <c r="E205" s="770" t="inlineStr">
        <is>
          <t>平安好医襄阳综合门诊部有限公司</t>
        </is>
      </c>
      <c r="F205" s="770" t="inlineStr">
        <is>
          <t>采购款</t>
        </is>
      </c>
      <c r="G205" s="773" t="inlineStr">
        <is>
          <t>供应商</t>
        </is>
      </c>
      <c r="H205" s="774" t="inlineStr">
        <is>
          <t>CNY</t>
        </is>
      </c>
      <c r="I205" s="781" t="n"/>
      <c r="J205" s="781" t="n"/>
      <c r="K205" s="776" t="n"/>
      <c r="L205" s="777" t="n"/>
      <c r="M205" s="777">
        <f>J205+L205</f>
        <v/>
      </c>
      <c r="N205" s="782" t="n">
        <v>-259750</v>
      </c>
      <c r="O205" s="775">
        <f>M205-N205</f>
        <v/>
      </c>
      <c r="P205" s="778">
        <f>IF(N205&lt;&gt;0,O205/N205,"")</f>
        <v/>
      </c>
      <c r="Q205" s="776" t="n"/>
      <c r="R205" s="775" t="n"/>
      <c r="S205" s="775" t="n"/>
      <c r="T205" s="775" t="n"/>
      <c r="U205" s="775" t="n"/>
      <c r="V205" s="775" t="n"/>
      <c r="W205" s="775">
        <f>SUM(R205:V205)-M205</f>
        <v/>
      </c>
      <c r="X205" s="779">
        <f>T205+U205+V205</f>
        <v/>
      </c>
    </row>
    <row r="206" hidden="1" ht="15.6" customHeight="1">
      <c r="A206" s="783" t="n"/>
      <c r="B206" s="770" t="inlineStr">
        <is>
          <t>东风鸿远工程咨询有限公司</t>
        </is>
      </c>
      <c r="C206" s="771" t="inlineStr">
        <is>
          <t>2121</t>
        </is>
      </c>
      <c r="D206" s="770" t="inlineStr">
        <is>
          <t>E_619388</t>
        </is>
      </c>
      <c r="E206" s="770" t="inlineStr">
        <is>
          <t>保定岩墨工程勘察有限公司</t>
        </is>
      </c>
      <c r="F206" s="770" t="inlineStr">
        <is>
          <t>采购款</t>
        </is>
      </c>
      <c r="G206" s="773" t="inlineStr">
        <is>
          <t>供应商</t>
        </is>
      </c>
      <c r="H206" s="774" t="inlineStr">
        <is>
          <t>CNY</t>
        </is>
      </c>
      <c r="I206" s="781" t="n"/>
      <c r="J206" s="781" t="n"/>
      <c r="K206" s="776" t="n"/>
      <c r="L206" s="777" t="n"/>
      <c r="M206" s="777">
        <f>J206+L206</f>
        <v/>
      </c>
      <c r="N206" s="782" t="n">
        <v>0</v>
      </c>
      <c r="O206" s="775">
        <f>M206-N206</f>
        <v/>
      </c>
      <c r="P206" s="778">
        <f>IF(N206&lt;&gt;0,O206/N206,"")</f>
        <v/>
      </c>
      <c r="Q206" s="776" t="n"/>
      <c r="R206" s="775" t="n"/>
      <c r="S206" s="775" t="n"/>
      <c r="T206" s="775" t="n"/>
      <c r="U206" s="775" t="n"/>
      <c r="V206" s="775" t="n"/>
      <c r="W206" s="775">
        <f>SUM(R206:V206)-M206</f>
        <v/>
      </c>
      <c r="X206" s="779">
        <f>T206+U206+V206</f>
        <v/>
      </c>
    </row>
    <row r="207" hidden="1" ht="15.6" customHeight="1">
      <c r="A207" s="783" t="n"/>
      <c r="B207" s="770" t="inlineStr">
        <is>
          <t>东风鸿远工程咨询有限公司</t>
        </is>
      </c>
      <c r="C207" s="771" t="inlineStr">
        <is>
          <t>2121</t>
        </is>
      </c>
      <c r="D207" s="770" t="inlineStr">
        <is>
          <t>E_616717</t>
        </is>
      </c>
      <c r="E207" s="770" t="inlineStr">
        <is>
          <t>襄州区嘉泰建材商行</t>
        </is>
      </c>
      <c r="F207" s="770" t="inlineStr">
        <is>
          <t>采购款</t>
        </is>
      </c>
      <c r="G207" s="773" t="inlineStr">
        <is>
          <t>供应商</t>
        </is>
      </c>
      <c r="H207" s="774" t="inlineStr">
        <is>
          <t>CNY</t>
        </is>
      </c>
      <c r="I207" s="781" t="n"/>
      <c r="J207" s="781" t="n"/>
      <c r="K207" s="776" t="n"/>
      <c r="L207" s="777" t="n"/>
      <c r="M207" s="777">
        <f>J207+L207</f>
        <v/>
      </c>
      <c r="N207" s="782" t="n">
        <v>-46576.79</v>
      </c>
      <c r="O207" s="775">
        <f>M207-N207</f>
        <v/>
      </c>
      <c r="P207" s="778">
        <f>IF(N207&lt;&gt;0,O207/N207,"")</f>
        <v/>
      </c>
      <c r="Q207" s="776" t="n"/>
      <c r="R207" s="775" t="n"/>
      <c r="S207" s="775" t="n"/>
      <c r="T207" s="775" t="n"/>
      <c r="U207" s="775" t="n"/>
      <c r="V207" s="775" t="n"/>
      <c r="W207" s="775">
        <f>SUM(R207:V207)-M207</f>
        <v/>
      </c>
      <c r="X207" s="779">
        <f>T207+U207+V207</f>
        <v/>
      </c>
    </row>
    <row r="208" hidden="1" ht="15.6" customHeight="1">
      <c r="A208" s="783" t="n"/>
      <c r="B208" s="770" t="inlineStr">
        <is>
          <t>东风鸿远工程咨询有限公司</t>
        </is>
      </c>
      <c r="C208" s="771" t="inlineStr">
        <is>
          <t>2121</t>
        </is>
      </c>
      <c r="D208" s="770" t="inlineStr">
        <is>
          <t>E_627817</t>
        </is>
      </c>
      <c r="E208" s="770" t="inlineStr">
        <is>
          <t>陕西明远城乡规划咨询有限公司</t>
        </is>
      </c>
      <c r="F208" s="770" t="inlineStr">
        <is>
          <t>采购款</t>
        </is>
      </c>
      <c r="G208" s="773" t="inlineStr">
        <is>
          <t>供应商</t>
        </is>
      </c>
      <c r="H208" s="774" t="inlineStr">
        <is>
          <t>CNY</t>
        </is>
      </c>
      <c r="I208" s="781" t="n"/>
      <c r="J208" s="781" t="n"/>
      <c r="K208" s="776" t="n"/>
      <c r="L208" s="777" t="n"/>
      <c r="M208" s="777">
        <f>J208+L208</f>
        <v/>
      </c>
      <c r="N208" s="782" t="n">
        <v>0</v>
      </c>
      <c r="O208" s="775">
        <f>M208-N208</f>
        <v/>
      </c>
      <c r="P208" s="778">
        <f>IF(N208&lt;&gt;0,O208/N208,"")</f>
        <v/>
      </c>
      <c r="Q208" s="776" t="n"/>
      <c r="R208" s="775" t="n"/>
      <c r="S208" s="775" t="n"/>
      <c r="T208" s="775" t="n"/>
      <c r="U208" s="775" t="n"/>
      <c r="V208" s="775" t="n"/>
      <c r="W208" s="775">
        <f>SUM(R208:V208)-M208</f>
        <v/>
      </c>
      <c r="X208" s="779">
        <f>T208+U208+V208</f>
        <v/>
      </c>
    </row>
    <row r="209" hidden="1" ht="15.6" customHeight="1">
      <c r="A209" s="783" t="n"/>
      <c r="B209" s="770" t="inlineStr">
        <is>
          <t>东风鸿远工程咨询有限公司</t>
        </is>
      </c>
      <c r="C209" s="771" t="inlineStr">
        <is>
          <t>2121</t>
        </is>
      </c>
      <c r="D209" s="770" t="inlineStr">
        <is>
          <t>E_614212</t>
        </is>
      </c>
      <c r="E209" s="770" t="inlineStr">
        <is>
          <t>襄阳路桥建设集团有限公司</t>
        </is>
      </c>
      <c r="F209" s="770" t="inlineStr">
        <is>
          <t>采购款</t>
        </is>
      </c>
      <c r="G209" s="773" t="inlineStr">
        <is>
          <t>供应商</t>
        </is>
      </c>
      <c r="H209" s="774" t="inlineStr">
        <is>
          <t>CNY</t>
        </is>
      </c>
      <c r="I209" s="781" t="n"/>
      <c r="J209" s="781" t="n"/>
      <c r="K209" s="776" t="n"/>
      <c r="L209" s="777" t="n"/>
      <c r="M209" s="777">
        <f>J209+L209</f>
        <v/>
      </c>
      <c r="N209" s="782" t="n">
        <v>-875055.51</v>
      </c>
      <c r="O209" s="775">
        <f>M209-N209</f>
        <v/>
      </c>
      <c r="P209" s="778">
        <f>IF(N209&lt;&gt;0,O209/N209,"")</f>
        <v/>
      </c>
      <c r="Q209" s="776" t="n"/>
      <c r="R209" s="775" t="n"/>
      <c r="S209" s="775" t="n"/>
      <c r="T209" s="775" t="n"/>
      <c r="U209" s="775" t="n"/>
      <c r="V209" s="775" t="n"/>
      <c r="W209" s="775">
        <f>SUM(R209:V209)-M209</f>
        <v/>
      </c>
      <c r="X209" s="779">
        <f>T209+U209+V209</f>
        <v/>
      </c>
    </row>
    <row r="210" hidden="1" ht="15.6" customHeight="1">
      <c r="A210" s="783" t="n"/>
      <c r="B210" s="770" t="inlineStr">
        <is>
          <t>东风鸿远工程咨询有限公司</t>
        </is>
      </c>
      <c r="C210" s="771" t="inlineStr">
        <is>
          <t>2121</t>
        </is>
      </c>
      <c r="D210" s="770" t="inlineStr">
        <is>
          <t>E_843944</t>
        </is>
      </c>
      <c r="E210" s="770" t="inlineStr">
        <is>
          <t>武汉都市耕野建筑设计事务所（有限合伙）</t>
        </is>
      </c>
      <c r="F210" s="770" t="inlineStr">
        <is>
          <t>采购款</t>
        </is>
      </c>
      <c r="G210" s="773" t="inlineStr">
        <is>
          <t>供应商</t>
        </is>
      </c>
      <c r="H210" s="774" t="inlineStr">
        <is>
          <t>CNY</t>
        </is>
      </c>
      <c r="I210" s="781" t="n"/>
      <c r="J210" s="781" t="n"/>
      <c r="K210" s="776" t="n"/>
      <c r="L210" s="777" t="n"/>
      <c r="M210" s="777">
        <f>J210+L210</f>
        <v/>
      </c>
      <c r="N210" s="782" t="n">
        <v>-52830.19</v>
      </c>
      <c r="O210" s="775">
        <f>M210-N210</f>
        <v/>
      </c>
      <c r="P210" s="778">
        <f>IF(N210&lt;&gt;0,O210/N210,"")</f>
        <v/>
      </c>
      <c r="Q210" s="776" t="n"/>
      <c r="R210" s="775" t="n"/>
      <c r="S210" s="775" t="n"/>
      <c r="T210" s="775" t="n"/>
      <c r="U210" s="775" t="n"/>
      <c r="V210" s="775" t="n"/>
      <c r="W210" s="775">
        <f>SUM(R210:V210)-M210</f>
        <v/>
      </c>
      <c r="X210" s="779">
        <f>T210+U210+V210</f>
        <v/>
      </c>
    </row>
    <row r="211" hidden="1" ht="15.6" customHeight="1">
      <c r="A211" s="783" t="n"/>
      <c r="B211" s="770" t="inlineStr">
        <is>
          <t>东风鸿远工程咨询有限公司</t>
        </is>
      </c>
      <c r="C211" s="771" t="inlineStr">
        <is>
          <t>2121</t>
        </is>
      </c>
      <c r="D211" s="770" t="inlineStr">
        <is>
          <t>E_789222</t>
        </is>
      </c>
      <c r="E211" s="770" t="inlineStr">
        <is>
          <t>湖北水之清环保工程有限公司</t>
        </is>
      </c>
      <c r="F211" s="770" t="inlineStr">
        <is>
          <t>采购款</t>
        </is>
      </c>
      <c r="G211" s="773" t="inlineStr">
        <is>
          <t>供应商</t>
        </is>
      </c>
      <c r="H211" s="774" t="inlineStr">
        <is>
          <t>CNY</t>
        </is>
      </c>
      <c r="I211" s="781" t="n"/>
      <c r="J211" s="781" t="n"/>
      <c r="K211" s="776" t="n"/>
      <c r="L211" s="777" t="n"/>
      <c r="M211" s="777">
        <f>J211+L211</f>
        <v/>
      </c>
      <c r="N211" s="782" t="n">
        <v>-99873.78999999999</v>
      </c>
      <c r="O211" s="775">
        <f>M211-N211</f>
        <v/>
      </c>
      <c r="P211" s="778">
        <f>IF(N211&lt;&gt;0,O211/N211,"")</f>
        <v/>
      </c>
      <c r="Q211" s="776" t="n"/>
      <c r="R211" s="775" t="n"/>
      <c r="S211" s="775" t="n"/>
      <c r="T211" s="775" t="n"/>
      <c r="U211" s="775" t="n"/>
      <c r="V211" s="775" t="n"/>
      <c r="W211" s="775">
        <f>SUM(R211:V211)-M211</f>
        <v/>
      </c>
      <c r="X211" s="779">
        <f>T211+U211+V211</f>
        <v/>
      </c>
    </row>
    <row r="212" hidden="1" ht="15.6" customHeight="1">
      <c r="A212" s="783" t="n"/>
      <c r="B212" s="770" t="inlineStr">
        <is>
          <t>东风鸿远工程咨询有限公司</t>
        </is>
      </c>
      <c r="C212" s="771" t="inlineStr">
        <is>
          <t>2121</t>
        </is>
      </c>
      <c r="D212" s="770" t="inlineStr">
        <is>
          <t>E_689216</t>
        </is>
      </c>
      <c r="E212" s="770" t="inlineStr">
        <is>
          <t>南京优佳建筑设计有限公司湖北分公司</t>
        </is>
      </c>
      <c r="F212" s="770" t="inlineStr">
        <is>
          <t>采购款</t>
        </is>
      </c>
      <c r="G212" s="773" t="inlineStr">
        <is>
          <t>供应商</t>
        </is>
      </c>
      <c r="H212" s="774" t="inlineStr">
        <is>
          <t>CNY</t>
        </is>
      </c>
      <c r="I212" s="781" t="n"/>
      <c r="J212" s="781" t="n"/>
      <c r="K212" s="776" t="n"/>
      <c r="L212" s="777" t="n"/>
      <c r="M212" s="777">
        <f>J212+L212</f>
        <v/>
      </c>
      <c r="N212" s="782" t="n">
        <v>-56863.85</v>
      </c>
      <c r="O212" s="775">
        <f>M212-N212</f>
        <v/>
      </c>
      <c r="P212" s="778">
        <f>IF(N212&lt;&gt;0,O212/N212,"")</f>
        <v/>
      </c>
      <c r="Q212" s="776" t="n"/>
      <c r="R212" s="775" t="n"/>
      <c r="S212" s="775" t="n"/>
      <c r="T212" s="775" t="n"/>
      <c r="U212" s="775" t="n"/>
      <c r="V212" s="775" t="n"/>
      <c r="W212" s="775">
        <f>SUM(R212:V212)-M212</f>
        <v/>
      </c>
      <c r="X212" s="779">
        <f>T212+U212+V212</f>
        <v/>
      </c>
    </row>
    <row r="213" hidden="1" ht="15.6" customHeight="1">
      <c r="A213" s="783" t="n"/>
      <c r="B213" s="770" t="inlineStr">
        <is>
          <t>东风鸿远工程咨询有限公司</t>
        </is>
      </c>
      <c r="C213" s="771" t="inlineStr">
        <is>
          <t>2121</t>
        </is>
      </c>
      <c r="D213" s="770" t="inlineStr">
        <is>
          <t>E_727626</t>
        </is>
      </c>
      <c r="E213" s="770" t="inlineStr">
        <is>
          <t>武汉融讯弘毅信息技术有限公司</t>
        </is>
      </c>
      <c r="F213" s="770" t="inlineStr">
        <is>
          <t>采购款</t>
        </is>
      </c>
      <c r="G213" s="773" t="inlineStr">
        <is>
          <t>供应商</t>
        </is>
      </c>
      <c r="H213" s="774" t="inlineStr">
        <is>
          <t>CNY</t>
        </is>
      </c>
      <c r="I213" s="781" t="n"/>
      <c r="J213" s="781" t="n"/>
      <c r="K213" s="776" t="n"/>
      <c r="L213" s="777" t="n"/>
      <c r="M213" s="777">
        <f>J213+L213</f>
        <v/>
      </c>
      <c r="N213" s="782" t="n">
        <v>-74943.39999999999</v>
      </c>
      <c r="O213" s="775">
        <f>M213-N213</f>
        <v/>
      </c>
      <c r="P213" s="778">
        <f>IF(N213&lt;&gt;0,O213/N213,"")</f>
        <v/>
      </c>
      <c r="Q213" s="776" t="n"/>
      <c r="R213" s="775" t="n"/>
      <c r="S213" s="775" t="n"/>
      <c r="T213" s="775" t="n"/>
      <c r="U213" s="775" t="n"/>
      <c r="V213" s="775" t="n"/>
      <c r="W213" s="775">
        <f>SUM(R213:V213)-M213</f>
        <v/>
      </c>
      <c r="X213" s="779">
        <f>T213+U213+V213</f>
        <v/>
      </c>
    </row>
    <row r="214" hidden="1" ht="15.6" customHeight="1">
      <c r="A214" s="783" t="n"/>
      <c r="B214" s="770" t="inlineStr">
        <is>
          <t>东风鸿远工程咨询有限公司</t>
        </is>
      </c>
      <c r="C214" s="771" t="inlineStr">
        <is>
          <t>2121</t>
        </is>
      </c>
      <c r="D214" s="770" t="inlineStr">
        <is>
          <t>E_604466</t>
        </is>
      </c>
      <c r="E214" s="770" t="inlineStr">
        <is>
          <t>华信咨询设计研究院有限公司</t>
        </is>
      </c>
      <c r="F214" s="770" t="inlineStr">
        <is>
          <t>采购款</t>
        </is>
      </c>
      <c r="G214" s="773" t="inlineStr">
        <is>
          <t>供应商</t>
        </is>
      </c>
      <c r="H214" s="774" t="inlineStr">
        <is>
          <t>CNY</t>
        </is>
      </c>
      <c r="I214" s="781" t="n"/>
      <c r="J214" s="781" t="n"/>
      <c r="K214" s="776" t="n"/>
      <c r="L214" s="777" t="n"/>
      <c r="M214" s="777">
        <f>J214+L214</f>
        <v/>
      </c>
      <c r="N214" s="782" t="n">
        <v>-126169.81</v>
      </c>
      <c r="O214" s="775">
        <f>M214-N214</f>
        <v/>
      </c>
      <c r="P214" s="778">
        <f>IF(N214&lt;&gt;0,O214/N214,"")</f>
        <v/>
      </c>
      <c r="Q214" s="776" t="n"/>
      <c r="R214" s="775" t="n"/>
      <c r="S214" s="775" t="n"/>
      <c r="T214" s="775" t="n"/>
      <c r="U214" s="775" t="n"/>
      <c r="V214" s="775" t="n"/>
      <c r="W214" s="775">
        <f>SUM(R214:V214)-M214</f>
        <v/>
      </c>
      <c r="X214" s="779">
        <f>T214+U214+V214</f>
        <v/>
      </c>
    </row>
    <row r="215" hidden="1" ht="15.6" customHeight="1">
      <c r="A215" s="783" t="n"/>
      <c r="B215" s="770" t="inlineStr">
        <is>
          <t>东风鸿远工程咨询有限公司</t>
        </is>
      </c>
      <c r="C215" s="771" t="inlineStr">
        <is>
          <t>2121</t>
        </is>
      </c>
      <c r="D215" s="770" t="inlineStr">
        <is>
          <t>E_676937</t>
        </is>
      </c>
      <c r="E215" s="770" t="inlineStr">
        <is>
          <t>湖北杰锐电力工程有限公司</t>
        </is>
      </c>
      <c r="F215" s="770" t="inlineStr">
        <is>
          <t>采购款</t>
        </is>
      </c>
      <c r="G215" s="773" t="inlineStr">
        <is>
          <t>供应商</t>
        </is>
      </c>
      <c r="H215" s="774" t="inlineStr">
        <is>
          <t>CNY</t>
        </is>
      </c>
      <c r="I215" s="781" t="n"/>
      <c r="J215" s="781" t="n"/>
      <c r="K215" s="776" t="n"/>
      <c r="L215" s="777" t="n"/>
      <c r="M215" s="777">
        <f>J215+L215</f>
        <v/>
      </c>
      <c r="N215" s="782" t="n">
        <v>-19811.32</v>
      </c>
      <c r="O215" s="775">
        <f>M215-N215</f>
        <v/>
      </c>
      <c r="P215" s="778">
        <f>IF(N215&lt;&gt;0,O215/N215,"")</f>
        <v/>
      </c>
      <c r="Q215" s="776" t="n"/>
      <c r="R215" s="775" t="n"/>
      <c r="S215" s="775" t="n"/>
      <c r="T215" s="775" t="n"/>
      <c r="U215" s="775" t="n"/>
      <c r="V215" s="775" t="n"/>
      <c r="W215" s="775">
        <f>SUM(R215:V215)-M215</f>
        <v/>
      </c>
      <c r="X215" s="779">
        <f>T215+U215+V215</f>
        <v/>
      </c>
    </row>
    <row r="216" hidden="1" ht="15.6" customHeight="1">
      <c r="A216" s="783" t="n"/>
      <c r="B216" s="770" t="inlineStr">
        <is>
          <t>东风鸿远工程咨询有限公司</t>
        </is>
      </c>
      <c r="C216" s="771" t="inlineStr">
        <is>
          <t>2121</t>
        </is>
      </c>
      <c r="D216" s="770" t="inlineStr">
        <is>
          <t>E_791225</t>
        </is>
      </c>
      <c r="E216" s="770" t="inlineStr">
        <is>
          <t>湖北启盛丰建筑劳务分包有限公司</t>
        </is>
      </c>
      <c r="F216" s="770" t="inlineStr">
        <is>
          <t>采购款</t>
        </is>
      </c>
      <c r="G216" s="773" t="inlineStr">
        <is>
          <t>供应商</t>
        </is>
      </c>
      <c r="H216" s="774" t="inlineStr">
        <is>
          <t>CNY</t>
        </is>
      </c>
      <c r="I216" s="781" t="n"/>
      <c r="J216" s="781" t="n"/>
      <c r="K216" s="776" t="n"/>
      <c r="L216" s="777" t="n"/>
      <c r="M216" s="777">
        <f>J216+L216</f>
        <v/>
      </c>
      <c r="N216" s="782" t="n">
        <v>-14640</v>
      </c>
      <c r="O216" s="775">
        <f>M216-N216</f>
        <v/>
      </c>
      <c r="P216" s="778">
        <f>IF(N216&lt;&gt;0,O216/N216,"")</f>
        <v/>
      </c>
      <c r="Q216" s="776" t="n"/>
      <c r="R216" s="775" t="n"/>
      <c r="S216" s="775" t="n"/>
      <c r="T216" s="775" t="n"/>
      <c r="U216" s="775" t="n"/>
      <c r="V216" s="775" t="n"/>
      <c r="W216" s="775">
        <f>SUM(R216:V216)-M216</f>
        <v/>
      </c>
      <c r="X216" s="779">
        <f>T216+U216+V216</f>
        <v/>
      </c>
    </row>
    <row r="217" hidden="1" ht="15.6" customHeight="1">
      <c r="A217" s="783" t="n"/>
      <c r="B217" s="770" t="inlineStr">
        <is>
          <t>东风鸿远工程咨询有限公司</t>
        </is>
      </c>
      <c r="C217" s="771" t="inlineStr">
        <is>
          <t>2121</t>
        </is>
      </c>
      <c r="D217" s="770" t="inlineStr">
        <is>
          <t>E_686451</t>
        </is>
      </c>
      <c r="E217" s="770" t="inlineStr">
        <is>
          <t>翰森（北京）建筑设计有限公司</t>
        </is>
      </c>
      <c r="F217" s="770" t="inlineStr">
        <is>
          <t>采购款</t>
        </is>
      </c>
      <c r="G217" s="773" t="inlineStr">
        <is>
          <t>供应商</t>
        </is>
      </c>
      <c r="H217" s="774" t="inlineStr">
        <is>
          <t>CNY</t>
        </is>
      </c>
      <c r="I217" s="781" t="n"/>
      <c r="J217" s="781" t="n"/>
      <c r="K217" s="776" t="n"/>
      <c r="L217" s="777" t="n"/>
      <c r="M217" s="777">
        <f>J217+L217</f>
        <v/>
      </c>
      <c r="N217" s="782" t="n">
        <v>0</v>
      </c>
      <c r="O217" s="775">
        <f>M217-N217</f>
        <v/>
      </c>
      <c r="P217" s="778">
        <f>IF(N217&lt;&gt;0,O217/N217,"")</f>
        <v/>
      </c>
      <c r="Q217" s="776" t="n"/>
      <c r="R217" s="775" t="n"/>
      <c r="S217" s="775" t="n"/>
      <c r="T217" s="775" t="n"/>
      <c r="U217" s="775" t="n"/>
      <c r="V217" s="775" t="n"/>
      <c r="W217" s="775">
        <f>SUM(R217:V217)-M217</f>
        <v/>
      </c>
      <c r="X217" s="779">
        <f>T217+U217+V217</f>
        <v/>
      </c>
    </row>
    <row r="218" hidden="1" ht="15.6" customHeight="1">
      <c r="A218" s="783" t="n"/>
      <c r="B218" s="770" t="inlineStr">
        <is>
          <t>东风鸿远工程咨询有限公司</t>
        </is>
      </c>
      <c r="C218" s="771" t="inlineStr">
        <is>
          <t>2121</t>
        </is>
      </c>
      <c r="D218" s="770" t="inlineStr">
        <is>
          <t>E_614484</t>
        </is>
      </c>
      <c r="E218" s="770" t="inlineStr">
        <is>
          <t>湖北君邦工程咨询有限公司</t>
        </is>
      </c>
      <c r="F218" s="770" t="inlineStr">
        <is>
          <t>采购款</t>
        </is>
      </c>
      <c r="G218" s="773" t="inlineStr">
        <is>
          <t>供应商</t>
        </is>
      </c>
      <c r="H218" s="774" t="inlineStr">
        <is>
          <t>CNY</t>
        </is>
      </c>
      <c r="I218" s="781" t="n"/>
      <c r="J218" s="781" t="n"/>
      <c r="K218" s="776" t="n"/>
      <c r="L218" s="777" t="n"/>
      <c r="M218" s="777">
        <f>J218+L218</f>
        <v/>
      </c>
      <c r="N218" s="782" t="n">
        <v>0</v>
      </c>
      <c r="O218" s="775">
        <f>M218-N218</f>
        <v/>
      </c>
      <c r="P218" s="778">
        <f>IF(N218&lt;&gt;0,O218/N218,"")</f>
        <v/>
      </c>
      <c r="Q218" s="776" t="n"/>
      <c r="R218" s="775" t="n"/>
      <c r="S218" s="775" t="n"/>
      <c r="T218" s="775" t="n"/>
      <c r="U218" s="775" t="n"/>
      <c r="V218" s="775" t="n"/>
      <c r="W218" s="775">
        <f>SUM(R218:V218)-M218</f>
        <v/>
      </c>
      <c r="X218" s="779">
        <f>T218+U218+V218</f>
        <v/>
      </c>
    </row>
    <row r="219" hidden="1" ht="15.6" customHeight="1">
      <c r="A219" s="783" t="n"/>
      <c r="B219" s="770" t="inlineStr">
        <is>
          <t>东风鸿远工程咨询有限公司</t>
        </is>
      </c>
      <c r="C219" s="771" t="inlineStr">
        <is>
          <t>2121</t>
        </is>
      </c>
      <c r="D219" s="770" t="inlineStr">
        <is>
          <t>E_686478</t>
        </is>
      </c>
      <c r="E219" s="770" t="inlineStr">
        <is>
          <t>正弘设计有限公司襄阳分公司</t>
        </is>
      </c>
      <c r="F219" s="770" t="inlineStr">
        <is>
          <t>采购款</t>
        </is>
      </c>
      <c r="G219" s="773" t="inlineStr">
        <is>
          <t>供应商</t>
        </is>
      </c>
      <c r="H219" s="774" t="inlineStr">
        <is>
          <t>CNY</t>
        </is>
      </c>
      <c r="I219" s="781" t="n"/>
      <c r="J219" s="781" t="n"/>
      <c r="K219" s="776" t="n"/>
      <c r="L219" s="777" t="n"/>
      <c r="M219" s="777">
        <f>J219+L219</f>
        <v/>
      </c>
      <c r="N219" s="782" t="n">
        <v>0</v>
      </c>
      <c r="O219" s="775">
        <f>M219-N219</f>
        <v/>
      </c>
      <c r="P219" s="778">
        <f>IF(N219&lt;&gt;0,O219/N219,"")</f>
        <v/>
      </c>
      <c r="Q219" s="776" t="n"/>
      <c r="R219" s="775" t="n"/>
      <c r="S219" s="775" t="n"/>
      <c r="T219" s="775" t="n"/>
      <c r="U219" s="775" t="n"/>
      <c r="V219" s="775" t="n"/>
      <c r="W219" s="775">
        <f>SUM(R219:V219)-M219</f>
        <v/>
      </c>
      <c r="X219" s="779">
        <f>T219+U219+V219</f>
        <v/>
      </c>
    </row>
    <row r="220" hidden="1" ht="16.2" customHeight="1" thickBot="1">
      <c r="A220" s="783" t="n"/>
      <c r="B220" s="770" t="inlineStr">
        <is>
          <t>东风鸿远工程咨询有限公司</t>
        </is>
      </c>
      <c r="C220" s="771" t="inlineStr">
        <is>
          <t>2121</t>
        </is>
      </c>
      <c r="D220" s="770" t="inlineStr">
        <is>
          <t>E_006150</t>
        </is>
      </c>
      <c r="E220" s="770" t="inlineStr">
        <is>
          <t>湖北汽车工业学院</t>
        </is>
      </c>
      <c r="F220" s="770" t="inlineStr">
        <is>
          <t>采购款</t>
        </is>
      </c>
      <c r="G220" s="773" t="inlineStr">
        <is>
          <t>供应商</t>
        </is>
      </c>
      <c r="H220" s="774" t="inlineStr">
        <is>
          <t>CNY</t>
        </is>
      </c>
      <c r="I220" s="781" t="n"/>
      <c r="J220" s="781" t="n"/>
      <c r="K220" s="776" t="n"/>
      <c r="L220" s="777" t="n"/>
      <c r="M220" s="777">
        <f>J220+L220</f>
        <v/>
      </c>
      <c r="N220" s="782" t="n">
        <v>0</v>
      </c>
      <c r="O220" s="775">
        <f>M220-N220</f>
        <v/>
      </c>
      <c r="P220" s="778">
        <f>IF(N220&lt;&gt;0,O220/N220,"")</f>
        <v/>
      </c>
      <c r="Q220" s="776" t="n"/>
      <c r="R220" s="775" t="n"/>
      <c r="S220" s="775" t="n"/>
      <c r="T220" s="775" t="n"/>
      <c r="U220" s="775" t="n"/>
      <c r="V220" s="775" t="n"/>
      <c r="W220" s="775">
        <f>SUM(R220:V220)-M220</f>
        <v/>
      </c>
      <c r="X220" s="779">
        <f>T220+U220+V220</f>
        <v/>
      </c>
    </row>
    <row r="221" ht="15.6" customHeight="1">
      <c r="A221" s="783" t="n"/>
      <c r="B221" s="783" t="n"/>
      <c r="C221" s="783" t="n"/>
      <c r="D221" s="783" t="n"/>
      <c r="E221" s="783" t="n"/>
      <c r="F221" s="783" t="n"/>
      <c r="G221" s="783" t="n"/>
      <c r="H221" s="785" t="inlineStr">
        <is>
          <t>合计</t>
        </is>
      </c>
      <c r="I221" s="779">
        <f>SUM(I7:I220)</f>
        <v/>
      </c>
      <c r="J221" s="779">
        <f>SUM(J7:J220)</f>
        <v/>
      </c>
      <c r="K221" s="779">
        <f>SUM(K7:K220)</f>
        <v/>
      </c>
      <c r="L221" s="779">
        <f>SUM(L7:L220)</f>
        <v/>
      </c>
      <c r="M221" s="779">
        <f>SUM(M7:M220)</f>
        <v/>
      </c>
      <c r="N221" s="779">
        <f>SUM(N7:N220)</f>
        <v/>
      </c>
      <c r="O221" s="779">
        <f>SUM(O7:O220)</f>
        <v/>
      </c>
      <c r="P221" s="782" t="n"/>
      <c r="Q221" s="782" t="n"/>
      <c r="R221" s="779">
        <f>SUM(R7:R220)</f>
        <v/>
      </c>
      <c r="S221" s="779">
        <f>SUM(S7:S220)</f>
        <v/>
      </c>
      <c r="T221" s="779">
        <f>SUM(T7:T220)</f>
        <v/>
      </c>
      <c r="U221" s="779">
        <f>SUM(U7:U220)</f>
        <v/>
      </c>
      <c r="V221" s="779">
        <f>SUM(V7:V220)</f>
        <v/>
      </c>
      <c r="W221" s="779">
        <f>SUM(W7:W220)</f>
        <v/>
      </c>
      <c r="X221" s="786" t="n"/>
    </row>
    <row r="222" hidden="1">
      <c r="A222" s="783" t="n"/>
      <c r="B222" s="783" t="n"/>
      <c r="C222" s="783" t="n"/>
      <c r="D222" s="783" t="n"/>
      <c r="E222" s="783" t="n"/>
      <c r="F222" s="783" t="n"/>
      <c r="G222" s="783" t="n"/>
      <c r="H222" s="787" t="inlineStr">
        <is>
          <t>check</t>
        </is>
      </c>
      <c r="I222" s="783" t="n"/>
      <c r="J222" s="779">
        <f>J221-'N.00 Lead sheet'!F46</f>
        <v/>
      </c>
      <c r="K222" s="782" t="n"/>
      <c r="L222" s="782" t="n"/>
      <c r="M222" s="779">
        <f>M221-'N.00 Lead sheet'!J46</f>
        <v/>
      </c>
      <c r="N222" s="779">
        <f>N221-'N.00 Lead sheet'!K46</f>
        <v/>
      </c>
      <c r="O222" s="782" t="n"/>
      <c r="P222" s="783" t="n"/>
      <c r="Q222" s="783" t="n"/>
      <c r="R222" s="783" t="n"/>
      <c r="S222" s="783" t="n"/>
      <c r="T222" s="783" t="n"/>
      <c r="U222" s="783" t="n"/>
      <c r="V222" s="783" t="n"/>
      <c r="W222" s="783" t="n"/>
      <c r="X222" s="782" t="n"/>
    </row>
    <row r="223">
      <c r="A223" s="783" t="n"/>
      <c r="B223" s="783" t="n"/>
      <c r="C223" s="783" t="n"/>
      <c r="D223" s="783" t="n"/>
      <c r="E223" s="783" t="n"/>
      <c r="F223" s="783" t="n"/>
      <c r="G223" s="783" t="n"/>
      <c r="H223" s="783" t="n"/>
      <c r="I223" s="783" t="n"/>
      <c r="J223" s="783" t="n"/>
      <c r="K223" s="783" t="n"/>
      <c r="L223" s="783" t="n"/>
      <c r="M223" s="783" t="n"/>
      <c r="N223" s="783" t="n"/>
      <c r="O223" s="783" t="n"/>
      <c r="P223" s="783" t="n"/>
      <c r="Q223" s="783" t="n"/>
      <c r="R223" s="783" t="n"/>
      <c r="S223" s="783" t="n"/>
      <c r="T223" s="783" t="n"/>
      <c r="U223" s="783" t="n"/>
      <c r="V223" s="783" t="n"/>
      <c r="W223" s="783" t="n"/>
      <c r="X223" s="783" t="n"/>
    </row>
    <row r="224" ht="15.6" customHeight="1" thickBot="1">
      <c r="A224" s="783" t="n"/>
      <c r="B224" s="195" t="inlineStr">
        <is>
          <t>账龄汇总表</t>
        </is>
      </c>
      <c r="C224" s="788" t="n"/>
      <c r="D224" s="788" t="n"/>
      <c r="E224" s="788" t="n"/>
      <c r="F224" s="788" t="n"/>
      <c r="G224" s="783" t="n"/>
      <c r="H224" s="783" t="n"/>
      <c r="I224" s="783" t="n"/>
      <c r="J224" s="783" t="n"/>
      <c r="K224" s="783" t="n"/>
      <c r="L224" s="783" t="n"/>
      <c r="M224" s="783" t="n"/>
      <c r="N224" s="783" t="n"/>
      <c r="O224" s="783" t="n"/>
      <c r="P224" s="783" t="n"/>
      <c r="Q224" s="783" t="n"/>
      <c r="R224" s="783" t="n"/>
      <c r="S224" s="783" t="n"/>
      <c r="T224" s="783" t="n"/>
      <c r="U224" s="783" t="n"/>
      <c r="V224" s="783" t="n"/>
      <c r="W224" s="783" t="n"/>
      <c r="X224" s="783" t="n"/>
    </row>
    <row r="225" ht="15" customHeight="1">
      <c r="A225" s="783" t="n"/>
      <c r="B225" s="789" t="inlineStr">
        <is>
          <t>账龄段</t>
        </is>
      </c>
      <c r="C225" s="790" t="n">
        <v>46387</v>
      </c>
      <c r="D225" s="791" t="inlineStr">
        <is>
          <t>% Coverage</t>
        </is>
      </c>
      <c r="E225" s="790" t="n">
        <v>46022</v>
      </c>
      <c r="F225" s="792" t="inlineStr">
        <is>
          <t>合理性Check</t>
        </is>
      </c>
      <c r="G225" s="783" t="n"/>
      <c r="H225" s="783" t="n"/>
      <c r="I225" s="783" t="n"/>
      <c r="J225" s="783" t="n"/>
      <c r="K225" s="783" t="n"/>
      <c r="L225" s="783" t="n"/>
      <c r="M225" s="783" t="n"/>
      <c r="N225" s="783" t="n"/>
      <c r="O225" s="783" t="n"/>
      <c r="P225" s="783" t="n"/>
      <c r="Q225" s="783" t="n"/>
      <c r="R225" s="783" t="n"/>
      <c r="S225" s="783" t="n"/>
      <c r="T225" s="783" t="n"/>
      <c r="U225" s="783" t="n"/>
      <c r="V225" s="783" t="n"/>
      <c r="W225" s="783" t="n"/>
      <c r="X225" s="783" t="n"/>
    </row>
    <row r="226">
      <c r="A226" s="783" t="n"/>
      <c r="B226" s="793" t="inlineStr">
        <is>
          <t>0-90天</t>
        </is>
      </c>
      <c r="C226" s="779">
        <f>R221</f>
        <v/>
      </c>
      <c r="D226" s="794">
        <f>IFERROR(C226/$C$104,0)</f>
        <v/>
      </c>
      <c r="E226" s="779" t="n">
        <v>-18000340.15000001</v>
      </c>
      <c r="F226" s="795" t="n"/>
      <c r="G226" s="783" t="n"/>
      <c r="H226" s="783" t="n"/>
      <c r="I226" s="783" t="n"/>
      <c r="J226" s="783" t="n"/>
      <c r="K226" s="783" t="n"/>
      <c r="L226" s="783" t="n"/>
      <c r="M226" s="783" t="n"/>
      <c r="N226" s="783" t="n"/>
      <c r="O226" s="783" t="n"/>
      <c r="P226" s="783" t="n"/>
      <c r="Q226" s="783" t="n"/>
      <c r="R226" s="783" t="n"/>
      <c r="S226" s="783" t="n"/>
      <c r="T226" s="783" t="n"/>
      <c r="U226" s="783" t="n"/>
      <c r="V226" s="783" t="n"/>
      <c r="W226" s="783" t="n"/>
      <c r="X226" s="783" t="n"/>
    </row>
    <row r="227">
      <c r="A227" s="783" t="n"/>
      <c r="B227" s="793" t="inlineStr">
        <is>
          <t>91-365天</t>
        </is>
      </c>
      <c r="C227" s="779">
        <f>S221</f>
        <v/>
      </c>
      <c r="D227" s="794">
        <f>IFERROR(C227/$C$104,0)</f>
        <v/>
      </c>
      <c r="E227" s="779" t="n">
        <v>-14800560.53</v>
      </c>
      <c r="F227" s="796">
        <f>IF(ABS(C227)&lt;=(ABS(E226)+ABS(E227)),"True","请检查或说明原因")</f>
        <v/>
      </c>
      <c r="G227" s="783" t="n"/>
      <c r="H227" s="783" t="n"/>
      <c r="I227" s="783" t="n"/>
      <c r="J227" s="783" t="n"/>
      <c r="K227" s="783" t="n"/>
      <c r="L227" s="783" t="n"/>
      <c r="M227" s="783" t="n"/>
      <c r="N227" s="783" t="n"/>
      <c r="O227" s="783" t="n"/>
      <c r="P227" s="783" t="n"/>
      <c r="Q227" s="783" t="n"/>
      <c r="R227" s="783" t="n"/>
      <c r="S227" s="783" t="n"/>
      <c r="T227" s="783" t="n"/>
      <c r="U227" s="783" t="n"/>
      <c r="V227" s="783" t="n"/>
      <c r="W227" s="783" t="n"/>
      <c r="X227" s="783" t="n"/>
    </row>
    <row r="228">
      <c r="A228" s="783" t="n"/>
      <c r="B228" s="793" t="inlineStr">
        <is>
          <t>1年至2年</t>
        </is>
      </c>
      <c r="C228" s="779">
        <f>T221</f>
        <v/>
      </c>
      <c r="D228" s="794">
        <f>IFERROR(C228/$C$104,0)</f>
        <v/>
      </c>
      <c r="E228" s="779" t="n">
        <v>-15459187.84</v>
      </c>
      <c r="F228" s="796">
        <f>IF(ABS(C228)&lt;=(ABS(E227)+ABS(E228)),"True","请检查或说明原因")</f>
        <v/>
      </c>
      <c r="G228" s="783" t="n"/>
      <c r="H228" s="783" t="n"/>
      <c r="I228" s="783" t="n"/>
      <c r="J228" s="783" t="n"/>
      <c r="K228" s="783" t="n"/>
      <c r="L228" s="783" t="n"/>
      <c r="M228" s="783" t="n"/>
      <c r="N228" s="783" t="n"/>
      <c r="O228" s="783" t="n"/>
      <c r="P228" s="783" t="n"/>
      <c r="Q228" s="783" t="n"/>
      <c r="R228" s="783" t="n"/>
      <c r="S228" s="783" t="n"/>
      <c r="T228" s="783" t="n"/>
      <c r="U228" s="783" t="n"/>
      <c r="V228" s="783" t="n"/>
      <c r="W228" s="783" t="n"/>
      <c r="X228" s="783" t="n"/>
    </row>
    <row r="229">
      <c r="A229" s="783" t="n"/>
      <c r="B229" s="793" t="inlineStr">
        <is>
          <t>2年至3年</t>
        </is>
      </c>
      <c r="C229" s="779">
        <f>U221</f>
        <v/>
      </c>
      <c r="D229" s="794">
        <f>IFERROR(C229/$C$104,0)</f>
        <v/>
      </c>
      <c r="E229" s="779" t="n">
        <v>-6566550.779999999</v>
      </c>
      <c r="F229" s="796">
        <f>IF(ABS(C229)&lt;=(ABS(E228)+ABS(E229)),"True","请检查或说明原因")</f>
        <v/>
      </c>
      <c r="G229" s="783" t="n"/>
      <c r="H229" s="783" t="n"/>
      <c r="I229" s="783" t="n"/>
      <c r="J229" s="783" t="n"/>
      <c r="K229" s="783" t="n"/>
      <c r="L229" s="783" t="n"/>
      <c r="M229" s="783" t="n"/>
      <c r="N229" s="783" t="n"/>
      <c r="O229" s="783" t="n"/>
      <c r="P229" s="783" t="n"/>
      <c r="Q229" s="783" t="n"/>
      <c r="R229" s="783" t="n"/>
      <c r="S229" s="783" t="n"/>
      <c r="T229" s="783" t="n"/>
      <c r="U229" s="783" t="n"/>
      <c r="V229" s="783" t="n"/>
      <c r="W229" s="783" t="n"/>
      <c r="X229" s="783" t="n"/>
    </row>
    <row r="230">
      <c r="A230" s="783" t="n"/>
      <c r="B230" s="793" t="inlineStr">
        <is>
          <t>3年以上</t>
        </is>
      </c>
      <c r="C230" s="779">
        <f>V221</f>
        <v/>
      </c>
      <c r="D230" s="794">
        <f>IFERROR(C230/$C$104,0)</f>
        <v/>
      </c>
      <c r="E230" s="779" t="n">
        <v>-9360745.569999998</v>
      </c>
      <c r="F230" s="796">
        <f>IF(ABS(C230)&lt;=(ABS(E229)+ABS(E230)),"True","请检查或说明原因")</f>
        <v/>
      </c>
      <c r="G230" s="783" t="n"/>
      <c r="H230" s="783" t="n"/>
      <c r="I230" s="783" t="n"/>
      <c r="J230" s="783" t="n"/>
      <c r="K230" s="783" t="n"/>
      <c r="L230" s="783" t="n"/>
      <c r="M230" s="783" t="n"/>
      <c r="N230" s="783" t="n"/>
      <c r="O230" s="783" t="n"/>
      <c r="P230" s="783" t="n"/>
      <c r="Q230" s="783" t="n"/>
      <c r="R230" s="783" t="n"/>
      <c r="S230" s="783" t="n"/>
      <c r="T230" s="783" t="n"/>
      <c r="U230" s="783" t="n"/>
      <c r="V230" s="783" t="n"/>
      <c r="W230" s="783" t="n"/>
      <c r="X230" s="783" t="n"/>
    </row>
    <row r="231" ht="14.4" customHeight="1" thickBot="1">
      <c r="A231" s="783" t="n"/>
      <c r="B231" s="797" t="n"/>
      <c r="C231" s="798" t="n"/>
      <c r="D231" s="799" t="n"/>
      <c r="E231" s="798" t="n"/>
      <c r="F231" s="798" t="n"/>
      <c r="G231" s="783" t="n"/>
      <c r="H231" s="783" t="n"/>
      <c r="I231" s="783" t="n"/>
      <c r="J231" s="783" t="n"/>
      <c r="K231" s="783" t="n"/>
      <c r="L231" s="783" t="n"/>
      <c r="M231" s="783" t="n"/>
      <c r="N231" s="783" t="n"/>
      <c r="O231" s="783" t="n"/>
      <c r="P231" s="783" t="n"/>
      <c r="Q231" s="783" t="n"/>
      <c r="R231" s="783" t="n"/>
      <c r="S231" s="783" t="n"/>
      <c r="T231" s="783" t="n"/>
      <c r="U231" s="783" t="n"/>
      <c r="V231" s="783" t="n"/>
      <c r="W231" s="783" t="n"/>
      <c r="X231" s="783" t="n"/>
    </row>
    <row r="232">
      <c r="A232" s="783" t="n"/>
      <c r="B232" s="798" t="n"/>
      <c r="C232" s="798" t="n"/>
      <c r="D232" s="798" t="n"/>
      <c r="E232" s="798" t="n"/>
      <c r="F232" s="800" t="n"/>
      <c r="G232" s="783" t="n"/>
      <c r="H232" s="783" t="n"/>
      <c r="I232" s="783" t="n"/>
      <c r="J232" s="783" t="n"/>
      <c r="K232" s="783" t="n"/>
      <c r="L232" s="783" t="n"/>
      <c r="M232" s="783" t="n"/>
      <c r="N232" s="783" t="n"/>
      <c r="O232" s="783" t="n"/>
      <c r="P232" s="783" t="n"/>
      <c r="Q232" s="783" t="n"/>
      <c r="R232" s="783" t="n"/>
      <c r="S232" s="783" t="n"/>
      <c r="T232" s="783" t="n"/>
      <c r="U232" s="783" t="n"/>
      <c r="V232" s="783" t="n"/>
      <c r="W232" s="783" t="n"/>
      <c r="X232" s="783" t="n"/>
    </row>
    <row r="233" ht="14.4" customHeight="1" thickBot="1">
      <c r="A233" s="783" t="n"/>
      <c r="B233" s="342" t="inlineStr">
        <is>
          <t>Total</t>
        </is>
      </c>
      <c r="C233" s="801">
        <f>IFERROR(SUM(C226:C231),"")</f>
        <v/>
      </c>
      <c r="D233" s="788" t="n"/>
      <c r="E233" s="801">
        <f>IFERROR(SUM(E226:E231),"")</f>
        <v/>
      </c>
      <c r="F233" s="800" t="n"/>
      <c r="G233" s="783" t="n"/>
      <c r="H233" s="783" t="n"/>
      <c r="I233" s="783" t="n"/>
      <c r="J233" s="783" t="n"/>
      <c r="K233" s="783" t="n"/>
      <c r="L233" s="783" t="n"/>
      <c r="M233" s="783" t="n"/>
      <c r="N233" s="783" t="n"/>
      <c r="O233" s="783" t="n"/>
      <c r="P233" s="783" t="n"/>
      <c r="Q233" s="783" t="n"/>
      <c r="R233" s="783" t="n"/>
      <c r="S233" s="783" t="n"/>
      <c r="T233" s="783" t="n"/>
      <c r="U233" s="783" t="n"/>
      <c r="V233" s="783" t="n"/>
      <c r="W233" s="783" t="n"/>
      <c r="X233" s="783" t="n"/>
    </row>
    <row r="234" ht="14.4" customHeight="1" thickTop="1">
      <c r="A234" s="783" t="n"/>
      <c r="B234" s="787" t="inlineStr">
        <is>
          <t>check</t>
        </is>
      </c>
      <c r="C234" s="779">
        <f>C233-M221</f>
        <v/>
      </c>
      <c r="D234" s="782" t="n"/>
      <c r="E234" s="779">
        <f>E233-N221</f>
        <v/>
      </c>
      <c r="F234" s="782" t="n"/>
      <c r="G234" s="783" t="n"/>
      <c r="H234" s="783" t="n"/>
      <c r="I234" s="783" t="n"/>
      <c r="J234" s="783" t="n"/>
      <c r="K234" s="783" t="n"/>
      <c r="L234" s="783" t="n"/>
      <c r="M234" s="783" t="n"/>
      <c r="N234" s="783" t="n"/>
      <c r="O234" s="783" t="n"/>
      <c r="P234" s="783" t="n"/>
      <c r="Q234" s="783" t="n"/>
      <c r="R234" s="783" t="n"/>
      <c r="S234" s="783" t="n"/>
      <c r="T234" s="783" t="n"/>
      <c r="U234" s="783" t="n"/>
      <c r="V234" s="783" t="n"/>
      <c r="W234" s="783" t="n"/>
      <c r="X234" s="783" t="n"/>
    </row>
    <row r="235">
      <c r="A235" s="783" t="n"/>
      <c r="B235" s="783" t="n"/>
      <c r="C235" s="783" t="n"/>
      <c r="D235" s="783" t="n"/>
      <c r="E235" s="783" t="n"/>
      <c r="F235" s="783" t="n"/>
      <c r="G235" s="783" t="n"/>
      <c r="H235" s="783" t="n"/>
      <c r="I235" s="783" t="n"/>
      <c r="J235" s="783" t="n"/>
      <c r="K235" s="783" t="n"/>
      <c r="L235" s="783" t="n"/>
      <c r="M235" s="783" t="n"/>
      <c r="N235" s="783" t="n"/>
      <c r="O235" s="783" t="n"/>
      <c r="P235" s="783" t="n"/>
      <c r="Q235" s="783" t="n"/>
      <c r="R235" s="783" t="n"/>
      <c r="S235" s="783" t="n"/>
      <c r="T235" s="783" t="n"/>
      <c r="U235" s="783" t="n"/>
      <c r="V235" s="783" t="n"/>
      <c r="W235" s="783" t="n"/>
      <c r="X235" s="783" t="n"/>
    </row>
    <row r="236">
      <c r="A236" s="783" t="n"/>
      <c r="B236" s="783" t="n"/>
      <c r="C236" s="783" t="n"/>
      <c r="D236" s="783" t="n"/>
      <c r="E236" s="783" t="n"/>
      <c r="F236" s="783" t="n"/>
      <c r="G236" s="783" t="n"/>
      <c r="H236" s="783" t="n"/>
      <c r="I236" s="783" t="n"/>
      <c r="J236" s="783" t="n"/>
      <c r="K236" s="783" t="n"/>
      <c r="L236" s="783" t="n"/>
      <c r="M236" s="783" t="n"/>
      <c r="N236" s="783" t="n"/>
      <c r="O236" s="783" t="n"/>
      <c r="P236" s="783" t="n"/>
      <c r="Q236" s="783" t="n"/>
      <c r="R236" s="783" t="n"/>
      <c r="S236" s="783" t="n"/>
      <c r="T236" s="783" t="n"/>
      <c r="U236" s="783" t="n"/>
      <c r="V236" s="783" t="n"/>
      <c r="W236" s="783" t="n"/>
      <c r="X236" s="783" t="n"/>
    </row>
    <row r="237">
      <c r="A237" s="783" t="n"/>
      <c r="B237" s="783" t="n"/>
      <c r="C237" s="783" t="n"/>
      <c r="D237" s="783" t="n"/>
      <c r="E237" s="783" t="n"/>
      <c r="F237" s="783" t="n"/>
      <c r="G237" s="783" t="n"/>
      <c r="H237" s="783" t="n"/>
      <c r="I237" s="783" t="n"/>
      <c r="J237" s="783" t="n"/>
      <c r="K237" s="783" t="n"/>
      <c r="L237" s="783" t="n"/>
      <c r="M237" s="783" t="n"/>
      <c r="N237" s="783" t="n"/>
      <c r="O237" s="783" t="n"/>
      <c r="P237" s="783" t="n"/>
      <c r="Q237" s="783" t="n"/>
      <c r="R237" s="783" t="n"/>
      <c r="S237" s="783" t="n"/>
      <c r="T237" s="783" t="n"/>
      <c r="U237" s="783" t="n"/>
      <c r="V237" s="783" t="n"/>
      <c r="W237" s="783" t="n"/>
      <c r="X237" s="783" t="n"/>
    </row>
    <row r="238" ht="16.2" customHeight="1" thickBot="1">
      <c r="A238" s="802" t="n"/>
      <c r="B238" s="803" t="inlineStr">
        <is>
          <t>1.对于单项变动金额超过585,000元，或金额较大的长账龄的变动，筛选项较多，我们选取前五大在此处进行变动原因分析。</t>
        </is>
      </c>
      <c r="C238" s="802" t="n"/>
      <c r="D238" s="802" t="n"/>
      <c r="E238" s="802" t="n"/>
      <c r="F238" s="802" t="n"/>
      <c r="G238" s="802" t="n"/>
      <c r="H238" s="802" t="n"/>
      <c r="I238" s="802" t="n"/>
      <c r="J238" s="802" t="n"/>
      <c r="K238" s="802" t="n"/>
      <c r="L238" s="802" t="n"/>
      <c r="M238" s="802" t="n"/>
      <c r="N238" s="802" t="n"/>
      <c r="O238" s="802" t="n"/>
      <c r="P238" s="802" t="n"/>
      <c r="Q238" s="802" t="n"/>
      <c r="R238" s="802" t="n"/>
      <c r="S238" s="802" t="n"/>
      <c r="T238" s="802" t="n"/>
      <c r="U238" s="802" t="n"/>
      <c r="V238" s="802" t="n"/>
      <c r="W238" s="802" t="n"/>
      <c r="X238" s="802" t="n"/>
    </row>
    <row r="239" ht="15" customHeight="1">
      <c r="A239" s="802" t="n"/>
      <c r="B239" s="804" t="inlineStr">
        <is>
          <t>供应商代码</t>
        </is>
      </c>
      <c r="C239" s="805" t="inlineStr">
        <is>
          <t>供应商名称</t>
        </is>
      </c>
      <c r="D239" s="805" t="inlineStr">
        <is>
          <t>期末账面数</t>
        </is>
      </c>
      <c r="E239" s="805" t="inlineStr">
        <is>
          <t>上期末审定数</t>
        </is>
      </c>
      <c r="F239" s="805" t="inlineStr">
        <is>
          <t>变动金额</t>
        </is>
      </c>
      <c r="G239" s="805" t="inlineStr">
        <is>
          <t>变动比例</t>
        </is>
      </c>
      <c r="H239" s="806" t="n"/>
      <c r="I239" s="802" t="n"/>
      <c r="J239" s="802" t="n"/>
      <c r="K239" s="802" t="n"/>
      <c r="L239" s="802" t="n"/>
      <c r="M239" s="802" t="n"/>
      <c r="N239" s="802" t="n"/>
      <c r="O239" s="802" t="n"/>
      <c r="P239" s="802" t="n"/>
      <c r="Q239" s="802" t="n"/>
      <c r="R239" s="802" t="n"/>
      <c r="S239" s="802" t="n"/>
      <c r="T239" s="802" t="n"/>
      <c r="U239" s="802" t="n"/>
      <c r="V239" s="802" t="n"/>
      <c r="W239" s="802" t="n"/>
      <c r="X239" s="802" t="n"/>
    </row>
    <row r="240" ht="15.6" customHeight="1">
      <c r="A240" s="802" t="n"/>
      <c r="B240" s="807" t="inlineStr">
        <is>
          <t>I_9149</t>
        </is>
      </c>
      <c r="C240" s="808" t="inlineStr">
        <is>
          <t>东风咨询有限公司</t>
        </is>
      </c>
      <c r="D240" s="808" t="n">
        <v>-3874030.13</v>
      </c>
      <c r="E240" s="808" t="n">
        <v>-5153204.96</v>
      </c>
      <c r="F240" s="808">
        <f>D240-E240</f>
        <v/>
      </c>
      <c r="G240" s="809">
        <f>F240/E240</f>
        <v/>
      </c>
      <c r="H240" s="810" t="inlineStr">
        <is>
          <t>NB1</t>
        </is>
      </c>
      <c r="I240" s="802" t="n"/>
      <c r="J240" s="802" t="n"/>
      <c r="K240" s="802" t="n"/>
      <c r="L240" s="802" t="n"/>
      <c r="M240" s="802" t="n"/>
      <c r="N240" s="802" t="n"/>
      <c r="O240" s="802" t="n"/>
      <c r="P240" s="802" t="n"/>
      <c r="Q240" s="802" t="n"/>
      <c r="R240" s="802" t="n"/>
      <c r="S240" s="802" t="n"/>
      <c r="T240" s="802" t="n"/>
      <c r="U240" s="802" t="n"/>
      <c r="V240" s="802" t="n"/>
      <c r="W240" s="802" t="n"/>
      <c r="X240" s="802" t="n"/>
    </row>
    <row r="241" ht="15.6" customHeight="1">
      <c r="A241" s="802" t="n"/>
      <c r="B241" s="807" t="inlineStr">
        <is>
          <t>E_628682</t>
        </is>
      </c>
      <c r="C241" s="808" t="inlineStr">
        <is>
          <t>供应商</t>
        </is>
      </c>
      <c r="D241" s="808" t="n">
        <v>-2743396.23</v>
      </c>
      <c r="E241" s="808" t="n">
        <v>-7943396.23</v>
      </c>
      <c r="F241" s="808">
        <f>D241-E241</f>
        <v/>
      </c>
      <c r="G241" s="809">
        <f>F241/E241</f>
        <v/>
      </c>
      <c r="H241" s="810" t="inlineStr">
        <is>
          <t>NB2</t>
        </is>
      </c>
      <c r="I241" s="802" t="n"/>
      <c r="J241" s="802" t="n"/>
      <c r="K241" s="802" t="n"/>
      <c r="L241" s="802" t="n"/>
      <c r="M241" s="802" t="n"/>
      <c r="N241" s="802" t="n"/>
      <c r="O241" s="802" t="n"/>
      <c r="P241" s="802" t="n"/>
      <c r="Q241" s="802" t="n"/>
      <c r="R241" s="802" t="n"/>
      <c r="S241" s="802" t="n"/>
      <c r="T241" s="802" t="n"/>
      <c r="U241" s="802" t="n"/>
      <c r="V241" s="802" t="n"/>
      <c r="W241" s="802" t="n"/>
      <c r="X241" s="802" t="n"/>
    </row>
    <row r="242" ht="15.6" customHeight="1">
      <c r="A242" s="802" t="n"/>
      <c r="B242" s="807" t="inlineStr">
        <is>
          <t>E_177287</t>
        </is>
      </c>
      <c r="C242" s="808" t="inlineStr">
        <is>
          <t>襄阳诚智电力设计有限公司</t>
        </is>
      </c>
      <c r="D242" s="808" t="n">
        <v>-1160377.36</v>
      </c>
      <c r="E242" s="808" t="n">
        <v>0</v>
      </c>
      <c r="F242" s="808">
        <f>D242-E242</f>
        <v/>
      </c>
      <c r="G242" s="809" t="n">
        <v>0</v>
      </c>
      <c r="H242" s="810" t="inlineStr">
        <is>
          <t>NB3</t>
        </is>
      </c>
      <c r="I242" s="802" t="n"/>
      <c r="J242" s="802" t="n"/>
      <c r="K242" s="802" t="n"/>
      <c r="L242" s="802" t="n"/>
      <c r="M242" s="802" t="n"/>
      <c r="N242" s="802" t="n"/>
      <c r="O242" s="802" t="n"/>
      <c r="P242" s="802" t="n"/>
      <c r="Q242" s="802" t="n"/>
      <c r="R242" s="802" t="n"/>
      <c r="S242" s="802" t="n"/>
      <c r="T242" s="802" t="n"/>
      <c r="U242" s="802" t="n"/>
      <c r="V242" s="802" t="n"/>
      <c r="W242" s="802" t="n"/>
      <c r="X242" s="802" t="n"/>
    </row>
    <row r="243" ht="15.6" customHeight="1">
      <c r="A243" s="802" t="n"/>
      <c r="B243" s="807" t="inlineStr">
        <is>
          <t>E_626371</t>
        </is>
      </c>
      <c r="C243" s="808" t="inlineStr">
        <is>
          <t>深圳市景鸿建设工程有限公司</t>
        </is>
      </c>
      <c r="D243" s="808" t="n">
        <v>0</v>
      </c>
      <c r="E243" s="808" t="n">
        <v>-1220943.4</v>
      </c>
      <c r="F243" s="808">
        <f>D243-E243</f>
        <v/>
      </c>
      <c r="G243" s="809">
        <f>F243/E243</f>
        <v/>
      </c>
      <c r="H243" s="810" t="inlineStr">
        <is>
          <t>NB4</t>
        </is>
      </c>
      <c r="I243" s="802" t="n"/>
      <c r="J243" s="802" t="n"/>
      <c r="K243" s="802" t="n"/>
      <c r="L243" s="802" t="n"/>
      <c r="M243" s="802" t="n"/>
      <c r="N243" s="802" t="n"/>
      <c r="O243" s="802" t="n"/>
      <c r="P243" s="802" t="n"/>
      <c r="Q243" s="802" t="n"/>
      <c r="R243" s="802" t="n"/>
      <c r="S243" s="802" t="n"/>
      <c r="T243" s="802" t="n"/>
      <c r="U243" s="802" t="n"/>
      <c r="V243" s="802" t="n"/>
      <c r="W243" s="802" t="n"/>
      <c r="X243" s="802" t="n"/>
    </row>
    <row r="244" ht="15.6" customHeight="1">
      <c r="A244" s="802" t="n"/>
      <c r="B244" s="807" t="inlineStr">
        <is>
          <t>E_014855</t>
        </is>
      </c>
      <c r="C244" s="808" t="inlineStr">
        <is>
          <t>湖北省工业建筑总承包集团</t>
        </is>
      </c>
      <c r="D244" s="808" t="n">
        <v>-1477909.15</v>
      </c>
      <c r="E244" s="808" t="n">
        <v>-188679.24</v>
      </c>
      <c r="F244" s="808">
        <f>D244-E244</f>
        <v/>
      </c>
      <c r="G244" s="809">
        <f>F244/E244</f>
        <v/>
      </c>
      <c r="H244" s="810" t="inlineStr">
        <is>
          <t>NB5</t>
        </is>
      </c>
      <c r="I244" s="802" t="n"/>
      <c r="J244" s="802" t="n"/>
      <c r="K244" s="802" t="n"/>
      <c r="L244" s="802" t="n"/>
      <c r="M244" s="802" t="n"/>
      <c r="N244" s="802" t="n"/>
      <c r="O244" s="802" t="n"/>
      <c r="P244" s="802" t="n"/>
      <c r="Q244" s="802" t="n"/>
      <c r="R244" s="802" t="n"/>
      <c r="S244" s="802" t="n"/>
      <c r="T244" s="802" t="n"/>
      <c r="U244" s="802" t="n"/>
      <c r="V244" s="802" t="n"/>
      <c r="W244" s="802" t="n"/>
      <c r="X244" s="802" t="n"/>
    </row>
    <row r="245" ht="15" customHeight="1">
      <c r="A245" s="783" t="n"/>
      <c r="B245" s="811" t="n"/>
      <c r="C245" s="812" t="n"/>
      <c r="D245" s="782" t="n"/>
      <c r="E245" s="782" t="n"/>
      <c r="F245" s="813" t="n"/>
      <c r="G245" s="813" t="n"/>
      <c r="H245" s="812" t="n"/>
      <c r="I245" s="783" t="n"/>
      <c r="J245" s="783" t="n"/>
      <c r="K245" s="783" t="n"/>
      <c r="L245" s="783" t="n"/>
      <c r="M245" s="783" t="n"/>
      <c r="N245" s="783" t="n"/>
      <c r="O245" s="783" t="n"/>
      <c r="P245" s="783" t="n"/>
      <c r="Q245" s="783" t="n"/>
      <c r="R245" s="783" t="n"/>
      <c r="S245" s="783" t="n"/>
      <c r="T245" s="783" t="n"/>
      <c r="U245" s="783" t="n"/>
      <c r="V245" s="783" t="n"/>
      <c r="W245" s="783" t="n"/>
      <c r="X245" s="783" t="n"/>
    </row>
    <row r="246" ht="15" customHeight="1">
      <c r="A246" s="802" t="n"/>
      <c r="B246" s="814" t="inlineStr">
        <is>
          <t>NB1：东风咨询有限公司系东风鸿远工程咨询的内部关联方供应商，对于满足鸿远工程包需求的业务，鸿远会选择咨询提供服务。24年业务量较大，分给咨询的工程包也多，25年有所减少，对应的应付款项也减少了25%。</t>
        </is>
      </c>
      <c r="C246" s="802" t="n"/>
      <c r="D246" s="802" t="n"/>
      <c r="E246" s="802" t="n"/>
      <c r="F246" s="802" t="n"/>
      <c r="G246" s="802" t="n"/>
      <c r="H246" s="802" t="n"/>
      <c r="I246" s="802" t="n"/>
      <c r="J246" s="802" t="n"/>
      <c r="K246" s="802" t="n"/>
      <c r="L246" s="802" t="n"/>
      <c r="M246" s="802" t="n"/>
      <c r="N246" s="802" t="n"/>
      <c r="O246" s="802" t="n"/>
      <c r="P246" s="802" t="n"/>
      <c r="Q246" s="802" t="n"/>
      <c r="R246" s="802" t="n"/>
      <c r="S246" s="802" t="n"/>
      <c r="T246" s="802" t="n"/>
      <c r="U246" s="802" t="n"/>
      <c r="V246" s="802" t="n"/>
      <c r="W246" s="802" t="n"/>
      <c r="X246" s="802" t="n"/>
    </row>
    <row r="247" ht="15" customHeight="1">
      <c r="A247" s="783" t="n"/>
      <c r="B247" s="783" t="n"/>
      <c r="C247" s="783" t="n"/>
      <c r="D247" s="783" t="n"/>
      <c r="E247" s="783" t="n"/>
      <c r="F247" s="783" t="n"/>
      <c r="G247" s="783" t="n"/>
      <c r="H247" s="783" t="n"/>
      <c r="I247" s="783" t="n"/>
      <c r="J247" s="783" t="n"/>
      <c r="K247" s="783" t="n"/>
      <c r="L247" s="783" t="n"/>
      <c r="M247" s="783" t="n"/>
      <c r="N247" s="783" t="n"/>
      <c r="O247" s="783" t="n"/>
      <c r="P247" s="783" t="n"/>
      <c r="Q247" s="783" t="n"/>
      <c r="R247" s="783" t="n"/>
      <c r="S247" s="783" t="n"/>
      <c r="T247" s="783" t="n"/>
      <c r="U247" s="783" t="n"/>
      <c r="V247" s="783" t="n"/>
      <c r="W247" s="783" t="n"/>
      <c r="X247" s="783" t="n"/>
    </row>
    <row r="248" ht="19.5" customHeight="1">
      <c r="A248" s="802" t="n"/>
      <c r="B248" s="814" t="inlineStr">
        <is>
          <t>NB2：该项系被审计单位根据项目预算提的暂估成本科目，鸿远业务系统使用金慧软件平台，业务在该平台对项目进行申报、记录，待项目完成财务收到发票后，冲减暂估，再依据发票中实际供应商，把账做进对应的供应商中。由于将除了内部供应商之外的供应商成本依据项目预算统一将暂估成本记在【供应商】中，因做账程序按照项目入账，无法对应具体的客商。且因为本年工程总包量的减少，导致账面对应的暂估成本也有明显的减少。</t>
        </is>
      </c>
      <c r="C248" s="802" t="n"/>
      <c r="D248" s="802" t="n"/>
      <c r="E248" s="802" t="n"/>
      <c r="F248" s="802" t="n"/>
      <c r="G248" s="802" t="n"/>
      <c r="H248" s="802" t="n"/>
      <c r="I248" s="802" t="n"/>
      <c r="J248" s="802" t="n"/>
      <c r="K248" s="802" t="n"/>
      <c r="L248" s="802" t="n"/>
      <c r="M248" s="802" t="n"/>
      <c r="N248" s="802" t="n"/>
      <c r="O248" s="802" t="n"/>
      <c r="P248" s="802" t="n"/>
      <c r="Q248" s="802" t="n"/>
      <c r="R248" s="802" t="n"/>
      <c r="S248" s="802" t="n"/>
      <c r="T248" s="802" t="n"/>
      <c r="U248" s="802" t="n"/>
      <c r="V248" s="802" t="n"/>
      <c r="W248" s="802" t="n"/>
      <c r="X248" s="802" t="n"/>
    </row>
    <row r="249" ht="19.5" customHeight="1">
      <c r="A249" s="783" t="n"/>
      <c r="B249" s="783" t="n"/>
      <c r="C249" s="783" t="n"/>
      <c r="D249" s="783" t="n"/>
      <c r="E249" s="783" t="n"/>
      <c r="F249" s="783" t="n"/>
      <c r="G249" s="783" t="n"/>
      <c r="H249" s="783" t="n"/>
      <c r="I249" s="783" t="n"/>
      <c r="J249" s="783" t="n"/>
      <c r="K249" s="783" t="n"/>
      <c r="L249" s="783" t="n"/>
      <c r="M249" s="783" t="n"/>
      <c r="N249" s="783" t="n"/>
      <c r="O249" s="783" t="n"/>
      <c r="P249" s="783" t="n"/>
      <c r="Q249" s="783" t="n"/>
      <c r="R249" s="783" t="n"/>
      <c r="S249" s="783" t="n"/>
      <c r="T249" s="783" t="n"/>
      <c r="U249" s="783" t="n"/>
      <c r="V249" s="783" t="n"/>
      <c r="W249" s="783" t="n"/>
      <c r="X249" s="783" t="n"/>
    </row>
    <row r="250" ht="15" customHeight="1">
      <c r="A250" s="802" t="n"/>
      <c r="B250" s="814" t="inlineStr">
        <is>
          <t>NB3：该供应商系被审计单位本年新纳入供应商体系的公司，由于24年没有与该供应商的业务往来，24年末就没有对其的应付款项，25年因为工程包有对应的业务合作，才导致25年末对其的应付款项较24年末增加1,160k。</t>
        </is>
      </c>
      <c r="C250" s="802" t="n"/>
      <c r="D250" s="802" t="n"/>
      <c r="E250" s="802" t="n"/>
      <c r="F250" s="802" t="n"/>
      <c r="G250" s="802" t="n"/>
      <c r="H250" s="802" t="n"/>
      <c r="I250" s="802" t="n"/>
      <c r="J250" s="802" t="n"/>
      <c r="K250" s="802" t="n"/>
      <c r="L250" s="802" t="n"/>
      <c r="M250" s="802" t="n"/>
      <c r="N250" s="802" t="n"/>
      <c r="O250" s="802" t="n"/>
      <c r="P250" s="802" t="n"/>
      <c r="Q250" s="802" t="n"/>
      <c r="R250" s="802" t="n"/>
      <c r="S250" s="802" t="n"/>
      <c r="T250" s="802" t="n"/>
      <c r="U250" s="802" t="n"/>
      <c r="V250" s="802" t="n"/>
      <c r="W250" s="802" t="n"/>
      <c r="X250" s="802" t="n"/>
    </row>
    <row r="251" ht="15" customHeight="1">
      <c r="A251" s="783" t="n"/>
      <c r="B251" s="783" t="n"/>
      <c r="C251" s="783" t="n"/>
      <c r="D251" s="783" t="n"/>
      <c r="E251" s="783" t="n"/>
      <c r="F251" s="783" t="n"/>
      <c r="G251" s="783" t="n"/>
      <c r="H251" s="783" t="n"/>
      <c r="I251" s="783" t="n"/>
      <c r="J251" s="783" t="n"/>
      <c r="K251" s="783" t="n"/>
      <c r="L251" s="783" t="n"/>
      <c r="M251" s="783" t="n"/>
      <c r="N251" s="783" t="n"/>
      <c r="O251" s="783" t="n"/>
      <c r="P251" s="783" t="n"/>
      <c r="Q251" s="783" t="n"/>
      <c r="R251" s="783" t="n"/>
      <c r="S251" s="783" t="n"/>
      <c r="T251" s="783" t="n"/>
      <c r="U251" s="783" t="n"/>
      <c r="V251" s="783" t="n"/>
      <c r="W251" s="783" t="n"/>
      <c r="X251" s="783" t="n"/>
    </row>
    <row r="252">
      <c r="A252" s="802" t="n"/>
      <c r="B252" s="814" t="inlineStr">
        <is>
          <t>NB4：该供应商系被审计单位24年合作的供应商，由于24年工程包合作结束后没有再进行业务往来，导致25年末对其应付款项减少较多，账面显示的变动较大。</t>
        </is>
      </c>
      <c r="C252" s="802" t="n"/>
      <c r="D252" s="802" t="n"/>
      <c r="E252" s="802" t="n"/>
      <c r="F252" s="802" t="n"/>
      <c r="G252" s="802" t="n"/>
      <c r="H252" s="802" t="n"/>
      <c r="I252" s="802" t="n"/>
      <c r="J252" s="802" t="n"/>
      <c r="K252" s="802" t="n"/>
      <c r="L252" s="802" t="n"/>
      <c r="M252" s="802" t="n"/>
      <c r="N252" s="802" t="n"/>
      <c r="O252" s="802" t="n"/>
      <c r="P252" s="802" t="n"/>
      <c r="Q252" s="802" t="n"/>
      <c r="R252" s="802" t="n"/>
      <c r="S252" s="802" t="n"/>
      <c r="T252" s="802" t="n"/>
      <c r="U252" s="802" t="n"/>
      <c r="V252" s="802" t="n"/>
      <c r="W252" s="802" t="n"/>
      <c r="X252" s="802" t="n"/>
    </row>
    <row r="253">
      <c r="A253" s="783" t="n"/>
      <c r="B253" s="783" t="n"/>
      <c r="C253" s="783" t="n"/>
      <c r="D253" s="783" t="n"/>
      <c r="E253" s="783" t="n"/>
      <c r="F253" s="783" t="n"/>
      <c r="G253" s="783" t="n"/>
      <c r="H253" s="783" t="n"/>
      <c r="I253" s="783" t="n"/>
      <c r="J253" s="783" t="n"/>
      <c r="K253" s="783" t="n"/>
      <c r="L253" s="783" t="n"/>
      <c r="M253" s="783" t="n"/>
      <c r="N253" s="783" t="n"/>
      <c r="O253" s="783" t="n"/>
      <c r="P253" s="783" t="n"/>
      <c r="Q253" s="783" t="n"/>
      <c r="R253" s="783" t="n"/>
      <c r="S253" s="783" t="n"/>
      <c r="T253" s="783" t="n"/>
      <c r="U253" s="783" t="n"/>
      <c r="V253" s="783" t="n"/>
      <c r="W253" s="783" t="n"/>
      <c r="X253" s="783" t="n"/>
    </row>
    <row r="254" ht="18.45" customHeight="1">
      <c r="A254" s="802" t="n"/>
      <c r="B254" s="814" t="inlineStr">
        <is>
          <t>NB5：该供应商系被审计单位与该供应商及襄阳市政共同合作签订的设计采购施工(EPC)总承包合同等，主要系湖北省鄂西北(襄阳)重大疫情救治基地项目等，与其合作多个项目，25年合作工程较24年量大，导致对应25年的应付款项较24年有明显增加。</t>
        </is>
      </c>
      <c r="C254" s="802" t="n"/>
      <c r="D254" s="802" t="n"/>
      <c r="E254" s="802" t="n"/>
      <c r="F254" s="802" t="n"/>
      <c r="G254" s="802" t="n"/>
      <c r="H254" s="802" t="n"/>
      <c r="I254" s="802" t="n"/>
      <c r="J254" s="802" t="n"/>
      <c r="K254" s="802" t="n"/>
      <c r="L254" s="802" t="n"/>
      <c r="M254" s="802" t="n"/>
      <c r="N254" s="802" t="n"/>
      <c r="O254" s="802" t="n"/>
      <c r="P254" s="802" t="n"/>
      <c r="Q254" s="802" t="n"/>
      <c r="R254" s="802" t="n"/>
      <c r="S254" s="802" t="n"/>
      <c r="T254" s="802" t="n"/>
      <c r="U254" s="802" t="n"/>
      <c r="V254" s="802" t="n"/>
      <c r="W254" s="802" t="n"/>
      <c r="X254" s="802" t="n"/>
    </row>
    <row r="255" ht="18.45" customHeight="1">
      <c r="A255" s="783" t="n"/>
      <c r="B255" s="783" t="n"/>
      <c r="C255" s="783" t="n"/>
      <c r="D255" s="783" t="n"/>
      <c r="E255" s="783" t="n"/>
      <c r="F255" s="783" t="n"/>
      <c r="G255" s="783" t="n"/>
      <c r="H255" s="783" t="n"/>
      <c r="I255" s="783" t="n"/>
      <c r="J255" s="783" t="n"/>
      <c r="K255" s="783" t="n"/>
      <c r="L255" s="783" t="n"/>
      <c r="M255" s="783" t="n"/>
      <c r="N255" s="783" t="n"/>
      <c r="O255" s="783" t="n"/>
      <c r="P255" s="783" t="n"/>
      <c r="Q255" s="783" t="n"/>
      <c r="R255" s="783" t="n"/>
      <c r="S255" s="783" t="n"/>
      <c r="T255" s="783" t="n"/>
      <c r="U255" s="783" t="n"/>
      <c r="V255" s="783" t="n"/>
      <c r="W255" s="783" t="n"/>
      <c r="X255" s="783" t="n"/>
    </row>
    <row r="256" ht="15.6" customHeight="1">
      <c r="A256" s="802" t="n"/>
      <c r="B256" s="815" t="inlineStr">
        <is>
          <t>长账龄分析：</t>
        </is>
      </c>
      <c r="C256" s="802" t="n"/>
      <c r="D256" s="816" t="n"/>
      <c r="E256" s="816" t="n"/>
      <c r="F256" s="817" t="n"/>
      <c r="G256" s="817" t="n"/>
      <c r="H256" s="818" t="n"/>
      <c r="I256" s="802" t="n"/>
      <c r="J256" s="802" t="n"/>
      <c r="K256" s="802" t="n"/>
      <c r="L256" s="802" t="n"/>
      <c r="M256" s="802" t="n"/>
      <c r="N256" s="802" t="n"/>
      <c r="O256" s="802" t="n"/>
      <c r="P256" s="802" t="n"/>
      <c r="Q256" s="802" t="n"/>
      <c r="R256" s="802" t="n"/>
      <c r="S256" s="802" t="n"/>
      <c r="T256" s="802" t="n"/>
      <c r="U256" s="802" t="n"/>
      <c r="V256" s="802" t="n"/>
      <c r="W256" s="802" t="n"/>
      <c r="X256" s="802" t="n"/>
    </row>
    <row r="257" ht="15.6" customHeight="1">
      <c r="A257" s="802" t="n"/>
      <c r="B257" s="815" t="inlineStr">
        <is>
          <t>供应商代码</t>
        </is>
      </c>
      <c r="C257" s="819" t="inlineStr">
        <is>
          <t>供应商名称</t>
        </is>
      </c>
      <c r="D257" s="820" t="n">
        <v>46387</v>
      </c>
      <c r="E257" s="821" t="inlineStr">
        <is>
          <t>1年以上账龄</t>
        </is>
      </c>
      <c r="F257" s="817" t="n"/>
      <c r="G257" s="817" t="n"/>
      <c r="H257" s="818" t="n"/>
      <c r="I257" s="802" t="n"/>
      <c r="J257" s="802" t="n"/>
      <c r="K257" s="802" t="n"/>
      <c r="L257" s="802" t="n"/>
      <c r="M257" s="802" t="n"/>
      <c r="N257" s="802" t="n"/>
      <c r="O257" s="802" t="n"/>
      <c r="P257" s="802" t="n"/>
      <c r="Q257" s="802" t="n"/>
      <c r="R257" s="802" t="n"/>
      <c r="S257" s="802" t="n"/>
      <c r="T257" s="802" t="n"/>
      <c r="U257" s="802" t="n"/>
      <c r="V257" s="802" t="n"/>
      <c r="W257" s="802" t="n"/>
      <c r="X257" s="802" t="n"/>
    </row>
    <row r="258" ht="15.6" customHeight="1">
      <c r="A258" s="802" t="n"/>
      <c r="B258" s="815" t="inlineStr">
        <is>
          <t>I_9149</t>
        </is>
      </c>
      <c r="C258" s="819" t="inlineStr">
        <is>
          <t>东风咨询有限公司</t>
        </is>
      </c>
      <c r="D258" s="822" t="n">
        <v>-3874030.13</v>
      </c>
      <c r="E258" s="822" t="n">
        <v>-3776049.34</v>
      </c>
      <c r="F258" s="808" t="inlineStr">
        <is>
          <t>NB1</t>
        </is>
      </c>
      <c r="G258" s="817" t="n"/>
      <c r="H258" s="818" t="n"/>
      <c r="I258" s="802" t="n"/>
      <c r="J258" s="802" t="n"/>
      <c r="K258" s="802" t="n"/>
      <c r="L258" s="802" t="n"/>
      <c r="M258" s="802" t="n"/>
      <c r="N258" s="802" t="n"/>
      <c r="O258" s="802" t="n"/>
      <c r="P258" s="802" t="n"/>
      <c r="Q258" s="802" t="n"/>
      <c r="R258" s="802" t="n"/>
      <c r="S258" s="802" t="n"/>
      <c r="T258" s="802" t="n"/>
      <c r="U258" s="802" t="n"/>
      <c r="V258" s="802" t="n"/>
      <c r="W258" s="802" t="n"/>
      <c r="X258" s="802" t="n"/>
    </row>
    <row r="259" ht="15.6" customHeight="1">
      <c r="A259" s="802" t="n"/>
      <c r="B259" s="815" t="inlineStr">
        <is>
          <t>E_175725</t>
        </is>
      </c>
      <c r="C259" s="819" t="inlineStr">
        <is>
          <t>中机三勘岩土工程有限公司</t>
        </is>
      </c>
      <c r="D259" s="822" t="n">
        <v>-2565699.98</v>
      </c>
      <c r="E259" s="822" t="n">
        <v>-2514945.28</v>
      </c>
      <c r="F259" s="808" t="inlineStr">
        <is>
          <t>NB6</t>
        </is>
      </c>
      <c r="G259" s="817" t="n"/>
      <c r="H259" s="818" t="n"/>
      <c r="I259" s="802" t="n"/>
      <c r="J259" s="802" t="n"/>
      <c r="K259" s="802" t="n"/>
      <c r="L259" s="802" t="n"/>
      <c r="M259" s="802" t="n"/>
      <c r="N259" s="802" t="n"/>
      <c r="O259" s="802" t="n"/>
      <c r="P259" s="802" t="n"/>
      <c r="Q259" s="802" t="n"/>
      <c r="R259" s="802" t="n"/>
      <c r="S259" s="802" t="n"/>
      <c r="T259" s="802" t="n"/>
      <c r="U259" s="802" t="n"/>
      <c r="V259" s="802" t="n"/>
      <c r="W259" s="802" t="n"/>
      <c r="X259" s="802" t="n"/>
    </row>
    <row r="260" ht="15.6" customHeight="1">
      <c r="A260" s="802" t="n"/>
      <c r="B260" s="815" t="inlineStr">
        <is>
          <t>E_605958</t>
        </is>
      </c>
      <c r="C260" s="819" t="inlineStr">
        <is>
          <t>四川省建筑设计研究院有限公司</t>
        </is>
      </c>
      <c r="D260" s="822" t="n">
        <v>-6146733.91</v>
      </c>
      <c r="E260" s="822" t="n">
        <v>-5632783.91</v>
      </c>
      <c r="F260" s="808" t="inlineStr">
        <is>
          <t>NB7</t>
        </is>
      </c>
      <c r="G260" s="817" t="n"/>
      <c r="H260" s="818" t="n"/>
      <c r="I260" s="802" t="n"/>
      <c r="J260" s="802" t="n"/>
      <c r="K260" s="802" t="n"/>
      <c r="L260" s="802" t="n"/>
      <c r="M260" s="802" t="n"/>
      <c r="N260" s="802" t="n"/>
      <c r="O260" s="802" t="n"/>
      <c r="P260" s="802" t="n"/>
      <c r="Q260" s="802" t="n"/>
      <c r="R260" s="802" t="n"/>
      <c r="S260" s="802" t="n"/>
      <c r="T260" s="802" t="n"/>
      <c r="U260" s="802" t="n"/>
      <c r="V260" s="802" t="n"/>
      <c r="W260" s="802" t="n"/>
      <c r="X260" s="802" t="n"/>
    </row>
    <row r="261" ht="15.6" customHeight="1">
      <c r="A261" s="802" t="n"/>
      <c r="B261" s="815" t="inlineStr">
        <is>
          <t>E_600087</t>
        </is>
      </c>
      <c r="C261" s="819" t="inlineStr">
        <is>
          <t>湖北省鄂西北工程勘察有限责任公司</t>
        </is>
      </c>
      <c r="D261" s="822" t="n">
        <v>-2189774.58</v>
      </c>
      <c r="E261" s="822" t="n">
        <v>-2119774.58</v>
      </c>
      <c r="F261" s="808" t="inlineStr">
        <is>
          <t>NB8</t>
        </is>
      </c>
      <c r="G261" s="817" t="n"/>
      <c r="H261" s="818" t="n"/>
      <c r="I261" s="802" t="n"/>
      <c r="J261" s="802" t="n"/>
      <c r="K261" s="802" t="n"/>
      <c r="L261" s="802" t="n"/>
      <c r="M261" s="802" t="n"/>
      <c r="N261" s="802" t="n"/>
      <c r="O261" s="802" t="n"/>
      <c r="P261" s="802" t="n"/>
      <c r="Q261" s="802" t="n"/>
      <c r="R261" s="802" t="n"/>
      <c r="S261" s="802" t="n"/>
      <c r="T261" s="802" t="n"/>
      <c r="U261" s="802" t="n"/>
      <c r="V261" s="802" t="n"/>
      <c r="W261" s="802" t="n"/>
      <c r="X261" s="802" t="n"/>
    </row>
    <row r="262" ht="15" customHeight="1">
      <c r="A262" s="783" t="n"/>
      <c r="B262" s="811" t="n"/>
      <c r="C262" s="783" t="n"/>
      <c r="D262" s="782" t="n"/>
      <c r="E262" s="782" t="n"/>
      <c r="F262" s="813" t="n"/>
      <c r="G262" s="813" t="n"/>
      <c r="H262" s="811" t="n"/>
      <c r="I262" s="783" t="n"/>
      <c r="J262" s="783" t="n"/>
      <c r="K262" s="783" t="n"/>
      <c r="L262" s="783" t="n"/>
      <c r="M262" s="783" t="n"/>
      <c r="N262" s="783" t="n"/>
      <c r="O262" s="783" t="n"/>
      <c r="P262" s="783" t="n"/>
      <c r="Q262" s="783" t="n"/>
      <c r="R262" s="783" t="n"/>
      <c r="S262" s="783" t="n"/>
      <c r="T262" s="783" t="n"/>
      <c r="U262" s="783" t="n"/>
      <c r="V262" s="783" t="n"/>
      <c r="W262" s="783" t="n"/>
      <c r="X262" s="783" t="n"/>
    </row>
    <row r="263" ht="18.45" customHeight="1">
      <c r="A263" s="802" t="n"/>
      <c r="B263" s="814" t="inlineStr">
        <is>
          <t>NB6：对该供应商的余额系往年分包确认的应付款项。负责襄城经开区产业园基础设施提档升级项目定制化厂房（东风鸿泰项目一期）等勘察项目抽水试验任务等</t>
        </is>
      </c>
      <c r="C263" s="802" t="n"/>
      <c r="D263" s="802" t="n"/>
      <c r="E263" s="802" t="n"/>
      <c r="F263" s="802" t="n"/>
      <c r="G263" s="802" t="n"/>
      <c r="H263" s="802" t="n"/>
      <c r="I263" s="802" t="n"/>
      <c r="J263" s="802" t="n"/>
      <c r="K263" s="802" t="n"/>
      <c r="L263" s="802" t="n"/>
      <c r="M263" s="802" t="n"/>
      <c r="N263" s="802" t="n"/>
      <c r="O263" s="802" t="n"/>
      <c r="P263" s="802" t="n"/>
      <c r="Q263" s="802" t="n"/>
      <c r="R263" s="802" t="n"/>
      <c r="S263" s="802" t="n"/>
      <c r="T263" s="802" t="n"/>
      <c r="U263" s="802" t="n"/>
      <c r="V263" s="802" t="n"/>
      <c r="W263" s="802" t="n"/>
      <c r="X263" s="802" t="n"/>
    </row>
    <row r="264" ht="18.45" customHeight="1">
      <c r="A264" s="783" t="n"/>
      <c r="B264" s="783" t="n"/>
      <c r="C264" s="783" t="n"/>
      <c r="D264" s="783" t="n"/>
      <c r="E264" s="783" t="n"/>
      <c r="F264" s="783" t="n"/>
      <c r="G264" s="783" t="n"/>
      <c r="H264" s="783" t="n"/>
      <c r="I264" s="783" t="n"/>
      <c r="J264" s="783" t="n"/>
      <c r="K264" s="783" t="n"/>
      <c r="L264" s="783" t="n"/>
      <c r="M264" s="783" t="n"/>
      <c r="N264" s="783" t="n"/>
      <c r="O264" s="783" t="n"/>
      <c r="P264" s="783" t="n"/>
      <c r="Q264" s="783" t="n"/>
      <c r="R264" s="783" t="n"/>
      <c r="S264" s="783" t="n"/>
      <c r="T264" s="783" t="n"/>
      <c r="U264" s="783" t="n"/>
      <c r="V264" s="783" t="n"/>
      <c r="W264" s="783" t="n"/>
      <c r="X264" s="783" t="n"/>
    </row>
    <row r="265" ht="18.45" customHeight="1">
      <c r="A265" s="802" t="n"/>
      <c r="B265" s="814" t="inlineStr">
        <is>
          <t>NB7：对该供应商的余额系往年分包确认的应付款项。湖北文理学院迁建项目设计</t>
        </is>
      </c>
      <c r="C265" s="802" t="n"/>
      <c r="D265" s="802" t="n"/>
      <c r="E265" s="802" t="n"/>
      <c r="F265" s="802" t="n"/>
      <c r="G265" s="802" t="n"/>
      <c r="H265" s="802" t="n"/>
      <c r="I265" s="802" t="n"/>
      <c r="J265" s="802" t="n"/>
      <c r="K265" s="802" t="n"/>
      <c r="L265" s="802" t="n"/>
      <c r="M265" s="802" t="n"/>
      <c r="N265" s="802" t="n"/>
      <c r="O265" s="802" t="n"/>
      <c r="P265" s="802" t="n"/>
      <c r="Q265" s="802" t="n"/>
      <c r="R265" s="802" t="n"/>
      <c r="S265" s="802" t="n"/>
      <c r="T265" s="802" t="n"/>
      <c r="U265" s="802" t="n"/>
      <c r="V265" s="802" t="n"/>
      <c r="W265" s="802" t="n"/>
      <c r="X265" s="802" t="n"/>
    </row>
    <row r="266" ht="18.45" customHeight="1">
      <c r="A266" s="783" t="n"/>
      <c r="B266" s="783" t="n"/>
      <c r="C266" s="783" t="n"/>
      <c r="D266" s="783" t="n"/>
      <c r="E266" s="783" t="n"/>
      <c r="F266" s="783" t="n"/>
      <c r="G266" s="783" t="n"/>
      <c r="H266" s="783" t="n"/>
      <c r="I266" s="783" t="n"/>
      <c r="J266" s="783" t="n"/>
      <c r="K266" s="783" t="n"/>
      <c r="L266" s="783" t="n"/>
      <c r="M266" s="783" t="n"/>
      <c r="N266" s="783" t="n"/>
      <c r="O266" s="783" t="n"/>
      <c r="P266" s="783" t="n"/>
      <c r="Q266" s="783" t="n"/>
      <c r="R266" s="783" t="n"/>
      <c r="S266" s="783" t="n"/>
      <c r="T266" s="783" t="n"/>
      <c r="U266" s="783" t="n"/>
      <c r="V266" s="783" t="n"/>
      <c r="W266" s="783" t="n"/>
      <c r="X266" s="783" t="n"/>
    </row>
    <row r="267" ht="16.95" customHeight="1">
      <c r="A267" s="802" t="n"/>
      <c r="B267" s="814" t="inlineStr">
        <is>
          <t>NB8：对该供应商的余额系往年分包确认的应付款项。主要系湖北省科技工程学校实训基地及附属建设项目、襄阳市汉江水环境保护建设项目（襄阳市第二期乡镇污水收集处理工程）工程相关款项</t>
        </is>
      </c>
      <c r="C267" s="802" t="n"/>
      <c r="D267" s="802" t="n"/>
      <c r="E267" s="802" t="n"/>
      <c r="F267" s="802" t="n"/>
      <c r="G267" s="802" t="n"/>
      <c r="H267" s="802" t="n"/>
      <c r="I267" s="802" t="n"/>
      <c r="J267" s="802" t="n"/>
      <c r="K267" s="802" t="n"/>
      <c r="L267" s="802" t="n"/>
      <c r="M267" s="802" t="n"/>
      <c r="N267" s="802" t="n"/>
      <c r="O267" s="802" t="n"/>
      <c r="P267" s="802" t="n"/>
      <c r="Q267" s="802" t="n"/>
      <c r="R267" s="802" t="n"/>
      <c r="S267" s="802" t="n"/>
      <c r="T267" s="802" t="n"/>
      <c r="U267" s="802" t="n"/>
      <c r="V267" s="802" t="n"/>
      <c r="W267" s="802" t="n"/>
      <c r="X267" s="802" t="n"/>
    </row>
    <row r="268" ht="16.95" customHeight="1">
      <c r="A268" s="783" t="n"/>
      <c r="B268" s="783" t="n"/>
      <c r="C268" s="783" t="n"/>
      <c r="D268" s="783" t="n"/>
      <c r="E268" s="783" t="n"/>
      <c r="F268" s="783" t="n"/>
      <c r="G268" s="783" t="n"/>
      <c r="H268" s="783" t="n"/>
      <c r="I268" s="783" t="n"/>
      <c r="J268" s="783" t="n"/>
      <c r="K268" s="783" t="n"/>
      <c r="L268" s="783" t="n"/>
      <c r="M268" s="783" t="n"/>
      <c r="N268" s="783" t="n"/>
      <c r="O268" s="783" t="n"/>
      <c r="P268" s="783" t="n"/>
      <c r="Q268" s="783" t="n"/>
      <c r="R268" s="783" t="n"/>
      <c r="S268" s="783" t="n"/>
      <c r="T268" s="783" t="n"/>
      <c r="U268" s="783" t="n"/>
      <c r="V268" s="783" t="n"/>
      <c r="W268" s="783" t="n"/>
      <c r="X268" s="783" t="n"/>
    </row>
    <row r="269" ht="15" customHeight="1">
      <c r="A269" s="783" t="n"/>
      <c r="B269" s="811" t="n"/>
      <c r="C269" s="783" t="n"/>
      <c r="D269" s="782" t="n"/>
      <c r="E269" s="782" t="n"/>
      <c r="F269" s="813" t="n"/>
      <c r="G269" s="813" t="n"/>
      <c r="H269" s="811" t="n"/>
      <c r="I269" s="783" t="n"/>
      <c r="J269" s="783" t="n"/>
      <c r="K269" s="783" t="n"/>
      <c r="L269" s="783" t="n"/>
      <c r="M269" s="783" t="n"/>
      <c r="N269" s="783" t="n"/>
      <c r="O269" s="783" t="n"/>
      <c r="P269" s="783" t="n"/>
      <c r="Q269" s="783" t="n"/>
      <c r="R269" s="783" t="n"/>
      <c r="S269" s="783" t="n"/>
      <c r="T269" s="783" t="n"/>
      <c r="U269" s="783" t="n"/>
      <c r="V269" s="783" t="n"/>
      <c r="W269" s="783" t="n"/>
      <c r="X269" s="783" t="n"/>
    </row>
    <row r="270" ht="14.4" customHeight="1" thickBot="1">
      <c r="A270" s="783" t="n"/>
      <c r="B270" s="811" t="n"/>
      <c r="C270" s="811" t="n"/>
      <c r="D270" s="811" t="n"/>
      <c r="E270" s="811" t="n"/>
      <c r="F270" s="811" t="n"/>
      <c r="G270" s="811" t="n"/>
      <c r="H270" s="811" t="n"/>
      <c r="I270" s="783" t="n"/>
      <c r="J270" s="783" t="n"/>
      <c r="K270" s="783" t="n"/>
      <c r="L270" s="783" t="n"/>
      <c r="M270" s="783" t="n"/>
      <c r="N270" s="783" t="n"/>
      <c r="O270" s="783" t="n"/>
      <c r="P270" s="783" t="n"/>
      <c r="Q270" s="783" t="n"/>
      <c r="R270" s="783" t="n"/>
      <c r="S270" s="783" t="n"/>
      <c r="T270" s="783" t="n"/>
      <c r="U270" s="783" t="n"/>
      <c r="V270" s="783" t="n"/>
      <c r="W270" s="783" t="n"/>
      <c r="X270" s="783" t="n"/>
    </row>
  </sheetData>
  <autoFilter ref="A6:X222"/>
  <mergeCells count="19">
    <mergeCell ref="E5:E6"/>
    <mergeCell ref="B248:H249"/>
    <mergeCell ref="Q5:Q6"/>
    <mergeCell ref="B263:H264"/>
    <mergeCell ref="F5:F6"/>
    <mergeCell ref="O5:P5"/>
    <mergeCell ref="B250:H251"/>
    <mergeCell ref="B267:H268"/>
    <mergeCell ref="G5:G6"/>
    <mergeCell ref="B246:H247"/>
    <mergeCell ref="H5:M5"/>
    <mergeCell ref="B254:H255"/>
    <mergeCell ref="R5:W5"/>
    <mergeCell ref="B5:B6"/>
    <mergeCell ref="D5:D6"/>
    <mergeCell ref="B265:H266"/>
    <mergeCell ref="B1:H1"/>
    <mergeCell ref="B252:H253"/>
    <mergeCell ref="C5:C6"/>
  </mergeCells>
  <conditionalFormatting sqref="B240:E244 G240:G244">
    <cfRule type="containsBlanks" priority="1" dxfId="4">
      <formula>LEN(TRIM(B240))=0</formula>
    </cfRule>
  </conditionalFormatting>
  <conditionalFormatting sqref="G7:H220">
    <cfRule type="cellIs" priority="2" operator="equal" dxfId="13">
      <formula>0</formula>
    </cfRule>
  </conditionalFormatting>
  <dataValidations count="2">
    <dataValidation sqref="G7:G220" showDropDown="0" showInputMessage="1" showErrorMessage="0" allowBlank="1" type="list">
      <formula1>"供应商,关联方,自定义"</formula1>
    </dataValidation>
    <dataValidation sqref="H7:H220" showDropDown="0" showInputMessage="1" showErrorMessage="1" allowBlank="1" type="list">
      <formula1>$C$2078:$C$2078</formula1>
    </dataValidation>
  </dataValidations>
  <pageMargins left="0.7" right="0.7" top="0.75" bottom="0.75" header="0.3" footer="0.3"/>
  <pageSetup orientation="portrait" paperSize="9" horizontalDpi="300"/>
  <headerFooter>
    <oddHeader/>
    <oddFooter>&amp;LPAL SWP Accrued Liabilities_x000a_(24 June 2025)</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codeName="Sheet6">
    <outlinePr summaryBelow="1" summaryRight="1"/>
    <pageSetUpPr/>
  </sheetPr>
  <dimension ref="A1:DX93"/>
  <sheetViews>
    <sheetView showGridLines="0" zoomScale="70" zoomScaleNormal="70" workbookViewId="0">
      <selection activeCell="A1" sqref="A1"/>
    </sheetView>
  </sheetViews>
  <sheetFormatPr baseColWidth="8" defaultColWidth="8.75" defaultRowHeight="13.35" customHeight="1"/>
  <cols>
    <col width="2.625" customWidth="1" style="194" min="1" max="1"/>
    <col width="20.875" customWidth="1" style="199" min="2" max="2"/>
    <col width="17.75" customWidth="1" style="195" min="3" max="3"/>
    <col width="26" customWidth="1" style="195" min="4" max="4"/>
    <col width="20.125" customWidth="1" style="195" min="5" max="5"/>
    <col width="17.375" customWidth="1" style="195" min="6" max="6"/>
    <col width="18.125" customWidth="1" style="195" min="7" max="9"/>
    <col width="15.5" customWidth="1" style="195" min="10" max="10"/>
    <col width="17.125" customWidth="1" style="195" min="11" max="11"/>
    <col width="9.5" customWidth="1" style="195" min="12" max="12"/>
    <col width="9.375" customWidth="1" style="195" min="13" max="13"/>
    <col width="9.25" customWidth="1" style="195" min="14" max="14"/>
    <col width="25.5" customWidth="1" style="195" min="15" max="15"/>
    <col width="2.625" customWidth="1" style="195" min="16" max="16"/>
    <col width="1.625" customWidth="1" style="195" min="17" max="17"/>
    <col width="12.75" customWidth="1" style="195" min="18" max="18"/>
    <col width="8.375" customWidth="1" style="195" min="19" max="19"/>
    <col width="9.375" customWidth="1" style="195" min="20" max="20"/>
    <col width="9.75" customWidth="1" style="195" min="21" max="21"/>
    <col width="12.375" customWidth="1" style="195" min="22" max="22"/>
    <col width="10.375" customWidth="1" style="195" min="23" max="23"/>
    <col width="12.375" customWidth="1" style="195" min="24" max="24"/>
    <col width="8.375" customWidth="1" style="195" min="25" max="25"/>
    <col width="9.375" customWidth="1" style="195" min="26" max="26"/>
    <col width="8.375" customWidth="1" style="195" min="27" max="28"/>
    <col width="10.75" customWidth="1" style="195" min="29" max="29"/>
    <col width="10.375" customWidth="1" style="195" min="30" max="30"/>
    <col width="12" customWidth="1" style="195" min="31" max="31"/>
    <col width="8.375" customWidth="1" style="195" min="32" max="32"/>
    <col width="10.125" customWidth="1" style="195" min="33" max="33"/>
    <col width="11.125" customWidth="1" style="195" min="34" max="34"/>
    <col width="8.375" customWidth="1" style="195" min="35" max="37"/>
    <col width="21.375" customWidth="1" style="195" min="38" max="38"/>
    <col width="19.75" customWidth="1" style="195" min="39" max="39"/>
    <col width="20.75" customWidth="1" style="195" min="40" max="40"/>
    <col width="17.375" customWidth="1" style="195" min="41" max="41"/>
    <col width="14.375" customWidth="1" style="195" min="42" max="42"/>
    <col width="13.75" customWidth="1" style="195" min="43" max="43"/>
    <col width="9.375" customWidth="1" style="195" min="44" max="44"/>
    <col width="8.75" customWidth="1" style="195" min="45" max="98"/>
    <col width="13.125" customWidth="1" style="196" min="99" max="99"/>
    <col width="7.375" customWidth="1" style="196" min="100" max="100"/>
    <col width="8.75" customWidth="1" style="196" min="101" max="110"/>
    <col width="14.375" customWidth="1" style="196" min="111" max="111"/>
    <col width="8.75" customWidth="1" style="196" min="112" max="117"/>
    <col width="10.375" customWidth="1" style="196" min="118" max="118"/>
    <col width="8.75" customWidth="1" style="196" min="119" max="122"/>
    <col width="10.125" customWidth="1" style="196" min="123" max="123"/>
    <col width="12.375" customWidth="1" style="196" min="124" max="124"/>
    <col width="8.75" customWidth="1" style="197" min="125" max="125"/>
    <col width="8.75" customWidth="1" style="196" min="126" max="126"/>
    <col width="8.75" customWidth="1" style="198" min="127" max="127"/>
    <col width="8.75" customWidth="1" style="195" min="128" max="16384"/>
  </cols>
  <sheetData>
    <row r="1" ht="50.1" customFormat="1" customHeight="1" s="193">
      <c r="A1" s="10" t="n"/>
      <c r="B1" s="331" t="inlineStr">
        <is>
          <t>标准工作底稿: N SWP 应付账款</t>
        </is>
      </c>
      <c r="C1" s="332" t="n"/>
      <c r="D1" s="333" t="n"/>
      <c r="E1" s="333" t="n"/>
      <c r="F1" s="333" t="n"/>
      <c r="G1" s="333" t="n"/>
      <c r="H1" s="333" t="n"/>
      <c r="I1" s="333" t="n"/>
      <c r="J1" s="333" t="n"/>
      <c r="K1" s="333" t="n"/>
      <c r="L1" s="333" t="n"/>
      <c r="M1" s="333" t="n"/>
      <c r="N1" s="334" t="n"/>
      <c r="O1" s="335" t="n"/>
      <c r="P1" s="10" t="n"/>
      <c r="Q1" s="17" t="n"/>
      <c r="R1" s="10" t="n"/>
      <c r="S1" s="10" t="n"/>
      <c r="T1" s="10" t="n"/>
      <c r="U1" s="10" t="n"/>
      <c r="V1" s="10" t="n"/>
      <c r="W1" s="10" t="n"/>
      <c r="X1" s="10" t="n"/>
      <c r="Y1" s="10" t="n"/>
      <c r="Z1" s="10" t="n"/>
      <c r="AA1" s="10" t="n"/>
      <c r="AB1" s="10" t="n"/>
      <c r="AC1" s="10" t="n"/>
      <c r="AD1" s="10" t="n"/>
      <c r="AE1" s="10" t="n"/>
      <c r="AF1" s="10" t="n"/>
      <c r="AG1" s="10" t="n"/>
      <c r="AH1" s="10" t="n"/>
      <c r="AI1" s="10" t="n"/>
      <c r="AJ1" s="10" t="n"/>
      <c r="AK1" s="10" t="n"/>
      <c r="AL1" s="10" t="n"/>
      <c r="AM1" s="10" t="n"/>
      <c r="AN1" s="10" t="n"/>
      <c r="AO1" s="10" t="n"/>
      <c r="AP1" s="10" t="n"/>
      <c r="AQ1" s="10" t="n"/>
      <c r="AR1" s="10" t="n"/>
      <c r="AS1" s="10" t="n"/>
      <c r="AT1" s="10" t="n"/>
      <c r="AU1" s="10" t="n"/>
      <c r="AV1" s="10" t="n"/>
      <c r="AW1" s="10" t="n"/>
      <c r="AX1" s="10" t="n"/>
      <c r="AY1" s="10" t="n"/>
      <c r="AZ1" s="10" t="n"/>
      <c r="BA1" s="10" t="n"/>
      <c r="BB1" s="10" t="n"/>
      <c r="BC1" s="10" t="n"/>
      <c r="BD1" s="10" t="n"/>
      <c r="BE1" s="10" t="n"/>
      <c r="BF1" s="10" t="n"/>
      <c r="BG1" s="10" t="n"/>
      <c r="BH1" s="10" t="n"/>
      <c r="BI1" s="10" t="n"/>
      <c r="BJ1" s="10" t="n"/>
      <c r="BK1" s="10" t="n"/>
      <c r="BL1" s="10" t="n"/>
      <c r="BM1" s="10" t="n"/>
      <c r="BN1" s="10" t="n"/>
      <c r="BO1" s="10" t="n"/>
      <c r="BP1" s="10" t="n"/>
      <c r="BQ1" s="10" t="n"/>
      <c r="BR1" s="10" t="n"/>
      <c r="BS1" s="10" t="n"/>
      <c r="BT1" s="10" t="n"/>
      <c r="BU1" s="10" t="n"/>
      <c r="BV1" s="10" t="n"/>
      <c r="BW1" s="10" t="n"/>
      <c r="BX1" s="10" t="n"/>
      <c r="BY1" s="10" t="n"/>
      <c r="BZ1" s="10" t="n"/>
      <c r="CA1" s="10" t="n"/>
      <c r="CB1" s="10" t="n"/>
      <c r="CC1" s="10" t="n"/>
      <c r="CD1" s="10" t="n"/>
      <c r="CE1" s="10" t="n"/>
      <c r="CF1" s="10" t="n"/>
      <c r="CG1" s="10" t="n"/>
      <c r="CH1" s="10" t="n"/>
      <c r="CI1" s="10" t="n"/>
      <c r="CJ1" s="10" t="n"/>
      <c r="CK1" s="10" t="n"/>
      <c r="CL1" s="10" t="n"/>
      <c r="CM1" s="10" t="n"/>
      <c r="CN1" s="10" t="n"/>
      <c r="CO1" s="10" t="n"/>
      <c r="CP1" s="10" t="n"/>
      <c r="CQ1" s="10" t="n"/>
      <c r="CR1" s="10" t="n"/>
      <c r="CS1" s="10" t="n"/>
      <c r="CT1" s="10" t="n"/>
      <c r="CU1" s="10" t="n"/>
      <c r="CV1" s="10" t="n"/>
      <c r="CW1" s="10" t="n"/>
      <c r="CX1" s="10" t="n"/>
      <c r="CY1" s="10" t="n"/>
      <c r="CZ1" s="10" t="n"/>
      <c r="DA1" s="10" t="n"/>
      <c r="DB1" s="10" t="n"/>
      <c r="DC1" s="10" t="n"/>
      <c r="DD1" s="10" t="n"/>
      <c r="DE1" s="10" t="n"/>
      <c r="DF1" s="10" t="n"/>
      <c r="DG1" s="10" t="n"/>
      <c r="DH1" s="10" t="n"/>
      <c r="DI1" s="10" t="n"/>
      <c r="DJ1" s="10" t="n"/>
      <c r="DK1" s="10" t="n"/>
      <c r="DL1" s="10" t="n"/>
      <c r="DM1" s="10" t="n"/>
      <c r="DN1" s="10" t="n"/>
      <c r="DO1" s="10" t="n"/>
      <c r="DP1" s="10" t="n"/>
      <c r="DQ1" s="10" t="n"/>
      <c r="DR1" s="10" t="n"/>
      <c r="DS1" s="10" t="n"/>
      <c r="DT1" s="10" t="n"/>
      <c r="DU1" s="10" t="n"/>
      <c r="DV1" s="10" t="n"/>
      <c r="DW1" s="10" t="n"/>
    </row>
    <row r="2" ht="30" customFormat="1" customHeight="1" s="193">
      <c r="A2" s="10" t="n"/>
      <c r="B2" s="336" t="inlineStr">
        <is>
          <t>N.02: 借方余额测试和异常项目复核</t>
        </is>
      </c>
      <c r="C2" s="337" t="n"/>
      <c r="D2" s="337" t="n"/>
      <c r="E2" s="337" t="n"/>
      <c r="F2" s="337" t="n"/>
      <c r="G2" s="337" t="n"/>
      <c r="H2" s="337" t="n"/>
      <c r="I2" s="337" t="n"/>
      <c r="J2" s="337" t="n"/>
      <c r="K2" s="337" t="n"/>
      <c r="L2" s="337" t="n"/>
      <c r="M2" s="337" t="n"/>
      <c r="N2" s="337" t="n"/>
      <c r="O2" s="338" t="n"/>
      <c r="P2" s="10" t="n"/>
      <c r="Q2" s="17"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10" t="n"/>
      <c r="BJ2" s="10" t="n"/>
      <c r="BK2" s="10" t="n"/>
      <c r="BL2" s="10" t="n"/>
      <c r="BM2" s="10" t="n"/>
      <c r="BN2" s="10" t="n"/>
      <c r="BO2" s="10" t="n"/>
      <c r="BP2" s="10" t="n"/>
      <c r="BQ2" s="10" t="n"/>
      <c r="BR2" s="10" t="n"/>
      <c r="BS2" s="10" t="n"/>
      <c r="BT2" s="10" t="n"/>
      <c r="BU2" s="10" t="n"/>
      <c r="BV2" s="10" t="n"/>
      <c r="BW2" s="10" t="n"/>
      <c r="BX2" s="10" t="n"/>
      <c r="BY2" s="10" t="n"/>
      <c r="BZ2" s="10" t="n"/>
      <c r="CA2" s="10" t="n"/>
      <c r="CB2" s="10" t="n"/>
      <c r="CC2" s="10" t="n"/>
      <c r="CD2" s="10" t="n"/>
      <c r="CE2" s="10" t="n"/>
      <c r="CF2" s="10" t="n"/>
      <c r="CG2" s="10" t="n"/>
      <c r="CH2" s="10" t="n"/>
      <c r="CI2" s="10" t="n"/>
      <c r="CJ2" s="10" t="n"/>
      <c r="CK2" s="10" t="n"/>
      <c r="CL2" s="10" t="n"/>
      <c r="CM2" s="10" t="n"/>
      <c r="CN2" s="10" t="n"/>
      <c r="CO2" s="10" t="n"/>
      <c r="CP2" s="10" t="n"/>
      <c r="CQ2" s="10" t="n"/>
      <c r="CR2" s="10" t="n"/>
      <c r="CS2" s="10" t="n"/>
      <c r="CT2" s="10" t="n"/>
      <c r="CU2" s="10" t="n"/>
      <c r="CV2" s="10" t="n"/>
      <c r="CW2" s="10" t="n"/>
      <c r="CX2" s="10" t="n"/>
      <c r="CY2" s="10" t="n"/>
      <c r="CZ2" s="10" t="n"/>
      <c r="DA2" s="10" t="n"/>
      <c r="DB2" s="10" t="n"/>
      <c r="DC2" s="10" t="n"/>
      <c r="DD2" s="10" t="n"/>
      <c r="DE2" s="10" t="n"/>
      <c r="DF2" s="10" t="n"/>
      <c r="DG2" s="10" t="n"/>
      <c r="DH2" s="10" t="n"/>
      <c r="DI2" s="10" t="n"/>
      <c r="DJ2" s="10" t="n"/>
      <c r="DK2" s="10" t="n"/>
      <c r="DL2" s="10" t="n"/>
      <c r="DM2" s="10" t="n"/>
      <c r="DN2" s="10" t="n"/>
      <c r="DO2" s="10" t="n"/>
      <c r="DP2" s="10" t="n"/>
      <c r="DQ2" s="10" t="n"/>
      <c r="DR2" s="10" t="n"/>
      <c r="DS2" s="10" t="n"/>
      <c r="DT2" s="10" t="n"/>
      <c r="DU2" s="10" t="n"/>
      <c r="DV2" s="10" t="n"/>
      <c r="DW2" s="10" t="n"/>
    </row>
    <row r="3" ht="15" customFormat="1" customHeight="1" s="193">
      <c r="A3" s="10" t="n"/>
      <c r="B3" s="10" t="n"/>
      <c r="C3" s="10" t="n"/>
      <c r="D3" s="10" t="n"/>
      <c r="E3" s="10" t="n"/>
      <c r="F3" s="10" t="n"/>
      <c r="G3" s="10" t="n"/>
      <c r="H3" s="10" t="n"/>
      <c r="I3" s="10" t="n"/>
      <c r="J3" s="10" t="n"/>
      <c r="K3" s="10" t="n"/>
      <c r="L3" s="10" t="n"/>
      <c r="M3" s="339" t="n"/>
      <c r="N3" s="339" t="n"/>
      <c r="O3" s="339" t="n"/>
      <c r="P3" s="10" t="n"/>
      <c r="Q3" s="17" t="n"/>
      <c r="R3" s="10" t="n"/>
      <c r="S3" s="10" t="n"/>
      <c r="T3" s="10" t="n"/>
      <c r="U3" s="10" t="n"/>
      <c r="V3" s="10" t="n"/>
      <c r="W3" s="10" t="n"/>
      <c r="X3" s="10" t="n"/>
      <c r="Y3" s="10" t="n"/>
      <c r="Z3" s="10" t="n"/>
      <c r="AA3" s="10" t="n"/>
      <c r="AB3" s="10" t="n"/>
      <c r="AC3" s="10" t="n"/>
      <c r="AD3" s="10" t="n"/>
      <c r="AE3" s="10" t="n"/>
      <c r="AF3" s="10" t="n"/>
      <c r="AG3" s="10" t="n"/>
      <c r="AH3" s="10" t="n"/>
      <c r="AI3" s="10" t="n"/>
      <c r="AJ3" s="10" t="n"/>
      <c r="AK3" s="10" t="n"/>
      <c r="AL3" s="10" t="n"/>
      <c r="AM3" s="10" t="n"/>
      <c r="AN3" s="10" t="n"/>
      <c r="AO3" s="10" t="n"/>
      <c r="AP3" s="10" t="n"/>
      <c r="AQ3" s="10" t="n"/>
      <c r="AR3" s="10" t="n"/>
      <c r="AS3" s="10" t="n"/>
      <c r="AT3" s="10" t="n"/>
      <c r="AU3" s="10" t="n"/>
      <c r="AV3" s="10" t="n"/>
      <c r="AW3" s="10" t="n"/>
      <c r="AX3" s="10" t="n"/>
      <c r="AY3" s="10" t="n"/>
      <c r="AZ3" s="10" t="n"/>
      <c r="BA3" s="10" t="n"/>
      <c r="BB3" s="10" t="n"/>
      <c r="BC3" s="10" t="n"/>
      <c r="BD3" s="10" t="n"/>
      <c r="BE3" s="10" t="n"/>
      <c r="BF3" s="10" t="n"/>
      <c r="BG3" s="10" t="n"/>
      <c r="BH3" s="10" t="n"/>
      <c r="BI3" s="10" t="n"/>
      <c r="BJ3" s="10" t="n"/>
      <c r="BK3" s="10" t="n"/>
      <c r="BL3" s="10" t="n"/>
      <c r="BM3" s="10" t="n"/>
      <c r="BN3" s="10" t="n"/>
      <c r="BO3" s="10" t="n"/>
      <c r="BP3" s="10" t="n"/>
      <c r="BQ3" s="10" t="n"/>
      <c r="BR3" s="10" t="n"/>
      <c r="BS3" s="10" t="n"/>
      <c r="BT3" s="10" t="n"/>
      <c r="BU3" s="10" t="n"/>
      <c r="BV3" s="10" t="n"/>
      <c r="BW3" s="10" t="n"/>
      <c r="BX3" s="10" t="n"/>
      <c r="BY3" s="10" t="n"/>
      <c r="BZ3" s="10" t="n"/>
      <c r="CA3" s="10" t="n"/>
      <c r="CB3" s="10" t="n"/>
      <c r="CC3" s="10" t="n"/>
      <c r="CD3" s="10" t="n"/>
      <c r="CE3" s="10" t="n"/>
      <c r="CF3" s="10" t="n"/>
      <c r="CG3" s="10" t="n"/>
      <c r="CH3" s="10" t="n"/>
      <c r="CI3" s="10" t="n"/>
      <c r="CJ3" s="10" t="n"/>
      <c r="CK3" s="10" t="n"/>
      <c r="CL3" s="10" t="n"/>
      <c r="CM3" s="10" t="n"/>
      <c r="CN3" s="10" t="n"/>
      <c r="CO3" s="10" t="n"/>
      <c r="CP3" s="10" t="n"/>
      <c r="CQ3" s="10" t="n"/>
      <c r="CR3" s="10" t="n"/>
      <c r="CS3" s="10" t="n"/>
      <c r="CT3" s="10" t="n"/>
      <c r="CU3" s="10" t="n"/>
      <c r="CV3" s="10" t="n"/>
      <c r="CW3" s="10" t="n"/>
      <c r="CX3" s="10" t="n"/>
      <c r="CY3" s="10" t="n"/>
      <c r="CZ3" s="10" t="n"/>
      <c r="DA3" s="10" t="n"/>
      <c r="DB3" s="10" t="n"/>
      <c r="DC3" s="10" t="n"/>
      <c r="DD3" s="10" t="n"/>
      <c r="DE3" s="10" t="n"/>
      <c r="DF3" s="10" t="n"/>
      <c r="DG3" s="10" t="n"/>
      <c r="DH3" s="10" t="n"/>
      <c r="DI3" s="10" t="n"/>
      <c r="DJ3" s="10" t="n"/>
      <c r="DK3" s="10" t="n"/>
      <c r="DL3" s="10" t="n"/>
      <c r="DM3" s="10" t="n"/>
      <c r="DN3" s="10" t="n"/>
      <c r="DO3" s="10" t="n"/>
      <c r="DP3" s="10" t="n"/>
      <c r="DQ3" s="10" t="n"/>
      <c r="DR3" s="10" t="n"/>
      <c r="DS3" s="10" t="n"/>
      <c r="DT3" s="10" t="n"/>
      <c r="DU3" s="10" t="n"/>
      <c r="DV3" s="10" t="n"/>
      <c r="DW3" s="10" t="n"/>
    </row>
    <row r="4" ht="15" customFormat="1" customHeight="1" s="193">
      <c r="A4" s="10" t="n"/>
      <c r="B4" s="201" t="inlineStr">
        <is>
          <t>返回汇总页</t>
        </is>
      </c>
      <c r="C4" s="10" t="n"/>
      <c r="D4" s="10" t="n"/>
      <c r="E4" s="10" t="n"/>
      <c r="F4" s="10" t="n"/>
      <c r="G4" s="10" t="n"/>
      <c r="H4" s="10" t="n"/>
      <c r="I4" s="10" t="n"/>
      <c r="J4" s="10" t="n"/>
      <c r="K4" s="10" t="n"/>
      <c r="L4" s="10" t="n"/>
      <c r="M4" s="340" t="n"/>
      <c r="N4" s="340" t="n"/>
      <c r="O4" s="340" t="n"/>
      <c r="P4" s="10" t="n"/>
      <c r="Q4" s="17" t="n"/>
      <c r="R4" s="10" t="n"/>
      <c r="S4" s="10" t="n"/>
      <c r="T4" s="10" t="n"/>
      <c r="U4" s="10" t="n"/>
      <c r="V4" s="10" t="n"/>
      <c r="W4" s="10" t="n"/>
      <c r="X4" s="10" t="n"/>
      <c r="Y4" s="10" t="n"/>
      <c r="Z4" s="10" t="n"/>
      <c r="AA4" s="10" t="n"/>
      <c r="AB4" s="10" t="n"/>
      <c r="AC4" s="10" t="n"/>
      <c r="AD4" s="10" t="n"/>
      <c r="AE4" s="10" t="n"/>
      <c r="AF4" s="10" t="n"/>
      <c r="AG4" s="10" t="n"/>
      <c r="AH4" s="10" t="n"/>
      <c r="AI4" s="10" t="n"/>
      <c r="AJ4" s="10" t="n"/>
      <c r="AK4" s="10" t="n"/>
      <c r="AL4" s="10" t="n"/>
      <c r="AM4" s="10" t="n"/>
      <c r="AN4" s="10" t="n"/>
      <c r="AO4" s="10" t="n"/>
      <c r="AP4" s="10" t="n"/>
      <c r="AQ4" s="10" t="n"/>
      <c r="AR4" s="10" t="n"/>
      <c r="AS4" s="10" t="n"/>
      <c r="AT4" s="10" t="n"/>
      <c r="AU4" s="10" t="n"/>
      <c r="AV4" s="10" t="n"/>
      <c r="AW4" s="10" t="n"/>
      <c r="AX4" s="10" t="n"/>
      <c r="AY4" s="10" t="n"/>
      <c r="AZ4" s="10" t="n"/>
      <c r="BA4" s="10" t="n"/>
      <c r="BB4" s="10" t="n"/>
      <c r="BC4" s="10" t="n"/>
      <c r="BD4" s="10" t="n"/>
      <c r="BE4" s="10" t="n"/>
      <c r="BF4" s="10" t="n"/>
      <c r="BG4" s="10" t="n"/>
      <c r="BH4" s="10" t="n"/>
      <c r="BI4" s="10" t="n"/>
      <c r="BJ4" s="10" t="n"/>
      <c r="BK4" s="10" t="n"/>
      <c r="BL4" s="10" t="n"/>
      <c r="BM4" s="10" t="n"/>
      <c r="BN4" s="10" t="n"/>
      <c r="BO4" s="10" t="n"/>
      <c r="BP4" s="10" t="n"/>
      <c r="BQ4" s="10" t="n"/>
      <c r="BR4" s="10" t="n"/>
      <c r="BS4" s="10" t="n"/>
      <c r="BT4" s="10" t="n"/>
      <c r="BU4" s="10" t="n"/>
      <c r="BV4" s="10" t="n"/>
      <c r="BW4" s="10" t="n"/>
      <c r="BX4" s="10" t="n"/>
      <c r="BY4" s="10" t="n"/>
      <c r="BZ4" s="10" t="n"/>
      <c r="CA4" s="10" t="n"/>
      <c r="CB4" s="10" t="n"/>
      <c r="CC4" s="10" t="n"/>
      <c r="CD4" s="10" t="n"/>
      <c r="CE4" s="10" t="n"/>
      <c r="CF4" s="10" t="n"/>
      <c r="CG4" s="10" t="n"/>
      <c r="CH4" s="10" t="n"/>
      <c r="CI4" s="10" t="n"/>
      <c r="CJ4" s="10" t="n"/>
      <c r="CK4" s="10" t="n"/>
      <c r="CL4" s="10" t="n"/>
      <c r="CM4" s="10" t="n"/>
      <c r="CN4" s="10" t="n"/>
      <c r="CO4" s="10" t="n"/>
      <c r="CP4" s="10" t="n"/>
      <c r="CQ4" s="10" t="n"/>
      <c r="CR4" s="10" t="n"/>
      <c r="CS4" s="10" t="n"/>
      <c r="CT4" s="10" t="n"/>
      <c r="CU4" s="10" t="n"/>
      <c r="CV4" s="10" t="n"/>
      <c r="CW4" s="10" t="n"/>
      <c r="CX4" s="10" t="n"/>
      <c r="CY4" s="10" t="n"/>
      <c r="CZ4" s="10" t="n"/>
      <c r="DA4" s="10" t="n"/>
      <c r="DB4" s="10" t="n"/>
      <c r="DC4" s="10" t="n"/>
      <c r="DD4" s="10" t="n"/>
      <c r="DE4" s="10" t="n"/>
      <c r="DF4" s="10" t="n"/>
      <c r="DG4" s="10" t="n"/>
      <c r="DH4" s="10" t="n"/>
      <c r="DI4" s="10" t="n"/>
      <c r="DJ4" s="10" t="n"/>
      <c r="DK4" s="10" t="n"/>
      <c r="DL4" s="10" t="n"/>
      <c r="DM4" s="10" t="n"/>
      <c r="DN4" s="10" t="n"/>
      <c r="DO4" s="10" t="n"/>
      <c r="DP4" s="10" t="n"/>
      <c r="DQ4" s="10" t="n"/>
      <c r="DR4" s="10" t="n"/>
      <c r="DS4" s="10" t="n"/>
      <c r="DT4" s="10" t="n"/>
      <c r="DU4" s="10" t="n"/>
      <c r="DV4" s="10" t="n"/>
      <c r="DW4" s="10" t="n"/>
    </row>
    <row r="5" ht="15" customFormat="1" customHeight="1" s="193">
      <c r="A5" s="10" t="n"/>
      <c r="B5" s="10" t="n"/>
      <c r="C5" s="10" t="n"/>
      <c r="D5" s="10" t="n"/>
      <c r="E5" s="10" t="n"/>
      <c r="F5" s="10" t="n"/>
      <c r="G5" s="10" t="n"/>
      <c r="H5" s="10" t="n"/>
      <c r="I5" s="10" t="n"/>
      <c r="J5" s="10" t="n"/>
      <c r="K5" s="10" t="n"/>
      <c r="L5" s="10" t="n"/>
      <c r="M5" s="340" t="n"/>
      <c r="N5" s="340" t="n"/>
      <c r="O5" s="340" t="n"/>
      <c r="P5" s="10" t="n"/>
      <c r="Q5" s="17" t="n"/>
      <c r="R5" s="10" t="n"/>
      <c r="S5" s="10" t="n"/>
      <c r="T5" s="10" t="n"/>
      <c r="U5" s="10" t="n"/>
      <c r="V5" s="10" t="n"/>
      <c r="W5" s="10" t="n"/>
      <c r="X5" s="10" t="n"/>
      <c r="Y5" s="10" t="n"/>
      <c r="Z5" s="10" t="n"/>
      <c r="AA5" s="10" t="n"/>
      <c r="AB5" s="10" t="n"/>
      <c r="AC5" s="10" t="n"/>
      <c r="AD5" s="10" t="n"/>
      <c r="AE5" s="10" t="n"/>
      <c r="AF5" s="10" t="n"/>
      <c r="AG5" s="10" t="n"/>
      <c r="AH5" s="10" t="n"/>
      <c r="AI5" s="10" t="n"/>
      <c r="AJ5" s="10" t="n"/>
      <c r="AK5" s="10" t="n"/>
      <c r="AL5" s="10" t="n"/>
      <c r="AM5" s="10" t="n"/>
      <c r="AN5" s="10" t="n"/>
      <c r="AO5" s="10" t="n"/>
      <c r="AP5" s="10" t="n"/>
      <c r="AQ5" s="10" t="n"/>
      <c r="AR5" s="10" t="n"/>
      <c r="AS5" s="10" t="n"/>
      <c r="AT5" s="10" t="n"/>
      <c r="AU5" s="10" t="n"/>
      <c r="AV5" s="10" t="n"/>
      <c r="AW5" s="10" t="n"/>
      <c r="AX5" s="10" t="n"/>
      <c r="AY5" s="10" t="n"/>
      <c r="AZ5" s="10" t="n"/>
      <c r="BA5" s="10" t="n"/>
      <c r="BB5" s="10" t="n"/>
      <c r="BC5" s="10" t="n"/>
      <c r="BD5" s="10" t="n"/>
      <c r="BE5" s="10" t="n"/>
      <c r="BF5" s="10" t="n"/>
      <c r="BG5" s="10" t="n"/>
      <c r="BH5" s="10" t="n"/>
      <c r="BI5" s="10" t="n"/>
      <c r="BJ5" s="10" t="n"/>
      <c r="BK5" s="10" t="n"/>
      <c r="BL5" s="10" t="n"/>
      <c r="BM5" s="10" t="n"/>
      <c r="BN5" s="10" t="n"/>
      <c r="BO5" s="10" t="n"/>
      <c r="BP5" s="10" t="n"/>
      <c r="BQ5" s="10" t="n"/>
      <c r="BR5" s="10" t="n"/>
      <c r="BS5" s="10" t="n"/>
      <c r="BT5" s="10" t="n"/>
      <c r="BU5" s="10" t="n"/>
      <c r="BV5" s="10" t="n"/>
      <c r="BW5" s="10" t="n"/>
      <c r="BX5" s="10" t="n"/>
      <c r="BY5" s="10" t="n"/>
      <c r="BZ5" s="10" t="n"/>
      <c r="CA5" s="10" t="n"/>
      <c r="CB5" s="10" t="n"/>
      <c r="CC5" s="10" t="n"/>
      <c r="CD5" s="10" t="n"/>
      <c r="CE5" s="10" t="n"/>
      <c r="CF5" s="10" t="n"/>
      <c r="CG5" s="10" t="n"/>
      <c r="CH5" s="10" t="n"/>
      <c r="CI5" s="10" t="n"/>
      <c r="CJ5" s="10" t="n"/>
      <c r="CK5" s="10" t="n"/>
      <c r="CL5" s="10" t="n"/>
      <c r="CM5" s="10" t="n"/>
      <c r="CN5" s="10" t="n"/>
      <c r="CO5" s="10" t="n"/>
      <c r="CP5" s="10" t="n"/>
      <c r="CQ5" s="10" t="n"/>
      <c r="CR5" s="10" t="n"/>
      <c r="CS5" s="10" t="n"/>
      <c r="CT5" s="10" t="n"/>
      <c r="CU5" s="10" t="n"/>
      <c r="CV5" s="10" t="n"/>
      <c r="CW5" s="10" t="n"/>
      <c r="CX5" s="10" t="n"/>
      <c r="CY5" s="10" t="n"/>
      <c r="CZ5" s="10" t="n"/>
      <c r="DA5" s="10" t="n"/>
      <c r="DB5" s="10" t="n"/>
      <c r="DC5" s="10" t="n"/>
      <c r="DD5" s="10" t="n"/>
      <c r="DE5" s="10" t="n"/>
      <c r="DF5" s="10" t="n"/>
      <c r="DG5" s="10" t="n"/>
      <c r="DH5" s="10" t="n"/>
      <c r="DI5" s="10" t="n"/>
      <c r="DJ5" s="10" t="n"/>
      <c r="DK5" s="10" t="n"/>
      <c r="DL5" s="10" t="n"/>
      <c r="DM5" s="10" t="n"/>
      <c r="DN5" s="10" t="n"/>
      <c r="DO5" s="10" t="n"/>
      <c r="DP5" s="10" t="n"/>
      <c r="DQ5" s="10" t="n"/>
      <c r="DR5" s="10" t="n"/>
      <c r="DS5" s="10" t="n"/>
      <c r="DT5" s="10" t="n"/>
      <c r="DU5" s="10" t="n"/>
      <c r="DV5" s="10" t="n"/>
      <c r="DW5" s="10" t="n"/>
    </row>
    <row r="6" ht="15" customFormat="1" customHeight="1" s="193">
      <c r="A6" s="10" t="n"/>
      <c r="B6" s="714">
        <f>'N.00 Lead sheet'!E15</f>
        <v/>
      </c>
      <c r="C6" s="86" t="inlineStr">
        <is>
          <t>用于识别和测试项目的测试阈值</t>
        </is>
      </c>
      <c r="D6" s="47" t="n"/>
      <c r="E6" s="10" t="n"/>
      <c r="F6" s="10" t="n"/>
      <c r="G6" s="10" t="n"/>
      <c r="H6" s="10" t="n"/>
      <c r="I6" s="10" t="n"/>
      <c r="J6" s="10" t="n"/>
      <c r="K6" s="10" t="n"/>
      <c r="L6" s="10" t="n"/>
      <c r="M6" s="10" t="n"/>
      <c r="N6" s="10" t="n"/>
      <c r="O6" s="10" t="n"/>
      <c r="P6" s="10" t="n"/>
      <c r="Q6" s="17" t="n"/>
      <c r="R6" s="10" t="n"/>
      <c r="S6" s="10" t="n"/>
      <c r="T6" s="10" t="n"/>
      <c r="U6" s="10" t="n"/>
      <c r="V6" s="10" t="n"/>
      <c r="W6" s="10" t="n"/>
      <c r="X6" s="10" t="n"/>
      <c r="Y6" s="10" t="n"/>
      <c r="Z6" s="10" t="n"/>
      <c r="AA6" s="10" t="n"/>
      <c r="AB6" s="10" t="n"/>
      <c r="AC6" s="10" t="n"/>
      <c r="AD6" s="10" t="n"/>
      <c r="AE6" s="10" t="n"/>
      <c r="AF6" s="10" t="n"/>
      <c r="AG6" s="10" t="n"/>
      <c r="AH6" s="10" t="n"/>
      <c r="AI6" s="10" t="n"/>
      <c r="AJ6" s="10" t="n"/>
      <c r="AK6" s="10" t="n"/>
      <c r="AL6" s="10" t="n"/>
      <c r="AM6" s="10" t="n"/>
      <c r="AN6" s="10" t="n"/>
      <c r="AO6" s="10" t="n"/>
      <c r="AP6" s="10" t="n"/>
      <c r="AQ6" s="10" t="n"/>
      <c r="AR6" s="10" t="n"/>
      <c r="AS6" s="10" t="n"/>
      <c r="AT6" s="10" t="n"/>
      <c r="AU6" s="10" t="n"/>
      <c r="AV6" s="10" t="n"/>
      <c r="AW6" s="10" t="n"/>
      <c r="AX6" s="10" t="n"/>
      <c r="AY6" s="10" t="n"/>
      <c r="AZ6" s="10" t="n"/>
      <c r="BA6" s="10" t="n"/>
      <c r="BB6" s="10" t="n"/>
      <c r="BC6" s="10" t="n"/>
      <c r="BD6" s="10" t="n"/>
      <c r="BE6" s="10" t="n"/>
      <c r="BF6" s="10" t="n"/>
      <c r="BG6" s="10" t="n"/>
      <c r="BH6" s="10" t="n"/>
      <c r="BI6" s="10" t="n"/>
      <c r="BJ6" s="10" t="n"/>
      <c r="BK6" s="10" t="n"/>
      <c r="BL6" s="10" t="n"/>
      <c r="BM6" s="10" t="n"/>
      <c r="BN6" s="10" t="n"/>
      <c r="BO6" s="10" t="n"/>
      <c r="BP6" s="10" t="n"/>
      <c r="BQ6" s="10" t="n"/>
      <c r="BR6" s="10" t="n"/>
      <c r="BS6" s="10" t="n"/>
      <c r="BT6" s="10" t="n"/>
      <c r="BU6" s="10" t="n"/>
      <c r="BV6" s="10" t="n"/>
      <c r="BW6" s="10" t="n"/>
      <c r="BX6" s="10" t="n"/>
      <c r="BY6" s="10" t="n"/>
      <c r="BZ6" s="10" t="n"/>
      <c r="CA6" s="10" t="n"/>
      <c r="CB6" s="10" t="n"/>
      <c r="CC6" s="10" t="n"/>
      <c r="CD6" s="10" t="n"/>
      <c r="CE6" s="10" t="n"/>
      <c r="CF6" s="10" t="n"/>
      <c r="CG6" s="10" t="n"/>
      <c r="CH6" s="10" t="n"/>
      <c r="CI6" s="10" t="n"/>
      <c r="CJ6" s="10" t="n"/>
      <c r="CK6" s="10" t="n"/>
      <c r="CL6" s="10" t="n"/>
      <c r="CM6" s="10" t="n"/>
      <c r="CN6" s="10" t="n"/>
      <c r="CO6" s="10" t="n"/>
      <c r="CP6" s="10" t="n"/>
      <c r="CQ6" s="10" t="n"/>
      <c r="CR6" s="10" t="n"/>
      <c r="CS6" s="10" t="n"/>
      <c r="CT6" s="10" t="n"/>
      <c r="CU6" s="10" t="n"/>
      <c r="CV6" s="10" t="n"/>
      <c r="CW6" s="10" t="n"/>
      <c r="CX6" s="10" t="n"/>
      <c r="CY6" s="10" t="n"/>
      <c r="CZ6" s="10" t="n"/>
      <c r="DA6" s="10" t="n"/>
      <c r="DB6" s="10" t="n"/>
      <c r="DC6" s="10" t="n"/>
      <c r="DD6" s="10" t="n"/>
      <c r="DE6" s="10" t="n"/>
      <c r="DF6" s="10" t="n"/>
      <c r="DG6" s="10" t="n"/>
      <c r="DH6" s="10" t="n"/>
      <c r="DI6" s="10" t="n"/>
      <c r="DJ6" s="10" t="n"/>
      <c r="DK6" s="10" t="n"/>
      <c r="DL6" s="10" t="n"/>
      <c r="DM6" s="10" t="n"/>
      <c r="DN6" s="10" t="n"/>
      <c r="DO6" s="10" t="n"/>
      <c r="DP6" s="10" t="n"/>
      <c r="DQ6" s="10" t="n"/>
      <c r="DR6" s="10" t="n"/>
      <c r="DS6" s="10" t="n"/>
      <c r="DT6" s="10" t="n"/>
      <c r="DU6" s="10" t="n"/>
      <c r="DV6" s="10" t="n"/>
      <c r="DW6" s="10" t="n"/>
    </row>
    <row r="7" ht="15" customHeight="1" s="634">
      <c r="A7" s="341" t="n"/>
      <c r="B7" s="342" t="n"/>
      <c r="C7" s="343" t="n"/>
      <c r="D7" s="344" t="n"/>
      <c r="E7" s="344" t="n"/>
      <c r="F7" s="344" t="n"/>
      <c r="G7" s="344" t="n"/>
      <c r="H7" s="344" t="n"/>
      <c r="I7" s="344" t="n"/>
      <c r="J7" s="344" t="n"/>
      <c r="K7" s="2" t="n"/>
      <c r="L7" s="2" t="n"/>
      <c r="M7" s="2" t="n"/>
      <c r="N7" s="2" t="n"/>
      <c r="O7" s="2" t="n"/>
      <c r="P7" s="10" t="n"/>
      <c r="Q7" s="17" t="n"/>
      <c r="R7" s="2" t="n"/>
      <c r="S7" s="2" t="n"/>
      <c r="T7" s="344" t="n"/>
      <c r="U7" s="2" t="n"/>
      <c r="V7" s="2" t="n"/>
      <c r="W7" s="2" t="n"/>
      <c r="X7" s="2" t="n"/>
      <c r="Y7" s="2" t="n"/>
      <c r="Z7" s="2" t="n"/>
      <c r="AA7" s="2" t="n"/>
      <c r="AB7" s="2" t="n"/>
      <c r="AC7" s="344" t="n"/>
      <c r="AD7" s="2" t="n"/>
      <c r="AE7" s="2" t="n"/>
      <c r="AF7" s="2" t="n"/>
      <c r="AG7" s="2" t="n"/>
      <c r="AH7" s="2" t="n"/>
      <c r="AI7" s="2" t="n"/>
      <c r="AJ7" s="2" t="n"/>
      <c r="AK7" s="2" t="n"/>
      <c r="AL7" s="2" t="n"/>
      <c r="AM7" s="2" t="n"/>
      <c r="AN7" s="2" t="n"/>
      <c r="AO7" s="2" t="n"/>
      <c r="AP7" s="2" t="n"/>
      <c r="AQ7" s="2" t="n"/>
      <c r="AR7" s="2" t="n"/>
      <c r="AS7" s="2" t="n"/>
      <c r="AT7" s="2" t="n"/>
      <c r="AU7" s="2" t="n"/>
      <c r="AV7" s="2" t="n"/>
      <c r="AW7" s="2" t="n"/>
      <c r="AX7" s="2" t="n"/>
      <c r="AY7" s="2" t="n"/>
      <c r="AZ7" s="2" t="n"/>
      <c r="BA7" s="2" t="n"/>
      <c r="BB7" s="2" t="n"/>
      <c r="BC7" s="2" t="n"/>
      <c r="BD7" s="2" t="n"/>
      <c r="BE7" s="2" t="n"/>
      <c r="BF7" s="2" t="n"/>
      <c r="BG7" s="2" t="n"/>
      <c r="BH7" s="2" t="n"/>
      <c r="BI7" s="2" t="n"/>
      <c r="BJ7" s="2" t="n"/>
      <c r="BK7" s="2" t="n"/>
      <c r="BL7" s="2" t="n"/>
      <c r="BM7" s="2" t="n"/>
      <c r="BN7" s="2" t="n"/>
      <c r="BO7" s="2" t="n"/>
      <c r="BP7" s="2" t="n"/>
      <c r="BQ7" s="2" t="n"/>
      <c r="BR7" s="2" t="n"/>
      <c r="BS7" s="2" t="n"/>
      <c r="BT7" s="2" t="n"/>
      <c r="BU7" s="2" t="n"/>
      <c r="BV7" s="2" t="n"/>
      <c r="BW7" s="2" t="n"/>
      <c r="BX7" s="2" t="n"/>
      <c r="BY7" s="2" t="n"/>
      <c r="BZ7" s="2" t="n"/>
      <c r="CA7" s="2" t="n"/>
      <c r="CB7" s="2" t="n"/>
      <c r="CC7" s="2" t="n"/>
      <c r="CD7" s="2" t="n"/>
      <c r="CE7" s="2" t="n"/>
      <c r="CF7" s="2" t="n"/>
      <c r="CG7" s="2" t="n"/>
      <c r="CH7" s="2" t="n"/>
      <c r="CI7" s="2" t="n"/>
      <c r="CJ7" s="2" t="n"/>
      <c r="CK7" s="2" t="n"/>
      <c r="CL7" s="2" t="n"/>
      <c r="CM7" s="2" t="n"/>
      <c r="CN7" s="2" t="n"/>
      <c r="CO7" s="2" t="n"/>
      <c r="CP7" s="2" t="n"/>
      <c r="CQ7" s="2" t="n"/>
      <c r="CR7" s="2" t="n"/>
      <c r="CS7" s="2" t="n"/>
      <c r="CT7" s="2" t="n"/>
      <c r="CU7" s="2" t="n"/>
      <c r="CV7" s="2" t="n"/>
      <c r="CW7" s="345" t="n"/>
      <c r="CX7" s="345" t="n"/>
      <c r="CY7" s="345" t="n"/>
      <c r="CZ7" s="345" t="n"/>
      <c r="DA7" s="345" t="n"/>
      <c r="DB7" s="345" t="n"/>
      <c r="DC7" s="345" t="n"/>
      <c r="DD7" s="345" t="n"/>
      <c r="DE7" s="2" t="n"/>
      <c r="DF7" s="345" t="n"/>
      <c r="DG7" s="345" t="n"/>
      <c r="DH7" s="345" t="n"/>
      <c r="DI7" s="345" t="n"/>
      <c r="DJ7" s="345" t="n"/>
      <c r="DK7" s="2" t="n"/>
      <c r="DL7" s="2" t="n"/>
      <c r="DM7" s="2" t="n"/>
      <c r="DN7" s="2" t="n"/>
      <c r="DO7" s="2" t="n"/>
      <c r="DP7" s="2" t="n"/>
      <c r="DQ7" s="2" t="n"/>
      <c r="DR7" s="2" t="n"/>
      <c r="DS7" s="2" t="n"/>
      <c r="DT7" s="390" t="n"/>
      <c r="DU7" s="2" t="n"/>
      <c r="DV7" s="2" t="n"/>
      <c r="DW7" s="2" t="n"/>
    </row>
    <row r="8" ht="13.35" customFormat="1" customHeight="1" s="196">
      <c r="A8" s="347" t="n"/>
      <c r="B8" s="823" t="inlineStr">
        <is>
          <t>安永属性测试说明：</t>
        </is>
      </c>
      <c r="C8" s="824" t="n"/>
      <c r="D8" s="824" t="n"/>
      <c r="E8" s="824" t="n"/>
      <c r="F8" s="825" t="n"/>
      <c r="G8" s="826" t="n"/>
      <c r="H8" s="826" t="n"/>
      <c r="I8" s="826" t="n"/>
      <c r="J8" s="826" t="n"/>
      <c r="K8" s="826" t="n"/>
      <c r="L8" s="826" t="n"/>
      <c r="M8" s="826" t="n"/>
      <c r="N8" s="826" t="n"/>
      <c r="O8" s="826" t="n"/>
      <c r="P8" s="10" t="n"/>
      <c r="Q8" s="17" t="n"/>
      <c r="R8" s="826" t="n"/>
      <c r="S8" s="826" t="n"/>
      <c r="T8" s="826" t="n"/>
      <c r="U8" s="826" t="n"/>
      <c r="V8" s="826" t="n"/>
      <c r="W8" s="826" t="n"/>
      <c r="X8" s="826" t="n"/>
      <c r="Y8" s="826" t="n"/>
      <c r="Z8" s="826" t="n"/>
      <c r="AA8" s="2" t="n"/>
      <c r="AB8" s="2" t="n"/>
      <c r="AC8" s="2" t="n"/>
      <c r="AD8" s="2" t="n"/>
      <c r="AE8" s="2" t="n"/>
      <c r="AF8" s="2" t="n"/>
      <c r="AG8" s="2" t="n"/>
      <c r="AH8" s="2" t="n"/>
      <c r="AI8" s="345" t="n"/>
      <c r="AJ8" s="345" t="n"/>
      <c r="AK8" s="345" t="n"/>
      <c r="AL8" s="2" t="n"/>
      <c r="AM8" s="2" t="n"/>
      <c r="AN8" s="2" t="n"/>
      <c r="AO8" s="2" t="n"/>
      <c r="AP8" s="2" t="n"/>
      <c r="AQ8" s="2" t="n"/>
      <c r="AR8" s="2" t="n"/>
      <c r="AS8" s="2" t="n"/>
      <c r="AT8" s="2" t="n"/>
      <c r="AU8" s="2" t="n"/>
      <c r="AV8" s="2" t="n"/>
      <c r="AW8" s="2" t="n"/>
      <c r="AX8" s="2" t="n"/>
      <c r="AY8" s="2" t="n"/>
      <c r="AZ8" s="2" t="n"/>
      <c r="BA8" s="2" t="n"/>
      <c r="BB8" s="2" t="n"/>
      <c r="BC8" s="2" t="n"/>
      <c r="BD8" s="2" t="n"/>
      <c r="BE8" s="2" t="n"/>
      <c r="BF8" s="2" t="n"/>
      <c r="BG8" s="2" t="n"/>
      <c r="BH8" s="2" t="n"/>
      <c r="BI8" s="2" t="n"/>
      <c r="BJ8" s="2" t="n"/>
      <c r="BK8" s="2" t="n"/>
      <c r="BL8" s="2" t="n"/>
      <c r="BM8" s="2" t="n"/>
      <c r="BN8" s="2" t="n"/>
      <c r="BO8" s="2" t="n"/>
      <c r="BP8" s="2" t="n"/>
      <c r="BQ8" s="2" t="n"/>
      <c r="BR8" s="2" t="n"/>
      <c r="BS8" s="2" t="n"/>
      <c r="BT8" s="2" t="n"/>
      <c r="BU8" s="2" t="n"/>
      <c r="BV8" s="2" t="n"/>
      <c r="BW8" s="2" t="n"/>
      <c r="BX8" s="2" t="n"/>
      <c r="BY8" s="2" t="n"/>
      <c r="BZ8" s="2" t="n"/>
      <c r="CA8" s="2" t="n"/>
      <c r="CB8" s="2" t="n"/>
      <c r="CC8" s="2" t="n"/>
      <c r="CD8" s="2" t="n"/>
      <c r="CE8" s="2" t="n"/>
      <c r="CF8" s="2" t="n"/>
      <c r="CG8" s="345" t="n"/>
      <c r="CH8" s="345" t="n"/>
      <c r="CI8" s="345" t="n"/>
      <c r="CJ8" s="345" t="n"/>
      <c r="CK8" s="345" t="n"/>
      <c r="CL8" s="345" t="n"/>
      <c r="CM8" s="345" t="n"/>
      <c r="CN8" s="345" t="n"/>
      <c r="CO8" s="345" t="n"/>
      <c r="CP8" s="345" t="n"/>
      <c r="CQ8" s="345" t="n"/>
      <c r="CR8" s="345" t="n"/>
      <c r="CS8" s="345" t="n"/>
      <c r="CT8" s="345" t="n"/>
      <c r="CU8" s="345" t="n"/>
      <c r="CV8" s="345" t="n"/>
      <c r="CW8" s="345" t="n"/>
      <c r="CX8" s="345" t="n"/>
      <c r="CY8" s="345" t="n"/>
      <c r="CZ8" s="345" t="n"/>
      <c r="DA8" s="345" t="n"/>
      <c r="DB8" s="345" t="n"/>
      <c r="DC8" s="345" t="n"/>
      <c r="DD8" s="345" t="n"/>
      <c r="DE8" s="345" t="n"/>
      <c r="DF8" s="345" t="n"/>
      <c r="DG8" s="390" t="n"/>
      <c r="DH8" s="345" t="n"/>
      <c r="DI8" s="350" t="n"/>
      <c r="DJ8" s="345" t="n"/>
      <c r="DK8" s="345" t="n"/>
      <c r="DL8" s="345" t="n"/>
      <c r="DM8" s="345" t="n"/>
      <c r="DN8" s="345" t="n"/>
      <c r="DO8" s="345" t="n"/>
      <c r="DP8" s="345" t="n"/>
      <c r="DQ8" s="345" t="n"/>
      <c r="DR8" s="345" t="n"/>
      <c r="DS8" s="345" t="n"/>
      <c r="DT8" s="345" t="n"/>
      <c r="DU8" s="345" t="n"/>
      <c r="DV8" s="345" t="n"/>
      <c r="DW8" s="345" t="n"/>
    </row>
    <row r="9" ht="30" customFormat="1" customHeight="1" s="196">
      <c r="A9" s="347" t="n"/>
      <c r="B9" s="827" t="inlineStr">
        <is>
          <t>1）获取并检查支持异常项目/借方余额的文档（例如，供应商发票、合同、采购订单、付款水单等），以及与应付账款明细账的相关详细信息（例如，供应商名称、发票编号、发票金额和商品/服务的性质）核对一致。</t>
        </is>
      </c>
      <c r="C9" s="658" t="n"/>
      <c r="D9" s="658" t="n"/>
      <c r="E9" s="658" t="n"/>
      <c r="F9" s="659" t="n"/>
      <c r="G9" s="826" t="n"/>
      <c r="H9" s="826" t="n"/>
      <c r="I9" s="826" t="n"/>
      <c r="J9" s="826" t="n"/>
      <c r="K9" s="826" t="n"/>
      <c r="L9" s="826" t="n"/>
      <c r="M9" s="826" t="n"/>
      <c r="N9" s="826" t="n"/>
      <c r="O9" s="826" t="n"/>
      <c r="P9" s="10" t="n"/>
      <c r="Q9" s="17" t="n"/>
      <c r="R9" s="826" t="n"/>
      <c r="S9" s="826" t="n"/>
      <c r="T9" s="826" t="n"/>
      <c r="U9" s="826" t="n"/>
      <c r="V9" s="826" t="n"/>
      <c r="W9" s="826" t="n"/>
      <c r="X9" s="826" t="n"/>
      <c r="Y9" s="826" t="n"/>
      <c r="Z9" s="826" t="n"/>
      <c r="AA9" s="2" t="n"/>
      <c r="AB9" s="2" t="n"/>
      <c r="AC9" s="2" t="n"/>
      <c r="AD9" s="2" t="n"/>
      <c r="AE9" s="2" t="n"/>
      <c r="AF9" s="2" t="n"/>
      <c r="AG9" s="2" t="n"/>
      <c r="AH9" s="2" t="n"/>
      <c r="AI9" s="345" t="n"/>
      <c r="AJ9" s="345" t="n"/>
      <c r="AK9" s="345" t="n"/>
      <c r="AL9" s="2" t="n"/>
      <c r="AM9" s="2" t="n"/>
      <c r="AN9" s="2" t="n"/>
      <c r="AO9" s="2" t="n"/>
      <c r="AP9" s="2" t="n"/>
      <c r="AQ9" s="2" t="n"/>
      <c r="AR9" s="2" t="n"/>
      <c r="AS9" s="2" t="n"/>
      <c r="AT9" s="2" t="n"/>
      <c r="AU9" s="2" t="n"/>
      <c r="AV9" s="2" t="n"/>
      <c r="AW9" s="2" t="n"/>
      <c r="AX9" s="2" t="n"/>
      <c r="AY9" s="2" t="n"/>
      <c r="AZ9" s="2" t="n"/>
      <c r="BA9" s="2" t="n"/>
      <c r="BB9" s="2" t="n"/>
      <c r="BC9" s="2" t="n"/>
      <c r="BD9" s="2" t="n"/>
      <c r="BE9" s="2" t="n"/>
      <c r="BF9" s="2" t="n"/>
      <c r="BG9" s="2" t="n"/>
      <c r="BH9" s="2" t="n"/>
      <c r="BI9" s="2" t="n"/>
      <c r="BJ9" s="2" t="n"/>
      <c r="BK9" s="2" t="n"/>
      <c r="BL9" s="2" t="n"/>
      <c r="BM9" s="2" t="n"/>
      <c r="BN9" s="2" t="n"/>
      <c r="BO9" s="2" t="n"/>
      <c r="BP9" s="2" t="n"/>
      <c r="BQ9" s="2" t="n"/>
      <c r="BR9" s="2" t="n"/>
      <c r="BS9" s="2" t="n"/>
      <c r="BT9" s="2" t="n"/>
      <c r="BU9" s="2" t="n"/>
      <c r="BV9" s="2" t="n"/>
      <c r="BW9" s="2" t="n"/>
      <c r="BX9" s="2" t="n"/>
      <c r="BY9" s="2" t="n"/>
      <c r="BZ9" s="2" t="n"/>
      <c r="CA9" s="2" t="n"/>
      <c r="CB9" s="2" t="n"/>
      <c r="CC9" s="2" t="n"/>
      <c r="CD9" s="2" t="n"/>
      <c r="CE9" s="2" t="n"/>
      <c r="CF9" s="2" t="n"/>
      <c r="CG9" s="345" t="n"/>
      <c r="CH9" s="345" t="n"/>
      <c r="CI9" s="345" t="n"/>
      <c r="CJ9" s="345" t="n"/>
      <c r="CK9" s="345" t="n"/>
      <c r="CL9" s="345" t="n"/>
      <c r="CM9" s="345" t="n"/>
      <c r="CN9" s="345" t="n"/>
      <c r="CO9" s="345" t="n"/>
      <c r="CP9" s="345" t="n"/>
      <c r="CQ9" s="345" t="n"/>
      <c r="CR9" s="345" t="n"/>
      <c r="CS9" s="345" t="n"/>
      <c r="CT9" s="345" t="n"/>
      <c r="CU9" s="345" t="n"/>
      <c r="CV9" s="345" t="n"/>
      <c r="CW9" s="345" t="n"/>
      <c r="CX9" s="345" t="n"/>
      <c r="CY9" s="345" t="n"/>
      <c r="CZ9" s="345" t="n"/>
      <c r="DA9" s="345" t="n"/>
      <c r="DB9" s="345" t="n"/>
      <c r="DC9" s="345" t="n"/>
      <c r="DD9" s="345" t="n"/>
      <c r="DE9" s="345" t="n"/>
      <c r="DF9" s="345" t="n"/>
      <c r="DG9" s="390" t="n"/>
      <c r="DH9" s="345" t="n"/>
      <c r="DI9" s="350" t="n"/>
      <c r="DJ9" s="345" t="n"/>
      <c r="DK9" s="345" t="n"/>
      <c r="DL9" s="345" t="n"/>
      <c r="DM9" s="345" t="n"/>
      <c r="DN9" s="345" t="n"/>
      <c r="DO9" s="345" t="n"/>
      <c r="DP9" s="345" t="n"/>
      <c r="DQ9" s="345" t="n"/>
      <c r="DR9" s="345" t="n"/>
      <c r="DS9" s="345" t="n"/>
      <c r="DT9" s="345" t="n"/>
      <c r="DU9" s="345" t="n"/>
      <c r="DV9" s="345" t="n"/>
      <c r="DW9" s="345" t="n"/>
    </row>
    <row r="10" ht="15" customFormat="1" customHeight="1" s="196">
      <c r="A10" s="347" t="n"/>
      <c r="B10" s="828" t="inlineStr">
        <is>
          <t>2） 我们获取了与所选交易相关的记账分录。我们确认应付账款记账分录的对方科目账务处理正确‌。</t>
        </is>
      </c>
      <c r="C10" s="658" t="n"/>
      <c r="D10" s="658" t="n"/>
      <c r="E10" s="658" t="n"/>
      <c r="F10" s="659" t="n"/>
      <c r="G10" s="826" t="n"/>
      <c r="H10" s="826" t="n"/>
      <c r="I10" s="826" t="n"/>
      <c r="J10" s="826" t="n"/>
      <c r="K10" s="826" t="n"/>
      <c r="L10" s="826" t="n"/>
      <c r="M10" s="826" t="n"/>
      <c r="N10" s="826" t="n"/>
      <c r="O10" s="826" t="n"/>
      <c r="P10" s="10" t="n"/>
      <c r="Q10" s="17" t="n"/>
      <c r="R10" s="826" t="n"/>
      <c r="S10" s="826" t="n"/>
      <c r="T10" s="826" t="n"/>
      <c r="U10" s="826" t="n"/>
      <c r="V10" s="826" t="n"/>
      <c r="W10" s="826" t="n"/>
      <c r="X10" s="826" t="n"/>
      <c r="Y10" s="826" t="n"/>
      <c r="Z10" s="826" t="n"/>
      <c r="AA10" s="2" t="n"/>
      <c r="AB10" s="2" t="n"/>
      <c r="AC10" s="2" t="n"/>
      <c r="AD10" s="2" t="n"/>
      <c r="AE10" s="2" t="n"/>
      <c r="AF10" s="2" t="n"/>
      <c r="AG10" s="2" t="n"/>
      <c r="AH10" s="2" t="n"/>
      <c r="AI10" s="345" t="n"/>
      <c r="AJ10" s="345" t="n"/>
      <c r="AK10" s="345" t="n"/>
      <c r="AL10" s="2" t="n"/>
      <c r="AM10" s="2" t="n"/>
      <c r="AN10" s="2" t="n"/>
      <c r="AO10" s="2" t="n"/>
      <c r="AP10" s="2" t="n"/>
      <c r="AQ10" s="2" t="n"/>
      <c r="AR10" s="2" t="n"/>
      <c r="AS10" s="2" t="n"/>
      <c r="AT10" s="2" t="n"/>
      <c r="AU10" s="2" t="n"/>
      <c r="AV10" s="2" t="n"/>
      <c r="AW10" s="2" t="n"/>
      <c r="AX10" s="2" t="n"/>
      <c r="AY10" s="2" t="n"/>
      <c r="AZ10" s="2" t="n"/>
      <c r="BA10" s="2" t="n"/>
      <c r="BB10" s="2" t="n"/>
      <c r="BC10" s="2" t="n"/>
      <c r="BD10" s="2" t="n"/>
      <c r="BE10" s="2" t="n"/>
      <c r="BF10" s="2" t="n"/>
      <c r="BG10" s="2" t="n"/>
      <c r="BH10" s="2" t="n"/>
      <c r="BI10" s="2" t="n"/>
      <c r="BJ10" s="2" t="n"/>
      <c r="BK10" s="2" t="n"/>
      <c r="BL10" s="2" t="n"/>
      <c r="BM10" s="2" t="n"/>
      <c r="BN10" s="2" t="n"/>
      <c r="BO10" s="2" t="n"/>
      <c r="BP10" s="2" t="n"/>
      <c r="BQ10" s="2" t="n"/>
      <c r="BR10" s="2" t="n"/>
      <c r="BS10" s="2" t="n"/>
      <c r="BT10" s="2" t="n"/>
      <c r="BU10" s="2" t="n"/>
      <c r="BV10" s="2" t="n"/>
      <c r="BW10" s="2" t="n"/>
      <c r="BX10" s="2" t="n"/>
      <c r="BY10" s="2" t="n"/>
      <c r="BZ10" s="2" t="n"/>
      <c r="CA10" s="2" t="n"/>
      <c r="CB10" s="2" t="n"/>
      <c r="CC10" s="2" t="n"/>
      <c r="CD10" s="2" t="n"/>
      <c r="CE10" s="2" t="n"/>
      <c r="CF10" s="2" t="n"/>
      <c r="CG10" s="345" t="n"/>
      <c r="CH10" s="345" t="n"/>
      <c r="CI10" s="345" t="n"/>
      <c r="CJ10" s="345" t="n"/>
      <c r="CK10" s="345" t="n"/>
      <c r="CL10" s="345" t="n"/>
      <c r="CM10" s="345" t="n"/>
      <c r="CN10" s="345" t="n"/>
      <c r="CO10" s="345" t="n"/>
      <c r="CP10" s="345" t="n"/>
      <c r="CQ10" s="345" t="n"/>
      <c r="CR10" s="345" t="n"/>
      <c r="CS10" s="345" t="n"/>
      <c r="CT10" s="345" t="n"/>
      <c r="CU10" s="345" t="n"/>
      <c r="CV10" s="345" t="n"/>
      <c r="CW10" s="345" t="n"/>
      <c r="CX10" s="345" t="n"/>
      <c r="CY10" s="345" t="n"/>
      <c r="CZ10" s="345" t="n"/>
      <c r="DA10" s="345" t="n"/>
      <c r="DB10" s="345" t="n"/>
      <c r="DC10" s="345" t="n"/>
      <c r="DD10" s="345" t="n"/>
      <c r="DE10" s="345" t="n"/>
      <c r="DF10" s="345" t="n"/>
      <c r="DG10" s="390" t="n"/>
      <c r="DH10" s="345" t="n"/>
      <c r="DI10" s="350" t="n"/>
      <c r="DJ10" s="345" t="n"/>
      <c r="DK10" s="345" t="n"/>
      <c r="DL10" s="345" t="n"/>
      <c r="DM10" s="345" t="n"/>
      <c r="DN10" s="345" t="n"/>
      <c r="DO10" s="345" t="n"/>
      <c r="DP10" s="345" t="n"/>
      <c r="DQ10" s="345" t="n"/>
      <c r="DR10" s="345" t="n"/>
      <c r="DS10" s="345" t="n"/>
      <c r="DT10" s="345" t="n"/>
      <c r="DU10" s="345" t="n"/>
      <c r="DV10" s="345" t="n"/>
      <c r="DW10" s="345" t="n"/>
    </row>
    <row r="11" ht="15" customFormat="1" customHeight="1" s="196">
      <c r="A11" s="347" t="n"/>
      <c r="B11" s="829" t="inlineStr">
        <is>
          <t>3） 根据我们对支持性文件（包括记账分录）的审查，得出结论认为，所选交易在应付账款中的分类是适当的。</t>
        </is>
      </c>
      <c r="C11" s="661" t="n"/>
      <c r="D11" s="661" t="n"/>
      <c r="E11" s="661" t="n"/>
      <c r="F11" s="662" t="n"/>
      <c r="G11" s="826" t="n"/>
      <c r="H11" s="826" t="n"/>
      <c r="I11" s="826" t="n"/>
      <c r="J11" s="826" t="n"/>
      <c r="K11" s="826" t="n"/>
      <c r="L11" s="826" t="n"/>
      <c r="M11" s="826" t="n"/>
      <c r="N11" s="826" t="n"/>
      <c r="O11" s="826" t="n"/>
      <c r="P11" s="10" t="n"/>
      <c r="Q11" s="17" t="n"/>
      <c r="R11" s="826" t="n"/>
      <c r="S11" s="826" t="n"/>
      <c r="T11" s="826" t="n"/>
      <c r="U11" s="826" t="n"/>
      <c r="V11" s="826" t="n"/>
      <c r="W11" s="826" t="n"/>
      <c r="X11" s="826" t="n"/>
      <c r="Y11" s="826" t="n"/>
      <c r="Z11" s="826" t="n"/>
      <c r="AA11" s="2" t="n"/>
      <c r="AB11" s="2" t="n"/>
      <c r="AC11" s="2" t="n"/>
      <c r="AD11" s="2" t="n"/>
      <c r="AE11" s="2" t="n"/>
      <c r="AF11" s="2" t="n"/>
      <c r="AG11" s="2" t="n"/>
      <c r="AH11" s="2" t="n"/>
      <c r="AI11" s="345" t="n"/>
      <c r="AJ11" s="345" t="n"/>
      <c r="AK11" s="345" t="n"/>
      <c r="AL11" s="2" t="n"/>
      <c r="AM11" s="2" t="n"/>
      <c r="AN11" s="2" t="n"/>
      <c r="AO11" s="2" t="n"/>
      <c r="AP11" s="2" t="n"/>
      <c r="AQ11" s="2" t="n"/>
      <c r="AR11" s="2" t="n"/>
      <c r="AS11" s="2" t="n"/>
      <c r="AT11" s="2" t="n"/>
      <c r="AU11" s="2" t="n"/>
      <c r="AV11" s="2" t="n"/>
      <c r="AW11" s="2" t="n"/>
      <c r="AX11" s="2" t="n"/>
      <c r="AY11" s="2" t="n"/>
      <c r="AZ11" s="2" t="n"/>
      <c r="BA11" s="2" t="n"/>
      <c r="BB11" s="2" t="n"/>
      <c r="BC11" s="2" t="n"/>
      <c r="BD11" s="2" t="n"/>
      <c r="BE11" s="2" t="n"/>
      <c r="BF11" s="2" t="n"/>
      <c r="BG11" s="2" t="n"/>
      <c r="BH11" s="2" t="n"/>
      <c r="BI11" s="2" t="n"/>
      <c r="BJ11" s="2" t="n"/>
      <c r="BK11" s="2" t="n"/>
      <c r="BL11" s="2" t="n"/>
      <c r="BM11" s="2" t="n"/>
      <c r="BN11" s="2" t="n"/>
      <c r="BO11" s="2" t="n"/>
      <c r="BP11" s="2" t="n"/>
      <c r="BQ11" s="2" t="n"/>
      <c r="BR11" s="2" t="n"/>
      <c r="BS11" s="2" t="n"/>
      <c r="BT11" s="2" t="n"/>
      <c r="BU11" s="2" t="n"/>
      <c r="BV11" s="2" t="n"/>
      <c r="BW11" s="2" t="n"/>
      <c r="BX11" s="2" t="n"/>
      <c r="BY11" s="2" t="n"/>
      <c r="BZ11" s="2" t="n"/>
      <c r="CA11" s="2" t="n"/>
      <c r="CB11" s="2" t="n"/>
      <c r="CC11" s="2" t="n"/>
      <c r="CD11" s="2" t="n"/>
      <c r="CE11" s="2" t="n"/>
      <c r="CF11" s="2" t="n"/>
      <c r="CG11" s="345" t="n"/>
      <c r="CH11" s="345" t="n"/>
      <c r="CI11" s="345" t="n"/>
      <c r="CJ11" s="345" t="n"/>
      <c r="CK11" s="345" t="n"/>
      <c r="CL11" s="345" t="n"/>
      <c r="CM11" s="345" t="n"/>
      <c r="CN11" s="345" t="n"/>
      <c r="CO11" s="345" t="n"/>
      <c r="CP11" s="345" t="n"/>
      <c r="CQ11" s="345" t="n"/>
      <c r="CR11" s="345" t="n"/>
      <c r="CS11" s="345" t="n"/>
      <c r="CT11" s="345" t="n"/>
      <c r="CU11" s="345" t="n"/>
      <c r="CV11" s="345" t="n"/>
      <c r="CW11" s="345" t="n"/>
      <c r="CX11" s="345" t="n"/>
      <c r="CY11" s="345" t="n"/>
      <c r="CZ11" s="345" t="n"/>
      <c r="DA11" s="345" t="n"/>
      <c r="DB11" s="345" t="n"/>
      <c r="DC11" s="345" t="n"/>
      <c r="DD11" s="345" t="n"/>
      <c r="DE11" s="345" t="n"/>
      <c r="DF11" s="345" t="n"/>
      <c r="DG11" s="390" t="n"/>
      <c r="DH11" s="345" t="n"/>
      <c r="DI11" s="350" t="n"/>
      <c r="DJ11" s="345" t="n"/>
      <c r="DK11" s="345" t="n"/>
      <c r="DL11" s="345" t="n"/>
      <c r="DM11" s="345" t="n"/>
      <c r="DN11" s="345" t="n"/>
      <c r="DO11" s="345" t="n"/>
      <c r="DP11" s="345" t="n"/>
      <c r="DQ11" s="345" t="n"/>
      <c r="DR11" s="345" t="n"/>
      <c r="DS11" s="345" t="n"/>
      <c r="DT11" s="345" t="n"/>
      <c r="DU11" s="345" t="n"/>
      <c r="DV11" s="345" t="n"/>
      <c r="DW11" s="345" t="n"/>
    </row>
    <row r="12" ht="15" customFormat="1" customHeight="1" s="196">
      <c r="A12" s="347" t="n"/>
      <c r="B12" s="2" t="n"/>
      <c r="C12" s="2" t="n"/>
      <c r="D12" s="2" t="n"/>
      <c r="E12" s="2" t="n"/>
      <c r="F12" s="2" t="n"/>
      <c r="G12" s="826" t="n"/>
      <c r="H12" s="826" t="n"/>
      <c r="I12" s="826" t="n"/>
      <c r="J12" s="826" t="n"/>
      <c r="K12" s="826" t="n"/>
      <c r="L12" s="826" t="n"/>
      <c r="M12" s="826" t="n"/>
      <c r="N12" s="826" t="n"/>
      <c r="O12" s="826" t="n"/>
      <c r="P12" s="10" t="n"/>
      <c r="Q12" s="17" t="n"/>
      <c r="R12" s="826" t="n"/>
      <c r="S12" s="826" t="n"/>
      <c r="T12" s="826" t="n"/>
      <c r="U12" s="826" t="n"/>
      <c r="V12" s="826" t="n"/>
      <c r="W12" s="826" t="n"/>
      <c r="X12" s="826" t="n"/>
      <c r="Y12" s="826" t="n"/>
      <c r="Z12" s="826" t="n"/>
      <c r="AA12" s="826" t="n"/>
      <c r="AB12" s="826" t="n"/>
      <c r="AC12" s="826" t="n"/>
      <c r="AD12" s="826" t="n"/>
      <c r="AE12" s="826" t="n"/>
      <c r="AF12" s="826" t="n"/>
      <c r="AG12" s="2" t="n"/>
      <c r="AH12" s="2" t="n"/>
      <c r="AI12" s="2" t="n"/>
      <c r="AJ12" s="2" t="n"/>
      <c r="AK12" s="2" t="n"/>
      <c r="AL12" s="2" t="n"/>
      <c r="AM12" s="2" t="n"/>
      <c r="AN12" s="2" t="n"/>
      <c r="AO12" s="345" t="n"/>
      <c r="AP12" s="345" t="n"/>
      <c r="AQ12" s="345" t="n"/>
      <c r="AR12" s="2" t="n"/>
      <c r="AS12" s="2" t="n"/>
      <c r="AT12" s="2" t="n"/>
      <c r="AU12" s="2" t="n"/>
      <c r="AV12" s="2" t="n"/>
      <c r="AW12" s="2" t="n"/>
      <c r="AX12" s="2" t="n"/>
      <c r="AY12" s="2" t="n"/>
      <c r="AZ12" s="2" t="n"/>
      <c r="BA12" s="2" t="n"/>
      <c r="BB12" s="2" t="n"/>
      <c r="BC12" s="2" t="n"/>
      <c r="BD12" s="2" t="n"/>
      <c r="BE12" s="2" t="n"/>
      <c r="BF12" s="2" t="n"/>
      <c r="BG12" s="2" t="n"/>
      <c r="BH12" s="2" t="n"/>
      <c r="BI12" s="2" t="n"/>
      <c r="BJ12" s="2" t="n"/>
      <c r="BK12" s="2" t="n"/>
      <c r="BL12" s="2" t="n"/>
      <c r="BM12" s="2" t="n"/>
      <c r="BN12" s="2" t="n"/>
      <c r="BO12" s="2" t="n"/>
      <c r="BP12" s="2" t="n"/>
      <c r="BQ12" s="2" t="n"/>
      <c r="BR12" s="2" t="n"/>
      <c r="BS12" s="2" t="n"/>
      <c r="BT12" s="2" t="n"/>
      <c r="BU12" s="2" t="n"/>
      <c r="BV12" s="2" t="n"/>
      <c r="BW12" s="2" t="n"/>
      <c r="BX12" s="2" t="n"/>
      <c r="BY12" s="2" t="n"/>
      <c r="BZ12" s="2" t="n"/>
      <c r="CA12" s="2" t="n"/>
      <c r="CB12" s="2" t="n"/>
      <c r="CC12" s="2" t="n"/>
      <c r="CD12" s="2" t="n"/>
      <c r="CE12" s="2" t="n"/>
      <c r="CF12" s="2" t="n"/>
      <c r="CG12" s="2" t="n"/>
      <c r="CH12" s="2" t="n"/>
      <c r="CI12" s="2" t="n"/>
      <c r="CJ12" s="2" t="n"/>
      <c r="CK12" s="2" t="n"/>
      <c r="CL12" s="2" t="n"/>
      <c r="CM12" s="345" t="n"/>
      <c r="CN12" s="345" t="n"/>
      <c r="CO12" s="345" t="n"/>
      <c r="CP12" s="345" t="n"/>
      <c r="CQ12" s="345" t="n"/>
      <c r="CR12" s="345" t="n"/>
      <c r="CS12" s="345" t="n"/>
      <c r="CT12" s="345" t="n"/>
      <c r="CU12" s="345" t="n"/>
      <c r="CV12" s="345" t="n"/>
      <c r="CW12" s="345" t="n"/>
      <c r="CX12" s="345" t="n"/>
      <c r="CY12" s="345" t="n"/>
      <c r="CZ12" s="345" t="n"/>
      <c r="DA12" s="345" t="n"/>
      <c r="DB12" s="345" t="n"/>
      <c r="DC12" s="345" t="n"/>
      <c r="DD12" s="345" t="n"/>
      <c r="DE12" s="345" t="n"/>
      <c r="DF12" s="345" t="n"/>
      <c r="DG12" s="345" t="n"/>
      <c r="DH12" s="345" t="n"/>
      <c r="DI12" s="345" t="n"/>
      <c r="DJ12" s="345" t="n"/>
      <c r="DK12" s="345" t="n"/>
      <c r="DL12" s="345" t="n"/>
      <c r="DM12" s="390" t="n"/>
      <c r="DN12" s="345" t="n"/>
      <c r="DO12" s="350" t="n"/>
      <c r="DP12" s="345" t="n"/>
      <c r="DQ12" s="345" t="n"/>
      <c r="DR12" s="345" t="n"/>
      <c r="DS12" s="345" t="n"/>
      <c r="DT12" s="345" t="n"/>
      <c r="DU12" s="345" t="n"/>
      <c r="DV12" s="345" t="n"/>
      <c r="DW12" s="345" t="n"/>
    </row>
    <row r="13" ht="20.45" customFormat="1" customHeight="1" s="196">
      <c r="A13" s="347" t="n"/>
      <c r="B13" s="352" t="inlineStr">
        <is>
          <t>借方余额测试</t>
        </is>
      </c>
      <c r="C13" s="353" t="n"/>
      <c r="D13" s="353" t="n"/>
      <c r="E13" s="353" t="n"/>
      <c r="F13" s="353" t="n"/>
      <c r="G13" s="830" t="n"/>
      <c r="H13" s="830" t="n"/>
      <c r="I13" s="830" t="n"/>
      <c r="J13" s="830" t="n"/>
      <c r="K13" s="830" t="n"/>
      <c r="L13" s="830" t="n"/>
      <c r="M13" s="830" t="n"/>
      <c r="N13" s="830" t="n"/>
      <c r="O13" s="830" t="n"/>
      <c r="P13" s="10" t="n"/>
      <c r="Q13" s="17" t="n"/>
      <c r="R13" s="826" t="n"/>
      <c r="S13" s="826" t="n"/>
      <c r="T13" s="826" t="n"/>
      <c r="U13" s="826" t="n"/>
      <c r="V13" s="826" t="n"/>
      <c r="W13" s="826" t="n"/>
      <c r="X13" s="826" t="n"/>
      <c r="Y13" s="826" t="n"/>
      <c r="Z13" s="826" t="n"/>
      <c r="AA13" s="826" t="n"/>
      <c r="AB13" s="826" t="n"/>
      <c r="AC13" s="826" t="n"/>
      <c r="AD13" s="826" t="n"/>
      <c r="AE13" s="826" t="n"/>
      <c r="AF13" s="826" t="n"/>
      <c r="AG13" s="826" t="n"/>
      <c r="AH13" s="826" t="n"/>
      <c r="AI13" s="826" t="n"/>
      <c r="AJ13" s="826" t="n"/>
      <c r="AK13" s="826" t="n"/>
      <c r="AL13" s="2" t="n"/>
      <c r="AM13" s="2" t="n"/>
      <c r="AN13" s="2" t="n"/>
      <c r="AO13" s="2" t="n"/>
      <c r="AP13" s="2" t="n"/>
      <c r="AQ13" s="2" t="n"/>
      <c r="AR13" s="2" t="n"/>
      <c r="AS13" s="2" t="n"/>
      <c r="AT13" s="345" t="n"/>
      <c r="AU13" s="345" t="n"/>
      <c r="AV13" s="345" t="n"/>
      <c r="AW13" s="2" t="n"/>
      <c r="AX13" s="2" t="n"/>
      <c r="AY13" s="2" t="n"/>
      <c r="AZ13" s="2" t="n"/>
      <c r="BA13" s="2" t="n"/>
      <c r="BB13" s="2" t="n"/>
      <c r="BC13" s="2" t="n"/>
      <c r="BD13" s="2" t="n"/>
      <c r="BE13" s="2" t="n"/>
      <c r="BF13" s="2" t="n"/>
      <c r="BG13" s="2" t="n"/>
      <c r="BH13" s="2" t="n"/>
      <c r="BI13" s="2" t="n"/>
      <c r="BJ13" s="2" t="n"/>
      <c r="BK13" s="2" t="n"/>
      <c r="BL13" s="2" t="n"/>
      <c r="BM13" s="2" t="n"/>
      <c r="BN13" s="2" t="n"/>
      <c r="BO13" s="2" t="n"/>
      <c r="BP13" s="2" t="n"/>
      <c r="BQ13" s="2" t="n"/>
      <c r="BR13" s="2" t="n"/>
      <c r="BS13" s="2" t="n"/>
      <c r="BT13" s="2" t="n"/>
      <c r="BU13" s="2" t="n"/>
      <c r="BV13" s="2" t="n"/>
      <c r="BW13" s="2" t="n"/>
      <c r="BX13" s="2" t="n"/>
      <c r="BY13" s="2" t="n"/>
      <c r="BZ13" s="2" t="n"/>
      <c r="CA13" s="2" t="n"/>
      <c r="CB13" s="2" t="n"/>
      <c r="CC13" s="2" t="n"/>
      <c r="CD13" s="2" t="n"/>
      <c r="CE13" s="2" t="n"/>
      <c r="CF13" s="2" t="n"/>
      <c r="CG13" s="2" t="n"/>
      <c r="CH13" s="2" t="n"/>
      <c r="CI13" s="2" t="n"/>
      <c r="CJ13" s="2" t="n"/>
      <c r="CK13" s="2" t="n"/>
      <c r="CL13" s="2" t="n"/>
      <c r="CM13" s="2" t="n"/>
      <c r="CN13" s="2" t="n"/>
      <c r="CO13" s="2" t="n"/>
      <c r="CP13" s="2" t="n"/>
      <c r="CQ13" s="2" t="n"/>
      <c r="CR13" s="345" t="n"/>
      <c r="CS13" s="345" t="n"/>
      <c r="CT13" s="345" t="n"/>
      <c r="CU13" s="345" t="n"/>
      <c r="CV13" s="345" t="n"/>
      <c r="CW13" s="345" t="n"/>
      <c r="CX13" s="345" t="n"/>
      <c r="CY13" s="345" t="n"/>
      <c r="CZ13" s="345" t="n"/>
      <c r="DA13" s="345" t="n"/>
      <c r="DB13" s="345" t="n"/>
      <c r="DC13" s="345" t="n"/>
      <c r="DD13" s="345" t="n"/>
      <c r="DE13" s="345" t="n"/>
      <c r="DF13" s="345" t="n"/>
      <c r="DG13" s="345" t="n"/>
      <c r="DH13" s="345" t="n"/>
      <c r="DI13" s="345" t="n"/>
      <c r="DJ13" s="345" t="n"/>
      <c r="DK13" s="345" t="n"/>
      <c r="DL13" s="345" t="n"/>
      <c r="DM13" s="345" t="n"/>
      <c r="DN13" s="345" t="n"/>
      <c r="DO13" s="345" t="n"/>
      <c r="DP13" s="345" t="n"/>
      <c r="DQ13" s="345" t="n"/>
      <c r="DR13" s="390" t="n"/>
      <c r="DS13" s="345" t="n"/>
      <c r="DT13" s="350" t="n"/>
      <c r="DU13" s="345" t="n"/>
      <c r="DV13" s="345" t="n"/>
      <c r="DW13" s="345" t="n"/>
    </row>
    <row r="14" ht="15" customFormat="1" customHeight="1" s="196">
      <c r="A14" s="347" t="n"/>
      <c r="B14" s="596" t="inlineStr">
        <is>
          <t>表1 我们获取了N.01.01明细账BKD中期末余额为借方的供应商，对（单独或合计）大于测试阈值的借方余额，检查了对应的支持文件，确认是否需要进行重分类。</t>
        </is>
      </c>
      <c r="G14" s="826" t="n"/>
      <c r="H14" s="826" t="n"/>
      <c r="I14" s="826" t="n"/>
      <c r="J14" s="826" t="n"/>
      <c r="K14" s="826" t="n"/>
      <c r="L14" s="826" t="n"/>
      <c r="M14" s="826" t="n"/>
      <c r="N14" s="826" t="n"/>
      <c r="O14" s="826" t="n"/>
      <c r="P14" s="10" t="n"/>
      <c r="Q14" s="17" t="n"/>
      <c r="R14" s="826" t="n"/>
      <c r="S14" s="826" t="n"/>
      <c r="T14" s="826" t="n"/>
      <c r="U14" s="826" t="n"/>
      <c r="V14" s="826" t="n"/>
      <c r="W14" s="826" t="n"/>
      <c r="X14" s="826" t="n"/>
      <c r="Y14" s="826" t="n"/>
      <c r="Z14" s="826" t="n"/>
      <c r="AA14" s="826" t="n"/>
      <c r="AB14" s="826" t="n"/>
      <c r="AC14" s="826" t="n"/>
      <c r="AD14" s="826" t="n"/>
      <c r="AE14" s="826" t="n"/>
      <c r="AF14" s="826" t="n"/>
      <c r="AG14" s="826" t="n"/>
      <c r="AH14" s="826" t="n"/>
      <c r="AI14" s="826" t="n"/>
      <c r="AJ14" s="826" t="n"/>
      <c r="AK14" s="826" t="n"/>
      <c r="AL14" s="2" t="n"/>
      <c r="AM14" s="2" t="n"/>
      <c r="AN14" s="2" t="n"/>
      <c r="AO14" s="2" t="n"/>
      <c r="AP14" s="2" t="n"/>
      <c r="AQ14" s="2" t="n"/>
      <c r="AR14" s="2" t="n"/>
      <c r="AS14" s="2" t="n"/>
      <c r="AT14" s="345" t="n"/>
      <c r="AU14" s="345" t="n"/>
      <c r="AV14" s="345" t="n"/>
      <c r="AW14" s="2" t="n"/>
      <c r="AX14" s="2" t="n"/>
      <c r="AY14" s="2" t="n"/>
      <c r="AZ14" s="2" t="n"/>
      <c r="BA14" s="2" t="n"/>
      <c r="BB14" s="2" t="n"/>
      <c r="BC14" s="2" t="n"/>
      <c r="BD14" s="2" t="n"/>
      <c r="BE14" s="2" t="n"/>
      <c r="BF14" s="2" t="n"/>
      <c r="BG14" s="2" t="n"/>
      <c r="BH14" s="2" t="n"/>
      <c r="BI14" s="2" t="n"/>
      <c r="BJ14" s="2" t="n"/>
      <c r="BK14" s="2" t="n"/>
      <c r="BL14" s="2" t="n"/>
      <c r="BM14" s="2" t="n"/>
      <c r="BN14" s="2" t="n"/>
      <c r="BO14" s="2" t="n"/>
      <c r="BP14" s="2" t="n"/>
      <c r="BQ14" s="2" t="n"/>
      <c r="BR14" s="2" t="n"/>
      <c r="BS14" s="2" t="n"/>
      <c r="BT14" s="2" t="n"/>
      <c r="BU14" s="2" t="n"/>
      <c r="BV14" s="2" t="n"/>
      <c r="BW14" s="2" t="n"/>
      <c r="BX14" s="2" t="n"/>
      <c r="BY14" s="2" t="n"/>
      <c r="BZ14" s="2" t="n"/>
      <c r="CA14" s="2" t="n"/>
      <c r="CB14" s="2" t="n"/>
      <c r="CC14" s="2" t="n"/>
      <c r="CD14" s="2" t="n"/>
      <c r="CE14" s="2" t="n"/>
      <c r="CF14" s="2" t="n"/>
      <c r="CG14" s="2" t="n"/>
      <c r="CH14" s="2" t="n"/>
      <c r="CI14" s="2" t="n"/>
      <c r="CJ14" s="2" t="n"/>
      <c r="CK14" s="2" t="n"/>
      <c r="CL14" s="2" t="n"/>
      <c r="CM14" s="2" t="n"/>
      <c r="CN14" s="2" t="n"/>
      <c r="CO14" s="2" t="n"/>
      <c r="CP14" s="2" t="n"/>
      <c r="CQ14" s="2" t="n"/>
      <c r="CR14" s="345" t="n"/>
      <c r="CS14" s="345" t="n"/>
      <c r="CT14" s="345" t="n"/>
      <c r="CU14" s="345" t="n"/>
      <c r="CV14" s="345" t="n"/>
      <c r="CW14" s="345" t="n"/>
      <c r="CX14" s="345" t="n"/>
      <c r="CY14" s="345" t="n"/>
      <c r="CZ14" s="345" t="n"/>
      <c r="DA14" s="345" t="n"/>
      <c r="DB14" s="345" t="n"/>
      <c r="DC14" s="345" t="n"/>
      <c r="DD14" s="345" t="n"/>
      <c r="DE14" s="345" t="n"/>
      <c r="DF14" s="345" t="n"/>
      <c r="DG14" s="345" t="n"/>
      <c r="DH14" s="345" t="n"/>
      <c r="DI14" s="345" t="n"/>
      <c r="DJ14" s="345" t="n"/>
      <c r="DK14" s="345" t="n"/>
      <c r="DL14" s="345" t="n"/>
      <c r="DM14" s="345" t="n"/>
      <c r="DN14" s="345" t="n"/>
      <c r="DO14" s="345" t="n"/>
      <c r="DP14" s="345" t="n"/>
      <c r="DQ14" s="345" t="n"/>
      <c r="DR14" s="390" t="n"/>
      <c r="DS14" s="345" t="n"/>
      <c r="DT14" s="350" t="n"/>
      <c r="DU14" s="345" t="n"/>
      <c r="DV14" s="345" t="n"/>
      <c r="DW14" s="345" t="n"/>
    </row>
    <row r="15" ht="31.5" customFormat="1" customHeight="1" s="196">
      <c r="A15" s="347" t="n"/>
      <c r="G15" s="826" t="n"/>
      <c r="H15" s="826" t="n"/>
      <c r="I15" s="826" t="n"/>
      <c r="J15" s="826" t="n"/>
      <c r="K15" s="826" t="n"/>
      <c r="L15" s="826" t="n"/>
      <c r="M15" s="826" t="n"/>
      <c r="N15" s="826" t="n"/>
      <c r="O15" s="826" t="n"/>
      <c r="P15" s="10" t="n"/>
      <c r="Q15" s="17" t="n"/>
      <c r="R15" s="826" t="n"/>
      <c r="S15" s="826" t="n"/>
      <c r="T15" s="826" t="n"/>
      <c r="U15" s="826" t="n"/>
      <c r="V15" s="826" t="n"/>
      <c r="W15" s="826" t="n"/>
      <c r="X15" s="826" t="n"/>
      <c r="Y15" s="826" t="n"/>
      <c r="Z15" s="826" t="n"/>
      <c r="AA15" s="826" t="n"/>
      <c r="AB15" s="826" t="n"/>
      <c r="AC15" s="826" t="n"/>
      <c r="AD15" s="826" t="n"/>
      <c r="AE15" s="826" t="n"/>
      <c r="AF15" s="826" t="n"/>
      <c r="AG15" s="826" t="n"/>
      <c r="AH15" s="826" t="n"/>
      <c r="AI15" s="826" t="n"/>
      <c r="AJ15" s="826" t="n"/>
      <c r="AK15" s="826" t="n"/>
      <c r="AL15" s="2" t="n"/>
      <c r="AM15" s="2" t="n"/>
      <c r="AN15" s="2" t="n"/>
      <c r="AO15" s="2" t="n"/>
      <c r="AP15" s="2" t="n"/>
      <c r="AQ15" s="2" t="n"/>
      <c r="AR15" s="2" t="n"/>
      <c r="AS15" s="2" t="n"/>
      <c r="AT15" s="345" t="n"/>
      <c r="AU15" s="345" t="n"/>
      <c r="AV15" s="345" t="n"/>
      <c r="AW15" s="2" t="n"/>
      <c r="AX15" s="2" t="n"/>
      <c r="AY15" s="2" t="n"/>
      <c r="AZ15" s="2" t="n"/>
      <c r="BA15" s="2" t="n"/>
      <c r="BB15" s="2" t="n"/>
      <c r="BC15" s="2" t="n"/>
      <c r="BD15" s="2" t="n"/>
      <c r="BE15" s="2" t="n"/>
      <c r="BF15" s="2" t="n"/>
      <c r="BG15" s="2" t="n"/>
      <c r="BH15" s="2" t="n"/>
      <c r="BI15" s="2" t="n"/>
      <c r="BJ15" s="2" t="n"/>
      <c r="BK15" s="2" t="n"/>
      <c r="BL15" s="2" t="n"/>
      <c r="BM15" s="2" t="n"/>
      <c r="BN15" s="2" t="n"/>
      <c r="BO15" s="2" t="n"/>
      <c r="BP15" s="2" t="n"/>
      <c r="BQ15" s="2" t="n"/>
      <c r="BR15" s="2" t="n"/>
      <c r="BS15" s="2" t="n"/>
      <c r="BT15" s="2" t="n"/>
      <c r="BU15" s="2" t="n"/>
      <c r="BV15" s="2" t="n"/>
      <c r="BW15" s="2" t="n"/>
      <c r="BX15" s="2" t="n"/>
      <c r="BY15" s="2" t="n"/>
      <c r="BZ15" s="2" t="n"/>
      <c r="CA15" s="2" t="n"/>
      <c r="CB15" s="2" t="n"/>
      <c r="CC15" s="2" t="n"/>
      <c r="CD15" s="2" t="n"/>
      <c r="CE15" s="2" t="n"/>
      <c r="CF15" s="2" t="n"/>
      <c r="CG15" s="2" t="n"/>
      <c r="CH15" s="2" t="n"/>
      <c r="CI15" s="2" t="n"/>
      <c r="CJ15" s="2" t="n"/>
      <c r="CK15" s="2" t="n"/>
      <c r="CL15" s="2" t="n"/>
      <c r="CM15" s="2" t="n"/>
      <c r="CN15" s="2" t="n"/>
      <c r="CO15" s="2" t="n"/>
      <c r="CP15" s="2" t="n"/>
      <c r="CQ15" s="2" t="n"/>
      <c r="CR15" s="345" t="n"/>
      <c r="CS15" s="345" t="n"/>
      <c r="CT15" s="345" t="n"/>
      <c r="CU15" s="345" t="n"/>
      <c r="CV15" s="345" t="n"/>
      <c r="CW15" s="345" t="n"/>
      <c r="CX15" s="345" t="n"/>
      <c r="CY15" s="345" t="n"/>
      <c r="CZ15" s="345" t="n"/>
      <c r="DA15" s="345" t="n"/>
      <c r="DB15" s="345" t="n"/>
      <c r="DC15" s="345" t="n"/>
      <c r="DD15" s="345" t="n"/>
      <c r="DE15" s="345" t="n"/>
      <c r="DF15" s="345" t="n"/>
      <c r="DG15" s="345" t="n"/>
      <c r="DH15" s="345" t="n"/>
      <c r="DI15" s="345" t="n"/>
      <c r="DJ15" s="345" t="n"/>
      <c r="DK15" s="345" t="n"/>
      <c r="DL15" s="345" t="n"/>
      <c r="DM15" s="345" t="n"/>
      <c r="DN15" s="345" t="n"/>
      <c r="DO15" s="345" t="n"/>
      <c r="DP15" s="345" t="n"/>
      <c r="DQ15" s="345" t="n"/>
      <c r="DR15" s="390" t="n"/>
      <c r="DS15" s="345" t="n"/>
      <c r="DT15" s="350" t="n"/>
      <c r="DU15" s="345" t="n"/>
      <c r="DV15" s="345" t="n"/>
      <c r="DW15" s="345" t="n"/>
    </row>
    <row r="16" ht="15" customFormat="1" customHeight="1" s="196">
      <c r="A16" s="347" t="n"/>
      <c r="B16" s="355" t="inlineStr">
        <is>
          <t>借项期末余额合计</t>
        </is>
      </c>
      <c r="C16" s="831" t="n"/>
      <c r="D16" s="356" t="n"/>
      <c r="E16" s="163" t="n"/>
      <c r="F16" s="357" t="n"/>
      <c r="G16" s="345" t="n"/>
      <c r="H16" s="345" t="n"/>
      <c r="I16" s="345" t="n"/>
      <c r="J16" s="345" t="n"/>
      <c r="K16" s="345" t="n"/>
      <c r="L16" s="345" t="n"/>
      <c r="M16" s="345" t="n"/>
      <c r="N16" s="345" t="n"/>
      <c r="O16" s="345" t="n"/>
      <c r="P16" s="10" t="n"/>
      <c r="Q16" s="17" t="n"/>
      <c r="R16" s="826" t="n"/>
      <c r="S16" s="826" t="n"/>
      <c r="T16" s="826" t="n"/>
      <c r="U16" s="826" t="n"/>
      <c r="V16" s="826" t="n"/>
      <c r="W16" s="826" t="n"/>
      <c r="X16" s="826" t="n"/>
      <c r="Y16" s="826" t="n"/>
      <c r="Z16" s="826" t="n"/>
      <c r="AA16" s="826" t="n"/>
      <c r="AB16" s="826" t="n"/>
      <c r="AC16" s="826" t="n"/>
      <c r="AD16" s="826" t="n"/>
      <c r="AE16" s="826" t="n"/>
      <c r="AF16" s="826" t="n"/>
      <c r="AG16" s="826" t="n"/>
      <c r="AH16" s="826" t="n"/>
      <c r="AI16" s="826" t="n"/>
      <c r="AJ16" s="826" t="n"/>
      <c r="AK16" s="826" t="n"/>
      <c r="AL16" s="2" t="n"/>
      <c r="AM16" s="2" t="n"/>
      <c r="AN16" s="2" t="n"/>
      <c r="AO16" s="2" t="n"/>
      <c r="AP16" s="2" t="n"/>
      <c r="AQ16" s="2" t="n"/>
      <c r="AR16" s="2" t="n"/>
      <c r="AS16" s="2" t="n"/>
      <c r="AT16" s="345" t="n"/>
      <c r="AU16" s="345" t="n"/>
      <c r="AV16" s="345" t="n"/>
      <c r="AW16" s="2" t="n"/>
      <c r="AX16" s="2" t="n"/>
      <c r="AY16" s="2" t="n"/>
      <c r="AZ16" s="2" t="n"/>
      <c r="BA16" s="2" t="n"/>
      <c r="BB16" s="2" t="n"/>
      <c r="BC16" s="2" t="n"/>
      <c r="BD16" s="2" t="n"/>
      <c r="BE16" s="2" t="n"/>
      <c r="BF16" s="2" t="n"/>
      <c r="BG16" s="2" t="n"/>
      <c r="BH16" s="2" t="n"/>
      <c r="BI16" s="2" t="n"/>
      <c r="BJ16" s="2" t="n"/>
      <c r="BK16" s="2" t="n"/>
      <c r="BL16" s="2" t="n"/>
      <c r="BM16" s="2" t="n"/>
      <c r="BN16" s="2" t="n"/>
      <c r="BO16" s="2" t="n"/>
      <c r="BP16" s="2" t="n"/>
      <c r="BQ16" s="2" t="n"/>
      <c r="BR16" s="2" t="n"/>
      <c r="BS16" s="2" t="n"/>
      <c r="BT16" s="2" t="n"/>
      <c r="BU16" s="2" t="n"/>
      <c r="BV16" s="2" t="n"/>
      <c r="BW16" s="2" t="n"/>
      <c r="BX16" s="2" t="n"/>
      <c r="BY16" s="2" t="n"/>
      <c r="BZ16" s="2" t="n"/>
      <c r="CA16" s="2" t="n"/>
      <c r="CB16" s="2" t="n"/>
      <c r="CC16" s="2" t="n"/>
      <c r="CD16" s="2" t="n"/>
      <c r="CE16" s="2" t="n"/>
      <c r="CF16" s="2" t="n"/>
      <c r="CG16" s="2" t="n"/>
      <c r="CH16" s="2" t="n"/>
      <c r="CI16" s="2" t="n"/>
      <c r="CJ16" s="2" t="n"/>
      <c r="CK16" s="2" t="n"/>
      <c r="CL16" s="2" t="n"/>
      <c r="CM16" s="2" t="n"/>
      <c r="CN16" s="2" t="n"/>
      <c r="CO16" s="2" t="n"/>
      <c r="CP16" s="2" t="n"/>
      <c r="CQ16" s="2" t="n"/>
      <c r="CR16" s="345" t="n"/>
      <c r="CS16" s="345" t="n"/>
      <c r="CT16" s="345" t="n"/>
      <c r="CU16" s="345" t="n"/>
      <c r="CV16" s="345" t="n"/>
      <c r="CW16" s="345" t="n"/>
      <c r="CX16" s="345" t="n"/>
      <c r="CY16" s="345" t="n"/>
      <c r="CZ16" s="345" t="n"/>
      <c r="DA16" s="345" t="n"/>
      <c r="DB16" s="345" t="n"/>
      <c r="DC16" s="345" t="n"/>
      <c r="DD16" s="345" t="n"/>
      <c r="DE16" s="345" t="n"/>
      <c r="DF16" s="345" t="n"/>
      <c r="DG16" s="345" t="n"/>
      <c r="DH16" s="345" t="n"/>
      <c r="DI16" s="345" t="n"/>
      <c r="DJ16" s="345" t="n"/>
      <c r="DK16" s="345" t="n"/>
      <c r="DL16" s="345" t="n"/>
      <c r="DM16" s="345" t="n"/>
      <c r="DN16" s="345" t="n"/>
      <c r="DO16" s="345" t="n"/>
      <c r="DP16" s="345" t="n"/>
      <c r="DQ16" s="345" t="n"/>
      <c r="DR16" s="390" t="n"/>
      <c r="DS16" s="345" t="n"/>
      <c r="DT16" s="350" t="n"/>
      <c r="DU16" s="345" t="n"/>
      <c r="DV16" s="345" t="n"/>
      <c r="DW16" s="345" t="n"/>
    </row>
    <row r="17" ht="15" customFormat="1" customHeight="1" s="196">
      <c r="A17" s="347" t="n"/>
      <c r="B17" s="358" t="inlineStr">
        <is>
          <t>是否执行借方余额测试</t>
        </is>
      </c>
      <c r="C17" s="359">
        <f>IF(C16&gt;'N.00 Lead sheet'!$E$15,"是","否")</f>
        <v/>
      </c>
      <c r="D17" s="164" t="n"/>
      <c r="E17" s="2" t="n"/>
      <c r="F17" s="360" t="n"/>
      <c r="G17" s="345" t="n"/>
      <c r="H17" s="345" t="n"/>
      <c r="I17" s="345" t="n"/>
      <c r="J17" s="345" t="n"/>
      <c r="K17" s="345" t="n"/>
      <c r="L17" s="345" t="n"/>
      <c r="M17" s="345" t="n"/>
      <c r="N17" s="345" t="n"/>
      <c r="O17" s="345" t="n"/>
      <c r="P17" s="10" t="n"/>
      <c r="Q17" s="17" t="n"/>
      <c r="R17" s="826" t="n"/>
      <c r="S17" s="826" t="n"/>
      <c r="T17" s="826" t="n"/>
      <c r="U17" s="826" t="n"/>
      <c r="V17" s="826" t="n"/>
      <c r="W17" s="826" t="n"/>
      <c r="X17" s="826" t="n"/>
      <c r="Y17" s="826" t="n"/>
      <c r="Z17" s="826" t="n"/>
      <c r="AA17" s="826" t="n"/>
      <c r="AB17" s="826" t="n"/>
      <c r="AC17" s="826" t="n"/>
      <c r="AD17" s="826" t="n"/>
      <c r="AE17" s="826" t="n"/>
      <c r="AF17" s="826" t="n"/>
      <c r="AG17" s="826" t="n"/>
      <c r="AH17" s="826" t="n"/>
      <c r="AI17" s="826" t="n"/>
      <c r="AJ17" s="826" t="n"/>
      <c r="AK17" s="826" t="n"/>
      <c r="AL17" s="2" t="n"/>
      <c r="AM17" s="2" t="n"/>
      <c r="AN17" s="2" t="n"/>
      <c r="AO17" s="2" t="n"/>
      <c r="AP17" s="2" t="n"/>
      <c r="AQ17" s="2" t="n"/>
      <c r="AR17" s="2" t="n"/>
      <c r="AS17" s="2" t="n"/>
      <c r="AT17" s="345" t="n"/>
      <c r="AU17" s="345" t="n"/>
      <c r="AV17" s="345" t="n"/>
      <c r="AW17" s="2" t="n"/>
      <c r="AX17" s="2" t="n"/>
      <c r="AY17" s="2" t="n"/>
      <c r="AZ17" s="2" t="n"/>
      <c r="BA17" s="2" t="n"/>
      <c r="BB17" s="2" t="n"/>
      <c r="BC17" s="2" t="n"/>
      <c r="BD17" s="2" t="n"/>
      <c r="BE17" s="2" t="n"/>
      <c r="BF17" s="2" t="n"/>
      <c r="BG17" s="2" t="n"/>
      <c r="BH17" s="2" t="n"/>
      <c r="BI17" s="2" t="n"/>
      <c r="BJ17" s="2" t="n"/>
      <c r="BK17" s="2" t="n"/>
      <c r="BL17" s="2" t="n"/>
      <c r="BM17" s="2" t="n"/>
      <c r="BN17" s="2" t="n"/>
      <c r="BO17" s="2" t="n"/>
      <c r="BP17" s="2" t="n"/>
      <c r="BQ17" s="2" t="n"/>
      <c r="BR17" s="2" t="n"/>
      <c r="BS17" s="2" t="n"/>
      <c r="BT17" s="2" t="n"/>
      <c r="BU17" s="2" t="n"/>
      <c r="BV17" s="2" t="n"/>
      <c r="BW17" s="2" t="n"/>
      <c r="BX17" s="2" t="n"/>
      <c r="BY17" s="2" t="n"/>
      <c r="BZ17" s="2" t="n"/>
      <c r="CA17" s="2" t="n"/>
      <c r="CB17" s="2" t="n"/>
      <c r="CC17" s="2" t="n"/>
      <c r="CD17" s="2" t="n"/>
      <c r="CE17" s="2" t="n"/>
      <c r="CF17" s="2" t="n"/>
      <c r="CG17" s="2" t="n"/>
      <c r="CH17" s="2" t="n"/>
      <c r="CI17" s="2" t="n"/>
      <c r="CJ17" s="2" t="n"/>
      <c r="CK17" s="2" t="n"/>
      <c r="CL17" s="2" t="n"/>
      <c r="CM17" s="2" t="n"/>
      <c r="CN17" s="2" t="n"/>
      <c r="CO17" s="2" t="n"/>
      <c r="CP17" s="2" t="n"/>
      <c r="CQ17" s="2" t="n"/>
      <c r="CR17" s="345" t="n"/>
      <c r="CS17" s="345" t="n"/>
      <c r="CT17" s="345" t="n"/>
      <c r="CU17" s="345" t="n"/>
      <c r="CV17" s="345" t="n"/>
      <c r="CW17" s="345" t="n"/>
      <c r="CX17" s="345" t="n"/>
      <c r="CY17" s="345" t="n"/>
      <c r="CZ17" s="345" t="n"/>
      <c r="DA17" s="345" t="n"/>
      <c r="DB17" s="345" t="n"/>
      <c r="DC17" s="345" t="n"/>
      <c r="DD17" s="345" t="n"/>
      <c r="DE17" s="345" t="n"/>
      <c r="DF17" s="345" t="n"/>
      <c r="DG17" s="345" t="n"/>
      <c r="DH17" s="345" t="n"/>
      <c r="DI17" s="345" t="n"/>
      <c r="DJ17" s="345" t="n"/>
      <c r="DK17" s="345" t="n"/>
      <c r="DL17" s="345" t="n"/>
      <c r="DM17" s="345" t="n"/>
      <c r="DN17" s="345" t="n"/>
      <c r="DO17" s="345" t="n"/>
      <c r="DP17" s="345" t="n"/>
      <c r="DQ17" s="345" t="n"/>
      <c r="DR17" s="390" t="n"/>
      <c r="DS17" s="345" t="n"/>
      <c r="DT17" s="350" t="n"/>
    </row>
    <row r="18" ht="15" customFormat="1" customHeight="1" s="196">
      <c r="A18" s="347" t="n"/>
      <c r="B18" s="361" t="inlineStr">
        <is>
          <t>是否调整</t>
        </is>
      </c>
      <c r="C18" s="362">
        <f>IF(C16&gt;'N.00 Lead sheet'!$C$6,"是","否")</f>
        <v/>
      </c>
      <c r="D18" s="363" t="n"/>
      <c r="E18" s="165" t="n"/>
      <c r="F18" s="166" t="n"/>
      <c r="G18" s="345" t="n"/>
      <c r="H18" s="345" t="n"/>
      <c r="I18" s="345" t="n"/>
      <c r="J18" s="345" t="n"/>
      <c r="K18" s="345" t="n"/>
      <c r="L18" s="345" t="n"/>
      <c r="M18" s="345" t="n"/>
      <c r="N18" s="345" t="n"/>
      <c r="O18" s="345" t="n"/>
      <c r="P18" s="10" t="n"/>
      <c r="Q18" s="17" t="n"/>
      <c r="R18" s="826" t="n"/>
      <c r="S18" s="826" t="n"/>
      <c r="T18" s="826" t="n"/>
      <c r="U18" s="826" t="n"/>
      <c r="V18" s="826" t="n"/>
      <c r="W18" s="826" t="n"/>
      <c r="X18" s="826" t="n"/>
      <c r="Y18" s="826" t="n"/>
      <c r="Z18" s="826" t="n"/>
      <c r="AA18" s="826" t="n"/>
      <c r="AB18" s="826" t="n"/>
      <c r="AC18" s="826" t="n"/>
      <c r="AD18" s="826" t="n"/>
      <c r="AE18" s="826" t="n"/>
      <c r="AF18" s="826" t="n"/>
      <c r="AG18" s="826" t="n"/>
      <c r="AH18" s="826" t="n"/>
      <c r="AI18" s="826" t="n"/>
      <c r="AJ18" s="826" t="n"/>
      <c r="AK18" s="826" t="n"/>
      <c r="AL18" s="2" t="n"/>
      <c r="AM18" s="2" t="n"/>
      <c r="AN18" s="2" t="n"/>
      <c r="AO18" s="2" t="n"/>
      <c r="AP18" s="2" t="n"/>
      <c r="AQ18" s="2" t="n"/>
      <c r="AR18" s="2" t="n"/>
      <c r="AS18" s="2" t="n"/>
      <c r="AT18" s="345" t="n"/>
      <c r="AU18" s="345" t="n"/>
      <c r="AV18" s="345" t="n"/>
      <c r="AW18" s="2" t="n"/>
      <c r="AX18" s="2" t="n"/>
      <c r="AY18" s="2" t="n"/>
      <c r="AZ18" s="2" t="n"/>
      <c r="BA18" s="2" t="n"/>
      <c r="BB18" s="2" t="n"/>
      <c r="BC18" s="2" t="n"/>
      <c r="BD18" s="2" t="n"/>
      <c r="BE18" s="2" t="n"/>
      <c r="BF18" s="2" t="n"/>
      <c r="BG18" s="2" t="n"/>
      <c r="BH18" s="2" t="n"/>
      <c r="BI18" s="2" t="n"/>
      <c r="BJ18" s="2" t="n"/>
      <c r="BK18" s="2" t="n"/>
      <c r="BL18" s="2" t="n"/>
      <c r="BM18" s="2" t="n"/>
      <c r="BN18" s="2" t="n"/>
      <c r="BO18" s="2" t="n"/>
      <c r="BP18" s="2" t="n"/>
      <c r="BQ18" s="2" t="n"/>
      <c r="BR18" s="2" t="n"/>
      <c r="BS18" s="2" t="n"/>
      <c r="BT18" s="2" t="n"/>
      <c r="BU18" s="2" t="n"/>
      <c r="BV18" s="2" t="n"/>
      <c r="BW18" s="2" t="n"/>
      <c r="BX18" s="2" t="n"/>
      <c r="BY18" s="2" t="n"/>
      <c r="BZ18" s="2" t="n"/>
      <c r="CA18" s="2" t="n"/>
      <c r="CB18" s="2" t="n"/>
      <c r="CC18" s="2" t="n"/>
      <c r="CD18" s="2" t="n"/>
      <c r="CE18" s="2" t="n"/>
      <c r="CF18" s="2" t="n"/>
      <c r="CG18" s="2" t="n"/>
      <c r="CH18" s="2" t="n"/>
      <c r="CI18" s="2" t="n"/>
      <c r="CJ18" s="2" t="n"/>
      <c r="CK18" s="2" t="n"/>
      <c r="CL18" s="2" t="n"/>
      <c r="CM18" s="2" t="n"/>
      <c r="CN18" s="2" t="n"/>
      <c r="CO18" s="2" t="n"/>
      <c r="CP18" s="2" t="n"/>
      <c r="CQ18" s="2" t="n"/>
      <c r="CR18" s="345" t="n"/>
      <c r="CS18" s="345" t="n"/>
      <c r="CT18" s="345" t="n"/>
      <c r="CU18" s="345" t="n"/>
      <c r="CV18" s="345" t="n"/>
      <c r="CW18" s="345" t="n"/>
      <c r="CX18" s="345" t="n"/>
      <c r="CY18" s="345" t="n"/>
      <c r="CZ18" s="345" t="n"/>
      <c r="DA18" s="345" t="n"/>
      <c r="DB18" s="345" t="n"/>
      <c r="DC18" s="345" t="n"/>
      <c r="DD18" s="345" t="n"/>
      <c r="DE18" s="345" t="n"/>
      <c r="DF18" s="345" t="n"/>
      <c r="DG18" s="345" t="n"/>
      <c r="DH18" s="345" t="n"/>
      <c r="DI18" s="345" t="n"/>
      <c r="DJ18" s="345" t="n"/>
      <c r="DK18" s="345" t="n"/>
      <c r="DL18" s="345" t="n"/>
      <c r="DM18" s="345" t="n"/>
      <c r="DN18" s="345" t="n"/>
      <c r="DO18" s="345" t="n"/>
      <c r="DP18" s="345" t="n"/>
      <c r="DQ18" s="345" t="n"/>
      <c r="DR18" s="390" t="n"/>
      <c r="DS18" s="345" t="n"/>
      <c r="DT18" s="350" t="n"/>
    </row>
    <row r="19" ht="15" customFormat="1" customHeight="1" s="196">
      <c r="A19" s="347" t="n"/>
      <c r="B19" s="2" t="n"/>
      <c r="C19" s="2" t="n"/>
      <c r="D19" s="2" t="n"/>
      <c r="E19" s="2" t="n"/>
      <c r="F19" s="2" t="n"/>
      <c r="G19" s="345" t="n"/>
      <c r="H19" s="345" t="n"/>
      <c r="I19" s="345" t="n"/>
      <c r="J19" s="345" t="n"/>
      <c r="K19" s="345" t="n"/>
      <c r="L19" s="345" t="n"/>
      <c r="M19" s="345" t="n"/>
      <c r="N19" s="345" t="n"/>
      <c r="O19" s="345" t="n"/>
      <c r="P19" s="10" t="n"/>
      <c r="Q19" s="17" t="n"/>
      <c r="R19" s="826" t="n"/>
      <c r="S19" s="826" t="n"/>
      <c r="T19" s="826" t="n"/>
      <c r="U19" s="826" t="n"/>
      <c r="V19" s="826" t="n"/>
      <c r="W19" s="826" t="n"/>
      <c r="X19" s="826" t="n"/>
      <c r="Y19" s="826" t="n"/>
      <c r="Z19" s="826" t="n"/>
      <c r="AA19" s="826" t="n"/>
      <c r="AB19" s="826" t="n"/>
      <c r="AC19" s="826" t="n"/>
      <c r="AD19" s="826" t="n"/>
      <c r="AE19" s="826" t="n"/>
      <c r="AF19" s="826" t="n"/>
      <c r="AG19" s="2" t="n"/>
      <c r="AH19" s="2" t="n"/>
      <c r="AI19" s="2" t="n"/>
      <c r="AJ19" s="2" t="n"/>
      <c r="AK19" s="2" t="n"/>
      <c r="AL19" s="2" t="n"/>
      <c r="AM19" s="2" t="n"/>
      <c r="AN19" s="2" t="n"/>
      <c r="AO19" s="345" t="n"/>
      <c r="AP19" s="345" t="n"/>
      <c r="AQ19" s="345" t="n"/>
      <c r="AR19" s="2" t="n"/>
      <c r="AS19" s="2" t="n"/>
      <c r="AT19" s="2" t="n"/>
      <c r="AU19" s="2" t="n"/>
      <c r="AV19" s="2" t="n"/>
      <c r="AW19" s="2" t="n"/>
      <c r="AX19" s="2" t="n"/>
      <c r="AY19" s="2" t="n"/>
      <c r="AZ19" s="2" t="n"/>
      <c r="BA19" s="2" t="n"/>
      <c r="BB19" s="2" t="n"/>
      <c r="BC19" s="2" t="n"/>
      <c r="BD19" s="2" t="n"/>
      <c r="BE19" s="2" t="n"/>
      <c r="BF19" s="2" t="n"/>
      <c r="BG19" s="2" t="n"/>
      <c r="BH19" s="2" t="n"/>
      <c r="BI19" s="2" t="n"/>
      <c r="BJ19" s="2" t="n"/>
      <c r="BK19" s="2" t="n"/>
      <c r="BL19" s="2" t="n"/>
      <c r="BM19" s="2" t="n"/>
      <c r="BN19" s="2" t="n"/>
      <c r="BO19" s="2" t="n"/>
      <c r="BP19" s="2" t="n"/>
      <c r="BQ19" s="2" t="n"/>
      <c r="BR19" s="2" t="n"/>
      <c r="BS19" s="2" t="n"/>
      <c r="BT19" s="2" t="n"/>
      <c r="BU19" s="2" t="n"/>
      <c r="BV19" s="2" t="n"/>
      <c r="BW19" s="2" t="n"/>
      <c r="BX19" s="2" t="n"/>
      <c r="BY19" s="2" t="n"/>
      <c r="BZ19" s="2" t="n"/>
      <c r="CA19" s="2" t="n"/>
      <c r="CB19" s="2" t="n"/>
      <c r="CC19" s="2" t="n"/>
      <c r="CD19" s="2" t="n"/>
      <c r="CE19" s="2" t="n"/>
      <c r="CF19" s="2" t="n"/>
      <c r="CG19" s="2" t="n"/>
      <c r="CH19" s="2" t="n"/>
      <c r="CI19" s="2" t="n"/>
      <c r="CJ19" s="2" t="n"/>
      <c r="CK19" s="2" t="n"/>
      <c r="CL19" s="2" t="n"/>
      <c r="CM19" s="345" t="n"/>
      <c r="CN19" s="345" t="n"/>
      <c r="CO19" s="345" t="n"/>
      <c r="CP19" s="345" t="n"/>
      <c r="CQ19" s="345" t="n"/>
      <c r="CR19" s="345" t="n"/>
      <c r="CS19" s="345" t="n"/>
      <c r="CT19" s="345" t="n"/>
      <c r="CU19" s="345" t="n"/>
      <c r="CV19" s="345" t="n"/>
      <c r="CW19" s="345" t="n"/>
      <c r="CX19" s="345" t="n"/>
      <c r="CY19" s="345" t="n"/>
      <c r="CZ19" s="345" t="n"/>
      <c r="DA19" s="345" t="n"/>
      <c r="DB19" s="345" t="n"/>
      <c r="DC19" s="345" t="n"/>
      <c r="DD19" s="345" t="n"/>
      <c r="DE19" s="345" t="n"/>
      <c r="DF19" s="345" t="n"/>
      <c r="DG19" s="345" t="n"/>
      <c r="DH19" s="345" t="n"/>
      <c r="DI19" s="345" t="n"/>
      <c r="DJ19" s="345" t="n"/>
      <c r="DK19" s="345" t="n"/>
      <c r="DL19" s="345" t="n"/>
      <c r="DM19" s="390" t="n"/>
      <c r="DN19" s="345" t="n"/>
      <c r="DO19" s="350" t="n"/>
      <c r="DP19" s="345" t="n"/>
      <c r="DQ19" s="345" t="n"/>
      <c r="DR19" s="345" t="n"/>
      <c r="DS19" s="345" t="n"/>
      <c r="DT19" s="345" t="n"/>
    </row>
    <row r="20" ht="15" customFormat="1" customHeight="1" s="196">
      <c r="A20" s="347" t="n"/>
      <c r="B20" s="352" t="inlineStr">
        <is>
          <t>分析所选项目，以进行了解和正确分类。</t>
        </is>
      </c>
      <c r="C20" s="364" t="n"/>
      <c r="D20" s="364" t="n"/>
      <c r="E20" s="364" t="n"/>
      <c r="F20" s="364" t="n"/>
      <c r="G20" s="365" t="n"/>
      <c r="H20" s="365" t="n"/>
      <c r="I20" s="365" t="n"/>
      <c r="J20" s="365" t="n"/>
      <c r="K20" s="365" t="n"/>
      <c r="L20" s="365" t="n"/>
      <c r="M20" s="365" t="n"/>
      <c r="N20" s="365" t="n"/>
      <c r="O20" s="365" t="n"/>
      <c r="P20" s="10" t="n"/>
      <c r="Q20" s="17" t="n"/>
      <c r="R20" s="826" t="n"/>
      <c r="S20" s="826" t="n"/>
      <c r="T20" s="826" t="n"/>
      <c r="U20" s="826" t="n"/>
      <c r="V20" s="826" t="n"/>
      <c r="W20" s="826" t="n"/>
      <c r="X20" s="826" t="n"/>
      <c r="Y20" s="826" t="n"/>
      <c r="Z20" s="826" t="n"/>
      <c r="AA20" s="826" t="n"/>
      <c r="AB20" s="826" t="n"/>
      <c r="AC20" s="826" t="n"/>
      <c r="AD20" s="826" t="n"/>
      <c r="AE20" s="826" t="n"/>
      <c r="AF20" s="826" t="n"/>
      <c r="AG20" s="826" t="n"/>
      <c r="AH20" s="2" t="n"/>
      <c r="AI20" s="2" t="n"/>
      <c r="AJ20" s="2" t="n"/>
      <c r="AK20" s="2" t="n"/>
      <c r="AL20" s="2" t="n"/>
      <c r="AM20" s="2" t="n"/>
      <c r="AN20" s="2" t="n"/>
      <c r="AO20" s="2" t="n"/>
      <c r="AP20" s="345" t="n"/>
      <c r="AQ20" s="345" t="n"/>
      <c r="AR20" s="345" t="n"/>
      <c r="AS20" s="2" t="n"/>
      <c r="AT20" s="2" t="n"/>
      <c r="AU20" s="2" t="n"/>
      <c r="AV20" s="2" t="n"/>
      <c r="AW20" s="2" t="n"/>
      <c r="AX20" s="2" t="n"/>
      <c r="AY20" s="2" t="n"/>
      <c r="AZ20" s="2" t="n"/>
      <c r="BA20" s="2" t="n"/>
      <c r="BB20" s="2" t="n"/>
      <c r="BC20" s="2" t="n"/>
      <c r="BD20" s="2" t="n"/>
      <c r="BE20" s="2" t="n"/>
      <c r="BF20" s="2" t="n"/>
      <c r="BG20" s="2" t="n"/>
      <c r="BH20" s="2" t="n"/>
      <c r="BI20" s="2" t="n"/>
      <c r="BJ20" s="2" t="n"/>
      <c r="BK20" s="2" t="n"/>
      <c r="BL20" s="2" t="n"/>
      <c r="BM20" s="2" t="n"/>
      <c r="BN20" s="2" t="n"/>
      <c r="BO20" s="2" t="n"/>
      <c r="BP20" s="2" t="n"/>
      <c r="BQ20" s="2" t="n"/>
      <c r="BR20" s="2" t="n"/>
      <c r="BS20" s="2" t="n"/>
      <c r="BT20" s="2" t="n"/>
      <c r="BU20" s="2" t="n"/>
      <c r="BV20" s="2" t="n"/>
      <c r="BW20" s="2" t="n"/>
      <c r="BX20" s="2" t="n"/>
      <c r="BY20" s="2" t="n"/>
      <c r="BZ20" s="2" t="n"/>
      <c r="CA20" s="2" t="n"/>
      <c r="CB20" s="2" t="n"/>
      <c r="CC20" s="2" t="n"/>
      <c r="CD20" s="2" t="n"/>
      <c r="CE20" s="2" t="n"/>
      <c r="CF20" s="2" t="n"/>
      <c r="CG20" s="2" t="n"/>
      <c r="CH20" s="2" t="n"/>
      <c r="CI20" s="2" t="n"/>
      <c r="CJ20" s="2" t="n"/>
      <c r="CK20" s="2" t="n"/>
      <c r="CL20" s="2" t="n"/>
      <c r="CM20" s="2" t="n"/>
      <c r="CN20" s="345" t="n"/>
      <c r="CO20" s="345" t="n"/>
      <c r="CP20" s="345" t="n"/>
      <c r="CQ20" s="345" t="n"/>
      <c r="CR20" s="345" t="n"/>
      <c r="CS20" s="345" t="n"/>
      <c r="CT20" s="345" t="n"/>
      <c r="CU20" s="345" t="n"/>
      <c r="CV20" s="345" t="n"/>
      <c r="CW20" s="345" t="n"/>
      <c r="CX20" s="345" t="n"/>
      <c r="CY20" s="345" t="n"/>
      <c r="CZ20" s="345" t="n"/>
      <c r="DA20" s="345" t="n"/>
      <c r="DB20" s="345" t="n"/>
      <c r="DC20" s="345" t="n"/>
      <c r="DD20" s="345" t="n"/>
      <c r="DE20" s="345" t="n"/>
      <c r="DF20" s="345" t="n"/>
      <c r="DG20" s="345" t="n"/>
      <c r="DH20" s="345" t="n"/>
      <c r="DI20" s="345" t="n"/>
      <c r="DJ20" s="345" t="n"/>
      <c r="DK20" s="345" t="n"/>
      <c r="DL20" s="345" t="n"/>
      <c r="DM20" s="345" t="n"/>
      <c r="DN20" s="390" t="n"/>
      <c r="DO20" s="345" t="n"/>
      <c r="DP20" s="350" t="n"/>
      <c r="DQ20" s="345" t="n"/>
      <c r="DR20" s="345" t="n"/>
      <c r="DS20" s="345" t="n"/>
      <c r="DT20" s="345" t="n"/>
    </row>
    <row r="21" ht="15" customFormat="1" customHeight="1" s="196">
      <c r="A21" s="347" t="n"/>
      <c r="B21" s="342" t="n"/>
      <c r="C21" s="2" t="n"/>
      <c r="D21" s="2" t="n"/>
      <c r="E21" s="2" t="n"/>
      <c r="F21" s="2" t="n"/>
      <c r="G21" s="345" t="n"/>
      <c r="H21" s="345" t="n"/>
      <c r="I21" s="345" t="n"/>
      <c r="J21" s="345" t="n"/>
      <c r="K21" s="345" t="n"/>
      <c r="L21" s="345" t="n"/>
      <c r="M21" s="345" t="n"/>
      <c r="N21" s="345" t="n"/>
      <c r="O21" s="345" t="n"/>
      <c r="P21" s="10" t="n"/>
      <c r="Q21" s="17" t="n"/>
      <c r="R21" s="826" t="n"/>
      <c r="S21" s="826" t="n"/>
      <c r="T21" s="826" t="n"/>
      <c r="U21" s="826" t="n"/>
      <c r="V21" s="826" t="n"/>
      <c r="W21" s="826" t="n"/>
      <c r="X21" s="826" t="n"/>
      <c r="Y21" s="826" t="n"/>
      <c r="Z21" s="826" t="n"/>
      <c r="AA21" s="826" t="n"/>
      <c r="AB21" s="826" t="n"/>
      <c r="AC21" s="826" t="n"/>
      <c r="AD21" s="826" t="n"/>
      <c r="AE21" s="826" t="n"/>
      <c r="AF21" s="826" t="n"/>
      <c r="AG21" s="826" t="n"/>
      <c r="AH21" s="2" t="n"/>
      <c r="AI21" s="2" t="n"/>
      <c r="AJ21" s="2" t="n"/>
      <c r="AK21" s="2" t="n"/>
      <c r="AL21" s="2" t="n"/>
      <c r="AM21" s="2" t="n"/>
      <c r="AN21" s="2" t="n"/>
      <c r="AO21" s="2" t="n"/>
      <c r="AP21" s="345" t="n"/>
      <c r="AQ21" s="345" t="n"/>
      <c r="AR21" s="345" t="n"/>
      <c r="AS21" s="2" t="n"/>
      <c r="AT21" s="2" t="n"/>
      <c r="AU21" s="2" t="n"/>
      <c r="AV21" s="2" t="n"/>
      <c r="AW21" s="2" t="n"/>
      <c r="AX21" s="2" t="n"/>
      <c r="AY21" s="2" t="n"/>
      <c r="AZ21" s="2" t="n"/>
      <c r="BA21" s="2" t="n"/>
      <c r="BB21" s="2" t="n"/>
      <c r="BC21" s="2" t="n"/>
      <c r="BD21" s="2" t="n"/>
      <c r="BE21" s="2" t="n"/>
      <c r="BF21" s="2" t="n"/>
      <c r="BG21" s="2" t="n"/>
      <c r="BH21" s="2" t="n"/>
      <c r="BI21" s="2" t="n"/>
      <c r="BJ21" s="2" t="n"/>
      <c r="BK21" s="2" t="n"/>
      <c r="BL21" s="2" t="n"/>
      <c r="BM21" s="2" t="n"/>
      <c r="BN21" s="2" t="n"/>
      <c r="BO21" s="2" t="n"/>
      <c r="BP21" s="2" t="n"/>
      <c r="BQ21" s="2" t="n"/>
      <c r="BR21" s="2" t="n"/>
      <c r="BS21" s="2" t="n"/>
      <c r="BT21" s="2" t="n"/>
      <c r="BU21" s="2" t="n"/>
      <c r="BV21" s="2" t="n"/>
      <c r="BW21" s="2" t="n"/>
      <c r="BX21" s="2" t="n"/>
      <c r="BY21" s="2" t="n"/>
      <c r="BZ21" s="2" t="n"/>
      <c r="CA21" s="2" t="n"/>
      <c r="CB21" s="2" t="n"/>
      <c r="CC21" s="2" t="n"/>
      <c r="CD21" s="2" t="n"/>
      <c r="CE21" s="2" t="n"/>
      <c r="CF21" s="2" t="n"/>
      <c r="CG21" s="2" t="n"/>
      <c r="CH21" s="2" t="n"/>
      <c r="CI21" s="2" t="n"/>
      <c r="CJ21" s="2" t="n"/>
      <c r="CK21" s="2" t="n"/>
      <c r="CL21" s="2" t="n"/>
      <c r="CM21" s="2" t="n"/>
      <c r="CN21" s="345" t="n"/>
      <c r="CO21" s="345" t="n"/>
      <c r="CP21" s="345" t="n"/>
      <c r="CQ21" s="345" t="n"/>
      <c r="CR21" s="345" t="n"/>
      <c r="CS21" s="345" t="n"/>
      <c r="CT21" s="345" t="n"/>
      <c r="CU21" s="345" t="n"/>
      <c r="CV21" s="345" t="n"/>
      <c r="CW21" s="345" t="n"/>
      <c r="CX21" s="345" t="n"/>
      <c r="CY21" s="345" t="n"/>
      <c r="CZ21" s="345" t="n"/>
      <c r="DA21" s="345" t="n"/>
      <c r="DB21" s="345" t="n"/>
      <c r="DC21" s="345" t="n"/>
      <c r="DD21" s="345" t="n"/>
      <c r="DE21" s="345" t="n"/>
      <c r="DF21" s="345" t="n"/>
      <c r="DG21" s="345" t="n"/>
      <c r="DH21" s="345" t="n"/>
      <c r="DI21" s="345" t="n"/>
      <c r="DJ21" s="345" t="n"/>
      <c r="DK21" s="345" t="n"/>
      <c r="DL21" s="345" t="n"/>
      <c r="DM21" s="345" t="n"/>
      <c r="DN21" s="390" t="n"/>
      <c r="DO21" s="345" t="n"/>
      <c r="DP21" s="350" t="n"/>
      <c r="DQ21" s="345" t="n"/>
      <c r="DR21" s="345" t="n"/>
      <c r="DS21" s="345" t="n"/>
      <c r="DT21" s="345" t="n"/>
    </row>
    <row r="22" ht="18" customFormat="1" customHeight="1" s="196">
      <c r="A22" s="347" t="n"/>
      <c r="B22" s="2" t="n"/>
      <c r="C22" s="2" t="n"/>
      <c r="D22" s="2" t="n"/>
      <c r="E22" s="2" t="n"/>
      <c r="F22" s="2" t="n"/>
      <c r="G22" s="345" t="n"/>
      <c r="H22" s="345" t="n"/>
      <c r="I22" s="345" t="n"/>
      <c r="J22" s="345" t="n"/>
      <c r="K22" s="826" t="n"/>
      <c r="L22" s="577" t="inlineStr">
        <is>
          <t>EY Works</t>
        </is>
      </c>
      <c r="M22" s="635" t="n"/>
      <c r="N22" s="636" t="n"/>
      <c r="O22" s="826" t="n"/>
      <c r="P22" s="10" t="n"/>
      <c r="Q22" s="17" t="n"/>
      <c r="R22" s="826" t="n"/>
      <c r="S22" s="826" t="n"/>
      <c r="T22" s="826" t="n"/>
      <c r="U22" s="826" t="n"/>
      <c r="V22" s="826" t="n"/>
      <c r="W22" s="826" t="n"/>
      <c r="X22" s="826" t="n"/>
      <c r="Y22" s="826" t="n"/>
      <c r="Z22" s="826" t="n"/>
      <c r="AA22" s="826" t="n"/>
      <c r="AB22" s="826" t="n"/>
      <c r="AC22" s="826" t="n"/>
      <c r="AD22" s="826" t="n"/>
      <c r="AE22" s="826" t="n"/>
      <c r="AF22" s="826" t="n"/>
      <c r="AG22" s="826" t="n"/>
      <c r="AH22" s="2" t="n"/>
      <c r="AI22" s="2" t="n"/>
      <c r="AJ22" s="2" t="n"/>
      <c r="AK22" s="2" t="n"/>
      <c r="AL22" s="2" t="n"/>
      <c r="AM22" s="2" t="n"/>
      <c r="AN22" s="2" t="n"/>
      <c r="AO22" s="2" t="n"/>
      <c r="AP22" s="345" t="n"/>
      <c r="AQ22" s="345" t="n"/>
      <c r="AR22" s="345" t="n"/>
      <c r="AS22" s="2" t="n"/>
      <c r="AT22" s="2" t="n"/>
      <c r="AU22" s="2" t="n"/>
      <c r="AV22" s="2" t="n"/>
      <c r="AW22" s="2" t="n"/>
      <c r="AX22" s="2" t="n"/>
      <c r="AY22" s="2" t="n"/>
      <c r="AZ22" s="2" t="n"/>
      <c r="BA22" s="2" t="n"/>
      <c r="BB22" s="2" t="n"/>
      <c r="BC22" s="2" t="n"/>
      <c r="BD22" s="2" t="n"/>
      <c r="BE22" s="2" t="n"/>
      <c r="BF22" s="2" t="n"/>
      <c r="BG22" s="2" t="n"/>
      <c r="BH22" s="2" t="n"/>
      <c r="BI22" s="2" t="n"/>
      <c r="BJ22" s="2" t="n"/>
      <c r="BK22" s="2" t="n"/>
      <c r="BL22" s="2" t="n"/>
      <c r="BM22" s="2" t="n"/>
      <c r="BN22" s="2" t="n"/>
      <c r="BO22" s="2" t="n"/>
      <c r="BP22" s="2" t="n"/>
      <c r="BQ22" s="2" t="n"/>
      <c r="BR22" s="2" t="n"/>
      <c r="BS22" s="2" t="n"/>
      <c r="BT22" s="2" t="n"/>
      <c r="BU22" s="2" t="n"/>
      <c r="BV22" s="2" t="n"/>
      <c r="BW22" s="2" t="n"/>
      <c r="BX22" s="2" t="n"/>
      <c r="BY22" s="2" t="n"/>
      <c r="BZ22" s="2" t="n"/>
      <c r="CA22" s="2" t="n"/>
      <c r="CB22" s="2" t="n"/>
      <c r="CC22" s="2" t="n"/>
      <c r="CD22" s="2" t="n"/>
      <c r="CE22" s="2" t="n"/>
      <c r="CF22" s="2" t="n"/>
      <c r="CG22" s="2" t="n"/>
      <c r="CH22" s="2" t="n"/>
      <c r="CI22" s="2" t="n"/>
      <c r="CJ22" s="2" t="n"/>
      <c r="CK22" s="2" t="n"/>
      <c r="CL22" s="2" t="n"/>
      <c r="CM22" s="2" t="n"/>
      <c r="CN22" s="345" t="n"/>
      <c r="CO22" s="345" t="n"/>
      <c r="CP22" s="345" t="n"/>
      <c r="CQ22" s="345" t="n"/>
      <c r="CR22" s="345" t="n"/>
      <c r="CS22" s="345" t="n"/>
      <c r="CT22" s="345" t="n"/>
      <c r="CU22" s="345" t="n"/>
      <c r="CV22" s="345" t="n"/>
      <c r="CW22" s="345" t="n"/>
      <c r="CX22" s="345" t="n"/>
      <c r="CY22" s="345" t="n"/>
      <c r="CZ22" s="345" t="n"/>
      <c r="DA22" s="345" t="n"/>
      <c r="DB22" s="345" t="n"/>
      <c r="DC22" s="345" t="n"/>
      <c r="DD22" s="345" t="n"/>
      <c r="DE22" s="345" t="n"/>
      <c r="DF22" s="345" t="n"/>
      <c r="DG22" s="345" t="n"/>
      <c r="DH22" s="345" t="n"/>
      <c r="DI22" s="345" t="n"/>
      <c r="DJ22" s="345" t="n"/>
      <c r="DK22" s="345" t="n"/>
      <c r="DL22" s="345" t="n"/>
      <c r="DM22" s="345" t="n"/>
      <c r="DN22" s="390" t="n"/>
      <c r="DO22" s="345" t="n"/>
      <c r="DP22" s="350" t="n"/>
      <c r="DQ22" s="345" t="n"/>
      <c r="DR22" s="345" t="n"/>
      <c r="DS22" s="345" t="n"/>
      <c r="DT22" s="345" t="n"/>
    </row>
    <row r="23" ht="25.5" customFormat="1" customHeight="1" s="200">
      <c r="A23" s="366" t="n"/>
      <c r="B23" s="832" t="inlineStr">
        <is>
          <t>供应商名称</t>
        </is>
      </c>
      <c r="C23" s="833" t="inlineStr">
        <is>
          <t>借方余额</t>
        </is>
      </c>
      <c r="D23" s="567" t="inlineStr">
        <is>
          <t>形成应付账款借方余额入账凭证</t>
        </is>
      </c>
      <c r="E23" s="688" t="n"/>
      <c r="F23" s="688" t="n"/>
      <c r="G23" s="497" t="inlineStr">
        <is>
          <t>根据交易性质获取的支持性证据信息</t>
        </is>
      </c>
      <c r="H23" s="635" t="n"/>
      <c r="I23" s="635" t="n"/>
      <c r="J23" s="635" t="n"/>
      <c r="K23" s="636" t="n"/>
      <c r="L23" s="578" t="n">
        <v>1</v>
      </c>
      <c r="M23" s="580" t="n">
        <v>2</v>
      </c>
      <c r="N23" s="582" t="n">
        <v>3</v>
      </c>
      <c r="O23" s="551" t="inlineStr">
        <is>
          <t>备注</t>
        </is>
      </c>
      <c r="P23" s="10" t="n"/>
      <c r="Q23" s="17" t="n"/>
      <c r="R23" s="834" t="n"/>
      <c r="S23" s="834" t="n"/>
      <c r="T23" s="834" t="n"/>
      <c r="U23" s="834" t="n"/>
      <c r="V23" s="834" t="n"/>
      <c r="W23" s="834" t="n"/>
      <c r="X23" s="834" t="n"/>
      <c r="Y23" s="834" t="n"/>
      <c r="Z23" s="834" t="n"/>
      <c r="AA23" s="834" t="n"/>
      <c r="AB23" s="834" t="n"/>
      <c r="AC23" s="368" t="n"/>
      <c r="AD23" s="368" t="n"/>
      <c r="AE23" s="368" t="n"/>
      <c r="AF23" s="368" t="n"/>
      <c r="AG23" s="368" t="n"/>
      <c r="AH23" s="368" t="n"/>
      <c r="AI23" s="368" t="n"/>
      <c r="AJ23" s="368" t="n"/>
      <c r="AK23" s="369" t="n"/>
      <c r="AL23" s="369" t="n"/>
      <c r="AM23" s="369" t="n"/>
      <c r="AN23" s="368" t="n"/>
      <c r="AO23" s="368" t="n"/>
      <c r="AP23" s="368" t="n"/>
      <c r="AQ23" s="368" t="n"/>
      <c r="AR23" s="368" t="n"/>
      <c r="AS23" s="368" t="n"/>
      <c r="AT23" s="368" t="n"/>
      <c r="AU23" s="368" t="n"/>
      <c r="AV23" s="368" t="n"/>
      <c r="AW23" s="368" t="n"/>
      <c r="AX23" s="368" t="n"/>
      <c r="AY23" s="368" t="n"/>
      <c r="AZ23" s="368" t="n"/>
      <c r="BA23" s="368" t="n"/>
      <c r="BB23" s="368" t="n"/>
      <c r="BC23" s="368" t="n"/>
      <c r="BD23" s="368" t="n"/>
      <c r="BE23" s="368" t="n"/>
      <c r="BF23" s="368" t="n"/>
      <c r="BG23" s="368" t="n"/>
      <c r="BH23" s="368" t="n"/>
      <c r="BI23" s="368" t="n"/>
      <c r="BJ23" s="368" t="n"/>
      <c r="BK23" s="368" t="n"/>
      <c r="BL23" s="368" t="n"/>
      <c r="BM23" s="368" t="n"/>
      <c r="BN23" s="368" t="n"/>
      <c r="BO23" s="368" t="n"/>
      <c r="BP23" s="368" t="n"/>
      <c r="BQ23" s="368" t="n"/>
      <c r="BR23" s="368" t="n"/>
      <c r="BS23" s="368" t="n"/>
      <c r="BT23" s="368" t="n"/>
      <c r="BU23" s="368" t="n"/>
      <c r="BV23" s="368" t="n"/>
      <c r="BW23" s="368" t="n"/>
      <c r="BX23" s="368" t="n"/>
      <c r="BY23" s="368" t="n"/>
      <c r="BZ23" s="368" t="n"/>
      <c r="CA23" s="368" t="n"/>
      <c r="CB23" s="368" t="n"/>
      <c r="CC23" s="368" t="n"/>
      <c r="CD23" s="368" t="n"/>
      <c r="CE23" s="368" t="n"/>
      <c r="CF23" s="368" t="n"/>
      <c r="CG23" s="368" t="n"/>
      <c r="CH23" s="368" t="n"/>
      <c r="CI23" s="369" t="n"/>
      <c r="CJ23" s="369" t="n"/>
      <c r="CK23" s="369" t="n"/>
      <c r="CL23" s="369" t="n"/>
      <c r="CM23" s="369" t="n"/>
      <c r="CN23" s="369" t="n"/>
      <c r="CO23" s="369" t="n"/>
      <c r="CP23" s="369" t="n"/>
      <c r="CQ23" s="369" t="n"/>
      <c r="CR23" s="369" t="n"/>
      <c r="CS23" s="369" t="n"/>
      <c r="CT23" s="369" t="n"/>
      <c r="CU23" s="369" t="n"/>
      <c r="CV23" s="369" t="n"/>
      <c r="CW23" s="369" t="n"/>
      <c r="CX23" s="369" t="n"/>
      <c r="CY23" s="369" t="n"/>
      <c r="CZ23" s="369" t="n"/>
      <c r="DA23" s="369" t="n"/>
      <c r="DB23" s="369" t="n"/>
      <c r="DC23" s="369" t="n"/>
      <c r="DD23" s="369" t="n"/>
      <c r="DE23" s="369" t="n"/>
      <c r="DF23" s="369" t="n"/>
      <c r="DG23" s="369" t="n"/>
      <c r="DH23" s="369" t="n"/>
      <c r="DI23" s="370" t="n"/>
      <c r="DJ23" s="369" t="n"/>
      <c r="DK23" s="371" t="n"/>
      <c r="DL23" s="369" t="n"/>
      <c r="DM23" s="369" t="n"/>
      <c r="DN23" s="369" t="n"/>
      <c r="DO23" s="369" t="n"/>
      <c r="DP23" s="369" t="n"/>
      <c r="DQ23" s="369" t="n"/>
      <c r="DR23" s="369" t="n"/>
      <c r="DS23" s="369" t="n"/>
      <c r="DT23" s="369" t="n"/>
    </row>
    <row r="24" ht="23.25" customFormat="1" customHeight="1" s="200">
      <c r="A24" s="366" t="n"/>
      <c r="B24" s="835" t="n"/>
      <c r="C24" s="722" t="n"/>
      <c r="D24" s="566" t="inlineStr">
        <is>
          <t>凭证编号</t>
        </is>
      </c>
      <c r="E24" s="372" t="inlineStr">
        <is>
          <t>日期</t>
        </is>
      </c>
      <c r="F24" s="566" t="inlineStr">
        <is>
          <t>金额</t>
        </is>
      </c>
      <c r="G24" s="582" t="inlineStr">
        <is>
          <t>交易性质</t>
        </is>
      </c>
      <c r="H24" s="582" t="inlineStr">
        <is>
          <t>交易凭据名称</t>
        </is>
      </c>
      <c r="I24" s="582" t="inlineStr">
        <is>
          <t>交易凭据编号</t>
        </is>
      </c>
      <c r="J24" s="582" t="inlineStr">
        <is>
          <t>交易凭据日期</t>
        </is>
      </c>
      <c r="K24" s="373" t="inlineStr">
        <is>
          <t>交易凭据金额</t>
        </is>
      </c>
      <c r="L24" s="691" t="n"/>
      <c r="M24" s="722" t="n"/>
      <c r="N24" s="644" t="n"/>
      <c r="O24" s="637" t="n"/>
      <c r="P24" s="10" t="n"/>
      <c r="Q24" s="17" t="n"/>
      <c r="R24" s="834" t="n"/>
      <c r="S24" s="834" t="n"/>
      <c r="T24" s="834" t="n"/>
      <c r="U24" s="834" t="n"/>
      <c r="V24" s="834" t="n"/>
      <c r="W24" s="834" t="n"/>
      <c r="X24" s="834" t="n"/>
      <c r="Y24" s="834" t="n"/>
      <c r="Z24" s="834" t="n"/>
      <c r="AA24" s="834" t="n"/>
      <c r="AB24" s="834" t="n"/>
      <c r="AC24" s="368" t="n"/>
      <c r="AD24" s="368" t="n"/>
      <c r="AE24" s="368" t="n"/>
      <c r="AF24" s="368" t="n"/>
      <c r="AG24" s="368" t="n"/>
      <c r="AH24" s="368" t="n"/>
      <c r="AI24" s="368" t="n"/>
      <c r="AJ24" s="368" t="n"/>
      <c r="AK24" s="369" t="n"/>
      <c r="AL24" s="369" t="n"/>
      <c r="AM24" s="369" t="n"/>
      <c r="AN24" s="368" t="n"/>
      <c r="AO24" s="368" t="n"/>
      <c r="AP24" s="368" t="n"/>
      <c r="AQ24" s="368" t="n"/>
      <c r="AR24" s="368" t="n"/>
      <c r="AS24" s="368" t="n"/>
      <c r="AT24" s="368" t="n"/>
      <c r="AU24" s="368" t="n"/>
      <c r="AV24" s="368" t="n"/>
      <c r="AW24" s="368" t="n"/>
      <c r="AX24" s="368" t="n"/>
      <c r="AY24" s="368" t="n"/>
      <c r="AZ24" s="368" t="n"/>
      <c r="BA24" s="368" t="n"/>
      <c r="BB24" s="368" t="n"/>
      <c r="BC24" s="368" t="n"/>
      <c r="BD24" s="368" t="n"/>
      <c r="BE24" s="368" t="n"/>
      <c r="BF24" s="368" t="n"/>
      <c r="BG24" s="368" t="n"/>
      <c r="BH24" s="368" t="n"/>
      <c r="BI24" s="368" t="n"/>
      <c r="BJ24" s="368" t="n"/>
      <c r="BK24" s="368" t="n"/>
      <c r="BL24" s="368" t="n"/>
      <c r="BM24" s="368" t="n"/>
      <c r="BN24" s="368" t="n"/>
      <c r="BO24" s="368" t="n"/>
      <c r="BP24" s="368" t="n"/>
      <c r="BQ24" s="368" t="n"/>
      <c r="BR24" s="368" t="n"/>
      <c r="BS24" s="368" t="n"/>
      <c r="BT24" s="368" t="n"/>
      <c r="BU24" s="368" t="n"/>
      <c r="BV24" s="368" t="n"/>
      <c r="BW24" s="368" t="n"/>
      <c r="BX24" s="368" t="n"/>
      <c r="BY24" s="368" t="n"/>
      <c r="BZ24" s="368" t="n"/>
      <c r="CA24" s="368" t="n"/>
      <c r="CB24" s="368" t="n"/>
      <c r="CC24" s="368" t="n"/>
      <c r="CD24" s="368" t="n"/>
      <c r="CE24" s="368" t="n"/>
      <c r="CF24" s="368" t="n"/>
      <c r="CG24" s="368" t="n"/>
      <c r="CH24" s="368" t="n"/>
      <c r="CI24" s="369" t="n"/>
      <c r="CJ24" s="369" t="n"/>
      <c r="CK24" s="369" t="n"/>
      <c r="CL24" s="369" t="n"/>
      <c r="CM24" s="369" t="n"/>
      <c r="CN24" s="369" t="n"/>
      <c r="CO24" s="369" t="n"/>
      <c r="CP24" s="369" t="n"/>
      <c r="CQ24" s="369" t="n"/>
      <c r="CR24" s="369" t="n"/>
      <c r="CS24" s="369" t="n"/>
      <c r="CT24" s="369" t="n"/>
      <c r="CU24" s="369" t="n"/>
      <c r="CV24" s="369" t="n"/>
      <c r="CW24" s="369" t="n"/>
      <c r="CX24" s="369" t="n"/>
      <c r="CY24" s="369" t="n"/>
      <c r="CZ24" s="369" t="n"/>
      <c r="DA24" s="369" t="n"/>
      <c r="DB24" s="369" t="n"/>
      <c r="DC24" s="369" t="n"/>
      <c r="DD24" s="369" t="n"/>
      <c r="DE24" s="369" t="n"/>
      <c r="DF24" s="369" t="n"/>
      <c r="DG24" s="369" t="n"/>
      <c r="DH24" s="369" t="n"/>
      <c r="DI24" s="370" t="n"/>
      <c r="DJ24" s="369" t="n"/>
      <c r="DK24" s="371" t="n"/>
      <c r="DL24" s="369" t="n"/>
      <c r="DM24" s="369" t="n"/>
      <c r="DN24" s="369" t="n"/>
      <c r="DO24" s="369" t="n"/>
      <c r="DP24" s="369" t="n"/>
      <c r="DQ24" s="369" t="n"/>
      <c r="DR24" s="369" t="n"/>
      <c r="DS24" s="369" t="n"/>
      <c r="DT24" s="369" t="n"/>
    </row>
    <row r="25" ht="15" customFormat="1" customHeight="1" s="196">
      <c r="A25" s="347" t="n"/>
      <c r="B25" s="374" t="n"/>
      <c r="C25" s="836" t="n"/>
      <c r="D25" s="375" t="n"/>
      <c r="E25" s="376" t="n"/>
      <c r="F25" s="837" t="n"/>
      <c r="G25" s="375" t="n"/>
      <c r="H25" s="375" t="n"/>
      <c r="I25" s="375" t="n"/>
      <c r="J25" s="376" t="n"/>
      <c r="K25" s="837" t="n"/>
      <c r="L25" s="374" t="n"/>
      <c r="M25" s="378" t="n"/>
      <c r="N25" s="379" t="n"/>
      <c r="O25" s="437" t="n"/>
      <c r="P25" s="10" t="n"/>
      <c r="Q25" s="17" t="n"/>
      <c r="R25" s="838" t="n"/>
      <c r="S25" s="838" t="n"/>
      <c r="T25" s="838" t="n"/>
      <c r="U25" s="838" t="n"/>
      <c r="V25" s="838" t="n"/>
      <c r="W25" s="838" t="n"/>
      <c r="X25" s="838" t="n"/>
      <c r="Y25" s="838" t="n"/>
      <c r="Z25" s="838" t="n"/>
      <c r="AA25" s="838" t="n"/>
      <c r="AB25" s="838" t="n"/>
      <c r="AC25" s="2" t="n"/>
      <c r="AD25" s="2" t="n"/>
      <c r="AE25" s="2" t="n"/>
      <c r="AF25" s="2" t="n"/>
      <c r="AG25" s="2" t="n"/>
      <c r="AH25" s="2" t="n"/>
      <c r="AI25" s="2" t="n"/>
      <c r="AJ25" s="2" t="n"/>
      <c r="AK25" s="345" t="n"/>
      <c r="AL25" s="345" t="n"/>
      <c r="AM25" s="345" t="n"/>
      <c r="AN25" s="2" t="n"/>
      <c r="AO25" s="2" t="n"/>
      <c r="AP25" s="2" t="n"/>
      <c r="AQ25" s="2" t="n"/>
      <c r="AR25" s="2" t="n"/>
      <c r="AS25" s="2" t="n"/>
      <c r="AT25" s="2" t="n"/>
      <c r="AU25" s="2" t="n"/>
      <c r="AV25" s="2" t="n"/>
      <c r="AW25" s="2" t="n"/>
      <c r="AX25" s="2" t="n"/>
      <c r="AY25" s="2" t="n"/>
      <c r="AZ25" s="2" t="n"/>
      <c r="BA25" s="2" t="n"/>
      <c r="BB25" s="2" t="n"/>
      <c r="BC25" s="2" t="n"/>
      <c r="BD25" s="2" t="n"/>
      <c r="BE25" s="2" t="n"/>
      <c r="BF25" s="2" t="n"/>
      <c r="BG25" s="2" t="n"/>
      <c r="BH25" s="2" t="n"/>
      <c r="BI25" s="2" t="n"/>
      <c r="BJ25" s="2" t="n"/>
      <c r="BK25" s="2" t="n"/>
      <c r="BL25" s="2" t="n"/>
      <c r="BM25" s="2" t="n"/>
      <c r="BN25" s="2" t="n"/>
      <c r="BO25" s="2" t="n"/>
      <c r="BP25" s="2" t="n"/>
      <c r="BQ25" s="2" t="n"/>
      <c r="BR25" s="2" t="n"/>
      <c r="BS25" s="2" t="n"/>
      <c r="BT25" s="2" t="n"/>
      <c r="BU25" s="2" t="n"/>
      <c r="BV25" s="2" t="n"/>
      <c r="BW25" s="2" t="n"/>
      <c r="BX25" s="2" t="n"/>
      <c r="BY25" s="2" t="n"/>
      <c r="BZ25" s="2" t="n"/>
      <c r="CA25" s="2" t="n"/>
      <c r="CB25" s="2" t="n"/>
      <c r="CC25" s="2" t="n"/>
      <c r="CD25" s="2" t="n"/>
      <c r="CE25" s="2" t="n"/>
      <c r="CF25" s="2" t="n"/>
      <c r="CG25" s="2" t="n"/>
      <c r="CH25" s="2" t="n"/>
      <c r="CI25" s="345" t="n"/>
      <c r="CJ25" s="345" t="n"/>
      <c r="CK25" s="345" t="n"/>
      <c r="CL25" s="345" t="n"/>
      <c r="CM25" s="345" t="n"/>
      <c r="CN25" s="345" t="n"/>
      <c r="CO25" s="345" t="n"/>
      <c r="CP25" s="345" t="n"/>
      <c r="CQ25" s="345" t="n"/>
      <c r="CR25" s="345" t="n"/>
      <c r="CS25" s="345" t="n"/>
      <c r="CT25" s="345" t="n"/>
      <c r="CU25" s="345" t="n"/>
      <c r="CV25" s="345" t="n"/>
      <c r="CW25" s="345" t="n"/>
      <c r="CX25" s="345" t="n"/>
      <c r="CY25" s="345" t="n"/>
      <c r="CZ25" s="345" t="n"/>
      <c r="DA25" s="345" t="n"/>
      <c r="DB25" s="345" t="n"/>
      <c r="DC25" s="345" t="n"/>
      <c r="DD25" s="345" t="n"/>
      <c r="DE25" s="345" t="n"/>
      <c r="DF25" s="345" t="n"/>
      <c r="DG25" s="345" t="n"/>
      <c r="DH25" s="345" t="n"/>
      <c r="DI25" s="390" t="n"/>
      <c r="DJ25" s="345" t="n"/>
      <c r="DK25" s="350" t="n"/>
      <c r="DL25" s="345" t="n"/>
      <c r="DM25" s="345" t="n"/>
      <c r="DN25" s="345" t="n"/>
      <c r="DO25" s="345" t="n"/>
      <c r="DP25" s="345" t="n"/>
      <c r="DQ25" s="345" t="n"/>
      <c r="DR25" s="345" t="n"/>
      <c r="DS25" s="345" t="n"/>
      <c r="DT25" s="345" t="n"/>
    </row>
    <row r="26" ht="15" customFormat="1" customHeight="1" s="196">
      <c r="A26" s="347" t="n"/>
      <c r="B26" s="374" t="n"/>
      <c r="C26" s="836" t="n"/>
      <c r="D26" s="375" t="n"/>
      <c r="E26" s="376" t="n"/>
      <c r="F26" s="837" t="n"/>
      <c r="G26" s="375" t="n"/>
      <c r="H26" s="375" t="n"/>
      <c r="I26" s="375" t="n"/>
      <c r="J26" s="376" t="n"/>
      <c r="K26" s="837" t="n"/>
      <c r="L26" s="374" t="n"/>
      <c r="M26" s="378" t="n"/>
      <c r="N26" s="379" t="n"/>
      <c r="O26" s="438" t="n"/>
      <c r="P26" s="10" t="n"/>
      <c r="Q26" s="17" t="n"/>
      <c r="R26" s="838" t="n"/>
      <c r="S26" s="838" t="n"/>
      <c r="T26" s="838" t="n"/>
      <c r="U26" s="838" t="n"/>
      <c r="V26" s="838" t="n"/>
      <c r="W26" s="838" t="n"/>
      <c r="X26" s="838" t="n"/>
      <c r="Y26" s="838" t="n"/>
      <c r="Z26" s="838" t="n"/>
      <c r="AA26" s="838" t="n"/>
      <c r="AB26" s="838" t="n"/>
      <c r="AC26" s="2" t="n"/>
      <c r="AD26" s="2" t="n"/>
      <c r="AE26" s="2" t="n"/>
      <c r="AF26" s="2" t="n"/>
      <c r="AG26" s="2" t="n"/>
      <c r="AH26" s="2" t="n"/>
      <c r="AI26" s="2" t="n"/>
      <c r="AJ26" s="2" t="n"/>
      <c r="AK26" s="345" t="n"/>
      <c r="AL26" s="345" t="n"/>
      <c r="AM26" s="345" t="n"/>
      <c r="AN26" s="2" t="n"/>
      <c r="AO26" s="2" t="n"/>
      <c r="AP26" s="2" t="n"/>
      <c r="AQ26" s="2" t="n"/>
      <c r="AR26" s="2" t="n"/>
      <c r="AS26" s="2" t="n"/>
      <c r="AT26" s="2" t="n"/>
      <c r="AU26" s="2" t="n"/>
      <c r="AV26" s="2" t="n"/>
      <c r="AW26" s="2" t="n"/>
      <c r="AX26" s="2" t="n"/>
      <c r="AY26" s="2" t="n"/>
      <c r="AZ26" s="2" t="n"/>
      <c r="BA26" s="2" t="n"/>
      <c r="BB26" s="2" t="n"/>
      <c r="BC26" s="2" t="n"/>
      <c r="BD26" s="2" t="n"/>
      <c r="BE26" s="2" t="n"/>
      <c r="BF26" s="2" t="n"/>
      <c r="BG26" s="2" t="n"/>
      <c r="BH26" s="2" t="n"/>
      <c r="BI26" s="2" t="n"/>
      <c r="BJ26" s="2" t="n"/>
      <c r="BK26" s="2" t="n"/>
      <c r="BL26" s="2" t="n"/>
      <c r="BM26" s="2" t="n"/>
      <c r="BN26" s="2" t="n"/>
      <c r="BO26" s="2" t="n"/>
      <c r="BP26" s="2" t="n"/>
      <c r="BQ26" s="2" t="n"/>
      <c r="BR26" s="2" t="n"/>
      <c r="BS26" s="2" t="n"/>
      <c r="BT26" s="2" t="n"/>
      <c r="BU26" s="2" t="n"/>
      <c r="BV26" s="2" t="n"/>
      <c r="BW26" s="2" t="n"/>
      <c r="BX26" s="2" t="n"/>
      <c r="BY26" s="2" t="n"/>
      <c r="BZ26" s="2" t="n"/>
      <c r="CA26" s="2" t="n"/>
      <c r="CB26" s="2" t="n"/>
      <c r="CC26" s="2" t="n"/>
      <c r="CD26" s="2" t="n"/>
      <c r="CE26" s="2" t="n"/>
      <c r="CF26" s="2" t="n"/>
      <c r="CG26" s="2" t="n"/>
      <c r="CH26" s="2" t="n"/>
      <c r="CI26" s="345" t="n"/>
      <c r="CJ26" s="345" t="n"/>
      <c r="CK26" s="345" t="n"/>
      <c r="CL26" s="345" t="n"/>
      <c r="CM26" s="345" t="n"/>
      <c r="CN26" s="345" t="n"/>
      <c r="CO26" s="345" t="n"/>
      <c r="CP26" s="345" t="n"/>
      <c r="CQ26" s="345" t="n"/>
      <c r="CR26" s="345" t="n"/>
      <c r="CS26" s="345" t="n"/>
      <c r="CT26" s="345" t="n"/>
      <c r="CU26" s="345" t="n"/>
      <c r="CV26" s="345" t="n"/>
      <c r="CW26" s="345" t="n"/>
      <c r="CX26" s="345" t="n"/>
      <c r="CY26" s="345" t="n"/>
      <c r="CZ26" s="345" t="n"/>
      <c r="DA26" s="345" t="n"/>
      <c r="DB26" s="345" t="n"/>
      <c r="DC26" s="345" t="n"/>
      <c r="DD26" s="345" t="n"/>
      <c r="DE26" s="345" t="n"/>
      <c r="DF26" s="345" t="n"/>
      <c r="DG26" s="345" t="n"/>
      <c r="DH26" s="345" t="n"/>
      <c r="DI26" s="390" t="n"/>
      <c r="DJ26" s="345" t="n"/>
      <c r="DK26" s="350" t="n"/>
      <c r="DL26" s="345" t="n"/>
      <c r="DM26" s="345" t="n"/>
      <c r="DN26" s="345" t="n"/>
      <c r="DO26" s="345" t="n"/>
      <c r="DP26" s="345" t="n"/>
      <c r="DQ26" s="345" t="n"/>
      <c r="DR26" s="345" t="n"/>
      <c r="DS26" s="345" t="n"/>
      <c r="DT26" s="345" t="n"/>
    </row>
    <row r="27" ht="15" customFormat="1" customHeight="1" s="196">
      <c r="A27" s="347" t="n"/>
      <c r="B27" s="374" t="n"/>
      <c r="C27" s="836" t="n"/>
      <c r="D27" s="375" t="n"/>
      <c r="E27" s="376" t="n"/>
      <c r="F27" s="837" t="n"/>
      <c r="G27" s="375" t="n"/>
      <c r="H27" s="375" t="n"/>
      <c r="I27" s="375" t="n"/>
      <c r="J27" s="376" t="n"/>
      <c r="K27" s="837" t="n"/>
      <c r="L27" s="374" t="n"/>
      <c r="M27" s="378" t="n"/>
      <c r="N27" s="379" t="n"/>
      <c r="O27" s="438" t="n"/>
      <c r="P27" s="10" t="n"/>
      <c r="Q27" s="17" t="n"/>
      <c r="R27" s="838" t="n"/>
      <c r="S27" s="838" t="n"/>
      <c r="T27" s="838" t="n"/>
      <c r="U27" s="838" t="n"/>
      <c r="V27" s="838" t="n"/>
      <c r="W27" s="838" t="n"/>
      <c r="X27" s="838" t="n"/>
      <c r="Y27" s="838" t="n"/>
      <c r="Z27" s="838" t="n"/>
      <c r="AA27" s="838" t="n"/>
      <c r="AB27" s="838" t="n"/>
      <c r="AC27" s="2" t="n"/>
      <c r="AD27" s="2" t="n"/>
      <c r="AE27" s="2" t="n"/>
      <c r="AF27" s="2" t="n"/>
      <c r="AG27" s="2" t="n"/>
      <c r="AH27" s="2" t="n"/>
      <c r="AI27" s="2" t="n"/>
      <c r="AJ27" s="2" t="n"/>
      <c r="AK27" s="345" t="n"/>
      <c r="AL27" s="345" t="n"/>
      <c r="AM27" s="345" t="n"/>
      <c r="AN27" s="2" t="n"/>
      <c r="AO27" s="2" t="n"/>
      <c r="AP27" s="2" t="n"/>
      <c r="AQ27" s="2" t="n"/>
      <c r="AR27" s="2" t="n"/>
      <c r="AS27" s="2" t="n"/>
      <c r="AT27" s="2" t="n"/>
      <c r="AU27" s="2" t="n"/>
      <c r="AV27" s="2" t="n"/>
      <c r="AW27" s="2" t="n"/>
      <c r="AX27" s="2" t="n"/>
      <c r="AY27" s="2" t="n"/>
      <c r="AZ27" s="2" t="n"/>
      <c r="BA27" s="2" t="n"/>
      <c r="BB27" s="2" t="n"/>
      <c r="BC27" s="2" t="n"/>
      <c r="BD27" s="2" t="n"/>
      <c r="BE27" s="2" t="n"/>
      <c r="BF27" s="2" t="n"/>
      <c r="BG27" s="2" t="n"/>
      <c r="BH27" s="2" t="n"/>
      <c r="BI27" s="2" t="n"/>
      <c r="BJ27" s="2" t="n"/>
      <c r="BK27" s="2" t="n"/>
      <c r="BL27" s="2" t="n"/>
      <c r="BM27" s="2" t="n"/>
      <c r="BN27" s="2" t="n"/>
      <c r="BO27" s="2" t="n"/>
      <c r="BP27" s="2" t="n"/>
      <c r="BQ27" s="2" t="n"/>
      <c r="BR27" s="2" t="n"/>
      <c r="BS27" s="2" t="n"/>
      <c r="BT27" s="2" t="n"/>
      <c r="BU27" s="2" t="n"/>
      <c r="BV27" s="2" t="n"/>
      <c r="BW27" s="2" t="n"/>
      <c r="BX27" s="2" t="n"/>
      <c r="BY27" s="2" t="n"/>
      <c r="BZ27" s="2" t="n"/>
      <c r="CA27" s="2" t="n"/>
      <c r="CB27" s="2" t="n"/>
      <c r="CC27" s="2" t="n"/>
      <c r="CD27" s="2" t="n"/>
      <c r="CE27" s="2" t="n"/>
      <c r="CF27" s="2" t="n"/>
      <c r="CG27" s="2" t="n"/>
      <c r="CH27" s="2" t="n"/>
      <c r="CI27" s="345" t="n"/>
      <c r="CJ27" s="345" t="n"/>
      <c r="CK27" s="345" t="n"/>
      <c r="CL27" s="345" t="n"/>
      <c r="CM27" s="345" t="n"/>
      <c r="CN27" s="345" t="n"/>
      <c r="CO27" s="345" t="n"/>
      <c r="CP27" s="345" t="n"/>
      <c r="CQ27" s="345" t="n"/>
      <c r="CR27" s="345" t="n"/>
      <c r="CS27" s="345" t="n"/>
      <c r="CT27" s="345" t="n"/>
      <c r="CU27" s="345" t="n"/>
      <c r="CV27" s="345" t="n"/>
      <c r="CW27" s="345" t="n"/>
      <c r="CX27" s="345" t="n"/>
      <c r="CY27" s="345" t="n"/>
      <c r="CZ27" s="345" t="n"/>
      <c r="DA27" s="345" t="n"/>
      <c r="DB27" s="345" t="n"/>
      <c r="DC27" s="345" t="n"/>
      <c r="DD27" s="345" t="n"/>
      <c r="DE27" s="345" t="n"/>
      <c r="DF27" s="345" t="n"/>
      <c r="DG27" s="345" t="n"/>
      <c r="DH27" s="345" t="n"/>
      <c r="DI27" s="390" t="n"/>
      <c r="DJ27" s="345" t="n"/>
      <c r="DK27" s="350" t="n"/>
      <c r="DL27" s="345" t="n"/>
      <c r="DM27" s="345" t="n"/>
      <c r="DN27" s="345" t="n"/>
      <c r="DO27" s="345" t="n"/>
      <c r="DP27" s="345" t="n"/>
      <c r="DQ27" s="345" t="n"/>
      <c r="DR27" s="345" t="n"/>
      <c r="DS27" s="345" t="n"/>
      <c r="DT27" s="345" t="n"/>
    </row>
    <row r="28" ht="15" customFormat="1" customHeight="1" s="196">
      <c r="A28" s="347" t="n"/>
      <c r="B28" s="374" t="n"/>
      <c r="C28" s="836" t="n"/>
      <c r="D28" s="375" t="n"/>
      <c r="E28" s="376" t="n"/>
      <c r="F28" s="837" t="n"/>
      <c r="G28" s="375" t="n"/>
      <c r="H28" s="375" t="n"/>
      <c r="I28" s="375" t="n"/>
      <c r="J28" s="376" t="n"/>
      <c r="K28" s="837" t="n"/>
      <c r="L28" s="374" t="n"/>
      <c r="M28" s="378" t="n"/>
      <c r="N28" s="379" t="n"/>
      <c r="O28" s="438" t="n"/>
      <c r="P28" s="10" t="n"/>
      <c r="Q28" s="17" t="n"/>
      <c r="R28" s="838" t="n"/>
      <c r="S28" s="838" t="n"/>
      <c r="T28" s="838" t="n"/>
      <c r="U28" s="838" t="n"/>
      <c r="V28" s="838" t="n"/>
      <c r="W28" s="838" t="n"/>
      <c r="X28" s="838" t="n"/>
      <c r="Y28" s="838" t="n"/>
      <c r="Z28" s="838" t="n"/>
      <c r="AA28" s="838" t="n"/>
      <c r="AB28" s="838" t="n"/>
      <c r="AC28" s="838" t="n"/>
      <c r="AD28" s="838" t="n"/>
      <c r="AE28" s="838" t="n"/>
      <c r="AF28" s="838" t="n"/>
      <c r="AG28" s="838" t="n"/>
      <c r="AH28" s="2" t="n"/>
      <c r="AI28" s="2" t="n"/>
      <c r="AJ28" s="2" t="n"/>
      <c r="AK28" s="2" t="n"/>
      <c r="AL28" s="2" t="n"/>
      <c r="AM28" s="2" t="n"/>
      <c r="AN28" s="2" t="n"/>
      <c r="AO28" s="2" t="n"/>
      <c r="AP28" s="345" t="n"/>
      <c r="AQ28" s="345" t="n"/>
      <c r="AR28" s="345" t="n"/>
      <c r="AS28" s="2" t="n"/>
      <c r="AT28" s="2" t="n"/>
      <c r="AU28" s="2" t="n"/>
      <c r="AV28" s="2" t="n"/>
      <c r="AW28" s="2" t="n"/>
      <c r="AX28" s="2" t="n"/>
      <c r="AY28" s="2" t="n"/>
      <c r="AZ28" s="2" t="n"/>
      <c r="BA28" s="2" t="n"/>
      <c r="BB28" s="2" t="n"/>
      <c r="BC28" s="2" t="n"/>
      <c r="BD28" s="2" t="n"/>
      <c r="BE28" s="2" t="n"/>
      <c r="BF28" s="2" t="n"/>
      <c r="BG28" s="2" t="n"/>
      <c r="BH28" s="2" t="n"/>
      <c r="BI28" s="2" t="n"/>
      <c r="BJ28" s="2" t="n"/>
      <c r="BK28" s="2" t="n"/>
      <c r="BL28" s="2" t="n"/>
      <c r="BM28" s="2" t="n"/>
      <c r="BN28" s="2" t="n"/>
      <c r="BO28" s="2" t="n"/>
      <c r="BP28" s="2" t="n"/>
      <c r="BQ28" s="2" t="n"/>
      <c r="BR28" s="2" t="n"/>
      <c r="BS28" s="2" t="n"/>
      <c r="BT28" s="2" t="n"/>
      <c r="BU28" s="2" t="n"/>
      <c r="BV28" s="2" t="n"/>
      <c r="BW28" s="2" t="n"/>
      <c r="BX28" s="2" t="n"/>
      <c r="BY28" s="2" t="n"/>
      <c r="BZ28" s="2" t="n"/>
      <c r="CA28" s="2" t="n"/>
      <c r="CB28" s="2" t="n"/>
      <c r="CC28" s="2" t="n"/>
      <c r="CD28" s="2" t="n"/>
      <c r="CE28" s="2" t="n"/>
      <c r="CF28" s="2" t="n"/>
      <c r="CG28" s="2" t="n"/>
      <c r="CH28" s="2" t="n"/>
      <c r="CI28" s="2" t="n"/>
      <c r="CJ28" s="2" t="n"/>
      <c r="CK28" s="2" t="n"/>
      <c r="CL28" s="2" t="n"/>
      <c r="CM28" s="2" t="n"/>
      <c r="CN28" s="345" t="n"/>
      <c r="CO28" s="345" t="n"/>
      <c r="CP28" s="345" t="n"/>
      <c r="CQ28" s="345" t="n"/>
      <c r="CR28" s="345" t="n"/>
      <c r="CS28" s="345" t="n"/>
      <c r="CT28" s="345" t="n"/>
      <c r="CU28" s="345" t="n"/>
      <c r="CV28" s="345" t="n"/>
      <c r="CW28" s="345" t="n"/>
      <c r="CX28" s="345" t="n"/>
      <c r="CY28" s="345" t="n"/>
      <c r="CZ28" s="345" t="n"/>
      <c r="DA28" s="345" t="n"/>
      <c r="DB28" s="345" t="n"/>
      <c r="DC28" s="345" t="n"/>
      <c r="DD28" s="345" t="n"/>
      <c r="DE28" s="345" t="n"/>
      <c r="DF28" s="345" t="n"/>
      <c r="DG28" s="345" t="n"/>
      <c r="DH28" s="345" t="n"/>
      <c r="DI28" s="345" t="n"/>
      <c r="DJ28" s="345" t="n"/>
      <c r="DK28" s="345" t="n"/>
      <c r="DL28" s="345" t="n"/>
      <c r="DM28" s="345" t="n"/>
      <c r="DN28" s="390" t="n"/>
      <c r="DO28" s="345" t="n"/>
      <c r="DP28" s="350" t="n"/>
      <c r="DQ28" s="345" t="n"/>
      <c r="DR28" s="345" t="n"/>
      <c r="DS28" s="345" t="n"/>
      <c r="DT28" s="345" t="n"/>
    </row>
    <row r="29" ht="15" customFormat="1" customHeight="1" s="196">
      <c r="A29" s="347" t="n"/>
      <c r="B29" s="374" t="n"/>
      <c r="C29" s="836" t="n"/>
      <c r="D29" s="375" t="n"/>
      <c r="E29" s="376" t="n"/>
      <c r="F29" s="837" t="n"/>
      <c r="G29" s="375" t="n"/>
      <c r="H29" s="375" t="n"/>
      <c r="I29" s="375" t="n"/>
      <c r="J29" s="376" t="n"/>
      <c r="K29" s="837" t="n"/>
      <c r="L29" s="374" t="n"/>
      <c r="M29" s="378" t="n"/>
      <c r="N29" s="379" t="n"/>
      <c r="O29" s="438" t="n"/>
      <c r="P29" s="10" t="n"/>
      <c r="Q29" s="17" t="n"/>
      <c r="R29" s="838" t="n"/>
      <c r="S29" s="838" t="n"/>
      <c r="T29" s="838" t="n"/>
      <c r="U29" s="838" t="n"/>
      <c r="V29" s="838" t="n"/>
      <c r="W29" s="838" t="n"/>
      <c r="X29" s="838" t="n"/>
      <c r="Y29" s="838" t="n"/>
      <c r="Z29" s="838" t="n"/>
      <c r="AA29" s="838" t="n"/>
      <c r="AB29" s="838" t="n"/>
      <c r="AC29" s="838" t="n"/>
      <c r="AD29" s="838" t="n"/>
      <c r="AE29" s="838" t="n"/>
      <c r="AF29" s="838" t="n"/>
      <c r="AG29" s="838" t="n"/>
      <c r="AH29" s="2" t="n"/>
      <c r="AI29" s="2" t="n"/>
      <c r="AJ29" s="2" t="n"/>
      <c r="AK29" s="2" t="n"/>
      <c r="AL29" s="2" t="n"/>
      <c r="AM29" s="2" t="n"/>
      <c r="AN29" s="2" t="n"/>
      <c r="AO29" s="2" t="n"/>
      <c r="AP29" s="345" t="n"/>
      <c r="AQ29" s="345" t="n"/>
      <c r="AR29" s="345" t="n"/>
      <c r="AS29" s="2" t="n"/>
      <c r="AT29" s="2" t="n"/>
      <c r="AU29" s="2" t="n"/>
      <c r="AV29" s="2" t="n"/>
      <c r="AW29" s="2" t="n"/>
      <c r="AX29" s="2" t="n"/>
      <c r="AY29" s="2" t="n"/>
      <c r="AZ29" s="2" t="n"/>
      <c r="BA29" s="2" t="n"/>
      <c r="BB29" s="2" t="n"/>
      <c r="BC29" s="2" t="n"/>
      <c r="BD29" s="2" t="n"/>
      <c r="BE29" s="2" t="n"/>
      <c r="BF29" s="2" t="n"/>
      <c r="BG29" s="2" t="n"/>
      <c r="BH29" s="2" t="n"/>
      <c r="BI29" s="2" t="n"/>
      <c r="BJ29" s="2" t="n"/>
      <c r="BK29" s="2" t="n"/>
      <c r="BL29" s="2" t="n"/>
      <c r="BM29" s="2" t="n"/>
      <c r="BN29" s="2" t="n"/>
      <c r="BO29" s="2" t="n"/>
      <c r="BP29" s="2" t="n"/>
      <c r="BQ29" s="2" t="n"/>
      <c r="BR29" s="2" t="n"/>
      <c r="BS29" s="2" t="n"/>
      <c r="BT29" s="2" t="n"/>
      <c r="BU29" s="2" t="n"/>
      <c r="BV29" s="2" t="n"/>
      <c r="BW29" s="2" t="n"/>
      <c r="BX29" s="2" t="n"/>
      <c r="BY29" s="2" t="n"/>
      <c r="BZ29" s="2" t="n"/>
      <c r="CA29" s="2" t="n"/>
      <c r="CB29" s="2" t="n"/>
      <c r="CC29" s="2" t="n"/>
      <c r="CD29" s="2" t="n"/>
      <c r="CE29" s="2" t="n"/>
      <c r="CF29" s="2" t="n"/>
      <c r="CG29" s="2" t="n"/>
      <c r="CH29" s="2" t="n"/>
      <c r="CI29" s="2" t="n"/>
      <c r="CJ29" s="2" t="n"/>
      <c r="CK29" s="2" t="n"/>
      <c r="CL29" s="2" t="n"/>
      <c r="CM29" s="2" t="n"/>
      <c r="CN29" s="345" t="n"/>
      <c r="CO29" s="345" t="n"/>
      <c r="CP29" s="345" t="n"/>
      <c r="CQ29" s="345" t="n"/>
      <c r="CR29" s="345" t="n"/>
      <c r="CS29" s="345" t="n"/>
      <c r="CT29" s="345" t="n"/>
      <c r="CU29" s="345" t="n"/>
      <c r="CV29" s="345" t="n"/>
      <c r="CW29" s="345" t="n"/>
      <c r="CX29" s="345" t="n"/>
      <c r="CY29" s="345" t="n"/>
      <c r="CZ29" s="345" t="n"/>
      <c r="DA29" s="345" t="n"/>
      <c r="DB29" s="345" t="n"/>
      <c r="DC29" s="345" t="n"/>
      <c r="DD29" s="345" t="n"/>
      <c r="DE29" s="345" t="n"/>
      <c r="DF29" s="345" t="n"/>
      <c r="DG29" s="345" t="n"/>
      <c r="DH29" s="345" t="n"/>
      <c r="DI29" s="345" t="n"/>
      <c r="DJ29" s="345" t="n"/>
      <c r="DK29" s="345" t="n"/>
      <c r="DL29" s="345" t="n"/>
      <c r="DM29" s="345" t="n"/>
      <c r="DN29" s="390" t="n"/>
      <c r="DO29" s="345" t="n"/>
      <c r="DP29" s="350" t="n"/>
      <c r="DQ29" s="345" t="n"/>
      <c r="DR29" s="345" t="n"/>
      <c r="DS29" s="345" t="n"/>
      <c r="DT29" s="345" t="n"/>
    </row>
    <row r="30" ht="15" customFormat="1" customHeight="1" s="196">
      <c r="A30" s="347" t="n"/>
      <c r="B30" s="374" t="n"/>
      <c r="C30" s="836" t="n"/>
      <c r="D30" s="375" t="n"/>
      <c r="E30" s="376" t="n"/>
      <c r="F30" s="837" t="n"/>
      <c r="G30" s="375" t="n"/>
      <c r="H30" s="375" t="n"/>
      <c r="I30" s="375" t="n"/>
      <c r="J30" s="376" t="n"/>
      <c r="K30" s="837" t="n"/>
      <c r="L30" s="374" t="n"/>
      <c r="M30" s="378" t="n"/>
      <c r="N30" s="379" t="n"/>
      <c r="O30" s="438" t="n"/>
      <c r="P30" s="10" t="n"/>
      <c r="Q30" s="17" t="n"/>
      <c r="R30" s="838" t="n"/>
      <c r="S30" s="838" t="n"/>
      <c r="T30" s="838" t="n"/>
      <c r="U30" s="838" t="n"/>
      <c r="V30" s="838" t="n"/>
      <c r="W30" s="838" t="n"/>
      <c r="X30" s="838" t="n"/>
      <c r="Y30" s="838" t="n"/>
      <c r="Z30" s="838" t="n"/>
      <c r="AA30" s="838" t="n"/>
      <c r="AB30" s="838" t="n"/>
      <c r="AC30" s="838" t="n"/>
      <c r="AD30" s="838" t="n"/>
      <c r="AE30" s="838" t="n"/>
      <c r="AF30" s="838" t="n"/>
      <c r="AG30" s="838" t="n"/>
      <c r="AH30" s="2" t="n"/>
      <c r="AI30" s="2" t="n"/>
      <c r="AJ30" s="2" t="n"/>
      <c r="AK30" s="2" t="n"/>
      <c r="AL30" s="2" t="n"/>
      <c r="AM30" s="2" t="n"/>
      <c r="AN30" s="2" t="n"/>
      <c r="AO30" s="2" t="n"/>
      <c r="AP30" s="345" t="n"/>
      <c r="AQ30" s="345" t="n"/>
      <c r="AR30" s="345" t="n"/>
      <c r="AS30" s="2" t="n"/>
      <c r="AT30" s="2" t="n"/>
      <c r="AU30" s="2" t="n"/>
      <c r="AV30" s="2" t="n"/>
      <c r="AW30" s="2" t="n"/>
      <c r="AX30" s="2" t="n"/>
      <c r="AY30" s="2" t="n"/>
      <c r="AZ30" s="2" t="n"/>
      <c r="BA30" s="2" t="n"/>
      <c r="BB30" s="2" t="n"/>
      <c r="BC30" s="2" t="n"/>
      <c r="BD30" s="2" t="n"/>
      <c r="BE30" s="2" t="n"/>
      <c r="BF30" s="2" t="n"/>
      <c r="BG30" s="2" t="n"/>
      <c r="BH30" s="2" t="n"/>
      <c r="BI30" s="2" t="n"/>
      <c r="BJ30" s="2" t="n"/>
      <c r="BK30" s="2" t="n"/>
      <c r="BL30" s="2" t="n"/>
      <c r="BM30" s="2" t="n"/>
      <c r="BN30" s="2" t="n"/>
      <c r="BO30" s="2" t="n"/>
      <c r="BP30" s="2" t="n"/>
      <c r="BQ30" s="2" t="n"/>
      <c r="BR30" s="2" t="n"/>
      <c r="BS30" s="2" t="n"/>
      <c r="BT30" s="2" t="n"/>
      <c r="BU30" s="2" t="n"/>
      <c r="BV30" s="2" t="n"/>
      <c r="BW30" s="2" t="n"/>
      <c r="BX30" s="2" t="n"/>
      <c r="BY30" s="2" t="n"/>
      <c r="BZ30" s="2" t="n"/>
      <c r="CA30" s="2" t="n"/>
      <c r="CB30" s="2" t="n"/>
      <c r="CC30" s="2" t="n"/>
      <c r="CD30" s="2" t="n"/>
      <c r="CE30" s="2" t="n"/>
      <c r="CF30" s="2" t="n"/>
      <c r="CG30" s="2" t="n"/>
      <c r="CH30" s="2" t="n"/>
      <c r="CI30" s="2" t="n"/>
      <c r="CJ30" s="2" t="n"/>
      <c r="CK30" s="2" t="n"/>
      <c r="CL30" s="2" t="n"/>
      <c r="CM30" s="2" t="n"/>
      <c r="CN30" s="345" t="n"/>
      <c r="CO30" s="345" t="n"/>
      <c r="CP30" s="345" t="n"/>
      <c r="CQ30" s="345" t="n"/>
      <c r="CR30" s="345" t="n"/>
      <c r="CS30" s="345" t="n"/>
      <c r="CT30" s="345" t="n"/>
      <c r="CU30" s="345" t="n"/>
      <c r="CV30" s="345" t="n"/>
      <c r="CW30" s="345" t="n"/>
      <c r="CX30" s="345" t="n"/>
      <c r="CY30" s="345" t="n"/>
      <c r="CZ30" s="345" t="n"/>
      <c r="DA30" s="345" t="n"/>
      <c r="DB30" s="345" t="n"/>
      <c r="DC30" s="345" t="n"/>
      <c r="DD30" s="345" t="n"/>
      <c r="DE30" s="345" t="n"/>
      <c r="DF30" s="345" t="n"/>
      <c r="DG30" s="345" t="n"/>
      <c r="DH30" s="345" t="n"/>
      <c r="DI30" s="345" t="n"/>
      <c r="DJ30" s="345" t="n"/>
      <c r="DK30" s="345" t="n"/>
      <c r="DL30" s="345" t="n"/>
      <c r="DM30" s="345" t="n"/>
      <c r="DN30" s="390" t="n"/>
      <c r="DO30" s="345" t="n"/>
      <c r="DP30" s="350" t="n"/>
      <c r="DQ30" s="345" t="n"/>
      <c r="DR30" s="345" t="n"/>
      <c r="DS30" s="345" t="n"/>
      <c r="DT30" s="345" t="n"/>
    </row>
    <row r="31" ht="15" customFormat="1" customHeight="1" s="196">
      <c r="A31" s="347" t="n"/>
      <c r="B31" s="381" t="n"/>
      <c r="C31" s="839" t="n"/>
      <c r="D31" s="382" t="n"/>
      <c r="E31" s="376" t="n"/>
      <c r="F31" s="837" t="n"/>
      <c r="G31" s="375" t="n"/>
      <c r="H31" s="375" t="n"/>
      <c r="I31" s="375" t="n"/>
      <c r="J31" s="376" t="n"/>
      <c r="K31" s="837" t="n"/>
      <c r="L31" s="381" t="n"/>
      <c r="M31" s="383" t="n"/>
      <c r="N31" s="384" t="n"/>
      <c r="O31" s="438" t="n"/>
      <c r="P31" s="10" t="n"/>
      <c r="Q31" s="17" t="n"/>
      <c r="R31" s="838" t="n"/>
      <c r="S31" s="838" t="n"/>
      <c r="T31" s="838" t="n"/>
      <c r="U31" s="838" t="n"/>
      <c r="V31" s="838" t="n"/>
      <c r="W31" s="838" t="n"/>
      <c r="X31" s="838" t="n"/>
      <c r="Y31" s="838" t="n"/>
      <c r="Z31" s="838" t="n"/>
      <c r="AA31" s="838" t="n"/>
      <c r="AB31" s="838" t="n"/>
      <c r="AC31" s="838" t="n"/>
      <c r="AD31" s="838" t="n"/>
      <c r="AE31" s="838" t="n"/>
      <c r="AF31" s="838" t="n"/>
      <c r="AG31" s="838" t="n"/>
      <c r="AH31" s="2" t="n"/>
      <c r="AI31" s="2" t="n"/>
      <c r="AJ31" s="2" t="n"/>
      <c r="AK31" s="2" t="n"/>
      <c r="AL31" s="2" t="n"/>
      <c r="AM31" s="2" t="n"/>
      <c r="AN31" s="2" t="n"/>
      <c r="AO31" s="2" t="n"/>
      <c r="AP31" s="345" t="n"/>
      <c r="AQ31" s="345" t="n"/>
      <c r="AR31" s="345" t="n"/>
      <c r="AS31" s="2" t="n"/>
      <c r="AT31" s="2" t="n"/>
      <c r="AU31" s="2" t="n"/>
      <c r="AV31" s="2" t="n"/>
      <c r="AW31" s="2" t="n"/>
      <c r="AX31" s="2" t="n"/>
      <c r="AY31" s="2" t="n"/>
      <c r="AZ31" s="2" t="n"/>
      <c r="BA31" s="2" t="n"/>
      <c r="BB31" s="2" t="n"/>
      <c r="BC31" s="2" t="n"/>
      <c r="BD31" s="2" t="n"/>
      <c r="BE31" s="2" t="n"/>
      <c r="BF31" s="2" t="n"/>
      <c r="BG31" s="2" t="n"/>
      <c r="BH31" s="2" t="n"/>
      <c r="BI31" s="2" t="n"/>
      <c r="BJ31" s="2" t="n"/>
      <c r="BK31" s="2" t="n"/>
      <c r="BL31" s="2" t="n"/>
      <c r="BM31" s="2" t="n"/>
      <c r="BN31" s="2" t="n"/>
      <c r="BO31" s="2" t="n"/>
      <c r="BP31" s="2" t="n"/>
      <c r="BQ31" s="2" t="n"/>
      <c r="BR31" s="2" t="n"/>
      <c r="BS31" s="2" t="n"/>
      <c r="BT31" s="2" t="n"/>
      <c r="BU31" s="2" t="n"/>
      <c r="BV31" s="2" t="n"/>
      <c r="BW31" s="2" t="n"/>
      <c r="BX31" s="2" t="n"/>
      <c r="BY31" s="2" t="n"/>
      <c r="BZ31" s="2" t="n"/>
      <c r="CA31" s="2" t="n"/>
      <c r="CB31" s="2" t="n"/>
      <c r="CC31" s="2" t="n"/>
      <c r="CD31" s="2" t="n"/>
      <c r="CE31" s="2" t="n"/>
      <c r="CF31" s="2" t="n"/>
      <c r="CG31" s="2" t="n"/>
      <c r="CH31" s="2" t="n"/>
      <c r="CI31" s="2" t="n"/>
      <c r="CJ31" s="2" t="n"/>
      <c r="CK31" s="2" t="n"/>
      <c r="CL31" s="2" t="n"/>
      <c r="CM31" s="2" t="n"/>
      <c r="CN31" s="345" t="n"/>
      <c r="CO31" s="345" t="n"/>
      <c r="CP31" s="345" t="n"/>
      <c r="CQ31" s="345" t="n"/>
      <c r="CR31" s="345" t="n"/>
      <c r="CS31" s="345" t="n"/>
      <c r="CT31" s="345" t="n"/>
      <c r="CU31" s="345" t="n"/>
      <c r="CV31" s="345" t="n"/>
      <c r="CW31" s="345" t="n"/>
      <c r="CX31" s="345" t="n"/>
      <c r="CY31" s="345" t="n"/>
      <c r="CZ31" s="345" t="n"/>
      <c r="DA31" s="345" t="n"/>
      <c r="DB31" s="345" t="n"/>
      <c r="DC31" s="345" t="n"/>
      <c r="DD31" s="345" t="n"/>
      <c r="DE31" s="345" t="n"/>
      <c r="DF31" s="345" t="n"/>
      <c r="DG31" s="345" t="n"/>
      <c r="DH31" s="345" t="n"/>
      <c r="DI31" s="345" t="n"/>
      <c r="DJ31" s="345" t="n"/>
      <c r="DK31" s="345" t="n"/>
      <c r="DL31" s="345" t="n"/>
      <c r="DM31" s="345" t="n"/>
      <c r="DN31" s="390" t="n"/>
      <c r="DO31" s="345" t="n"/>
      <c r="DP31" s="350" t="n"/>
      <c r="DQ31" s="345" t="n"/>
      <c r="DR31" s="345" t="n"/>
      <c r="DS31" s="345" t="n"/>
      <c r="DT31" s="345" t="n"/>
    </row>
    <row r="32" ht="15" customFormat="1" customHeight="1" s="196">
      <c r="A32" s="347" t="n"/>
      <c r="B32" s="385" t="n"/>
      <c r="C32" s="385" t="n"/>
      <c r="D32" s="385" t="n"/>
      <c r="E32" s="385" t="n"/>
      <c r="F32" s="385" t="n"/>
      <c r="G32" s="385" t="n"/>
      <c r="H32" s="385" t="n"/>
      <c r="I32" s="385" t="n"/>
      <c r="J32" s="385" t="n"/>
      <c r="K32" s="345" t="n"/>
      <c r="L32" s="345" t="n"/>
      <c r="M32" s="345" t="n"/>
      <c r="N32" s="345" t="n"/>
      <c r="O32" s="345" t="n"/>
      <c r="P32" s="10" t="n"/>
      <c r="Q32" s="17" t="n"/>
      <c r="R32" s="826" t="n"/>
      <c r="S32" s="826" t="n"/>
      <c r="T32" s="826" t="n"/>
      <c r="U32" s="826" t="n"/>
      <c r="V32" s="826" t="n"/>
      <c r="W32" s="826" t="n"/>
      <c r="X32" s="826" t="n"/>
      <c r="Y32" s="826" t="n"/>
      <c r="Z32" s="826" t="n"/>
      <c r="AA32" s="826" t="n"/>
      <c r="AB32" s="826" t="n"/>
      <c r="AC32" s="826" t="n"/>
      <c r="AD32" s="826" t="n"/>
      <c r="AE32" s="826" t="n"/>
      <c r="AF32" s="826" t="n"/>
      <c r="AG32" s="826" t="n"/>
      <c r="AH32" s="826" t="n"/>
      <c r="AI32" s="826" t="n"/>
      <c r="AJ32" s="826" t="n"/>
      <c r="AK32" s="826" t="n"/>
      <c r="AL32" s="2" t="n"/>
      <c r="AM32" s="2" t="n"/>
      <c r="AN32" s="2" t="n"/>
      <c r="AO32" s="2" t="n"/>
      <c r="AP32" s="2" t="n"/>
      <c r="AQ32" s="2" t="n"/>
      <c r="AR32" s="2" t="n"/>
      <c r="AS32" s="2" t="n"/>
      <c r="AT32" s="345" t="n"/>
      <c r="AU32" s="345" t="n"/>
      <c r="AV32" s="345" t="n"/>
      <c r="AW32" s="2" t="n"/>
      <c r="AX32" s="2" t="n"/>
      <c r="AY32" s="2" t="n"/>
      <c r="AZ32" s="2" t="n"/>
      <c r="BA32" s="2" t="n"/>
      <c r="BB32" s="2" t="n"/>
      <c r="BC32" s="2" t="n"/>
      <c r="BD32" s="2" t="n"/>
      <c r="BE32" s="2" t="n"/>
      <c r="BF32" s="2" t="n"/>
      <c r="BG32" s="2" t="n"/>
      <c r="BH32" s="2" t="n"/>
      <c r="BI32" s="2" t="n"/>
      <c r="BJ32" s="2" t="n"/>
      <c r="BK32" s="2" t="n"/>
      <c r="BL32" s="2" t="n"/>
      <c r="BM32" s="2" t="n"/>
      <c r="BN32" s="2" t="n"/>
      <c r="BO32" s="2" t="n"/>
      <c r="BP32" s="2" t="n"/>
      <c r="BQ32" s="2" t="n"/>
      <c r="BR32" s="2" t="n"/>
      <c r="BS32" s="2" t="n"/>
      <c r="BT32" s="2" t="n"/>
      <c r="BU32" s="2" t="n"/>
      <c r="BV32" s="2" t="n"/>
      <c r="BW32" s="2" t="n"/>
      <c r="BX32" s="2" t="n"/>
      <c r="BY32" s="2" t="n"/>
      <c r="BZ32" s="2" t="n"/>
      <c r="CA32" s="2" t="n"/>
      <c r="CB32" s="2" t="n"/>
      <c r="CC32" s="2" t="n"/>
      <c r="CD32" s="2" t="n"/>
      <c r="CE32" s="2" t="n"/>
      <c r="CF32" s="2" t="n"/>
      <c r="CG32" s="2" t="n"/>
      <c r="CH32" s="2" t="n"/>
      <c r="CI32" s="2" t="n"/>
      <c r="CJ32" s="2" t="n"/>
      <c r="CK32" s="2" t="n"/>
      <c r="CL32" s="2" t="n"/>
      <c r="CM32" s="2" t="n"/>
      <c r="CN32" s="2" t="n"/>
      <c r="CO32" s="2" t="n"/>
      <c r="CP32" s="2" t="n"/>
      <c r="CQ32" s="2" t="n"/>
      <c r="CR32" s="345" t="n"/>
      <c r="CS32" s="345" t="n"/>
      <c r="CT32" s="345" t="n"/>
      <c r="CU32" s="345" t="n"/>
      <c r="CV32" s="345" t="n"/>
      <c r="CW32" s="345" t="n"/>
      <c r="CX32" s="345" t="n"/>
      <c r="CY32" s="345" t="n"/>
      <c r="CZ32" s="345" t="n"/>
      <c r="DA32" s="345" t="n"/>
      <c r="DB32" s="345" t="n"/>
      <c r="DC32" s="345" t="n"/>
      <c r="DD32" s="345" t="n"/>
      <c r="DE32" s="345" t="n"/>
      <c r="DF32" s="345" t="n"/>
      <c r="DG32" s="345" t="n"/>
      <c r="DH32" s="345" t="n"/>
      <c r="DI32" s="345" t="n"/>
      <c r="DJ32" s="345" t="n"/>
      <c r="DK32" s="345" t="n"/>
      <c r="DL32" s="345" t="n"/>
      <c r="DM32" s="345" t="n"/>
      <c r="DN32" s="345" t="n"/>
      <c r="DO32" s="345" t="n"/>
      <c r="DP32" s="345" t="n"/>
      <c r="DQ32" s="345" t="n"/>
      <c r="DR32" s="390" t="n"/>
      <c r="DS32" s="345" t="n"/>
      <c r="DT32" s="350" t="n"/>
    </row>
    <row r="33" ht="15" customFormat="1" customHeight="1" s="196">
      <c r="A33" s="347" t="n"/>
      <c r="B33" s="4" t="n"/>
      <c r="C33" s="4" t="n"/>
      <c r="D33" s="4" t="n"/>
      <c r="E33" s="4" t="n"/>
      <c r="F33" s="4" t="n"/>
      <c r="G33" s="345" t="n"/>
      <c r="H33" s="345" t="n"/>
      <c r="I33" s="345" t="n"/>
      <c r="J33" s="345" t="n"/>
      <c r="K33" s="345" t="n"/>
      <c r="L33" s="345" t="n"/>
      <c r="M33" s="345" t="n"/>
      <c r="N33" s="345" t="n"/>
      <c r="O33" s="345" t="n"/>
      <c r="P33" s="10" t="n"/>
      <c r="Q33" s="17" t="n"/>
      <c r="R33" s="826" t="n"/>
      <c r="S33" s="826" t="n"/>
      <c r="T33" s="826" t="n"/>
      <c r="U33" s="826" t="n"/>
      <c r="V33" s="826" t="n"/>
      <c r="W33" s="826" t="n"/>
      <c r="X33" s="826" t="n"/>
      <c r="Y33" s="826" t="n"/>
      <c r="Z33" s="826" t="n"/>
      <c r="AA33" s="826" t="n"/>
      <c r="AB33" s="826" t="n"/>
      <c r="AC33" s="826" t="n"/>
      <c r="AD33" s="826" t="n"/>
      <c r="AE33" s="826" t="n"/>
      <c r="AF33" s="826" t="n"/>
      <c r="AG33" s="826" t="n"/>
      <c r="AH33" s="826" t="n"/>
      <c r="AI33" s="826" t="n"/>
      <c r="AJ33" s="826" t="n"/>
      <c r="AK33" s="826" t="n"/>
      <c r="AL33" s="2" t="n"/>
      <c r="AM33" s="2" t="n"/>
      <c r="AN33" s="2" t="n"/>
      <c r="AO33" s="2" t="n"/>
      <c r="AP33" s="2" t="n"/>
      <c r="AQ33" s="2" t="n"/>
      <c r="AR33" s="2" t="n"/>
      <c r="AS33" s="2" t="n"/>
      <c r="AT33" s="345" t="n"/>
      <c r="AU33" s="345" t="n"/>
      <c r="AV33" s="345" t="n"/>
      <c r="AW33" s="2" t="n"/>
      <c r="AX33" s="2" t="n"/>
      <c r="AY33" s="2" t="n"/>
      <c r="AZ33" s="2" t="n"/>
      <c r="BA33" s="2" t="n"/>
      <c r="BB33" s="2" t="n"/>
      <c r="BC33" s="2" t="n"/>
      <c r="BD33" s="2" t="n"/>
      <c r="BE33" s="2" t="n"/>
      <c r="BF33" s="2" t="n"/>
      <c r="BG33" s="2" t="n"/>
      <c r="BH33" s="2" t="n"/>
      <c r="BI33" s="2" t="n"/>
      <c r="BJ33" s="2" t="n"/>
      <c r="BK33" s="2" t="n"/>
      <c r="BL33" s="2" t="n"/>
      <c r="BM33" s="2" t="n"/>
      <c r="BN33" s="2" t="n"/>
      <c r="BO33" s="2" t="n"/>
      <c r="BP33" s="2" t="n"/>
      <c r="BQ33" s="2" t="n"/>
      <c r="BR33" s="2" t="n"/>
      <c r="BS33" s="2" t="n"/>
      <c r="BT33" s="2" t="n"/>
      <c r="BU33" s="2" t="n"/>
      <c r="BV33" s="2" t="n"/>
      <c r="BW33" s="2" t="n"/>
      <c r="BX33" s="2" t="n"/>
      <c r="BY33" s="2" t="n"/>
      <c r="BZ33" s="2" t="n"/>
      <c r="CA33" s="2" t="n"/>
      <c r="CB33" s="2" t="n"/>
      <c r="CC33" s="2" t="n"/>
      <c r="CD33" s="2" t="n"/>
      <c r="CE33" s="2" t="n"/>
      <c r="CF33" s="2" t="n"/>
      <c r="CG33" s="2" t="n"/>
      <c r="CH33" s="2" t="n"/>
      <c r="CI33" s="2" t="n"/>
      <c r="CJ33" s="2" t="n"/>
      <c r="CK33" s="2" t="n"/>
      <c r="CL33" s="2" t="n"/>
      <c r="CM33" s="2" t="n"/>
      <c r="CN33" s="2" t="n"/>
      <c r="CO33" s="2" t="n"/>
      <c r="CP33" s="2" t="n"/>
      <c r="CQ33" s="2" t="n"/>
      <c r="CR33" s="345" t="n"/>
      <c r="CS33" s="345" t="n"/>
      <c r="CT33" s="345" t="n"/>
      <c r="CU33" s="345" t="n"/>
      <c r="CV33" s="345" t="n"/>
      <c r="CW33" s="345" t="n"/>
      <c r="CX33" s="345" t="n"/>
      <c r="CY33" s="345" t="n"/>
      <c r="CZ33" s="345" t="n"/>
      <c r="DA33" s="345" t="n"/>
      <c r="DB33" s="345" t="n"/>
      <c r="DC33" s="345" t="n"/>
      <c r="DD33" s="345" t="n"/>
      <c r="DE33" s="345" t="n"/>
      <c r="DF33" s="345" t="n"/>
      <c r="DG33" s="345" t="n"/>
      <c r="DH33" s="345" t="n"/>
      <c r="DI33" s="345" t="n"/>
      <c r="DJ33" s="345" t="n"/>
      <c r="DK33" s="345" t="n"/>
      <c r="DL33" s="345" t="n"/>
      <c r="DM33" s="345" t="n"/>
      <c r="DN33" s="345" t="n"/>
      <c r="DO33" s="345" t="n"/>
      <c r="DP33" s="345" t="n"/>
      <c r="DQ33" s="345" t="n"/>
      <c r="DR33" s="390" t="n"/>
      <c r="DS33" s="345" t="n"/>
      <c r="DT33" s="350" t="n"/>
      <c r="DU33" s="345" t="n"/>
      <c r="DV33" s="345" t="n"/>
      <c r="DW33" s="345" t="n"/>
      <c r="DX33" s="345" t="n"/>
    </row>
    <row r="34" ht="24.95" customFormat="1" customHeight="1" s="196">
      <c r="A34" s="347" t="n"/>
      <c r="B34" s="352" t="inlineStr">
        <is>
          <t>其他异常项测试</t>
        </is>
      </c>
      <c r="C34" s="353" t="n"/>
      <c r="D34" s="353" t="n"/>
      <c r="E34" s="353" t="n"/>
      <c r="F34" s="353" t="n"/>
      <c r="G34" s="365" t="n"/>
      <c r="H34" s="365" t="n"/>
      <c r="I34" s="365" t="n"/>
      <c r="J34" s="365" t="n"/>
      <c r="K34" s="365" t="n"/>
      <c r="L34" s="365" t="n"/>
      <c r="M34" s="365" t="n"/>
      <c r="N34" s="365" t="n"/>
      <c r="O34" s="365" t="n"/>
      <c r="P34" s="10" t="n"/>
      <c r="Q34" s="17" t="n"/>
      <c r="R34" s="826" t="n"/>
      <c r="S34" s="826" t="n"/>
      <c r="T34" s="826" t="n"/>
      <c r="U34" s="826" t="n"/>
      <c r="V34" s="826" t="n"/>
      <c r="W34" s="826" t="n"/>
      <c r="X34" s="826" t="n"/>
      <c r="Y34" s="826" t="n"/>
      <c r="Z34" s="826" t="n"/>
      <c r="AA34" s="826" t="n"/>
      <c r="AB34" s="826" t="n"/>
      <c r="AC34" s="826" t="n"/>
      <c r="AD34" s="826" t="n"/>
      <c r="AE34" s="826" t="n"/>
      <c r="AF34" s="826" t="n"/>
      <c r="AG34" s="826" t="n"/>
      <c r="AH34" s="826" t="n"/>
      <c r="AI34" s="826" t="n"/>
      <c r="AJ34" s="826" t="n"/>
      <c r="AK34" s="826" t="n"/>
      <c r="AL34" s="2" t="n"/>
      <c r="AM34" s="2" t="n"/>
      <c r="AN34" s="2" t="n"/>
      <c r="AO34" s="2" t="n"/>
      <c r="AP34" s="2" t="n"/>
      <c r="AQ34" s="2" t="n"/>
      <c r="AR34" s="2" t="n"/>
      <c r="AS34" s="2" t="n"/>
      <c r="AT34" s="345" t="n"/>
      <c r="AU34" s="345" t="n"/>
      <c r="AV34" s="345" t="n"/>
      <c r="AW34" s="2" t="n"/>
      <c r="AX34" s="2" t="n"/>
      <c r="AY34" s="2" t="n"/>
      <c r="AZ34" s="2" t="n"/>
      <c r="BA34" s="2" t="n"/>
      <c r="BB34" s="2" t="n"/>
      <c r="BC34" s="2" t="n"/>
      <c r="BD34" s="2" t="n"/>
      <c r="BE34" s="2" t="n"/>
      <c r="BF34" s="2" t="n"/>
      <c r="BG34" s="2" t="n"/>
      <c r="BH34" s="2" t="n"/>
      <c r="BI34" s="2" t="n"/>
      <c r="BJ34" s="2" t="n"/>
      <c r="BK34" s="2" t="n"/>
      <c r="BL34" s="2" t="n"/>
      <c r="BM34" s="2" t="n"/>
      <c r="BN34" s="2" t="n"/>
      <c r="BO34" s="2" t="n"/>
      <c r="BP34" s="2" t="n"/>
      <c r="BQ34" s="2" t="n"/>
      <c r="BR34" s="2" t="n"/>
      <c r="BS34" s="2" t="n"/>
      <c r="BT34" s="2" t="n"/>
      <c r="BU34" s="2" t="n"/>
      <c r="BV34" s="2" t="n"/>
      <c r="BW34" s="2" t="n"/>
      <c r="BX34" s="2" t="n"/>
      <c r="BY34" s="2" t="n"/>
      <c r="BZ34" s="2" t="n"/>
      <c r="CA34" s="2" t="n"/>
      <c r="CB34" s="2" t="n"/>
      <c r="CC34" s="2" t="n"/>
      <c r="CD34" s="2" t="n"/>
      <c r="CE34" s="2" t="n"/>
      <c r="CF34" s="2" t="n"/>
      <c r="CG34" s="2" t="n"/>
      <c r="CH34" s="2" t="n"/>
      <c r="CI34" s="2" t="n"/>
      <c r="CJ34" s="2" t="n"/>
      <c r="CK34" s="2" t="n"/>
      <c r="CL34" s="2" t="n"/>
      <c r="CM34" s="2" t="n"/>
      <c r="CN34" s="2" t="n"/>
      <c r="CO34" s="2" t="n"/>
      <c r="CP34" s="2" t="n"/>
      <c r="CQ34" s="2" t="n"/>
      <c r="CR34" s="345" t="n"/>
      <c r="CS34" s="345" t="n"/>
      <c r="CT34" s="345" t="n"/>
      <c r="CU34" s="345" t="n"/>
      <c r="CV34" s="345" t="n"/>
      <c r="CW34" s="345" t="n"/>
      <c r="CX34" s="345" t="n"/>
      <c r="CY34" s="345" t="n"/>
      <c r="CZ34" s="345" t="n"/>
      <c r="DA34" s="345" t="n"/>
      <c r="DB34" s="345" t="n"/>
      <c r="DC34" s="345" t="n"/>
      <c r="DD34" s="345" t="n"/>
      <c r="DE34" s="345" t="n"/>
      <c r="DF34" s="345" t="n"/>
      <c r="DG34" s="345" t="n"/>
      <c r="DH34" s="345" t="n"/>
      <c r="DI34" s="345" t="n"/>
      <c r="DJ34" s="345" t="n"/>
      <c r="DK34" s="345" t="n"/>
      <c r="DL34" s="345" t="n"/>
      <c r="DM34" s="345" t="n"/>
      <c r="DN34" s="345" t="n"/>
      <c r="DO34" s="345" t="n"/>
      <c r="DP34" s="345" t="n"/>
      <c r="DQ34" s="345" t="n"/>
      <c r="DR34" s="390" t="n"/>
      <c r="DS34" s="345" t="n"/>
      <c r="DT34" s="350" t="n"/>
      <c r="DU34" s="345" t="n"/>
      <c r="DV34" s="345" t="n"/>
      <c r="DW34" s="345" t="n"/>
      <c r="DX34" s="345" t="n"/>
    </row>
    <row r="35" ht="15" customFormat="1" customHeight="1" s="196">
      <c r="A35" s="347" t="n"/>
      <c r="B35" s="386" t="n"/>
      <c r="C35" s="2" t="n"/>
      <c r="D35" s="2" t="n"/>
      <c r="E35" s="2" t="n"/>
      <c r="F35" s="2" t="n"/>
      <c r="G35" s="345" t="n"/>
      <c r="H35" s="345" t="n"/>
      <c r="I35" s="345" t="n"/>
      <c r="J35" s="345" t="n"/>
      <c r="K35" s="345" t="n"/>
      <c r="L35" s="345" t="n"/>
      <c r="M35" s="345" t="n"/>
      <c r="N35" s="345" t="n"/>
      <c r="O35" s="345" t="n"/>
      <c r="P35" s="10" t="n"/>
      <c r="Q35" s="17" t="n"/>
      <c r="R35" s="826" t="n"/>
      <c r="S35" s="826" t="n"/>
      <c r="T35" s="826" t="n"/>
      <c r="U35" s="826" t="n"/>
      <c r="V35" s="826" t="n"/>
      <c r="W35" s="826" t="n"/>
      <c r="X35" s="826" t="n"/>
      <c r="Y35" s="826" t="n"/>
      <c r="Z35" s="826" t="n"/>
      <c r="AA35" s="826" t="n"/>
      <c r="AB35" s="826" t="n"/>
      <c r="AC35" s="826" t="n"/>
      <c r="AD35" s="826" t="n"/>
      <c r="AE35" s="826" t="n"/>
      <c r="AF35" s="826" t="n"/>
      <c r="AG35" s="826" t="n"/>
      <c r="AH35" s="826" t="n"/>
      <c r="AI35" s="826" t="n"/>
      <c r="AJ35" s="826" t="n"/>
      <c r="AK35" s="826" t="n"/>
      <c r="AL35" s="2" t="n"/>
      <c r="AM35" s="2" t="n"/>
      <c r="AN35" s="2" t="n"/>
      <c r="AO35" s="2" t="n"/>
      <c r="AP35" s="2" t="n"/>
      <c r="AQ35" s="2" t="n"/>
      <c r="AR35" s="2" t="n"/>
      <c r="AS35" s="2" t="n"/>
      <c r="AT35" s="345" t="n"/>
      <c r="AU35" s="345" t="n"/>
      <c r="AV35" s="345" t="n"/>
      <c r="AW35" s="2" t="n"/>
      <c r="AX35" s="2" t="n"/>
      <c r="AY35" s="2" t="n"/>
      <c r="AZ35" s="2" t="n"/>
      <c r="BA35" s="2" t="n"/>
      <c r="BB35" s="2" t="n"/>
      <c r="BC35" s="2" t="n"/>
      <c r="BD35" s="2" t="n"/>
      <c r="BE35" s="2" t="n"/>
      <c r="BF35" s="2" t="n"/>
      <c r="BG35" s="2" t="n"/>
      <c r="BH35" s="2" t="n"/>
      <c r="BI35" s="2" t="n"/>
      <c r="BJ35" s="2" t="n"/>
      <c r="BK35" s="2" t="n"/>
      <c r="BL35" s="2" t="n"/>
      <c r="BM35" s="2" t="n"/>
      <c r="BN35" s="2" t="n"/>
      <c r="BO35" s="2" t="n"/>
      <c r="BP35" s="2" t="n"/>
      <c r="BQ35" s="2" t="n"/>
      <c r="BR35" s="2" t="n"/>
      <c r="BS35" s="2" t="n"/>
      <c r="BT35" s="2" t="n"/>
      <c r="BU35" s="2" t="n"/>
      <c r="BV35" s="2" t="n"/>
      <c r="BW35" s="2" t="n"/>
      <c r="BX35" s="2" t="n"/>
      <c r="BY35" s="2" t="n"/>
      <c r="BZ35" s="2" t="n"/>
      <c r="CA35" s="2" t="n"/>
      <c r="CB35" s="2" t="n"/>
      <c r="CC35" s="2" t="n"/>
      <c r="CD35" s="2" t="n"/>
      <c r="CE35" s="2" t="n"/>
      <c r="CF35" s="2" t="n"/>
      <c r="CG35" s="2" t="n"/>
      <c r="CH35" s="2" t="n"/>
      <c r="CI35" s="2" t="n"/>
      <c r="CJ35" s="2" t="n"/>
      <c r="CK35" s="2" t="n"/>
      <c r="CL35" s="2" t="n"/>
      <c r="CM35" s="2" t="n"/>
      <c r="CN35" s="2" t="n"/>
      <c r="CO35" s="2" t="n"/>
      <c r="CP35" s="2" t="n"/>
      <c r="CQ35" s="2" t="n"/>
      <c r="CR35" s="345" t="n"/>
      <c r="CS35" s="345" t="n"/>
      <c r="CT35" s="345" t="n"/>
      <c r="CU35" s="345" t="n"/>
      <c r="CV35" s="345" t="n"/>
      <c r="CW35" s="345" t="n"/>
      <c r="CX35" s="345" t="n"/>
      <c r="CY35" s="345" t="n"/>
      <c r="CZ35" s="345" t="n"/>
      <c r="DA35" s="345" t="n"/>
      <c r="DB35" s="345" t="n"/>
      <c r="DC35" s="345" t="n"/>
      <c r="DD35" s="345" t="n"/>
      <c r="DE35" s="345" t="n"/>
      <c r="DF35" s="345" t="n"/>
      <c r="DG35" s="345" t="n"/>
      <c r="DH35" s="345" t="n"/>
      <c r="DI35" s="345" t="n"/>
      <c r="DJ35" s="345" t="n"/>
      <c r="DK35" s="345" t="n"/>
      <c r="DL35" s="345" t="n"/>
      <c r="DM35" s="345" t="n"/>
      <c r="DN35" s="345" t="n"/>
      <c r="DO35" s="345" t="n"/>
      <c r="DP35" s="345" t="n"/>
      <c r="DQ35" s="345" t="n"/>
      <c r="DR35" s="390" t="n"/>
      <c r="DS35" s="345" t="n"/>
      <c r="DT35" s="350" t="n"/>
      <c r="DU35" s="345" t="n"/>
      <c r="DV35" s="345" t="n"/>
      <c r="DW35" s="345" t="n"/>
      <c r="DX35" s="345" t="n"/>
    </row>
    <row r="36" ht="15" customHeight="1" s="634">
      <c r="A36" s="341" t="n"/>
      <c r="B36" s="169" t="inlineStr">
        <is>
          <t>表2 在下面记录选择关键项目的理由</t>
        </is>
      </c>
      <c r="C36" s="840" t="n"/>
      <c r="D36" s="840" t="n"/>
      <c r="E36" s="840" t="n"/>
      <c r="F36" s="840" t="n"/>
      <c r="G36" s="2" t="n"/>
      <c r="H36" s="2" t="n"/>
      <c r="I36" s="2" t="n"/>
      <c r="J36" s="2" t="n"/>
      <c r="K36" s="2" t="n"/>
      <c r="L36" s="2" t="n"/>
      <c r="M36" s="2" t="n"/>
      <c r="N36" s="2" t="n"/>
      <c r="O36" s="2" t="n"/>
      <c r="P36" s="10" t="n"/>
      <c r="Q36" s="17" t="n"/>
      <c r="R36" s="2" t="n"/>
      <c r="S36" s="2" t="n"/>
      <c r="T36" s="2" t="n"/>
      <c r="U36" s="2" t="n"/>
      <c r="V36" s="2" t="n"/>
      <c r="W36" s="2" t="n"/>
      <c r="X36" s="2" t="n"/>
      <c r="Y36" s="2" t="n"/>
      <c r="Z36" s="2" t="n"/>
      <c r="AA36" s="2" t="n"/>
      <c r="AB36" s="2" t="n"/>
      <c r="AC36" s="2" t="n"/>
      <c r="AD36" s="2" t="n"/>
      <c r="AE36" s="2" t="n"/>
      <c r="AF36" s="2" t="n"/>
      <c r="AG36" s="2" t="n"/>
      <c r="AH36" s="2" t="n"/>
      <c r="AI36" s="2" t="n"/>
      <c r="AJ36" s="2" t="n"/>
      <c r="AK36" s="2" t="n"/>
      <c r="AL36" s="2" t="n"/>
      <c r="AM36" s="2" t="n"/>
      <c r="AN36" s="2" t="n"/>
      <c r="AO36" s="2" t="n"/>
      <c r="AP36" s="2" t="n"/>
      <c r="AQ36" s="2" t="n"/>
      <c r="AR36" s="2" t="n"/>
      <c r="AS36" s="2" t="n"/>
      <c r="AT36" s="2" t="n"/>
      <c r="AU36" s="2" t="n"/>
      <c r="AV36" s="2" t="n"/>
      <c r="AW36" s="2" t="n"/>
      <c r="AX36" s="2" t="n"/>
      <c r="AY36" s="2" t="n"/>
      <c r="AZ36" s="2" t="n"/>
      <c r="BA36" s="2" t="n"/>
      <c r="BB36" s="2" t="n"/>
      <c r="BC36" s="2" t="n"/>
      <c r="BD36" s="2" t="n"/>
      <c r="BE36" s="2" t="n"/>
      <c r="BF36" s="2" t="n"/>
      <c r="BG36" s="2" t="n"/>
      <c r="BH36" s="2" t="n"/>
      <c r="BI36" s="2" t="n"/>
      <c r="BJ36" s="2" t="n"/>
      <c r="BK36" s="2" t="n"/>
      <c r="BL36" s="2" t="n"/>
      <c r="BM36" s="2" t="n"/>
      <c r="BN36" s="2" t="n"/>
      <c r="BO36" s="2" t="n"/>
      <c r="BP36" s="2" t="n"/>
      <c r="BQ36" s="2" t="n"/>
      <c r="BR36" s="2" t="n"/>
      <c r="BS36" s="2" t="n"/>
      <c r="BT36" s="2" t="n"/>
      <c r="BU36" s="2" t="n"/>
      <c r="BV36" s="2" t="n"/>
      <c r="BW36" s="2" t="n"/>
      <c r="BX36" s="2" t="n"/>
      <c r="BY36" s="2" t="n"/>
      <c r="BZ36" s="2" t="n"/>
      <c r="CA36" s="2" t="n"/>
      <c r="CB36" s="2" t="n"/>
      <c r="CC36" s="2" t="n"/>
      <c r="CD36" s="2" t="n"/>
      <c r="CE36" s="2" t="n"/>
      <c r="CF36" s="2" t="n"/>
      <c r="CG36" s="2" t="n"/>
      <c r="CH36" s="2" t="n"/>
      <c r="CI36" s="2" t="n"/>
      <c r="CJ36" s="2" t="n"/>
      <c r="CK36" s="2" t="n"/>
      <c r="CL36" s="2" t="n"/>
      <c r="CM36" s="2" t="n"/>
      <c r="CN36" s="2" t="n"/>
      <c r="CO36" s="2" t="n"/>
      <c r="CP36" s="2" t="n"/>
      <c r="CQ36" s="2" t="n"/>
      <c r="CR36" s="2" t="n"/>
      <c r="CS36" s="2" t="n"/>
      <c r="CT36" s="2" t="n"/>
      <c r="CU36" s="345" t="n"/>
      <c r="CV36" s="345" t="n"/>
      <c r="CW36" s="345" t="n"/>
      <c r="CX36" s="345" t="n"/>
      <c r="CY36" s="345" t="n"/>
      <c r="CZ36" s="345" t="n"/>
      <c r="DA36" s="345" t="n"/>
      <c r="DB36" s="345" t="n"/>
      <c r="DC36" s="345" t="n"/>
      <c r="DD36" s="345" t="n"/>
      <c r="DE36" s="345" t="n"/>
      <c r="DF36" s="345" t="n"/>
      <c r="DG36" s="345" t="n"/>
      <c r="DH36" s="345" t="n"/>
      <c r="DI36" s="345" t="n"/>
      <c r="DJ36" s="345" t="n"/>
      <c r="DK36" s="345" t="n"/>
      <c r="DL36" s="345" t="n"/>
      <c r="DM36" s="345" t="n"/>
      <c r="DN36" s="345" t="n"/>
      <c r="DO36" s="345" t="n"/>
      <c r="DP36" s="345" t="n"/>
      <c r="DQ36" s="345" t="n"/>
      <c r="DR36" s="345" t="n"/>
      <c r="DS36" s="345" t="n"/>
      <c r="DT36" s="345" t="n"/>
      <c r="DU36" s="390" t="n"/>
      <c r="DV36" s="345" t="n"/>
      <c r="DW36" s="350" t="n"/>
      <c r="DX36" s="2" t="n"/>
    </row>
    <row r="37" ht="14.25" customHeight="1" s="634">
      <c r="A37" s="341" t="n"/>
      <c r="B37" s="692" t="n"/>
      <c r="C37" s="693" t="n"/>
      <c r="D37" s="693" t="n"/>
      <c r="E37" s="693" t="n"/>
      <c r="F37" s="694" t="n"/>
      <c r="G37" s="2" t="n"/>
      <c r="H37" s="2" t="n"/>
      <c r="I37" s="2" t="n"/>
      <c r="J37" s="2" t="n"/>
      <c r="K37" s="2" t="n"/>
      <c r="L37" s="2" t="n"/>
      <c r="M37" s="2" t="n"/>
      <c r="N37" s="2" t="n"/>
      <c r="O37" s="2" t="n"/>
      <c r="P37" s="10" t="n"/>
      <c r="Q37" s="17" t="n"/>
      <c r="R37" s="2" t="n"/>
      <c r="S37" s="2" t="n"/>
      <c r="T37" s="2" t="n"/>
      <c r="U37" s="2" t="n"/>
      <c r="V37" s="2" t="n"/>
      <c r="W37" s="2" t="n"/>
      <c r="X37" s="2" t="n"/>
      <c r="Y37" s="2" t="n"/>
      <c r="Z37" s="2" t="n"/>
      <c r="AA37" s="2" t="n"/>
      <c r="AB37" s="2" t="n"/>
      <c r="AC37" s="2" t="n"/>
      <c r="AD37" s="2" t="n"/>
      <c r="AE37" s="2" t="n"/>
      <c r="AF37" s="2" t="n"/>
      <c r="AG37" s="2" t="n"/>
      <c r="AH37" s="2" t="n"/>
      <c r="AI37" s="2" t="n"/>
      <c r="AJ37" s="2" t="n"/>
      <c r="AK37" s="2" t="n"/>
      <c r="AL37" s="2" t="n"/>
      <c r="AM37" s="2" t="n"/>
      <c r="AN37" s="2" t="n"/>
      <c r="AO37" s="2" t="n"/>
      <c r="AP37" s="2" t="n"/>
      <c r="AQ37" s="2" t="n"/>
      <c r="AR37" s="2" t="n"/>
      <c r="AS37" s="2" t="n"/>
      <c r="AT37" s="2" t="n"/>
      <c r="AU37" s="2" t="n"/>
      <c r="AV37" s="2" t="n"/>
      <c r="AW37" s="2" t="n"/>
      <c r="AX37" s="2" t="n"/>
      <c r="AY37" s="2" t="n"/>
      <c r="AZ37" s="2" t="n"/>
      <c r="BA37" s="2" t="n"/>
      <c r="BB37" s="2" t="n"/>
      <c r="BC37" s="2" t="n"/>
      <c r="BD37" s="2" t="n"/>
      <c r="BE37" s="2" t="n"/>
      <c r="BF37" s="2" t="n"/>
      <c r="BG37" s="2" t="n"/>
      <c r="BH37" s="2" t="n"/>
      <c r="BI37" s="2" t="n"/>
      <c r="BJ37" s="2" t="n"/>
      <c r="BK37" s="2" t="n"/>
      <c r="BL37" s="2" t="n"/>
      <c r="BM37" s="2" t="n"/>
      <c r="BN37" s="2" t="n"/>
      <c r="BO37" s="2" t="n"/>
      <c r="BP37" s="2" t="n"/>
      <c r="BQ37" s="2" t="n"/>
      <c r="BR37" s="2" t="n"/>
      <c r="BS37" s="2" t="n"/>
      <c r="BT37" s="2" t="n"/>
      <c r="BU37" s="2" t="n"/>
      <c r="BV37" s="2" t="n"/>
      <c r="BW37" s="2" t="n"/>
      <c r="BX37" s="2" t="n"/>
      <c r="BY37" s="2" t="n"/>
      <c r="BZ37" s="2" t="n"/>
      <c r="CA37" s="2" t="n"/>
      <c r="CB37" s="2" t="n"/>
      <c r="CC37" s="2" t="n"/>
      <c r="CD37" s="2" t="n"/>
      <c r="CE37" s="2" t="n"/>
      <c r="CF37" s="2" t="n"/>
      <c r="CG37" s="2" t="n"/>
      <c r="CH37" s="2" t="n"/>
      <c r="CI37" s="2" t="n"/>
      <c r="CJ37" s="2" t="n"/>
      <c r="CK37" s="2" t="n"/>
      <c r="CL37" s="2" t="n"/>
      <c r="CM37" s="2" t="n"/>
      <c r="CN37" s="2" t="n"/>
      <c r="CO37" s="2" t="n"/>
      <c r="CP37" s="2" t="n"/>
      <c r="CQ37" s="2" t="n"/>
      <c r="CR37" s="2" t="n"/>
      <c r="CS37" s="2" t="n"/>
      <c r="CT37" s="2" t="n"/>
      <c r="CU37" s="345" t="n"/>
      <c r="CV37" s="345" t="n"/>
      <c r="CW37" s="345" t="n"/>
      <c r="CX37" s="345" t="n"/>
      <c r="CY37" s="345" t="n"/>
      <c r="CZ37" s="345" t="n"/>
      <c r="DA37" s="345" t="n"/>
      <c r="DB37" s="345" t="n"/>
      <c r="DC37" s="345" t="n"/>
      <c r="DD37" s="345" t="n"/>
      <c r="DE37" s="345" t="n"/>
      <c r="DF37" s="345" t="n"/>
      <c r="DG37" s="345" t="n"/>
      <c r="DH37" s="345" t="n"/>
      <c r="DI37" s="345" t="n"/>
      <c r="DJ37" s="345" t="n"/>
      <c r="DK37" s="345" t="n"/>
      <c r="DL37" s="345" t="n"/>
      <c r="DM37" s="345" t="n"/>
      <c r="DN37" s="345" t="n"/>
      <c r="DO37" s="345" t="n"/>
      <c r="DP37" s="345" t="n"/>
      <c r="DQ37" s="345" t="n"/>
      <c r="DR37" s="345" t="n"/>
      <c r="DS37" s="345" t="n"/>
      <c r="DT37" s="345" t="n"/>
      <c r="DU37" s="390" t="n"/>
      <c r="DV37" s="345" t="n"/>
      <c r="DW37" s="350" t="n"/>
      <c r="DX37" s="2" t="n"/>
    </row>
    <row r="38" ht="14.25" customHeight="1" s="634">
      <c r="A38" s="341" t="n"/>
      <c r="B38" s="695" t="n"/>
      <c r="F38" s="639" t="n"/>
      <c r="G38" s="2" t="n"/>
      <c r="H38" s="2" t="n"/>
      <c r="I38" s="2" t="n"/>
      <c r="J38" s="2" t="n"/>
      <c r="K38" s="2" t="n"/>
      <c r="L38" s="2" t="n"/>
      <c r="M38" s="2" t="n"/>
      <c r="N38" s="2" t="n"/>
      <c r="O38" s="2" t="n"/>
      <c r="P38" s="10" t="n"/>
      <c r="Q38" s="17" t="n"/>
      <c r="R38" s="2" t="n"/>
      <c r="S38" s="2" t="n"/>
      <c r="T38" s="2" t="n"/>
      <c r="U38" s="2" t="n"/>
      <c r="V38" s="2" t="n"/>
      <c r="W38" s="2" t="n"/>
      <c r="X38" s="2" t="n"/>
      <c r="Y38" s="2" t="n"/>
      <c r="Z38" s="2" t="n"/>
      <c r="AA38" s="2" t="n"/>
      <c r="AB38" s="2" t="n"/>
      <c r="AC38" s="2" t="n"/>
      <c r="AD38" s="2" t="n"/>
      <c r="AE38" s="2" t="n"/>
      <c r="AF38" s="2" t="n"/>
      <c r="AG38" s="2" t="n"/>
      <c r="AH38" s="2" t="n"/>
      <c r="AI38" s="2" t="n"/>
      <c r="AJ38" s="2" t="n"/>
      <c r="AK38" s="2" t="n"/>
      <c r="AL38" s="2" t="n"/>
      <c r="AM38" s="2" t="n"/>
      <c r="AN38" s="2" t="n"/>
      <c r="AO38" s="2" t="n"/>
      <c r="AP38" s="2" t="n"/>
      <c r="AQ38" s="2" t="n"/>
      <c r="AR38" s="2" t="n"/>
      <c r="AS38" s="2" t="n"/>
      <c r="AT38" s="2" t="n"/>
      <c r="AU38" s="2" t="n"/>
      <c r="AV38" s="2" t="n"/>
      <c r="AW38" s="2" t="n"/>
      <c r="AX38" s="2" t="n"/>
      <c r="AY38" s="2" t="n"/>
      <c r="AZ38" s="2" t="n"/>
      <c r="BA38" s="2" t="n"/>
      <c r="BB38" s="2" t="n"/>
      <c r="BC38" s="2" t="n"/>
      <c r="BD38" s="2" t="n"/>
      <c r="BE38" s="2" t="n"/>
      <c r="BF38" s="2" t="n"/>
      <c r="BG38" s="2" t="n"/>
      <c r="BH38" s="2" t="n"/>
      <c r="BI38" s="2" t="n"/>
      <c r="BJ38" s="2" t="n"/>
      <c r="BK38" s="2" t="n"/>
      <c r="BL38" s="2" t="n"/>
      <c r="BM38" s="2" t="n"/>
      <c r="BN38" s="2" t="n"/>
      <c r="BO38" s="2" t="n"/>
      <c r="BP38" s="2" t="n"/>
      <c r="BQ38" s="2" t="n"/>
      <c r="BR38" s="2" t="n"/>
      <c r="BS38" s="2" t="n"/>
      <c r="BT38" s="2" t="n"/>
      <c r="BU38" s="2" t="n"/>
      <c r="BV38" s="2" t="n"/>
      <c r="BW38" s="2" t="n"/>
      <c r="BX38" s="2" t="n"/>
      <c r="BY38" s="2" t="n"/>
      <c r="BZ38" s="2" t="n"/>
      <c r="CA38" s="2" t="n"/>
      <c r="CB38" s="2" t="n"/>
      <c r="CC38" s="2" t="n"/>
      <c r="CD38" s="2" t="n"/>
      <c r="CE38" s="2" t="n"/>
      <c r="CF38" s="2" t="n"/>
      <c r="CG38" s="2" t="n"/>
      <c r="CH38" s="2" t="n"/>
      <c r="CI38" s="2" t="n"/>
      <c r="CJ38" s="2" t="n"/>
      <c r="CK38" s="2" t="n"/>
      <c r="CL38" s="2" t="n"/>
      <c r="CM38" s="2" t="n"/>
      <c r="CN38" s="2" t="n"/>
      <c r="CO38" s="2" t="n"/>
      <c r="CP38" s="2" t="n"/>
      <c r="CQ38" s="2" t="n"/>
      <c r="CR38" s="2" t="n"/>
      <c r="CS38" s="2" t="n"/>
      <c r="CT38" s="2" t="n"/>
      <c r="CU38" s="345" t="n"/>
      <c r="CV38" s="345" t="n"/>
      <c r="CW38" s="345" t="n"/>
      <c r="CX38" s="345" t="n"/>
      <c r="CY38" s="345" t="n"/>
      <c r="CZ38" s="345" t="n"/>
      <c r="DA38" s="345" t="n"/>
      <c r="DB38" s="345" t="n"/>
      <c r="DC38" s="345" t="n"/>
      <c r="DD38" s="345" t="n"/>
      <c r="DE38" s="345" t="n"/>
      <c r="DF38" s="345" t="n"/>
      <c r="DG38" s="345" t="n"/>
      <c r="DH38" s="345" t="n"/>
      <c r="DI38" s="345" t="n"/>
      <c r="DJ38" s="345" t="n"/>
      <c r="DK38" s="345" t="n"/>
      <c r="DL38" s="345" t="n"/>
      <c r="DM38" s="345" t="n"/>
      <c r="DN38" s="345" t="n"/>
      <c r="DO38" s="345" t="n"/>
      <c r="DP38" s="345" t="n"/>
      <c r="DQ38" s="345" t="n"/>
      <c r="DR38" s="345" t="n"/>
      <c r="DS38" s="345" t="n"/>
      <c r="DT38" s="345" t="n"/>
      <c r="DU38" s="390" t="n"/>
      <c r="DV38" s="345" t="n"/>
      <c r="DW38" s="350" t="n"/>
      <c r="DX38" s="2" t="n"/>
    </row>
    <row r="39" ht="14.25" customHeight="1" s="634">
      <c r="A39" s="341" t="n"/>
      <c r="B39" s="695" t="n"/>
      <c r="F39" s="639" t="n"/>
      <c r="G39" s="2" t="n"/>
      <c r="H39" s="2" t="n"/>
      <c r="I39" s="2" t="n"/>
      <c r="J39" s="2" t="n"/>
      <c r="K39" s="2" t="n"/>
      <c r="L39" s="2" t="n"/>
      <c r="M39" s="2" t="n"/>
      <c r="N39" s="2" t="n"/>
      <c r="O39" s="2" t="n"/>
      <c r="P39" s="10" t="n"/>
      <c r="Q39" s="17" t="n"/>
      <c r="R39" s="2" t="n"/>
      <c r="S39" s="2" t="n"/>
      <c r="T39" s="2" t="n"/>
      <c r="U39" s="2" t="n"/>
      <c r="V39" s="2" t="n"/>
      <c r="W39" s="2" t="n"/>
      <c r="X39" s="2" t="n"/>
      <c r="Y39" s="2" t="n"/>
      <c r="Z39" s="2" t="n"/>
      <c r="AA39" s="2" t="n"/>
      <c r="AB39" s="2" t="n"/>
      <c r="AC39" s="2" t="n"/>
      <c r="AD39" s="2" t="n"/>
      <c r="AE39" s="2" t="n"/>
      <c r="AF39" s="2" t="n"/>
      <c r="AG39" s="2" t="n"/>
      <c r="AH39" s="2" t="n"/>
      <c r="AI39" s="2" t="n"/>
      <c r="AJ39" s="2" t="n"/>
      <c r="AK39" s="2" t="n"/>
      <c r="AL39" s="2" t="n"/>
      <c r="AM39" s="2" t="n"/>
      <c r="AN39" s="2" t="n"/>
      <c r="AO39" s="2" t="n"/>
      <c r="AP39" s="2" t="n"/>
      <c r="AQ39" s="2" t="n"/>
      <c r="AR39" s="2" t="n"/>
      <c r="AS39" s="2" t="n"/>
      <c r="AT39" s="2" t="n"/>
      <c r="AU39" s="2" t="n"/>
      <c r="AV39" s="2" t="n"/>
      <c r="AW39" s="2" t="n"/>
      <c r="AX39" s="2" t="n"/>
      <c r="AY39" s="2" t="n"/>
      <c r="AZ39" s="2" t="n"/>
      <c r="BA39" s="2" t="n"/>
      <c r="BB39" s="2" t="n"/>
      <c r="BC39" s="2" t="n"/>
      <c r="BD39" s="2" t="n"/>
      <c r="BE39" s="2" t="n"/>
      <c r="BF39" s="2" t="n"/>
      <c r="BG39" s="2" t="n"/>
      <c r="BH39" s="2" t="n"/>
      <c r="BI39" s="2" t="n"/>
      <c r="BJ39" s="2" t="n"/>
      <c r="BK39" s="2" t="n"/>
      <c r="BL39" s="2" t="n"/>
      <c r="BM39" s="2" t="n"/>
      <c r="BN39" s="2" t="n"/>
      <c r="BO39" s="2" t="n"/>
      <c r="BP39" s="2" t="n"/>
      <c r="BQ39" s="2" t="n"/>
      <c r="BR39" s="2" t="n"/>
      <c r="BS39" s="2" t="n"/>
      <c r="BT39" s="2" t="n"/>
      <c r="BU39" s="2" t="n"/>
      <c r="BV39" s="2" t="n"/>
      <c r="BW39" s="2" t="n"/>
      <c r="BX39" s="2" t="n"/>
      <c r="BY39" s="2" t="n"/>
      <c r="BZ39" s="2" t="n"/>
      <c r="CA39" s="2" t="n"/>
      <c r="CB39" s="2" t="n"/>
      <c r="CC39" s="2" t="n"/>
      <c r="CD39" s="2" t="n"/>
      <c r="CE39" s="2" t="n"/>
      <c r="CF39" s="2" t="n"/>
      <c r="CG39" s="2" t="n"/>
      <c r="CH39" s="2" t="n"/>
      <c r="CI39" s="2" t="n"/>
      <c r="CJ39" s="2" t="n"/>
      <c r="CK39" s="2" t="n"/>
      <c r="CL39" s="2" t="n"/>
      <c r="CM39" s="2" t="n"/>
      <c r="CN39" s="2" t="n"/>
      <c r="CO39" s="2" t="n"/>
      <c r="CP39" s="2" t="n"/>
      <c r="CQ39" s="2" t="n"/>
      <c r="CR39" s="2" t="n"/>
      <c r="CS39" s="2" t="n"/>
      <c r="CT39" s="2" t="n"/>
      <c r="CU39" s="345" t="n"/>
      <c r="CV39" s="345" t="n"/>
      <c r="CW39" s="345" t="n"/>
      <c r="CX39" s="345" t="n"/>
      <c r="CY39" s="345" t="n"/>
      <c r="CZ39" s="345" t="n"/>
      <c r="DA39" s="345" t="n"/>
      <c r="DB39" s="345" t="n"/>
      <c r="DC39" s="345" t="n"/>
      <c r="DD39" s="345" t="n"/>
      <c r="DE39" s="345" t="n"/>
      <c r="DF39" s="345" t="n"/>
      <c r="DG39" s="345" t="n"/>
      <c r="DH39" s="345" t="n"/>
      <c r="DI39" s="345" t="n"/>
      <c r="DJ39" s="345" t="n"/>
      <c r="DK39" s="345" t="n"/>
      <c r="DL39" s="345" t="n"/>
      <c r="DM39" s="345" t="n"/>
      <c r="DN39" s="345" t="n"/>
      <c r="DO39" s="345" t="n"/>
      <c r="DP39" s="345" t="n"/>
      <c r="DQ39" s="345" t="n"/>
      <c r="DR39" s="345" t="n"/>
      <c r="DS39" s="345" t="n"/>
      <c r="DT39" s="345" t="n"/>
      <c r="DU39" s="390" t="n"/>
      <c r="DV39" s="345" t="n"/>
      <c r="DW39" s="350" t="n"/>
      <c r="DX39" s="2" t="n"/>
    </row>
    <row r="40" ht="14.25" customHeight="1" s="634">
      <c r="A40" s="341" t="n"/>
      <c r="B40" s="696" t="n"/>
      <c r="C40" s="697" t="n"/>
      <c r="D40" s="697" t="n"/>
      <c r="E40" s="697" t="n"/>
      <c r="F40" s="698" t="n"/>
      <c r="G40" s="2" t="n"/>
      <c r="H40" s="2" t="n"/>
      <c r="I40" s="2" t="n"/>
      <c r="J40" s="2" t="n"/>
      <c r="K40" s="2" t="n"/>
      <c r="L40" s="2" t="n"/>
      <c r="M40" s="2" t="n"/>
      <c r="N40" s="2" t="n"/>
      <c r="O40" s="2" t="n"/>
      <c r="P40" s="10" t="n"/>
      <c r="Q40" s="17" t="n"/>
      <c r="R40" s="2" t="n"/>
      <c r="S40" s="2" t="n"/>
      <c r="T40" s="2" t="n"/>
      <c r="U40" s="2" t="n"/>
      <c r="V40" s="2" t="n"/>
      <c r="W40" s="2" t="n"/>
      <c r="X40" s="2" t="n"/>
      <c r="Y40" s="2" t="n"/>
      <c r="Z40" s="2" t="n"/>
      <c r="AA40" s="2" t="n"/>
      <c r="AB40" s="2" t="n"/>
      <c r="AC40" s="2" t="n"/>
      <c r="AD40" s="2" t="n"/>
      <c r="AE40" s="2" t="n"/>
      <c r="AF40" s="2" t="n"/>
      <c r="AG40" s="2" t="n"/>
      <c r="AH40" s="2" t="n"/>
      <c r="AI40" s="2" t="n"/>
      <c r="AJ40" s="2" t="n"/>
      <c r="AK40" s="2" t="n"/>
      <c r="AL40" s="2" t="n"/>
      <c r="AM40" s="2" t="n"/>
      <c r="AN40" s="2" t="n"/>
      <c r="AO40" s="2" t="n"/>
      <c r="AP40" s="2" t="n"/>
      <c r="AQ40" s="2" t="n"/>
      <c r="AR40" s="2" t="n"/>
      <c r="AS40" s="2" t="n"/>
      <c r="AT40" s="2" t="n"/>
      <c r="AU40" s="2" t="n"/>
      <c r="AV40" s="2" t="n"/>
      <c r="AW40" s="2" t="n"/>
      <c r="AX40" s="2" t="n"/>
      <c r="AY40" s="2" t="n"/>
      <c r="AZ40" s="2" t="n"/>
      <c r="BA40" s="2" t="n"/>
      <c r="BB40" s="2" t="n"/>
      <c r="BC40" s="2" t="n"/>
      <c r="BD40" s="2" t="n"/>
      <c r="BE40" s="2" t="n"/>
      <c r="BF40" s="2" t="n"/>
      <c r="BG40" s="2" t="n"/>
      <c r="BH40" s="2" t="n"/>
      <c r="BI40" s="2" t="n"/>
      <c r="BJ40" s="2" t="n"/>
      <c r="BK40" s="2" t="n"/>
      <c r="BL40" s="2" t="n"/>
      <c r="BM40" s="2" t="n"/>
      <c r="BN40" s="2" t="n"/>
      <c r="BO40" s="2" t="n"/>
      <c r="BP40" s="2" t="n"/>
      <c r="BQ40" s="2" t="n"/>
      <c r="BR40" s="2" t="n"/>
      <c r="BS40" s="2" t="n"/>
      <c r="BT40" s="2" t="n"/>
      <c r="BU40" s="2" t="n"/>
      <c r="BV40" s="2" t="n"/>
      <c r="BW40" s="2" t="n"/>
      <c r="BX40" s="2" t="n"/>
      <c r="BY40" s="2" t="n"/>
      <c r="BZ40" s="2" t="n"/>
      <c r="CA40" s="2" t="n"/>
      <c r="CB40" s="2" t="n"/>
      <c r="CC40" s="2" t="n"/>
      <c r="CD40" s="2" t="n"/>
      <c r="CE40" s="2" t="n"/>
      <c r="CF40" s="2" t="n"/>
      <c r="CG40" s="2" t="n"/>
      <c r="CH40" s="2" t="n"/>
      <c r="CI40" s="2" t="n"/>
      <c r="CJ40" s="2" t="n"/>
      <c r="CK40" s="2" t="n"/>
      <c r="CL40" s="2" t="n"/>
      <c r="CM40" s="2" t="n"/>
      <c r="CN40" s="2" t="n"/>
      <c r="CO40" s="2" t="n"/>
      <c r="CP40" s="2" t="n"/>
      <c r="CQ40" s="2" t="n"/>
      <c r="CR40" s="2" t="n"/>
      <c r="CS40" s="2" t="n"/>
      <c r="CT40" s="2" t="n"/>
      <c r="CU40" s="345" t="n"/>
      <c r="CV40" s="345" t="n"/>
      <c r="CW40" s="345" t="n"/>
      <c r="CX40" s="345" t="n"/>
      <c r="CY40" s="345" t="n"/>
      <c r="CZ40" s="345" t="n"/>
      <c r="DA40" s="345" t="n"/>
      <c r="DB40" s="345" t="n"/>
      <c r="DC40" s="345" t="n"/>
      <c r="DD40" s="345" t="n"/>
      <c r="DE40" s="345" t="n"/>
      <c r="DF40" s="345" t="n"/>
      <c r="DG40" s="345" t="n"/>
      <c r="DH40" s="345" t="n"/>
      <c r="DI40" s="345" t="n"/>
      <c r="DJ40" s="345" t="n"/>
      <c r="DK40" s="345" t="n"/>
      <c r="DL40" s="345" t="n"/>
      <c r="DM40" s="345" t="n"/>
      <c r="DN40" s="345" t="n"/>
      <c r="DO40" s="345" t="n"/>
      <c r="DP40" s="345" t="n"/>
      <c r="DQ40" s="345" t="n"/>
      <c r="DR40" s="345" t="n"/>
      <c r="DS40" s="345" t="n"/>
      <c r="DT40" s="345" t="n"/>
      <c r="DU40" s="390" t="n"/>
      <c r="DV40" s="345" t="n"/>
      <c r="DW40" s="350" t="n"/>
      <c r="DX40" s="2" t="n"/>
    </row>
    <row r="41" ht="18" customHeight="1" s="634">
      <c r="A41" s="341" t="n"/>
      <c r="B41" s="388" t="n"/>
      <c r="C41" s="841" t="n"/>
      <c r="D41" s="841" t="n"/>
      <c r="E41" s="841" t="n"/>
      <c r="F41" s="841" t="n"/>
      <c r="G41" s="342" t="n"/>
      <c r="H41" s="342" t="n"/>
      <c r="I41" s="342" t="n"/>
      <c r="J41" s="342" t="n"/>
      <c r="K41" s="342" t="n"/>
      <c r="L41" s="552" t="inlineStr">
        <is>
          <t>EY Works</t>
        </is>
      </c>
      <c r="M41" s="635" t="n"/>
      <c r="N41" s="636" t="n"/>
      <c r="O41" s="342" t="n"/>
      <c r="P41" s="10" t="n"/>
      <c r="Q41" s="17" t="n"/>
      <c r="R41" s="2" t="n"/>
      <c r="S41" s="2" t="n"/>
      <c r="T41" s="2" t="n"/>
      <c r="U41" s="2" t="n"/>
      <c r="V41" s="2" t="n"/>
      <c r="W41" s="2" t="n"/>
      <c r="X41" s="2" t="n"/>
      <c r="Y41" s="2" t="n"/>
      <c r="Z41" s="2" t="n"/>
      <c r="AA41" s="2" t="n"/>
      <c r="AB41" s="2" t="n"/>
      <c r="AC41" s="2" t="n"/>
      <c r="AD41" s="2" t="n"/>
      <c r="AE41" s="2" t="n"/>
      <c r="AF41" s="2" t="n"/>
      <c r="AG41" s="2" t="n"/>
      <c r="AH41" s="2" t="n"/>
      <c r="AI41" s="2" t="n"/>
      <c r="AJ41" s="2" t="n"/>
      <c r="AK41" s="2" t="n"/>
      <c r="AL41" s="2" t="n"/>
      <c r="AM41" s="2" t="n"/>
      <c r="AN41" s="2" t="n"/>
      <c r="AO41" s="2" t="n"/>
      <c r="AP41" s="2" t="n"/>
      <c r="AQ41" s="2" t="n"/>
      <c r="AR41" s="2" t="n"/>
      <c r="AS41" s="2" t="n"/>
      <c r="AT41" s="2" t="n"/>
      <c r="AU41" s="2" t="n"/>
      <c r="AV41" s="2" t="n"/>
      <c r="AW41" s="2" t="n"/>
      <c r="AX41" s="2" t="n"/>
      <c r="AY41" s="2" t="n"/>
      <c r="AZ41" s="2" t="n"/>
      <c r="BA41" s="2" t="n"/>
      <c r="BB41" s="2" t="n"/>
      <c r="BC41" s="2" t="n"/>
      <c r="BD41" s="2" t="n"/>
      <c r="BE41" s="2" t="n"/>
      <c r="BF41" s="2" t="n"/>
      <c r="BG41" s="2" t="n"/>
      <c r="BH41" s="2" t="n"/>
      <c r="BI41" s="2" t="n"/>
      <c r="BJ41" s="2" t="n"/>
      <c r="BK41" s="2" t="n"/>
      <c r="BL41" s="2" t="n"/>
      <c r="BM41" s="2" t="n"/>
      <c r="BN41" s="2" t="n"/>
      <c r="BO41" s="2" t="n"/>
      <c r="BP41" s="2" t="n"/>
      <c r="BQ41" s="2" t="n"/>
      <c r="BR41" s="2" t="n"/>
      <c r="BS41" s="2" t="n"/>
      <c r="BT41" s="2" t="n"/>
      <c r="BU41" s="2" t="n"/>
      <c r="BV41" s="2" t="n"/>
      <c r="BW41" s="2" t="n"/>
      <c r="BX41" s="2" t="n"/>
      <c r="BY41" s="2" t="n"/>
      <c r="BZ41" s="2" t="n"/>
      <c r="CA41" s="2" t="n"/>
      <c r="CB41" s="2" t="n"/>
      <c r="CC41" s="2" t="n"/>
      <c r="CD41" s="2" t="n"/>
      <c r="CE41" s="2" t="n"/>
      <c r="CF41" s="2" t="n"/>
      <c r="CG41" s="2" t="n"/>
      <c r="CH41" s="2" t="n"/>
      <c r="CI41" s="2" t="n"/>
      <c r="CJ41" s="2" t="n"/>
      <c r="CK41" s="2" t="n"/>
      <c r="CL41" s="2" t="n"/>
      <c r="CM41" s="2" t="n"/>
      <c r="CN41" s="2" t="n"/>
      <c r="CO41" s="2" t="n"/>
      <c r="CP41" s="2" t="n"/>
      <c r="CQ41" s="2" t="n"/>
      <c r="CR41" s="2" t="n"/>
      <c r="CS41" s="2" t="n"/>
      <c r="CT41" s="2" t="n"/>
      <c r="CU41" s="345" t="n"/>
      <c r="CV41" s="345" t="n"/>
      <c r="CW41" s="345" t="n"/>
      <c r="CX41" s="345" t="n"/>
      <c r="CY41" s="345" t="n"/>
      <c r="CZ41" s="345" t="n"/>
      <c r="DA41" s="345" t="n"/>
      <c r="DB41" s="345" t="n"/>
      <c r="DC41" s="345" t="n"/>
      <c r="DD41" s="345" t="n"/>
      <c r="DE41" s="345" t="n"/>
      <c r="DF41" s="345" t="n"/>
      <c r="DG41" s="345" t="n"/>
      <c r="DH41" s="345" t="n"/>
      <c r="DI41" s="345" t="n"/>
      <c r="DJ41" s="345" t="n"/>
      <c r="DK41" s="345" t="n"/>
      <c r="DL41" s="345" t="n"/>
      <c r="DM41" s="345" t="n"/>
      <c r="DN41" s="345" t="n"/>
      <c r="DO41" s="345" t="n"/>
      <c r="DP41" s="345" t="n"/>
      <c r="DQ41" s="345" t="n"/>
      <c r="DR41" s="345" t="n"/>
      <c r="DS41" s="345" t="n"/>
      <c r="DT41" s="345" t="n"/>
      <c r="DU41" s="390" t="n"/>
      <c r="DV41" s="345" t="n"/>
      <c r="DW41" s="350" t="n"/>
      <c r="DX41" s="2" t="n"/>
    </row>
    <row r="42" ht="30.75" customHeight="1" s="634">
      <c r="A42" s="341" t="n"/>
      <c r="B42" s="566" t="inlineStr">
        <is>
          <t>选择标准</t>
        </is>
      </c>
      <c r="C42" s="566" t="inlineStr">
        <is>
          <t>供应商名称</t>
        </is>
      </c>
      <c r="D42" s="567" t="inlineStr">
        <is>
          <t>应付账款入账凭证</t>
        </is>
      </c>
      <c r="E42" s="688" t="n"/>
      <c r="F42" s="688" t="n"/>
      <c r="G42" s="842" t="inlineStr">
        <is>
          <t>支持性证据信息
（确认控制权转移/接受服务的交易凭据，如提单、运输单据（GDN)、第三方交货证明等）</t>
        </is>
      </c>
      <c r="H42" s="648" t="n"/>
      <c r="I42" s="648" t="n"/>
      <c r="J42" s="648" t="n"/>
      <c r="K42" s="843" t="n"/>
      <c r="L42" s="844" t="n">
        <v>1</v>
      </c>
      <c r="M42" s="845" t="n">
        <v>2</v>
      </c>
      <c r="N42" s="845" t="n">
        <v>3</v>
      </c>
      <c r="O42" s="845" t="inlineStr">
        <is>
          <t>备注</t>
        </is>
      </c>
      <c r="P42" s="10" t="n"/>
      <c r="Q42" s="17" t="n"/>
      <c r="R42" s="2" t="n"/>
      <c r="S42" s="2" t="n"/>
      <c r="T42" s="2" t="n"/>
      <c r="U42" s="2" t="n"/>
      <c r="V42" s="2" t="n"/>
      <c r="W42" s="2" t="n"/>
      <c r="X42" s="2" t="n"/>
      <c r="Y42" s="2" t="n"/>
      <c r="Z42" s="2" t="n"/>
      <c r="AA42" s="2" t="n"/>
      <c r="AB42" s="2" t="n"/>
      <c r="AC42" s="2" t="n"/>
      <c r="AD42" s="2" t="n"/>
      <c r="AE42" s="2" t="n"/>
      <c r="AF42" s="2" t="n"/>
      <c r="AG42" s="2" t="n"/>
      <c r="AH42" s="2" t="n"/>
      <c r="AI42" s="2" t="n"/>
      <c r="AJ42" s="2" t="n"/>
      <c r="AK42" s="2" t="n"/>
      <c r="AL42" s="2" t="n"/>
      <c r="AM42" s="2" t="n"/>
      <c r="AN42" s="2" t="n"/>
      <c r="AO42" s="2" t="n"/>
      <c r="AP42" s="2" t="n"/>
      <c r="AQ42" s="2" t="n"/>
      <c r="AR42" s="2" t="n"/>
      <c r="AS42" s="2" t="n"/>
      <c r="AT42" s="2" t="n"/>
      <c r="AU42" s="2" t="n"/>
      <c r="AV42" s="2" t="n"/>
      <c r="AW42" s="2" t="n"/>
      <c r="AX42" s="2" t="n"/>
      <c r="AY42" s="2" t="n"/>
      <c r="AZ42" s="2" t="n"/>
      <c r="BA42" s="2" t="n"/>
      <c r="BB42" s="2" t="n"/>
      <c r="BC42" s="2" t="n"/>
      <c r="BD42" s="2" t="n"/>
      <c r="BE42" s="2" t="n"/>
      <c r="BF42" s="2" t="n"/>
      <c r="BG42" s="2" t="n"/>
      <c r="BH42" s="2" t="n"/>
      <c r="BI42" s="2" t="n"/>
      <c r="BJ42" s="2" t="n"/>
      <c r="BK42" s="2" t="n"/>
      <c r="BL42" s="2" t="n"/>
      <c r="BM42" s="2" t="n"/>
      <c r="BN42" s="2" t="n"/>
      <c r="BO42" s="2" t="n"/>
      <c r="BP42" s="2" t="n"/>
      <c r="BQ42" s="2" t="n"/>
      <c r="BR42" s="2" t="n"/>
      <c r="BS42" s="2" t="n"/>
      <c r="BT42" s="2" t="n"/>
      <c r="BU42" s="2" t="n"/>
      <c r="BV42" s="2" t="n"/>
      <c r="BW42" s="2" t="n"/>
      <c r="BX42" s="2" t="n"/>
      <c r="BY42" s="2" t="n"/>
      <c r="BZ42" s="2" t="n"/>
      <c r="CA42" s="2" t="n"/>
      <c r="CB42" s="2" t="n"/>
      <c r="CC42" s="2" t="n"/>
      <c r="CD42" s="2" t="n"/>
      <c r="CE42" s="2" t="n"/>
      <c r="CF42" s="2" t="n"/>
      <c r="CG42" s="2" t="n"/>
      <c r="CH42" s="2" t="n"/>
      <c r="CI42" s="2" t="n"/>
      <c r="CJ42" s="2" t="n"/>
      <c r="CK42" s="2" t="n"/>
      <c r="CL42" s="2" t="n"/>
      <c r="CM42" s="2" t="n"/>
      <c r="CN42" s="2" t="n"/>
      <c r="CO42" s="2" t="n"/>
      <c r="CP42" s="2" t="n"/>
      <c r="CQ42" s="2" t="n"/>
      <c r="CR42" s="2" t="n"/>
      <c r="CS42" s="2" t="n"/>
      <c r="CT42" s="2" t="n"/>
      <c r="CU42" s="2" t="n"/>
      <c r="CV42" s="345" t="n"/>
      <c r="CW42" s="345" t="n"/>
      <c r="CX42" s="345" t="n"/>
      <c r="CY42" s="345" t="n"/>
      <c r="CZ42" s="345" t="n"/>
      <c r="DA42" s="345" t="n"/>
      <c r="DB42" s="345" t="n"/>
      <c r="DC42" s="345" t="n"/>
      <c r="DD42" s="345" t="n"/>
      <c r="DE42" s="345" t="n"/>
      <c r="DF42" s="345" t="n"/>
      <c r="DG42" s="345" t="n"/>
      <c r="DH42" s="345" t="n"/>
      <c r="DI42" s="345" t="n"/>
      <c r="DJ42" s="345" t="n"/>
      <c r="DK42" s="345" t="n"/>
      <c r="DL42" s="345" t="n"/>
      <c r="DM42" s="345" t="n"/>
      <c r="DN42" s="345" t="n"/>
      <c r="DO42" s="345" t="n"/>
      <c r="DP42" s="345" t="n"/>
      <c r="DQ42" s="345" t="n"/>
      <c r="DR42" s="345" t="n"/>
      <c r="DS42" s="345" t="n"/>
      <c r="DT42" s="345" t="n"/>
      <c r="DU42" s="345" t="n"/>
      <c r="DV42" s="390" t="n"/>
      <c r="DW42" s="345" t="n"/>
      <c r="DX42" s="350" t="n"/>
    </row>
    <row r="43" ht="19.5" customHeight="1" s="634">
      <c r="A43" s="341" t="n"/>
      <c r="B43" s="722" t="n"/>
      <c r="C43" s="722" t="n"/>
      <c r="D43" s="566" t="inlineStr">
        <is>
          <t>凭证编号</t>
        </is>
      </c>
      <c r="E43" s="372" t="inlineStr">
        <is>
          <t>日期</t>
        </is>
      </c>
      <c r="F43" s="566" t="inlineStr">
        <is>
          <t>金额</t>
        </is>
      </c>
      <c r="G43" s="391" t="inlineStr">
        <is>
          <t>交易性质</t>
        </is>
      </c>
      <c r="H43" s="392" t="inlineStr">
        <is>
          <t>交易凭据名称</t>
        </is>
      </c>
      <c r="I43" s="392" t="inlineStr">
        <is>
          <t>交易凭据编号</t>
        </is>
      </c>
      <c r="J43" s="392" t="inlineStr">
        <is>
          <t>交易凭据日期</t>
        </is>
      </c>
      <c r="K43" s="392" t="inlineStr">
        <is>
          <t>交易凭据金额</t>
        </is>
      </c>
      <c r="L43" s="698" t="n"/>
      <c r="M43" s="637" t="n"/>
      <c r="N43" s="637" t="n"/>
      <c r="O43" s="637" t="n"/>
      <c r="P43" s="10" t="n"/>
      <c r="Q43" s="17" t="n"/>
      <c r="R43" s="2" t="n"/>
      <c r="S43" s="2" t="n"/>
      <c r="T43" s="2" t="n"/>
      <c r="U43" s="2" t="n"/>
      <c r="V43" s="2" t="n"/>
      <c r="W43" s="2" t="n"/>
      <c r="X43" s="2" t="n"/>
      <c r="Y43" s="2" t="n"/>
      <c r="Z43" s="2" t="n"/>
      <c r="AA43" s="2" t="n"/>
      <c r="AB43" s="2" t="n"/>
      <c r="AC43" s="2" t="n"/>
      <c r="AD43" s="2" t="n"/>
      <c r="AE43" s="2" t="n"/>
      <c r="AF43" s="2" t="n"/>
      <c r="AG43" s="2" t="n"/>
      <c r="AH43" s="2" t="n"/>
      <c r="AI43" s="2" t="n"/>
      <c r="AJ43" s="2" t="n"/>
      <c r="AK43" s="2" t="n"/>
      <c r="AL43" s="2" t="n"/>
      <c r="AM43" s="2" t="n"/>
      <c r="AN43" s="2" t="n"/>
      <c r="AO43" s="2" t="n"/>
      <c r="AP43" s="2" t="n"/>
      <c r="AQ43" s="2" t="n"/>
      <c r="AR43" s="2" t="n"/>
      <c r="AS43" s="2" t="n"/>
      <c r="AT43" s="2" t="n"/>
      <c r="AU43" s="2" t="n"/>
      <c r="AV43" s="2" t="n"/>
      <c r="AW43" s="2" t="n"/>
      <c r="AX43" s="2" t="n"/>
      <c r="AY43" s="2" t="n"/>
      <c r="AZ43" s="2" t="n"/>
      <c r="BA43" s="2" t="n"/>
      <c r="BB43" s="2" t="n"/>
      <c r="BC43" s="2" t="n"/>
      <c r="BD43" s="2" t="n"/>
      <c r="BE43" s="2" t="n"/>
      <c r="BF43" s="2" t="n"/>
      <c r="BG43" s="2" t="n"/>
      <c r="BH43" s="2" t="n"/>
      <c r="BI43" s="2" t="n"/>
      <c r="BJ43" s="2" t="n"/>
      <c r="BK43" s="2" t="n"/>
      <c r="BL43" s="2" t="n"/>
      <c r="BM43" s="2" t="n"/>
      <c r="BN43" s="2" t="n"/>
      <c r="BO43" s="2" t="n"/>
      <c r="BP43" s="2" t="n"/>
      <c r="BQ43" s="2" t="n"/>
      <c r="BR43" s="2" t="n"/>
      <c r="BS43" s="2" t="n"/>
      <c r="BT43" s="2" t="n"/>
      <c r="BU43" s="2" t="n"/>
      <c r="BV43" s="2" t="n"/>
      <c r="BW43" s="2" t="n"/>
      <c r="BX43" s="2" t="n"/>
      <c r="BY43" s="2" t="n"/>
      <c r="BZ43" s="2" t="n"/>
      <c r="CA43" s="2" t="n"/>
      <c r="CB43" s="2" t="n"/>
      <c r="CC43" s="2" t="n"/>
      <c r="CD43" s="2" t="n"/>
      <c r="CE43" s="2" t="n"/>
      <c r="CF43" s="2" t="n"/>
      <c r="CG43" s="2" t="n"/>
      <c r="CH43" s="2" t="n"/>
      <c r="CI43" s="2" t="n"/>
      <c r="CJ43" s="2" t="n"/>
      <c r="CK43" s="2" t="n"/>
      <c r="CL43" s="2" t="n"/>
      <c r="CM43" s="2" t="n"/>
      <c r="CN43" s="2" t="n"/>
      <c r="CO43" s="2" t="n"/>
      <c r="CP43" s="2" t="n"/>
      <c r="CQ43" s="2" t="n"/>
      <c r="CR43" s="2" t="n"/>
      <c r="CS43" s="2" t="n"/>
      <c r="CT43" s="2" t="n"/>
      <c r="CU43" s="2" t="n"/>
      <c r="CV43" s="345" t="n"/>
      <c r="CW43" s="345" t="n"/>
      <c r="CX43" s="345" t="n"/>
      <c r="CY43" s="345" t="n"/>
      <c r="CZ43" s="345" t="n"/>
      <c r="DA43" s="345" t="n"/>
      <c r="DB43" s="345" t="n"/>
      <c r="DC43" s="345" t="n"/>
      <c r="DD43" s="345" t="n"/>
      <c r="DE43" s="345" t="n"/>
      <c r="DF43" s="345" t="n"/>
      <c r="DG43" s="345" t="n"/>
      <c r="DH43" s="345" t="n"/>
      <c r="DI43" s="345" t="n"/>
      <c r="DJ43" s="345" t="n"/>
      <c r="DK43" s="345" t="n"/>
      <c r="DL43" s="345" t="n"/>
      <c r="DM43" s="345" t="n"/>
      <c r="DN43" s="345" t="n"/>
      <c r="DO43" s="345" t="n"/>
      <c r="DP43" s="345" t="n"/>
      <c r="DQ43" s="345" t="n"/>
      <c r="DR43" s="345" t="n"/>
      <c r="DS43" s="345" t="n"/>
      <c r="DT43" s="345" t="n"/>
      <c r="DU43" s="345" t="n"/>
      <c r="DV43" s="390" t="n"/>
      <c r="DW43" s="345" t="n"/>
      <c r="DX43" s="345" t="n"/>
    </row>
    <row r="44" ht="15" customHeight="1" s="634">
      <c r="A44" s="341" t="n"/>
      <c r="B44" s="393" t="n"/>
      <c r="C44" s="374" t="n"/>
      <c r="D44" s="393" t="n"/>
      <c r="E44" s="394" t="n"/>
      <c r="F44" s="846" t="n"/>
      <c r="G44" s="393" t="n"/>
      <c r="H44" s="393" t="n"/>
      <c r="I44" s="393" t="n"/>
      <c r="J44" s="394" t="n"/>
      <c r="K44" s="846" t="n"/>
      <c r="L44" s="396" t="n"/>
      <c r="M44" s="396" t="n"/>
      <c r="N44" s="396" t="n"/>
      <c r="O44" s="396" t="n"/>
      <c r="P44" s="10" t="n"/>
      <c r="Q44" s="17" t="n"/>
      <c r="R44" s="2" t="n"/>
      <c r="S44" s="2" t="n"/>
      <c r="T44" s="2" t="n"/>
      <c r="U44" s="2" t="n"/>
      <c r="V44" s="2" t="n"/>
      <c r="W44" s="2" t="n"/>
      <c r="X44" s="2" t="n"/>
      <c r="Y44" s="2" t="n"/>
      <c r="Z44" s="2" t="n"/>
      <c r="AA44" s="2" t="n"/>
      <c r="AB44" s="2" t="n"/>
      <c r="AC44" s="2" t="n"/>
      <c r="AD44" s="2" t="n"/>
      <c r="AE44" s="2" t="n"/>
      <c r="AF44" s="2" t="n"/>
      <c r="AG44" s="2" t="n"/>
      <c r="AH44" s="2" t="n"/>
      <c r="AI44" s="2" t="n"/>
      <c r="AJ44" s="2" t="n"/>
      <c r="AK44" s="2" t="n"/>
      <c r="AL44" s="2" t="n"/>
      <c r="AM44" s="2" t="n"/>
      <c r="AN44" s="2" t="n"/>
      <c r="AO44" s="2" t="n"/>
      <c r="AP44" s="2" t="n"/>
      <c r="AQ44" s="2" t="n"/>
      <c r="AR44" s="2" t="n"/>
      <c r="AS44" s="2" t="n"/>
      <c r="AT44" s="2" t="n"/>
      <c r="AU44" s="2" t="n"/>
      <c r="AV44" s="2" t="n"/>
      <c r="AW44" s="2" t="n"/>
      <c r="AX44" s="2" t="n"/>
      <c r="AY44" s="2" t="n"/>
      <c r="AZ44" s="2" t="n"/>
      <c r="BA44" s="2" t="n"/>
      <c r="BB44" s="2" t="n"/>
      <c r="BC44" s="2" t="n"/>
      <c r="BD44" s="2" t="n"/>
      <c r="BE44" s="2" t="n"/>
      <c r="BF44" s="2" t="n"/>
      <c r="BG44" s="2" t="n"/>
      <c r="BH44" s="2" t="n"/>
      <c r="BI44" s="2" t="n"/>
      <c r="BJ44" s="2" t="n"/>
      <c r="BK44" s="2" t="n"/>
      <c r="BL44" s="2" t="n"/>
      <c r="BM44" s="2" t="n"/>
      <c r="BN44" s="2" t="n"/>
      <c r="BO44" s="2" t="n"/>
      <c r="BP44" s="2" t="n"/>
      <c r="BQ44" s="2" t="n"/>
      <c r="BR44" s="2" t="n"/>
      <c r="BS44" s="2" t="n"/>
      <c r="BT44" s="2" t="n"/>
      <c r="BU44" s="2" t="n"/>
      <c r="BV44" s="2" t="n"/>
      <c r="BW44" s="2" t="n"/>
      <c r="BX44" s="2" t="n"/>
      <c r="BY44" s="2" t="n"/>
      <c r="BZ44" s="2" t="n"/>
      <c r="CA44" s="2" t="n"/>
      <c r="CB44" s="2" t="n"/>
      <c r="CC44" s="2" t="n"/>
      <c r="CD44" s="2" t="n"/>
      <c r="CE44" s="2" t="n"/>
      <c r="CF44" s="2" t="n"/>
      <c r="CG44" s="2" t="n"/>
      <c r="CH44" s="2" t="n"/>
      <c r="CI44" s="2" t="n"/>
      <c r="CJ44" s="2" t="n"/>
      <c r="CK44" s="2" t="n"/>
      <c r="CL44" s="2" t="n"/>
      <c r="CM44" s="2" t="n"/>
      <c r="CN44" s="2" t="n"/>
      <c r="CO44" s="2" t="n"/>
      <c r="CP44" s="2" t="n"/>
      <c r="CQ44" s="2" t="n"/>
      <c r="CR44" s="2" t="n"/>
      <c r="CS44" s="2" t="n"/>
      <c r="CT44" s="2" t="n"/>
      <c r="CU44" s="2" t="n"/>
      <c r="CV44" s="345" t="n"/>
      <c r="CW44" s="345" t="n"/>
      <c r="CX44" s="345" t="n"/>
      <c r="CY44" s="345" t="n"/>
      <c r="CZ44" s="345" t="n"/>
      <c r="DA44" s="345" t="n"/>
      <c r="DB44" s="345" t="n"/>
      <c r="DC44" s="345" t="n"/>
      <c r="DD44" s="345" t="n"/>
      <c r="DE44" s="345" t="n"/>
      <c r="DF44" s="345" t="n"/>
      <c r="DG44" s="345" t="n"/>
      <c r="DH44" s="345" t="n"/>
      <c r="DI44" s="345" t="n"/>
      <c r="DJ44" s="345" t="n"/>
      <c r="DK44" s="345" t="n"/>
      <c r="DL44" s="345" t="n"/>
      <c r="DM44" s="345" t="n"/>
      <c r="DN44" s="345" t="n"/>
      <c r="DO44" s="345" t="n"/>
      <c r="DP44" s="345" t="n"/>
      <c r="DQ44" s="345" t="n"/>
      <c r="DR44" s="345" t="n"/>
      <c r="DS44" s="345" t="n"/>
      <c r="DT44" s="345" t="n"/>
      <c r="DU44" s="345" t="n"/>
      <c r="DV44" s="390" t="n"/>
      <c r="DW44" s="345" t="n"/>
      <c r="DX44" s="350" t="n"/>
    </row>
    <row r="45" ht="15" customHeight="1" s="634">
      <c r="A45" s="341" t="n"/>
      <c r="B45" s="393" t="n"/>
      <c r="C45" s="374" t="n"/>
      <c r="D45" s="393" t="n"/>
      <c r="E45" s="394" t="n"/>
      <c r="F45" s="846" t="n"/>
      <c r="G45" s="393" t="n"/>
      <c r="H45" s="393" t="n"/>
      <c r="I45" s="393" t="n"/>
      <c r="J45" s="394" t="n"/>
      <c r="K45" s="846" t="n"/>
      <c r="L45" s="396" t="n"/>
      <c r="M45" s="396" t="n"/>
      <c r="N45" s="396" t="n"/>
      <c r="O45" s="396" t="n"/>
      <c r="P45" s="10" t="n"/>
      <c r="Q45" s="17" t="n"/>
      <c r="R45" s="2" t="n"/>
      <c r="S45" s="2" t="n"/>
      <c r="T45" s="2" t="n"/>
      <c r="U45" s="2" t="n"/>
      <c r="V45" s="2" t="n"/>
      <c r="W45" s="2" t="n"/>
      <c r="X45" s="2" t="n"/>
      <c r="Y45" s="2" t="n"/>
      <c r="Z45" s="2" t="n"/>
      <c r="AA45" s="2" t="n"/>
      <c r="AB45" s="2" t="n"/>
      <c r="AC45" s="2" t="n"/>
      <c r="AD45" s="2" t="n"/>
      <c r="AE45" s="2" t="n"/>
      <c r="AF45" s="2" t="n"/>
      <c r="AG45" s="2" t="n"/>
      <c r="AH45" s="2" t="n"/>
      <c r="AI45" s="2" t="n"/>
      <c r="AJ45" s="2" t="n"/>
      <c r="AK45" s="2" t="n"/>
      <c r="AL45" s="2" t="n"/>
      <c r="AM45" s="2" t="n"/>
      <c r="AN45" s="2" t="n"/>
      <c r="AO45" s="2" t="n"/>
      <c r="AP45" s="2" t="n"/>
      <c r="AQ45" s="2" t="n"/>
      <c r="AR45" s="2" t="n"/>
      <c r="AS45" s="2" t="n"/>
      <c r="AT45" s="2" t="n"/>
      <c r="AU45" s="2" t="n"/>
      <c r="AV45" s="2" t="n"/>
      <c r="AW45" s="2" t="n"/>
      <c r="AX45" s="2" t="n"/>
      <c r="AY45" s="2" t="n"/>
      <c r="AZ45" s="2" t="n"/>
      <c r="BA45" s="2" t="n"/>
      <c r="BB45" s="2" t="n"/>
      <c r="BC45" s="2" t="n"/>
      <c r="BD45" s="2" t="n"/>
      <c r="BE45" s="2" t="n"/>
      <c r="BF45" s="2" t="n"/>
      <c r="BG45" s="2" t="n"/>
      <c r="BH45" s="2" t="n"/>
      <c r="BI45" s="2" t="n"/>
      <c r="BJ45" s="2" t="n"/>
      <c r="BK45" s="2" t="n"/>
      <c r="BL45" s="2" t="n"/>
      <c r="BM45" s="2" t="n"/>
      <c r="BN45" s="2" t="n"/>
      <c r="BO45" s="2" t="n"/>
      <c r="BP45" s="2" t="n"/>
      <c r="BQ45" s="2" t="n"/>
      <c r="BR45" s="2" t="n"/>
      <c r="BS45" s="2" t="n"/>
      <c r="BT45" s="2" t="n"/>
      <c r="BU45" s="2" t="n"/>
      <c r="BV45" s="2" t="n"/>
      <c r="BW45" s="2" t="n"/>
      <c r="BX45" s="2" t="n"/>
      <c r="BY45" s="2" t="n"/>
      <c r="BZ45" s="2" t="n"/>
      <c r="CA45" s="2" t="n"/>
      <c r="CB45" s="2" t="n"/>
      <c r="CC45" s="2" t="n"/>
      <c r="CD45" s="2" t="n"/>
      <c r="CE45" s="2" t="n"/>
      <c r="CF45" s="2" t="n"/>
      <c r="CG45" s="2" t="n"/>
      <c r="CH45" s="2" t="n"/>
      <c r="CI45" s="2" t="n"/>
      <c r="CJ45" s="2" t="n"/>
      <c r="CK45" s="2" t="n"/>
      <c r="CL45" s="2" t="n"/>
      <c r="CM45" s="2" t="n"/>
      <c r="CN45" s="2" t="n"/>
      <c r="CO45" s="2" t="n"/>
      <c r="CP45" s="2" t="n"/>
      <c r="CQ45" s="2" t="n"/>
      <c r="CR45" s="2" t="n"/>
      <c r="CS45" s="2" t="n"/>
      <c r="CT45" s="2" t="n"/>
      <c r="CU45" s="2" t="n"/>
      <c r="CV45" s="345" t="n"/>
      <c r="CW45" s="345" t="n"/>
      <c r="CX45" s="345" t="n"/>
      <c r="CY45" s="345" t="n"/>
      <c r="CZ45" s="345" t="n"/>
      <c r="DA45" s="345" t="n"/>
      <c r="DB45" s="345" t="n"/>
      <c r="DC45" s="345" t="n"/>
      <c r="DD45" s="345" t="n"/>
      <c r="DE45" s="345" t="n"/>
      <c r="DF45" s="345" t="n"/>
      <c r="DG45" s="345" t="n"/>
      <c r="DH45" s="345" t="n"/>
      <c r="DI45" s="345" t="n"/>
      <c r="DJ45" s="345" t="n"/>
      <c r="DK45" s="345" t="n"/>
      <c r="DL45" s="345" t="n"/>
      <c r="DM45" s="345" t="n"/>
      <c r="DN45" s="345" t="n"/>
      <c r="DO45" s="345" t="n"/>
      <c r="DP45" s="345" t="n"/>
      <c r="DQ45" s="345" t="n"/>
      <c r="DR45" s="345" t="n"/>
      <c r="DS45" s="345" t="n"/>
      <c r="DT45" s="345" t="n"/>
      <c r="DU45" s="345" t="n"/>
      <c r="DV45" s="390" t="n"/>
      <c r="DW45" s="345" t="n"/>
      <c r="DX45" s="350" t="n"/>
    </row>
    <row r="46" ht="15" customHeight="1" s="634">
      <c r="A46" s="341" t="n"/>
      <c r="B46" s="393" t="n"/>
      <c r="C46" s="374" t="n"/>
      <c r="D46" s="393" t="n"/>
      <c r="E46" s="394" t="n"/>
      <c r="F46" s="846" t="n"/>
      <c r="G46" s="393" t="n"/>
      <c r="H46" s="393" t="n"/>
      <c r="I46" s="393" t="n"/>
      <c r="J46" s="394" t="n"/>
      <c r="K46" s="846" t="n"/>
      <c r="L46" s="396" t="n"/>
      <c r="M46" s="396" t="n"/>
      <c r="N46" s="396" t="n"/>
      <c r="O46" s="396" t="n"/>
      <c r="P46" s="10" t="n"/>
      <c r="Q46" s="17" t="n"/>
      <c r="R46" s="2" t="n"/>
      <c r="S46" s="2" t="n"/>
      <c r="T46" s="2" t="n"/>
      <c r="U46" s="2" t="n"/>
      <c r="V46" s="2" t="n"/>
      <c r="W46" s="2" t="n"/>
      <c r="X46" s="2" t="n"/>
      <c r="Y46" s="2" t="n"/>
      <c r="Z46" s="2" t="n"/>
      <c r="AA46" s="2" t="n"/>
      <c r="AB46" s="2" t="n"/>
      <c r="AC46" s="2" t="n"/>
      <c r="AD46" s="2" t="n"/>
      <c r="AE46" s="2" t="n"/>
      <c r="AF46" s="2" t="n"/>
      <c r="AG46" s="2" t="n"/>
      <c r="AH46" s="2" t="n"/>
      <c r="AI46" s="2" t="n"/>
      <c r="AJ46" s="2" t="n"/>
      <c r="AK46" s="2" t="n"/>
      <c r="AL46" s="2" t="n"/>
      <c r="AM46" s="2" t="n"/>
      <c r="AN46" s="2" t="n"/>
      <c r="AO46" s="2" t="n"/>
      <c r="AP46" s="2" t="n"/>
      <c r="AQ46" s="2" t="n"/>
      <c r="AR46" s="2" t="n"/>
      <c r="AS46" s="2" t="n"/>
      <c r="AT46" s="2" t="n"/>
      <c r="AU46" s="2" t="n"/>
      <c r="AV46" s="2" t="n"/>
      <c r="AW46" s="2" t="n"/>
      <c r="AX46" s="2" t="n"/>
      <c r="AY46" s="2" t="n"/>
      <c r="AZ46" s="2" t="n"/>
      <c r="BA46" s="2" t="n"/>
      <c r="BB46" s="2" t="n"/>
      <c r="BC46" s="2" t="n"/>
      <c r="BD46" s="2" t="n"/>
      <c r="BE46" s="2" t="n"/>
      <c r="BF46" s="2" t="n"/>
      <c r="BG46" s="2" t="n"/>
      <c r="BH46" s="2" t="n"/>
      <c r="BI46" s="2" t="n"/>
      <c r="BJ46" s="2" t="n"/>
      <c r="BK46" s="2" t="n"/>
      <c r="BL46" s="2" t="n"/>
      <c r="BM46" s="2" t="n"/>
      <c r="BN46" s="2" t="n"/>
      <c r="BO46" s="2" t="n"/>
      <c r="BP46" s="2" t="n"/>
      <c r="BQ46" s="2" t="n"/>
      <c r="BR46" s="2" t="n"/>
      <c r="BS46" s="2" t="n"/>
      <c r="BT46" s="2" t="n"/>
      <c r="BU46" s="2" t="n"/>
      <c r="BV46" s="2" t="n"/>
      <c r="BW46" s="2" t="n"/>
      <c r="BX46" s="2" t="n"/>
      <c r="BY46" s="2" t="n"/>
      <c r="BZ46" s="2" t="n"/>
      <c r="CA46" s="2" t="n"/>
      <c r="CB46" s="2" t="n"/>
      <c r="CC46" s="2" t="n"/>
      <c r="CD46" s="2" t="n"/>
      <c r="CE46" s="2" t="n"/>
      <c r="CF46" s="2" t="n"/>
      <c r="CG46" s="2" t="n"/>
      <c r="CH46" s="2" t="n"/>
      <c r="CI46" s="2" t="n"/>
      <c r="CJ46" s="2" t="n"/>
      <c r="CK46" s="2" t="n"/>
      <c r="CL46" s="2" t="n"/>
      <c r="CM46" s="2" t="n"/>
      <c r="CN46" s="2" t="n"/>
      <c r="CO46" s="2" t="n"/>
      <c r="CP46" s="2" t="n"/>
      <c r="CQ46" s="2" t="n"/>
      <c r="CR46" s="2" t="n"/>
      <c r="CS46" s="2" t="n"/>
      <c r="CT46" s="2" t="n"/>
      <c r="CU46" s="2" t="n"/>
      <c r="CV46" s="345" t="n"/>
      <c r="CW46" s="345" t="n"/>
      <c r="CX46" s="345" t="n"/>
      <c r="CY46" s="345" t="n"/>
      <c r="CZ46" s="345" t="n"/>
      <c r="DA46" s="345" t="n"/>
      <c r="DB46" s="345" t="n"/>
      <c r="DC46" s="345" t="n"/>
      <c r="DD46" s="345" t="n"/>
      <c r="DE46" s="345" t="n"/>
      <c r="DF46" s="345" t="n"/>
      <c r="DG46" s="345" t="n"/>
      <c r="DH46" s="345" t="n"/>
      <c r="DI46" s="345" t="n"/>
      <c r="DJ46" s="345" t="n"/>
      <c r="DK46" s="345" t="n"/>
      <c r="DL46" s="345" t="n"/>
      <c r="DM46" s="345" t="n"/>
      <c r="DN46" s="345" t="n"/>
      <c r="DO46" s="345" t="n"/>
      <c r="DP46" s="345" t="n"/>
      <c r="DQ46" s="345" t="n"/>
      <c r="DR46" s="345" t="n"/>
      <c r="DS46" s="345" t="n"/>
      <c r="DT46" s="345" t="n"/>
      <c r="DU46" s="345" t="n"/>
      <c r="DV46" s="390" t="n"/>
      <c r="DW46" s="345" t="n"/>
      <c r="DX46" s="350" t="n"/>
    </row>
    <row r="47" ht="15" customHeight="1" s="634">
      <c r="A47" s="341" t="n"/>
      <c r="B47" s="393" t="n"/>
      <c r="C47" s="374" t="n"/>
      <c r="D47" s="393" t="n"/>
      <c r="E47" s="394" t="n"/>
      <c r="F47" s="846" t="n"/>
      <c r="G47" s="393" t="n"/>
      <c r="H47" s="393" t="n"/>
      <c r="I47" s="393" t="n"/>
      <c r="J47" s="394" t="n"/>
      <c r="K47" s="846" t="n"/>
      <c r="L47" s="396" t="n"/>
      <c r="M47" s="396" t="n"/>
      <c r="N47" s="396" t="n"/>
      <c r="O47" s="396" t="n"/>
      <c r="P47" s="10" t="n"/>
      <c r="Q47" s="17" t="n"/>
      <c r="R47" s="2" t="n"/>
      <c r="S47" s="2" t="n"/>
      <c r="T47" s="2" t="n"/>
      <c r="U47" s="2" t="n"/>
      <c r="V47" s="2" t="n"/>
      <c r="W47" s="2" t="n"/>
      <c r="X47" s="2" t="n"/>
      <c r="Y47" s="2" t="n"/>
      <c r="Z47" s="2" t="n"/>
      <c r="AA47" s="2" t="n"/>
      <c r="AB47" s="2" t="n"/>
      <c r="AC47" s="2" t="n"/>
      <c r="AD47" s="2" t="n"/>
      <c r="AE47" s="2" t="n"/>
      <c r="AF47" s="2" t="n"/>
      <c r="AG47" s="2" t="n"/>
      <c r="AH47" s="2" t="n"/>
      <c r="AI47" s="2" t="n"/>
      <c r="AJ47" s="2" t="n"/>
      <c r="AK47" s="2" t="n"/>
      <c r="AL47" s="2" t="n"/>
      <c r="AM47" s="2" t="n"/>
      <c r="AN47" s="2" t="n"/>
      <c r="AO47" s="2" t="n"/>
      <c r="AP47" s="2" t="n"/>
      <c r="AQ47" s="2" t="n"/>
      <c r="AR47" s="2" t="n"/>
      <c r="AS47" s="2" t="n"/>
      <c r="AT47" s="2" t="n"/>
      <c r="AU47" s="2" t="n"/>
      <c r="AV47" s="2" t="n"/>
      <c r="AW47" s="2" t="n"/>
      <c r="AX47" s="2" t="n"/>
      <c r="AY47" s="2" t="n"/>
      <c r="AZ47" s="2" t="n"/>
      <c r="BA47" s="2" t="n"/>
      <c r="BB47" s="2" t="n"/>
      <c r="BC47" s="2" t="n"/>
      <c r="BD47" s="2" t="n"/>
      <c r="BE47" s="2" t="n"/>
      <c r="BF47" s="2" t="n"/>
      <c r="BG47" s="2" t="n"/>
      <c r="BH47" s="2" t="n"/>
      <c r="BI47" s="2" t="n"/>
      <c r="BJ47" s="2" t="n"/>
      <c r="BK47" s="2" t="n"/>
      <c r="BL47" s="2" t="n"/>
      <c r="BM47" s="2" t="n"/>
      <c r="BN47" s="2" t="n"/>
      <c r="BO47" s="2" t="n"/>
      <c r="BP47" s="2" t="n"/>
      <c r="BQ47" s="2" t="n"/>
      <c r="BR47" s="2" t="n"/>
      <c r="BS47" s="2" t="n"/>
      <c r="BT47" s="2" t="n"/>
      <c r="BU47" s="2" t="n"/>
      <c r="BV47" s="2" t="n"/>
      <c r="BW47" s="2" t="n"/>
      <c r="BX47" s="2" t="n"/>
      <c r="BY47" s="2" t="n"/>
      <c r="BZ47" s="2" t="n"/>
      <c r="CA47" s="2" t="n"/>
      <c r="CB47" s="2" t="n"/>
      <c r="CC47" s="2" t="n"/>
      <c r="CD47" s="2" t="n"/>
      <c r="CE47" s="2" t="n"/>
      <c r="CF47" s="2" t="n"/>
      <c r="CG47" s="2" t="n"/>
      <c r="CH47" s="2" t="n"/>
      <c r="CI47" s="2" t="n"/>
      <c r="CJ47" s="2" t="n"/>
      <c r="CK47" s="2" t="n"/>
      <c r="CL47" s="2" t="n"/>
      <c r="CM47" s="2" t="n"/>
      <c r="CN47" s="2" t="n"/>
      <c r="CO47" s="2" t="n"/>
      <c r="CP47" s="2" t="n"/>
      <c r="CQ47" s="2" t="n"/>
      <c r="CR47" s="2" t="n"/>
      <c r="CS47" s="2" t="n"/>
      <c r="CT47" s="2" t="n"/>
      <c r="CU47" s="2" t="n"/>
      <c r="CV47" s="345" t="n"/>
      <c r="CW47" s="345" t="n"/>
      <c r="CX47" s="345" t="n"/>
      <c r="CY47" s="345" t="n"/>
      <c r="CZ47" s="345" t="n"/>
      <c r="DA47" s="345" t="n"/>
      <c r="DB47" s="345" t="n"/>
      <c r="DC47" s="345" t="n"/>
      <c r="DD47" s="345" t="n"/>
      <c r="DE47" s="345" t="n"/>
      <c r="DF47" s="345" t="n"/>
      <c r="DG47" s="345" t="n"/>
      <c r="DH47" s="345" t="n"/>
      <c r="DI47" s="345" t="n"/>
      <c r="DJ47" s="345" t="n"/>
      <c r="DK47" s="345" t="n"/>
      <c r="DL47" s="345" t="n"/>
      <c r="DM47" s="345" t="n"/>
      <c r="DN47" s="345" t="n"/>
      <c r="DO47" s="345" t="n"/>
      <c r="DP47" s="345" t="n"/>
      <c r="DQ47" s="345" t="n"/>
      <c r="DR47" s="345" t="n"/>
      <c r="DS47" s="345" t="n"/>
      <c r="DT47" s="345" t="n"/>
      <c r="DU47" s="345" t="n"/>
      <c r="DV47" s="390" t="n"/>
      <c r="DW47" s="345" t="n"/>
      <c r="DX47" s="350" t="n"/>
    </row>
    <row r="48" ht="15" customHeight="1" s="634">
      <c r="A48" s="341" t="n"/>
      <c r="B48" s="397" t="n"/>
      <c r="C48" s="381" t="n"/>
      <c r="D48" s="397" t="n"/>
      <c r="E48" s="398" t="n"/>
      <c r="F48" s="847" t="n"/>
      <c r="G48" s="397" t="n"/>
      <c r="H48" s="397" t="n"/>
      <c r="I48" s="397" t="n"/>
      <c r="J48" s="398" t="n"/>
      <c r="K48" s="848" t="n"/>
      <c r="L48" s="396" t="n"/>
      <c r="M48" s="396" t="n"/>
      <c r="N48" s="396" t="n"/>
      <c r="O48" s="396" t="n"/>
      <c r="P48" s="10" t="n"/>
      <c r="Q48" s="17" t="n"/>
      <c r="R48" s="2" t="n"/>
      <c r="S48" s="2" t="n"/>
      <c r="T48" s="2" t="n"/>
      <c r="U48" s="2" t="n"/>
      <c r="V48" s="2" t="n"/>
      <c r="W48" s="2" t="n"/>
      <c r="X48" s="2" t="n"/>
      <c r="Y48" s="2" t="n"/>
      <c r="Z48" s="2" t="n"/>
      <c r="AA48" s="2" t="n"/>
      <c r="AB48" s="2" t="n"/>
      <c r="AC48" s="2" t="n"/>
      <c r="AD48" s="2" t="n"/>
      <c r="AE48" s="2" t="n"/>
      <c r="AF48" s="2" t="n"/>
      <c r="AG48" s="2" t="n"/>
      <c r="AH48" s="2" t="n"/>
      <c r="AI48" s="2" t="n"/>
      <c r="AJ48" s="2" t="n"/>
      <c r="AK48" s="2" t="n"/>
      <c r="AL48" s="2" t="n"/>
      <c r="AM48" s="2" t="n"/>
      <c r="AN48" s="2" t="n"/>
      <c r="AO48" s="2" t="n"/>
      <c r="AP48" s="2" t="n"/>
      <c r="AQ48" s="2" t="n"/>
      <c r="AR48" s="2" t="n"/>
      <c r="AS48" s="2" t="n"/>
      <c r="AT48" s="2" t="n"/>
      <c r="AU48" s="2" t="n"/>
      <c r="AV48" s="2" t="n"/>
      <c r="AW48" s="2" t="n"/>
      <c r="AX48" s="2" t="n"/>
      <c r="AY48" s="2" t="n"/>
      <c r="AZ48" s="2" t="n"/>
      <c r="BA48" s="2" t="n"/>
      <c r="BB48" s="2" t="n"/>
      <c r="BC48" s="2" t="n"/>
      <c r="BD48" s="2" t="n"/>
      <c r="BE48" s="2" t="n"/>
      <c r="BF48" s="2" t="n"/>
      <c r="BG48" s="2" t="n"/>
      <c r="BH48" s="2" t="n"/>
      <c r="BI48" s="2" t="n"/>
      <c r="BJ48" s="2" t="n"/>
      <c r="BK48" s="2" t="n"/>
      <c r="BL48" s="2" t="n"/>
      <c r="BM48" s="2" t="n"/>
      <c r="BN48" s="2" t="n"/>
      <c r="BO48" s="2" t="n"/>
      <c r="BP48" s="2" t="n"/>
      <c r="BQ48" s="2" t="n"/>
      <c r="BR48" s="2" t="n"/>
      <c r="BS48" s="2" t="n"/>
      <c r="BT48" s="2" t="n"/>
      <c r="BU48" s="2" t="n"/>
      <c r="BV48" s="2" t="n"/>
      <c r="BW48" s="2" t="n"/>
      <c r="BX48" s="2" t="n"/>
      <c r="BY48" s="2" t="n"/>
      <c r="BZ48" s="2" t="n"/>
      <c r="CA48" s="2" t="n"/>
      <c r="CB48" s="2" t="n"/>
      <c r="CC48" s="2" t="n"/>
      <c r="CD48" s="2" t="n"/>
      <c r="CE48" s="2" t="n"/>
      <c r="CF48" s="2" t="n"/>
      <c r="CG48" s="2" t="n"/>
      <c r="CH48" s="2" t="n"/>
      <c r="CI48" s="2" t="n"/>
      <c r="CJ48" s="2" t="n"/>
      <c r="CK48" s="2" t="n"/>
      <c r="CL48" s="2" t="n"/>
      <c r="CM48" s="2" t="n"/>
      <c r="CN48" s="2" t="n"/>
      <c r="CO48" s="2" t="n"/>
      <c r="CP48" s="2" t="n"/>
      <c r="CQ48" s="2" t="n"/>
      <c r="CR48" s="2" t="n"/>
      <c r="CS48" s="2" t="n"/>
      <c r="CT48" s="2" t="n"/>
      <c r="CU48" s="2" t="n"/>
      <c r="CV48" s="345" t="n"/>
      <c r="CW48" s="345" t="n"/>
      <c r="CX48" s="345" t="n"/>
      <c r="CY48" s="345" t="n"/>
      <c r="CZ48" s="345" t="n"/>
      <c r="DA48" s="345" t="n"/>
      <c r="DB48" s="345" t="n"/>
      <c r="DC48" s="345" t="n"/>
      <c r="DD48" s="345" t="n"/>
      <c r="DE48" s="345" t="n"/>
      <c r="DF48" s="345" t="n"/>
      <c r="DG48" s="345" t="n"/>
      <c r="DH48" s="345" t="n"/>
      <c r="DI48" s="345" t="n"/>
      <c r="DJ48" s="345" t="n"/>
      <c r="DK48" s="345" t="n"/>
      <c r="DL48" s="345" t="n"/>
      <c r="DM48" s="345" t="n"/>
      <c r="DN48" s="345" t="n"/>
      <c r="DO48" s="345" t="n"/>
      <c r="DP48" s="345" t="n"/>
      <c r="DQ48" s="345" t="n"/>
      <c r="DR48" s="345" t="n"/>
      <c r="DS48" s="345" t="n"/>
      <c r="DT48" s="345" t="n"/>
      <c r="DU48" s="345" t="n"/>
      <c r="DV48" s="390" t="n"/>
      <c r="DW48" s="345" t="n"/>
      <c r="DX48" s="350" t="n"/>
    </row>
    <row r="49" ht="15" customHeight="1" s="634">
      <c r="A49" s="341" t="n"/>
      <c r="B49" s="400" t="n"/>
      <c r="C49" s="2" t="n"/>
      <c r="D49" s="2" t="n"/>
      <c r="E49" s="2" t="n"/>
      <c r="F49" s="2" t="n"/>
      <c r="G49" s="2" t="n"/>
      <c r="H49" s="2" t="n"/>
      <c r="I49" s="2" t="n"/>
      <c r="J49" s="2" t="n"/>
      <c r="K49" s="2" t="n"/>
      <c r="L49" s="2" t="n"/>
      <c r="M49" s="2" t="n"/>
      <c r="N49" s="2" t="n"/>
      <c r="O49" s="2" t="n"/>
      <c r="P49" s="10" t="n"/>
      <c r="Q49" s="17" t="n"/>
      <c r="R49" s="2" t="n"/>
      <c r="S49" s="2" t="n"/>
      <c r="T49" s="2" t="n"/>
      <c r="U49" s="2" t="n"/>
      <c r="V49" s="2" t="n"/>
      <c r="W49" s="2" t="n"/>
      <c r="X49" s="2" t="n"/>
      <c r="Y49" s="2" t="n"/>
      <c r="Z49" s="2" t="n"/>
      <c r="AA49" s="2" t="n"/>
      <c r="AB49" s="2" t="n"/>
      <c r="AC49" s="2" t="n"/>
      <c r="AD49" s="2" t="n"/>
      <c r="AE49" s="2" t="n"/>
      <c r="AF49" s="2" t="n"/>
      <c r="AG49" s="2" t="n"/>
      <c r="AH49" s="2" t="n"/>
      <c r="AI49" s="2" t="n"/>
      <c r="AJ49" s="2" t="n"/>
      <c r="AK49" s="2" t="n"/>
      <c r="AL49" s="2" t="n"/>
      <c r="AM49" s="2" t="n"/>
      <c r="AN49" s="2" t="n"/>
      <c r="AO49" s="2" t="n"/>
      <c r="AP49" s="2" t="n"/>
      <c r="AQ49" s="2" t="n"/>
      <c r="AR49" s="2" t="n"/>
      <c r="AS49" s="2" t="n"/>
      <c r="AT49" s="2" t="n"/>
      <c r="AU49" s="2" t="n"/>
      <c r="AV49" s="2" t="n"/>
      <c r="AW49" s="2" t="n"/>
      <c r="AX49" s="2" t="n"/>
      <c r="AY49" s="2" t="n"/>
      <c r="AZ49" s="2" t="n"/>
      <c r="BA49" s="2" t="n"/>
      <c r="BB49" s="2" t="n"/>
      <c r="BC49" s="2" t="n"/>
      <c r="BD49" s="2" t="n"/>
      <c r="BE49" s="2" t="n"/>
      <c r="BF49" s="2" t="n"/>
      <c r="BG49" s="2" t="n"/>
      <c r="BH49" s="2" t="n"/>
      <c r="BI49" s="2" t="n"/>
      <c r="BJ49" s="2" t="n"/>
      <c r="BK49" s="2" t="n"/>
      <c r="BL49" s="2" t="n"/>
      <c r="BM49" s="2" t="n"/>
      <c r="BN49" s="2" t="n"/>
      <c r="BO49" s="2" t="n"/>
      <c r="BP49" s="2" t="n"/>
      <c r="BQ49" s="2" t="n"/>
      <c r="BR49" s="2" t="n"/>
      <c r="BS49" s="2" t="n"/>
      <c r="BT49" s="2" t="n"/>
      <c r="BU49" s="2" t="n"/>
      <c r="BV49" s="2" t="n"/>
      <c r="BW49" s="2" t="n"/>
      <c r="BX49" s="2" t="n"/>
      <c r="BY49" s="2" t="n"/>
      <c r="BZ49" s="2" t="n"/>
      <c r="CA49" s="2" t="n"/>
      <c r="CB49" s="2" t="n"/>
      <c r="CC49" s="2" t="n"/>
      <c r="CD49" s="2" t="n"/>
      <c r="CE49" s="2" t="n"/>
      <c r="CF49" s="2" t="n"/>
      <c r="CG49" s="2" t="n"/>
      <c r="CH49" s="2" t="n"/>
      <c r="CI49" s="2" t="n"/>
      <c r="CJ49" s="2" t="n"/>
      <c r="CK49" s="2" t="n"/>
      <c r="CL49" s="2" t="n"/>
      <c r="CM49" s="2" t="n"/>
      <c r="CN49" s="2" t="n"/>
      <c r="CO49" s="2" t="n"/>
      <c r="CP49" s="2" t="n"/>
      <c r="CQ49" s="2" t="n"/>
      <c r="CR49" s="2" t="n"/>
      <c r="CS49" s="2" t="n"/>
      <c r="CT49" s="2" t="n"/>
      <c r="CU49" s="2" t="n"/>
      <c r="CV49" s="345" t="n"/>
      <c r="CW49" s="345" t="n"/>
      <c r="CX49" s="345" t="n"/>
      <c r="CY49" s="345" t="n"/>
      <c r="CZ49" s="345" t="n"/>
      <c r="DA49" s="345" t="n"/>
      <c r="DB49" s="345" t="n"/>
      <c r="DC49" s="345" t="n"/>
      <c r="DD49" s="345" t="n"/>
      <c r="DE49" s="345" t="n"/>
      <c r="DF49" s="345" t="n"/>
      <c r="DG49" s="345" t="n"/>
      <c r="DH49" s="345" t="n"/>
      <c r="DI49" s="345" t="n"/>
      <c r="DJ49" s="345" t="n"/>
      <c r="DK49" s="345" t="n"/>
      <c r="DL49" s="345" t="n"/>
      <c r="DM49" s="345" t="n"/>
      <c r="DN49" s="345" t="n"/>
      <c r="DO49" s="345" t="n"/>
      <c r="DP49" s="345" t="n"/>
      <c r="DQ49" s="345" t="n"/>
      <c r="DR49" s="345" t="n"/>
      <c r="DS49" s="345" t="n"/>
      <c r="DT49" s="345" t="n"/>
      <c r="DU49" s="345" t="n"/>
      <c r="DV49" s="390" t="n"/>
      <c r="DW49" s="345" t="n"/>
      <c r="DX49" s="350" t="n"/>
    </row>
    <row r="50" ht="15" customHeight="1" s="634">
      <c r="A50" s="341" t="n"/>
      <c r="B50" s="401" t="inlineStr">
        <is>
          <t>Notes：记录识别的异常情况的详细信息以及如何解决这些异常情况，包括执行的额外实质性程序</t>
        </is>
      </c>
      <c r="C50" s="2" t="n"/>
      <c r="D50" s="2" t="n"/>
      <c r="E50" s="2" t="n"/>
      <c r="F50" s="2" t="n"/>
      <c r="G50" s="2" t="n"/>
      <c r="H50" s="2" t="n"/>
      <c r="I50" s="2" t="n"/>
      <c r="J50" s="2" t="n"/>
      <c r="K50" s="2" t="n"/>
      <c r="L50" s="2" t="n"/>
      <c r="M50" s="2" t="n"/>
      <c r="N50" s="2" t="n"/>
      <c r="O50" s="2" t="n"/>
      <c r="P50" s="10" t="n"/>
      <c r="Q50" s="17" t="n"/>
      <c r="R50" s="2" t="n"/>
      <c r="S50" s="2" t="n"/>
      <c r="T50" s="2" t="n"/>
      <c r="U50" s="2" t="n"/>
      <c r="V50" s="2" t="n"/>
      <c r="W50" s="2" t="n"/>
      <c r="X50" s="2" t="n"/>
      <c r="Y50" s="2" t="n"/>
      <c r="Z50" s="2" t="n"/>
      <c r="AA50" s="2" t="n"/>
      <c r="AB50" s="2" t="n"/>
      <c r="AC50" s="2" t="n"/>
      <c r="AD50" s="2" t="n"/>
      <c r="AE50" s="2" t="n"/>
      <c r="AF50" s="2" t="n"/>
      <c r="AG50" s="2" t="n"/>
      <c r="AH50" s="2" t="n"/>
      <c r="AI50" s="2" t="n"/>
      <c r="AJ50" s="2" t="n"/>
      <c r="AK50" s="2" t="n"/>
      <c r="AL50" s="2" t="n"/>
      <c r="AM50" s="2" t="n"/>
      <c r="AN50" s="2" t="n"/>
      <c r="AO50" s="2" t="n"/>
      <c r="AP50" s="2" t="n"/>
      <c r="AQ50" s="2" t="n"/>
      <c r="AR50" s="2" t="n"/>
      <c r="AS50" s="2" t="n"/>
      <c r="AT50" s="2" t="n"/>
      <c r="AU50" s="2" t="n"/>
      <c r="AV50" s="2" t="n"/>
      <c r="AW50" s="2" t="n"/>
      <c r="AX50" s="2" t="n"/>
      <c r="AY50" s="2" t="n"/>
      <c r="AZ50" s="2" t="n"/>
      <c r="BA50" s="2" t="n"/>
      <c r="BB50" s="2" t="n"/>
      <c r="BC50" s="2" t="n"/>
      <c r="BD50" s="2" t="n"/>
      <c r="BE50" s="2" t="n"/>
      <c r="BF50" s="2" t="n"/>
      <c r="BG50" s="2" t="n"/>
      <c r="BH50" s="2" t="n"/>
      <c r="BI50" s="2" t="n"/>
      <c r="BJ50" s="2" t="n"/>
      <c r="BK50" s="2" t="n"/>
      <c r="BL50" s="2" t="n"/>
      <c r="BM50" s="2" t="n"/>
      <c r="BN50" s="2" t="n"/>
      <c r="BO50" s="2" t="n"/>
      <c r="BP50" s="2" t="n"/>
      <c r="BQ50" s="2" t="n"/>
      <c r="BR50" s="2" t="n"/>
      <c r="BS50" s="2" t="n"/>
      <c r="BT50" s="2" t="n"/>
      <c r="BU50" s="2" t="n"/>
      <c r="BV50" s="2" t="n"/>
      <c r="BW50" s="2" t="n"/>
      <c r="BX50" s="2" t="n"/>
      <c r="BY50" s="2" t="n"/>
      <c r="BZ50" s="2" t="n"/>
      <c r="CA50" s="2" t="n"/>
      <c r="CB50" s="2" t="n"/>
      <c r="CC50" s="2" t="n"/>
      <c r="CD50" s="2" t="n"/>
      <c r="CE50" s="2" t="n"/>
      <c r="CF50" s="2" t="n"/>
      <c r="CG50" s="2" t="n"/>
      <c r="CH50" s="2" t="n"/>
      <c r="CI50" s="2" t="n"/>
      <c r="CJ50" s="2" t="n"/>
      <c r="CK50" s="2" t="n"/>
      <c r="CL50" s="2" t="n"/>
      <c r="CM50" s="2" t="n"/>
      <c r="CN50" s="2" t="n"/>
      <c r="CO50" s="2" t="n"/>
      <c r="CP50" s="2" t="n"/>
      <c r="CQ50" s="2" t="n"/>
      <c r="CR50" s="2" t="n"/>
      <c r="CS50" s="2" t="n"/>
      <c r="CT50" s="2" t="n"/>
      <c r="CU50" s="2" t="n"/>
      <c r="CV50" s="345" t="n"/>
      <c r="CW50" s="345" t="n"/>
      <c r="CX50" s="345" t="n"/>
      <c r="CY50" s="345" t="n"/>
      <c r="CZ50" s="345" t="n"/>
      <c r="DA50" s="345" t="n"/>
      <c r="DB50" s="345" t="n"/>
      <c r="DC50" s="345" t="n"/>
      <c r="DD50" s="345" t="n"/>
      <c r="DE50" s="345" t="n"/>
      <c r="DF50" s="345" t="n"/>
      <c r="DG50" s="345" t="n"/>
      <c r="DH50" s="345" t="n"/>
      <c r="DI50" s="345" t="n"/>
      <c r="DJ50" s="345" t="n"/>
      <c r="DK50" s="345" t="n"/>
      <c r="DL50" s="345" t="n"/>
      <c r="DM50" s="345" t="n"/>
      <c r="DN50" s="345" t="n"/>
      <c r="DO50" s="345" t="n"/>
      <c r="DP50" s="345" t="n"/>
      <c r="DQ50" s="345" t="n"/>
      <c r="DR50" s="345" t="n"/>
      <c r="DS50" s="345" t="n"/>
      <c r="DT50" s="345" t="n"/>
      <c r="DU50" s="345" t="n"/>
      <c r="DV50" s="390" t="n"/>
      <c r="DW50" s="345" t="n"/>
      <c r="DX50" s="350" t="n"/>
    </row>
    <row r="51" ht="13.35" customHeight="1" s="634">
      <c r="A51" s="341" t="n"/>
      <c r="B51" s="849" t="n"/>
      <c r="C51" s="688" t="n"/>
      <c r="D51" s="688" t="n"/>
      <c r="E51" s="688" t="n"/>
      <c r="F51" s="689" t="n"/>
      <c r="G51" s="2" t="n"/>
      <c r="H51" s="2" t="n"/>
      <c r="I51" s="2" t="n"/>
      <c r="J51" s="2" t="n"/>
      <c r="K51" s="2" t="n"/>
      <c r="L51" s="2" t="n"/>
      <c r="M51" s="2" t="n"/>
      <c r="N51" s="2" t="n"/>
      <c r="O51" s="2" t="n"/>
      <c r="P51" s="10" t="n"/>
      <c r="Q51" s="17" t="n"/>
      <c r="R51" s="2" t="n"/>
      <c r="S51" s="2" t="n"/>
      <c r="T51" s="2" t="n"/>
      <c r="U51" s="2" t="n"/>
      <c r="V51" s="2" t="n"/>
      <c r="W51" s="2" t="n"/>
      <c r="X51" s="2" t="n"/>
      <c r="Y51" s="2" t="n"/>
      <c r="Z51" s="2" t="n"/>
      <c r="AA51" s="2" t="n"/>
      <c r="AB51" s="2" t="n"/>
      <c r="AC51" s="2" t="n"/>
      <c r="AD51" s="2" t="n"/>
      <c r="AE51" s="2" t="n"/>
      <c r="AF51" s="2" t="n"/>
      <c r="AG51" s="2" t="n"/>
      <c r="AH51" s="2" t="n"/>
      <c r="AI51" s="2" t="n"/>
      <c r="AJ51" s="2" t="n"/>
      <c r="AK51" s="2" t="n"/>
      <c r="AL51" s="2" t="n"/>
      <c r="AM51" s="2" t="n"/>
      <c r="AN51" s="2" t="n"/>
      <c r="AO51" s="2" t="n"/>
      <c r="AP51" s="2" t="n"/>
      <c r="AQ51" s="2" t="n"/>
      <c r="AR51" s="2" t="n"/>
      <c r="AS51" s="2" t="n"/>
      <c r="AT51" s="2" t="n"/>
      <c r="AU51" s="2" t="n"/>
      <c r="AV51" s="2" t="n"/>
      <c r="AW51" s="2" t="n"/>
      <c r="AX51" s="2" t="n"/>
      <c r="AY51" s="2" t="n"/>
      <c r="AZ51" s="2" t="n"/>
      <c r="BA51" s="2" t="n"/>
      <c r="BB51" s="2" t="n"/>
      <c r="BC51" s="2" t="n"/>
      <c r="BD51" s="2" t="n"/>
      <c r="BE51" s="2" t="n"/>
      <c r="BF51" s="2" t="n"/>
      <c r="BG51" s="2" t="n"/>
      <c r="BH51" s="2" t="n"/>
      <c r="BI51" s="2" t="n"/>
      <c r="BJ51" s="2" t="n"/>
      <c r="BK51" s="2" t="n"/>
      <c r="BL51" s="2" t="n"/>
      <c r="BM51" s="2" t="n"/>
      <c r="BN51" s="2" t="n"/>
      <c r="BO51" s="2" t="n"/>
      <c r="BP51" s="2" t="n"/>
      <c r="BQ51" s="2" t="n"/>
      <c r="BR51" s="2" t="n"/>
      <c r="BS51" s="2" t="n"/>
      <c r="BT51" s="2" t="n"/>
      <c r="BU51" s="2" t="n"/>
      <c r="BV51" s="2" t="n"/>
      <c r="BW51" s="2" t="n"/>
      <c r="BX51" s="2" t="n"/>
      <c r="BY51" s="2" t="n"/>
      <c r="BZ51" s="2" t="n"/>
      <c r="CA51" s="2" t="n"/>
      <c r="CB51" s="2" t="n"/>
      <c r="CC51" s="2" t="n"/>
      <c r="CD51" s="2" t="n"/>
      <c r="CE51" s="2" t="n"/>
      <c r="CF51" s="2" t="n"/>
      <c r="CG51" s="2" t="n"/>
      <c r="CH51" s="2" t="n"/>
      <c r="CI51" s="2" t="n"/>
      <c r="CJ51" s="2" t="n"/>
      <c r="CK51" s="2" t="n"/>
      <c r="CL51" s="2" t="n"/>
      <c r="CM51" s="2" t="n"/>
      <c r="CN51" s="2" t="n"/>
      <c r="CO51" s="2" t="n"/>
      <c r="CP51" s="2" t="n"/>
      <c r="CQ51" s="2" t="n"/>
      <c r="CR51" s="2" t="n"/>
      <c r="CS51" s="2" t="n"/>
      <c r="CT51" s="2" t="n"/>
      <c r="CU51" s="2" t="n"/>
      <c r="CV51" s="345" t="n"/>
      <c r="CW51" s="345" t="n"/>
      <c r="CX51" s="345" t="n"/>
      <c r="CY51" s="345" t="n"/>
      <c r="CZ51" s="345" t="n"/>
      <c r="DA51" s="345" t="n"/>
      <c r="DB51" s="345" t="n"/>
      <c r="DC51" s="345" t="n"/>
      <c r="DD51" s="345" t="n"/>
      <c r="DE51" s="345" t="n"/>
      <c r="DF51" s="345" t="n"/>
      <c r="DG51" s="345" t="n"/>
      <c r="DH51" s="345" t="n"/>
      <c r="DI51" s="345" t="n"/>
      <c r="DJ51" s="345" t="n"/>
      <c r="DK51" s="345" t="n"/>
      <c r="DL51" s="345" t="n"/>
      <c r="DM51" s="345" t="n"/>
      <c r="DN51" s="345" t="n"/>
      <c r="DO51" s="345" t="n"/>
      <c r="DP51" s="345" t="n"/>
      <c r="DQ51" s="345" t="n"/>
      <c r="DR51" s="345" t="n"/>
      <c r="DS51" s="345" t="n"/>
      <c r="DT51" s="345" t="n"/>
      <c r="DU51" s="345" t="n"/>
      <c r="DV51" s="390" t="n"/>
      <c r="DW51" s="345" t="n"/>
      <c r="DX51" s="350" t="n"/>
    </row>
    <row r="52" ht="13.35" customHeight="1" s="634">
      <c r="A52" s="341" t="n"/>
      <c r="B52" s="641" t="n"/>
      <c r="F52" s="690" t="n"/>
      <c r="G52" s="2" t="n"/>
      <c r="H52" s="2" t="n"/>
      <c r="I52" s="2" t="n"/>
      <c r="J52" s="2" t="n"/>
      <c r="K52" s="2" t="n"/>
      <c r="L52" s="2" t="n"/>
      <c r="M52" s="2" t="n"/>
      <c r="N52" s="2" t="n"/>
      <c r="O52" s="2" t="n"/>
      <c r="P52" s="10" t="n"/>
      <c r="Q52" s="17" t="n"/>
      <c r="R52" s="2" t="n"/>
      <c r="S52" s="2" t="n"/>
      <c r="T52" s="2" t="n"/>
      <c r="U52" s="2" t="n"/>
      <c r="V52" s="2" t="n"/>
      <c r="W52" s="2" t="n"/>
      <c r="X52" s="2" t="n"/>
      <c r="Y52" s="2" t="n"/>
      <c r="Z52" s="2" t="n"/>
      <c r="AA52" s="2" t="n"/>
      <c r="AB52" s="2" t="n"/>
      <c r="AC52" s="2" t="n"/>
      <c r="AD52" s="2" t="n"/>
      <c r="AE52" s="2" t="n"/>
      <c r="AF52" s="2" t="n"/>
      <c r="AG52" s="2" t="n"/>
      <c r="AH52" s="2" t="n"/>
      <c r="AI52" s="2" t="n"/>
      <c r="AJ52" s="2" t="n"/>
      <c r="AK52" s="2" t="n"/>
      <c r="AL52" s="2" t="n"/>
      <c r="AM52" s="2" t="n"/>
      <c r="AN52" s="2" t="n"/>
      <c r="AO52" s="2" t="n"/>
      <c r="AP52" s="2" t="n"/>
      <c r="AQ52" s="2" t="n"/>
      <c r="AR52" s="2" t="n"/>
      <c r="AS52" s="2" t="n"/>
      <c r="AT52" s="2" t="n"/>
      <c r="AU52" s="2" t="n"/>
      <c r="AV52" s="2" t="n"/>
      <c r="AW52" s="2" t="n"/>
      <c r="AX52" s="2" t="n"/>
      <c r="AY52" s="2" t="n"/>
      <c r="AZ52" s="2" t="n"/>
      <c r="BA52" s="2" t="n"/>
      <c r="BB52" s="2" t="n"/>
      <c r="BC52" s="2" t="n"/>
      <c r="BD52" s="2" t="n"/>
      <c r="BE52" s="2" t="n"/>
      <c r="BF52" s="2" t="n"/>
      <c r="BG52" s="2" t="n"/>
      <c r="BH52" s="2" t="n"/>
      <c r="BI52" s="2" t="n"/>
      <c r="BJ52" s="2" t="n"/>
      <c r="BK52" s="2" t="n"/>
      <c r="BL52" s="2" t="n"/>
      <c r="BM52" s="2" t="n"/>
      <c r="BN52" s="2" t="n"/>
      <c r="BO52" s="2" t="n"/>
      <c r="BP52" s="2" t="n"/>
      <c r="BQ52" s="2" t="n"/>
      <c r="BR52" s="2" t="n"/>
      <c r="BS52" s="2" t="n"/>
      <c r="BT52" s="2" t="n"/>
      <c r="BU52" s="2" t="n"/>
      <c r="BV52" s="2" t="n"/>
      <c r="BW52" s="2" t="n"/>
      <c r="BX52" s="2" t="n"/>
      <c r="BY52" s="2" t="n"/>
      <c r="BZ52" s="2" t="n"/>
      <c r="CA52" s="2" t="n"/>
      <c r="CB52" s="2" t="n"/>
      <c r="CC52" s="2" t="n"/>
      <c r="CD52" s="2" t="n"/>
      <c r="CE52" s="2" t="n"/>
      <c r="CF52" s="2" t="n"/>
      <c r="CG52" s="2" t="n"/>
      <c r="CH52" s="2" t="n"/>
      <c r="CI52" s="2" t="n"/>
      <c r="CJ52" s="2" t="n"/>
      <c r="CK52" s="2" t="n"/>
      <c r="CL52" s="2" t="n"/>
      <c r="CM52" s="2" t="n"/>
      <c r="CN52" s="2" t="n"/>
      <c r="CO52" s="2" t="n"/>
      <c r="CP52" s="2" t="n"/>
      <c r="CQ52" s="2" t="n"/>
      <c r="CR52" s="2" t="n"/>
      <c r="CS52" s="2" t="n"/>
      <c r="CT52" s="2" t="n"/>
      <c r="CU52" s="2" t="n"/>
      <c r="CV52" s="345" t="n"/>
      <c r="CW52" s="345" t="n"/>
      <c r="CX52" s="345" t="n"/>
      <c r="CY52" s="345" t="n"/>
      <c r="CZ52" s="345" t="n"/>
      <c r="DA52" s="345" t="n"/>
      <c r="DB52" s="345" t="n"/>
      <c r="DC52" s="345" t="n"/>
      <c r="DD52" s="345" t="n"/>
      <c r="DE52" s="345" t="n"/>
      <c r="DF52" s="345" t="n"/>
      <c r="DG52" s="345" t="n"/>
      <c r="DH52" s="345" t="n"/>
      <c r="DI52" s="345" t="n"/>
      <c r="DJ52" s="345" t="n"/>
      <c r="DK52" s="345" t="n"/>
      <c r="DL52" s="345" t="n"/>
      <c r="DM52" s="345" t="n"/>
      <c r="DN52" s="345" t="n"/>
      <c r="DO52" s="345" t="n"/>
      <c r="DP52" s="345" t="n"/>
      <c r="DQ52" s="345" t="n"/>
      <c r="DR52" s="345" t="n"/>
      <c r="DS52" s="345" t="n"/>
      <c r="DT52" s="345" t="n"/>
      <c r="DU52" s="345" t="n"/>
      <c r="DV52" s="390" t="n"/>
      <c r="DW52" s="345" t="n"/>
      <c r="DX52" s="350" t="n"/>
    </row>
    <row r="53" ht="13.35" customHeight="1" s="634">
      <c r="A53" s="341" t="n"/>
      <c r="B53" s="641" t="n"/>
      <c r="F53" s="690" t="n"/>
      <c r="G53" s="2" t="n"/>
      <c r="H53" s="2" t="n"/>
      <c r="I53" s="2" t="n"/>
      <c r="J53" s="2" t="n"/>
      <c r="K53" s="2" t="n"/>
      <c r="L53" s="2" t="n"/>
      <c r="M53" s="2" t="n"/>
      <c r="N53" s="2" t="n"/>
      <c r="O53" s="2" t="n"/>
      <c r="P53" s="10" t="n"/>
      <c r="Q53" s="17" t="n"/>
      <c r="R53" s="2" t="n"/>
      <c r="S53" s="2" t="n"/>
      <c r="T53" s="2" t="n"/>
      <c r="U53" s="2" t="n"/>
      <c r="V53" s="2" t="n"/>
      <c r="W53" s="2" t="n"/>
      <c r="X53" s="2" t="n"/>
      <c r="Y53" s="2" t="n"/>
      <c r="Z53" s="2" t="n"/>
      <c r="AA53" s="2" t="n"/>
      <c r="AB53" s="2" t="n"/>
      <c r="AC53" s="2" t="n"/>
      <c r="AD53" s="2" t="n"/>
      <c r="AE53" s="2" t="n"/>
      <c r="AF53" s="2" t="n"/>
      <c r="AG53" s="2" t="n"/>
      <c r="AH53" s="2" t="n"/>
      <c r="AI53" s="2" t="n"/>
      <c r="AJ53" s="2" t="n"/>
      <c r="AK53" s="2" t="n"/>
      <c r="AL53" s="2" t="n"/>
      <c r="AM53" s="2" t="n"/>
      <c r="AN53" s="2" t="n"/>
      <c r="AO53" s="2" t="n"/>
      <c r="AP53" s="2" t="n"/>
      <c r="AQ53" s="2" t="n"/>
      <c r="AR53" s="2" t="n"/>
      <c r="AS53" s="2" t="n"/>
      <c r="AT53" s="2" t="n"/>
      <c r="AU53" s="2" t="n"/>
      <c r="AV53" s="2" t="n"/>
      <c r="AW53" s="2" t="n"/>
      <c r="AX53" s="2" t="n"/>
      <c r="AY53" s="2" t="n"/>
      <c r="AZ53" s="2" t="n"/>
      <c r="BA53" s="2" t="n"/>
      <c r="BB53" s="2" t="n"/>
      <c r="BC53" s="2" t="n"/>
      <c r="BD53" s="2" t="n"/>
      <c r="BE53" s="2" t="n"/>
      <c r="BF53" s="2" t="n"/>
      <c r="BG53" s="2" t="n"/>
      <c r="BH53" s="2" t="n"/>
      <c r="BI53" s="2" t="n"/>
      <c r="BJ53" s="2" t="n"/>
      <c r="BK53" s="2" t="n"/>
      <c r="BL53" s="2" t="n"/>
      <c r="BM53" s="2" t="n"/>
      <c r="BN53" s="2" t="n"/>
      <c r="BO53" s="2" t="n"/>
      <c r="BP53" s="2" t="n"/>
      <c r="BQ53" s="2" t="n"/>
      <c r="BR53" s="2" t="n"/>
      <c r="BS53" s="2" t="n"/>
      <c r="BT53" s="2" t="n"/>
      <c r="BU53" s="2" t="n"/>
      <c r="BV53" s="2" t="n"/>
      <c r="BW53" s="2" t="n"/>
      <c r="BX53" s="2" t="n"/>
      <c r="BY53" s="2" t="n"/>
      <c r="BZ53" s="2" t="n"/>
      <c r="CA53" s="2" t="n"/>
      <c r="CB53" s="2" t="n"/>
      <c r="CC53" s="2" t="n"/>
      <c r="CD53" s="2" t="n"/>
      <c r="CE53" s="2" t="n"/>
      <c r="CF53" s="2" t="n"/>
      <c r="CG53" s="2" t="n"/>
      <c r="CH53" s="2" t="n"/>
      <c r="CI53" s="2" t="n"/>
      <c r="CJ53" s="2" t="n"/>
      <c r="CK53" s="2" t="n"/>
      <c r="CL53" s="2" t="n"/>
      <c r="CM53" s="2" t="n"/>
      <c r="CN53" s="2" t="n"/>
      <c r="CO53" s="2" t="n"/>
      <c r="CP53" s="2" t="n"/>
      <c r="CQ53" s="2" t="n"/>
      <c r="CR53" s="2" t="n"/>
      <c r="CS53" s="2" t="n"/>
      <c r="CT53" s="2" t="n"/>
      <c r="CU53" s="2" t="n"/>
      <c r="CV53" s="345" t="n"/>
      <c r="CW53" s="345" t="n"/>
      <c r="CX53" s="345" t="n"/>
      <c r="CY53" s="345" t="n"/>
      <c r="CZ53" s="345" t="n"/>
      <c r="DA53" s="345" t="n"/>
      <c r="DB53" s="345" t="n"/>
      <c r="DC53" s="345" t="n"/>
      <c r="DD53" s="345" t="n"/>
      <c r="DE53" s="345" t="n"/>
      <c r="DF53" s="345" t="n"/>
      <c r="DG53" s="345" t="n"/>
      <c r="DH53" s="345" t="n"/>
      <c r="DI53" s="345" t="n"/>
      <c r="DJ53" s="345" t="n"/>
      <c r="DK53" s="345" t="n"/>
      <c r="DL53" s="345" t="n"/>
      <c r="DM53" s="345" t="n"/>
      <c r="DN53" s="345" t="n"/>
      <c r="DO53" s="345" t="n"/>
      <c r="DP53" s="345" t="n"/>
      <c r="DQ53" s="345" t="n"/>
      <c r="DR53" s="345" t="n"/>
      <c r="DS53" s="345" t="n"/>
      <c r="DT53" s="345" t="n"/>
      <c r="DU53" s="345" t="n"/>
      <c r="DV53" s="390" t="n"/>
      <c r="DW53" s="345" t="n"/>
      <c r="DX53" s="350" t="n"/>
    </row>
    <row r="54" ht="13.35" customHeight="1" s="634">
      <c r="A54" s="341" t="n"/>
      <c r="B54" s="644" t="n"/>
      <c r="C54" s="645" t="n"/>
      <c r="D54" s="645" t="n"/>
      <c r="E54" s="645" t="n"/>
      <c r="F54" s="691" t="n"/>
      <c r="G54" s="2" t="n"/>
      <c r="H54" s="2" t="n"/>
      <c r="I54" s="2" t="n"/>
      <c r="J54" s="2" t="n"/>
      <c r="K54" s="2" t="n"/>
      <c r="L54" s="2" t="n"/>
      <c r="M54" s="2" t="n"/>
      <c r="N54" s="2" t="n"/>
      <c r="O54" s="2" t="n"/>
      <c r="P54" s="10" t="n"/>
      <c r="Q54" s="17" t="n"/>
      <c r="R54" s="2" t="n"/>
      <c r="S54" s="2" t="n"/>
      <c r="T54" s="2" t="n"/>
      <c r="U54" s="2" t="n"/>
      <c r="V54" s="2" t="n"/>
      <c r="W54" s="2" t="n"/>
      <c r="X54" s="2" t="n"/>
      <c r="Y54" s="2" t="n"/>
      <c r="Z54" s="2" t="n"/>
      <c r="AA54" s="2" t="n"/>
      <c r="AB54" s="2" t="n"/>
      <c r="AC54" s="2" t="n"/>
      <c r="AD54" s="2" t="n"/>
      <c r="AE54" s="2" t="n"/>
      <c r="AF54" s="2" t="n"/>
      <c r="AG54" s="2" t="n"/>
      <c r="AH54" s="2" t="n"/>
      <c r="AI54" s="2" t="n"/>
      <c r="AJ54" s="2" t="n"/>
      <c r="AK54" s="2" t="n"/>
      <c r="AL54" s="2" t="n"/>
      <c r="AM54" s="2" t="n"/>
      <c r="AN54" s="2" t="n"/>
      <c r="AO54" s="2" t="n"/>
      <c r="AP54" s="2" t="n"/>
      <c r="AQ54" s="2" t="n"/>
      <c r="AR54" s="2" t="n"/>
      <c r="AS54" s="2" t="n"/>
      <c r="AT54" s="2" t="n"/>
      <c r="AU54" s="2" t="n"/>
      <c r="AV54" s="2" t="n"/>
      <c r="AW54" s="2" t="n"/>
      <c r="AX54" s="2" t="n"/>
      <c r="AY54" s="2" t="n"/>
      <c r="AZ54" s="2" t="n"/>
      <c r="BA54" s="2" t="n"/>
      <c r="BB54" s="2" t="n"/>
      <c r="BC54" s="2" t="n"/>
      <c r="BD54" s="2" t="n"/>
      <c r="BE54" s="2" t="n"/>
      <c r="BF54" s="2" t="n"/>
      <c r="BG54" s="2" t="n"/>
      <c r="BH54" s="2" t="n"/>
      <c r="BI54" s="2" t="n"/>
      <c r="BJ54" s="2" t="n"/>
      <c r="BK54" s="2" t="n"/>
      <c r="BL54" s="2" t="n"/>
      <c r="BM54" s="2" t="n"/>
      <c r="BN54" s="2" t="n"/>
      <c r="BO54" s="2" t="n"/>
      <c r="BP54" s="2" t="n"/>
      <c r="BQ54" s="2" t="n"/>
      <c r="BR54" s="2" t="n"/>
      <c r="BS54" s="2" t="n"/>
      <c r="BT54" s="2" t="n"/>
      <c r="BU54" s="2" t="n"/>
      <c r="BV54" s="2" t="n"/>
      <c r="BW54" s="2" t="n"/>
      <c r="BX54" s="2" t="n"/>
      <c r="BY54" s="2" t="n"/>
      <c r="BZ54" s="2" t="n"/>
      <c r="CA54" s="2" t="n"/>
      <c r="CB54" s="2" t="n"/>
      <c r="CC54" s="2" t="n"/>
      <c r="CD54" s="2" t="n"/>
      <c r="CE54" s="2" t="n"/>
      <c r="CF54" s="2" t="n"/>
      <c r="CG54" s="2" t="n"/>
      <c r="CH54" s="2" t="n"/>
      <c r="CI54" s="2" t="n"/>
      <c r="CJ54" s="2" t="n"/>
      <c r="CK54" s="2" t="n"/>
      <c r="CL54" s="2" t="n"/>
      <c r="CM54" s="2" t="n"/>
      <c r="CN54" s="2" t="n"/>
      <c r="CO54" s="2" t="n"/>
      <c r="CP54" s="2" t="n"/>
      <c r="CQ54" s="2" t="n"/>
      <c r="CR54" s="2" t="n"/>
      <c r="CS54" s="2" t="n"/>
      <c r="CT54" s="2" t="n"/>
      <c r="CU54" s="2" t="n"/>
      <c r="CV54" s="345" t="n"/>
      <c r="CW54" s="345" t="n"/>
      <c r="CX54" s="345" t="n"/>
      <c r="CY54" s="345" t="n"/>
      <c r="CZ54" s="345" t="n"/>
      <c r="DA54" s="345" t="n"/>
      <c r="DB54" s="345" t="n"/>
      <c r="DC54" s="345" t="n"/>
      <c r="DD54" s="345" t="n"/>
      <c r="DE54" s="345" t="n"/>
      <c r="DF54" s="345" t="n"/>
      <c r="DG54" s="345" t="n"/>
      <c r="DH54" s="345" t="n"/>
      <c r="DI54" s="345" t="n"/>
      <c r="DJ54" s="345" t="n"/>
      <c r="DK54" s="345" t="n"/>
      <c r="DL54" s="345" t="n"/>
      <c r="DM54" s="345" t="n"/>
      <c r="DN54" s="345" t="n"/>
      <c r="DO54" s="345" t="n"/>
      <c r="DP54" s="345" t="n"/>
      <c r="DQ54" s="345" t="n"/>
      <c r="DR54" s="345" t="n"/>
      <c r="DS54" s="345" t="n"/>
      <c r="DT54" s="345" t="n"/>
      <c r="DU54" s="345" t="n"/>
      <c r="DV54" s="390" t="n"/>
      <c r="DW54" s="345" t="n"/>
      <c r="DX54" s="350" t="n"/>
    </row>
    <row r="55" ht="15" customHeight="1" s="634">
      <c r="A55" s="341" t="n"/>
      <c r="B55" s="400" t="n"/>
      <c r="C55" s="2" t="n"/>
      <c r="D55" s="2" t="n"/>
      <c r="E55" s="2" t="n"/>
      <c r="F55" s="402" t="n"/>
      <c r="G55" s="2" t="n"/>
      <c r="H55" s="2" t="n"/>
      <c r="I55" s="2" t="n"/>
      <c r="J55" s="2" t="n"/>
      <c r="K55" s="2" t="n"/>
      <c r="L55" s="2" t="n"/>
      <c r="M55" s="2" t="n"/>
      <c r="N55" s="2" t="n"/>
      <c r="O55" s="2" t="n"/>
      <c r="P55" s="10" t="n"/>
      <c r="Q55" s="17" t="n"/>
      <c r="R55" s="2" t="n"/>
      <c r="S55" s="2" t="n"/>
      <c r="T55" s="2" t="n"/>
      <c r="U55" s="2" t="n"/>
      <c r="V55" s="2" t="n"/>
      <c r="W55" s="2" t="n"/>
      <c r="X55" s="2" t="n"/>
      <c r="Y55" s="2" t="n"/>
      <c r="Z55" s="2" t="n"/>
      <c r="AA55" s="2" t="n"/>
      <c r="AB55" s="2" t="n"/>
      <c r="AC55" s="2" t="n"/>
      <c r="AD55" s="2" t="n"/>
      <c r="AE55" s="2" t="n"/>
      <c r="AF55" s="2" t="n"/>
      <c r="AG55" s="2" t="n"/>
      <c r="AH55" s="2" t="n"/>
      <c r="AI55" s="2" t="n"/>
      <c r="AJ55" s="2" t="n"/>
      <c r="AK55" s="2" t="n"/>
      <c r="AL55" s="2" t="n"/>
      <c r="AM55" s="2" t="n"/>
      <c r="AN55" s="2" t="n"/>
      <c r="AO55" s="2" t="n"/>
      <c r="AP55" s="2" t="n"/>
      <c r="AQ55" s="2" t="n"/>
      <c r="AR55" s="2" t="n"/>
      <c r="AS55" s="2" t="n"/>
      <c r="AT55" s="2" t="n"/>
      <c r="AU55" s="2" t="n"/>
      <c r="AV55" s="2" t="n"/>
      <c r="AW55" s="2" t="n"/>
      <c r="AX55" s="2" t="n"/>
      <c r="AY55" s="2" t="n"/>
      <c r="AZ55" s="2" t="n"/>
      <c r="BA55" s="2" t="n"/>
      <c r="BB55" s="2" t="n"/>
      <c r="BC55" s="2" t="n"/>
      <c r="BD55" s="2" t="n"/>
      <c r="BE55" s="2" t="n"/>
      <c r="BF55" s="2" t="n"/>
      <c r="BG55" s="2" t="n"/>
      <c r="BH55" s="2" t="n"/>
      <c r="BI55" s="2" t="n"/>
      <c r="BJ55" s="2" t="n"/>
      <c r="BK55" s="2" t="n"/>
      <c r="BL55" s="2" t="n"/>
      <c r="BM55" s="2" t="n"/>
      <c r="BN55" s="2" t="n"/>
      <c r="BO55" s="2" t="n"/>
      <c r="BP55" s="2" t="n"/>
      <c r="BQ55" s="2" t="n"/>
      <c r="BR55" s="2" t="n"/>
      <c r="BS55" s="2" t="n"/>
      <c r="BT55" s="2" t="n"/>
      <c r="BU55" s="2" t="n"/>
      <c r="BV55" s="2" t="n"/>
      <c r="BW55" s="2" t="n"/>
      <c r="BX55" s="2" t="n"/>
      <c r="BY55" s="2" t="n"/>
      <c r="BZ55" s="2" t="n"/>
      <c r="CA55" s="2" t="n"/>
      <c r="CB55" s="2" t="n"/>
      <c r="CC55" s="2" t="n"/>
      <c r="CD55" s="2" t="n"/>
      <c r="CE55" s="2" t="n"/>
      <c r="CF55" s="2" t="n"/>
      <c r="CG55" s="2" t="n"/>
      <c r="CH55" s="2" t="n"/>
      <c r="CI55" s="2" t="n"/>
      <c r="CJ55" s="2" t="n"/>
      <c r="CK55" s="2" t="n"/>
      <c r="CL55" s="2" t="n"/>
      <c r="CM55" s="2" t="n"/>
      <c r="CN55" s="2" t="n"/>
      <c r="CO55" s="2" t="n"/>
      <c r="CP55" s="2" t="n"/>
      <c r="CQ55" s="2" t="n"/>
      <c r="CR55" s="2" t="n"/>
      <c r="CS55" s="2" t="n"/>
      <c r="CT55" s="2" t="n"/>
      <c r="CU55" s="2" t="n"/>
      <c r="CV55" s="345" t="n"/>
      <c r="CW55" s="345" t="n"/>
      <c r="CX55" s="345" t="n"/>
      <c r="CY55" s="345" t="n"/>
      <c r="CZ55" s="345" t="n"/>
      <c r="DA55" s="345" t="n"/>
      <c r="DB55" s="345" t="n"/>
      <c r="DC55" s="345" t="n"/>
      <c r="DD55" s="345" t="n"/>
      <c r="DE55" s="345" t="n"/>
      <c r="DF55" s="345" t="n"/>
      <c r="DG55" s="345" t="n"/>
      <c r="DH55" s="345" t="n"/>
      <c r="DI55" s="345" t="n"/>
      <c r="DJ55" s="345" t="n"/>
      <c r="DK55" s="345" t="n"/>
      <c r="DL55" s="345" t="n"/>
      <c r="DM55" s="345" t="n"/>
      <c r="DN55" s="345" t="n"/>
      <c r="DO55" s="345" t="n"/>
      <c r="DP55" s="345" t="n"/>
      <c r="DQ55" s="345" t="n"/>
      <c r="DR55" s="345" t="n"/>
      <c r="DS55" s="345" t="n"/>
      <c r="DT55" s="345" t="n"/>
      <c r="DU55" s="345" t="n"/>
      <c r="DV55" s="390" t="n"/>
      <c r="DW55" s="345" t="n"/>
      <c r="DX55" s="350" t="n"/>
    </row>
    <row r="56" ht="7.5" customHeight="1" s="634">
      <c r="A56" s="17" t="n"/>
      <c r="B56" s="17" t="n"/>
      <c r="C56" s="17" t="n"/>
      <c r="D56" s="17" t="n"/>
      <c r="E56" s="17" t="n"/>
      <c r="F56" s="17" t="n"/>
      <c r="G56" s="17" t="n"/>
      <c r="H56" s="17" t="n"/>
      <c r="I56" s="17" t="n"/>
      <c r="J56" s="17" t="n"/>
      <c r="K56" s="17" t="n"/>
      <c r="L56" s="17" t="n"/>
      <c r="M56" s="17" t="n"/>
      <c r="N56" s="17" t="n"/>
      <c r="O56" s="17" t="n"/>
      <c r="P56" s="17" t="n"/>
      <c r="Q56" s="17" t="n"/>
      <c r="R56" s="2" t="n"/>
      <c r="S56" s="2" t="n"/>
      <c r="T56" s="2" t="n"/>
      <c r="U56" s="2" t="n"/>
      <c r="V56" s="2" t="n"/>
      <c r="W56" s="2" t="n"/>
      <c r="X56" s="2" t="n"/>
      <c r="Y56" s="2" t="n"/>
      <c r="Z56" s="2" t="n"/>
      <c r="AA56" s="2" t="n"/>
      <c r="AB56" s="2" t="n"/>
      <c r="AC56" s="2" t="n"/>
      <c r="AD56" s="2" t="n"/>
      <c r="AE56" s="2" t="n"/>
      <c r="AF56" s="2" t="n"/>
      <c r="AG56" s="2" t="n"/>
      <c r="AH56" s="2" t="n"/>
      <c r="AI56" s="2" t="n"/>
      <c r="AJ56" s="2" t="n"/>
      <c r="AK56" s="2" t="n"/>
      <c r="AL56" s="2" t="n"/>
      <c r="AM56" s="2" t="n"/>
      <c r="AN56" s="2" t="n"/>
      <c r="AO56" s="2" t="n"/>
      <c r="AP56" s="2" t="n"/>
      <c r="AQ56" s="2" t="n"/>
      <c r="AR56" s="2" t="n"/>
      <c r="AS56" s="2" t="n"/>
      <c r="AT56" s="2" t="n"/>
      <c r="AU56" s="2" t="n"/>
      <c r="AV56" s="2" t="n"/>
      <c r="AW56" s="2" t="n"/>
      <c r="AX56" s="2" t="n"/>
      <c r="AY56" s="2" t="n"/>
      <c r="AZ56" s="2" t="n"/>
      <c r="BA56" s="2" t="n"/>
      <c r="BB56" s="2" t="n"/>
      <c r="BC56" s="2" t="n"/>
      <c r="BD56" s="2" t="n"/>
      <c r="BE56" s="2" t="n"/>
      <c r="BF56" s="2" t="n"/>
      <c r="BG56" s="2" t="n"/>
      <c r="BH56" s="2" t="n"/>
      <c r="BI56" s="2" t="n"/>
      <c r="BJ56" s="2" t="n"/>
      <c r="BK56" s="2" t="n"/>
      <c r="BL56" s="2" t="n"/>
      <c r="BM56" s="2" t="n"/>
      <c r="BN56" s="2" t="n"/>
      <c r="BO56" s="2" t="n"/>
      <c r="BP56" s="2" t="n"/>
      <c r="BQ56" s="2" t="n"/>
      <c r="BR56" s="2" t="n"/>
      <c r="BS56" s="2" t="n"/>
      <c r="BT56" s="2" t="n"/>
      <c r="BU56" s="2" t="n"/>
      <c r="BV56" s="2" t="n"/>
      <c r="BW56" s="2" t="n"/>
      <c r="BX56" s="2" t="n"/>
      <c r="BY56" s="2" t="n"/>
      <c r="BZ56" s="2" t="n"/>
      <c r="CA56" s="2" t="n"/>
      <c r="CB56" s="2" t="n"/>
      <c r="CC56" s="2" t="n"/>
      <c r="CD56" s="2" t="n"/>
      <c r="CE56" s="2" t="n"/>
      <c r="CF56" s="2" t="n"/>
      <c r="CG56" s="2" t="n"/>
      <c r="CH56" s="2" t="n"/>
      <c r="CI56" s="2" t="n"/>
      <c r="CJ56" s="2" t="n"/>
      <c r="CK56" s="2" t="n"/>
      <c r="CL56" s="2" t="n"/>
      <c r="CM56" s="2" t="n"/>
      <c r="CN56" s="2" t="n"/>
      <c r="CO56" s="2" t="n"/>
      <c r="CP56" s="2" t="n"/>
      <c r="CQ56" s="2" t="n"/>
      <c r="CR56" s="2" t="n"/>
      <c r="CS56" s="2" t="n"/>
      <c r="CT56" s="345" t="n"/>
      <c r="CU56" s="345" t="n"/>
      <c r="CV56" s="345" t="n"/>
      <c r="CW56" s="345" t="n"/>
      <c r="CX56" s="345" t="n"/>
      <c r="CY56" s="345" t="n"/>
      <c r="CZ56" s="345" t="n"/>
      <c r="DA56" s="345" t="n"/>
      <c r="DB56" s="345" t="n"/>
      <c r="DC56" s="345" t="n"/>
      <c r="DD56" s="345" t="n"/>
      <c r="DE56" s="345" t="n"/>
      <c r="DF56" s="345" t="n"/>
      <c r="DG56" s="345" t="n"/>
      <c r="DH56" s="345" t="n"/>
      <c r="DI56" s="345" t="n"/>
      <c r="DJ56" s="345" t="n"/>
      <c r="DK56" s="345" t="n"/>
      <c r="DL56" s="345" t="n"/>
      <c r="DM56" s="345" t="n"/>
      <c r="DN56" s="345" t="n"/>
      <c r="DO56" s="345" t="n"/>
      <c r="DP56" s="345" t="n"/>
      <c r="DQ56" s="345" t="n"/>
      <c r="DR56" s="345" t="n"/>
      <c r="DS56" s="345" t="n"/>
      <c r="DT56" s="390" t="n"/>
      <c r="DU56" s="345" t="n"/>
      <c r="DV56" s="350" t="n"/>
      <c r="DW56" s="2" t="n"/>
      <c r="DX56" s="2" t="n"/>
    </row>
    <row r="57" ht="13.35" customHeight="1" s="634">
      <c r="A57" s="341" t="n"/>
      <c r="B57" s="359" t="n"/>
      <c r="C57" s="2" t="n"/>
      <c r="D57" s="2" t="n"/>
      <c r="E57" s="2" t="n"/>
      <c r="F57" s="40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c r="AH57" s="2" t="n"/>
      <c r="AI57" s="2" t="n"/>
      <c r="AJ57" s="2" t="n"/>
      <c r="AK57" s="2" t="n"/>
      <c r="AL57" s="2" t="n"/>
      <c r="AM57" s="2" t="n"/>
      <c r="AN57" s="2" t="n"/>
      <c r="AO57" s="2" t="n"/>
      <c r="AP57" s="2" t="n"/>
      <c r="AQ57" s="2" t="n"/>
      <c r="AR57" s="2" t="n"/>
      <c r="AS57" s="2" t="n"/>
      <c r="AT57" s="2" t="n"/>
      <c r="AU57" s="2" t="n"/>
      <c r="AV57" s="2" t="n"/>
      <c r="AW57" s="2" t="n"/>
      <c r="AX57" s="2" t="n"/>
      <c r="AY57" s="2" t="n"/>
      <c r="AZ57" s="2" t="n"/>
      <c r="BA57" s="2" t="n"/>
      <c r="BB57" s="2" t="n"/>
      <c r="BC57" s="2" t="n"/>
      <c r="BD57" s="2" t="n"/>
      <c r="BE57" s="2" t="n"/>
      <c r="BF57" s="2" t="n"/>
      <c r="BG57" s="2" t="n"/>
      <c r="BH57" s="2" t="n"/>
      <c r="BI57" s="2" t="n"/>
      <c r="BJ57" s="2" t="n"/>
      <c r="BK57" s="2" t="n"/>
      <c r="BL57" s="2" t="n"/>
      <c r="BM57" s="2" t="n"/>
      <c r="BN57" s="2" t="n"/>
      <c r="BO57" s="2" t="n"/>
      <c r="BP57" s="2" t="n"/>
      <c r="BQ57" s="2" t="n"/>
      <c r="BR57" s="2" t="n"/>
      <c r="BS57" s="2" t="n"/>
      <c r="BT57" s="2" t="n"/>
      <c r="BU57" s="2" t="n"/>
      <c r="BV57" s="2" t="n"/>
      <c r="BW57" s="2" t="n"/>
      <c r="BX57" s="2" t="n"/>
      <c r="BY57" s="2" t="n"/>
      <c r="BZ57" s="2" t="n"/>
      <c r="CA57" s="2" t="n"/>
      <c r="CB57" s="2" t="n"/>
      <c r="CC57" s="2" t="n"/>
      <c r="CD57" s="2" t="n"/>
      <c r="CE57" s="2" t="n"/>
      <c r="CF57" s="2" t="n"/>
      <c r="CG57" s="2" t="n"/>
      <c r="CH57" s="2" t="n"/>
      <c r="CI57" s="2" t="n"/>
      <c r="CJ57" s="2" t="n"/>
      <c r="CK57" s="2" t="n"/>
      <c r="CL57" s="2" t="n"/>
      <c r="CM57" s="2" t="n"/>
      <c r="CN57" s="2" t="n"/>
      <c r="CO57" s="2" t="n"/>
      <c r="CP57" s="2" t="n"/>
      <c r="CQ57" s="2" t="n"/>
      <c r="CR57" s="2" t="n"/>
      <c r="CS57" s="2" t="n"/>
      <c r="CT57" s="2" t="n"/>
      <c r="CU57" s="345" t="n"/>
      <c r="CV57" s="345" t="n"/>
      <c r="CW57" s="345" t="n"/>
      <c r="CX57" s="345" t="n"/>
      <c r="CY57" s="345" t="n"/>
      <c r="CZ57" s="345" t="n"/>
      <c r="DA57" s="345" t="n"/>
      <c r="DB57" s="345" t="n"/>
      <c r="DC57" s="345" t="n"/>
      <c r="DD57" s="345" t="n"/>
      <c r="DE57" s="345" t="n"/>
      <c r="DF57" s="345" t="n"/>
      <c r="DG57" s="345" t="n"/>
      <c r="DH57" s="345" t="n"/>
      <c r="DI57" s="345" t="n"/>
      <c r="DJ57" s="345" t="n"/>
      <c r="DK57" s="345" t="n"/>
      <c r="DL57" s="345" t="n"/>
      <c r="DM57" s="345" t="n"/>
      <c r="DN57" s="345" t="n"/>
      <c r="DO57" s="345" t="n"/>
      <c r="DP57" s="345" t="n"/>
      <c r="DQ57" s="345" t="n"/>
      <c r="DR57" s="345" t="n"/>
      <c r="DS57" s="345" t="n"/>
      <c r="DT57" s="345" t="n"/>
      <c r="DU57" s="390" t="n"/>
      <c r="DV57" s="345" t="n"/>
      <c r="DW57" s="350" t="n"/>
      <c r="DX57" s="2" t="n"/>
    </row>
    <row r="58" ht="13.35" customHeight="1" s="634">
      <c r="A58" s="341" t="n"/>
      <c r="B58" s="359" t="n"/>
      <c r="C58" s="2" t="n"/>
      <c r="D58" s="2" t="n"/>
      <c r="E58" s="2" t="n"/>
      <c r="F58" s="40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c r="AC58" s="2" t="n"/>
      <c r="AD58" s="2" t="n"/>
      <c r="AE58" s="2" t="n"/>
      <c r="AF58" s="2" t="n"/>
      <c r="AG58" s="2" t="n"/>
      <c r="AH58" s="2" t="n"/>
      <c r="AI58" s="2" t="n"/>
      <c r="AJ58" s="2" t="n"/>
      <c r="AK58" s="2" t="n"/>
      <c r="AL58" s="2" t="n"/>
      <c r="AM58" s="2" t="n"/>
      <c r="AN58" s="2" t="n"/>
      <c r="AO58" s="2" t="n"/>
      <c r="AP58" s="2" t="n"/>
      <c r="AQ58" s="2" t="n"/>
      <c r="AR58" s="2" t="n"/>
      <c r="AS58" s="2" t="n"/>
      <c r="AT58" s="2" t="n"/>
      <c r="AU58" s="2" t="n"/>
      <c r="AV58" s="2" t="n"/>
      <c r="AW58" s="2" t="n"/>
      <c r="AX58" s="2" t="n"/>
      <c r="AY58" s="2" t="n"/>
      <c r="AZ58" s="2" t="n"/>
      <c r="BA58" s="2" t="n"/>
      <c r="BB58" s="2" t="n"/>
      <c r="BC58" s="2" t="n"/>
      <c r="BD58" s="2" t="n"/>
      <c r="BE58" s="2" t="n"/>
      <c r="BF58" s="2" t="n"/>
      <c r="BG58" s="2" t="n"/>
      <c r="BH58" s="2" t="n"/>
      <c r="BI58" s="2" t="n"/>
      <c r="BJ58" s="2" t="n"/>
      <c r="BK58" s="2" t="n"/>
      <c r="BL58" s="2" t="n"/>
      <c r="BM58" s="2" t="n"/>
      <c r="BN58" s="2" t="n"/>
      <c r="BO58" s="2" t="n"/>
      <c r="BP58" s="2" t="n"/>
      <c r="BQ58" s="2" t="n"/>
      <c r="BR58" s="2" t="n"/>
      <c r="BS58" s="2" t="n"/>
      <c r="BT58" s="2" t="n"/>
      <c r="BU58" s="2" t="n"/>
      <c r="BV58" s="2" t="n"/>
      <c r="BW58" s="2" t="n"/>
      <c r="BX58" s="2" t="n"/>
      <c r="BY58" s="2" t="n"/>
      <c r="BZ58" s="2" t="n"/>
      <c r="CA58" s="2" t="n"/>
      <c r="CB58" s="2" t="n"/>
      <c r="CC58" s="2" t="n"/>
      <c r="CD58" s="2" t="n"/>
      <c r="CE58" s="2" t="n"/>
      <c r="CF58" s="2" t="n"/>
      <c r="CG58" s="2" t="n"/>
      <c r="CH58" s="2" t="n"/>
      <c r="CI58" s="2" t="n"/>
      <c r="CJ58" s="2" t="n"/>
      <c r="CK58" s="2" t="n"/>
      <c r="CL58" s="2" t="n"/>
      <c r="CM58" s="2" t="n"/>
      <c r="CN58" s="2" t="n"/>
      <c r="CO58" s="2" t="n"/>
      <c r="CP58" s="2" t="n"/>
      <c r="CQ58" s="2" t="n"/>
      <c r="CR58" s="2" t="n"/>
      <c r="CS58" s="2" t="n"/>
      <c r="CT58" s="2" t="n"/>
      <c r="CU58" s="345" t="n"/>
      <c r="CV58" s="345" t="n"/>
      <c r="CW58" s="345" t="n"/>
      <c r="CX58" s="345" t="n"/>
      <c r="CY58" s="345" t="n"/>
      <c r="CZ58" s="345" t="n"/>
      <c r="DA58" s="345" t="n"/>
      <c r="DB58" s="345" t="n"/>
      <c r="DC58" s="345" t="n"/>
      <c r="DD58" s="345" t="n"/>
      <c r="DE58" s="345" t="n"/>
      <c r="DF58" s="345" t="n"/>
      <c r="DG58" s="345" t="n"/>
      <c r="DH58" s="345" t="n"/>
      <c r="DI58" s="345" t="n"/>
      <c r="DJ58" s="345" t="n"/>
      <c r="DK58" s="345" t="n"/>
      <c r="DL58" s="345" t="n"/>
      <c r="DM58" s="345" t="n"/>
      <c r="DN58" s="345" t="n"/>
      <c r="DO58" s="345" t="n"/>
      <c r="DP58" s="345" t="n"/>
      <c r="DQ58" s="345" t="n"/>
      <c r="DR58" s="345" t="n"/>
      <c r="DS58" s="345" t="n"/>
      <c r="DT58" s="345" t="n"/>
      <c r="DU58" s="390" t="n"/>
      <c r="DV58" s="345" t="n"/>
      <c r="DW58" s="350" t="n"/>
      <c r="DX58" s="2" t="n"/>
    </row>
    <row r="59" ht="13.35" customHeight="1" s="634">
      <c r="A59" s="341" t="n"/>
      <c r="B59" s="359" t="n"/>
      <c r="C59" s="2" t="n"/>
      <c r="D59" s="2" t="n"/>
      <c r="E59" s="2" t="n"/>
      <c r="F59" s="402" t="n"/>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c r="AC59" s="2" t="n"/>
      <c r="AD59" s="2" t="n"/>
      <c r="AE59" s="2" t="n"/>
      <c r="AF59" s="2" t="n"/>
      <c r="AG59" s="2" t="n"/>
      <c r="AH59" s="2" t="n"/>
      <c r="AI59" s="2" t="n"/>
      <c r="AJ59" s="2" t="n"/>
      <c r="AK59" s="2" t="n"/>
      <c r="AL59" s="2" t="n"/>
      <c r="AM59" s="2" t="n"/>
      <c r="AN59" s="2" t="n"/>
      <c r="AO59" s="2" t="n"/>
      <c r="AP59" s="2" t="n"/>
      <c r="AQ59" s="2" t="n"/>
      <c r="AR59" s="2" t="n"/>
      <c r="AS59" s="2" t="n"/>
      <c r="AT59" s="2" t="n"/>
      <c r="AU59" s="2" t="n"/>
      <c r="AV59" s="2" t="n"/>
      <c r="AW59" s="2" t="n"/>
      <c r="AX59" s="2" t="n"/>
      <c r="AY59" s="2" t="n"/>
      <c r="AZ59" s="2" t="n"/>
      <c r="BA59" s="2" t="n"/>
      <c r="BB59" s="2" t="n"/>
      <c r="BC59" s="2" t="n"/>
      <c r="BD59" s="2" t="n"/>
      <c r="BE59" s="2" t="n"/>
      <c r="BF59" s="2" t="n"/>
      <c r="BG59" s="2" t="n"/>
      <c r="BH59" s="2" t="n"/>
      <c r="BI59" s="2" t="n"/>
      <c r="BJ59" s="2" t="n"/>
      <c r="BK59" s="2" t="n"/>
      <c r="BL59" s="2" t="n"/>
      <c r="BM59" s="2" t="n"/>
      <c r="BN59" s="2" t="n"/>
      <c r="BO59" s="2" t="n"/>
      <c r="BP59" s="2" t="n"/>
      <c r="BQ59" s="2" t="n"/>
      <c r="BR59" s="2" t="n"/>
      <c r="BS59" s="2" t="n"/>
      <c r="BT59" s="2" t="n"/>
      <c r="BU59" s="2" t="n"/>
      <c r="BV59" s="2" t="n"/>
      <c r="BW59" s="2" t="n"/>
      <c r="BX59" s="2" t="n"/>
      <c r="BY59" s="2" t="n"/>
      <c r="BZ59" s="2" t="n"/>
      <c r="CA59" s="2" t="n"/>
      <c r="CB59" s="2" t="n"/>
      <c r="CC59" s="2" t="n"/>
      <c r="CD59" s="2" t="n"/>
      <c r="CE59" s="2" t="n"/>
      <c r="CF59" s="2" t="n"/>
      <c r="CG59" s="2" t="n"/>
      <c r="CH59" s="2" t="n"/>
      <c r="CI59" s="2" t="n"/>
      <c r="CJ59" s="2" t="n"/>
      <c r="CK59" s="2" t="n"/>
      <c r="CL59" s="2" t="n"/>
      <c r="CM59" s="2" t="n"/>
      <c r="CN59" s="2" t="n"/>
      <c r="CO59" s="2" t="n"/>
      <c r="CP59" s="2" t="n"/>
      <c r="CQ59" s="2" t="n"/>
      <c r="CR59" s="2" t="n"/>
      <c r="CS59" s="2" t="n"/>
      <c r="CT59" s="2" t="n"/>
      <c r="CU59" s="345" t="n"/>
      <c r="CV59" s="345" t="n"/>
      <c r="CW59" s="345" t="n"/>
      <c r="CX59" s="345" t="n"/>
      <c r="CY59" s="345" t="n"/>
      <c r="CZ59" s="345" t="n"/>
      <c r="DA59" s="345" t="n"/>
      <c r="DB59" s="345" t="n"/>
      <c r="DC59" s="345" t="n"/>
      <c r="DD59" s="345" t="n"/>
      <c r="DE59" s="345" t="n"/>
      <c r="DF59" s="345" t="n"/>
      <c r="DG59" s="345" t="n"/>
      <c r="DH59" s="345" t="n"/>
      <c r="DI59" s="345" t="n"/>
      <c r="DJ59" s="345" t="n"/>
      <c r="DK59" s="345" t="n"/>
      <c r="DL59" s="345" t="n"/>
      <c r="DM59" s="345" t="n"/>
      <c r="DN59" s="345" t="n"/>
      <c r="DO59" s="345" t="n"/>
      <c r="DP59" s="345" t="n"/>
      <c r="DQ59" s="345" t="n"/>
      <c r="DR59" s="345" t="n"/>
      <c r="DS59" s="345" t="n"/>
      <c r="DT59" s="345" t="n"/>
      <c r="DU59" s="390" t="n"/>
      <c r="DV59" s="345" t="n"/>
      <c r="DW59" s="350" t="n"/>
      <c r="DX59" s="2" t="n"/>
    </row>
    <row r="60" ht="13.35" customHeight="1" s="634">
      <c r="A60" s="341" t="n"/>
      <c r="B60" s="359" t="n"/>
      <c r="C60" s="2" t="n"/>
      <c r="D60" s="2" t="n"/>
      <c r="E60" s="2" t="n"/>
      <c r="F60" s="402" t="n"/>
      <c r="G60" s="2" t="n"/>
      <c r="H60" s="2" t="n"/>
      <c r="I60" s="2" t="n"/>
      <c r="J60" s="2" t="n"/>
      <c r="K60" s="2" t="n"/>
      <c r="L60" s="2" t="n"/>
      <c r="M60" s="2" t="n"/>
      <c r="N60" s="2" t="n"/>
      <c r="O60" s="2" t="n"/>
      <c r="P60" s="2" t="n"/>
      <c r="Q60" s="2" t="n"/>
      <c r="R60" s="2" t="n"/>
      <c r="S60" s="2" t="n"/>
      <c r="T60" s="2" t="n"/>
      <c r="U60" s="2" t="n"/>
      <c r="V60" s="2" t="n"/>
      <c r="W60" s="2" t="n"/>
      <c r="X60" s="2" t="n"/>
      <c r="Y60" s="2" t="n"/>
      <c r="Z60" s="2" t="n"/>
      <c r="AA60" s="2" t="n"/>
      <c r="AB60" s="2" t="n"/>
      <c r="AC60" s="2" t="n"/>
      <c r="AD60" s="2" t="n"/>
      <c r="AE60" s="2" t="n"/>
      <c r="AF60" s="2" t="n"/>
      <c r="AG60" s="2" t="n"/>
      <c r="AH60" s="2" t="n"/>
      <c r="AI60" s="2" t="n"/>
      <c r="AJ60" s="2" t="n"/>
      <c r="AK60" s="2" t="n"/>
      <c r="AL60" s="2" t="n"/>
      <c r="AM60" s="2" t="n"/>
      <c r="AN60" s="2" t="n"/>
      <c r="AO60" s="2" t="n"/>
      <c r="AP60" s="2" t="n"/>
      <c r="AQ60" s="2" t="n"/>
      <c r="AR60" s="2" t="n"/>
      <c r="AS60" s="2" t="n"/>
      <c r="AT60" s="2" t="n"/>
      <c r="AU60" s="2" t="n"/>
      <c r="AV60" s="2" t="n"/>
      <c r="AW60" s="2" t="n"/>
      <c r="AX60" s="2" t="n"/>
      <c r="AY60" s="2" t="n"/>
      <c r="AZ60" s="2" t="n"/>
      <c r="BA60" s="2" t="n"/>
      <c r="BB60" s="2" t="n"/>
      <c r="BC60" s="2" t="n"/>
      <c r="BD60" s="2" t="n"/>
      <c r="BE60" s="2" t="n"/>
      <c r="BF60" s="2" t="n"/>
      <c r="BG60" s="2" t="n"/>
      <c r="BH60" s="2" t="n"/>
      <c r="BI60" s="2" t="n"/>
      <c r="BJ60" s="2" t="n"/>
      <c r="BK60" s="2" t="n"/>
      <c r="BL60" s="2" t="n"/>
      <c r="BM60" s="2" t="n"/>
      <c r="BN60" s="2" t="n"/>
      <c r="BO60" s="2" t="n"/>
      <c r="BP60" s="2" t="n"/>
      <c r="BQ60" s="2" t="n"/>
      <c r="BR60" s="2" t="n"/>
      <c r="BS60" s="2" t="n"/>
      <c r="BT60" s="2" t="n"/>
      <c r="BU60" s="2" t="n"/>
      <c r="BV60" s="2" t="n"/>
      <c r="BW60" s="2" t="n"/>
      <c r="BX60" s="2" t="n"/>
      <c r="BY60" s="2" t="n"/>
      <c r="BZ60" s="2" t="n"/>
      <c r="CA60" s="2" t="n"/>
      <c r="CB60" s="2" t="n"/>
      <c r="CC60" s="2" t="n"/>
      <c r="CD60" s="2" t="n"/>
      <c r="CE60" s="2" t="n"/>
      <c r="CF60" s="2" t="n"/>
      <c r="CG60" s="2" t="n"/>
      <c r="CH60" s="2" t="n"/>
      <c r="CI60" s="2" t="n"/>
      <c r="CJ60" s="2" t="n"/>
      <c r="CK60" s="2" t="n"/>
      <c r="CL60" s="2" t="n"/>
      <c r="CM60" s="2" t="n"/>
      <c r="CN60" s="2" t="n"/>
      <c r="CO60" s="2" t="n"/>
      <c r="CP60" s="2" t="n"/>
      <c r="CQ60" s="2" t="n"/>
      <c r="CR60" s="2" t="n"/>
      <c r="CS60" s="2" t="n"/>
      <c r="CT60" s="2" t="n"/>
      <c r="CU60" s="345" t="n"/>
      <c r="CV60" s="345" t="n"/>
      <c r="CW60" s="345" t="n"/>
      <c r="CX60" s="345" t="n"/>
      <c r="CY60" s="345" t="n"/>
      <c r="CZ60" s="345" t="n"/>
      <c r="DA60" s="345" t="n"/>
      <c r="DB60" s="345" t="n"/>
      <c r="DC60" s="345" t="n"/>
      <c r="DD60" s="345" t="n"/>
      <c r="DE60" s="345" t="n"/>
      <c r="DF60" s="345" t="n"/>
      <c r="DG60" s="345" t="n"/>
      <c r="DH60" s="345" t="n"/>
      <c r="DI60" s="345" t="n"/>
      <c r="DJ60" s="345" t="n"/>
      <c r="DK60" s="345" t="n"/>
      <c r="DL60" s="345" t="n"/>
      <c r="DM60" s="345" t="n"/>
      <c r="DN60" s="345" t="n"/>
      <c r="DO60" s="345" t="n"/>
      <c r="DP60" s="345" t="n"/>
      <c r="DQ60" s="345" t="n"/>
      <c r="DR60" s="345" t="n"/>
      <c r="DS60" s="345" t="n"/>
      <c r="DT60" s="345" t="n"/>
      <c r="DU60" s="390" t="n"/>
      <c r="DV60" s="345" t="n"/>
      <c r="DW60" s="350" t="n"/>
      <c r="DX60" s="2" t="n"/>
    </row>
    <row r="93" ht="13.35" customHeight="1" s="634">
      <c r="C93" s="403" t="n"/>
      <c r="D93" s="403" t="n"/>
      <c r="E93" s="403" t="n"/>
      <c r="F93" s="403" t="n"/>
      <c r="G93" s="403" t="n"/>
      <c r="H93" s="403" t="n"/>
      <c r="I93" s="403" t="n"/>
      <c r="J93" s="403" t="n"/>
    </row>
  </sheetData>
  <mergeCells count="25">
    <mergeCell ref="C42:C43"/>
    <mergeCell ref="G42:K42"/>
    <mergeCell ref="B42:B43"/>
    <mergeCell ref="G23:K23"/>
    <mergeCell ref="B23:B24"/>
    <mergeCell ref="L41:N41"/>
    <mergeCell ref="B37:F40"/>
    <mergeCell ref="B11:F11"/>
    <mergeCell ref="L22:N22"/>
    <mergeCell ref="L42:L43"/>
    <mergeCell ref="N42:N43"/>
    <mergeCell ref="B8:F8"/>
    <mergeCell ref="L23:L24"/>
    <mergeCell ref="N23:N24"/>
    <mergeCell ref="D42:F42"/>
    <mergeCell ref="C23:C24"/>
    <mergeCell ref="D23:F23"/>
    <mergeCell ref="B10:F10"/>
    <mergeCell ref="M42:M43"/>
    <mergeCell ref="O42:O43"/>
    <mergeCell ref="B51:F54"/>
    <mergeCell ref="M23:M24"/>
    <mergeCell ref="B9:F9"/>
    <mergeCell ref="O23:O24"/>
    <mergeCell ref="B14:F15"/>
  </mergeCells>
  <conditionalFormatting sqref="B51:B52">
    <cfRule type="containsBlanks" priority="5" dxfId="4">
      <formula>LEN(TRIM(B51))=0</formula>
    </cfRule>
  </conditionalFormatting>
  <conditionalFormatting sqref="B25:N31 B37 B44:N48">
    <cfRule type="containsBlanks" priority="8" dxfId="4">
      <formula>LEN(TRIM(B25))=0</formula>
    </cfRule>
  </conditionalFormatting>
  <conditionalFormatting sqref="C16">
    <cfRule type="containsBlanks" priority="7" dxfId="4">
      <formula>LEN(TRIM(C16))=0</formula>
    </cfRule>
  </conditionalFormatting>
  <dataValidations count="1">
    <dataValidation sqref="L25:N31 L44:N48" showDropDown="0" showInputMessage="1" showErrorMessage="0" allowBlank="1" type="list">
      <formula1>"Y,N"</formula1>
    </dataValidation>
  </dataValidations>
  <hyperlinks>
    <hyperlink ref="B4" location="汇总!A1" display="返回汇总页"/>
  </hyperlinks>
  <pageMargins left="0.7" right="0.7" top="0.75" bottom="0.75" header="0.3" footer="0.3"/>
  <pageSetup orientation="portrait" paperSize="9"/>
</worksheet>
</file>

<file path=xl/worksheets/sheet6.xml><?xml version="1.0" encoding="utf-8"?>
<worksheet xmlns="http://schemas.openxmlformats.org/spreadsheetml/2006/main">
  <sheetPr codeName="Sheet7">
    <outlinePr summaryBelow="1" summaryRight="1"/>
    <pageSetUpPr/>
  </sheetPr>
  <dimension ref="A1:DU88"/>
  <sheetViews>
    <sheetView showGridLines="0" zoomScale="70" zoomScaleNormal="70" workbookViewId="0">
      <selection activeCell="A1" sqref="A1"/>
    </sheetView>
  </sheetViews>
  <sheetFormatPr baseColWidth="8" defaultColWidth="8.75" defaultRowHeight="12.75" customHeight="1"/>
  <cols>
    <col width="2.625" customWidth="1" style="74" min="1" max="1"/>
    <col width="19" customWidth="1" style="73" min="2" max="3"/>
    <col width="18.75" customWidth="1" style="73" min="4" max="4"/>
    <col width="25.75" customWidth="1" style="73" min="5" max="6"/>
    <col width="28" customWidth="1" style="73" min="7" max="7"/>
    <col width="25.75" customWidth="1" style="73" min="8" max="8"/>
    <col width="18.875" customWidth="1" style="73" min="9" max="9"/>
    <col width="17.375" customWidth="1" style="73" min="10" max="10"/>
    <col width="12.375" customWidth="1" style="73" min="11" max="11"/>
    <col width="21" customWidth="1" style="73" min="12" max="12"/>
    <col width="2.625" customWidth="1" style="73" min="13" max="13"/>
    <col width="1.625" customWidth="1" style="73" min="14" max="14"/>
    <col width="8.75" customWidth="1" style="73" min="15" max="88"/>
    <col width="13.125" customWidth="1" style="96" min="89" max="89"/>
    <col width="7.375" customWidth="1" style="96" min="90" max="90"/>
    <col width="8" customWidth="1" style="96" min="91" max="100"/>
    <col width="14.375" customWidth="1" style="96" min="101" max="101"/>
    <col width="8" customWidth="1" style="96" min="102" max="107"/>
    <col width="10.375" customWidth="1" style="96" min="108" max="108"/>
    <col width="8" customWidth="1" style="96" min="109" max="112"/>
    <col width="10.125" customWidth="1" style="96" min="113" max="113"/>
    <col width="12.375" customWidth="1" style="96" min="114" max="114"/>
    <col width="8.75" customWidth="1" style="97" min="115" max="115"/>
    <col width="8.75" customWidth="1" style="96" min="116" max="116"/>
    <col width="8.75" customWidth="1" style="128" min="117" max="117"/>
    <col width="8.75" customWidth="1" style="73" min="118" max="16384"/>
  </cols>
  <sheetData>
    <row r="1" ht="50.1" customFormat="1" customHeight="1" s="70">
      <c r="A1" s="156" t="n"/>
      <c r="B1" s="77" t="inlineStr">
        <is>
          <t>标准工作底稿: N SWP 应付账款</t>
        </is>
      </c>
      <c r="C1" s="78" t="n"/>
      <c r="D1" s="79" t="n"/>
      <c r="E1" s="79" t="n"/>
      <c r="F1" s="79" t="n"/>
      <c r="G1" s="79" t="n"/>
      <c r="H1" s="79" t="n"/>
      <c r="I1" s="79" t="n"/>
      <c r="J1" s="79" t="n"/>
      <c r="K1" s="79" t="n"/>
      <c r="L1" s="80" t="n"/>
      <c r="M1" s="156" t="n"/>
      <c r="N1" s="81" t="n"/>
      <c r="O1" s="156" t="n"/>
      <c r="P1" s="156" t="n"/>
      <c r="Q1" s="156" t="n"/>
      <c r="R1" s="156" t="n"/>
      <c r="S1" s="156" t="n"/>
      <c r="T1" s="156" t="n"/>
      <c r="U1" s="156" t="n"/>
      <c r="V1" s="156" t="n"/>
      <c r="W1" s="156" t="n"/>
      <c r="X1" s="156" t="n"/>
      <c r="Y1" s="156" t="n"/>
      <c r="Z1" s="156" t="n"/>
      <c r="AA1" s="156" t="n"/>
      <c r="AB1" s="156" t="n"/>
      <c r="AC1" s="156" t="n"/>
      <c r="AD1" s="156" t="n"/>
      <c r="AE1" s="156" t="n"/>
      <c r="AF1" s="156" t="n"/>
      <c r="AG1" s="156" t="n"/>
      <c r="AH1" s="156" t="n"/>
      <c r="AI1" s="156" t="n"/>
      <c r="AJ1" s="156" t="n"/>
      <c r="AK1" s="156" t="n"/>
      <c r="AL1" s="156" t="n"/>
      <c r="AM1" s="156" t="n"/>
      <c r="AN1" s="156" t="n"/>
      <c r="AO1" s="156" t="n"/>
      <c r="AP1" s="156" t="n"/>
      <c r="AQ1" s="156" t="n"/>
      <c r="AR1" s="156" t="n"/>
      <c r="AS1" s="156" t="n"/>
      <c r="AT1" s="156" t="n"/>
      <c r="AU1" s="156" t="n"/>
      <c r="AV1" s="156" t="n"/>
      <c r="AW1" s="156" t="n"/>
      <c r="AX1" s="156" t="n"/>
      <c r="AY1" s="156" t="n"/>
      <c r="AZ1" s="156" t="n"/>
      <c r="BA1" s="156" t="n"/>
      <c r="BB1" s="156" t="n"/>
      <c r="BC1" s="156" t="n"/>
      <c r="BD1" s="156" t="n"/>
      <c r="BE1" s="156" t="n"/>
      <c r="BF1" s="156" t="n"/>
      <c r="BG1" s="156" t="n"/>
      <c r="BH1" s="156" t="n"/>
      <c r="BI1" s="156" t="n"/>
      <c r="BJ1" s="156" t="n"/>
      <c r="BK1" s="156" t="n"/>
      <c r="BL1" s="156" t="n"/>
      <c r="BM1" s="156" t="n"/>
      <c r="BN1" s="156" t="n"/>
      <c r="BO1" s="156" t="n"/>
      <c r="BP1" s="156" t="n"/>
      <c r="BQ1" s="156" t="n"/>
      <c r="BR1" s="156" t="n"/>
      <c r="BS1" s="156" t="n"/>
      <c r="BT1" s="156" t="n"/>
      <c r="BU1" s="156" t="n"/>
      <c r="BV1" s="156" t="n"/>
      <c r="BW1" s="156" t="n"/>
      <c r="BX1" s="156" t="n"/>
      <c r="BY1" s="156" t="n"/>
      <c r="BZ1" s="156" t="n"/>
      <c r="CA1" s="156" t="n"/>
      <c r="CB1" s="156" t="n"/>
      <c r="CC1" s="156" t="n"/>
      <c r="CD1" s="156" t="n"/>
      <c r="CE1" s="156" t="n"/>
      <c r="CF1" s="156" t="n"/>
      <c r="CG1" s="156" t="n"/>
      <c r="CH1" s="156" t="n"/>
      <c r="CI1" s="156" t="n"/>
      <c r="CJ1" s="156" t="n"/>
      <c r="CK1" s="156" t="n"/>
      <c r="CL1" s="156" t="n"/>
      <c r="CM1" s="156" t="n"/>
      <c r="CN1" s="156" t="n"/>
      <c r="CO1" s="156" t="n"/>
      <c r="CP1" s="156" t="n"/>
      <c r="CQ1" s="156" t="n"/>
      <c r="CR1" s="156" t="n"/>
      <c r="CS1" s="156" t="n"/>
      <c r="CT1" s="156" t="n"/>
      <c r="CU1" s="156" t="n"/>
      <c r="CV1" s="156" t="n"/>
      <c r="CW1" s="156" t="n"/>
      <c r="CX1" s="156" t="n"/>
      <c r="CY1" s="156" t="n"/>
      <c r="CZ1" s="156" t="n"/>
      <c r="DA1" s="156" t="n"/>
      <c r="DB1" s="156" t="n"/>
      <c r="DC1" s="156" t="n"/>
      <c r="DD1" s="156" t="n"/>
      <c r="DE1" s="156" t="n"/>
      <c r="DF1" s="156" t="n"/>
      <c r="DG1" s="156" t="n"/>
      <c r="DH1" s="156" t="n"/>
      <c r="DI1" s="156" t="n"/>
      <c r="DJ1" s="156" t="n"/>
      <c r="DK1" s="156" t="n"/>
      <c r="DL1" s="156" t="n"/>
      <c r="DM1" s="156" t="n"/>
      <c r="DN1" s="156" t="n"/>
      <c r="DO1" s="156" t="n"/>
      <c r="DP1" s="156" t="n"/>
      <c r="DQ1" s="156" t="n"/>
      <c r="DR1" s="156" t="n"/>
      <c r="DS1" s="156" t="n"/>
      <c r="DT1" s="156" t="n"/>
      <c r="DU1" s="156" t="n"/>
    </row>
    <row r="2" ht="30" customFormat="1" customHeight="1" s="70">
      <c r="A2" s="156" t="n"/>
      <c r="B2" s="82" t="inlineStr">
        <is>
          <t>N.03: 应付账款截止测试</t>
        </is>
      </c>
      <c r="C2" s="83" t="n"/>
      <c r="D2" s="83" t="n"/>
      <c r="E2" s="83" t="n"/>
      <c r="F2" s="83" t="n"/>
      <c r="G2" s="83" t="n"/>
      <c r="H2" s="83" t="n"/>
      <c r="I2" s="83" t="n"/>
      <c r="J2" s="83" t="n"/>
      <c r="K2" s="83" t="n"/>
      <c r="L2" s="84" t="n"/>
      <c r="M2" s="95" t="n"/>
      <c r="N2" s="81" t="n"/>
      <c r="O2" s="156" t="n"/>
      <c r="P2" s="156" t="n"/>
      <c r="Q2" s="156" t="n"/>
      <c r="R2" s="156" t="n"/>
      <c r="S2" s="156" t="n"/>
      <c r="T2" s="156" t="n"/>
      <c r="U2" s="156" t="n"/>
      <c r="V2" s="156" t="n"/>
      <c r="W2" s="156" t="n"/>
      <c r="X2" s="156" t="n"/>
      <c r="Y2" s="156" t="n"/>
      <c r="Z2" s="156" t="n"/>
      <c r="AA2" s="156" t="n"/>
      <c r="AB2" s="156" t="n"/>
      <c r="AC2" s="156" t="n"/>
      <c r="AD2" s="156" t="n"/>
      <c r="AE2" s="156" t="n"/>
      <c r="AF2" s="156" t="n"/>
      <c r="AG2" s="156" t="n"/>
      <c r="AH2" s="156" t="n"/>
      <c r="AI2" s="156" t="n"/>
      <c r="AJ2" s="156" t="n"/>
      <c r="AK2" s="156" t="n"/>
      <c r="AL2" s="156" t="n"/>
      <c r="AM2" s="156" t="n"/>
      <c r="AN2" s="156" t="n"/>
      <c r="AO2" s="156" t="n"/>
      <c r="AP2" s="156" t="n"/>
      <c r="AQ2" s="156" t="n"/>
      <c r="AR2" s="156" t="n"/>
      <c r="AS2" s="156" t="n"/>
      <c r="AT2" s="156" t="n"/>
      <c r="AU2" s="156" t="n"/>
      <c r="AV2" s="156" t="n"/>
      <c r="AW2" s="156" t="n"/>
      <c r="AX2" s="156" t="n"/>
      <c r="AY2" s="156" t="n"/>
      <c r="AZ2" s="156" t="n"/>
      <c r="BA2" s="156" t="n"/>
      <c r="BB2" s="156" t="n"/>
      <c r="BC2" s="156" t="n"/>
      <c r="BD2" s="156" t="n"/>
      <c r="BE2" s="156" t="n"/>
      <c r="BF2" s="156" t="n"/>
      <c r="BG2" s="156" t="n"/>
      <c r="BH2" s="156" t="n"/>
      <c r="BI2" s="156" t="n"/>
      <c r="BJ2" s="156" t="n"/>
      <c r="BK2" s="156" t="n"/>
      <c r="BL2" s="156" t="n"/>
      <c r="BM2" s="156" t="n"/>
      <c r="BN2" s="156" t="n"/>
      <c r="BO2" s="156" t="n"/>
      <c r="BP2" s="156" t="n"/>
      <c r="BQ2" s="156" t="n"/>
      <c r="BR2" s="156" t="n"/>
      <c r="BS2" s="156" t="n"/>
      <c r="BT2" s="156" t="n"/>
      <c r="BU2" s="156" t="n"/>
      <c r="BV2" s="156" t="n"/>
      <c r="BW2" s="156" t="n"/>
      <c r="BX2" s="156" t="n"/>
      <c r="BY2" s="156" t="n"/>
      <c r="BZ2" s="156" t="n"/>
      <c r="CA2" s="156" t="n"/>
      <c r="CB2" s="156" t="n"/>
      <c r="CC2" s="156" t="n"/>
      <c r="CD2" s="156" t="n"/>
      <c r="CE2" s="156" t="n"/>
      <c r="CF2" s="156" t="n"/>
      <c r="CG2" s="156" t="n"/>
      <c r="CH2" s="156" t="n"/>
      <c r="CI2" s="156" t="n"/>
      <c r="CJ2" s="156" t="n"/>
      <c r="CK2" s="156" t="n"/>
      <c r="CL2" s="156" t="n"/>
      <c r="CM2" s="156" t="n"/>
      <c r="CN2" s="156" t="n"/>
      <c r="CO2" s="156" t="n"/>
      <c r="CP2" s="156" t="n"/>
      <c r="CQ2" s="156" t="n"/>
      <c r="CR2" s="156" t="n"/>
      <c r="CS2" s="156" t="n"/>
      <c r="CT2" s="156" t="n"/>
      <c r="CU2" s="156" t="n"/>
      <c r="CV2" s="156" t="n"/>
      <c r="CW2" s="156" t="n"/>
      <c r="CX2" s="156" t="n"/>
      <c r="CY2" s="156" t="n"/>
      <c r="CZ2" s="156" t="n"/>
      <c r="DA2" s="156" t="n"/>
      <c r="DB2" s="156" t="n"/>
      <c r="DC2" s="156" t="n"/>
      <c r="DD2" s="156" t="n"/>
      <c r="DE2" s="156" t="n"/>
      <c r="DF2" s="156" t="n"/>
      <c r="DG2" s="156" t="n"/>
      <c r="DH2" s="156" t="n"/>
      <c r="DI2" s="156" t="n"/>
      <c r="DJ2" s="156" t="n"/>
      <c r="DK2" s="156" t="n"/>
      <c r="DL2" s="156" t="n"/>
      <c r="DM2" s="156" t="n"/>
      <c r="DN2" s="156" t="n"/>
      <c r="DO2" s="156" t="n"/>
      <c r="DP2" s="156" t="n"/>
      <c r="DQ2" s="156" t="n"/>
      <c r="DR2" s="156" t="n"/>
      <c r="DS2" s="156" t="n"/>
      <c r="DT2" s="156" t="n"/>
      <c r="DU2" s="156" t="n"/>
    </row>
    <row r="3" ht="15" customHeight="1" s="634">
      <c r="C3" s="67" t="n"/>
      <c r="D3" s="67" t="n"/>
      <c r="N3" s="81" t="n"/>
      <c r="CK3" s="73" t="n"/>
      <c r="CL3" s="67" t="n"/>
      <c r="CM3" s="67" t="n"/>
      <c r="CN3" s="67" t="n"/>
      <c r="CW3" s="67" t="n"/>
      <c r="DC3" s="67" t="n"/>
      <c r="DD3" s="67" t="n"/>
      <c r="DE3" s="67" t="n"/>
      <c r="DF3" s="67" t="n"/>
      <c r="DG3" s="67" t="n"/>
      <c r="DH3" s="67" t="n"/>
      <c r="DI3" s="67" t="n"/>
      <c r="DJ3" s="67" t="n"/>
      <c r="DK3" s="67" t="n"/>
      <c r="DL3" s="97" t="n"/>
      <c r="DM3" s="67" t="n"/>
      <c r="DN3" s="67" t="n"/>
    </row>
    <row r="4" ht="15" customHeight="1" s="634">
      <c r="B4" s="71" t="inlineStr">
        <is>
          <t>返回汇总页</t>
        </is>
      </c>
      <c r="C4" s="67" t="n"/>
      <c r="D4" s="67" t="n"/>
      <c r="N4" s="81" t="n"/>
      <c r="CK4" s="73" t="n"/>
      <c r="CL4" s="67" t="n"/>
      <c r="CM4" s="67" t="n"/>
      <c r="CN4" s="67" t="n"/>
      <c r="CW4" s="67" t="n"/>
      <c r="DC4" s="67" t="n"/>
      <c r="DD4" s="67" t="n"/>
      <c r="DE4" s="67" t="n"/>
      <c r="DF4" s="67" t="n"/>
      <c r="DG4" s="67" t="n"/>
      <c r="DH4" s="67" t="n"/>
      <c r="DI4" s="67" t="n"/>
      <c r="DJ4" s="67" t="n"/>
      <c r="DK4" s="67" t="n"/>
      <c r="DL4" s="97" t="n"/>
      <c r="DM4" s="67" t="n"/>
      <c r="DN4" s="67" t="n"/>
    </row>
    <row r="5" ht="15" customHeight="1" s="634">
      <c r="N5" s="81" t="n"/>
      <c r="CK5" s="73" t="n"/>
      <c r="CL5" s="67" t="n"/>
      <c r="CM5" s="67" t="n"/>
      <c r="CN5" s="67" t="n"/>
      <c r="CW5" s="67" t="n"/>
      <c r="DC5" s="67" t="n"/>
      <c r="DD5" s="67" t="n"/>
      <c r="DE5" s="67" t="n"/>
      <c r="DF5" s="67" t="n"/>
      <c r="DG5" s="67" t="n"/>
      <c r="DH5" s="67" t="n"/>
      <c r="DI5" s="67" t="n"/>
      <c r="DJ5" s="67" t="n"/>
      <c r="DK5" s="67" t="n"/>
      <c r="DL5" s="97" t="n"/>
      <c r="DM5" s="67" t="n"/>
      <c r="DN5" s="67" t="n"/>
    </row>
    <row r="6" ht="15" customFormat="1" customHeight="1" s="101">
      <c r="A6" s="98" t="n"/>
      <c r="B6" s="99" t="inlineStr">
        <is>
          <t>表1 记录确定测试期间和样本策略的理由。</t>
        </is>
      </c>
      <c r="C6" s="850" t="n"/>
      <c r="D6" s="850" t="n"/>
      <c r="E6" s="850" t="n"/>
      <c r="F6" s="850" t="n"/>
      <c r="G6" s="850" t="n"/>
      <c r="H6" s="850" t="n"/>
      <c r="I6" s="73" t="n"/>
      <c r="J6" s="73" t="n"/>
      <c r="K6" s="73" t="n"/>
      <c r="L6" s="73" t="n"/>
      <c r="M6" s="73" t="n"/>
      <c r="N6" s="81" t="n"/>
      <c r="CO6" s="102" t="n"/>
      <c r="CP6" s="102" t="n"/>
      <c r="CQ6" s="102" t="n"/>
      <c r="CR6" s="102" t="n"/>
      <c r="CS6" s="102" t="n"/>
      <c r="CT6" s="102" t="n"/>
      <c r="CU6" s="102" t="n"/>
      <c r="CV6" s="102" t="n"/>
      <c r="CW6" s="102" t="n"/>
      <c r="CX6" s="102" t="n"/>
      <c r="CY6" s="102" t="n"/>
      <c r="CZ6" s="102" t="n"/>
      <c r="DA6" s="102" t="n"/>
      <c r="DB6" s="102" t="n"/>
      <c r="DC6" s="102" t="n"/>
      <c r="DD6" s="102" t="n"/>
      <c r="DE6" s="102" t="n"/>
      <c r="DF6" s="102" t="n"/>
      <c r="DG6" s="102" t="n"/>
      <c r="DH6" s="102" t="n"/>
      <c r="DI6" s="102" t="n"/>
      <c r="DJ6" s="102" t="n"/>
      <c r="DK6" s="102" t="n"/>
      <c r="DL6" s="102" t="n"/>
      <c r="DM6" s="102" t="n"/>
      <c r="DN6" s="102" t="n"/>
      <c r="DO6" s="107" t="n"/>
      <c r="DP6" s="102" t="n"/>
      <c r="DQ6" s="104" t="n"/>
    </row>
    <row r="7" ht="15" customFormat="1" customHeight="1" s="101">
      <c r="A7" s="98" t="n"/>
      <c r="B7" s="851" t="n"/>
      <c r="C7" s="688" t="n"/>
      <c r="D7" s="688" t="n"/>
      <c r="E7" s="688" t="n"/>
      <c r="F7" s="689" t="n"/>
      <c r="G7" s="0" t="n"/>
      <c r="H7" s="0" t="n"/>
      <c r="I7" s="0" t="n"/>
      <c r="J7" s="0" t="n"/>
      <c r="K7" s="0" t="n"/>
      <c r="L7" s="0" t="n"/>
      <c r="M7" s="73" t="n"/>
      <c r="N7" s="81" t="n"/>
      <c r="CG7" s="102" t="n"/>
      <c r="CH7" s="102" t="n"/>
      <c r="CI7" s="102" t="n"/>
      <c r="CJ7" s="102" t="n"/>
      <c r="CK7" s="102" t="n"/>
      <c r="CL7" s="102" t="n"/>
      <c r="CM7" s="102" t="n"/>
      <c r="CN7" s="102" t="n"/>
      <c r="CO7" s="102" t="n"/>
      <c r="CP7" s="102" t="n"/>
      <c r="CQ7" s="102" t="n"/>
      <c r="CR7" s="102" t="n"/>
      <c r="CS7" s="102" t="n"/>
      <c r="CT7" s="102" t="n"/>
      <c r="CU7" s="102" t="n"/>
      <c r="CV7" s="102" t="n"/>
      <c r="CW7" s="102" t="n"/>
      <c r="CX7" s="102" t="n"/>
      <c r="CY7" s="102" t="n"/>
      <c r="CZ7" s="102" t="n"/>
      <c r="DA7" s="102" t="n"/>
      <c r="DB7" s="102" t="n"/>
      <c r="DC7" s="102" t="n"/>
      <c r="DD7" s="102" t="n"/>
      <c r="DE7" s="102" t="n"/>
      <c r="DF7" s="102" t="n"/>
      <c r="DG7" s="107" t="n"/>
      <c r="DH7" s="102" t="n"/>
      <c r="DI7" s="104" t="n"/>
    </row>
    <row r="8" ht="15" customFormat="1" customHeight="1" s="101">
      <c r="A8" s="98" t="n"/>
      <c r="B8" s="641" t="n"/>
      <c r="F8" s="690" t="n"/>
      <c r="G8" s="0" t="n"/>
      <c r="H8" s="0" t="n"/>
      <c r="I8" s="0" t="n"/>
      <c r="J8" s="0" t="n"/>
      <c r="K8" s="0" t="n"/>
      <c r="L8" s="0" t="n"/>
      <c r="M8" s="73" t="n"/>
      <c r="N8" s="81" t="n"/>
      <c r="CG8" s="102" t="n"/>
      <c r="CH8" s="102" t="n"/>
      <c r="CI8" s="102" t="n"/>
      <c r="CJ8" s="102" t="n"/>
      <c r="CK8" s="102" t="n"/>
      <c r="CL8" s="102" t="n"/>
      <c r="CM8" s="102" t="n"/>
      <c r="CN8" s="102" t="n"/>
      <c r="CO8" s="102" t="n"/>
      <c r="CP8" s="102" t="n"/>
      <c r="CQ8" s="102" t="n"/>
      <c r="CR8" s="102" t="n"/>
      <c r="CS8" s="102" t="n"/>
      <c r="CT8" s="102" t="n"/>
      <c r="CU8" s="102" t="n"/>
      <c r="CV8" s="102" t="n"/>
      <c r="CW8" s="102" t="n"/>
      <c r="CX8" s="102" t="n"/>
      <c r="CY8" s="102" t="n"/>
      <c r="CZ8" s="102" t="n"/>
      <c r="DA8" s="102" t="n"/>
      <c r="DB8" s="102" t="n"/>
      <c r="DC8" s="102" t="n"/>
      <c r="DD8" s="102" t="n"/>
      <c r="DE8" s="102" t="n"/>
      <c r="DF8" s="102" t="n"/>
      <c r="DG8" s="107" t="n"/>
      <c r="DH8" s="102" t="n"/>
      <c r="DI8" s="104" t="n"/>
    </row>
    <row r="9" ht="15" customFormat="1" customHeight="1" s="101">
      <c r="A9" s="98" t="n"/>
      <c r="B9" s="644" t="n"/>
      <c r="C9" s="645" t="n"/>
      <c r="D9" s="645" t="n"/>
      <c r="E9" s="645" t="n"/>
      <c r="F9" s="691" t="n"/>
      <c r="G9" s="0" t="n"/>
      <c r="H9" s="0" t="n"/>
      <c r="I9" s="0" t="n"/>
      <c r="J9" s="0" t="n"/>
      <c r="K9" s="0" t="n"/>
      <c r="L9" s="0" t="n"/>
      <c r="M9" s="73" t="n"/>
      <c r="N9" s="81" t="n"/>
      <c r="CG9" s="102" t="n"/>
      <c r="CH9" s="102" t="n"/>
      <c r="CI9" s="102" t="n"/>
      <c r="CJ9" s="102" t="n"/>
      <c r="CK9" s="102" t="n"/>
      <c r="CL9" s="102" t="n"/>
      <c r="CM9" s="102" t="n"/>
      <c r="CN9" s="102" t="n"/>
      <c r="CO9" s="102" t="n"/>
      <c r="CP9" s="102" t="n"/>
      <c r="CQ9" s="102" t="n"/>
      <c r="CR9" s="102" t="n"/>
      <c r="CS9" s="102" t="n"/>
      <c r="CT9" s="102" t="n"/>
      <c r="CU9" s="102" t="n"/>
      <c r="CV9" s="102" t="n"/>
      <c r="CW9" s="102" t="n"/>
      <c r="CX9" s="102" t="n"/>
      <c r="CY9" s="102" t="n"/>
      <c r="CZ9" s="102" t="n"/>
      <c r="DA9" s="102" t="n"/>
      <c r="DB9" s="102" t="n"/>
      <c r="DC9" s="102" t="n"/>
      <c r="DD9" s="102" t="n"/>
      <c r="DE9" s="102" t="n"/>
      <c r="DF9" s="102" t="n"/>
      <c r="DG9" s="107" t="n"/>
      <c r="DH9" s="102" t="n"/>
      <c r="DI9" s="104" t="n"/>
    </row>
    <row r="10" ht="15" customFormat="1" customHeight="1" s="106">
      <c r="A10" s="105" t="n"/>
      <c r="B10" s="105" t="n"/>
      <c r="C10" s="105" t="n"/>
      <c r="D10" s="105" t="n"/>
      <c r="E10" s="105" t="n"/>
      <c r="F10" s="105" t="n"/>
      <c r="G10" s="105" t="n"/>
      <c r="H10" s="105" t="n"/>
      <c r="I10" s="73" t="n"/>
      <c r="J10" s="73" t="n"/>
      <c r="K10" s="73" t="n"/>
      <c r="L10" s="73" t="n"/>
      <c r="N10" s="81" t="n"/>
      <c r="CG10" s="102" t="n"/>
      <c r="CH10" s="102" t="n"/>
      <c r="CI10" s="102" t="n"/>
      <c r="CJ10" s="102" t="n"/>
      <c r="CK10" s="102" t="n"/>
      <c r="CL10" s="102" t="n"/>
      <c r="CM10" s="102" t="n"/>
      <c r="CN10" s="102" t="n"/>
      <c r="CO10" s="102" t="n"/>
      <c r="CP10" s="102" t="n"/>
      <c r="CQ10" s="102" t="n"/>
      <c r="CR10" s="102" t="n"/>
      <c r="CS10" s="102" t="n"/>
      <c r="CT10" s="102" t="n"/>
      <c r="CU10" s="102" t="n"/>
      <c r="CV10" s="102" t="n"/>
      <c r="CW10" s="102" t="n"/>
      <c r="CX10" s="102" t="n"/>
      <c r="CY10" s="102" t="n"/>
      <c r="CZ10" s="102" t="n"/>
      <c r="DA10" s="102" t="n"/>
      <c r="DB10" s="102" t="n"/>
      <c r="DC10" s="102" t="n"/>
      <c r="DD10" s="102" t="n"/>
      <c r="DE10" s="102" t="n"/>
      <c r="DF10" s="102" t="n"/>
      <c r="DG10" s="107" t="n"/>
      <c r="DH10" s="102" t="n"/>
      <c r="DI10" s="104" t="n"/>
    </row>
    <row r="11" ht="15" customFormat="1" customHeight="1" s="112">
      <c r="A11" s="108" t="inlineStr">
        <is>
          <t>　</t>
        </is>
      </c>
      <c r="B11" s="404" t="inlineStr">
        <is>
          <t>表2 记录用于执行程序的总体</t>
        </is>
      </c>
      <c r="C11" s="110" t="n"/>
      <c r="D11" s="110" t="n"/>
      <c r="E11" s="110" t="n"/>
      <c r="F11" s="158" t="n"/>
      <c r="G11" s="158" t="n"/>
      <c r="H11" s="158" t="n"/>
      <c r="I11" s="110" t="n"/>
      <c r="J11" s="110" t="n"/>
      <c r="K11" s="110" t="n"/>
      <c r="L11" s="110" t="n"/>
      <c r="M11" s="106" t="n"/>
      <c r="N11" s="81" t="n"/>
      <c r="O11" s="109" t="inlineStr">
        <is>
          <t>　</t>
        </is>
      </c>
      <c r="P11" s="109" t="inlineStr">
        <is>
          <t>　</t>
        </is>
      </c>
      <c r="Q11" s="109" t="inlineStr">
        <is>
          <t>　</t>
        </is>
      </c>
      <c r="R11" s="109" t="inlineStr">
        <is>
          <t>　</t>
        </is>
      </c>
      <c r="S11" s="109" t="inlineStr">
        <is>
          <t>　</t>
        </is>
      </c>
      <c r="T11" s="109" t="inlineStr">
        <is>
          <t>　</t>
        </is>
      </c>
      <c r="U11" s="109" t="inlineStr">
        <is>
          <t>　</t>
        </is>
      </c>
      <c r="V11" s="109" t="inlineStr">
        <is>
          <t>　</t>
        </is>
      </c>
      <c r="W11" s="109" t="inlineStr">
        <is>
          <t>　</t>
        </is>
      </c>
      <c r="X11" s="109" t="inlineStr">
        <is>
          <t>　</t>
        </is>
      </c>
      <c r="Y11" s="109" t="inlineStr">
        <is>
          <t>　</t>
        </is>
      </c>
      <c r="Z11" s="109" t="inlineStr">
        <is>
          <t>　</t>
        </is>
      </c>
      <c r="AA11" s="109" t="inlineStr">
        <is>
          <t>　</t>
        </is>
      </c>
      <c r="AB11" s="109" t="inlineStr">
        <is>
          <t>　</t>
        </is>
      </c>
      <c r="AC11" s="109" t="inlineStr">
        <is>
          <t>　</t>
        </is>
      </c>
      <c r="AD11" s="109" t="inlineStr">
        <is>
          <t>　</t>
        </is>
      </c>
      <c r="AE11" s="109" t="inlineStr">
        <is>
          <t>　</t>
        </is>
      </c>
      <c r="AF11" s="109" t="inlineStr">
        <is>
          <t>　</t>
        </is>
      </c>
      <c r="AG11" s="109" t="inlineStr">
        <is>
          <t>　</t>
        </is>
      </c>
      <c r="AH11" s="109" t="inlineStr">
        <is>
          <t>　</t>
        </is>
      </c>
      <c r="AI11" s="109" t="inlineStr">
        <is>
          <t>　</t>
        </is>
      </c>
      <c r="AJ11" s="109" t="inlineStr">
        <is>
          <t>　</t>
        </is>
      </c>
      <c r="AK11" s="109" t="inlineStr">
        <is>
          <t>　</t>
        </is>
      </c>
      <c r="AL11" s="109" t="inlineStr">
        <is>
          <t>　</t>
        </is>
      </c>
      <c r="AM11" s="109" t="inlineStr">
        <is>
          <t>　</t>
        </is>
      </c>
      <c r="AN11" s="109" t="inlineStr">
        <is>
          <t>　</t>
        </is>
      </c>
      <c r="AO11" s="109" t="inlineStr">
        <is>
          <t>　</t>
        </is>
      </c>
      <c r="AP11" s="109" t="inlineStr">
        <is>
          <t>　</t>
        </is>
      </c>
      <c r="AQ11" s="109" t="inlineStr">
        <is>
          <t>　</t>
        </is>
      </c>
      <c r="AR11" s="109" t="inlineStr">
        <is>
          <t>　</t>
        </is>
      </c>
      <c r="AS11" s="109" t="inlineStr">
        <is>
          <t>　</t>
        </is>
      </c>
      <c r="AT11" s="109" t="inlineStr">
        <is>
          <t>　</t>
        </is>
      </c>
      <c r="AU11" s="109" t="inlineStr">
        <is>
          <t>　</t>
        </is>
      </c>
      <c r="AV11" s="109" t="inlineStr">
        <is>
          <t>　</t>
        </is>
      </c>
      <c r="AW11" s="109" t="inlineStr">
        <is>
          <t>　</t>
        </is>
      </c>
      <c r="AX11" s="109" t="inlineStr">
        <is>
          <t>　</t>
        </is>
      </c>
      <c r="AY11" s="109" t="inlineStr">
        <is>
          <t>　</t>
        </is>
      </c>
      <c r="AZ11" s="109" t="inlineStr">
        <is>
          <t>　</t>
        </is>
      </c>
      <c r="BA11" s="109" t="inlineStr">
        <is>
          <t>　</t>
        </is>
      </c>
      <c r="BB11" s="109" t="inlineStr">
        <is>
          <t>　</t>
        </is>
      </c>
      <c r="BC11" s="109" t="inlineStr">
        <is>
          <t>　</t>
        </is>
      </c>
      <c r="BD11" s="109" t="inlineStr">
        <is>
          <t>　</t>
        </is>
      </c>
      <c r="BE11" s="109" t="inlineStr">
        <is>
          <t>　</t>
        </is>
      </c>
      <c r="BF11" s="109" t="inlineStr">
        <is>
          <t>　</t>
        </is>
      </c>
      <c r="BG11" s="109" t="inlineStr">
        <is>
          <t>　</t>
        </is>
      </c>
      <c r="BH11" s="109" t="inlineStr">
        <is>
          <t>　</t>
        </is>
      </c>
      <c r="BI11" s="109" t="inlineStr">
        <is>
          <t>　</t>
        </is>
      </c>
      <c r="BJ11" s="109" t="inlineStr">
        <is>
          <t>　</t>
        </is>
      </c>
      <c r="BK11" s="109" t="inlineStr">
        <is>
          <t>　</t>
        </is>
      </c>
      <c r="BL11" s="109" t="inlineStr">
        <is>
          <t>　</t>
        </is>
      </c>
      <c r="BM11" s="109" t="inlineStr">
        <is>
          <t>　</t>
        </is>
      </c>
      <c r="BN11" s="109" t="inlineStr">
        <is>
          <t>　</t>
        </is>
      </c>
      <c r="BO11" s="109" t="inlineStr">
        <is>
          <t>　</t>
        </is>
      </c>
      <c r="BP11" s="109" t="inlineStr">
        <is>
          <t>　</t>
        </is>
      </c>
      <c r="BQ11" s="109" t="inlineStr">
        <is>
          <t>　</t>
        </is>
      </c>
      <c r="BR11" s="109" t="inlineStr">
        <is>
          <t>　</t>
        </is>
      </c>
      <c r="BS11" s="109" t="inlineStr">
        <is>
          <t>　</t>
        </is>
      </c>
      <c r="BT11" s="109" t="inlineStr">
        <is>
          <t>　</t>
        </is>
      </c>
      <c r="BU11" s="109" t="inlineStr">
        <is>
          <t>　</t>
        </is>
      </c>
      <c r="BV11" s="109" t="inlineStr">
        <is>
          <t>　</t>
        </is>
      </c>
      <c r="BW11" s="109" t="inlineStr">
        <is>
          <t>　</t>
        </is>
      </c>
      <c r="BX11" s="109" t="inlineStr">
        <is>
          <t>　</t>
        </is>
      </c>
      <c r="BY11" s="109" t="inlineStr">
        <is>
          <t>　</t>
        </is>
      </c>
      <c r="BZ11" s="109" t="inlineStr">
        <is>
          <t>　</t>
        </is>
      </c>
      <c r="CA11" s="109" t="inlineStr">
        <is>
          <t>　</t>
        </is>
      </c>
      <c r="CB11" s="109" t="inlineStr">
        <is>
          <t>　</t>
        </is>
      </c>
      <c r="CC11" s="109" t="inlineStr">
        <is>
          <t>　</t>
        </is>
      </c>
      <c r="CD11" s="109" t="inlineStr">
        <is>
          <t>　</t>
        </is>
      </c>
      <c r="CE11" s="109" t="inlineStr">
        <is>
          <t>　</t>
        </is>
      </c>
      <c r="CF11" s="109" t="inlineStr">
        <is>
          <t>　</t>
        </is>
      </c>
      <c r="CG11" s="109" t="inlineStr">
        <is>
          <t>　</t>
        </is>
      </c>
      <c r="CH11" s="109" t="inlineStr">
        <is>
          <t>　</t>
        </is>
      </c>
      <c r="CI11" s="109" t="inlineStr">
        <is>
          <t>　</t>
        </is>
      </c>
      <c r="CJ11" s="109" t="inlineStr">
        <is>
          <t>　</t>
        </is>
      </c>
      <c r="CK11" s="109" t="inlineStr">
        <is>
          <t>　</t>
        </is>
      </c>
      <c r="CL11" s="109" t="inlineStr">
        <is>
          <t>　</t>
        </is>
      </c>
      <c r="CM11" s="109" t="inlineStr">
        <is>
          <t>　</t>
        </is>
      </c>
      <c r="CN11" s="109" t="inlineStr">
        <is>
          <t>　</t>
        </is>
      </c>
      <c r="CO11" s="109" t="inlineStr">
        <is>
          <t>　</t>
        </is>
      </c>
      <c r="CP11" s="109" t="inlineStr">
        <is>
          <t>　</t>
        </is>
      </c>
      <c r="CQ11" s="109" t="inlineStr">
        <is>
          <t>　</t>
        </is>
      </c>
      <c r="CR11" s="110" t="n"/>
      <c r="CS11" s="110" t="n"/>
      <c r="CT11" s="110" t="n"/>
      <c r="CU11" s="110" t="n"/>
      <c r="CV11" s="110" t="n"/>
      <c r="CW11" s="110" t="n"/>
      <c r="CX11" s="110" t="n"/>
      <c r="CY11" s="110" t="n"/>
      <c r="CZ11" s="110" t="n"/>
      <c r="DA11" s="110" t="n"/>
      <c r="DB11" s="110" t="n"/>
      <c r="DC11" s="110" t="n"/>
      <c r="DD11" s="110" t="n"/>
      <c r="DE11" s="110" t="n"/>
      <c r="DF11" s="110" t="n"/>
      <c r="DG11" s="110" t="n"/>
      <c r="DH11" s="110" t="n"/>
      <c r="DI11" s="110" t="n"/>
      <c r="DJ11" s="110" t="n"/>
      <c r="DK11" s="110" t="n"/>
      <c r="DL11" s="110" t="n"/>
      <c r="DM11" s="110" t="n"/>
      <c r="DN11" s="110" t="n"/>
      <c r="DO11" s="110" t="n"/>
      <c r="DP11" s="110" t="n"/>
      <c r="DQ11" s="110" t="n"/>
      <c r="DR11" s="110" t="n"/>
      <c r="DS11" s="110" t="n"/>
      <c r="DT11" s="110" t="n"/>
      <c r="DU11" s="111" t="n"/>
    </row>
    <row r="12" ht="15" customFormat="1" customHeight="1" s="112">
      <c r="A12" s="113" t="n"/>
      <c r="B12" s="72" t="n"/>
      <c r="C12" s="72" t="n"/>
      <c r="D12" s="72" t="n"/>
      <c r="E12" s="72" t="n"/>
      <c r="F12" s="72" t="n"/>
      <c r="G12" s="72" t="n"/>
      <c r="H12" s="72" t="n"/>
      <c r="I12" s="72" t="n"/>
      <c r="J12" s="72" t="n"/>
      <c r="K12" s="72" t="n"/>
      <c r="M12" s="106" t="n"/>
      <c r="N12" s="81" t="n"/>
      <c r="CS12" s="111" t="n"/>
      <c r="CT12" s="111" t="n"/>
      <c r="CU12" s="111" t="n"/>
      <c r="CV12" s="102" t="n"/>
      <c r="CW12" s="102" t="n"/>
      <c r="CX12" s="102" t="n"/>
      <c r="CY12" s="102" t="n"/>
      <c r="CZ12" s="102" t="n"/>
      <c r="DA12" s="102" t="n"/>
      <c r="DB12" s="102" t="n"/>
      <c r="DC12" s="102" t="n"/>
      <c r="DD12" s="111" t="n"/>
      <c r="DE12" s="102" t="n"/>
      <c r="DF12" s="102" t="n"/>
      <c r="DG12" s="102" t="n"/>
      <c r="DH12" s="102" t="n"/>
      <c r="DI12" s="102" t="n"/>
      <c r="DJ12" s="111" t="n"/>
      <c r="DK12" s="111" t="n"/>
      <c r="DL12" s="111" t="n"/>
      <c r="DM12" s="111" t="n"/>
      <c r="DN12" s="111" t="n"/>
      <c r="DO12" s="111" t="n"/>
      <c r="DP12" s="111" t="n"/>
      <c r="DQ12" s="111" t="n"/>
      <c r="DR12" s="111" t="n"/>
      <c r="DS12" s="114" t="n"/>
      <c r="DT12" s="111" t="n"/>
      <c r="DU12" s="111" t="n"/>
    </row>
    <row r="13" ht="15" customFormat="1" customHeight="1" s="112">
      <c r="A13" s="113" t="n"/>
      <c r="B13" s="162" t="inlineStr">
        <is>
          <t>资料名称</t>
        </is>
      </c>
      <c r="C13" s="162" t="inlineStr">
        <is>
          <t>涵盖期间</t>
        </is>
      </c>
      <c r="D13" s="162" t="inlineStr">
        <is>
          <t>备注</t>
        </is>
      </c>
      <c r="E13" s="648" t="n"/>
      <c r="F13" s="649" t="n"/>
      <c r="G13" s="0" t="n"/>
      <c r="H13" s="0" t="n"/>
      <c r="I13" s="0" t="n"/>
      <c r="J13" s="0" t="n"/>
      <c r="K13" s="0" t="n"/>
      <c r="L13" s="0" t="n"/>
      <c r="N13" s="81" t="n"/>
      <c r="CM13" s="111" t="n"/>
      <c r="CN13" s="111" t="n"/>
      <c r="CO13" s="111" t="n"/>
      <c r="CP13" s="102" t="n"/>
      <c r="CQ13" s="102" t="n"/>
      <c r="CR13" s="102" t="n"/>
      <c r="CS13" s="102" t="n"/>
      <c r="CT13" s="102" t="n"/>
      <c r="CU13" s="102" t="n"/>
      <c r="CV13" s="102" t="n"/>
      <c r="CW13" s="102" t="n"/>
      <c r="CX13" s="111" t="n"/>
      <c r="CY13" s="102" t="n"/>
      <c r="CZ13" s="102" t="n"/>
      <c r="DA13" s="102" t="n"/>
      <c r="DB13" s="102" t="n"/>
      <c r="DC13" s="102" t="n"/>
      <c r="DD13" s="111" t="n"/>
      <c r="DE13" s="111" t="n"/>
      <c r="DF13" s="111" t="n"/>
      <c r="DG13" s="111" t="n"/>
      <c r="DH13" s="111" t="n"/>
      <c r="DI13" s="111" t="n"/>
      <c r="DJ13" s="111" t="n"/>
      <c r="DK13" s="111" t="n"/>
      <c r="DL13" s="111" t="n"/>
      <c r="DM13" s="114" t="n"/>
      <c r="DN13" s="111" t="n"/>
      <c r="DO13" s="111" t="n"/>
    </row>
    <row r="14" ht="15" customFormat="1" customHeight="1" s="112">
      <c r="A14" s="113" t="n"/>
      <c r="B14" s="442" t="n"/>
      <c r="C14" s="442" t="n"/>
      <c r="D14" s="442" t="n"/>
      <c r="E14" s="648" t="n"/>
      <c r="F14" s="649" t="n"/>
      <c r="G14" s="0" t="n"/>
      <c r="H14" s="0" t="n"/>
      <c r="I14" s="0" t="n"/>
      <c r="J14" s="0" t="n"/>
      <c r="K14" s="0" t="n"/>
      <c r="L14" s="0" t="n"/>
      <c r="N14" s="81" t="n"/>
      <c r="CO14" s="111" t="n"/>
      <c r="CP14" s="111" t="n"/>
      <c r="CQ14" s="111" t="n"/>
      <c r="CR14" s="102" t="n"/>
      <c r="CS14" s="102" t="n"/>
      <c r="CT14" s="102" t="n"/>
      <c r="CU14" s="102" t="n"/>
      <c r="CV14" s="102" t="n"/>
      <c r="CW14" s="102" t="n"/>
      <c r="CX14" s="102" t="n"/>
      <c r="CY14" s="102" t="n"/>
      <c r="CZ14" s="111" t="n"/>
      <c r="DA14" s="102" t="n"/>
      <c r="DB14" s="102" t="n"/>
      <c r="DC14" s="102" t="n"/>
      <c r="DD14" s="102" t="n"/>
      <c r="DE14" s="102" t="n"/>
      <c r="DF14" s="111" t="n"/>
      <c r="DG14" s="111" t="n"/>
      <c r="DH14" s="111" t="n"/>
      <c r="DI14" s="111" t="n"/>
      <c r="DJ14" s="111" t="n"/>
      <c r="DK14" s="111" t="n"/>
      <c r="DL14" s="111" t="n"/>
      <c r="DM14" s="111" t="n"/>
      <c r="DN14" s="111" t="n"/>
      <c r="DO14" s="114" t="n"/>
      <c r="DP14" s="111" t="n"/>
      <c r="DQ14" s="111" t="n"/>
    </row>
    <row r="15" ht="15" customFormat="1" customHeight="1" s="112">
      <c r="A15" s="113" t="n"/>
      <c r="B15" s="442" t="n"/>
      <c r="C15" s="442" t="n"/>
      <c r="D15" s="442" t="n"/>
      <c r="E15" s="648" t="n"/>
      <c r="F15" s="649" t="n"/>
      <c r="G15" s="0" t="n"/>
      <c r="H15" s="0" t="n"/>
      <c r="I15" s="0" t="n"/>
      <c r="J15" s="0" t="n"/>
      <c r="K15" s="0" t="n"/>
      <c r="L15" s="0" t="n"/>
      <c r="N15" s="81" t="n"/>
      <c r="CO15" s="111" t="n"/>
      <c r="CP15" s="111" t="n"/>
      <c r="CQ15" s="111" t="n"/>
      <c r="CR15" s="102" t="n"/>
      <c r="CS15" s="102" t="n"/>
      <c r="CT15" s="102" t="n"/>
      <c r="CU15" s="102" t="n"/>
      <c r="CV15" s="102" t="n"/>
      <c r="CW15" s="102" t="n"/>
      <c r="CX15" s="102" t="n"/>
      <c r="CY15" s="102" t="n"/>
      <c r="CZ15" s="111" t="n"/>
      <c r="DA15" s="102" t="n"/>
      <c r="DB15" s="102" t="n"/>
      <c r="DC15" s="102" t="n"/>
      <c r="DD15" s="102" t="n"/>
      <c r="DE15" s="102" t="n"/>
      <c r="DF15" s="111" t="n"/>
      <c r="DG15" s="111" t="n"/>
      <c r="DH15" s="111" t="n"/>
      <c r="DI15" s="111" t="n"/>
      <c r="DJ15" s="111" t="n"/>
      <c r="DK15" s="111" t="n"/>
      <c r="DL15" s="111" t="n"/>
      <c r="DM15" s="111" t="n"/>
      <c r="DN15" s="111" t="n"/>
      <c r="DO15" s="114" t="n"/>
      <c r="DP15" s="111" t="n"/>
      <c r="DQ15" s="111" t="n"/>
    </row>
    <row r="16" ht="15" customFormat="1" customHeight="1" s="112">
      <c r="A16" s="113" t="n"/>
      <c r="B16" s="442" t="n"/>
      <c r="C16" s="442" t="n"/>
      <c r="D16" s="442" t="n"/>
      <c r="E16" s="648" t="n"/>
      <c r="F16" s="649" t="n"/>
      <c r="G16" s="0" t="n"/>
      <c r="H16" s="0" t="n"/>
      <c r="I16" s="0" t="n"/>
      <c r="J16" s="0" t="n"/>
      <c r="K16" s="0" t="n"/>
      <c r="L16" s="0" t="n"/>
      <c r="N16" s="81" t="n"/>
      <c r="CO16" s="111" t="n"/>
      <c r="CP16" s="111" t="n"/>
      <c r="CQ16" s="111" t="n"/>
      <c r="CR16" s="102" t="n"/>
      <c r="CS16" s="102" t="n"/>
      <c r="CT16" s="102" t="n"/>
      <c r="CU16" s="102" t="n"/>
      <c r="CV16" s="102" t="n"/>
      <c r="CW16" s="102" t="n"/>
      <c r="CX16" s="102" t="n"/>
      <c r="CY16" s="102" t="n"/>
      <c r="CZ16" s="111" t="n"/>
      <c r="DA16" s="102" t="n"/>
      <c r="DB16" s="102" t="n"/>
      <c r="DC16" s="102" t="n"/>
      <c r="DD16" s="102" t="n"/>
      <c r="DE16" s="102" t="n"/>
      <c r="DF16" s="111" t="n"/>
      <c r="DG16" s="111" t="n"/>
      <c r="DH16" s="111" t="n"/>
      <c r="DI16" s="111" t="n"/>
      <c r="DJ16" s="111" t="n"/>
      <c r="DK16" s="111" t="n"/>
      <c r="DL16" s="111" t="n"/>
      <c r="DM16" s="111" t="n"/>
      <c r="DN16" s="111" t="n"/>
      <c r="DO16" s="114" t="n"/>
      <c r="DP16" s="111" t="n"/>
      <c r="DQ16" s="111" t="n"/>
    </row>
    <row r="17" ht="15" customFormat="1" customHeight="1" s="101">
      <c r="A17" s="98" t="n"/>
      <c r="B17" s="852" t="n"/>
      <c r="C17" s="852" t="n"/>
      <c r="D17" s="850" t="n"/>
      <c r="E17" s="850" t="n"/>
      <c r="F17" s="850" t="n"/>
      <c r="G17" s="0" t="n"/>
      <c r="H17" s="0" t="n"/>
      <c r="I17" s="0" t="n"/>
      <c r="J17" s="0" t="n"/>
      <c r="K17" s="0" t="n"/>
      <c r="L17" s="0" t="n"/>
      <c r="N17" s="81" t="n"/>
      <c r="CO17" s="102" t="n"/>
      <c r="CP17" s="102" t="n"/>
      <c r="CQ17" s="102" t="n"/>
      <c r="CR17" s="102" t="n"/>
      <c r="CS17" s="102" t="n"/>
      <c r="CT17" s="102" t="n"/>
      <c r="CU17" s="102" t="n"/>
      <c r="CV17" s="102" t="n"/>
      <c r="CW17" s="102" t="n"/>
      <c r="CX17" s="102" t="n"/>
      <c r="CY17" s="102" t="n"/>
      <c r="CZ17" s="102" t="n"/>
      <c r="DA17" s="102" t="n"/>
      <c r="DB17" s="102" t="n"/>
      <c r="DC17" s="102" t="n"/>
      <c r="DD17" s="102" t="n"/>
      <c r="DE17" s="102" t="n"/>
      <c r="DF17" s="102" t="n"/>
      <c r="DG17" s="102" t="n"/>
      <c r="DH17" s="102" t="n"/>
      <c r="DI17" s="102" t="n"/>
      <c r="DJ17" s="102" t="n"/>
      <c r="DK17" s="102" t="n"/>
      <c r="DL17" s="102" t="n"/>
      <c r="DM17" s="102" t="n"/>
      <c r="DN17" s="102" t="n"/>
      <c r="DO17" s="107" t="n"/>
      <c r="DP17" s="102" t="n"/>
      <c r="DQ17" s="104" t="n"/>
    </row>
    <row r="18" ht="15" customFormat="1" customHeight="1" s="101">
      <c r="A18" s="108" t="inlineStr">
        <is>
          <t>　</t>
        </is>
      </c>
      <c r="B18" s="170" t="inlineStr">
        <is>
          <t xml:space="preserve"> 测试：用于在正确期间正确评估交易记录的截止测试项目 </t>
        </is>
      </c>
      <c r="C18" s="170" t="n"/>
      <c r="D18" s="170" t="n"/>
      <c r="E18" s="170" t="inlineStr">
        <is>
          <t>　</t>
        </is>
      </c>
      <c r="F18" s="170" t="inlineStr">
        <is>
          <t>　</t>
        </is>
      </c>
      <c r="G18" s="170" t="inlineStr">
        <is>
          <t>　</t>
        </is>
      </c>
      <c r="H18" s="170" t="inlineStr">
        <is>
          <t>　</t>
        </is>
      </c>
      <c r="I18" s="170" t="inlineStr">
        <is>
          <t>　</t>
        </is>
      </c>
      <c r="J18" s="170" t="inlineStr">
        <is>
          <t>　</t>
        </is>
      </c>
      <c r="K18" s="170" t="inlineStr">
        <is>
          <t>　</t>
        </is>
      </c>
      <c r="L18" s="170" t="inlineStr">
        <is>
          <t>　</t>
        </is>
      </c>
      <c r="N18" s="81" t="n"/>
      <c r="O18" s="116" t="inlineStr">
        <is>
          <t>　</t>
        </is>
      </c>
      <c r="P18" s="116" t="inlineStr">
        <is>
          <t>　</t>
        </is>
      </c>
      <c r="Q18" s="116" t="inlineStr">
        <is>
          <t>　</t>
        </is>
      </c>
      <c r="R18" s="116" t="inlineStr">
        <is>
          <t>　</t>
        </is>
      </c>
      <c r="S18" s="116" t="inlineStr">
        <is>
          <t>　</t>
        </is>
      </c>
      <c r="T18" s="116" t="inlineStr">
        <is>
          <t>　</t>
        </is>
      </c>
      <c r="U18" s="116" t="inlineStr">
        <is>
          <t>　</t>
        </is>
      </c>
      <c r="V18" s="116" t="inlineStr">
        <is>
          <t>　</t>
        </is>
      </c>
      <c r="W18" s="116" t="inlineStr">
        <is>
          <t>　</t>
        </is>
      </c>
      <c r="X18" s="116" t="inlineStr">
        <is>
          <t>　</t>
        </is>
      </c>
      <c r="Y18" s="116" t="inlineStr">
        <is>
          <t>　</t>
        </is>
      </c>
      <c r="Z18" s="116" t="inlineStr">
        <is>
          <t>　</t>
        </is>
      </c>
      <c r="AA18" s="116" t="inlineStr">
        <is>
          <t>　</t>
        </is>
      </c>
      <c r="AB18" s="116" t="inlineStr">
        <is>
          <t>　</t>
        </is>
      </c>
      <c r="AC18" s="116" t="inlineStr">
        <is>
          <t>　</t>
        </is>
      </c>
      <c r="AD18" s="116" t="inlineStr">
        <is>
          <t>　</t>
        </is>
      </c>
      <c r="AE18" s="116" t="inlineStr">
        <is>
          <t>　</t>
        </is>
      </c>
      <c r="AF18" s="116" t="inlineStr">
        <is>
          <t>　</t>
        </is>
      </c>
      <c r="AG18" s="116" t="inlineStr">
        <is>
          <t>　</t>
        </is>
      </c>
      <c r="AH18" s="116" t="inlineStr">
        <is>
          <t>　</t>
        </is>
      </c>
      <c r="AI18" s="116" t="inlineStr">
        <is>
          <t>　</t>
        </is>
      </c>
      <c r="AJ18" s="116" t="inlineStr">
        <is>
          <t>　</t>
        </is>
      </c>
      <c r="AK18" s="116" t="inlineStr">
        <is>
          <t>　</t>
        </is>
      </c>
      <c r="AL18" s="116" t="inlineStr">
        <is>
          <t>　</t>
        </is>
      </c>
      <c r="AM18" s="116" t="inlineStr">
        <is>
          <t>　</t>
        </is>
      </c>
      <c r="AN18" s="116" t="inlineStr">
        <is>
          <t>　</t>
        </is>
      </c>
      <c r="AO18" s="116" t="inlineStr">
        <is>
          <t>　</t>
        </is>
      </c>
      <c r="AP18" s="116" t="inlineStr">
        <is>
          <t>　</t>
        </is>
      </c>
      <c r="AQ18" s="116" t="inlineStr">
        <is>
          <t>　</t>
        </is>
      </c>
      <c r="AR18" s="116" t="inlineStr">
        <is>
          <t>　</t>
        </is>
      </c>
      <c r="AS18" s="116" t="inlineStr">
        <is>
          <t>　</t>
        </is>
      </c>
      <c r="AT18" s="116" t="inlineStr">
        <is>
          <t>　</t>
        </is>
      </c>
      <c r="AU18" s="116" t="inlineStr">
        <is>
          <t>　</t>
        </is>
      </c>
      <c r="AV18" s="116" t="inlineStr">
        <is>
          <t>　</t>
        </is>
      </c>
      <c r="AW18" s="116" t="inlineStr">
        <is>
          <t>　</t>
        </is>
      </c>
      <c r="AX18" s="116" t="inlineStr">
        <is>
          <t>　</t>
        </is>
      </c>
      <c r="AY18" s="116" t="inlineStr">
        <is>
          <t>　</t>
        </is>
      </c>
      <c r="AZ18" s="116" t="inlineStr">
        <is>
          <t>　</t>
        </is>
      </c>
      <c r="BA18" s="116" t="inlineStr">
        <is>
          <t>　</t>
        </is>
      </c>
      <c r="BB18" s="116" t="inlineStr">
        <is>
          <t>　</t>
        </is>
      </c>
      <c r="BC18" s="116" t="inlineStr">
        <is>
          <t>　</t>
        </is>
      </c>
      <c r="BD18" s="116" t="inlineStr">
        <is>
          <t>　</t>
        </is>
      </c>
      <c r="BE18" s="116" t="inlineStr">
        <is>
          <t>　</t>
        </is>
      </c>
      <c r="BF18" s="116" t="inlineStr">
        <is>
          <t>　</t>
        </is>
      </c>
      <c r="BG18" s="116" t="inlineStr">
        <is>
          <t>　</t>
        </is>
      </c>
      <c r="BH18" s="116" t="inlineStr">
        <is>
          <t>　</t>
        </is>
      </c>
      <c r="BI18" s="116" t="inlineStr">
        <is>
          <t>　</t>
        </is>
      </c>
      <c r="BJ18" s="116" t="inlineStr">
        <is>
          <t>　</t>
        </is>
      </c>
      <c r="BK18" s="116" t="inlineStr">
        <is>
          <t>　</t>
        </is>
      </c>
      <c r="BL18" s="116" t="inlineStr">
        <is>
          <t>　</t>
        </is>
      </c>
      <c r="BM18" s="116" t="inlineStr">
        <is>
          <t>　</t>
        </is>
      </c>
      <c r="BN18" s="116" t="inlineStr">
        <is>
          <t>　</t>
        </is>
      </c>
      <c r="BO18" s="116" t="inlineStr">
        <is>
          <t>　</t>
        </is>
      </c>
      <c r="BP18" s="116" t="inlineStr">
        <is>
          <t>　</t>
        </is>
      </c>
      <c r="BQ18" s="116" t="inlineStr">
        <is>
          <t>　</t>
        </is>
      </c>
      <c r="BR18" s="116" t="inlineStr">
        <is>
          <t>　</t>
        </is>
      </c>
      <c r="BS18" s="116" t="inlineStr">
        <is>
          <t>　</t>
        </is>
      </c>
      <c r="BT18" s="116" t="inlineStr">
        <is>
          <t>　</t>
        </is>
      </c>
      <c r="BU18" s="116" t="inlineStr">
        <is>
          <t>　</t>
        </is>
      </c>
      <c r="BV18" s="116" t="inlineStr">
        <is>
          <t>　</t>
        </is>
      </c>
      <c r="BW18" s="116" t="inlineStr">
        <is>
          <t>　</t>
        </is>
      </c>
      <c r="BX18" s="116" t="inlineStr">
        <is>
          <t>　</t>
        </is>
      </c>
      <c r="BY18" s="116" t="inlineStr">
        <is>
          <t>　</t>
        </is>
      </c>
      <c r="BZ18" s="116" t="inlineStr">
        <is>
          <t>　</t>
        </is>
      </c>
      <c r="CA18" s="116" t="inlineStr">
        <is>
          <t>　</t>
        </is>
      </c>
      <c r="CB18" s="116" t="inlineStr">
        <is>
          <t>　</t>
        </is>
      </c>
      <c r="CC18" s="116" t="inlineStr">
        <is>
          <t>　</t>
        </is>
      </c>
      <c r="CD18" s="116" t="inlineStr">
        <is>
          <t>　</t>
        </is>
      </c>
      <c r="CE18" s="116" t="inlineStr">
        <is>
          <t>　</t>
        </is>
      </c>
      <c r="CF18" s="116" t="inlineStr">
        <is>
          <t>　</t>
        </is>
      </c>
      <c r="CG18" s="116" t="inlineStr">
        <is>
          <t>　</t>
        </is>
      </c>
      <c r="CH18" s="116" t="inlineStr">
        <is>
          <t>　</t>
        </is>
      </c>
      <c r="CI18" s="116" t="inlineStr">
        <is>
          <t>　</t>
        </is>
      </c>
      <c r="CJ18" s="116" t="inlineStr">
        <is>
          <t>　</t>
        </is>
      </c>
      <c r="CK18" s="116" t="inlineStr">
        <is>
          <t>　</t>
        </is>
      </c>
      <c r="CL18" s="116" t="inlineStr">
        <is>
          <t>　</t>
        </is>
      </c>
      <c r="CM18" s="116" t="inlineStr">
        <is>
          <t>　</t>
        </is>
      </c>
      <c r="CN18" s="117" t="n"/>
      <c r="CO18" s="117" t="n"/>
      <c r="CP18" s="117" t="n"/>
      <c r="CQ18" s="117" t="n"/>
      <c r="CR18" s="117" t="n"/>
      <c r="CS18" s="117" t="n"/>
      <c r="CT18" s="117" t="n"/>
      <c r="CU18" s="117" t="n"/>
      <c r="CV18" s="117" t="n"/>
      <c r="CW18" s="117" t="n"/>
      <c r="CX18" s="117" t="n"/>
      <c r="CY18" s="117" t="n"/>
      <c r="CZ18" s="117" t="n"/>
      <c r="DA18" s="117" t="n"/>
      <c r="DB18" s="117" t="n"/>
      <c r="DC18" s="117" t="n"/>
      <c r="DD18" s="117" t="n"/>
      <c r="DE18" s="117" t="n"/>
      <c r="DF18" s="117" t="n"/>
      <c r="DG18" s="117" t="n"/>
      <c r="DH18" s="117" t="n"/>
      <c r="DI18" s="117" t="n"/>
      <c r="DJ18" s="117" t="n"/>
      <c r="DK18" s="117" t="n"/>
      <c r="DL18" s="117" t="n"/>
      <c r="DM18" s="117" t="n"/>
      <c r="DN18" s="117" t="n"/>
      <c r="DO18" s="117" t="n"/>
      <c r="DP18" s="99" t="n"/>
      <c r="DQ18" s="116" t="inlineStr">
        <is>
          <t>　</t>
        </is>
      </c>
      <c r="DR18" s="116" t="inlineStr">
        <is>
          <t>　</t>
        </is>
      </c>
      <c r="DS18" s="116" t="inlineStr">
        <is>
          <t>　</t>
        </is>
      </c>
      <c r="DT18" s="116" t="inlineStr">
        <is>
          <t>　</t>
        </is>
      </c>
    </row>
    <row r="19" ht="15" customFormat="1" customHeight="1" s="101">
      <c r="A19" s="98" t="n"/>
      <c r="B19" s="75" t="n"/>
      <c r="C19" s="75" t="n"/>
      <c r="D19" s="75" t="n"/>
      <c r="E19" s="75" t="n"/>
      <c r="F19" s="75" t="n"/>
      <c r="G19" s="75" t="n"/>
      <c r="H19" s="75" t="n"/>
      <c r="I19" s="75" t="n"/>
      <c r="J19" s="75" t="n"/>
      <c r="K19" s="75" t="n"/>
      <c r="L19" s="75" t="n"/>
      <c r="N19" s="81" t="n"/>
      <c r="CO19" s="102" t="n"/>
      <c r="CP19" s="102" t="n"/>
      <c r="CQ19" s="102" t="n"/>
      <c r="CR19" s="102" t="n"/>
      <c r="CS19" s="102" t="n"/>
      <c r="CT19" s="102" t="n"/>
      <c r="CU19" s="102" t="n"/>
      <c r="CV19" s="102" t="n"/>
      <c r="CW19" s="102" t="n"/>
      <c r="CX19" s="102" t="n"/>
      <c r="CY19" s="102" t="n"/>
      <c r="CZ19" s="102" t="n"/>
      <c r="DA19" s="102" t="n"/>
      <c r="DB19" s="102" t="n"/>
      <c r="DC19" s="102" t="n"/>
      <c r="DD19" s="102" t="n"/>
      <c r="DE19" s="102" t="n"/>
      <c r="DF19" s="102" t="n"/>
      <c r="DG19" s="102" t="n"/>
      <c r="DH19" s="102" t="n"/>
      <c r="DI19" s="102" t="n"/>
      <c r="DJ19" s="102" t="n"/>
      <c r="DK19" s="102" t="n"/>
      <c r="DL19" s="102" t="n"/>
      <c r="DM19" s="102" t="n"/>
      <c r="DN19" s="102" t="n"/>
      <c r="DO19" s="107" t="n"/>
      <c r="DP19" s="102" t="n"/>
      <c r="DQ19" s="104" t="n"/>
    </row>
    <row r="20" ht="16.5" customFormat="1" customHeight="1" s="101">
      <c r="A20" s="98" t="n"/>
      <c r="B20" s="159" t="inlineStr">
        <is>
          <t>安永属性测试说明：</t>
        </is>
      </c>
      <c r="C20" s="160" t="n"/>
      <c r="D20" s="160" t="n"/>
      <c r="E20" s="160" t="n"/>
      <c r="F20" s="161" t="n"/>
      <c r="G20" s="0" t="n"/>
      <c r="H20" s="0" t="n"/>
      <c r="I20" s="0" t="n"/>
      <c r="J20" s="0" t="n"/>
      <c r="K20" s="0" t="n"/>
      <c r="L20" s="0" t="n"/>
      <c r="N20" s="81" t="n"/>
      <c r="CG20" s="102" t="n"/>
      <c r="CH20" s="102" t="n"/>
      <c r="CI20" s="102" t="n"/>
      <c r="CJ20" s="102" t="n"/>
      <c r="CK20" s="102" t="n"/>
      <c r="CL20" s="102" t="n"/>
      <c r="CM20" s="102" t="n"/>
      <c r="CN20" s="102" t="n"/>
      <c r="CO20" s="102" t="n"/>
      <c r="CP20" s="102" t="n"/>
      <c r="CQ20" s="102" t="n"/>
      <c r="CR20" s="102" t="n"/>
      <c r="CS20" s="102" t="n"/>
      <c r="CT20" s="102" t="n"/>
      <c r="CU20" s="102" t="n"/>
      <c r="CV20" s="102" t="n"/>
      <c r="CW20" s="102" t="n"/>
      <c r="CX20" s="102" t="n"/>
      <c r="CY20" s="102" t="n"/>
      <c r="CZ20" s="102" t="n"/>
      <c r="DA20" s="102" t="n"/>
      <c r="DB20" s="102" t="n"/>
      <c r="DC20" s="102" t="n"/>
      <c r="DD20" s="102" t="n"/>
      <c r="DE20" s="102" t="n"/>
      <c r="DF20" s="102" t="n"/>
      <c r="DG20" s="107" t="n"/>
      <c r="DH20" s="102" t="n"/>
      <c r="DI20" s="104" t="n"/>
    </row>
    <row r="21" ht="33.75" customFormat="1" customHeight="1" s="101">
      <c r="A21" s="98" t="n"/>
      <c r="B21" s="853" t="inlineStr">
        <is>
          <t xml:space="preserve">根据支持性证据（例如，提单、运输单据（GDN)、第三方交货证明等）确定所选交易已记录在适当会计期间，包含所有关联的总账账户（如，资产负债表和利润表账户）中。 </t>
        </is>
      </c>
      <c r="C21" s="854" t="n"/>
      <c r="D21" s="854" t="n"/>
      <c r="E21" s="854" t="n"/>
      <c r="F21" s="855" t="n"/>
      <c r="G21" s="0" t="n"/>
      <c r="H21" s="0" t="n"/>
      <c r="I21" s="0" t="n"/>
      <c r="J21" s="0" t="n"/>
      <c r="K21" s="0" t="n"/>
      <c r="L21" s="0" t="n"/>
      <c r="N21" s="81" t="n"/>
      <c r="CG21" s="102" t="n"/>
      <c r="CH21" s="102" t="n"/>
      <c r="CI21" s="102" t="n"/>
      <c r="CJ21" s="102" t="n"/>
      <c r="CK21" s="102" t="n"/>
      <c r="CL21" s="102" t="n"/>
      <c r="CM21" s="102" t="n"/>
      <c r="CN21" s="102" t="n"/>
      <c r="CO21" s="102" t="n"/>
      <c r="CP21" s="102" t="n"/>
      <c r="CQ21" s="102" t="n"/>
      <c r="CR21" s="102" t="n"/>
      <c r="CS21" s="102" t="n"/>
      <c r="CT21" s="102" t="n"/>
      <c r="CU21" s="102" t="n"/>
      <c r="CV21" s="102" t="n"/>
      <c r="CW21" s="102" t="n"/>
      <c r="CX21" s="102" t="n"/>
      <c r="CY21" s="102" t="n"/>
      <c r="CZ21" s="102" t="n"/>
      <c r="DA21" s="102" t="n"/>
      <c r="DB21" s="102" t="n"/>
      <c r="DC21" s="102" t="n"/>
      <c r="DD21" s="102" t="n"/>
      <c r="DE21" s="102" t="n"/>
      <c r="DF21" s="102" t="n"/>
      <c r="DG21" s="107" t="n"/>
      <c r="DH21" s="102" t="n"/>
      <c r="DI21" s="104" t="n"/>
    </row>
    <row r="22" ht="14.85" customFormat="1" customHeight="1" s="101">
      <c r="A22" s="98" t="n"/>
      <c r="B22" s="68" t="n"/>
      <c r="C22" s="72" t="n"/>
      <c r="D22" s="72" t="n"/>
      <c r="E22" s="118" t="n"/>
      <c r="F22" s="118" t="n"/>
      <c r="G22" s="118" t="n"/>
      <c r="H22" s="118" t="n"/>
      <c r="I22" s="118" t="n"/>
      <c r="J22" s="72" t="n"/>
      <c r="K22" s="72" t="n"/>
      <c r="L22" s="856" t="n"/>
      <c r="N22" s="81" t="n"/>
      <c r="CO22" s="102" t="n"/>
      <c r="CP22" s="102" t="n"/>
      <c r="CQ22" s="102" t="n"/>
      <c r="CR22" s="102" t="n"/>
      <c r="CS22" s="102" t="n"/>
      <c r="CT22" s="102" t="n"/>
      <c r="CU22" s="102" t="n"/>
      <c r="CV22" s="102" t="n"/>
      <c r="CW22" s="102" t="n"/>
      <c r="CX22" s="102" t="n"/>
      <c r="CY22" s="102" t="n"/>
      <c r="CZ22" s="102" t="n"/>
      <c r="DA22" s="102" t="n"/>
      <c r="DB22" s="102" t="n"/>
      <c r="DC22" s="102" t="n"/>
      <c r="DD22" s="102" t="n"/>
      <c r="DE22" s="102" t="n"/>
      <c r="DF22" s="102" t="n"/>
      <c r="DG22" s="102" t="n"/>
      <c r="DH22" s="102" t="n"/>
      <c r="DI22" s="102" t="n"/>
      <c r="DJ22" s="102" t="n"/>
      <c r="DK22" s="102" t="n"/>
      <c r="DL22" s="102" t="n"/>
      <c r="DM22" s="102" t="n"/>
      <c r="DN22" s="102" t="n"/>
      <c r="DO22" s="107" t="n"/>
      <c r="DP22" s="102" t="n"/>
      <c r="DQ22" s="104" t="n"/>
    </row>
    <row r="23" ht="35.25" customFormat="1" customHeight="1" s="101">
      <c r="A23" s="98" t="n"/>
      <c r="B23" s="615" t="inlineStr">
        <is>
          <t>应付账款入账凭证</t>
        </is>
      </c>
      <c r="C23" s="857" t="n"/>
      <c r="D23" s="857" t="n"/>
      <c r="E23" s="857" t="n"/>
      <c r="F23" s="858" t="inlineStr">
        <is>
          <t>支持性证据信息
（确认控制权转移/接受服务的交易凭据，如提单、运输单据（GDN)、第三方交货证明等）</t>
        </is>
      </c>
      <c r="G23" s="857" t="n"/>
      <c r="H23" s="859" t="n"/>
      <c r="I23" s="860" t="inlineStr">
        <is>
          <t>金额涉及：
（用“√”标记）</t>
        </is>
      </c>
      <c r="J23" s="859" t="n"/>
      <c r="K23" s="178" t="inlineStr">
        <is>
          <t>EY Works</t>
        </is>
      </c>
      <c r="L23" s="861" t="inlineStr">
        <is>
          <t>备注</t>
        </is>
      </c>
      <c r="N23" s="81" t="n"/>
      <c r="CN23" s="102" t="n"/>
      <c r="CO23" s="102" t="n"/>
      <c r="CP23" s="102" t="n"/>
      <c r="CQ23" s="102" t="n"/>
      <c r="CR23" s="102" t="n"/>
      <c r="CS23" s="102" t="n"/>
      <c r="CT23" s="102" t="n"/>
      <c r="CU23" s="102" t="n"/>
      <c r="CV23" s="102" t="n"/>
      <c r="CW23" s="102" t="n"/>
      <c r="CX23" s="102" t="n"/>
      <c r="CY23" s="102" t="n"/>
      <c r="CZ23" s="102" t="n"/>
      <c r="DA23" s="102" t="n"/>
      <c r="DB23" s="102" t="n"/>
      <c r="DC23" s="102" t="n"/>
      <c r="DD23" s="102" t="n"/>
      <c r="DE23" s="102" t="n"/>
      <c r="DF23" s="102" t="n"/>
      <c r="DG23" s="102" t="n"/>
      <c r="DH23" s="102" t="n"/>
      <c r="DI23" s="102" t="n"/>
      <c r="DJ23" s="102" t="n"/>
      <c r="DK23" s="102" t="n"/>
      <c r="DL23" s="102" t="n"/>
      <c r="DM23" s="102" t="n"/>
      <c r="DN23" s="107" t="n"/>
      <c r="DO23" s="102" t="n"/>
      <c r="DP23" s="102" t="n"/>
    </row>
    <row r="24" ht="16.5" customFormat="1" customHeight="1" s="106">
      <c r="A24" s="105" t="n"/>
      <c r="B24" s="189" t="inlineStr">
        <is>
          <t>凭证编号</t>
        </is>
      </c>
      <c r="C24" s="162" t="inlineStr">
        <is>
          <t>日期</t>
        </is>
      </c>
      <c r="D24" s="190" t="inlineStr">
        <is>
          <t>金额</t>
        </is>
      </c>
      <c r="E24" s="190" t="inlineStr">
        <is>
          <t>供应商名称</t>
        </is>
      </c>
      <c r="F24" s="190" t="inlineStr">
        <is>
          <t>交易凭据名称</t>
        </is>
      </c>
      <c r="G24" s="191" t="inlineStr">
        <is>
          <t>交易凭据编号</t>
        </is>
      </c>
      <c r="H24" s="191" t="inlineStr">
        <is>
          <t>交易发生日期</t>
        </is>
      </c>
      <c r="I24" s="192" t="inlineStr">
        <is>
          <t>本期</t>
        </is>
      </c>
      <c r="J24" s="192" t="inlineStr">
        <is>
          <t>资产负债表日后期间</t>
        </is>
      </c>
      <c r="K24" s="120" t="n">
        <v>1</v>
      </c>
      <c r="L24" s="862" t="n"/>
      <c r="M24" s="101" t="n"/>
      <c r="N24" s="81" t="n"/>
      <c r="O24" s="101" t="n"/>
      <c r="CP24" s="102" t="n"/>
      <c r="CQ24" s="102" t="n"/>
      <c r="CR24" s="102" t="n"/>
      <c r="CS24" s="102" t="n"/>
      <c r="CT24" s="102" t="n"/>
      <c r="CU24" s="102" t="n"/>
      <c r="CV24" s="102" t="n"/>
      <c r="CW24" s="102" t="n"/>
      <c r="CX24" s="102" t="n"/>
      <c r="CY24" s="102" t="n"/>
      <c r="CZ24" s="102" t="n"/>
      <c r="DA24" s="102" t="n"/>
      <c r="DB24" s="102" t="n"/>
      <c r="DC24" s="102" t="n"/>
      <c r="DD24" s="102" t="n"/>
      <c r="DE24" s="102" t="n"/>
      <c r="DF24" s="102" t="n"/>
      <c r="DG24" s="102" t="n"/>
      <c r="DH24" s="102" t="n"/>
      <c r="DI24" s="102" t="n"/>
      <c r="DJ24" s="102" t="n"/>
      <c r="DK24" s="102" t="n"/>
      <c r="DL24" s="102" t="n"/>
      <c r="DM24" s="102" t="n"/>
      <c r="DN24" s="102" t="n"/>
      <c r="DO24" s="102" t="n"/>
      <c r="DP24" s="107" t="n"/>
      <c r="DQ24" s="102" t="n"/>
      <c r="DR24" s="104" t="n"/>
    </row>
    <row r="25" ht="14.45" customFormat="1" customHeight="1" s="106">
      <c r="A25" s="105" t="n"/>
      <c r="B25" s="121" t="inlineStr">
        <is>
          <t>截止日前的交易测试</t>
        </is>
      </c>
      <c r="C25" s="863" t="n"/>
      <c r="D25" s="854" t="n"/>
      <c r="E25" s="854" t="n"/>
      <c r="F25" s="854" t="n"/>
      <c r="G25" s="854" t="n"/>
      <c r="H25" s="854" t="n"/>
      <c r="I25" s="854" t="n"/>
      <c r="J25" s="854" t="n"/>
      <c r="K25" s="854" t="n"/>
      <c r="L25" s="864" t="n"/>
      <c r="M25" s="101" t="n"/>
      <c r="N25" s="81" t="n"/>
      <c r="O25" s="101" t="n"/>
      <c r="CP25" s="102" t="n"/>
      <c r="CQ25" s="102" t="n"/>
      <c r="CR25" s="102" t="n"/>
      <c r="CS25" s="102" t="n"/>
      <c r="CT25" s="102" t="n"/>
      <c r="CU25" s="102" t="n"/>
      <c r="CV25" s="102" t="n"/>
      <c r="CW25" s="102" t="n"/>
      <c r="CX25" s="102" t="n"/>
      <c r="CY25" s="102" t="n"/>
      <c r="CZ25" s="102" t="n"/>
      <c r="DA25" s="102" t="n"/>
      <c r="DB25" s="102" t="n"/>
      <c r="DC25" s="102" t="n"/>
      <c r="DD25" s="102" t="n"/>
      <c r="DE25" s="102" t="n"/>
      <c r="DF25" s="102" t="n"/>
      <c r="DG25" s="102" t="n"/>
      <c r="DH25" s="102" t="n"/>
      <c r="DI25" s="102" t="n"/>
      <c r="DJ25" s="102" t="n"/>
      <c r="DK25" s="102" t="n"/>
      <c r="DL25" s="102" t="n"/>
      <c r="DM25" s="102" t="n"/>
      <c r="DN25" s="102" t="n"/>
      <c r="DO25" s="102" t="n"/>
      <c r="DP25" s="107" t="n"/>
      <c r="DQ25" s="102" t="n"/>
      <c r="DR25" s="104" t="n"/>
    </row>
    <row r="26" ht="15" customFormat="1" customHeight="1" s="106">
      <c r="A26" s="105" t="n"/>
      <c r="B26" s="177" t="n"/>
      <c r="C26" s="441" t="n"/>
      <c r="D26" s="865" t="n"/>
      <c r="E26" s="122" t="n"/>
      <c r="F26" s="122" t="n"/>
      <c r="G26" s="122" t="n"/>
      <c r="H26" s="440" t="n"/>
      <c r="I26" s="122" t="n"/>
      <c r="J26" s="122" t="n"/>
      <c r="K26" s="123" t="n"/>
      <c r="L26" s="123" t="n"/>
      <c r="M26" s="101" t="n"/>
      <c r="N26" s="81" t="n"/>
      <c r="O26" s="101" t="n"/>
      <c r="CP26" s="102" t="n"/>
      <c r="CQ26" s="102" t="n"/>
      <c r="CR26" s="102" t="n"/>
      <c r="CS26" s="102" t="n"/>
      <c r="CT26" s="102" t="n"/>
      <c r="CU26" s="102" t="n"/>
      <c r="CV26" s="102" t="n"/>
      <c r="CW26" s="102" t="n"/>
      <c r="CX26" s="102" t="n"/>
      <c r="CY26" s="102" t="n"/>
      <c r="CZ26" s="102" t="n"/>
      <c r="DA26" s="102" t="n"/>
      <c r="DB26" s="102" t="n"/>
      <c r="DC26" s="102" t="n"/>
      <c r="DD26" s="102" t="n"/>
      <c r="DE26" s="102" t="n"/>
      <c r="DF26" s="102" t="n"/>
      <c r="DG26" s="102" t="n"/>
      <c r="DH26" s="102" t="n"/>
      <c r="DI26" s="102" t="n"/>
      <c r="DJ26" s="102" t="n"/>
      <c r="DK26" s="102" t="n"/>
      <c r="DL26" s="102" t="n"/>
      <c r="DM26" s="102" t="n"/>
      <c r="DN26" s="102" t="n"/>
      <c r="DO26" s="102" t="n"/>
      <c r="DP26" s="107" t="n"/>
      <c r="DQ26" s="102" t="n"/>
      <c r="DR26" s="104" t="n"/>
    </row>
    <row r="27" ht="15" customFormat="1" customHeight="1" s="106">
      <c r="A27" s="105" t="n"/>
      <c r="B27" s="177" t="n"/>
      <c r="C27" s="441" t="n"/>
      <c r="D27" s="865" t="n"/>
      <c r="E27" s="122" t="n"/>
      <c r="F27" s="122" t="n"/>
      <c r="G27" s="122" t="n"/>
      <c r="H27" s="440" t="n"/>
      <c r="I27" s="122" t="n"/>
      <c r="J27" s="122" t="n"/>
      <c r="K27" s="123" t="n"/>
      <c r="L27" s="123" t="n"/>
      <c r="M27" s="101" t="n"/>
      <c r="N27" s="81" t="n"/>
      <c r="O27" s="101" t="n"/>
      <c r="CP27" s="102" t="n"/>
      <c r="CQ27" s="102" t="n"/>
      <c r="CR27" s="102" t="n"/>
      <c r="CS27" s="102" t="n"/>
      <c r="CT27" s="102" t="n"/>
      <c r="CU27" s="102" t="n"/>
      <c r="CV27" s="102" t="n"/>
      <c r="CW27" s="102" t="n"/>
      <c r="CX27" s="102" t="n"/>
      <c r="CY27" s="102" t="n"/>
      <c r="CZ27" s="102" t="n"/>
      <c r="DA27" s="102" t="n"/>
      <c r="DB27" s="102" t="n"/>
      <c r="DC27" s="102" t="n"/>
      <c r="DD27" s="102" t="n"/>
      <c r="DE27" s="102" t="n"/>
      <c r="DF27" s="102" t="n"/>
      <c r="DG27" s="102" t="n"/>
      <c r="DH27" s="102" t="n"/>
      <c r="DI27" s="102" t="n"/>
      <c r="DJ27" s="102" t="n"/>
      <c r="DK27" s="102" t="n"/>
      <c r="DL27" s="102" t="n"/>
      <c r="DM27" s="102" t="n"/>
      <c r="DN27" s="102" t="n"/>
      <c r="DO27" s="102" t="n"/>
      <c r="DP27" s="107" t="n"/>
      <c r="DQ27" s="102" t="n"/>
      <c r="DR27" s="104" t="n"/>
    </row>
    <row r="28" ht="15" customFormat="1" customHeight="1" s="106">
      <c r="A28" s="105" t="n"/>
      <c r="B28" s="177" t="n"/>
      <c r="C28" s="441" t="n"/>
      <c r="D28" s="865" t="n"/>
      <c r="E28" s="122" t="n"/>
      <c r="F28" s="122" t="n"/>
      <c r="G28" s="122" t="n"/>
      <c r="H28" s="440" t="n"/>
      <c r="I28" s="122" t="n"/>
      <c r="J28" s="122" t="n"/>
      <c r="K28" s="123" t="n"/>
      <c r="L28" s="123" t="n"/>
      <c r="M28" s="101" t="n"/>
      <c r="N28" s="81" t="n"/>
      <c r="O28" s="101" t="n"/>
      <c r="CP28" s="102" t="n"/>
      <c r="CQ28" s="102" t="n"/>
      <c r="CR28" s="102" t="n"/>
      <c r="CS28" s="102" t="n"/>
      <c r="CT28" s="102" t="n"/>
      <c r="CU28" s="102" t="n"/>
      <c r="CV28" s="102" t="n"/>
      <c r="CW28" s="102" t="n"/>
      <c r="CX28" s="102" t="n"/>
      <c r="CY28" s="102" t="n"/>
      <c r="CZ28" s="102" t="n"/>
      <c r="DA28" s="102" t="n"/>
      <c r="DB28" s="102" t="n"/>
      <c r="DC28" s="102" t="n"/>
      <c r="DD28" s="102" t="n"/>
      <c r="DE28" s="102" t="n"/>
      <c r="DF28" s="102" t="n"/>
      <c r="DG28" s="102" t="n"/>
      <c r="DH28" s="102" t="n"/>
      <c r="DI28" s="102" t="n"/>
      <c r="DJ28" s="102" t="n"/>
      <c r="DK28" s="102" t="n"/>
      <c r="DL28" s="102" t="n"/>
      <c r="DM28" s="102" t="n"/>
      <c r="DN28" s="102" t="n"/>
      <c r="DO28" s="102" t="n"/>
      <c r="DP28" s="107" t="n"/>
      <c r="DQ28" s="102" t="n"/>
      <c r="DR28" s="104" t="n"/>
    </row>
    <row r="29" ht="15" customFormat="1" customHeight="1" s="106">
      <c r="A29" s="105" t="n"/>
      <c r="B29" s="177" t="n"/>
      <c r="C29" s="441" t="n"/>
      <c r="D29" s="865" t="n"/>
      <c r="E29" s="122" t="n"/>
      <c r="F29" s="122" t="n"/>
      <c r="G29" s="122" t="n"/>
      <c r="H29" s="440" t="n"/>
      <c r="I29" s="122" t="n"/>
      <c r="J29" s="122" t="n"/>
      <c r="K29" s="123" t="n"/>
      <c r="L29" s="123" t="n"/>
      <c r="M29" s="101" t="n"/>
      <c r="N29" s="81" t="n"/>
      <c r="O29" s="101" t="n"/>
      <c r="CP29" s="102" t="n"/>
      <c r="CQ29" s="102" t="n"/>
      <c r="CR29" s="102" t="n"/>
      <c r="CS29" s="102" t="n"/>
      <c r="CT29" s="102" t="n"/>
      <c r="CU29" s="102" t="n"/>
      <c r="CV29" s="102" t="n"/>
      <c r="CW29" s="102" t="n"/>
      <c r="CX29" s="102" t="n"/>
      <c r="CY29" s="102" t="n"/>
      <c r="CZ29" s="102" t="n"/>
      <c r="DA29" s="102" t="n"/>
      <c r="DB29" s="102" t="n"/>
      <c r="DC29" s="102" t="n"/>
      <c r="DD29" s="102" t="n"/>
      <c r="DE29" s="102" t="n"/>
      <c r="DF29" s="102" t="n"/>
      <c r="DG29" s="102" t="n"/>
      <c r="DH29" s="102" t="n"/>
      <c r="DI29" s="102" t="n"/>
      <c r="DJ29" s="102" t="n"/>
      <c r="DK29" s="102" t="n"/>
      <c r="DL29" s="102" t="n"/>
      <c r="DM29" s="102" t="n"/>
      <c r="DN29" s="102" t="n"/>
      <c r="DO29" s="102" t="n"/>
      <c r="DP29" s="107" t="n"/>
      <c r="DQ29" s="102" t="n"/>
      <c r="DR29" s="104" t="n"/>
    </row>
    <row r="30" ht="15" customFormat="1" customHeight="1" s="106">
      <c r="A30" s="105" t="n"/>
      <c r="B30" s="177" t="n"/>
      <c r="C30" s="441" t="n"/>
      <c r="D30" s="865" t="n"/>
      <c r="E30" s="122" t="n"/>
      <c r="F30" s="122" t="n"/>
      <c r="G30" s="122" t="n"/>
      <c r="H30" s="440" t="n"/>
      <c r="I30" s="122" t="n"/>
      <c r="J30" s="122" t="n"/>
      <c r="K30" s="123" t="n"/>
      <c r="L30" s="123" t="n"/>
      <c r="M30" s="101" t="n"/>
      <c r="N30" s="81" t="n"/>
      <c r="O30" s="101" t="n"/>
      <c r="CP30" s="102" t="n"/>
      <c r="CQ30" s="102" t="n"/>
      <c r="CR30" s="102" t="n"/>
      <c r="CS30" s="102" t="n"/>
      <c r="CT30" s="102" t="n"/>
      <c r="CU30" s="102" t="n"/>
      <c r="CV30" s="102" t="n"/>
      <c r="CW30" s="102" t="n"/>
      <c r="CX30" s="102" t="n"/>
      <c r="CY30" s="102" t="n"/>
      <c r="CZ30" s="102" t="n"/>
      <c r="DA30" s="102" t="n"/>
      <c r="DB30" s="102" t="n"/>
      <c r="DC30" s="102" t="n"/>
      <c r="DD30" s="102" t="n"/>
      <c r="DE30" s="102" t="n"/>
      <c r="DF30" s="102" t="n"/>
      <c r="DG30" s="102" t="n"/>
      <c r="DH30" s="102" t="n"/>
      <c r="DI30" s="102" t="n"/>
      <c r="DJ30" s="102" t="n"/>
      <c r="DK30" s="102" t="n"/>
      <c r="DL30" s="102" t="n"/>
      <c r="DM30" s="102" t="n"/>
      <c r="DN30" s="102" t="n"/>
      <c r="DO30" s="102" t="n"/>
      <c r="DP30" s="107" t="n"/>
      <c r="DQ30" s="102" t="n"/>
      <c r="DR30" s="104" t="n"/>
    </row>
    <row r="31" ht="15" customFormat="1" customHeight="1" s="106">
      <c r="A31" s="105" t="n"/>
      <c r="B31" s="177" t="n"/>
      <c r="C31" s="441" t="n"/>
      <c r="D31" s="865" t="n"/>
      <c r="E31" s="122" t="n"/>
      <c r="F31" s="122" t="n"/>
      <c r="G31" s="122" t="n"/>
      <c r="H31" s="440" t="n"/>
      <c r="I31" s="122" t="n"/>
      <c r="J31" s="122" t="n"/>
      <c r="K31" s="123" t="n"/>
      <c r="L31" s="123" t="n"/>
      <c r="M31" s="101" t="n"/>
      <c r="N31" s="81" t="n"/>
      <c r="O31" s="101" t="n"/>
      <c r="CP31" s="102" t="n"/>
      <c r="CQ31" s="102" t="n"/>
      <c r="CR31" s="102" t="n"/>
      <c r="CS31" s="102" t="n"/>
      <c r="CT31" s="102" t="n"/>
      <c r="CU31" s="102" t="n"/>
      <c r="CV31" s="102" t="n"/>
      <c r="CW31" s="102" t="n"/>
      <c r="CX31" s="102" t="n"/>
      <c r="CY31" s="102" t="n"/>
      <c r="CZ31" s="102" t="n"/>
      <c r="DA31" s="102" t="n"/>
      <c r="DB31" s="102" t="n"/>
      <c r="DC31" s="102" t="n"/>
      <c r="DD31" s="102" t="n"/>
      <c r="DE31" s="102" t="n"/>
      <c r="DF31" s="102" t="n"/>
      <c r="DG31" s="102" t="n"/>
      <c r="DH31" s="102" t="n"/>
      <c r="DI31" s="102" t="n"/>
      <c r="DJ31" s="102" t="n"/>
      <c r="DK31" s="102" t="n"/>
      <c r="DL31" s="102" t="n"/>
      <c r="DM31" s="102" t="n"/>
      <c r="DN31" s="102" t="n"/>
      <c r="DO31" s="102" t="n"/>
      <c r="DP31" s="107" t="n"/>
      <c r="DQ31" s="102" t="n"/>
      <c r="DR31" s="104" t="n"/>
    </row>
    <row r="32" ht="15" customFormat="1" customHeight="1" s="106">
      <c r="A32" s="105" t="n"/>
      <c r="B32" s="177" t="n"/>
      <c r="C32" s="441" t="n"/>
      <c r="D32" s="865" t="n"/>
      <c r="E32" s="122" t="n"/>
      <c r="F32" s="122" t="n"/>
      <c r="G32" s="122" t="n"/>
      <c r="H32" s="440" t="n"/>
      <c r="I32" s="122" t="n"/>
      <c r="J32" s="122" t="n"/>
      <c r="K32" s="123" t="n"/>
      <c r="L32" s="123" t="n"/>
      <c r="M32" s="101" t="n"/>
      <c r="N32" s="81" t="n"/>
      <c r="O32" s="101" t="n"/>
      <c r="CP32" s="102" t="n"/>
      <c r="CQ32" s="102" t="n"/>
      <c r="CR32" s="102" t="n"/>
      <c r="CS32" s="102" t="n"/>
      <c r="CT32" s="102" t="n"/>
      <c r="CU32" s="102" t="n"/>
      <c r="CV32" s="102" t="n"/>
      <c r="CW32" s="102" t="n"/>
      <c r="CX32" s="102" t="n"/>
      <c r="CY32" s="102" t="n"/>
      <c r="CZ32" s="102" t="n"/>
      <c r="DA32" s="102" t="n"/>
      <c r="DB32" s="102" t="n"/>
      <c r="DC32" s="102" t="n"/>
      <c r="DD32" s="102" t="n"/>
      <c r="DE32" s="102" t="n"/>
      <c r="DF32" s="102" t="n"/>
      <c r="DG32" s="102" t="n"/>
      <c r="DH32" s="102" t="n"/>
      <c r="DI32" s="102" t="n"/>
      <c r="DJ32" s="102" t="n"/>
      <c r="DK32" s="102" t="n"/>
      <c r="DL32" s="102" t="n"/>
      <c r="DM32" s="102" t="n"/>
      <c r="DN32" s="102" t="n"/>
      <c r="DO32" s="102" t="n"/>
      <c r="DP32" s="107" t="n"/>
      <c r="DQ32" s="102" t="n"/>
      <c r="DR32" s="104" t="n"/>
    </row>
    <row r="33" ht="15" customFormat="1" customHeight="1" s="106">
      <c r="A33" s="105" t="n"/>
      <c r="B33" s="177" t="n"/>
      <c r="C33" s="441" t="n"/>
      <c r="D33" s="865" t="n"/>
      <c r="E33" s="122" t="n"/>
      <c r="F33" s="122" t="n"/>
      <c r="G33" s="122" t="n"/>
      <c r="H33" s="440" t="n"/>
      <c r="I33" s="122" t="n"/>
      <c r="J33" s="122" t="n"/>
      <c r="K33" s="123" t="n"/>
      <c r="L33" s="123" t="n"/>
      <c r="M33" s="101" t="n"/>
      <c r="N33" s="81" t="n"/>
      <c r="O33" s="101" t="n"/>
      <c r="CP33" s="102" t="n"/>
      <c r="CQ33" s="102" t="n"/>
      <c r="CR33" s="102" t="n"/>
      <c r="CS33" s="102" t="n"/>
      <c r="CT33" s="102" t="n"/>
      <c r="CU33" s="102" t="n"/>
      <c r="CV33" s="102" t="n"/>
      <c r="CW33" s="102" t="n"/>
      <c r="CX33" s="102" t="n"/>
      <c r="CY33" s="102" t="n"/>
      <c r="CZ33" s="102" t="n"/>
      <c r="DA33" s="102" t="n"/>
      <c r="DB33" s="102" t="n"/>
      <c r="DC33" s="102" t="n"/>
      <c r="DD33" s="102" t="n"/>
      <c r="DE33" s="102" t="n"/>
      <c r="DF33" s="102" t="n"/>
      <c r="DG33" s="102" t="n"/>
      <c r="DH33" s="102" t="n"/>
      <c r="DI33" s="102" t="n"/>
      <c r="DJ33" s="102" t="n"/>
      <c r="DK33" s="102" t="n"/>
      <c r="DL33" s="102" t="n"/>
      <c r="DM33" s="102" t="n"/>
      <c r="DN33" s="102" t="n"/>
      <c r="DO33" s="102" t="n"/>
      <c r="DP33" s="107" t="n"/>
      <c r="DQ33" s="102" t="n"/>
      <c r="DR33" s="104" t="n"/>
    </row>
    <row r="34" ht="15" customFormat="1" customHeight="1" s="106">
      <c r="A34" s="105" t="n"/>
      <c r="B34" s="177" t="n"/>
      <c r="C34" s="441" t="n"/>
      <c r="D34" s="865" t="n"/>
      <c r="E34" s="122" t="n"/>
      <c r="F34" s="122" t="n"/>
      <c r="G34" s="122" t="n"/>
      <c r="H34" s="440" t="n"/>
      <c r="I34" s="122" t="n"/>
      <c r="J34" s="122" t="n"/>
      <c r="K34" s="123" t="n"/>
      <c r="L34" s="123" t="n"/>
      <c r="M34" s="101" t="n"/>
      <c r="N34" s="81" t="n"/>
      <c r="O34" s="101" t="n"/>
      <c r="CP34" s="102" t="n"/>
      <c r="CQ34" s="102" t="n"/>
      <c r="CR34" s="102" t="n"/>
      <c r="CS34" s="102" t="n"/>
      <c r="CT34" s="102" t="n"/>
      <c r="CU34" s="102" t="n"/>
      <c r="CV34" s="102" t="n"/>
      <c r="CW34" s="102" t="n"/>
      <c r="CX34" s="102" t="n"/>
      <c r="CY34" s="102" t="n"/>
      <c r="CZ34" s="102" t="n"/>
      <c r="DA34" s="102" t="n"/>
      <c r="DB34" s="102" t="n"/>
      <c r="DC34" s="102" t="n"/>
      <c r="DD34" s="102" t="n"/>
      <c r="DE34" s="102" t="n"/>
      <c r="DF34" s="102" t="n"/>
      <c r="DG34" s="102" t="n"/>
      <c r="DH34" s="102" t="n"/>
      <c r="DI34" s="102" t="n"/>
      <c r="DJ34" s="102" t="n"/>
      <c r="DK34" s="102" t="n"/>
      <c r="DL34" s="102" t="n"/>
      <c r="DM34" s="102" t="n"/>
      <c r="DN34" s="102" t="n"/>
      <c r="DO34" s="102" t="n"/>
      <c r="DP34" s="107" t="n"/>
      <c r="DQ34" s="102" t="n"/>
      <c r="DR34" s="104" t="n"/>
    </row>
    <row r="35" ht="15" customFormat="1" customHeight="1" s="106">
      <c r="A35" s="105" t="n"/>
      <c r="B35" s="177" t="n"/>
      <c r="C35" s="441" t="n"/>
      <c r="D35" s="865" t="n"/>
      <c r="E35" s="122" t="n"/>
      <c r="F35" s="122" t="n"/>
      <c r="G35" s="122" t="n"/>
      <c r="H35" s="440" t="n"/>
      <c r="I35" s="122" t="n"/>
      <c r="J35" s="122" t="n"/>
      <c r="K35" s="123" t="n"/>
      <c r="L35" s="123" t="n"/>
      <c r="M35" s="101" t="n"/>
      <c r="N35" s="81" t="n"/>
      <c r="O35" s="101" t="n"/>
      <c r="CP35" s="102" t="n"/>
      <c r="CQ35" s="102" t="n"/>
      <c r="CR35" s="102" t="n"/>
      <c r="CS35" s="102" t="n"/>
      <c r="CT35" s="102" t="n"/>
      <c r="CU35" s="102" t="n"/>
      <c r="CV35" s="102" t="n"/>
      <c r="CW35" s="102" t="n"/>
      <c r="CX35" s="102" t="n"/>
      <c r="CY35" s="102" t="n"/>
      <c r="CZ35" s="102" t="n"/>
      <c r="DA35" s="102" t="n"/>
      <c r="DB35" s="102" t="n"/>
      <c r="DC35" s="102" t="n"/>
      <c r="DD35" s="102" t="n"/>
      <c r="DE35" s="102" t="n"/>
      <c r="DF35" s="102" t="n"/>
      <c r="DG35" s="102" t="n"/>
      <c r="DH35" s="102" t="n"/>
      <c r="DI35" s="102" t="n"/>
      <c r="DJ35" s="102" t="n"/>
      <c r="DK35" s="102" t="n"/>
      <c r="DL35" s="102" t="n"/>
      <c r="DM35" s="102" t="n"/>
      <c r="DN35" s="102" t="n"/>
      <c r="DO35" s="102" t="n"/>
      <c r="DP35" s="107" t="n"/>
      <c r="DQ35" s="102" t="n"/>
      <c r="DR35" s="104" t="n"/>
    </row>
    <row r="36" ht="14.45" customFormat="1" customHeight="1" s="106">
      <c r="A36" s="105" t="n"/>
      <c r="B36" s="121" t="inlineStr">
        <is>
          <t>截止日后的交易测试</t>
        </is>
      </c>
      <c r="C36" s="863" t="n"/>
      <c r="D36" s="854" t="n"/>
      <c r="E36" s="854" t="n"/>
      <c r="F36" s="854" t="n"/>
      <c r="G36" s="854" t="n"/>
      <c r="H36" s="854" t="n"/>
      <c r="I36" s="854" t="n"/>
      <c r="J36" s="854" t="n"/>
      <c r="K36" s="854" t="n"/>
      <c r="L36" s="864" t="n"/>
      <c r="M36" s="101" t="n"/>
      <c r="N36" s="81" t="n"/>
      <c r="O36" s="101" t="n"/>
      <c r="CP36" s="102" t="n"/>
      <c r="CQ36" s="102" t="n"/>
      <c r="CR36" s="102" t="n"/>
      <c r="CS36" s="102" t="n"/>
      <c r="CT36" s="102" t="n"/>
      <c r="CU36" s="102" t="n"/>
      <c r="CV36" s="102" t="n"/>
      <c r="CW36" s="102" t="n"/>
      <c r="CX36" s="102" t="n"/>
      <c r="CY36" s="102" t="n"/>
      <c r="CZ36" s="102" t="n"/>
      <c r="DA36" s="102" t="n"/>
      <c r="DB36" s="102" t="n"/>
      <c r="DC36" s="102" t="n"/>
      <c r="DD36" s="102" t="n"/>
      <c r="DE36" s="102" t="n"/>
      <c r="DF36" s="102" t="n"/>
      <c r="DG36" s="102" t="n"/>
      <c r="DH36" s="102" t="n"/>
      <c r="DI36" s="102" t="n"/>
      <c r="DJ36" s="102" t="n"/>
      <c r="DK36" s="102" t="n"/>
      <c r="DL36" s="102" t="n"/>
      <c r="DM36" s="102" t="n"/>
      <c r="DN36" s="102" t="n"/>
      <c r="DO36" s="102" t="n"/>
      <c r="DP36" s="107" t="n"/>
      <c r="DQ36" s="102" t="n"/>
      <c r="DR36" s="104" t="n"/>
    </row>
    <row r="37" ht="15" customFormat="1" customHeight="1" s="106">
      <c r="A37" s="105" t="n"/>
      <c r="B37" s="177" t="n"/>
      <c r="C37" s="441" t="n"/>
      <c r="D37" s="865" t="n"/>
      <c r="E37" s="122" t="n"/>
      <c r="F37" s="122" t="n"/>
      <c r="G37" s="122" t="n"/>
      <c r="H37" s="440" t="n"/>
      <c r="I37" s="122" t="n"/>
      <c r="J37" s="122" t="n"/>
      <c r="K37" s="123" t="n"/>
      <c r="L37" s="123" t="n"/>
      <c r="M37" s="101" t="n"/>
      <c r="N37" s="81" t="n"/>
      <c r="O37" s="101" t="n"/>
      <c r="CP37" s="102" t="n"/>
      <c r="CQ37" s="102" t="n"/>
      <c r="CR37" s="102" t="n"/>
      <c r="CS37" s="102" t="n"/>
      <c r="CT37" s="102" t="n"/>
      <c r="CU37" s="102" t="n"/>
      <c r="CV37" s="102" t="n"/>
      <c r="CW37" s="102" t="n"/>
      <c r="CX37" s="102" t="n"/>
      <c r="CY37" s="102" t="n"/>
      <c r="CZ37" s="102" t="n"/>
      <c r="DA37" s="102" t="n"/>
      <c r="DB37" s="102" t="n"/>
      <c r="DC37" s="102" t="n"/>
      <c r="DD37" s="102" t="n"/>
      <c r="DE37" s="102" t="n"/>
      <c r="DF37" s="102" t="n"/>
      <c r="DG37" s="102" t="n"/>
      <c r="DH37" s="102" t="n"/>
      <c r="DI37" s="102" t="n"/>
      <c r="DJ37" s="102" t="n"/>
      <c r="DK37" s="102" t="n"/>
      <c r="DL37" s="102" t="n"/>
      <c r="DM37" s="102" t="n"/>
      <c r="DN37" s="102" t="n"/>
      <c r="DO37" s="102" t="n"/>
      <c r="DP37" s="107" t="n"/>
      <c r="DQ37" s="102" t="n"/>
      <c r="DR37" s="104" t="n"/>
    </row>
    <row r="38" ht="15" customFormat="1" customHeight="1" s="106">
      <c r="A38" s="105" t="n"/>
      <c r="B38" s="177" t="n"/>
      <c r="C38" s="441" t="n"/>
      <c r="D38" s="865" t="n"/>
      <c r="E38" s="122" t="n"/>
      <c r="F38" s="122" t="n"/>
      <c r="G38" s="122" t="n"/>
      <c r="H38" s="440" t="n"/>
      <c r="I38" s="122" t="n"/>
      <c r="J38" s="122" t="n"/>
      <c r="K38" s="123" t="n"/>
      <c r="L38" s="123" t="n"/>
      <c r="M38" s="101" t="n"/>
      <c r="N38" s="81" t="n"/>
      <c r="O38" s="101" t="n"/>
      <c r="CP38" s="102" t="n"/>
      <c r="CQ38" s="102" t="n"/>
      <c r="CR38" s="102" t="n"/>
      <c r="CS38" s="102" t="n"/>
      <c r="CT38" s="102" t="n"/>
      <c r="CU38" s="102" t="n"/>
      <c r="CV38" s="102" t="n"/>
      <c r="CW38" s="102" t="n"/>
      <c r="CX38" s="102" t="n"/>
      <c r="CY38" s="102" t="n"/>
      <c r="CZ38" s="102" t="n"/>
      <c r="DA38" s="102" t="n"/>
      <c r="DB38" s="102" t="n"/>
      <c r="DC38" s="102" t="n"/>
      <c r="DD38" s="102" t="n"/>
      <c r="DE38" s="102" t="n"/>
      <c r="DF38" s="102" t="n"/>
      <c r="DG38" s="102" t="n"/>
      <c r="DH38" s="102" t="n"/>
      <c r="DI38" s="102" t="n"/>
      <c r="DJ38" s="102" t="n"/>
      <c r="DK38" s="102" t="n"/>
      <c r="DL38" s="102" t="n"/>
      <c r="DM38" s="102" t="n"/>
      <c r="DN38" s="102" t="n"/>
      <c r="DO38" s="102" t="n"/>
      <c r="DP38" s="107" t="n"/>
      <c r="DQ38" s="102" t="n"/>
      <c r="DR38" s="104" t="n"/>
    </row>
    <row r="39" ht="15" customFormat="1" customHeight="1" s="106">
      <c r="A39" s="105" t="n"/>
      <c r="B39" s="177" t="n"/>
      <c r="C39" s="441" t="n"/>
      <c r="D39" s="865" t="n"/>
      <c r="E39" s="122" t="n"/>
      <c r="F39" s="122" t="n"/>
      <c r="G39" s="122" t="n"/>
      <c r="H39" s="440" t="n"/>
      <c r="I39" s="122" t="n"/>
      <c r="J39" s="122" t="n"/>
      <c r="K39" s="123" t="n"/>
      <c r="L39" s="123" t="n"/>
      <c r="M39" s="101" t="n"/>
      <c r="N39" s="81" t="n"/>
      <c r="O39" s="101" t="n"/>
      <c r="CP39" s="102" t="n"/>
      <c r="CQ39" s="102" t="n"/>
      <c r="CR39" s="102" t="n"/>
      <c r="CS39" s="102" t="n"/>
      <c r="CT39" s="102" t="n"/>
      <c r="CU39" s="102" t="n"/>
      <c r="CV39" s="102" t="n"/>
      <c r="CW39" s="102" t="n"/>
      <c r="CX39" s="102" t="n"/>
      <c r="CY39" s="102" t="n"/>
      <c r="CZ39" s="102" t="n"/>
      <c r="DA39" s="102" t="n"/>
      <c r="DB39" s="102" t="n"/>
      <c r="DC39" s="102" t="n"/>
      <c r="DD39" s="102" t="n"/>
      <c r="DE39" s="102" t="n"/>
      <c r="DF39" s="102" t="n"/>
      <c r="DG39" s="102" t="n"/>
      <c r="DH39" s="102" t="n"/>
      <c r="DI39" s="102" t="n"/>
      <c r="DJ39" s="102" t="n"/>
      <c r="DK39" s="102" t="n"/>
      <c r="DL39" s="102" t="n"/>
      <c r="DM39" s="102" t="n"/>
      <c r="DN39" s="102" t="n"/>
      <c r="DO39" s="102" t="n"/>
      <c r="DP39" s="107" t="n"/>
      <c r="DQ39" s="102" t="n"/>
      <c r="DR39" s="104" t="n"/>
    </row>
    <row r="40" ht="15" customFormat="1" customHeight="1" s="106">
      <c r="A40" s="105" t="n"/>
      <c r="B40" s="177" t="n"/>
      <c r="C40" s="441" t="n"/>
      <c r="D40" s="865" t="n"/>
      <c r="E40" s="122" t="n"/>
      <c r="F40" s="122" t="n"/>
      <c r="G40" s="122" t="n"/>
      <c r="H40" s="440" t="n"/>
      <c r="I40" s="122" t="n"/>
      <c r="J40" s="122" t="n"/>
      <c r="K40" s="123" t="n"/>
      <c r="L40" s="123" t="n"/>
      <c r="M40" s="101" t="n"/>
      <c r="N40" s="81" t="n"/>
      <c r="O40" s="101" t="n"/>
      <c r="CP40" s="102" t="n"/>
      <c r="CQ40" s="102" t="n"/>
      <c r="CR40" s="102" t="n"/>
      <c r="CS40" s="102" t="n"/>
      <c r="CT40" s="102" t="n"/>
      <c r="CU40" s="102" t="n"/>
      <c r="CV40" s="102" t="n"/>
      <c r="CW40" s="102" t="n"/>
      <c r="CX40" s="102" t="n"/>
      <c r="CY40" s="102" t="n"/>
      <c r="CZ40" s="102" t="n"/>
      <c r="DA40" s="102" t="n"/>
      <c r="DB40" s="102" t="n"/>
      <c r="DC40" s="102" t="n"/>
      <c r="DD40" s="102" t="n"/>
      <c r="DE40" s="102" t="n"/>
      <c r="DF40" s="102" t="n"/>
      <c r="DG40" s="102" t="n"/>
      <c r="DH40" s="102" t="n"/>
      <c r="DI40" s="102" t="n"/>
      <c r="DJ40" s="102" t="n"/>
      <c r="DK40" s="102" t="n"/>
      <c r="DL40" s="102" t="n"/>
      <c r="DM40" s="102" t="n"/>
      <c r="DN40" s="102" t="n"/>
      <c r="DO40" s="102" t="n"/>
      <c r="DP40" s="107" t="n"/>
      <c r="DQ40" s="102" t="n"/>
      <c r="DR40" s="104" t="n"/>
    </row>
    <row r="41" ht="15" customFormat="1" customHeight="1" s="106">
      <c r="A41" s="105" t="n"/>
      <c r="B41" s="177" t="n"/>
      <c r="C41" s="441" t="n"/>
      <c r="D41" s="865" t="n"/>
      <c r="E41" s="122" t="n"/>
      <c r="F41" s="122" t="n"/>
      <c r="G41" s="122" t="n"/>
      <c r="H41" s="440" t="n"/>
      <c r="I41" s="122" t="n"/>
      <c r="J41" s="122" t="n"/>
      <c r="K41" s="123" t="n"/>
      <c r="L41" s="123" t="n"/>
      <c r="M41" s="101" t="n"/>
      <c r="N41" s="81" t="n"/>
      <c r="O41" s="101" t="n"/>
      <c r="CP41" s="102" t="n"/>
      <c r="CQ41" s="102" t="n"/>
      <c r="CR41" s="102" t="n"/>
      <c r="CS41" s="102" t="n"/>
      <c r="CT41" s="102" t="n"/>
      <c r="CU41" s="102" t="n"/>
      <c r="CV41" s="102" t="n"/>
      <c r="CW41" s="102" t="n"/>
      <c r="CX41" s="102" t="n"/>
      <c r="CY41" s="102" t="n"/>
      <c r="CZ41" s="102" t="n"/>
      <c r="DA41" s="102" t="n"/>
      <c r="DB41" s="102" t="n"/>
      <c r="DC41" s="102" t="n"/>
      <c r="DD41" s="102" t="n"/>
      <c r="DE41" s="102" t="n"/>
      <c r="DF41" s="102" t="n"/>
      <c r="DG41" s="102" t="n"/>
      <c r="DH41" s="102" t="n"/>
      <c r="DI41" s="102" t="n"/>
      <c r="DJ41" s="102" t="n"/>
      <c r="DK41" s="102" t="n"/>
      <c r="DL41" s="102" t="n"/>
      <c r="DM41" s="102" t="n"/>
      <c r="DN41" s="102" t="n"/>
      <c r="DO41" s="102" t="n"/>
      <c r="DP41" s="107" t="n"/>
      <c r="DQ41" s="102" t="n"/>
      <c r="DR41" s="104" t="n"/>
    </row>
    <row r="42" ht="15" customFormat="1" customHeight="1" s="106">
      <c r="A42" s="105" t="n"/>
      <c r="B42" s="177" t="n"/>
      <c r="C42" s="441" t="n"/>
      <c r="D42" s="865" t="n"/>
      <c r="E42" s="122" t="n"/>
      <c r="F42" s="122" t="n"/>
      <c r="G42" s="122" t="n"/>
      <c r="H42" s="440" t="n"/>
      <c r="I42" s="122" t="n"/>
      <c r="J42" s="122" t="n"/>
      <c r="K42" s="123" t="n"/>
      <c r="L42" s="123" t="n"/>
      <c r="M42" s="101" t="n"/>
      <c r="N42" s="81" t="n"/>
      <c r="O42" s="101" t="n"/>
      <c r="CP42" s="102" t="n"/>
      <c r="CQ42" s="102" t="n"/>
      <c r="CR42" s="102" t="n"/>
      <c r="CS42" s="102" t="n"/>
      <c r="CT42" s="102" t="n"/>
      <c r="CU42" s="102" t="n"/>
      <c r="CV42" s="102" t="n"/>
      <c r="CW42" s="102" t="n"/>
      <c r="CX42" s="102" t="n"/>
      <c r="CY42" s="102" t="n"/>
      <c r="CZ42" s="102" t="n"/>
      <c r="DA42" s="102" t="n"/>
      <c r="DB42" s="102" t="n"/>
      <c r="DC42" s="102" t="n"/>
      <c r="DD42" s="102" t="n"/>
      <c r="DE42" s="102" t="n"/>
      <c r="DF42" s="102" t="n"/>
      <c r="DG42" s="102" t="n"/>
      <c r="DH42" s="102" t="n"/>
      <c r="DI42" s="102" t="n"/>
      <c r="DJ42" s="102" t="n"/>
      <c r="DK42" s="102" t="n"/>
      <c r="DL42" s="102" t="n"/>
      <c r="DM42" s="102" t="n"/>
      <c r="DN42" s="102" t="n"/>
      <c r="DO42" s="102" t="n"/>
      <c r="DP42" s="107" t="n"/>
      <c r="DQ42" s="102" t="n"/>
      <c r="DR42" s="104" t="n"/>
    </row>
    <row r="43" ht="15" customFormat="1" customHeight="1" s="106">
      <c r="A43" s="105" t="n"/>
      <c r="B43" s="177" t="n"/>
      <c r="C43" s="441" t="n"/>
      <c r="D43" s="865" t="n"/>
      <c r="E43" s="122" t="n"/>
      <c r="F43" s="122" t="n"/>
      <c r="G43" s="122" t="n"/>
      <c r="H43" s="440" t="n"/>
      <c r="I43" s="122" t="n"/>
      <c r="J43" s="122" t="n"/>
      <c r="K43" s="123" t="n"/>
      <c r="L43" s="123" t="n"/>
      <c r="M43" s="101" t="n"/>
      <c r="N43" s="81" t="n"/>
      <c r="O43" s="101" t="n"/>
      <c r="CP43" s="102" t="n"/>
      <c r="CQ43" s="102" t="n"/>
      <c r="CR43" s="102" t="n"/>
      <c r="CS43" s="102" t="n"/>
      <c r="CT43" s="102" t="n"/>
      <c r="CU43" s="102" t="n"/>
      <c r="CV43" s="102" t="n"/>
      <c r="CW43" s="102" t="n"/>
      <c r="CX43" s="102" t="n"/>
      <c r="CY43" s="102" t="n"/>
      <c r="CZ43" s="102" t="n"/>
      <c r="DA43" s="102" t="n"/>
      <c r="DB43" s="102" t="n"/>
      <c r="DC43" s="102" t="n"/>
      <c r="DD43" s="102" t="n"/>
      <c r="DE43" s="102" t="n"/>
      <c r="DF43" s="102" t="n"/>
      <c r="DG43" s="102" t="n"/>
      <c r="DH43" s="102" t="n"/>
      <c r="DI43" s="102" t="n"/>
      <c r="DJ43" s="102" t="n"/>
      <c r="DK43" s="102" t="n"/>
      <c r="DL43" s="102" t="n"/>
      <c r="DM43" s="102" t="n"/>
      <c r="DN43" s="102" t="n"/>
      <c r="DO43" s="102" t="n"/>
      <c r="DP43" s="107" t="n"/>
      <c r="DQ43" s="102" t="n"/>
      <c r="DR43" s="104" t="n"/>
    </row>
    <row r="44" ht="15" customFormat="1" customHeight="1" s="106">
      <c r="A44" s="105" t="n"/>
      <c r="B44" s="177" t="n"/>
      <c r="C44" s="441" t="n"/>
      <c r="D44" s="865" t="n"/>
      <c r="E44" s="122" t="n"/>
      <c r="F44" s="122" t="n"/>
      <c r="G44" s="122" t="n"/>
      <c r="H44" s="440" t="n"/>
      <c r="I44" s="122" t="n"/>
      <c r="J44" s="122" t="n"/>
      <c r="K44" s="123" t="n"/>
      <c r="L44" s="123" t="n"/>
      <c r="M44" s="101" t="n"/>
      <c r="N44" s="81" t="n"/>
      <c r="O44" s="101" t="n"/>
      <c r="CP44" s="102" t="n"/>
      <c r="CQ44" s="102" t="n"/>
      <c r="CR44" s="102" t="n"/>
      <c r="CS44" s="102" t="n"/>
      <c r="CT44" s="102" t="n"/>
      <c r="CU44" s="102" t="n"/>
      <c r="CV44" s="102" t="n"/>
      <c r="CW44" s="102" t="n"/>
      <c r="CX44" s="102" t="n"/>
      <c r="CY44" s="102" t="n"/>
      <c r="CZ44" s="102" t="n"/>
      <c r="DA44" s="102" t="n"/>
      <c r="DB44" s="102" t="n"/>
      <c r="DC44" s="102" t="n"/>
      <c r="DD44" s="102" t="n"/>
      <c r="DE44" s="102" t="n"/>
      <c r="DF44" s="102" t="n"/>
      <c r="DG44" s="102" t="n"/>
      <c r="DH44" s="102" t="n"/>
      <c r="DI44" s="102" t="n"/>
      <c r="DJ44" s="102" t="n"/>
      <c r="DK44" s="102" t="n"/>
      <c r="DL44" s="102" t="n"/>
      <c r="DM44" s="102" t="n"/>
      <c r="DN44" s="102" t="n"/>
      <c r="DO44" s="102" t="n"/>
      <c r="DP44" s="107" t="n"/>
      <c r="DQ44" s="102" t="n"/>
      <c r="DR44" s="104" t="n"/>
    </row>
    <row r="45" ht="15" customFormat="1" customHeight="1" s="106">
      <c r="A45" s="105" t="n"/>
      <c r="B45" s="177" t="n"/>
      <c r="C45" s="441" t="n"/>
      <c r="D45" s="865" t="n"/>
      <c r="E45" s="122" t="n"/>
      <c r="F45" s="122" t="n"/>
      <c r="G45" s="122" t="n"/>
      <c r="H45" s="440" t="n"/>
      <c r="I45" s="122" t="n"/>
      <c r="J45" s="122" t="n"/>
      <c r="K45" s="123" t="n"/>
      <c r="L45" s="123" t="n"/>
      <c r="M45" s="101" t="n"/>
      <c r="N45" s="81" t="n"/>
      <c r="O45" s="101" t="n"/>
      <c r="CP45" s="102" t="n"/>
      <c r="CQ45" s="102" t="n"/>
      <c r="CR45" s="102" t="n"/>
      <c r="CS45" s="102" t="n"/>
      <c r="CT45" s="102" t="n"/>
      <c r="CU45" s="102" t="n"/>
      <c r="CV45" s="102" t="n"/>
      <c r="CW45" s="102" t="n"/>
      <c r="CX45" s="102" t="n"/>
      <c r="CY45" s="102" t="n"/>
      <c r="CZ45" s="102" t="n"/>
      <c r="DA45" s="102" t="n"/>
      <c r="DB45" s="102" t="n"/>
      <c r="DC45" s="102" t="n"/>
      <c r="DD45" s="102" t="n"/>
      <c r="DE45" s="102" t="n"/>
      <c r="DF45" s="102" t="n"/>
      <c r="DG45" s="102" t="n"/>
      <c r="DH45" s="102" t="n"/>
      <c r="DI45" s="102" t="n"/>
      <c r="DJ45" s="102" t="n"/>
      <c r="DK45" s="102" t="n"/>
      <c r="DL45" s="102" t="n"/>
      <c r="DM45" s="102" t="n"/>
      <c r="DN45" s="102" t="n"/>
      <c r="DO45" s="102" t="n"/>
      <c r="DP45" s="107" t="n"/>
      <c r="DQ45" s="102" t="n"/>
      <c r="DR45" s="104" t="n"/>
    </row>
    <row r="46" ht="15" customFormat="1" customHeight="1" s="106">
      <c r="A46" s="105" t="n"/>
      <c r="B46" s="177" t="n"/>
      <c r="C46" s="441" t="n"/>
      <c r="D46" s="865" t="n"/>
      <c r="E46" s="122" t="n"/>
      <c r="F46" s="122" t="n"/>
      <c r="G46" s="122" t="n"/>
      <c r="H46" s="440" t="n"/>
      <c r="I46" s="122" t="n"/>
      <c r="J46" s="122" t="n"/>
      <c r="K46" s="123" t="n"/>
      <c r="L46" s="123" t="n"/>
      <c r="M46" s="101" t="n"/>
      <c r="N46" s="81" t="n"/>
      <c r="O46" s="101" t="n"/>
      <c r="CP46" s="102" t="n"/>
      <c r="CQ46" s="102" t="n"/>
      <c r="CR46" s="102" t="n"/>
      <c r="CS46" s="102" t="n"/>
      <c r="CT46" s="102" t="n"/>
      <c r="CU46" s="102" t="n"/>
      <c r="CV46" s="102" t="n"/>
      <c r="CW46" s="102" t="n"/>
      <c r="CX46" s="102" t="n"/>
      <c r="CY46" s="102" t="n"/>
      <c r="CZ46" s="102" t="n"/>
      <c r="DA46" s="102" t="n"/>
      <c r="DB46" s="102" t="n"/>
      <c r="DC46" s="102" t="n"/>
      <c r="DD46" s="102" t="n"/>
      <c r="DE46" s="102" t="n"/>
      <c r="DF46" s="102" t="n"/>
      <c r="DG46" s="102" t="n"/>
      <c r="DH46" s="102" t="n"/>
      <c r="DI46" s="102" t="n"/>
      <c r="DJ46" s="102" t="n"/>
      <c r="DK46" s="102" t="n"/>
      <c r="DL46" s="102" t="n"/>
      <c r="DM46" s="102" t="n"/>
      <c r="DN46" s="102" t="n"/>
      <c r="DO46" s="102" t="n"/>
      <c r="DP46" s="107" t="n"/>
      <c r="DQ46" s="102" t="n"/>
      <c r="DR46" s="104" t="n"/>
    </row>
    <row r="47" ht="16.5" customFormat="1" customHeight="1" s="106">
      <c r="A47" s="105" t="n"/>
      <c r="B47" s="124" t="n"/>
      <c r="C47" s="125" t="n"/>
      <c r="D47" s="125" t="n"/>
      <c r="E47" s="126" t="n"/>
      <c r="F47" s="126" t="n"/>
      <c r="G47" s="126" t="n"/>
      <c r="H47" s="126" t="n"/>
      <c r="I47" s="76" t="n"/>
      <c r="J47" s="76" t="n"/>
      <c r="K47" s="76" t="n"/>
      <c r="L47" s="866" t="n"/>
      <c r="M47" s="101" t="n"/>
      <c r="N47" s="81" t="n"/>
      <c r="O47" s="101" t="n"/>
      <c r="CQ47" s="102" t="n"/>
      <c r="CR47" s="102" t="n"/>
      <c r="CS47" s="102" t="n"/>
      <c r="CT47" s="102" t="n"/>
      <c r="CU47" s="102" t="n"/>
      <c r="CV47" s="102" t="n"/>
      <c r="CW47" s="102" t="n"/>
      <c r="CX47" s="102" t="n"/>
      <c r="CY47" s="102" t="n"/>
      <c r="CZ47" s="102" t="n"/>
      <c r="DA47" s="102" t="n"/>
      <c r="DB47" s="102" t="n"/>
      <c r="DC47" s="102" t="n"/>
      <c r="DD47" s="102" t="n"/>
      <c r="DE47" s="102" t="n"/>
      <c r="DF47" s="102" t="n"/>
      <c r="DG47" s="102" t="n"/>
      <c r="DH47" s="102" t="n"/>
      <c r="DI47" s="102" t="n"/>
      <c r="DJ47" s="102" t="n"/>
      <c r="DK47" s="102" t="n"/>
      <c r="DL47" s="102" t="n"/>
      <c r="DM47" s="102" t="n"/>
      <c r="DN47" s="102" t="n"/>
      <c r="DO47" s="102" t="n"/>
      <c r="DP47" s="102" t="n"/>
      <c r="DQ47" s="107" t="n"/>
      <c r="DR47" s="102" t="n"/>
      <c r="DS47" s="104" t="n"/>
    </row>
    <row r="48" ht="16.5" customFormat="1" customHeight="1" s="106">
      <c r="A48" s="105" t="n"/>
      <c r="B48" s="106" t="inlineStr">
        <is>
          <t>Notes：记录识别的异常情况的详细信息以及如何解决这些异常情况，包括执行的额外实质性程序</t>
        </is>
      </c>
      <c r="G48" s="126" t="n"/>
      <c r="H48" s="126" t="n"/>
      <c r="I48" s="76" t="n"/>
      <c r="J48" s="76" t="n"/>
      <c r="K48" s="76" t="n"/>
      <c r="L48" s="866" t="n"/>
      <c r="M48" s="101" t="n"/>
      <c r="N48" s="81" t="n"/>
      <c r="O48" s="101" t="n"/>
      <c r="CO48" s="102" t="n"/>
      <c r="CP48" s="102" t="n"/>
      <c r="CQ48" s="102" t="n"/>
      <c r="CR48" s="102" t="n"/>
      <c r="CS48" s="102" t="n"/>
      <c r="CT48" s="102" t="n"/>
      <c r="CU48" s="102" t="n"/>
      <c r="CV48" s="102" t="n"/>
      <c r="CW48" s="102" t="n"/>
      <c r="CX48" s="102" t="n"/>
      <c r="CY48" s="102" t="n"/>
      <c r="CZ48" s="102" t="n"/>
      <c r="DA48" s="102" t="n"/>
      <c r="DB48" s="102" t="n"/>
      <c r="DC48" s="102" t="n"/>
      <c r="DD48" s="102" t="n"/>
      <c r="DE48" s="102" t="n"/>
      <c r="DF48" s="102" t="n"/>
      <c r="DG48" s="102" t="n"/>
      <c r="DH48" s="102" t="n"/>
      <c r="DI48" s="102" t="n"/>
      <c r="DJ48" s="102" t="n"/>
      <c r="DK48" s="102" t="n"/>
      <c r="DL48" s="102" t="n"/>
      <c r="DM48" s="102" t="n"/>
      <c r="DN48" s="102" t="n"/>
      <c r="DO48" s="107" t="n"/>
      <c r="DP48" s="102" t="n"/>
      <c r="DQ48" s="104" t="n"/>
    </row>
    <row r="49" ht="16.5" customFormat="1" customHeight="1" s="106">
      <c r="A49" s="105" t="n"/>
      <c r="B49" s="867" t="n"/>
      <c r="C49" s="688" t="n"/>
      <c r="D49" s="688" t="n"/>
      <c r="E49" s="688" t="n"/>
      <c r="F49" s="689" t="n"/>
      <c r="G49" s="409" t="n"/>
      <c r="H49" s="409" t="n"/>
      <c r="I49" s="409" t="n"/>
      <c r="J49" s="409" t="n"/>
      <c r="K49" s="409" t="n"/>
      <c r="L49" s="409" t="n"/>
      <c r="M49" s="101" t="n"/>
      <c r="N49" s="81" t="n"/>
      <c r="O49" s="101" t="n"/>
      <c r="CO49" s="102" t="n"/>
      <c r="CP49" s="102" t="n"/>
      <c r="CQ49" s="102" t="n"/>
      <c r="CR49" s="102" t="n"/>
      <c r="CS49" s="102" t="n"/>
      <c r="CT49" s="102" t="n"/>
      <c r="CU49" s="102" t="n"/>
      <c r="CV49" s="102" t="n"/>
      <c r="CW49" s="102" t="n"/>
      <c r="CX49" s="102" t="n"/>
      <c r="CY49" s="102" t="n"/>
      <c r="CZ49" s="102" t="n"/>
      <c r="DA49" s="102" t="n"/>
      <c r="DB49" s="102" t="n"/>
      <c r="DC49" s="102" t="n"/>
      <c r="DD49" s="102" t="n"/>
      <c r="DE49" s="102" t="n"/>
      <c r="DF49" s="102" t="n"/>
      <c r="DG49" s="102" t="n"/>
      <c r="DH49" s="102" t="n"/>
      <c r="DI49" s="102" t="n"/>
      <c r="DJ49" s="102" t="n"/>
      <c r="DK49" s="102" t="n"/>
      <c r="DL49" s="102" t="n"/>
      <c r="DM49" s="102" t="n"/>
      <c r="DN49" s="102" t="n"/>
      <c r="DO49" s="107" t="n"/>
      <c r="DP49" s="102" t="n"/>
      <c r="DQ49" s="104" t="n"/>
    </row>
    <row r="50" ht="16.5" customFormat="1" customHeight="1" s="106">
      <c r="A50" s="105" t="n"/>
      <c r="B50" s="641" t="n"/>
      <c r="F50" s="690" t="n"/>
      <c r="G50" s="409" t="n"/>
      <c r="H50" s="409" t="n"/>
      <c r="I50" s="409" t="n"/>
      <c r="J50" s="409" t="n"/>
      <c r="K50" s="409" t="n"/>
      <c r="L50" s="409" t="n"/>
      <c r="M50" s="101" t="n"/>
      <c r="N50" s="81" t="n"/>
      <c r="O50" s="101" t="n"/>
      <c r="CO50" s="102" t="n"/>
      <c r="CP50" s="102" t="n"/>
      <c r="CQ50" s="102" t="n"/>
      <c r="CR50" s="102" t="n"/>
      <c r="CS50" s="102" t="n"/>
      <c r="CT50" s="102" t="n"/>
      <c r="CU50" s="102" t="n"/>
      <c r="CV50" s="102" t="n"/>
      <c r="CW50" s="102" t="n"/>
      <c r="CX50" s="102" t="n"/>
      <c r="CY50" s="102" t="n"/>
      <c r="CZ50" s="102" t="n"/>
      <c r="DA50" s="102" t="n"/>
      <c r="DB50" s="102" t="n"/>
      <c r="DC50" s="102" t="n"/>
      <c r="DD50" s="102" t="n"/>
      <c r="DE50" s="102" t="n"/>
      <c r="DF50" s="102" t="n"/>
      <c r="DG50" s="102" t="n"/>
      <c r="DH50" s="102" t="n"/>
      <c r="DI50" s="102" t="n"/>
      <c r="DJ50" s="102" t="n"/>
      <c r="DK50" s="102" t="n"/>
      <c r="DL50" s="102" t="n"/>
      <c r="DM50" s="102" t="n"/>
      <c r="DN50" s="102" t="n"/>
      <c r="DO50" s="107" t="n"/>
      <c r="DP50" s="102" t="n"/>
      <c r="DQ50" s="104" t="n"/>
    </row>
    <row r="51" ht="16.5" customFormat="1" customHeight="1" s="106">
      <c r="A51" s="105" t="n"/>
      <c r="B51" s="644" t="n"/>
      <c r="C51" s="645" t="n"/>
      <c r="D51" s="645" t="n"/>
      <c r="E51" s="645" t="n"/>
      <c r="F51" s="691" t="n"/>
      <c r="G51" s="409" t="n"/>
      <c r="H51" s="409" t="n"/>
      <c r="I51" s="409" t="n"/>
      <c r="J51" s="409" t="n"/>
      <c r="K51" s="409" t="n"/>
      <c r="L51" s="409" t="n"/>
      <c r="M51" s="101" t="n"/>
      <c r="N51" s="81" t="n"/>
      <c r="O51" s="101" t="n"/>
      <c r="CO51" s="102" t="n"/>
      <c r="CP51" s="102" t="n"/>
      <c r="CQ51" s="102" t="n"/>
      <c r="CR51" s="102" t="n"/>
      <c r="CS51" s="102" t="n"/>
      <c r="CT51" s="102" t="n"/>
      <c r="CU51" s="102" t="n"/>
      <c r="CV51" s="102" t="n"/>
      <c r="CW51" s="102" t="n"/>
      <c r="CX51" s="102" t="n"/>
      <c r="CY51" s="102" t="n"/>
      <c r="CZ51" s="102" t="n"/>
      <c r="DA51" s="102" t="n"/>
      <c r="DB51" s="102" t="n"/>
      <c r="DC51" s="102" t="n"/>
      <c r="DD51" s="102" t="n"/>
      <c r="DE51" s="102" t="n"/>
      <c r="DF51" s="102" t="n"/>
      <c r="DG51" s="102" t="n"/>
      <c r="DH51" s="102" t="n"/>
      <c r="DI51" s="102" t="n"/>
      <c r="DJ51" s="102" t="n"/>
      <c r="DK51" s="102" t="n"/>
      <c r="DL51" s="102" t="n"/>
      <c r="DM51" s="102" t="n"/>
      <c r="DN51" s="102" t="n"/>
      <c r="DO51" s="107" t="n"/>
      <c r="DP51" s="102" t="n"/>
      <c r="DQ51" s="104" t="n"/>
    </row>
    <row r="52" ht="15" customHeight="1" s="634">
      <c r="I52" s="76" t="n"/>
      <c r="J52" s="76" t="n"/>
      <c r="K52" s="76" t="n"/>
      <c r="L52" s="866" t="n"/>
      <c r="M52" s="101" t="n"/>
      <c r="N52" s="81" t="n"/>
      <c r="O52" s="101" t="n"/>
    </row>
    <row r="53" ht="7.5" customHeight="1" s="634">
      <c r="A53" s="81" t="n"/>
      <c r="B53" s="81" t="n"/>
      <c r="C53" s="81" t="n"/>
      <c r="D53" s="81" t="n"/>
      <c r="E53" s="81" t="n"/>
      <c r="F53" s="81" t="n"/>
      <c r="G53" s="81" t="n"/>
      <c r="H53" s="81" t="n"/>
      <c r="I53" s="81" t="n"/>
      <c r="J53" s="81" t="n"/>
      <c r="K53" s="81" t="n"/>
      <c r="L53" s="81" t="n"/>
      <c r="M53" s="81" t="n"/>
      <c r="N53" s="81" t="n"/>
      <c r="O53" s="106" t="n"/>
    </row>
    <row r="81" ht="12.75" customHeight="1" s="634">
      <c r="C81" s="129" t="n"/>
    </row>
    <row r="82" ht="12.75" customHeight="1" s="634">
      <c r="C82" s="130" t="n"/>
    </row>
    <row r="83" ht="12.75" customHeight="1" s="634">
      <c r="C83" s="130" t="n"/>
    </row>
    <row r="84" ht="12.75" customHeight="1" s="634">
      <c r="C84" s="129" t="n"/>
    </row>
    <row r="85" ht="12.75" customHeight="1" s="634">
      <c r="C85" s="130" t="n"/>
    </row>
    <row r="86" ht="12.75" customHeight="1" s="634">
      <c r="C86" s="130" t="n"/>
    </row>
    <row r="87" ht="12.75" customHeight="1" s="634">
      <c r="C87" s="130" t="n"/>
    </row>
    <row r="88" ht="12.75" customHeight="1" s="634">
      <c r="C88" s="129" t="n"/>
    </row>
  </sheetData>
  <mergeCells count="13">
    <mergeCell ref="F23:H23"/>
    <mergeCell ref="B21:F21"/>
    <mergeCell ref="B23:E23"/>
    <mergeCell ref="D13:F13"/>
    <mergeCell ref="D14:F14"/>
    <mergeCell ref="B7:F9"/>
    <mergeCell ref="I23:J23"/>
    <mergeCell ref="L23:L24"/>
    <mergeCell ref="D15:F15"/>
    <mergeCell ref="D16:F16"/>
    <mergeCell ref="C36:L36"/>
    <mergeCell ref="C25:L25"/>
    <mergeCell ref="B49:F51"/>
  </mergeCells>
  <conditionalFormatting sqref="B7">
    <cfRule type="containsBlanks" priority="13" dxfId="4">
      <formula>LEN(TRIM(B7))=0</formula>
    </cfRule>
  </conditionalFormatting>
  <conditionalFormatting sqref="B14:C16">
    <cfRule type="containsBlanks" priority="6" dxfId="4">
      <formula>LEN(TRIM(B14))=0</formula>
    </cfRule>
  </conditionalFormatting>
  <conditionalFormatting sqref="B26:K35 B37:K46 B49">
    <cfRule type="containsBlanks" priority="8" dxfId="4">
      <formula>LEN(TRIM(B26))=0</formula>
    </cfRule>
  </conditionalFormatting>
  <conditionalFormatting sqref="I26:I35 I37:I46">
    <cfRule type="expression" priority="3" dxfId="1">
      <formula>$J26="√"</formula>
    </cfRule>
  </conditionalFormatting>
  <conditionalFormatting sqref="I26:I35">
    <cfRule type="expression" priority="12" dxfId="1">
      <formula>J26="√"</formula>
    </cfRule>
  </conditionalFormatting>
  <conditionalFormatting sqref="J26:J35 J37:J46">
    <cfRule type="expression" priority="1" dxfId="1">
      <formula>$I26="√"</formula>
    </cfRule>
  </conditionalFormatting>
  <dataValidations count="2">
    <dataValidation sqref="I26:J35 I37:J46" showDropDown="0" showInputMessage="1" showErrorMessage="1" allowBlank="1" type="list">
      <formula1>"√"</formula1>
    </dataValidation>
    <dataValidation sqref="K26:K35 K37:K46" showDropDown="0" showInputMessage="1" showErrorMessage="0" allowBlank="1" type="list">
      <formula1>"Y,N"</formula1>
    </dataValidation>
  </dataValidations>
  <hyperlinks>
    <hyperlink ref="B4" location="汇总!A1" display="返回汇总页"/>
  </hyperlinks>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K9"/>
  <sheetViews>
    <sheetView showGridLines="0" zoomScale="70" zoomScaleNormal="70" workbookViewId="0">
      <selection activeCell="C26" sqref="C26"/>
    </sheetView>
  </sheetViews>
  <sheetFormatPr baseColWidth="8" defaultColWidth="8.75" defaultRowHeight="12.75" customHeight="1"/>
  <cols>
    <col width="2.625" customWidth="1" style="9" min="1" max="1"/>
    <col width="20.75" customWidth="1" style="5" min="2" max="3"/>
    <col width="31.375" customWidth="1" style="5" min="4" max="5"/>
    <col width="17.75" customWidth="1" style="5" min="6" max="7"/>
    <col width="14.125" customWidth="1" style="5" min="8" max="8"/>
    <col width="17.625" customWidth="1" style="5" min="9" max="9"/>
    <col width="2.625" customWidth="1" style="5" min="10" max="10"/>
    <col width="1.625" customWidth="1" style="5" min="11" max="11"/>
    <col width="11.25" customWidth="1" style="5" min="12" max="16"/>
    <col width="8.75" customWidth="1" style="5" min="17" max="95"/>
    <col width="13.125" customWidth="1" style="6" min="96" max="96"/>
    <col width="7.25" customWidth="1" style="6" min="97" max="97"/>
    <col width="8.75" customWidth="1" style="6" min="98" max="107"/>
    <col width="14.25" customWidth="1" style="6" min="108" max="108"/>
    <col width="8.75" customWidth="1" style="6" min="109" max="114"/>
    <col width="10.25" customWidth="1" style="6" min="115" max="115"/>
    <col width="8.75" customWidth="1" style="6" min="116" max="119"/>
    <col width="10.125" customWidth="1" style="6" min="120" max="120"/>
    <col width="12.25" customWidth="1" style="6" min="121" max="121"/>
    <col width="8.75" customWidth="1" style="8" min="122" max="122"/>
    <col width="8.75" customWidth="1" style="6" min="123" max="123"/>
    <col width="8.75" customWidth="1" style="7" min="124" max="124"/>
    <col width="8.75" customWidth="1" style="5" min="125" max="16384"/>
  </cols>
  <sheetData>
    <row r="1" ht="50.1" customFormat="1" customHeight="1" s="156">
      <c r="B1" s="203" t="inlineStr">
        <is>
          <t>标准工作底稿: N SWP 应付账款</t>
        </is>
      </c>
      <c r="C1" s="204" t="n"/>
      <c r="D1" s="205" t="n"/>
      <c r="E1" s="205" t="n"/>
      <c r="F1" s="206" t="n"/>
      <c r="G1" s="206" t="n"/>
      <c r="H1" s="206" t="n"/>
      <c r="I1" s="207" t="n"/>
      <c r="K1" s="167" t="n"/>
    </row>
    <row r="2" ht="30" customFormat="1" customHeight="1" s="156">
      <c r="B2" s="208" t="inlineStr">
        <is>
          <t>N.04: 寻找未入账负债</t>
        </is>
      </c>
      <c r="C2" s="209" t="n"/>
      <c r="D2" s="209" t="n"/>
      <c r="E2" s="209" t="n"/>
      <c r="F2" s="209" t="n"/>
      <c r="G2" s="209" t="n"/>
      <c r="H2" s="209" t="n"/>
      <c r="I2" s="210" t="n"/>
      <c r="J2" s="168" t="n"/>
      <c r="K2" s="167" t="n"/>
    </row>
    <row r="3" ht="12.75" customFormat="1" customHeight="1" s="10">
      <c r="B3" s="38" t="n"/>
      <c r="C3" s="38" t="n"/>
      <c r="D3" s="38" t="n"/>
      <c r="E3" s="38" t="n"/>
      <c r="F3" s="38" t="n"/>
      <c r="G3" s="38" t="n"/>
      <c r="H3" s="38" t="n"/>
      <c r="I3" s="38" t="n"/>
      <c r="J3" s="21" t="n"/>
      <c r="K3" s="49" t="n"/>
    </row>
    <row r="4" ht="15.95" customFormat="1" customHeight="1" s="10">
      <c r="B4" s="46" t="inlineStr">
        <is>
          <t>返回汇总页</t>
        </is>
      </c>
      <c r="C4" s="46" t="n"/>
      <c r="D4" s="38" t="n"/>
      <c r="E4" s="38" t="n"/>
      <c r="F4" s="38" t="n"/>
      <c r="G4" s="38" t="n"/>
      <c r="H4" s="38" t="n"/>
      <c r="I4" s="38" t="n"/>
      <c r="J4" s="21" t="n"/>
      <c r="K4" s="49" t="n"/>
    </row>
    <row r="5" ht="12.75" customFormat="1" customHeight="1" s="10">
      <c r="B5" s="51" t="n"/>
      <c r="C5" s="51" t="n"/>
      <c r="D5" s="38" t="n"/>
      <c r="E5" s="38" t="n"/>
      <c r="F5" s="38" t="n"/>
      <c r="G5" s="38" t="n"/>
      <c r="H5" s="38" t="n"/>
      <c r="I5" s="38" t="n"/>
      <c r="J5" s="21" t="n"/>
      <c r="K5" s="49" t="n"/>
    </row>
    <row r="6" ht="18.95" customFormat="1" customHeight="1" s="10">
      <c r="B6" s="52" t="inlineStr">
        <is>
          <t>请项目组使用以下链接获取标准底稿执行Search For程序：</t>
        </is>
      </c>
      <c r="C6" s="51" t="n"/>
      <c r="D6" s="38" t="n"/>
      <c r="E6" s="38" t="n"/>
      <c r="F6" s="38" t="n"/>
      <c r="G6" s="38" t="n"/>
      <c r="H6" s="38" t="n"/>
      <c r="I6" s="38" t="n"/>
      <c r="J6" s="21" t="n"/>
      <c r="K6" s="49" t="n"/>
    </row>
    <row r="7" ht="18.95" customFormat="1" customHeight="1" s="10">
      <c r="B7" s="444" t="inlineStr">
        <is>
          <t>N&amp;P SURL SWP 寻找未入账负债 202YMMDD XYZ公司.xlsx</t>
        </is>
      </c>
      <c r="C7" s="38" t="n"/>
      <c r="D7" s="38" t="n"/>
      <c r="E7" s="38" t="n"/>
      <c r="F7" s="38" t="n"/>
      <c r="G7" s="38" t="n"/>
      <c r="H7" s="38" t="n"/>
      <c r="I7" s="38" t="n"/>
      <c r="J7" s="21" t="n"/>
      <c r="K7" s="49" t="n"/>
    </row>
    <row r="8" ht="15" customHeight="1" s="634">
      <c r="K8" s="49" t="n"/>
    </row>
    <row r="9" ht="7.5" customHeight="1" s="634">
      <c r="A9" s="17" t="n"/>
      <c r="B9" s="17" t="n"/>
      <c r="C9" s="17" t="n"/>
      <c r="D9" s="17" t="n"/>
      <c r="E9" s="17" t="n"/>
      <c r="F9" s="17" t="n"/>
      <c r="G9" s="17" t="n"/>
      <c r="H9" s="17" t="n"/>
      <c r="I9" s="17" t="n"/>
      <c r="J9" s="17" t="n"/>
      <c r="K9" s="17" t="n"/>
    </row>
  </sheetData>
  <conditionalFormatting sqref="I14">
    <cfRule type="containsBlanks" priority="6" dxfId="0">
      <formula>LEN(TRIM(I14))=0</formula>
    </cfRule>
  </conditionalFormatting>
  <hyperlinks>
    <hyperlink ref="B4" location="汇总!A1" display="返回汇总页"/>
    <hyperlink xmlns:r="http://schemas.openxmlformats.org/officeDocument/2006/relationships" ref="B7" display="https://eychinamanaged.sharepoint.cn/:x:/r/sites/GCknowledgecenter/Shared Documents/%E5%AE%A1%E8%AE%A1%E6%A0%87%E5%87%86%E5%BA%95%E7%A8%BF/%E6%A0%87%E5%87%86%E5%AE%A1%E8%AE%A1%E5%BA%95%E7%A8%BF%E6%A8%A1%E6%9D%BF%E7%AC%AC%E5%85%AD%E7%89%88-%E4%BD%BF%E7%94%A8%E7%89%88/N%26P SURL SWP %E5%AF%BB%E6%89%BE%E6%9C%AA%E5%85%A5%E8%B4%A6%E8%B4%9F%E5%80%BA 202YMMDD XYZ%E5%85%AC%E5%8F%B8.xlsx?d=wfa981cbde0e54153a730db72e2d8a746&amp;csf=1&amp;web=1&amp;e=1Owq15" r:id="rId1"/>
  </hyperlinks>
  <pageMargins left="0.7" right="0.7" top="0.75" bottom="0.75" header="0.3" footer="0.3"/>
  <pageSetup orientation="portrait" paperSize="9"/>
</worksheet>
</file>

<file path=xl/worksheets/sheet8.xml><?xml version="1.0" encoding="utf-8"?>
<worksheet xmlns="http://schemas.openxmlformats.org/spreadsheetml/2006/main">
  <sheetPr codeName="Sheet23">
    <outlinePr summaryBelow="1" summaryRight="1"/>
    <pageSetUpPr/>
  </sheetPr>
  <dimension ref="A1:DV102"/>
  <sheetViews>
    <sheetView workbookViewId="0">
      <selection activeCell="A1" sqref="A1"/>
    </sheetView>
  </sheetViews>
  <sheetFormatPr baseColWidth="8" defaultColWidth="9" defaultRowHeight="14.25"/>
  <cols>
    <col width="0.125" customWidth="1" style="634" min="1" max="1"/>
  </cols>
  <sheetData>
    <row r="1">
      <c r="A1" s="0" t="inlineStr">
        <is>
          <t>eca72055-06d3-4dd3-bf25-5248c0ca8d3d</t>
        </is>
      </c>
    </row>
    <row r="6">
      <c r="E6" s="0" t="inlineStr">
        <is>
          <t>ABC7Zhba9RAGIbvC/0PYfGysyQzmRy8q9u0LrTZZZMiUkqZJJO6NJuUHCyLCEXwhNg7wQvBA+pFQYpQYeuK/hkT65V/wdnS3ZYahULarTQQQvLN8eN5881LfvW/LU1OcNydwY3jKlfi7jqtXOUq2s2qsdbdaPtO9UYQrjXJOg2rM9QliRcbtyiNp7i8LpWpw4nqzmAWahMZ8hgDXnIQEB12s1yIAYaiYvM2URzkjIYYiWUGMfE0n1geHYx3iRfRk82zbeodTD4aaF5nr37iecOATjoHSRxuz6Bx3PZXD7Z9tMFonpI/FqlH10JK1pxgwz/Z1Ao2akHixywu8HAYrQXeKAqlYVTz43bcphGLLi2PJqCd4DZ1ctuMpNMhYdccZP7X/I+6GHHXo4dZHk98utXUg5jmLtEMg9WQdGbbnlcLgyhqUXchcOhwmUGvu1NnqAWXINuyFR5IFiFARDwEClFk4MquJSFbkG2Cz1ALM8ZKXTe1lj49v2JoplnX54wVw2y0pue0QkSh5EhCVEpF/EMRriMLyBKASlwBiAphilAkBKBDZEVVRF4l5JwUMdOozbUai81CFSGUijilIqAsWtQhPMBYUFiNkCiwkAUBxKqLqSCz80Q8P0UsLmi6WSpirIqgCKoWdiUAiQSZg4AIqDyWABFkVcWyamNIz+vU0OtlfRirGo5vs3jWepUXuOz51o/+g/3d9997W9lmnz1kr3rpzl4hwBHKs42laxwjccilX+6lvd7P13vp26eMdSGg1VzQsPy2x0gacdmj7ezDm+zTk/2dZ8VY/jzPL0B8iTDX/fXkokDOPj5kJbsQspDPI8tfIrAX7vvluQFOLsr/ixOHyWlrdJ79QmWJHiNikUt3+tnjr9mL7fT+O+a99ndfppufizmSc0u1WOIeo9tm18hvF1O2xVzK/zvkyYnl3w==</t>
        </is>
      </c>
      <c r="Y6" s="0" t="inlineStr">
        <is>
          <t>ABC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w47NihDQAADALB/beurcHT5hZAfsJh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t>
        </is>
      </c>
      <c r="Z6" s="0" t="inlineStr">
        <is>
          <t>ABC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hWHHDm0AAGAQCO6/dS2mnja3APITDi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t>
        </is>
      </c>
      <c r="AA6" s="0" t="inlineStr">
        <is>
          <t>ABC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vDnv3siF3VcRi+l+7H9B/TskTUaKIJQRKXZmhnDLFQU0Dj1r33oIkXgYm3g4l34dC+wClwTNzIOcdnYwwlRz6lffr+vp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t>
        </is>
      </c>
      <c r="AB6" s="0" t="inlineStr">
        <is>
          <t>ABC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F+j8Oq/fPkL8M4vP/3ww6sXf3y57McfffGf3/z199rf8vJX4Ld/yu689e47X/wjvpTgg+vXfjvdeefF89+8uPrwJx88e/b2i+cff/zu9c0vnj997Z/sFVUx9Z1E/er5i9++c/W76xc/+NH1zdWnzz55+S/vNY2++lu+/Ino98XlbTPfvf/46uLJ/ZsnFw8f3/7H+3cfPL64vHz45s39J7e/Y65v7nw99v33nn9y9Wz6c/Hqh1/+hh//7d5576ff+Cn5+g+OX9+/e/etdz7/x58+/+yzf/3175//7c///MtnX/9DfvzzW96++T/0s49/+OL66rdPn//ho2/+0O1vn7dvnfji18W9u1+Kefur4NlXf/XBvS//6nf+C3n3+sPnv79+Ov7Ycn9SvF4L387HR98lzn+dj69drP9//qR4ePnw4eWDp9cXTx48feM2H994dPH48tGTi5v711dvXF5fPbj75O73ko9vfPvV//D/Lmz1J4VbMw4W5eDm3s3tn4/XTy+u33z49OLhk/dvLq4ePL68eP/Bk3v37j26vLl59L2E48kcuDXjYFEO1IE6wAEO1MHLH1UHr/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
        </is>
      </c>
      <c r="AC6" s="0" t="inlineStr">
        <is>
          <t>ABC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wb/ZrUMaAAAAAGH9W2OI8QgYdj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t>
        </is>
      </c>
      <c r="AD6" s="0" t="inlineStr">
        <is>
          <t>ABC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tjtw5pAAAAAIT1b40hxiNgPnC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t>
        </is>
      </c>
      <c r="AE6" s="0" t="inlineStr">
        <is>
          <t>AB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cQu3VIAwAAACCsf2sMMR4B8+E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t>
        </is>
      </c>
      <c r="AF6" s="0" t="inlineStr">
        <is>
          <t>ABC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VB7NYhDQAAAICw/q0xxHgEDLs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t>
        </is>
      </c>
      <c r="AG6" s="0" t="inlineStr">
        <is>
          <t>ABC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xN7d9Wp2pWe9/ypTdczced5fOEucTjaI7UTZQfsARdbziky6XaZsgziIRB8FFFBACBKJSKGR8iKUdDgIIgGhfBnsNt9iP8/su1d7eVW5qtw92/e4528oajn2mFU16qp1rXvN8a//iv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9VR388B9+9Efv2f/7yXe+c3jxz4YzfeuD+/9++U/eoy3Dn72nv1nPfv7XfvXd5x9fhg54//LoA+nZr754/g9fHL7zS+9/+9vvvHj+0Ue/drn+P8/Pj35lPyypKKiXltP/9/zFb/7q4cPLi//rFy/Xwyff/niI7VEPPWz50W9EfERsr7PVab3f//DT4uq4mfeH2e0DZHY4r5fH2Xax2G+e/fiwx19//vHh26/8vfjhfx4+1L+Y67Nf/7+/9Fvy408W7y1ns5//1c/+xX/57M//82f/7Xc+/4t//+Nf4Ud/79ZqX/5Z/s5Hv/DicvjN8/N/+sGX/9Pto+adWz18/MWPqNufgG//6F/OF/Mf/duXhvFrl+88/yeX8xf/W77PD/Mvbnr6+WHxsp55688Pq9d8fvjxf330W/OT/fbcf/C3+S2KzL59uH16GT4AX15UP/wTOPTS8Jnq3Tfa9s5XbbsXXLT+s+3huFmdr/PbR9Bq16/Oi21/vH026VeX0353vlw328v2ya96+C29/SBRcf/g8X/uuu3jf/EbL/sF/PyvP/+FV/z6XvJZYvfSPV/IfPbF//5bf0vCDwlfjsvd9nxc97v5/HibGk7r/rg+nfvN+bq8bLbr0+68S5DwXsJfN+Hz8nJdL7fb/nrZbW8fw8dTvzvOZv329j+n0+W8Om73CRKez0T8dSPenc6z4/587s+z/aVfbU7Hfj+7zT3r1fJ4Xp23+8M2Q03P5yL+uhFf96vrbHNY95vDdtmv9vPbR/Fmfeg3y/l6uTlvtov9NUPEi0oRP/u733qy7SURP7sMP+J775/v/3B9/8dfiHxV4s8+/8s//vSPfu9//833PvvuXzx54FGD72ar+f506ZfLy+1z9O1/++N2efscfdzOttvVYb3ZpMh+OcXs/9HlvQ8++c7xDTP/9Lf//PO/+O6nv/vfvzLww2F/OR1n5/5yWt0+ZS9ni9un7N35/rG/P5521/lqvckQ+GqKgV+u1/sv459c3jsfHr97eWXqn//Nb98+2D/7vT/67A/+8CuDv6xXp8Vyv+wXp/n61vLL29db1/WxX8wW68VptdtdzymCX08x+I8+uf27f3h58d4H93/xJrl/9p/+6gff/73/872//sF//P6n/+Zf/+BP/utXpn+9rq7Hxfza7y6r29fY1/Oq3y1P+/4yP62u19PutM/xOX4zxfRvPX++fHR68f6H91/FW5T9Z//29z//4+9+ZfCn0+m82t3iXs+Pu9v8vrn0h8Vs058u++NludxcF4tDhuC3Uwz++skHp/vPf/j27Q/A8f2P3/voNue92Yf/H/zZp3/13U//+R9+9h/++ivz35wPp/V8s7t9TX5/ubY8XW/57+b9abOfn8+3PxPH1SpD/t6zvTLs1379NjvMr5f9tt+er4d+ddrN+v11vbh9nb48XDez8/G8XGeI+C1ftP34/3nFrepP94/A8OO+Rey/9P63P768+OUXzz/58Mmv5iW/oq/5q/rCz/Lmv7bh5xr+WN4/ndx+up//4PzSPV8+w5dT/sKml57xFef8ic76dsd806MO+9558f7tJ3j/cN/3yy8ut4/aF7/y4lv/+JPDt1/5yK8eXhy+M3/jrn783OLlHxyPNy3vP/jsq3+g5Xt/54O4Qnr2y8snY/rD5r//weHFP/uVDy8vDh8/fxEf2c+evWzzb730h2g0y7/3/m++JokhwX/64XuH02m403xtbM8+/fPf//wv/+Q1sbxRvj/O7qv2TjS6t/4w/OovkR8/8OYff7cvghc/N1/83HLezf727P5/b/4B+S0fkN2XPyAvH33UcqS/+GReetg70UTfef7Bx4f3P/joDeL86q9mHz8wVO0P/ue/+/x//dk3XLXvPv/45Sk+/Ze/8eV/9aU9T2blX/yFL39x+CaDboOc4Go1m++Pq02/312u/WpxPfW7+f3G8Lo9zS/XzXq/e3RZ+DPjBGdPf9SH/7Z/8uSrCZCnnOCjr2q+CVDw19+AG/70+9/7/Pvf+8Gf/s6n/+N3P/uXf/L59/7V59/70/deBo8NP8YTlPDlP8ArnnmgC9/2p32gD5/89rWDIa8fEalPMLP15mV/TN8WM1u/DkP2cuTh5cjyujsdrud9v9zMbpV0WK7643Vz6ueL+Xq2P82Wu10GfsHrr6+d8OI4X61vqz+et/t+tT0u+916c+wX6/18tz4td8vjk9EPZtZSwsvD9rxZnfb9db9f9avl+vYxvFis++16trxsl7vjMUXCMLOvH/F6s1uer9ddv1wsbhHPD9d+tz+s+/V8vjsfV7Prfp3ifhJm9rUj3i8Wl9l2e+33i+utp6+r2z8tD7evEA638PfX02yRAviGmY2Amd3G2+V6dzn2h3uNry6zeX/YLHf9bLmeLy/L3WFxTHFFBTN7beZvhpkdj+fZdrY+9XcSvF/NTpd+P9us+/l8f9ytzuft/Pj0ohtm1j5mdhu4Z4fL4v63PAbQ6PYp/bCaz/v1dbffni6b29ddMLOymNlpe9ofbqPc/S8K377anl2P/X69XfSz83l5Pq1n8/n6yftmmFkBzGx5uO6Pi825P2/W97/Dd1n0u9121e+ui92t+He71SbFhz3MbBzM7Li8nhe3T+79ZXtd9qvTYtfv99dFv9rdwfLdeblap8AMvWd7Zdiv/ct+6+Vmvllv+s38tOlX+/u9znF77Den2Xl52B2P80OKboeZwczS3JvDzOpkCTNrNrr4MAQjPV6Nptk6XvZLurX7UqTvPv/4TfNsky8Dl/2kcNn2MD9eN/NLv1kv1v1qtdn1u8N21R/Ph+NytjqtdttHV4Q/K7hsvXr6o/7ov21WT55sCy57Awvd6ymv9x7/KPCyr42XPbISPpWYveyP6VvDZU8+tCehuLwsVuvdcr/pT3f2YLW6/dNuM1/3p+v2cjof5+fT+Rsx3i5eXS6PeJPXIUdPy+Wb7pY3EN6+WmFJeUtpmO4NKaVh9YQpDasnTGlYPmJKw/IRUxomxhFGZk0pDRNnT2k4scApDbGmlIaTS5/SEGtKaVgof0pDrCnWNDVDgzWtkyXWtNnoKA1jlUq1deYURdx1lIbDQp3GHkrDeDYbdUppmAgzozRM9nKE0rB6wpSG1ROmNCwfMaVh+YgpDRPfRI6MmVEaJs6e0nBigVMawswoDSeXPqUhzIzSsFD+lIYwM5hZ6ntzmFmdLGFmzUZHaVgpzdbxMkrDYR+lIbgs9lAaxrPZ4DJKw/tKg5dRGlIaUhpeKA0pDRO+IaU0rJ4wpWH1hCkNy0dMaVg+YkrDxDjCyKwppWHi7CkNJxY4pSHWlNJwculTGmJNKQ0L5U9piDXFmqZmaLCmdbLEmjYbHaVhrFKpts6cooi7jtJwWKjT2ENpGM9mo04pDRNhZpSGyV6OUBpWT5jSsHrClIblI6Y0LB8xpWHim8iRMTNKw8TZUxpOLHBKQ5gZpeHk0qc0hJlRGhbKn9IQZgYzS31vDjOrkyXMrNnoKA0rpdk6XkZpOOyjNASXxR5Kw3g2G1xGaXh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754P/USidnL/pi+NVz25EP7MVv2iq+SW2+Xy2K13i33m/50Zw9Wq9s/7TbzdX+6bi+n83F+Pp1n30S7LF5dLo94k9chR0/L5ZvulndfD65++Qd+0hyv3vBQEy/5Df5hDTx75/l3Phw+7pXBQ9zKQBkog4cTt1MG/KaPf7Zv/LqE37R6wvym1RPmNy0fMb9p+Yj5TROzSSOD5/ymibPnN51Y4PymwHN+08mlz28KPOc3LZQ/vynwHHieGqgDntfJEnjebHT8prFKpdo6gO6vFHQdv+mwIOixh980ns2GoPObJsLM+E2TvRzhN62eML9p9YT5TctHzG9aPmJ+08Q3kSNjZvymibPnN51Y4PymMDN+08mlz28KM+M3LZQ/vynMDGaW+t4cZlYnS5hZs9Hxm1ZKs3W8jN902MdvCi6LPfym8Ww2uIzf9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jZF++nXiIxe9kf07eGy558aD9my17xVXLr7XJZrNa75X7Tn+7swWp1+6fdZr7uT9ft5XQ+zs+n8+ybaJfFq8vlEW/yOuToabl8093y7uvB1S//wE+a49UbHmriJb/BP6yBZ+88/86Hw8e9MniIWxkoA2XwcGJloAyUgTLolIEyUAbK4OHE7ZQB8/njn+0bBymYz6snzHxePWHm8/IRM5+Xj5j5PDG1fGE+f+avpL1J5sznzQfOfO6vpDGfTy595nN/JY35vFD+P+Ov35jP/ZW0Jz+Xv5L2ZJ+/kvawSv21CX8lrdnomM9jlUq19b+a5i8bdh3z+bD85bTYw3wez2b7y2nM54kwM+bzZC9HmM+rJ8x8Xj1h5vPyETOfl4+Y+TzxTeTImBnzeeLsmc8nFjjzOcyM+Xxy6TOfw8yYzwvl/zP+y37M5zCzJz8XzOzJPpjZwyrFQMDMmo2O+bxSmq3jZcznwz7mc3BZ7GE+j2ezwWXM5/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u+eD/1EonZy/6YvjVc9uRD+zFb9oqvkltvl8titd4t95v+dGcPVqvbP+0283V/um4vp/Nxfj6dZ99EuyxeXS6PeJPXIUdPy+Wb7pZ3Xw+ufvkHftIcr97wUBMv+Q3+YQ08e+f5dz4cPu6VwUPcykAZKIOHEysDZaAMlEGnDJSBMlAGDydWBspAGSiDThkoA2WgDB5OrAyUgTJQBp0yUAbKQBk8nLidMvDd0h7/bN/4X77w3dKqJ+y7pVVP2HdLKx+x75ZWPmLfLS3x33S+jKux8d3SEmfvu6VNLHDfLY3GZhyNje+Wljh93y2NxsZ3SyuU/8/46zffLY3G5snPRWPzZB+NzcMqpVqgsWk2Ot8tLVapVFvX2RAUdZ3vljYsQpvY47ulxbPZhDa+W1oizMx3S0v2csR3S6uesO+WVj1h3y2tfMS+W1r5iH23tMQ3kSNjZr5bWuLsfbe0iQXuu6XBzMbBzHy3tMTp+25pMDPfLa1Q/j/jv+znu6XBzJ78XDCzJ/tgZg+rFAMBM2s2Ot8trVKareNlvlvasM93SwOXxR7fLS2ezQaX+W5p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u+eD/1EonZy/6YvjVc9uRD+zFb9oqvkltvl8titd4t95v+dGcPVqvbP+0283V/um4vp/Nxfj6dZ99EuyxeXS6PeJPXIUdPy+Wb7pZ3Xw+ufvkHftIcr97wUBMv+Q3+YQ08e+f5dz4cPu6VwUPcykAZKIOHEysDZaAMlEGnDJSBMlAGDydWBspAGSiDThkoA2WgDB5OrAyUgTJQBp0yUAbKQBk8nFgZKANloAw6ZaAMlIEyeDixMlAGykAZdMpAGSgDZfBwYmWgDJSBMuiUgTJQBsrg4cTKQBkoA2XQKQNloAyUwcOJ2ymD1fyr22Dx06iD1eo1ffDj/zp5yeP2cNysztf5rTlWu351Xmz74+n+jaMvp/3ufLlutikk/TSeXzvhy3G5256P6343nx/71em07o/r093XfV1eNtv1aXfeJUjYt8v52gmfl5frernd9tfLbnv7GD6e+t1xNuu3dxf/6XJeHbf7BAn7djlfP+LdbZQ77s/n/jzbX/rV5u7ine33/Xq1PJ5X5+3+sM1Q075dzteP+LpfXWebw7rfHLbLfrWf3z6KN+tDv1nO18vNebNd7FN8RyTfLuen/+1yzrvZar4/Xfrl8nL7HH373/64Xd4+Rx+3s+12dVhvNimy9+1yXpv5m327nMNhfzkdZ+f+clrdPmUvZ4vbp+zd+f6xvz+edtf5ap3i2yf4djk/5W+Xc1mvTovlftkvTvP1reWXt6+3rutjv5gt1ovTare7nlME79vlvFHub/ntcq7X1fW4mF/73WX4ZknnVb9bnvb9ZX5aXa+n3Wmf43O8b5fzU/52OafT6bza3eJez4+72/y+ufSHxWzTny7742W53FwXixTfLsW3yxnn2+VszofTer7Z3b4mv79cW56ut/x38/602c/P59ufieNqlSF/79leGfZrv36bHebXy37bb8/XQ7867Wb9/rpe3L5OXx6um9n5eF6m+JaXvl2Ob5eT5tsA+HY5dbL07XKaje6tPwzzfY+Vb/mA7L78Adn4t83xjZC6LyX6zvMPPj68/8FHbxBnm981593nH/vGOT8pF7Zazeb742rT73eXa79aXE/9bn6/MbxuT/PLdbPe7x5dFv6suLDV7OmP+vDf9k+ebOsb57yeDHvb71/j2+Z8bcxs/YgIfYKZrTcv+2P61tTp7snHNszsC9sefbvw6+50uJ73/XIzu1XSYbnqj9fNqZ8v5uvZ/jRb7nYZ+AWvv752wovjfLW+rf543u771fa47HfrzbFfrPfz3fq03C2PT0Y/mFlLCS8P2/Nmddr31/1+1a+W69vH8GKx7rfr2fKyXe6OxxQJw8y+fsTrzW55vl53/XKxuEV8/2sFu/1h3a/n8935uJpd9+sU95Mws68d8X6xuMy222u/X1xvPX1d3f5pebh9hXC4hb+/nmaLFMA3zGwEzOw23i7Xu8uxP9xrfHWZzfvDZrnrZ8v1fHlZ7g6LY4orKpjZazN/M8zseDzPtrP1qb+T4P1qdrr0+9lm3c/n++NudT5v58enF90ws/Yxs9vAPTtcFve/5TGARrdP6YfVfN6vr7v99nTZ3L7ugpmVxcxO29P+cBvl+sv+9un9NrYd+/16u+hn5/PyfFrP5vP1k/fNMLMCmNnycN0fF5tzf96s73+H77Lod7vtqt9dF7tb8e92q02KD3uY2TiY2XF5PS9un9z7y/a67Fenxa7f76+LfrW7g+W783K1ToEZes/2yrBf+5f91svNfLPe9Jv5adOv9vd7neP22G9Os/PysDse54cU3Q4zg5mluTeHmdXJEmbWbHTxYQhGerwaTbN1vOyXdGv3pUjfff7xm+bZJl8GLvtJ4bLtYX68buaXfrNerPvVarPrd4ftqj+eD8flbHVa7baPrgh/VnDZevX0R/3Rf9s8tcy1BZctfhpw2XuPfxR4GYtZlZ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xmKW7KUIi1n1hFnMqifMYlY+Yhaz8hGzmCW+gRwZL2MxS5w9i9nEAmcxg5exmE0ufRYzeBmLWaH8WczgZfCy1Nfm8LI6WcLLmo2OxSxWqVRbx8yAg13HYjYsoFnsYTGLZ7OBZixmiTAzFrNkL0dYzKonzGJWPWEWs/IRs5iVj5jFLPFN5MiYGYtZ4uxZzCYWOIsZzIzFbHLps5jBzFjMCuXPYgYzg5mlvjeHmdXJEmbWbHQsZpXSbB0vYzEb9rGYgctiD4tZPJsNLmMxu680eBmLWbKXIixm1RNmMaueMItZ+YhZzMpHzGKW+AZyZLyMxSxx9ixmEwucxQxexmI2ufRZzOBlLGaF8mcxg5fBy1Jfm8PL6mQJL2s2OhazWKVSbR0zAw52HYvZsIBmsYfFLJ7NBpqxmCXCzFjMkr0cYTGrnjCLWfWEWczKR8xiVj5iFrPEN5EjY2YsZomzZzGbWOAsZjAzFrPJpc9iBjNjMSuUP4sZzAxmlvreHGZWJ0uYWbPRsZhVSrN1vIzFbNjHYgYuiz0sZvFsNriMxey+0uBlLGbJXoqwmFVPmMWsesIsZuUjZjErHzGLWeIbyJHxMhazxNmzmE0scBYzeBmL2eTSZzGDl7GYFcqfxQxeBi9LfW0OL6uTJbys2ehYzGKVSrV1zAw42HUsZsMCmsUeFrN4NhtoxmKWCDNjMUv2coTFrHrCLGbVE2YxKx8xi1n5iFnMEt9EjoyZsZglzp7FbGKBs5jBzFjMJpc+ixnMjMWsUP4sZjAzmFnqe3OYWZ0sYWbNRsdiVinN1vEyFrNhH4sZuCz2sJjFs9ngMhaz+0qDl7GYJXspwmJWPWEWs+oJs5iVj5jF</t>
        </is>
      </c>
      <c r="AH6" s="0" t="inlineStr">
        <is>
          <t>ABCrHzELGaJbyBHxstYzBJnz2I2scBZzOBlLGaTS5/FDF7GYlYofxYzeBm8LPW1ObysTpbwsmajYzGLVSrV1jEz4GDXsZgNC2gWe1jM4tlsoBmLWSLMjMUs2csRFrPqCbOYVU+Yxax8xCxm5SNmMUt8EzkyZsZiljh7FrOJBc5iBjNjMZtc+ixmMDMWs0L5s5jBzGBmqe/NYWZ1soSZNRsdi1mlNFvHy1jMhn0sZuCy2MNiFs9mg8tYzO4rDV7GYpbspQiLWfWEWcyqJ8xiVj5iFrPyEbOYJb6BHBkvYzFLnD2L2cQCZzGDl7GYTS59FjN4GYtZofxZzOBl8LLU1+bwsjpZwsuajY7FLFapVFvHzICDXcdiNiygWexhMYtns4FmLGaJMDMWs2QvR1jMqifMYlY9YRaz8hGzmJWPmMUs8U3kyJgZi1ni7FnMJhY4ixnMjMVscumzmMHMWMwK5c9iBjODmaW+N4eZ1ckSZtZsdCxmldJsHS9jMRv2sZiBy2IPi1k8mw0uYzG7rzR4GYtZsp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xmKW7KUIi1n1hFnMqifMYlY+Yhaz8hGzmCW+gRwZL2MxS5w9i9nEAmcxg5exmE0ufRYzeBmLWaH8WczgZfCy1Nfm8LI6WcLLmo2OxSxWqVRbx8yAg13HYjYsoFnsYTGLZ7OBZixmiTAzFrNkL0dYzKonzGJWPWEWs/IRs5iVj5jFLPFN5MiYGYtZ4uxZzCYWOIsZzIzFbHLps5jBzFjMCuXPYgYzg5mlvjeHmdXJEmbWbHQsZpXSbB0vYzEb9rGYgctiD4tZPJsNLmMxu680eBmLWbKXIixm1RNmMaueMItZ+YhZzMpHzGKW+AZyZLyMxSxx9ixmEwucxQxexmI2ufRZzOBlLGaF8mcxg5fBy1Jfm8PL6mQJL2s2OhazWKVSbR0zAw52HYvZsIBmsYfFLJ7NBpqxmCXCzFjMkr0cYTGrnjCLWfWEWczKR8xiVj5iFrPEN5EjY2YsZomzZzGbWOAsZjAzFrPJpc9iBjNjMSuUP4sZzAxmlvreHGZWJ0uYWbPRsZhVSrN1vIzFbNjHYgYuiz0sZvFsNriMxey+0uBlLGbJXoqwmFVPmMWsesIsZuUjZjErHzGLWeIbyJHxMhazxNmzmE0scBYzeBmL2eTSZzGDl7GYFcqfxQxeBi9LfW0OL6uTJbys2ehYzGKVSrV1zAw42HUsZsMCmsUeFrN4NhtoxmKWCDNjMUv2coTFrHrCLGbVE2YxKx8xi1n5iFnMEt9EjoyZsZglzp7FbGKBs5jBzFjMJpc+ixnMjMWsUP4sZjAzmFnqe3OYWZ0sYWbNRsdiVinN1vEyFrNhH4sZuCz2sJjFs9ngMhaz+0qDl7GYJXspwmJWPWEWs+oJs5iVj5jFrHzELGaJbyBHxstYzBJnz2I2scBZzOBlLGaTS5/FDF7GYlYofxYzeBm8LPW1ObysTpbwsmajYzGLVSrV1jEz4GDXsZgNC2gWe1jM4tlsoBmLWSLMjMUs2csRFrPqCbOYVU+Yxax8xCxm5SNmMUt8EzkyZsZiljh7FrOJBc5iBjNjMZtc+ixmMDMWs0L5s5jBzGBmqe/NYWZ1soSZNRsdi1mlNFvHy1jMhn0sZuCy2MNiFs9mg8tYzO4rDV7GYpbspQiLWfWEWcyqJ8xiVj5iFrPyEbOYJb6BHBkvYzFLnD2L2cQCZzGDl7GYTS59FjN4GYtZofxZzOBl8LLU1+bwsjpZwsuajY7FLFapVFvHzICDXcdiNiygWexhMYtns4FmLGaJMDMWs2QvR1jMqifMYlY9YRaz8hGzmJWPmMUs8U3kyJgZi1ni7FnMJhY4ixnMjMVscumzmMHMWMwK5c9iBjODmaW+N4eZ1ckSZtZsdCxmldJsHS9jMRv2sZiBy2IPi1k8mw0uYzG7rzR4GYtZsp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9sX7qZdIzF72x/St4bInH9qP2bJXfJXcertcFqv1brnf9Kc7e7Ba3f5pt5mv+9N1ezmdj/Pz6Tz7Jtpl8epyecSbvA45elou33S3vPt6cPXLP/CT5nj1hoeaeMlv8A9r4Nk7z7/z4fBxrwwe4lYGykAZPJxYGSgDZaAMOmWgDJSBMng4sTJQBspAGXTKQBkoA2XwcGJloAyUgTLolIEyUAbK4OHEykAZKANl0CkDZaAMlMHDiZWBMlAGyqBTBspAGSiDhxMrA2WgDJRBpwyUgTJQBg8nVgbKQBkog04ZKANloAweTqwMlIEyUAadMlAGykAZPJxYGSgDZaAMOmWgDJSBMng4sTJQBspAGXTKQBkoA2XwcGJloAyUgTLolIEyUAbK4OHEykAZKANl0CkDZaAMlMHDiZWBMlAGyqBTBspAGSiDhxMrA2WgDJRBpwyUgTJQBg8nVgbKQBkog04ZKANloAweTtxOGazmX90Gi59GHaxWr+mDH//XR781P9lvz/0Hf5vfouFn+7XLtw+3Ohn+oL38D9AX/iAOzfTuG21756u23f9Ex0f5s+3huFmdr/Nbc6x2/eq82PbH03zery6n/e58uW62l+2TX/XwW3r7QeJP9D94/J+7bvv4X/zGy34BP//rz3/hFb++l9TC7qV7vpD57Iv//bf+loQfEr4cl7vt+bjud/P5sV+dTuv+uD6d+835urxstuvT7rxLkPBewl834fPycl0vt9v+etltbx/Dx1O/O85m/fb2P6fT5bw6bvcJEn70uV/EbxXx7jbKHffnc3+e7S/9anM69vvZft+vV8vjeXXe7g/bDDU9n4v460Z83a+us81h3W8O22W/2s9vH8Wb9aHfLOfr5ea82S721wwRLypF/OzvfuvJtpdE/Owy/IjvvX++/8P1/cuLr3jqIfFnn//lH3/6R7/3v//me5999y+ePPCowXez1Xx/uvTL5eX2Ofr2v/1xu7x9jj5uZ9vt6rDebFJkv5xi9v/o8t4Hn3zn+IaZf/rbf/75X3z309/9718Z+OGwv5yOs3N/Oa1un7KXs8XtU/bufP/Y3x9Pu+t8td5kCHw1xcAv1+v9l/FPLu+dD4+/1H5l6p//zW/fPtg/+70/+uwP/vArg7+sV6fFcr/sF6f5+tbyy9vXW9f1sV/MFuvFabXbXc8pgl9PMfiPPrn9u394efHeB/d/8Sa5f/af/uoH3/+9//O9v/7Bf/z+p//mX//gT/7rV6Z/va6ux8X82u8uq9vX2Nfzqt8tT/v+Mj+trtfT7rTP8Tl+M8X0bz1/vnx0evH+h/dfxVuU/Wf/9vc//+PvfmXwp9PpvNrd4l7Pj7vb/L659IfFbNOfLvvjZbncXBeLQ4bgt1MM/vrJB6f7z3/49u0PwPH9j9/76DbnvdmH/x/82ad/9d1P//kffvYf/vor89+cD6f1fLO7fU1+f7m2PF1v+e/m/Wmzn5/Ptz8Tx9UqQ/7es70y7Nd+/TY7zK+X/bbfnq+HfnXazfr9db24fZ2+PFw3s/PxvFxniPgtX7T9+P95xS3aT/ePwPDjvkXsv/T+tz++vPjlF88/+fDJr+Ylv6Kv+av6ws/y5r+24eca/ljeP53cfrqf/+D80j1fPsOXU/7Cppee8RXn/InO+nbHfNOjDvveefH+7Sd4/3Df98svLreP2he/8uJb//iTw7df+civHl4cvjN/465+/Nzi5R8cjzct7z/47Kt/oOV7f+eDuEJ69svLJ2P6w+a//8HhxT/7lQ8vLw4fP38RH9nPnr1s82+99IdoNMu/9/5vviaJIcF/+uF7h9Pp+ScffPz62J59+ue///lf/slrYnmjfH+c3VftnWh0b/1h+NVfIj9+4M0//m5fBC9+br74ueW8m/3t2f3/3vwD8ls+ILsvf0BePvqo5Uh/8cm89LB3oom+8/yDjw/vf/DRG8T51V/NPn5gqNof/M9/9/n/+rNvuGrfff7xy1N8+i9/48v/6kt7nszKv/gLX/7i8E0G3Qa5sNVqNt8fV5t+v7tc+9Xieup38/uN4XV7ml+um/V+9+iy8GfFha1mT3/Uh/+2f/LkqwmQp2DY/Jsmw3799WTYs0+//73Pv/+9H/zp73z6P373s3/5J59/7199/r0/fe+zf/FfPvvz//zZf/udz//i3z/6MZ6QYy//AV7xzANM9rY/7QNs9uS3rx3MbP2ICH2Cma03L/tj+tbU6e7JxzbM7AvbvvhyZHndnQ7X875fbma3SjosV/3xujn188V8PdufZsvdLgO/4PXX1054cZyv1rfVH8/bfb/aHpf9br059ov1fr5bn5a75fHJ6Aczaynh5WF73qxO+/6636/61XJ9+xheLNb9dj1bXrbL3fGYImGY2dePeL3ZLc/X665fLha3iO9/rWC3P6z79Xy+Ox9Xs+t+neJ+Emb2tSPeLxaX2XZ77feL662nr6vbPy0Pt68QDrfw99fTbJEC+IaZjYCZ3cbb5Xp3OfaHe42vLrN5f9gsd/1suZ4vL8vdYXFMcUUFM3tt5m+GmR2P59l2tj71dxK8X81Ol34/26z7+Xx/3K3O5+38+PSiG2bWPmZ2G7hnh8vi/rc8BtDo9in9sJrP+/V1t9+eLpvb110ws7KY2Wl72h9uo1x/2d8+vd/GtmO/X28X/ex8Xp5P69l8vn7yvhlmVgAzWx6u++Nic+7Pm/X97/BdFv1ut131u+tidyv+3W61SfFhDzMbBzM7Lq/nxe2Te3/ZXpf96rTY9fv9ddGvdnewfHdertYpMEPv2V4Z9mv/st96uZlv1pt+Mz9t+tX+fq9z3B77zWl2Xh52x+P8kKLbYWYwszT35jCzOlnCzJqNLj4MwUiPV6Npto6X/ZJu7b4U6bvPP37TPNvky8BlPylctj3Mj9fN/NJv1ot1v1ptdv3usF31x/PhuJytTqvd9tEV4c8KLluvnv6oP/pvm6eWubbgssVPAy577/GPAi9jMavy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f+/8/O/fV6mp35WX8rj3zMVqpq7121i7Nk8kcgNEEoHKHIqtpVhQwTe/B4QBxEYo5CFFBACCYSkcIg5Y9QMuEgiASE8mawx7wL6vdwU3G723Z7kifzXd/1WYpGjn2v7t6+up7uXvflS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97Gf3U98QMfumP01/bbnsa7+0v+qW/YJ/Sl796/Lx1cPj0/3b13fPN/fg4eHzv3p6/fLx7vnTm4/PH96//PD84cWfxNfl1S/+uHzFN/lVytHXPy5/0t+W3/zV4urP/4a/9uX4xQNfPhPf8F/w//cZ+M5v/OCv/Pb5697H4AtuHwMfAx+DLz+xj4GPgY+Bj8HhY+Bj4GPgY/DlJ/Yx8DHwMfAxOHwMfAx8DHwMvvzEPgY+Bj4GPgaHj4GPgY+Bj8GXn9jHwMfAx8DH4PAx8DHwMfAx+PIT+xj4GPgY+BgcPgY+Bj4GPgZffmIfAx8DHwMfg8PHwMfAx8DH4MtP7GPgY+Bj4GNw+Bj4GPgY+Bh8+Yl9DHwMfAx8DA4fAx8DHwMfgy8/sY+Bj4GPgY/B4WPgY+Bj4GPw5Sf2MfAx8DHwMTh8DHwMfAx8DL78xD4GPgY+Bj4Gh4+Bj4GPgY/Bl5/Yx8DHwMfAx+DwMfAx8DHwMfjyE/sY+Bj4GPgYHD4GPgY+Bj4GX35iHwMfAx8DH4PDx8DHwMfAx+DLT+xj4GPgY+BjcPgY+Bj4GPgYfPmJfQx8DHwMfAwOHwMfAx8DH4MvP7GPgY+Bj4GPweFj4GPgY+Bj8OUn9jHwMfAx8DE4fAx8DHwMfAy+/MQ+Bj4GPgY+BoePgY+Bj4GPwZef2MfAx8DHwMfg8DHwMfAx8DH48hP7GPgY+Bj4GBw+Bj4GPgY+Bl9+Yh8DHwMfAx+Dw8fAx8DHwMfgy0/sY+Bj4GPgY3D4GPgY+Bj4GHz5iX0MfAx8DHwMDh8DHwMfAx+DLz+xj4GPgY+Bj8HhY+Bj4GPgY/DlJ/Yx8DHwMfAxOHwMfAx8DHwMvvzEPgY+Bj4GPgaHj4GPgY+Bj8GXn9jHwMfAx8DH4PAx8DHwMfAx+PIT+xj4GPgY+BgcPgY+Bj4GPgZffmIfAx8DHwMfg8PHwMfAx8DH4MtP7GPgY+Bj4GNw+Bj4GPgY+Bh8+YnX+Rg8vPzlX4NX/yo+Bw8Pv+J78C/+06/8V/Mv91/P7Tf+6/xXdP7e/r2Pv/Xu8+fk/BPtm/8E+pk/Ec8v029+q7Hf+GVjtz+j51f5d968e//64cOnl5+/HA9Pdw8fXr25e//88uXdw8fnt08fPn56/ebjm6/9UZ//lX7+jcyf0f/BV//j43jz1X/jL3/TH8Cf/ks/+DO/4I/vGz4LT9848zPMX/zsf/5X/w2EvxD++P7+6c2H9493Ty9fvr97eH5+vHv/+Pzh7vWHT/cfX795fH768BRA+C3Cf1zCH+4/fnq8f/Pm7tPHpzeffw2/f757ev/ixd2bz//n+fnjh4f3b94GEP7KX/sh/rUQP33+W7n3bz98uPvw4u3Hu4fXz+/v3r54+/bu8eH+/YeHD2/evnuT8Jl++RLiPy7iT28fPr14/e7x7vW7N/d3D29ffv5V/Prx3d3r+5eP968/vH7z6u2nBMSvmhB/59/+c18b+wbE3/l4/ha/+70Pt3/x6Xsff/hLbn0h/p2f/pO/9+O/+/v/9z//g5/83j/+2oWvfMGfXjy8fPv88e7+/uPnv0Z//r9379/cf/5r9Ps3L968eXj3+Pp1BPv7Hdn/Rx+/+/3f/SvvvyXzH/+1f/TTf/x7P/6b//svBf7u3duPz+9ffLj7+Pzw+S/Z9y9eff5L9tOH26/9t++fnz69fHh8nQD8YUfgHz99uv1h/Kcfv/vh3Vf/UfsXUv/pP/9rn3+x/+T3/+5P/vbf+aXgPz4+PL+6f3t/9+r55ePnr/z953/e+vT4/u7Vi1ePr54fnp4+fYgA/7gj+N/53c//3n/48Yff/f7t3/g23H/yP/3TP/rD3/9//uCf/dH/+Ic//m/+6z/6+//rL6X/6dPDp/evXn66e/r48PmfsT99eLh7un9+e/fx5fPDp0/PT89vM/4a/3pH+p+/8x8+/s7zD7/327c/il/jY/+T//Zv/fTv/d4vBf/8/Pzh4ekz7seX758+//3764937169eH33/PHt+4/3968/vXr1LgH8mx3Bf/rd7z/ffv/vfuvznwDvv/ej7/7O57/P+3a//P/2P/zxP/29H/8Xf+cn/8M/+6X8X3949/z48vXT538mvz2u3T9/+sz/6eXd8+u3Lz98+PznxPuHhwT+3tl+Iexf+c9vL969/PTx7Zu7Nx8+vbt7eH56cff20+Orz/+cfv/u0+sXH95/uH9MQPxrPrT9i//PL9ii/av9U+D87f4a2P/8937rRx9/+Bd++IPf/e2v/dF8wx/RH/OP6md+L9/+j+38fZ1/Wt7+cvL5d/env//hG2d+/mf4eco/M/SNP+Mv+Dn/pX7WX+/H/LY/6jn3Gz/83uffwffe3eb+wg8/fv5V+8O/+MM/95/87rvf+oVX/t13P3z3V15+62/1V++9+uZfHF8dur/9xl/88t/Q/Xf/re/PCuk7f+H+a3+b/mX43//+ux/+53/xtz/+8N2PfvDD+ZX9ne980/Bf/cbfxKIs/53v/ce/gsRJ8D/77e++e37+we9+/0e/Gtt3fvyP/tZP/8nf/xVYvhXff8Hul81uiu7X/mX4y/8R+asXvv2vv8//EPzqT7189afuXx4v/s0Xt//37X9B/jm/II+f/wX58Xd+Z2Wkf/Zrf7/0ZXZTor/xg+//6N33vv873wLnL/+n2a9eOD+1f/R//nc//b/+4Z/wp/Y3f/Cjb6b49X/zL//8v/VzM1/7e+U/+2d+/h8Ov83f6C7ohT08vHj59v3D67u3Tx8/3T28+vR89/TytjH89Ob55cdPrx/fPn1lWfivywt7ePH13+qX/+zt127+YgPk62LYyz9pM+wv/Woz7Ds//sM/+Okf/sEf/YO/8eP/42/+5K///Z/+wX/10z/4B9/9yX/5v/zkH/3PP/nf/sZP//F//5XfxtfMsW/+DfyCO19ksl/3d/tFNvvaf33raGaPXzFCv6aZPb7+pj9Nf23r9Olrv7ZpZj8z9rOPI/efnp7fffrw9u7+9YvPn6R39w937z+9fr57+erl44u3zy/un54S/AXPX39swq/ev3x4/Hzu3n948/bu4c37+7unx9fv7149vn359Ph8/3T//mt/60czW4nw/bs3H14/PL+9+/T27cPdw/3j51/Dr1493r15fHH/8c390/v3EYRpZn98xI+vn+4/fPr0dHf/6tVnxLf/WcHT23ePd48vXz59eP/w4tPbx4j9JM3sj4347atXH1+8efPp7u2rT5+/058ePv+r+3ef/wnh3Wf4bz89v3gVIXzTzC7QzD7/7e3949PH93fvbp/xh48vXt69e33/dPfi/vHl/cf7p3ev3kesqGhmv5L5t9PM3r//8OLNi8fnu5sJfvfw4vnj3dsXrx/vXr58+/7p4cOHNy/ff33RTTNbXzP7/DfcL959fHX7X3mcotHnv6S/e3j58u7x09PbN88fX3/+5y6aWa1m9vzm+e27z38rd/fx7ee/vH/+27b3d28f37y6e/Hhw/2H58cXL18+fu29mWZWoJndv/v09v2r1x/uPrx+vP1v+D6+unt6evNw9/Tp1dPnD//T08PriF/2NLNrNLP3958+vPr8F/e7j28+3d89PL96unv79tOru4enm1j+9OH+4TFCM/TO9gth/8r/sd/j/euXrx9f371++fz67uHtba/z/s37u9fPLz7cv3t6//7lu4hvO82MZhazN6eZ9bCkmS2Lbn4ZkpG+ehalubpe9ud9W4+fQ/qbP/jRt+W5pl9GLvuXlcvevHv5/tPrlx/vXj++erx7eHj9dPf07s3D3fsP797fv3h4fnh685UV4b8uuezx4eu/1f//P3v99crcWnLZq38Vctl3v/pboZepmLU8iqiYtRNW</t>
        </is>
      </c>
      <c r="AI6" s="0" t="inlineStr">
        <is>
          <t>ABC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t>
        </is>
      </c>
      <c r="AJ6" s="0" t="inlineStr">
        <is>
          <t>ABC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8P/Lzv31+Jrd6Vl/K0s+ppRdu6r2ruIsmUxGIDRBKByhyNr1Dxlm7KHtAXEQiTkKUUABIZhIRApGSiZCmRkOgkhAKG8Ge8y7YP8eFjVud9tuT+bJ3Oten6Vo5NhrdXf56v3t7ud7+VI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P72f+pqI2df9afory2Vf+aX9Zbfs5/xT8urT5eX97d39zcOHq6eLe3B7+/lf3X+4vrt6ev348vT8eP389PzuL2K6vP/5w+VLvskvU46+Olz+omfLb/5ycfVnf8NfmRw//8LbmPia/4L/vzHwrV/73m//zvHr3jB4w20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DQPDwDAwDIZhYBgYBobB209sGBgGhoFhMAwDw8AwMAzefmLDwDAwDAyDYRgYBoaBYfD2ExsGhoFhYBgMw8AwMAwMg7ef2DAwDAwDw2AYBoaBYWAYvP3EhoFhYBgYBsMwMAwMA8Pg7Sc2DAwDw8AwGIaBYWAYGAZvP7FhYBgYBobBMAwMA8PAMHj7iQ0Dw8AwMAyGYWA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DQPDwDAwDIZhYBgYBobB209sGBgGhoFhMAwDw8AwMAzefmLDwDAwDAyDYRgYBoaBYfD2ExsGhoFhYBgMw8AwMAwMg7ef2DAwDAwDw2AYBoaBYWAYvP3EhoFhYBgYBsMwMAwMA8Pg7Sc2DAwDw8AwGIaBYWAYGAZvP7FhYBgYBobBMAwMA8PAMHj7iQ0Dw8AwMAyGYWA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1xkGt9e/eBq8//MYB7e3v2Qe/Ol/+qX/av7V/uu5/MZ/lf+Kjt/bv/fyW58+j5PjT7Sv/xPop/5EPCbTb36ja7/2i65d/oyev8q/9fHT44fb59frz5Pj9v7q9vn9x6vHp+vrq9uXp4f755fXDx9fPn7lj/r4r/Tzb2T+Gf0ffPk/HuPjl/+Nv/l1fwB/+W9876/8nD++rxkL919756eYv/vp//xv/RsIvxF+eby5//j8eHd1f339eHX79HR39Xj39Hz14fn15uXDx7un++f7AMIPCP9ZCT/fvLze3Xz8ePX6cv/x86/hx6er+8d3764+fv4/T08vz7ePHx8CCH/pr/0Q/0qI7z//rdzjw/Pz1fO7h5er2w9Pj1cP7x4eru5ubx6fb58/Pnz6mDCmr68h/rMifn24fX334dPd1YdPH2+ubh+uP/8q/nD36erDzfXdzYfnDx/fP7wmIH7fhPhb//avf+Xa1yD+1svxW/z2d54v/+L1Oy9f/IJXb8S/9ZN/9o9/9I9+///+lz/88e/98VcefGmC37+7vX54erm6uXn5/Nfoz//36vHjzee/Rj9+fPfx4+2nuw8fItjf7Mj+P3r59nd/97cfvyHzH/3tP/zJH//ej/7e//4LgX/69PDy9Pju+erl6fbzX7Jv3r3//Jfs++fLr/2Hx6f71+vbuw8JwG93BP7y+nr5w/hPX779/OnL/6j9c6n/5F/+7c+/2H/8+//ox//gH/5C8C93t0/vbx5urt4/Xd99nvI3n/956/Xu8er9u/d3759u7+9fnyPA3+0I/vu/+/nf+w9fvvj2dy//xjfh/uP/6Z//yR/9/v/zw3/xJ//jH/3ov/mv/+QP/tdfSP/19fb18f3169X9y+3nf8Z+fb69ur95erh6uX66fX19un96yPhr/Icd6X+e888v33/64ju/c/mj+BWG/Y//27//k3/8e78Q/NPT0/Pt/Wfcd9eP95///v3Dy9Wn9+8+XD29PDy+3Nx8eH3//lMC+I87gn/93e8+XX7/n37r858Aj9/5wbe///nv877ZL/9/8E9/9M9/70f/xT/88f/wL34h/w/Pn57urj/cf/5n8svHtZun18/876+vnj48XD8/f/5z4vH2NoG/72w/F/Yv/ee3d5+uX18ePl59fH79dHX7dP/u6uH17v3nf06/+fT64d3z4/PNXQLiX/FD25/+f37OFu3P90+B47f7K2D/a9/5rR+8fPEbX3zvd3/nK380X/NH9Gf8o/qp38s3/2M7fl/Hn5aXv5x8/t395e8+f+2dn/0ZfpbyT1362p/x5/yc/0o/66/2Y37TH/W492tffOfz7+A7ny73fuOLl8+/ar/461/8+n/yu59+6+c++Xc/ffHpt6+/8az+8rv3X/+L48uXbi6/8Xe/+Dd08+1/67tzhfSt37j5yt+mv13+97/76Yv//K//zssXn37wvS/mr+xvfevrLv+tr/1NLMry3/nOf/xLSBwE/7Pf+fanp6fv/e53f/DLsX3rR3/493/yz/7gl2D5Rnz/lN0vurspul/5l+Ev/kfkLz/45r/+Pv9D8Pu/dP3+L91cj3f/5rvL//vmvyB/3S/I8bO/IF++//2Vkf7Vr/z90tvdTYn+2ve++4NP3/nu978Bzl/8T7NffnCM2j/5P/+7n/xf//QveNT+5vd+8PUUv/pv/s2f/bd+5s5X/l75r/6Vn/2Hw2/yN7oLemG3t++uHx5vP1w93L+8Xt2+f326ur++bAxfPz5dv7x+uHu4/9Ky8F+XF3b77qu/1bf/7OErL3++AfJVMez6L9oM+xu/3Az71o/+6Ic/+aMf/sk/+bs/+j/+3o//zh/85If/1U9++E++/eP/8n/58R/+zz/+3/7uT/74v//Sb+Mr5tjX/wZ+zps3mexX/d2+yWZf+a9vHc3s7ktG6Fc0s7sPX/en6a9snd5/5dc2zeynrv30x5Gb1/unT6/PD1c3H959Hkmfbm6vHl8/PF1dv7++e/fw9O7m/j7BX/D5689M+P3j9e3d53P1+Pzx4er24+PN1f3dh8er93cP1/d3Tzf3N49f+Vs/mtlKhG8+fXz+cPv0cPX68HB7dXtz9/nX8Pv3d1cf797dvHy8uX98jCBMM/uzI777cH/z/Pp6f3Xz/v1nxJf/WcH9w6e7q7vr6/vnx9t3rw93EftJmtmfGfHD+/cv7z5+fL16eP/6eU6/3n7+VzefPv8TwqfP8B9en969jxC+aWYnaGaf//b25u7+5fHq02WM3768u7769OHm/urdzd31zcvN/af3jxErKprZL2X+zTSzx8fndx/f3T1dXUzwq9t3Ty9XD+8+3F1dXz883t8+P3+8fvzqoptmtr5m9vlvuN99enl/+V95HKLR57+kf7q9vr66e71/+Pj08uHzP3fRzGo1s6ePTw+fPv+t3NXLw+e/vH/+27bHq4e7j++v3j0/3zw/3b27vr77yvdmmlmBZnbz6fXh8f2H56vnD3eX/w3fy/ur+/uPt1f3r+/vPw/++/vbDxG/7Glm52hmjzevz+8//8X96uXj683V7dP7+6uHh9f3V7f3F7H8/vnm9i5CM/Sd7efC/qX/Y7+7mw/XH+4+XH24fvpwdftw2es8fny8+vD07vnm0/3j4/WniNlOM6OZxezNaWY9LGlmy6KbvwzJSF8+i9JcXS/7a2br+Bmkv/m9H3xTnmv6ZeSyf1W57OOn68fXD9cvVx/u3t9d3d5+uL+6//Tx9urx+dPjzbvbp9v7j19aEf7rksvubr/6W/3//7MPX63MrSWXvf/zkMu+/eXfCr1Mxazl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t>
        </is>
      </c>
      <c r="AK6" s="0" t="inlineStr">
        <is>
          <t>ABC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vh/5edO+rVdbvPs/5VhnzMVNdcc8615uKsTdMIhFKEyhGqrDXnXBMZEjtsOyAOKpGjUhVUEIJUolIxUpsKNQkHRbQg1C+DHfMtWO/D4I2397a9neZp7nGP3xCqgjPGtl9f3n/v/fyvXC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t>
        </is>
      </c>
      <c r="AL6" s="0" t="inlineStr">
        <is>
          <t>ABC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n91NdEzL7uP6a/slz2lT+1v+yW/Zy/S159unx6e//wePfh3c3zxT24v//8Pz2+u324eX59/+n55en25fnlzV/EdHn784fLl3yTX6YcfXW4/EXPlt/85eLqz/6BvzI5fv6F65j4mn+D/78x8K1f+95v/87x571hcMVt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9cZBve3v3gavP3zGAf3979kHvzp//ZL/9b8q/3bc/mD/yr/Fh3/bP/ep9/6+HmcHP9B+/r/AP3UfxCPyfSb3+jar/2ia5f/RM8/y7/1/uPTu/uX19vPk+P+8eb+5e37m6fn29ub+0/PHx5fPr2+e//p/Vf+VR//ln7+g8z/RP8HX/5fj/H+y//A3/y6fwF/+W9876/8nH99XzMWHr/2zk8xf/PT//u/9W8gfCX86enu8f3L08PN4+3t08398/PDzdPD88vNu5fXu0/v3j88P748BhD+gPCflfDL3afXh7v3729ePz2+//zn8NPzzePTmzc37z//P8/Pn17un95/CCD8pf/uh/hXQvz4+S/lnj68vNy8vPnw6eb+3fPTzYc3Hz7cPNzfPb3cv7z/8PF9wpi+vYX4z4r49cP965t3Hx9u3n18f3dz/+H285/F7x4+3ry7u324e/fy7v3bD68JiN82If7Wv/3rX7n2NYi/9en4I377Oy+X/+H1O5+++AWvrsS/9ZN/9o9/9I9+///+lz/88e/98VcefGmCP765v/3w/Onm7u7T5/+O/vz/3jy9v/v839FP79+8f3//8eHduwj2dzuy/48+ffu7v/vbT9+Q+Y/+9h/+5I9/70d/73//hcA/fvzw6fnpzcvNp+f7z/+Vfffm7ef/yn58ufy5/+Hp+fH19v7hXQLw+x2Bf3p9vfzL+E8/ffvl45f/VvvnUv/Jv/zbn/9k//Hv/6Mf/4N/+AvBf3q4f3579+Hu5u3z7cPnKX/3+e+3Xh+ebt6+efvw9vn+8fH1JQL8w47gv/+7n/+x//DTF9/+7uUf+Cbcf/w//fM/+aPf/39++C/+5H/8ox/9N//1n/zB//oL6b++3r8+vb19vXn8dP/577FfX+5vHu+eP9x8un2+f319fnz+kPHf8e92pP95zr98+v7zF9/5ncu/il9h2P/4v/37P/nHv/cLwT8/P7/cP37G/XD79Pj5r9/ffbr5+PbNu5vnTx+ePt3dvXt9+/ZjAvj3O4J//d3vPl/++T/+1uf/ADx95wff/v7nv877Zn/6/4N/+qN//ns/+i/+4Y//h3/xC/m/e/n4/HD77vHz35NfPq7dPb9+5v94e/P87sPty8vn/0w83d8n8Ped7efC/qV///bm4+3rpw/vb96/vH68uX9+fHPz4fXh7ee/T7/7+PruzcvTy91DAuJf8UPbn/7//Jwt2p/vfwSOP+6vgP2vfee3fvDpi9/44nu/+ztf+VfzNf+K/oz/qn7qn+Wb/2s7/rmO/1he/uvk8z/dX/7uy9fe+dnf8LOUf+rS1/7Gn/M7/5V+66/2M7/pTz3u/doX3/n8T/Cdj5d7v/HFp89/1n7x17/49f/kdz/+1s998u9+/OLjb99+41n95Xdvv/5Pji9furv8wd/84j/Q3bf/re/OFdK3fuPuK3+Zfr3873/34xf/+V//nU9ffPzB976Yf2Z/61tfd/lvfe0fYlGW/853/uNfQuIg+J/9zrc/Pj9/73e/+4Nfju1bP/rDv/+Tf/YHvwTLN+L7p+x+0d1N0f3Kfxr+4r9F/vKDb/7n3+e/CX77l27f/qW72/Hm33xz+f+++Z+Qv+5PyPGzf0J++v73V0b6V7/y10vXu5sS/bXvffcHH7/z3e9/A5y/+O9mv/zgGLV/8n/+dz/5v/7pX/Co/c3v/eDrKX71H/ybP/sP/cydr/y18l/9Kz/7N4ff5C90F/TC7u/f3H54un938+Hx0+vN/dvX55vH28vG8PX98+2n13cPHx6/tCz81+WF3b/56h/1+r/78JWXP98A+aoYdvsXbYb9jV9uhn3rR3/0w5/80Q//5J/83R/9H3/vx3/nD37yw//qJz/8J9/+8X/5v/z4D//nH/9vf/cnf/zff+mP8RVz7Ov/AD/nzVUm+1X/aa+y2Vf+7VtHM3v4khH6Fc3s4d3X/cf0V7ZOH7/y5zbN7Keu/fTHkbvXx+ePry8fbu7evfk8kj7e3d88vb57vrl9e/vw5sPzm7vHxwR/weevPzPht0+39w+fz83Ty/sPN/fvn+5uHh/ePd28ffhw+/jwfPd49/SVv/Sjma1E+O7j+5d3988fbl4/fLi/ub97+Pzn8Nu3DzfvH97cfXp/9/j0FEGYZvZnR/zw7vHu5fX18ebu7dvPiC//ZwWPHz4+3Dzc3j6+PN2/ef3wELGfpJn9mRF/ePv205v3719vPrx9/TynX+8//093Hz//HcLHz/A/vD6/eRshfNPMTtDMPv/l7d3D46enm4+XMX7/6c3tzcd3d483b+4ebu8+3T1+fPsUsaKimf1S5t9MM3t6ennz/s3D883FBL+5f/P86ebDm3cPN7e3H54e719e3t8+fXXRTTNbXzP7/Bfcbz5+env5v/I4RKPP/5X+8f729ubh9fHD++dP7z7/fRfNrFYze37//OHj57+Uu/n04fN/vX/+y7anmw8P79/evHl5uXt5fnhze/vwle/NNLMCzezu4+uHp7fvXm5e3j1c/m/4Pr29eXx8f3/z+Pr28fPgf3y8fxfxpz3N7BzN7Onu9eXt5/9yv/n0/vXu5v757ePNhw+vb2/uHy9i+ePL3f1DhGboO9vPhf1L/4/9Hu7e3b57eHfz7vb53c39h8te5+n908275zcvdx8fn55uP0bMdpoZzSxmb04z62FJM1sW3fzTkIz05bMozdX1sr9mto6fQfqb3/vBN+W5pl9GLvtXlcvef7x9en13++nm3cPbh5v7+3ePN48f39/fPL18fLp7c/98//j+SyvCf11y2cP9V/+o////7t1XK3NryWVv/zzksm9/+Y9CL1Mxa/k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t>
        </is>
      </c>
      <c r="AM6" s="0" t="inlineStr">
        <is>
          <t>ABC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2/7NyxDQQxDMTAVtx/lY831MIBq/UoliNmFkE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t>
        </is>
      </c>
      <c r="AN6" s="0" t="inlineStr">
        <is>
          <t>ABC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P3bu2AaCGAZiYCvXf5WPN9SCgfVqFMsRM4tg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t>
        </is>
      </c>
      <c r="AO6" s="0" t="inlineStr">
        <is>
          <t>ABC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t>
        </is>
      </c>
      <c r="AP6" s="0" t="inlineStr">
        <is>
          <t>ABC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9mPnblo+2w70vH+VxRmncL089ZaZ3e40CaEdQjIKRlQ9VRWUdEvKkZSQgSE98ig4IeA22OB4YHvilwwMsQnBXyZSK98itXcWu3V0XnTU9qbvda/fxjRt9drS+es655bOXheX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t>
        </is>
      </c>
      <c r="AQ6" s="0" t="inlineStr">
        <is>
          <t>ABC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79fupb4iYfdOfpr+zXPa1v7S/6pZ9y98lr74uH58/vHzz4u2rJ4+He/Dw8Pl/e/Pq2csnj59ef3z88P7Zh8cPT/8y1uX5t4/LV3yT36YcfX1c/rK35Q9/u7j6m//EX1uObz9wzcQ3/Bv8/8/AF7/34z/+yfnXvTG4cBs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+8zhg8PPvuNXj+72MOHh5+yx78+f/1K//W/Lv923P8k/8u/xad/2r/+cc/evd5Ts4/0b75T6Bf+xPxXKY//F7Hfu+7jh1/Rs+/yr94/e79q4cPn559Xo6HN08ePjx//eT947NnTx4+Pr598+Hjp1evP77+2h/1+W/p53+S+Wf0f/XV//MYr7/6D/zNb/oD+Kv/xY//2rf88X3DLLz5xjO/xvzpr//f/9Z/gPBF+OP7F29ef3j/8smbZ8/eP3l4fHz55P3Lxw9PXn349OLjq9cvH998eBNA+C3Cf1HCH158/PTyxevXTz59fPP681/D7x+fvHn/9OmT15//x+Pjxw8P71+/DSD8lf/sh/h3Qvzm83+Ve//2w4cnH56+/fjk4dXj+ydvn759++Tlw4v3Hx4+vH777nXCTD97BvFfFPGntw+fnr569/LJq3evXzx5ePvs81/Fr16+e/LqxbOXL159ePX6+dtPCYifNyH+4j/5/a8d+wbEX3w8/xl/8MMPx//y6Ycfv/yOty7iX/zqX/2TX/zjP/1//u0/+uWf/MuvvfCVBX/z9OHZ28ePT168+Pj5P6M//88n71+/+Pyf0e9fP339+uHdy1evIti/2JH9f/PxBz/6+R+//57Mf/G3//mv/uWf/OLv/J/fCfzdu7cfH98//fDk4+PD5//IfvH0+ef/yH7z4fhr/+37xzefnj28fJUA/GFH4B8/fTr+MP77jz/48O6rf6v9rdR/9W//9ue/2H/5p//4l//gH34n+I8vHx6fv3j74snzx2cvP6/8i89/v/Xp5fsnz58+f/n88eHNm08fIsC/3BH8T3/++R/7rz9++YMfHf/A9+H+y//9X//Zv/jT//cf/Zs/+/v/4hf/y//8Z//0//hO+p8+PXx6//zZpydvPj58/nvsTx8enrx58fj2ycdnjw+fPj2+eXyb8Z/xr3ak/3nnP3z86eOXP/zJ8UfxO4z9L//Xv/erf/In3wn+8fHxw8Obz7hfPnv/5vN/f3/18cm7509fPXn8+Pb9xxcvXn16/vxdAvjXO4L/9PMfPR7/+u/+6POfAO9/+LMf/PTzf8/7fn/5/4N/9ot//Se/+J/+4S//7r/5Tv6vPrx7fPns1ZvPf09+fFx78fjpM/83z548vnr77MOHz39OvH94SODvO9u3wv6tf//29N2zTx/fvn7y+sOnd08eHt88ffL208vnn/8+/cW7T6+efnj/4cXLBMS/44e2P///fMst2r/fPwXOf97fAft/9MM/+tnHL//gyx///Cdf+6P5hj+iv+Af1a/9q3z/P7bzX+v80/L4j5PP/3J/9UcfvvHMb/6G36T8a4e+8Td+y+/8d/qtv9vP/L4/9Tz3e1/+8PO/wA/fHef+4MuPn/+q/fJvfPn7/93P3/3Rt77yn7378t0fP/veW/3V955/818cXz304vgnf/rd/0QvfvAf/2heIX3xBy++9l/Tr8P/5Y/effk//o2ffPzy3c9+/OX8K/uLL77p8N/6xn+KRVn+pz/8b38LiZPg//CTH7x7fPzxz3/0s9+O7Ytf/PO/96t/9U9/C5bvxffP2X3X2U3R/c5/GX733yJ/9YXv/9ff578Jfv5Xnj3/Ky+ejaf/4dPj/33/vyB/31+Q4zf/gvz405+ujPSvf+2/L11nNyX6ez/+0c/e/fBHP/0eOL/772a/+sI5tX/2f/1vv/q//9lf8tT+4Y9/9s0Uv/4P/s3f/Id+48zX/rvyX/9rv/k3h9/nv+gu6IU9PDx99vb9w6snb/8/du4mB7B0S6/yVI7oh5QZP5kRE6BJi76VkT9dOgwCZCRaDKDoYCFhWnSYj4saBnmONiVf0lbZhY959/s9u3Wl3CeudNeNn/z2ivX19z8+fP74x68fvv54Xwz/+PnXH3//46cv377+zbHwP5cX9vmHv/6o//jPvv3ly3+/AfJXMezH/7/NsP/6nzbD/ot/86//7h/+9d/9X//qX/6b//N//Pv//n/5h7/7H/7h7/7Vv/j7/+5//fv/7X/++//jX/7D//4//c2P8Rdz7N/9A/x7vvlHmew/9r/2H2Wzv/zPt0cz+/I3RuhfNLMvP/27/m/6H22dfv3Lz22a2b+19m8/jnz64+uvv/zx27cPn3764c9fkn759PnD9z9++vXDjx9//PLDt19/+PT1a4K/4Pnrn0344/cfP3/5cz58/+3nbx8+//z904evX376/uHjl28/fv3y66evn77/5Y9+NLNNhD/98vNvP33+9duHP759+/zh86cvf/4c/vjxy4efv/zw6fefP339/j2CMM3sn4/4y09fP/32xx9fP3z6+PFPxPdfK/j67ZcvH778+OPX375//uGPb18i7pM0s3824m8fP/7+w88///Hh28c//vx1+o/Pf/6nT7/8+W8Iv/wJ/9sfv/7wMUL4ppm9oJn9+cfbT1++/v79wy/3L+Off//hxw+//PTp64cfPn358dPvn77+8vF7xImKZvZPMv8P08y+f//th59/+PLrh9sE//D5h19///Dth5++fPjxx2/fv37+7beff/z+10M3zWy/ZvbnH7h/+OX3j/ff8nhEoz9/S//l848/fvjyx9dvP//6+09//nsXzaxWM/v151+//fLnH+U+/P7tz9/e//xj2/cP3778/PHDD7/99um3X7/88OOPX/7y3kwzK9DMPv3yx7fvH3/67cNvP325/w7f7x8/fP368+cPX//4+PXPX/i/fv38U8RPe5rZO5rZ909//Pbxz9/cP/z+8x+fPnz+9ePXD9++/fHxw+evt1j+9bdPn79EaIbe2f69sP/Jv+z35dNPP/705acPP/34608fPn+77zrff/7+4adff/jt0y9fv3//8ZeIX9tpZjSzmLs5zayHJc1sLbr5aUhG+ttZSnO7XvZf+rX1+n8h/a/+m//2P5TnTr+MXPb/VS77+Zcfv//x04+/f/jpy8cvHz5//unrh6+//Pz5w/fffvn+6YfPv37++vPfnAj/c8llXz7/9Uf9f/7ZT3+tzO2Syz7+p5DL/sXf/ij0MhWzlk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t>
        </is>
      </c>
      <c r="AR6" s="0" t="inlineStr">
        <is>
          <t>ABC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t>
        </is>
      </c>
      <c r="AS6" s="0" t="inlineStr">
        <is>
          <t>ABC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+7/ZuWMbCGIYiIGtuP8qH2+ohQNW61EsR8wsgi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t>
        </is>
      </c>
      <c r="AT6" s="0" t="inlineStr">
        <is>
          <t>ABC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+7NyxDQQxDMTAVq7/Kh9vqAUDq/UoliNmFkE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t>
        </is>
      </c>
      <c r="AU6" s="0" t="inlineStr">
        <is>
          <t>ABC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t>
        </is>
      </c>
      <c r="AV6" s="0" t="inlineStr">
        <is>
          <t>ABC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mPnjm0giGEgBrbi/qt8vKEWDlivRrEcMbMILg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t>
        </is>
      </c>
      <c r="AW6" s="0" t="inlineStr">
        <is>
          <t>ABC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tmPnTu2gSCGgRjYivuv8vGGWjhgtR7FcsTMItj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t>
        </is>
      </c>
      <c r="AX6" s="0" t="inlineStr">
        <is>
          <t>ABC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
        </is>
      </c>
      <c r="AY6" s="0" t="inlineStr">
        <is>
          <t>ABC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P2xc8c2EMQwEANbuf6rfLyhFgys1qNYjphZBN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t>
        </is>
      </c>
      <c r="AZ6" s="0" t="inlineStr">
        <is>
          <t>ABC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37s3F2vd9t9n/W38pOPWeq97vVwr8VZm6YRCKUIlSNUWfd6QobEDtsOiINK5KhUBRWEIJWoVIzUpkJNwkERLQj1zWDHvAvWfzIY8fbetrfTzOY3vuMzhargzLnt4a/35b3/48ql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73sp++nviZi9nX/Mf2V5bKv/Kn9Zbfs5/xd8up0ef14e/dw83h/9XxxD25v3/+nh/vru6vnt0+vzy9P1y/PLx/+Iujy8efD5Uu+yS9Tjr4Kl79otvzmLxdXf/YP/BVy/PwXJia+5t/g/w8D3/q17/327xx/3oPBnBs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t>
        </is>
      </c>
      <c r="BA6" s="0" t="inlineStr">
        <is>
          <t>ABCwAAM5onBAAzAAAwKDMAADMBgnhgMwAAMwKDAAAzAAAzmicEADMAADAoMwAAMwGCeGAzAAAzAoMAADMAADOaJwQAMwAAMCgzAAAzAYJ4YDMAADMCgwAAMwAAM5onBAAzAAAwKDMAADMBgnngdGNxe/2IafPzzwMHt7S/hwZ/+b7/0b82/2r89lz/4r/Jv0fHP9u+9/tbnd5wc/0H7+v8A/dR/EA8y/eY3eu3XftFrl/9Ejz/Lv/Xp89P97cvb9Ts5bh+ubl8+frp6er6+vrp9fX58eHl9u//0+ukr/6qPf0vf/yDjP9H/wZf/11WfvvwP/M2v+xfwl//G9/7Kz/nX9zVYePjad35q8w8//b//W/+GhefCr083D59enu6uHq6vn65un5/vrp7unl+u7l/ebl7vP909P7w8NFj40cJ/1oVfbl7f7m4+fbp6e3349P7n8NPz1cPThw9Xn97/n+fn15fbp0+PDRb+0n/3m/hXmvjh/S/lnh5fXq5ePjy+Xt3ePz9dPX54fLy6u715erl9+fT4+VMHTF9fm/jPOvHb4+3bh/vPd1f3nz/dXN0+Xr//WXx/9/nq/ub67ub+5f7Tx8e3DhN/TJr4W//2r3/lta+Z+Fuvxx/x2995ufwPb995/eIXfDUX/9ZP/tk//tE/+v3/+1/+8Me/98df+eBLBH/4cHv9+Px6dXPz+v7f0e//79XTp5v3/45++vTh06fbz3f39y22v9lx+//o9dvf/d3ffvqGm//ob//hT/7493709/73Xzj458+Pr89PH16uXp9v3/8r++bDx/f/yn54ufy5//j0/PB2fXt332Hw2x0Hf317u/zL+E9fv/3y+ct/q/1zV//Jv/zb73+y//j3/9GP/8E//IXDv97dPn+8eby5+vh8ffdO+Zv3v996u3u6+vjh493H59uHh7eXFsPf7Tj893/3/R/7D1+/+PZ3L//AN9n9x//TP/+TP/r9/+eH/+JP/sc/+tF/81//yR/8r79w/be327enj9dvVw+vt+9/j/32cnv1cPP8ePV6/Xz79vb88PzY47/j73dc/53zL6/ff/7iO79z+VfxK8D+x//t3//JP/69Xzj88/Pzy+3D+9x3108P73/9fv969fnjh/ur59fHp9ebm/u3jx8/dxj+047Dv/3ud58v//yff+v9PwBP3/nBt7///td53+xP/3/wT3/0z3/vR//FP/zx//AvfuH+9y+fn++u7x/e/5788uPazfPb+/4P11fP94/XLy/v/5l4ur3tsL/f2X7u2L/0798+fL5+e338dPXp5e3z1e3zw4erx7e7j+9/n37z+e3+w8vTy81dh4l/xR/a/vT/5+fcov35/kfg+OP+CrP/te/81g9ev/iNL773u7/zlX81X/Ov6M/4r+qn/lm++b+245/r+I/l5b9O3v/p/vJ3X772nZ89w8+u/FMvfe0Zf845/5XO+qsd85se9Xjv1774zvs/wXc+X977jS9e3/+s/eKvf/Hr/8nvfv6tn/vJv/v5i8+/ff2NWf3l7z5+/Z8cX37p5vIH//CL/0A33/63vjuukL71Gzdf+cv0+fK//93PX/znf/13Xr/4/IPvfTH+zP7Wt77u5b/1tX+IRbf8d77zH/+SJY4F/7Pf+fbn5+fv/e53f/DLZ/vWj/7w7//kn/3BL5nlG+37p9v9onc3ne5X/tPwF/8t8pc/+OZ//r3/TfDHv3T98S/dXNeHf/PD5f/75n9C/ro/Ietn/4R8/f73V570r37lr5fmu5su+mvf++4PPn/nu9//BnP+4r+b/fIHB2r/5P/8737yf/3Tv2DU/ub3fvD1K371H/ybP/sP/cw7X/lr5b/6V372bw6/yV/oLuiF3d5+uH58ur2/enx4fbu6/fj2fPVwfbkxfPv0fP36dn/3+PCly8J/XV7Y7Yev/lHn/+7xK1/+fAPkq2LY9V+0GfY3frkZ9q0f/dEPf/JHP/yTf/J3f/R//L0f/50/+MkP/6uf/PCffPvH/+X/8uM//J9//L/93Z/88X//pT/GV8yxr/8D/Jxvpkz2q/7TTtnsK//2raOZ3X3JCP2KZnZ3/3X/Mf2VrdOHr/y5TTP7qdd++seRm7eH589vL49XN/cf3pH0+eb26unt/vnq+uP13YfH5w83Dw8d/AU/f/2ZF/74dH179/5cPb18ery6/fR0c/Vwd/909fHu8frh7vnm4ebpK3/pRzNbaeGbz59e7m+fH6/eHh9vr25v7t7/HP748e7q092Hm9dPNw9PTy0Wppn92Se+u3+4eXl7e7i6+fjxfeLL/1nBw+Pnu6u76+uHl6fbD2+Pdy3uJ2lmf+aJHz9+fP3w6dPb1ePHt3dOv92+/083n9//DuHz+/iPb88fPrYQvmlmJ2hm7395e3P38Pp09fmC8dvXD9dXn+9vHq4+3Nxd37zePHz++NTiiopm9ks3/2aa2dPTy4dPH+6ery4m+NXth+fXq8cP93dX19ePTw+3Ly+frp++etFNM1tfM3v/C+4Pn18/Xv6vPA7R6P2/0j/fXl9f3b09PH56fr1///sumlmsZvb86fnx8/tfyl29Pr7/1/v7X7Y9XT3effp49eHl5ebl+e7D9fXdV35vppkFaGY3n98enz7ev1y93N9d/m/4Xj9ePTx8ur16ePv48A7+h4fb+xZ/2tPMztHMnm7eXj6+/5f71eunt5ur2+ePD1ePj28fr24fLmL5w8vN7V0LzdDvbD937F/6f+x3d3N/fX93f3V//Xx/dft4udd5+vR0df/84eXm88PT0/XnFmynmdHM2tyb08xytqSZLTvd+NOQjPTlZ9E1V9fL/hq21s9M+pvf+8E33XNNv4xc9q8ql336fP30dn/9enV/9/Hu6vb2/uHq4fOn26unl89PNx9un28fPn3pivBfl1x2d/vVP+r//7+7/2plbi257OOfh1z27S//UehlKmYp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v8vO3dsA0EMAzGwleu/yscbasHAaj2K5YiZRXDepolmKmZBmpmKWdjniIpZO2EVs3bCKmb1iFXM6hGrmAVfIi9rZipmwexVzB4DrmJGM1Mxe46+ihnNTMWsiL+KGc2MZhZ9N6eZ9bCk</t>
        </is>
      </c>
      <c r="BB6" s="0" t="inlineStr">
        <is>
          <t>ABC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t>
        </is>
      </c>
      <c r="BC6" s="0" t="inlineStr">
        <is>
          <t>ABC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LFzxzYQxDAQA1tx/1U+/qAWDKxXo1iOmFkE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t>
        </is>
      </c>
      <c r="BD6" s="0" t="inlineStr">
        <is>
          <t>ABC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t>
        </is>
      </c>
      <c r="BE6" s="0" t="inlineStr">
        <is>
          <t>ABC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+7NyxDQQxDMTAVtx/lY831MIBq/UoliNmFkG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t>
        </is>
      </c>
      <c r="BF6" s="0" t="inlineStr">
        <is>
          <t>ABC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Ni5YxsIYhiIga1c/1U+3lALBlbrUSxHzCyC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t>
        </is>
      </c>
      <c r="BG6" s="0" t="inlineStr">
        <is>
          <t>ABC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t>
        </is>
      </c>
      <c r="BH6" s="0" t="inlineStr">
        <is>
          <t>ABC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fuzcsQ0EMQzEwFbcf5WPP6gFA+vVKJYjZhbB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t>
        </is>
      </c>
      <c r="BI6" s="0" t="inlineStr">
        <is>
          <t>ABC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rZj507toEghoEY2Ir7r/Lxhlo4YLUexXLEzCKo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t>
        </is>
      </c>
      <c r="BJ6" s="0" t="inlineStr">
        <is>
          <t>ABC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t>
        </is>
      </c>
      <c r="BK6" s="0" t="inlineStr">
        <is>
          <t>ABC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Ni5YxsIYhiIga24/yofb6iFA1brUSxHzCyC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t>
        </is>
      </c>
      <c r="BL6" s="0" t="inlineStr">
        <is>
          <t>ABC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74R87d2wDQQwDMbAV91/l4w9qwcB6NYrliJlFU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t>
        </is>
      </c>
      <c r="BM6" s="0" t="inlineStr">
        <is>
          <t>ABC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t>
        </is>
      </c>
      <c r="BN6" s="0" t="inlineStr">
        <is>
          <t>ABC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9mPnjm0gBmIgBrbi/qt8vKEWDKxWo1gXMTsRPE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t>
        </is>
      </c>
      <c r="BO6" s="0" t="inlineStr">
        <is>
          <t>ABC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qPnTu2gSCGgRjYivuv8vGGWjhgtR7FcsTMIrh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t>
        </is>
      </c>
      <c r="BP6" s="0" t="inlineStr">
        <is>
          <t>ABC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t>
        </is>
      </c>
      <c r="BQ6" s="0" t="inlineStr">
        <is>
          <t>ABC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vZj545tIIhhIAa24v6rfPxBLRhYr0axHDGzCLY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t>
        </is>
      </c>
      <c r="BR6" s="0" t="inlineStr">
        <is>
          <t>A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5j5w52Ldqy5KD+Soi+JWzKxrTp8xFU2T0L/r8Fd7M0hakqWTSOPFessVvZ2CelmfHekPLuUFg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t>
        </is>
      </c>
      <c r="BS6" s="0" t="inlineStr">
        <is>
          <t>ABC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f9v79P/QsjZv/SP6b/v8tl/+xf7f+6W/av/L/k23X5T//uH/79f/yf/pf/8G/+8a978A//8H//p//4H/7tv/83//if/+f/9I//9L//23/6x3/6H/976PLv/nVc/qu+yX+rcvTPcfnvbcv/9t8urv5//4v/mRz/+gvDxL/wP/D/w8D/8L/+H//l//z+vYfBxA0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b5v9i5ox5dszs9619lyceUsmtX1d5VnCWTyQiEJgiFIxRZu6p2IcPEHto2iINIzFFAAQWEYCIRKRgpmQhlZjgIIgGhfBnsMd+Ceh8tatzutt2emSe5171+S1GUeNZq+/Xl/rv7+V9zGQ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1xkGt9e/fBq8/4sYB7e3v2Ie/On/9Ev/1vz5/u25/MF/nX+Ljn+2f+/z73x6HSfHf9C+/j9AP/MfxGMy/fY3uvYbv+za5T/R88/yb3389Pjh9vnl+nVy3N5f3T6//3j1+HR9fXX7+enh/vnzy4ePnz9+5V/18W/p6x9k/if6P/jy/3iMj1/+B/7m1/0L+Mt/43t/5Rf86/uasXD/tXd+hvm7n/2f/+1/A+E3wp8fb+4/Pj/eXd1fXz9e3T493V093j09X314frn5/OHj3dP9830A4QeE/6yEn28+v9zdfPx49fL5/uPrn8OPT1f3j+/eXX18/b+enj4/3z5+fAgg/KX/7of410J8//qXco8Pz89Xz+8ePl/dfnh6vHp49/BwdXd78/h8+/zx4dPHhDF9fQ3xnxXxy8Pty7sPn+6uPnz6eHN1+3D9+mfxh7tPVx9uru9uPjx/+Pj+4SUB8fsmxN/6t3/zK9e+BvG3Ph9/xG9/5/ny/3j5zucvfsmrN+Lf+uk/+8c//ke////8yx/95Pf++CsPvjTB79/dXj88fb66ufn8+t/Rr//31ePHm9f/jn78+O7jx9tPdx8+RLC/2ZH9f/T529/94d96/IbMf/x3/vCnf/x7P/57/8cvBf7p08Pnp8d3z1efn25f/yv75t371//Kvn++/Ln/8Ph0/3J9e/chAfjtjsA/v7xc/mX8p5+//fzpy3+r/Qup//Rf/p3XP9l/8vv/6Cf/4B/+UvCf726f3t883Fy9f7q+e53yN69/v/Vy93j1/t37u/dPt/f3L88R4O92BP/9H77+Y//h5y++/d3LP/BNuP/kf/7nf/JHv////uhf/Mn/9Ec//m//mz/5g//tl9J/ebl9eXx//XJ1//n29e+xX55vr+5vnh6uPl8/3b68PN0/PWT8d/yHHem/zvnnz99/+uI7v3v5V/FrDPuf/Hd//6f/+Pd+Kfinp6fn2/tX3HfXj/evf/3+4fPVp/fvPlw9fX54/Hxz8+Hl/ftPCeA/7gj+5Yfffbr883/6ndf/ADx+5wff/v7rX+d9sz/9/8E//fE//70f/xf/8Cf/47/4pfw/PH96urv+cP/69+SXj2s3Ty+v/O+vr54+PFw/P7/+Z+Lx9jaBv+9svxD2r/z7t3efrl8+P3y8+vj88unq9un+3dXDy937179Pv/n08uHd8+PzzV0C4l/zQ9uf/n9+wRbtL/Y/Ascf99fA/te+8zs/+PzFb33xvR/+7lf+1XzNv6I/47+qn/ln+eb/2o5/ruM/lpf/Onn9p/vL333+2js//xt+nvLPXPra3/gLfuef67f+ej/zm/7U495vfPGd13+C73y63PutLz6//ln7xV//4jf/kx9++p1f+OTf/fTFp791/Y1n9Zffvf/6Pzm+fOnm8gd/98v/QDff/re+O1dI3/qtm6/8Zfrb5X//u5+++M//+u9+/uLTD773xfwz+1vf+rrLf/tr/xCLsvx3vvMf/woSB8H/7He//enp6Xs//O4PfjW2b/34D//+T//ZH/wKLN+I75+y+2V3N0X3a/9p+Mv/FvnLD775n3+vfxP8/i9dv/9LN9fj3b/57vJ/vvmfkL/pT8jx839Cfv7+91dG+le/8tdLb3c3Jfob3/vuDz5957vf/wY4f/nfzX75wTFq/+T/+u9/+n//03/No/a3v/eDr6f41X/wb/78P/Rzd77y18p/9a/8/N8cfpO/0F3QC7u9fXf98Hj74erh/vPL1e37l6er++vLxvDl49P155cPdw/3X1oW/qvywm7fffWP+vY/e/jKy19sgHxVDLv+122G/Y1fbYZ968d/9KOf/tGP/uSf/N0f/59/7yf/1R/89Ef/9U9/9E++/ZP/8n/9yR/+Lz/53//uT//4f/jSH+Mr5tjX/wF+wZs3mezX/ad9k82+8m/fOprZ3ZeM0K9oZncfvu4/pr+2dXr/lT+3aWY/c+1nP47cvNw/fXp5fri6+fDudSR9urm9enz58HR1/f767t3D07ub+/sEf8Hnrz8z4feP17d3r+fq8fnjw9Xtx8ebq/u7D49X7+8eru/vnm7ubx6/8pd+NLOVCN98+vj84fbp4erl</t>
        </is>
      </c>
      <c r="BT6" s="0" t="inlineStr">
        <is>
          <t>ABC4eH26vbm7vXP4ffv764+3r27+fzx5v7xMYIwzezPjvjuw/3N88vL/dXN+/eviC//awX3D5/uru6ur++fH2/fvTzcRewnaWZ/ZsQP799/fvfx48vVw/uX1zn9cvv6/7r59Pp3CJ9e4T+8PL17HyF808xO0Mxe//L25u7+8+PVp8sYv/387vrq04eb+6t3N3fXN59v7j+9f4xYUdHMfiXzb6aZPT4+v/v47u7p6mKCX92+e/p89fDuw93V9fXD4/3t8/PH68evLrppZutrZq9/wf3u0+f3l/8tj0M0ev2v9E+319dXdy/3Dx+fPn94/fsumlmtZvb08enh0+tfyl19fnj9r/fXv2x7vHq4+/j+6t3z883z09276+u7r3xvppkVaGY3n14eHt9/eL56/nB3+d/h+/z+6v7+4+3V/cv7+9fBf39/+yHiT3ua2Tma2ePNy/P71/9yv/r88eXm6vbp/f3Vw8PL+6vb+4tYfv98c3sXoRn6zvYLYf/K/2W/u5sP1x/uPlx9uH76cHX7cNnrPH58vPrw9O755tP94+P1p4jZTjOjmcXszWlmPSxpZsuim38akpG+fBalubpe9tfM1vFzSH/7ez/4pjzX9MvIZX9euezjp+vHlw/Xn68+3L2/u7q9/XB/df/p4+3V4/Onx5t3t0+39x+/tCL8VyWX3d1+9Y/6///PPny1MreWXPb+L0Iu+/aX/yj0MhWzlo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t>
        </is>
      </c>
      <c r="BU6" s="0" t="inlineStr">
        <is>
          <t>ABC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P4/du7YBoIYBmJgK+6/yscbauGA1XoUyxEzi6C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t>
        </is>
      </c>
      <c r="BV6" s="0" t="inlineStr">
        <is>
          <t>ABC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SyHzt3bANBDAMxsBX3X+XjD2rBwGo9iuWImUVQ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t>
        </is>
      </c>
      <c r="BW6" s="0" t="inlineStr">
        <is>
          <t>ABC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t>
        </is>
      </c>
      <c r="BX6" s="0" t="inlineStr">
        <is>
          <t>ABC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9mPnjm0giGEgBrZy/Vf5eEMtGFivRrEcMbMIBr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t>
        </is>
      </c>
      <c r="BY6" s="0" t="inlineStr">
        <is>
          <t>ABC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72Y+eObSCIYSAGtuL+q3y8oRYOWK1HsRwxswj2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t>
        </is>
      </c>
      <c r="BZ6" s="0" t="inlineStr">
        <is>
          <t>ABC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t>
        </is>
      </c>
      <c r="CA6" s="0" t="inlineStr">
        <is>
          <t>ABC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9mPnjm0giGEgBrbi/qt8vKEWDlitR7EcMbMIqp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t>
        </is>
      </c>
      <c r="CB6" s="0" t="inlineStr">
        <is>
          <t>ABC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L2Y+eObSCIYSAGtnL9V/l4Qy0YWK9GsRwxswgG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t>
        </is>
      </c>
      <c r="CC6" s="0" t="inlineStr">
        <is>
          <t>ABC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t>
        </is>
      </c>
      <c r="CD6" s="0" t="inlineStr">
        <is>
          <t>ABC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3sx84d20AQw0AMbMX9V/l4Qy0csFqPYjliZhGk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t>
        </is>
      </c>
      <c r="CE6" s="0" t="inlineStr">
        <is>
          <t>ABC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nR87d2wDQQwDMbAV91/l4w21cMBqPYrliJlFUM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t>
        </is>
      </c>
      <c r="CF6" s="0" t="inlineStr">
        <is>
          <t>ABC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t>
        </is>
      </c>
      <c r="CG6" s="0" t="inlineStr">
        <is>
          <t>ABC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f+zcsQ0EMQzEwFau/yofb6gFA+vVKJYjZhZB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t>
        </is>
      </c>
      <c r="CH6" s="0" t="inlineStr">
        <is>
          <t>ABC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+7FzxzYQxDAQA1tx/1U+3lALB6zWo1iOmFkEi/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t>
        </is>
      </c>
      <c r="CI6" s="0" t="inlineStr">
        <is>
          <t>ABC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t>
        </is>
      </c>
      <c r="CJ6" s="0" t="inlineStr">
        <is>
          <t>ABC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792LljGwhiGIiBrbj/Kh9vqIUDVutRLEfMLII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t>
        </is>
      </c>
      <c r="CK6" s="0" t="inlineStr">
        <is>
          <t>ABC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7MfOHdtAEMNADGzl+q/y8YZaMLBejWI5YmYRbC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t>
        </is>
      </c>
      <c r="CL6" s="0" t="inlineStr">
        <is>
          <t>ABC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t>
        </is>
      </c>
      <c r="CM6" s="0" t="inlineStr">
        <is>
          <t>ABC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P/YuWMbCGIYiIGtuP8qH2+ohQNW61EsR8wsg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t>
        </is>
      </c>
      <c r="CN6" s="0" t="inlineStr">
        <is>
          <t>ABC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L5Y+eObSCIYSAGtuL+q3y8oRYOWK1HsRwxsw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t>
        </is>
      </c>
      <c r="CO6" s="0" t="inlineStr">
        <is>
          <t>ABC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t>
        </is>
      </c>
      <c r="CP6" s="0" t="inlineStr">
        <is>
          <t>ABC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vzYuWMbCGIYiIGtXP9VPt5QCwbWq1EsR8wsgi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
        </is>
      </c>
      <c r="CQ6" s="0" t="inlineStr">
        <is>
          <t>ABC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t>
        </is>
      </c>
      <c r="CR6" s="0" t="inlineStr">
        <is>
          <t>ABCHrGKWfAF8rJepmIWzF7FbBlwFbMfO3dsA0EMAzGwFfdf5eMNtXDAejWK5YiZRZB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t>
        </is>
      </c>
      <c r="CS6" s="0" t="inlineStr">
        <is>
          <t>ABC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Hzt3bANBDAMxsBX3X+XjDbVwwGo9iuWImUVw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t>
        </is>
      </c>
      <c r="CT6" s="0" t="inlineStr">
        <is>
          <t>ABC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t>
        </is>
      </c>
      <c r="CU6" s="0" t="inlineStr">
        <is>
          <t>ABC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di5YxsIYhiIga1c/1U+3lALBlbrUSxHzCyC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t>
        </is>
      </c>
      <c r="CV6" s="0" t="inlineStr">
        <is>
          <t>ABC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P/sXPHNhDEMBADW3H/VT7eUAsHrFejWI6YWQR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t>
        </is>
      </c>
      <c r="CW6" s="0" t="inlineStr">
        <is>
          <t>ABC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t>
        </is>
      </c>
      <c r="CX6" s="0" t="inlineStr">
        <is>
          <t>ABC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Y+dO7aBIIaBGNiK+6/y8YZaOGC1HsVyxMwiSD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
        </is>
      </c>
      <c r="CY6" s="0" t="inlineStr">
        <is>
          <t>ABC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7MfOHdtAEMNADGzl+q/y8YZaMLBaj2I5YmYRnL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t>
        </is>
      </c>
      <c r="CZ6" s="0" t="inlineStr">
        <is>
          <t>ABC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t>
        </is>
      </c>
      <c r="DA6" s="0" t="inlineStr">
        <is>
          <t>ABC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B/7NyxDQQxDMTAVtx/lY8/qAUD69UoliNmFsH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t>
        </is>
      </c>
      <c r="DB6" s="0" t="inlineStr">
        <is>
          <t>ABC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sx87d2wDQQwDMbAV91/l4w21cMBqPYrliJlFk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t>
        </is>
      </c>
      <c r="DC6" s="0" t="inlineStr">
        <is>
          <t>ABC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t>
        </is>
      </c>
      <c r="DD6" s="0" t="inlineStr">
        <is>
          <t>ABC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s/du5g14LtOsvoq3yiH4kEJ4Q2fR4CO+lF8P4tOJvSL4JtRTSOsmrtUS03alv6PO8dkk9NTY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WumB32RxFXzG6fsCtmt0/YFbPrR+yK2fUjdsXs4C+Qv7xe5orZwbN3xezLBu6KmfUyV8y+bvqumFkvc8Xsovm7Yma9zHrZ0Z/NrZfdM0vrZa8dnStmz3PVVN++ZmZxsFwx+zwWzZ53XDF7fnvaopkrZgetmblidtgfR1wxu33CrpjdPmFXzK4fsStm14/YFbODv0T+8pqZK2YHz94Vsy8buCtm1sxcMfu66btiZs3MFbOL5u+KmTUza2ZHfze3ZnbPLK2ZvXZ0rpjdNM23r5e5YvZ5zxUzy2XPO66YPb89bbnMFbOf55j1MlfMDvujiCtmt0/YFbPbJ+yK2fUjdsXs+hG7YnbwF8hfXi9zxezg2bti9mUDd8XMepkrZl83fVfMrJe5YnbR/F0xs15mvezoz+bWy+6ZpfWy147OFbPnuWqqb18zszhYrph9Ho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WumB32RxFXzG6fsCtmt0/YFbPrR+yK2fUjdsXs4C+Qv7xe5orZwbN3xezLBu6KmfUyV8y+bvqumFkvc8Xsovm7Yma9zHrZ0Z/NrZfdM0vrZa8dnStmz3PVVN++ZmZxsFwx+zwWzZ53XDF7fnvaopkrZgetmblidtgfR1wxu33CrpjdPmFXzK4fsStm14/YFbODv0T+8pqZK2YHz94Vsy8buCtm1sxcMfu66btiZs3MFbOL5u+KmTUza2ZHfze3ZnbPLK2ZvXZ0rpjdNM23r5e5YvZ5zxUzy2XPO66YPb89bbnMFbOf55j1MlfMDvujiCtmt0/YFbPbJ+yK2fUjdsXs+hG7YnbwF8hfXi9zxezg2bti9mUDd8XMepkrZl83fVfMrJe5YnbR/F0xs15mvezoz+bWy+6ZpfWy147OFbPnuWqqb18zszhYrph9Ho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X/9/epv3DE7C/9Y/r/vVz2Z/9q/+vdsr/y/5Lfrss//d0f/v4f/9N/+Ye/+ePP7sEf/vC//9M//sPf/v3f/PGf//M//fFP//1v//THP/3Hfw9d/u6v4/Kv9k3+rZWjP8fl39uW//ZvL67+v//FfybHX39hTPyF/4H/DwP/4b/+j3/5n59/72GwccM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t>
        </is>
      </c>
      <c r="DE6" s="0" t="inlineStr">
        <is>
          <t>ABC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fC/2K2f3bgOAorDr3LkvZEB20mWUEAgQYnSSizRxH9Q1aRGTgpCYsMKiafgDViy6uNQ9TFwnfpwHNotG76NNZoZHc/vzr3fHR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r8XRi8e/Bw7h199Pnr14fbP91X/fSzr/++f+o9esv9yfffVUc/evH8w5u3V/cCfHL16Eo6en5787vbw+ufffLq1Qe3N2/evLi6/tXN5aNP9o6ob3j6Vpp+c3P76fPD769uv/eTq+vD56/e3n9xjxTqWx4OxDeXxOFwuPzB2eHZ8eX1k2fHpyeHp8dPD0+ujy+enJ1enF2fnB6uekncxb78+Obt4dV3Hot3L99f63tuHH388/cOycP58euPnufP+fD7vz07OfnXX7/46h9/+fJvX3z593/mPx/zzS/vaHv/X/3izY9vrw6fXt788bP3X7q7eD64Q+Lr0+L8/OHJu6vi4cnTB/yOvvULeXH1+uYPV5f7mjvE/80d4uKHT88uL85Oj5+8vDg/Pr17ePzy7OnJ8eWzq6fn12cnZ5fnp+4Q/+M7xOMFPxZRgIJH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t>
        </is>
      </c>
      <c r="DF6" s="0" t="inlineStr">
        <is>
          <t>ABC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2anDgkAAAAABP1/bXUEB4io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t>
        </is>
      </c>
      <c r="DG6" s="0" t="inlineStr">
        <is>
          <t>ABC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mK3/nUtO+wyDN/KpynoBnlsj/+UEEAgQbCSSJRoBp9BUewMGjsgJAqooALREwEFgg4qRMPl2MplMHnNkJ9NqCnyvMXROWdvfWfvtdd61kE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Dw/0XBV9+8OfMeffdHn3767NWf9p5+/Yc//frNE+9rT+nU+98H69GvfOejb7/8/KHr//sPX7uOHn306uUfvnr26W98/5NPvvXq5Weffefhxe+8/Phrr+wroP4bp58L0++9fPWDj5790cOrX/61hxfPfvTJ531sXzPof57y5kC8uSCePf/wyYu3nz5+760XT19fEB+8+/j52+9/8PjJi6cPT56+/cG777/33qOfvdnn33v5+bNP/s9j8dXDXen3c330vd/8xiF588n/7nc/2p/t209+/+mTt774m7/94i//84u/+7cvfvznX/7Df3z59//0S69//sm//sWXf/3PX/zVv//kH//lZ6/9s99+rd03//5vffarrx6e/eDjl3/yw28+9Pp6+tZrN356rjx9o+vrc+OTN7/88M1l8ujnfkrfefj05R8/fHwfc9P4hblpPH/vxXtvf/DkrcfvvHj+7PG773z47PGHf/DO88fvvv38+cdvvf/wzocPL9w0fmFvGv5/RAEKUIA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t>
        </is>
      </c>
      <c r="DH6" s="0" t="inlineStr">
        <is>
          <t>ABC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OC/2KkDGgAAAIRBVd4/pZs5IAQ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MHbqgAYAAABhUJX3T+lmDgi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t>
        </is>
      </c>
      <c r="DI6" s="0" t="inlineStr">
        <is>
          <t>ABC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Yu/WTI8ddgGH4Kp9mP8gej/F4CQEEEgTLicQS9WR6UBQ7g8YOCAlOwJoVSw7AihULLhNFHIPJ60yITThBnnfRalWV1FW/P091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4K4/vflyv/JOPvjs5cvD7R96ph9/+uXnuwvvrUtaev87WCc/eP7s/ZvXx/b/x8e39tHJs9ub39weXv7k4xcv3ru9efXq+fH6FzdXb93ZG6C+wulbYfrVze0nzw6/Pd5+70fH68NnL143bW8Z9PUl9wPx1Ya4Ppxdn11dnJ0+ffzk4vT8wYOPTi8Pl3cb4snFxeOry8dXjy6+nsC7h7388Ob14cX/HYs3p9vp35zXkw9/+s6Q3M/8Lz94tj/u/Ye/fvzowRd//dfn//zbF//487///pf/3uWrn9+59u4v/ezVD2+Ph0+ubn7/6bun7nbOe3dCfLkqHp5///7o3Z64P/r4nr6Tb52Q58eXN787Xn3znPfDd+b9cH04Xjw8uzienp9fPjk9v354dXr59Prs9Oru+PnZk8PFR4+eej98Z98P/iqiAAUoQA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t>
        </is>
      </c>
      <c r="DJ6" s="0" t="inlineStr">
        <is>
          <t>ABC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PAfduqABgAAAGFQFfundHsOC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t>
        </is>
      </c>
      <c r="DK6" s="0" t="inlineStr">
        <is>
          <t>ABC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OTt31yOJcR1m+K8c8DodTH/O9KUoy4kRxRYkBbkKFt093QIhilSWpA1f+MK3CZwPIIgNRIjti9gBYjgJYCBybCR/xqScf5GeUySrlrPcD4lcVZWeA0OQxWWxijP78LzLJlG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q7ze+W/fPad99b3PvrRjw5Pfzff9K33Hv7zi994z/yQ/NZ7/CfrrW989zu/+f6H5/z5/875mZ9Hb33n6fs/eHr40a+/8+6733z6/gcffPd8+afv3z9zswLUpzg9F6Z//v7TH37n8OPz03/4a+fL4aN3P8wv2zMGff5DPvsT8elPiPXu9ma32h8X29VutdisdtvFcbO7X+wvp/Xdcne/PJwOb9XHHr///oeHd7/0z0X5zfkzvf26vvX9f/yFPyWffeV/4zvfqhf64NtXwr546G988PbT8+GH9+//zntf/E3XnyTfvGLw8A2wu/3sf7x+93/2Py4/+95/</t>
        </is>
      </c>
      <c r="DL6" s="0" t="inlineStr">
        <is>
          <t>ABC67l/6r97/tH7v32+f+5v+xX4yp+2x939zemyWN5vd4vNbnu/uLu7PS2W+5u782m1Op+2u6/xK//p9b53/vDDd977QV77K/lOuFs95ztht/Od8OXfCcvtcXP9q+JhcbPebBab/fq82J9O58V2eVlvz+vlZXl7+Rq/E35z+WR5c/ON79Sv7ut8H3z49KPnfRvcbp4Hwmr1vO+D7va/1TPb2aMFcHXb/uYv3wCfWSMfbYCru5esgPW3PvOn5hf70/Nw+Ov8Kfr05+e7h+sGmT/BPvuu+f7bT777re88+qFl/8iF9Dc/+6HnPPXJO/cP/+XyTv3+f87v9c3Pf6+//6s/+/i//OHf/d8//eT3//uj3+Fhw/l063vr5vQg6HKzON4u94vN+na7OBxvjovT6nxc79bb3W598+iA/PN9PeTTHeeZbffzP8I3vv/+24+3m/pVf3bTWz/3xzzzfdP+gN/7B9N8gX/w7pPD6fTwk/zJex/96PiKX+Cf/fm//9l/+suf/e1//Pjf/q8Xf4HP98vt7d394rS+Xy42y9Nxcbwsr1we747L3eW83i6Pb+ILvPEFvn6BH/6nV//yfvzv/uBnf/4/XvjlXe2Ou9N6db/Ybh4WocPutDicVpvFzeZmc9hf7u/uTruXfnmf/c0R62f/h6/gq7/9lf3qXz567/Rwh8O7T87v3V+3xSfHw7uH907nJz9ev9K3wic/+YuP//qvHv7zp7//yU/++JOf/LcXfkPs73er9f3d9vpTfXVZbG5u7xbH++X5qvpxublqf7s8rF77G+L2K/+GuPUN8fgbYvNK3xB/99N/9TrfEPfH2835cr5+L1xurt8Vp81xcXd//Qv+/nw83V4259vd+vDa3xDbV/+GeOvt5aPjn/MNsZzrLxDP+2nwnO+GF/+wb77oh7Vf4+12dVpfbu4Xu/3husVdDsvF/ni+W+xWp/3q9rI6r0+Xr/Vr/I1X+xrPteW92a/x7m6/323O28X99pq3m+3NbnG3250Xd6u7w/1+s7v+xD51APudL/HP/SXe7Lf703p3WVzud9efxsvN+kr17maxOu5vTrvlZXfY9PAl3vsS/9xf4tVqe7u83+8X691+/fALl5fF4by+fokvm/Vlud7f3i/vOvgSL5e+xj/31/i82S3329urz5vbzXXjuj8t7i6n28V2f97crQ+n9fbm8ab3S/gar17za1z/ny/5G6xf7fdAnvsaX/dff+fdD89P/9HT9z/68aPbPOdGP+etmj/Kq98t/1j5fXk9Ivel9+6f+2Ne9oYvecebfsuj9/zWo1+1+tInffE79ws/8Euf/YKn/0LPf/2Xv8br84d+8+k71z/OO4f8+wXvf/itf/nR4d0X/g7fOTw9/Gj5ur968PiIVf4C4Mt/3Pr5aDznBz75jfc+/RX2l/34f/be4env/taPz08PH77/9FPU3nrry36H3/vSo3zJX/DrA4+PGOhL/vzf8C+e9z8/58c+j5GXEfJVy/kLovklfxHIH9d+A337nR8++lXjz39g/cb5nR9/9uvML/7B+S3y8f/+D3/3N3/093/1Z5/8xf958Q9/yXfK63yXvMZ3yPNBGPQL+MKf/s1X8N3DBx8+eff82+eX/OD8Cn7yR4/+zt6zP+qX9IV7zk/VL/5PX/gxj3bZX3v7eb+4+iq76Nf7qb72Bo9+yevh1zm/7FZf0QcAj8fd+rTc3i22h+01HrerazyutsvF/ub+cDrfns/rwzNbwRc/APjW7rjdHZZ358Xd/frhY4Tb42J/uDkvbvb79fqwPN9sz8/8zcBnPyL41m51c3daH3eL1e7+brFZb8+L435/WuzuVufL5bS82y+f+ZtNr/Uhws3jP+7nf3N49ej3/PK/e/z4U4TLZz5y8Ev4GOH3X+FjhG//k1978vb3yt/3+/s//a+f/MnfPvn+2y/+bOFbn3+U5En5Pb7kh3/+ScNX+IN8/uHDR39+xvkE8uaZD50+/gjy4++mn+MTKJv1IytG+gTK977dyydQtpeby+3y/rJYnu5uFpvby1Wnm81+cbM87O82h/v9afnor7K/lE+gbFYD/YrX63yBv+ZPoBxuN7c359X1LxiX3fU/TpfV4nhZrxer7fqyO17/gnbav/yXPN/EJ1B+Jb7AX/knUNbH2/3t8bRf3B3Pu8XmbnO3OF6/vov1+n65WZ+2x7vj4w86fA1f3pd+xGTaL+8HH13/tx+cnz45PXzw9lW+uJ/8yU9/9pd/+P/+9K9f7Wfw+nz9ibo/bBfru+vP281+d1wc7zbb60/j/WV7f9zcb9Yv/wXtr+BLvPMlfuWfv+2X+BV+Fm9Oh+1mfzoubta3x+tqf3NaHA7XtFjf3Vy2N8v9cXX78r8Kf7HzvvrPkb30Y0Pzfgecf/Cwyz95ev7R4ekPX+Nb4Gf/828+/s//+oVf/MvhuNvdXPaL+4dPB22O16/7YXe4LHbLm/V2c7e8nPdv5EPAL/3swLRf3fv3Tx/ll/f00dNrMp9+99Ut//jf/PHHP/396//97M//4CUfBLuifX+5f/iHZE6La/tf4/9mdf2P8+3N5n592m1WL/90wVfx9x1vfJk//zL/Ip8JLV/5V/kI4GZz2p1uz4vN/fGaWMf9cXG4PW8W68NqfdmvNrebZQ+fCX35hw6m/cZ4058Svlz/un5zv7lZ7G/Xh2uTHXeL/f2V/eP+ZnNe7/bL86WLj6G89CMKQ31HvNmPoSzvtqvDeb9e3NznPx273S2uf5nfLi4358P9zXV/Xx1f/k9+vIGv8Vy/8PJmv8anu/PDP+Zxuzhcdg+f8N6fFnen5Wqx3e8uq9Vhdbu82ffwNZ7r117e8Ad/j4fVZbm8vwr98E9w3d0fHv4Rn+v/e7zsbm4vy8vl8vLt/A18jeeq8zf7NT7uDqf94XZ9/Sm83lw3tNuHD/Df3y5uD/fXvzbf7u5vXmE3fwNf47n6+w3/9Xh12t7v7paL9Wq5W2yWd6fFYXl3XOx2y9PyfFyvL3evv3N9Df+Qxq9uhb/pfzRre/X7uoivF9vj8m6xuT3vF8f1+Wax3W0Oy+P6sLn5OTa0r+EfzXrpB/6/8B1R/x8fFPZBYR8U9kHhF/x4HxT2QeEXf8mf/xt8UDh/XPsN9M333/vw8M57H/iw8MMM+kX0YeEX/piXfVj403X/VfbRuT8sfL4573c3u83i/u5yzc3L7eXhl3/vFzer83q/uuyPu9Uzf5l49GHh893dZndzs1wczw9/j+BwPiwOm/1ycb+6HI+r5Wq13z37ad9nPyy8vD/dHS7b1eIatw+/+/1usT/s7xa79c329nR3utsun/2w8mt8WHj9xX9taNsiu0e/5+t8WHj1zKdDfxkfFn7mb8W98oeFv/ftN/Bh4S/8QV7/w8Llv7zo31342Q/t5tPEuxf/C413X8m/0Xj3K/qvNN6fV9vV/nS72G0vpytSm/1i//DvMdmcHj5xtt7e7FaXFyH1df0rjXcv+HcaP/u1em1g1r9kX17h32n85f/SYv+CcyB8rSDsNpv1/v5qwXb18G+r2p7uF8f1ar1Y3+xv7raX8+Zu9Uv5d5zPDMIrLBxPVi/eLn61QVi9GIT1VwLC6lcThO3dzem0Wx8X2/Pt7WKzPO8Xh+PpZnG6LG9Ou4d/uOD2hRnztYGwfAEIj/8SMBQIr/CPKz78+8A/eElxvOjH1Mx4/KMmksGqoB1mWh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4f+zX8c0AAAgDMD8u+bgYBKA1AAZz7L2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t>
        </is>
      </c>
      <c r="DM6" s="0" t="inlineStr">
        <is>
          <t>ABC+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EOxX8c0AAAgDMD8u+bgYBKA1AAZz7Ky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t>
        </is>
      </c>
      <c r="DN6" s="0" t="inlineStr">
        <is>
          <t>ABC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t>
        </is>
      </c>
      <c r="DO6" s="0" t="inlineStr">
        <is>
          <t>AB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kKxX8c0AAAgDMD8u+bgYBKA1AAZz7Ky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t>
        </is>
      </c>
      <c r="DP6" s="0" t="inlineStr">
        <is>
          <t>ABC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odivYxoAABAGYP5dc3AwCUBqgIxnWdc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t>
        </is>
      </c>
      <c r="DQ6" s="0" t="inlineStr">
        <is>
          <t>ABC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UOzXMQ0AAAgDMP+uOTiYBCA1QMazrA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t>
        </is>
      </c>
      <c r="DR6" s="0" t="inlineStr">
        <is>
          <t>ABC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t>
        </is>
      </c>
      <c r="DS6" s="0" t="inlineStr">
        <is>
          <t>ABC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UOzXsQ0AAARFwf23Vij8EZBbQGheHD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t>
        </is>
      </c>
      <c r="DT6" s="0" t="inlineStr">
        <is>
          <t>ABC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Riv45tAABCGIjtvzVFChgBkBd48c0p/j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t>
        </is>
      </c>
      <c r="DU6" s="0" t="inlineStr">
        <is>
          <t>ABC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xQ7dfByuaHVQbwvdB7KNlHkpCOZGmrUsFqSAuupHw6X6Q06cikVQQ3uim41gsQF7qK3ZVCizdjJN6Fk3mcnpM03RU85/DbDMP3fpw55/2/7zPPr0+9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t>
        </is>
      </c>
      <c r="DV6" s="0" t="inlineStr">
        <is>
          <t>ABC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t/tkL+8+hS+9u0fffjhw/O/fXne7//gsz+/+CH83K+8/Bj+6vv22u++9+5nK76Mg+89fu479dq7z5/95fOHD//gex988I3nzz766L3H97/17OnnNkte/V9WfWlO/emz599/9+GvHp//9u89vv/wow9++PIJfi6Sfvkrr96IV1+Ox6dP/+Lt9x9ff3jrrbdff/vJkzdef3j42tuvv/HknadvPn7tydP33/rle/fi2D//zrMfPnzwa9+LvPzyW98/JK9955tfeEtefQj+5NvvfvXvvvrHb373xX/Wn/z4F5/+x99/8tOPP/n5P3z6b//6Pz/+x9r1oz96EXVf/Pf+8KOvP398+P7TZ3/zgy++9OKr9I0XmfHZx+PJG69++OI78uqH77zz6odf+lTee/zw2V8/Pv3S1+5/KPqav/lH/l//+fF//9PPPv34J5/84p8//Zd//40847d+58uesUc84xG/6Rn/2mf8ld/6s/8F</t>
        </is>
      </c>
    </row>
    <row r="10">
      <c r="F10" s="0">
        <f>#REF!</f>
        <v/>
      </c>
      <c r="G10" s="0" t="inlineStr">
        <is>
          <t>0c1d5614-b719-4375-ab0b-c2eb36356630</t>
        </is>
      </c>
    </row>
    <row r="11">
      <c r="A11" s="1" t="n">
        <v>102</v>
      </c>
      <c r="F11" s="0">
        <f>#REF!</f>
        <v/>
      </c>
      <c r="G11" s="0" t="inlineStr">
        <is>
          <t>0ed1578d-c3d1-41cb-bf1a-0b8b16fe351b</t>
        </is>
      </c>
    </row>
    <row r="12">
      <c r="F12" s="0">
        <f>#REF!</f>
        <v/>
      </c>
      <c r="G12" s="0" t="inlineStr">
        <is>
          <t>26b6c32d-5456-4a6c-ac24-0404a9fd88c6</t>
        </is>
      </c>
    </row>
    <row r="13">
      <c r="F13" s="0">
        <f>#REF!</f>
        <v/>
      </c>
      <c r="G13" s="0" t="inlineStr">
        <is>
          <t>9d623d85-412f-4078-bd1e-abb140c171a2</t>
        </is>
      </c>
    </row>
    <row r="14">
      <c r="F14" s="0">
        <f>#REF!</f>
        <v/>
      </c>
      <c r="G14" s="0" t="inlineStr">
        <is>
          <t>db74efef-4f05-4c4b-8d14-9ebc7f4e763a</t>
        </is>
      </c>
    </row>
    <row r="15">
      <c r="A15" s="1" t="n">
        <v>34</v>
      </c>
      <c r="F15" s="0">
        <f>#REF!</f>
        <v/>
      </c>
      <c r="G15" s="0" t="inlineStr">
        <is>
          <t>689964e5-d5ce-4506-866e-828ad946c4bc</t>
        </is>
      </c>
      <c r="R15" s="0">
        <f>#REF!</f>
        <v/>
      </c>
      <c r="S15" s="0" t="inlineStr">
        <is>
          <t>4aa8172f-bebf-428a-9d40-18ed13d529d9</t>
        </is>
      </c>
    </row>
    <row r="16">
      <c r="F16" s="0">
        <f>#REF!</f>
        <v/>
      </c>
      <c r="G16" s="0" t="inlineStr">
        <is>
          <t>4959c36f-fd69-4143-8d60-2b90c61f6a4c</t>
        </is>
      </c>
      <c r="R16" s="0">
        <f>#REF!</f>
        <v/>
      </c>
      <c r="S16" s="0" t="inlineStr">
        <is>
          <t>dd1e28ba-81f1-40db-909c-26609433bb85</t>
        </is>
      </c>
    </row>
    <row r="17">
      <c r="F17" s="0">
        <f>#REF!</f>
        <v/>
      </c>
      <c r="G17" s="0" t="inlineStr">
        <is>
          <t>22571d99-3693-465f-ae30-2f43f1397d18</t>
        </is>
      </c>
      <c r="R17" s="0">
        <f>#REF!</f>
        <v/>
      </c>
      <c r="S17" s="0" t="inlineStr">
        <is>
          <t>b4884ca6-2039-4441-9b03-287adfed6a07</t>
        </is>
      </c>
    </row>
    <row r="18">
      <c r="F18" s="0">
        <f>#REF!</f>
        <v/>
      </c>
      <c r="G18" s="0" t="inlineStr">
        <is>
          <t>e4619576-8474-4cdc-8fc7-59e483ac3504</t>
        </is>
      </c>
      <c r="R18" s="0">
        <f>#REF!</f>
        <v/>
      </c>
      <c r="S18" s="0" t="inlineStr">
        <is>
          <t>28b6083d-dc79-4094-a62c-6b73750656e4</t>
        </is>
      </c>
    </row>
    <row r="19">
      <c r="F19" s="0">
        <f>#REF!</f>
        <v/>
      </c>
      <c r="G19" s="0" t="inlineStr">
        <is>
          <t>552c3f0d-69a9-4fa1-9be8-62c927f2e3cf</t>
        </is>
      </c>
      <c r="R19" s="0">
        <f>#REF!</f>
        <v/>
      </c>
      <c r="S19" s="0" t="inlineStr">
        <is>
          <t>13def8fe-7e41-41fa-b5a7-b6f1b2e2d8fa</t>
        </is>
      </c>
    </row>
    <row r="20">
      <c r="F20" s="0">
        <f>#REF!</f>
        <v/>
      </c>
      <c r="G20" s="0" t="inlineStr">
        <is>
          <t>5f0f71df-1c80-47fe-8049-01a984ad9c1d</t>
        </is>
      </c>
      <c r="R20" s="0">
        <f>#REF!</f>
        <v/>
      </c>
      <c r="S20" s="0" t="inlineStr">
        <is>
          <t>7afcc3d8-9f45-4912-8a96-e0d2b277a1be</t>
        </is>
      </c>
    </row>
    <row r="21">
      <c r="F21" s="0">
        <f>#REF!</f>
        <v/>
      </c>
      <c r="G21" s="0" t="inlineStr">
        <is>
          <t>a7470e28-4f68-4cf2-bf33-253f6b3c1c98</t>
        </is>
      </c>
      <c r="R21" s="0">
        <f>#REF!</f>
        <v/>
      </c>
      <c r="S21" s="0" t="inlineStr">
        <is>
          <t>6b56a18e-8d3e-445b-9a0e-09933a1e05eb</t>
        </is>
      </c>
    </row>
    <row r="22">
      <c r="F22" s="0">
        <f>#REF!</f>
        <v/>
      </c>
      <c r="G22" s="0" t="inlineStr">
        <is>
          <t>3b797bc9-8be6-4848-bbf3-33d143c5b8b3</t>
        </is>
      </c>
      <c r="R22" s="0">
        <f>#REF!</f>
        <v/>
      </c>
      <c r="S22" s="0" t="inlineStr">
        <is>
          <t>6208c3b6-26d8-435e-b99c-682effc18916</t>
        </is>
      </c>
    </row>
    <row r="23">
      <c r="F23" s="0">
        <f>#REF!</f>
        <v/>
      </c>
      <c r="G23" s="0" t="inlineStr">
        <is>
          <t>3ef6b9a5-3833-496b-b845-bf9f5db4d434</t>
        </is>
      </c>
      <c r="R23" s="0">
        <f>#REF!</f>
        <v/>
      </c>
      <c r="S23" s="0" t="inlineStr">
        <is>
          <t>e8846001-be3a-4aea-a491-d2fbb2122966</t>
        </is>
      </c>
    </row>
    <row r="24">
      <c r="F24" s="0">
        <f>#REF!</f>
        <v/>
      </c>
      <c r="G24" s="0" t="inlineStr">
        <is>
          <t>4ca549cb-037b-430c-aa51-380f5019b27d</t>
        </is>
      </c>
      <c r="R24" s="0">
        <f>#REF!</f>
        <v/>
      </c>
      <c r="S24" s="0" t="inlineStr">
        <is>
          <t>1dc8af52-c1ea-4ad6-9a98-63057c8c8513</t>
        </is>
      </c>
    </row>
    <row r="25">
      <c r="F25" s="0">
        <f>#REF!</f>
        <v/>
      </c>
      <c r="G25" s="0" t="inlineStr">
        <is>
          <t>fab660f9-dc4b-4b51-a6af-61035481fe90</t>
        </is>
      </c>
      <c r="R25" s="0">
        <f>#REF!</f>
        <v/>
      </c>
      <c r="S25" s="0" t="inlineStr">
        <is>
          <t>783e1890-b601-4298-aa18-6179e238c645</t>
        </is>
      </c>
    </row>
    <row r="26">
      <c r="F26" s="0">
        <f>#REF!</f>
        <v/>
      </c>
      <c r="G26" s="0" t="inlineStr">
        <is>
          <t>dbb84dfd-190c-45bb-902b-9e704d3c642c</t>
        </is>
      </c>
      <c r="R26" s="0">
        <f>#REF!</f>
        <v/>
      </c>
      <c r="S26" s="0" t="inlineStr">
        <is>
          <t>482e0bcd-32c9-4c96-b524-ce853ad5ee66</t>
        </is>
      </c>
    </row>
    <row r="27">
      <c r="F27" s="0">
        <f>#REF!</f>
        <v/>
      </c>
      <c r="G27" s="0" t="inlineStr">
        <is>
          <t>d44c6c7e-4db0-4b9b-a7e4-3a23f9247412</t>
        </is>
      </c>
      <c r="R27" s="0">
        <f>#REF!</f>
        <v/>
      </c>
      <c r="S27" s="0" t="inlineStr">
        <is>
          <t>e0fa5039-ad71-4881-b58b-304d7a53cd7e</t>
        </is>
      </c>
    </row>
    <row r="28">
      <c r="F28" s="0">
        <f>#REF!</f>
        <v/>
      </c>
      <c r="G28" s="0" t="inlineStr">
        <is>
          <t>f3800d40-973a-4cb6-9d51-b904e3691ef8</t>
        </is>
      </c>
      <c r="R28" s="0">
        <f>#REF!</f>
        <v/>
      </c>
      <c r="S28" s="0" t="inlineStr">
        <is>
          <t>625a02e1-5e82-41ef-b44c-1b268f3fe5d2</t>
        </is>
      </c>
    </row>
    <row r="29">
      <c r="F29" s="0">
        <f>#REF!</f>
        <v/>
      </c>
      <c r="G29" s="0" t="inlineStr">
        <is>
          <t>56073803-5b18-47e9-b3e0-564a1b3a40bb</t>
        </is>
      </c>
      <c r="R29" s="0">
        <f>#REF!</f>
        <v/>
      </c>
      <c r="S29" s="0" t="inlineStr">
        <is>
          <t>dcfdac53-b669-43c3-9157-026b15cd0915</t>
        </is>
      </c>
    </row>
    <row r="30">
      <c r="F30" s="0">
        <f>#REF!</f>
        <v/>
      </c>
      <c r="G30" s="0" t="inlineStr">
        <is>
          <t>52f0b29d-081d-4168-93bb-65e2ab693a66</t>
        </is>
      </c>
      <c r="R30" s="0">
        <f>#REF!</f>
        <v/>
      </c>
      <c r="S30" s="0" t="inlineStr">
        <is>
          <t>487d7efa-d6b4-4b0a-b9e7-b962353d8ecc</t>
        </is>
      </c>
    </row>
    <row r="31">
      <c r="F31" s="0">
        <f>#REF!</f>
        <v/>
      </c>
      <c r="G31" s="0" t="inlineStr">
        <is>
          <t>96a250db-1922-486b-a688-3a5361161662</t>
        </is>
      </c>
      <c r="R31" s="0">
        <f>'N.00 Lead sheet'!#REF!</f>
        <v/>
      </c>
      <c r="S31" s="0" t="inlineStr">
        <is>
          <t>18f18d6f-1d32-44e2-b5fc-a36f90976bb9</t>
        </is>
      </c>
    </row>
    <row r="32">
      <c r="F32" s="0">
        <f>#REF!</f>
        <v/>
      </c>
      <c r="G32" s="0" t="inlineStr">
        <is>
          <t>1852ae93-0d62-4256-b665-f0ead08452bb</t>
        </is>
      </c>
      <c r="R32" s="0">
        <f>'N.00 Lead sheet'!#REF!</f>
        <v/>
      </c>
      <c r="S32" s="0" t="inlineStr">
        <is>
          <t>ed82514b-5183-4b54-8d85-257a77ac1f54</t>
        </is>
      </c>
    </row>
    <row r="33">
      <c r="F33" s="0">
        <f>#REF!</f>
        <v/>
      </c>
      <c r="G33" s="0" t="inlineStr">
        <is>
          <t>c8e4a9f7-af6f-4f9c-8c12-596f22a27109</t>
        </is>
      </c>
      <c r="R33" s="0">
        <f>'N.00 Lead sheet'!#REF!</f>
        <v/>
      </c>
      <c r="S33" s="0" t="inlineStr">
        <is>
          <t>160fa604-87ef-4905-9773-31a2e9d26d94</t>
        </is>
      </c>
    </row>
    <row r="34">
      <c r="F34" s="0">
        <f>#REF!</f>
        <v/>
      </c>
      <c r="G34" s="0" t="inlineStr">
        <is>
          <t>6ba2f11d-9dd1-48da-ac2d-9bf607f1fff0</t>
        </is>
      </c>
      <c r="R34" s="0">
        <f>'N.00 Lead sheet'!#REF!</f>
        <v/>
      </c>
      <c r="S34" s="0" t="inlineStr">
        <is>
          <t>3b6dee10-70aa-4085-8c6b-95ffc977b79b</t>
        </is>
      </c>
    </row>
    <row r="35">
      <c r="F35" s="0">
        <f>#REF!</f>
        <v/>
      </c>
      <c r="G35" s="0" t="inlineStr">
        <is>
          <t>b6ac9a73-4f34-4b71-9bd7-7adcb676d02c</t>
        </is>
      </c>
    </row>
    <row r="36">
      <c r="F36" s="0">
        <f>#REF!</f>
        <v/>
      </c>
      <c r="G36" s="0" t="inlineStr">
        <is>
          <t>12c5d681-3216-418c-a18b-661c1eb33f88</t>
        </is>
      </c>
    </row>
    <row r="37">
      <c r="F37" s="0">
        <f>#REF!</f>
        <v/>
      </c>
      <c r="G37" s="0" t="inlineStr">
        <is>
          <t>234d2168-9826-4d25-ba37-ed08e1ae0aab</t>
        </is>
      </c>
    </row>
    <row r="38">
      <c r="F38" s="0">
        <f>#REF!</f>
        <v/>
      </c>
      <c r="G38" s="0" t="inlineStr">
        <is>
          <t>ce3b9236-86d6-40b5-8185-57af9fc4da99</t>
        </is>
      </c>
    </row>
    <row r="39">
      <c r="F39" s="0">
        <f>#REF!</f>
        <v/>
      </c>
      <c r="G39" s="0" t="inlineStr">
        <is>
          <t>c5708e83-e8f3-4c06-96cd-69e27a89637f</t>
        </is>
      </c>
    </row>
    <row r="40">
      <c r="F40" s="0">
        <f>#REF!</f>
        <v/>
      </c>
      <c r="G40" s="0" t="inlineStr">
        <is>
          <t>398ea5a8-6c4e-4358-b5d4-a1b87036c8fd</t>
        </is>
      </c>
    </row>
    <row r="41">
      <c r="F41" s="0">
        <f>#REF!</f>
        <v/>
      </c>
      <c r="G41" s="0" t="inlineStr">
        <is>
          <t>4bb7c75a-c80c-4144-8e6c-c754bf51b61f</t>
        </is>
      </c>
    </row>
    <row r="42">
      <c r="F42" s="0">
        <f>#REF!</f>
        <v/>
      </c>
      <c r="G42" s="0" t="inlineStr">
        <is>
          <t>b959fed2-9578-406a-b998-252b17674eda</t>
        </is>
      </c>
    </row>
    <row r="43">
      <c r="F43" s="0">
        <f>#REF!</f>
        <v/>
      </c>
      <c r="G43" s="0" t="inlineStr">
        <is>
          <t>22253777-cde4-4b5b-b981-ab79d68251ec</t>
        </is>
      </c>
    </row>
    <row r="44">
      <c r="F44" s="0">
        <f>#REF!</f>
        <v/>
      </c>
      <c r="G44" s="0" t="inlineStr">
        <is>
          <t>d6c05b82-167e-4305-b9e7-fd7bd6569c7f</t>
        </is>
      </c>
    </row>
    <row r="45">
      <c r="F45" s="0">
        <f>#REF!</f>
        <v/>
      </c>
      <c r="G45" s="0" t="inlineStr">
        <is>
          <t>dfb12828-0b5c-4f25-88f5-086a4fd07901</t>
        </is>
      </c>
    </row>
    <row r="46">
      <c r="F46" s="0">
        <f>#REF!</f>
        <v/>
      </c>
      <c r="G46" s="0" t="inlineStr">
        <is>
          <t>91b18949-d720-42b7-ad75-5b5db8f35567</t>
        </is>
      </c>
    </row>
    <row r="47">
      <c r="F47" s="0">
        <f>#REF!</f>
        <v/>
      </c>
      <c r="G47" s="0" t="inlineStr">
        <is>
          <t>1ca60eba-d2f9-465c-abf4-19096b1464d3</t>
        </is>
      </c>
    </row>
    <row r="48">
      <c r="F48" s="0">
        <f>#REF!</f>
        <v/>
      </c>
      <c r="G48" s="0" t="inlineStr">
        <is>
          <t>5157e35a-c93a-4995-b56d-c99b68f90981</t>
        </is>
      </c>
    </row>
    <row r="49">
      <c r="F49" s="0">
        <f>#REF!</f>
        <v/>
      </c>
      <c r="G49" s="0" t="inlineStr">
        <is>
          <t>464b96a0-8de1-41bc-80c3-11557c7b305a</t>
        </is>
      </c>
    </row>
    <row r="50">
      <c r="F50" s="0">
        <f>#REF!</f>
        <v/>
      </c>
      <c r="G50" s="0" t="inlineStr">
        <is>
          <t>179b73f8-59f8-4a8f-9190-efb2626873db</t>
        </is>
      </c>
    </row>
    <row r="51">
      <c r="F51" s="0">
        <f>#REF!</f>
        <v/>
      </c>
      <c r="G51" s="0" t="inlineStr">
        <is>
          <t>0a78da83-d4dc-4024-94e4-5f2854834912</t>
        </is>
      </c>
    </row>
    <row r="52">
      <c r="F52" s="0">
        <f>#REF!</f>
        <v/>
      </c>
      <c r="G52" s="0" t="inlineStr">
        <is>
          <t>ce39da16-2ab3-40a4-8095-f68c8bd26a2f</t>
        </is>
      </c>
    </row>
    <row r="53">
      <c r="F53" s="0">
        <f>#REF!</f>
        <v/>
      </c>
      <c r="G53" s="0" t="inlineStr">
        <is>
          <t>c74234c6-b84c-424f-9341-04c80799954a</t>
        </is>
      </c>
    </row>
    <row r="54">
      <c r="F54" s="0">
        <f>#REF!</f>
        <v/>
      </c>
      <c r="G54" s="0" t="inlineStr">
        <is>
          <t>b11b7060-e455-4e15-93b4-3ea59fe6ef4c</t>
        </is>
      </c>
    </row>
    <row r="55">
      <c r="F55" s="0">
        <f>'N.03 截止测试'!#REF!</f>
        <v/>
      </c>
      <c r="G55" s="0" t="inlineStr">
        <is>
          <t>7ab64df1-8648-4d27-bc11-4ec98def67e7</t>
        </is>
      </c>
    </row>
    <row r="56">
      <c r="F56" s="0">
        <f>'N.03 截止测试'!#REF!</f>
        <v/>
      </c>
      <c r="G56" s="0" t="inlineStr">
        <is>
          <t>eb387db5-811b-4cc5-b5cd-6df3e675c8d8</t>
        </is>
      </c>
    </row>
    <row r="57">
      <c r="F57" s="0">
        <f>'N.03 截止测试'!#REF!</f>
        <v/>
      </c>
      <c r="G57" s="0" t="inlineStr">
        <is>
          <t>d3ef5377-fe87-4dbc-8b00-7b00cced4b79</t>
        </is>
      </c>
    </row>
    <row r="58">
      <c r="F58" s="0">
        <f>'N.03 截止测试'!#REF!</f>
        <v/>
      </c>
      <c r="G58" s="0" t="inlineStr">
        <is>
          <t>8cd0b9dd-d09e-46cb-9099-543bd4d79a77</t>
        </is>
      </c>
    </row>
    <row r="59">
      <c r="F59" s="0">
        <f>'N.03 截止测试'!#REF!</f>
        <v/>
      </c>
      <c r="G59" s="0" t="inlineStr">
        <is>
          <t>f94f06a5-6a73-491c-865a-631536d6729f</t>
        </is>
      </c>
    </row>
    <row r="60">
      <c r="F60" s="0">
        <f>'N.03 截止测试'!#REF!</f>
        <v/>
      </c>
      <c r="G60" s="0" t="inlineStr">
        <is>
          <t>d80419ce-33eb-433e-b73d-6b70774a566f</t>
        </is>
      </c>
    </row>
    <row r="61">
      <c r="F61" s="0">
        <f>'N.03 截止测试'!#REF!</f>
        <v/>
      </c>
      <c r="G61" s="0" t="inlineStr">
        <is>
          <t>aa9ecb0d-ec47-4302-8b8d-6a79bc8f1456</t>
        </is>
      </c>
    </row>
    <row r="62">
      <c r="F62" s="0">
        <f>'N.03 截止测试'!#REF!</f>
        <v/>
      </c>
      <c r="G62" s="0" t="inlineStr">
        <is>
          <t>e54c2393-2c15-4937-bf5b-20252c488fd6</t>
        </is>
      </c>
    </row>
    <row r="63">
      <c r="F63" s="0">
        <f>'N.03 截止测试'!#REF!</f>
        <v/>
      </c>
      <c r="G63" s="0" t="inlineStr">
        <is>
          <t>ff4fb21f-8e41-4fd4-83c9-e1c4ffc8c99f</t>
        </is>
      </c>
    </row>
    <row r="64">
      <c r="F64" s="0">
        <f>'N.03 截止测试'!#REF!</f>
        <v/>
      </c>
      <c r="G64" s="0" t="inlineStr">
        <is>
          <t>cccd48d4-51b8-466e-a206-ce9be336f22a</t>
        </is>
      </c>
    </row>
    <row r="65">
      <c r="F65" s="0">
        <f>'N.03 截止测试'!#REF!</f>
        <v/>
      </c>
      <c r="G65" s="0" t="inlineStr">
        <is>
          <t>6dac5168-7b11-43cf-a281-c691dd1b8b44</t>
        </is>
      </c>
    </row>
    <row r="66">
      <c r="F66" s="0">
        <f>'N.03 截止测试'!#REF!</f>
        <v/>
      </c>
      <c r="G66" s="0" t="inlineStr">
        <is>
          <t>3f8cafd9-360f-4a34-bf6c-121509c03887</t>
        </is>
      </c>
    </row>
    <row r="67">
      <c r="F67" s="0">
        <f>'N.03 截止测试'!#REF!</f>
        <v/>
      </c>
      <c r="G67" s="0" t="inlineStr">
        <is>
          <t>2b145555-bd79-47b3-856b-259185c383b0</t>
        </is>
      </c>
    </row>
    <row r="68">
      <c r="F68" s="0">
        <f>'N.03 截止测试'!#REF!</f>
        <v/>
      </c>
      <c r="G68" s="0" t="inlineStr">
        <is>
          <t>3a7d64c9-f994-4354-b225-7503e738bbb0</t>
        </is>
      </c>
    </row>
    <row r="69">
      <c r="F69" s="0">
        <f>'N.03 截止测试'!#REF!</f>
        <v/>
      </c>
      <c r="G69" s="0" t="inlineStr">
        <is>
          <t>5683dff8-3224-41af-89a5-5118db40f95f</t>
        </is>
      </c>
    </row>
    <row r="70">
      <c r="F70" s="0">
        <f>'N.03 截止测试'!#REF!</f>
        <v/>
      </c>
      <c r="G70" s="0" t="inlineStr">
        <is>
          <t>922e077f-92f9-4f4f-93ac-8a5689fc02e7</t>
        </is>
      </c>
    </row>
    <row r="71">
      <c r="F71" s="0">
        <f>'N.03 截止测试'!#REF!</f>
        <v/>
      </c>
      <c r="G71" s="0" t="inlineStr">
        <is>
          <t>ead358eb-a4c9-4e01-a638-03513e38a2b5</t>
        </is>
      </c>
    </row>
    <row r="72">
      <c r="F72" s="0">
        <f>'N.03 截止测试'!#REF!</f>
        <v/>
      </c>
      <c r="G72" s="0" t="inlineStr">
        <is>
          <t>bbd0705c-b00c-40ce-9065-119b84dd71be</t>
        </is>
      </c>
    </row>
    <row r="73">
      <c r="F73" s="0">
        <f>'N.03 截止测试'!#REF!</f>
        <v/>
      </c>
      <c r="G73" s="0" t="inlineStr">
        <is>
          <t>5c30ae2d-6d41-4ff8-a411-5f897ce61216</t>
        </is>
      </c>
    </row>
    <row r="74">
      <c r="F74" s="0">
        <f>'N.03 截止测试'!#REF!</f>
        <v/>
      </c>
      <c r="G74" s="0" t="inlineStr">
        <is>
          <t>c7c9a683-e94f-40fb-9572-0dd3dc50115d</t>
        </is>
      </c>
    </row>
    <row r="75">
      <c r="F75" s="0">
        <f>'N.03 截止测试'!#REF!</f>
        <v/>
      </c>
      <c r="G75" s="0" t="inlineStr">
        <is>
          <t>3af9b26d-d651-4ee2-8874-8f2890688466</t>
        </is>
      </c>
    </row>
    <row r="76">
      <c r="F76" s="0">
        <f>'N.03 截止测试'!#REF!</f>
        <v/>
      </c>
      <c r="G76" s="0" t="inlineStr">
        <is>
          <t>b3fd2119-e7f3-4c28-99f2-486a798d345a</t>
        </is>
      </c>
    </row>
    <row r="77">
      <c r="F77" s="0">
        <f>'N.03 截止测试'!#REF!</f>
        <v/>
      </c>
      <c r="G77" s="0" t="inlineStr">
        <is>
          <t>0e003c5b-4188-463b-86f8-0690cf0046be</t>
        </is>
      </c>
    </row>
    <row r="78">
      <c r="F78" s="0">
        <f>'N.03 截止测试'!#REF!</f>
        <v/>
      </c>
      <c r="G78" s="0" t="inlineStr">
        <is>
          <t>a700e625-bc68-41da-ba2a-126ace1f25a8</t>
        </is>
      </c>
    </row>
    <row r="79">
      <c r="F79" s="0">
        <f>'N.03 截止测试'!#REF!</f>
        <v/>
      </c>
      <c r="G79" s="0" t="inlineStr">
        <is>
          <t>d5361656-61c6-49cb-9b7b-6c0d3a8bb1ad</t>
        </is>
      </c>
    </row>
    <row r="80">
      <c r="F80" s="0">
        <f>'N.03 截止测试'!#REF!</f>
        <v/>
      </c>
      <c r="G80" s="0" t="inlineStr">
        <is>
          <t>f0a1fe97-7dfa-4c80-9f52-903af60dbd35</t>
        </is>
      </c>
    </row>
    <row r="81">
      <c r="F81" s="0">
        <f>#REF!</f>
        <v/>
      </c>
      <c r="G81" s="0" t="inlineStr">
        <is>
          <t>79325a34-d3dc-45f4-b760-86d0a32c8362</t>
        </is>
      </c>
    </row>
    <row r="82">
      <c r="F82" s="0">
        <f>'N.03 截止测试'!#REF!</f>
        <v/>
      </c>
      <c r="G82" s="0" t="inlineStr">
        <is>
          <t>11be7677-adc9-4c5f-8af6-c4f076353d07</t>
        </is>
      </c>
    </row>
    <row r="93">
      <c r="F93" s="0">
        <f>'N.00 Lead sheet'!#REF!</f>
        <v/>
      </c>
      <c r="G93" s="0" t="inlineStr">
        <is>
          <t>a8b58c94-90d7-4151-8c57-b0a0967486af</t>
        </is>
      </c>
    </row>
    <row r="94">
      <c r="F94" s="0">
        <f>'N.00 Lead sheet'!#REF!</f>
        <v/>
      </c>
      <c r="G94" s="0" t="inlineStr">
        <is>
          <t>82ce88dd-6a81-4332-bc06-8e54af5df5b0</t>
        </is>
      </c>
    </row>
    <row r="95">
      <c r="F95" s="0">
        <f>'N.00 Lead sheet'!#REF!</f>
        <v/>
      </c>
      <c r="G95" s="0" t="inlineStr">
        <is>
          <t>d8095dab-7f4c-4fe2-b664-7afb72f59298</t>
        </is>
      </c>
    </row>
    <row r="96">
      <c r="F96" s="0">
        <f>'N.00 Lead sheet'!#REF!</f>
        <v/>
      </c>
      <c r="G96" s="0" t="inlineStr">
        <is>
          <t>02c11b5a-74b7-48fb-9c42-a65c5c295b27</t>
        </is>
      </c>
    </row>
    <row r="97">
      <c r="F97" s="0">
        <f>'N.00 Lead sheet'!#REF!</f>
        <v/>
      </c>
      <c r="G97" s="0" t="inlineStr">
        <is>
          <t>4755e4f9-4374-4bed-a644-22c547cfecb0</t>
        </is>
      </c>
    </row>
    <row r="98">
      <c r="F98" s="0">
        <f>'N.00 Lead sheet'!#REF!</f>
        <v/>
      </c>
      <c r="G98" s="0" t="inlineStr">
        <is>
          <t>e3f4373d-e874-467d-b378-40e6f5c59aeb</t>
        </is>
      </c>
    </row>
    <row r="99">
      <c r="F99" s="0">
        <f>'N.00 Lead sheet'!#REF!</f>
        <v/>
      </c>
      <c r="G99" s="0" t="inlineStr">
        <is>
          <t>2bfe7a7a-63fa-4a68-937a-345381c69512</t>
        </is>
      </c>
    </row>
    <row r="100">
      <c r="F100" s="0">
        <f>'N.00 Lead sheet'!#REF!</f>
        <v/>
      </c>
      <c r="G100" s="0" t="inlineStr">
        <is>
          <t>93c05a6b-293f-442f-9ad0-41f3846507e2</t>
        </is>
      </c>
    </row>
    <row r="101">
      <c r="F101" s="0">
        <f>'N.00 Lead sheet'!#REF!</f>
        <v/>
      </c>
      <c r="G101" s="0" t="inlineStr">
        <is>
          <t>07290702-d941-425d-8b91-723fedf780a7</t>
        </is>
      </c>
    </row>
    <row r="102">
      <c r="F102" s="0">
        <f>'N.00 Lead sheet'!#REF!</f>
        <v/>
      </c>
      <c r="G102" s="0" t="inlineStr">
        <is>
          <t>b1982b0b-39b0-4f86-8496-bdf572cac346</t>
        </is>
      </c>
    </row>
  </sheetData>
  <pageMargins left="0.7" right="0.7" top="0.75" bottom="0.75" header="0.3" footer="0.3"/>
  <pageSetup orientation="portrait"/>
</worksheet>
</file>

<file path=xl/worksheets/sheet9.xml><?xml version="1.0" encoding="utf-8"?>
<worksheet xmlns="http://schemas.openxmlformats.org/spreadsheetml/2006/main">
  <sheetPr>
    <outlinePr summaryBelow="1" summaryRight="1"/>
    <pageSetUpPr/>
  </sheetPr>
  <dimension ref="A1:AV8"/>
  <sheetViews>
    <sheetView workbookViewId="0">
      <selection activeCell="A1" sqref="A1"/>
    </sheetView>
  </sheetViews>
  <sheetFormatPr baseColWidth="8" defaultRowHeight="14.25"/>
  <cols>
    <col width="12.5" bestFit="1" customWidth="1" style="634" min="17" max="17"/>
    <col width="8.75" bestFit="1" customWidth="1" style="634" min="20" max="20"/>
    <col width="12.5" bestFit="1" customWidth="1" style="634" min="37" max="37"/>
    <col width="8.75" bestFit="1" customWidth="1" style="634" min="40" max="40"/>
    <col width="12.5" bestFit="1" customWidth="1" style="634" min="41" max="41"/>
    <col width="8.75" bestFit="1" customWidth="1" style="634" min="44" max="44"/>
  </cols>
  <sheetData>
    <row r="1">
      <c r="A1" s="0" t="inlineStr">
        <is>
          <t>fa3cbc80-6baa-4302-8a87-f7fb63c17ca5</t>
        </is>
      </c>
      <c r="B1" s="0" t="inlineStr">
        <is>
          <t>VZTN83DQ0PNV1SC86TPFW2CC99KYK2XZ14KACGNDYCRQJ22XYD90</t>
        </is>
      </c>
      <c r="C1" s="0" t="inlineStr">
        <is>
          <t>Tony XD Dong</t>
        </is>
      </c>
      <c r="D1" s="0" t="n">
        <v>7</v>
      </c>
      <c r="E1" s="0" t="n">
        <v>1750122331480</v>
      </c>
      <c r="F1" s="0" t="inlineStr">
        <is>
          <t>YG0DNYWJ8NZCWJNY2PCG8613MM6FEXYYHF70GAHMCNX0Q9Y2QFBG</t>
        </is>
      </c>
      <c r="G1" s="0" t="inlineStr">
        <is>
          <t>Danny YF Deng</t>
        </is>
      </c>
      <c r="H1" s="0" t="n">
        <v>0</v>
      </c>
      <c r="I1" s="0" t="n">
        <v>1751610980233</v>
      </c>
      <c r="J1" s="0" t="inlineStr">
        <is>
          <t>K5ZAXJ2E9XP125K3V6VCZ229PXMT9QCYE231BYVH63CK85DC0770</t>
        </is>
      </c>
      <c r="K1" s="0" t="inlineStr">
        <is>
          <t>Margo Bo</t>
        </is>
      </c>
      <c r="L1" s="0" t="n">
        <v>0</v>
      </c>
      <c r="M1" s="0" t="n">
        <v>1752894159861</v>
      </c>
      <c r="N1" s="0" t="inlineStr">
        <is>
          <t>G7KX5FMG1R3QH83GQBFZHN3Z9N294HNAAMSW34CTJT51MC4J8R8G</t>
        </is>
      </c>
      <c r="O1" s="0" t="inlineStr">
        <is>
          <t>Barry B Li</t>
        </is>
      </c>
      <c r="P1" s="0" t="n">
        <v>0</v>
      </c>
      <c r="Q1" s="0" t="n">
        <v>1753064493301</v>
      </c>
      <c r="R1" s="0" t="inlineStr">
        <is>
          <t>Q775XYNM7JGDVAMWSN3NR5KKNQM5NY4YPDM7W5EXVBGM3AB475NG</t>
        </is>
      </c>
      <c r="S1" s="0" t="inlineStr">
        <is>
          <t>Maikey Jin</t>
        </is>
      </c>
      <c r="T1" s="0" t="n">
        <v>0</v>
      </c>
      <c r="U1" s="0" t="n">
        <v>1753670870641</v>
      </c>
      <c r="V1" s="0" t="inlineStr">
        <is>
          <t>NJCBKWVS3J4F3HCA2MJBBCQ6HKD0ZSBEP3AX4S89TK4M9EY3DH60</t>
        </is>
      </c>
      <c r="W1" s="0" t="inlineStr">
        <is>
          <t>Phoebe YH Wang</t>
        </is>
      </c>
      <c r="X1" s="0" t="n">
        <v>0</v>
      </c>
      <c r="Y1" s="0" t="n">
        <v>1753929300694</v>
      </c>
      <c r="Z1" s="0" t="inlineStr">
        <is>
          <t>9QKVRYJWFZ38Q15SSC9F8R37HJH3965E74F5R92CN1PGMMZQECQ0</t>
        </is>
      </c>
      <c r="AA1" s="0" t="inlineStr">
        <is>
          <t>Dan Y Yao</t>
        </is>
      </c>
      <c r="AB1" s="0" t="n">
        <v>0</v>
      </c>
      <c r="AC1" s="0" t="n">
        <v>1754231570087</v>
      </c>
      <c r="AD1" s="0" t="inlineStr">
        <is>
          <t>T5WMV5MGJB59WZ0K302MPWMWM5G98C28W9B39WCZBPJXG5847NB0</t>
        </is>
      </c>
      <c r="AE1" s="0" t="inlineStr">
        <is>
          <t>Grace YT Dai</t>
        </is>
      </c>
      <c r="AF1" s="0" t="n">
        <v>0</v>
      </c>
      <c r="AG1" s="0" t="n">
        <v>1754622215229</v>
      </c>
      <c r="AH1" s="0" t="inlineStr">
        <is>
          <t>MQFDQD6SPH3FMJP2N0PQQ3N4PZ6XNH4T373A7HWSDE5TZ4A7V1DG</t>
        </is>
      </c>
      <c r="AI1" s="0" t="inlineStr">
        <is>
          <t>Zelda Zhang</t>
        </is>
      </c>
      <c r="AJ1" s="0" t="n">
        <v>0</v>
      </c>
      <c r="AK1" s="0" t="n">
        <v>1754908369003</v>
      </c>
      <c r="AL1" s="0" t="inlineStr">
        <is>
          <t>6MHDXJSY0EZ4FTY38FAWS1RBQMJ5SQF0K82YD6H5SGJP9T080D20</t>
        </is>
      </c>
      <c r="AM1" s="0" t="inlineStr">
        <is>
          <t>Esther WY Wang</t>
        </is>
      </c>
      <c r="AN1" s="0" t="n">
        <v>0</v>
      </c>
      <c r="AO1" s="0" t="n">
        <v>1755583113654</v>
      </c>
      <c r="AP1" s="0" t="inlineStr">
        <is>
          <t>ESRXDMFF301213JT3ZH9F7ZDSK4QQHFF3A9ZCB0821P05Y900W90</t>
        </is>
      </c>
      <c r="AQ1" s="0" t="inlineStr">
        <is>
          <t>Alina Ye</t>
        </is>
      </c>
      <c r="AR1" s="0" t="n">
        <v>0</v>
      </c>
      <c r="AS1" s="0" t="n">
        <v>1755843303948</v>
      </c>
      <c r="AT1" s="0" t="inlineStr">
        <is>
          <t>1P2X1MX3XYWCZ8E2MX2Y07YGB3MV287QRPBD8BFP4A63CGJFS7B0</t>
        </is>
      </c>
      <c r="AU1" s="0" t="inlineStr">
        <is>
          <t>Evelyn Z Zhao</t>
        </is>
      </c>
      <c r="AV1" s="0" t="n">
        <v>0</v>
      </c>
    </row>
    <row r="2">
      <c r="A2" s="0" t="n">
        <v>1748585561355</v>
      </c>
      <c r="B2" s="0" t="inlineStr">
        <is>
          <t>Create</t>
        </is>
      </c>
      <c r="C2" s="0" t="inlineStr">
        <is>
          <t>e7785d87-b682-482e-a159-fe0e639e953f</t>
        </is>
      </c>
      <c r="D2" s="0" t="inlineStr">
        <is>
          <t>{"id":"e7785d87-b682-482e-a159-fe0e639e953f","type":1,"name":"workbookId","value":"c21f929e-0173-4ea4-a1cf-db50a5afa408"}</t>
        </is>
      </c>
    </row>
    <row r="3">
      <c r="A3" s="0" t="n">
        <v>1748585561356</v>
      </c>
      <c r="B3" s="0" t="inlineStr">
        <is>
          <t>Create</t>
        </is>
      </c>
      <c r="C3" s="0" t="inlineStr">
        <is>
          <t>1876fc14-bd5a-44ec-911a-255e9e63e861</t>
        </is>
      </c>
      <c r="D3" s="0" t="inlineStr">
        <is>
          <t>{"id":"1876fc14-bd5a-44ec-911a-255e9e63e861","type":0,"name":"dataSnipperSheetDeleted","value":"false"}</t>
        </is>
      </c>
    </row>
    <row r="4">
      <c r="A4" s="0" t="n">
        <v>1748585561356</v>
      </c>
      <c r="B4" s="0" t="inlineStr">
        <is>
          <t>Create</t>
        </is>
      </c>
      <c r="C4" s="0" t="inlineStr">
        <is>
          <t>a39a968e-c881-4c8e-97b4-ebceef18d2a2</t>
        </is>
      </c>
      <c r="D4" s="0" t="inlineStr">
        <is>
          <t>{"id":"a39a968e-c881-4c8e-97b4-ebceef18d2a2","type":0,"name":"embed-documents","value":"false"}</t>
        </is>
      </c>
    </row>
    <row r="5">
      <c r="A5" s="0" t="n">
        <v>1748585561356</v>
      </c>
      <c r="B5" s="0" t="inlineStr">
        <is>
          <t>Create</t>
        </is>
      </c>
      <c r="C5" s="0" t="inlineStr">
        <is>
          <t>c7d281ae-769b-4ecb-96a6-e3a5ac273429</t>
        </is>
      </c>
      <c r="D5" s="0" t="inlineStr">
        <is>
          <t>{"id":"c7d281ae-769b-4ecb-96a6-e3a5ac273429","type":0,"name":"table-snip-suggestions","value":"true"}</t>
        </is>
      </c>
    </row>
    <row r="6">
      <c r="A6" s="0" t="n">
        <v>1748585561356</v>
      </c>
      <c r="B6" s="0" t="inlineStr">
        <is>
          <t>Create</t>
        </is>
      </c>
      <c r="C6" s="0" t="inlineStr">
        <is>
          <t>c4ce4c64-519b-4c7d-a240-ff0aa00e17bd</t>
        </is>
      </c>
      <c r="D6" s="0" t="inlineStr">
        <is>
          <t>{"id":"c4ce4c64-519b-4c7d-a240-ff0aa00e17bd","type":1,"name":"migratedFssProjectId","value":""}</t>
        </is>
      </c>
    </row>
    <row r="7">
      <c r="A7" s="0" t="n">
        <v>1748585561364</v>
      </c>
      <c r="B7" s="0" t="inlineStr">
        <is>
          <t>Create</t>
        </is>
      </c>
      <c r="C7" s="0" t="inlineStr">
        <is>
          <t>e7785d87-b682-482e-a159-fe0e639e953f</t>
        </is>
      </c>
      <c r="D7" s="0" t="inlineStr">
        <is>
          <t>{"id":"e7785d87-b682-482e-a159-fe0e639e953f","type":1,"name":"workbookId","value":"2467d5f5-7552-4c0e-859f-558468e903dc"}</t>
        </is>
      </c>
    </row>
    <row r="8">
      <c r="A8" s="0" t="n">
        <v>1748585561365</v>
      </c>
      <c r="B8" s="0" t="inlineStr">
        <is>
          <t>Create</t>
        </is>
      </c>
      <c r="C8" s="0" t="inlineStr">
        <is>
          <t>a39a968e-c881-4c8e-97b4-ebceef18d2a2</t>
        </is>
      </c>
      <c r="D8" s="0" t="inlineStr">
        <is>
          <t>{"id":"a39a968e-c881-4c8e-97b4-ebceef18d2a2","type":0,"name":"embed-documents","value":"true"}</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4.25"/>
  <cols>
    <col width="12.5" bestFit="1" customWidth="1" style="634" min="17" max="17"/>
    <col width="8.75" bestFit="1" customWidth="1" style="634" min="20" max="20"/>
    <col width="12.5" bestFit="1" customWidth="1" style="634" min="37" max="37"/>
    <col width="8.75" bestFit="1" customWidth="1" style="634" min="40" max="40"/>
    <col width="12.5" bestFit="1" customWidth="1" style="634" min="41" max="41"/>
    <col width="8.75" bestFit="1" customWidth="1" style="634" min="44" max="44"/>
  </cols>
  <sheetData>
    <row r="1">
      <c r="A1" s="0" t="inlineStr">
        <is>
          <t>ffd713b1-9af1-48a2-8863-2da7898409aa</t>
        </is>
      </c>
      <c r="B1" s="0" t="inlineStr">
        <is>
          <t>VZTN83DQ0PNV1SC86TPFW2CC99KYK2XZ14KACGNDYCRQJ22XYD90</t>
        </is>
      </c>
      <c r="C1" s="0" t="inlineStr">
        <is>
          <t>Tony XD Dong</t>
        </is>
      </c>
      <c r="D1" s="0" t="n">
        <v>0</v>
      </c>
      <c r="E1" s="0" t="n">
        <v>1750122332471</v>
      </c>
      <c r="F1" s="0" t="inlineStr">
        <is>
          <t>YG0DNYWJ8NZCWJNY2PCG8613MM6FEXYYHF70GAHMCNX0Q9Y2QFBG</t>
        </is>
      </c>
      <c r="G1" s="0" t="inlineStr">
        <is>
          <t>Danny YF Deng</t>
        </is>
      </c>
      <c r="H1" s="0" t="n">
        <v>0</v>
      </c>
      <c r="I1" s="0" t="n">
        <v>1751610980273</v>
      </c>
      <c r="J1" s="0" t="inlineStr">
        <is>
          <t>K5ZAXJ2E9XP125K3V6VCZ229PXMT9QCYE231BYVH63CK85DC0770</t>
        </is>
      </c>
      <c r="K1" s="0" t="inlineStr">
        <is>
          <t>Margo Bo</t>
        </is>
      </c>
      <c r="L1" s="0" t="n">
        <v>0</v>
      </c>
      <c r="M1" s="0" t="n">
        <v>1752894160249</v>
      </c>
      <c r="N1" s="0" t="inlineStr">
        <is>
          <t>G7KX5FMG1R3QH83GQBFZHN3Z9N294HNAAMSW34CTJT51MC4J8R8G</t>
        </is>
      </c>
      <c r="O1" s="0" t="inlineStr">
        <is>
          <t>Barry B Li</t>
        </is>
      </c>
      <c r="P1" s="0" t="n">
        <v>0</v>
      </c>
      <c r="Q1" s="0" t="n">
        <v>1753064494156</v>
      </c>
      <c r="R1" s="0" t="inlineStr">
        <is>
          <t>Q775XYNM7JGDVAMWSN3NR5KKNQM5NY4YPDM7W5EXVBGM3AB475NG</t>
        </is>
      </c>
      <c r="S1" s="0" t="inlineStr">
        <is>
          <t>Maikey Jin</t>
        </is>
      </c>
      <c r="T1" s="0" t="n">
        <v>0</v>
      </c>
      <c r="U1" s="0" t="n">
        <v>1753670870723</v>
      </c>
      <c r="V1" s="0" t="inlineStr">
        <is>
          <t>NJCBKWVS3J4F3HCA2MJBBCQ6HKD0ZSBEP3AX4S89TK4M9EY3DH60</t>
        </is>
      </c>
      <c r="W1" s="0" t="inlineStr">
        <is>
          <t>Phoebe YH Wang</t>
        </is>
      </c>
      <c r="X1" s="0" t="n">
        <v>0</v>
      </c>
      <c r="Y1" s="0" t="n">
        <v>1753929300761</v>
      </c>
      <c r="Z1" s="0" t="inlineStr">
        <is>
          <t>9QKVRYJWFZ38Q15SSC9F8R37HJH3965E74F5R92CN1PGMMZQECQ0</t>
        </is>
      </c>
      <c r="AA1" s="0" t="inlineStr">
        <is>
          <t>Dan Y Yao</t>
        </is>
      </c>
      <c r="AB1" s="0" t="n">
        <v>0</v>
      </c>
      <c r="AC1" s="0" t="n">
        <v>1754231570092</v>
      </c>
      <c r="AD1" s="0" t="inlineStr">
        <is>
          <t>T5WMV5MGJB59WZ0K302MPWMWM5G98C28W9B39WCZBPJXG5847NB0</t>
        </is>
      </c>
      <c r="AE1" s="0" t="inlineStr">
        <is>
          <t>Grace YT Dai</t>
        </is>
      </c>
      <c r="AF1" s="0" t="n">
        <v>0</v>
      </c>
      <c r="AG1" s="0" t="n">
        <v>1754622215241</v>
      </c>
      <c r="AH1" s="0" t="inlineStr">
        <is>
          <t>MQFDQD6SPH3FMJP2N0PQQ3N4PZ6XNH4T373A7HWSDE5TZ4A7V1DG</t>
        </is>
      </c>
      <c r="AI1" s="0" t="inlineStr">
        <is>
          <t>Zelda Zhang</t>
        </is>
      </c>
      <c r="AJ1" s="0" t="n">
        <v>0</v>
      </c>
      <c r="AK1" s="0" t="n">
        <v>1754908369170</v>
      </c>
      <c r="AL1" s="0" t="inlineStr">
        <is>
          <t>6MHDXJSY0EZ4FTY38FAWS1RBQMJ5SQF0K82YD6H5SGJP9T080D20</t>
        </is>
      </c>
      <c r="AM1" s="0" t="inlineStr">
        <is>
          <t>Esther WY Wang</t>
        </is>
      </c>
      <c r="AN1" s="0" t="n">
        <v>0</v>
      </c>
      <c r="AO1" s="0" t="n">
        <v>1755583113685</v>
      </c>
      <c r="AP1" s="0" t="inlineStr">
        <is>
          <t>ESRXDMFF301213JT3ZH9F7ZDSK4QQHFF3A9ZCB0821P05Y900W90</t>
        </is>
      </c>
      <c r="AQ1" s="0" t="inlineStr">
        <is>
          <t>Alina Ye</t>
        </is>
      </c>
      <c r="AR1" s="0" t="n">
        <v>0</v>
      </c>
      <c r="AS1" s="0" t="n">
        <v>1755843304072</v>
      </c>
      <c r="AT1" s="0" t="inlineStr">
        <is>
          <t>1P2X1MX3XYWCZ8E2MX2Y07YGB3MV287QRPBD8BFP4A63CGJFS7B0</t>
        </is>
      </c>
      <c r="AU1" s="0" t="inlineStr">
        <is>
          <t>Evelyn Z Zhao</t>
        </is>
      </c>
      <c r="AV1" s="0" t="n">
        <v>0</v>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4.25"/>
  <cols>
    <col width="12.5" bestFit="1" customWidth="1" style="634" min="17" max="17"/>
    <col width="8.75" bestFit="1" customWidth="1" style="634" min="20" max="20"/>
    <col width="12.5" bestFit="1" customWidth="1" style="634" min="37" max="37"/>
    <col width="8.75" bestFit="1" customWidth="1" style="634" min="40" max="40"/>
    <col width="12.5" bestFit="1" customWidth="1" style="634" min="41" max="41"/>
    <col width="8.75" bestFit="1" customWidth="1" style="634" min="44" max="44"/>
  </cols>
  <sheetData>
    <row r="1">
      <c r="A1" s="0" t="inlineStr">
        <is>
          <t>274beda0-5518-436e-b3b2-259f5e17eca4</t>
        </is>
      </c>
      <c r="B1" s="0" t="inlineStr">
        <is>
          <t>VZTN83DQ0PNV1SC86TPFW2CC99KYK2XZ14KACGNDYCRQJ22XYD90</t>
        </is>
      </c>
      <c r="C1" s="0" t="inlineStr">
        <is>
          <t>Tony XD Dong</t>
        </is>
      </c>
      <c r="D1" s="0" t="n">
        <v>0</v>
      </c>
      <c r="E1" s="0" t="n">
        <v>1750122332538</v>
      </c>
      <c r="F1" s="0" t="inlineStr">
        <is>
          <t>YG0DNYWJ8NZCWJNY2PCG8613MM6FEXYYHF70GAHMCNX0Q9Y2QFBG</t>
        </is>
      </c>
      <c r="G1" s="0" t="inlineStr">
        <is>
          <t>Danny YF Deng</t>
        </is>
      </c>
      <c r="H1" s="0" t="n">
        <v>0</v>
      </c>
      <c r="I1" s="0" t="n">
        <v>1751610980289</v>
      </c>
      <c r="J1" s="0" t="inlineStr">
        <is>
          <t>K5ZAXJ2E9XP125K3V6VCZ229PXMT9QCYE231BYVH63CK85DC0770</t>
        </is>
      </c>
      <c r="K1" s="0" t="inlineStr">
        <is>
          <t>Margo Bo</t>
        </is>
      </c>
      <c r="L1" s="0" t="n">
        <v>0</v>
      </c>
      <c r="M1" s="0" t="n">
        <v>1752894160287</v>
      </c>
      <c r="N1" s="0" t="inlineStr">
        <is>
          <t>G7KX5FMG1R3QH83GQBFZHN3Z9N294HNAAMSW34CTJT51MC4J8R8G</t>
        </is>
      </c>
      <c r="O1" s="0" t="inlineStr">
        <is>
          <t>Barry B Li</t>
        </is>
      </c>
      <c r="P1" s="0" t="n">
        <v>0</v>
      </c>
      <c r="Q1" s="0" t="n">
        <v>1753064494161</v>
      </c>
      <c r="R1" s="0" t="inlineStr">
        <is>
          <t>Q775XYNM7JGDVAMWSN3NR5KKNQM5NY4YPDM7W5EXVBGM3AB475NG</t>
        </is>
      </c>
      <c r="S1" s="0" t="inlineStr">
        <is>
          <t>Maikey Jin</t>
        </is>
      </c>
      <c r="T1" s="0" t="n">
        <v>0</v>
      </c>
      <c r="U1" s="0" t="n">
        <v>1753670871023</v>
      </c>
      <c r="V1" s="0" t="inlineStr">
        <is>
          <t>NJCBKWVS3J4F3HCA2MJBBCQ6HKD0ZSBEP3AX4S89TK4M9EY3DH60</t>
        </is>
      </c>
      <c r="W1" s="0" t="inlineStr">
        <is>
          <t>Phoebe YH Wang</t>
        </is>
      </c>
      <c r="X1" s="0" t="n">
        <v>0</v>
      </c>
      <c r="Y1" s="0" t="n">
        <v>1753929300911</v>
      </c>
      <c r="Z1" s="0" t="inlineStr">
        <is>
          <t>9QKVRYJWFZ38Q15SSC9F8R37HJH3965E74F5R92CN1PGMMZQECQ0</t>
        </is>
      </c>
      <c r="AA1" s="0" t="inlineStr">
        <is>
          <t>Dan Y Yao</t>
        </is>
      </c>
      <c r="AB1" s="0" t="n">
        <v>0</v>
      </c>
      <c r="AC1" s="0" t="n">
        <v>1754231570092</v>
      </c>
      <c r="AD1" s="0" t="inlineStr">
        <is>
          <t>T5WMV5MGJB59WZ0K302MPWMWM5G98C28W9B39WCZBPJXG5847NB0</t>
        </is>
      </c>
      <c r="AE1" s="0" t="inlineStr">
        <is>
          <t>Grace YT Dai</t>
        </is>
      </c>
      <c r="AF1" s="0" t="n">
        <v>0</v>
      </c>
      <c r="AG1" s="0" t="n">
        <v>1754622215247</v>
      </c>
      <c r="AH1" s="0" t="inlineStr">
        <is>
          <t>MQFDQD6SPH3FMJP2N0PQQ3N4PZ6XNH4T373A7HWSDE5TZ4A7V1DG</t>
        </is>
      </c>
      <c r="AI1" s="0" t="inlineStr">
        <is>
          <t>Zelda Zhang</t>
        </is>
      </c>
      <c r="AJ1" s="0" t="n">
        <v>0</v>
      </c>
      <c r="AK1" s="0" t="n">
        <v>1754908369250</v>
      </c>
      <c r="AL1" s="0" t="inlineStr">
        <is>
          <t>6MHDXJSY0EZ4FTY38FAWS1RBQMJ5SQF0K82YD6H5SGJP9T080D20</t>
        </is>
      </c>
      <c r="AM1" s="0" t="inlineStr">
        <is>
          <t>Esther WY Wang</t>
        </is>
      </c>
      <c r="AN1" s="0" t="n">
        <v>0</v>
      </c>
      <c r="AO1" s="0" t="n">
        <v>1755583113715</v>
      </c>
      <c r="AP1" s="0" t="inlineStr">
        <is>
          <t>ESRXDMFF301213JT3ZH9F7ZDSK4QQHFF3A9ZCB0821P05Y900W90</t>
        </is>
      </c>
      <c r="AQ1" s="0" t="inlineStr">
        <is>
          <t>Alina Ye</t>
        </is>
      </c>
      <c r="AR1" s="0" t="n">
        <v>0</v>
      </c>
      <c r="AS1" s="0" t="n">
        <v>1755843304383</v>
      </c>
      <c r="AT1" s="0" t="inlineStr">
        <is>
          <t>1P2X1MX3XYWCZ8E2MX2Y07YGB3MV287QRPBD8BFP4A63CGJFS7B0</t>
        </is>
      </c>
      <c r="AU1" s="0" t="inlineStr">
        <is>
          <t>Evelyn Z Zhao</t>
        </is>
      </c>
      <c r="AV1" s="0" t="n">
        <v>0</v>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4.25"/>
  <cols>
    <col width="12.5" bestFit="1" customWidth="1" style="634" min="17" max="17"/>
    <col width="8.75" bestFit="1" customWidth="1" style="634" min="20" max="20"/>
    <col width="12.5" bestFit="1" customWidth="1" style="634" min="37" max="37"/>
    <col width="8.75" bestFit="1" customWidth="1" style="634" min="40" max="40"/>
    <col width="12.5" bestFit="1" customWidth="1" style="634" min="41" max="41"/>
    <col width="8.75" bestFit="1" customWidth="1" style="634" min="44" max="44"/>
  </cols>
  <sheetData>
    <row r="1">
      <c r="A1" s="0" t="inlineStr">
        <is>
          <t>e329b5f6-2a62-4d23-9056-a1799579c52e</t>
        </is>
      </c>
      <c r="B1" s="0" t="inlineStr">
        <is>
          <t>VZTN83DQ0PNV1SC86TPFW2CC99KYK2XZ14KACGNDYCRQJ22XYD90</t>
        </is>
      </c>
      <c r="C1" s="0" t="inlineStr">
        <is>
          <t>Tony XD Dong</t>
        </is>
      </c>
      <c r="D1" s="0" t="n">
        <v>0</v>
      </c>
      <c r="E1" s="0" t="n">
        <v>1750122332595</v>
      </c>
      <c r="F1" s="0" t="inlineStr">
        <is>
          <t>YG0DNYWJ8NZCWJNY2PCG8613MM6FEXYYHF70GAHMCNX0Q9Y2QFBG</t>
        </is>
      </c>
      <c r="G1" s="0" t="inlineStr">
        <is>
          <t>Danny YF Deng</t>
        </is>
      </c>
      <c r="H1" s="0" t="n">
        <v>0</v>
      </c>
      <c r="I1" s="0" t="n">
        <v>1751610980319</v>
      </c>
      <c r="J1" s="0" t="inlineStr">
        <is>
          <t>K5ZAXJ2E9XP125K3V6VCZ229PXMT9QCYE231BYVH63CK85DC0770</t>
        </is>
      </c>
      <c r="K1" s="0" t="inlineStr">
        <is>
          <t>Margo Bo</t>
        </is>
      </c>
      <c r="L1" s="0" t="n">
        <v>0</v>
      </c>
      <c r="M1" s="0" t="n">
        <v>1752894160338</v>
      </c>
      <c r="N1" s="0" t="inlineStr">
        <is>
          <t>G7KX5FMG1R3QH83GQBFZHN3Z9N294HNAAMSW34CTJT51MC4J8R8G</t>
        </is>
      </c>
      <c r="O1" s="0" t="inlineStr">
        <is>
          <t>Barry B Li</t>
        </is>
      </c>
      <c r="P1" s="0" t="n">
        <v>0</v>
      </c>
      <c r="Q1" s="0" t="n">
        <v>1753064494176</v>
      </c>
      <c r="R1" s="0" t="inlineStr">
        <is>
          <t>Q775XYNM7JGDVAMWSN3NR5KKNQM5NY4YPDM7W5EXVBGM3AB475NG</t>
        </is>
      </c>
      <c r="S1" s="0" t="inlineStr">
        <is>
          <t>Maikey Jin</t>
        </is>
      </c>
      <c r="T1" s="0" t="n">
        <v>0</v>
      </c>
      <c r="U1" s="0" t="n">
        <v>1753670871031</v>
      </c>
      <c r="V1" s="0" t="inlineStr">
        <is>
          <t>NJCBKWVS3J4F3HCA2MJBBCQ6HKD0ZSBEP3AX4S89TK4M9EY3DH60</t>
        </is>
      </c>
      <c r="W1" s="0" t="inlineStr">
        <is>
          <t>Phoebe YH Wang</t>
        </is>
      </c>
      <c r="X1" s="0" t="n">
        <v>0</v>
      </c>
      <c r="Y1" s="0" t="n">
        <v>1753929300911</v>
      </c>
      <c r="Z1" s="0" t="inlineStr">
        <is>
          <t>9QKVRYJWFZ38Q15SSC9F8R37HJH3965E74F5R92CN1PGMMZQECQ0</t>
        </is>
      </c>
      <c r="AA1" s="0" t="inlineStr">
        <is>
          <t>Dan Y Yao</t>
        </is>
      </c>
      <c r="AB1" s="0" t="n">
        <v>0</v>
      </c>
      <c r="AC1" s="0" t="n">
        <v>1754231570092</v>
      </c>
      <c r="AD1" s="0" t="inlineStr">
        <is>
          <t>T5WMV5MGJB59WZ0K302MPWMWM5G98C28W9B39WCZBPJXG5847NB0</t>
        </is>
      </c>
      <c r="AE1" s="0" t="inlineStr">
        <is>
          <t>Grace YT Dai</t>
        </is>
      </c>
      <c r="AF1" s="0" t="n">
        <v>0</v>
      </c>
      <c r="AG1" s="0" t="n">
        <v>1754622215250</v>
      </c>
      <c r="AH1" s="0" t="inlineStr">
        <is>
          <t>MQFDQD6SPH3FMJP2N0PQQ3N4PZ6XNH4T373A7HWSDE5TZ4A7V1DG</t>
        </is>
      </c>
      <c r="AI1" s="0" t="inlineStr">
        <is>
          <t>Zelda Zhang</t>
        </is>
      </c>
      <c r="AJ1" s="0" t="n">
        <v>0</v>
      </c>
      <c r="AK1" s="0" t="n">
        <v>1754908369338</v>
      </c>
      <c r="AL1" s="0" t="inlineStr">
        <is>
          <t>6MHDXJSY0EZ4FTY38FAWS1RBQMJ5SQF0K82YD6H5SGJP9T080D20</t>
        </is>
      </c>
      <c r="AM1" s="0" t="inlineStr">
        <is>
          <t>Esther WY Wang</t>
        </is>
      </c>
      <c r="AN1" s="0" t="n">
        <v>0</v>
      </c>
      <c r="AO1" s="0" t="n">
        <v>1755583113752</v>
      </c>
      <c r="AP1" s="0" t="inlineStr">
        <is>
          <t>ESRXDMFF301213JT3ZH9F7ZDSK4QQHFF3A9ZCB0821P05Y900W90</t>
        </is>
      </c>
      <c r="AQ1" s="0" t="inlineStr">
        <is>
          <t>Alina Ye</t>
        </is>
      </c>
      <c r="AR1" s="0" t="n">
        <v>0</v>
      </c>
      <c r="AS1" s="0" t="n">
        <v>1755843304394</v>
      </c>
      <c r="AT1" s="0" t="inlineStr">
        <is>
          <t>1P2X1MX3XYWCZ8E2MX2Y07YGB3MV287QRPBD8BFP4A63CGJFS7B0</t>
        </is>
      </c>
      <c r="AU1" s="0" t="inlineStr">
        <is>
          <t>Evelyn Z Zhao</t>
        </is>
      </c>
      <c r="AV1" s="0" t="n">
        <v>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Helen HL Qiao</dc:creator>
  <dc:title>Skywind_N_应付账款_20191231_测试账套穿透模板1.xlsx</dc:title>
  <dc:description>10124938-818F-4C5F-A38C-5EC3345A3A16</dc:description>
  <dcterms:created xsi:type="dcterms:W3CDTF">2019-08-16T09:12:00Z</dcterms:created>
  <dcterms:modified xsi:type="dcterms:W3CDTF">2026-05-28T08:02:42Z</dcterms:modified>
  <cp:lastModifiedBy>Dan Y Yao</cp:lastModifiedBy>
  <cp:keywords>Final Audit.V6.N.0901</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y name="ICV" fmtid="{D5CDD505-2E9C-101B-9397-08002B2CF9AE}" pid="3">
    <vt:lpwstr>DAB51CA01B73440982348705B3F4B6B0</vt:lpwstr>
  </property>
  <property name="KSOProductBuildVer" fmtid="{D5CDD505-2E9C-101B-9397-08002B2CF9AE}" pid="4">
    <vt:lpwstr>2052-11.1.0.12358</vt:lpwstr>
  </property>
</Properties>
</file>
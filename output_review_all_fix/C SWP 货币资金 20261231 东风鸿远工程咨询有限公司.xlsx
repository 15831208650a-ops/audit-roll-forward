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55">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yyyy-mm-dd h:mm:ss"/>
    <numFmt numFmtId="218" formatCode="yyyy/mm/dd"/>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81">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218" fontId="0" fillId="0" borderId="0"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218" fontId="62" fillId="4" borderId="13" applyAlignment="1" pivotButton="0" quotePrefix="0" xfId="0">
      <alignment horizontal="right" vertical="center"/>
    </xf>
    <xf numFmtId="0" fontId="0" fillId="0" borderId="13" pivotButton="0" quotePrefix="0" xfId="0"/>
    <xf numFmtId="0" fontId="0" fillId="0" borderId="85" pivotButton="0" quotePrefix="0" xfId="0"/>
    <xf numFmtId="218" fontId="16" fillId="4" borderId="13" applyAlignment="1" pivotButton="0" quotePrefix="0" xfId="0">
      <alignment horizontal="right" vertical="center"/>
    </xf>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218" fontId="16" fillId="7" borderId="32" applyAlignment="1" applyProtection="1" pivotButton="0" quotePrefix="0" xfId="0">
      <alignment horizontal="center" vertical="center"/>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218" fontId="15" fillId="0" borderId="0" applyAlignment="1" pivotButton="0" quotePrefix="0" xfId="0">
      <alignment horizontal="left" vertical="center"/>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c r="J14" s="744" t="n">
        <v>46387</v>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5" t="inlineStr">
        <is>
          <t>标准工作底稿: C SWP 货币资金</t>
        </is>
      </c>
      <c r="C1" s="746" t="n"/>
      <c r="D1" s="746" t="n"/>
      <c r="E1" s="746" t="n"/>
      <c r="F1" s="746" t="n"/>
      <c r="G1" s="746" t="n"/>
      <c r="H1" s="746" t="n"/>
      <c r="I1" s="746" t="n"/>
      <c r="J1" s="746" t="n"/>
      <c r="K1" s="746" t="n"/>
      <c r="L1" s="746" t="n"/>
      <c r="M1" s="746" t="n"/>
      <c r="N1" s="746" t="n"/>
      <c r="O1" s="746" t="n"/>
      <c r="P1" s="747" t="n"/>
      <c r="R1" s="40" t="n"/>
    </row>
    <row r="2" ht="15" customFormat="1" customHeight="1" s="1">
      <c r="B2" s="148" t="inlineStr">
        <is>
          <t>客户名称</t>
        </is>
      </c>
      <c r="C2" s="259" t="inlineStr">
        <is>
          <t>东风鸿远工程咨询有限公司</t>
        </is>
      </c>
      <c r="D2" s="748" t="inlineStr">
        <is>
          <t>此工作底稿需要与以下 Canvas PSP guided workflow forms一起使用：
     • C.00 Cash lead sheet
     • C.01 Bank confirmations
     • C.02 Bank reconciliations
     • C.03 Cash cutoff
     • Account conclusion</t>
        </is>
      </c>
      <c r="E2" s="749" t="n"/>
      <c r="F2" s="749" t="n"/>
      <c r="G2" s="749" t="n"/>
      <c r="H2" s="749" t="n"/>
      <c r="I2" s="749" t="n"/>
      <c r="J2" s="749" t="n"/>
      <c r="K2" s="749" t="n"/>
      <c r="L2" s="749" t="n"/>
      <c r="M2" s="749" t="n"/>
      <c r="N2" s="749" t="n"/>
      <c r="O2" s="749" t="n"/>
      <c r="P2" s="750" t="n"/>
      <c r="R2" s="40" t="n"/>
    </row>
    <row r="3" ht="19.5" customFormat="1" customHeight="1" s="1">
      <c r="B3" s="148" t="inlineStr">
        <is>
          <t>期末</t>
        </is>
      </c>
      <c r="C3" s="751" t="n">
        <v>46387</v>
      </c>
      <c r="D3" s="752" t="n"/>
      <c r="P3" s="753" t="n"/>
      <c r="R3" s="40" t="n"/>
    </row>
    <row r="4" ht="15" customFormat="1" customHeight="1" s="1">
      <c r="B4" s="148" t="inlineStr">
        <is>
          <t>分析日期</t>
        </is>
      </c>
      <c r="C4" s="754" t="n">
        <v>46168.72825661995</v>
      </c>
      <c r="D4" s="752" t="n"/>
      <c r="P4" s="753" t="n"/>
      <c r="R4" s="40" t="n"/>
    </row>
    <row r="5" ht="18" customFormat="1" customHeight="1" s="1">
      <c r="B5" s="148" t="inlineStr">
        <is>
          <t>可容忍误差(TE)</t>
        </is>
      </c>
      <c r="C5" s="755" t="n"/>
      <c r="D5" s="752" t="n"/>
      <c r="P5" s="753" t="n"/>
      <c r="R5" s="40" t="n"/>
    </row>
    <row r="6" ht="15.75" customFormat="1" customHeight="1" s="1">
      <c r="B6" s="148" t="inlineStr">
        <is>
          <t>名义金额(SAD)</t>
        </is>
      </c>
      <c r="C6" s="755" t="n"/>
      <c r="D6" s="752" t="n"/>
      <c r="P6" s="753" t="n"/>
      <c r="R6" s="40" t="n"/>
    </row>
    <row r="7" ht="20.25" customFormat="1" customHeight="1" s="1">
      <c r="B7" s="148" t="inlineStr">
        <is>
          <t>适用会计准则</t>
        </is>
      </c>
      <c r="C7" s="259" t="inlineStr">
        <is>
          <t>PRC</t>
        </is>
      </c>
      <c r="D7" s="752" t="n"/>
      <c r="P7" s="753" t="n"/>
      <c r="R7" s="40" t="n"/>
    </row>
    <row r="8" ht="18" customFormat="1" customHeight="1" s="1">
      <c r="B8" s="148" t="inlineStr">
        <is>
          <t>记账本位币</t>
        </is>
      </c>
      <c r="C8" s="259" t="inlineStr">
        <is>
          <t>CNY</t>
        </is>
      </c>
      <c r="D8" s="756" t="n"/>
      <c r="E8" s="757" t="n"/>
      <c r="F8" s="757" t="n"/>
      <c r="G8" s="757" t="n"/>
      <c r="H8" s="757" t="n"/>
      <c r="I8" s="757" t="n"/>
      <c r="J8" s="757" t="n"/>
      <c r="K8" s="757" t="n"/>
      <c r="L8" s="757" t="n"/>
      <c r="M8" s="757" t="n"/>
      <c r="N8" s="757" t="n"/>
      <c r="O8" s="757" t="n"/>
      <c r="P8" s="758"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9" t="inlineStr">
        <is>
          <t>Threshold(s)</t>
        </is>
      </c>
      <c r="E13" s="760" t="n"/>
      <c r="H13" s="761" t="inlineStr">
        <is>
          <t>安永标记</t>
        </is>
      </c>
      <c r="I13" s="762" t="n"/>
      <c r="J13" s="762" t="n"/>
      <c r="K13" s="762" t="n"/>
      <c r="L13" s="760"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3">
        <f>IF(C15="Minimal",$C$5*100%,IF(C15="Low",$C$5*75%,IF(C15="Moderate",$C$5*50%,IF(C15="High",$C$5*25%,IF(C15="N/A","-",)))))</f>
        <v/>
      </c>
      <c r="E15" s="764">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3">
        <f>IF(C16="Minimal",$C$5*100%,IF(C16="Low",$C$5*75%,IF(C16="Moderate",$C$5*50%,IF(C16="High",$C$5*25%,IF(C16="N/A","-",)))))</f>
        <v/>
      </c>
      <c r="E16" s="765"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3">
        <f>IF(C17="Minimal",$C$5*100%,IF(C17="Low",$C$5*75%,IF(C17="Moderate",$C$5*50%,IF(C17="High",$C$5*25%,IF(C17="N/A","-",)))))</f>
        <v/>
      </c>
      <c r="E17" s="765"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3">
        <f>IF(C18="Minimal",$C$5*100%,IF(C18="Low",$C$5*75%,IF(C18="Moderate",$C$5*50%,IF(C18="High",$C$5*25%,IF(C18="N/A","-",)))))</f>
        <v/>
      </c>
      <c r="E18" s="765"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3">
        <f>IF(C19="Minimal",$C$5*100%,IF(C19="Low",$C$5*75%,IF(C19="Moderate",$C$5*50%,IF(C19="High",$C$5*25%,IF(C19="N/A","-",)))))</f>
        <v/>
      </c>
      <c r="E19" s="766"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7" t="n"/>
      <c r="D25" s="767" t="n"/>
      <c r="E25" s="767" t="n"/>
      <c r="F25" s="767" t="n"/>
      <c r="G25" s="767" t="n"/>
      <c r="L25" s="25" t="n"/>
      <c r="R25" s="54" t="n"/>
    </row>
    <row r="26" ht="18" customFormat="1" customHeight="1" s="42">
      <c r="A26" s="85" t="n"/>
      <c r="B26" s="768" t="n"/>
      <c r="C26" s="731" t="n"/>
      <c r="D26" s="731" t="n"/>
      <c r="E26" s="731" t="n"/>
      <c r="F26" s="732" t="n"/>
      <c r="G26" s="767" t="n"/>
      <c r="H26" s="767" t="n"/>
      <c r="I26" s="767" t="n"/>
      <c r="J26" s="27" t="n"/>
      <c r="K26" s="25" t="n"/>
      <c r="L26" s="25" t="n"/>
      <c r="R26" s="54" t="n"/>
    </row>
    <row r="27" ht="18" customFormat="1" customHeight="1" s="42">
      <c r="A27" s="85" t="n"/>
      <c r="B27" s="769" t="n"/>
      <c r="F27" s="770" t="n"/>
      <c r="G27" s="767" t="n"/>
      <c r="H27" s="767" t="n"/>
      <c r="I27" s="767" t="n"/>
      <c r="J27" s="27" t="n"/>
      <c r="K27" s="25" t="n"/>
      <c r="L27" s="25" t="n"/>
      <c r="R27" s="54" t="n"/>
    </row>
    <row r="28" ht="18" customFormat="1" customHeight="1" s="42">
      <c r="A28" s="86" t="n"/>
      <c r="B28" s="734" t="n"/>
      <c r="C28" s="735" t="n"/>
      <c r="D28" s="735" t="n"/>
      <c r="E28" s="735" t="n"/>
      <c r="F28" s="736" t="n"/>
      <c r="G28" s="767" t="n"/>
      <c r="H28" s="767" t="n"/>
      <c r="I28" s="767" t="n"/>
      <c r="J28" s="27" t="n"/>
      <c r="K28" s="25" t="n"/>
      <c r="L28" s="25" t="n"/>
      <c r="R28" s="54" t="n"/>
    </row>
    <row r="29" ht="12.75" customFormat="1" customHeight="1" s="42">
      <c r="A29" s="86" t="n"/>
      <c r="B29" s="771" t="n"/>
      <c r="C29" s="772" t="n"/>
      <c r="D29" s="60" t="n"/>
      <c r="E29" s="60" t="n"/>
      <c r="F29" s="60" t="n"/>
      <c r="G29" s="60" t="n"/>
      <c r="H29" s="92" t="n"/>
      <c r="I29" s="92" t="n"/>
      <c r="J29" s="61" t="n"/>
      <c r="K29" s="25" t="n"/>
      <c r="L29" s="25" t="n"/>
      <c r="R29" s="54" t="n"/>
    </row>
    <row r="30" ht="16.5" customFormat="1" customHeight="1" s="42">
      <c r="A30" s="86" t="n"/>
      <c r="B30" s="773" t="inlineStr">
        <is>
          <t>波动范围</t>
        </is>
      </c>
      <c r="C30" s="747" t="n"/>
      <c r="D30" s="60" t="n"/>
      <c r="E30" s="60" t="n"/>
      <c r="F30" s="60" t="n"/>
      <c r="G30" s="60" t="n"/>
      <c r="H30" s="92" t="n"/>
      <c r="I30" s="92" t="n"/>
      <c r="J30" s="61" t="n"/>
      <c r="K30" s="25" t="n"/>
      <c r="L30" s="25" t="n"/>
      <c r="R30" s="54" t="n"/>
    </row>
    <row r="31" ht="12.75" customFormat="1" customHeight="1" s="42">
      <c r="A31" s="99" t="n"/>
      <c r="B31" s="473">
        <f>"波动幅度 ("&amp;C8&amp; "):"</f>
        <v/>
      </c>
      <c r="C31" s="774">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5">
        <f>"货币/单位: "&amp;C8</f>
        <v/>
      </c>
      <c r="G35" s="746" t="n"/>
      <c r="H35" s="746" t="n"/>
      <c r="I35" s="746" t="n"/>
      <c r="J35" s="746" t="n"/>
      <c r="K35" s="747" t="n"/>
      <c r="L35" s="60" t="n"/>
      <c r="M35" s="60" t="n"/>
      <c r="N35" s="168" t="n"/>
      <c r="R35" s="54" t="n"/>
    </row>
    <row r="36" ht="13.15" customFormat="1" customHeight="1" s="42">
      <c r="A36" s="85" t="n"/>
      <c r="B36" s="438" t="n"/>
      <c r="C36" s="440" t="n"/>
      <c r="D36" s="440" t="n"/>
      <c r="E36" s="442" t="n"/>
      <c r="F36" s="664">
        <f>C3</f>
        <v/>
      </c>
      <c r="G36" s="776" t="n"/>
      <c r="H36" s="776" t="n"/>
      <c r="I36" s="776" t="n"/>
      <c r="J36" s="777" t="n"/>
      <c r="K36" s="778">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9" t="n"/>
      <c r="P37" s="779" t="n"/>
      <c r="R37" s="54" t="n"/>
    </row>
    <row r="38" ht="16.5" customFormat="1" customHeight="1" s="42">
      <c r="A38" s="85" t="n"/>
      <c r="B38" s="427" t="inlineStr">
        <is>
          <t>东风鸿远工程咨询有限公司</t>
        </is>
      </c>
      <c r="C38" s="428" t="n">
        <v>1002</v>
      </c>
      <c r="D38" s="428" t="inlineStr">
        <is>
          <t>银行存款</t>
        </is>
      </c>
      <c r="E38" s="38" t="inlineStr">
        <is>
          <t>C.00 BKD/</t>
        </is>
      </c>
      <c r="F38" s="780" t="n"/>
      <c r="G38" s="780" t="n"/>
      <c r="H38" s="781">
        <f>F38+G38</f>
        <v/>
      </c>
      <c r="I38" s="780" t="n"/>
      <c r="J38" s="781">
        <f>H38+I38</f>
        <v/>
      </c>
      <c r="K38" s="782" t="n">
        <v>5924414.13</v>
      </c>
      <c r="L38" s="783">
        <f>J38-K38</f>
        <v/>
      </c>
      <c r="M38" s="482">
        <f>IF(K38&lt;&gt;0,L38/K38,1)</f>
        <v/>
      </c>
      <c r="N38" s="444" t="inlineStr">
        <is>
          <t>[A]</t>
        </is>
      </c>
      <c r="O38" s="784">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80" t="n"/>
      <c r="G39" s="785" t="n"/>
      <c r="H39" s="781">
        <f>F39+G39</f>
        <v/>
      </c>
      <c r="I39" s="785" t="n"/>
      <c r="J39" s="781">
        <f>H39+I39</f>
        <v/>
      </c>
      <c r="K39" s="782" t="n">
        <v>605.89</v>
      </c>
      <c r="L39" s="783">
        <f>J39-K39</f>
        <v/>
      </c>
      <c r="M39" s="482">
        <f>IF(K39&lt;&gt;0,L39/K39,1)</f>
        <v/>
      </c>
      <c r="N39" s="431" t="n"/>
      <c r="O39" s="784">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82" t="n"/>
      <c r="G40" s="782" t="n"/>
      <c r="H40" s="781">
        <f>F40+G40</f>
        <v/>
      </c>
      <c r="I40" s="782" t="n"/>
      <c r="J40" s="781">
        <f>H40+I40</f>
        <v/>
      </c>
      <c r="K40" s="782" t="n">
        <v>8043.03</v>
      </c>
      <c r="L40" s="783">
        <f>J40-K40</f>
        <v/>
      </c>
      <c r="M40" s="482">
        <f>IF(K40&lt;&gt;0,L40/K40,1)</f>
        <v/>
      </c>
      <c r="N40" s="434" t="n"/>
      <c r="O40" s="784">
        <f>IF(AND(ABS(L40)&gt;=$C$31,ABS(M40)&gt;=$C$32),"是","否")</f>
        <v/>
      </c>
      <c r="P40" s="87" t="n"/>
      <c r="R40" s="54" t="n"/>
    </row>
    <row r="41" ht="12.75" customFormat="1" customHeight="1" s="42">
      <c r="A41" s="85" t="n"/>
      <c r="B41" s="786" t="inlineStr">
        <is>
          <t>东风鸿远工程咨询有限公司监理分公司</t>
        </is>
      </c>
      <c r="C41" s="787" t="n">
        <v>1002</v>
      </c>
      <c r="D41" s="787" t="inlineStr">
        <is>
          <t>银行存款</t>
        </is>
      </c>
      <c r="E41" s="788" t="n"/>
      <c r="F41" s="782" t="n"/>
      <c r="G41" s="789" t="n"/>
      <c r="H41" s="782" t="n"/>
      <c r="I41" s="789" t="n"/>
      <c r="J41" s="788" t="n"/>
      <c r="K41" s="789" t="n">
        <v>122094.03</v>
      </c>
      <c r="L41" s="789" t="n"/>
      <c r="M41" s="171" t="n"/>
      <c r="N41" s="790" t="n"/>
      <c r="O41" s="85" t="n"/>
      <c r="P41" s="85" t="n"/>
      <c r="R41" s="54" t="n"/>
    </row>
    <row r="42" ht="12.75" customFormat="1" customHeight="1" s="42" thickBot="1">
      <c r="A42" s="85" t="n"/>
      <c r="B42" s="786" t="n"/>
      <c r="C42" s="787" t="n"/>
      <c r="D42" s="787" t="n"/>
      <c r="E42" s="788" t="n"/>
      <c r="F42" s="782" t="n"/>
      <c r="G42" s="789" t="n"/>
      <c r="H42" s="782" t="n"/>
      <c r="I42" s="789" t="n"/>
      <c r="J42" s="788" t="n"/>
      <c r="K42" s="789" t="n"/>
      <c r="L42" s="789" t="n"/>
      <c r="M42" s="171" t="n"/>
      <c r="N42" s="790" t="n"/>
      <c r="O42" s="85" t="n"/>
      <c r="P42" s="85" t="n"/>
      <c r="R42" s="54" t="n"/>
    </row>
    <row r="43" ht="13.5" customFormat="1" customHeight="1" s="42" thickTop="1">
      <c r="A43" s="85" t="n"/>
      <c r="B43" s="786" t="n"/>
      <c r="C43" s="787" t="n"/>
      <c r="D43" s="787" t="n"/>
      <c r="E43" s="65" t="inlineStr">
        <is>
          <t>合计</t>
        </is>
      </c>
      <c r="F43" s="791">
        <f>SUM(F37:F40)</f>
        <v/>
      </c>
      <c r="G43" s="792">
        <f>SUM(G37:G40)</f>
        <v/>
      </c>
      <c r="H43" s="792">
        <f>SUM(H37:H40)</f>
        <v/>
      </c>
      <c r="I43" s="792">
        <f>SUM(I37:I40)</f>
        <v/>
      </c>
      <c r="J43" s="792">
        <f>SUM(J37:J40)</f>
        <v/>
      </c>
      <c r="K43" s="792">
        <f>SUM(K37:K40)</f>
        <v/>
      </c>
      <c r="L43" s="793">
        <f>J43-K43</f>
        <v/>
      </c>
      <c r="M43" s="483">
        <f>IF(K43&lt;&gt;0,L43/K43,1)</f>
        <v/>
      </c>
      <c r="N43" s="790" t="n"/>
      <c r="O43" s="784">
        <f>IF(AND(ABS(L43)&gt;=$C$31,ABS(M43)&gt;=$C$32),"是","否")</f>
        <v/>
      </c>
      <c r="P43" s="87" t="n"/>
      <c r="R43" s="54" t="n"/>
    </row>
    <row r="44" ht="12.75" customFormat="1" customHeight="1" s="42">
      <c r="A44" s="85" t="n"/>
      <c r="C44" s="787" t="n"/>
      <c r="D44" s="787" t="n"/>
      <c r="E44" s="66" t="n"/>
      <c r="F44" s="60" t="inlineStr">
        <is>
          <t>Rx</t>
        </is>
      </c>
      <c r="G44" s="60" t="inlineStr">
        <is>
          <t>Rx</t>
        </is>
      </c>
      <c r="H44" s="60" t="inlineStr">
        <is>
          <t>Rx</t>
        </is>
      </c>
      <c r="I44" s="60" t="inlineStr">
        <is>
          <t>Rx</t>
        </is>
      </c>
      <c r="J44" s="60" t="inlineStr">
        <is>
          <t>Rx</t>
        </is>
      </c>
      <c r="K44" s="60" t="inlineStr">
        <is>
          <t>Rx</t>
        </is>
      </c>
      <c r="L44" s="794" t="n"/>
      <c r="M44" s="795" t="n"/>
      <c r="N44" s="786" t="n"/>
      <c r="R44" s="54" t="n"/>
    </row>
    <row r="45" ht="12.75" customFormat="1" customHeight="1" s="42">
      <c r="A45" s="85" t="n"/>
      <c r="C45" s="787" t="n"/>
      <c r="D45" s="787" t="n"/>
      <c r="E45" s="66" t="n"/>
      <c r="F45" s="60" t="n"/>
      <c r="G45" s="60" t="n"/>
      <c r="H45" s="60" t="n"/>
      <c r="I45" s="60" t="n"/>
      <c r="J45" s="60" t="n"/>
      <c r="K45" s="60" t="n"/>
      <c r="L45" s="794" t="n"/>
      <c r="M45" s="795" t="n"/>
      <c r="N45" s="786" t="n"/>
      <c r="R45" s="54" t="n"/>
    </row>
    <row r="46" ht="12.75" customFormat="1" customHeight="1" s="42">
      <c r="A46" s="85" t="n"/>
      <c r="B46" s="786" t="n"/>
      <c r="C46" s="787" t="n"/>
      <c r="D46" s="787" t="n"/>
      <c r="E46" s="786" t="n"/>
      <c r="F46" s="796" t="n"/>
      <c r="G46" s="797" t="inlineStr">
        <is>
          <t>A3</t>
        </is>
      </c>
      <c r="H46" s="796" t="n"/>
      <c r="J46" s="796" t="n"/>
      <c r="K46" s="796" t="n"/>
      <c r="L46" s="789" t="n"/>
      <c r="M46" s="789" t="n"/>
      <c r="N46" s="786" t="n"/>
      <c r="R46" s="54" t="n"/>
    </row>
    <row r="47" ht="12.75" customFormat="1" customHeight="1" s="42">
      <c r="A47" s="85" t="n"/>
      <c r="F47" s="798" t="n"/>
      <c r="G47" s="797" t="inlineStr">
        <is>
          <t>Diff</t>
        </is>
      </c>
      <c r="H47" s="799">
        <f>H43-H46</f>
        <v/>
      </c>
      <c r="J47" s="799">
        <f>J43-J46</f>
        <v/>
      </c>
      <c r="K47" s="799">
        <f>K43-K46</f>
        <v/>
      </c>
      <c r="L47" s="798" t="n"/>
      <c r="M47" s="798" t="n"/>
      <c r="N47" s="798" t="n"/>
      <c r="R47" s="54" t="n"/>
    </row>
    <row r="48" ht="16.5" customFormat="1" customHeight="1" s="42">
      <c r="A48" s="85" t="n"/>
      <c r="G48" s="798" t="n"/>
      <c r="H48" s="797" t="n"/>
      <c r="I48" s="798" t="n"/>
      <c r="J48" s="798" t="n"/>
      <c r="L48" s="798" t="n"/>
      <c r="M48" s="798" t="n"/>
      <c r="N48" s="798" t="n"/>
      <c r="O48" s="798" t="n"/>
      <c r="P48" s="798" t="n"/>
      <c r="R48" s="54" t="n"/>
    </row>
    <row r="49" ht="13.5" customFormat="1" customHeight="1" s="42">
      <c r="B49" s="105" t="inlineStr">
        <is>
          <t>波动说明</t>
        </is>
      </c>
      <c r="F49" s="798" t="n"/>
      <c r="G49" s="798" t="n"/>
      <c r="H49" s="797" t="n"/>
      <c r="I49" s="798" t="n"/>
      <c r="J49" s="798" t="n"/>
      <c r="L49" s="798" t="n"/>
      <c r="M49" s="798" t="n"/>
      <c r="N49" s="798" t="n"/>
      <c r="O49" s="798" t="n"/>
      <c r="R49" s="54" t="n"/>
    </row>
    <row r="50" ht="13.5" customFormat="1" customHeight="1" s="42">
      <c r="A50" s="6" t="n"/>
      <c r="B50" s="800" t="inlineStr">
        <is>
          <t>[A]</t>
        </is>
      </c>
      <c r="C50" s="801" t="n"/>
      <c r="D50" s="801" t="n"/>
      <c r="E50" s="801" t="n"/>
      <c r="F50" s="802" t="n"/>
      <c r="G50" s="798" t="n"/>
      <c r="H50" s="797" t="n"/>
      <c r="I50" s="798" t="n"/>
      <c r="J50" s="798" t="n"/>
      <c r="L50" s="798" t="n"/>
      <c r="M50" s="798" t="n"/>
      <c r="N50" s="798" t="n"/>
      <c r="O50" s="798" t="n"/>
      <c r="R50" s="54" t="n"/>
    </row>
    <row r="51" ht="13.5" customFormat="1" customHeight="1" s="42">
      <c r="A51" s="6" t="n"/>
      <c r="B51" s="803" t="n"/>
      <c r="C51" s="804" t="n"/>
      <c r="D51" s="804" t="n"/>
      <c r="E51" s="804" t="n"/>
      <c r="F51" s="805" t="n"/>
      <c r="G51" s="798" t="n"/>
      <c r="H51" s="797" t="n"/>
      <c r="I51" s="798" t="n"/>
      <c r="J51" s="798" t="n"/>
      <c r="L51" s="798" t="n"/>
      <c r="M51" s="798" t="n"/>
      <c r="N51" s="798" t="n"/>
      <c r="O51" s="798" t="n"/>
      <c r="R51" s="54" t="n"/>
    </row>
    <row r="52" ht="12.75" customFormat="1" customHeight="1" s="42">
      <c r="A52" s="85" t="n"/>
      <c r="B52" s="806" t="n"/>
      <c r="C52" s="807" t="n"/>
      <c r="D52" s="807" t="n"/>
      <c r="E52" s="807" t="n"/>
      <c r="F52" s="808" t="n"/>
      <c r="G52" s="798" t="n"/>
      <c r="H52" s="797" t="n"/>
      <c r="I52" s="798" t="n"/>
      <c r="J52" s="798" t="n"/>
      <c r="L52" s="798" t="n"/>
      <c r="M52" s="798" t="n"/>
      <c r="N52" s="798" t="n"/>
      <c r="O52" s="798" t="n"/>
      <c r="R52" s="54" t="n"/>
    </row>
    <row r="53" ht="16.5" customFormat="1" customHeight="1" s="92">
      <c r="A53" s="85" t="n"/>
      <c r="F53" s="798" t="n"/>
      <c r="G53" s="798" t="n"/>
      <c r="H53" s="797" t="n"/>
      <c r="I53" s="798" t="n"/>
      <c r="J53" s="798" t="n"/>
      <c r="L53" s="798" t="n"/>
      <c r="M53" s="798" t="n"/>
      <c r="N53" s="798" t="n"/>
      <c r="O53" s="798" t="n"/>
      <c r="R53" s="54" t="n"/>
    </row>
    <row r="54" ht="16.5" customFormat="1" customHeight="1" s="92">
      <c r="A54" s="87" t="n"/>
      <c r="B54" s="3" t="inlineStr">
        <is>
          <t>调整汇总表（如不适用请删除）</t>
        </is>
      </c>
      <c r="C54" s="72" t="n"/>
      <c r="D54" s="73" t="n"/>
      <c r="E54" s="73" t="n"/>
      <c r="F54" s="809" t="n"/>
      <c r="G54" s="809" t="n"/>
      <c r="H54" s="809" t="n"/>
      <c r="I54" s="809" t="n"/>
      <c r="R54" s="97" t="n"/>
    </row>
    <row r="55" ht="14.25" customFormat="1" customHeight="1" s="92">
      <c r="A55" s="87" t="n"/>
      <c r="B55" s="810" t="inlineStr">
        <is>
          <t>调整类型</t>
        </is>
      </c>
      <c r="C55" s="357" t="n"/>
      <c r="D55" s="357" t="n"/>
      <c r="E55" s="358" t="n"/>
      <c r="F55" s="358" t="n"/>
      <c r="G55" s="809" t="n"/>
      <c r="H55" s="809" t="n"/>
      <c r="I55" s="809" t="n"/>
      <c r="R55" s="97" t="n"/>
    </row>
    <row r="56" ht="14.25" customFormat="1" customHeight="1" s="92">
      <c r="A56" s="87" t="n"/>
      <c r="B56" s="552" t="n"/>
      <c r="C56" s="374" t="n"/>
      <c r="D56" s="374" t="n"/>
      <c r="E56" s="555" t="n"/>
      <c r="F56" s="556" t="n"/>
      <c r="G56" s="809" t="n"/>
      <c r="H56" s="809" t="n"/>
      <c r="I56" s="809" t="n"/>
      <c r="R56" s="97" t="n"/>
    </row>
    <row r="57" ht="14.25" customFormat="1" customHeight="1" s="92">
      <c r="A57" s="87" t="n"/>
      <c r="B57" s="553" t="n"/>
      <c r="C57" s="557" t="n"/>
      <c r="D57" s="557" t="n"/>
      <c r="E57" s="87" t="n"/>
      <c r="F57" s="558" t="n"/>
      <c r="G57" s="809" t="n"/>
      <c r="H57" s="809" t="n"/>
      <c r="I57" s="809" t="n"/>
      <c r="R57" s="97" t="n"/>
    </row>
    <row r="58" ht="12.75" customFormat="1" customHeight="1" s="92">
      <c r="A58" s="47" t="n"/>
      <c r="B58" s="553" t="n"/>
      <c r="C58" s="557" t="n"/>
      <c r="D58" s="557" t="n"/>
      <c r="E58" s="87" t="n"/>
      <c r="F58" s="558" t="n"/>
      <c r="G58" s="809" t="n"/>
      <c r="H58" s="809" t="n"/>
      <c r="I58" s="809" t="n"/>
      <c r="R58" s="97" t="n"/>
    </row>
    <row r="59" ht="12.75" customFormat="1" customHeight="1" s="42">
      <c r="A59" s="47" t="n"/>
      <c r="B59" s="554" t="n"/>
      <c r="C59" s="559" t="n"/>
      <c r="D59" s="559" t="n"/>
      <c r="E59" s="559" t="n"/>
      <c r="F59" s="560" t="n"/>
      <c r="G59" s="809" t="n"/>
      <c r="H59" s="809" t="n"/>
      <c r="I59" s="809" t="n"/>
      <c r="R59" s="97" t="n"/>
    </row>
    <row r="60" ht="16.5" customFormat="1" customHeight="1" s="42">
      <c r="F60" s="798" t="n"/>
      <c r="G60" s="798" t="n"/>
      <c r="H60" s="797" t="n"/>
      <c r="I60" s="798" t="n"/>
      <c r="J60" s="798" t="n"/>
      <c r="L60" s="798" t="n"/>
      <c r="M60" s="798" t="n"/>
      <c r="N60" s="798" t="n"/>
      <c r="O60" s="798" t="n"/>
      <c r="R60" s="54" t="n"/>
    </row>
    <row r="61" ht="16.5" customFormat="1" customHeight="1" s="42">
      <c r="A61" s="63" t="n"/>
      <c r="B61" s="63" t="inlineStr">
        <is>
          <t>表2 For Disclosure</t>
        </is>
      </c>
      <c r="F61" s="798" t="n"/>
      <c r="G61" s="798" t="n"/>
      <c r="H61" s="797" t="n"/>
      <c r="I61" s="798" t="n"/>
      <c r="J61" s="798" t="n"/>
      <c r="L61" s="798" t="n"/>
      <c r="M61" s="798" t="n"/>
      <c r="N61" s="798" t="n"/>
      <c r="O61" s="798" t="n"/>
      <c r="R61" s="54" t="n"/>
    </row>
    <row r="62" ht="16.5" customFormat="1" customHeight="1" s="42">
      <c r="A62" s="63" t="n"/>
      <c r="B62" s="93" t="inlineStr">
        <is>
          <t>货币资金（资产负债表）</t>
        </is>
      </c>
      <c r="E62" s="798" t="n"/>
      <c r="F62" s="798" t="n"/>
      <c r="G62" s="797" t="n"/>
      <c r="H62" s="798" t="n"/>
      <c r="I62" s="798" t="n"/>
      <c r="K62" s="798" t="n"/>
      <c r="L62" s="798" t="n"/>
      <c r="M62" s="798" t="n"/>
      <c r="N62" s="798" t="n"/>
      <c r="O62" s="798" t="n"/>
      <c r="R62" s="54" t="n"/>
    </row>
    <row r="63" ht="16.5" customFormat="1" customHeight="1" s="42">
      <c r="A63" s="63" t="n"/>
      <c r="B63" s="172" t="inlineStr">
        <is>
          <t>报表科目</t>
        </is>
      </c>
      <c r="C63" s="173">
        <f>J37</f>
        <v/>
      </c>
      <c r="D63" s="174">
        <f>K37</f>
        <v/>
      </c>
      <c r="E63" s="94" t="inlineStr">
        <is>
          <t>Check With 表2</t>
        </is>
      </c>
      <c r="F63" s="798" t="n"/>
      <c r="G63" s="797" t="n"/>
      <c r="H63" s="798" t="n"/>
      <c r="I63" s="798" t="n"/>
      <c r="K63" s="798" t="n"/>
      <c r="L63" s="798" t="n"/>
      <c r="N63" s="798" t="n"/>
      <c r="O63" s="798" t="n"/>
      <c r="R63" s="54" t="n"/>
    </row>
    <row r="64" ht="16.5" customFormat="1" customHeight="1" s="42">
      <c r="A64" s="85" t="n"/>
      <c r="B64" s="219" t="inlineStr">
        <is>
          <t>库存现金</t>
        </is>
      </c>
      <c r="C64" s="811" t="n"/>
      <c r="D64" s="812" t="n">
        <v>0</v>
      </c>
      <c r="F64" s="798" t="n"/>
      <c r="G64" s="797" t="n"/>
      <c r="H64" s="798" t="n"/>
      <c r="I64" s="798" t="n"/>
      <c r="K64" s="798" t="n"/>
      <c r="L64" s="798" t="n"/>
      <c r="M64" s="798" t="n"/>
      <c r="N64" s="798" t="n"/>
      <c r="O64" s="798" t="n"/>
      <c r="R64" s="54" t="n"/>
    </row>
    <row r="65" ht="16.5" customFormat="1" customHeight="1" s="42">
      <c r="A65" s="85" t="n"/>
      <c r="B65" s="219" t="inlineStr">
        <is>
          <t>银行存款</t>
        </is>
      </c>
      <c r="C65" s="811" t="n"/>
      <c r="D65" s="812" t="n">
        <v>359091.8700000001</v>
      </c>
      <c r="E65" s="813" t="n"/>
      <c r="F65" s="798" t="n"/>
      <c r="G65" s="797" t="n"/>
      <c r="H65" s="798" t="n"/>
      <c r="I65" s="798" t="n"/>
      <c r="K65" s="798" t="n"/>
      <c r="L65" s="798" t="n"/>
      <c r="M65" s="798" t="n"/>
      <c r="N65" s="798" t="n"/>
      <c r="O65" s="798" t="n"/>
      <c r="R65" s="54" t="n"/>
    </row>
    <row r="66" ht="16.5" customFormat="1" customHeight="1" s="42">
      <c r="A66" s="85" t="n"/>
      <c r="B66" s="219" t="inlineStr">
        <is>
          <t>其他货币资金</t>
        </is>
      </c>
      <c r="C66" s="811" t="n"/>
      <c r="D66" s="812" t="n">
        <v>0</v>
      </c>
      <c r="F66" s="798" t="n"/>
      <c r="G66" s="797" t="n"/>
      <c r="H66" s="798" t="n"/>
      <c r="I66" s="798" t="n"/>
      <c r="K66" s="798" t="n"/>
      <c r="L66" s="798" t="n"/>
      <c r="M66" s="798" t="n"/>
      <c r="N66" s="798" t="n"/>
      <c r="O66" s="798" t="n"/>
      <c r="R66" s="54" t="n"/>
    </row>
    <row r="67" ht="16.5" customFormat="1" customHeight="1" s="42">
      <c r="A67" s="85" t="n"/>
      <c r="B67" s="219" t="inlineStr">
        <is>
          <t>存放财务公司款项</t>
        </is>
      </c>
      <c r="C67" s="811" t="n"/>
      <c r="D67" s="812" t="n">
        <v>5696065.21</v>
      </c>
      <c r="M67" s="92" t="n"/>
      <c r="R67" s="54" t="n"/>
    </row>
    <row r="68" ht="12.75" customFormat="1" customHeight="1" s="42">
      <c r="A68" s="85" t="n"/>
      <c r="B68" s="231" t="inlineStr">
        <is>
          <t>合计</t>
        </is>
      </c>
      <c r="C68" s="814">
        <f>C64+C65+C66+C67</f>
        <v/>
      </c>
      <c r="D68" s="815" t="n">
        <v>6055157.08</v>
      </c>
      <c r="E68" s="813">
        <f>C68-J43</f>
        <v/>
      </c>
      <c r="F68" s="813">
        <f>D68-K43</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6" t="n"/>
      <c r="D70" s="817" t="n">
        <v>0</v>
      </c>
      <c r="E70" s="177" t="inlineStr">
        <is>
          <t>*适用于A股上市公司</t>
        </is>
      </c>
      <c r="F70" s="798" t="n"/>
      <c r="G70" s="797" t="n"/>
      <c r="H70" s="798" t="n"/>
      <c r="I70" s="798" t="n"/>
      <c r="K70" s="798" t="n"/>
      <c r="L70" s="798" t="n"/>
      <c r="M70" s="798" t="n"/>
      <c r="N70" s="798" t="n"/>
      <c r="O70" s="798" t="n"/>
      <c r="R70" s="54" t="n"/>
    </row>
    <row r="71" ht="16.5" customFormat="1" customHeight="1" s="42">
      <c r="A71" s="85" t="n"/>
      <c r="G71" s="798" t="n"/>
      <c r="H71" s="797" t="n"/>
      <c r="I71" s="798" t="n"/>
      <c r="J71" s="798" t="n"/>
      <c r="L71" s="798" t="n"/>
      <c r="M71" s="798" t="n"/>
      <c r="N71" s="798" t="n"/>
      <c r="O71" s="798" t="n"/>
      <c r="R71" s="54" t="n"/>
    </row>
    <row r="72" ht="16.5" customFormat="1" customHeight="1" s="42">
      <c r="A72" s="85" t="n"/>
      <c r="B72" s="96" t="inlineStr">
        <is>
          <t>所有权或使用权受到限制的资产</t>
        </is>
      </c>
      <c r="C72" s="96" t="n"/>
      <c r="D72" s="96" t="n"/>
      <c r="E72" s="813" t="n"/>
      <c r="N72" s="92" t="n"/>
      <c r="R72" s="54" t="n"/>
    </row>
    <row r="73" ht="15" customHeight="1" s="726">
      <c r="A73" s="85" t="n"/>
      <c r="B73" s="175" t="inlineStr">
        <is>
          <t>所有权或使用权受到限制的货币资金</t>
        </is>
      </c>
      <c r="C73" s="816" t="n"/>
      <c r="D73" s="817" t="n">
        <v>50000</v>
      </c>
      <c r="E73" s="813"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50:F52"/>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8" t="n"/>
      <c r="H10" s="819" t="n"/>
      <c r="I10" s="487" t="n"/>
      <c r="J10" s="488" t="n"/>
      <c r="K10" s="488" t="n"/>
      <c r="L10" s="488" t="n"/>
      <c r="N10" s="489" t="n"/>
    </row>
    <row r="11" ht="14.45" customFormat="1" customHeight="1" s="486">
      <c r="B11" s="487" t="n"/>
      <c r="C11" s="487" t="n"/>
      <c r="D11" s="488" t="n"/>
      <c r="E11" s="492" t="n"/>
      <c r="F11" s="488" t="n"/>
      <c r="G11" s="818" t="n"/>
      <c r="H11" s="819" t="n"/>
      <c r="I11" s="487" t="n"/>
      <c r="J11" s="488" t="n"/>
      <c r="K11" s="488" t="n"/>
      <c r="L11" s="488" t="n"/>
      <c r="N11" s="489" t="n"/>
    </row>
    <row r="12" ht="14.45" customFormat="1" customHeight="1" s="486">
      <c r="B12" s="487" t="n"/>
      <c r="C12" s="487" t="n"/>
      <c r="D12" s="488" t="n"/>
      <c r="E12" s="492" t="n"/>
      <c r="F12" s="488" t="n"/>
      <c r="G12" s="818" t="n"/>
      <c r="H12" s="819" t="n"/>
      <c r="I12" s="487" t="n"/>
      <c r="J12" s="488" t="n"/>
      <c r="K12" s="488">
        <f>IF(J12="是","N/a","")</f>
        <v/>
      </c>
      <c r="L12" s="488" t="n"/>
      <c r="N12" s="489" t="n"/>
    </row>
    <row r="13" ht="14.45" customFormat="1" customHeight="1" s="486">
      <c r="B13" s="487" t="n"/>
      <c r="C13" s="487" t="n"/>
      <c r="D13" s="488" t="n"/>
      <c r="E13" s="492" t="n"/>
      <c r="F13" s="488" t="n"/>
      <c r="G13" s="818" t="n"/>
      <c r="H13" s="819" t="n"/>
      <c r="I13" s="487" t="n"/>
      <c r="J13" s="488" t="n"/>
      <c r="K13" s="488">
        <f>IF(J13="是","N/a","")</f>
        <v/>
      </c>
      <c r="L13" s="488" t="n"/>
      <c r="N13" s="489" t="n"/>
    </row>
    <row r="14" ht="14.45" customFormat="1" customHeight="1" s="486">
      <c r="B14" s="487" t="n"/>
      <c r="C14" s="487" t="n"/>
      <c r="D14" s="488" t="n"/>
      <c r="E14" s="492" t="n"/>
      <c r="F14" s="488" t="n"/>
      <c r="G14" s="818" t="n"/>
      <c r="H14" s="819" t="n"/>
      <c r="I14" s="487" t="n"/>
      <c r="J14" s="488" t="n"/>
      <c r="K14" s="488">
        <f>IF(J14="是","N/a","")</f>
        <v/>
      </c>
      <c r="L14" s="488" t="n"/>
      <c r="N14" s="489" t="n"/>
    </row>
    <row r="15" ht="14.45" customFormat="1" customHeight="1" s="486">
      <c r="B15" s="487" t="n"/>
      <c r="C15" s="487" t="n"/>
      <c r="D15" s="488" t="n"/>
      <c r="E15" s="492" t="n"/>
      <c r="F15" s="488" t="n"/>
      <c r="G15" s="818" t="n"/>
      <c r="H15" s="819"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20" t="n"/>
      <c r="H17" s="821">
        <f>SUM(H10:H15)</f>
        <v/>
      </c>
      <c r="I17" s="822" t="n"/>
      <c r="J17" s="133" t="n"/>
      <c r="K17" s="133" t="n"/>
      <c r="L17" s="133" t="n"/>
      <c r="N17" s="124" t="n"/>
      <c r="O17" s="138" t="n"/>
    </row>
    <row r="18" ht="13.5" customFormat="1" customHeight="1" s="131" thickTop="1">
      <c r="A18" s="137" t="n"/>
      <c r="B18" s="129" t="n"/>
      <c r="C18" s="129" t="n"/>
      <c r="D18" s="129" t="n"/>
      <c r="E18" s="129" t="n"/>
      <c r="F18" s="129" t="n"/>
      <c r="G18" s="129" t="n"/>
      <c r="H18" s="797" t="inlineStr">
        <is>
          <t>RX</t>
        </is>
      </c>
      <c r="I18" s="797" t="n"/>
      <c r="J18" s="153" t="n"/>
      <c r="K18" s="153" t="n"/>
      <c r="L18" s="153" t="n"/>
      <c r="N18" s="124" t="n"/>
      <c r="O18" s="138" t="n"/>
    </row>
    <row r="19" ht="12.75" customFormat="1" customHeight="1" s="131">
      <c r="A19" s="137" t="n"/>
      <c r="B19" s="129" t="n"/>
      <c r="C19" s="129" t="n"/>
      <c r="D19" s="129" t="n"/>
      <c r="E19" s="129" t="n"/>
      <c r="F19" s="129" t="n"/>
      <c r="G19" s="491" t="inlineStr">
        <is>
          <t>C_Lead</t>
        </is>
      </c>
      <c r="H19" s="823">
        <f>H17-'C.00 Lead'!F42</f>
        <v/>
      </c>
      <c r="I19" s="824"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5" t="n"/>
      <c r="C22" s="731" t="n"/>
      <c r="D22" s="731" t="n"/>
      <c r="E22" s="731" t="n"/>
      <c r="F22" s="732" t="n"/>
      <c r="G22" s="129" t="n"/>
      <c r="H22" s="45" t="n"/>
      <c r="I22" s="45" t="n"/>
      <c r="K22" s="128" t="n"/>
      <c r="L22" s="128" t="n"/>
      <c r="N22" s="124" t="n"/>
    </row>
    <row r="23" ht="12.75" customHeight="1" s="726">
      <c r="B23" s="769" t="n"/>
      <c r="F23" s="770"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6" t="n"/>
      <c r="H10" s="826" t="n"/>
      <c r="I10" s="379" t="n"/>
      <c r="J10" s="379" t="n"/>
      <c r="K10" s="379" t="n"/>
      <c r="L10" s="379" t="n"/>
      <c r="M10" s="379" t="n"/>
      <c r="N10" s="827" t="n"/>
      <c r="O10" s="380" t="n"/>
      <c r="P10" s="828" t="n"/>
      <c r="Q10" s="380" t="n"/>
      <c r="R10" s="379" t="n"/>
      <c r="S10" s="380" t="n"/>
      <c r="T10" s="333" t="n"/>
      <c r="U10" s="566" t="n"/>
      <c r="V10" s="829">
        <f>G10-P10</f>
        <v/>
      </c>
      <c r="W10" s="381" t="n"/>
      <c r="X10" s="830" t="n"/>
      <c r="Y10" s="381" t="n"/>
      <c r="Z10" s="339" t="n"/>
      <c r="AA10" s="339" t="n"/>
      <c r="AB10" s="335" t="n"/>
      <c r="AC10" s="110" t="n"/>
    </row>
    <row r="11" ht="12.75" customFormat="1" customHeight="1" s="336">
      <c r="A11" s="332" t="n"/>
      <c r="B11" s="377" t="n"/>
      <c r="C11" s="378" t="n"/>
      <c r="D11" s="377" t="n"/>
      <c r="E11" s="378" t="n"/>
      <c r="F11" s="377" t="n"/>
      <c r="G11" s="826" t="n"/>
      <c r="H11" s="826" t="n"/>
      <c r="I11" s="379" t="n"/>
      <c r="J11" s="379" t="n"/>
      <c r="K11" s="379" t="n"/>
      <c r="L11" s="379" t="n"/>
      <c r="M11" s="379" t="n"/>
      <c r="N11" s="827" t="n"/>
      <c r="O11" s="380" t="n"/>
      <c r="P11" s="828" t="n"/>
      <c r="Q11" s="380" t="n"/>
      <c r="R11" s="379" t="n"/>
      <c r="S11" s="380" t="n"/>
      <c r="T11" s="333" t="n"/>
      <c r="U11" s="566" t="n"/>
      <c r="V11" s="829">
        <f>G11-P11</f>
        <v/>
      </c>
      <c r="W11" s="381" t="n"/>
      <c r="X11" s="830" t="n"/>
      <c r="Y11" s="381" t="n"/>
      <c r="Z11" s="339" t="n"/>
      <c r="AA11" s="339" t="n"/>
      <c r="AB11" s="335" t="n"/>
      <c r="AC11" s="110" t="n"/>
    </row>
    <row r="12" ht="12.75" customFormat="1" customHeight="1" s="336">
      <c r="A12" s="332" t="n"/>
      <c r="B12" s="377" t="n"/>
      <c r="C12" s="378" t="n"/>
      <c r="D12" s="377" t="n"/>
      <c r="E12" s="378" t="n"/>
      <c r="F12" s="377" t="n"/>
      <c r="G12" s="826" t="n"/>
      <c r="H12" s="826" t="n"/>
      <c r="I12" s="379" t="n"/>
      <c r="J12" s="379" t="n"/>
      <c r="K12" s="379" t="n"/>
      <c r="L12" s="379" t="n"/>
      <c r="M12" s="379" t="n"/>
      <c r="N12" s="827" t="n"/>
      <c r="O12" s="380" t="n"/>
      <c r="P12" s="828" t="n"/>
      <c r="Q12" s="380" t="n"/>
      <c r="R12" s="379" t="n"/>
      <c r="S12" s="380" t="n"/>
      <c r="T12" s="333" t="n"/>
      <c r="U12" s="566" t="n"/>
      <c r="V12" s="829">
        <f>G12-P12</f>
        <v/>
      </c>
      <c r="W12" s="381" t="n"/>
      <c r="X12" s="830" t="n"/>
      <c r="Y12" s="381" t="n"/>
      <c r="Z12" s="339" t="n"/>
      <c r="AA12" s="339" t="n"/>
      <c r="AB12" s="335" t="n"/>
      <c r="AC12" s="110" t="n"/>
    </row>
    <row r="13" ht="12.75" customFormat="1" customHeight="1" s="336">
      <c r="A13" s="332" t="n"/>
      <c r="B13" s="377" t="n"/>
      <c r="C13" s="378" t="n"/>
      <c r="D13" s="377" t="n"/>
      <c r="E13" s="378" t="n"/>
      <c r="F13" s="377" t="n"/>
      <c r="G13" s="826" t="n"/>
      <c r="H13" s="826" t="n"/>
      <c r="I13" s="379" t="n"/>
      <c r="J13" s="379" t="n"/>
      <c r="K13" s="379" t="n"/>
      <c r="L13" s="379" t="n"/>
      <c r="M13" s="379" t="n"/>
      <c r="N13" s="827" t="n"/>
      <c r="O13" s="380" t="n"/>
      <c r="P13" s="828" t="n"/>
      <c r="Q13" s="380" t="n"/>
      <c r="R13" s="379" t="n"/>
      <c r="S13" s="380" t="n"/>
      <c r="T13" s="333" t="n"/>
      <c r="U13" s="566" t="n"/>
      <c r="V13" s="829">
        <f>G13-P13</f>
        <v/>
      </c>
      <c r="W13" s="381" t="n"/>
      <c r="X13" s="830" t="n"/>
      <c r="Y13" s="381" t="n"/>
      <c r="Z13" s="339" t="n"/>
      <c r="AA13" s="339" t="n"/>
      <c r="AB13" s="335" t="n"/>
      <c r="AC13" s="110" t="n"/>
    </row>
    <row r="14" ht="12.75" customFormat="1" customHeight="1" s="336">
      <c r="A14" s="332" t="n"/>
      <c r="B14" s="377" t="n"/>
      <c r="C14" s="378" t="n"/>
      <c r="D14" s="377" t="n"/>
      <c r="E14" s="378" t="n"/>
      <c r="F14" s="377" t="n"/>
      <c r="G14" s="826" t="n"/>
      <c r="H14" s="826" t="n"/>
      <c r="I14" s="379" t="n"/>
      <c r="J14" s="379" t="n"/>
      <c r="K14" s="379" t="n"/>
      <c r="L14" s="379" t="n"/>
      <c r="M14" s="379" t="n"/>
      <c r="N14" s="827" t="n"/>
      <c r="O14" s="380" t="n"/>
      <c r="P14" s="828" t="n"/>
      <c r="Q14" s="380" t="n"/>
      <c r="R14" s="379" t="n"/>
      <c r="S14" s="380" t="n"/>
      <c r="T14" s="333" t="n"/>
      <c r="U14" s="566" t="n"/>
      <c r="V14" s="829">
        <f>G14-P14</f>
        <v/>
      </c>
      <c r="W14" s="381" t="n"/>
      <c r="X14" s="830" t="n"/>
      <c r="Y14" s="381" t="n"/>
      <c r="Z14" s="339" t="n"/>
      <c r="AA14" s="339" t="n"/>
      <c r="AB14" s="335" t="n"/>
      <c r="AC14" s="110" t="n"/>
    </row>
    <row r="15" ht="12.75" customFormat="1" customHeight="1" s="336">
      <c r="A15" s="332" t="n"/>
      <c r="B15" s="377" t="n"/>
      <c r="C15" s="378" t="n"/>
      <c r="D15" s="377" t="n"/>
      <c r="E15" s="378" t="n"/>
      <c r="F15" s="377" t="n"/>
      <c r="G15" s="826" t="n"/>
      <c r="H15" s="826" t="n"/>
      <c r="I15" s="379" t="n"/>
      <c r="J15" s="379" t="n"/>
      <c r="K15" s="379" t="n"/>
      <c r="L15" s="379" t="n"/>
      <c r="M15" s="379" t="n"/>
      <c r="N15" s="827" t="n"/>
      <c r="O15" s="380" t="n"/>
      <c r="P15" s="828" t="n"/>
      <c r="Q15" s="380" t="n"/>
      <c r="R15" s="379" t="n"/>
      <c r="S15" s="380" t="n"/>
      <c r="T15" s="333" t="n"/>
      <c r="U15" s="566" t="n"/>
      <c r="V15" s="829">
        <f>G15-P15</f>
        <v/>
      </c>
      <c r="W15" s="381" t="n"/>
      <c r="X15" s="830" t="n"/>
      <c r="Y15" s="381" t="n"/>
      <c r="Z15" s="339" t="n"/>
      <c r="AA15" s="339" t="n"/>
      <c r="AB15" s="335" t="n"/>
      <c r="AC15" s="110" t="n"/>
    </row>
    <row r="16" ht="12.75" customFormat="1" customHeight="1" s="336">
      <c r="A16" s="332" t="n"/>
      <c r="B16" s="377" t="n"/>
      <c r="C16" s="378" t="n"/>
      <c r="D16" s="377" t="n"/>
      <c r="E16" s="378" t="n"/>
      <c r="F16" s="377" t="n"/>
      <c r="G16" s="826" t="n"/>
      <c r="H16" s="826" t="n"/>
      <c r="I16" s="379" t="n"/>
      <c r="J16" s="379" t="n"/>
      <c r="K16" s="379" t="n"/>
      <c r="L16" s="379" t="n"/>
      <c r="M16" s="379" t="n"/>
      <c r="N16" s="827" t="n"/>
      <c r="O16" s="380" t="n"/>
      <c r="P16" s="828" t="n"/>
      <c r="Q16" s="380" t="n"/>
      <c r="R16" s="379" t="n"/>
      <c r="S16" s="380" t="n"/>
      <c r="T16" s="333" t="n"/>
      <c r="U16" s="566" t="n"/>
      <c r="V16" s="829">
        <f>G16-P16</f>
        <v/>
      </c>
      <c r="W16" s="381" t="n"/>
      <c r="X16" s="830" t="n"/>
      <c r="Y16" s="381" t="n"/>
      <c r="Z16" s="339" t="n"/>
      <c r="AA16" s="339" t="n"/>
      <c r="AB16" s="335" t="n"/>
      <c r="AC16" s="110" t="n"/>
    </row>
    <row r="17" ht="12.75" customFormat="1" customHeight="1" s="336">
      <c r="A17" s="332" t="n"/>
      <c r="B17" s="377" t="n"/>
      <c r="C17" s="378" t="n"/>
      <c r="D17" s="377" t="n"/>
      <c r="E17" s="378" t="n"/>
      <c r="F17" s="377" t="n"/>
      <c r="G17" s="826" t="n"/>
      <c r="H17" s="826" t="n"/>
      <c r="I17" s="379" t="n"/>
      <c r="J17" s="379" t="n"/>
      <c r="K17" s="379" t="n"/>
      <c r="L17" s="379" t="n"/>
      <c r="M17" s="379" t="n"/>
      <c r="N17" s="827" t="n"/>
      <c r="O17" s="380" t="n"/>
      <c r="P17" s="828" t="n"/>
      <c r="Q17" s="380" t="n"/>
      <c r="R17" s="379" t="n"/>
      <c r="S17" s="380" t="n"/>
      <c r="T17" s="333" t="n"/>
      <c r="U17" s="566" t="n"/>
      <c r="V17" s="829">
        <f>G17-P17</f>
        <v/>
      </c>
      <c r="W17" s="381" t="n"/>
      <c r="X17" s="830"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31" t="n"/>
      <c r="Q18" s="831" t="n"/>
      <c r="R18" s="831" t="n"/>
      <c r="V18" s="831" t="n"/>
      <c r="X18" s="831" t="n"/>
      <c r="AC18" s="110" t="n"/>
    </row>
    <row r="19" ht="17.25" customHeight="1" s="726" thickBot="1">
      <c r="C19" s="238" t="n"/>
      <c r="D19" s="271" t="n"/>
      <c r="E19" s="271" t="n"/>
      <c r="F19" s="271" t="n"/>
      <c r="G19" s="262" t="inlineStr">
        <is>
          <t>合计</t>
        </is>
      </c>
      <c r="H19" s="832">
        <f>SUM(H9:H17)</f>
        <v/>
      </c>
      <c r="I19" s="272" t="n"/>
      <c r="J19" s="272" t="n"/>
      <c r="K19" s="272" t="n"/>
      <c r="L19" s="272" t="n"/>
      <c r="M19" s="272" t="n"/>
      <c r="N19" s="272" t="n"/>
      <c r="O19" s="272" t="n"/>
      <c r="P19" s="831" t="n"/>
      <c r="Q19" s="831" t="n"/>
      <c r="R19" s="831" t="n"/>
      <c r="V19" s="831" t="n"/>
      <c r="X19" s="833">
        <f>SUM(X9:X17)</f>
        <v/>
      </c>
      <c r="AC19" s="110" t="n"/>
    </row>
    <row r="20" ht="13.5" customHeight="1" s="726" thickTop="1">
      <c r="C20" s="238" t="n"/>
      <c r="D20" s="271" t="n"/>
      <c r="E20" s="271" t="n"/>
      <c r="F20" s="271" t="n"/>
      <c r="H20" s="797" t="inlineStr">
        <is>
          <t>RX</t>
        </is>
      </c>
      <c r="I20" s="272" t="n"/>
      <c r="J20" s="272" t="n"/>
      <c r="K20" s="272" t="n"/>
      <c r="L20" s="272" t="n"/>
      <c r="M20" s="272" t="n"/>
      <c r="N20" s="272" t="n"/>
      <c r="O20" s="272" t="n"/>
      <c r="P20" s="831" t="n"/>
      <c r="Q20" s="831" t="n"/>
      <c r="R20" s="831" t="n"/>
      <c r="V20" s="831" t="n"/>
      <c r="X20" s="797" t="inlineStr">
        <is>
          <t>RX</t>
        </is>
      </c>
      <c r="AC20" s="110" t="n"/>
    </row>
    <row r="21" ht="12.75" customHeight="1" s="726">
      <c r="C21" s="238" t="n"/>
      <c r="D21" s="271" t="n"/>
      <c r="E21" s="271" t="n"/>
      <c r="F21" s="271" t="n"/>
      <c r="I21" s="272" t="n"/>
      <c r="J21" s="272" t="n"/>
      <c r="K21" s="272" t="n"/>
      <c r="L21" s="272" t="n"/>
      <c r="M21" s="272" t="n"/>
      <c r="N21" s="272" t="n"/>
      <c r="O21" s="272" t="n"/>
      <c r="P21" s="831" t="n"/>
      <c r="Q21" s="831" t="n"/>
      <c r="R21" s="831" t="n"/>
      <c r="V21" s="831" t="n"/>
      <c r="X21" s="831"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31" t="n"/>
      <c r="Q22" s="831" t="n"/>
      <c r="R22" s="831" t="n"/>
      <c r="V22" s="831"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31" t="n"/>
      <c r="Q23" s="831" t="n"/>
      <c r="R23" s="831" t="n"/>
      <c r="V23" s="831"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34" t="n"/>
      <c r="H10" s="835" t="n"/>
      <c r="I10" s="834" t="n"/>
      <c r="J10" s="834">
        <f>I10-G10</f>
        <v/>
      </c>
      <c r="K10" s="487" t="n"/>
      <c r="L10" s="836" t="n"/>
      <c r="M10" s="351" t="n"/>
      <c r="N10" s="330" t="n"/>
      <c r="O10" s="97" t="n"/>
    </row>
    <row r="11" outlineLevel="1" customFormat="1" s="92">
      <c r="A11" s="501" t="n"/>
      <c r="B11" s="487" t="n"/>
      <c r="C11" s="487" t="n"/>
      <c r="D11" s="488" t="n"/>
      <c r="E11" s="492" t="n"/>
      <c r="F11" s="488" t="n"/>
      <c r="G11" s="834" t="n"/>
      <c r="H11" s="835" t="n"/>
      <c r="I11" s="834" t="n"/>
      <c r="J11" s="834">
        <f>I11-G11</f>
        <v/>
      </c>
      <c r="K11" s="487" t="n"/>
      <c r="L11" s="836" t="n"/>
      <c r="M11" s="351" t="n"/>
      <c r="N11" s="330" t="n"/>
      <c r="O11" s="97" t="n"/>
    </row>
    <row r="12" outlineLevel="1" customFormat="1" s="92">
      <c r="A12" s="501" t="n"/>
      <c r="B12" s="487" t="n"/>
      <c r="C12" s="487" t="n"/>
      <c r="D12" s="488" t="n"/>
      <c r="E12" s="492" t="n"/>
      <c r="F12" s="488" t="n"/>
      <c r="G12" s="834" t="n"/>
      <c r="H12" s="835" t="n"/>
      <c r="I12" s="834" t="n"/>
      <c r="J12" s="834">
        <f>I12-G12</f>
        <v/>
      </c>
      <c r="K12" s="487" t="n"/>
      <c r="L12" s="836"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32">
        <f>SUM(H9:H12)</f>
        <v/>
      </c>
      <c r="I14" s="20" t="n"/>
      <c r="J14" s="20" t="n"/>
      <c r="K14" s="20" t="n"/>
      <c r="L14" s="832">
        <f>SUM(L9:L12)</f>
        <v/>
      </c>
      <c r="M14" s="20" t="n"/>
      <c r="N14" s="242" t="n"/>
      <c r="O14" s="54" t="n"/>
    </row>
    <row r="15" outlineLevel="1" ht="13.5" customHeight="1" s="726" thickTop="1">
      <c r="A15" s="341" t="n"/>
      <c r="B15" s="49" t="n"/>
      <c r="C15" s="20" t="n"/>
      <c r="D15" s="20" t="n"/>
      <c r="E15" s="20" t="n"/>
      <c r="G15" s="261" t="n"/>
      <c r="H15" s="797" t="inlineStr">
        <is>
          <t>RX</t>
        </is>
      </c>
      <c r="I15" s="20" t="n"/>
      <c r="J15" s="20" t="n"/>
      <c r="K15" s="20" t="n"/>
      <c r="L15" s="797"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7" t="n"/>
      <c r="I16" s="20" t="n"/>
      <c r="J16" s="20" t="n"/>
      <c r="K16" s="20" t="n"/>
      <c r="L16" s="797"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7" t="n"/>
      <c r="C19" s="731" t="n"/>
      <c r="D19" s="731" t="n"/>
      <c r="E19" s="731" t="n"/>
      <c r="F19" s="732" t="n"/>
      <c r="G19" s="20" t="n"/>
      <c r="H19" s="20" t="n"/>
      <c r="I19" s="20" t="n"/>
      <c r="J19" s="20" t="n"/>
      <c r="K19" s="20" t="n"/>
      <c r="L19" s="20" t="n"/>
      <c r="M19" s="20" t="n"/>
      <c r="N19" s="242" t="n"/>
      <c r="O19" s="54" t="n"/>
    </row>
    <row r="20" outlineLevel="1" s="726">
      <c r="A20" s="341" t="n"/>
      <c r="B20" s="769" t="n"/>
      <c r="F20" s="770" t="n"/>
      <c r="G20" s="20" t="n"/>
      <c r="H20" s="20" t="n"/>
      <c r="I20" s="20" t="n"/>
      <c r="J20" s="20" t="n"/>
      <c r="K20" s="20" t="n"/>
      <c r="L20" s="20" t="n"/>
      <c r="M20" s="20" t="n"/>
      <c r="N20" s="242" t="n"/>
      <c r="O20" s="54" t="n"/>
    </row>
    <row r="21" outlineLevel="1" s="726">
      <c r="A21" s="341" t="n"/>
      <c r="B21" s="769" t="n"/>
      <c r="F21" s="770"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8"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6" t="n"/>
      <c r="D27" s="776" t="n"/>
      <c r="E27" s="776" t="n"/>
      <c r="F27" s="776" t="n"/>
      <c r="G27" s="776" t="n"/>
      <c r="H27" s="776" t="n"/>
      <c r="I27" s="776" t="n"/>
      <c r="J27" s="776" t="n"/>
      <c r="K27" s="777"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9" t="n"/>
      <c r="H32" s="386" t="n"/>
      <c r="I32" s="337" t="n"/>
      <c r="J32" s="389" t="n"/>
      <c r="K32" s="389" t="n"/>
      <c r="N32" s="61" t="n"/>
      <c r="O32" s="54" t="n"/>
    </row>
    <row r="33" outlineLevel="1" s="726">
      <c r="B33" s="383" t="n"/>
      <c r="C33" s="502" t="n"/>
      <c r="D33" s="384" t="n"/>
      <c r="E33" s="503" t="n"/>
      <c r="F33" s="385" t="n"/>
      <c r="G33" s="839" t="n"/>
      <c r="H33" s="385" t="n"/>
      <c r="I33" s="338" t="n"/>
      <c r="J33" s="389" t="n"/>
      <c r="K33" s="389" t="n"/>
      <c r="N33" s="61" t="n"/>
      <c r="O33" s="54" t="n"/>
    </row>
    <row r="34" outlineLevel="1" s="726">
      <c r="B34" s="383" t="n"/>
      <c r="C34" s="502" t="n"/>
      <c r="D34" s="384" t="n"/>
      <c r="E34" s="503" t="n"/>
      <c r="F34" s="385" t="n"/>
      <c r="G34" s="839"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7" t="n"/>
      <c r="C37" s="731" t="n"/>
      <c r="D37" s="731" t="n"/>
      <c r="E37" s="731" t="n"/>
      <c r="F37" s="732" t="n"/>
      <c r="H37" s="146" t="n"/>
      <c r="I37" s="146" t="n"/>
      <c r="N37" s="61" t="n"/>
      <c r="O37" s="54" t="n"/>
    </row>
    <row r="38" outlineLevel="1" ht="14.25" customHeight="1" s="726">
      <c r="B38" s="769" t="n"/>
      <c r="F38" s="770" t="n"/>
      <c r="H38" s="146" t="n"/>
      <c r="I38" s="146" t="n"/>
      <c r="N38" s="61" t="n"/>
      <c r="O38" s="54" t="n"/>
    </row>
    <row r="39" outlineLevel="1" ht="14.25" customHeight="1" s="726">
      <c r="B39" s="769" t="n"/>
      <c r="F39" s="770"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40" t="n"/>
      <c r="H14" s="841" t="n"/>
      <c r="I14" s="350" t="n"/>
      <c r="J14" s="842" t="n"/>
      <c r="K14" s="394" t="n"/>
      <c r="L14" s="20" t="n"/>
      <c r="N14" s="54" t="n"/>
    </row>
    <row r="15" outlineLevel="1" s="726">
      <c r="A15" s="240" t="n"/>
      <c r="B15" s="390" t="n"/>
      <c r="C15" s="375" t="n"/>
      <c r="D15" s="350" t="n"/>
      <c r="E15" s="376" t="n"/>
      <c r="F15" s="350" t="n"/>
      <c r="G15" s="840" t="n"/>
      <c r="H15" s="841" t="n"/>
      <c r="I15" s="350" t="n"/>
      <c r="J15" s="842" t="n"/>
      <c r="K15" s="394" t="n"/>
      <c r="L15" s="20" t="n"/>
      <c r="N15" s="54" t="n"/>
    </row>
    <row r="16" outlineLevel="1" s="726">
      <c r="A16" s="240" t="n"/>
      <c r="B16" s="390" t="n"/>
      <c r="C16" s="375" t="n"/>
      <c r="D16" s="350" t="n"/>
      <c r="E16" s="376" t="n"/>
      <c r="F16" s="350" t="n"/>
      <c r="G16" s="840" t="n"/>
      <c r="H16" s="841" t="n"/>
      <c r="I16" s="350" t="n"/>
      <c r="J16" s="842" t="n"/>
      <c r="K16" s="394" t="n"/>
      <c r="L16" s="20" t="n"/>
      <c r="N16" s="54" t="n"/>
    </row>
    <row r="17" outlineLevel="1" s="726">
      <c r="A17" s="240" t="n"/>
      <c r="B17" s="279" t="n"/>
      <c r="C17" s="279" t="n"/>
      <c r="D17" s="280" t="n"/>
      <c r="E17" s="280" t="n"/>
      <c r="F17" s="280" t="n"/>
      <c r="G17" s="843" t="n"/>
      <c r="H17" s="844" t="n"/>
      <c r="I17" s="280" t="n"/>
      <c r="J17" s="280" t="n"/>
      <c r="K17" s="283" t="n"/>
      <c r="L17" s="283" t="n"/>
      <c r="N17" s="54" t="n"/>
    </row>
    <row r="18" outlineLevel="1" ht="17.25" customHeight="1" s="726" thickBot="1">
      <c r="A18" s="240" t="n"/>
      <c r="B18" s="279" t="n"/>
      <c r="C18" s="279" t="n"/>
      <c r="D18" s="280" t="n"/>
      <c r="E18" s="280" t="n"/>
      <c r="F18" s="280" t="n"/>
      <c r="G18" s="262" t="inlineStr">
        <is>
          <t>合计</t>
        </is>
      </c>
      <c r="H18" s="832">
        <f>SUM(H13:H16)</f>
        <v/>
      </c>
      <c r="I18" s="280" t="n"/>
      <c r="J18" s="832">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7" t="n"/>
      <c r="C22" s="731" t="n"/>
      <c r="D22" s="731" t="n"/>
      <c r="E22" s="731" t="n"/>
      <c r="F22" s="732" t="n"/>
      <c r="I22" s="242" t="n"/>
      <c r="J22" s="242" t="n"/>
      <c r="K22" s="242" t="n"/>
      <c r="L22" s="242" t="n"/>
      <c r="N22" s="54" t="n"/>
    </row>
    <row r="23" outlineLevel="1" s="726">
      <c r="A23" s="341" t="n"/>
      <c r="B23" s="769" t="n"/>
      <c r="F23" s="770" t="n"/>
      <c r="G23" s="20" t="n"/>
      <c r="H23" s="20" t="n"/>
      <c r="I23" s="20" t="n"/>
      <c r="J23" s="20" t="n"/>
      <c r="K23" s="20" t="n"/>
      <c r="L23" s="20" t="n"/>
      <c r="N23" s="54" t="n"/>
    </row>
    <row r="24" outlineLevel="1" s="726">
      <c r="A24" s="341" t="n"/>
      <c r="B24" s="769" t="n"/>
      <c r="F24" s="770"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5" t="inlineStr">
        <is>
          <t>EY Works</t>
        </is>
      </c>
      <c r="L34" s="760"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8" t="n"/>
      <c r="H36" s="819" t="n"/>
      <c r="I36" s="568" t="n"/>
      <c r="J36" s="350" t="n"/>
      <c r="K36" s="389" t="n"/>
      <c r="L36" s="389" t="n"/>
      <c r="N36" s="97" t="n"/>
    </row>
    <row r="37" outlineLevel="1" customFormat="1" s="92">
      <c r="A37" s="363" t="n"/>
      <c r="B37" s="390" t="n"/>
      <c r="C37" s="375" t="n"/>
      <c r="D37" s="350" t="n"/>
      <c r="E37" s="376" t="n"/>
      <c r="F37" s="350" t="n"/>
      <c r="G37" s="818" t="n"/>
      <c r="H37" s="819" t="n"/>
      <c r="I37" s="350" t="n"/>
      <c r="J37" s="350" t="n"/>
      <c r="K37" s="389" t="n"/>
      <c r="L37" s="389" t="n"/>
      <c r="N37" s="97" t="n"/>
    </row>
    <row r="38" outlineLevel="1" customFormat="1" s="92">
      <c r="A38" s="363" t="n"/>
      <c r="B38" s="390" t="n"/>
      <c r="C38" s="375" t="n"/>
      <c r="D38" s="350" t="n"/>
      <c r="E38" s="376" t="n"/>
      <c r="F38" s="350" t="n"/>
      <c r="G38" s="818" t="n"/>
      <c r="H38" s="819"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32">
        <f>SUM(H35:H38)</f>
        <v/>
      </c>
      <c r="I40" s="813" t="n"/>
      <c r="J40" s="3" t="n"/>
      <c r="K40" s="3" t="n"/>
      <c r="L40" s="3" t="n"/>
      <c r="N40" s="54" t="n"/>
    </row>
    <row r="41" outlineLevel="1" ht="13.5" customHeight="1" s="726" thickTop="1">
      <c r="A41" s="341" t="n"/>
      <c r="G41" s="797" t="n"/>
      <c r="H41" s="368" t="inlineStr">
        <is>
          <t>Rx</t>
        </is>
      </c>
      <c r="N41" s="54" t="n"/>
    </row>
    <row r="42" outlineLevel="1" s="726">
      <c r="A42" s="341" t="n"/>
      <c r="G42" s="797"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7" t="n"/>
      <c r="C44" s="731" t="n"/>
      <c r="D44" s="731" t="n"/>
      <c r="E44" s="731" t="n"/>
      <c r="F44" s="732" t="n"/>
      <c r="N44" s="54" t="n"/>
    </row>
    <row r="45" outlineLevel="1" s="726">
      <c r="A45" s="341" t="n"/>
      <c r="B45" s="769" t="n"/>
      <c r="F45" s="770" t="n"/>
      <c r="G45" s="20" t="n"/>
      <c r="H45" s="20" t="n"/>
      <c r="N45" s="54" t="n"/>
    </row>
    <row r="46" outlineLevel="1" s="726">
      <c r="A46" s="341" t="n"/>
      <c r="B46" s="769" t="n"/>
      <c r="F46" s="770"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6">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7" t="n"/>
      <c r="C11" s="731" t="n"/>
      <c r="D11" s="731" t="n"/>
      <c r="E11" s="731" t="n"/>
      <c r="F11" s="732" t="n"/>
      <c r="I11" s="25" t="n"/>
      <c r="J11" s="27" t="n"/>
      <c r="Q11" s="81" t="n"/>
    </row>
    <row r="12" ht="12.75" customHeight="1" s="726">
      <c r="A12" s="29" t="n"/>
      <c r="B12" s="769" t="n"/>
      <c r="F12" s="770"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8" t="n"/>
      <c r="D24" s="293" t="n"/>
      <c r="E24" s="404" t="n"/>
      <c r="F24" s="849" t="n"/>
      <c r="G24" s="294" t="n"/>
      <c r="I24" s="25" t="n"/>
      <c r="J24" s="27" t="n"/>
      <c r="Q24" s="81" t="n"/>
    </row>
    <row r="25" outlineLevel="1" ht="16.5" customHeight="1" s="726">
      <c r="A25" s="29" t="n"/>
      <c r="B25" s="221" t="inlineStr">
        <is>
          <t>加：银收企未收</t>
        </is>
      </c>
      <c r="C25" s="850">
        <f>SUM(C26:C29)</f>
        <v/>
      </c>
      <c r="D25" s="189" t="n"/>
      <c r="E25" s="186" t="inlineStr">
        <is>
          <t>加：企收银未收</t>
        </is>
      </c>
      <c r="F25" s="851">
        <f>SUM(F26:F29)</f>
        <v/>
      </c>
      <c r="G25" s="226" t="n"/>
      <c r="I25" s="25" t="n"/>
      <c r="J25" s="27" t="n"/>
      <c r="Q25" s="81" t="n"/>
    </row>
    <row r="26" outlineLevel="1" s="726">
      <c r="A26" s="29" t="n"/>
      <c r="B26" s="403" t="n"/>
      <c r="C26" s="848" t="n"/>
      <c r="D26" s="293" t="n"/>
      <c r="E26" s="404" t="n"/>
      <c r="F26" s="849" t="n"/>
      <c r="G26" s="294" t="n"/>
      <c r="I26" s="25" t="n"/>
      <c r="J26" s="27" t="n"/>
      <c r="Q26" s="81" t="n"/>
    </row>
    <row r="27" outlineLevel="1" s="726">
      <c r="A27" s="29" t="n"/>
      <c r="B27" s="403" t="n"/>
      <c r="C27" s="848" t="n"/>
      <c r="D27" s="293" t="n"/>
      <c r="E27" s="404" t="n"/>
      <c r="F27" s="849" t="n"/>
      <c r="G27" s="294" t="n"/>
      <c r="I27" s="25" t="n"/>
      <c r="J27" s="27" t="n"/>
      <c r="Q27" s="81" t="n"/>
    </row>
    <row r="28" outlineLevel="1" s="726">
      <c r="A28" s="29" t="n"/>
      <c r="B28" s="403" t="n"/>
      <c r="C28" s="848" t="n"/>
      <c r="D28" s="293" t="n"/>
      <c r="E28" s="404" t="n"/>
      <c r="F28" s="849" t="n"/>
      <c r="G28" s="294" t="n"/>
      <c r="I28" s="25" t="n"/>
      <c r="J28" s="27" t="n"/>
      <c r="Q28" s="81" t="n"/>
    </row>
    <row r="29" outlineLevel="1" s="726">
      <c r="A29" s="29" t="n"/>
      <c r="B29" s="403" t="n"/>
      <c r="C29" s="848" t="n"/>
      <c r="D29" s="293" t="n"/>
      <c r="E29" s="404" t="n"/>
      <c r="F29" s="849" t="n"/>
      <c r="G29" s="294" t="n"/>
      <c r="I29" s="25" t="n"/>
      <c r="J29" s="27" t="n"/>
      <c r="Q29" s="81" t="n"/>
    </row>
    <row r="30" outlineLevel="1" ht="16.5" customHeight="1" s="726">
      <c r="A30" s="29" t="n"/>
      <c r="B30" s="221" t="inlineStr">
        <is>
          <t>减：银付企未付</t>
        </is>
      </c>
      <c r="C30" s="850">
        <f>SUM(C31:C34)</f>
        <v/>
      </c>
      <c r="D30" s="852" t="n"/>
      <c r="E30" s="187" t="inlineStr">
        <is>
          <t>减：企付银未付</t>
        </is>
      </c>
      <c r="F30" s="851">
        <f>SUM(F31:F34)</f>
        <v/>
      </c>
      <c r="G30" s="853" t="n"/>
      <c r="I30" s="25" t="n"/>
      <c r="J30" s="27" t="n"/>
      <c r="Q30" s="81" t="n"/>
    </row>
    <row r="31" outlineLevel="1" s="726">
      <c r="A31" s="29" t="n"/>
      <c r="B31" s="403" t="n"/>
      <c r="C31" s="848" t="n"/>
      <c r="D31" s="293" t="n"/>
      <c r="E31" s="404" t="n"/>
      <c r="F31" s="849" t="n"/>
      <c r="G31" s="294" t="n"/>
      <c r="I31" s="25" t="n"/>
      <c r="J31" s="27" t="n"/>
      <c r="Q31" s="81" t="n"/>
    </row>
    <row r="32" outlineLevel="1" s="726">
      <c r="A32" s="29" t="n"/>
      <c r="B32" s="403" t="n"/>
      <c r="C32" s="848" t="n"/>
      <c r="D32" s="293" t="n"/>
      <c r="E32" s="404" t="n"/>
      <c r="F32" s="849" t="n"/>
      <c r="G32" s="294" t="n"/>
      <c r="I32" s="25" t="n"/>
      <c r="J32" s="27" t="n"/>
      <c r="Q32" s="81" t="n"/>
    </row>
    <row r="33" outlineLevel="1" s="726">
      <c r="A33" s="29" t="n"/>
      <c r="B33" s="403" t="n"/>
      <c r="C33" s="848" t="n"/>
      <c r="D33" s="293" t="n"/>
      <c r="E33" s="404" t="n"/>
      <c r="F33" s="849" t="n"/>
      <c r="G33" s="294" t="n"/>
      <c r="I33" s="25" t="n"/>
      <c r="J33" s="27" t="n"/>
      <c r="Q33" s="81" t="n"/>
    </row>
    <row r="34" outlineLevel="1" s="726">
      <c r="A34" s="29" t="n"/>
      <c r="B34" s="403" t="n"/>
      <c r="C34" s="848" t="n"/>
      <c r="D34" s="293" t="n"/>
      <c r="E34" s="404" t="n"/>
      <c r="F34" s="849" t="n"/>
      <c r="G34" s="294" t="n"/>
      <c r="I34" s="25" t="n"/>
      <c r="J34" s="27" t="n"/>
      <c r="Q34" s="81" t="n"/>
    </row>
    <row r="35" outlineLevel="1" ht="16.5" customHeight="1" s="726">
      <c r="A35" s="29" t="n"/>
      <c r="B35" s="222" t="inlineStr">
        <is>
          <t>调节后金额合计</t>
        </is>
      </c>
      <c r="C35" s="848">
        <f>C24+C25-C30</f>
        <v/>
      </c>
      <c r="D35" s="293" t="n"/>
      <c r="E35" s="188" t="inlineStr">
        <is>
          <t>调节后金额合计</t>
        </is>
      </c>
      <c r="F35" s="849">
        <f>F24+F25-F30</f>
        <v/>
      </c>
      <c r="G35" s="294" t="n"/>
      <c r="I35" s="25" t="n"/>
      <c r="J35" s="27" t="n"/>
      <c r="Q35" s="81" t="n"/>
    </row>
    <row r="36" outlineLevel="1" s="726">
      <c r="A36" s="29" t="n"/>
      <c r="B36" s="237" t="inlineStr">
        <is>
          <t>Check</t>
        </is>
      </c>
      <c r="C36" s="854">
        <f>F35-C35</f>
        <v/>
      </c>
      <c r="D36" s="298" t="n"/>
      <c r="E36" s="191" t="n"/>
      <c r="F36" s="855"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6"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7" t="n"/>
      <c r="G41" s="406" t="n"/>
      <c r="H41" s="389" t="n"/>
      <c r="I41" s="389" t="n"/>
      <c r="J41" s="27" t="n"/>
      <c r="Q41" s="81" t="n"/>
    </row>
    <row r="42" outlineLevel="1" s="726">
      <c r="A42" s="29" t="n"/>
      <c r="B42" s="291" t="n"/>
      <c r="C42" s="518" t="n"/>
      <c r="D42" s="518" t="n"/>
      <c r="E42" s="407" t="n"/>
      <c r="F42" s="858" t="n"/>
      <c r="G42" s="408" t="n"/>
      <c r="H42" s="389" t="n"/>
      <c r="I42" s="389" t="n"/>
      <c r="J42" s="27" t="n"/>
      <c r="Q42" s="81" t="n"/>
    </row>
    <row r="43" outlineLevel="1" s="726">
      <c r="A43" s="29" t="n"/>
      <c r="B43" s="33" t="n"/>
      <c r="C43" s="34" t="n"/>
      <c r="D43" s="35" t="n"/>
      <c r="E43" s="35" t="n"/>
      <c r="F43" s="859" t="n"/>
      <c r="G43" s="35" t="n"/>
      <c r="I43" s="25" t="n"/>
      <c r="J43" s="27" t="n"/>
      <c r="Q43" s="81" t="n"/>
    </row>
    <row r="44" outlineLevel="1" s="726">
      <c r="A44" s="29" t="n"/>
      <c r="B44" s="33" t="n"/>
      <c r="C44" s="34" t="n"/>
      <c r="D44" s="35" t="n"/>
      <c r="E44" s="35" t="n"/>
      <c r="F44" s="859"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60"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7" t="n"/>
      <c r="G48" s="406" t="n"/>
      <c r="H48" s="389" t="n"/>
      <c r="I48" s="389" t="n"/>
      <c r="J48" s="27" t="n"/>
      <c r="Q48" s="81" t="n"/>
    </row>
    <row r="49" outlineLevel="1" s="726">
      <c r="A49" s="29" t="n"/>
      <c r="B49" s="291" t="n"/>
      <c r="C49" s="518" t="n"/>
      <c r="D49" s="518" t="n"/>
      <c r="E49" s="407" t="n"/>
      <c r="F49" s="858"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61">
        <f>'C.02 Bank reconciliations'!B8</f>
        <v/>
      </c>
      <c r="C54" s="719" t="inlineStr">
        <is>
          <t>用于识别和测试调节项的测试阈值</t>
        </is>
      </c>
      <c r="D54" s="862" t="n"/>
      <c r="E54" s="39" t="n"/>
      <c r="F54" s="12" t="n"/>
      <c r="G54" s="12" t="n"/>
      <c r="H54" s="12" t="n"/>
      <c r="I54" s="25" t="n"/>
      <c r="J54" s="12" t="n"/>
      <c r="K54" s="12" t="n"/>
      <c r="L54" s="12" t="n"/>
      <c r="M54" s="12" t="n"/>
      <c r="N54" s="12" t="n"/>
      <c r="O54" s="12" t="n"/>
      <c r="Q54" s="81" t="n"/>
    </row>
    <row r="55">
      <c r="A55" s="10" t="n"/>
      <c r="B55" s="521" t="n"/>
      <c r="C55" s="721" t="inlineStr">
        <is>
          <t>使用的截止期间</t>
        </is>
      </c>
      <c r="D55" s="863"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64" t="n"/>
      <c r="C58" s="731" t="n"/>
      <c r="D58" s="731" t="n"/>
      <c r="E58" s="731" t="n"/>
      <c r="F58" s="732" t="n"/>
      <c r="G58" s="12" t="n"/>
      <c r="H58" s="12" t="n"/>
      <c r="I58" s="25" t="n"/>
      <c r="J58" s="12" t="n"/>
      <c r="K58" s="12" t="n"/>
      <c r="L58" s="12" t="n"/>
      <c r="M58" s="12" t="n"/>
      <c r="N58" s="12" t="n"/>
      <c r="O58" s="12" t="n"/>
      <c r="Q58" s="81" t="n"/>
    </row>
    <row r="59" ht="14.25" customHeight="1" s="726">
      <c r="A59" s="10" t="n"/>
      <c r="B59" s="769" t="n"/>
      <c r="F59" s="770"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5" t="n"/>
      <c r="J66" s="396" t="n"/>
      <c r="K66" s="397" t="n"/>
      <c r="L66" s="398" t="n"/>
      <c r="M66" s="398" t="n"/>
      <c r="N66" s="398" t="n"/>
      <c r="O66" s="287" t="n"/>
      <c r="Q66" s="81" t="n"/>
    </row>
    <row r="67" ht="15" customHeight="1" s="726">
      <c r="A67" s="2" t="n"/>
      <c r="B67" s="395" t="n"/>
      <c r="C67" s="396" t="n"/>
      <c r="D67" s="396" t="n"/>
      <c r="E67" s="519" t="n"/>
      <c r="F67" s="397" t="n"/>
      <c r="G67" s="519" t="n"/>
      <c r="H67" s="396" t="n"/>
      <c r="I67" s="865" t="n"/>
      <c r="J67" s="396" t="n"/>
      <c r="K67" s="397" t="n"/>
      <c r="L67" s="398" t="n"/>
      <c r="M67" s="398" t="n"/>
      <c r="N67" s="398" t="n"/>
      <c r="O67" s="287" t="n"/>
      <c r="Q67" s="81" t="n"/>
    </row>
    <row r="68" ht="15" customHeight="1" s="726">
      <c r="A68" s="2" t="n"/>
      <c r="B68" s="395" t="n"/>
      <c r="C68" s="396" t="n"/>
      <c r="D68" s="396" t="n"/>
      <c r="E68" s="519" t="n"/>
      <c r="F68" s="397" t="n"/>
      <c r="G68" s="519" t="n"/>
      <c r="H68" s="396" t="n"/>
      <c r="I68" s="865" t="n"/>
      <c r="J68" s="396" t="n"/>
      <c r="K68" s="397" t="n"/>
      <c r="L68" s="398" t="n"/>
      <c r="M68" s="398" t="n"/>
      <c r="N68" s="398" t="n"/>
      <c r="O68" s="287" t="n"/>
      <c r="Q68" s="81" t="n"/>
    </row>
    <row r="69" ht="15" customHeight="1" s="726">
      <c r="A69" s="2" t="n"/>
      <c r="B69" s="395" t="n"/>
      <c r="C69" s="396" t="n"/>
      <c r="D69" s="396" t="n"/>
      <c r="E69" s="519" t="n"/>
      <c r="F69" s="397" t="n"/>
      <c r="G69" s="519" t="n"/>
      <c r="H69" s="396" t="n"/>
      <c r="I69" s="865" t="n"/>
      <c r="J69" s="396" t="n"/>
      <c r="K69" s="397" t="n"/>
      <c r="L69" s="398" t="n"/>
      <c r="M69" s="398" t="n"/>
      <c r="N69" s="398" t="n"/>
      <c r="O69" s="287" t="n"/>
      <c r="Q69" s="81" t="n"/>
    </row>
    <row r="70" ht="15" customHeight="1" s="726">
      <c r="A70" s="2" t="n"/>
      <c r="B70" s="399" t="n"/>
      <c r="C70" s="400" t="n"/>
      <c r="D70" s="400" t="n"/>
      <c r="E70" s="520" t="n"/>
      <c r="F70" s="401" t="n"/>
      <c r="G70" s="520" t="n"/>
      <c r="H70" s="400" t="n"/>
      <c r="I70" s="866"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7" t="inlineStr">
        <is>
          <t>USD</t>
        </is>
      </c>
      <c r="C9" s="868">
        <f>SUMIF('C.00 BKD'!F:F,'C.02a 外币测算'!B9,'C.00 BKD'!G:G)</f>
        <v/>
      </c>
      <c r="D9" s="869" t="n"/>
      <c r="E9" s="868">
        <f>C9*D9</f>
        <v/>
      </c>
      <c r="F9" s="868">
        <f>SUMIF('C.00 BKD'!F:F,'C.02a 外币测算'!B9,'C.00 BKD'!H:H)</f>
        <v/>
      </c>
      <c r="G9" s="870">
        <f>E9-F9</f>
        <v/>
      </c>
      <c r="I9" s="124" t="n"/>
    </row>
    <row r="10" ht="12.75" customHeight="1" s="726">
      <c r="B10" s="528" t="inlineStr">
        <is>
          <t>CNY</t>
        </is>
      </c>
      <c r="C10" s="868">
        <f>SUMIF('C.00 BKD'!F:F,'C.02a 外币测算'!B10,'C.00 BKD'!G:G)</f>
        <v/>
      </c>
      <c r="D10" s="869" t="n"/>
      <c r="E10" s="868">
        <f>C10*D10</f>
        <v/>
      </c>
      <c r="F10" s="868">
        <f>SUMIF('C.00 BKD'!F:F,'C.02a 外币测算'!B10,'C.00 BKD'!H:H)</f>
        <v/>
      </c>
      <c r="G10" s="870">
        <f>E10-F10</f>
        <v/>
      </c>
      <c r="I10" s="124" t="n"/>
    </row>
    <row r="11" ht="12.75" customHeight="1" s="726">
      <c r="B11" s="528" t="inlineStr">
        <is>
          <t>JPY</t>
        </is>
      </c>
      <c r="C11" s="868">
        <f>SUMIF('C.00 BKD'!F:F,'C.02a 外币测算'!B11,'C.00 BKD'!G:G)</f>
        <v/>
      </c>
      <c r="D11" s="869" t="n"/>
      <c r="E11" s="868">
        <f>C11*D11</f>
        <v/>
      </c>
      <c r="F11" s="868">
        <f>SUMIF('C.00 BKD'!F:F,'C.02a 外币测算'!B11,'C.00 BKD'!H:H)</f>
        <v/>
      </c>
      <c r="G11" s="870">
        <f>E11-F11</f>
        <v/>
      </c>
      <c r="I11" s="124" t="n"/>
    </row>
    <row r="12" ht="12.75" customHeight="1" s="726">
      <c r="B12" s="529" t="n"/>
      <c r="C12" s="871">
        <f>SUMIF('C.00 BKD'!F:F,'C.02a 外币测算'!B12,'C.00 BKD'!G:G)</f>
        <v/>
      </c>
      <c r="D12" s="872" t="n"/>
      <c r="E12" s="871">
        <f>C12*D12</f>
        <v/>
      </c>
      <c r="F12" s="871">
        <f>SUMIF('C.00 BKD'!F:F,'C.02a 外币测算'!B12,'C.00 BKD'!H:H)</f>
        <v/>
      </c>
      <c r="G12" s="873">
        <f>E12-F12</f>
        <v/>
      </c>
      <c r="I12" s="124" t="n"/>
    </row>
    <row r="13" ht="17.25" customHeight="1" s="726" thickBot="1">
      <c r="B13" s="45" t="n"/>
      <c r="C13" s="45" t="n"/>
      <c r="D13" s="45" t="n"/>
      <c r="E13" s="45" t="n"/>
      <c r="F13" s="45" t="inlineStr">
        <is>
          <t>合计</t>
        </is>
      </c>
      <c r="G13" s="874">
        <f>SUM(G9:G12)</f>
        <v/>
      </c>
      <c r="I13" s="124" t="n"/>
    </row>
    <row r="14" ht="13.5" customHeight="1" s="726" thickTop="1">
      <c r="B14" s="45" t="n"/>
      <c r="C14" s="45" t="n"/>
      <c r="D14" s="45" t="n"/>
      <c r="E14" s="45" t="n"/>
      <c r="F14" s="45" t="n"/>
      <c r="G14" s="797"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5" t="n"/>
      <c r="C17" s="731" t="n"/>
      <c r="D17" s="731" t="n"/>
      <c r="E17" s="731" t="n"/>
      <c r="F17" s="732" t="n"/>
      <c r="G17" s="45" t="n"/>
      <c r="I17" s="124" t="n"/>
    </row>
    <row r="18" ht="12.75" customHeight="1" s="726">
      <c r="B18" s="769" t="n"/>
      <c r="F18" s="770"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5">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6"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7"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9" t="n"/>
      <c r="F12" s="770"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7" t="n"/>
      <c r="J20" s="343" t="n"/>
      <c r="K20" s="540" t="n"/>
      <c r="L20" s="410" t="n"/>
      <c r="M20" s="877" t="n"/>
      <c r="N20" s="343" t="n"/>
      <c r="O20" s="538" t="n"/>
      <c r="P20" s="878">
        <f>M20+I20</f>
        <v/>
      </c>
      <c r="Q20" s="879" t="n"/>
      <c r="R20" s="464" t="n"/>
    </row>
    <row r="21" ht="14.25" customHeight="1" s="726">
      <c r="A21" s="16" t="n"/>
      <c r="B21" s="535" t="n"/>
      <c r="C21" s="343" t="n"/>
      <c r="D21" s="343" t="n"/>
      <c r="E21" s="540" t="n"/>
      <c r="F21" s="397" t="n"/>
      <c r="G21" s="343" t="n"/>
      <c r="H21" s="343" t="n"/>
      <c r="I21" s="877" t="n"/>
      <c r="J21" s="343" t="n"/>
      <c r="K21" s="540" t="n"/>
      <c r="L21" s="410" t="n"/>
      <c r="M21" s="877" t="n"/>
      <c r="N21" s="343" t="n"/>
      <c r="O21" s="538" t="n"/>
      <c r="P21" s="878">
        <f>M21+I21</f>
        <v/>
      </c>
      <c r="Q21" s="879" t="n"/>
      <c r="R21" s="464" t="n"/>
    </row>
    <row r="22" ht="14.25" customHeight="1" s="726">
      <c r="A22" s="16" t="n"/>
      <c r="B22" s="535" t="n"/>
      <c r="C22" s="343" t="n"/>
      <c r="D22" s="343" t="n"/>
      <c r="E22" s="540" t="n"/>
      <c r="F22" s="397" t="n"/>
      <c r="G22" s="343" t="n"/>
      <c r="H22" s="343" t="n"/>
      <c r="I22" s="877" t="n"/>
      <c r="J22" s="343" t="n"/>
      <c r="K22" s="540" t="n"/>
      <c r="L22" s="410" t="n"/>
      <c r="M22" s="877" t="n"/>
      <c r="N22" s="343" t="n"/>
      <c r="O22" s="538" t="n"/>
      <c r="P22" s="878">
        <f>M22+I22</f>
        <v/>
      </c>
      <c r="Q22" s="879" t="n"/>
      <c r="R22" s="464" t="n"/>
    </row>
    <row r="23" ht="14.25" customHeight="1" s="726">
      <c r="A23" s="16" t="n"/>
      <c r="B23" s="535" t="n"/>
      <c r="C23" s="343" t="n"/>
      <c r="D23" s="343" t="n"/>
      <c r="E23" s="540" t="n"/>
      <c r="F23" s="397" t="n"/>
      <c r="G23" s="343" t="n"/>
      <c r="H23" s="343" t="n"/>
      <c r="I23" s="877" t="n"/>
      <c r="J23" s="343" t="n"/>
      <c r="K23" s="540" t="n"/>
      <c r="L23" s="410" t="n"/>
      <c r="M23" s="877" t="n"/>
      <c r="N23" s="343" t="n"/>
      <c r="O23" s="538" t="n"/>
      <c r="P23" s="878">
        <f>M23+I23</f>
        <v/>
      </c>
      <c r="Q23" s="879" t="n"/>
      <c r="R23" s="464" t="n"/>
    </row>
    <row r="24" ht="14.25" customHeight="1" s="726">
      <c r="A24" s="16" t="n"/>
      <c r="B24" s="536" t="n"/>
      <c r="C24" s="537" t="n"/>
      <c r="D24" s="537" t="n"/>
      <c r="E24" s="541" t="n"/>
      <c r="F24" s="401" t="n"/>
      <c r="G24" s="537" t="n"/>
      <c r="H24" s="537" t="n"/>
      <c r="I24" s="880" t="n"/>
      <c r="J24" s="537" t="n"/>
      <c r="K24" s="541" t="n"/>
      <c r="L24" s="411" t="n"/>
      <c r="M24" s="880" t="n"/>
      <c r="N24" s="537" t="n"/>
      <c r="O24" s="539" t="n"/>
      <c r="P24" s="878">
        <f>M24+I24</f>
        <v/>
      </c>
      <c r="Q24" s="879"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7" t="n"/>
      <c r="J29" s="343" t="n"/>
      <c r="K29" s="540" t="n"/>
      <c r="L29" s="410" t="n"/>
      <c r="M29" s="877" t="n"/>
      <c r="N29" s="343" t="n"/>
      <c r="O29" s="538" t="n"/>
      <c r="P29" s="878">
        <f>M29+I29</f>
        <v/>
      </c>
      <c r="Q29" s="879" t="n"/>
      <c r="R29" s="464" t="n"/>
    </row>
    <row r="30" ht="14.25" customHeight="1" s="726">
      <c r="A30" s="16" t="n"/>
      <c r="B30" s="535" t="n"/>
      <c r="C30" s="343" t="n"/>
      <c r="D30" s="343" t="n"/>
      <c r="E30" s="540" t="n"/>
      <c r="F30" s="397" t="n"/>
      <c r="G30" s="343" t="n"/>
      <c r="H30" s="343" t="n"/>
      <c r="I30" s="877" t="n"/>
      <c r="J30" s="343" t="n"/>
      <c r="K30" s="540" t="n"/>
      <c r="L30" s="410" t="n"/>
      <c r="M30" s="877" t="n"/>
      <c r="N30" s="343" t="n"/>
      <c r="O30" s="538" t="n"/>
      <c r="P30" s="878">
        <f>M30+I30</f>
        <v/>
      </c>
      <c r="Q30" s="879" t="n"/>
      <c r="R30" s="464" t="n"/>
    </row>
    <row r="31" ht="14.25" customHeight="1" s="726">
      <c r="A31" s="16" t="n"/>
      <c r="B31" s="535" t="n"/>
      <c r="C31" s="343" t="n"/>
      <c r="D31" s="343" t="n"/>
      <c r="E31" s="540" t="n"/>
      <c r="F31" s="397" t="n"/>
      <c r="G31" s="343" t="n"/>
      <c r="H31" s="343" t="n"/>
      <c r="I31" s="877" t="n"/>
      <c r="J31" s="343" t="n"/>
      <c r="K31" s="540" t="n"/>
      <c r="L31" s="410" t="n"/>
      <c r="M31" s="877" t="n"/>
      <c r="N31" s="343" t="n"/>
      <c r="O31" s="538" t="n"/>
      <c r="P31" s="878">
        <f>M31+I31</f>
        <v/>
      </c>
      <c r="Q31" s="879" t="n"/>
      <c r="R31" s="464" t="n"/>
    </row>
    <row r="32" ht="14.25" customHeight="1" s="726">
      <c r="A32" s="16" t="n"/>
      <c r="B32" s="535" t="n"/>
      <c r="C32" s="343" t="n"/>
      <c r="D32" s="343" t="n"/>
      <c r="E32" s="540" t="n"/>
      <c r="F32" s="397" t="n"/>
      <c r="G32" s="343" t="n"/>
      <c r="H32" s="343" t="n"/>
      <c r="I32" s="877" t="n"/>
      <c r="J32" s="343" t="n"/>
      <c r="K32" s="540" t="n"/>
      <c r="L32" s="410" t="n"/>
      <c r="M32" s="877" t="n"/>
      <c r="N32" s="343" t="n"/>
      <c r="O32" s="538" t="n"/>
      <c r="P32" s="878">
        <f>M32+I32</f>
        <v/>
      </c>
      <c r="Q32" s="879" t="n"/>
      <c r="R32" s="464" t="n"/>
    </row>
    <row r="33" ht="14.25" customHeight="1" s="726">
      <c r="A33" s="16" t="n"/>
      <c r="B33" s="536" t="n"/>
      <c r="C33" s="537" t="n"/>
      <c r="D33" s="537" t="n"/>
      <c r="E33" s="541" t="n"/>
      <c r="F33" s="401" t="n"/>
      <c r="G33" s="537" t="n"/>
      <c r="H33" s="537" t="n"/>
      <c r="I33" s="880" t="n"/>
      <c r="J33" s="537" t="n"/>
      <c r="K33" s="541" t="n"/>
      <c r="L33" s="411" t="n"/>
      <c r="M33" s="880" t="n"/>
      <c r="N33" s="537" t="n"/>
      <c r="O33" s="539" t="n"/>
      <c r="P33" s="878">
        <f>M33+I33</f>
        <v/>
      </c>
      <c r="Q33" s="879"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2026-05-26T09:28:41Z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
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SA592SS\Downloads\标准审计底稿模板第六版-使用版\标准审计底稿模板第六版-使用版\"/>
    </mc:Choice>
  </mc:AlternateContent>
  <xr:revisionPtr revIDLastSave="0" documentId="13_ncr:1_{86551E2D-DE8E-4204-BC43-8969378FE0ED}" xr6:coauthVersionLast="47" xr6:coauthVersionMax="47" xr10:uidLastSave="{00000000-0000-0000-0000-000000000000}"/>
  <bookViews>
    <workbookView xWindow="-110" yWindow="-110" windowWidth="19420" windowHeight="11500" tabRatio="836" xr2:uid="{00000000-000D-0000-FFFF-FFFF00000000}"/>
  </bookViews>
  <sheets>
    <sheet name="汇总" sheetId="43" r:id="rId1"/>
    <sheet name="M.00 Lead" sheetId="4" r:id="rId2"/>
    <sheet name="M.01 银承BKD" sheetId="53" r:id="rId3"/>
    <sheet name="M.02 商承BKD" sheetId="69" r:id="rId4"/>
    <sheet name="M.01.01&amp;02.01明细账" sheetId="70" r:id="rId5"/>
    <sheet name="SkywindSettingSheet" sheetId="42" state="veryHidden" r:id="rId6"/>
  </sheets>
  <definedNames>
    <definedName name="_____dod1" localSheetId="4" hidden="1">{#N/A,#N/A,TRUE,"CPRD";#N/A,#N/A,TRUE,"BCCPDR";#N/A,#N/A,TRUE,"EWRD";#N/A,#N/A,TRUE,"5100";#N/A,#N/A,TRUE,"5110"}</definedName>
    <definedName name="_____dod1" hidden="1">{#N/A,#N/A,TRUE,"CPRD";#N/A,#N/A,TRUE,"BCCPDR";#N/A,#N/A,TRUE,"EWRD";#N/A,#N/A,TRUE,"5100";#N/A,#N/A,TRUE,"5110"}</definedName>
    <definedName name="____dod1" localSheetId="4" hidden="1">{#N/A,#N/A,TRUE,"CPRD";#N/A,#N/A,TRUE,"BCCPDR";#N/A,#N/A,TRUE,"EWRD";#N/A,#N/A,TRUE,"5100";#N/A,#N/A,TRUE,"5110"}</definedName>
    <definedName name="____dod1" hidden="1">{#N/A,#N/A,TRUE,"CPRD";#N/A,#N/A,TRUE,"BCCPDR";#N/A,#N/A,TRUE,"EWRD";#N/A,#N/A,TRUE,"5100";#N/A,#N/A,TRUE,"5110"}</definedName>
    <definedName name="___dod1" localSheetId="4" hidden="1">{#N/A,#N/A,TRUE,"CPRD";#N/A,#N/A,TRUE,"BCCPDR";#N/A,#N/A,TRUE,"EWRD";#N/A,#N/A,TRUE,"5100";#N/A,#N/A,TRUE,"5110"}</definedName>
    <definedName name="___dod1" hidden="1">{#N/A,#N/A,TRUE,"CPRD";#N/A,#N/A,TRUE,"BCCPDR";#N/A,#N/A,TRUE,"EWRD";#N/A,#N/A,TRUE,"5100";#N/A,#N/A,TRUE,"5110"}</definedName>
    <definedName name="___dog1" localSheetId="4"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localSheetId="4" hidden="1">{#N/A,#N/A,TRUE,"CPRD";#N/A,#N/A,TRUE,"BCCPDR";#N/A,#N/A,TRUE,"EWRD";#N/A,#N/A,TRUE,"5100";#N/A,#N/A,TRUE,"5110"}</definedName>
    <definedName name="__dod1" hidden="1">{#N/A,#N/A,TRUE,"CPRD";#N/A,#N/A,TRUE,"BCCPDR";#N/A,#N/A,TRUE,"EWRD";#N/A,#N/A,TRUE,"5100";#N/A,#N/A,TRUE,"5110"}</definedName>
    <definedName name="__dog1" localSheetId="4"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localSheetId="4" hidden="1">{#N/A,#N/A,FALSE,"²Ä1­Ó¤ë"}</definedName>
    <definedName name="_15wrn.²Ä1­Ó¤ë1_Ü20¤H." hidden="1">{#N/A,#N/A,FALSE,"²Ä1­Ó¤ë"}</definedName>
    <definedName name="_16wrn.²Ä1­Ó¤ë1_Ü20¤H." localSheetId="4"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localSheetId="4" hidden="1">{#N/A,#N/A,TRUE,"CPRD";#N/A,#N/A,TRUE,"BCCPDR";#N/A,#N/A,TRUE,"EWRD";#N/A,#N/A,TRUE,"5100";#N/A,#N/A,TRUE,"5110"}</definedName>
    <definedName name="_dod1" hidden="1">{#N/A,#N/A,TRUE,"CPRD";#N/A,#N/A,TRUE,"BCCPDR";#N/A,#N/A,TRUE,"EWRD";#N/A,#N/A,TRUE,"5100";#N/A,#N/A,TRUE,"5110"}</definedName>
    <definedName name="_dog1" localSheetId="4" hidden="1">{#N/A,#N/A,TRUE,"CPRD";#N/A,#N/A,TRUE,"BCCPDR";#N/A,#N/A,TRUE,"EWRD";#N/A,#N/A,TRUE,"5100";#N/A,#N/A,TRUE,"5110"}</definedName>
    <definedName name="_dog1" hidden="1">{#N/A,#N/A,TRUE,"CPRD";#N/A,#N/A,TRUE,"BCCPDR";#N/A,#N/A,TRUE,"EWRD";#N/A,#N/A,TRUE,"5100";#N/A,#N/A,TRUE,"5110"}</definedName>
    <definedName name="_Fill" hidden="1">#REF!</definedName>
    <definedName name="_xlnm._FilterDatabase" hidden="1">#REF!</definedName>
    <definedName name="_Key1" hidden="1">#REF!</definedName>
    <definedName name="_Key2" hidden="1">#REF!</definedName>
    <definedName name="_Key3" hidden="1">#REF!</definedName>
    <definedName name="_O1" localSheetId="4" hidden="1">{#N/A,#N/A,FALSE,"970301";#N/A,#N/A,FALSE,"970302";#N/A,#N/A,FALSE,"970303";#N/A,#N/A,FALSE,"970304";#N/A,#N/A,FALSE,"COM1";#N/A,#N/A,FALSE,"COM2"}</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localSheetId="4"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4" hidden="1">{#N/A,#N/A,FALSE,"资产负债表";#N/A,#N/A,FALSE,"资产负债表"}</definedName>
    <definedName name="aaz" hidden="1">{#N/A,#N/A,FALSE,"资产负债表";#N/A,#N/A,FALSE,"资产负债表"}</definedName>
    <definedName name="AccessDatabase" hidden="1">"F:\Track-Pur\Sachs-2000.mdb"</definedName>
    <definedName name="ada" localSheetId="4" hidden="1">{#N/A,#N/A,FALSE,"资产负债表";#N/A,#N/A,FALSE,"资产负债表"}</definedName>
    <definedName name="ada" hidden="1">{#N/A,#N/A,FALSE,"资产负债表";#N/A,#N/A,FALSE,"资产负债表"}</definedName>
    <definedName name="adaf" localSheetId="4" hidden="1">{#N/A,#N/A,FALSE,"资产负债表";#N/A,#N/A,FALSE,"资产负债表"}</definedName>
    <definedName name="adaf"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df" hidden="1">{"toptrial",#N/A,TRUE,"toptrial";"adjustment",#N/A,TRUE,"toptrial";"voucher",#N/A,TRUE,"toptrial"}</definedName>
    <definedName name="afhai" localSheetId="4" hidden="1">{#N/A,#N/A,FALSE,"资产负债表";#N/A,#N/A,FALSE,"资产负债表"}</definedName>
    <definedName name="afhai" hidden="1">{#N/A,#N/A,FALSE,"资产负债表";#N/A,#N/A,FALSE,"资产负债表"}</definedName>
    <definedName name="afsdavad" hidden="1">#REF!</definedName>
    <definedName name="AGEDDATABASE" localSheetId="4" hidden="1">{#N/A,#N/A,FALSE,"970301";#N/A,#N/A,FALSE,"970302";#N/A,#N/A,FALSE,"970303";#N/A,#N/A,FALSE,"970304";#N/A,#N/A,FALSE,"COM1";#N/A,#N/A,FALSE,"COM2"}</definedName>
    <definedName name="AGEDDATABASE" hidden="1">{#N/A,#N/A,FALSE,"970301";#N/A,#N/A,FALSE,"970302";#N/A,#N/A,FALSE,"970303";#N/A,#N/A,FALSE,"970304";#N/A,#N/A,FALSE,"COM1";#N/A,#N/A,FALSE,"COM2"}</definedName>
    <definedName name="aidhaif" localSheetId="4" hidden="1">{#N/A,#N/A,FALSE,"资产负债表";#N/A,#N/A,FALSE,"资产负债表"}</definedName>
    <definedName name="aidhaif" hidden="1">{#N/A,#N/A,FALSE,"资产负债表";#N/A,#N/A,FALSE,"资产负债表"}</definedName>
    <definedName name="anakf" localSheetId="4"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localSheetId="4" hidden="1">{#N/A,#N/A,FALSE,"Marketing";#N/A,#N/A,FALSE,"Selling";#N/A,#N/A,FALSE,"Promotional";#N/A,#N/A,FALSE,"Advertising"}</definedName>
    <definedName name="asdas" hidden="1">{#N/A,#N/A,FALSE,"Marketing";#N/A,#N/A,FALSE,"Selling";#N/A,#N/A,FALSE,"Promotional";#N/A,#N/A,FALSE,"Advertising"}</definedName>
    <definedName name="asdg" localSheetId="4" hidden="1">{#N/A,#N/A,FALSE,"资产负债表";#N/A,#N/A,FALSE,"资产负债表"}</definedName>
    <definedName name="asdg" hidden="1">{#N/A,#N/A,FALSE,"资产负债表";#N/A,#N/A,FALSE,"资产负债表"}</definedName>
    <definedName name="ass" localSheetId="4"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localSheetId="4"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4" hidden="1">{#N/A,#N/A,FALSE,"OffAdvance";#N/A,#N/A,FALSE,"OffExpRprt";#N/A,#N/A,FALSE,"Travelling";#N/A,#N/A,FALSE,"Entertmnt";#N/A,#N/A,FALSE,"Promotion"}</definedName>
    <definedName name="book.2" hidden="1">{#N/A,#N/A,FALSE,"OffAdvance";#N/A,#N/A,FALSE,"OffExpRprt";#N/A,#N/A,FALSE,"Travelling";#N/A,#N/A,FALSE,"Entertmnt";#N/A,#N/A,FALSE,"Promotion"}</definedName>
    <definedName name="BYD" localSheetId="4" hidden="1">{#N/A,#N/A,FALSE,"Earn'gs &amp; Val'n";#N/A,#N/A,FALSE,"Interim"}</definedName>
    <definedName name="BYD"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4" hidden="1">{#N/A,#N/A,FALSE,"资产负债表";#N/A,#N/A,FALSE,"资产负债表"}</definedName>
    <definedName name="cccvb" hidden="1">{#N/A,#N/A,FALSE,"资产负债表";#N/A,#N/A,FALSE,"资产负债表"}</definedName>
    <definedName name="CFVVHH" localSheetId="4" hidden="1">{#N/A,#N/A,FALSE,"资产负债表";#N/A,#N/A,FALSE,"资产负债表"}</definedName>
    <definedName name="CFVVHH" hidden="1">{#N/A,#N/A,FALSE,"资产负债表";#N/A,#N/A,FALSE,"资产负债表"}</definedName>
    <definedName name="cfyik" localSheetId="4" hidden="1">{#N/A,#N/A,FALSE,"资产负债表";#N/A,#N/A,FALSE,"资产负债表"}</definedName>
    <definedName name="cfyik" hidden="1">{#N/A,#N/A,FALSE,"资产负债表";#N/A,#N/A,FALSE,"资产负债表"}</definedName>
    <definedName name="cgul" localSheetId="4" hidden="1">{#N/A,#N/A,FALSE,"资产负债表";#N/A,#N/A,FALSE,"资产负债表"}</definedName>
    <definedName name="cgul" hidden="1">{#N/A,#N/A,FALSE,"资产负债表";#N/A,#N/A,FALSE,"资产负债表"}</definedName>
    <definedName name="cguocnbnl" localSheetId="4" hidden="1">{#N/A,#N/A,FALSE,"资产负债表";#N/A,#N/A,FALSE,"资产负债表"}</definedName>
    <definedName name="cguocnbnl" hidden="1">{#N/A,#N/A,FALSE,"资产负债表";#N/A,#N/A,FALSE,"资产负债表"}</definedName>
    <definedName name="Coll" localSheetId="4" hidden="1">{#N/A,#N/A,FALSE,"970301";#N/A,#N/A,FALSE,"970302";#N/A,#N/A,FALSE,"970303";#N/A,#N/A,FALSE,"970304";#N/A,#N/A,FALSE,"COM1";#N/A,#N/A,FALSE,"COM2"}</definedName>
    <definedName name="Coll" hidden="1">{#N/A,#N/A,FALSE,"970301";#N/A,#N/A,FALSE,"970302";#N/A,#N/A,FALSE,"970303";#N/A,#N/A,FALSE,"970304";#N/A,#N/A,FALSE,"COM1";#N/A,#N/A,FALSE,"COM2"}</definedName>
    <definedName name="DBS" hidden="1">#REF!</definedName>
    <definedName name="dcca" localSheetId="4" hidden="1">{#N/A,#N/A,FALSE,"资产负债表";#N/A,#N/A,FALSE,"资产负债表"}</definedName>
    <definedName name="dcca" hidden="1">{#N/A,#N/A,FALSE,"资产负债表";#N/A,#N/A,FALSE,"资产负债表"}</definedName>
    <definedName name="dfgdafsg" localSheetId="4" hidden="1">{#N/A,#N/A,FALSE,"OffAdvance";#N/A,#N/A,FALSE,"OffExpRprt";#N/A,#N/A,FALSE,"Travelling";#N/A,#N/A,FALSE,"Entertmnt";#N/A,#N/A,FALSE,"Promotion"}</definedName>
    <definedName name="dfgdafsg"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h" hidden="1">{"M4Print",#N/A,FALSE,"M4"}</definedName>
    <definedName name="display_area_2" hidden="1">#REF!</definedName>
    <definedName name="dlf" localSheetId="4"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4" hidden="1">{#N/A,#N/A,TRUE,"CPRD";#N/A,#N/A,TRUE,"BCCPDR";#N/A,#N/A,TRUE,"EWRD";#N/A,#N/A,TRUE,"5100";#N/A,#N/A,TRUE,"5110"}</definedName>
    <definedName name="doddd" hidden="1">{#N/A,#N/A,TRUE,"CPRD";#N/A,#N/A,TRUE,"BCCPDR";#N/A,#N/A,TRUE,"EWRD";#N/A,#N/A,TRUE,"5100";#N/A,#N/A,TRUE,"5110"}</definedName>
    <definedName name="dog" localSheetId="4"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localSheetId="4" hidden="1">{#N/A,#N/A,FALSE,"资产负债表";#N/A,#N/A,FALSE,"资产负债表"}</definedName>
    <definedName name="dvbm" hidden="1">{#N/A,#N/A,FALSE,"资产负债表";#N/A,#N/A,FALSE,"资产负债表"}</definedName>
    <definedName name="ehdg" localSheetId="4" hidden="1">{#N/A,#N/A,FALSE,"Jan"}</definedName>
    <definedName name="ehdg" hidden="1">{#N/A,#N/A,FALSE,"Jan"}</definedName>
    <definedName name="erf" localSheetId="4" hidden="1">{#N/A,#N/A,FALSE,"970301";#N/A,#N/A,FALSE,"970302";#N/A,#N/A,FALSE,"970303";#N/A,#N/A,FALSE,"970304";#N/A,#N/A,FALSE,"COM1";#N/A,#N/A,FALSE,"COM2"}</definedName>
    <definedName name="erf" hidden="1">{#N/A,#N/A,FALSE,"970301";#N/A,#N/A,FALSE,"970302";#N/A,#N/A,FALSE,"970303";#N/A,#N/A,FALSE,"970304";#N/A,#N/A,FALSE,"COM1";#N/A,#N/A,FALSE,"COM2"}</definedName>
    <definedName name="eryj" localSheetId="4" hidden="1">{#N/A,#N/A,FALSE,"资产负债表";#N/A,#N/A,FALSE,"资产负债表"}</definedName>
    <definedName name="eryj" hidden="1">{#N/A,#N/A,FALSE,"资产负债表";#N/A,#N/A,FALSE,"资产负债表"}</definedName>
    <definedName name="EV__LASTREFTIME__" hidden="1">39274.4724884259</definedName>
    <definedName name="ExpenseUpload" localSheetId="4" hidden="1">{#N/A,#N/A,TRUE,"CPRD";#N/A,#N/A,TRUE,"BCCPDR";#N/A,#N/A,TRUE,"EWRD";#N/A,#N/A,TRUE,"5100";#N/A,#N/A,TRUE,"5110"}</definedName>
    <definedName name="ExpenseUpload" hidden="1">{#N/A,#N/A,TRUE,"CPRD";#N/A,#N/A,TRUE,"BCCPDR";#N/A,#N/A,TRUE,"EWRD";#N/A,#N/A,TRUE,"5100";#N/A,#N/A,TRUE,"5110"}</definedName>
    <definedName name="f" hidden="1">#REF!</definedName>
    <definedName name="faif" localSheetId="4" hidden="1">{#N/A,#N/A,FALSE,"资产负债表";#N/A,#N/A,FALSE,"资产负债表"}</definedName>
    <definedName name="faif" hidden="1">{#N/A,#N/A,FALSE,"资产负债表";#N/A,#N/A,FALSE,"资产负债表"}</definedName>
    <definedName name="FCode" hidden="1">#REF!</definedName>
    <definedName name="fd" localSheetId="4" hidden="1">{"M1sPrint",#N/A,FALSE,"M1s"}</definedName>
    <definedName name="fd" hidden="1">{"M1sPrint",#N/A,FALSE,"M1s"}</definedName>
    <definedName name="feedback" localSheetId="4" hidden="1">{#N/A,#N/A,TRUE,"CPRD";#N/A,#N/A,TRUE,"BCCPDR";#N/A,#N/A,TRUE,"EWRD";#N/A,#N/A,TRUE,"5100";#N/A,#N/A,TRUE,"5110"}</definedName>
    <definedName name="feedback"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fvb" hidden="1">{#N/A,#N/A,FALSE,"资产负债表";#N/A,#N/A,FALSE,"资产负债表"}</definedName>
    <definedName name="G9IJGF" localSheetId="4" hidden="1">{#N/A,#N/A,FALSE,"资产负债表";#N/A,#N/A,FALSE,"资产负债表"}</definedName>
    <definedName name="G9IJGF" hidden="1">{#N/A,#N/A,FALSE,"资产负债表";#N/A,#N/A,FALSE,"资产负债表"}</definedName>
    <definedName name="hadiah" localSheetId="4" hidden="1">{#N/A,#N/A,FALSE,"资产负债表";#N/A,#N/A,FALSE,"资产负债表"}</definedName>
    <definedName name="hadiah" hidden="1">{#N/A,#N/A,FALSE,"资产负债表";#N/A,#N/A,FALSE,"资产负债表"}</definedName>
    <definedName name="HdctTrnd" localSheetId="4" hidden="1">{#N/A,#N/A,TRUE,"CPRD";#N/A,#N/A,TRUE,"BCCPDR";#N/A,#N/A,TRUE,"EWRD";#N/A,#N/A,TRUE,"5100";#N/A,#N/A,TRUE,"5110"}</definedName>
    <definedName name="HdctTrnd" hidden="1">{#N/A,#N/A,TRUE,"CPRD";#N/A,#N/A,TRUE,"BCCPDR";#N/A,#N/A,TRUE,"EWRD";#N/A,#N/A,TRUE,"5100";#N/A,#N/A,TRUE,"5110"}</definedName>
    <definedName name="HiddenRows" hidden="1">#REF!</definedName>
    <definedName name="HTL_Cotrol1" localSheetId="4" hidden="1">{"'Sheet3'!$A$47:$M$47"}</definedName>
    <definedName name="HTL_Cotrol1" hidden="1">{"'Sheet3'!$A$47:$M$47"}</definedName>
    <definedName name="HTML_CodePage" hidden="1">1252</definedName>
    <definedName name="HTML_Control" localSheetId="4"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localSheetId="4" hidden="1">{#N/A,#N/A,FALSE,"资产负债表";#N/A,#N/A,FALSE,"资产负债表"}</definedName>
    <definedName name="hueoa" hidden="1">{#N/A,#N/A,FALSE,"资产负债表";#N/A,#N/A,FALSE,"资产负债表"}</definedName>
    <definedName name="ieji" localSheetId="4" hidden="1">{#N/A,#N/A,FALSE,"970301";#N/A,#N/A,FALSE,"970302";#N/A,#N/A,FALSE,"970303";#N/A,#N/A,FALSE,"970304";#N/A,#N/A,FALSE,"COM1";#N/A,#N/A,FALSE,"COM2"}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localSheetId="4" hidden="1">{"M4Print",#N/A,FALSE,"M4"}</definedName>
    <definedName name="jdda" hidden="1">{"M4Print",#N/A,FALSE,"M4"}</definedName>
    <definedName name="jdfslsajdflasdkjpf" localSheetId="4"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4" hidden="1">{"M1sPrint",#N/A,FALSE,"M1s"}</definedName>
    <definedName name="jfgh" hidden="1">{"M1sPrint",#N/A,FALSE,"M1s"}</definedName>
    <definedName name="jgfhfg" localSheetId="4" hidden="1">{"M1sPrint",#N/A,FALSE,"M1s"}</definedName>
    <definedName name="jgfhfg" hidden="1">{"M1sPrint",#N/A,FALSE,"M1s"}</definedName>
    <definedName name="jlj" localSheetId="4" hidden="1">{"M2aPrint",#N/A,FALSE,"M2a"}</definedName>
    <definedName name="jlj" hidden="1">{"M2aPrint",#N/A,FALSE,"M2a"}</definedName>
    <definedName name="jughn" localSheetId="4" hidden="1">{"M7_1Print",#N/A,TRUE,"M7_1";"M7_2Print",#N/A,TRUE,"M7_2"}</definedName>
    <definedName name="jughn" hidden="1">{"M7_1Print",#N/A,TRUE,"M7_1";"M7_2Print",#N/A,TRUE,"M7_2"}</definedName>
    <definedName name="jytj" localSheetId="4" hidden="1">{"M7_1Print",#N/A,TRUE,"M7_1";"M7_2Print",#N/A,TRUE,"M7_2"}</definedName>
    <definedName name="jytj" hidden="1">{"M7_1Print",#N/A,TRUE,"M7_1";"M7_2Print",#N/A,TRUE,"M7_2"}</definedName>
    <definedName name="K2_WBEVMODE" hidden="1">-1</definedName>
    <definedName name="kljik" localSheetId="4" hidden="1">{#N/A,#N/A,FALSE,"OffAdvance";#N/A,#N/A,FALSE,"OffExpRprt";#N/A,#N/A,FALSE,"Entertmnt";#N/A,#N/A,FALSE,"Promotion";#N/A,#N/A,FALSE,"Travelling"}</definedName>
    <definedName name="kljik" hidden="1">{#N/A,#N/A,FALSE,"OffAdvance";#N/A,#N/A,FALSE,"OffExpRprt";#N/A,#N/A,FALSE,"Entertmnt";#N/A,#N/A,FALSE,"Promotion";#N/A,#N/A,FALSE,"Travelling"}</definedName>
    <definedName name="kuj" localSheetId="4" hidden="1">{"M6Print",#N/A,FALSE,"M6";"M6_1Print",#N/A,FALSE,"M6_1";"M6_2Print",#N/A,FALSE,"M6_2"}</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localSheetId="4" hidden="1">{"M1sPrint",#N/A,FALSE,"M1s"}</definedName>
    <definedName name="lu" hidden="1">{"M1sPrint",#N/A,FALSE,"M1s"}</definedName>
    <definedName name="M_PlaceofPath" hidden="1">"F:\danders\COMPANY\HET\HET_VDF.XLS"</definedName>
    <definedName name="n" localSheetId="4" hidden="1">{"M2Print",#N/A,FALSE,"M2"}</definedName>
    <definedName name="n" hidden="1">{"M2Print",#N/A,FALSE,"M2"}</definedName>
    <definedName name="new" hidden="1">{#N/A,#N/A,FALSE,"Jan"}</definedName>
    <definedName name="ngn" localSheetId="4"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notused" hidden="1">{#N/A,#N/A,TRUE,"CPRD";#N/A,#N/A,TRUE,"BCCPDR";#N/A,#N/A,TRUE,"EWRD";#N/A,#N/A,TRUE,"5100";#N/A,#N/A,TRUE,"5110"}</definedName>
    <definedName name="ooo" localSheetId="4" hidden="1">{#N/A,#N/A,FALSE,"Sales  total 9712";#N/A,#N/A,FALSE,"Sales  total 9712";#N/A,#N/A,FALSE,"Sales  total 9712";#N/A,#N/A,FALSE,"Sales  total 9712"}</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localSheetId="4" hidden="1">{"M2aPrint",#N/A,FALSE,"M2a"}</definedName>
    <definedName name="qwertyuiopasdfghjkl" hidden="1">{"M2aPrint",#N/A,FALSE,"M2a"}</definedName>
    <definedName name="qwwertyuiop" localSheetId="4" hidden="1">{"M2Print",#N/A,FALSE,"M2"}</definedName>
    <definedName name="qwwertyuiop" hidden="1">{"M2Print",#N/A,FALSE,"M2"}</definedName>
    <definedName name="RCArea" hidden="1">#REF!</definedName>
    <definedName name="RJE" localSheetId="4" hidden="1">{"toptrial",#N/A,TRUE,"toptrial";"adjustment",#N/A,TRUE,"toptrial";"voucher",#N/A,TRUE,"toptrial"}</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localSheetId="4" hidden="1">{"M1sPrint",#N/A,FALSE,"M1s"}</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localSheetId="4" hidden="1">{#N/A,#N/A,FALSE,"资产负债表";#N/A,#N/A,FALSE,"资产负债表"}</definedName>
    <definedName name="sssz" hidden="1">{#N/A,#N/A,FALSE,"资产负债表";#N/A,#N/A,FALSE,"资产负债表"}</definedName>
    <definedName name="tbl_ProdInfo" hidden="1">#REF!</definedName>
    <definedName name="terh" localSheetId="4"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hidden="1">5</definedName>
    <definedName name="tfhg" localSheetId="4" hidden="1">{"M1Print",#N/A,FALSE,"M1"}</definedName>
    <definedName name="tfhg" hidden="1">{"M1Print",#N/A,FALSE,"M1"}</definedName>
    <definedName name="the" localSheetId="4" hidden="1">{#N/A,#N/A,FALSE,"Marketing";#N/A,#N/A,FALSE,"Selling";#N/A,#N/A,FALSE,"Promotional";#N/A,#N/A,FALSE,"Advertising"}</definedName>
    <definedName name="the" hidden="1">{#N/A,#N/A,FALSE,"Marketing";#N/A,#N/A,FALSE,"Selling";#N/A,#N/A,FALSE,"Promotional";#N/A,#N/A,FALSE,"Advertising"}</definedName>
    <definedName name="ulead" localSheetId="4" hidden="1">{#N/A,#N/A,FALSE,"970301";#N/A,#N/A,FALSE,"970302";#N/A,#N/A,FALSE,"970303";#N/A,#N/A,FALSE,"970304";#N/A,#N/A,FALSE,"COM1";#N/A,#N/A,FALSE,"COM2"}</definedName>
    <definedName name="ulead" hidden="1">{#N/A,#N/A,FALSE,"970301";#N/A,#N/A,FALSE,"970302";#N/A,#N/A,FALSE,"970303";#N/A,#N/A,FALSE,"970304";#N/A,#N/A,FALSE,"COM1";#N/A,#N/A,FALSE,"COM2"}</definedName>
    <definedName name="uygh" localSheetId="4" hidden="1">{"M6Print",#N/A,FALSE,"M6";"M6_1Print",#N/A,FALSE,"M6_1";"M6_2Print",#N/A,FALSE,"M6_2"}</definedName>
    <definedName name="uygh" hidden="1">{"M6Print",#N/A,FALSE,"M6";"M6_1Print",#N/A,FALSE,"M6_1";"M6_2Print",#N/A,FALSE,"M6_2"}</definedName>
    <definedName name="vhvkb" localSheetId="4" hidden="1">{#N/A,#N/A,FALSE,"资产负债表";#N/A,#N/A,FALSE,"资产负债表"}</definedName>
    <definedName name="vhvkb" hidden="1">{#N/A,#N/A,FALSE,"资产负债表";#N/A,#N/A,FALSE,"资产负债表"}</definedName>
    <definedName name="werwefasd" hidden="1">#REF!</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4" hidden="1">{#N/A,#N/A,FALSE,"SUM";#N/A,#N/A,FALSE,"SK_TOT";#N/A,#N/A,FALSE,"YM";#N/A,#N/A,FALSE,"TSMC";#N/A,#N/A,FALSE,"ICW";#N/A,#N/A,FALSE,"Sheet1"}</definedName>
    <definedName name="wrn.ALL."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4" hidden="1">{#N/A,#N/A,FALSE,"Deposits by day"}</definedName>
    <definedName name="wrn.Deposit._.By._.Day." hidden="1">{#N/A,#N/A,FALSE,"Deposits by day"}</definedName>
    <definedName name="wrn.Deptartment._.Expenses." localSheetId="4" hidden="1">{#N/A,#N/A,TRUE,"CPRD";#N/A,#N/A,TRUE,"BCCPDR";#N/A,#N/A,TRUE,"EWRD";#N/A,#N/A,TRUE,"5100";#N/A,#N/A,TRUE,"5110"}</definedName>
    <definedName name="wrn.Deptartment._.Expenses." hidden="1">{#N/A,#N/A,TRUE,"CPRD";#N/A,#N/A,TRUE,"BCCPDR";#N/A,#N/A,TRUE,"EWRD";#N/A,#N/A,TRUE,"5100";#N/A,#N/A,TRUE,"5110"}</definedName>
    <definedName name="wrn.ERNST." localSheetId="4" hidden="1">{#N/A,#N/A,FALSE,"YTCHAN";#N/A,#N/A,FALSE,"TOMMY";#N/A,#N/A,FALSE,"REP.OFFICE";#N/A,#N/A,FALSE,"E&amp;Y_CONSULTANT";#N/A,#N/A,FALSE,"BT &amp; CIT"}</definedName>
    <definedName name="wrn.ERNST."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form." hidden="1">{#N/A,#N/A,FALSE,"OffAdvance";#N/A,#N/A,FALSE,"OffExpRprt";#N/A,#N/A,FALSE,"Entertmnt";#N/A,#N/A,FALSE,"Promotion";#N/A,#N/A,FALSE,"Travelling"}</definedName>
    <definedName name="wrn.gb." localSheetId="4" hidden="1">{#N/A,#N/A,FALSE,"资产负债表";#N/A,#N/A,FALSE,"资产负债表"}</definedName>
    <definedName name="wrn.gb." hidden="1">{#N/A,#N/A,FALSE,"资产负债表";#N/A,#N/A,FALSE,"资产负债表"}</definedName>
    <definedName name="wrn.Input._.Data." localSheetId="4" hidden="1">{"Input_Fin",#N/A,FALSE,"By Code";"Input_Opt",#N/A,FALSE,"By Code"}</definedName>
    <definedName name="wrn.Input._.Data." hidden="1">{"Input_Fin",#N/A,FALSE,"By Code";"Input_Opt",#N/A,FALSE,"By Code"}</definedName>
    <definedName name="wrn.jan." localSheetId="4" hidden="1">{#N/A,#N/A,FALSE,"Jan"}</definedName>
    <definedName name="wrn.jan." hidden="1">{#N/A,#N/A,FALSE,"Jan"}</definedName>
    <definedName name="wrn.M1._.Operating._.Statement." localSheetId="4" hidden="1">{"M1Print",#N/A,FALSE,"M1"}</definedName>
    <definedName name="wrn.M1._.Operating._.Statement." hidden="1">{"M1Print",#N/A,FALSE,"M1"}</definedName>
    <definedName name="wrn.M1s._.Statistics." localSheetId="4" hidden="1">{"M1sPrint",#N/A,FALSE,"M1s"}</definedName>
    <definedName name="wrn.M1s._.Statistics." hidden="1">{"M1sPrint",#N/A,FALSE,"M1s"}</definedName>
    <definedName name="wrn.M2._.Balance._.Sheet." localSheetId="4" hidden="1">{"M2Print",#N/A,FALSE,"M2"}</definedName>
    <definedName name="wrn.M2._.Balance._.Sheet." hidden="1">{"M2Print",#N/A,FALSE,"M2"}</definedName>
    <definedName name="wrn.M2a._.Cashflow." localSheetId="4" hidden="1">{"M2aPrint",#N/A,FALSE,"M2a"}</definedName>
    <definedName name="wrn.M2a._.Cashflow." hidden="1">{"M2aPrint",#N/A,FALSE,"M2a"}</definedName>
    <definedName name="wrn.M4._.Inventories." localSheetId="4" hidden="1">{"M4Print",#N/A,FALSE,"M4"}</definedName>
    <definedName name="wrn.M4._.Inventories." hidden="1">{"M4Print",#N/A,FALSE,"M4"}</definedName>
    <definedName name="wrn.M5._.Flash._.and._.Forecast." localSheetId="4" hidden="1">{"M5Print",#N/A,FALSE,"M5"}</definedName>
    <definedName name="wrn.M5._.Flash._.and._.Forecast." hidden="1">{"M5Print",#N/A,FALSE,"M5"}</definedName>
    <definedName name="wrn.M6._.Management._.Summary." localSheetId="4" hidden="1">{"M6Print",#N/A,FALSE,"M6";"M6_1Print",#N/A,FALSE,"M6_1";"M6_2Print",#N/A,FALSE,"M6_2"}</definedName>
    <definedName name="wrn.M6._.Management._.Summary." hidden="1">{"M6Print",#N/A,FALSE,"M6";"M6_1Print",#N/A,FALSE,"M6_1";"M6_2Print",#N/A,FALSE,"M6_2"}</definedName>
    <definedName name="wrn.M7._.Financial._.Controllers._.report." localSheetId="4" hidden="1">{"M7_1Print",#N/A,TRUE,"M7_1";"M7_2Print",#N/A,TRUE,"M7_2"}</definedName>
    <definedName name="wrn.M7._.Financial._.Controllers._.report."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Sales." localSheetId="4" hidden="1">{#N/A,#N/A,FALSE,"Marketing";#N/A,#N/A,FALSE,"Selling";#N/A,#N/A,FALSE,"Promotional";#N/A,#N/A,FALSE,"Advertising"}</definedName>
    <definedName name="wrn.Sales." hidden="1">{#N/A,#N/A,FALSE,"Marketing";#N/A,#N/A,FALSE,"Selling";#N/A,#N/A,FALSE,"Promotional";#N/A,#N/A,FALSE,"Advertising"}</definedName>
    <definedName name="wrn.sunmicro." localSheetId="4" hidden="1">{#N/A,#N/A,FALSE,"FREEMAN";#N/A,#N/A,FALSE,"STEPHEN";#N/A,#N/A,FALSE,"VICTOR"}</definedName>
    <definedName name="wrn.sunmicro." hidden="1">{#N/A,#N/A,FALSE,"FREEMAN";#N/A,#N/A,FALSE,"STEPHEN";#N/A,#N/A,FALSE,"VICTOR"}</definedName>
    <definedName name="wrn.test1." localSheetId="4" hidden="1">{#N/A,#N/A,FALSE,"Earn'gs &amp; Val'n";#N/A,#N/A,FALSE,"Interim"}</definedName>
    <definedName name="wrn.test1." hidden="1">{#N/A,#N/A,FALSE,"Earn'gs &amp; Val'n";#N/A,#N/A,FALSE,"Interim"}</definedName>
    <definedName name="wrn.tope" localSheetId="4" hidden="1">{"toptrial",#N/A,TRUE,"toptrial";"adjustment",#N/A,TRUE,"toptrial";"voucher",#N/A,TRUE,"toptrial"}</definedName>
    <definedName name="wrn.tope" hidden="1">{"toptrial",#N/A,TRUE,"toptrial";"adjustment",#N/A,TRUE,"toptrial";"voucher",#N/A,TRUE,"toptrial"}</definedName>
    <definedName name="wrn.toptrial." localSheetId="4" hidden="1">{"toptrial",#N/A,TRUE,"toptrial";"adjustment",#N/A,TRUE,"toptrial";"voucher",#N/A,TRUE,"toptrial"}</definedName>
    <definedName name="wrn.toptrial." hidden="1">{"toptrial",#N/A,TRUE,"toptrial";"adjustment",#N/A,TRUE,"toptrial";"voucher",#N/A,TRUE,"toptrial"}</definedName>
    <definedName name="wrn.voucher9703." localSheetId="4" hidden="1">{#N/A,#N/A,FALSE,"970301";#N/A,#N/A,FALSE,"970302";#N/A,#N/A,FALSE,"970303";#N/A,#N/A,FALSE,"970304";#N/A,#N/A,FALSE,"COM1";#N/A,#N/A,FALSE,"COM2"}</definedName>
    <definedName name="wrn.voucher9703." hidden="1">{#N/A,#N/A,FALSE,"970301";#N/A,#N/A,FALSE,"970302";#N/A,#N/A,FALSE,"970303";#N/A,#N/A,FALSE,"970304";#N/A,#N/A,FALSE,"COM1";#N/A,#N/A,FALSE,"COM2"}</definedName>
    <definedName name="wrn.ytd." localSheetId="4" hidden="1">{#N/A,#N/A,FALSE,"YTD"}</definedName>
    <definedName name="wrn.ytd." hidden="1">{#N/A,#N/A,FALSE,"YTD"}</definedName>
    <definedName name="wrn100.gb" localSheetId="4" hidden="1">{#N/A,#N/A,FALSE,"资产负债表";#N/A,#N/A,FALSE,"资产负债表"}</definedName>
    <definedName name="wrn100.gb" hidden="1">{#N/A,#N/A,FALSE,"资产负债表";#N/A,#N/A,FALSE,"资产负债表"}</definedName>
    <definedName name="wrnn.all." localSheetId="4" hidden="1">{#N/A,#N/A,FALSE,"SUM";#N/A,#N/A,FALSE,"SK_TOT";#N/A,#N/A,FALSE,"YM";#N/A,#N/A,FALSE,"TSMC";#N/A,#N/A,FALSE,"ICW";#N/A,#N/A,FALSE,"Sheet1"}</definedName>
    <definedName name="wrnn.all." hidden="1">{#N/A,#N/A,FALSE,"SUM";#N/A,#N/A,FALSE,"SK_TOT";#N/A,#N/A,FALSE,"YM";#N/A,#N/A,FALSE,"TSMC";#N/A,#N/A,FALSE,"ICW";#N/A,#N/A,FALSE,"Sheet1"}</definedName>
    <definedName name="wtr" localSheetId="4" hidden="1">{#N/A,#N/A,FALSE,"资产负债表";#N/A,#N/A,FALSE,"资产负债表"}</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localSheetId="4" hidden="1">{"M1Print",#N/A,FALSE,"M1"}</definedName>
    <definedName name="xzxsfd" hidden="1">{"M1Print",#N/A,FALSE,"M1"}</definedName>
    <definedName name="y" localSheetId="4" hidden="1">{#N/A,#N/A,FALSE,"970301";#N/A,#N/A,FALSE,"970302";#N/A,#N/A,FALSE,"970303";#N/A,#N/A,FALSE,"970304";#N/A,#N/A,FALSE,"COM1";#N/A,#N/A,FALSE,"COM2"}</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localSheetId="4" hidden="1">{#N/A,#N/A,FALSE,"资产负债表";#N/A,#N/A,FALSE,"资产负债表"}</definedName>
    <definedName name="zdry" hidden="1">{#N/A,#N/A,FALSE,"资产负债表";#N/A,#N/A,FALSE,"资产负债表"}</definedName>
    <definedName name="zerey" localSheetId="4" hidden="1">{#N/A,#N/A,FALSE,"资产负债表";#N/A,#N/A,FALSE,"资产负债表"}</definedName>
    <definedName name="zerey" hidden="1">{#N/A,#N/A,FALSE,"资产负债表";#N/A,#N/A,FALSE,"资产负债表"}</definedName>
    <definedName name="ZZZZZZZZZZZZZ" hidden="1">#REF!</definedName>
    <definedName name="啊" localSheetId="4" hidden="1">{#N/A,#N/A,FALSE,"970301";#N/A,#N/A,FALSE,"970302";#N/A,#N/A,FALSE,"970303";#N/A,#N/A,FALSE,"970304";#N/A,#N/A,FALSE,"COM1";#N/A,#N/A,FALSE,"COM2"}</definedName>
    <definedName name="啊" hidden="1">{#N/A,#N/A,FALSE,"970301";#N/A,#N/A,FALSE,"970302";#N/A,#N/A,FALSE,"970303";#N/A,#N/A,FALSE,"970304";#N/A,#N/A,FALSE,"COM1";#N/A,#N/A,FALSE,"COM2"}</definedName>
    <definedName name="备用" localSheetId="4" hidden="1">{#N/A,#N/A,FALSE,"OffAdvance";#N/A,#N/A,FALSE,"OffExpRprt";#N/A,#N/A,FALSE,"Entertmnt";#N/A,#N/A,FALSE,"Promotion";#N/A,#N/A,FALSE,"Travelling"}</definedName>
    <definedName name="备用" hidden="1">{#N/A,#N/A,FALSE,"OffAdvance";#N/A,#N/A,FALSE,"OffExpRprt";#N/A,#N/A,FALSE,"Entertmnt";#N/A,#N/A,FALSE,"Promotion";#N/A,#N/A,FALSE,"Travelling"}</definedName>
    <definedName name="借款" localSheetId="4" hidden="1">{#N/A,#N/A,FALSE,"970301";#N/A,#N/A,FALSE,"970302";#N/A,#N/A,FALSE,"970303";#N/A,#N/A,FALSE,"970304";#N/A,#N/A,FALSE,"COM1";#N/A,#N/A,FALSE,"COM2"}</definedName>
    <definedName name="借款" hidden="1">{#N/A,#N/A,FALSE,"970301";#N/A,#N/A,FALSE,"970302";#N/A,#N/A,FALSE,"970303";#N/A,#N/A,FALSE,"970304";#N/A,#N/A,FALSE,"COM1";#N/A,#N/A,FALSE,"COM2"}</definedName>
    <definedName name="苛" localSheetId="4" hidden="1">{"M1sPrint",#N/A,FALSE,"M1s"}</definedName>
    <definedName name="苛" hidden="1">{"M1sPrint",#N/A,FALSE,"M1s"}</definedName>
    <definedName name="试验" localSheetId="4"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 hidden="1">{#N/A,#N/A,FALSE,"970301";#N/A,#N/A,FALSE,"970302";#N/A,#N/A,FALSE,"970303";#N/A,#N/A,FALSE,"970304";#N/A,#N/A,FALSE,"COM1";#N/A,#N/A,FALSE,"COM2"}</definedName>
    <definedName name="应手款1月" localSheetId="4" hidden="1">{#N/A,#N/A,FALSE,"Marketing";#N/A,#N/A,FALSE,"Selling";#N/A,#N/A,FALSE,"Promotional";#N/A,#N/A,FALSE,"Advertising"}</definedName>
    <definedName name="应手款1月" hidden="1">{#N/A,#N/A,FALSE,"Marketing";#N/A,#N/A,FALSE,"Selling";#N/A,#N/A,FALSE,"Promotional";#N/A,#N/A,FALSE,"Advertising"}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4" i="53" l="1"/>
  <c r="P65" i="53"/>
  <c r="P66" i="53"/>
  <c r="P67" i="53"/>
  <c r="P63" i="53"/>
  <c r="E18" i="43"/>
  <c r="E17" i="43"/>
  <c r="E15" i="43"/>
  <c r="E16" i="43"/>
  <c r="E19" i="43"/>
  <c r="C20" i="4"/>
  <c r="F31" i="69"/>
  <c r="D16" i="69"/>
  <c r="D20" i="69" s="1"/>
  <c r="G53" i="53"/>
  <c r="F20" i="53"/>
  <c r="D16" i="53"/>
  <c r="D20" i="53" s="1"/>
  <c r="G57" i="53"/>
  <c r="G54" i="53"/>
  <c r="G55" i="53"/>
  <c r="G56" i="53"/>
  <c r="F32" i="69"/>
  <c r="F33" i="69"/>
  <c r="O64" i="53"/>
  <c r="O65" i="53"/>
  <c r="O66" i="53"/>
  <c r="O67" i="53"/>
  <c r="O63" i="53"/>
  <c r="H18" i="53"/>
  <c r="H17" i="53"/>
  <c r="F27" i="4"/>
  <c r="F20" i="69"/>
  <c r="H18" i="69"/>
  <c r="H17" i="69"/>
  <c r="R30" i="42"/>
  <c r="R29" i="42"/>
  <c r="R28" i="42"/>
  <c r="R27" i="42"/>
  <c r="R26" i="42"/>
  <c r="R25" i="42"/>
  <c r="F92" i="42"/>
  <c r="F91" i="42"/>
  <c r="F90" i="42"/>
  <c r="F89" i="42"/>
  <c r="F88" i="42"/>
  <c r="F87" i="42"/>
  <c r="F86" i="42"/>
  <c r="F85" i="42"/>
  <c r="F84" i="42"/>
  <c r="F83" i="42"/>
  <c r="H26" i="4"/>
  <c r="J26" i="4"/>
  <c r="L26" i="4"/>
  <c r="H23" i="4"/>
  <c r="K23" i="4" s="1"/>
  <c r="R24" i="42"/>
  <c r="R23" i="42"/>
  <c r="R22" i="42"/>
  <c r="R21" i="42"/>
  <c r="R20" i="42"/>
  <c r="R19" i="42"/>
  <c r="R18" i="42"/>
  <c r="R17" i="42"/>
  <c r="R16" i="42"/>
  <c r="R15" i="42"/>
  <c r="F82" i="42"/>
  <c r="F81" i="42"/>
  <c r="F80" i="42"/>
  <c r="F79" i="42"/>
  <c r="F78" i="42"/>
  <c r="F77" i="42"/>
  <c r="F76" i="42"/>
  <c r="F75" i="42"/>
  <c r="F74" i="42"/>
  <c r="F73" i="42"/>
  <c r="F72" i="42"/>
  <c r="F71" i="42"/>
  <c r="F70" i="42"/>
  <c r="F69" i="42"/>
  <c r="F68" i="42"/>
  <c r="F67" i="42"/>
  <c r="F66" i="42"/>
  <c r="F65" i="42"/>
  <c r="F64" i="42"/>
  <c r="F63" i="42"/>
  <c r="F62" i="42"/>
  <c r="F61" i="42"/>
  <c r="F60" i="42"/>
  <c r="F59" i="42"/>
  <c r="F58" i="42"/>
  <c r="F57" i="42"/>
  <c r="F56" i="42"/>
  <c r="F55" i="42"/>
  <c r="F54" i="42"/>
  <c r="F53" i="42"/>
  <c r="F52" i="42"/>
  <c r="F51" i="42"/>
  <c r="F50" i="42"/>
  <c r="F49" i="42"/>
  <c r="F48" i="42"/>
  <c r="F47" i="42"/>
  <c r="F46" i="42"/>
  <c r="F45" i="42"/>
  <c r="F44" i="42"/>
  <c r="F43" i="42"/>
  <c r="F42" i="42"/>
  <c r="F41" i="42"/>
  <c r="F40" i="42"/>
  <c r="F39" i="42"/>
  <c r="F38" i="42"/>
  <c r="F37" i="42"/>
  <c r="F36" i="42"/>
  <c r="F35" i="42"/>
  <c r="F34" i="42"/>
  <c r="F33" i="42"/>
  <c r="F32" i="42"/>
  <c r="F31" i="42"/>
  <c r="F30" i="42"/>
  <c r="F29" i="42"/>
  <c r="F28" i="42"/>
  <c r="F27" i="42"/>
  <c r="F26" i="42"/>
  <c r="F25" i="42"/>
  <c r="F24" i="42"/>
  <c r="F23" i="42"/>
  <c r="F22" i="42"/>
  <c r="F21" i="42"/>
  <c r="F20" i="42"/>
  <c r="F19" i="42"/>
  <c r="F18" i="42"/>
  <c r="F17" i="42"/>
  <c r="F16" i="42"/>
  <c r="F15" i="42"/>
  <c r="F14" i="42"/>
  <c r="F13" i="42"/>
  <c r="F12" i="42"/>
  <c r="F11" i="42"/>
  <c r="F10" i="42"/>
  <c r="I27" i="4"/>
  <c r="G27" i="4"/>
  <c r="H25" i="4"/>
  <c r="J25" i="4" s="1"/>
  <c r="L25" i="4" s="1"/>
  <c r="M25" i="4" s="1"/>
  <c r="K27" i="4"/>
  <c r="H16" i="53" l="1"/>
  <c r="H20" i="53" s="1"/>
  <c r="F15" i="43"/>
  <c r="D20" i="4" s="1"/>
  <c r="O25" i="4" s="1"/>
  <c r="H27" i="4"/>
  <c r="H30" i="4" s="1"/>
  <c r="J27" i="4"/>
  <c r="J30" i="4" s="1"/>
  <c r="M26" i="4"/>
  <c r="K30" i="4"/>
  <c r="H16" i="69"/>
  <c r="H20" i="69" s="1"/>
  <c r="O26" i="4" l="1"/>
  <c r="L27" i="4"/>
  <c r="M27" i="4" l="1"/>
  <c r="O27" i="4" s="1"/>
</calcChain>
</file>

<file path=xl/sharedStrings.xml><?xml version="1.0" encoding="utf-8"?>
<sst xmlns="http://schemas.openxmlformats.org/spreadsheetml/2006/main" count="488" uniqueCount="425">
  <si>
    <r>
      <rPr>
        <sz val="10"/>
        <color theme="1"/>
        <rFont val="微软雅黑"/>
        <family val="2"/>
        <charset val="134"/>
      </rPr>
      <t>客户名称</t>
    </r>
  </si>
  <si>
    <r>
      <rPr>
        <sz val="10"/>
        <color theme="1"/>
        <rFont val="微软雅黑"/>
        <family val="2"/>
        <charset val="134"/>
      </rPr>
      <t>重要性水平</t>
    </r>
    <r>
      <rPr>
        <sz val="10"/>
        <color theme="1"/>
        <rFont val="Arial"/>
        <family val="2"/>
      </rPr>
      <t>(PM)</t>
    </r>
  </si>
  <si>
    <r>
      <rPr>
        <sz val="10"/>
        <color rgb="FF000000"/>
        <rFont val="微软雅黑"/>
        <family val="2"/>
        <charset val="134"/>
      </rPr>
      <t>期末</t>
    </r>
  </si>
  <si>
    <r>
      <rPr>
        <sz val="10"/>
        <color theme="1"/>
        <rFont val="微软雅黑"/>
        <family val="2"/>
        <charset val="134"/>
      </rPr>
      <t>可容忍误差</t>
    </r>
    <r>
      <rPr>
        <sz val="10"/>
        <color theme="1"/>
        <rFont val="Arial"/>
        <family val="2"/>
      </rPr>
      <t>(TE)</t>
    </r>
  </si>
  <si>
    <r>
      <rPr>
        <sz val="10"/>
        <color theme="1"/>
        <rFont val="微软雅黑"/>
        <family val="2"/>
        <charset val="134"/>
      </rPr>
      <t>记账本位币</t>
    </r>
  </si>
  <si>
    <r>
      <rPr>
        <sz val="10"/>
        <color theme="1"/>
        <rFont val="微软雅黑"/>
        <family val="2"/>
        <charset val="134"/>
      </rPr>
      <t>名义金额</t>
    </r>
    <r>
      <rPr>
        <sz val="10"/>
        <color theme="1"/>
        <rFont val="Arial"/>
        <family val="2"/>
      </rPr>
      <t>(SAD)</t>
    </r>
  </si>
  <si>
    <r>
      <rPr>
        <sz val="10"/>
        <color rgb="FF000000"/>
        <rFont val="微软雅黑"/>
        <family val="2"/>
        <charset val="134"/>
      </rPr>
      <t>适用会计准则</t>
    </r>
  </si>
  <si>
    <t>Threshold(s)</t>
  </si>
  <si>
    <r>
      <rPr>
        <b/>
        <sz val="10"/>
        <rFont val="微软雅黑"/>
        <family val="2"/>
        <charset val="134"/>
      </rPr>
      <t>认定</t>
    </r>
    <phoneticPr fontId="0" type="noConversion"/>
  </si>
  <si>
    <t>CRA</t>
  </si>
  <si>
    <r>
      <rPr>
        <b/>
        <sz val="10"/>
        <rFont val="微软雅黑"/>
        <family val="2"/>
        <charset val="134"/>
      </rPr>
      <t>各项认定</t>
    </r>
    <r>
      <rPr>
        <b/>
        <vertAlign val="superscript"/>
        <sz val="10"/>
        <color rgb="FFFF0000"/>
        <rFont val="Arial"/>
        <family val="2"/>
      </rPr>
      <t>1</t>
    </r>
    <phoneticPr fontId="0" type="noConversion"/>
  </si>
  <si>
    <r>
      <rPr>
        <b/>
        <sz val="10"/>
        <rFont val="微软雅黑"/>
        <family val="2"/>
        <charset val="134"/>
      </rPr>
      <t>所有相关认定</t>
    </r>
    <r>
      <rPr>
        <b/>
        <sz val="10"/>
        <rFont val="Arial"/>
        <family val="2"/>
      </rPr>
      <t xml:space="preserve"> </t>
    </r>
    <r>
      <rPr>
        <b/>
        <vertAlign val="superscript"/>
        <sz val="10"/>
        <color rgb="FFFF0000"/>
        <rFont val="Arial"/>
        <family val="2"/>
      </rPr>
      <t>2</t>
    </r>
    <phoneticPr fontId="0" type="noConversion"/>
  </si>
  <si>
    <r>
      <rPr>
        <sz val="10"/>
        <color rgb="FF000000"/>
        <rFont val="微软雅黑"/>
        <family val="2"/>
        <charset val="134"/>
      </rPr>
      <t>完整性</t>
    </r>
    <r>
      <rPr>
        <sz val="10"/>
        <color rgb="FF000000"/>
        <rFont val="Arial"/>
        <family val="2"/>
      </rPr>
      <t xml:space="preserve"> (C)</t>
    </r>
  </si>
  <si>
    <r>
      <rPr>
        <sz val="10"/>
        <color rgb="FF000000"/>
        <rFont val="微软雅黑"/>
        <family val="2"/>
        <charset val="134"/>
      </rPr>
      <t>存在性</t>
    </r>
    <r>
      <rPr>
        <sz val="10"/>
        <color rgb="FF000000"/>
        <rFont val="Arial"/>
        <family val="2"/>
      </rPr>
      <t xml:space="preserve"> (E)</t>
    </r>
    <phoneticPr fontId="34" type="noConversion"/>
  </si>
  <si>
    <r>
      <rPr>
        <sz val="10"/>
        <color rgb="FF000000"/>
        <rFont val="微软雅黑"/>
        <family val="2"/>
        <charset val="134"/>
      </rPr>
      <t>计价</t>
    </r>
    <r>
      <rPr>
        <sz val="10"/>
        <color rgb="FF000000"/>
        <rFont val="Arial"/>
        <family val="2"/>
      </rPr>
      <t>(V)</t>
    </r>
  </si>
  <si>
    <r>
      <rPr>
        <sz val="10"/>
        <color rgb="FF000000"/>
        <rFont val="微软雅黑"/>
        <family val="2"/>
        <charset val="134"/>
      </rPr>
      <t>权利和义务</t>
    </r>
    <r>
      <rPr>
        <sz val="10"/>
        <color rgb="FF000000"/>
        <rFont val="Arial"/>
        <family val="2"/>
      </rPr>
      <t xml:space="preserve"> (R&amp;O)</t>
    </r>
  </si>
  <si>
    <r>
      <rPr>
        <sz val="10"/>
        <color rgb="FF000000"/>
        <rFont val="微软雅黑"/>
        <family val="2"/>
        <charset val="134"/>
      </rPr>
      <t>列报和披露</t>
    </r>
    <r>
      <rPr>
        <sz val="10"/>
        <color rgb="FF000000"/>
        <rFont val="Arial"/>
        <family val="2"/>
      </rPr>
      <t xml:space="preserve"> (P&amp;D)</t>
    </r>
  </si>
  <si>
    <r>
      <t xml:space="preserve">1 </t>
    </r>
    <r>
      <rPr>
        <b/>
        <i/>
        <sz val="9"/>
        <color rgb="FFFF0000"/>
        <rFont val="微软雅黑"/>
        <family val="2"/>
        <charset val="134"/>
      </rPr>
      <t>各项认定的测试阈值，是根据</t>
    </r>
    <r>
      <rPr>
        <b/>
        <i/>
        <sz val="9"/>
        <color rgb="FFFF0000"/>
        <rFont val="Arial"/>
        <family val="2"/>
      </rPr>
      <t xml:space="preserve">EY GAM SUBSTANTIVE DESIGN 2.2.1 </t>
    </r>
  </si>
  <si>
    <r>
      <rPr>
        <b/>
        <i/>
        <sz val="9"/>
        <color rgb="FFFF0000"/>
        <rFont val="微软雅黑"/>
        <family val="2"/>
        <charset val="134"/>
      </rPr>
      <t>中的示例测试阈值（用占</t>
    </r>
    <r>
      <rPr>
        <b/>
        <i/>
        <sz val="9"/>
        <color rgb="FFFF0000"/>
        <rFont val="Arial"/>
        <family val="2"/>
      </rPr>
      <t>TE</t>
    </r>
    <r>
      <rPr>
        <b/>
        <i/>
        <sz val="9"/>
        <color rgb="FFFF0000"/>
        <rFont val="微软雅黑"/>
        <family val="2"/>
        <charset val="134"/>
      </rPr>
      <t>的百分比表示）在相应风险等级（</t>
    </r>
    <r>
      <rPr>
        <b/>
        <i/>
        <sz val="9"/>
        <color rgb="FFFF0000"/>
        <rFont val="Arial"/>
        <family val="2"/>
      </rPr>
      <t>CRA</t>
    </r>
    <r>
      <rPr>
        <b/>
        <i/>
        <sz val="9"/>
        <color rgb="FFFF0000"/>
        <rFont val="微软雅黑"/>
        <family val="2"/>
        <charset val="134"/>
      </rPr>
      <t>）区间的上限计算得出的。</t>
    </r>
  </si>
  <si>
    <r>
      <rPr>
        <b/>
        <i/>
        <sz val="9"/>
        <color rgb="FFFF0000"/>
        <rFont val="微软雅黑"/>
        <family val="2"/>
        <charset val="134"/>
      </rPr>
      <t>除负债</t>
    </r>
    <r>
      <rPr>
        <b/>
        <i/>
        <sz val="9"/>
        <color rgb="FFFF0000"/>
        <rFont val="Arial"/>
        <family val="2"/>
      </rPr>
      <t>/</t>
    </r>
    <r>
      <rPr>
        <b/>
        <i/>
        <sz val="9"/>
        <color rgb="FFFF0000"/>
        <rFont val="微软雅黑"/>
        <family val="2"/>
        <charset val="134"/>
      </rPr>
      <t>费用类别账户的完整性认定应当使用负债</t>
    </r>
    <r>
      <rPr>
        <b/>
        <i/>
        <sz val="9"/>
        <color rgb="FFFF0000"/>
        <rFont val="Arial"/>
        <family val="2"/>
      </rPr>
      <t>/</t>
    </r>
    <r>
      <rPr>
        <b/>
        <i/>
        <sz val="9"/>
        <color rgb="FFFF0000"/>
        <rFont val="微软雅黑"/>
        <family val="2"/>
        <charset val="134"/>
      </rPr>
      <t>费用账户表之外，其他类别账户和认定均可使用资产</t>
    </r>
    <r>
      <rPr>
        <b/>
        <i/>
        <sz val="9"/>
        <color rgb="FFFF0000"/>
        <rFont val="Arial"/>
        <family val="2"/>
      </rPr>
      <t>/</t>
    </r>
    <r>
      <rPr>
        <b/>
        <i/>
        <sz val="9"/>
        <color rgb="FFFF0000"/>
        <rFont val="微软雅黑"/>
        <family val="2"/>
        <charset val="134"/>
      </rPr>
      <t>收入账户表。</t>
    </r>
  </si>
  <si>
    <r>
      <t xml:space="preserve">2 </t>
    </r>
    <r>
      <rPr>
        <b/>
        <i/>
        <sz val="9"/>
        <color rgb="FFFF0000"/>
        <rFont val="微软雅黑"/>
        <family val="2"/>
        <charset val="134"/>
      </rPr>
      <t>所有相关认定的测试阈值，是所有有效认定对应之测试阈值的最小值。我们在</t>
    </r>
    <r>
      <rPr>
        <b/>
        <i/>
        <sz val="9"/>
        <color rgb="FFFF0000"/>
        <rFont val="Arial"/>
        <family val="2"/>
      </rPr>
      <t xml:space="preserve"> Lead</t>
    </r>
    <r>
      <rPr>
        <b/>
        <i/>
        <sz val="9"/>
        <color rgb="FFFF0000"/>
        <rFont val="微软雅黑"/>
        <family val="2"/>
        <charset val="134"/>
      </rPr>
      <t>中使用该测试阈值：（</t>
    </r>
    <r>
      <rPr>
        <b/>
        <i/>
        <sz val="9"/>
        <color rgb="FFFF0000"/>
        <rFont val="Arial"/>
        <family val="2"/>
      </rPr>
      <t>a</t>
    </r>
    <r>
      <rPr>
        <b/>
        <i/>
        <sz val="9"/>
        <color rgb="FFFF0000"/>
        <rFont val="微软雅黑"/>
        <family val="2"/>
        <charset val="134"/>
      </rPr>
      <t>）作为选取总账账户进行测试的起点；（</t>
    </r>
    <r>
      <rPr>
        <b/>
        <i/>
        <sz val="9"/>
        <color rgb="FFFF0000"/>
        <rFont val="Arial"/>
        <family val="2"/>
      </rPr>
      <t>b</t>
    </r>
    <r>
      <rPr>
        <b/>
        <i/>
        <sz val="9"/>
        <color rgb="FFFF0000"/>
        <rFont val="微软雅黑"/>
        <family val="2"/>
        <charset val="134"/>
      </rPr>
      <t>）作为（需要进一步调查的）金额波动范围的起点。</t>
    </r>
  </si>
  <si>
    <t>P1</t>
  </si>
  <si>
    <r>
      <rPr>
        <b/>
        <sz val="10"/>
        <rFont val="微软雅黑"/>
        <family val="2"/>
        <charset val="134"/>
      </rPr>
      <t>序号</t>
    </r>
  </si>
  <si>
    <r>
      <rPr>
        <b/>
        <sz val="10"/>
        <rFont val="微软雅黑"/>
        <family val="2"/>
        <charset val="134"/>
      </rPr>
      <t>报表科目</t>
    </r>
  </si>
  <si>
    <r>
      <rPr>
        <b/>
        <sz val="10"/>
        <rFont val="微软雅黑"/>
        <family val="2"/>
        <charset val="134"/>
      </rPr>
      <t>执行实质性程序</t>
    </r>
    <phoneticPr fontId="34" type="noConversion"/>
  </si>
  <si>
    <r>
      <rPr>
        <b/>
        <sz val="10"/>
        <rFont val="微软雅黑"/>
        <family val="2"/>
        <charset val="134"/>
      </rPr>
      <t>实质性程序类型</t>
    </r>
  </si>
  <si>
    <r>
      <rPr>
        <b/>
        <sz val="10"/>
        <rFont val="微软雅黑"/>
        <family val="2"/>
        <charset val="134"/>
      </rPr>
      <t>认定</t>
    </r>
  </si>
  <si>
    <r>
      <rPr>
        <b/>
        <sz val="10"/>
        <rFont val="微软雅黑"/>
        <family val="2"/>
        <charset val="134"/>
      </rPr>
      <t>程序描述</t>
    </r>
  </si>
  <si>
    <r>
      <rPr>
        <b/>
        <sz val="10"/>
        <rFont val="微软雅黑"/>
        <family val="2"/>
        <charset val="134"/>
      </rPr>
      <t>执行</t>
    </r>
  </si>
  <si>
    <r>
      <rPr>
        <b/>
        <sz val="10"/>
        <rFont val="微软雅黑"/>
        <family val="2"/>
        <charset val="134"/>
      </rPr>
      <t>索引</t>
    </r>
  </si>
  <si>
    <r>
      <rPr>
        <b/>
        <sz val="10"/>
        <color rgb="FF000000"/>
        <rFont val="微软雅黑"/>
        <family val="2"/>
        <charset val="134"/>
      </rPr>
      <t>如不执行</t>
    </r>
    <r>
      <rPr>
        <b/>
        <sz val="10"/>
        <color rgb="FF000000"/>
        <rFont val="Arial"/>
        <family val="2"/>
      </rPr>
      <t>PSP</t>
    </r>
    <r>
      <rPr>
        <b/>
        <sz val="10"/>
        <color rgb="FF000000"/>
        <rFont val="微软雅黑"/>
        <family val="2"/>
        <charset val="134"/>
      </rPr>
      <t>，原因需记录文字多于</t>
    </r>
    <r>
      <rPr>
        <b/>
        <sz val="10"/>
        <color rgb="FF000000"/>
        <rFont val="Arial"/>
        <family val="2"/>
      </rPr>
      <t>5</t>
    </r>
    <r>
      <rPr>
        <b/>
        <sz val="10"/>
        <color rgb="FF000000"/>
        <rFont val="微软雅黑"/>
        <family val="2"/>
        <charset val="134"/>
      </rPr>
      <t>个文字</t>
    </r>
  </si>
  <si>
    <r>
      <rPr>
        <sz val="10"/>
        <rFont val="微软雅黑"/>
        <family val="2"/>
        <charset val="134"/>
      </rPr>
      <t>应付票据</t>
    </r>
  </si>
  <si>
    <r>
      <t xml:space="preserve">M-01-GL: </t>
    </r>
    <r>
      <rPr>
        <sz val="10"/>
        <color rgb="FF000000"/>
        <rFont val="微软雅黑"/>
        <family val="2"/>
        <charset val="134"/>
      </rPr>
      <t>将明细账与总账核对一致</t>
    </r>
    <phoneticPr fontId="34" type="noConversion"/>
  </si>
  <si>
    <t>PSP</t>
  </si>
  <si>
    <t>BS: E, C</t>
  </si>
  <si>
    <r>
      <rPr>
        <sz val="10"/>
        <color theme="1"/>
        <rFont val="微软雅黑"/>
        <family val="2"/>
        <charset val="134"/>
      </rPr>
      <t>通过执行分析和调查两期的应付票据科目重大变动来确定应付票据余额是否合理。</t>
    </r>
  </si>
  <si>
    <t>M.00 Lead</t>
    <phoneticPr fontId="34" type="noConversion"/>
  </si>
  <si>
    <t>M.01.01&amp;02.01明细账</t>
  </si>
  <si>
    <r>
      <rPr>
        <sz val="10"/>
        <rFont val="微软雅黑"/>
        <family val="2"/>
        <charset val="134"/>
      </rPr>
      <t>应付票据</t>
    </r>
    <r>
      <rPr>
        <sz val="10"/>
        <rFont val="Arial"/>
        <family val="2"/>
      </rPr>
      <t>_</t>
    </r>
    <r>
      <rPr>
        <sz val="10"/>
        <rFont val="微软雅黑"/>
        <family val="2"/>
        <charset val="134"/>
      </rPr>
      <t>银行承兑汇票</t>
    </r>
  </si>
  <si>
    <r>
      <t xml:space="preserve">M-01-GL: </t>
    </r>
    <r>
      <rPr>
        <sz val="10"/>
        <color theme="1"/>
        <rFont val="微软雅黑"/>
        <family val="2"/>
        <charset val="134"/>
      </rPr>
      <t>将应付票据明细账与总账核对一致，检查合同及其条款的合规性。</t>
    </r>
    <phoneticPr fontId="34" type="noConversion"/>
  </si>
  <si>
    <r>
      <rPr>
        <sz val="10"/>
        <color theme="1"/>
        <rFont val="微软雅黑"/>
        <family val="2"/>
        <charset val="134"/>
      </rPr>
      <t>获取应付票据</t>
    </r>
    <r>
      <rPr>
        <sz val="10"/>
        <color theme="1"/>
        <rFont val="Arial"/>
        <family val="2"/>
      </rPr>
      <t>_</t>
    </r>
    <r>
      <rPr>
        <sz val="10"/>
        <color theme="1"/>
        <rFont val="微软雅黑"/>
        <family val="2"/>
        <charset val="134"/>
      </rPr>
      <t>银行承兑汇票明细账，将余额与相应的总分类账核对一致。检查应付票据</t>
    </r>
    <r>
      <rPr>
        <sz val="10"/>
        <color theme="1"/>
        <rFont val="Arial"/>
        <family val="2"/>
      </rPr>
      <t>_</t>
    </r>
    <r>
      <rPr>
        <sz val="10"/>
        <color theme="1"/>
        <rFont val="微软雅黑"/>
        <family val="2"/>
        <charset val="134"/>
      </rPr>
      <t>银行承兑汇票开票条件及存续状态等情况，对银行承兑汇票进行函证；检查银行承兑汇票保证合理性。</t>
    </r>
  </si>
  <si>
    <r>
      <t xml:space="preserve">M.01 </t>
    </r>
    <r>
      <rPr>
        <b/>
        <u/>
        <sz val="10"/>
        <color theme="10"/>
        <rFont val="微软雅黑"/>
        <family val="2"/>
        <charset val="134"/>
      </rPr>
      <t>银承</t>
    </r>
    <r>
      <rPr>
        <b/>
        <u/>
        <sz val="10"/>
        <color theme="10"/>
        <rFont val="Arial"/>
        <family val="2"/>
      </rPr>
      <t>BKD</t>
    </r>
  </si>
  <si>
    <t>/P1</t>
    <phoneticPr fontId="34" type="noConversion"/>
  </si>
  <si>
    <r>
      <rPr>
        <sz val="10"/>
        <rFont val="微软雅黑"/>
        <family val="2"/>
        <charset val="134"/>
      </rPr>
      <t>应付票据</t>
    </r>
    <r>
      <rPr>
        <sz val="10"/>
        <rFont val="Arial"/>
        <family val="2"/>
      </rPr>
      <t>_</t>
    </r>
    <r>
      <rPr>
        <sz val="10"/>
        <rFont val="微软雅黑"/>
        <family val="2"/>
        <charset val="134"/>
      </rPr>
      <t>商业承兑汇票</t>
    </r>
  </si>
  <si>
    <r>
      <rPr>
        <sz val="10"/>
        <color theme="1"/>
        <rFont val="微软雅黑"/>
        <family val="2"/>
        <charset val="134"/>
      </rPr>
      <t>获取应付票据</t>
    </r>
    <r>
      <rPr>
        <sz val="10"/>
        <color theme="1"/>
        <rFont val="Arial"/>
        <family val="2"/>
      </rPr>
      <t>_</t>
    </r>
    <r>
      <rPr>
        <sz val="10"/>
        <color theme="1"/>
        <rFont val="微软雅黑"/>
        <family val="2"/>
        <charset val="134"/>
      </rPr>
      <t>商业承兑汇票明细账，将余额与相应的总分类账核对一致。检查应付票据</t>
    </r>
    <r>
      <rPr>
        <sz val="10"/>
        <color theme="1"/>
        <rFont val="Arial"/>
        <family val="2"/>
      </rPr>
      <t>_</t>
    </r>
    <r>
      <rPr>
        <sz val="10"/>
        <color theme="1"/>
        <rFont val="微软雅黑"/>
        <family val="2"/>
        <charset val="134"/>
      </rPr>
      <t>商业承兑汇票开票条件及存续状态等情况；必要时，对商业承兑汇票进行函证。</t>
    </r>
  </si>
  <si>
    <r>
      <t xml:space="preserve">M.02 </t>
    </r>
    <r>
      <rPr>
        <b/>
        <u/>
        <sz val="10"/>
        <color theme="10"/>
        <rFont val="微软雅黑"/>
        <family val="2"/>
        <charset val="134"/>
      </rPr>
      <t>商承</t>
    </r>
    <r>
      <rPr>
        <b/>
        <u/>
        <sz val="10"/>
        <color theme="10"/>
        <rFont val="Arial"/>
        <family val="2"/>
      </rPr>
      <t>BKD</t>
    </r>
  </si>
  <si>
    <r>
      <rPr>
        <b/>
        <sz val="10"/>
        <color rgb="FF000000"/>
        <rFont val="微软雅黑"/>
        <family val="2"/>
        <charset val="134"/>
      </rPr>
      <t>应付票据账户总结陈述</t>
    </r>
    <phoneticPr fontId="39" type="noConversion"/>
  </si>
  <si>
    <r>
      <rPr>
        <b/>
        <sz val="10"/>
        <color rgb="FF000000"/>
        <rFont val="微软雅黑"/>
        <family val="2"/>
        <charset val="134"/>
      </rPr>
      <t>通过执行审计程序：</t>
    </r>
    <phoneticPr fontId="34" type="noConversion"/>
  </si>
  <si>
    <r>
      <rPr>
        <sz val="10"/>
        <color theme="1"/>
        <rFont val="微软雅黑"/>
        <family val="2"/>
        <charset val="134"/>
      </rPr>
      <t>我们没有发现任何超过</t>
    </r>
    <r>
      <rPr>
        <sz val="10"/>
        <color theme="1"/>
        <rFont val="Arial"/>
        <family val="2"/>
      </rPr>
      <t>SAD</t>
    </r>
    <r>
      <rPr>
        <sz val="10"/>
        <color theme="1"/>
        <rFont val="微软雅黑"/>
        <family val="2"/>
        <charset val="134"/>
      </rPr>
      <t>的错报</t>
    </r>
    <phoneticPr fontId="34" type="noConversion"/>
  </si>
  <si>
    <r>
      <rPr>
        <sz val="10"/>
        <rFont val="微软雅黑"/>
        <family val="2"/>
        <charset val="134"/>
      </rPr>
      <t>我们已经完成了于该些科目相关的细节测试，并发现了一个或多个超过</t>
    </r>
    <r>
      <rPr>
        <sz val="10"/>
        <rFont val="Arial"/>
        <family val="2"/>
      </rPr>
      <t>SAD</t>
    </r>
    <r>
      <rPr>
        <sz val="10"/>
        <rFont val="微软雅黑"/>
        <family val="2"/>
        <charset val="134"/>
      </rPr>
      <t>的错报，我们已经将这些错报记录于审计差异汇总（</t>
    </r>
    <r>
      <rPr>
        <sz val="10"/>
        <rFont val="Arial"/>
        <family val="2"/>
      </rPr>
      <t>SAD template)</t>
    </r>
    <r>
      <rPr>
        <sz val="10"/>
        <rFont val="微软雅黑"/>
        <family val="2"/>
        <charset val="134"/>
      </rPr>
      <t>中</t>
    </r>
    <r>
      <rPr>
        <sz val="10"/>
        <rFont val="Arial"/>
        <family val="2"/>
      </rPr>
      <t xml:space="preserve">, </t>
    </r>
    <r>
      <rPr>
        <sz val="10"/>
        <rFont val="微软雅黑"/>
        <family val="2"/>
        <charset val="134"/>
      </rPr>
      <t>并将该审计差异汇总表放入</t>
    </r>
    <r>
      <rPr>
        <sz val="10"/>
        <rFont val="Arial"/>
        <family val="2"/>
      </rPr>
      <t>Canvas</t>
    </r>
    <r>
      <rPr>
        <sz val="10"/>
        <rFont val="微软雅黑"/>
        <family val="2"/>
        <charset val="134"/>
      </rPr>
      <t>。</t>
    </r>
    <phoneticPr fontId="34" type="noConversion"/>
  </si>
  <si>
    <r>
      <rPr>
        <b/>
        <sz val="10"/>
        <rFont val="微软雅黑"/>
        <family val="2"/>
        <charset val="134"/>
      </rPr>
      <t>安永标记</t>
    </r>
  </si>
  <si>
    <t>TB</t>
  </si>
  <si>
    <r>
      <rPr>
        <sz val="10"/>
        <color theme="1"/>
        <rFont val="微软雅黑"/>
        <family val="2"/>
        <charset val="134"/>
      </rPr>
      <t>已与科目余额表核对无误</t>
    </r>
  </si>
  <si>
    <t>PY</t>
  </si>
  <si>
    <r>
      <rPr>
        <sz val="10"/>
        <color theme="1"/>
        <rFont val="微软雅黑"/>
        <family val="2"/>
        <charset val="134"/>
      </rPr>
      <t>与上年最终审定数核对一致</t>
    </r>
  </si>
  <si>
    <t>A3</t>
  </si>
  <si>
    <r>
      <rPr>
        <sz val="10"/>
        <rFont val="微软雅黑"/>
        <family val="2"/>
        <charset val="134"/>
      </rPr>
      <t>与未审数、审定数核对一致</t>
    </r>
  </si>
  <si>
    <t>A5</t>
  </si>
  <si>
    <r>
      <rPr>
        <sz val="10"/>
        <rFont val="微软雅黑"/>
        <family val="2"/>
        <charset val="134"/>
      </rPr>
      <t>与审计调整核对一致</t>
    </r>
  </si>
  <si>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</si>
  <si>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</si>
  <si>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</si>
  <si>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</si>
  <si>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t>Rx</t>
  </si>
  <si>
    <r>
      <rPr>
        <sz val="10"/>
        <color theme="1"/>
        <rFont val="微软雅黑"/>
        <family val="2"/>
        <charset val="134"/>
      </rPr>
      <t>重新计算，无异常</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</si>
  <si>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</si>
  <si>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</si>
  <si>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t>SL</t>
  </si>
  <si>
    <r>
      <rPr>
        <sz val="10"/>
        <color rgb="FF000000"/>
        <rFont val="微软雅黑"/>
        <family val="2"/>
        <charset val="134"/>
      </rPr>
      <t>已与明细账核对无误</t>
    </r>
  </si>
  <si>
    <t>03878ede-ea5b-4f95-861a-b27c211af73e</t>
    <phoneticPr fontId="34" type="noConversion"/>
  </si>
  <si>
    <r>
      <rPr>
        <u/>
        <sz val="10"/>
        <color rgb="FFFF0000"/>
        <rFont val="微软雅黑"/>
        <family val="2"/>
        <charset val="134"/>
      </rPr>
      <t>返回汇总页</t>
    </r>
  </si>
  <si>
    <r>
      <rPr>
        <b/>
        <u/>
        <sz val="14"/>
        <rFont val="微软雅黑"/>
        <family val="2"/>
        <charset val="134"/>
      </rPr>
      <t>目标</t>
    </r>
  </si>
  <si>
    <r>
      <rPr>
        <sz val="14"/>
        <color theme="1"/>
        <rFont val="微软雅黑"/>
        <family val="2"/>
        <charset val="134"/>
      </rPr>
      <t>通过执行分析和调查两期的应付票据科目重大变动来确定应付票据余额是否合理。</t>
    </r>
  </si>
  <si>
    <r>
      <rPr>
        <b/>
        <sz val="14"/>
        <color theme="1"/>
        <rFont val="微软雅黑"/>
        <family val="2"/>
        <charset val="134"/>
      </rPr>
      <t>序号</t>
    </r>
    <phoneticPr fontId="34" type="noConversion"/>
  </si>
  <si>
    <r>
      <rPr>
        <b/>
        <sz val="14"/>
        <rFont val="微软雅黑"/>
        <family val="2"/>
        <charset val="134"/>
      </rPr>
      <t>执行的程序</t>
    </r>
  </si>
  <si>
    <r>
      <rPr>
        <b/>
        <sz val="14"/>
        <rFont val="微软雅黑"/>
        <family val="2"/>
        <charset val="134"/>
      </rPr>
      <t>程序表</t>
    </r>
    <phoneticPr fontId="34" type="noConversion"/>
  </si>
  <si>
    <r>
      <rPr>
        <b/>
        <sz val="14"/>
        <rFont val="微软雅黑"/>
        <family val="2"/>
        <charset val="134"/>
      </rPr>
      <t>预审完成</t>
    </r>
    <phoneticPr fontId="34" type="noConversion"/>
  </si>
  <si>
    <r>
      <rPr>
        <b/>
        <sz val="14"/>
        <rFont val="微软雅黑"/>
        <family val="2"/>
        <charset val="134"/>
      </rPr>
      <t>年审完成</t>
    </r>
  </si>
  <si>
    <r>
      <rPr>
        <b/>
        <sz val="14"/>
        <color theme="1"/>
        <rFont val="微软雅黑"/>
        <family val="2"/>
        <charset val="134"/>
      </rPr>
      <t>执行注意事项</t>
    </r>
  </si>
  <si>
    <r>
      <rPr>
        <sz val="14"/>
        <color theme="1"/>
        <rFont val="微软雅黑"/>
        <family val="2"/>
        <charset val="134"/>
      </rPr>
      <t>我们获取应付票据科目余额表本期金额以及上年审定数。</t>
    </r>
  </si>
  <si>
    <r>
      <rPr>
        <b/>
        <sz val="14"/>
        <color rgb="FFFF0000"/>
        <rFont val="微软雅黑"/>
        <family val="2"/>
        <charset val="134"/>
      </rPr>
      <t>表</t>
    </r>
    <r>
      <rPr>
        <b/>
        <sz val="14"/>
        <color rgb="FFFF0000"/>
        <rFont val="Arial"/>
        <family val="2"/>
      </rPr>
      <t>2</t>
    </r>
    <phoneticPr fontId="34" type="noConversion"/>
  </si>
  <si>
    <r>
      <rPr>
        <sz val="14"/>
        <color theme="1"/>
        <rFont val="微软雅黑"/>
        <family val="2"/>
        <charset val="134"/>
      </rPr>
      <t>我们将两期审定金额进行比对，对那些变动大于范围的事项，获得管理层解释并对解释是否合理进行调查。</t>
    </r>
    <phoneticPr fontId="34" type="noConversion"/>
  </si>
  <si>
    <r>
      <rPr>
        <b/>
        <sz val="10"/>
        <rFont val="微软雅黑"/>
        <family val="2"/>
        <charset val="134"/>
      </rPr>
      <t>在下文中描述我们当期对应付余额和相关波动的预期，以及这些预期的依据和理由。</t>
    </r>
  </si>
  <si>
    <t>波动范围</t>
    <phoneticPr fontId="34" type="noConversion"/>
  </si>
  <si>
    <r>
      <rPr>
        <b/>
        <sz val="10"/>
        <color rgb="FF000000"/>
        <rFont val="微软雅黑"/>
        <family val="2"/>
        <charset val="134"/>
      </rPr>
      <t>波动幅度</t>
    </r>
    <r>
      <rPr>
        <b/>
        <sz val="10"/>
        <color rgb="FF000000"/>
        <rFont val="Arial"/>
        <family val="2"/>
      </rPr>
      <t xml:space="preserve"> (%):</t>
    </r>
  </si>
  <si>
    <t>|------- TB -------|</t>
  </si>
  <si>
    <t>|------- PY -------|</t>
  </si>
  <si>
    <r>
      <rPr>
        <b/>
        <sz val="10"/>
        <color rgb="FFFF0000"/>
        <rFont val="微软雅黑"/>
        <family val="2"/>
        <charset val="134"/>
      </rPr>
      <t>表</t>
    </r>
    <r>
      <rPr>
        <b/>
        <sz val="10"/>
        <color rgb="FFFF0000"/>
        <rFont val="Arial"/>
        <family val="2"/>
      </rPr>
      <t>2</t>
    </r>
    <phoneticPr fontId="34" type="noConversion"/>
  </si>
  <si>
    <t>账套名称/账套编码</t>
    <phoneticPr fontId="34" type="noConversion"/>
  </si>
  <si>
    <t>科目名称</t>
    <phoneticPr fontId="34" type="noConversion"/>
  </si>
  <si>
    <r>
      <rPr>
        <b/>
        <sz val="10"/>
        <color rgb="FF000000"/>
        <rFont val="微软雅黑"/>
        <family val="2"/>
        <charset val="134"/>
      </rPr>
      <t>索引号</t>
    </r>
  </si>
  <si>
    <t> </t>
  </si>
  <si>
    <r>
      <rPr>
        <b/>
        <sz val="10"/>
        <color rgb="FF000000"/>
        <rFont val="微软雅黑"/>
        <family val="2"/>
        <charset val="134"/>
      </rPr>
      <t>变动</t>
    </r>
  </si>
  <si>
    <r>
      <rPr>
        <b/>
        <sz val="10"/>
        <color rgb="FF000000"/>
        <rFont val="微软雅黑"/>
        <family val="2"/>
        <charset val="134"/>
      </rPr>
      <t>基于波动幅度判断，是否进一步调查？</t>
    </r>
  </si>
  <si>
    <r>
      <rPr>
        <b/>
        <sz val="10"/>
        <color rgb="FF000000"/>
        <rFont val="微软雅黑"/>
        <family val="2"/>
        <charset val="134"/>
      </rPr>
      <t>基于定性考虑判断，是否进一步调查？</t>
    </r>
  </si>
  <si>
    <r>
      <rPr>
        <b/>
        <sz val="10"/>
        <color indexed="8"/>
        <rFont val="微软雅黑"/>
        <family val="2"/>
        <charset val="134"/>
      </rPr>
      <t>期末账面数</t>
    </r>
  </si>
  <si>
    <t>账表调整数</t>
    <phoneticPr fontId="34" type="noConversion"/>
  </si>
  <si>
    <r>
      <rPr>
        <b/>
        <sz val="10"/>
        <color indexed="8"/>
        <rFont val="微软雅黑"/>
        <family val="2"/>
        <charset val="134"/>
      </rPr>
      <t>期末未审数</t>
    </r>
  </si>
  <si>
    <t>审计调整数</t>
    <phoneticPr fontId="34" type="noConversion"/>
  </si>
  <si>
    <r>
      <rPr>
        <b/>
        <sz val="10"/>
        <color rgb="FF000000"/>
        <rFont val="微软雅黑"/>
        <family val="2"/>
        <charset val="134"/>
      </rPr>
      <t>期末审定数</t>
    </r>
  </si>
  <si>
    <r>
      <rPr>
        <b/>
        <sz val="10"/>
        <color indexed="8"/>
        <rFont val="微软雅黑"/>
        <family val="2"/>
        <charset val="134"/>
      </rPr>
      <t>上期末审定数</t>
    </r>
  </si>
  <si>
    <r>
      <rPr>
        <b/>
        <sz val="10"/>
        <rFont val="微软雅黑"/>
        <family val="2"/>
        <charset val="134"/>
      </rPr>
      <t>金额</t>
    </r>
  </si>
  <si>
    <t>%</t>
  </si>
  <si>
    <t>Notes</t>
  </si>
  <si>
    <t>银行承兑汇票</t>
  </si>
  <si>
    <t>M.01/</t>
  </si>
  <si>
    <t>[A]</t>
  </si>
  <si>
    <t>商业承兑汇票</t>
  </si>
  <si>
    <t>M.02/</t>
  </si>
  <si>
    <r>
      <rPr>
        <sz val="10"/>
        <color theme="1"/>
        <rFont val="微软雅黑"/>
        <family val="2"/>
        <charset val="134"/>
      </rPr>
      <t>合计</t>
    </r>
    <phoneticPr fontId="34" type="noConversion"/>
  </si>
  <si>
    <t>RX</t>
    <phoneticPr fontId="34" type="noConversion"/>
  </si>
  <si>
    <t>Diff</t>
  </si>
  <si>
    <t>波动说明</t>
  </si>
  <si>
    <t>[A]</t>
    <phoneticPr fontId="34" type="noConversion"/>
  </si>
  <si>
    <r>
      <rPr>
        <b/>
        <sz val="10"/>
        <rFont val="微软雅黑"/>
        <family val="2"/>
        <charset val="134"/>
      </rPr>
      <t>调整汇总表</t>
    </r>
    <r>
      <rPr>
        <b/>
        <i/>
        <sz val="10"/>
        <color rgb="FFFF0000"/>
        <rFont val="微软雅黑"/>
        <family val="2"/>
        <charset val="134"/>
      </rPr>
      <t>（如不适用请删除）</t>
    </r>
    <phoneticPr fontId="34" type="noConversion"/>
  </si>
  <si>
    <t>调整类型</t>
    <phoneticPr fontId="34" type="noConversion"/>
  </si>
  <si>
    <t>777ea5b4-12a4-4b4f-bd5a-60b7ed0d4f78</t>
    <phoneticPr fontId="34" type="noConversion"/>
  </si>
  <si>
    <r>
      <rPr>
        <b/>
        <u/>
        <sz val="14"/>
        <color indexed="8"/>
        <rFont val="微软雅黑"/>
        <family val="2"/>
        <charset val="134"/>
      </rPr>
      <t>目标</t>
    </r>
    <r>
      <rPr>
        <b/>
        <u/>
        <sz val="14"/>
        <color indexed="8"/>
        <rFont val="Arial"/>
        <family val="2"/>
      </rPr>
      <t xml:space="preserve"> </t>
    </r>
  </si>
  <si>
    <r>
      <rPr>
        <sz val="14"/>
        <color rgb="FF000000"/>
        <rFont val="微软雅黑"/>
        <family val="2"/>
        <charset val="134"/>
      </rPr>
      <t>复核应付票据</t>
    </r>
    <r>
      <rPr>
        <sz val="14"/>
        <color rgb="FF000000"/>
        <rFont val="Arial"/>
        <family val="2"/>
      </rPr>
      <t>_</t>
    </r>
    <r>
      <rPr>
        <sz val="14"/>
        <color rgb="FF000000"/>
        <rFont val="微软雅黑"/>
        <family val="2"/>
        <charset val="134"/>
      </rPr>
      <t>银行承兑汇票金额、期限、担保品等支持性文件，并执行函证程序。</t>
    </r>
    <phoneticPr fontId="34" type="noConversion"/>
  </si>
  <si>
    <r>
      <rPr>
        <sz val="14"/>
        <color rgb="FF000000"/>
        <rFont val="微软雅黑"/>
        <family val="2"/>
        <charset val="134"/>
      </rPr>
      <t>获取银行承兑汇票</t>
    </r>
    <r>
      <rPr>
        <b/>
        <sz val="14"/>
        <color rgb="FFFF0000"/>
        <rFont val="微软雅黑"/>
        <family val="2"/>
        <charset val="134"/>
      </rPr>
      <t>（含财务公司承兑汇票）</t>
    </r>
    <r>
      <rPr>
        <sz val="14"/>
        <color rgb="FF000000"/>
        <rFont val="微软雅黑"/>
        <family val="2"/>
        <charset val="134"/>
      </rPr>
      <t>明细表，将明细表期末总金额与</t>
    </r>
    <r>
      <rPr>
        <b/>
        <sz val="14"/>
        <color rgb="FFFF0000"/>
        <rFont val="微软雅黑"/>
        <family val="2"/>
        <charset val="134"/>
      </rPr>
      <t>银行承兑汇票</t>
    </r>
    <r>
      <rPr>
        <sz val="14"/>
        <color rgb="FF000000"/>
        <rFont val="微软雅黑"/>
        <family val="2"/>
        <charset val="134"/>
      </rPr>
      <t>总账核对一致。复核利息费用和应付利息计算的合理性</t>
    </r>
    <r>
      <rPr>
        <b/>
        <sz val="14"/>
        <color rgb="FFFF0000"/>
        <rFont val="微软雅黑"/>
        <family val="2"/>
        <charset val="134"/>
      </rPr>
      <t>（如适用）</t>
    </r>
    <r>
      <rPr>
        <sz val="14"/>
        <color rgb="FF000000"/>
        <rFont val="微软雅黑"/>
        <family val="2"/>
        <charset val="134"/>
      </rPr>
      <t>。</t>
    </r>
    <phoneticPr fontId="34" type="noConversion"/>
  </si>
  <si>
    <r>
      <t>M.01&amp;02.01</t>
    </r>
    <r>
      <rPr>
        <b/>
        <sz val="14"/>
        <color rgb="FFFF0000"/>
        <rFont val="微软雅黑"/>
        <family val="2"/>
        <charset val="134"/>
      </rPr>
      <t>明细账及表</t>
    </r>
    <r>
      <rPr>
        <b/>
        <sz val="14"/>
        <color rgb="FFFF0000"/>
        <rFont val="Arial"/>
        <family val="2"/>
      </rPr>
      <t>1</t>
    </r>
    <phoneticPr fontId="34" type="noConversion"/>
  </si>
  <si>
    <r>
      <rPr>
        <sz val="14"/>
        <color rgb="FF000000"/>
        <rFont val="微软雅黑"/>
        <family val="2"/>
        <charset val="134"/>
      </rPr>
      <t>检查银行承兑汇票协议或其他短期借款安排的文件，以确认银行承兑汇票的条款、限制、循环信用额和其他相关规定，选择需要进行函证的银行承兑汇票进行函证，并核对银行回函金额与账面金额一致。</t>
    </r>
    <phoneticPr fontId="34" type="noConversion"/>
  </si>
  <si>
    <r>
      <rPr>
        <b/>
        <sz val="14"/>
        <color rgb="FFFF0000"/>
        <rFont val="微软雅黑"/>
        <family val="2"/>
        <charset val="134"/>
      </rPr>
      <t>表</t>
    </r>
    <r>
      <rPr>
        <b/>
        <sz val="14"/>
        <color rgb="FFFF0000"/>
        <rFont val="Arial"/>
        <family val="2"/>
      </rPr>
      <t>2.1</t>
    </r>
    <r>
      <rPr>
        <b/>
        <sz val="14"/>
        <color rgb="FFFF0000"/>
        <rFont val="微软雅黑"/>
        <family val="2"/>
        <charset val="134"/>
      </rPr>
      <t>、表</t>
    </r>
    <r>
      <rPr>
        <b/>
        <sz val="14"/>
        <color rgb="FFFF0000"/>
        <rFont val="Arial"/>
        <family val="2"/>
      </rPr>
      <t>2.2</t>
    </r>
    <r>
      <rPr>
        <b/>
        <sz val="14"/>
        <color rgb="FFFF0000"/>
        <rFont val="微软雅黑"/>
        <family val="2"/>
        <charset val="134"/>
      </rPr>
      <t>及表</t>
    </r>
    <r>
      <rPr>
        <b/>
        <sz val="14"/>
        <color rgb="FFFF0000"/>
        <rFont val="Arial"/>
        <family val="2"/>
      </rPr>
      <t>2.3</t>
    </r>
  </si>
  <si>
    <r>
      <rPr>
        <sz val="14"/>
        <color rgb="FF000000"/>
        <rFont val="微软雅黑"/>
        <family val="2"/>
        <charset val="134"/>
      </rPr>
      <t>根据银行承兑汇票明细表，获取逾期银行承兑汇票的信息，对逾期银行承兑汇票未支付事项选取样本进行调查，查看逾期未支付的银行承兑汇票是否应当转入短期借款。</t>
    </r>
    <r>
      <rPr>
        <b/>
        <sz val="14"/>
        <color rgb="FFFF0000"/>
        <rFont val="微软雅黑"/>
        <family val="2"/>
        <charset val="134"/>
      </rPr>
      <t>（如适用）</t>
    </r>
    <phoneticPr fontId="34" type="noConversion"/>
  </si>
  <si>
    <r>
      <rPr>
        <b/>
        <sz val="14"/>
        <color rgb="FFFF0000"/>
        <rFont val="微软雅黑"/>
        <family val="2"/>
        <charset val="134"/>
      </rPr>
      <t>表</t>
    </r>
    <r>
      <rPr>
        <b/>
        <sz val="14"/>
        <color rgb="FFFF0000"/>
        <rFont val="Arial"/>
        <family val="2"/>
      </rPr>
      <t>2.1</t>
    </r>
    <r>
      <rPr>
        <b/>
        <sz val="14"/>
        <color rgb="FFFF0000"/>
        <rFont val="微软雅黑"/>
        <family val="2"/>
        <charset val="134"/>
      </rPr>
      <t>及表</t>
    </r>
    <r>
      <rPr>
        <b/>
        <sz val="14"/>
        <color rgb="FFFF0000"/>
        <rFont val="Arial"/>
        <family val="2"/>
      </rPr>
      <t>2.2</t>
    </r>
    <phoneticPr fontId="34" type="noConversion"/>
  </si>
  <si>
    <r>
      <rPr>
        <sz val="14"/>
        <color rgb="FF000000"/>
        <rFont val="微软雅黑"/>
        <family val="2"/>
        <charset val="134"/>
      </rPr>
      <t>将银行承兑汇票金额与授信额度或担保金额、银承保证金、结构性存款、理财产品等开票担保品账面价值进行核对，选取样本验证银行承兑汇票期末余额合理性</t>
    </r>
    <r>
      <rPr>
        <b/>
        <sz val="14"/>
        <color rgb="FFFF0000"/>
        <rFont val="微软雅黑"/>
        <family val="2"/>
        <charset val="134"/>
      </rPr>
      <t>（如适用）</t>
    </r>
    <r>
      <rPr>
        <sz val="14"/>
        <color rgb="FF000000"/>
        <rFont val="微软雅黑"/>
        <family val="2"/>
        <charset val="134"/>
      </rPr>
      <t>。</t>
    </r>
    <phoneticPr fontId="34" type="noConversion"/>
  </si>
  <si>
    <r>
      <rPr>
        <b/>
        <sz val="14"/>
        <color rgb="FFFF0000"/>
        <rFont val="微软雅黑"/>
        <family val="2"/>
        <charset val="134"/>
      </rPr>
      <t>表</t>
    </r>
    <r>
      <rPr>
        <b/>
        <sz val="14"/>
        <color rgb="FFFF0000"/>
        <rFont val="Arial"/>
        <family val="2"/>
      </rPr>
      <t>2.1</t>
    </r>
    <r>
      <rPr>
        <b/>
        <sz val="14"/>
        <color rgb="FFFF0000"/>
        <rFont val="微软雅黑"/>
        <family val="2"/>
        <charset val="134"/>
      </rPr>
      <t>及表</t>
    </r>
    <r>
      <rPr>
        <b/>
        <sz val="14"/>
        <color rgb="FFFF0000"/>
        <rFont val="Arial"/>
        <family val="2"/>
      </rPr>
      <t>2.4</t>
    </r>
  </si>
  <si>
    <r>
      <rPr>
        <b/>
        <sz val="10"/>
        <color rgb="FFFF0000"/>
        <rFont val="微软雅黑"/>
        <family val="2"/>
        <charset val="134"/>
      </rPr>
      <t>表</t>
    </r>
    <r>
      <rPr>
        <b/>
        <sz val="10"/>
        <color rgb="FFFF0000"/>
        <rFont val="Arial"/>
        <family val="2"/>
      </rPr>
      <t>1</t>
    </r>
    <r>
      <rPr>
        <b/>
        <sz val="10"/>
        <color rgb="FF000000"/>
        <rFont val="Arial"/>
        <family val="2"/>
      </rPr>
      <t xml:space="preserve"> </t>
    </r>
    <r>
      <rPr>
        <b/>
        <sz val="10"/>
        <color rgb="FF000000"/>
        <rFont val="微软雅黑"/>
        <family val="2"/>
        <charset val="134"/>
      </rPr>
      <t>将明细账与总账核对一致</t>
    </r>
    <phoneticPr fontId="34" type="noConversion"/>
  </si>
  <si>
    <r>
      <rPr>
        <b/>
        <sz val="10"/>
        <rFont val="微软雅黑"/>
        <family val="2"/>
        <charset val="134"/>
      </rPr>
      <t>账套名称</t>
    </r>
    <r>
      <rPr>
        <b/>
        <sz val="10"/>
        <rFont val="Arial"/>
        <family val="2"/>
      </rPr>
      <t>/</t>
    </r>
    <r>
      <rPr>
        <b/>
        <sz val="10"/>
        <rFont val="微软雅黑"/>
        <family val="2"/>
        <charset val="134"/>
      </rPr>
      <t>账套编码</t>
    </r>
    <r>
      <rPr>
        <b/>
        <sz val="10"/>
        <rFont val="Arial"/>
        <family val="2"/>
      </rPr>
      <t xml:space="preserve"> </t>
    </r>
    <phoneticPr fontId="34" type="noConversion"/>
  </si>
  <si>
    <r>
      <rPr>
        <b/>
        <sz val="10"/>
        <rFont val="微软雅黑"/>
        <family val="2"/>
        <charset val="134"/>
      </rPr>
      <t>科目名称</t>
    </r>
    <phoneticPr fontId="34" type="noConversion"/>
  </si>
  <si>
    <r>
      <t>Lead</t>
    </r>
    <r>
      <rPr>
        <b/>
        <sz val="10"/>
        <rFont val="微软雅黑"/>
        <family val="2"/>
        <charset val="134"/>
      </rPr>
      <t>页余额</t>
    </r>
    <phoneticPr fontId="34" type="noConversion"/>
  </si>
  <si>
    <r>
      <rPr>
        <b/>
        <sz val="10"/>
        <rFont val="微软雅黑"/>
        <family val="2"/>
        <charset val="134"/>
      </rPr>
      <t>索引号</t>
    </r>
    <phoneticPr fontId="63" type="noConversion"/>
  </si>
  <si>
    <r>
      <rPr>
        <b/>
        <sz val="10"/>
        <rFont val="微软雅黑"/>
        <family val="2"/>
        <charset val="134"/>
      </rPr>
      <t>明细账余额</t>
    </r>
  </si>
  <si>
    <r>
      <rPr>
        <b/>
        <sz val="10"/>
        <rFont val="微软雅黑"/>
        <family val="2"/>
        <charset val="134"/>
      </rPr>
      <t>明细账索引</t>
    </r>
    <phoneticPr fontId="34" type="noConversion"/>
  </si>
  <si>
    <r>
      <rPr>
        <b/>
        <sz val="10"/>
        <color rgb="FF000000"/>
        <rFont val="微软雅黑"/>
        <family val="2"/>
      </rPr>
      <t xml:space="preserve">差异重新计算
</t>
    </r>
    <r>
      <rPr>
        <b/>
        <sz val="10"/>
        <color rgb="FFFF0000"/>
        <rFont val="微软雅黑"/>
        <family val="2"/>
      </rPr>
      <t>（</t>
    </r>
    <r>
      <rPr>
        <b/>
        <sz val="10"/>
        <color rgb="FFFF0000"/>
        <rFont val="Arial"/>
        <family val="2"/>
      </rPr>
      <t>Note1</t>
    </r>
    <r>
      <rPr>
        <b/>
        <sz val="10"/>
        <color rgb="FFFF0000"/>
        <rFont val="微软雅黑"/>
        <family val="2"/>
      </rPr>
      <t>）</t>
    </r>
  </si>
  <si>
    <t xml:space="preserve">/M.00 </t>
    <phoneticPr fontId="34" type="noConversion"/>
  </si>
  <si>
    <r>
      <t>/M.01&amp;02.01</t>
    </r>
    <r>
      <rPr>
        <b/>
        <sz val="10"/>
        <color rgb="FFFF0000"/>
        <rFont val="微软雅黑"/>
        <family val="2"/>
        <charset val="134"/>
      </rPr>
      <t>明细账</t>
    </r>
    <phoneticPr fontId="34" type="noConversion"/>
  </si>
  <si>
    <r>
      <rPr>
        <b/>
        <sz val="10"/>
        <color theme="1"/>
        <rFont val="微软雅黑"/>
        <family val="2"/>
        <charset val="134"/>
      </rPr>
      <t>合计</t>
    </r>
    <phoneticPr fontId="63" type="noConversion"/>
  </si>
  <si>
    <r>
      <t>Note1</t>
    </r>
    <r>
      <rPr>
        <b/>
        <sz val="10"/>
        <color rgb="FFFF0000"/>
        <rFont val="微软雅黑"/>
        <family val="2"/>
        <charset val="134"/>
      </rPr>
      <t>：</t>
    </r>
    <r>
      <rPr>
        <sz val="10"/>
        <color rgb="FF000000"/>
        <rFont val="微软雅黑"/>
        <family val="2"/>
        <charset val="134"/>
      </rPr>
      <t>如果总账和明细账差异金额大于</t>
    </r>
    <r>
      <rPr>
        <sz val="10"/>
        <color rgb="FF000000"/>
        <rFont val="Arial"/>
        <family val="2"/>
      </rPr>
      <t>SAD</t>
    </r>
    <r>
      <rPr>
        <sz val="10"/>
        <color rgb="FF000000"/>
        <rFont val="微软雅黑"/>
        <family val="2"/>
        <charset val="134"/>
      </rPr>
      <t>请在以下解释差异并执行相应的程序：针对金额大于测试阈值及性质异常的项目我们需进一步进行测试。</t>
    </r>
    <r>
      <rPr>
        <b/>
        <sz val="10"/>
        <color rgb="FFFF0000"/>
        <rFont val="Arial"/>
        <family val="2"/>
      </rPr>
      <t>(</t>
    </r>
    <r>
      <rPr>
        <b/>
        <sz val="10"/>
        <color rgb="FFFF0000"/>
        <rFont val="微软雅黑"/>
        <family val="2"/>
        <charset val="134"/>
      </rPr>
      <t>如不适用请删除）</t>
    </r>
    <phoneticPr fontId="34" type="noConversion"/>
  </si>
  <si>
    <r>
      <t xml:space="preserve">EY </t>
    </r>
    <r>
      <rPr>
        <b/>
        <sz val="10"/>
        <rFont val="微软雅黑"/>
        <family val="2"/>
        <charset val="134"/>
      </rPr>
      <t>测试属性解释</t>
    </r>
    <r>
      <rPr>
        <b/>
        <sz val="10"/>
        <rFont val="Arial"/>
        <family val="2"/>
      </rPr>
      <t>:</t>
    </r>
    <phoneticPr fontId="39" type="noConversion"/>
  </si>
  <si>
    <r>
      <rPr>
        <sz val="10"/>
        <color theme="0"/>
        <rFont val="微软雅黑"/>
        <family val="2"/>
        <charset val="134"/>
      </rPr>
      <t>使用授信额度</t>
    </r>
  </si>
  <si>
    <r>
      <rPr>
        <i/>
        <sz val="10"/>
        <rFont val="微软雅黑"/>
        <family val="2"/>
        <charset val="134"/>
      </rPr>
      <t>对于应付票据</t>
    </r>
    <r>
      <rPr>
        <i/>
        <sz val="10"/>
        <rFont val="Arial"/>
        <family val="2"/>
      </rPr>
      <t>_</t>
    </r>
    <r>
      <rPr>
        <i/>
        <sz val="10"/>
        <rFont val="微软雅黑"/>
        <family val="2"/>
        <charset val="134"/>
      </rPr>
      <t>银行承兑汇票，我们执行以下程序，以确保：</t>
    </r>
  </si>
  <si>
    <r>
      <rPr>
        <sz val="10"/>
        <color theme="0"/>
        <rFont val="微软雅黑"/>
        <family val="2"/>
        <charset val="134"/>
      </rPr>
      <t>保证金质押开票</t>
    </r>
    <phoneticPr fontId="34" type="noConversion"/>
  </si>
  <si>
    <r>
      <t xml:space="preserve">1) </t>
    </r>
    <r>
      <rPr>
        <sz val="10"/>
        <rFont val="微软雅黑"/>
        <family val="2"/>
        <charset val="134"/>
      </rPr>
      <t>向承兑银行发函确认应付票据</t>
    </r>
    <r>
      <rPr>
        <sz val="10"/>
        <rFont val="Arial"/>
        <family val="2"/>
      </rPr>
      <t>_</t>
    </r>
    <r>
      <rPr>
        <sz val="10"/>
        <rFont val="微软雅黑"/>
        <family val="2"/>
        <charset val="134"/>
      </rPr>
      <t>银行承兑汇票的余额，核对账面金额与回函金额相符。</t>
    </r>
  </si>
  <si>
    <r>
      <rPr>
        <sz val="10"/>
        <color theme="0"/>
        <rFont val="微软雅黑"/>
        <family val="2"/>
        <charset val="134"/>
      </rPr>
      <t>结构性存款质押开票</t>
    </r>
  </si>
  <si>
    <r>
      <t xml:space="preserve">2) </t>
    </r>
    <r>
      <rPr>
        <sz val="10"/>
        <rFont val="微软雅黑"/>
        <family val="2"/>
        <charset val="134"/>
      </rPr>
      <t>根据应付票据</t>
    </r>
    <r>
      <rPr>
        <sz val="10"/>
        <rFont val="Arial"/>
        <family val="2"/>
      </rPr>
      <t>_</t>
    </r>
    <r>
      <rPr>
        <sz val="10"/>
        <rFont val="微软雅黑"/>
        <family val="2"/>
        <charset val="134"/>
      </rPr>
      <t>银行承兑汇票明细表，获取了逾期银行承兑汇票的信息；对逾期银行承兑汇票未支付事项进行了调查，逾期未支付的银行承兑汇票已转入短期借款。</t>
    </r>
    <phoneticPr fontId="34" type="noConversion"/>
  </si>
  <si>
    <r>
      <t xml:space="preserve">3) </t>
    </r>
    <r>
      <rPr>
        <sz val="10"/>
        <rFont val="微软雅黑"/>
        <family val="2"/>
        <charset val="134"/>
      </rPr>
      <t>使用授信额度或其他担保方式开立银行承兑汇票的，已检查银行承兑汇票的协议或银行授信审批文件，未发现异常情况。</t>
    </r>
    <phoneticPr fontId="34" type="noConversion"/>
  </si>
  <si>
    <r>
      <rPr>
        <sz val="10"/>
        <color theme="0"/>
        <rFont val="微软雅黑"/>
        <family val="2"/>
        <charset val="134"/>
      </rPr>
      <t>理财产品质押开票</t>
    </r>
  </si>
  <si>
    <r>
      <t xml:space="preserve">4) </t>
    </r>
    <r>
      <rPr>
        <sz val="10"/>
        <rFont val="微软雅黑"/>
        <family val="2"/>
        <charset val="134"/>
      </rPr>
      <t>将相关质押品账面价值与应付票据</t>
    </r>
    <r>
      <rPr>
        <sz val="10"/>
        <rFont val="Arial"/>
        <family val="2"/>
      </rPr>
      <t>_</t>
    </r>
    <r>
      <rPr>
        <sz val="10"/>
        <rFont val="微软雅黑"/>
        <family val="2"/>
        <charset val="134"/>
      </rPr>
      <t>银行承兑汇票余额进行核对，计算质押品账面价值与相关债务的比例，质押水平符合合同或协议约定要求。</t>
    </r>
    <phoneticPr fontId="34" type="noConversion"/>
  </si>
  <si>
    <r>
      <rPr>
        <sz val="10"/>
        <color theme="0"/>
        <rFont val="微软雅黑"/>
        <family val="2"/>
        <charset val="134"/>
      </rPr>
      <t>应收票据质押开票</t>
    </r>
    <phoneticPr fontId="34" type="noConversion"/>
  </si>
  <si>
    <r>
      <rPr>
        <sz val="10"/>
        <color theme="0"/>
        <rFont val="微软雅黑"/>
        <family val="2"/>
        <charset val="134"/>
      </rPr>
      <t>第三方担保方式开票</t>
    </r>
    <phoneticPr fontId="34" type="noConversion"/>
  </si>
  <si>
    <r>
      <rPr>
        <b/>
        <sz val="10"/>
        <color rgb="FFFF0000"/>
        <rFont val="微软雅黑"/>
        <family val="2"/>
        <charset val="134"/>
      </rPr>
      <t>表</t>
    </r>
    <r>
      <rPr>
        <b/>
        <sz val="10"/>
        <color rgb="FFFF0000"/>
        <rFont val="Arial"/>
        <family val="2"/>
      </rPr>
      <t xml:space="preserve">2.1 </t>
    </r>
    <r>
      <rPr>
        <b/>
        <sz val="10"/>
        <color rgb="FF000000"/>
        <rFont val="微软雅黑"/>
        <family val="2"/>
        <charset val="134"/>
      </rPr>
      <t>项目组在下面记录选样策略与理由</t>
    </r>
  </si>
  <si>
    <r>
      <rPr>
        <b/>
        <sz val="10"/>
        <color rgb="FFFF0000"/>
        <rFont val="微软雅黑"/>
        <family val="2"/>
        <charset val="134"/>
      </rPr>
      <t>表</t>
    </r>
    <r>
      <rPr>
        <b/>
        <sz val="10"/>
        <color rgb="FFFF0000"/>
        <rFont val="Arial"/>
        <family val="2"/>
      </rPr>
      <t xml:space="preserve">2.2 </t>
    </r>
    <r>
      <rPr>
        <b/>
        <sz val="10"/>
        <color rgb="FF000000"/>
        <rFont val="微软雅黑"/>
        <family val="2"/>
        <charset val="134"/>
      </rPr>
      <t>根据</t>
    </r>
    <r>
      <rPr>
        <b/>
        <sz val="10"/>
        <color rgb="FFFF0000"/>
        <rFont val="微软雅黑"/>
        <family val="2"/>
        <charset val="134"/>
      </rPr>
      <t>表</t>
    </r>
    <r>
      <rPr>
        <b/>
        <sz val="10"/>
        <color rgb="FFFF0000"/>
        <rFont val="Arial"/>
        <family val="2"/>
      </rPr>
      <t>2.1</t>
    </r>
    <r>
      <rPr>
        <b/>
        <sz val="10"/>
        <color rgb="FF000000"/>
        <rFont val="微软雅黑"/>
        <family val="2"/>
        <charset val="134"/>
      </rPr>
      <t>的选样策略，选取测试项目执行</t>
    </r>
    <r>
      <rPr>
        <b/>
        <sz val="10"/>
        <color rgb="FF000000"/>
        <rFont val="Arial"/>
        <family val="2"/>
      </rPr>
      <t>EY</t>
    </r>
    <r>
      <rPr>
        <b/>
        <sz val="10"/>
        <color rgb="FF000000"/>
        <rFont val="微软雅黑"/>
        <family val="2"/>
        <charset val="134"/>
      </rPr>
      <t>测试属性</t>
    </r>
    <r>
      <rPr>
        <b/>
        <sz val="10"/>
        <color rgb="FFFF0000"/>
        <rFont val="Arial"/>
        <family val="2"/>
      </rPr>
      <t>1</t>
    </r>
    <r>
      <rPr>
        <b/>
        <sz val="10"/>
        <color rgb="FFFF0000"/>
        <rFont val="微软雅黑"/>
        <family val="2"/>
        <charset val="134"/>
      </rPr>
      <t>和</t>
    </r>
    <r>
      <rPr>
        <b/>
        <sz val="10"/>
        <color rgb="FFFF0000"/>
        <rFont val="Arial"/>
        <family val="2"/>
      </rPr>
      <t>2</t>
    </r>
    <r>
      <rPr>
        <b/>
        <sz val="10"/>
        <color rgb="FF000000"/>
        <rFont val="微软雅黑"/>
        <family val="2"/>
        <charset val="134"/>
      </rPr>
      <t>，并记录测试结论于下表</t>
    </r>
  </si>
  <si>
    <t>EY Works</t>
    <phoneticPr fontId="34" type="noConversion"/>
  </si>
  <si>
    <r>
      <rPr>
        <b/>
        <sz val="10"/>
        <rFont val="微软雅黑"/>
        <family val="2"/>
        <charset val="134"/>
      </rPr>
      <t>函证索引号</t>
    </r>
    <phoneticPr fontId="34" type="noConversion"/>
  </si>
  <si>
    <r>
      <t>逾期原因</t>
    </r>
    <r>
      <rPr>
        <b/>
        <sz val="10"/>
        <color rgb="FFFF0000"/>
        <rFont val="微软雅黑"/>
        <family val="2"/>
        <charset val="134"/>
      </rPr>
      <t>（如适用）</t>
    </r>
    <phoneticPr fontId="34" type="noConversion"/>
  </si>
  <si>
    <r>
      <rPr>
        <b/>
        <sz val="10"/>
        <rFont val="微软雅黑"/>
        <family val="2"/>
        <charset val="134"/>
      </rPr>
      <t>针对未回函的应付票据执行的替代程序及结论</t>
    </r>
    <phoneticPr fontId="34" type="noConversion"/>
  </si>
  <si>
    <r>
      <t>EY</t>
    </r>
    <r>
      <rPr>
        <b/>
        <sz val="10"/>
        <rFont val="微软雅黑"/>
        <family val="2"/>
        <charset val="134"/>
      </rPr>
      <t>测试属性类别</t>
    </r>
    <phoneticPr fontId="34" type="noConversion"/>
  </si>
  <si>
    <r>
      <rPr>
        <b/>
        <sz val="10"/>
        <rFont val="微软雅黑"/>
        <family val="2"/>
        <charset val="134"/>
      </rPr>
      <t>账套名称</t>
    </r>
    <r>
      <rPr>
        <b/>
        <sz val="10"/>
        <rFont val="Arial"/>
        <family val="2"/>
      </rPr>
      <t>/</t>
    </r>
    <r>
      <rPr>
        <b/>
        <sz val="10"/>
        <rFont val="微软雅黑"/>
        <family val="2"/>
        <charset val="134"/>
      </rPr>
      <t>账套编码</t>
    </r>
    <r>
      <rPr>
        <b/>
        <sz val="10"/>
        <rFont val="Arial"/>
        <family val="2"/>
      </rPr>
      <t xml:space="preserve"> </t>
    </r>
  </si>
  <si>
    <r>
      <rPr>
        <b/>
        <sz val="10"/>
        <rFont val="微软雅黑"/>
        <family val="2"/>
        <charset val="134"/>
      </rPr>
      <t>供应商名称</t>
    </r>
  </si>
  <si>
    <r>
      <rPr>
        <b/>
        <sz val="10"/>
        <rFont val="微软雅黑"/>
        <family val="2"/>
        <charset val="134"/>
      </rPr>
      <t>出票人</t>
    </r>
  </si>
  <si>
    <r>
      <rPr>
        <b/>
        <sz val="10"/>
        <rFont val="微软雅黑"/>
        <family val="2"/>
        <charset val="134"/>
      </rPr>
      <t>收票人</t>
    </r>
  </si>
  <si>
    <r>
      <rPr>
        <b/>
        <sz val="10"/>
        <rFont val="微软雅黑"/>
        <family val="2"/>
        <charset val="134"/>
      </rPr>
      <t>签发日期</t>
    </r>
  </si>
  <si>
    <r>
      <rPr>
        <b/>
        <sz val="10"/>
        <rFont val="微软雅黑"/>
        <family val="2"/>
        <charset val="134"/>
      </rPr>
      <t>到期日</t>
    </r>
  </si>
  <si>
    <r>
      <rPr>
        <b/>
        <sz val="10"/>
        <rFont val="微软雅黑"/>
        <family val="2"/>
        <charset val="134"/>
      </rPr>
      <t>票据票面金额</t>
    </r>
  </si>
  <si>
    <r>
      <rPr>
        <b/>
        <sz val="10"/>
        <rFont val="微软雅黑"/>
        <family val="2"/>
        <charset val="134"/>
      </rPr>
      <t>票据号码</t>
    </r>
  </si>
  <si>
    <r>
      <rPr>
        <b/>
        <sz val="10"/>
        <rFont val="微软雅黑"/>
        <family val="2"/>
        <charset val="134"/>
      </rPr>
      <t>承兑人名称</t>
    </r>
  </si>
  <si>
    <r>
      <rPr>
        <b/>
        <sz val="10"/>
        <color theme="1"/>
        <rFont val="微软雅黑"/>
        <family val="2"/>
        <charset val="134"/>
      </rPr>
      <t>开票保证方式</t>
    </r>
  </si>
  <si>
    <t>约定利率</t>
  </si>
  <si>
    <r>
      <rPr>
        <b/>
        <sz val="10"/>
        <color rgb="FFFF0000"/>
        <rFont val="微软雅黑"/>
        <family val="2"/>
        <charset val="134"/>
      </rPr>
      <t>表</t>
    </r>
    <r>
      <rPr>
        <b/>
        <sz val="10"/>
        <color rgb="FFFF0000"/>
        <rFont val="Arial"/>
        <family val="2"/>
      </rPr>
      <t xml:space="preserve">2.3 </t>
    </r>
    <r>
      <rPr>
        <b/>
        <sz val="10"/>
        <color rgb="FF000000"/>
        <rFont val="微软雅黑"/>
        <family val="2"/>
        <charset val="134"/>
      </rPr>
      <t>核对银行回函金额</t>
    </r>
    <r>
      <rPr>
        <b/>
        <sz val="10"/>
        <color rgb="FFFF0000"/>
        <rFont val="微软雅黑"/>
        <family val="2"/>
        <charset val="134"/>
      </rPr>
      <t>（包括格式一与格式二）</t>
    </r>
    <r>
      <rPr>
        <b/>
        <sz val="10"/>
        <color rgb="FF000000"/>
        <rFont val="微软雅黑"/>
        <family val="2"/>
        <charset val="134"/>
      </rPr>
      <t>与账面金额是否一致</t>
    </r>
    <phoneticPr fontId="34" type="noConversion"/>
  </si>
  <si>
    <r>
      <rPr>
        <b/>
        <sz val="10"/>
        <rFont val="微软雅黑"/>
        <family val="2"/>
        <charset val="134"/>
      </rPr>
      <t>承兑银行</t>
    </r>
    <r>
      <rPr>
        <b/>
        <sz val="10"/>
        <rFont val="Arial"/>
        <family val="2"/>
      </rPr>
      <t>/</t>
    </r>
    <r>
      <rPr>
        <b/>
        <sz val="10"/>
        <rFont val="微软雅黑"/>
        <family val="2"/>
        <charset val="134"/>
      </rPr>
      <t>回函银行</t>
    </r>
    <phoneticPr fontId="34" type="noConversion"/>
  </si>
  <si>
    <r>
      <rPr>
        <b/>
        <sz val="10"/>
        <rFont val="微软雅黑"/>
        <family val="2"/>
        <charset val="134"/>
      </rPr>
      <t>回函金额</t>
    </r>
    <phoneticPr fontId="34" type="noConversion"/>
  </si>
  <si>
    <r>
      <rPr>
        <b/>
        <sz val="10"/>
        <rFont val="微软雅黑"/>
        <family val="2"/>
        <charset val="134"/>
      </rPr>
      <t>账面金额</t>
    </r>
    <phoneticPr fontId="34" type="noConversion"/>
  </si>
  <si>
    <r>
      <rPr>
        <b/>
        <sz val="10"/>
        <rFont val="微软雅黑"/>
        <family val="2"/>
        <charset val="134"/>
      </rPr>
      <t>索引号</t>
    </r>
    <phoneticPr fontId="34" type="noConversion"/>
  </si>
  <si>
    <r>
      <rPr>
        <b/>
        <sz val="10"/>
        <rFont val="微软雅黑"/>
        <family val="2"/>
        <charset val="134"/>
      </rPr>
      <t>差异</t>
    </r>
    <phoneticPr fontId="34" type="noConversion"/>
  </si>
  <si>
    <r>
      <rPr>
        <b/>
        <sz val="10"/>
        <rFont val="微软雅黑"/>
        <family val="2"/>
        <charset val="134"/>
      </rPr>
      <t>差异原因及解释</t>
    </r>
    <phoneticPr fontId="34" type="noConversion"/>
  </si>
  <si>
    <r>
      <t>/M.01&amp;02.01</t>
    </r>
    <r>
      <rPr>
        <b/>
        <sz val="10"/>
        <color rgb="FFFF0000"/>
        <rFont val="微软雅黑"/>
        <family val="2"/>
        <charset val="134"/>
      </rPr>
      <t>明细账</t>
    </r>
  </si>
  <si>
    <r>
      <rPr>
        <b/>
        <sz val="10"/>
        <color rgb="FFFF0000"/>
        <rFont val="微软雅黑"/>
        <family val="2"/>
        <charset val="134"/>
      </rPr>
      <t>表</t>
    </r>
    <r>
      <rPr>
        <b/>
        <sz val="10"/>
        <color rgb="FFFF0000"/>
        <rFont val="Arial"/>
        <family val="2"/>
      </rPr>
      <t xml:space="preserve">2.4 </t>
    </r>
    <r>
      <rPr>
        <b/>
        <sz val="10"/>
        <color theme="1"/>
        <rFont val="微软雅黑"/>
        <family val="2"/>
        <charset val="134"/>
      </rPr>
      <t>对</t>
    </r>
    <r>
      <rPr>
        <b/>
        <sz val="10"/>
        <color rgb="FFFF0000"/>
        <rFont val="微软雅黑"/>
        <family val="2"/>
        <charset val="134"/>
      </rPr>
      <t>表</t>
    </r>
    <r>
      <rPr>
        <b/>
        <sz val="10"/>
        <color rgb="FFFF0000"/>
        <rFont val="Arial"/>
        <family val="2"/>
      </rPr>
      <t>2.2</t>
    </r>
    <r>
      <rPr>
        <b/>
        <sz val="10"/>
        <color rgb="FF000000"/>
        <rFont val="微软雅黑"/>
        <family val="2"/>
        <charset val="134"/>
      </rPr>
      <t>中测试项目涉及的</t>
    </r>
    <r>
      <rPr>
        <b/>
        <sz val="10"/>
        <color rgb="FFFF0000"/>
        <rFont val="微软雅黑"/>
        <family val="2"/>
        <charset val="134"/>
      </rPr>
      <t>承兑银行</t>
    </r>
    <r>
      <rPr>
        <b/>
        <sz val="10"/>
        <color rgb="FF000000"/>
        <rFont val="微软雅黑"/>
        <family val="2"/>
        <charset val="134"/>
      </rPr>
      <t>，执行</t>
    </r>
    <r>
      <rPr>
        <b/>
        <sz val="10"/>
        <color rgb="FF000000"/>
        <rFont val="Arial"/>
        <family val="2"/>
      </rPr>
      <t>EY</t>
    </r>
    <r>
      <rPr>
        <b/>
        <sz val="10"/>
        <color rgb="FF000000"/>
        <rFont val="微软雅黑"/>
        <family val="2"/>
        <charset val="134"/>
      </rPr>
      <t>测试属性</t>
    </r>
    <r>
      <rPr>
        <b/>
        <sz val="10"/>
        <color rgb="FFFF0000"/>
        <rFont val="Arial"/>
        <family val="2"/>
      </rPr>
      <t>3</t>
    </r>
    <r>
      <rPr>
        <b/>
        <sz val="10"/>
        <color rgb="FFFF0000"/>
        <rFont val="微软雅黑"/>
        <family val="2"/>
        <charset val="134"/>
      </rPr>
      <t>和</t>
    </r>
    <r>
      <rPr>
        <b/>
        <sz val="10"/>
        <color rgb="FFFF0000"/>
        <rFont val="Arial"/>
        <family val="2"/>
      </rPr>
      <t>4</t>
    </r>
    <r>
      <rPr>
        <b/>
        <sz val="10"/>
        <color rgb="FF000000"/>
        <rFont val="微软雅黑"/>
        <family val="2"/>
        <charset val="134"/>
      </rPr>
      <t>，并记录测试结论于下表</t>
    </r>
    <phoneticPr fontId="34" type="noConversion"/>
  </si>
  <si>
    <r>
      <rPr>
        <b/>
        <sz val="10"/>
        <rFont val="微软雅黑"/>
        <family val="2"/>
        <charset val="134"/>
      </rPr>
      <t>承兑银行</t>
    </r>
    <r>
      <rPr>
        <b/>
        <sz val="10"/>
        <rFont val="Arial"/>
        <family val="2"/>
      </rPr>
      <t>/</t>
    </r>
    <r>
      <rPr>
        <b/>
        <sz val="10"/>
        <rFont val="微软雅黑"/>
        <family val="2"/>
        <charset val="134"/>
      </rPr>
      <t>出具实体</t>
    </r>
    <phoneticPr fontId="34" type="noConversion"/>
  </si>
  <si>
    <r>
      <rPr>
        <b/>
        <sz val="10"/>
        <rFont val="微软雅黑"/>
        <family val="2"/>
        <charset val="134"/>
      </rPr>
      <t>票据金额</t>
    </r>
    <phoneticPr fontId="34" type="noConversion"/>
  </si>
  <si>
    <r>
      <rPr>
        <b/>
        <sz val="10"/>
        <rFont val="微软雅黑"/>
        <family val="2"/>
        <charset val="134"/>
      </rPr>
      <t>开票方式</t>
    </r>
    <phoneticPr fontId="34" type="noConversion"/>
  </si>
  <si>
    <r>
      <rPr>
        <b/>
        <sz val="10"/>
        <rFont val="微软雅黑"/>
        <family val="2"/>
        <charset val="134"/>
      </rPr>
      <t>授信额度或担保金额</t>
    </r>
    <phoneticPr fontId="34" type="noConversion"/>
  </si>
  <si>
    <r>
      <rPr>
        <b/>
        <sz val="10"/>
        <rFont val="微软雅黑"/>
        <family val="2"/>
        <charset val="134"/>
      </rPr>
      <t>开票协议或抵质押协议约定的比例</t>
    </r>
    <phoneticPr fontId="34" type="noConversion"/>
  </si>
  <si>
    <r>
      <rPr>
        <b/>
        <sz val="10"/>
        <color theme="1"/>
        <rFont val="微软雅黑"/>
        <family val="2"/>
        <charset val="134"/>
      </rPr>
      <t>用于质押的资产账面价值</t>
    </r>
    <phoneticPr fontId="34" type="noConversion"/>
  </si>
  <si>
    <r>
      <rPr>
        <b/>
        <sz val="10"/>
        <color theme="1"/>
        <rFont val="微软雅黑"/>
        <family val="2"/>
        <charset val="134"/>
      </rPr>
      <t>质押水平是否符合约定</t>
    </r>
    <phoneticPr fontId="34" type="noConversion"/>
  </si>
  <si>
    <r>
      <rPr>
        <b/>
        <sz val="10"/>
        <color theme="1"/>
        <rFont val="微软雅黑"/>
        <family val="2"/>
        <charset val="134"/>
      </rPr>
      <t>质押水平不符合约定的原因</t>
    </r>
  </si>
  <si>
    <r>
      <rPr>
        <b/>
        <sz val="10"/>
        <color theme="1"/>
        <rFont val="微软雅黑"/>
        <family val="2"/>
        <charset val="134"/>
      </rPr>
      <t>用于质押开票的保证金账面价值</t>
    </r>
    <phoneticPr fontId="34" type="noConversion"/>
  </si>
  <si>
    <r>
      <rPr>
        <b/>
        <sz val="10"/>
        <color theme="1"/>
        <rFont val="微软雅黑"/>
        <family val="2"/>
        <charset val="134"/>
      </rPr>
      <t>用于质押开票的结构性存款账面价值</t>
    </r>
    <phoneticPr fontId="34" type="noConversion"/>
  </si>
  <si>
    <r>
      <rPr>
        <b/>
        <sz val="10"/>
        <color theme="1"/>
        <rFont val="微软雅黑"/>
        <family val="2"/>
        <charset val="134"/>
      </rPr>
      <t>用于质押开票的理财产品账面价值</t>
    </r>
    <phoneticPr fontId="34" type="noConversion"/>
  </si>
  <si>
    <r>
      <rPr>
        <b/>
        <sz val="10"/>
        <rFont val="微软雅黑"/>
        <family val="2"/>
        <charset val="134"/>
      </rPr>
      <t>用于质押开票的应收票据账面价值</t>
    </r>
    <phoneticPr fontId="34" type="noConversion"/>
  </si>
  <si>
    <r>
      <rPr>
        <b/>
        <sz val="10"/>
        <rFont val="微软雅黑"/>
        <family val="2"/>
        <charset val="134"/>
      </rPr>
      <t>其他</t>
    </r>
    <phoneticPr fontId="34" type="noConversion"/>
  </si>
  <si>
    <r>
      <rPr>
        <b/>
        <sz val="10"/>
        <rFont val="微软雅黑"/>
        <family val="2"/>
        <charset val="134"/>
      </rPr>
      <t>小计</t>
    </r>
    <phoneticPr fontId="34" type="noConversion"/>
  </si>
  <si>
    <r>
      <t xml:space="preserve">C </t>
    </r>
    <r>
      <rPr>
        <b/>
        <sz val="10"/>
        <color rgb="FFFF0000"/>
        <rFont val="微软雅黑"/>
        <family val="2"/>
        <charset val="134"/>
      </rPr>
      <t>货币资金</t>
    </r>
  </si>
  <si>
    <r>
      <rPr>
        <b/>
        <sz val="10"/>
        <color rgb="FFFF0000"/>
        <rFont val="微软雅黑"/>
        <family val="2"/>
        <charset val="134"/>
      </rPr>
      <t>【</t>
    </r>
    <r>
      <rPr>
        <b/>
        <sz val="10"/>
        <color rgb="FFFF0000"/>
        <rFont val="Arial"/>
        <family val="2"/>
      </rPr>
      <t>/D200_</t>
    </r>
    <r>
      <rPr>
        <b/>
        <sz val="10"/>
        <color rgb="FFFF0000"/>
        <rFont val="微软雅黑"/>
        <family val="2"/>
        <charset val="134"/>
      </rPr>
      <t>结构性存款】</t>
    </r>
    <phoneticPr fontId="34" type="noConversion"/>
  </si>
  <si>
    <r>
      <rPr>
        <b/>
        <sz val="10"/>
        <color rgb="FFFF0000"/>
        <rFont val="微软雅黑"/>
        <family val="2"/>
        <charset val="134"/>
      </rPr>
      <t>【</t>
    </r>
    <r>
      <rPr>
        <b/>
        <sz val="10"/>
        <color rgb="FFFF0000"/>
        <rFont val="Arial"/>
        <family val="2"/>
      </rPr>
      <t>/D200_</t>
    </r>
    <r>
      <rPr>
        <b/>
        <sz val="10"/>
        <color rgb="FFFF0000"/>
        <rFont val="微软雅黑"/>
        <family val="2"/>
        <charset val="134"/>
      </rPr>
      <t>银行理财产品】</t>
    </r>
    <phoneticPr fontId="34" type="noConversion"/>
  </si>
  <si>
    <t>E2E3</t>
  </si>
  <si>
    <r>
      <rPr>
        <b/>
        <sz val="10"/>
        <color rgb="FFFF0000"/>
        <rFont val="微软雅黑"/>
        <family val="2"/>
        <charset val="134"/>
      </rPr>
      <t>根据实际情况填列</t>
    </r>
    <phoneticPr fontId="34" type="noConversion"/>
  </si>
  <si>
    <t>b6608b9d-b253-4083-acb9-34fceb03f01b</t>
    <phoneticPr fontId="34" type="noConversion"/>
  </si>
  <si>
    <r>
      <rPr>
        <sz val="14"/>
        <color rgb="FF000000"/>
        <rFont val="微软雅黑"/>
        <family val="2"/>
        <charset val="134"/>
      </rPr>
      <t>复核应付票据</t>
    </r>
    <r>
      <rPr>
        <sz val="14"/>
        <color rgb="FF000000"/>
        <rFont val="Arial"/>
        <family val="2"/>
      </rPr>
      <t>_</t>
    </r>
    <r>
      <rPr>
        <sz val="14"/>
        <color rgb="FF000000"/>
        <rFont val="微软雅黑"/>
        <family val="2"/>
        <charset val="134"/>
      </rPr>
      <t>商业承兑汇票金额、期限、抵押品等支持性文件，并执行函证程序。</t>
    </r>
  </si>
  <si>
    <r>
      <rPr>
        <sz val="14"/>
        <rFont val="微软雅黑"/>
        <family val="2"/>
        <charset val="134"/>
      </rPr>
      <t>取得商业承兑汇票明细表，将明细表期末总金额与商业承兑汇票总账核对一致。复核利息费用和应付利息计算的合理性</t>
    </r>
    <r>
      <rPr>
        <b/>
        <sz val="14"/>
        <color rgb="FFFF0000"/>
        <rFont val="微软雅黑"/>
        <family val="2"/>
        <charset val="134"/>
      </rPr>
      <t>（如适用）</t>
    </r>
    <r>
      <rPr>
        <sz val="14"/>
        <rFont val="微软雅黑"/>
        <family val="2"/>
        <charset val="134"/>
      </rPr>
      <t>。</t>
    </r>
    <phoneticPr fontId="34" type="noConversion"/>
  </si>
  <si>
    <r>
      <rPr>
        <sz val="14"/>
        <rFont val="微软雅黑"/>
        <family val="2"/>
        <charset val="134"/>
      </rPr>
      <t>通过中国人民银行指定的票据服务机构（如：上海票据交易所），选择</t>
    </r>
    <r>
      <rPr>
        <sz val="14"/>
        <rFont val="Arial"/>
        <family val="2"/>
      </rPr>
      <t>"</t>
    </r>
    <r>
      <rPr>
        <b/>
        <sz val="14"/>
        <color rgb="FFFF0000"/>
        <rFont val="微软雅黑"/>
        <family val="2"/>
        <charset val="134"/>
      </rPr>
      <t>票据承兑人信用信息披露</t>
    </r>
    <r>
      <rPr>
        <sz val="14"/>
        <rFont val="微软雅黑"/>
        <family val="2"/>
        <charset val="134"/>
      </rPr>
      <t>查询（查询字段为：承兑人名称</t>
    </r>
    <r>
      <rPr>
        <sz val="14"/>
        <rFont val="Arial"/>
        <family val="2"/>
      </rPr>
      <t>/</t>
    </r>
    <r>
      <rPr>
        <sz val="14"/>
        <rFont val="微软雅黑"/>
        <family val="2"/>
        <charset val="134"/>
      </rPr>
      <t>统一社会信用代码）</t>
    </r>
    <r>
      <rPr>
        <sz val="14"/>
        <rFont val="Arial"/>
        <family val="2"/>
      </rPr>
      <t>"</t>
    </r>
    <r>
      <rPr>
        <sz val="14"/>
        <rFont val="微软雅黑"/>
        <family val="2"/>
        <charset val="134"/>
      </rPr>
      <t>功能，查询资产负债表日的</t>
    </r>
    <r>
      <rPr>
        <b/>
        <sz val="14"/>
        <color rgb="FFFF0000"/>
        <rFont val="微软雅黑"/>
        <family val="2"/>
        <charset val="134"/>
      </rPr>
      <t>票据承兑人信用信息详情</t>
    </r>
    <r>
      <rPr>
        <sz val="14"/>
        <rFont val="微软雅黑"/>
        <family val="2"/>
        <charset val="134"/>
      </rPr>
      <t>，检查</t>
    </r>
    <r>
      <rPr>
        <b/>
        <sz val="14"/>
        <color rgb="FFFF0000"/>
        <rFont val="微软雅黑"/>
        <family val="2"/>
        <charset val="134"/>
      </rPr>
      <t>承兑余额、逾期余额（如有）</t>
    </r>
    <r>
      <rPr>
        <sz val="14"/>
        <rFont val="微软雅黑"/>
        <family val="2"/>
        <charset val="134"/>
      </rPr>
      <t>，是否与商业承兑汇票总账金额一致，如有差异，调查差异原因。</t>
    </r>
    <phoneticPr fontId="34" type="noConversion"/>
  </si>
  <si>
    <r>
      <rPr>
        <sz val="14"/>
        <rFont val="微软雅黑"/>
        <family val="2"/>
        <charset val="134"/>
      </rPr>
      <t>根据明细账（票据台账），选取重大或异常的单张票据，过中国人民银行指定的票据服务机构（如：上海票据交易所），选择</t>
    </r>
    <r>
      <rPr>
        <sz val="14"/>
        <rFont val="Arial"/>
        <family val="2"/>
      </rPr>
      <t>"</t>
    </r>
    <r>
      <rPr>
        <b/>
        <sz val="14"/>
        <color rgb="FFFF0000"/>
        <rFont val="微软雅黑"/>
        <family val="2"/>
        <charset val="134"/>
      </rPr>
      <t>票据承兑信息披露查询</t>
    </r>
    <r>
      <rPr>
        <sz val="14"/>
        <rFont val="微软雅黑"/>
        <family val="2"/>
        <charset val="134"/>
      </rPr>
      <t>（查询字段为：票据（包）号码）</t>
    </r>
    <r>
      <rPr>
        <sz val="14"/>
        <rFont val="Arial"/>
        <family val="2"/>
      </rPr>
      <t>"</t>
    </r>
    <r>
      <rPr>
        <sz val="14"/>
        <rFont val="微软雅黑"/>
        <family val="2"/>
        <charset val="134"/>
      </rPr>
      <t>功能，查询</t>
    </r>
    <r>
      <rPr>
        <b/>
        <sz val="14"/>
        <color rgb="FFFF0000"/>
        <rFont val="微软雅黑"/>
        <family val="2"/>
        <charset val="134"/>
      </rPr>
      <t>票据承兑信息详情</t>
    </r>
    <r>
      <rPr>
        <sz val="14"/>
        <rFont val="微软雅黑"/>
        <family val="2"/>
        <charset val="134"/>
      </rPr>
      <t>，检查其是否与明细账（票据台账）信息一致，如有差异，调查差异原因。</t>
    </r>
    <phoneticPr fontId="34" type="noConversion"/>
  </si>
  <si>
    <r>
      <rPr>
        <b/>
        <sz val="14"/>
        <color rgb="FFFF0000"/>
        <rFont val="微软雅黑"/>
        <family val="2"/>
        <charset val="134"/>
      </rPr>
      <t>表</t>
    </r>
    <r>
      <rPr>
        <b/>
        <sz val="14"/>
        <color rgb="FFFF0000"/>
        <rFont val="Arial"/>
        <family val="2"/>
      </rPr>
      <t>3.1</t>
    </r>
    <r>
      <rPr>
        <b/>
        <sz val="14"/>
        <color rgb="FFFF0000"/>
        <rFont val="微软雅黑"/>
        <family val="2"/>
        <charset val="134"/>
      </rPr>
      <t>及表</t>
    </r>
    <r>
      <rPr>
        <b/>
        <sz val="14"/>
        <color rgb="FFFF0000"/>
        <rFont val="Arial"/>
        <family val="2"/>
      </rPr>
      <t>3.2</t>
    </r>
    <phoneticPr fontId="34" type="noConversion"/>
  </si>
  <si>
    <r>
      <rPr>
        <sz val="14"/>
        <rFont val="微软雅黑"/>
        <family val="2"/>
        <charset val="134"/>
      </rPr>
      <t>根据应付票据</t>
    </r>
    <r>
      <rPr>
        <sz val="14"/>
        <rFont val="Arial"/>
        <family val="2"/>
      </rPr>
      <t>_</t>
    </r>
    <r>
      <rPr>
        <sz val="14"/>
        <rFont val="微软雅黑"/>
        <family val="2"/>
        <charset val="134"/>
      </rPr>
      <t>商业承兑汇票明细表，获取逾期商业承兑汇票的信息，选取样本对逾期商业承兑汇票未支付事项进行调查，查看逾期未支付的商业承兑汇票是否应当转入应付账款</t>
    </r>
    <r>
      <rPr>
        <b/>
        <sz val="14"/>
        <color rgb="FFFF0000"/>
        <rFont val="微软雅黑"/>
        <family val="2"/>
        <charset val="134"/>
      </rPr>
      <t>（如适用）</t>
    </r>
    <r>
      <rPr>
        <sz val="14"/>
        <rFont val="微软雅黑"/>
        <family val="2"/>
        <charset val="134"/>
      </rPr>
      <t>。</t>
    </r>
    <phoneticPr fontId="34" type="noConversion"/>
  </si>
  <si>
    <r>
      <rPr>
        <b/>
        <sz val="10"/>
        <color rgb="FF000000"/>
        <rFont val="Arial"/>
        <family val="2"/>
      </rPr>
      <t xml:space="preserve">差异重新计算
</t>
    </r>
    <r>
      <rPr>
        <b/>
        <sz val="10"/>
        <color rgb="FFFF0000"/>
        <rFont val="Arial"/>
        <family val="2"/>
      </rPr>
      <t>（Note1）</t>
    </r>
  </si>
  <si>
    <r>
      <rPr>
        <b/>
        <sz val="10"/>
        <color rgb="FFFF0000"/>
        <rFont val="微软雅黑"/>
        <family val="2"/>
        <charset val="134"/>
      </rPr>
      <t>表</t>
    </r>
    <r>
      <rPr>
        <b/>
        <sz val="10"/>
        <color rgb="FFFF0000"/>
        <rFont val="Arial"/>
        <family val="2"/>
      </rPr>
      <t>2</t>
    </r>
    <r>
      <rPr>
        <b/>
        <sz val="10"/>
        <color rgb="FF000000"/>
        <rFont val="Arial"/>
        <family val="2"/>
      </rPr>
      <t xml:space="preserve"> </t>
    </r>
    <r>
      <rPr>
        <b/>
        <sz val="10"/>
        <color rgb="FF000000"/>
        <rFont val="微软雅黑"/>
        <family val="2"/>
        <charset val="134"/>
      </rPr>
      <t>将账面余额与票据服务机构披露的票据承兑人信用信息详情核对一致</t>
    </r>
  </si>
  <si>
    <r>
      <rPr>
        <b/>
        <sz val="10"/>
        <color rgb="FF000000"/>
        <rFont val="微软雅黑"/>
        <family val="2"/>
        <charset val="134"/>
      </rPr>
      <t>票据服务机构披露的承兑信息</t>
    </r>
    <phoneticPr fontId="34" type="noConversion"/>
  </si>
  <si>
    <r>
      <rPr>
        <b/>
        <sz val="10"/>
        <rFont val="微软雅黑"/>
        <family val="2"/>
        <charset val="134"/>
      </rPr>
      <t>账面余额</t>
    </r>
  </si>
  <si>
    <r>
      <rPr>
        <b/>
        <sz val="10"/>
        <rFont val="微软雅黑"/>
        <family val="2"/>
        <charset val="134"/>
      </rPr>
      <t>承兑人名称</t>
    </r>
    <phoneticPr fontId="34" type="noConversion"/>
  </si>
  <si>
    <r>
      <rPr>
        <b/>
        <sz val="10"/>
        <rFont val="微软雅黑"/>
        <family val="2"/>
        <charset val="134"/>
      </rPr>
      <t>承兑余额</t>
    </r>
    <phoneticPr fontId="34" type="noConversion"/>
  </si>
  <si>
    <r>
      <rPr>
        <b/>
        <sz val="10"/>
        <rFont val="微软雅黑"/>
        <family val="2"/>
        <charset val="134"/>
      </rPr>
      <t>逾期余额
（</t>
    </r>
    <r>
      <rPr>
        <b/>
        <sz val="10"/>
        <color rgb="FFFF0000"/>
        <rFont val="微软雅黑"/>
        <family val="2"/>
        <charset val="134"/>
      </rPr>
      <t>如有</t>
    </r>
    <r>
      <rPr>
        <b/>
        <sz val="10"/>
        <rFont val="微软雅黑"/>
        <family val="2"/>
        <charset val="134"/>
      </rPr>
      <t>）</t>
    </r>
    <phoneticPr fontId="34" type="noConversion"/>
  </si>
  <si>
    <r>
      <rPr>
        <i/>
        <sz val="10"/>
        <rFont val="微软雅黑"/>
        <family val="2"/>
        <charset val="134"/>
      </rPr>
      <t>对于应付票据</t>
    </r>
    <r>
      <rPr>
        <i/>
        <sz val="10"/>
        <rFont val="Arial"/>
        <family val="2"/>
      </rPr>
      <t>_</t>
    </r>
    <r>
      <rPr>
        <i/>
        <sz val="10"/>
        <rFont val="微软雅黑"/>
        <family val="2"/>
        <charset val="134"/>
      </rPr>
      <t>商业承兑汇票，我们执行以下程序，以确保：</t>
    </r>
  </si>
  <si>
    <r>
      <t>1</t>
    </r>
    <r>
      <rPr>
        <sz val="10"/>
        <rFont val="微软雅黑"/>
        <family val="2"/>
        <charset val="134"/>
      </rPr>
      <t>）检查重大或异常的单张票据是否与中国人民银行指定的票据服务机构（如：上海票据交易所）所披露的票据承兑信息详情一致。</t>
    </r>
    <phoneticPr fontId="34" type="noConversion"/>
  </si>
  <si>
    <r>
      <t>2</t>
    </r>
    <r>
      <rPr>
        <sz val="10"/>
        <rFont val="微软雅黑"/>
        <family val="2"/>
        <charset val="134"/>
      </rPr>
      <t>）根据应付票据</t>
    </r>
    <r>
      <rPr>
        <sz val="10"/>
        <rFont val="Arial"/>
        <family val="2"/>
      </rPr>
      <t>_</t>
    </r>
    <r>
      <rPr>
        <sz val="10"/>
        <rFont val="微软雅黑"/>
        <family val="2"/>
        <charset val="134"/>
      </rPr>
      <t>商业承兑汇票明细表，获取了逾期商业承兑汇票的信息；对逾期商业承兑汇票未支付事项进行了调查，逾期未支付的商业承兑汇票已转入应付账款。</t>
    </r>
    <phoneticPr fontId="34" type="noConversion"/>
  </si>
  <si>
    <r>
      <rPr>
        <b/>
        <sz val="10"/>
        <color rgb="FFFF0000"/>
        <rFont val="微软雅黑"/>
        <family val="2"/>
        <charset val="134"/>
      </rPr>
      <t>表</t>
    </r>
    <r>
      <rPr>
        <b/>
        <sz val="10"/>
        <color rgb="FFFF0000"/>
        <rFont val="Arial"/>
        <family val="2"/>
      </rPr>
      <t xml:space="preserve">3.1 </t>
    </r>
    <r>
      <rPr>
        <b/>
        <sz val="10"/>
        <color rgb="FF000000"/>
        <rFont val="微软雅黑"/>
        <family val="2"/>
        <charset val="134"/>
      </rPr>
      <t>项目组在下面记录选样策略与理由</t>
    </r>
  </si>
  <si>
    <r>
      <rPr>
        <b/>
        <sz val="10"/>
        <color rgb="FFFF0000"/>
        <rFont val="微软雅黑"/>
        <family val="2"/>
        <charset val="134"/>
      </rPr>
      <t>表</t>
    </r>
    <r>
      <rPr>
        <b/>
        <sz val="10"/>
        <color rgb="FFFF0000"/>
        <rFont val="Arial"/>
        <family val="2"/>
      </rPr>
      <t xml:space="preserve">3.2 </t>
    </r>
    <r>
      <rPr>
        <b/>
        <sz val="10"/>
        <color theme="1"/>
        <rFont val="微软雅黑"/>
        <family val="2"/>
        <charset val="134"/>
      </rPr>
      <t>根据</t>
    </r>
    <r>
      <rPr>
        <b/>
        <sz val="10"/>
        <color rgb="FFFF0000"/>
        <rFont val="微软雅黑"/>
        <family val="2"/>
        <charset val="134"/>
      </rPr>
      <t>表</t>
    </r>
    <r>
      <rPr>
        <b/>
        <sz val="10"/>
        <color rgb="FFFF0000"/>
        <rFont val="Arial"/>
        <family val="2"/>
      </rPr>
      <t>3.1</t>
    </r>
    <r>
      <rPr>
        <b/>
        <sz val="10"/>
        <color theme="1"/>
        <rFont val="微软雅黑"/>
        <family val="2"/>
        <charset val="134"/>
      </rPr>
      <t>中的选样策略，选取测试项目并记录测试结论于下表</t>
    </r>
    <phoneticPr fontId="34" type="noConversion"/>
  </si>
  <si>
    <t>EY Works</t>
  </si>
  <si>
    <r>
      <rPr>
        <b/>
        <sz val="10"/>
        <color rgb="FF000000"/>
        <rFont val="Arial"/>
        <family val="2"/>
      </rPr>
      <t>逾期原因</t>
    </r>
    <r>
      <rPr>
        <b/>
        <sz val="10"/>
        <color rgb="FFFF0000"/>
        <rFont val="Arial"/>
        <family val="2"/>
      </rPr>
      <t>（如适用）</t>
    </r>
  </si>
  <si>
    <r>
      <rPr>
        <b/>
        <sz val="10"/>
        <rFont val="微软雅黑"/>
        <family val="2"/>
        <charset val="134"/>
      </rPr>
      <t>约定利率</t>
    </r>
    <phoneticPr fontId="34" type="noConversion"/>
  </si>
  <si>
    <t>M.01&amp;02.01 获取应付票据明细账（台账）</t>
    <phoneticPr fontId="34" type="noConversion"/>
  </si>
  <si>
    <t>返回汇总页</t>
  </si>
  <si>
    <t>39019de7-7877-4430-a150-03b245f0def3</t>
    <phoneticPr fontId="34" type="noConversion"/>
  </si>
  <si>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</si>
  <si>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phoneticPr fontId="34" type="noConversion"/>
  </si>
  <si>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phoneticPr fontId="34" type="noConversion"/>
  </si>
  <si>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phoneticPr fontId="34" type="noConversion"/>
  </si>
  <si>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phoneticPr fontId="34" type="noConversion"/>
  </si>
  <si>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phoneticPr fontId="34" type="noConversion"/>
  </si>
  <si>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phoneticPr fontId="34" type="noConversion"/>
  </si>
  <si>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phoneticPr fontId="34" type="noConversion"/>
  </si>
  <si>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phoneticPr fontId="34" type="noConversion"/>
  </si>
  <si>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phoneticPr fontId="34" type="noConversion"/>
  </si>
  <si>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phoneticPr fontId="34" type="noConversion"/>
  </si>
  <si>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phoneticPr fontId="34" type="noConversion"/>
  </si>
  <si>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phoneticPr fontId="34" type="noConversion"/>
  </si>
  <si>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phoneticPr fontId="34" type="noConversion"/>
  </si>
  <si>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phoneticPr fontId="34" type="noConversion"/>
  </si>
  <si>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phoneticPr fontId="34" type="noConversion"/>
  </si>
  <si>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phoneticPr fontId="34" type="noConversion"/>
  </si>
  <si>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phoneticPr fontId="34" type="noConversion"/>
  </si>
  <si>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phoneticPr fontId="34" type="noConversion"/>
  </si>
  <si>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phoneticPr fontId="34" type="noConversion"/>
  </si>
  <si>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phoneticPr fontId="34" type="noConversion"/>
  </si>
  <si>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phoneticPr fontId="34" type="noConversion"/>
  </si>
  <si>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phoneticPr fontId="34" type="noConversion"/>
  </si>
  <si>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phoneticPr fontId="34" type="noConversion"/>
  </si>
  <si>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phoneticPr fontId="34" type="noConversion"/>
  </si>
  <si>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phoneticPr fontId="34" type="noConversion"/>
  </si>
  <si>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phoneticPr fontId="34" type="noConversion"/>
  </si>
  <si>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phoneticPr fontId="34" type="noConversion"/>
  </si>
  <si>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phoneticPr fontId="34" type="noConversion"/>
  </si>
  <si>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phoneticPr fontId="34" type="noConversion"/>
  </si>
  <si>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phoneticPr fontId="34" type="noConversion"/>
  </si>
  <si>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phoneticPr fontId="34" type="noConversion"/>
  </si>
  <si>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phoneticPr fontId="34" type="noConversion"/>
  </si>
  <si>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phoneticPr fontId="34" type="noConversion"/>
  </si>
  <si>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phoneticPr fontId="34" type="noConversion"/>
  </si>
  <si>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phoneticPr fontId="34" type="noConversion"/>
  </si>
  <si>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phoneticPr fontId="34" type="noConversion"/>
  </si>
  <si>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phoneticPr fontId="34" type="noConversion"/>
  </si>
  <si>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phoneticPr fontId="34" type="noConversion"/>
  </si>
  <si>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phoneticPr fontId="34" type="noConversion"/>
  </si>
  <si>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phoneticPr fontId="34" type="noConversion"/>
  </si>
  <si>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phoneticPr fontId="34" type="noConversion"/>
  </si>
  <si>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phoneticPr fontId="34" type="noConversion"/>
  </si>
  <si>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</si>
  <si>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</si>
  <si>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</si>
  <si>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</si>
  <si>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</si>
  <si>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</si>
  <si>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</si>
  <si>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</si>
  <si>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</si>
  <si>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</si>
  <si>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</si>
  <si>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</si>
  <si>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</si>
  <si>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</si>
  <si>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</si>
  <si>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</si>
  <si>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</si>
  <si>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</si>
  <si>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</si>
  <si>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</si>
  <si>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</si>
  <si>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</si>
  <si>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</si>
  <si>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</si>
  <si>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</si>
  <si>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</si>
  <si>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</si>
  <si>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</si>
  <si>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</si>
  <si>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</si>
  <si>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</si>
  <si>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</si>
  <si>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</si>
  <si>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</si>
  <si>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</si>
  <si>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</si>
  <si>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</si>
  <si>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</si>
  <si>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</si>
  <si>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</si>
  <si>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</si>
  <si>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</si>
  <si>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</si>
  <si>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</si>
  <si>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</si>
  <si>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</si>
  <si>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</si>
  <si>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</si>
  <si>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</si>
  <si>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</si>
  <si>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</si>
  <si>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</si>
  <si>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</si>
  <si>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</si>
  <si>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</si>
  <si>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</si>
  <si>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</si>
  <si>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</si>
  <si>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</si>
  <si>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</si>
  <si>
    <t>0c1d5614-b719-4375-ab0b-c2eb36356630</t>
  </si>
  <si>
    <t>0ed1578d-c3d1-41cb-bf1a-0b8b16fe351b</t>
  </si>
  <si>
    <t>26b6c32d-5456-4a6c-ac24-0404a9fd88c6</t>
  </si>
  <si>
    <t>9d623d85-412f-4078-bd1e-abb140c171a2</t>
  </si>
  <si>
    <t>db74efef-4f05-4c4b-8d14-9ebc7f4e763a</t>
  </si>
  <si>
    <t>689964e5-d5ce-4506-866e-828ad946c4bc</t>
  </si>
  <si>
    <t>4aa8172f-bebf-428a-9d40-18ed13d529d9</t>
  </si>
  <si>
    <t>4959c36f-fd69-4143-8d60-2b90c61f6a4c</t>
  </si>
  <si>
    <t>dd1e28ba-81f1-40db-909c-26609433bb85</t>
  </si>
  <si>
    <t>22571d99-3693-465f-ae30-2f43f1397d18</t>
  </si>
  <si>
    <t>b4884ca6-2039-4441-9b03-287adfed6a07</t>
  </si>
  <si>
    <t>e4619576-8474-4cdc-8fc7-59e483ac3504</t>
  </si>
  <si>
    <t>28b6083d-dc79-4094-a62c-6b73750656e4</t>
  </si>
  <si>
    <t>552c3f0d-69a9-4fa1-9be8-62c927f2e3cf</t>
  </si>
  <si>
    <t>13def8fe-7e41-41fa-b5a7-b6f1b2e2d8fa</t>
  </si>
  <si>
    <t>5f0f71df-1c80-47fe-8049-01a984ad9c1d</t>
  </si>
  <si>
    <t>7afcc3d8-9f45-4912-8a96-e0d2b277a1be</t>
  </si>
  <si>
    <t>a7470e28-4f68-4cf2-bf33-253f6b3c1c98</t>
  </si>
  <si>
    <t>6b56a18e-8d3e-445b-9a0e-09933a1e05eb</t>
  </si>
  <si>
    <t>3b797bc9-8be6-4848-bbf3-33d143c5b8b3</t>
  </si>
  <si>
    <t>6208c3b6-26d8-435e-b99c-682effc18916</t>
  </si>
  <si>
    <t>3ef6b9a5-3833-496b-b845-bf9f5db4d434</t>
  </si>
  <si>
    <t>e8846001-be3a-4aea-a491-d2fbb2122966</t>
  </si>
  <si>
    <t>4ca549cb-037b-430c-aa51-380f5019b27d</t>
  </si>
  <si>
    <t>1dc8af52-c1ea-4ad6-9a98-63057c8c8513</t>
  </si>
  <si>
    <t>fab660f9-dc4b-4b51-a6af-61035481fe90</t>
  </si>
  <si>
    <t>935c7b68-1dc3-4a00-9d70-8395262e79c7</t>
  </si>
  <si>
    <t>dbb84dfd-190c-45bb-902b-9e704d3c642c</t>
  </si>
  <si>
    <t>2fc2848b-3be8-43e9-8add-ebdcba06ecd2</t>
  </si>
  <si>
    <t>d44c6c7e-4db0-4b9b-a7e4-3a23f9247412</t>
  </si>
  <si>
    <t>47bfb457-b125-46be-8857-595632d99c78</t>
  </si>
  <si>
    <t>f3800d40-973a-4cb6-9d51-b904e3691ef8</t>
  </si>
  <si>
    <t>d3143cbb-03ab-41d3-abf9-de54ec05c944</t>
  </si>
  <si>
    <t>56073803-5b18-47e9-b3e0-564a1b3a40bb</t>
  </si>
  <si>
    <t>59c45e66-3b78-4fb6-ace0-bcc8799fa292</t>
  </si>
  <si>
    <t>52f0b29d-081d-4168-93bb-65e2ab693a66</t>
  </si>
  <si>
    <t>cbfb7a14-568a-49f0-9ff5-3a2bb745aca4</t>
  </si>
  <si>
    <t>96a250db-1922-486b-a688-3a5361161662</t>
  </si>
  <si>
    <t>1852ae93-0d62-4256-b665-f0ead08452bb</t>
  </si>
  <si>
    <t>c8e4a9f7-af6f-4f9c-8c12-596f22a27109</t>
  </si>
  <si>
    <t>6ba2f11d-9dd1-48da-ac2d-9bf607f1fff0</t>
  </si>
  <si>
    <t>b6ac9a73-4f34-4b71-9bd7-7adcb676d02c</t>
  </si>
  <si>
    <t>12c5d681-3216-418c-a18b-661c1eb33f88</t>
  </si>
  <si>
    <t>234d2168-9826-4d25-ba37-ed08e1ae0aab</t>
  </si>
  <si>
    <t>ce3b9236-86d6-40b5-8185-57af9fc4da99</t>
  </si>
  <si>
    <t>c5708e83-e8f3-4c06-96cd-69e27a89637f</t>
  </si>
  <si>
    <t>398ea5a8-6c4e-4358-b5d4-a1b87036c8fd</t>
  </si>
  <si>
    <t>4bb7c75a-c80c-4144-8e6c-c754bf51b61f</t>
  </si>
  <si>
    <t>b959fed2-9578-406a-b998-252b17674eda</t>
  </si>
  <si>
    <t>22253777-cde4-4b5b-b981-ab79d68251ec</t>
  </si>
  <si>
    <t>d6c05b82-167e-4305-b9e7-fd7bd6569c7f</t>
  </si>
  <si>
    <t>dfb12828-0b5c-4f25-88f5-086a4fd07901</t>
  </si>
  <si>
    <t>91b18949-d720-42b7-ad75-5b5db8f35567</t>
  </si>
  <si>
    <t>1ca60eba-d2f9-465c-abf4-19096b1464d3</t>
  </si>
  <si>
    <t>5157e35a-c93a-4995-b56d-c99b68f90981</t>
  </si>
  <si>
    <t>464b96a0-8de1-41bc-80c3-11557c7b305a</t>
  </si>
  <si>
    <t>179b73f8-59f8-4a8f-9190-efb2626873db</t>
  </si>
  <si>
    <t>0a78da83-d4dc-4024-94e4-5f2854834912</t>
  </si>
  <si>
    <t>ce39da16-2ab3-40a4-8095-f68c8bd26a2f</t>
  </si>
  <si>
    <t>c74234c6-b84c-424f-9341-04c80799954a</t>
  </si>
  <si>
    <t>b11b7060-e455-4e15-93b4-3ea59fe6ef4c</t>
  </si>
  <si>
    <t>7ab64df1-8648-4d27-bc11-4ec98def67e7</t>
  </si>
  <si>
    <t>eb387db5-811b-4cc5-b5cd-6df3e675c8d8</t>
  </si>
  <si>
    <t>d3ef5377-fe87-4dbc-8b00-7b00cced4b79</t>
  </si>
  <si>
    <t>8cd0b9dd-d09e-46cb-9099-543bd4d79a77</t>
  </si>
  <si>
    <t>f94f06a5-6a73-491c-865a-631536d6729f</t>
  </si>
  <si>
    <t>d80419ce-33eb-433e-b73d-6b70774a566f</t>
  </si>
  <si>
    <t>aa9ecb0d-ec47-4302-8b8d-6a79bc8f1456</t>
  </si>
  <si>
    <t>e54c2393-2c15-4937-bf5b-20252c488fd6</t>
  </si>
  <si>
    <t>ff4fb21f-8e41-4fd4-83c9-e1c4ffc8c99f</t>
  </si>
  <si>
    <t>cccd48d4-51b8-466e-a206-ce9be336f22a</t>
  </si>
  <si>
    <t>6dac5168-7b11-43cf-a281-c691dd1b8b44</t>
  </si>
  <si>
    <t>3f8cafd9-360f-4a34-bf6c-121509c03887</t>
  </si>
  <si>
    <t>2b145555-bd79-47b3-856b-259185c383b0</t>
  </si>
  <si>
    <t>3a7d64c9-f994-4354-b225-7503e738bbb0</t>
  </si>
  <si>
    <t>5683dff8-3224-41af-89a5-5118db40f95f</t>
  </si>
  <si>
    <t>922e077f-92f9-4f4f-93ac-8a5689fc02e7</t>
  </si>
  <si>
    <t>ead358eb-a4c9-4e01-a638-03513e38a2b5</t>
  </si>
  <si>
    <t>bbd0705c-b00c-40ce-9065-119b84dd71be</t>
  </si>
  <si>
    <t>5c30ae2d-6d41-4ff8-a411-5f897ce61216</t>
  </si>
  <si>
    <t>c7c9a683-e94f-40fb-9572-0dd3dc50115d</t>
  </si>
  <si>
    <t>3af9b26d-d651-4ee2-8874-8f2890688466</t>
  </si>
  <si>
    <t>b3fd2119-e7f3-4c28-99f2-486a798d345a</t>
  </si>
  <si>
    <t>0e003c5b-4188-463b-86f8-0690cf0046be</t>
  </si>
  <si>
    <t>a700e625-bc68-41da-ba2a-126ace1f25a8</t>
  </si>
  <si>
    <t>d5361656-61c6-49cb-9b7b-6c0d3a8bb1ad</t>
  </si>
  <si>
    <t>f0a1fe97-7dfa-4c80-9f52-903af60dbd35</t>
  </si>
  <si>
    <t>79325a34-d3dc-45f4-b760-86d0a32c8362</t>
  </si>
  <si>
    <t>11be7677-adc9-4c5f-8af6-c4f076353d07</t>
  </si>
  <si>
    <t>5ce2bc8d-4e61-4904-a2e4-60669a9c156c</t>
  </si>
  <si>
    <t>137b6795-b9f2-4b68-80f3-7799da3b3fbc</t>
  </si>
  <si>
    <t>b6bc37ac-17a4-4f3b-b577-b08a4d7874f4</t>
  </si>
  <si>
    <t>064543f5-e628-449d-9a72-948df8e5c16c</t>
  </si>
  <si>
    <t>e9eb5740-2f29-4575-bf33-be884ab0f3e1</t>
  </si>
  <si>
    <t>aeb4210e-0acc-431e-8a42-51873acaab1b</t>
  </si>
  <si>
    <t>660f2c85-5dff-4617-a357-fc9c4317eadb</t>
  </si>
  <si>
    <t>f0abf5dc-38c8-4060-b2cc-b6c23548f26f</t>
  </si>
  <si>
    <t>7f17953c-2312-4cd3-9d1a-8e68e13ed5a9</t>
  </si>
  <si>
    <t>3da95a15-480f-4fd5-88da-a3c9806ba3e6</t>
  </si>
  <si>
    <t>V6 SWP</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</si>
</sst>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76" formatCode="_(* #,##0_);_(* \(#,##0\);_(* &quot;-&quot;_);_(@_)"/>
    <numFmt numFmtId="177" formatCode="_(* #,##0.00_);_(* \(#,##0.00\);_(* &quot;-&quot;??_);_(@_)"/>
    <numFmt numFmtId="178" formatCode="_(\¥* #,##0.00_);_(\¥* \(#,##0.00\);_(\¥* &quot;-&quot;??_);_(@_)"/>
    <numFmt numFmtId="179" formatCode="#,##0;\(#,##0\);0"/>
    <numFmt numFmtId="180" formatCode="0.0%"/>
    <numFmt numFmtId="181" formatCode="_([$€-2]* #,##0.00000_);_([$€-2]* \(#,##0.00000\);_([$€-2]* &quot;-&quot;??_)"/>
    <numFmt numFmtId="182" formatCode="0_);\(0\)"/>
    <numFmt numFmtId="183" formatCode="#,##0;\(#,##0\);\-#,##0"/>
    <numFmt numFmtId="184" formatCode="_(* #,##0_);_(* \(#,##0\);_(* &quot;-&quot;??_);_(@_)"/>
  </numFmts>
  <fonts count="88">
    <font>
      <sz val="11"/>
      <color theme="1"/>
      <name val="等线"/>
      <charset val="134"/>
      <scheme val="minor"/>
    </font>
    <font>
      <sz val="11"/>
      <color theme="1"/>
      <name val="等线"/>
      <family val="2"/>
      <charset val="134"/>
      <scheme val="minor"/>
    </font>
    <font>
      <sz val="10"/>
      <color rgb="FF000000"/>
      <name val="Arial"/>
      <family val="2"/>
    </font>
    <font>
      <sz val="10"/>
      <name val="Arial"/>
      <family val="2"/>
    </font>
    <font>
      <u/>
      <sz val="10"/>
      <color rgb="FFFF0000"/>
      <name val="Arial"/>
      <family val="2"/>
    </font>
    <font>
      <sz val="10"/>
      <color theme="1"/>
      <name val="Arial"/>
      <family val="2"/>
    </font>
    <font>
      <b/>
      <sz val="10"/>
      <color rgb="FFFF0000"/>
      <name val="Arial"/>
      <family val="2"/>
    </font>
    <font>
      <b/>
      <sz val="10"/>
      <color indexed="10"/>
      <name val="Arial"/>
      <family val="2"/>
    </font>
    <font>
      <b/>
      <sz val="10"/>
      <name val="Arial"/>
      <family val="2"/>
    </font>
    <font>
      <b/>
      <sz val="10"/>
      <color theme="1"/>
      <name val="Arial"/>
      <family val="2"/>
    </font>
    <font>
      <b/>
      <sz val="10"/>
      <color rgb="FF000000"/>
      <name val="Arial"/>
      <family val="2"/>
    </font>
    <font>
      <sz val="10"/>
      <color rgb="FFFF0000"/>
      <name val="Arial"/>
      <family val="2"/>
    </font>
    <font>
      <b/>
      <u/>
      <sz val="10"/>
      <color indexed="10"/>
      <name val="Arial"/>
      <family val="2"/>
    </font>
    <font>
      <u/>
      <sz val="10"/>
      <color theme="10"/>
      <name val="Arial"/>
      <family val="2"/>
    </font>
    <font>
      <b/>
      <sz val="10"/>
      <color rgb="FF0000FF"/>
      <name val="Arial"/>
      <family val="2"/>
    </font>
    <font>
      <u/>
      <sz val="11"/>
      <color theme="10"/>
      <name val="等线"/>
      <family val="3"/>
      <charset val="134"/>
      <scheme val="minor"/>
    </font>
    <font>
      <sz val="12"/>
      <name val="宋体"/>
      <family val="3"/>
      <charset val="134"/>
    </font>
    <font>
      <b/>
      <sz val="11"/>
      <color theme="0"/>
      <name val="等线"/>
      <family val="3"/>
      <charset val="134"/>
      <scheme val="minor"/>
    </font>
    <font>
      <sz val="11"/>
      <color rgb="FF000000"/>
      <name val="Calibri"/>
      <family val="2"/>
    </font>
    <font>
      <sz val="11"/>
      <color rgb="FF006100"/>
      <name val="等线"/>
      <family val="3"/>
      <charset val="134"/>
      <scheme val="minor"/>
    </font>
    <font>
      <sz val="8"/>
      <name val="EYInterstate Light"/>
    </font>
    <font>
      <sz val="10"/>
      <name val="宋体"/>
      <family val="3"/>
      <charset val="134"/>
    </font>
    <font>
      <strike/>
      <sz val="10"/>
      <name val="Arial"/>
      <family val="2"/>
    </font>
    <font>
      <sz val="10"/>
      <name val="等线"/>
      <family val="3"/>
      <charset val="134"/>
      <scheme val="minor"/>
    </font>
    <font>
      <sz val="11"/>
      <color indexed="8"/>
      <name val="Calibri"/>
      <family val="2"/>
    </font>
    <font>
      <sz val="12"/>
      <name val="楷体"/>
      <family val="3"/>
      <charset val="134"/>
    </font>
    <font>
      <u/>
      <sz val="10"/>
      <color rgb="FFFF0000"/>
      <name val="微软雅黑"/>
      <family val="2"/>
      <charset val="134"/>
    </font>
    <font>
      <sz val="10"/>
      <color rgb="FF000000"/>
      <name val="微软雅黑"/>
      <family val="2"/>
      <charset val="134"/>
    </font>
    <font>
      <sz val="10"/>
      <color theme="1"/>
      <name val="微软雅黑"/>
      <family val="2"/>
      <charset val="134"/>
    </font>
    <font>
      <sz val="10"/>
      <name val="微软雅黑"/>
      <family val="2"/>
      <charset val="134"/>
    </font>
    <font>
      <b/>
      <sz val="10"/>
      <color rgb="FFFF0000"/>
      <name val="微软雅黑"/>
      <family val="2"/>
      <charset val="134"/>
    </font>
    <font>
      <b/>
      <sz val="10"/>
      <name val="微软雅黑"/>
      <family val="2"/>
      <charset val="134"/>
    </font>
    <font>
      <b/>
      <sz val="10"/>
      <color rgb="FF000000"/>
      <name val="微软雅黑"/>
      <family val="2"/>
      <charset val="134"/>
    </font>
    <font>
      <sz val="11"/>
      <color theme="1"/>
      <name val="等线"/>
      <family val="3"/>
      <charset val="134"/>
      <scheme val="minor"/>
    </font>
    <font>
      <sz val="9"/>
      <name val="等线"/>
      <family val="3"/>
      <charset val="134"/>
      <scheme val="minor"/>
    </font>
    <font>
      <sz val="11"/>
      <color theme="1"/>
      <name val="等线"/>
      <family val="2"/>
      <charset val="134"/>
      <scheme val="minor"/>
    </font>
    <font>
      <b/>
      <sz val="14"/>
      <color rgb="FFFF0000"/>
      <name val="微软雅黑"/>
      <family val="2"/>
      <charset val="134"/>
    </font>
    <font>
      <b/>
      <sz val="14"/>
      <color rgb="FFFF0000"/>
      <name val="Arial"/>
      <family val="2"/>
    </font>
    <font>
      <u/>
      <sz val="10"/>
      <color indexed="12"/>
      <name val="宋体"/>
      <family val="3"/>
      <charset val="134"/>
    </font>
    <font>
      <sz val="9"/>
      <name val="等线"/>
      <family val="2"/>
      <charset val="134"/>
      <scheme val="minor"/>
    </font>
    <font>
      <sz val="10"/>
      <color theme="4" tint="-0.249977111117893"/>
      <name val="Arial"/>
      <family val="2"/>
    </font>
    <font>
      <b/>
      <sz val="14"/>
      <color theme="1"/>
      <name val="Arial"/>
      <family val="2"/>
    </font>
    <font>
      <b/>
      <sz val="14"/>
      <color theme="1"/>
      <name val="微软雅黑"/>
      <family val="2"/>
      <charset val="134"/>
    </font>
    <font>
      <b/>
      <sz val="14"/>
      <name val="Arial"/>
      <family val="2"/>
    </font>
    <font>
      <b/>
      <sz val="14"/>
      <name val="微软雅黑"/>
      <family val="2"/>
      <charset val="134"/>
    </font>
    <font>
      <b/>
      <u/>
      <sz val="14"/>
      <name val="微软雅黑"/>
      <family val="2"/>
      <charset val="134"/>
    </font>
    <font>
      <sz val="14"/>
      <color theme="1"/>
      <name val="微软雅黑"/>
      <family val="2"/>
      <charset val="134"/>
    </font>
    <font>
      <b/>
      <u/>
      <sz val="14"/>
      <name val="Arial"/>
      <family val="2"/>
    </font>
    <font>
      <sz val="14"/>
      <color theme="1"/>
      <name val="Arial"/>
      <family val="2"/>
    </font>
    <font>
      <sz val="14"/>
      <name val="Arial"/>
      <family val="2"/>
    </font>
    <font>
      <i/>
      <sz val="10"/>
      <name val="微软雅黑"/>
      <family val="2"/>
      <charset val="134"/>
    </font>
    <font>
      <b/>
      <u/>
      <sz val="14"/>
      <color indexed="8"/>
      <name val="微软雅黑"/>
      <family val="2"/>
      <charset val="134"/>
    </font>
    <font>
      <b/>
      <u/>
      <sz val="14"/>
      <color indexed="8"/>
      <name val="Arial"/>
      <family val="2"/>
    </font>
    <font>
      <sz val="14"/>
      <color rgb="FF000000"/>
      <name val="Arial"/>
      <family val="2"/>
    </font>
    <font>
      <sz val="14"/>
      <color rgb="FF000000"/>
      <name val="微软雅黑"/>
      <family val="2"/>
      <charset val="134"/>
    </font>
    <font>
      <sz val="10"/>
      <color theme="0"/>
      <name val="Arial"/>
      <family val="2"/>
    </font>
    <font>
      <sz val="10"/>
      <color theme="0"/>
      <name val="微软雅黑"/>
      <family val="2"/>
      <charset val="134"/>
    </font>
    <font>
      <b/>
      <sz val="10"/>
      <color rgb="FFFFFFFF"/>
      <name val="Arial"/>
      <family val="2"/>
    </font>
    <font>
      <sz val="14"/>
      <name val="微软雅黑"/>
      <family val="2"/>
      <charset val="134"/>
    </font>
    <font>
      <sz val="11"/>
      <color theme="1"/>
      <name val="Arial"/>
      <family val="2"/>
    </font>
    <font>
      <i/>
      <sz val="10"/>
      <name val="Arial"/>
      <family val="2"/>
    </font>
    <font>
      <b/>
      <sz val="10"/>
      <color theme="1"/>
      <name val="微软雅黑"/>
      <family val="2"/>
      <charset val="134"/>
    </font>
    <font>
      <sz val="11"/>
      <color theme="1"/>
      <name val="等线"/>
      <family val="2"/>
      <scheme val="minor"/>
    </font>
    <font>
      <sz val="8"/>
      <name val="等线"/>
      <family val="2"/>
      <scheme val="minor"/>
    </font>
    <font>
      <b/>
      <strike/>
      <sz val="10"/>
      <color rgb="FF0000FF"/>
      <name val="Arial"/>
      <family val="2"/>
    </font>
    <font>
      <b/>
      <u/>
      <sz val="10"/>
      <color rgb="FFFF0000"/>
      <name val="Arial"/>
      <family val="2"/>
    </font>
    <font>
      <sz val="10"/>
      <name val="微软雅黑"/>
      <family val="2"/>
    </font>
    <font>
      <b/>
      <i/>
      <sz val="10"/>
      <color rgb="FFFF0000"/>
      <name val="Arial"/>
      <family val="2"/>
    </font>
    <font>
      <b/>
      <sz val="10"/>
      <color rgb="FFFFFFFF"/>
      <name val="微软雅黑"/>
      <family val="2"/>
      <charset val="134"/>
    </font>
    <font>
      <b/>
      <i/>
      <sz val="10"/>
      <color rgb="FFFF0000"/>
      <name val="微软雅黑"/>
      <family val="2"/>
      <charset val="134"/>
    </font>
    <font>
      <b/>
      <i/>
      <sz val="10"/>
      <name val="微软雅黑"/>
      <family val="2"/>
      <charset val="134"/>
    </font>
    <font>
      <sz val="10"/>
      <color indexed="10"/>
      <name val="Arial"/>
      <family val="2"/>
    </font>
    <font>
      <b/>
      <sz val="11"/>
      <color theme="1"/>
      <name val="Arial"/>
      <family val="2"/>
    </font>
    <font>
      <b/>
      <sz val="10"/>
      <color indexed="8"/>
      <name val="Arial"/>
      <family val="2"/>
    </font>
    <font>
      <sz val="10"/>
      <color rgb="FFFFFFFF"/>
      <name val="微软雅黑"/>
      <family val="2"/>
      <charset val="134"/>
    </font>
    <font>
      <b/>
      <i/>
      <sz val="10"/>
      <color rgb="FFFFFFFF"/>
      <name val="微软雅黑"/>
      <family val="2"/>
      <charset val="134"/>
    </font>
    <font>
      <b/>
      <i/>
      <sz val="10"/>
      <color rgb="FF000000"/>
      <name val="微软雅黑"/>
      <family val="2"/>
      <charset val="134"/>
    </font>
    <font>
      <b/>
      <sz val="10"/>
      <color indexed="8"/>
      <name val="微软雅黑"/>
      <family val="2"/>
      <charset val="134"/>
    </font>
    <font>
      <b/>
      <vertAlign val="superscript"/>
      <sz val="10"/>
      <color rgb="FFFF0000"/>
      <name val="Arial"/>
      <family val="2"/>
    </font>
    <font>
      <b/>
      <i/>
      <sz val="9"/>
      <color rgb="FFFF0000"/>
      <name val="Arial"/>
      <family val="2"/>
    </font>
    <font>
      <b/>
      <i/>
      <sz val="9"/>
      <color rgb="FFFF0000"/>
      <name val="微软雅黑"/>
      <family val="2"/>
      <charset val="134"/>
    </font>
    <font>
      <b/>
      <u/>
      <sz val="10"/>
      <color theme="10"/>
      <name val="Arial"/>
      <family val="2"/>
      <charset val="134"/>
    </font>
    <font>
      <b/>
      <u/>
      <sz val="10"/>
      <color theme="10"/>
      <name val="微软雅黑"/>
      <family val="2"/>
      <charset val="134"/>
    </font>
    <font>
      <b/>
      <u/>
      <sz val="10"/>
      <color theme="10"/>
      <name val="Arial"/>
      <family val="2"/>
    </font>
    <font>
      <sz val="10"/>
      <color rgb="FF000000"/>
      <name val="等线"/>
      <family val="2"/>
      <charset val="134"/>
    </font>
    <font>
      <b/>
      <sz val="10"/>
      <color rgb="FF000000"/>
      <name val="微软雅黑"/>
      <family val="2"/>
    </font>
    <font>
      <b/>
      <sz val="10"/>
      <color rgb="FFFF0000"/>
      <name val="微软雅黑"/>
      <family val="2"/>
    </font>
    <font>
      <b/>
      <sz val="16"/>
      <color rgb="FFFF0000"/>
      <name val="Arial"/>
      <family val="2"/>
    </font>
  </fonts>
  <fills count="15">
    <fill>
      <patternFill patternType="none"/>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79"/>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2"/>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4.9989318521683403E-2"/>
        <bgColor indexed="64"/>
      </patternFill>
    </fill>
    <fill>
      <patternFill patternType="solid">
        <fgColor theme="0" tint="-0.34998626667073579"/>
        <bgColor rgb="FF000000"/>
      </patternFill>
    </fill>
    <fill>
      <patternFill patternType="solid">
        <fgColor rgb="FF333399"/>
        <bgColor rgb="FF000000"/>
      </patternFill>
    </fill>
  </fills>
  <borders count="106">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s>
  <cellStyleXfs count="177">
    <xf numFmtId="0" fontId="0" fillId="0" borderId="0">
      <alignment vertical="center"/>
    </xf>
    <xf numFmtId="178" fontId="33" fillId="0" borderId="0" applyFont="0" applyFill="0" applyBorder="0" applyProtection="0"/>
    <xf numFmtId="0" fontId="33" fillId="0" borderId="0"/>
    <xf numFmtId="177" fontId="33" fillId="0" borderId="0" applyFont="0" applyFill="0" applyBorder="0" applyProtection="0"/>
    <xf numFmtId="0" fontId="15" fillId="0" borderId="0" applyNumberFormat="0" applyFill="0" applyBorder="0" applyProtection="0"/>
    <xf numFmtId="176" fontId="16" fillId="0" borderId="0" applyFont="0" applyFill="0" applyBorder="0" applyAlignment="0" applyProtection="0"/>
    <xf numFmtId="0" fontId="17" fillId="6" borderId="31" applyNumberFormat="0" applyAlignment="0" applyProtection="0"/>
    <xf numFmtId="9"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0" fontId="33" fillId="0" borderId="0"/>
    <xf numFmtId="0" fontId="33" fillId="0" borderId="0"/>
    <xf numFmtId="176" fontId="16"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4" fontId="33" fillId="0" borderId="18">
      <alignment horizontal="right"/>
    </xf>
    <xf numFmtId="0" fontId="33" fillId="0" borderId="0"/>
    <xf numFmtId="0" fontId="17" fillId="6" borderId="31" applyNumberFormat="0" applyAlignment="0" applyProtection="0"/>
    <xf numFmtId="177" fontId="33" fillId="0" borderId="0" applyFont="0" applyFill="0" applyBorder="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0" fontId="33" fillId="0" borderId="0"/>
    <xf numFmtId="177" fontId="33" fillId="0" borderId="0" applyFont="0" applyFill="0" applyBorder="0" applyProtection="0"/>
    <xf numFmtId="177" fontId="33" fillId="0" borderId="0" applyFont="0" applyAlignment="0" applyProtection="0"/>
    <xf numFmtId="176" fontId="33" fillId="0" borderId="0" applyFont="0" applyFill="0" applyBorder="0" applyAlignment="0" applyProtection="0"/>
    <xf numFmtId="177" fontId="33" fillId="0" borderId="0" applyFont="0" applyFill="0" applyBorder="0" applyProtection="0"/>
    <xf numFmtId="176" fontId="33" fillId="0" borderId="0" applyFont="0" applyFill="0" applyBorder="0" applyAlignment="0" applyProtection="0"/>
    <xf numFmtId="177" fontId="3" fillId="0" borderId="0" applyFont="0" applyFill="0" applyBorder="0" applyAlignment="0" applyProtection="0"/>
    <xf numFmtId="177" fontId="18" fillId="0" borderId="0" applyAlignment="0"/>
    <xf numFmtId="177" fontId="33" fillId="0" borderId="0" applyFont="0" applyFill="0" applyBorder="0" applyAlignment="0" applyProtection="0"/>
    <xf numFmtId="177" fontId="33" fillId="0" borderId="0" applyFont="0" applyFill="0" applyBorder="0" applyAlignment="0" applyProtection="0"/>
    <xf numFmtId="177" fontId="16" fillId="0" borderId="0" applyFont="0" applyFill="0" applyBorder="0" applyAlignment="0" applyProtection="0"/>
    <xf numFmtId="0" fontId="33" fillId="0" borderId="18" applyAlignment="0"/>
    <xf numFmtId="0" fontId="33" fillId="0" borderId="18" applyAlignment="0"/>
    <xf numFmtId="0" fontId="19" fillId="7" borderId="0" applyNumberFormat="0" applyBorder="0" applyAlignment="0" applyProtection="0"/>
    <xf numFmtId="0" fontId="19" fillId="7" borderId="0" applyNumberFormat="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3" fillId="0" borderId="0" applyAlignment="0"/>
    <xf numFmtId="0" fontId="3" fillId="0" borderId="0"/>
    <xf numFmtId="0" fontId="33" fillId="0" borderId="0"/>
    <xf numFmtId="0" fontId="33" fillId="0" borderId="0"/>
    <xf numFmtId="0" fontId="33" fillId="0" borderId="0"/>
    <xf numFmtId="0" fontId="33" fillId="0" borderId="0" applyAlignment="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protection locked="0"/>
    </xf>
    <xf numFmtId="0" fontId="33" fillId="0" borderId="0">
      <protection locked="0"/>
    </xf>
    <xf numFmtId="0" fontId="33" fillId="0" borderId="0"/>
    <xf numFmtId="0" fontId="33" fillId="0" borderId="0"/>
    <xf numFmtId="0" fontId="3" fillId="0" borderId="0"/>
    <xf numFmtId="0" fontId="20" fillId="0" borderId="0">
      <alignment vertical="center"/>
    </xf>
    <xf numFmtId="0" fontId="20" fillId="0" borderId="0">
      <alignment vertical="center"/>
    </xf>
    <xf numFmtId="0" fontId="20" fillId="0" borderId="0">
      <alignment vertical="center"/>
    </xf>
    <xf numFmtId="0" fontId="18" fillId="0" borderId="0" applyAlignment="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Alignment="0"/>
    <xf numFmtId="0" fontId="33" fillId="0" borderId="0" applyAlignment="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lignment vertical="center"/>
    </xf>
    <xf numFmtId="9" fontId="16" fillId="0" borderId="0" applyFont="0" applyFill="0" applyBorder="0" applyAlignment="0" applyProtection="0"/>
    <xf numFmtId="0" fontId="22" fillId="0" borderId="0"/>
    <xf numFmtId="180" fontId="33" fillId="0" borderId="0" applyFont="0" applyFill="0" applyBorder="0" applyAlignment="0" applyProtection="0"/>
    <xf numFmtId="180"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Protection="0"/>
    <xf numFmtId="9" fontId="3" fillId="0" borderId="0" applyFont="0" applyFill="0" applyBorder="0" applyAlignment="0" applyProtection="0"/>
    <xf numFmtId="9" fontId="33" fillId="0" borderId="0" applyFont="0" applyFill="0" applyBorder="0" applyProtection="0"/>
    <xf numFmtId="9" fontId="33" fillId="0" borderId="0" applyFont="0" applyFill="0" applyBorder="0" applyProtection="0"/>
    <xf numFmtId="181" fontId="21" fillId="0" borderId="0"/>
    <xf numFmtId="181" fontId="23" fillId="0" borderId="0"/>
    <xf numFmtId="181" fontId="23" fillId="0" borderId="0"/>
    <xf numFmtId="0" fontId="3" fillId="0" borderId="0">
      <protection locked="0"/>
    </xf>
    <xf numFmtId="0" fontId="24" fillId="0" borderId="0">
      <protection locked="0"/>
    </xf>
    <xf numFmtId="0" fontId="33" fillId="0" borderId="0"/>
    <xf numFmtId="0" fontId="24" fillId="0" borderId="0">
      <protection locked="0"/>
    </xf>
    <xf numFmtId="0" fontId="24" fillId="0" borderId="0">
      <protection locked="0"/>
    </xf>
    <xf numFmtId="0" fontId="16" fillId="0" borderId="0"/>
    <xf numFmtId="0" fontId="24" fillId="0" borderId="0">
      <protection locked="0"/>
    </xf>
    <xf numFmtId="0" fontId="3" fillId="0" borderId="0">
      <protection locked="0"/>
    </xf>
    <xf numFmtId="0" fontId="21" fillId="0" borderId="0"/>
    <xf numFmtId="0" fontId="33" fillId="0" borderId="0"/>
    <xf numFmtId="0" fontId="33" fillId="0" borderId="0"/>
    <xf numFmtId="0" fontId="15" fillId="0" borderId="0" applyNumberFormat="0" applyFill="0" applyBorder="0" applyProtection="0"/>
    <xf numFmtId="0" fontId="25" fillId="0" borderId="0"/>
    <xf numFmtId="177" fontId="3" fillId="0" borderId="0" applyFont="0" applyFill="0" applyBorder="0" applyAlignment="0" applyProtection="0"/>
    <xf numFmtId="177" fontId="3" fillId="0" borderId="0" applyFont="0" applyFill="0" applyBorder="0" applyAlignment="0" applyProtection="0"/>
    <xf numFmtId="177" fontId="24" fillId="0" borderId="0" applyFont="0" applyAlignment="0" applyProtection="0"/>
    <xf numFmtId="177" fontId="33" fillId="0" borderId="0" applyFont="0" applyFill="0" applyBorder="0" applyProtection="0"/>
    <xf numFmtId="177" fontId="33" fillId="0" borderId="0" applyFont="0" applyFill="0" applyBorder="0" applyProtection="0"/>
    <xf numFmtId="177" fontId="16" fillId="0" borderId="0" applyFont="0" applyFill="0" applyBorder="0" applyAlignment="0" applyProtection="0"/>
    <xf numFmtId="177" fontId="33" fillId="0" borderId="0" applyFont="0" applyFill="0" applyBorder="0" applyProtection="0"/>
    <xf numFmtId="177" fontId="35" fillId="0" borderId="0" applyFont="0" applyFill="0" applyBorder="0" applyAlignment="0" applyProtection="0"/>
    <xf numFmtId="0" fontId="21" fillId="0" borderId="0"/>
    <xf numFmtId="0" fontId="21" fillId="0" borderId="0"/>
    <xf numFmtId="0" fontId="35" fillId="0" borderId="0">
      <alignment vertical="center"/>
    </xf>
    <xf numFmtId="0" fontId="38" fillId="0" borderId="0" applyNumberFormat="0" applyFill="0" applyBorder="0">
      <protection locked="0"/>
    </xf>
    <xf numFmtId="0" fontId="35" fillId="0" borderId="0">
      <alignment vertical="center"/>
    </xf>
    <xf numFmtId="177" fontId="33" fillId="0" borderId="0" applyFont="0" applyFill="0" applyBorder="0" applyProtection="0"/>
    <xf numFmtId="176" fontId="16"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6" fontId="16" fillId="0" borderId="0" applyFont="0" applyFill="0" applyBorder="0" applyAlignment="0" applyProtection="0"/>
    <xf numFmtId="177" fontId="33" fillId="0" borderId="0" applyFont="0" applyFill="0" applyBorder="0" applyProtection="0"/>
    <xf numFmtId="176" fontId="33" fillId="0" borderId="0" applyFont="0" applyFill="0" applyBorder="0" applyAlignment="0" applyProtection="0"/>
    <xf numFmtId="176" fontId="33" fillId="0" borderId="0" applyFont="0" applyFill="0" applyBorder="0" applyAlignment="0" applyProtection="0"/>
    <xf numFmtId="176" fontId="33" fillId="0" borderId="0" applyFont="0" applyFill="0" applyBorder="0" applyAlignment="0" applyProtection="0"/>
    <xf numFmtId="177" fontId="33" fillId="0" borderId="0" applyFont="0" applyFill="0" applyBorder="0" applyProtection="0"/>
    <xf numFmtId="177" fontId="33" fillId="0" borderId="0" applyFont="0" applyAlignment="0" applyProtection="0"/>
    <xf numFmtId="176" fontId="33" fillId="0" borderId="0" applyFont="0" applyFill="0" applyBorder="0" applyAlignment="0" applyProtection="0"/>
    <xf numFmtId="177" fontId="33" fillId="0" borderId="0" applyFont="0" applyFill="0" applyBorder="0" applyProtection="0"/>
    <xf numFmtId="176" fontId="33" fillId="0" borderId="0" applyFont="0" applyFill="0" applyBorder="0" applyAlignment="0" applyProtection="0"/>
    <xf numFmtId="177" fontId="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16" fillId="0" borderId="0" applyFont="0" applyFill="0" applyBorder="0" applyAlignment="0" applyProtection="0"/>
    <xf numFmtId="177" fontId="3" fillId="0" borderId="0" applyFont="0" applyFill="0" applyBorder="0" applyAlignment="0" applyProtection="0"/>
    <xf numFmtId="177" fontId="3" fillId="0" borderId="0" applyFont="0" applyFill="0" applyBorder="0" applyAlignment="0" applyProtection="0"/>
    <xf numFmtId="177" fontId="24" fillId="0" borderId="0" applyFont="0" applyAlignment="0" applyProtection="0"/>
    <xf numFmtId="177" fontId="33" fillId="0" borderId="0" applyFont="0" applyFill="0" applyBorder="0" applyProtection="0"/>
    <xf numFmtId="177" fontId="33" fillId="0" borderId="0" applyFont="0" applyFill="0" applyBorder="0" applyProtection="0"/>
    <xf numFmtId="177" fontId="16" fillId="0" borderId="0" applyFont="0" applyFill="0" applyBorder="0" applyAlignment="0" applyProtection="0"/>
    <xf numFmtId="177" fontId="33" fillId="0" borderId="0" applyFont="0" applyFill="0" applyBorder="0" applyProtection="0"/>
    <xf numFmtId="177" fontId="35" fillId="0" borderId="0" applyFont="0" applyFill="0" applyBorder="0" applyAlignment="0" applyProtection="0"/>
    <xf numFmtId="0" fontId="33" fillId="0" borderId="0">
      <alignment vertical="center"/>
    </xf>
    <xf numFmtId="0" fontId="33" fillId="0" borderId="0">
      <alignment vertical="center"/>
    </xf>
    <xf numFmtId="0" fontId="33" fillId="0" borderId="0">
      <alignment vertical="center"/>
    </xf>
    <xf numFmtId="0" fontId="33" fillId="0" borderId="0"/>
    <xf numFmtId="0" fontId="33" fillId="0" borderId="0"/>
    <xf numFmtId="0" fontId="35" fillId="0" borderId="0"/>
    <xf numFmtId="0" fontId="33" fillId="0" borderId="0"/>
    <xf numFmtId="0" fontId="33" fillId="0" borderId="0">
      <alignment vertical="center"/>
    </xf>
    <xf numFmtId="0" fontId="35" fillId="0" borderId="0">
      <alignment vertical="center"/>
    </xf>
    <xf numFmtId="0" fontId="33" fillId="0" borderId="0"/>
    <xf numFmtId="0" fontId="33" fillId="0" borderId="0">
      <alignment vertical="center"/>
    </xf>
    <xf numFmtId="0" fontId="20" fillId="0" borderId="0">
      <alignment vertical="center"/>
    </xf>
    <xf numFmtId="0" fontId="35" fillId="0" borderId="0">
      <alignment vertical="center"/>
    </xf>
    <xf numFmtId="0" fontId="3" fillId="0" borderId="0"/>
    <xf numFmtId="0" fontId="20" fillId="0" borderId="0">
      <alignment vertical="center"/>
    </xf>
    <xf numFmtId="0" fontId="15" fillId="0" borderId="0" applyNumberFormat="0" applyFill="0" applyBorder="0" applyProtection="0"/>
    <xf numFmtId="0" fontId="33" fillId="0" borderId="0">
      <alignment vertical="center"/>
    </xf>
    <xf numFmtId="9" fontId="33" fillId="0" borderId="0" applyFont="0" applyFill="0" applyBorder="0" applyAlignment="0" applyProtection="0"/>
    <xf numFmtId="0" fontId="33" fillId="0" borderId="0">
      <alignment vertical="center"/>
    </xf>
    <xf numFmtId="0" fontId="33" fillId="0" borderId="0"/>
    <xf numFmtId="0" fontId="62" fillId="0" borderId="0"/>
    <xf numFmtId="0" fontId="62" fillId="0" borderId="0"/>
    <xf numFmtId="0" fontId="1" fillId="0" borderId="0"/>
    <xf numFmtId="43" fontId="62" fillId="0" borderId="0" applyFont="0" applyFill="0" applyBorder="0" applyAlignment="0" applyProtection="0"/>
    <xf numFmtId="0" fontId="59" fillId="0" borderId="0"/>
    <xf numFmtId="0" fontId="1" fillId="0" borderId="0">
      <alignment vertical="center"/>
    </xf>
    <xf numFmtId="0" fontId="1" fillId="0" borderId="0">
      <alignment vertical="center"/>
    </xf>
    <xf numFmtId="0" fontId="62" fillId="0" borderId="0"/>
  </cellStyleXfs>
  <cellXfs count="623">
    <xf numFmtId="0" fontId="0" fillId="0" borderId="0" xfId="0">
      <alignment vertical="center"/>
    </xf>
    <xf numFmtId="49" fontId="0" fillId="0" borderId="0" xfId="0" applyNumberFormat="1">
      <alignment vertical="center"/>
    </xf>
    <xf numFmtId="177" fontId="5" fillId="0" borderId="0" xfId="35" applyFont="1" applyFill="1" applyBorder="1" applyAlignment="1" applyProtection="1">
      <alignment horizontal="right" vertical="center" shrinkToFit="1"/>
    </xf>
    <xf numFmtId="0" fontId="5" fillId="0" borderId="0" xfId="0" applyFont="1">
      <alignment vertical="center"/>
    </xf>
    <xf numFmtId="0" fontId="5" fillId="0" borderId="0" xfId="0" applyFont="1" applyAlignment="1">
      <alignment vertical="center" wrapText="1"/>
    </xf>
    <xf numFmtId="0" fontId="6" fillId="0" borderId="0" xfId="0" applyFont="1" applyAlignment="1">
      <alignment horizontal="left" vertical="center"/>
    </xf>
    <xf numFmtId="0" fontId="13" fillId="0" borderId="0" xfId="4" applyFont="1" applyAlignment="1" applyProtection="1">
      <alignment horizontal="center" vertical="center"/>
    </xf>
    <xf numFmtId="0" fontId="2" fillId="0" borderId="0" xfId="0" applyFont="1" applyAlignment="1">
      <alignment horizontal="left" vertical="center"/>
    </xf>
    <xf numFmtId="0" fontId="6" fillId="0" borderId="0" xfId="0" applyFont="1">
      <alignment vertical="center"/>
    </xf>
    <xf numFmtId="0" fontId="5" fillId="3" borderId="9" xfId="0" applyFont="1" applyFill="1" applyBorder="1">
      <alignment vertical="center"/>
    </xf>
    <xf numFmtId="0" fontId="5" fillId="3" borderId="10" xfId="0" applyFont="1" applyFill="1" applyBorder="1">
      <alignment vertical="center"/>
    </xf>
    <xf numFmtId="0" fontId="5" fillId="3" borderId="10" xfId="0" applyFont="1" applyFill="1" applyBorder="1" applyAlignment="1">
      <alignment vertical="center" wrapText="1"/>
    </xf>
    <xf numFmtId="0" fontId="5" fillId="3" borderId="11" xfId="0" applyFont="1" applyFill="1" applyBorder="1">
      <alignment vertical="center"/>
    </xf>
    <xf numFmtId="0" fontId="5" fillId="0" borderId="0" xfId="0" applyFont="1" applyAlignment="1"/>
    <xf numFmtId="0" fontId="13" fillId="0" borderId="0" xfId="4" applyFont="1" applyProtection="1"/>
    <xf numFmtId="0" fontId="5" fillId="2" borderId="5" xfId="0" applyFont="1" applyFill="1" applyBorder="1" applyAlignment="1">
      <alignment horizontal="left" vertical="center"/>
    </xf>
    <xf numFmtId="49" fontId="5" fillId="4" borderId="0" xfId="0" applyNumberFormat="1" applyFont="1" applyFill="1" applyAlignment="1">
      <alignment horizontal="center" vertical="center" shrinkToFit="1"/>
    </xf>
    <xf numFmtId="0" fontId="5" fillId="3" borderId="0" xfId="0" applyFont="1" applyFill="1" applyAlignment="1">
      <alignment vertical="center" wrapText="1"/>
    </xf>
    <xf numFmtId="0" fontId="5" fillId="2" borderId="0" xfId="0" applyFont="1" applyFill="1" applyAlignment="1">
      <alignment horizontal="left" vertical="center"/>
    </xf>
    <xf numFmtId="177" fontId="5" fillId="2" borderId="7" xfId="0" applyNumberFormat="1" applyFont="1" applyFill="1" applyBorder="1" applyAlignment="1">
      <alignment horizontal="right" vertical="center" shrinkToFit="1"/>
    </xf>
    <xf numFmtId="0" fontId="5" fillId="3" borderId="5" xfId="0" applyFont="1" applyFill="1" applyBorder="1">
      <alignment vertical="center"/>
    </xf>
    <xf numFmtId="0" fontId="5" fillId="3" borderId="0" xfId="0" applyFont="1" applyFill="1">
      <alignment vertical="center"/>
    </xf>
    <xf numFmtId="0" fontId="5" fillId="3" borderId="0" xfId="0" applyFont="1" applyFill="1" applyAlignment="1">
      <alignment horizontal="left" vertical="center"/>
    </xf>
    <xf numFmtId="177" fontId="5" fillId="3" borderId="7" xfId="0" applyNumberFormat="1" applyFont="1" applyFill="1" applyBorder="1" applyAlignment="1">
      <alignment horizontal="right" vertical="center" shrinkToFit="1"/>
    </xf>
    <xf numFmtId="14" fontId="5" fillId="4" borderId="0" xfId="0" applyNumberFormat="1" applyFont="1" applyFill="1" applyAlignment="1">
      <alignment horizontal="center" vertical="center" shrinkToFit="1"/>
    </xf>
    <xf numFmtId="0" fontId="11" fillId="0" borderId="0" xfId="0" applyFont="1" applyAlignment="1">
      <alignment vertical="top"/>
    </xf>
    <xf numFmtId="0" fontId="2" fillId="0" borderId="0" xfId="0" applyFont="1" applyAlignment="1">
      <alignment vertical="center" wrapText="1"/>
    </xf>
    <xf numFmtId="0" fontId="13" fillId="0" borderId="0" xfId="4" applyFont="1" applyAlignment="1" applyProtection="1">
      <alignment vertical="center" wrapText="1"/>
    </xf>
    <xf numFmtId="0" fontId="11" fillId="3" borderId="0" xfId="0" applyFont="1" applyFill="1">
      <alignment vertical="center"/>
    </xf>
    <xf numFmtId="0" fontId="2" fillId="0" borderId="0" xfId="0" applyFont="1" applyAlignment="1"/>
    <xf numFmtId="0" fontId="5" fillId="3" borderId="6" xfId="0" applyFont="1" applyFill="1" applyBorder="1">
      <alignment vertical="center"/>
    </xf>
    <xf numFmtId="0" fontId="5" fillId="3" borderId="4" xfId="0" applyFont="1" applyFill="1" applyBorder="1">
      <alignment vertical="center"/>
    </xf>
    <xf numFmtId="0" fontId="5" fillId="3" borderId="4" xfId="0" applyFont="1" applyFill="1" applyBorder="1" applyAlignment="1">
      <alignment vertical="center" wrapText="1"/>
    </xf>
    <xf numFmtId="0" fontId="5" fillId="3" borderId="8" xfId="0" applyFont="1" applyFill="1" applyBorder="1">
      <alignment vertical="center"/>
    </xf>
    <xf numFmtId="0" fontId="3" fillId="0" borderId="0" xfId="0" applyFont="1" applyAlignment="1">
      <alignment vertical="center" wrapText="1"/>
    </xf>
    <xf numFmtId="0" fontId="5" fillId="2" borderId="0" xfId="0" applyFont="1" applyFill="1">
      <alignment vertical="center"/>
    </xf>
    <xf numFmtId="0" fontId="6" fillId="2" borderId="0" xfId="0" applyFont="1" applyFill="1">
      <alignment vertical="center"/>
    </xf>
    <xf numFmtId="0" fontId="5" fillId="2" borderId="16" xfId="0" applyFont="1" applyFill="1" applyBorder="1" applyAlignment="1">
      <alignment horizontal="center" vertical="center"/>
    </xf>
    <xf numFmtId="0" fontId="3" fillId="2" borderId="19" xfId="0" applyFont="1" applyFill="1" applyBorder="1" applyAlignment="1">
      <alignment horizontal="center" vertical="center"/>
    </xf>
    <xf numFmtId="0" fontId="5" fillId="9" borderId="10" xfId="153" applyFont="1" applyFill="1" applyBorder="1" applyAlignment="1">
      <alignment vertical="center"/>
    </xf>
    <xf numFmtId="0" fontId="6" fillId="9" borderId="10" xfId="153" applyFont="1" applyFill="1" applyBorder="1" applyAlignment="1">
      <alignment vertical="center"/>
    </xf>
    <xf numFmtId="0" fontId="5" fillId="9" borderId="11" xfId="153" applyFont="1" applyFill="1" applyBorder="1" applyAlignment="1">
      <alignment vertical="center"/>
    </xf>
    <xf numFmtId="0" fontId="10" fillId="0" borderId="5" xfId="153" applyFont="1" applyBorder="1" applyAlignment="1">
      <alignment horizontal="left" vertical="center"/>
    </xf>
    <xf numFmtId="0" fontId="5" fillId="0" borderId="0" xfId="153" applyFont="1" applyAlignment="1">
      <alignment vertical="center"/>
    </xf>
    <xf numFmtId="0" fontId="6" fillId="0" borderId="0" xfId="153" applyFont="1" applyAlignment="1">
      <alignment vertical="center"/>
    </xf>
    <xf numFmtId="0" fontId="5" fillId="0" borderId="7" xfId="153" applyFont="1" applyBorder="1" applyAlignment="1">
      <alignment vertical="center"/>
    </xf>
    <xf numFmtId="0" fontId="3" fillId="0" borderId="0" xfId="0" applyFont="1" applyAlignment="1">
      <alignment horizontal="left" vertical="top" wrapText="1"/>
    </xf>
    <xf numFmtId="0" fontId="4" fillId="3" borderId="0" xfId="4" applyFont="1" applyFill="1" applyAlignment="1" applyProtection="1">
      <alignment vertical="center"/>
    </xf>
    <xf numFmtId="0" fontId="47" fillId="0" borderId="9" xfId="0" applyFont="1" applyBorder="1">
      <alignment vertical="center"/>
    </xf>
    <xf numFmtId="0" fontId="48" fillId="0" borderId="10" xfId="49" applyFont="1" applyBorder="1" applyAlignment="1">
      <alignment vertical="center"/>
    </xf>
    <xf numFmtId="0" fontId="48" fillId="2" borderId="11" xfId="0" applyFont="1" applyFill="1" applyBorder="1">
      <alignment vertical="center"/>
    </xf>
    <xf numFmtId="0" fontId="48" fillId="0" borderId="5" xfId="0" applyFont="1" applyBorder="1">
      <alignment vertical="center"/>
    </xf>
    <xf numFmtId="0" fontId="48" fillId="0" borderId="0" xfId="49" applyFont="1" applyAlignment="1">
      <alignment vertical="center"/>
    </xf>
    <xf numFmtId="0" fontId="48" fillId="2" borderId="7" xfId="0" applyFont="1" applyFill="1" applyBorder="1">
      <alignment vertical="center"/>
    </xf>
    <xf numFmtId="0" fontId="3" fillId="2" borderId="0" xfId="0" applyFont="1" applyFill="1">
      <alignment vertical="center"/>
    </xf>
    <xf numFmtId="0" fontId="49" fillId="0" borderId="5" xfId="0" applyFont="1" applyBorder="1">
      <alignment vertical="center"/>
    </xf>
    <xf numFmtId="17" fontId="49" fillId="0" borderId="0" xfId="0" applyNumberFormat="1" applyFont="1" applyAlignment="1">
      <alignment horizontal="center" vertical="center"/>
    </xf>
    <xf numFmtId="0" fontId="43" fillId="0" borderId="0" xfId="0" applyFont="1">
      <alignment vertical="center"/>
    </xf>
    <xf numFmtId="0" fontId="12" fillId="2" borderId="0" xfId="0" applyFont="1" applyFill="1" applyAlignment="1">
      <alignment horizontal="left" vertical="center"/>
    </xf>
    <xf numFmtId="0" fontId="41" fillId="8" borderId="16" xfId="0" applyFont="1" applyFill="1" applyBorder="1">
      <alignment vertical="center"/>
    </xf>
    <xf numFmtId="0" fontId="43" fillId="8" borderId="18" xfId="154" applyFont="1" applyFill="1" applyBorder="1" applyAlignment="1">
      <alignment horizontal="left" vertical="center" wrapText="1"/>
    </xf>
    <xf numFmtId="0" fontId="41" fillId="8" borderId="22" xfId="154" applyFont="1" applyFill="1" applyBorder="1" applyAlignment="1">
      <alignment vertical="center"/>
    </xf>
    <xf numFmtId="0" fontId="49" fillId="0" borderId="16" xfId="0" applyFont="1" applyBorder="1" applyAlignment="1">
      <alignment horizontal="left" vertical="center"/>
    </xf>
    <xf numFmtId="0" fontId="48" fillId="2" borderId="22" xfId="0" applyFont="1" applyFill="1" applyBorder="1">
      <alignment vertical="center"/>
    </xf>
    <xf numFmtId="0" fontId="48" fillId="0" borderId="16" xfId="0" applyFont="1" applyBorder="1" applyAlignment="1">
      <alignment horizontal="left" vertical="center"/>
    </xf>
    <xf numFmtId="17" fontId="49" fillId="0" borderId="6" xfId="0" applyNumberFormat="1" applyFont="1" applyBorder="1" applyAlignment="1">
      <alignment horizontal="center" vertical="center"/>
    </xf>
    <xf numFmtId="17" fontId="49" fillId="0" borderId="4" xfId="0" applyNumberFormat="1" applyFont="1" applyBorder="1" applyAlignment="1">
      <alignment horizontal="center" vertical="center"/>
    </xf>
    <xf numFmtId="0" fontId="43" fillId="0" borderId="4" xfId="0" applyFont="1" applyBorder="1">
      <alignment vertical="center"/>
    </xf>
    <xf numFmtId="0" fontId="49" fillId="2" borderId="8" xfId="0" applyFont="1" applyFill="1" applyBorder="1">
      <alignment vertical="center"/>
    </xf>
    <xf numFmtId="179" fontId="3" fillId="2" borderId="0" xfId="49" applyNumberFormat="1" applyFont="1" applyFill="1" applyAlignment="1">
      <alignment vertical="center" wrapText="1"/>
    </xf>
    <xf numFmtId="0" fontId="6" fillId="2" borderId="0" xfId="0" applyFont="1" applyFill="1" applyAlignment="1">
      <alignment horizontal="center" vertical="center"/>
    </xf>
    <xf numFmtId="0" fontId="6" fillId="0" borderId="0" xfId="58" applyFont="1" applyAlignment="1">
      <alignment vertical="center"/>
    </xf>
    <xf numFmtId="0" fontId="6" fillId="0" borderId="0" xfId="0" applyFont="1" applyAlignment="1">
      <alignment horizontal="center" vertical="center"/>
    </xf>
    <xf numFmtId="183" fontId="8" fillId="0" borderId="0" xfId="82" applyNumberFormat="1" applyFont="1" applyAlignment="1">
      <alignment vertical="center" wrapText="1"/>
    </xf>
    <xf numFmtId="0" fontId="11" fillId="2" borderId="0" xfId="0" applyFont="1" applyFill="1">
      <alignment vertical="center"/>
    </xf>
    <xf numFmtId="176" fontId="11" fillId="2" borderId="0" xfId="0" applyNumberFormat="1" applyFont="1" applyFill="1">
      <alignment vertical="center"/>
    </xf>
    <xf numFmtId="0" fontId="6" fillId="0" borderId="0" xfId="101" applyFont="1" applyAlignment="1">
      <alignment horizontal="left" vertical="center"/>
    </xf>
    <xf numFmtId="0" fontId="3" fillId="0" borderId="0" xfId="101" applyFont="1" applyAlignment="1">
      <alignment horizontal="center" vertical="center"/>
    </xf>
    <xf numFmtId="0" fontId="5" fillId="2" borderId="0" xfId="0" applyFont="1" applyFill="1" applyAlignment="1">
      <alignment horizontal="center" vertical="center"/>
    </xf>
    <xf numFmtId="0" fontId="9" fillId="0" borderId="0" xfId="64" applyFont="1" applyAlignment="1">
      <alignment vertical="center"/>
    </xf>
    <xf numFmtId="0" fontId="5" fillId="0" borderId="0" xfId="101" applyFont="1" applyAlignment="1">
      <alignment vertical="center"/>
    </xf>
    <xf numFmtId="9" fontId="5" fillId="0" borderId="0" xfId="101" applyNumberFormat="1" applyFont="1" applyAlignment="1">
      <alignment vertical="center"/>
    </xf>
    <xf numFmtId="9" fontId="5" fillId="0" borderId="0" xfId="7" applyFont="1" applyAlignment="1" applyProtection="1">
      <alignment vertical="center"/>
    </xf>
    <xf numFmtId="0" fontId="3" fillId="0" borderId="0" xfId="101" applyFont="1" applyAlignment="1">
      <alignment vertical="center"/>
    </xf>
    <xf numFmtId="0" fontId="48" fillId="0" borderId="22" xfId="0" applyFont="1" applyBorder="1">
      <alignment vertical="center"/>
    </xf>
    <xf numFmtId="0" fontId="5" fillId="2" borderId="0" xfId="101" applyFont="1" applyFill="1" applyAlignment="1">
      <alignment vertical="center"/>
    </xf>
    <xf numFmtId="177" fontId="7" fillId="0" borderId="0" xfId="101" applyNumberFormat="1" applyFont="1" applyAlignment="1">
      <alignment horizontal="center" vertical="center" shrinkToFit="1"/>
    </xf>
    <xf numFmtId="0" fontId="3" fillId="2" borderId="0" xfId="79" applyFont="1" applyFill="1" applyAlignment="1">
      <alignment vertical="center"/>
    </xf>
    <xf numFmtId="0" fontId="5" fillId="0" borderId="0" xfId="79" applyFont="1" applyAlignment="1">
      <alignment vertical="center"/>
    </xf>
    <xf numFmtId="0" fontId="5" fillId="0" borderId="0" xfId="79" applyFont="1" applyAlignment="1">
      <alignment horizontal="left" vertical="center" wrapText="1"/>
    </xf>
    <xf numFmtId="0" fontId="5" fillId="0" borderId="0" xfId="79" applyFont="1" applyAlignment="1">
      <alignment horizontal="left" vertical="center"/>
    </xf>
    <xf numFmtId="9" fontId="5" fillId="0" borderId="0" xfId="79" applyNumberFormat="1" applyFont="1" applyAlignment="1">
      <alignment horizontal="left" vertical="center"/>
    </xf>
    <xf numFmtId="9" fontId="5" fillId="0" borderId="0" xfId="81" applyFont="1" applyAlignment="1" applyProtection="1">
      <alignment vertical="center"/>
    </xf>
    <xf numFmtId="0" fontId="6" fillId="2" borderId="0" xfId="79" applyFont="1" applyFill="1" applyAlignment="1">
      <alignment vertical="center"/>
    </xf>
    <xf numFmtId="0" fontId="3" fillId="2" borderId="0" xfId="79" applyFont="1" applyFill="1" applyAlignment="1">
      <alignment horizontal="left" vertical="center" wrapText="1"/>
    </xf>
    <xf numFmtId="0" fontId="43" fillId="0" borderId="9" xfId="79" applyFont="1" applyBorder="1" applyAlignment="1">
      <alignment vertical="center"/>
    </xf>
    <xf numFmtId="0" fontId="43" fillId="0" borderId="10" xfId="79" applyFont="1" applyBorder="1" applyAlignment="1">
      <alignment vertical="center"/>
    </xf>
    <xf numFmtId="0" fontId="49" fillId="2" borderId="11" xfId="79" applyFont="1" applyFill="1" applyBorder="1" applyAlignment="1">
      <alignment horizontal="left" vertical="center" wrapText="1"/>
    </xf>
    <xf numFmtId="0" fontId="5" fillId="2" borderId="0" xfId="79" applyFont="1" applyFill="1" applyAlignment="1">
      <alignment vertical="center"/>
    </xf>
    <xf numFmtId="0" fontId="43" fillId="0" borderId="0" xfId="79" applyFont="1" applyAlignment="1">
      <alignment vertical="center"/>
    </xf>
    <xf numFmtId="0" fontId="49" fillId="2" borderId="7" xfId="79" applyFont="1" applyFill="1" applyBorder="1" applyAlignment="1">
      <alignment horizontal="left" vertical="center" wrapText="1"/>
    </xf>
    <xf numFmtId="177" fontId="5" fillId="2" borderId="0" xfId="79" applyNumberFormat="1" applyFont="1" applyFill="1" applyAlignment="1">
      <alignment vertical="center" shrinkToFit="1"/>
    </xf>
    <xf numFmtId="9" fontId="5" fillId="2" borderId="0" xfId="81" applyFont="1" applyFill="1" applyAlignment="1" applyProtection="1">
      <alignment vertical="center"/>
    </xf>
    <xf numFmtId="0" fontId="43" fillId="0" borderId="5" xfId="79" applyFont="1" applyBorder="1" applyAlignment="1">
      <alignment vertical="center"/>
    </xf>
    <xf numFmtId="9" fontId="5" fillId="2" borderId="0" xfId="81" applyFont="1" applyFill="1" applyAlignment="1" applyProtection="1">
      <alignment vertical="center" shrinkToFit="1"/>
    </xf>
    <xf numFmtId="0" fontId="5" fillId="2" borderId="0" xfId="79" applyFont="1" applyFill="1" applyAlignment="1">
      <alignment vertical="center" shrinkToFit="1"/>
    </xf>
    <xf numFmtId="0" fontId="5" fillId="2" borderId="0" xfId="73" applyFont="1" applyFill="1" applyAlignment="1">
      <alignment vertical="center"/>
    </xf>
    <xf numFmtId="0" fontId="49" fillId="0" borderId="16" xfId="79" applyFont="1" applyBorder="1" applyAlignment="1">
      <alignment horizontal="left" vertical="center"/>
    </xf>
    <xf numFmtId="0" fontId="5" fillId="2" borderId="0" xfId="79" applyFont="1" applyFill="1" applyAlignment="1">
      <alignment horizontal="left" vertical="center" wrapText="1"/>
    </xf>
    <xf numFmtId="0" fontId="3" fillId="2" borderId="0" xfId="79" applyFont="1" applyFill="1" applyAlignment="1">
      <alignment vertical="center" shrinkToFit="1"/>
    </xf>
    <xf numFmtId="0" fontId="49" fillId="0" borderId="16" xfId="79" applyFont="1" applyBorder="1" applyAlignment="1">
      <alignment horizontal="left" vertical="center" wrapText="1"/>
    </xf>
    <xf numFmtId="177" fontId="3" fillId="2" borderId="0" xfId="79" applyNumberFormat="1" applyFont="1" applyFill="1" applyAlignment="1">
      <alignment vertical="center" shrinkToFit="1"/>
    </xf>
    <xf numFmtId="0" fontId="53" fillId="0" borderId="16" xfId="79" applyFont="1" applyBorder="1" applyAlignment="1">
      <alignment horizontal="left" vertical="center" wrapText="1"/>
    </xf>
    <xf numFmtId="0" fontId="3" fillId="2" borderId="0" xfId="73" applyFont="1" applyFill="1" applyAlignment="1">
      <alignment vertical="center"/>
    </xf>
    <xf numFmtId="0" fontId="53" fillId="0" borderId="30" xfId="79" applyFont="1" applyBorder="1" applyAlignment="1">
      <alignment vertical="center"/>
    </xf>
    <xf numFmtId="0" fontId="43" fillId="0" borderId="28" xfId="79" applyFont="1" applyBorder="1" applyAlignment="1">
      <alignment vertical="center"/>
    </xf>
    <xf numFmtId="0" fontId="49" fillId="2" borderId="29" xfId="79" applyFont="1" applyFill="1" applyBorder="1" applyAlignment="1">
      <alignment horizontal="left" vertical="center" wrapText="1"/>
    </xf>
    <xf numFmtId="0" fontId="8" fillId="2" borderId="0" xfId="79" applyFont="1" applyFill="1" applyAlignment="1">
      <alignment vertical="center"/>
    </xf>
    <xf numFmtId="0" fontId="3" fillId="0" borderId="0" xfId="98" applyFont="1" applyAlignment="1">
      <alignment vertical="center"/>
    </xf>
    <xf numFmtId="0" fontId="8" fillId="0" borderId="0" xfId="73" applyFont="1" applyAlignment="1">
      <alignment vertical="center"/>
    </xf>
    <xf numFmtId="177" fontId="5" fillId="0" borderId="0" xfId="36" applyFont="1" applyAlignment="1" applyProtection="1">
      <alignment vertical="center" shrinkToFit="1"/>
    </xf>
    <xf numFmtId="9" fontId="5" fillId="0" borderId="0" xfId="81" applyFont="1" applyFill="1" applyAlignment="1" applyProtection="1">
      <alignment vertical="center"/>
    </xf>
    <xf numFmtId="0" fontId="3" fillId="0" borderId="0" xfId="79" applyFont="1" applyAlignment="1">
      <alignment vertical="center"/>
    </xf>
    <xf numFmtId="0" fontId="3" fillId="2" borderId="18" xfId="79" applyFont="1" applyFill="1" applyBorder="1" applyAlignment="1">
      <alignment horizontal="left" vertical="center" shrinkToFit="1"/>
    </xf>
    <xf numFmtId="177" fontId="3" fillId="0" borderId="18" xfId="3" applyFont="1" applyFill="1" applyBorder="1" applyAlignment="1" applyProtection="1">
      <alignment horizontal="right" vertical="center" shrinkToFit="1"/>
    </xf>
    <xf numFmtId="0" fontId="5" fillId="0" borderId="0" xfId="101" applyFont="1" applyAlignment="1">
      <alignment vertical="center" shrinkToFit="1"/>
    </xf>
    <xf numFmtId="9" fontId="5" fillId="0" borderId="0" xfId="81" applyFont="1" applyAlignment="1" applyProtection="1">
      <alignment vertical="center" shrinkToFit="1"/>
    </xf>
    <xf numFmtId="0" fontId="3" fillId="0" borderId="0" xfId="101" applyFont="1" applyAlignment="1">
      <alignment vertical="center" shrinkToFit="1"/>
    </xf>
    <xf numFmtId="177" fontId="3" fillId="2" borderId="0" xfId="79" applyNumberFormat="1" applyFont="1" applyFill="1" applyAlignment="1">
      <alignment horizontal="right" vertical="center" shrinkToFit="1"/>
    </xf>
    <xf numFmtId="0" fontId="8" fillId="0" borderId="0" xfId="79" applyFont="1" applyAlignment="1">
      <alignment vertical="center"/>
    </xf>
    <xf numFmtId="177" fontId="3" fillId="2" borderId="0" xfId="3" applyFont="1" applyFill="1" applyBorder="1" applyAlignment="1" applyProtection="1">
      <alignment horizontal="right" vertical="center" shrinkToFit="1"/>
    </xf>
    <xf numFmtId="177" fontId="11" fillId="0" borderId="0" xfId="3" applyFont="1" applyFill="1" applyProtection="1"/>
    <xf numFmtId="177" fontId="3" fillId="2" borderId="18" xfId="101" applyNumberFormat="1" applyFont="1" applyFill="1" applyBorder="1" applyAlignment="1">
      <alignment horizontal="right" vertical="center" shrinkToFit="1"/>
    </xf>
    <xf numFmtId="0" fontId="8" fillId="3" borderId="50" xfId="0" applyFont="1" applyFill="1" applyBorder="1" applyAlignment="1">
      <alignment horizontal="center" vertical="center" wrapText="1"/>
    </xf>
    <xf numFmtId="0" fontId="8" fillId="3" borderId="47" xfId="0" applyFont="1" applyFill="1" applyBorder="1" applyAlignment="1">
      <alignment horizontal="center" vertical="center" wrapText="1"/>
    </xf>
    <xf numFmtId="179" fontId="6" fillId="2" borderId="0" xfId="49" applyNumberFormat="1" applyFont="1" applyFill="1" applyAlignment="1">
      <alignment horizontal="center" vertical="center" wrapText="1"/>
    </xf>
    <xf numFmtId="0" fontId="6" fillId="2" borderId="0" xfId="0" applyFont="1" applyFill="1" applyAlignment="1">
      <alignment horizontal="right" vertical="center"/>
    </xf>
    <xf numFmtId="0" fontId="14" fillId="0" borderId="0" xfId="0" applyFont="1" applyAlignment="1">
      <alignment horizontal="center" vertical="center"/>
    </xf>
    <xf numFmtId="0" fontId="57" fillId="2" borderId="0" xfId="0" applyFont="1" applyFill="1">
      <alignment vertical="center"/>
    </xf>
    <xf numFmtId="49" fontId="3" fillId="0" borderId="18" xfId="101" applyNumberFormat="1" applyFont="1" applyBorder="1" applyAlignment="1">
      <alignment horizontal="left" vertical="center" shrinkToFit="1"/>
    </xf>
    <xf numFmtId="0" fontId="8" fillId="0" borderId="0" xfId="101" applyFont="1" applyAlignment="1" applyProtection="1">
      <alignment horizontal="left" vertical="center"/>
      <protection locked="0"/>
    </xf>
    <xf numFmtId="179" fontId="3" fillId="0" borderId="0" xfId="49" applyNumberFormat="1" applyFont="1" applyAlignment="1">
      <alignment vertical="center" wrapText="1"/>
    </xf>
    <xf numFmtId="0" fontId="8" fillId="0" borderId="0" xfId="0" applyFont="1" applyAlignment="1">
      <alignment horizontal="center" vertical="center"/>
    </xf>
    <xf numFmtId="9" fontId="8" fillId="0" borderId="0" xfId="7" applyFont="1" applyFill="1" applyBorder="1" applyAlignment="1">
      <alignment horizontal="center" vertical="center"/>
    </xf>
    <xf numFmtId="0" fontId="3" fillId="0" borderId="0" xfId="0" applyFont="1" applyProtection="1">
      <alignment vertical="center"/>
      <protection locked="0"/>
    </xf>
    <xf numFmtId="0" fontId="10" fillId="5" borderId="53" xfId="0" applyFont="1" applyFill="1" applyBorder="1" applyAlignment="1">
      <alignment horizontal="center" vertical="center" wrapText="1"/>
    </xf>
    <xf numFmtId="0" fontId="3" fillId="2" borderId="18" xfId="0" applyFont="1" applyFill="1" applyBorder="1" applyAlignment="1">
      <alignment horizontal="left" vertical="center"/>
    </xf>
    <xf numFmtId="0" fontId="5" fillId="2" borderId="18" xfId="0" applyFont="1" applyFill="1" applyBorder="1" applyAlignment="1">
      <alignment horizontal="center" vertical="center"/>
    </xf>
    <xf numFmtId="0" fontId="5" fillId="0" borderId="18" xfId="0" applyFont="1" applyBorder="1" applyAlignment="1">
      <alignment horizontal="left" vertical="center" wrapText="1"/>
    </xf>
    <xf numFmtId="0" fontId="5" fillId="0" borderId="18" xfId="0" applyFont="1" applyBorder="1" applyAlignment="1">
      <alignment horizontal="center" vertical="center"/>
    </xf>
    <xf numFmtId="0" fontId="5" fillId="2" borderId="21" xfId="0" applyFont="1" applyFill="1" applyBorder="1" applyAlignment="1">
      <alignment vertical="center" wrapText="1"/>
    </xf>
    <xf numFmtId="0" fontId="3" fillId="2" borderId="20" xfId="0" applyFont="1" applyFill="1" applyBorder="1" applyAlignment="1">
      <alignment horizontal="left" vertical="center"/>
    </xf>
    <xf numFmtId="0" fontId="5" fillId="2" borderId="20" xfId="0" applyFont="1" applyFill="1" applyBorder="1" applyAlignment="1">
      <alignment vertical="center" wrapText="1"/>
    </xf>
    <xf numFmtId="0" fontId="5" fillId="2" borderId="20" xfId="0" applyFont="1" applyFill="1" applyBorder="1" applyAlignment="1">
      <alignment horizontal="center" vertical="center"/>
    </xf>
    <xf numFmtId="0" fontId="5" fillId="0" borderId="20" xfId="0" applyFont="1" applyBorder="1" applyAlignment="1">
      <alignment horizontal="left" vertical="center" wrapText="1"/>
    </xf>
    <xf numFmtId="0" fontId="5" fillId="0" borderId="20" xfId="0" applyFont="1" applyBorder="1" applyAlignment="1">
      <alignment horizontal="center" vertical="center"/>
    </xf>
    <xf numFmtId="0" fontId="10" fillId="9" borderId="9" xfId="153" applyFont="1" applyFill="1" applyBorder="1" applyAlignment="1">
      <alignment horizontal="left" vertical="center"/>
    </xf>
    <xf numFmtId="0" fontId="6" fillId="10" borderId="0" xfId="0" applyFont="1" applyFill="1" applyAlignment="1">
      <alignment horizontal="center" vertical="center"/>
    </xf>
    <xf numFmtId="0" fontId="5" fillId="5" borderId="5" xfId="0" applyFont="1" applyFill="1" applyBorder="1" applyAlignment="1">
      <alignment horizontal="left" vertical="center"/>
    </xf>
    <xf numFmtId="49" fontId="5" fillId="5" borderId="0" xfId="0" applyNumberFormat="1" applyFont="1" applyFill="1" applyAlignment="1">
      <alignment horizontal="center" vertical="center" shrinkToFit="1"/>
    </xf>
    <xf numFmtId="0" fontId="5" fillId="5" borderId="0" xfId="0" applyFont="1" applyFill="1" applyAlignment="1">
      <alignment horizontal="left" vertical="center"/>
    </xf>
    <xf numFmtId="177" fontId="5" fillId="5" borderId="7" xfId="0" applyNumberFormat="1" applyFont="1" applyFill="1" applyBorder="1" applyAlignment="1">
      <alignment horizontal="right" vertical="center" shrinkToFit="1"/>
    </xf>
    <xf numFmtId="0" fontId="7" fillId="2" borderId="0" xfId="0" applyFont="1" applyFill="1">
      <alignment vertical="center"/>
    </xf>
    <xf numFmtId="0" fontId="7" fillId="2" borderId="0" xfId="79" applyFont="1" applyFill="1" applyAlignment="1">
      <alignment vertical="center"/>
    </xf>
    <xf numFmtId="0" fontId="7" fillId="0" borderId="0" xfId="98" applyFont="1" applyAlignment="1">
      <alignment vertical="center"/>
    </xf>
    <xf numFmtId="0" fontId="7" fillId="2" borderId="0" xfId="79" applyFont="1" applyFill="1" applyAlignment="1">
      <alignment vertical="center" shrinkToFit="1"/>
    </xf>
    <xf numFmtId="0" fontId="59" fillId="0" borderId="0" xfId="0" applyFont="1">
      <alignment vertical="center"/>
    </xf>
    <xf numFmtId="0" fontId="2" fillId="10" borderId="5" xfId="0" applyFont="1" applyFill="1" applyBorder="1" applyAlignment="1">
      <alignment horizontal="left" vertical="center"/>
    </xf>
    <xf numFmtId="0" fontId="53" fillId="0" borderId="5" xfId="79" applyFont="1" applyBorder="1" applyAlignment="1">
      <alignment vertical="center"/>
    </xf>
    <xf numFmtId="0" fontId="8" fillId="5" borderId="46" xfId="0" applyFont="1" applyFill="1" applyBorder="1" applyProtection="1">
      <alignment vertical="center"/>
      <protection locked="0"/>
    </xf>
    <xf numFmtId="0" fontId="6" fillId="5" borderId="45" xfId="0" applyFont="1" applyFill="1" applyBorder="1" applyProtection="1">
      <alignment vertical="center"/>
      <protection locked="0"/>
    </xf>
    <xf numFmtId="0" fontId="5" fillId="5" borderId="49" xfId="0" applyFont="1" applyFill="1" applyBorder="1" applyProtection="1">
      <alignment vertical="center"/>
      <protection locked="0"/>
    </xf>
    <xf numFmtId="0" fontId="60" fillId="0" borderId="33" xfId="0" applyFont="1" applyBorder="1">
      <alignment vertical="center"/>
    </xf>
    <xf numFmtId="0" fontId="6" fillId="0" borderId="1" xfId="0" applyFont="1" applyBorder="1" applyProtection="1">
      <alignment vertical="center"/>
      <protection locked="0"/>
    </xf>
    <xf numFmtId="0" fontId="5" fillId="0" borderId="34" xfId="0" applyFont="1" applyBorder="1" applyProtection="1">
      <alignment vertical="center"/>
      <protection locked="0"/>
    </xf>
    <xf numFmtId="0" fontId="3" fillId="0" borderId="7" xfId="0" applyFont="1" applyBorder="1" applyAlignment="1" applyProtection="1">
      <alignment vertical="center" wrapText="1"/>
      <protection locked="0"/>
    </xf>
    <xf numFmtId="0" fontId="3" fillId="0" borderId="0" xfId="0" applyFont="1" applyAlignment="1" applyProtection="1">
      <alignment horizontal="left" vertical="center" wrapText="1" indent="2"/>
      <protection locked="0"/>
    </xf>
    <xf numFmtId="0" fontId="3" fillId="0" borderId="6" xfId="0" applyFont="1" applyBorder="1" applyAlignment="1" applyProtection="1">
      <alignment horizontal="left" vertical="center" indent="2"/>
      <protection locked="0"/>
    </xf>
    <xf numFmtId="0" fontId="3" fillId="0" borderId="0" xfId="0" applyFont="1" applyAlignment="1" applyProtection="1">
      <alignment horizontal="left" vertical="center" indent="2"/>
      <protection locked="0"/>
    </xf>
    <xf numFmtId="0" fontId="8" fillId="5" borderId="35" xfId="0" applyFont="1" applyFill="1" applyBorder="1" applyProtection="1">
      <alignment vertical="center"/>
      <protection locked="0"/>
    </xf>
    <xf numFmtId="0" fontId="6" fillId="5" borderId="36" xfId="0" applyFont="1" applyFill="1" applyBorder="1" applyProtection="1">
      <alignment vertical="center"/>
      <protection locked="0"/>
    </xf>
    <xf numFmtId="0" fontId="5" fillId="5" borderId="37" xfId="0" applyFont="1" applyFill="1" applyBorder="1" applyProtection="1">
      <alignment vertical="center"/>
      <protection locked="0"/>
    </xf>
    <xf numFmtId="0" fontId="60" fillId="0" borderId="38" xfId="0" applyFont="1" applyBorder="1">
      <alignment vertical="center"/>
    </xf>
    <xf numFmtId="0" fontId="5" fillId="0" borderId="39" xfId="0" applyFont="1" applyBorder="1" applyProtection="1">
      <alignment vertical="center"/>
      <protection locked="0"/>
    </xf>
    <xf numFmtId="0" fontId="3" fillId="0" borderId="41" xfId="0" applyFont="1" applyBorder="1" applyProtection="1">
      <alignment vertical="center"/>
      <protection locked="0"/>
    </xf>
    <xf numFmtId="0" fontId="3" fillId="0" borderId="41" xfId="0" applyFont="1" applyBorder="1" applyAlignment="1" applyProtection="1">
      <alignment horizontal="left" vertical="center" wrapText="1" indent="2"/>
      <protection locked="0"/>
    </xf>
    <xf numFmtId="0" fontId="3" fillId="0" borderId="43" xfId="0" applyFont="1" applyBorder="1" applyAlignment="1" applyProtection="1">
      <alignment horizontal="left" vertical="center" wrapText="1" indent="2"/>
      <protection locked="0"/>
    </xf>
    <xf numFmtId="0" fontId="3" fillId="0" borderId="44" xfId="0" applyFont="1" applyBorder="1" applyAlignment="1" applyProtection="1">
      <alignment horizontal="left" vertical="center" wrapText="1" indent="2"/>
      <protection locked="0"/>
    </xf>
    <xf numFmtId="0" fontId="55" fillId="2" borderId="0" xfId="79" applyFont="1" applyFill="1" applyAlignment="1">
      <alignment horizontal="left" vertical="center"/>
    </xf>
    <xf numFmtId="0" fontId="3" fillId="2" borderId="16" xfId="61" applyFont="1" applyFill="1" applyBorder="1" applyAlignment="1" applyProtection="1">
      <alignment horizontal="center" vertical="top"/>
      <protection locked="0"/>
    </xf>
    <xf numFmtId="0" fontId="3" fillId="2" borderId="19" xfId="61" applyFont="1" applyFill="1" applyBorder="1" applyAlignment="1" applyProtection="1">
      <alignment horizontal="center" vertical="top"/>
      <protection locked="0"/>
    </xf>
    <xf numFmtId="177" fontId="3" fillId="0" borderId="18" xfId="3" applyFont="1" applyFill="1" applyBorder="1" applyAlignment="1" applyProtection="1">
      <alignment vertical="center" shrinkToFit="1"/>
    </xf>
    <xf numFmtId="0" fontId="5" fillId="0" borderId="0" xfId="171" applyFont="1" applyAlignment="1" applyProtection="1">
      <alignment vertical="center"/>
      <protection locked="0"/>
    </xf>
    <xf numFmtId="0" fontId="3" fillId="0" borderId="0" xfId="79" applyFont="1" applyAlignment="1">
      <alignment horizontal="left" vertical="center" wrapText="1"/>
    </xf>
    <xf numFmtId="0" fontId="6" fillId="0" borderId="0" xfId="171" applyFont="1" applyAlignment="1" applyProtection="1">
      <alignment horizontal="center" vertical="center"/>
      <protection locked="0"/>
    </xf>
    <xf numFmtId="0" fontId="3" fillId="0" borderId="18" xfId="3" applyNumberFormat="1" applyFont="1" applyFill="1" applyBorder="1" applyAlignment="1" applyProtection="1">
      <alignment horizontal="left" vertical="center" shrinkToFit="1"/>
    </xf>
    <xf numFmtId="0" fontId="6" fillId="0" borderId="18" xfId="172" applyNumberFormat="1" applyFont="1" applyFill="1" applyBorder="1" applyAlignment="1" applyProtection="1">
      <alignment horizontal="left" vertical="center"/>
      <protection locked="0"/>
    </xf>
    <xf numFmtId="184" fontId="9" fillId="0" borderId="27" xfId="171" applyNumberFormat="1" applyFont="1" applyBorder="1" applyAlignment="1" applyProtection="1">
      <alignment horizontal="right" vertical="center"/>
      <protection locked="0"/>
    </xf>
    <xf numFmtId="0" fontId="9" fillId="0" borderId="27" xfId="171" applyFont="1" applyBorder="1" applyAlignment="1" applyProtection="1">
      <alignment horizontal="left" vertical="center"/>
      <protection locked="0"/>
    </xf>
    <xf numFmtId="0" fontId="55" fillId="0" borderId="0" xfId="79" applyFont="1" applyAlignment="1">
      <alignment horizontal="left" vertical="center"/>
    </xf>
    <xf numFmtId="0" fontId="7" fillId="0" borderId="0" xfId="79" applyFont="1" applyAlignment="1">
      <alignment vertical="center"/>
    </xf>
    <xf numFmtId="0" fontId="5" fillId="0" borderId="24" xfId="151" applyFont="1" applyBorder="1">
      <alignment vertical="center"/>
    </xf>
    <xf numFmtId="0" fontId="5" fillId="0" borderId="3" xfId="151" applyFont="1" applyBorder="1">
      <alignment vertical="center"/>
    </xf>
    <xf numFmtId="0" fontId="5" fillId="0" borderId="1" xfId="151" applyFont="1" applyBorder="1">
      <alignment vertical="center"/>
    </xf>
    <xf numFmtId="0" fontId="5" fillId="0" borderId="26" xfId="151" applyFont="1" applyBorder="1">
      <alignment vertical="center"/>
    </xf>
    <xf numFmtId="0" fontId="3" fillId="0" borderId="24" xfId="168" applyFont="1" applyBorder="1" applyAlignment="1">
      <alignment vertical="center"/>
    </xf>
    <xf numFmtId="0" fontId="5" fillId="0" borderId="56" xfId="151" applyFont="1" applyBorder="1">
      <alignment vertical="center"/>
    </xf>
    <xf numFmtId="0" fontId="5" fillId="0" borderId="67" xfId="151" applyFont="1" applyBorder="1">
      <alignment vertical="center"/>
    </xf>
    <xf numFmtId="0" fontId="5" fillId="0" borderId="3" xfId="151" applyFont="1" applyBorder="1" applyProtection="1">
      <alignment vertical="center"/>
      <protection locked="0"/>
    </xf>
    <xf numFmtId="0" fontId="5" fillId="0" borderId="26" xfId="151" applyFont="1" applyBorder="1" applyProtection="1">
      <alignment vertical="center"/>
      <protection locked="0"/>
    </xf>
    <xf numFmtId="177" fontId="3" fillId="2" borderId="20" xfId="101" applyNumberFormat="1" applyFont="1" applyFill="1" applyBorder="1" applyAlignment="1">
      <alignment horizontal="right" vertical="center" shrinkToFit="1"/>
    </xf>
    <xf numFmtId="9" fontId="5" fillId="0" borderId="18" xfId="173" applyNumberFormat="1" applyFont="1" applyBorder="1" applyAlignment="1" applyProtection="1">
      <alignment horizontal="center" vertical="center"/>
      <protection locked="0"/>
    </xf>
    <xf numFmtId="9" fontId="5" fillId="0" borderId="20" xfId="173" applyNumberFormat="1" applyFont="1" applyBorder="1" applyAlignment="1" applyProtection="1">
      <alignment horizontal="center" vertical="center"/>
      <protection locked="0"/>
    </xf>
    <xf numFmtId="0" fontId="6" fillId="5" borderId="10" xfId="0" applyFont="1" applyFill="1" applyBorder="1">
      <alignment vertical="center"/>
    </xf>
    <xf numFmtId="0" fontId="6" fillId="5" borderId="3" xfId="0" applyFont="1" applyFill="1" applyBorder="1" applyAlignment="1">
      <alignment horizontal="center" vertical="top"/>
    </xf>
    <xf numFmtId="49" fontId="3" fillId="2" borderId="26" xfId="0" applyNumberFormat="1" applyFont="1" applyFill="1" applyBorder="1" applyAlignment="1">
      <alignment horizontal="left" vertical="center" shrinkToFit="1"/>
    </xf>
    <xf numFmtId="49" fontId="3" fillId="2" borderId="28" xfId="0" applyNumberFormat="1" applyFont="1" applyFill="1" applyBorder="1" applyAlignment="1">
      <alignment horizontal="left" vertical="center" shrinkToFit="1"/>
    </xf>
    <xf numFmtId="10" fontId="3" fillId="2" borderId="18" xfId="86" applyNumberFormat="1" applyFont="1" applyFill="1" applyBorder="1" applyAlignment="1" applyProtection="1">
      <alignment horizontal="center" vertical="center" shrinkToFit="1"/>
    </xf>
    <xf numFmtId="10" fontId="3" fillId="2" borderId="20" xfId="86" applyNumberFormat="1" applyFont="1" applyFill="1" applyBorder="1" applyAlignment="1" applyProtection="1">
      <alignment horizontal="center" vertical="center" shrinkToFit="1"/>
    </xf>
    <xf numFmtId="177" fontId="3" fillId="0" borderId="18" xfId="3" applyFont="1" applyFill="1" applyBorder="1" applyProtection="1"/>
    <xf numFmtId="0" fontId="6" fillId="5" borderId="51" xfId="79" applyFont="1" applyFill="1" applyBorder="1" applyAlignment="1">
      <alignment horizontal="centerContinuous" vertical="center"/>
    </xf>
    <xf numFmtId="0" fontId="6" fillId="5" borderId="10" xfId="79" applyFont="1" applyFill="1" applyBorder="1" applyAlignment="1">
      <alignment horizontal="centerContinuous" vertical="center"/>
    </xf>
    <xf numFmtId="0" fontId="3" fillId="0" borderId="16" xfId="3" applyNumberFormat="1" applyFont="1" applyFill="1" applyBorder="1" applyAlignment="1" applyProtection="1">
      <alignment horizontal="left" vertical="center" shrinkToFit="1"/>
    </xf>
    <xf numFmtId="0" fontId="3" fillId="0" borderId="22" xfId="3" applyNumberFormat="1" applyFont="1" applyFill="1" applyBorder="1" applyAlignment="1" applyProtection="1">
      <alignment horizontal="left" vertical="center" shrinkToFit="1"/>
    </xf>
    <xf numFmtId="0" fontId="3" fillId="0" borderId="19" xfId="3" applyNumberFormat="1" applyFont="1" applyFill="1" applyBorder="1" applyAlignment="1" applyProtection="1">
      <alignment horizontal="left" vertical="center" shrinkToFit="1"/>
    </xf>
    <xf numFmtId="177" fontId="3" fillId="0" borderId="20" xfId="3" applyFont="1" applyFill="1" applyBorder="1" applyProtection="1"/>
    <xf numFmtId="0" fontId="3" fillId="0" borderId="23" xfId="3" applyNumberFormat="1" applyFont="1" applyFill="1" applyBorder="1" applyAlignment="1" applyProtection="1">
      <alignment horizontal="left" vertical="center" shrinkToFit="1"/>
    </xf>
    <xf numFmtId="0" fontId="3" fillId="0" borderId="20" xfId="3" applyNumberFormat="1" applyFont="1" applyFill="1" applyBorder="1" applyAlignment="1" applyProtection="1">
      <alignment horizontal="left" vertical="center" shrinkToFit="1"/>
    </xf>
    <xf numFmtId="0" fontId="3" fillId="2" borderId="75" xfId="79" applyFont="1" applyFill="1" applyBorder="1" applyAlignment="1">
      <alignment horizontal="left" vertical="center"/>
    </xf>
    <xf numFmtId="0" fontId="3" fillId="2" borderId="79" xfId="79" applyFont="1" applyFill="1" applyBorder="1" applyAlignment="1">
      <alignment horizontal="left" vertical="center"/>
    </xf>
    <xf numFmtId="0" fontId="6" fillId="5" borderId="45" xfId="98" applyFont="1" applyFill="1" applyBorder="1" applyAlignment="1">
      <alignment horizontal="centerContinuous" vertical="center"/>
    </xf>
    <xf numFmtId="177" fontId="3" fillId="0" borderId="20" xfId="3" applyFont="1" applyFill="1" applyBorder="1" applyAlignment="1" applyProtection="1">
      <alignment vertical="center" shrinkToFit="1"/>
    </xf>
    <xf numFmtId="0" fontId="66" fillId="0" borderId="0" xfId="101" applyFont="1" applyAlignment="1">
      <alignment horizontal="left" vertical="center"/>
    </xf>
    <xf numFmtId="0" fontId="3" fillId="0" borderId="0" xfId="101" applyFont="1" applyAlignment="1">
      <alignment vertical="center" wrapText="1"/>
    </xf>
    <xf numFmtId="0" fontId="2" fillId="0" borderId="0" xfId="0" applyFont="1">
      <alignment vertical="center"/>
    </xf>
    <xf numFmtId="0" fontId="3" fillId="0" borderId="40" xfId="0" applyFont="1" applyBorder="1" applyAlignment="1" applyProtection="1">
      <alignment horizontal="left" vertical="center" indent="2"/>
      <protection locked="0"/>
    </xf>
    <xf numFmtId="0" fontId="3" fillId="0" borderId="42" xfId="0" applyFont="1" applyBorder="1" applyAlignment="1" applyProtection="1">
      <alignment horizontal="left" vertical="center" indent="2"/>
      <protection locked="0"/>
    </xf>
    <xf numFmtId="0" fontId="3" fillId="0" borderId="5" xfId="0" applyFont="1" applyBorder="1" applyAlignment="1" applyProtection="1">
      <alignment horizontal="left" vertical="center" indent="2"/>
      <protection locked="0"/>
    </xf>
    <xf numFmtId="0" fontId="6" fillId="0" borderId="16" xfId="151" applyFont="1" applyBorder="1" applyAlignment="1">
      <alignment horizontal="center" vertical="center"/>
    </xf>
    <xf numFmtId="0" fontId="5" fillId="0" borderId="69" xfId="151" applyFont="1" applyBorder="1">
      <alignment vertical="center"/>
    </xf>
    <xf numFmtId="0" fontId="14" fillId="0" borderId="16" xfId="151" applyFont="1" applyBorder="1" applyAlignment="1">
      <alignment horizontal="center" vertical="center"/>
    </xf>
    <xf numFmtId="0" fontId="5" fillId="0" borderId="83" xfId="151" applyFont="1" applyBorder="1">
      <alignment vertical="center"/>
    </xf>
    <xf numFmtId="0" fontId="6" fillId="0" borderId="16" xfId="151" applyFont="1" applyBorder="1" applyAlignment="1" applyProtection="1">
      <alignment horizontal="center" vertical="center"/>
      <protection locked="0"/>
    </xf>
    <xf numFmtId="0" fontId="5" fillId="0" borderId="83" xfId="151" applyFont="1" applyBorder="1" applyProtection="1">
      <alignment vertical="center"/>
      <protection locked="0"/>
    </xf>
    <xf numFmtId="0" fontId="64" fillId="0" borderId="16" xfId="151" applyFont="1" applyBorder="1" applyAlignment="1">
      <alignment horizontal="center" vertical="center"/>
    </xf>
    <xf numFmtId="0" fontId="6" fillId="0" borderId="84" xfId="151" applyFont="1" applyBorder="1" applyAlignment="1">
      <alignment horizontal="center" vertical="center"/>
    </xf>
    <xf numFmtId="0" fontId="2" fillId="0" borderId="85" xfId="151" applyFont="1" applyBorder="1">
      <alignment vertical="center"/>
    </xf>
    <xf numFmtId="0" fontId="5" fillId="0" borderId="4" xfId="151" applyFont="1" applyBorder="1" applyProtection="1">
      <alignment vertical="center"/>
      <protection locked="0"/>
    </xf>
    <xf numFmtId="0" fontId="5" fillId="0" borderId="8" xfId="151" applyFont="1" applyBorder="1" applyProtection="1">
      <alignment vertical="center"/>
      <protection locked="0"/>
    </xf>
    <xf numFmtId="0" fontId="26" fillId="3" borderId="0" xfId="4" applyFont="1" applyFill="1" applyAlignment="1" applyProtection="1">
      <alignment vertical="center"/>
    </xf>
    <xf numFmtId="0" fontId="9" fillId="0" borderId="0" xfId="171" applyFont="1" applyAlignment="1" applyProtection="1">
      <alignment vertical="center"/>
      <protection locked="0"/>
    </xf>
    <xf numFmtId="0" fontId="9" fillId="0" borderId="0" xfId="171" applyFont="1" applyAlignment="1" applyProtection="1">
      <alignment horizontal="center" vertical="center"/>
      <protection locked="0"/>
    </xf>
    <xf numFmtId="0" fontId="8" fillId="0" borderId="0" xfId="0" applyFont="1" applyProtection="1">
      <alignment vertical="center"/>
      <protection locked="0"/>
    </xf>
    <xf numFmtId="0" fontId="11" fillId="0" borderId="0" xfId="101" applyFont="1" applyAlignment="1">
      <alignment horizontal="left" vertical="center" shrinkToFit="1"/>
    </xf>
    <xf numFmtId="0" fontId="7" fillId="2" borderId="0" xfId="79" applyFont="1" applyFill="1" applyAlignment="1">
      <alignment vertical="center" wrapText="1"/>
    </xf>
    <xf numFmtId="0" fontId="3" fillId="2" borderId="0" xfId="79" applyFont="1" applyFill="1" applyAlignment="1">
      <alignment vertical="center" wrapText="1"/>
    </xf>
    <xf numFmtId="0" fontId="5" fillId="0" borderId="0" xfId="101" applyFont="1" applyAlignment="1">
      <alignment vertical="center" wrapText="1"/>
    </xf>
    <xf numFmtId="9" fontId="5" fillId="0" borderId="0" xfId="81" applyFont="1" applyAlignment="1" applyProtection="1">
      <alignment vertical="center" wrapText="1"/>
    </xf>
    <xf numFmtId="0" fontId="9" fillId="2" borderId="0" xfId="79" applyFont="1" applyFill="1" applyAlignment="1">
      <alignment vertical="center"/>
    </xf>
    <xf numFmtId="0" fontId="9" fillId="0" borderId="0" xfId="79" applyFont="1" applyAlignment="1">
      <alignment vertical="center"/>
    </xf>
    <xf numFmtId="0" fontId="6" fillId="0" borderId="0" xfId="79" applyFont="1" applyAlignment="1">
      <alignment horizontal="center" vertical="center"/>
    </xf>
    <xf numFmtId="0" fontId="30" fillId="0" borderId="0" xfId="101" applyFont="1" applyAlignment="1">
      <alignment horizontal="left" vertical="center"/>
    </xf>
    <xf numFmtId="0" fontId="31" fillId="0" borderId="0" xfId="101" applyFont="1" applyAlignment="1">
      <alignment horizontal="left" vertical="center"/>
    </xf>
    <xf numFmtId="0" fontId="8" fillId="5" borderId="14" xfId="162" applyFont="1" applyFill="1" applyBorder="1" applyAlignment="1">
      <alignment horizontal="left" vertical="center"/>
    </xf>
    <xf numFmtId="184" fontId="3" fillId="0" borderId="86" xfId="3" applyNumberFormat="1" applyFont="1" applyFill="1" applyBorder="1" applyAlignment="1" applyProtection="1">
      <alignment vertical="center" wrapText="1"/>
      <protection locked="0"/>
    </xf>
    <xf numFmtId="0" fontId="71" fillId="2" borderId="0" xfId="79" applyFont="1" applyFill="1" applyAlignment="1">
      <alignment vertical="center"/>
    </xf>
    <xf numFmtId="0" fontId="71" fillId="2" borderId="0" xfId="79" applyFont="1" applyFill="1" applyAlignment="1">
      <alignment vertical="center" wrapText="1"/>
    </xf>
    <xf numFmtId="177" fontId="71" fillId="0" borderId="0" xfId="101" applyNumberFormat="1" applyFont="1" applyAlignment="1">
      <alignment horizontal="center" vertical="center" shrinkToFit="1"/>
    </xf>
    <xf numFmtId="177" fontId="8" fillId="2" borderId="0" xfId="79" applyNumberFormat="1" applyFont="1" applyFill="1" applyAlignment="1">
      <alignment horizontal="right" vertical="center" shrinkToFit="1"/>
    </xf>
    <xf numFmtId="0" fontId="9" fillId="0" borderId="0" xfId="101" applyFont="1" applyAlignment="1">
      <alignment vertical="center"/>
    </xf>
    <xf numFmtId="9" fontId="9" fillId="0" borderId="0" xfId="81" applyFont="1" applyAlignment="1" applyProtection="1">
      <alignment vertical="center"/>
    </xf>
    <xf numFmtId="0" fontId="8" fillId="0" borderId="0" xfId="101" applyFont="1" applyAlignment="1">
      <alignment vertical="center"/>
    </xf>
    <xf numFmtId="0" fontId="9" fillId="5" borderId="18" xfId="79" applyFont="1" applyFill="1" applyBorder="1" applyAlignment="1">
      <alignment horizontal="center" vertical="center" wrapText="1"/>
    </xf>
    <xf numFmtId="0" fontId="8" fillId="13" borderId="18" xfId="0" applyFont="1" applyFill="1" applyBorder="1" applyAlignment="1">
      <alignment horizontal="center" vertical="center" wrapText="1"/>
    </xf>
    <xf numFmtId="0" fontId="6" fillId="0" borderId="0" xfId="79" applyFont="1" applyAlignment="1">
      <alignment horizontal="center" vertical="center" wrapText="1"/>
    </xf>
    <xf numFmtId="0" fontId="8" fillId="2" borderId="0" xfId="79" applyFont="1" applyFill="1" applyAlignment="1">
      <alignment vertical="center" wrapText="1"/>
    </xf>
    <xf numFmtId="0" fontId="9" fillId="0" borderId="0" xfId="101" applyFont="1" applyAlignment="1">
      <alignment vertical="center" wrapText="1"/>
    </xf>
    <xf numFmtId="9" fontId="9" fillId="0" borderId="0" xfId="81" applyFont="1" applyAlignment="1" applyProtection="1">
      <alignment vertical="center" wrapText="1"/>
    </xf>
    <xf numFmtId="0" fontId="8" fillId="0" borderId="0" xfId="101" applyFont="1" applyAlignment="1">
      <alignment vertical="center" wrapText="1"/>
    </xf>
    <xf numFmtId="0" fontId="6" fillId="5" borderId="18" xfId="79" applyFont="1" applyFill="1" applyBorder="1" applyAlignment="1">
      <alignment horizontal="center" vertical="center"/>
    </xf>
    <xf numFmtId="0" fontId="6" fillId="5" borderId="18" xfId="0" applyFont="1" applyFill="1" applyBorder="1" applyAlignment="1">
      <alignment horizontal="center" vertical="center"/>
    </xf>
    <xf numFmtId="177" fontId="6" fillId="0" borderId="0" xfId="3" applyFont="1" applyFill="1" applyProtection="1"/>
    <xf numFmtId="0" fontId="8" fillId="5" borderId="50" xfId="79" applyFont="1" applyFill="1" applyBorder="1" applyAlignment="1">
      <alignment horizontal="center" vertical="center"/>
    </xf>
    <xf numFmtId="0" fontId="72" fillId="5" borderId="47" xfId="0" applyFont="1" applyFill="1" applyBorder="1" applyAlignment="1">
      <alignment horizontal="center" vertical="center"/>
    </xf>
    <xf numFmtId="0" fontId="8" fillId="5" borderId="47" xfId="79" applyFont="1" applyFill="1" applyBorder="1" applyAlignment="1">
      <alignment horizontal="center" vertical="center"/>
    </xf>
    <xf numFmtId="0" fontId="8" fillId="5" borderId="48" xfId="79" applyFont="1" applyFill="1" applyBorder="1" applyAlignment="1">
      <alignment horizontal="center" vertical="center"/>
    </xf>
    <xf numFmtId="0" fontId="73" fillId="5" borderId="12" xfId="101" applyFont="1" applyFill="1" applyBorder="1" applyAlignment="1">
      <alignment vertical="center"/>
    </xf>
    <xf numFmtId="0" fontId="73" fillId="5" borderId="13" xfId="101" applyFont="1" applyFill="1" applyBorder="1" applyAlignment="1">
      <alignment vertical="center"/>
    </xf>
    <xf numFmtId="0" fontId="8" fillId="5" borderId="13" xfId="79" applyFont="1" applyFill="1" applyBorder="1" applyAlignment="1">
      <alignment vertical="center"/>
    </xf>
    <xf numFmtId="0" fontId="8" fillId="5" borderId="13" xfId="79" applyFont="1" applyFill="1" applyBorder="1" applyAlignment="1">
      <alignment vertical="center" wrapText="1"/>
    </xf>
    <xf numFmtId="0" fontId="8" fillId="5" borderId="14" xfId="101" applyFont="1" applyFill="1" applyBorder="1" applyAlignment="1">
      <alignment horizontal="center" vertical="top"/>
    </xf>
    <xf numFmtId="0" fontId="8" fillId="5" borderId="15" xfId="101" applyFont="1" applyFill="1" applyBorder="1" applyAlignment="1">
      <alignment horizontal="center" vertical="top"/>
    </xf>
    <xf numFmtId="0" fontId="8" fillId="5" borderId="15" xfId="79" applyFont="1" applyFill="1" applyBorder="1" applyAlignment="1">
      <alignment horizontal="center" vertical="top"/>
    </xf>
    <xf numFmtId="0" fontId="8" fillId="5" borderId="15" xfId="79" applyFont="1" applyFill="1" applyBorder="1" applyAlignment="1">
      <alignment horizontal="center" vertical="top" wrapText="1"/>
    </xf>
    <xf numFmtId="0" fontId="8" fillId="11" borderId="15" xfId="0" applyFont="1" applyFill="1" applyBorder="1" applyAlignment="1">
      <alignment horizontal="center" vertical="top" wrapText="1"/>
    </xf>
    <xf numFmtId="0" fontId="9" fillId="5" borderId="15" xfId="79" applyFont="1" applyFill="1" applyBorder="1" applyAlignment="1">
      <alignment horizontal="center" vertical="top" wrapText="1"/>
    </xf>
    <xf numFmtId="0" fontId="8" fillId="5" borderId="17" xfId="79" applyFont="1" applyFill="1" applyBorder="1" applyAlignment="1">
      <alignment horizontal="center" vertical="center" wrapText="1"/>
    </xf>
    <xf numFmtId="0" fontId="5" fillId="0" borderId="0" xfId="101" applyFont="1" applyAlignment="1">
      <alignment horizontal="center" vertical="center" shrinkToFit="1"/>
    </xf>
    <xf numFmtId="0" fontId="8" fillId="5" borderId="18" xfId="79" applyFont="1" applyFill="1" applyBorder="1" applyAlignment="1">
      <alignment horizontal="center" vertical="center"/>
    </xf>
    <xf numFmtId="0" fontId="8" fillId="5" borderId="18" xfId="79" applyFont="1" applyFill="1" applyBorder="1" applyAlignment="1">
      <alignment horizontal="center" vertical="center" wrapText="1"/>
    </xf>
    <xf numFmtId="0" fontId="3" fillId="0" borderId="0" xfId="0" applyFont="1" applyAlignment="1" applyProtection="1">
      <alignment vertical="center" wrapText="1"/>
      <protection locked="0"/>
    </xf>
    <xf numFmtId="0" fontId="3" fillId="0" borderId="4" xfId="0" applyFont="1" applyBorder="1" applyAlignment="1" applyProtection="1">
      <alignment horizontal="left" vertical="center" wrapText="1" indent="2"/>
      <protection locked="0"/>
    </xf>
    <xf numFmtId="0" fontId="3" fillId="0" borderId="8" xfId="0" applyFont="1" applyBorder="1" applyAlignment="1" applyProtection="1">
      <alignment horizontal="left" vertical="center" wrapText="1" indent="2"/>
      <protection locked="0"/>
    </xf>
    <xf numFmtId="0" fontId="8" fillId="5" borderId="68" xfId="79" applyFont="1" applyFill="1" applyBorder="1" applyAlignment="1">
      <alignment vertical="center" wrapText="1"/>
    </xf>
    <xf numFmtId="178" fontId="8" fillId="5" borderId="68" xfId="1" applyFont="1" applyFill="1" applyBorder="1" applyAlignment="1" applyProtection="1">
      <alignment horizontal="center" vertical="center" wrapText="1"/>
    </xf>
    <xf numFmtId="0" fontId="8" fillId="5" borderId="16" xfId="171" applyFont="1" applyFill="1" applyBorder="1" applyAlignment="1">
      <alignment horizontal="center" vertical="center"/>
    </xf>
    <xf numFmtId="0" fontId="27" fillId="14" borderId="0" xfId="0" applyFont="1" applyFill="1">
      <alignment vertical="center"/>
    </xf>
    <xf numFmtId="0" fontId="26" fillId="0" borderId="0" xfId="4" applyFont="1" applyFill="1" applyAlignment="1" applyProtection="1">
      <alignment vertical="center"/>
    </xf>
    <xf numFmtId="0" fontId="27" fillId="0" borderId="0" xfId="169" applyFont="1" applyAlignment="1">
      <alignment vertical="center"/>
    </xf>
    <xf numFmtId="0" fontId="27" fillId="0" borderId="0" xfId="169" applyFont="1"/>
    <xf numFmtId="0" fontId="74" fillId="0" borderId="0" xfId="169" applyFont="1"/>
    <xf numFmtId="0" fontId="29" fillId="0" borderId="0" xfId="169" applyFont="1"/>
    <xf numFmtId="0" fontId="28" fillId="0" borderId="0" xfId="169" applyFont="1"/>
    <xf numFmtId="0" fontId="28" fillId="0" borderId="0" xfId="169" applyFont="1" applyAlignment="1">
      <alignment vertical="center"/>
    </xf>
    <xf numFmtId="0" fontId="32" fillId="12" borderId="24" xfId="169" applyFont="1" applyFill="1" applyBorder="1" applyAlignment="1">
      <alignment vertical="center"/>
    </xf>
    <xf numFmtId="0" fontId="32" fillId="12" borderId="26" xfId="169" applyFont="1" applyFill="1" applyBorder="1" applyAlignment="1">
      <alignment vertical="center"/>
    </xf>
    <xf numFmtId="0" fontId="32" fillId="12" borderId="17" xfId="169" applyFont="1" applyFill="1" applyBorder="1" applyAlignment="1">
      <alignment vertical="center"/>
    </xf>
    <xf numFmtId="0" fontId="29" fillId="0" borderId="19" xfId="82" applyFont="1" applyBorder="1" applyAlignment="1">
      <alignment horizontal="left" vertical="center"/>
    </xf>
    <xf numFmtId="0" fontId="65" fillId="0" borderId="65" xfId="4" quotePrefix="1" applyFont="1" applyBorder="1" applyAlignment="1">
      <alignment horizontal="center"/>
    </xf>
    <xf numFmtId="0" fontId="5" fillId="0" borderId="89" xfId="4" quotePrefix="1" applyNumberFormat="1" applyFont="1" applyFill="1" applyBorder="1" applyAlignment="1" applyProtection="1">
      <alignment horizontal="center" vertical="center" wrapText="1"/>
    </xf>
    <xf numFmtId="0" fontId="29" fillId="0" borderId="18" xfId="82" applyFont="1" applyBorder="1" applyAlignment="1">
      <alignment horizontal="left" vertical="center"/>
    </xf>
    <xf numFmtId="0" fontId="5" fillId="2" borderId="7" xfId="0" applyFont="1" applyFill="1" applyBorder="1">
      <alignment vertical="center"/>
    </xf>
    <xf numFmtId="0" fontId="29" fillId="0" borderId="21" xfId="82" applyFont="1" applyBorder="1" applyAlignment="1">
      <alignment horizontal="left" vertical="center"/>
    </xf>
    <xf numFmtId="0" fontId="6" fillId="0" borderId="10" xfId="0" applyFont="1" applyBorder="1" applyAlignment="1">
      <alignment horizontal="center" vertical="center"/>
    </xf>
    <xf numFmtId="14" fontId="73" fillId="0" borderId="51" xfId="101" applyNumberFormat="1" applyFont="1" applyBorder="1" applyAlignment="1">
      <alignment vertical="center" wrapText="1"/>
    </xf>
    <xf numFmtId="14" fontId="73" fillId="0" borderId="45" xfId="101" applyNumberFormat="1" applyFont="1" applyBorder="1" applyAlignment="1">
      <alignment vertical="center" wrapText="1"/>
    </xf>
    <xf numFmtId="14" fontId="73" fillId="0" borderId="45" xfId="101" applyNumberFormat="1" applyFont="1" applyBorder="1" applyAlignment="1">
      <alignment horizontal="center" vertical="center" wrapText="1"/>
    </xf>
    <xf numFmtId="0" fontId="10" fillId="0" borderId="64" xfId="0" applyFont="1" applyBorder="1" applyAlignment="1">
      <alignment horizontal="center" vertical="center" wrapText="1"/>
    </xf>
    <xf numFmtId="14" fontId="73" fillId="0" borderId="47" xfId="101" applyNumberFormat="1" applyFont="1" applyBorder="1" applyAlignment="1">
      <alignment horizontal="center" vertical="center" wrapText="1"/>
    </xf>
    <xf numFmtId="0" fontId="10" fillId="2" borderId="51" xfId="101" applyFont="1" applyFill="1" applyBorder="1" applyAlignment="1">
      <alignment horizontal="right" vertical="center" shrinkToFit="1"/>
    </xf>
    <xf numFmtId="0" fontId="73" fillId="2" borderId="64" xfId="101" applyFont="1" applyFill="1" applyBorder="1" applyAlignment="1">
      <alignment vertical="center" shrinkToFit="1"/>
    </xf>
    <xf numFmtId="0" fontId="73" fillId="4" borderId="18" xfId="101" applyFont="1" applyFill="1" applyBorder="1" applyAlignment="1">
      <alignment horizontal="center" vertical="center" wrapText="1"/>
    </xf>
    <xf numFmtId="0" fontId="32" fillId="5" borderId="18" xfId="101" applyFont="1" applyFill="1" applyBorder="1" applyAlignment="1">
      <alignment horizontal="center" vertical="center" wrapText="1"/>
    </xf>
    <xf numFmtId="0" fontId="73" fillId="2" borderId="18" xfId="101" applyFont="1" applyFill="1" applyBorder="1" applyAlignment="1">
      <alignment horizontal="center" vertical="center" wrapText="1"/>
    </xf>
    <xf numFmtId="0" fontId="10" fillId="10" borderId="15" xfId="0" applyFont="1" applyFill="1" applyBorder="1" applyAlignment="1">
      <alignment horizontal="center" vertical="center" wrapText="1"/>
    </xf>
    <xf numFmtId="0" fontId="8" fillId="2" borderId="18" xfId="101" applyFont="1" applyFill="1" applyBorder="1" applyAlignment="1">
      <alignment horizontal="center" vertical="center"/>
    </xf>
    <xf numFmtId="49" fontId="6" fillId="2" borderId="26" xfId="0" applyNumberFormat="1" applyFont="1" applyFill="1" applyBorder="1" applyAlignment="1">
      <alignment horizontal="left" vertical="center" shrinkToFit="1"/>
    </xf>
    <xf numFmtId="0" fontId="10" fillId="5" borderId="19" xfId="162" applyFont="1" applyFill="1" applyBorder="1" applyAlignment="1">
      <alignment horizontal="left" vertical="center"/>
    </xf>
    <xf numFmtId="0" fontId="3" fillId="0" borderId="0" xfId="44" applyAlignment="1">
      <alignment horizontal="right"/>
    </xf>
    <xf numFmtId="0" fontId="3" fillId="0" borderId="0" xfId="44" applyAlignment="1">
      <alignment horizontal="left" vertical="top"/>
    </xf>
    <xf numFmtId="0" fontId="3" fillId="0" borderId="0" xfId="44" applyAlignment="1">
      <alignment horizontal="left" vertical="top" wrapText="1"/>
    </xf>
    <xf numFmtId="0" fontId="3" fillId="2" borderId="22" xfId="0" applyFont="1" applyFill="1" applyBorder="1" applyAlignment="1">
      <alignment horizontal="left" vertical="center" wrapText="1"/>
    </xf>
    <xf numFmtId="0" fontId="5" fillId="2" borderId="23" xfId="0" applyFont="1" applyFill="1" applyBorder="1" applyAlignment="1">
      <alignment horizontal="left" vertical="center"/>
    </xf>
    <xf numFmtId="0" fontId="3" fillId="2" borderId="20" xfId="79" applyFont="1" applyFill="1" applyBorder="1" applyAlignment="1">
      <alignment horizontal="left" vertical="center" shrinkToFit="1"/>
    </xf>
    <xf numFmtId="0" fontId="5" fillId="0" borderId="0" xfId="0" applyFont="1" applyAlignment="1" applyProtection="1">
      <alignment horizontal="center" vertical="center"/>
      <protection locked="0"/>
    </xf>
    <xf numFmtId="0" fontId="79" fillId="0" borderId="0" xfId="0" applyFont="1" applyAlignment="1">
      <alignment horizontal="left" vertical="center"/>
    </xf>
    <xf numFmtId="0" fontId="8" fillId="5" borderId="13" xfId="171" applyFont="1" applyFill="1" applyBorder="1" applyAlignment="1">
      <alignment horizontal="center" vertical="center" wrapText="1"/>
    </xf>
    <xf numFmtId="0" fontId="8" fillId="5" borderId="11" xfId="171" applyFont="1" applyFill="1" applyBorder="1" applyAlignment="1">
      <alignment horizontal="center" vertical="center" wrapText="1"/>
    </xf>
    <xf numFmtId="0" fontId="8" fillId="5" borderId="12" xfId="171" applyFont="1" applyFill="1" applyBorder="1" applyAlignment="1">
      <alignment horizontal="center" vertical="center" wrapText="1"/>
    </xf>
    <xf numFmtId="0" fontId="8" fillId="5" borderId="68" xfId="171" applyFont="1" applyFill="1" applyBorder="1" applyAlignment="1">
      <alignment horizontal="center" vertical="center" wrapText="1"/>
    </xf>
    <xf numFmtId="0" fontId="81" fillId="0" borderId="18" xfId="4" quotePrefix="1" applyFont="1" applyFill="1" applyBorder="1" applyAlignment="1" applyProtection="1">
      <alignment horizontal="center" vertical="center"/>
    </xf>
    <xf numFmtId="0" fontId="81" fillId="0" borderId="20" xfId="4" quotePrefix="1" applyFont="1" applyBorder="1" applyAlignment="1">
      <alignment horizontal="center" vertical="center"/>
    </xf>
    <xf numFmtId="0" fontId="8" fillId="5" borderId="50" xfId="0" applyFont="1" applyFill="1" applyBorder="1" applyAlignment="1">
      <alignment horizontal="center" vertical="center"/>
    </xf>
    <xf numFmtId="0" fontId="2" fillId="2" borderId="16" xfId="0" applyFont="1" applyFill="1" applyBorder="1" applyAlignment="1">
      <alignment horizontal="center" vertical="center"/>
    </xf>
    <xf numFmtId="184" fontId="5" fillId="0" borderId="92" xfId="3" applyNumberFormat="1" applyFont="1" applyFill="1" applyBorder="1" applyAlignment="1" applyProtection="1">
      <alignment vertical="center"/>
      <protection locked="0"/>
    </xf>
    <xf numFmtId="0" fontId="59" fillId="0" borderId="16" xfId="0" applyFont="1" applyBorder="1" applyAlignment="1">
      <alignment horizontal="center" vertical="center"/>
    </xf>
    <xf numFmtId="184" fontId="5" fillId="0" borderId="93" xfId="3" applyNumberFormat="1" applyFont="1" applyFill="1" applyBorder="1" applyAlignment="1" applyProtection="1">
      <alignment vertical="center"/>
      <protection locked="0"/>
    </xf>
    <xf numFmtId="0" fontId="2" fillId="2" borderId="19" xfId="0" applyFont="1" applyFill="1" applyBorder="1" applyAlignment="1">
      <alignment horizontal="center" vertical="center" wrapText="1"/>
    </xf>
    <xf numFmtId="184" fontId="5" fillId="0" borderId="94" xfId="3" applyNumberFormat="1" applyFont="1" applyFill="1" applyBorder="1" applyAlignment="1" applyProtection="1">
      <alignment vertical="center"/>
      <protection locked="0"/>
    </xf>
    <xf numFmtId="0" fontId="8" fillId="5" borderId="51" xfId="0" applyFont="1" applyFill="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184" fontId="2" fillId="0" borderId="95" xfId="3" applyNumberFormat="1" applyFont="1" applyFill="1" applyBorder="1" applyAlignment="1" applyProtection="1">
      <alignment horizontal="right" vertical="center"/>
      <protection locked="0"/>
    </xf>
    <xf numFmtId="184" fontId="2" fillId="0" borderId="30" xfId="3" applyNumberFormat="1" applyFont="1" applyFill="1" applyBorder="1" applyAlignment="1" applyProtection="1">
      <alignment horizontal="right" vertical="center"/>
      <protection locked="0"/>
    </xf>
    <xf numFmtId="43" fontId="5" fillId="0" borderId="0" xfId="171" applyNumberFormat="1" applyFont="1" applyAlignment="1" applyProtection="1">
      <alignment vertical="center"/>
      <protection locked="0"/>
    </xf>
    <xf numFmtId="43" fontId="9" fillId="0" borderId="27" xfId="171" applyNumberFormat="1" applyFont="1" applyBorder="1" applyAlignment="1" applyProtection="1">
      <alignment horizontal="right" vertical="center"/>
      <protection locked="0"/>
    </xf>
    <xf numFmtId="43" fontId="3" fillId="0" borderId="22" xfId="172" applyFont="1" applyFill="1" applyBorder="1" applyAlignment="1" applyProtection="1">
      <alignment horizontal="right" vertical="center"/>
      <protection locked="0"/>
    </xf>
    <xf numFmtId="43" fontId="3" fillId="0" borderId="23" xfId="172" applyFont="1" applyFill="1" applyBorder="1" applyAlignment="1" applyProtection="1">
      <alignment horizontal="right" vertical="center"/>
      <protection locked="0"/>
    </xf>
    <xf numFmtId="177" fontId="5" fillId="0" borderId="0" xfId="3" applyFont="1" applyProtection="1">
      <protection locked="0"/>
    </xf>
    <xf numFmtId="177" fontId="9" fillId="0" borderId="27" xfId="3" applyFont="1" applyBorder="1" applyProtection="1">
      <protection locked="0"/>
    </xf>
    <xf numFmtId="0" fontId="6" fillId="0" borderId="54" xfId="36" applyNumberFormat="1" applyFont="1" applyBorder="1" applyAlignment="1">
      <alignment horizontal="left" vertical="center"/>
    </xf>
    <xf numFmtId="177" fontId="6" fillId="0" borderId="77" xfId="36" applyFont="1" applyFill="1" applyBorder="1" applyAlignment="1" applyProtection="1">
      <alignment horizontal="left" vertical="center"/>
    </xf>
    <xf numFmtId="0" fontId="3" fillId="0" borderId="16" xfId="79" applyFont="1" applyBorder="1" applyAlignment="1">
      <alignment vertical="center" shrinkToFit="1"/>
    </xf>
    <xf numFmtId="0" fontId="3" fillId="0" borderId="18" xfId="79" applyFont="1" applyBorder="1" applyAlignment="1">
      <alignment vertical="center" shrinkToFit="1"/>
    </xf>
    <xf numFmtId="0" fontId="6" fillId="0" borderId="18" xfId="79" applyFont="1" applyBorder="1" applyAlignment="1">
      <alignment horizontal="left" vertical="center" shrinkToFit="1"/>
    </xf>
    <xf numFmtId="0" fontId="3" fillId="0" borderId="22" xfId="79" applyFont="1" applyBorder="1" applyAlignment="1">
      <alignment vertical="center" shrinkToFit="1"/>
    </xf>
    <xf numFmtId="0" fontId="3" fillId="0" borderId="19" xfId="79" applyFont="1" applyBorder="1" applyAlignment="1">
      <alignment vertical="center" shrinkToFit="1"/>
    </xf>
    <xf numFmtId="0" fontId="3" fillId="0" borderId="20" xfId="79" applyFont="1" applyBorder="1" applyAlignment="1">
      <alignment vertical="center" shrinkToFit="1"/>
    </xf>
    <xf numFmtId="0" fontId="3" fillId="0" borderId="23" xfId="79" applyFont="1" applyBorder="1" applyAlignment="1">
      <alignment vertical="center" shrinkToFit="1"/>
    </xf>
    <xf numFmtId="43" fontId="3" fillId="0" borderId="17" xfId="0" applyNumberFormat="1" applyFont="1" applyBorder="1" applyAlignment="1">
      <alignment horizontal="right" vertical="center"/>
    </xf>
    <xf numFmtId="43" fontId="3" fillId="0" borderId="70" xfId="0" applyNumberFormat="1" applyFont="1" applyBorder="1" applyAlignment="1">
      <alignment horizontal="right" vertical="center"/>
    </xf>
    <xf numFmtId="0" fontId="5" fillId="0" borderId="16" xfId="101" applyFont="1" applyBorder="1" applyAlignment="1">
      <alignment horizontal="center" vertical="center" shrinkToFit="1"/>
    </xf>
    <xf numFmtId="14" fontId="3" fillId="0" borderId="18" xfId="79" applyNumberFormat="1" applyFont="1" applyBorder="1" applyAlignment="1">
      <alignment horizontal="left" vertical="center" shrinkToFit="1"/>
    </xf>
    <xf numFmtId="10" fontId="3" fillId="0" borderId="24" xfId="98" applyNumberFormat="1" applyFont="1" applyBorder="1" applyAlignment="1">
      <alignment horizontal="center" vertical="center" shrinkToFit="1"/>
    </xf>
    <xf numFmtId="0" fontId="3" fillId="0" borderId="18" xfId="79" applyFont="1" applyBorder="1" applyAlignment="1">
      <alignment horizontal="left" vertical="center" shrinkToFit="1"/>
    </xf>
    <xf numFmtId="10" fontId="3" fillId="0" borderId="24" xfId="98" applyNumberFormat="1" applyFont="1" applyBorder="1" applyAlignment="1">
      <alignment horizontal="right" vertical="center" shrinkToFit="1"/>
    </xf>
    <xf numFmtId="0" fontId="5" fillId="0" borderId="19" xfId="101" applyFont="1" applyBorder="1" applyAlignment="1">
      <alignment horizontal="center" vertical="center" shrinkToFit="1"/>
    </xf>
    <xf numFmtId="182" fontId="3" fillId="0" borderId="20" xfId="101" applyNumberFormat="1" applyFont="1" applyBorder="1" applyAlignment="1">
      <alignment horizontal="left" vertical="center" shrinkToFit="1"/>
    </xf>
    <xf numFmtId="14" fontId="3" fillId="0" borderId="20" xfId="79" applyNumberFormat="1" applyFont="1" applyBorder="1" applyAlignment="1">
      <alignment horizontal="left" vertical="center" shrinkToFit="1"/>
    </xf>
    <xf numFmtId="0" fontId="3" fillId="0" borderId="25" xfId="79" applyFont="1" applyBorder="1" applyAlignment="1">
      <alignment vertical="center" shrinkToFit="1"/>
    </xf>
    <xf numFmtId="0" fontId="37" fillId="0" borderId="18" xfId="0" applyFont="1" applyBorder="1">
      <alignment vertical="center"/>
    </xf>
    <xf numFmtId="0" fontId="49" fillId="0" borderId="18" xfId="58" applyFont="1" applyBorder="1" applyAlignment="1">
      <alignment horizontal="left" vertical="center" wrapText="1"/>
    </xf>
    <xf numFmtId="0" fontId="37" fillId="0" borderId="18" xfId="79" applyFont="1" applyBorder="1" applyAlignment="1">
      <alignment vertical="center" wrapText="1"/>
    </xf>
    <xf numFmtId="0" fontId="3" fillId="0" borderId="16" xfId="101" applyFont="1" applyBorder="1" applyAlignment="1">
      <alignment horizontal="left" vertical="center" shrinkToFit="1"/>
    </xf>
    <xf numFmtId="177" fontId="3" fillId="0" borderId="54" xfId="79" applyNumberFormat="1" applyFont="1" applyBorder="1" applyAlignment="1">
      <alignment horizontal="right" vertical="center" shrinkToFit="1"/>
    </xf>
    <xf numFmtId="0" fontId="3" fillId="0" borderId="19" xfId="101" applyFont="1" applyBorder="1" applyAlignment="1">
      <alignment horizontal="left" vertical="center" shrinkToFit="1"/>
    </xf>
    <xf numFmtId="0" fontId="3" fillId="0" borderId="77" xfId="36" applyNumberFormat="1" applyFont="1" applyFill="1" applyBorder="1" applyAlignment="1" applyProtection="1">
      <alignment horizontal="left" vertical="center"/>
    </xf>
    <xf numFmtId="177" fontId="3" fillId="0" borderId="77" xfId="36" applyFont="1" applyFill="1" applyBorder="1" applyAlignment="1" applyProtection="1">
      <alignment horizontal="right" vertical="center" shrinkToFit="1"/>
    </xf>
    <xf numFmtId="177" fontId="3" fillId="0" borderId="54" xfId="7" applyNumberFormat="1" applyFont="1" applyFill="1" applyBorder="1" applyAlignment="1">
      <alignment horizontal="right" vertical="center" shrinkToFit="1"/>
    </xf>
    <xf numFmtId="10" fontId="3" fillId="0" borderId="66" xfId="7" applyNumberFormat="1" applyFont="1" applyFill="1" applyBorder="1" applyAlignment="1">
      <alignment horizontal="left" vertical="center" shrinkToFit="1"/>
    </xf>
    <xf numFmtId="177" fontId="3" fillId="0" borderId="18" xfId="79" applyNumberFormat="1" applyFont="1" applyBorder="1" applyAlignment="1">
      <alignment horizontal="right" vertical="center" shrinkToFit="1"/>
    </xf>
    <xf numFmtId="177" fontId="3" fillId="0" borderId="24" xfId="3" applyFont="1" applyFill="1" applyBorder="1" applyAlignment="1">
      <alignment horizontal="right" vertical="center" shrinkToFit="1"/>
    </xf>
    <xf numFmtId="0" fontId="3" fillId="0" borderId="18" xfId="79" applyFont="1" applyBorder="1" applyAlignment="1">
      <alignment horizontal="left" vertical="center"/>
    </xf>
    <xf numFmtId="10" fontId="3" fillId="0" borderId="54" xfId="7" applyNumberFormat="1" applyFont="1" applyFill="1" applyBorder="1" applyAlignment="1">
      <alignment horizontal="left" vertical="center" shrinkToFit="1"/>
    </xf>
    <xf numFmtId="177" fontId="3" fillId="0" borderId="63" xfId="79" applyNumberFormat="1" applyFont="1" applyBorder="1" applyAlignment="1">
      <alignment horizontal="right" vertical="center" shrinkToFit="1"/>
    </xf>
    <xf numFmtId="177" fontId="3" fillId="0" borderId="60" xfId="79" applyNumberFormat="1" applyFont="1" applyBorder="1" applyAlignment="1">
      <alignment horizontal="right" vertical="center" shrinkToFit="1"/>
    </xf>
    <xf numFmtId="177" fontId="3" fillId="0" borderId="52" xfId="3" applyFont="1" applyFill="1" applyBorder="1" applyAlignment="1">
      <alignment horizontal="right" vertical="center" shrinkToFit="1"/>
    </xf>
    <xf numFmtId="177" fontId="3" fillId="0" borderId="66" xfId="79" applyNumberFormat="1" applyFont="1" applyBorder="1" applyAlignment="1">
      <alignment horizontal="right" vertical="center" shrinkToFit="1"/>
    </xf>
    <xf numFmtId="0" fontId="3" fillId="0" borderId="20" xfId="79" applyFont="1" applyBorder="1" applyAlignment="1">
      <alignment horizontal="left" vertical="center" shrinkToFit="1"/>
    </xf>
    <xf numFmtId="177" fontId="3" fillId="0" borderId="77" xfId="7" applyNumberFormat="1" applyFont="1" applyFill="1" applyBorder="1" applyAlignment="1">
      <alignment horizontal="right" vertical="center" shrinkToFit="1"/>
    </xf>
    <xf numFmtId="10" fontId="3" fillId="0" borderId="77" xfId="7" applyNumberFormat="1" applyFont="1" applyFill="1" applyBorder="1" applyAlignment="1" applyProtection="1">
      <alignment horizontal="left" vertical="center" shrinkToFit="1"/>
    </xf>
    <xf numFmtId="177" fontId="3" fillId="0" borderId="77" xfId="79" applyNumberFormat="1" applyFont="1" applyBorder="1" applyAlignment="1">
      <alignment horizontal="right" vertical="center" shrinkToFit="1"/>
    </xf>
    <xf numFmtId="177" fontId="3" fillId="0" borderId="78" xfId="79" applyNumberFormat="1" applyFont="1" applyBorder="1" applyAlignment="1">
      <alignment horizontal="right" vertical="center" shrinkToFit="1"/>
    </xf>
    <xf numFmtId="177" fontId="3" fillId="0" borderId="25" xfId="3" applyFont="1" applyFill="1" applyBorder="1" applyAlignment="1">
      <alignment horizontal="right" vertical="center" shrinkToFit="1"/>
    </xf>
    <xf numFmtId="0" fontId="3" fillId="0" borderId="20" xfId="79" applyFont="1" applyBorder="1" applyAlignment="1">
      <alignment horizontal="left" vertical="center"/>
    </xf>
    <xf numFmtId="0" fontId="3" fillId="0" borderId="54" xfId="79" applyFont="1" applyBorder="1" applyAlignment="1">
      <alignment horizontal="left" vertical="center"/>
    </xf>
    <xf numFmtId="0" fontId="3" fillId="0" borderId="76" xfId="79" applyFont="1" applyBorder="1" applyAlignment="1">
      <alignment horizontal="left" vertical="center"/>
    </xf>
    <xf numFmtId="177" fontId="3" fillId="0" borderId="18" xfId="3" applyFont="1" applyFill="1" applyBorder="1" applyAlignment="1">
      <alignment horizontal="right" vertical="center"/>
    </xf>
    <xf numFmtId="177" fontId="3" fillId="0" borderId="20" xfId="3" applyFont="1" applyFill="1" applyBorder="1" applyAlignment="1">
      <alignment horizontal="right" vertical="center"/>
    </xf>
    <xf numFmtId="0" fontId="3" fillId="0" borderId="18" xfId="79" applyFont="1" applyBorder="1" applyAlignment="1">
      <alignment horizontal="center" vertical="center" shrinkToFit="1"/>
    </xf>
    <xf numFmtId="0" fontId="3" fillId="0" borderId="20" xfId="79" applyFont="1" applyBorder="1" applyAlignment="1">
      <alignment horizontal="center" vertical="center" shrinkToFit="1"/>
    </xf>
    <xf numFmtId="43" fontId="3" fillId="0" borderId="18" xfId="172" applyFont="1" applyFill="1" applyBorder="1" applyAlignment="1" applyProtection="1">
      <alignment horizontal="right" vertical="center"/>
      <protection locked="0"/>
    </xf>
    <xf numFmtId="43" fontId="3" fillId="0" borderId="20" xfId="172" applyFont="1" applyFill="1" applyBorder="1" applyAlignment="1" applyProtection="1">
      <alignment horizontal="right" vertical="center"/>
      <protection locked="0"/>
    </xf>
    <xf numFmtId="0" fontId="3" fillId="0" borderId="18" xfId="101" applyFont="1" applyBorder="1" applyAlignment="1">
      <alignment horizontal="left" vertical="center" shrinkToFit="1"/>
    </xf>
    <xf numFmtId="0" fontId="3" fillId="0" borderId="20" xfId="101" applyFont="1" applyBorder="1" applyAlignment="1">
      <alignment horizontal="left" vertical="center" shrinkToFit="1"/>
    </xf>
    <xf numFmtId="0" fontId="5" fillId="0" borderId="0" xfId="171" applyFont="1" applyAlignment="1" applyProtection="1">
      <alignment horizontal="left" vertical="center"/>
      <protection locked="0"/>
    </xf>
    <xf numFmtId="0" fontId="3" fillId="2" borderId="22" xfId="98" applyFont="1" applyFill="1" applyBorder="1" applyAlignment="1">
      <alignment horizontal="left" vertical="center"/>
    </xf>
    <xf numFmtId="0" fontId="3" fillId="2" borderId="23" xfId="98" applyFont="1" applyFill="1" applyBorder="1" applyAlignment="1">
      <alignment horizontal="left" vertical="center"/>
    </xf>
    <xf numFmtId="0" fontId="68" fillId="0" borderId="55" xfId="169" applyFont="1" applyBorder="1" applyAlignment="1">
      <alignment horizontal="left"/>
    </xf>
    <xf numFmtId="0" fontId="68" fillId="0" borderId="56" xfId="169" applyFont="1" applyBorder="1" applyAlignment="1">
      <alignment horizontal="left"/>
    </xf>
    <xf numFmtId="0" fontId="32" fillId="0" borderId="56" xfId="169" applyFont="1" applyBorder="1" applyAlignment="1">
      <alignment horizontal="left"/>
    </xf>
    <xf numFmtId="0" fontId="31" fillId="0" borderId="56" xfId="169" applyFont="1" applyBorder="1" applyAlignment="1">
      <alignment horizontal="left"/>
    </xf>
    <xf numFmtId="0" fontId="32" fillId="0" borderId="57" xfId="169" applyFont="1" applyBorder="1" applyAlignment="1">
      <alignment horizontal="left"/>
    </xf>
    <xf numFmtId="0" fontId="75" fillId="0" borderId="58" xfId="169" applyFont="1" applyBorder="1" applyAlignment="1">
      <alignment horizontal="left"/>
    </xf>
    <xf numFmtId="0" fontId="75" fillId="0" borderId="0" xfId="169" applyFont="1" applyAlignment="1">
      <alignment horizontal="left"/>
    </xf>
    <xf numFmtId="0" fontId="76" fillId="0" borderId="0" xfId="169" applyFont="1" applyAlignment="1">
      <alignment horizontal="left"/>
    </xf>
    <xf numFmtId="0" fontId="70" fillId="0" borderId="0" xfId="169" applyFont="1" applyAlignment="1">
      <alignment horizontal="left"/>
    </xf>
    <xf numFmtId="0" fontId="76" fillId="0" borderId="59" xfId="169" applyFont="1" applyBorder="1" applyAlignment="1">
      <alignment horizontal="left"/>
    </xf>
    <xf numFmtId="0" fontId="69" fillId="0" borderId="58" xfId="151" applyFont="1" applyBorder="1" applyAlignment="1">
      <alignment horizontal="left" vertical="center" wrapText="1"/>
    </xf>
    <xf numFmtId="0" fontId="76" fillId="0" borderId="58" xfId="169" applyFont="1" applyBorder="1" applyAlignment="1">
      <alignment horizontal="left"/>
    </xf>
    <xf numFmtId="0" fontId="32" fillId="0" borderId="58" xfId="169" applyFont="1" applyBorder="1" applyAlignment="1">
      <alignment horizontal="left"/>
    </xf>
    <xf numFmtId="0" fontId="32" fillId="0" borderId="0" xfId="169" applyFont="1" applyAlignment="1">
      <alignment horizontal="left"/>
    </xf>
    <xf numFmtId="0" fontId="32" fillId="0" borderId="59" xfId="169" applyFont="1" applyBorder="1" applyAlignment="1">
      <alignment horizontal="left"/>
    </xf>
    <xf numFmtId="0" fontId="32" fillId="0" borderId="60" xfId="169" applyFont="1" applyBorder="1" applyAlignment="1">
      <alignment horizontal="left"/>
    </xf>
    <xf numFmtId="0" fontId="32" fillId="0" borderId="61" xfId="169" applyFont="1" applyBorder="1" applyAlignment="1">
      <alignment horizontal="left"/>
    </xf>
    <xf numFmtId="0" fontId="32" fillId="0" borderId="62" xfId="169" applyFont="1" applyBorder="1" applyAlignment="1">
      <alignment horizontal="left"/>
    </xf>
    <xf numFmtId="0" fontId="11" fillId="0" borderId="18" xfId="79" applyFont="1" applyBorder="1" applyAlignment="1">
      <alignment horizontal="center" vertical="center"/>
    </xf>
    <xf numFmtId="0" fontId="3" fillId="0" borderId="19" xfId="101" applyFont="1" applyBorder="1" applyAlignment="1">
      <alignment horizontal="center" vertical="center" shrinkToFit="1"/>
    </xf>
    <xf numFmtId="0" fontId="11" fillId="0" borderId="20" xfId="79" applyFont="1" applyBorder="1" applyAlignment="1">
      <alignment horizontal="center" vertical="center"/>
    </xf>
    <xf numFmtId="0" fontId="29" fillId="0" borderId="17" xfId="82" applyFont="1" applyBorder="1" applyAlignment="1">
      <alignment horizontal="left" vertical="center"/>
    </xf>
    <xf numFmtId="177" fontId="3" fillId="0" borderId="17" xfId="101" applyNumberFormat="1" applyFont="1" applyBorder="1" applyAlignment="1">
      <alignment horizontal="right" vertical="center" shrinkToFit="1"/>
    </xf>
    <xf numFmtId="177" fontId="3" fillId="0" borderId="18" xfId="101" applyNumberFormat="1" applyFont="1" applyBorder="1" applyAlignment="1">
      <alignment horizontal="right" vertical="center" shrinkToFit="1"/>
    </xf>
    <xf numFmtId="9" fontId="3" fillId="0" borderId="23" xfId="163" applyNumberFormat="1" applyFont="1" applyBorder="1" applyAlignment="1" applyProtection="1">
      <alignment vertical="center" wrapText="1"/>
      <protection locked="0"/>
    </xf>
    <xf numFmtId="177" fontId="3" fillId="0" borderId="0" xfId="58" applyNumberFormat="1" applyFont="1" applyAlignment="1">
      <alignment horizontal="right" vertical="center" shrinkToFit="1"/>
    </xf>
    <xf numFmtId="0" fontId="3" fillId="0" borderId="9" xfId="101" applyFont="1" applyBorder="1" applyAlignment="1">
      <alignment vertical="center" wrapText="1"/>
    </xf>
    <xf numFmtId="0" fontId="3" fillId="0" borderId="10" xfId="101" applyFont="1" applyBorder="1" applyAlignment="1">
      <alignment vertical="center" wrapText="1"/>
    </xf>
    <xf numFmtId="0" fontId="3" fillId="0" borderId="11" xfId="101" applyFont="1" applyBorder="1" applyAlignment="1">
      <alignment vertical="center" wrapText="1"/>
    </xf>
    <xf numFmtId="0" fontId="3" fillId="0" borderId="5" xfId="101" applyFont="1" applyBorder="1" applyAlignment="1">
      <alignment vertical="center" wrapText="1"/>
    </xf>
    <xf numFmtId="0" fontId="3" fillId="0" borderId="7" xfId="101" applyFont="1" applyBorder="1" applyAlignment="1">
      <alignment vertical="center" wrapText="1"/>
    </xf>
    <xf numFmtId="0" fontId="3" fillId="0" borderId="6" xfId="101" applyFont="1" applyBorder="1" applyAlignment="1">
      <alignment vertical="center" wrapText="1"/>
    </xf>
    <xf numFmtId="0" fontId="3" fillId="0" borderId="4" xfId="101" applyFont="1" applyBorder="1" applyAlignment="1">
      <alignment vertical="center" wrapText="1"/>
    </xf>
    <xf numFmtId="0" fontId="3" fillId="0" borderId="8" xfId="101" applyFont="1" applyBorder="1" applyAlignment="1">
      <alignment vertical="center" wrapText="1"/>
    </xf>
    <xf numFmtId="0" fontId="2" fillId="0" borderId="22" xfId="151" applyFont="1" applyBorder="1" applyAlignment="1">
      <alignment horizontal="left" vertical="center"/>
    </xf>
    <xf numFmtId="0" fontId="2" fillId="0" borderId="23" xfId="151" applyFont="1" applyBorder="1" applyAlignment="1">
      <alignment horizontal="left" vertical="center"/>
    </xf>
    <xf numFmtId="0" fontId="8" fillId="5" borderId="96" xfId="171" applyFont="1" applyFill="1" applyBorder="1" applyAlignment="1">
      <alignment horizontal="center" vertical="center" wrapText="1"/>
    </xf>
    <xf numFmtId="0" fontId="8" fillId="5" borderId="97" xfId="171" applyFont="1" applyFill="1" applyBorder="1" applyAlignment="1">
      <alignment horizontal="center" vertical="center" wrapText="1"/>
    </xf>
    <xf numFmtId="0" fontId="8" fillId="5" borderId="98" xfId="171" applyFont="1" applyFill="1" applyBorder="1" applyAlignment="1">
      <alignment horizontal="center" vertical="center" wrapText="1"/>
    </xf>
    <xf numFmtId="0" fontId="8" fillId="5" borderId="99" xfId="176" applyFont="1" applyFill="1" applyBorder="1" applyAlignment="1">
      <alignment horizontal="center" vertical="center" wrapText="1"/>
    </xf>
    <xf numFmtId="0" fontId="3" fillId="0" borderId="100" xfId="3" applyNumberFormat="1" applyFont="1" applyFill="1" applyBorder="1" applyAlignment="1" applyProtection="1">
      <alignment horizontal="left" vertical="center" shrinkToFit="1"/>
    </xf>
    <xf numFmtId="177" fontId="3" fillId="0" borderId="101" xfId="3" applyFont="1" applyBorder="1" applyProtection="1">
      <protection locked="0"/>
    </xf>
    <xf numFmtId="177" fontId="3" fillId="0" borderId="101" xfId="3" applyFont="1" applyFill="1" applyBorder="1" applyProtection="1">
      <protection locked="0"/>
    </xf>
    <xf numFmtId="0" fontId="3" fillId="0" borderId="102" xfId="3" applyNumberFormat="1" applyFont="1" applyFill="1" applyBorder="1" applyAlignment="1" applyProtection="1">
      <alignment horizontal="left" vertical="center" shrinkToFit="1"/>
    </xf>
    <xf numFmtId="0" fontId="3" fillId="0" borderId="103" xfId="3" applyNumberFormat="1" applyFont="1" applyFill="1" applyBorder="1" applyAlignment="1" applyProtection="1">
      <alignment horizontal="left" vertical="center" shrinkToFit="1"/>
    </xf>
    <xf numFmtId="43" fontId="3" fillId="0" borderId="103" xfId="172" applyFont="1" applyFill="1" applyBorder="1" applyAlignment="1" applyProtection="1">
      <alignment horizontal="right" vertical="center"/>
      <protection locked="0"/>
    </xf>
    <xf numFmtId="49" fontId="3" fillId="0" borderId="103" xfId="101" applyNumberFormat="1" applyFont="1" applyBorder="1" applyAlignment="1">
      <alignment horizontal="left" vertical="center" shrinkToFit="1"/>
    </xf>
    <xf numFmtId="43" fontId="3" fillId="0" borderId="104" xfId="0" applyNumberFormat="1" applyFont="1" applyBorder="1" applyAlignment="1">
      <alignment horizontal="right" vertical="center"/>
    </xf>
    <xf numFmtId="177" fontId="3" fillId="0" borderId="105" xfId="3" applyFont="1" applyFill="1" applyBorder="1" applyProtection="1">
      <protection locked="0"/>
    </xf>
    <xf numFmtId="0" fontId="5" fillId="0" borderId="16" xfId="101" applyFont="1" applyBorder="1" applyAlignment="1">
      <alignment horizontal="center" vertical="center" wrapText="1" shrinkToFit="1"/>
    </xf>
    <xf numFmtId="0" fontId="5" fillId="0" borderId="18" xfId="101" applyFont="1" applyBorder="1" applyAlignment="1">
      <alignment horizontal="left" vertical="center" shrinkToFit="1"/>
    </xf>
    <xf numFmtId="49" fontId="3" fillId="0" borderId="18" xfId="3" applyNumberFormat="1" applyFont="1" applyFill="1" applyBorder="1" applyAlignment="1" applyProtection="1">
      <alignment horizontal="left" vertical="center" shrinkToFit="1"/>
    </xf>
    <xf numFmtId="49" fontId="3" fillId="0" borderId="20" xfId="3" applyNumberFormat="1" applyFont="1" applyFill="1" applyBorder="1" applyAlignment="1" applyProtection="1">
      <alignment horizontal="left" vertical="center" shrinkToFit="1"/>
    </xf>
    <xf numFmtId="0" fontId="3" fillId="2" borderId="18" xfId="98" applyFont="1" applyFill="1" applyBorder="1" applyAlignment="1">
      <alignment horizontal="left" vertical="center" shrinkToFit="1"/>
    </xf>
    <xf numFmtId="0" fontId="3" fillId="0" borderId="15" xfId="98" applyFont="1" applyBorder="1" applyAlignment="1">
      <alignment horizontal="left" vertical="center" shrinkToFit="1"/>
    </xf>
    <xf numFmtId="0" fontId="3" fillId="0" borderId="22" xfId="98" applyFont="1" applyBorder="1" applyAlignment="1">
      <alignment horizontal="left" vertical="center" shrinkToFit="1"/>
    </xf>
    <xf numFmtId="0" fontId="3" fillId="0" borderId="18" xfId="98" applyFont="1" applyBorder="1" applyAlignment="1">
      <alignment horizontal="left" vertical="center" shrinkToFit="1"/>
    </xf>
    <xf numFmtId="0" fontId="3" fillId="0" borderId="23" xfId="79" applyFont="1" applyBorder="1" applyAlignment="1">
      <alignment horizontal="left" vertical="center" shrinkToFit="1"/>
    </xf>
    <xf numFmtId="0" fontId="3" fillId="0" borderId="65" xfId="79" applyFont="1" applyBorder="1" applyAlignment="1">
      <alignment horizontal="left"/>
    </xf>
    <xf numFmtId="14" fontId="3" fillId="0" borderId="18" xfId="79" applyNumberFormat="1" applyFont="1" applyBorder="1" applyAlignment="1">
      <alignment horizontal="left" vertical="center"/>
    </xf>
    <xf numFmtId="49" fontId="3" fillId="0" borderId="24" xfId="3" applyNumberFormat="1" applyFont="1" applyFill="1" applyBorder="1" applyAlignment="1" applyProtection="1">
      <alignment horizontal="left" vertical="center"/>
    </xf>
    <xf numFmtId="49" fontId="3" fillId="0" borderId="24" xfId="3" applyNumberFormat="1" applyFont="1" applyFill="1" applyBorder="1" applyAlignment="1" applyProtection="1">
      <alignment horizontal="left" vertical="center" shrinkToFit="1"/>
    </xf>
    <xf numFmtId="14" fontId="3" fillId="0" borderId="20" xfId="79" applyNumberFormat="1" applyFont="1" applyBorder="1" applyAlignment="1">
      <alignment horizontal="left" vertical="center"/>
    </xf>
    <xf numFmtId="49" fontId="3" fillId="0" borderId="25" xfId="3" applyNumberFormat="1" applyFont="1" applyFill="1" applyBorder="1" applyAlignment="1" applyProtection="1">
      <alignment horizontal="left" vertical="center"/>
    </xf>
    <xf numFmtId="177" fontId="3" fillId="0" borderId="18" xfId="3" applyFont="1" applyFill="1" applyBorder="1" applyAlignment="1" applyProtection="1">
      <alignment horizontal="right" vertical="center"/>
    </xf>
    <xf numFmtId="177" fontId="3" fillId="0" borderId="20" xfId="3" applyFont="1" applyFill="1" applyBorder="1" applyAlignment="1" applyProtection="1">
      <alignment horizontal="right" vertical="center"/>
    </xf>
    <xf numFmtId="10" fontId="3" fillId="0" borderId="24" xfId="98" applyNumberFormat="1" applyFont="1" applyBorder="1" applyAlignment="1">
      <alignment horizontal="right" vertical="center"/>
    </xf>
    <xf numFmtId="10" fontId="3" fillId="0" borderId="25" xfId="79" applyNumberFormat="1" applyFont="1" applyBorder="1" applyAlignment="1">
      <alignment horizontal="right" vertical="center"/>
    </xf>
    <xf numFmtId="0" fontId="8" fillId="5" borderId="91" xfId="0" applyFont="1" applyFill="1" applyBorder="1" applyAlignment="1">
      <alignment horizontal="center" vertical="center"/>
    </xf>
    <xf numFmtId="0" fontId="79" fillId="0" borderId="0" xfId="0" applyFont="1" applyAlignment="1">
      <alignment horizontal="left" vertical="center" wrapText="1"/>
    </xf>
    <xf numFmtId="0" fontId="5" fillId="2" borderId="21" xfId="0" applyFont="1" applyFill="1" applyBorder="1" applyAlignment="1">
      <alignment horizontal="left" vertical="center" wrapText="1"/>
    </xf>
    <xf numFmtId="0" fontId="5" fillId="2" borderId="15" xfId="0" applyFont="1" applyFill="1" applyBorder="1" applyAlignment="1">
      <alignment horizontal="left" vertical="center" wrapText="1"/>
    </xf>
    <xf numFmtId="0" fontId="3" fillId="0" borderId="32" xfId="0" applyFont="1" applyBorder="1" applyAlignment="1">
      <alignment horizontal="left" vertical="top" wrapText="1"/>
    </xf>
    <xf numFmtId="0" fontId="3" fillId="0" borderId="4" xfId="0" applyFont="1" applyBorder="1" applyAlignment="1">
      <alignment horizontal="left" vertical="top" wrapText="1"/>
    </xf>
    <xf numFmtId="0" fontId="3" fillId="0" borderId="8" xfId="0" applyFont="1" applyBorder="1" applyAlignment="1">
      <alignment horizontal="left" vertical="top" wrapText="1"/>
    </xf>
    <xf numFmtId="0" fontId="8" fillId="13" borderId="46" xfId="151" applyFont="1" applyFill="1" applyBorder="1" applyAlignment="1">
      <alignment horizontal="center" vertical="center"/>
    </xf>
    <xf numFmtId="0" fontId="8" fillId="13" borderId="45" xfId="151" applyFont="1" applyFill="1" applyBorder="1" applyAlignment="1">
      <alignment horizontal="center" vertical="center"/>
    </xf>
    <xf numFmtId="0" fontId="8" fillId="13" borderId="49" xfId="151" applyFont="1" applyFill="1" applyBorder="1" applyAlignment="1">
      <alignment horizontal="center" vertical="center"/>
    </xf>
    <xf numFmtId="0" fontId="8" fillId="5" borderId="12" xfId="0" applyFont="1" applyFill="1" applyBorder="1" applyAlignment="1">
      <alignment horizontal="center" vertical="center"/>
    </xf>
    <xf numFmtId="0" fontId="8" fillId="5" borderId="91" xfId="0" applyFont="1" applyFill="1" applyBorder="1" applyAlignment="1">
      <alignment horizontal="center" vertical="center"/>
    </xf>
    <xf numFmtId="0" fontId="79" fillId="0" borderId="0" xfId="0" applyFont="1" applyAlignment="1">
      <alignment horizontal="left" vertical="center" wrapText="1"/>
    </xf>
    <xf numFmtId="0" fontId="5" fillId="0" borderId="2" xfId="0" applyFont="1" applyBorder="1" applyAlignment="1">
      <alignment horizontal="left" vertical="top" wrapText="1"/>
    </xf>
    <xf numFmtId="0" fontId="40" fillId="0" borderId="0" xfId="0" applyFont="1" applyAlignment="1">
      <alignment horizontal="left" vertical="top" wrapText="1"/>
    </xf>
    <xf numFmtId="0" fontId="40" fillId="0" borderId="7" xfId="0" applyFont="1" applyBorder="1" applyAlignment="1">
      <alignment horizontal="left" vertical="top" wrapText="1"/>
    </xf>
    <xf numFmtId="0" fontId="3" fillId="2" borderId="90"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21" xfId="0" applyFont="1" applyFill="1" applyBorder="1" applyAlignment="1">
      <alignment horizontal="left" vertical="center"/>
    </xf>
    <xf numFmtId="0" fontId="3" fillId="2" borderId="15" xfId="0" applyFont="1" applyFill="1" applyBorder="1" applyAlignment="1">
      <alignment horizontal="left" vertical="center"/>
    </xf>
    <xf numFmtId="0" fontId="2" fillId="2" borderId="21" xfId="0" applyFont="1" applyFill="1" applyBorder="1" applyAlignment="1">
      <alignment horizontal="left" vertical="center" wrapText="1"/>
    </xf>
    <xf numFmtId="0" fontId="2" fillId="2" borderId="15" xfId="0" applyFont="1" applyFill="1" applyBorder="1" applyAlignment="1">
      <alignment horizontal="left" vertical="center" wrapText="1"/>
    </xf>
    <xf numFmtId="0" fontId="5" fillId="2" borderId="21" xfId="0" applyFont="1" applyFill="1" applyBorder="1" applyAlignment="1">
      <alignment horizontal="center" vertical="center"/>
    </xf>
    <xf numFmtId="0" fontId="5" fillId="2" borderId="15" xfId="0" applyFont="1" applyFill="1" applyBorder="1" applyAlignment="1">
      <alignment horizontal="center" vertical="center"/>
    </xf>
    <xf numFmtId="0" fontId="5" fillId="0" borderId="21" xfId="0" applyFont="1" applyBorder="1" applyAlignment="1">
      <alignment horizontal="left" vertical="center" wrapText="1"/>
    </xf>
    <xf numFmtId="0" fontId="5" fillId="0" borderId="15" xfId="0" applyFont="1" applyBorder="1" applyAlignment="1">
      <alignment horizontal="left" vertical="center" wrapText="1"/>
    </xf>
    <xf numFmtId="0" fontId="10" fillId="0" borderId="47" xfId="151" applyFont="1" applyBorder="1" applyAlignment="1">
      <alignment horizontal="center" vertical="center" wrapText="1"/>
    </xf>
    <xf numFmtId="0" fontId="10" fillId="0" borderId="18" xfId="151" applyFont="1" applyBorder="1" applyAlignment="1">
      <alignment horizontal="center" vertical="center" wrapText="1"/>
    </xf>
    <xf numFmtId="0" fontId="10" fillId="0" borderId="48" xfId="151" applyFont="1" applyBorder="1" applyAlignment="1">
      <alignment horizontal="center" vertical="center" wrapText="1"/>
    </xf>
    <xf numFmtId="0" fontId="10" fillId="0" borderId="22" xfId="151" applyFont="1" applyBorder="1" applyAlignment="1">
      <alignment horizontal="center" vertical="center" wrapText="1"/>
    </xf>
    <xf numFmtId="0" fontId="67" fillId="0" borderId="9" xfId="0" applyFont="1" applyBorder="1" applyAlignment="1">
      <alignment horizontal="left" vertical="center" wrapText="1"/>
    </xf>
    <xf numFmtId="0" fontId="67" fillId="0" borderId="10" xfId="0" applyFont="1" applyBorder="1" applyAlignment="1">
      <alignment horizontal="left" vertical="center" wrapText="1"/>
    </xf>
    <xf numFmtId="0" fontId="67" fillId="0" borderId="11" xfId="0" applyFont="1" applyBorder="1" applyAlignment="1">
      <alignment horizontal="left" vertical="center" wrapText="1"/>
    </xf>
    <xf numFmtId="0" fontId="67" fillId="0" borderId="5" xfId="0" applyFont="1" applyBorder="1" applyAlignment="1">
      <alignment horizontal="left" vertical="center" wrapText="1"/>
    </xf>
    <xf numFmtId="0" fontId="67" fillId="0" borderId="0" xfId="0" applyFont="1" applyAlignment="1">
      <alignment horizontal="left" vertical="center" wrapText="1"/>
    </xf>
    <xf numFmtId="0" fontId="67" fillId="0" borderId="7" xfId="0" applyFont="1" applyBorder="1" applyAlignment="1">
      <alignment horizontal="left" vertical="center" wrapText="1"/>
    </xf>
    <xf numFmtId="0" fontId="67" fillId="0" borderId="6" xfId="0" applyFont="1" applyBorder="1" applyAlignment="1">
      <alignment horizontal="left" vertical="center" wrapText="1"/>
    </xf>
    <xf numFmtId="0" fontId="67" fillId="0" borderId="4" xfId="0" applyFont="1" applyBorder="1" applyAlignment="1">
      <alignment horizontal="left" vertical="center" wrapText="1"/>
    </xf>
    <xf numFmtId="0" fontId="67" fillId="0" borderId="8" xfId="0" applyFont="1" applyBorder="1" applyAlignment="1">
      <alignment horizontal="left" vertical="center" wrapText="1"/>
    </xf>
    <xf numFmtId="0" fontId="43" fillId="8" borderId="24" xfId="0" applyFont="1" applyFill="1" applyBorder="1" applyAlignment="1">
      <alignment horizontal="left" vertical="center"/>
    </xf>
    <xf numFmtId="0" fontId="43" fillId="8" borderId="26" xfId="0" applyFont="1" applyFill="1" applyBorder="1" applyAlignment="1">
      <alignment horizontal="left" vertical="center"/>
    </xf>
    <xf numFmtId="0" fontId="43" fillId="8" borderId="17" xfId="0" applyFont="1" applyFill="1" applyBorder="1" applyAlignment="1">
      <alignment horizontal="left" vertical="center"/>
    </xf>
    <xf numFmtId="0" fontId="48" fillId="0" borderId="24" xfId="0" applyFont="1" applyBorder="1" applyAlignment="1">
      <alignment vertical="center" wrapText="1"/>
    </xf>
    <xf numFmtId="0" fontId="48" fillId="0" borderId="26" xfId="0" applyFont="1" applyBorder="1" applyAlignment="1">
      <alignment vertical="center" wrapText="1"/>
    </xf>
    <xf numFmtId="0" fontId="48" fillId="0" borderId="17" xfId="0" applyFont="1" applyBorder="1" applyAlignment="1">
      <alignment vertical="center" wrapText="1"/>
    </xf>
    <xf numFmtId="0" fontId="3" fillId="0" borderId="9" xfId="101" applyFont="1" applyBorder="1" applyAlignment="1" applyProtection="1">
      <alignment horizontal="left" vertical="center" wrapText="1"/>
      <protection locked="0"/>
    </xf>
    <xf numFmtId="0" fontId="3" fillId="0" borderId="10" xfId="101" applyFont="1" applyBorder="1" applyAlignment="1" applyProtection="1">
      <alignment horizontal="left" vertical="center" wrapText="1"/>
      <protection locked="0"/>
    </xf>
    <xf numFmtId="0" fontId="3" fillId="0" borderId="11" xfId="101" applyFont="1" applyBorder="1" applyAlignment="1" applyProtection="1">
      <alignment horizontal="left" vertical="center" wrapText="1"/>
      <protection locked="0"/>
    </xf>
    <xf numFmtId="0" fontId="3" fillId="0" borderId="5" xfId="101" applyFont="1" applyBorder="1" applyAlignment="1" applyProtection="1">
      <alignment horizontal="left" vertical="center" wrapText="1"/>
      <protection locked="0"/>
    </xf>
    <xf numFmtId="0" fontId="3" fillId="0" borderId="0" xfId="101" applyFont="1" applyAlignment="1" applyProtection="1">
      <alignment horizontal="left" vertical="center" wrapText="1"/>
      <protection locked="0"/>
    </xf>
    <xf numFmtId="0" fontId="3" fillId="0" borderId="7" xfId="101" applyFont="1" applyBorder="1" applyAlignment="1" applyProtection="1">
      <alignment horizontal="left" vertical="center" wrapText="1"/>
      <protection locked="0"/>
    </xf>
    <xf numFmtId="0" fontId="3" fillId="0" borderId="6" xfId="101" applyFont="1" applyBorder="1" applyAlignment="1" applyProtection="1">
      <alignment horizontal="left" vertical="center" wrapText="1"/>
      <protection locked="0"/>
    </xf>
    <xf numFmtId="0" fontId="3" fillId="0" borderId="4" xfId="101" applyFont="1" applyBorder="1" applyAlignment="1" applyProtection="1">
      <alignment horizontal="left" vertical="center" wrapText="1"/>
      <protection locked="0"/>
    </xf>
    <xf numFmtId="0" fontId="3" fillId="0" borderId="8" xfId="101" applyFont="1" applyBorder="1" applyAlignment="1" applyProtection="1">
      <alignment horizontal="left" vertical="center" wrapText="1"/>
      <protection locked="0"/>
    </xf>
    <xf numFmtId="0" fontId="31" fillId="0" borderId="12" xfId="101" applyFont="1" applyBorder="1" applyAlignment="1">
      <alignment horizontal="center" vertical="center"/>
    </xf>
    <xf numFmtId="0" fontId="31" fillId="0" borderId="14" xfId="101" applyFont="1" applyBorder="1" applyAlignment="1">
      <alignment horizontal="center" vertical="center"/>
    </xf>
    <xf numFmtId="0" fontId="10" fillId="0" borderId="13" xfId="101" applyFont="1" applyBorder="1" applyAlignment="1">
      <alignment horizontal="center" vertical="center" wrapText="1"/>
    </xf>
    <xf numFmtId="0" fontId="10" fillId="0" borderId="80" xfId="101" applyFont="1" applyBorder="1" applyAlignment="1">
      <alignment horizontal="center" vertical="center" wrapText="1"/>
    </xf>
    <xf numFmtId="179" fontId="31" fillId="5" borderId="46" xfId="49" applyNumberFormat="1" applyFont="1" applyFill="1" applyBorder="1" applyAlignment="1">
      <alignment horizontal="center" vertical="center" wrapText="1"/>
    </xf>
    <xf numFmtId="179" fontId="31" fillId="5" borderId="49" xfId="49" applyNumberFormat="1" applyFont="1" applyFill="1" applyBorder="1" applyAlignment="1">
      <alignment horizontal="center" vertical="center" wrapText="1"/>
    </xf>
    <xf numFmtId="0" fontId="31" fillId="0" borderId="13" xfId="101" applyFont="1" applyBorder="1" applyAlignment="1">
      <alignment horizontal="center" vertical="center"/>
    </xf>
    <xf numFmtId="0" fontId="31" fillId="0" borderId="15" xfId="101" applyFont="1" applyBorder="1" applyAlignment="1">
      <alignment horizontal="center" vertical="center"/>
    </xf>
    <xf numFmtId="0" fontId="53" fillId="0" borderId="18" xfId="151" applyFont="1" applyBorder="1" applyAlignment="1">
      <alignment vertical="center" wrapText="1"/>
    </xf>
    <xf numFmtId="0" fontId="84" fillId="0" borderId="9" xfId="101" applyFont="1" applyBorder="1" applyAlignment="1">
      <alignment horizontal="left" vertical="center" wrapText="1" shrinkToFit="1"/>
    </xf>
    <xf numFmtId="0" fontId="2" fillId="0" borderId="10" xfId="101" applyFont="1" applyBorder="1" applyAlignment="1">
      <alignment horizontal="left" vertical="center" shrinkToFit="1"/>
    </xf>
    <xf numFmtId="0" fontId="2" fillId="0" borderId="11" xfId="101" applyFont="1" applyBorder="1" applyAlignment="1">
      <alignment horizontal="left" vertical="center" shrinkToFit="1"/>
    </xf>
    <xf numFmtId="0" fontId="2" fillId="0" borderId="5" xfId="101" applyFont="1" applyBorder="1" applyAlignment="1">
      <alignment horizontal="left" vertical="center" wrapText="1" shrinkToFit="1"/>
    </xf>
    <xf numFmtId="0" fontId="2" fillId="0" borderId="0" xfId="101" applyFont="1" applyAlignment="1">
      <alignment horizontal="left" vertical="center" shrinkToFit="1"/>
    </xf>
    <xf numFmtId="0" fontId="2" fillId="0" borderId="7" xfId="101" applyFont="1" applyBorder="1" applyAlignment="1">
      <alignment horizontal="left" vertical="center" shrinkToFit="1"/>
    </xf>
    <xf numFmtId="0" fontId="2" fillId="0" borderId="6" xfId="101" applyFont="1" applyBorder="1" applyAlignment="1">
      <alignment horizontal="left" vertical="center" shrinkToFit="1"/>
    </xf>
    <xf numFmtId="0" fontId="2" fillId="0" borderId="4" xfId="101" applyFont="1" applyBorder="1" applyAlignment="1">
      <alignment horizontal="left" vertical="center" shrinkToFit="1"/>
    </xf>
    <xf numFmtId="0" fontId="2" fillId="0" borderId="8" xfId="101" applyFont="1" applyBorder="1" applyAlignment="1">
      <alignment horizontal="left" vertical="center" shrinkToFi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6" xfId="0" applyFont="1" applyBorder="1" applyAlignment="1">
      <alignment horizontal="left" vertical="center" wrapText="1"/>
    </xf>
    <xf numFmtId="0" fontId="3" fillId="0" borderId="4" xfId="0" applyFont="1" applyBorder="1" applyAlignment="1">
      <alignment horizontal="left" vertical="center" wrapText="1"/>
    </xf>
    <xf numFmtId="0" fontId="3" fillId="0" borderId="8" xfId="0" applyFont="1" applyBorder="1" applyAlignment="1">
      <alignment horizontal="left" vertical="center" wrapText="1"/>
    </xf>
    <xf numFmtId="178" fontId="8" fillId="5" borderId="11" xfId="1" applyFont="1" applyFill="1" applyBorder="1" applyAlignment="1">
      <alignment horizontal="center" vertical="center" wrapText="1"/>
    </xf>
    <xf numFmtId="178" fontId="8" fillId="5" borderId="69" xfId="1" applyFont="1" applyFill="1" applyBorder="1" applyAlignment="1">
      <alignment horizontal="center" vertical="center" wrapText="1"/>
    </xf>
    <xf numFmtId="178" fontId="8" fillId="5" borderId="51" xfId="1" applyFont="1" applyFill="1" applyBorder="1" applyAlignment="1" applyProtection="1">
      <alignment horizontal="center" vertical="center" wrapText="1"/>
    </xf>
    <xf numFmtId="178" fontId="8" fillId="5" borderId="24" xfId="1" applyFont="1" applyFill="1" applyBorder="1" applyAlignment="1" applyProtection="1">
      <alignment horizontal="center" vertical="center" wrapText="1"/>
    </xf>
    <xf numFmtId="0" fontId="31" fillId="5" borderId="13" xfId="1" applyNumberFormat="1" applyFont="1" applyFill="1" applyBorder="1" applyAlignment="1">
      <alignment horizontal="center" vertical="center" wrapText="1"/>
    </xf>
    <xf numFmtId="0" fontId="8" fillId="5" borderId="15" xfId="1" applyNumberFormat="1" applyFont="1" applyFill="1" applyBorder="1" applyAlignment="1">
      <alignment horizontal="center" vertical="center" wrapText="1"/>
    </xf>
    <xf numFmtId="0" fontId="8" fillId="5" borderId="87" xfId="79" applyFont="1" applyFill="1" applyBorder="1" applyAlignment="1">
      <alignment horizontal="center" vertical="center" wrapText="1"/>
    </xf>
    <xf numFmtId="0" fontId="8" fillId="5" borderId="88" xfId="79" applyFont="1" applyFill="1" applyBorder="1" applyAlignment="1">
      <alignment horizontal="center" vertical="center" wrapText="1"/>
    </xf>
    <xf numFmtId="0" fontId="8" fillId="5" borderId="72" xfId="79" applyFont="1" applyFill="1" applyBorder="1" applyAlignment="1">
      <alignment horizontal="center" vertical="center" wrapText="1"/>
    </xf>
    <xf numFmtId="0" fontId="8" fillId="5" borderId="54" xfId="79" applyFont="1" applyFill="1" applyBorder="1" applyAlignment="1">
      <alignment horizontal="center" vertical="center" wrapText="1"/>
    </xf>
    <xf numFmtId="0" fontId="9" fillId="5" borderId="74" xfId="79" applyFont="1" applyFill="1" applyBorder="1" applyAlignment="1">
      <alignment horizontal="center" vertical="center" wrapText="1"/>
    </xf>
    <xf numFmtId="0" fontId="9" fillId="5" borderId="75" xfId="79" applyFont="1" applyFill="1" applyBorder="1" applyAlignment="1">
      <alignment horizontal="center" vertical="center" wrapText="1"/>
    </xf>
    <xf numFmtId="0" fontId="9" fillId="5" borderId="81" xfId="79" applyFont="1" applyFill="1" applyBorder="1" applyAlignment="1">
      <alignment horizontal="center" vertical="center" wrapText="1"/>
    </xf>
    <xf numFmtId="0" fontId="9" fillId="5" borderId="82" xfId="79" applyFont="1" applyFill="1" applyBorder="1" applyAlignment="1">
      <alignment horizontal="center" vertical="center" wrapText="1"/>
    </xf>
    <xf numFmtId="0" fontId="9" fillId="5" borderId="47" xfId="79" applyFont="1" applyFill="1" applyBorder="1" applyAlignment="1">
      <alignment horizontal="center" vertical="center"/>
    </xf>
    <xf numFmtId="0" fontId="8" fillId="13" borderId="21" xfId="0" applyFont="1" applyFill="1" applyBorder="1" applyAlignment="1">
      <alignment horizontal="center" vertical="center" wrapText="1"/>
    </xf>
    <xf numFmtId="0" fontId="8" fillId="13" borderId="15" xfId="0" applyFont="1" applyFill="1" applyBorder="1" applyAlignment="1">
      <alignment horizontal="center" vertical="center" wrapText="1"/>
    </xf>
    <xf numFmtId="0" fontId="6" fillId="5" borderId="68" xfId="79" applyFont="1" applyFill="1" applyBorder="1" applyAlignment="1">
      <alignment horizontal="center" vertical="center" wrapText="1"/>
    </xf>
    <xf numFmtId="0" fontId="6" fillId="5" borderId="73" xfId="79" applyFont="1" applyFill="1" applyBorder="1" applyAlignment="1">
      <alignment horizontal="center" vertical="center" wrapText="1"/>
    </xf>
    <xf numFmtId="0" fontId="8" fillId="5" borderId="71" xfId="79" applyFont="1" applyFill="1" applyBorder="1" applyAlignment="1">
      <alignment horizontal="center" vertical="center" wrapText="1"/>
    </xf>
    <xf numFmtId="0" fontId="8" fillId="5" borderId="65" xfId="79" applyFont="1" applyFill="1" applyBorder="1" applyAlignment="1">
      <alignment horizontal="center" vertical="center" wrapText="1"/>
    </xf>
    <xf numFmtId="0" fontId="9" fillId="5" borderId="47" xfId="79" applyFont="1" applyFill="1" applyBorder="1" applyAlignment="1">
      <alignment horizontal="center" vertical="center" wrapText="1"/>
    </xf>
    <xf numFmtId="0" fontId="9" fillId="5" borderId="18" xfId="79" applyFont="1" applyFill="1" applyBorder="1" applyAlignment="1">
      <alignment horizontal="center" vertical="center"/>
    </xf>
    <xf numFmtId="0" fontId="9" fillId="5" borderId="21" xfId="79" applyFont="1" applyFill="1" applyBorder="1" applyAlignment="1">
      <alignment horizontal="center" vertical="center" wrapText="1"/>
    </xf>
    <xf numFmtId="0" fontId="9" fillId="5" borderId="80" xfId="79" applyFont="1" applyFill="1" applyBorder="1" applyAlignment="1">
      <alignment horizontal="center" vertical="center" wrapText="1"/>
    </xf>
    <xf numFmtId="0" fontId="49" fillId="0" borderId="18" xfId="79" applyFont="1" applyBorder="1" applyAlignment="1">
      <alignment vertical="center" wrapText="1"/>
    </xf>
    <xf numFmtId="0" fontId="8" fillId="5" borderId="47" xfId="171" applyFont="1" applyFill="1" applyBorder="1" applyAlignment="1">
      <alignment horizontal="center" vertical="center" wrapText="1"/>
    </xf>
    <xf numFmtId="0" fontId="8" fillId="5" borderId="18" xfId="171" applyFont="1" applyFill="1" applyBorder="1" applyAlignment="1">
      <alignment horizontal="center" vertical="center" wrapText="1"/>
    </xf>
    <xf numFmtId="0" fontId="3" fillId="0" borderId="9" xfId="101" applyFont="1" applyBorder="1" applyAlignment="1">
      <alignment horizontal="left" vertical="center" wrapText="1" shrinkToFit="1"/>
    </xf>
    <xf numFmtId="0" fontId="3" fillId="0" borderId="10" xfId="101" applyFont="1" applyBorder="1" applyAlignment="1">
      <alignment horizontal="left" vertical="center" shrinkToFit="1"/>
    </xf>
    <xf numFmtId="0" fontId="3" fillId="0" borderId="11" xfId="101" applyFont="1" applyBorder="1" applyAlignment="1">
      <alignment horizontal="left" vertical="center" shrinkToFit="1"/>
    </xf>
    <xf numFmtId="0" fontId="3" fillId="0" borderId="5" xfId="101" applyFont="1" applyBorder="1" applyAlignment="1">
      <alignment horizontal="left" vertical="center" shrinkToFit="1"/>
    </xf>
    <xf numFmtId="0" fontId="3" fillId="0" borderId="0" xfId="101" applyFont="1" applyAlignment="1">
      <alignment horizontal="left" vertical="center" shrinkToFit="1"/>
    </xf>
    <xf numFmtId="0" fontId="3" fillId="0" borderId="7" xfId="101" applyFont="1" applyBorder="1" applyAlignment="1">
      <alignment horizontal="left" vertical="center" shrinkToFit="1"/>
    </xf>
    <xf numFmtId="0" fontId="3" fillId="0" borderId="6" xfId="101" applyFont="1" applyBorder="1" applyAlignment="1">
      <alignment horizontal="left" vertical="center" shrinkToFit="1"/>
    </xf>
    <xf numFmtId="0" fontId="3" fillId="0" borderId="4" xfId="101" applyFont="1" applyBorder="1" applyAlignment="1">
      <alignment horizontal="left" vertical="center" shrinkToFit="1"/>
    </xf>
    <xf numFmtId="0" fontId="3" fillId="0" borderId="8" xfId="101" applyFont="1" applyBorder="1" applyAlignment="1">
      <alignment horizontal="left" vertical="center" shrinkToFit="1"/>
    </xf>
    <xf numFmtId="0" fontId="8" fillId="5" borderId="48" xfId="1" applyNumberFormat="1" applyFont="1" applyFill="1" applyBorder="1" applyAlignment="1" applyProtection="1">
      <alignment horizontal="center" vertical="center" wrapText="1"/>
    </xf>
    <xf numFmtId="0" fontId="8" fillId="5" borderId="22" xfId="1" applyNumberFormat="1" applyFont="1" applyFill="1" applyBorder="1" applyAlignment="1" applyProtection="1">
      <alignment horizontal="center" vertical="center" wrapText="1"/>
    </xf>
    <xf numFmtId="0" fontId="3" fillId="2" borderId="0" xfId="79" applyFont="1" applyFill="1" applyAlignment="1">
      <alignment horizontal="center" vertical="center"/>
    </xf>
    <xf numFmtId="0" fontId="8" fillId="5" borderId="48" xfId="171" applyFont="1" applyFill="1" applyBorder="1" applyAlignment="1">
      <alignment horizontal="center" vertical="center" wrapText="1"/>
    </xf>
    <xf numFmtId="0" fontId="8" fillId="5" borderId="22" xfId="171" applyFont="1" applyFill="1" applyBorder="1" applyAlignment="1">
      <alignment horizontal="center" vertical="center" wrapText="1"/>
    </xf>
    <xf numFmtId="0" fontId="10" fillId="5" borderId="46" xfId="79" applyFont="1" applyFill="1" applyBorder="1" applyAlignment="1">
      <alignment horizontal="center" vertical="center"/>
    </xf>
    <xf numFmtId="0" fontId="10" fillId="5" borderId="45" xfId="79" applyFont="1" applyFill="1" applyBorder="1" applyAlignment="1">
      <alignment horizontal="center" vertical="center"/>
    </xf>
    <xf numFmtId="0" fontId="10" fillId="5" borderId="64" xfId="79" applyFont="1" applyFill="1" applyBorder="1" applyAlignment="1">
      <alignment horizontal="center" vertical="center"/>
    </xf>
    <xf numFmtId="0" fontId="87" fillId="0" borderId="0" xfId="0" applyFont="1">
      <alignment vertical="center"/>
    </xf>
  </cellXfs>
  <cellStyles count="177">
    <cellStyle name="cellStyleNum 2" xfId="19" xr:uid="{00000000-0005-0000-0000-000040000000}"/>
    <cellStyle name="Check Cell 2" xfId="6" xr:uid="{00000000-0005-0000-0000-00000D000000}"/>
    <cellStyle name="Check Cell 2 2" xfId="21" xr:uid="{00000000-0005-0000-0000-000042000000}"/>
    <cellStyle name="Comma [0] 2" xfId="10" xr:uid="{00000000-0005-0000-0000-000015000000}"/>
    <cellStyle name="Comma [0] 2 2" xfId="24" xr:uid="{00000000-0005-0000-0000-000045000000}"/>
    <cellStyle name="Comma [0] 2 2 2" xfId="11" xr:uid="{00000000-0005-0000-0000-000018000000}"/>
    <cellStyle name="Comma [0] 2 2 2 2" xfId="12" xr:uid="{00000000-0005-0000-0000-00001C000000}"/>
    <cellStyle name="Comma [0] 2 2 2 2 2" xfId="125" xr:uid="{4E72E27F-DC0A-4E71-9DD7-4EED4140681D}"/>
    <cellStyle name="Comma [0] 2 2 2 3" xfId="124" xr:uid="{4F2C947B-26B9-4FCF-B512-C20CE4BDD1DA}"/>
    <cellStyle name="Comma [0] 2 2 3" xfId="13" xr:uid="{00000000-0005-0000-0000-000022000000}"/>
    <cellStyle name="Comma [0] 2 2 3 2" xfId="126" xr:uid="{F68247A2-B69D-4035-ACEA-59B4C7A70E7D}"/>
    <cellStyle name="Comma [0] 2 2 4" xfId="130" xr:uid="{110EC128-FFDB-4020-BA0F-A08988BDA7F6}"/>
    <cellStyle name="Comma [0] 2 3" xfId="8" xr:uid="{00000000-0005-0000-0000-000011000000}"/>
    <cellStyle name="Comma [0] 2 3 2" xfId="121" xr:uid="{213DFC4C-6875-4BA8-A17E-65B77394850D}"/>
    <cellStyle name="Comma [0] 2 4" xfId="25" xr:uid="{00000000-0005-0000-0000-000046000000}"/>
    <cellStyle name="Comma [0] 2 4 2" xfId="131" xr:uid="{FBC3FCBE-8D51-4C34-A67B-25B5EE5C5097}"/>
    <cellStyle name="Comma [0] 2 5" xfId="123" xr:uid="{5621916C-9136-4124-A587-5F29CE88EC48}"/>
    <cellStyle name="Comma [0] 3" xfId="5" xr:uid="{00000000-0005-0000-0000-00000C000000}"/>
    <cellStyle name="Comma [0] 3 2" xfId="120" xr:uid="{65BF7C5D-E9EA-463E-9BDF-84C476B90ACC}"/>
    <cellStyle name="Comma 12" xfId="27" xr:uid="{00000000-0005-0000-0000-000048000000}"/>
    <cellStyle name="Comma 12 2" xfId="132" xr:uid="{750A6A42-31B1-49EF-B5EA-0F2518F283E3}"/>
    <cellStyle name="Comma 15" xfId="28" xr:uid="{00000000-0005-0000-0000-000049000000}"/>
    <cellStyle name="Comma 15 2" xfId="133" xr:uid="{74084063-E3E0-42E6-A7B2-BD2C0CA8A661}"/>
    <cellStyle name="Comma 2" xfId="9" xr:uid="{00000000-0005-0000-0000-000014000000}"/>
    <cellStyle name="Comma 2 2" xfId="23" xr:uid="{00000000-0005-0000-0000-000044000000}"/>
    <cellStyle name="Comma 2 2 2" xfId="29" xr:uid="{00000000-0005-0000-0000-00004A000000}"/>
    <cellStyle name="Comma 2 2 2 2" xfId="134" xr:uid="{440D7CD1-B2E4-47F6-A81A-237FACA3B82E}"/>
    <cellStyle name="Comma 2 2 3" xfId="129" xr:uid="{AAF2A450-55C5-4838-BA76-DAFD6544D251}"/>
    <cellStyle name="Comma 2 3" xfId="31" xr:uid="{00000000-0005-0000-0000-00004C000000}"/>
    <cellStyle name="Comma 2 3 2" xfId="136" xr:uid="{7E77BA09-00F5-48B2-BF1C-647DF9DF3DFE}"/>
    <cellStyle name="Comma 2 4" xfId="32" xr:uid="{00000000-0005-0000-0000-00004D000000}"/>
    <cellStyle name="Comma 2 4 2" xfId="137" xr:uid="{DC56C2DE-A7A9-4129-9440-CCAAF53E0705}"/>
    <cellStyle name="Comma 2 5" xfId="122" xr:uid="{10585534-ABCB-4D4E-869F-069CDCCA8C39}"/>
    <cellStyle name="Comma 2_1" xfId="33" xr:uid="{00000000-0005-0000-0000-00004E000000}"/>
    <cellStyle name="Comma 3" xfId="34" xr:uid="{00000000-0005-0000-0000-00004F000000}"/>
    <cellStyle name="Comma 3 2" xfId="138" xr:uid="{2D7CA84B-E936-4083-A94F-0AAF08C8E4C7}"/>
    <cellStyle name="Comma 4" xfId="35" xr:uid="{00000000-0005-0000-0000-000050000000}"/>
    <cellStyle name="Comma 4 2" xfId="139" xr:uid="{856A3755-09D3-4A09-BD82-F31AA9153D2A}"/>
    <cellStyle name="Comma 5" xfId="36" xr:uid="{00000000-0005-0000-0000-000051000000}"/>
    <cellStyle name="Comma 5 2" xfId="140" xr:uid="{C7A9EFC5-4DBA-459B-8046-2C8AD2D029A9}"/>
    <cellStyle name="Comma 7" xfId="113" xr:uid="{B1D07FB5-A2AD-443B-9530-1673FA155455}"/>
    <cellStyle name="Comma 7 2" xfId="148" xr:uid="{4FD34A22-F97A-4DC1-B068-926CCE7ECC5B}"/>
    <cellStyle name="dataStyle 2" xfId="37" xr:uid="{00000000-0005-0000-0000-000052000000}"/>
    <cellStyle name="dataStyle 3" xfId="38" xr:uid="{00000000-0005-0000-0000-000053000000}"/>
    <cellStyle name="Good 2" xfId="39" xr:uid="{00000000-0005-0000-0000-000054000000}"/>
    <cellStyle name="Good 2 2" xfId="40" xr:uid="{00000000-0005-0000-0000-000055000000}"/>
    <cellStyle name="Hyperlink 2" xfId="17" xr:uid="{00000000-0005-0000-0000-000034000000}"/>
    <cellStyle name="Hyperlink 2 2" xfId="41" xr:uid="{00000000-0005-0000-0000-000056000000}"/>
    <cellStyle name="Hyperlink 2 2 3" xfId="164" xr:uid="{C7E2CC21-5688-48CA-9BF4-0AC78934135B}"/>
    <cellStyle name="Hyperlink 4" xfId="18" xr:uid="{00000000-0005-0000-0000-000039000000}"/>
    <cellStyle name="Hyperlink 4 2" xfId="42" xr:uid="{00000000-0005-0000-0000-000057000000}"/>
    <cellStyle name="Normal 10" xfId="43" xr:uid="{00000000-0005-0000-0000-000058000000}"/>
    <cellStyle name="Normal 10 10" xfId="44" xr:uid="{00000000-0005-0000-0000-000059000000}"/>
    <cellStyle name="Normal 103" xfId="45" xr:uid="{00000000-0005-0000-0000-00005A000000}"/>
    <cellStyle name="Normal 103 2" xfId="46" xr:uid="{00000000-0005-0000-0000-00005B000000}"/>
    <cellStyle name="Normal 103 3" xfId="47" xr:uid="{00000000-0005-0000-0000-00005C000000}"/>
    <cellStyle name="Normal 11" xfId="48" xr:uid="{00000000-0005-0000-0000-00005D000000}"/>
    <cellStyle name="Normal 12" xfId="149" xr:uid="{DB4ED536-CA33-4FFD-9CFA-CD8D4FCC6525}"/>
    <cellStyle name="Normal 12 2" xfId="20" xr:uid="{00000000-0005-0000-0000-000041000000}"/>
    <cellStyle name="Normal 12 2 2 2 2" xfId="158" xr:uid="{B8A0BF45-E064-40A1-A7D5-CACE72351CC8}"/>
    <cellStyle name="Normal 12 2 3" xfId="155" xr:uid="{40E94F5D-B264-44A6-ACEF-D77168AC99EC}"/>
    <cellStyle name="Normal 12 5" xfId="167" xr:uid="{820CFF23-5ABA-4F5C-9FA0-80A5A186E4D8}"/>
    <cellStyle name="Normal 121 2" xfId="49" xr:uid="{00000000-0005-0000-0000-00005E000000}"/>
    <cellStyle name="Normal 121 2 2" xfId="50" xr:uid="{00000000-0005-0000-0000-00005F000000}"/>
    <cellStyle name="Normal 121 2 2 2" xfId="51" xr:uid="{00000000-0005-0000-0000-000060000000}"/>
    <cellStyle name="Normal 121 2 2 2 4" xfId="168" xr:uid="{62FCBCB8-C3BB-4E0A-86B4-AF36AC807CB4}"/>
    <cellStyle name="Normal 121 2 3" xfId="52" xr:uid="{00000000-0005-0000-0000-000061000000}"/>
    <cellStyle name="Normal 121 4" xfId="153" xr:uid="{559D00B9-8533-493E-9ED1-26DC0CF2036A}"/>
    <cellStyle name="Normal 125" xfId="15" xr:uid="{00000000-0005-0000-0000-000031000000}"/>
    <cellStyle name="Normal 125 2" xfId="53" xr:uid="{00000000-0005-0000-0000-000062000000}"/>
    <cellStyle name="Normal 126" xfId="2" xr:uid="{00000000-0005-0000-0000-000007000000}"/>
    <cellStyle name="Normal 126 2" xfId="54" xr:uid="{00000000-0005-0000-0000-000063000000}"/>
    <cellStyle name="Normal 13" xfId="55" xr:uid="{00000000-0005-0000-0000-000064000000}"/>
    <cellStyle name="Normal 13 2" xfId="56" xr:uid="{00000000-0005-0000-0000-000065000000}"/>
    <cellStyle name="Normal 14" xfId="114" xr:uid="{DF148507-09AB-4461-8F2B-0A9CE3EE4AF1}"/>
    <cellStyle name="Normal 16" xfId="156" xr:uid="{CB7589CD-8EB0-441E-BD02-59D15021A33B}"/>
    <cellStyle name="Normal 17" xfId="169" xr:uid="{DCCA8DEB-6600-4B11-8133-0F20EE693EC1}"/>
    <cellStyle name="Normal 2" xfId="58" xr:uid="{00000000-0005-0000-0000-000067000000}"/>
    <cellStyle name="Normal 2 10 2" xfId="59" xr:uid="{00000000-0005-0000-0000-000068000000}"/>
    <cellStyle name="Normal 2 2" xfId="60" xr:uid="{00000000-0005-0000-0000-000069000000}"/>
    <cellStyle name="Normal 2 2 2" xfId="61" xr:uid="{00000000-0005-0000-0000-00006A000000}"/>
    <cellStyle name="Normal 2 2 2 2" xfId="160" xr:uid="{C9AB3AE5-4AF0-4B5D-A8BC-842B11EAD99D}"/>
    <cellStyle name="Normal 2 2 3" xfId="162" xr:uid="{07565753-94B0-4BD8-B953-49E3D8F2FBDD}"/>
    <cellStyle name="Normal 2 2 3 2" xfId="62" xr:uid="{00000000-0005-0000-0000-00006B000000}"/>
    <cellStyle name="Normal 2 2 4" xfId="163" xr:uid="{29E84983-4591-4FA0-B113-EE8C1430103B}"/>
    <cellStyle name="Normal 2 2_1" xfId="63" xr:uid="{00000000-0005-0000-0000-00006C000000}"/>
    <cellStyle name="Normal 2 3" xfId="64" xr:uid="{00000000-0005-0000-0000-00006D000000}"/>
    <cellStyle name="Normal 2 3 2" xfId="65" xr:uid="{00000000-0005-0000-0000-00006E000000}"/>
    <cellStyle name="Normal 2 3 2 2" xfId="14" xr:uid="{00000000-0005-0000-0000-000028000000}"/>
    <cellStyle name="Normal 2 3 2 2 3" xfId="66" xr:uid="{00000000-0005-0000-0000-00006F000000}"/>
    <cellStyle name="Normal 2 3 2 2 4" xfId="152" xr:uid="{31B492C2-02D3-4E63-AB00-9758E02F5096}"/>
    <cellStyle name="Normal 2 3 2 4" xfId="26" xr:uid="{00000000-0005-0000-0000-000047000000}"/>
    <cellStyle name="Normal 2 3 3" xfId="67" xr:uid="{00000000-0005-0000-0000-000070000000}"/>
    <cellStyle name="Normal 2 3 3 2" xfId="68" xr:uid="{00000000-0005-0000-0000-000071000000}"/>
    <cellStyle name="Normal 2 3 4" xfId="69" xr:uid="{00000000-0005-0000-0000-000072000000}"/>
    <cellStyle name="Normal 2 3 5" xfId="57" xr:uid="{00000000-0005-0000-0000-000066000000}"/>
    <cellStyle name="Normal 2 3 6" xfId="154" xr:uid="{703BCB9B-08CE-4681-8721-3409F5BDB3AB}"/>
    <cellStyle name="Normal 2 4" xfId="70" xr:uid="{00000000-0005-0000-0000-000073000000}"/>
    <cellStyle name="Normal 2 6" xfId="173" xr:uid="{FCC26214-92E2-40DF-AB70-ABE26FF33784}"/>
    <cellStyle name="Normal 3" xfId="71" xr:uid="{00000000-0005-0000-0000-000074000000}"/>
    <cellStyle name="Normal 3 2" xfId="72" xr:uid="{00000000-0005-0000-0000-000075000000}"/>
    <cellStyle name="Normal 3 3" xfId="73" xr:uid="{00000000-0005-0000-0000-000076000000}"/>
    <cellStyle name="Normal 4" xfId="74" xr:uid="{00000000-0005-0000-0000-000077000000}"/>
    <cellStyle name="Normal 4 3" xfId="75" xr:uid="{00000000-0005-0000-0000-000078000000}"/>
    <cellStyle name="Normal 5" xfId="76" xr:uid="{00000000-0005-0000-0000-000079000000}"/>
    <cellStyle name="Normal 6" xfId="77" xr:uid="{00000000-0005-0000-0000-00007A000000}"/>
    <cellStyle name="Normal 7" xfId="78" xr:uid="{00000000-0005-0000-0000-00007B000000}"/>
    <cellStyle name="Normal 8" xfId="79" xr:uid="{00000000-0005-0000-0000-00007C000000}"/>
    <cellStyle name="Normal 9" xfId="80" xr:uid="{00000000-0005-0000-0000-00007D000000}"/>
    <cellStyle name="Normal 9 2 2" xfId="159" xr:uid="{2082E891-801B-4565-A4AE-27545AAB73AD}"/>
    <cellStyle name="Normal_Sheet2" xfId="82" xr:uid="{00000000-0005-0000-0000-000080000000}"/>
    <cellStyle name="Percent 2" xfId="83" xr:uid="{00000000-0005-0000-0000-000081000000}"/>
    <cellStyle name="Percent 2 2" xfId="84" xr:uid="{00000000-0005-0000-0000-000082000000}"/>
    <cellStyle name="Percent 3" xfId="85" xr:uid="{00000000-0005-0000-0000-000083000000}"/>
    <cellStyle name="Percent 4" xfId="86" xr:uid="{00000000-0005-0000-0000-000084000000}"/>
    <cellStyle name="Percent 5" xfId="81" xr:uid="{00000000-0005-0000-0000-00007E000000}"/>
    <cellStyle name="百分比" xfId="7" builtinId="5"/>
    <cellStyle name="百分比 2" xfId="87" xr:uid="{00000000-0005-0000-0000-000085000000}"/>
    <cellStyle name="百分比 2 2" xfId="88" xr:uid="{00000000-0005-0000-0000-000086000000}"/>
    <cellStyle name="百分比 3" xfId="89" xr:uid="{00000000-0005-0000-0000-000087000000}"/>
    <cellStyle name="百分比 4" xfId="166" xr:uid="{8571A0FC-08E8-47DB-9E22-D89A529EC92F}"/>
    <cellStyle name="常规" xfId="0" builtinId="0"/>
    <cellStyle name="常规 10" xfId="151" xr:uid="{A00B73A5-08BF-4BAD-9444-B09947D79E0E}"/>
    <cellStyle name="常规 11" xfId="170" xr:uid="{B5694E4C-1A46-4B0E-9A65-C93067797D2B}"/>
    <cellStyle name="常规 2" xfId="90" xr:uid="{00000000-0005-0000-0000-000088000000}"/>
    <cellStyle name="常规 2- " xfId="91" xr:uid="{00000000-0005-0000-0000-000089000000}"/>
    <cellStyle name="常规 2-  2" xfId="92" xr:uid="{00000000-0005-0000-0000-00008A000000}"/>
    <cellStyle name="常规 2 2" xfId="93" xr:uid="{00000000-0005-0000-0000-00008B000000}"/>
    <cellStyle name="常规 2 2 2" xfId="94" xr:uid="{00000000-0005-0000-0000-00008C000000}"/>
    <cellStyle name="常规 2 2 2 2" xfId="95" xr:uid="{00000000-0005-0000-0000-00008D000000}"/>
    <cellStyle name="常规 2 2 2 3" xfId="96" xr:uid="{00000000-0005-0000-0000-00008E000000}"/>
    <cellStyle name="常规 2 2 2 3 2" xfId="97" xr:uid="{00000000-0005-0000-0000-00008F000000}"/>
    <cellStyle name="常规 2 2 3" xfId="98" xr:uid="{00000000-0005-0000-0000-000090000000}"/>
    <cellStyle name="常规 2 2 5" xfId="118" xr:uid="{81BA9D76-E918-4492-B3C8-7E842EEB597E}"/>
    <cellStyle name="常规 2 2 5 2" xfId="157" xr:uid="{063DAA16-D18B-4186-8316-5CDB63B603CB}"/>
    <cellStyle name="常规 2 2 5 2 2" xfId="161" xr:uid="{FC146E66-3552-45E5-87A3-A6578196C188}"/>
    <cellStyle name="常规 2 2 5 3" xfId="174" xr:uid="{22F6BCB0-6D64-449E-A89B-CBBB175B232C}"/>
    <cellStyle name="常规 2 2 5 3 2" xfId="175" xr:uid="{C6CC3FDA-24B8-42C0-9FEE-5EEF07AF4E28}"/>
    <cellStyle name="常规 2 3" xfId="99" xr:uid="{00000000-0005-0000-0000-000091000000}"/>
    <cellStyle name="常规 2 4" xfId="116" xr:uid="{D67CE6EC-7C3C-4861-8F03-CD44DCE86A7A}"/>
    <cellStyle name="常规 3" xfId="100" xr:uid="{00000000-0005-0000-0000-000092000000}"/>
    <cellStyle name="常规 3 2" xfId="101" xr:uid="{00000000-0005-0000-0000-000093000000}"/>
    <cellStyle name="常规 3 2 2" xfId="102" xr:uid="{00000000-0005-0000-0000-000094000000}"/>
    <cellStyle name="常规 3 2 3" xfId="115" xr:uid="{675A1209-6D2C-4AEE-9D87-FF7DBB458110}"/>
    <cellStyle name="常规 4" xfId="103" xr:uid="{00000000-0005-0000-0000-000095000000}"/>
    <cellStyle name="常规 5" xfId="150" xr:uid="{58A4FE20-FD09-49CA-A039-8FC6814E5DAC}"/>
    <cellStyle name="常规 6" xfId="176" xr:uid="{BA3D1B9A-0FAE-4443-BA71-8CFC6B3D0111}"/>
    <cellStyle name="常规 6 3" xfId="171" xr:uid="{98B0E478-9F6D-4987-80D5-FB2BCBD760C6}"/>
    <cellStyle name="常规 7" xfId="165" xr:uid="{91E723C7-29CC-43B8-A208-C5D0CB940DEC}"/>
    <cellStyle name="超链接" xfId="4" builtinId="8"/>
    <cellStyle name="超链接 2" xfId="104" xr:uid="{00000000-0005-0000-0000-000097000000}"/>
    <cellStyle name="超链接 3" xfId="117" xr:uid="{60540B4A-9255-44DB-A344-EC6955193348}"/>
    <cellStyle name="货币" xfId="1" builtinId="4"/>
    <cellStyle name="普通_附23_PBC4" xfId="105" xr:uid="{00000000-0005-0000-0000-000098000000}"/>
    <cellStyle name="千位分隔" xfId="3" builtinId="3"/>
    <cellStyle name="千位分隔 2" xfId="106" xr:uid="{00000000-0005-0000-0000-000099000000}"/>
    <cellStyle name="千位分隔 2 2" xfId="107" xr:uid="{00000000-0005-0000-0000-00009A000000}"/>
    <cellStyle name="千位分隔 2 2 2" xfId="108" xr:uid="{00000000-0005-0000-0000-00009B000000}"/>
    <cellStyle name="千位分隔 2 2 2 2" xfId="143" xr:uid="{8CEEA54F-260A-4044-B0F5-3E67BFBD0135}"/>
    <cellStyle name="千位分隔 2 2 3" xfId="109" xr:uid="{00000000-0005-0000-0000-00009C000000}"/>
    <cellStyle name="千位分隔 2 2 3 2" xfId="144" xr:uid="{AB4D8697-D268-424A-9B42-492DC66AFF62}"/>
    <cellStyle name="千位分隔 2 2 4" xfId="142" xr:uid="{EC873DD2-9BA2-4D2B-8182-8494E0DFE0A9}"/>
    <cellStyle name="千位分隔 2 3" xfId="110" xr:uid="{00000000-0005-0000-0000-00009D000000}"/>
    <cellStyle name="千位分隔 2 3 2" xfId="145" xr:uid="{24045BBB-D59F-4681-AAC6-50FEDD07F2E2}"/>
    <cellStyle name="千位分隔 2 4" xfId="141" xr:uid="{FE67FD6B-4BA0-48FE-827C-D34547D126B5}"/>
    <cellStyle name="千位分隔 2 7" xfId="111" xr:uid="{00000000-0005-0000-0000-00009E000000}"/>
    <cellStyle name="千位分隔 2 7 2" xfId="146" xr:uid="{7A6B8D2F-B20F-48ED-A4BA-4594A462FA98}"/>
    <cellStyle name="千位分隔 3" xfId="22" xr:uid="{00000000-0005-0000-0000-000043000000}"/>
    <cellStyle name="千位分隔 3 2" xfId="128" xr:uid="{17758202-530E-4346-BA41-9EC2ECE1FEA4}"/>
    <cellStyle name="千位分隔 3 4" xfId="112" xr:uid="{00000000-0005-0000-0000-00009F000000}"/>
    <cellStyle name="千位分隔 3 4 2" xfId="147" xr:uid="{7F39EDBC-EE66-4DFD-8192-BC35AAE0928D}"/>
    <cellStyle name="千位分隔 4" xfId="30" xr:uid="{00000000-0005-0000-0000-00004B000000}"/>
    <cellStyle name="千位分隔 4 2" xfId="135" xr:uid="{14CB809F-2054-48E4-AC33-E15177957639}"/>
    <cellStyle name="千位分隔 5" xfId="119" xr:uid="{CEB3B5B4-D1E2-47F4-9494-B9E2246A71CF}"/>
    <cellStyle name="千位分隔 7" xfId="172" xr:uid="{B34BA74F-1BEC-4A7A-9420-CE3D697D5E33}"/>
    <cellStyle name="千位分隔[0] 2" xfId="16" xr:uid="{00000000-0005-0000-0000-000033000000}"/>
    <cellStyle name="千位分隔[0] 2 2" xfId="127" xr:uid="{7E86128E-E053-4310-AB6F-C0046F70FADC}"/>
  </cellStyles>
  <dxfs count="37">
    <dxf>
      <fill>
        <patternFill>
          <bgColor rgb="FFFFFFCC"/>
        </patternFill>
      </fill>
    </dxf>
    <dxf>
      <fill>
        <patternFill>
          <bgColor theme="0" tint="-0.34998626667073579"/>
        </patternFill>
      </fill>
    </dxf>
    <dxf>
      <fill>
        <patternFill>
          <bgColor theme="0" tint="-0.34998626667073579"/>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79"/>
        </patternFill>
      </fill>
    </dxf>
    <dxf>
      <fill>
        <patternFill>
          <bgColor theme="0" tint="-0.34998626667073579"/>
        </patternFill>
      </fill>
    </dxf>
    <dxf>
      <fill>
        <patternFill>
          <bgColor rgb="FFFFFFCC"/>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79"/>
        </patternFill>
      </fill>
    </dxf>
    <dxf>
      <fill>
        <patternFill>
          <bgColor theme="0" tint="-0.34998626667073579"/>
        </patternFill>
      </fill>
    </dxf>
    <dxf>
      <fill>
        <patternFill>
          <bgColor rgb="FFFFFFCC"/>
        </patternFill>
      </fill>
    </dxf>
    <dxf>
      <fill>
        <patternFill>
          <bgColor theme="0" tint="-0.34998626667073579"/>
        </patternFill>
      </fill>
    </dxf>
  </dxfs>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BA%95%E7%A8%BF%E6%A8%A1%E6%9D%BF%E7%AD%94%E7%96%91%E9%93%BE%E6%8E%A5.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Altas-PSP-%E9%93%BE%E6%8E%A5.aspx#:~:text=%E7%9B%B8%E5%85%B3PSP%E4%BB%A5%E5%8F%8AOSP%E5%8F%AF%E4%BB%8EAtlas%E4%B8%AD%E8%8E%B7%E5%BE%97%EF%BC%8CAtlas%20Link%3A%C2%A0%C2%A0%C2%A0%C2%A0%C2%A0%C2%A0%C2%A0%C2%A0%0A(CN)%20M%2DNotes%20payable%0A%E6%9B%B4%E5%A4%9A%E8%AF%A5%E7%A7%91%E7%9B%AE%E7%9B%B8%E5%85%B3%E5%AE%A1%E8%AE%A1%E4%BC%9A%E8%AE%A1%E7%9F%A5%E8%AF%86%E5%8F%AF%E5%8F%82%E8%80%83%E2%80%9C%E5%A4%A7%E4%B8%AD%E5%8D%8E%E5%8C%BA%E4%BC%9A%E8%AE%A1%E5%AE%A1%E8%AE%A1%E7%9F%A5%E8%AF%86%E5%BA%93%E2%80%9D%C2%A0%C2%A0%C2%A0%C2%A0%C2%A0%C2%A0%C2%A0%C2%A0%0AN_%E5%BA%94%E4%BB%98%E8%B4%A6%E6%AC%BE%26%E5%BA%94%E4%BB%98%E7%A5%A8%E6%8D%AE%C2%A0"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2.png"/><Relationship Id="rId1" Type="http://schemas.openxmlformats.org/officeDocument/2006/relationships/hyperlink" Target="https://eychinamanaged.sharepoint.cn/sites/GCknowledgecenter/SitePages/%E6%A0%87%E5%87%86%E5%AE%A1%E8%AE%A1%E5%BA%95%E7%A8%BF%E6%A8%A1%E6%9D%BF_M_%E5%BA%94%E4%BB%98%E7%A5%A8%E6%8D%AE_202YMMDD_XYZ%E5%85%AC%E5%8F%B8_Read-me-and-Delete-me.aspx#:~:text=M.02%20%E5%95%86%E6%89%BFBKD%2D%E6%B3%A8%E9%87%8A,shcpe.com.cn/%23/register/registerTicket/ticketRule%E3%80%82" TargetMode="Externa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1451428</xdr:colOff>
      <xdr:row>24</xdr:row>
      <xdr:rowOff>217714</xdr:rowOff>
    </xdr:from>
    <xdr:to>
      <xdr:col>4</xdr:col>
      <xdr:colOff>1737178</xdr:colOff>
      <xdr:row>24</xdr:row>
      <xdr:rowOff>480545</xdr:rowOff>
    </xdr:to>
    <xdr:pic>
      <xdr:nvPicPr>
        <xdr:cNvPr id="4" name="图片 3">
          <a:hlinkClick xmlns:r="http://schemas.openxmlformats.org/officeDocument/2006/relationships" r:id="rId1" tooltip="Altas PSP 链接"/>
          <a:extLst>
            <a:ext uri="{FF2B5EF4-FFF2-40B4-BE49-F238E27FC236}">
              <a16:creationId xmlns:a16="http://schemas.microsoft.com/office/drawing/2014/main" id="{204D1033-5B01-4F21-8662-3C96E751DA6B}"/>
            </a:ext>
          </a:extLst>
        </xdr:cNvPr>
        <xdr:cNvPicPr>
          <a:picLocks noChangeAspect="1"/>
        </xdr:cNvPicPr>
      </xdr:nvPicPr>
      <xdr:blipFill>
        <a:blip xmlns:r="http://schemas.openxmlformats.org/officeDocument/2006/relationships" r:embed="rId2"/>
        <a:stretch>
          <a:fillRect/>
        </a:stretch>
      </xdr:blipFill>
      <xdr:spPr>
        <a:xfrm>
          <a:off x="5152571" y="3982357"/>
          <a:ext cx="285750" cy="262831"/>
        </a:xfrm>
        <a:prstGeom prst="rect">
          <a:avLst/>
        </a:prstGeom>
      </xdr:spPr>
    </xdr:pic>
    <xdr:clientData/>
  </xdr:twoCellAnchor>
  <xdr:twoCellAnchor>
    <xdr:from>
      <xdr:col>7</xdr:col>
      <xdr:colOff>3029858</xdr:colOff>
      <xdr:row>2</xdr:row>
      <xdr:rowOff>27215</xdr:rowOff>
    </xdr:from>
    <xdr:to>
      <xdr:col>10</xdr:col>
      <xdr:colOff>1219654</xdr:colOff>
      <xdr:row>8</xdr:row>
      <xdr:rowOff>104320</xdr:rowOff>
    </xdr:to>
    <xdr:sp macro="" textlink="">
      <xdr:nvSpPr>
        <xdr:cNvPr id="8" name="TextBox 2">
          <a:extLst>
            <a:ext uri="{FF2B5EF4-FFF2-40B4-BE49-F238E27FC236}">
              <a16:creationId xmlns:a16="http://schemas.microsoft.com/office/drawing/2014/main" id="{449A6A25-48B5-422E-A6A4-EB103171A8C0}"/>
            </a:ext>
            <a:ext uri="{147F2762-F138-4A5C-976F-8EAC2B608ADB}">
              <a16:predDERef xmlns:a16="http://schemas.microsoft.com/office/drawing/2014/main" pred="{C9C0D5C3-9D87-4135-9496-6DD501ADA265}"/>
            </a:ext>
          </a:extLst>
        </xdr:cNvPr>
        <xdr:cNvSpPr txBox="1"/>
      </xdr:nvSpPr>
      <xdr:spPr>
        <a:xfrm>
          <a:off x="10804072" y="353786"/>
          <a:ext cx="5247368" cy="1056820"/>
        </a:xfrm>
        <a:prstGeom prst="rect">
          <a:avLst/>
        </a:prstGeom>
        <a:solidFill>
          <a:srgbClr val="FFFFCC"/>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ja-JP" altLang="en-US" sz="1400" b="1">
              <a:solidFill>
                <a:srgbClr val="FF0000"/>
              </a:solidFill>
              <a:latin typeface="微软雅黑" panose="020B0503020204020204" pitchFamily="34" charset="-122"/>
              <a:ea typeface="微软雅黑" panose="020B0503020204020204" pitchFamily="34" charset="-122"/>
              <a:cs typeface="Arial" panose="020B0604020202020204" pitchFamily="34" charset="0"/>
            </a:rPr>
            <a:t>注意：</a:t>
          </a:r>
          <a:r>
            <a:rPr lang="ja-JP" altLang="en-US" sz="1400">
              <a:solidFill>
                <a:schemeClr val="dk1"/>
              </a:solidFill>
              <a:latin typeface="微软雅黑" panose="020B0503020204020204" pitchFamily="34" charset="-122"/>
              <a:ea typeface="微软雅黑" panose="020B0503020204020204" pitchFamily="34" charset="-122"/>
              <a:cs typeface="Arial" panose="020B0604020202020204" pitchFamily="34" charset="0"/>
            </a:rPr>
            <a:t>淡黄色单元格需要审计小组输入。审计小组在更新时删除红色文本，并从工作底稿中删除此注意事项。</a:t>
          </a:r>
        </a:p>
      </xdr:txBody>
    </xdr:sp>
    <xdr:clientData/>
  </xdr:twoCellAnchor>
  <xdr:oneCellAnchor>
    <xdr:from>
      <xdr:col>7</xdr:col>
      <xdr:colOff>2685142</xdr:colOff>
      <xdr:row>24</xdr:row>
      <xdr:rowOff>181429</xdr:rowOff>
    </xdr:from>
    <xdr:ext cx="290287" cy="281748"/>
    <xdr:pic>
      <xdr:nvPicPr>
        <xdr:cNvPr id="2" name="图片 1">
          <a:hlinkClick xmlns:r="http://schemas.openxmlformats.org/officeDocument/2006/relationships" r:id="rId3" tooltip="如需帮助请点击"/>
          <a:extLst>
            <a:ext uri="{FF2B5EF4-FFF2-40B4-BE49-F238E27FC236}">
              <a16:creationId xmlns:a16="http://schemas.microsoft.com/office/drawing/2014/main" id="{DCBAC929-F18A-49A9-9446-8D2D1202C840}"/>
            </a:ext>
          </a:extLst>
        </xdr:cNvPr>
        <xdr:cNvPicPr>
          <a:picLocks noChangeAspect="1"/>
        </xdr:cNvPicPr>
      </xdr:nvPicPr>
      <xdr:blipFill>
        <a:blip xmlns:r="http://schemas.openxmlformats.org/officeDocument/2006/relationships" r:embed="rId2"/>
        <a:stretch>
          <a:fillRect/>
        </a:stretch>
      </xdr:blipFill>
      <xdr:spPr>
        <a:xfrm>
          <a:off x="10459356" y="3810000"/>
          <a:ext cx="290287" cy="28174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6</xdr:col>
      <xdr:colOff>707572</xdr:colOff>
      <xdr:row>7</xdr:row>
      <xdr:rowOff>27214</xdr:rowOff>
    </xdr:from>
    <xdr:to>
      <xdr:col>6</xdr:col>
      <xdr:colOff>947602</xdr:colOff>
      <xdr:row>7</xdr:row>
      <xdr:rowOff>244384</xdr:rowOff>
    </xdr:to>
    <xdr:pic>
      <xdr:nvPicPr>
        <xdr:cNvPr id="2" name="图片 1">
          <a:hlinkClick xmlns:r="http://schemas.openxmlformats.org/officeDocument/2006/relationships" r:id="rId1" tooltip="预审&amp;年审工作注意事项"/>
          <a:extLst>
            <a:ext uri="{FF2B5EF4-FFF2-40B4-BE49-F238E27FC236}">
              <a16:creationId xmlns:a16="http://schemas.microsoft.com/office/drawing/2014/main" id="{F1626ECB-C4D3-BB3D-1D2C-1C6D1FEF2727}"/>
            </a:ext>
          </a:extLst>
        </xdr:cNvPr>
        <xdr:cNvPicPr>
          <a:picLocks noChangeAspect="1"/>
        </xdr:cNvPicPr>
      </xdr:nvPicPr>
      <xdr:blipFill>
        <a:blip xmlns:r="http://schemas.openxmlformats.org/officeDocument/2006/relationships" r:embed="rId2"/>
        <a:stretch>
          <a:fillRect/>
        </a:stretch>
      </xdr:blipFill>
      <xdr:spPr>
        <a:xfrm>
          <a:off x="6930572" y="2004785"/>
          <a:ext cx="240030" cy="217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994833</xdr:colOff>
      <xdr:row>6</xdr:row>
      <xdr:rowOff>21167</xdr:rowOff>
    </xdr:from>
    <xdr:to>
      <xdr:col>5</xdr:col>
      <xdr:colOff>1228513</xdr:colOff>
      <xdr:row>6</xdr:row>
      <xdr:rowOff>238337</xdr:rowOff>
    </xdr:to>
    <xdr:pic>
      <xdr:nvPicPr>
        <xdr:cNvPr id="2" name="图片 1">
          <a:hlinkClick xmlns:r="http://schemas.openxmlformats.org/officeDocument/2006/relationships" r:id="rId1" tooltip="预审&amp;年审工作注意事项"/>
          <a:extLst>
            <a:ext uri="{FF2B5EF4-FFF2-40B4-BE49-F238E27FC236}">
              <a16:creationId xmlns:a16="http://schemas.microsoft.com/office/drawing/2014/main" id="{07491445-6F5C-5295-072B-76C7D3ECC7E2}"/>
            </a:ext>
          </a:extLst>
        </xdr:cNvPr>
        <xdr:cNvPicPr>
          <a:picLocks noChangeAspect="1"/>
        </xdr:cNvPicPr>
      </xdr:nvPicPr>
      <xdr:blipFill>
        <a:blip xmlns:r="http://schemas.openxmlformats.org/officeDocument/2006/relationships" r:embed="rId2"/>
        <a:stretch>
          <a:fillRect/>
        </a:stretch>
      </xdr:blipFill>
      <xdr:spPr>
        <a:xfrm>
          <a:off x="8159750" y="1481667"/>
          <a:ext cx="240030" cy="217170"/>
        </a:xfrm>
        <a:prstGeom prst="rect">
          <a:avLst/>
        </a:prstGeom>
      </xdr:spPr>
    </xdr:pic>
    <xdr:clientData/>
  </xdr:twoCellAnchor>
  <xdr:twoCellAnchor>
    <xdr:from>
      <xdr:col>4</xdr:col>
      <xdr:colOff>415471</xdr:colOff>
      <xdr:row>15</xdr:row>
      <xdr:rowOff>54427</xdr:rowOff>
    </xdr:from>
    <xdr:to>
      <xdr:col>4</xdr:col>
      <xdr:colOff>489858</xdr:colOff>
      <xdr:row>17</xdr:row>
      <xdr:rowOff>145142</xdr:rowOff>
    </xdr:to>
    <xdr:grpSp>
      <xdr:nvGrpSpPr>
        <xdr:cNvPr id="3" name="Group 8">
          <a:extLst>
            <a:ext uri="{FF2B5EF4-FFF2-40B4-BE49-F238E27FC236}">
              <a16:creationId xmlns:a16="http://schemas.microsoft.com/office/drawing/2014/main" id="{A9E88FFD-D86F-4B08-B6E8-65E35E72925C}"/>
            </a:ext>
          </a:extLst>
        </xdr:cNvPr>
        <xdr:cNvGrpSpPr/>
      </xdr:nvGrpSpPr>
      <xdr:grpSpPr>
        <a:xfrm flipV="1">
          <a:off x="5123542" y="6377213"/>
          <a:ext cx="74387" cy="471715"/>
          <a:chOff x="7753350" y="3327400"/>
          <a:chExt cx="114300" cy="758825"/>
        </a:xfrm>
      </xdr:grpSpPr>
      <xdr:cxnSp macro="">
        <xdr:nvCxnSpPr>
          <xdr:cNvPr id="4" name="Straight Connector 6">
            <a:extLst>
              <a:ext uri="{FF2B5EF4-FFF2-40B4-BE49-F238E27FC236}">
                <a16:creationId xmlns:a16="http://schemas.microsoft.com/office/drawing/2014/main" id="{8E3E2823-C8C9-2C27-E218-343D5A94E307}"/>
              </a:ext>
            </a:extLst>
          </xdr:cNvPr>
          <xdr:cNvCxnSpPr/>
        </xdr:nvCxnSpPr>
        <xdr:spPr>
          <a:xfrm>
            <a:off x="7804150" y="33274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7">
            <a:extLst>
              <a:ext uri="{FF2B5EF4-FFF2-40B4-BE49-F238E27FC236}">
                <a16:creationId xmlns:a16="http://schemas.microsoft.com/office/drawing/2014/main" id="{17291688-6DC2-8AF6-3469-D5AE1B122F1F}"/>
              </a:ext>
            </a:extLst>
          </xdr:cNvPr>
          <xdr:cNvCxnSpPr/>
        </xdr:nvCxnSpPr>
        <xdr:spPr>
          <a:xfrm>
            <a:off x="7753350" y="40862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325661</xdr:colOff>
      <xdr:row>41</xdr:row>
      <xdr:rowOff>38554</xdr:rowOff>
    </xdr:from>
    <xdr:to>
      <xdr:col>12</xdr:col>
      <xdr:colOff>620938</xdr:colOff>
      <xdr:row>48</xdr:row>
      <xdr:rowOff>97518</xdr:rowOff>
    </xdr:to>
    <xdr:sp macro="" textlink="">
      <xdr:nvSpPr>
        <xdr:cNvPr id="12" name="TextBox 5">
          <a:extLst>
            <a:ext uri="{FF2B5EF4-FFF2-40B4-BE49-F238E27FC236}">
              <a16:creationId xmlns:a16="http://schemas.microsoft.com/office/drawing/2014/main" id="{C005D08A-219F-43D1-9695-F2A50524971C}"/>
            </a:ext>
            <a:ext uri="{147F2762-F138-4A5C-976F-8EAC2B608ADB}">
              <a16:predDERef xmlns:a16="http://schemas.microsoft.com/office/drawing/2014/main" pred="{A9E88FFD-D86F-4B08-B6E8-65E35E72925C}"/>
            </a:ext>
          </a:extLst>
        </xdr:cNvPr>
        <xdr:cNvSpPr txBox="1"/>
      </xdr:nvSpPr>
      <xdr:spPr>
        <a:xfrm>
          <a:off x="506636" y="10763704"/>
          <a:ext cx="17125952" cy="1306739"/>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注意</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l"/>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&gt;</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测试表头基础信息</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en-US" altLang="zh-CN" sz="1400" b="1" i="1">
              <a:solidFill>
                <a:srgbClr val="00B0F0"/>
              </a:solidFill>
              <a:latin typeface="Arial" panose="020B0604020202020204" pitchFamily="34" charset="0"/>
              <a:ea typeface="微软雅黑" panose="020B0503020204020204" pitchFamily="34" charset="-122"/>
              <a:cs typeface="Arial" panose="020B0604020202020204" pitchFamily="34" charset="0"/>
            </a:rPr>
            <a:t>D-M</a:t>
          </a:r>
          <a:r>
            <a:rPr kumimoji="1" lang="zh-CN" altLang="en-US" sz="1400" b="1" i="1">
              <a:solidFill>
                <a:srgbClr val="00B0F0"/>
              </a:solidFill>
              <a:latin typeface="Arial" panose="020B0604020202020204" pitchFamily="34" charset="0"/>
              <a:ea typeface="微软雅黑" panose="020B0503020204020204" pitchFamily="34" charset="-122"/>
              <a:cs typeface="Arial" panose="020B0604020202020204" pitchFamily="34" charset="0"/>
            </a:rPr>
            <a:t>列</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的列示格式仅供参考，可以根据</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PBC</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格式自定义，基础信息建议包含字段：供应商名称、出票人、收票人、签发日期、到期日、票据票面金额、票据号码、承兑人名称、开票方式（银行承兑汇票适用）、约定利率等信息。</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&gt;B</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列的</a:t>
          </a:r>
          <a:r>
            <a:rPr kumimoji="1" lang="en-US"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EY</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测试属性类别为必填项（选填</a:t>
          </a:r>
          <a:r>
            <a:rPr kumimoji="1" lang="en-US"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1</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或</a:t>
          </a:r>
          <a:r>
            <a:rPr kumimoji="1" lang="en-US"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2</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），填列</a:t>
          </a:r>
          <a:r>
            <a:rPr kumimoji="1" lang="en-US"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B</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列后，</a:t>
          </a:r>
          <a:r>
            <a:rPr kumimoji="1" lang="zh-CN" altLang="en-US"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该行</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无需填列的单元格会自动灰色。</a:t>
          </a:r>
          <a:endParaRPr lang="zh-CN" altLang="zh-CN" sz="1400">
            <a:solidFill>
              <a:srgbClr val="FF0000"/>
            </a:solidFill>
            <a:effectLst/>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xdr:from>
      <xdr:col>1</xdr:col>
      <xdr:colOff>322941</xdr:colOff>
      <xdr:row>62</xdr:row>
      <xdr:rowOff>74387</xdr:rowOff>
    </xdr:from>
    <xdr:to>
      <xdr:col>10</xdr:col>
      <xdr:colOff>948869</xdr:colOff>
      <xdr:row>66</xdr:row>
      <xdr:rowOff>128815</xdr:rowOff>
    </xdr:to>
    <xdr:sp macro="" textlink="">
      <xdr:nvSpPr>
        <xdr:cNvPr id="7" name="TextBox 5">
          <a:extLst>
            <a:ext uri="{FF2B5EF4-FFF2-40B4-BE49-F238E27FC236}">
              <a16:creationId xmlns:a16="http://schemas.microsoft.com/office/drawing/2014/main" id="{7EA9AFAF-628E-4815-A33F-A4E83971DED4}"/>
            </a:ext>
            <a:ext uri="{147F2762-F138-4A5C-976F-8EAC2B608ADB}">
              <a16:predDERef xmlns:a16="http://schemas.microsoft.com/office/drawing/2014/main" pred="{C005D08A-219F-43D1-9695-F2A50524971C}"/>
            </a:ext>
          </a:extLst>
        </xdr:cNvPr>
        <xdr:cNvSpPr txBox="1"/>
      </xdr:nvSpPr>
      <xdr:spPr>
        <a:xfrm>
          <a:off x="503916" y="14771462"/>
          <a:ext cx="14656253" cy="702128"/>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注意</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l"/>
          <a:r>
            <a:rPr kumimoji="1" lang="en-US"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&gt;B</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列的</a:t>
          </a:r>
          <a:r>
            <a:rPr kumimoji="1" lang="en-US"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EY</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测试属性类别为必填项（选填</a:t>
          </a:r>
          <a:r>
            <a:rPr kumimoji="1" lang="en-US"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3</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或</a:t>
          </a:r>
          <a:r>
            <a:rPr kumimoji="1" lang="en-US"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4</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），填列</a:t>
          </a:r>
          <a:r>
            <a:rPr kumimoji="1" lang="en-US"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B</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列后，</a:t>
          </a:r>
          <a:r>
            <a:rPr kumimoji="1" lang="zh-CN" altLang="en-US"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该行</a:t>
          </a:r>
          <a:r>
            <a:rPr kumimoji="1" lang="zh-CN" altLang="zh-CN" sz="1400" b="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无需填列的单元格会自动灰色。</a:t>
          </a:r>
          <a:endParaRPr lang="zh-CN" altLang="zh-CN" sz="1400">
            <a:solidFill>
              <a:srgbClr val="FF0000"/>
            </a:solidFill>
            <a:effectLst/>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2116234</xdr:colOff>
      <xdr:row>36</xdr:row>
      <xdr:rowOff>36285</xdr:rowOff>
    </xdr:from>
    <xdr:to>
      <xdr:col>5</xdr:col>
      <xdr:colOff>2401021</xdr:colOff>
      <xdr:row>37</xdr:row>
      <xdr:rowOff>146624</xdr:rowOff>
    </xdr:to>
    <xdr:pic>
      <xdr:nvPicPr>
        <xdr:cNvPr id="10" name="图片 1">
          <a:hlinkClick xmlns:r="http://schemas.openxmlformats.org/officeDocument/2006/relationships" r:id="rId1" tooltip="商业承兑汇票核对至票据信息披露平台提示"/>
          <a:extLst>
            <a:ext uri="{FF2B5EF4-FFF2-40B4-BE49-F238E27FC236}">
              <a16:creationId xmlns:a16="http://schemas.microsoft.com/office/drawing/2014/main" id="{D6ED449D-9F83-4F9C-BC27-5F0F727746B5}"/>
            </a:ext>
          </a:extLst>
        </xdr:cNvPr>
        <xdr:cNvPicPr>
          <a:picLocks noChangeAspect="1"/>
        </xdr:cNvPicPr>
      </xdr:nvPicPr>
      <xdr:blipFill>
        <a:blip xmlns:r="http://schemas.openxmlformats.org/officeDocument/2006/relationships" r:embed="rId2"/>
        <a:stretch>
          <a:fillRect/>
        </a:stretch>
      </xdr:blipFill>
      <xdr:spPr>
        <a:xfrm>
          <a:off x="8711163" y="12219214"/>
          <a:ext cx="284787" cy="273624"/>
        </a:xfrm>
        <a:prstGeom prst="rect">
          <a:avLst/>
        </a:prstGeom>
      </xdr:spPr>
    </xdr:pic>
    <xdr:clientData/>
  </xdr:twoCellAnchor>
  <xdr:twoCellAnchor editAs="oneCell">
    <xdr:from>
      <xdr:col>5</xdr:col>
      <xdr:colOff>836084</xdr:colOff>
      <xdr:row>6</xdr:row>
      <xdr:rowOff>31749</xdr:rowOff>
    </xdr:from>
    <xdr:to>
      <xdr:col>5</xdr:col>
      <xdr:colOff>1076114</xdr:colOff>
      <xdr:row>7</xdr:row>
      <xdr:rowOff>1269</xdr:rowOff>
    </xdr:to>
    <xdr:pic>
      <xdr:nvPicPr>
        <xdr:cNvPr id="4" name="图片 3">
          <a:hlinkClick xmlns:r="http://schemas.openxmlformats.org/officeDocument/2006/relationships" r:id="rId3" tooltip="预审&amp;年审工作注意事项"/>
          <a:extLst>
            <a:ext uri="{FF2B5EF4-FFF2-40B4-BE49-F238E27FC236}">
              <a16:creationId xmlns:a16="http://schemas.microsoft.com/office/drawing/2014/main" id="{7F1DFD0B-0C17-804E-D7B9-82ED51C735E5}"/>
            </a:ext>
          </a:extLst>
        </xdr:cNvPr>
        <xdr:cNvPicPr>
          <a:picLocks noChangeAspect="1"/>
        </xdr:cNvPicPr>
      </xdr:nvPicPr>
      <xdr:blipFill>
        <a:blip xmlns:r="http://schemas.openxmlformats.org/officeDocument/2006/relationships" r:embed="rId4"/>
        <a:stretch>
          <a:fillRect/>
        </a:stretch>
      </xdr:blipFill>
      <xdr:spPr>
        <a:xfrm>
          <a:off x="8001001" y="1492249"/>
          <a:ext cx="240030" cy="217170"/>
        </a:xfrm>
        <a:prstGeom prst="rect">
          <a:avLst/>
        </a:prstGeom>
      </xdr:spPr>
    </xdr:pic>
    <xdr:clientData/>
  </xdr:twoCellAnchor>
  <xdr:twoCellAnchor>
    <xdr:from>
      <xdr:col>4</xdr:col>
      <xdr:colOff>415471</xdr:colOff>
      <xdr:row>15</xdr:row>
      <xdr:rowOff>54427</xdr:rowOff>
    </xdr:from>
    <xdr:to>
      <xdr:col>4</xdr:col>
      <xdr:colOff>526143</xdr:colOff>
      <xdr:row>17</xdr:row>
      <xdr:rowOff>145142</xdr:rowOff>
    </xdr:to>
    <xdr:grpSp>
      <xdr:nvGrpSpPr>
        <xdr:cNvPr id="3" name="Group 8">
          <a:extLst>
            <a:ext uri="{FF2B5EF4-FFF2-40B4-BE49-F238E27FC236}">
              <a16:creationId xmlns:a16="http://schemas.microsoft.com/office/drawing/2014/main" id="{B48C6638-1381-4D30-A5A2-302A93EC7069}"/>
            </a:ext>
          </a:extLst>
        </xdr:cNvPr>
        <xdr:cNvGrpSpPr/>
      </xdr:nvGrpSpPr>
      <xdr:grpSpPr>
        <a:xfrm flipV="1">
          <a:off x="5123542" y="7638141"/>
          <a:ext cx="110672" cy="471715"/>
          <a:chOff x="7753350" y="3327400"/>
          <a:chExt cx="114300" cy="758825"/>
        </a:xfrm>
      </xdr:grpSpPr>
      <xdr:cxnSp macro="">
        <xdr:nvCxnSpPr>
          <xdr:cNvPr id="5" name="Straight Connector 6">
            <a:extLst>
              <a:ext uri="{FF2B5EF4-FFF2-40B4-BE49-F238E27FC236}">
                <a16:creationId xmlns:a16="http://schemas.microsoft.com/office/drawing/2014/main" id="{9EAB67C3-E5E9-B2CF-8B7A-F20D98BD1B9A}"/>
              </a:ext>
            </a:extLst>
          </xdr:cNvPr>
          <xdr:cNvCxnSpPr/>
        </xdr:nvCxnSpPr>
        <xdr:spPr>
          <a:xfrm>
            <a:off x="7804150" y="33274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6" name="Straight Connector 7">
            <a:extLst>
              <a:ext uri="{FF2B5EF4-FFF2-40B4-BE49-F238E27FC236}">
                <a16:creationId xmlns:a16="http://schemas.microsoft.com/office/drawing/2014/main" id="{AD9C1AB8-E910-49AB-5693-C21FF4500929}"/>
              </a:ext>
            </a:extLst>
          </xdr:cNvPr>
          <xdr:cNvCxnSpPr/>
        </xdr:nvCxnSpPr>
        <xdr:spPr>
          <a:xfrm>
            <a:off x="7753350" y="40862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385991</xdr:colOff>
      <xdr:row>46</xdr:row>
      <xdr:rowOff>46720</xdr:rowOff>
    </xdr:from>
    <xdr:to>
      <xdr:col>8</xdr:col>
      <xdr:colOff>448584</xdr:colOff>
      <xdr:row>53</xdr:row>
      <xdr:rowOff>83005</xdr:rowOff>
    </xdr:to>
    <xdr:sp macro="" textlink="">
      <xdr:nvSpPr>
        <xdr:cNvPr id="7" name="TextBox 5">
          <a:extLst>
            <a:ext uri="{FF2B5EF4-FFF2-40B4-BE49-F238E27FC236}">
              <a16:creationId xmlns:a16="http://schemas.microsoft.com/office/drawing/2014/main" id="{1811B9AC-99BD-473E-92A4-173EF680F5C5}"/>
            </a:ext>
            <a:ext uri="{147F2762-F138-4A5C-976F-8EAC2B608ADB}">
              <a16:predDERef xmlns:a16="http://schemas.microsoft.com/office/drawing/2014/main" pred="{B48C6638-1381-4D30-A5A2-302A93EC7069}"/>
            </a:ext>
          </a:extLst>
        </xdr:cNvPr>
        <xdr:cNvSpPr txBox="1"/>
      </xdr:nvSpPr>
      <xdr:spPr>
        <a:xfrm>
          <a:off x="567420" y="13381720"/>
          <a:ext cx="12399735" cy="1315356"/>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注意</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l"/>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&gt;</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测试表头基础信息</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en-US" altLang="zh-CN" sz="1400" b="1" i="1">
              <a:solidFill>
                <a:srgbClr val="00B0F0"/>
              </a:solidFill>
              <a:latin typeface="Arial" panose="020B0604020202020204" pitchFamily="34" charset="0"/>
              <a:ea typeface="微软雅黑" panose="020B0503020204020204" pitchFamily="34" charset="-122"/>
              <a:cs typeface="Arial" panose="020B0604020202020204" pitchFamily="34" charset="0"/>
            </a:rPr>
            <a:t>D-K</a:t>
          </a:r>
          <a:r>
            <a:rPr kumimoji="1" lang="zh-CN" altLang="en-US" sz="1400" b="1" i="1">
              <a:solidFill>
                <a:srgbClr val="00B0F0"/>
              </a:solidFill>
              <a:latin typeface="Arial" panose="020B0604020202020204" pitchFamily="34" charset="0"/>
              <a:ea typeface="微软雅黑" panose="020B0503020204020204" pitchFamily="34" charset="-122"/>
              <a:cs typeface="Arial" panose="020B0604020202020204" pitchFamily="34" charset="0"/>
            </a:rPr>
            <a:t>列</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的列示格式仅供参考，可以根据</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PBC</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格式自定义，基础信息建议包含字段：供应商名称、出票人、收票人、签发日期、到期日、票据票面金额、票据号码等信息。</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a:p>
          <a:pPr algn="l"/>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&gt;&gt;B</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列的</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EY</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测试属性类别为必填项（选填</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1</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或</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2</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），填列</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B</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列后，该行无需填列的单元格会自动灰色。</a:t>
          </a:r>
        </a:p>
      </xdr:txBody>
    </xdr:sp>
    <xdr:clientData/>
  </xdr:twoCellAnchor>
  <xdr:twoCellAnchor editAs="oneCell">
    <xdr:from>
      <xdr:col>4</xdr:col>
      <xdr:colOff>11636</xdr:colOff>
      <xdr:row>26</xdr:row>
      <xdr:rowOff>45357</xdr:rowOff>
    </xdr:from>
    <xdr:to>
      <xdr:col>4</xdr:col>
      <xdr:colOff>274676</xdr:colOff>
      <xdr:row>27</xdr:row>
      <xdr:rowOff>137098</xdr:rowOff>
    </xdr:to>
    <xdr:pic>
      <xdr:nvPicPr>
        <xdr:cNvPr id="9" name="图片 7">
          <a:hlinkClick xmlns:r="http://schemas.openxmlformats.org/officeDocument/2006/relationships" r:id="rId1" tooltip="商业承兑汇票核对至票据信息披露平台提示"/>
          <a:extLst>
            <a:ext uri="{FF2B5EF4-FFF2-40B4-BE49-F238E27FC236}">
              <a16:creationId xmlns:a16="http://schemas.microsoft.com/office/drawing/2014/main" id="{5E789DE6-6D43-471C-9C79-CC8569F89EAC}"/>
            </a:ext>
          </a:extLst>
        </xdr:cNvPr>
        <xdr:cNvPicPr>
          <a:picLocks noChangeAspect="1"/>
        </xdr:cNvPicPr>
      </xdr:nvPicPr>
      <xdr:blipFill>
        <a:blip xmlns:r="http://schemas.openxmlformats.org/officeDocument/2006/relationships" r:embed="rId2"/>
        <a:stretch>
          <a:fillRect/>
        </a:stretch>
      </xdr:blipFill>
      <xdr:spPr>
        <a:xfrm>
          <a:off x="4719707" y="9951357"/>
          <a:ext cx="263040" cy="2550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81643</xdr:colOff>
      <xdr:row>5</xdr:row>
      <xdr:rowOff>117928</xdr:rowOff>
    </xdr:from>
    <xdr:to>
      <xdr:col>8</xdr:col>
      <xdr:colOff>1524000</xdr:colOff>
      <xdr:row>12</xdr:row>
      <xdr:rowOff>99785</xdr:rowOff>
    </xdr:to>
    <xdr:sp macro="" textlink="">
      <xdr:nvSpPr>
        <xdr:cNvPr id="3" name="TextBox 5">
          <a:extLst>
            <a:ext uri="{FF2B5EF4-FFF2-40B4-BE49-F238E27FC236}">
              <a16:creationId xmlns:a16="http://schemas.microsoft.com/office/drawing/2014/main" id="{BA59FD54-7472-4BC6-ACB6-26A3F7902E52}"/>
            </a:ext>
            <a:ext uri="{147F2762-F138-4A5C-976F-8EAC2B608ADB}">
              <a16:predDERef xmlns:a16="http://schemas.microsoft.com/office/drawing/2014/main" pred="{00000000-0008-0000-0300-000002000000}"/>
            </a:ext>
          </a:extLst>
        </xdr:cNvPr>
        <xdr:cNvSpPr txBox="1"/>
      </xdr:nvSpPr>
      <xdr:spPr>
        <a:xfrm>
          <a:off x="453572" y="1224642"/>
          <a:ext cx="13189857" cy="1251857"/>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l"/>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&gt;</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该表格为向客户获取的应付票据明细账（台账）</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PBC</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，建议包含字段：供应商名称、出票人、收票人、签发日期、到期日、票据票面金额、票据号码、承兑人名称、开票方式（银行承兑汇票适用）、约定利率等信息。</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L47"/>
  <sheetViews>
    <sheetView showGridLines="0" tabSelected="1" zoomScale="70" zoomScaleNormal="70" workbookViewId="0">
      <selection activeCell="H22" sqref="H22"/>
    </sheetView>
  </sheetViews>
  <sheetFormatPr defaultColWidth="9.08203125" defaultRowHeight="13.15" customHeight="1"/>
  <cols>
    <col min="1" max="1" width="2.33203125" style="8" customWidth="1"/>
    <col min="2" max="2" width="5.33203125" style="3" customWidth="1"/>
    <col min="3" max="3" width="16.75" style="3" customWidth="1"/>
    <col min="4" max="4" width="22.33203125" style="3" customWidth="1"/>
    <col min="5" max="5" width="23.33203125" style="4" customWidth="1"/>
    <col min="6" max="6" width="13.75" style="3" customWidth="1"/>
    <col min="7" max="7" width="18" style="3" customWidth="1"/>
    <col min="8" max="8" width="57.08203125" style="3" customWidth="1"/>
    <col min="9" max="9" width="10.08203125" style="3" customWidth="1"/>
    <col min="10" max="10" width="25.33203125" style="3" customWidth="1"/>
    <col min="11" max="11" width="21.75" style="3" customWidth="1"/>
    <col min="12" max="59" width="9.08203125" style="3"/>
    <col min="60" max="60" width="51.33203125" style="3" customWidth="1"/>
    <col min="61" max="61" width="11.75" style="3" customWidth="1"/>
    <col min="62" max="62" width="9.08203125" style="3"/>
    <col min="63" max="63" width="61.75" style="3" customWidth="1"/>
    <col min="64" max="16384" width="9.08203125" style="3"/>
  </cols>
  <sheetData>
    <row r="1" spans="1:64" ht="21.5" customHeight="1">
      <c r="A1" s="622" t="s">
        <v>424</v>
      </c>
      <c r="BA1" s="13"/>
      <c r="BH1" s="5"/>
      <c r="BK1" s="6"/>
      <c r="BL1" s="7"/>
    </row>
    <row r="2" spans="1:64" ht="13.15" customHeight="1">
      <c r="C2" s="9"/>
      <c r="D2" s="10"/>
      <c r="E2" s="11"/>
      <c r="F2" s="10"/>
      <c r="G2" s="12"/>
      <c r="I2" s="166"/>
      <c r="AY2" s="13"/>
      <c r="BA2" s="13"/>
      <c r="BB2" s="14"/>
      <c r="BC2" s="7"/>
    </row>
    <row r="3" spans="1:64" ht="13.15" customHeight="1">
      <c r="C3" s="15" t="s">
        <v>0</v>
      </c>
      <c r="D3" s="16"/>
      <c r="E3" s="17"/>
      <c r="F3" s="18" t="s">
        <v>1</v>
      </c>
      <c r="G3" s="19"/>
      <c r="I3" s="338"/>
      <c r="AY3" s="13"/>
      <c r="BA3" s="13"/>
      <c r="BB3" s="14"/>
      <c r="BC3" s="7"/>
    </row>
    <row r="4" spans="1:64" ht="13.15" customHeight="1">
      <c r="C4" s="20"/>
      <c r="D4" s="21"/>
      <c r="E4" s="17"/>
      <c r="F4" s="22"/>
      <c r="G4" s="23"/>
      <c r="AY4" s="13"/>
      <c r="BA4" s="13"/>
      <c r="BB4" s="14"/>
      <c r="BC4" s="7"/>
    </row>
    <row r="5" spans="1:64" ht="13.15" customHeight="1">
      <c r="C5" s="167" t="s">
        <v>2</v>
      </c>
      <c r="D5" s="24">
        <v>46022</v>
      </c>
      <c r="E5" s="17"/>
      <c r="F5" s="18" t="s">
        <v>3</v>
      </c>
      <c r="G5" s="19"/>
      <c r="H5" s="25"/>
      <c r="AY5" s="26"/>
      <c r="BA5" s="13"/>
      <c r="BB5" s="27"/>
      <c r="BC5" s="7"/>
    </row>
    <row r="6" spans="1:64" ht="13.15" customHeight="1">
      <c r="C6" s="20"/>
      <c r="D6" s="28"/>
      <c r="E6" s="17"/>
      <c r="F6" s="22"/>
      <c r="G6" s="23"/>
      <c r="AY6" s="29"/>
      <c r="BA6" s="13"/>
      <c r="BB6" s="14"/>
      <c r="BC6" s="7"/>
    </row>
    <row r="7" spans="1:64" ht="13.15" customHeight="1">
      <c r="C7" s="15" t="s">
        <v>4</v>
      </c>
      <c r="D7" s="16"/>
      <c r="E7" s="17"/>
      <c r="F7" s="18" t="s">
        <v>5</v>
      </c>
      <c r="G7" s="19"/>
      <c r="AY7" s="13"/>
      <c r="BA7" s="13"/>
      <c r="BB7" s="14"/>
      <c r="BC7" s="7"/>
    </row>
    <row r="8" spans="1:64" ht="13.15" customHeight="1">
      <c r="C8" s="158"/>
      <c r="D8" s="159"/>
      <c r="E8" s="17"/>
      <c r="F8" s="160"/>
      <c r="G8" s="161"/>
      <c r="AY8" s="13"/>
      <c r="BA8" s="13"/>
      <c r="BB8" s="14"/>
      <c r="BC8" s="7"/>
    </row>
    <row r="9" spans="1:64" ht="13.15" customHeight="1">
      <c r="C9" s="167" t="s">
        <v>6</v>
      </c>
      <c r="D9" s="16"/>
      <c r="E9" s="17"/>
      <c r="F9" s="160"/>
      <c r="G9" s="161"/>
      <c r="AY9" s="13"/>
      <c r="BA9" s="13"/>
      <c r="BB9" s="14"/>
      <c r="BC9" s="7"/>
    </row>
    <row r="10" spans="1:64" ht="13.15" customHeight="1">
      <c r="C10" s="30"/>
      <c r="D10" s="31"/>
      <c r="E10" s="32"/>
      <c r="F10" s="31"/>
      <c r="G10" s="33"/>
      <c r="AY10" s="29"/>
      <c r="BA10" s="13"/>
      <c r="BB10" s="14"/>
      <c r="BC10" s="7"/>
    </row>
    <row r="11" spans="1:64" ht="13">
      <c r="C11" s="34"/>
      <c r="E11" s="3"/>
      <c r="AY11" s="29"/>
      <c r="BA11" s="13"/>
      <c r="BB11" s="14"/>
      <c r="BC11" s="7"/>
    </row>
    <row r="12" spans="1:64" ht="13.5" thickBot="1">
      <c r="C12" s="34"/>
      <c r="E12" s="3"/>
      <c r="AY12" s="29"/>
      <c r="BA12" s="13"/>
      <c r="BB12" s="14"/>
      <c r="BC12" s="7"/>
    </row>
    <row r="13" spans="1:64" ht="13.5" thickBot="1">
      <c r="C13" s="344"/>
      <c r="D13" s="344"/>
      <c r="E13" s="506" t="s">
        <v>7</v>
      </c>
      <c r="F13" s="507"/>
      <c r="AY13" s="29"/>
      <c r="BA13" s="13"/>
      <c r="BB13" s="14"/>
      <c r="BC13" s="7"/>
    </row>
    <row r="14" spans="1:64" ht="15">
      <c r="C14" s="352" t="s">
        <v>8</v>
      </c>
      <c r="D14" s="359" t="s">
        <v>9</v>
      </c>
      <c r="E14" s="352" t="s">
        <v>10</v>
      </c>
      <c r="F14" s="496" t="s">
        <v>11</v>
      </c>
      <c r="G14" s="72"/>
      <c r="J14" s="142"/>
      <c r="AZ14" s="29"/>
      <c r="BB14" s="13"/>
      <c r="BC14" s="14"/>
      <c r="BD14" s="7"/>
    </row>
    <row r="15" spans="1:64" ht="14.5">
      <c r="C15" s="353" t="s">
        <v>12</v>
      </c>
      <c r="D15" s="360"/>
      <c r="E15" s="362">
        <f>IF(D15="Minimal",$G$5*50%,IF(D15="Low",$G$5*25%,IF(D15="Moderate",$G$5*15%,IF(D15="High",$G$5*10%,IF(D15="N/A","-",)))))</f>
        <v>0</v>
      </c>
      <c r="F15" s="354">
        <f>MIN($E$15:$E$19)</f>
        <v>0</v>
      </c>
      <c r="G15" s="72"/>
      <c r="J15" s="143"/>
      <c r="AZ15" s="29"/>
      <c r="BB15" s="13"/>
      <c r="BC15" s="14"/>
      <c r="BD15" s="7"/>
    </row>
    <row r="16" spans="1:64" ht="14.5">
      <c r="C16" s="355" t="s">
        <v>13</v>
      </c>
      <c r="D16" s="360"/>
      <c r="E16" s="362">
        <f>IF(D16="Minimal",$G$5*100%,IF(D16="Low",$G$5*75%,IF(D16="Moderate",$G$5*50%,IF(D16="High",$G$5*25%,IF(D16="N/A","-",)))))</f>
        <v>0</v>
      </c>
      <c r="F16" s="356"/>
      <c r="G16" s="72"/>
      <c r="J16" s="143"/>
      <c r="AZ16" s="29"/>
      <c r="BB16" s="13"/>
      <c r="BC16" s="14"/>
      <c r="BD16" s="7"/>
    </row>
    <row r="17" spans="1:56" ht="14.5">
      <c r="C17" s="353" t="s">
        <v>14</v>
      </c>
      <c r="D17" s="360"/>
      <c r="E17" s="362">
        <f>IF(D17="Minimal",$G$5*100%,IF(D17="Low",$G$5*75%,IF(D17="Moderate",$G$5*50%,IF(D17="High",$G$5*25%,IF(D17="N/A","-",)))))</f>
        <v>0</v>
      </c>
      <c r="F17" s="356"/>
      <c r="G17" s="72"/>
      <c r="J17" s="143"/>
      <c r="AZ17" s="29"/>
      <c r="BB17" s="13"/>
      <c r="BC17" s="14"/>
      <c r="BD17" s="7"/>
    </row>
    <row r="18" spans="1:56" ht="14.5">
      <c r="C18" s="353" t="s">
        <v>15</v>
      </c>
      <c r="D18" s="360"/>
      <c r="E18" s="362">
        <f>IF(D18="Minimal",$G$5*100%,IF(D18="Low",$G$5*75%,IF(D18="Moderate",$G$5*50%,IF(D18="High",$G$5*25%,IF(D18="N/A","-",)))))</f>
        <v>0</v>
      </c>
      <c r="F18" s="356"/>
      <c r="G18" s="72"/>
      <c r="J18" s="143"/>
      <c r="AZ18" s="29"/>
      <c r="BB18" s="13"/>
      <c r="BC18" s="14"/>
      <c r="BD18" s="7"/>
    </row>
    <row r="19" spans="1:56" ht="15" thickBot="1">
      <c r="C19" s="357" t="s">
        <v>16</v>
      </c>
      <c r="D19" s="361"/>
      <c r="E19" s="363">
        <f>IF(D19="Minimal",$G$5*100%,IF(D19="Low",$G$5*75%,IF(D19="Moderate",$G$5*50%,IF(D19="High",$G$5*25%,IF(D19="N/A","-",)))))</f>
        <v>0</v>
      </c>
      <c r="F19" s="358"/>
      <c r="G19" s="72"/>
      <c r="J19" s="142"/>
      <c r="AZ19" s="29"/>
      <c r="BB19" s="13"/>
      <c r="BC19" s="14"/>
      <c r="BD19" s="7"/>
    </row>
    <row r="20" spans="1:56" ht="13">
      <c r="C20" s="508" t="s">
        <v>17</v>
      </c>
      <c r="D20" s="508"/>
      <c r="E20" s="508"/>
      <c r="F20" s="508"/>
      <c r="G20" s="72"/>
      <c r="J20" s="142"/>
      <c r="AZ20" s="29"/>
      <c r="BB20" s="13"/>
      <c r="BC20" s="14"/>
      <c r="BD20" s="7"/>
    </row>
    <row r="21" spans="1:56" ht="12.75" customHeight="1">
      <c r="C21" s="345" t="s">
        <v>18</v>
      </c>
      <c r="D21" s="497"/>
      <c r="E21" s="497"/>
      <c r="F21" s="497"/>
      <c r="G21" s="72"/>
      <c r="J21" s="142"/>
      <c r="AZ21" s="29"/>
      <c r="BB21" s="13"/>
      <c r="BC21" s="14"/>
      <c r="BD21" s="7"/>
    </row>
    <row r="22" spans="1:56" ht="13.5">
      <c r="C22" s="345" t="s">
        <v>19</v>
      </c>
      <c r="D22" s="497"/>
      <c r="E22" s="497"/>
      <c r="F22" s="497"/>
      <c r="G22" s="72"/>
      <c r="J22" s="142"/>
      <c r="AZ22" s="29"/>
      <c r="BB22" s="13"/>
      <c r="BC22" s="14"/>
      <c r="BD22" s="7"/>
    </row>
    <row r="23" spans="1:56" ht="47.25" customHeight="1">
      <c r="C23" s="508" t="s">
        <v>20</v>
      </c>
      <c r="D23" s="508"/>
      <c r="E23" s="508"/>
      <c r="F23" s="508"/>
      <c r="G23" s="72"/>
      <c r="J23" s="144"/>
      <c r="AZ23" s="29"/>
      <c r="BB23" s="13"/>
      <c r="BC23" s="14"/>
      <c r="BD23" s="7"/>
    </row>
    <row r="24" spans="1:56" ht="16.5" customHeight="1" thickBot="1">
      <c r="C24" s="339"/>
      <c r="D24" s="340"/>
      <c r="E24" s="340"/>
      <c r="J24" s="35"/>
    </row>
    <row r="25" spans="1:56" s="35" customFormat="1" ht="55.5" customHeight="1">
      <c r="A25" s="36" t="s">
        <v>21</v>
      </c>
      <c r="C25" s="133" t="s">
        <v>22</v>
      </c>
      <c r="D25" s="134" t="s">
        <v>23</v>
      </c>
      <c r="E25" s="134" t="s">
        <v>24</v>
      </c>
      <c r="F25" s="134" t="s">
        <v>25</v>
      </c>
      <c r="G25" s="134" t="s">
        <v>26</v>
      </c>
      <c r="H25" s="134" t="s">
        <v>27</v>
      </c>
      <c r="I25" s="134" t="s">
        <v>28</v>
      </c>
      <c r="J25" s="134" t="s">
        <v>29</v>
      </c>
      <c r="K25" s="145" t="s">
        <v>30</v>
      </c>
    </row>
    <row r="26" spans="1:56" s="35" customFormat="1" ht="25.5" customHeight="1">
      <c r="A26" s="36"/>
      <c r="C26" s="512">
        <v>1</v>
      </c>
      <c r="D26" s="514" t="s">
        <v>31</v>
      </c>
      <c r="E26" s="516" t="s">
        <v>32</v>
      </c>
      <c r="F26" s="518" t="s">
        <v>33</v>
      </c>
      <c r="G26" s="520" t="s">
        <v>34</v>
      </c>
      <c r="H26" s="498" t="s">
        <v>35</v>
      </c>
      <c r="I26" s="149"/>
      <c r="J26" s="350" t="s">
        <v>36</v>
      </c>
      <c r="K26" s="341"/>
    </row>
    <row r="27" spans="1:56" s="35" customFormat="1" ht="25.5" customHeight="1">
      <c r="A27" s="36"/>
      <c r="C27" s="513"/>
      <c r="D27" s="515"/>
      <c r="E27" s="517"/>
      <c r="F27" s="519"/>
      <c r="G27" s="521"/>
      <c r="H27" s="499"/>
      <c r="I27" s="149"/>
      <c r="J27" s="350" t="s">
        <v>37</v>
      </c>
      <c r="K27" s="341"/>
    </row>
    <row r="28" spans="1:56" s="35" customFormat="1" ht="69.650000000000006" customHeight="1">
      <c r="A28" s="36"/>
      <c r="C28" s="37">
        <v>2</v>
      </c>
      <c r="D28" s="146" t="s">
        <v>38</v>
      </c>
      <c r="E28" s="150" t="s">
        <v>39</v>
      </c>
      <c r="F28" s="147" t="s">
        <v>33</v>
      </c>
      <c r="G28" s="148" t="s">
        <v>34</v>
      </c>
      <c r="H28" s="150" t="s">
        <v>40</v>
      </c>
      <c r="I28" s="149"/>
      <c r="J28" s="350" t="s">
        <v>41</v>
      </c>
      <c r="K28" s="341"/>
    </row>
    <row r="29" spans="1:56" s="35" customFormat="1" ht="58.5" customHeight="1">
      <c r="A29" s="36" t="s">
        <v>42</v>
      </c>
      <c r="C29" s="38">
        <v>3</v>
      </c>
      <c r="D29" s="151" t="s">
        <v>43</v>
      </c>
      <c r="E29" s="152" t="s">
        <v>39</v>
      </c>
      <c r="F29" s="153" t="s">
        <v>33</v>
      </c>
      <c r="G29" s="154" t="s">
        <v>34</v>
      </c>
      <c r="H29" s="152" t="s">
        <v>44</v>
      </c>
      <c r="I29" s="155"/>
      <c r="J29" s="351" t="s">
        <v>45</v>
      </c>
      <c r="K29" s="342"/>
    </row>
    <row r="30" spans="1:56" ht="13"/>
    <row r="32" spans="1:56" ht="12.75" customHeight="1">
      <c r="C32" s="156" t="s">
        <v>46</v>
      </c>
      <c r="D32" s="39"/>
      <c r="E32" s="40"/>
      <c r="F32" s="39"/>
      <c r="G32" s="41"/>
    </row>
    <row r="33" spans="3:7" ht="12.75" customHeight="1">
      <c r="C33" s="42" t="s">
        <v>47</v>
      </c>
      <c r="D33" s="43"/>
      <c r="E33" s="44"/>
      <c r="F33" s="43"/>
      <c r="G33" s="45"/>
    </row>
    <row r="34" spans="3:7" ht="13">
      <c r="C34" s="189"/>
      <c r="D34" s="509" t="s">
        <v>48</v>
      </c>
      <c r="E34" s="510"/>
      <c r="F34" s="510"/>
      <c r="G34" s="511"/>
    </row>
    <row r="35" spans="3:7" ht="41.25" customHeight="1">
      <c r="C35" s="190"/>
      <c r="D35" s="500" t="s">
        <v>49</v>
      </c>
      <c r="E35" s="501"/>
      <c r="F35" s="501"/>
      <c r="G35" s="502"/>
    </row>
    <row r="36" spans="3:7" ht="13">
      <c r="C36" s="46"/>
      <c r="E36" s="3"/>
      <c r="G36" s="46"/>
    </row>
    <row r="38" spans="3:7" ht="15" customHeight="1">
      <c r="C38" s="503" t="s">
        <v>50</v>
      </c>
      <c r="D38" s="504"/>
      <c r="E38" s="504"/>
      <c r="F38" s="504"/>
      <c r="G38" s="505"/>
    </row>
    <row r="39" spans="3:7" ht="15" customHeight="1">
      <c r="C39" s="238" t="s">
        <v>51</v>
      </c>
      <c r="D39" s="201" t="s">
        <v>52</v>
      </c>
      <c r="E39" s="202"/>
      <c r="F39" s="202"/>
      <c r="G39" s="239"/>
    </row>
    <row r="40" spans="3:7" ht="15" customHeight="1">
      <c r="C40" s="240" t="s">
        <v>53</v>
      </c>
      <c r="D40" s="201" t="s">
        <v>54</v>
      </c>
      <c r="E40" s="203"/>
      <c r="F40" s="204"/>
      <c r="G40" s="241"/>
    </row>
    <row r="41" spans="3:7" ht="15" customHeight="1">
      <c r="C41" s="238" t="s">
        <v>55</v>
      </c>
      <c r="D41" s="205" t="s">
        <v>56</v>
      </c>
      <c r="E41" s="206"/>
      <c r="F41" s="204"/>
      <c r="G41" s="241"/>
    </row>
    <row r="42" spans="3:7" ht="15" customHeight="1">
      <c r="C42" s="238" t="s">
        <v>57</v>
      </c>
      <c r="D42" s="205" t="s">
        <v>58</v>
      </c>
      <c r="E42" s="207"/>
      <c r="F42" s="204"/>
      <c r="G42" s="241"/>
    </row>
    <row r="43" spans="3:7" ht="15" customHeight="1">
      <c r="C43" s="242" t="s">
        <v>59</v>
      </c>
      <c r="D43" s="201" t="s">
        <v>60</v>
      </c>
      <c r="E43" s="208"/>
      <c r="F43" s="209"/>
      <c r="G43" s="243"/>
    </row>
    <row r="44" spans="3:7" ht="15" customHeight="1">
      <c r="C44" s="244" t="s">
        <v>61</v>
      </c>
      <c r="D44" s="201" t="s">
        <v>62</v>
      </c>
      <c r="E44" s="204"/>
      <c r="F44" s="204"/>
      <c r="G44" s="241"/>
    </row>
    <row r="45" spans="3:7" ht="15" customHeight="1">
      <c r="C45" s="238" t="s">
        <v>63</v>
      </c>
      <c r="D45" s="201" t="s">
        <v>64</v>
      </c>
      <c r="E45" s="204"/>
      <c r="F45" s="204"/>
      <c r="G45" s="241"/>
    </row>
    <row r="46" spans="3:7" ht="15" customHeight="1">
      <c r="C46" s="244" t="s">
        <v>65</v>
      </c>
      <c r="D46" s="201" t="s">
        <v>66</v>
      </c>
      <c r="E46" s="204"/>
      <c r="F46" s="204"/>
      <c r="G46" s="241"/>
    </row>
    <row r="47" spans="3:7" ht="15" customHeight="1">
      <c r="C47" s="245" t="s">
        <v>67</v>
      </c>
      <c r="D47" s="246" t="s">
        <v>68</v>
      </c>
      <c r="E47" s="247"/>
      <c r="F47" s="247"/>
      <c r="G47" s="248"/>
    </row>
  </sheetData>
  <mergeCells count="12">
    <mergeCell ref="H26:H27"/>
    <mergeCell ref="D35:G35"/>
    <mergeCell ref="C38:G38"/>
    <mergeCell ref="E13:F13"/>
    <mergeCell ref="C20:F20"/>
    <mergeCell ref="C23:F23"/>
    <mergeCell ref="D34:G34"/>
    <mergeCell ref="C26:C27"/>
    <mergeCell ref="D26:D27"/>
    <mergeCell ref="E26:E27"/>
    <mergeCell ref="F26:F27"/>
    <mergeCell ref="G26:G27"/>
  </mergeCells>
  <phoneticPr fontId="34" type="noConversion"/>
  <conditionalFormatting sqref="C34">
    <cfRule type="expression" dxfId="36" priority="2">
      <formula>C35="√"</formula>
    </cfRule>
  </conditionalFormatting>
  <conditionalFormatting sqref="C34:C35">
    <cfRule type="containsBlanks" dxfId="35" priority="4">
      <formula>LEN(TRIM(C34))=0</formula>
    </cfRule>
  </conditionalFormatting>
  <conditionalFormatting sqref="C35">
    <cfRule type="expression" dxfId="34" priority="1">
      <formula>C34="√"</formula>
    </cfRule>
    <cfRule type="expression" dxfId="33" priority="3">
      <formula>"if($C$46=""√"","""")"</formula>
    </cfRule>
  </conditionalFormatting>
  <conditionalFormatting sqref="D3 G3 D5 G5 D7 G7 D9 D15:D20 I26:I29">
    <cfRule type="containsBlanks" dxfId="32" priority="6">
      <formula>LEN(TRIM(D3))=0</formula>
    </cfRule>
  </conditionalFormatting>
  <conditionalFormatting sqref="K26:K29">
    <cfRule type="expression" dxfId="31" priority="36">
      <formula>SUMPRODUCT((I26="No")*(LEN(K26)=0))</formula>
    </cfRule>
  </conditionalFormatting>
  <dataValidations count="3">
    <dataValidation type="list" allowBlank="1" showInputMessage="1" sqref="C34:C35" xr:uid="{E9353584-419E-4F19-859E-63564A4A56D6}">
      <formula1>"√,"</formula1>
    </dataValidation>
    <dataValidation type="list" allowBlank="1" showInputMessage="1" sqref="I26:I29" xr:uid="{E910DFC8-2471-4811-92F6-7ED1C5E4A8A9}">
      <formula1>" ,Yes, No"</formula1>
    </dataValidation>
    <dataValidation type="list" allowBlank="1" showInputMessage="1" sqref="D15:D22" xr:uid="{6CD53AF1-0D35-44F2-B272-4EB733D0DE4B}">
      <formula1>"Minimal,Low,Moderate,High,N/A"</formula1>
    </dataValidation>
  </dataValidations>
  <hyperlinks>
    <hyperlink ref="J26" location="'M.00 Lead'!A1" display="'M.00 Lead'!A1" xr:uid="{34A83DC9-68AB-4EA5-A48B-CCC780EE2E59}"/>
    <hyperlink ref="J28" location="'M.01 银承BKD'!A1" display="M.01 银承BKD" xr:uid="{BE2051EF-6179-4521-A2B9-FBACE92DA6E5}"/>
    <hyperlink ref="J29" location="'M.02 商承BKD'!A1" display="M.02 商承BKD" xr:uid="{3BB35D48-D3B6-4AC2-BC60-A04E5CF775F1}"/>
    <hyperlink ref="J27" location="'M.01.01&amp;02.01明细账'!A1" display="M.01.01&amp;02.01明细账" xr:uid="{DA4BEAFA-BE67-4093-84C2-EE0C3072E1E8}"/>
  </hyperlink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W61"/>
  <sheetViews>
    <sheetView showGridLines="0" zoomScale="70" zoomScaleNormal="70" workbookViewId="0">
      <selection activeCell="M47" sqref="M47"/>
    </sheetView>
  </sheetViews>
  <sheetFormatPr defaultColWidth="8.75" defaultRowHeight="12.75" customHeight="1" outlineLevelRow="1"/>
  <cols>
    <col min="1" max="1" width="2.33203125" style="162" customWidth="1"/>
    <col min="2" max="2" width="5.33203125" style="35" customWidth="1"/>
    <col min="3" max="3" width="16.33203125" style="35" customWidth="1"/>
    <col min="4" max="4" width="24.5" style="35" customWidth="1"/>
    <col min="5" max="5" width="15.25" style="35" customWidth="1"/>
    <col min="6" max="6" width="16.08203125" style="35" customWidth="1"/>
    <col min="7" max="9" width="15" style="35" customWidth="1"/>
    <col min="10" max="10" width="15.83203125" style="35" customWidth="1"/>
    <col min="11" max="11" width="14.25" style="35" customWidth="1"/>
    <col min="12" max="12" width="13.08203125" style="35" customWidth="1"/>
    <col min="13" max="14" width="11.33203125" style="35" customWidth="1"/>
    <col min="15" max="17" width="17.58203125" style="35" customWidth="1"/>
    <col min="18" max="18" width="9.33203125" style="35" customWidth="1"/>
    <col min="19" max="19" width="12.5" style="35" customWidth="1"/>
    <col min="20" max="20" width="11.08203125" style="35" customWidth="1"/>
    <col min="21" max="21" width="12.75" style="35" customWidth="1"/>
    <col min="22" max="16384" width="8.75" style="35"/>
  </cols>
  <sheetData>
    <row r="1" spans="1:14" ht="12.75" customHeight="1">
      <c r="A1" s="138" t="s">
        <v>69</v>
      </c>
    </row>
    <row r="2" spans="1:14" ht="12.75" customHeight="1">
      <c r="J2" s="47" t="s">
        <v>70</v>
      </c>
    </row>
    <row r="4" spans="1:14" ht="20">
      <c r="C4" s="48" t="s">
        <v>71</v>
      </c>
      <c r="D4" s="49"/>
      <c r="E4" s="49"/>
      <c r="F4" s="49"/>
      <c r="G4" s="49"/>
      <c r="H4" s="49"/>
      <c r="I4" s="49"/>
      <c r="J4" s="50"/>
    </row>
    <row r="5" spans="1:14" ht="20.149999999999999" customHeight="1">
      <c r="C5" s="51" t="s">
        <v>72</v>
      </c>
      <c r="D5" s="52"/>
      <c r="E5" s="52"/>
      <c r="F5" s="52"/>
      <c r="G5" s="52"/>
      <c r="H5" s="52"/>
      <c r="I5" s="52"/>
      <c r="J5" s="53"/>
    </row>
    <row r="6" spans="1:14" ht="20.149999999999999" customHeight="1">
      <c r="C6" s="51"/>
      <c r="D6" s="52"/>
      <c r="E6" s="52"/>
      <c r="F6" s="52"/>
      <c r="G6" s="52"/>
      <c r="H6" s="52"/>
      <c r="I6" s="52"/>
      <c r="J6" s="53"/>
    </row>
    <row r="7" spans="1:14" ht="18">
      <c r="B7" s="54"/>
      <c r="C7" s="55"/>
      <c r="D7" s="56"/>
      <c r="E7" s="56"/>
      <c r="F7" s="56"/>
      <c r="G7" s="57"/>
      <c r="H7" s="57"/>
      <c r="I7" s="57"/>
      <c r="J7" s="53"/>
    </row>
    <row r="8" spans="1:14" ht="20">
      <c r="A8" s="58"/>
      <c r="B8" s="58"/>
      <c r="C8" s="59" t="s">
        <v>73</v>
      </c>
      <c r="D8" s="535" t="s">
        <v>74</v>
      </c>
      <c r="E8" s="536"/>
      <c r="F8" s="537"/>
      <c r="G8" s="60" t="s">
        <v>75</v>
      </c>
      <c r="H8" s="60" t="s">
        <v>76</v>
      </c>
      <c r="I8" s="60" t="s">
        <v>77</v>
      </c>
      <c r="J8" s="61" t="s">
        <v>78</v>
      </c>
    </row>
    <row r="9" spans="1:14" ht="47.15" customHeight="1" outlineLevel="1">
      <c r="B9" s="54"/>
      <c r="C9" s="62">
        <v>1</v>
      </c>
      <c r="D9" s="538" t="s">
        <v>79</v>
      </c>
      <c r="E9" s="539"/>
      <c r="F9" s="540"/>
      <c r="G9" s="390" t="s">
        <v>80</v>
      </c>
      <c r="H9" s="391"/>
      <c r="I9" s="391"/>
      <c r="J9" s="63"/>
    </row>
    <row r="10" spans="1:14" ht="64.150000000000006" customHeight="1" outlineLevel="1">
      <c r="B10" s="54"/>
      <c r="C10" s="64">
        <v>2</v>
      </c>
      <c r="D10" s="538" t="s">
        <v>81</v>
      </c>
      <c r="E10" s="539"/>
      <c r="F10" s="540"/>
      <c r="G10" s="390" t="s">
        <v>80</v>
      </c>
      <c r="H10" s="391"/>
      <c r="I10" s="391"/>
      <c r="J10" s="63"/>
    </row>
    <row r="11" spans="1:14" ht="18">
      <c r="B11" s="54"/>
      <c r="C11" s="65"/>
      <c r="D11" s="66"/>
      <c r="E11" s="66"/>
      <c r="F11" s="66"/>
      <c r="G11" s="67"/>
      <c r="H11" s="67"/>
      <c r="I11" s="67"/>
      <c r="J11" s="68"/>
      <c r="K11" s="54"/>
      <c r="L11" s="54"/>
    </row>
    <row r="12" spans="1:14" ht="12.75" customHeight="1">
      <c r="B12" s="54"/>
      <c r="C12" s="69"/>
      <c r="D12" s="69"/>
      <c r="E12" s="69"/>
      <c r="F12" s="69"/>
      <c r="G12" s="69"/>
      <c r="H12" s="54"/>
      <c r="I12" s="54"/>
      <c r="M12" s="70"/>
      <c r="N12" s="70"/>
    </row>
    <row r="13" spans="1:14" ht="12.75" customHeight="1">
      <c r="B13" s="54"/>
      <c r="C13" s="140" t="s">
        <v>82</v>
      </c>
      <c r="D13" s="141"/>
      <c r="E13" s="141"/>
      <c r="F13" s="141"/>
      <c r="G13" s="141"/>
      <c r="H13" s="54"/>
      <c r="I13" s="54"/>
      <c r="M13" s="70"/>
      <c r="N13" s="70"/>
    </row>
    <row r="14" spans="1:14" ht="12.75" customHeight="1">
      <c r="B14" s="54"/>
      <c r="C14" s="541"/>
      <c r="D14" s="542"/>
      <c r="E14" s="542"/>
      <c r="F14" s="542"/>
      <c r="G14" s="543"/>
      <c r="H14" s="54"/>
      <c r="I14" s="54"/>
      <c r="M14" s="70"/>
      <c r="N14" s="70"/>
    </row>
    <row r="15" spans="1:14" ht="12.75" customHeight="1">
      <c r="B15" s="54"/>
      <c r="C15" s="544"/>
      <c r="D15" s="545"/>
      <c r="E15" s="545"/>
      <c r="F15" s="545"/>
      <c r="G15" s="546"/>
      <c r="H15" s="54"/>
      <c r="I15" s="54"/>
      <c r="M15" s="70"/>
      <c r="N15" s="70"/>
    </row>
    <row r="16" spans="1:14" ht="12.75" customHeight="1">
      <c r="B16" s="54"/>
      <c r="C16" s="544"/>
      <c r="D16" s="545"/>
      <c r="E16" s="545"/>
      <c r="F16" s="545"/>
      <c r="G16" s="546"/>
      <c r="H16" s="54"/>
      <c r="I16" s="54"/>
      <c r="M16" s="70"/>
      <c r="N16" s="70"/>
    </row>
    <row r="17" spans="2:23" ht="12.75" customHeight="1">
      <c r="B17" s="54"/>
      <c r="C17" s="547"/>
      <c r="D17" s="548"/>
      <c r="E17" s="548"/>
      <c r="F17" s="548"/>
      <c r="G17" s="549"/>
      <c r="H17" s="54"/>
      <c r="I17" s="54"/>
      <c r="M17" s="70"/>
      <c r="N17" s="70"/>
    </row>
    <row r="18" spans="2:23" ht="12.65" customHeight="1" thickBot="1">
      <c r="B18" s="54"/>
      <c r="C18" s="69"/>
      <c r="D18" s="69"/>
      <c r="E18" s="69"/>
      <c r="F18" s="69"/>
      <c r="G18" s="69"/>
      <c r="H18" s="54"/>
      <c r="I18" s="54"/>
      <c r="M18" s="70"/>
      <c r="N18" s="70"/>
    </row>
    <row r="19" spans="2:23" ht="12.65" customHeight="1">
      <c r="B19" s="54"/>
      <c r="C19" s="554" t="s">
        <v>83</v>
      </c>
      <c r="D19" s="555"/>
      <c r="E19" s="69"/>
      <c r="F19" s="69"/>
      <c r="G19" s="69"/>
      <c r="H19" s="54"/>
      <c r="I19" s="54"/>
      <c r="M19" s="70"/>
      <c r="N19" s="70"/>
    </row>
    <row r="20" spans="2:23" ht="12.65" customHeight="1">
      <c r="B20" s="54"/>
      <c r="C20" s="263" t="str">
        <f>"波动幅度 ("&amp;汇总!D11&amp; "):"</f>
        <v>波动幅度 ():</v>
      </c>
      <c r="D20" s="264">
        <f>汇总!$F$15</f>
        <v>0</v>
      </c>
      <c r="E20" s="69"/>
      <c r="F20" s="69"/>
      <c r="G20" s="69"/>
      <c r="H20" s="54"/>
      <c r="I20" s="54"/>
      <c r="M20" s="70"/>
      <c r="N20" s="70"/>
    </row>
    <row r="21" spans="2:23" ht="12.65" customHeight="1">
      <c r="B21" s="54"/>
      <c r="C21" s="337" t="s">
        <v>84</v>
      </c>
      <c r="D21" s="452">
        <v>0.1</v>
      </c>
      <c r="E21" s="69"/>
      <c r="F21" s="69"/>
      <c r="G21" s="69"/>
      <c r="H21" s="54"/>
      <c r="I21" s="54"/>
      <c r="J21" s="54"/>
      <c r="N21" s="70"/>
      <c r="O21" s="70"/>
    </row>
    <row r="22" spans="2:23" ht="12.65" customHeight="1">
      <c r="B22" s="54"/>
      <c r="C22" s="69"/>
      <c r="D22" s="69"/>
      <c r="E22" s="69"/>
      <c r="F22" s="72" t="s">
        <v>85</v>
      </c>
      <c r="G22" s="135"/>
      <c r="H22" s="70"/>
      <c r="I22" s="70"/>
      <c r="J22" s="157"/>
      <c r="K22" s="137" t="s">
        <v>86</v>
      </c>
      <c r="L22" s="70"/>
      <c r="M22" s="70"/>
      <c r="N22" s="70"/>
      <c r="O22" s="70"/>
    </row>
    <row r="23" spans="2:23" ht="12.75" customHeight="1">
      <c r="B23" s="71" t="s">
        <v>87</v>
      </c>
      <c r="C23" s="550" t="s">
        <v>88</v>
      </c>
      <c r="D23" s="556" t="s">
        <v>89</v>
      </c>
      <c r="E23" s="552" t="s">
        <v>90</v>
      </c>
      <c r="F23" s="324"/>
      <c r="G23" s="325"/>
      <c r="H23" s="326">
        <f>汇总!D5</f>
        <v>46022</v>
      </c>
      <c r="I23" s="325"/>
      <c r="J23" s="327" t="s">
        <v>91</v>
      </c>
      <c r="K23" s="328">
        <f>DATE(YEAR($H$23)-1,12,31)</f>
        <v>45657</v>
      </c>
      <c r="L23" s="329" t="s">
        <v>92</v>
      </c>
      <c r="M23" s="330"/>
      <c r="N23" s="213"/>
      <c r="O23" s="522" t="s">
        <v>93</v>
      </c>
      <c r="P23" s="524" t="s">
        <v>94</v>
      </c>
      <c r="Q23" s="3"/>
      <c r="R23" s="25"/>
    </row>
    <row r="24" spans="2:23" ht="24.65" customHeight="1">
      <c r="C24" s="551"/>
      <c r="D24" s="557"/>
      <c r="E24" s="553"/>
      <c r="F24" s="331" t="s">
        <v>95</v>
      </c>
      <c r="G24" s="332" t="s">
        <v>96</v>
      </c>
      <c r="H24" s="333" t="s">
        <v>97</v>
      </c>
      <c r="I24" s="332" t="s">
        <v>98</v>
      </c>
      <c r="J24" s="334" t="s">
        <v>99</v>
      </c>
      <c r="K24" s="333" t="s">
        <v>100</v>
      </c>
      <c r="L24" s="335" t="s">
        <v>101</v>
      </c>
      <c r="M24" s="333" t="s">
        <v>102</v>
      </c>
      <c r="N24" s="214" t="s">
        <v>103</v>
      </c>
      <c r="O24" s="523"/>
      <c r="P24" s="525"/>
      <c r="Q24" s="3"/>
      <c r="R24" s="25"/>
    </row>
    <row r="25" spans="2:23" ht="14.5">
      <c r="B25" s="321"/>
      <c r="C25" s="449"/>
      <c r="D25" s="320" t="s">
        <v>104</v>
      </c>
      <c r="E25" s="318" t="s">
        <v>105</v>
      </c>
      <c r="F25" s="450"/>
      <c r="G25" s="132"/>
      <c r="H25" s="132">
        <f>F25+G25</f>
        <v>0</v>
      </c>
      <c r="I25" s="132"/>
      <c r="J25" s="132">
        <f>H25+I25</f>
        <v>0</v>
      </c>
      <c r="K25" s="451"/>
      <c r="L25" s="132">
        <f>J25-K25</f>
        <v>0</v>
      </c>
      <c r="M25" s="217">
        <f>IFERROR(L25/K25,1)</f>
        <v>1</v>
      </c>
      <c r="N25" s="336" t="s">
        <v>106</v>
      </c>
      <c r="O25" s="211" t="str">
        <f>IF(AND(L25&lt;&gt;0,ABS(L25)&gt;=$D$20,OR(M25="N/A",ABS(IFERROR(L25/K25,0))&gt;=$D$21)),"是","否")</f>
        <v>否</v>
      </c>
      <c r="P25" s="462"/>
      <c r="Q25" s="3"/>
      <c r="R25" s="25"/>
    </row>
    <row r="26" spans="2:23" ht="14.5">
      <c r="B26" s="321"/>
      <c r="C26" s="449"/>
      <c r="D26" s="320" t="s">
        <v>107</v>
      </c>
      <c r="E26" s="318" t="s">
        <v>108</v>
      </c>
      <c r="F26" s="450"/>
      <c r="G26" s="132"/>
      <c r="H26" s="132">
        <f>F26+G26</f>
        <v>0</v>
      </c>
      <c r="I26" s="132"/>
      <c r="J26" s="132">
        <f>H26+I26</f>
        <v>0</v>
      </c>
      <c r="K26" s="451"/>
      <c r="L26" s="132">
        <f t="shared" ref="L26:L27" si="0">J26-K26</f>
        <v>0</v>
      </c>
      <c r="M26" s="217">
        <f t="shared" ref="M26:M27" si="1">IFERROR(L26/K26,1)</f>
        <v>1</v>
      </c>
      <c r="N26" s="215"/>
      <c r="O26" s="211" t="str">
        <f t="shared" ref="O26" si="2">IF(AND(L26&lt;&gt;0,ABS(L26)&gt;=$D$20,OR(M26="N/A",ABS(IFERROR(L26/K26,0))&gt;=$D$21)),"是","否")</f>
        <v>否</v>
      </c>
      <c r="P26" s="462"/>
      <c r="Q26" s="3"/>
      <c r="R26" s="25"/>
    </row>
    <row r="27" spans="2:23" ht="14.5">
      <c r="B27" s="321"/>
      <c r="C27" s="317"/>
      <c r="D27" s="322"/>
      <c r="E27" s="319" t="s">
        <v>109</v>
      </c>
      <c r="F27" s="210">
        <f>SUM(F25:F26)</f>
        <v>0</v>
      </c>
      <c r="G27" s="210">
        <f t="shared" ref="G27:K27" si="3">SUM(G25:G26)</f>
        <v>0</v>
      </c>
      <c r="H27" s="210">
        <f>F27+G27</f>
        <v>0</v>
      </c>
      <c r="I27" s="210">
        <f t="shared" si="3"/>
        <v>0</v>
      </c>
      <c r="J27" s="210">
        <f>H27+I27</f>
        <v>0</v>
      </c>
      <c r="K27" s="210">
        <f t="shared" si="3"/>
        <v>0</v>
      </c>
      <c r="L27" s="210">
        <f t="shared" si="0"/>
        <v>0</v>
      </c>
      <c r="M27" s="218">
        <f t="shared" si="1"/>
        <v>1</v>
      </c>
      <c r="N27" s="216"/>
      <c r="O27" s="212" t="str">
        <f>IF(AND(L27&lt;&gt;0,ABS(L27)&gt;=$D$20,OR(M27="N/A",ABS(IFERROR(L27/K27,0))&gt;=$D$21)),"是","否")</f>
        <v>否</v>
      </c>
      <c r="P27" s="463"/>
      <c r="Q27" s="3"/>
      <c r="R27" s="25"/>
    </row>
    <row r="28" spans="2:23" ht="12.75" customHeight="1">
      <c r="C28" s="72"/>
      <c r="D28" s="323"/>
      <c r="E28" s="72"/>
      <c r="F28" s="72" t="s">
        <v>110</v>
      </c>
      <c r="G28" s="72" t="s">
        <v>110</v>
      </c>
      <c r="H28" s="72"/>
      <c r="I28" s="72" t="s">
        <v>110</v>
      </c>
      <c r="J28" s="72"/>
      <c r="K28" s="72" t="s">
        <v>110</v>
      </c>
      <c r="L28" s="72"/>
      <c r="M28" s="72"/>
      <c r="N28" s="72"/>
      <c r="O28" s="72"/>
      <c r="P28" s="72"/>
      <c r="Q28" s="72"/>
      <c r="R28" s="72"/>
      <c r="S28" s="72"/>
      <c r="T28" s="72"/>
      <c r="U28" s="72"/>
      <c r="V28" s="3"/>
      <c r="W28" s="25"/>
    </row>
    <row r="29" spans="2:23" ht="12.75" customHeight="1">
      <c r="C29" s="72"/>
      <c r="D29" s="72"/>
      <c r="E29" s="86"/>
      <c r="F29" s="73"/>
      <c r="G29" s="86" t="s">
        <v>55</v>
      </c>
      <c r="H29" s="453"/>
      <c r="I29" s="73"/>
      <c r="J29" s="453"/>
      <c r="K29" s="453"/>
      <c r="L29" s="72"/>
      <c r="M29" s="72"/>
      <c r="N29" s="72"/>
      <c r="O29" s="72"/>
      <c r="P29" s="72"/>
      <c r="Q29" s="72"/>
      <c r="R29" s="72"/>
      <c r="S29" s="72"/>
      <c r="T29" s="72"/>
      <c r="U29" s="72"/>
      <c r="V29" s="3"/>
      <c r="W29" s="25"/>
    </row>
    <row r="30" spans="2:23" ht="12.75" customHeight="1">
      <c r="C30" s="72"/>
      <c r="D30" s="72"/>
      <c r="E30" s="86"/>
      <c r="F30" s="73"/>
      <c r="G30" s="86" t="s">
        <v>111</v>
      </c>
      <c r="H30" s="2">
        <f>H27-H29</f>
        <v>0</v>
      </c>
      <c r="I30" s="73"/>
      <c r="J30" s="2">
        <f>J27-J29</f>
        <v>0</v>
      </c>
      <c r="K30" s="2">
        <f t="shared" ref="K30" si="4">K27-K29</f>
        <v>0</v>
      </c>
      <c r="L30" s="72"/>
      <c r="M30" s="72"/>
      <c r="N30" s="72"/>
      <c r="O30" s="72"/>
      <c r="P30" s="72"/>
      <c r="Q30" s="72"/>
      <c r="R30" s="72"/>
      <c r="S30" s="72"/>
      <c r="T30" s="72"/>
      <c r="U30" s="72"/>
      <c r="V30" s="3"/>
      <c r="W30" s="25"/>
    </row>
    <row r="31" spans="2:23" ht="12.75" customHeight="1">
      <c r="C31" s="72"/>
      <c r="D31" s="72"/>
      <c r="E31" s="72"/>
      <c r="F31" s="73"/>
      <c r="G31" s="72"/>
      <c r="H31" s="73"/>
      <c r="I31" s="73"/>
      <c r="J31" s="73"/>
      <c r="K31" s="72"/>
      <c r="L31" s="72"/>
      <c r="M31" s="72"/>
      <c r="N31" s="72"/>
      <c r="O31" s="72"/>
      <c r="P31" s="72"/>
      <c r="Q31" s="72"/>
      <c r="R31" s="72"/>
      <c r="S31" s="72"/>
      <c r="T31" s="72"/>
      <c r="U31" s="72"/>
      <c r="V31" s="3"/>
      <c r="W31" s="25"/>
    </row>
    <row r="32" spans="2:23" ht="12.75" customHeight="1" thickBot="1">
      <c r="B32" s="136"/>
      <c r="C32" s="5" t="s">
        <v>112</v>
      </c>
      <c r="D32" s="72"/>
      <c r="E32" s="72"/>
      <c r="F32" s="73"/>
      <c r="G32" s="72"/>
      <c r="H32" s="73"/>
      <c r="I32" s="73"/>
      <c r="J32" s="72"/>
      <c r="K32" s="72"/>
      <c r="L32" s="72"/>
      <c r="M32" s="72"/>
      <c r="N32" s="72"/>
      <c r="O32" s="72"/>
      <c r="P32" s="72"/>
      <c r="Q32" s="72"/>
      <c r="R32" s="72"/>
      <c r="S32" s="72"/>
      <c r="T32" s="72"/>
      <c r="U32" s="3"/>
      <c r="V32" s="25"/>
    </row>
    <row r="33" spans="3:23" ht="14.15" customHeight="1">
      <c r="C33" s="526" t="s">
        <v>113</v>
      </c>
      <c r="D33" s="527"/>
      <c r="E33" s="527"/>
      <c r="F33" s="527"/>
      <c r="G33" s="528"/>
      <c r="H33" s="73"/>
      <c r="I33" s="73"/>
      <c r="J33" s="72"/>
      <c r="K33" s="72"/>
      <c r="L33" s="72"/>
      <c r="M33" s="72"/>
      <c r="N33" s="72"/>
      <c r="O33" s="72"/>
      <c r="P33" s="72"/>
      <c r="Q33" s="72"/>
      <c r="R33" s="72"/>
      <c r="S33" s="72"/>
      <c r="T33" s="72"/>
      <c r="U33" s="72"/>
      <c r="V33" s="3"/>
      <c r="W33" s="25"/>
    </row>
    <row r="34" spans="3:23" ht="14.15" customHeight="1">
      <c r="C34" s="529"/>
      <c r="D34" s="530"/>
      <c r="E34" s="530"/>
      <c r="F34" s="530"/>
      <c r="G34" s="531"/>
      <c r="H34" s="73"/>
      <c r="I34" s="73"/>
      <c r="J34" s="72"/>
      <c r="K34" s="72"/>
      <c r="L34" s="72"/>
      <c r="M34" s="72"/>
      <c r="N34" s="72"/>
      <c r="O34" s="72"/>
      <c r="P34" s="72"/>
      <c r="Q34" s="72"/>
      <c r="R34" s="72"/>
      <c r="S34" s="72"/>
      <c r="T34" s="72"/>
      <c r="U34" s="3"/>
      <c r="V34" s="25"/>
    </row>
    <row r="35" spans="3:23" ht="12.75" customHeight="1">
      <c r="C35" s="529"/>
      <c r="D35" s="530"/>
      <c r="E35" s="530"/>
      <c r="F35" s="530"/>
      <c r="G35" s="531"/>
      <c r="H35" s="73"/>
      <c r="I35" s="73"/>
      <c r="J35" s="72"/>
      <c r="K35" s="72"/>
      <c r="L35" s="72"/>
      <c r="M35" s="72"/>
      <c r="N35" s="72"/>
      <c r="O35" s="72"/>
      <c r="P35" s="72"/>
      <c r="Q35" s="72"/>
      <c r="R35" s="72"/>
      <c r="S35" s="72"/>
      <c r="T35" s="72"/>
      <c r="U35" s="3"/>
      <c r="V35" s="25"/>
    </row>
    <row r="36" spans="3:23" ht="12.75" customHeight="1">
      <c r="C36" s="532"/>
      <c r="D36" s="533"/>
      <c r="E36" s="533"/>
      <c r="F36" s="533"/>
      <c r="G36" s="534"/>
      <c r="H36" s="73"/>
      <c r="I36" s="73"/>
      <c r="J36" s="72"/>
      <c r="K36" s="72"/>
      <c r="L36" s="72"/>
      <c r="M36" s="72"/>
      <c r="N36" s="72"/>
      <c r="O36" s="72"/>
      <c r="P36" s="72"/>
      <c r="Q36" s="72"/>
      <c r="R36" s="72"/>
      <c r="S36" s="72"/>
      <c r="T36" s="72"/>
      <c r="U36" s="3"/>
      <c r="V36" s="25"/>
    </row>
    <row r="37" spans="3:23" ht="12.75" customHeight="1">
      <c r="C37" s="74"/>
      <c r="D37" s="75"/>
      <c r="E37" s="75"/>
      <c r="F37" s="75"/>
      <c r="G37" s="75"/>
      <c r="H37" s="73"/>
      <c r="I37" s="73"/>
      <c r="J37" s="72"/>
      <c r="K37" s="72"/>
      <c r="L37" s="72"/>
      <c r="M37" s="72"/>
      <c r="N37" s="72"/>
      <c r="O37" s="72"/>
      <c r="P37" s="72"/>
      <c r="Q37" s="72"/>
      <c r="R37" s="72"/>
      <c r="S37" s="72"/>
      <c r="T37" s="72"/>
      <c r="U37" s="3"/>
      <c r="V37" s="25"/>
    </row>
    <row r="38" spans="3:23" ht="12.75" customHeight="1">
      <c r="C38" s="74"/>
      <c r="D38" s="75"/>
      <c r="E38" s="75"/>
      <c r="F38" s="75"/>
      <c r="G38" s="75"/>
      <c r="H38" s="73"/>
      <c r="I38" s="73"/>
      <c r="J38" s="72"/>
      <c r="K38" s="72"/>
      <c r="L38" s="72"/>
      <c r="M38" s="72"/>
      <c r="N38" s="72"/>
      <c r="O38" s="72"/>
      <c r="P38" s="72"/>
      <c r="Q38" s="72"/>
      <c r="R38" s="72"/>
      <c r="S38" s="72"/>
      <c r="T38" s="72"/>
      <c r="U38" s="3"/>
      <c r="V38" s="25"/>
    </row>
    <row r="39" spans="3:23" ht="12.75" customHeight="1">
      <c r="C39" s="262" t="s">
        <v>114</v>
      </c>
      <c r="D39" s="261"/>
      <c r="E39" s="77"/>
      <c r="F39" s="75"/>
      <c r="G39" s="75"/>
      <c r="H39" s="73"/>
      <c r="I39" s="73"/>
      <c r="J39" s="72"/>
      <c r="K39" s="72"/>
      <c r="L39" s="72"/>
      <c r="M39" s="72"/>
      <c r="N39" s="72"/>
      <c r="O39" s="72"/>
      <c r="P39" s="72"/>
      <c r="Q39" s="72"/>
      <c r="R39" s="72"/>
      <c r="S39" s="72"/>
      <c r="T39" s="72"/>
      <c r="U39" s="3"/>
      <c r="V39" s="25"/>
    </row>
    <row r="40" spans="3:23" ht="12.75" customHeight="1">
      <c r="C40" s="232" t="s">
        <v>115</v>
      </c>
      <c r="D40" s="76"/>
      <c r="E40" s="77"/>
      <c r="F40" s="75"/>
      <c r="G40" s="75"/>
      <c r="H40" s="73"/>
      <c r="I40" s="73"/>
      <c r="J40" s="72"/>
      <c r="K40" s="72"/>
      <c r="L40" s="72"/>
      <c r="M40" s="72"/>
      <c r="N40" s="72"/>
      <c r="O40" s="72"/>
      <c r="P40" s="72"/>
      <c r="Q40" s="72"/>
      <c r="R40" s="72"/>
      <c r="S40" s="72"/>
      <c r="T40" s="72"/>
      <c r="U40" s="3"/>
      <c r="V40" s="25"/>
    </row>
    <row r="41" spans="3:23" ht="12.75" customHeight="1">
      <c r="C41" s="454"/>
      <c r="D41" s="455"/>
      <c r="E41" s="455"/>
      <c r="F41" s="456"/>
      <c r="G41" s="75"/>
      <c r="H41" s="73"/>
      <c r="I41" s="73"/>
      <c r="J41" s="72"/>
      <c r="K41" s="72"/>
      <c r="L41" s="72"/>
      <c r="M41" s="72"/>
      <c r="N41" s="72"/>
      <c r="O41" s="72"/>
      <c r="P41" s="72"/>
      <c r="Q41" s="72"/>
      <c r="R41" s="72"/>
      <c r="S41" s="72"/>
      <c r="T41" s="72"/>
      <c r="U41" s="3"/>
      <c r="V41" s="25"/>
    </row>
    <row r="42" spans="3:23" ht="12.75" customHeight="1">
      <c r="C42" s="457"/>
      <c r="D42" s="233"/>
      <c r="E42" s="233"/>
      <c r="F42" s="458"/>
      <c r="G42" s="75"/>
      <c r="H42" s="73"/>
      <c r="I42" s="73"/>
      <c r="J42" s="72"/>
      <c r="K42" s="72"/>
      <c r="L42" s="72"/>
      <c r="M42" s="72"/>
      <c r="N42" s="72"/>
      <c r="O42" s="72"/>
      <c r="P42" s="72"/>
      <c r="Q42" s="72"/>
      <c r="R42" s="72"/>
      <c r="S42" s="72"/>
      <c r="T42" s="72"/>
      <c r="U42" s="3"/>
      <c r="V42" s="25"/>
    </row>
    <row r="43" spans="3:23" ht="12.75" customHeight="1">
      <c r="C43" s="457"/>
      <c r="D43" s="233"/>
      <c r="E43" s="233"/>
      <c r="F43" s="458"/>
      <c r="G43" s="74"/>
      <c r="H43" s="73"/>
      <c r="I43" s="73"/>
      <c r="J43" s="72"/>
      <c r="K43" s="72"/>
      <c r="L43" s="72"/>
      <c r="M43" s="72"/>
      <c r="N43" s="72"/>
      <c r="O43" s="72"/>
      <c r="P43" s="72"/>
      <c r="Q43" s="72"/>
      <c r="R43" s="72"/>
      <c r="S43" s="72"/>
      <c r="T43" s="72"/>
      <c r="U43" s="3"/>
      <c r="V43" s="25"/>
    </row>
    <row r="44" spans="3:23" ht="12.75" customHeight="1">
      <c r="C44" s="459"/>
      <c r="D44" s="460"/>
      <c r="E44" s="460"/>
      <c r="F44" s="461"/>
      <c r="G44" s="74"/>
      <c r="H44" s="73"/>
      <c r="I44" s="73"/>
      <c r="J44" s="72"/>
      <c r="K44" s="72"/>
      <c r="L44" s="72"/>
      <c r="M44" s="72"/>
      <c r="N44" s="72"/>
      <c r="O44" s="72"/>
      <c r="P44" s="72"/>
      <c r="Q44" s="72"/>
      <c r="R44" s="72"/>
      <c r="S44" s="72"/>
      <c r="T44" s="72"/>
      <c r="U44" s="3"/>
      <c r="V44" s="25"/>
    </row>
    <row r="45" spans="3:23" ht="12.75" customHeight="1">
      <c r="C45" s="74"/>
      <c r="D45" s="75"/>
      <c r="E45" s="75"/>
      <c r="F45" s="74"/>
      <c r="G45" s="74"/>
      <c r="H45" s="73"/>
      <c r="I45" s="73"/>
      <c r="J45" s="72"/>
      <c r="K45" s="72"/>
      <c r="L45" s="72"/>
      <c r="M45" s="72"/>
      <c r="N45" s="72"/>
      <c r="O45" s="72"/>
      <c r="P45" s="72"/>
      <c r="Q45" s="72"/>
      <c r="R45" s="72"/>
      <c r="S45" s="72"/>
      <c r="T45" s="72"/>
      <c r="U45" s="3"/>
      <c r="V45" s="25"/>
    </row>
    <row r="46" spans="3:23" ht="12.75" customHeight="1">
      <c r="C46" s="74"/>
      <c r="D46" s="75"/>
      <c r="E46" s="75"/>
      <c r="F46" s="74"/>
      <c r="G46" s="74"/>
      <c r="H46" s="73"/>
      <c r="I46" s="73"/>
      <c r="J46" s="72"/>
      <c r="K46" s="72"/>
      <c r="L46" s="72"/>
      <c r="M46" s="72"/>
      <c r="N46" s="72"/>
      <c r="O46" s="72"/>
      <c r="P46" s="72"/>
      <c r="Q46" s="72"/>
      <c r="R46" s="72"/>
      <c r="S46" s="72"/>
      <c r="T46" s="72"/>
      <c r="U46" s="3"/>
      <c r="V46" s="25"/>
    </row>
    <row r="47" spans="3:23" ht="12.75" customHeight="1">
      <c r="C47" s="74"/>
      <c r="D47" s="75"/>
      <c r="E47" s="74"/>
      <c r="F47" s="74"/>
      <c r="G47" s="74"/>
      <c r="H47" s="73"/>
      <c r="I47" s="73"/>
      <c r="J47" s="72"/>
      <c r="K47" s="72"/>
      <c r="L47" s="72"/>
      <c r="M47" s="72"/>
      <c r="N47" s="72"/>
      <c r="O47" s="72"/>
      <c r="P47" s="72"/>
      <c r="Q47" s="72"/>
      <c r="R47" s="72"/>
      <c r="S47" s="72"/>
      <c r="T47" s="72"/>
      <c r="U47" s="3"/>
      <c r="V47" s="25"/>
    </row>
    <row r="48" spans="3:23" ht="43.5" customHeight="1">
      <c r="C48" s="74"/>
      <c r="D48" s="75"/>
      <c r="E48" s="74"/>
      <c r="F48" s="74"/>
      <c r="G48" s="74"/>
      <c r="H48" s="73"/>
      <c r="I48" s="73"/>
      <c r="J48" s="72"/>
      <c r="K48" s="72"/>
      <c r="L48" s="72"/>
      <c r="M48" s="72"/>
      <c r="N48" s="72"/>
      <c r="O48" s="72"/>
      <c r="P48" s="72"/>
      <c r="Q48" s="72"/>
      <c r="R48" s="72"/>
      <c r="S48" s="72"/>
      <c r="T48" s="72"/>
      <c r="U48" s="3"/>
      <c r="V48" s="25"/>
    </row>
    <row r="49" spans="3:22" ht="12.75" customHeight="1">
      <c r="C49" s="74"/>
      <c r="D49" s="75"/>
      <c r="E49" s="74"/>
      <c r="F49" s="78"/>
      <c r="H49" s="73"/>
      <c r="I49" s="73"/>
      <c r="J49" s="72"/>
      <c r="K49" s="72"/>
      <c r="L49" s="72"/>
      <c r="M49" s="72"/>
      <c r="N49" s="72"/>
      <c r="O49" s="72"/>
      <c r="P49" s="72"/>
      <c r="Q49" s="72"/>
      <c r="R49" s="72"/>
      <c r="S49" s="72"/>
      <c r="T49" s="72"/>
      <c r="U49" s="3"/>
      <c r="V49" s="25"/>
    </row>
    <row r="50" spans="3:22" ht="12.75" customHeight="1">
      <c r="C50" s="74"/>
      <c r="D50" s="75"/>
      <c r="E50" s="74"/>
      <c r="F50" s="78"/>
      <c r="H50" s="73"/>
      <c r="I50" s="73"/>
      <c r="J50" s="72"/>
      <c r="K50" s="72"/>
      <c r="L50" s="72"/>
      <c r="M50" s="72"/>
      <c r="N50" s="72"/>
      <c r="O50" s="72"/>
      <c r="P50" s="72"/>
      <c r="Q50" s="72"/>
      <c r="R50" s="72"/>
      <c r="S50" s="72"/>
      <c r="T50" s="72"/>
      <c r="U50" s="3"/>
      <c r="V50" s="25"/>
    </row>
    <row r="51" spans="3:22" ht="12.75" customHeight="1">
      <c r="C51" s="74"/>
      <c r="D51" s="75"/>
      <c r="E51" s="74"/>
      <c r="H51" s="73"/>
      <c r="I51" s="73"/>
      <c r="J51" s="72"/>
      <c r="K51" s="72"/>
      <c r="L51" s="72"/>
      <c r="M51" s="72"/>
      <c r="N51" s="72"/>
      <c r="O51" s="72"/>
      <c r="P51" s="72"/>
      <c r="Q51" s="72"/>
      <c r="R51" s="72"/>
      <c r="S51" s="72"/>
      <c r="T51" s="72"/>
      <c r="U51" s="3"/>
      <c r="V51" s="25"/>
    </row>
    <row r="52" spans="3:22" ht="12.75" customHeight="1">
      <c r="C52" s="74"/>
      <c r="D52" s="75"/>
      <c r="E52" s="74"/>
    </row>
    <row r="53" spans="3:22" ht="12.75" customHeight="1">
      <c r="C53" s="74"/>
      <c r="D53" s="75"/>
      <c r="E53" s="74"/>
    </row>
    <row r="54" spans="3:22" ht="12.75" customHeight="1">
      <c r="C54" s="74"/>
      <c r="D54" s="75"/>
      <c r="E54" s="74"/>
    </row>
    <row r="55" spans="3:22" ht="30" customHeight="1">
      <c r="C55" s="74"/>
      <c r="D55" s="75"/>
      <c r="E55" s="74"/>
    </row>
    <row r="56" spans="3:22" ht="12.75" customHeight="1">
      <c r="C56" s="74"/>
      <c r="D56" s="75"/>
      <c r="E56" s="74"/>
    </row>
    <row r="57" spans="3:22" ht="12.75" customHeight="1">
      <c r="C57" s="74"/>
      <c r="D57" s="75"/>
      <c r="E57" s="74"/>
    </row>
    <row r="58" spans="3:22" ht="12.75" customHeight="1">
      <c r="C58" s="74"/>
      <c r="D58" s="75"/>
    </row>
    <row r="59" spans="3:22" ht="12.75" customHeight="1">
      <c r="C59" s="74"/>
      <c r="D59" s="75"/>
    </row>
    <row r="60" spans="3:22" ht="12.75" customHeight="1">
      <c r="C60" s="74"/>
      <c r="D60" s="75"/>
    </row>
    <row r="61" spans="3:22" ht="12.75" customHeight="1">
      <c r="C61" s="74"/>
      <c r="D61" s="75"/>
    </row>
  </sheetData>
  <mergeCells count="11">
    <mergeCell ref="O23:O24"/>
    <mergeCell ref="P23:P24"/>
    <mergeCell ref="C33:G36"/>
    <mergeCell ref="D8:F8"/>
    <mergeCell ref="D9:F9"/>
    <mergeCell ref="D10:F10"/>
    <mergeCell ref="C14:G17"/>
    <mergeCell ref="C23:C24"/>
    <mergeCell ref="E23:E24"/>
    <mergeCell ref="C19:D19"/>
    <mergeCell ref="D23:D24"/>
  </mergeCells>
  <phoneticPr fontId="34" type="noConversion"/>
  <conditionalFormatting sqref="C25:C26">
    <cfRule type="containsBlanks" dxfId="30" priority="1">
      <formula>LEN(TRIM(C25))=0</formula>
    </cfRule>
  </conditionalFormatting>
  <conditionalFormatting sqref="F25:F26 K25:K26">
    <cfRule type="containsBlanks" dxfId="29" priority="2">
      <formula>LEN(TRIM(F25))=0</formula>
    </cfRule>
  </conditionalFormatting>
  <conditionalFormatting sqref="G9:I10 C14:G17 D21 H29 J29:K29 C33:G36 C41:F44">
    <cfRule type="containsBlanks" dxfId="28" priority="4">
      <formula>LEN(TRIM(C9))=0</formula>
    </cfRule>
  </conditionalFormatting>
  <conditionalFormatting sqref="P25:P27">
    <cfRule type="containsBlanks" dxfId="27" priority="3">
      <formula>LEN(TRIM(P25))=0</formula>
    </cfRule>
  </conditionalFormatting>
  <dataValidations count="3">
    <dataValidation type="list" allowBlank="1" showInputMessage="1" sqref="H9:H10 P25:P27" xr:uid="{B3C9B196-FB40-42E9-A12C-D80B41B89378}">
      <formula1>"是,否"</formula1>
    </dataValidation>
    <dataValidation type="list" allowBlank="1" showInputMessage="1" sqref="I9:I10" xr:uid="{FEA7FD6D-1C18-47C3-9C7F-A1CA3392F5BD}">
      <formula1>"是,不适用"</formula1>
    </dataValidation>
    <dataValidation type="list" allowBlank="1" showInputMessage="1" sqref="C41:C44" xr:uid="{FA6A4C97-8707-40F8-8E35-F016E4D90AFE}">
      <formula1>"管理层账表调整(CLA),已更正审计调整(AA/RA/OA),未更正审计调整(SAD)"</formula1>
    </dataValidation>
  </dataValidations>
  <hyperlinks>
    <hyperlink ref="J2" location="汇总!A1" display="返回汇总页" xr:uid="{00000000-0004-0000-0100-000002000000}"/>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EB68"/>
  <sheetViews>
    <sheetView showGridLines="0" zoomScale="70" zoomScaleNormal="70" workbookViewId="0">
      <selection activeCell="Q71" sqref="Q71"/>
    </sheetView>
  </sheetViews>
  <sheetFormatPr defaultColWidth="7.33203125" defaultRowHeight="12.75" customHeight="1" outlineLevelRow="1"/>
  <cols>
    <col min="1" max="1" width="2.33203125" style="163" customWidth="1"/>
    <col min="2" max="2" width="17.75" style="87" customWidth="1"/>
    <col min="3" max="3" width="20.75" style="87" customWidth="1"/>
    <col min="4" max="4" width="21" style="87" customWidth="1"/>
    <col min="5" max="5" width="23.5" style="87" customWidth="1"/>
    <col min="6" max="6" width="29.75" style="87" customWidth="1"/>
    <col min="7" max="7" width="16.75" style="87" customWidth="1"/>
    <col min="8" max="9" width="18.08203125" style="87" customWidth="1"/>
    <col min="10" max="14" width="18.33203125" style="87" customWidth="1"/>
    <col min="15" max="17" width="13.75" style="87" customWidth="1"/>
    <col min="18" max="18" width="18.25" style="87" customWidth="1"/>
    <col min="19" max="19" width="13.5" style="87" customWidth="1"/>
    <col min="20" max="20" width="12.75" style="87" customWidth="1"/>
    <col min="21" max="21" width="10.75" style="87" customWidth="1"/>
    <col min="22" max="24" width="13.33203125" style="87" customWidth="1"/>
    <col min="25" max="35" width="7.33203125" style="87" customWidth="1"/>
    <col min="36" max="93" width="7.33203125" style="87"/>
    <col min="94" max="94" width="13.08203125" style="80" customWidth="1"/>
    <col min="95" max="105" width="7.33203125" style="80"/>
    <col min="106" max="106" width="14.33203125" style="80" customWidth="1"/>
    <col min="107" max="112" width="7.33203125" style="80"/>
    <col min="113" max="113" width="10.33203125" style="80" customWidth="1"/>
    <col min="114" max="117" width="7.33203125" style="80"/>
    <col min="118" max="118" width="10.08203125" style="80" customWidth="1"/>
    <col min="119" max="119" width="12.33203125" style="80" customWidth="1"/>
    <col min="120" max="120" width="7.33203125" style="92"/>
    <col min="121" max="121" width="7.33203125" style="80"/>
    <col min="122" max="122" width="7.33203125" style="83"/>
    <col min="123" max="16384" width="7.33203125" style="87"/>
  </cols>
  <sheetData>
    <row r="1" spans="1:125" s="35" customFormat="1" ht="12.75" customHeight="1">
      <c r="A1" s="138" t="s">
        <v>116</v>
      </c>
      <c r="CG1" s="80"/>
      <c r="CH1" s="80"/>
      <c r="CI1" s="80"/>
      <c r="CJ1" s="80"/>
      <c r="CK1" s="80"/>
      <c r="CL1" s="80"/>
      <c r="CM1" s="80"/>
      <c r="CN1" s="80"/>
      <c r="CO1" s="80"/>
      <c r="CP1" s="80"/>
      <c r="CQ1" s="80"/>
      <c r="CR1" s="80"/>
      <c r="CS1" s="80"/>
      <c r="CT1" s="80"/>
      <c r="CU1" s="80"/>
      <c r="CV1" s="80"/>
      <c r="CW1" s="80"/>
      <c r="CX1" s="80"/>
      <c r="CY1" s="80"/>
      <c r="CZ1" s="80"/>
      <c r="DA1" s="80"/>
      <c r="DB1" s="80"/>
      <c r="DC1" s="80"/>
      <c r="DD1" s="80"/>
      <c r="DE1" s="80"/>
      <c r="DF1" s="80"/>
      <c r="DG1" s="82"/>
      <c r="DH1" s="80"/>
      <c r="DI1" s="83"/>
    </row>
    <row r="2" spans="1:125" s="35" customFormat="1" ht="12.75" customHeight="1">
      <c r="A2" s="162"/>
      <c r="I2" s="47" t="s">
        <v>70</v>
      </c>
      <c r="CI2" s="80"/>
      <c r="CJ2" s="80"/>
      <c r="CK2" s="80"/>
      <c r="CL2" s="80"/>
      <c r="CM2" s="80"/>
      <c r="CN2" s="80"/>
      <c r="CO2" s="80"/>
      <c r="CP2" s="80"/>
      <c r="CQ2" s="80"/>
      <c r="CR2" s="80"/>
      <c r="CS2" s="80"/>
      <c r="CT2" s="80"/>
      <c r="CU2" s="80"/>
      <c r="CV2" s="80"/>
      <c r="CW2" s="80"/>
      <c r="CX2" s="80"/>
      <c r="CY2" s="80"/>
      <c r="CZ2" s="80"/>
      <c r="DA2" s="80"/>
      <c r="DB2" s="80"/>
      <c r="DC2" s="80"/>
      <c r="DD2" s="80"/>
      <c r="DE2" s="80"/>
      <c r="DF2" s="80"/>
      <c r="DG2" s="80"/>
      <c r="DH2" s="80"/>
      <c r="DI2" s="82"/>
      <c r="DJ2" s="80"/>
      <c r="DK2" s="83"/>
    </row>
    <row r="3" spans="1:125" ht="12.75" customHeight="1" thickBot="1">
      <c r="CP3" s="79"/>
      <c r="CQ3" s="88"/>
      <c r="CR3" s="88"/>
      <c r="DA3" s="88"/>
      <c r="DH3" s="88"/>
      <c r="DI3" s="89"/>
      <c r="DJ3" s="90"/>
      <c r="DK3" s="91"/>
      <c r="DL3" s="91"/>
      <c r="DM3" s="88"/>
      <c r="DO3" s="81"/>
    </row>
    <row r="4" spans="1:125" ht="20">
      <c r="B4" s="95" t="s">
        <v>117</v>
      </c>
      <c r="C4" s="96"/>
      <c r="D4" s="96"/>
      <c r="E4" s="96"/>
      <c r="F4" s="96"/>
      <c r="G4" s="96"/>
      <c r="H4" s="96"/>
      <c r="I4" s="97"/>
      <c r="J4" s="94"/>
      <c r="K4" s="94"/>
      <c r="L4" s="94"/>
      <c r="M4" s="94"/>
      <c r="N4" s="94"/>
      <c r="O4" s="94"/>
      <c r="P4" s="98"/>
      <c r="Q4" s="98"/>
      <c r="R4" s="94"/>
      <c r="S4" s="94"/>
      <c r="T4" s="94"/>
      <c r="CP4" s="87"/>
      <c r="CQ4" s="87"/>
      <c r="CR4" s="87"/>
      <c r="CS4" s="88"/>
      <c r="CT4" s="88"/>
      <c r="CU4" s="88"/>
      <c r="DD4" s="88"/>
      <c r="DJ4" s="88"/>
      <c r="DK4" s="88"/>
      <c r="DL4" s="88"/>
      <c r="DM4" s="88"/>
      <c r="DN4" s="88"/>
      <c r="DO4" s="88"/>
      <c r="DP4" s="88"/>
      <c r="DQ4" s="88"/>
      <c r="DR4" s="88"/>
      <c r="DS4" s="92"/>
      <c r="DT4" s="88"/>
      <c r="DU4" s="88"/>
    </row>
    <row r="5" spans="1:125" ht="20.149999999999999" customHeight="1">
      <c r="B5" s="168" t="s">
        <v>118</v>
      </c>
      <c r="C5" s="99"/>
      <c r="D5" s="99"/>
      <c r="E5" s="99"/>
      <c r="F5" s="99"/>
      <c r="G5" s="99"/>
      <c r="H5" s="99"/>
      <c r="I5" s="100"/>
      <c r="J5" s="94"/>
      <c r="K5" s="94"/>
      <c r="L5" s="94"/>
      <c r="M5" s="94"/>
      <c r="N5" s="94"/>
      <c r="O5" s="94"/>
      <c r="P5" s="98"/>
      <c r="Q5" s="98"/>
      <c r="R5" s="94"/>
      <c r="S5" s="94"/>
      <c r="T5" s="94"/>
      <c r="CP5" s="87"/>
      <c r="CQ5" s="87"/>
      <c r="CR5" s="87"/>
      <c r="CS5" s="98"/>
      <c r="CT5" s="98"/>
      <c r="CU5" s="101"/>
      <c r="CV5" s="85"/>
      <c r="CW5" s="85"/>
      <c r="CX5" s="85"/>
      <c r="CY5" s="85"/>
      <c r="CZ5" s="85"/>
      <c r="DA5" s="85"/>
      <c r="DB5" s="85"/>
      <c r="DC5" s="85"/>
      <c r="DD5" s="98"/>
      <c r="DE5" s="85"/>
      <c r="DF5" s="85"/>
      <c r="DG5" s="85"/>
      <c r="DH5" s="85"/>
      <c r="DI5" s="85"/>
      <c r="DJ5" s="98"/>
      <c r="DK5" s="98"/>
      <c r="DL5" s="98"/>
      <c r="DM5" s="98"/>
      <c r="DN5" s="98"/>
      <c r="DO5" s="98"/>
      <c r="DP5" s="98"/>
      <c r="DQ5" s="98"/>
      <c r="DR5" s="98"/>
      <c r="DS5" s="102"/>
      <c r="DT5" s="98"/>
      <c r="DU5" s="98"/>
    </row>
    <row r="6" spans="1:125" ht="12.75" customHeight="1">
      <c r="B6" s="103"/>
      <c r="C6" s="99"/>
      <c r="D6" s="99"/>
      <c r="E6" s="99"/>
      <c r="F6" s="99"/>
      <c r="G6" s="99"/>
      <c r="H6" s="99"/>
      <c r="I6" s="100"/>
      <c r="J6" s="94"/>
      <c r="K6" s="94"/>
      <c r="L6" s="94"/>
      <c r="M6" s="94"/>
      <c r="N6" s="94"/>
      <c r="O6" s="94"/>
      <c r="P6" s="98"/>
      <c r="Q6" s="98"/>
      <c r="R6" s="94"/>
      <c r="S6" s="94"/>
      <c r="T6" s="94"/>
      <c r="CP6" s="87"/>
      <c r="CQ6" s="87"/>
      <c r="CR6" s="87"/>
      <c r="CS6" s="98"/>
      <c r="CT6" s="101"/>
      <c r="CU6" s="101"/>
      <c r="CV6" s="85"/>
      <c r="CW6" s="85"/>
      <c r="CX6" s="85"/>
      <c r="CY6" s="85"/>
      <c r="CZ6" s="85"/>
      <c r="DA6" s="85"/>
      <c r="DB6" s="85"/>
      <c r="DC6" s="85"/>
      <c r="DD6" s="101"/>
      <c r="DE6" s="85"/>
      <c r="DF6" s="85"/>
      <c r="DG6" s="85"/>
      <c r="DH6" s="85"/>
      <c r="DI6" s="85"/>
      <c r="DJ6" s="101"/>
      <c r="DK6" s="98"/>
      <c r="DL6" s="98"/>
      <c r="DM6" s="98"/>
      <c r="DN6" s="98"/>
      <c r="DO6" s="98"/>
      <c r="DP6" s="101"/>
      <c r="DQ6" s="101"/>
      <c r="DR6" s="101"/>
      <c r="DS6" s="104"/>
      <c r="DT6" s="98"/>
      <c r="DU6" s="98"/>
    </row>
    <row r="7" spans="1:125" ht="20">
      <c r="B7" s="59" t="s">
        <v>73</v>
      </c>
      <c r="C7" s="535" t="s">
        <v>74</v>
      </c>
      <c r="D7" s="536"/>
      <c r="E7" s="537"/>
      <c r="F7" s="60" t="s">
        <v>75</v>
      </c>
      <c r="G7" s="60" t="s">
        <v>76</v>
      </c>
      <c r="H7" s="60" t="s">
        <v>77</v>
      </c>
      <c r="I7" s="61" t="s">
        <v>78</v>
      </c>
      <c r="J7" s="94"/>
      <c r="K7" s="94"/>
      <c r="L7" s="94"/>
      <c r="M7" s="94"/>
      <c r="N7" s="94"/>
      <c r="O7" s="94"/>
      <c r="P7" s="98"/>
      <c r="Q7" s="98"/>
      <c r="R7" s="94"/>
      <c r="S7" s="94"/>
      <c r="T7" s="94"/>
      <c r="CP7" s="87"/>
      <c r="CQ7" s="87"/>
      <c r="CR7" s="87"/>
      <c r="CS7" s="105"/>
      <c r="CT7" s="101"/>
      <c r="CU7" s="106"/>
      <c r="CV7" s="85"/>
      <c r="CW7" s="85"/>
      <c r="CX7" s="85"/>
      <c r="CY7" s="85"/>
      <c r="CZ7" s="85"/>
      <c r="DA7" s="85"/>
      <c r="DB7" s="85"/>
      <c r="DC7" s="85"/>
      <c r="DD7" s="101"/>
      <c r="DE7" s="85"/>
      <c r="DF7" s="85"/>
      <c r="DG7" s="85"/>
      <c r="DH7" s="85"/>
      <c r="DI7" s="85"/>
      <c r="DJ7" s="101"/>
      <c r="DK7" s="105"/>
      <c r="DL7" s="105"/>
      <c r="DM7" s="105"/>
      <c r="DN7" s="105"/>
      <c r="DO7" s="105"/>
      <c r="DP7" s="101"/>
      <c r="DQ7" s="101"/>
      <c r="DR7" s="101"/>
      <c r="DS7" s="104"/>
      <c r="DT7" s="105"/>
      <c r="DU7" s="105"/>
    </row>
    <row r="8" spans="1:125" ht="83.15" customHeight="1" outlineLevel="1">
      <c r="B8" s="107">
        <v>1</v>
      </c>
      <c r="C8" s="558" t="s">
        <v>119</v>
      </c>
      <c r="D8" s="558"/>
      <c r="E8" s="558"/>
      <c r="F8" s="390" t="s">
        <v>120</v>
      </c>
      <c r="G8" s="391"/>
      <c r="H8" s="391"/>
      <c r="I8" s="84"/>
      <c r="J8" s="94"/>
      <c r="K8" s="94"/>
      <c r="L8" s="94"/>
      <c r="M8" s="94"/>
      <c r="N8" s="108"/>
      <c r="O8" s="108"/>
      <c r="P8" s="94"/>
      <c r="Q8" s="94"/>
      <c r="R8" s="94"/>
      <c r="S8" s="94"/>
      <c r="CP8" s="87"/>
      <c r="CQ8" s="105"/>
      <c r="CR8" s="106"/>
      <c r="CS8" s="106"/>
      <c r="CT8" s="85"/>
      <c r="CU8" s="85"/>
      <c r="CV8" s="85"/>
      <c r="CW8" s="85"/>
      <c r="CX8" s="85"/>
      <c r="CY8" s="85"/>
      <c r="CZ8" s="85"/>
      <c r="DA8" s="85"/>
      <c r="DB8" s="106"/>
      <c r="DC8" s="85"/>
      <c r="DD8" s="85"/>
      <c r="DE8" s="85"/>
      <c r="DF8" s="85"/>
      <c r="DG8" s="85"/>
      <c r="DH8" s="106"/>
      <c r="DI8" s="101"/>
      <c r="DJ8" s="101"/>
      <c r="DK8" s="101"/>
      <c r="DL8" s="101"/>
      <c r="DM8" s="101"/>
      <c r="DN8" s="106"/>
      <c r="DO8" s="106"/>
      <c r="DP8" s="106"/>
      <c r="DQ8" s="102"/>
      <c r="DR8" s="105"/>
      <c r="DS8" s="109"/>
    </row>
    <row r="9" spans="1:125" ht="83.15" customHeight="1" outlineLevel="1">
      <c r="B9" s="110">
        <v>2</v>
      </c>
      <c r="C9" s="558" t="s">
        <v>121</v>
      </c>
      <c r="D9" s="558"/>
      <c r="E9" s="558"/>
      <c r="F9" s="392" t="s">
        <v>122</v>
      </c>
      <c r="G9" s="391"/>
      <c r="H9" s="391"/>
      <c r="I9" s="84"/>
      <c r="J9" s="94"/>
      <c r="K9" s="94"/>
      <c r="L9" s="94"/>
      <c r="M9" s="94"/>
      <c r="N9" s="108"/>
      <c r="O9" s="108"/>
      <c r="P9" s="94"/>
      <c r="Q9" s="94"/>
      <c r="R9" s="94"/>
      <c r="S9" s="94"/>
      <c r="CP9" s="87"/>
      <c r="CQ9" s="101"/>
      <c r="CR9" s="106"/>
      <c r="CS9" s="106"/>
      <c r="CT9" s="85"/>
      <c r="CU9" s="85"/>
      <c r="CV9" s="85"/>
      <c r="CW9" s="85"/>
      <c r="CX9" s="85"/>
      <c r="CY9" s="85"/>
      <c r="CZ9" s="85"/>
      <c r="DA9" s="85"/>
      <c r="DB9" s="106"/>
      <c r="DC9" s="85"/>
      <c r="DD9" s="85"/>
      <c r="DE9" s="85"/>
      <c r="DF9" s="85"/>
      <c r="DG9" s="85"/>
      <c r="DH9" s="106"/>
      <c r="DI9" s="106"/>
      <c r="DJ9" s="106"/>
      <c r="DK9" s="106"/>
      <c r="DL9" s="106"/>
      <c r="DM9" s="106"/>
      <c r="DN9" s="106"/>
      <c r="DO9" s="106"/>
      <c r="DP9" s="106"/>
      <c r="DQ9" s="102"/>
      <c r="DR9" s="101"/>
      <c r="DS9" s="111"/>
    </row>
    <row r="10" spans="1:125" ht="73" customHeight="1" outlineLevel="1">
      <c r="B10" s="110">
        <v>3</v>
      </c>
      <c r="C10" s="558" t="s">
        <v>123</v>
      </c>
      <c r="D10" s="558"/>
      <c r="E10" s="558"/>
      <c r="F10" s="392" t="s">
        <v>124</v>
      </c>
      <c r="G10" s="391"/>
      <c r="H10" s="391"/>
      <c r="I10" s="84"/>
      <c r="J10" s="94"/>
      <c r="K10" s="94"/>
      <c r="L10" s="94"/>
      <c r="M10" s="94"/>
      <c r="N10" s="108"/>
      <c r="O10" s="108"/>
      <c r="P10" s="94"/>
      <c r="Q10" s="94"/>
      <c r="R10" s="94"/>
      <c r="S10" s="94"/>
      <c r="CP10" s="87"/>
      <c r="CQ10" s="106"/>
      <c r="CR10" s="106"/>
      <c r="CS10" s="106"/>
      <c r="CT10" s="85"/>
      <c r="CU10" s="85"/>
      <c r="CV10" s="85"/>
      <c r="CW10" s="85"/>
      <c r="CX10" s="85"/>
      <c r="CY10" s="85"/>
      <c r="CZ10" s="85"/>
      <c r="DA10" s="85"/>
      <c r="DB10" s="106"/>
      <c r="DC10" s="85"/>
      <c r="DD10" s="85"/>
      <c r="DE10" s="85"/>
      <c r="DF10" s="85"/>
      <c r="DG10" s="85"/>
      <c r="DH10" s="106"/>
      <c r="DI10" s="106"/>
      <c r="DJ10" s="106"/>
      <c r="DK10" s="106"/>
      <c r="DL10" s="106"/>
      <c r="DM10" s="106"/>
      <c r="DN10" s="106"/>
      <c r="DO10" s="106"/>
      <c r="DP10" s="106"/>
      <c r="DQ10" s="102"/>
      <c r="DR10" s="106"/>
      <c r="DS10" s="113"/>
    </row>
    <row r="11" spans="1:125" ht="75" customHeight="1" outlineLevel="1">
      <c r="B11" s="112">
        <v>4</v>
      </c>
      <c r="C11" s="558" t="s">
        <v>125</v>
      </c>
      <c r="D11" s="558"/>
      <c r="E11" s="558"/>
      <c r="F11" s="392" t="s">
        <v>126</v>
      </c>
      <c r="G11" s="391"/>
      <c r="H11" s="391"/>
      <c r="I11" s="84"/>
      <c r="J11" s="94"/>
      <c r="K11" s="94"/>
      <c r="L11" s="94"/>
      <c r="M11" s="94"/>
      <c r="N11" s="108"/>
      <c r="O11" s="108"/>
      <c r="P11" s="94"/>
      <c r="Q11" s="94"/>
      <c r="R11" s="94"/>
      <c r="S11" s="94"/>
      <c r="CP11" s="87"/>
      <c r="CQ11" s="101"/>
      <c r="CR11" s="106"/>
      <c r="CS11" s="106"/>
      <c r="CT11" s="85"/>
      <c r="CU11" s="85"/>
      <c r="CV11" s="85"/>
      <c r="CW11" s="85"/>
      <c r="CX11" s="85"/>
      <c r="CY11" s="85"/>
      <c r="CZ11" s="85"/>
      <c r="DA11" s="85"/>
      <c r="DB11" s="106"/>
      <c r="DC11" s="85"/>
      <c r="DD11" s="85"/>
      <c r="DE11" s="85"/>
      <c r="DF11" s="85"/>
      <c r="DG11" s="85"/>
      <c r="DH11" s="106"/>
      <c r="DI11" s="106"/>
      <c r="DJ11" s="106"/>
      <c r="DK11" s="106"/>
      <c r="DL11" s="106"/>
      <c r="DM11" s="106"/>
      <c r="DN11" s="106"/>
      <c r="DO11" s="106"/>
      <c r="DP11" s="106"/>
      <c r="DQ11" s="102"/>
      <c r="DR11" s="101"/>
      <c r="DS11" s="111"/>
    </row>
    <row r="12" spans="1:125" ht="12.75" customHeight="1" thickBot="1">
      <c r="B12" s="114"/>
      <c r="C12" s="115"/>
      <c r="D12" s="115"/>
      <c r="E12" s="115"/>
      <c r="F12" s="115"/>
      <c r="G12" s="115"/>
      <c r="H12" s="115"/>
      <c r="I12" s="116"/>
      <c r="J12" s="94"/>
      <c r="K12" s="94"/>
      <c r="L12" s="94"/>
      <c r="M12" s="94"/>
      <c r="N12" s="94"/>
      <c r="O12" s="94"/>
      <c r="P12" s="94"/>
      <c r="Q12" s="94"/>
      <c r="R12" s="94"/>
      <c r="S12" s="94"/>
      <c r="T12" s="94"/>
      <c r="U12" s="94"/>
      <c r="V12" s="94"/>
      <c r="W12" s="94"/>
      <c r="X12" s="94"/>
      <c r="Y12" s="94"/>
      <c r="Z12" s="94"/>
      <c r="AA12" s="94"/>
      <c r="AB12" s="94"/>
      <c r="AC12" s="94"/>
      <c r="CP12" s="87"/>
      <c r="CQ12" s="87"/>
      <c r="CR12" s="87"/>
      <c r="CS12" s="106"/>
      <c r="CT12" s="98"/>
      <c r="CU12" s="98"/>
      <c r="CV12" s="85"/>
      <c r="CW12" s="85"/>
      <c r="CX12" s="85"/>
      <c r="CY12" s="85"/>
      <c r="CZ12" s="85"/>
      <c r="DA12" s="85"/>
      <c r="DB12" s="85"/>
      <c r="DC12" s="85"/>
      <c r="DD12" s="98"/>
      <c r="DE12" s="85"/>
      <c r="DF12" s="85"/>
      <c r="DG12" s="85"/>
      <c r="DH12" s="85"/>
      <c r="DI12" s="85"/>
      <c r="DJ12" s="98"/>
      <c r="DK12" s="98"/>
      <c r="DL12" s="98"/>
      <c r="DM12" s="98"/>
      <c r="DN12" s="98"/>
      <c r="DO12" s="98"/>
      <c r="DP12" s="98"/>
      <c r="DQ12" s="98"/>
      <c r="DR12" s="98"/>
      <c r="DS12" s="102"/>
      <c r="DT12" s="106"/>
      <c r="DU12" s="113"/>
    </row>
    <row r="13" spans="1:125" ht="12.75" customHeight="1">
      <c r="B13" s="8"/>
      <c r="C13" s="117"/>
      <c r="D13" s="117"/>
      <c r="E13" s="117"/>
      <c r="F13" s="117"/>
      <c r="G13" s="94"/>
      <c r="H13" s="94"/>
      <c r="I13" s="94"/>
      <c r="J13" s="94"/>
      <c r="K13" s="94"/>
      <c r="L13" s="94"/>
      <c r="M13" s="94"/>
      <c r="N13" s="94"/>
      <c r="O13" s="94"/>
      <c r="P13" s="94"/>
      <c r="Q13" s="94"/>
      <c r="R13" s="94"/>
      <c r="S13" s="94"/>
      <c r="T13" s="94"/>
      <c r="U13" s="94"/>
      <c r="V13" s="94"/>
      <c r="W13" s="94"/>
      <c r="X13" s="94"/>
      <c r="Y13" s="94"/>
      <c r="Z13" s="94"/>
      <c r="CP13" s="87"/>
      <c r="CQ13" s="98"/>
      <c r="CR13" s="98"/>
      <c r="CS13" s="98"/>
      <c r="CT13" s="85"/>
      <c r="CU13" s="85"/>
      <c r="CV13" s="85"/>
      <c r="CW13" s="85"/>
      <c r="CX13" s="85"/>
      <c r="CY13" s="85"/>
      <c r="CZ13" s="85"/>
      <c r="DA13" s="85"/>
      <c r="DB13" s="98"/>
      <c r="DC13" s="85"/>
      <c r="DD13" s="85"/>
      <c r="DE13" s="85"/>
      <c r="DF13" s="85"/>
      <c r="DG13" s="85"/>
      <c r="DH13" s="98"/>
      <c r="DI13" s="98"/>
      <c r="DJ13" s="98"/>
      <c r="DK13" s="98"/>
      <c r="DL13" s="98"/>
      <c r="DM13" s="98"/>
      <c r="DN13" s="98"/>
      <c r="DO13" s="98"/>
      <c r="DP13" s="98"/>
      <c r="DQ13" s="102"/>
      <c r="DR13" s="98"/>
      <c r="DS13" s="98"/>
    </row>
    <row r="14" spans="1:125" s="192" customFormat="1" ht="15" customHeight="1" thickBot="1">
      <c r="B14" s="250" t="s">
        <v>127</v>
      </c>
      <c r="G14" s="194"/>
      <c r="H14" s="194"/>
      <c r="I14" s="194"/>
      <c r="J14" s="194"/>
      <c r="K14" s="194"/>
      <c r="L14" s="194"/>
      <c r="M14" s="194"/>
      <c r="N14" s="194"/>
      <c r="O14" s="194"/>
      <c r="P14" s="94"/>
      <c r="Q14" s="94"/>
      <c r="R14" s="94"/>
      <c r="S14" s="94"/>
    </row>
    <row r="15" spans="1:125" s="192" customFormat="1" ht="32.15" customHeight="1">
      <c r="B15" s="464" t="s">
        <v>128</v>
      </c>
      <c r="C15" s="465" t="s">
        <v>129</v>
      </c>
      <c r="D15" s="466" t="s">
        <v>130</v>
      </c>
      <c r="E15" s="465" t="s">
        <v>131</v>
      </c>
      <c r="F15" s="465" t="s">
        <v>132</v>
      </c>
      <c r="G15" s="465" t="s">
        <v>133</v>
      </c>
      <c r="H15" s="467" t="s">
        <v>134</v>
      </c>
      <c r="I15" s="194"/>
      <c r="J15" s="87"/>
      <c r="K15" s="87"/>
      <c r="L15" s="87"/>
      <c r="M15" s="87"/>
      <c r="N15" s="87"/>
      <c r="P15" s="94"/>
      <c r="Q15" s="94"/>
      <c r="R15" s="94"/>
      <c r="S15" s="94"/>
    </row>
    <row r="16" spans="1:125" s="192" customFormat="1" ht="15" customHeight="1">
      <c r="B16" s="468"/>
      <c r="C16" s="195"/>
      <c r="D16" s="421">
        <f>'M.00 Lead'!F25</f>
        <v>0</v>
      </c>
      <c r="E16" s="196" t="s">
        <v>135</v>
      </c>
      <c r="F16" s="379"/>
      <c r="G16" s="196" t="s">
        <v>136</v>
      </c>
      <c r="H16" s="469">
        <f>D16-F16</f>
        <v>0</v>
      </c>
      <c r="I16" s="194"/>
      <c r="J16" s="87"/>
      <c r="K16" s="87"/>
      <c r="L16" s="87"/>
      <c r="M16" s="87"/>
      <c r="N16" s="87"/>
      <c r="P16" s="94"/>
      <c r="Q16" s="94"/>
      <c r="R16" s="94"/>
      <c r="S16" s="94"/>
    </row>
    <row r="17" spans="1:127" s="192" customFormat="1" ht="15" customHeight="1">
      <c r="B17" s="468"/>
      <c r="C17" s="195"/>
      <c r="D17" s="421"/>
      <c r="E17" s="139"/>
      <c r="F17" s="379"/>
      <c r="G17" s="139"/>
      <c r="H17" s="470">
        <f t="shared" ref="H17:H18" si="0">D17-F17</f>
        <v>0</v>
      </c>
      <c r="I17" s="194"/>
      <c r="J17" s="87"/>
      <c r="K17" s="87"/>
      <c r="L17" s="87"/>
      <c r="M17" s="87"/>
      <c r="N17" s="87"/>
      <c r="P17" s="94"/>
      <c r="Q17" s="94"/>
      <c r="R17" s="94"/>
      <c r="S17" s="94"/>
    </row>
    <row r="18" spans="1:127" s="192" customFormat="1" ht="15" customHeight="1" thickBot="1">
      <c r="B18" s="471"/>
      <c r="C18" s="472"/>
      <c r="D18" s="473"/>
      <c r="E18" s="474"/>
      <c r="F18" s="475"/>
      <c r="G18" s="474"/>
      <c r="H18" s="476">
        <f t="shared" si="0"/>
        <v>0</v>
      </c>
      <c r="I18" s="194"/>
      <c r="J18" s="87"/>
      <c r="K18" s="87"/>
      <c r="L18" s="87"/>
      <c r="M18" s="87"/>
      <c r="N18" s="87"/>
      <c r="P18" s="94"/>
      <c r="Q18" s="94"/>
      <c r="R18" s="94"/>
      <c r="S18" s="94"/>
    </row>
    <row r="19" spans="1:127" s="192" customFormat="1" ht="15" customHeight="1">
      <c r="D19" s="364"/>
      <c r="F19" s="364"/>
      <c r="H19" s="368"/>
      <c r="I19" s="194"/>
      <c r="O19" s="87"/>
      <c r="P19" s="94"/>
      <c r="Q19" s="94"/>
      <c r="R19" s="94"/>
      <c r="S19" s="94"/>
    </row>
    <row r="20" spans="1:127" s="192" customFormat="1" ht="15" customHeight="1" thickBot="1">
      <c r="C20" s="251" t="s">
        <v>137</v>
      </c>
      <c r="D20" s="365">
        <f>SUM(D16:D18)</f>
        <v>0</v>
      </c>
      <c r="E20"/>
      <c r="F20" s="365">
        <f>SUM(F16:F18)</f>
        <v>0</v>
      </c>
      <c r="G20"/>
      <c r="H20" s="369">
        <f>SUM(H16:H18)</f>
        <v>0</v>
      </c>
      <c r="I20" s="194"/>
      <c r="O20" s="87"/>
      <c r="P20" s="94"/>
      <c r="Q20" s="94"/>
      <c r="R20" s="94"/>
      <c r="S20" s="94"/>
    </row>
    <row r="21" spans="1:127" s="192" customFormat="1" ht="15" customHeight="1" thickTop="1">
      <c r="C21" s="251"/>
      <c r="D21" s="194" t="s">
        <v>110</v>
      </c>
      <c r="E21" s="194"/>
      <c r="F21" s="194" t="s">
        <v>110</v>
      </c>
      <c r="G21" s="194"/>
      <c r="H21" s="194" t="s">
        <v>110</v>
      </c>
      <c r="I21" s="194"/>
      <c r="O21" s="87"/>
      <c r="P21" s="94"/>
      <c r="Q21" s="94"/>
      <c r="R21" s="94"/>
      <c r="S21" s="94"/>
    </row>
    <row r="22" spans="1:127" ht="12.75" customHeight="1">
      <c r="B22" s="117"/>
      <c r="C22" s="117"/>
      <c r="D22" s="117"/>
      <c r="E22" s="117"/>
      <c r="F22" s="117"/>
      <c r="G22" s="94"/>
      <c r="H22" s="94"/>
      <c r="I22" s="94"/>
      <c r="J22" s="94"/>
      <c r="K22" s="94"/>
      <c r="L22" s="94"/>
      <c r="M22" s="94"/>
      <c r="N22" s="94"/>
      <c r="O22" s="94"/>
      <c r="P22" s="94"/>
      <c r="Q22" s="94"/>
      <c r="R22" s="94"/>
      <c r="S22" s="94"/>
      <c r="T22" s="94"/>
      <c r="U22" s="94"/>
      <c r="V22" s="94"/>
      <c r="W22" s="94"/>
      <c r="X22" s="94"/>
      <c r="Y22" s="94"/>
      <c r="Z22" s="94"/>
      <c r="CP22" s="87"/>
      <c r="CQ22" s="98"/>
      <c r="CR22" s="98"/>
      <c r="CS22" s="98"/>
      <c r="CT22" s="85"/>
      <c r="CU22" s="85"/>
      <c r="CV22" s="85"/>
      <c r="CW22" s="85"/>
      <c r="CX22" s="85"/>
      <c r="CY22" s="85"/>
      <c r="CZ22" s="85"/>
      <c r="DA22" s="85"/>
      <c r="DB22" s="98"/>
      <c r="DC22" s="85"/>
      <c r="DD22" s="85"/>
      <c r="DE22" s="85"/>
      <c r="DF22" s="85"/>
      <c r="DG22" s="85"/>
      <c r="DH22" s="98"/>
      <c r="DI22" s="98"/>
      <c r="DJ22" s="98"/>
      <c r="DK22" s="98"/>
      <c r="DL22" s="98"/>
      <c r="DM22" s="98"/>
      <c r="DN22" s="98"/>
      <c r="DO22" s="98"/>
      <c r="DP22" s="98"/>
      <c r="DQ22" s="102"/>
      <c r="DR22" s="98"/>
      <c r="DS22" s="98"/>
    </row>
    <row r="23" spans="1:127" ht="12.75" customHeight="1" thickBot="1">
      <c r="B23" s="8" t="s">
        <v>138</v>
      </c>
      <c r="C23" s="234"/>
      <c r="D23" s="234"/>
      <c r="E23" s="234"/>
      <c r="F23" s="234"/>
      <c r="G23" s="94"/>
      <c r="H23" s="94"/>
      <c r="I23" s="94"/>
      <c r="J23" s="94"/>
      <c r="K23" s="94"/>
      <c r="L23" s="94"/>
      <c r="M23" s="94"/>
      <c r="N23" s="94"/>
      <c r="O23" s="94"/>
      <c r="P23" s="94"/>
      <c r="Q23" s="94"/>
      <c r="R23" s="94"/>
      <c r="S23" s="94"/>
      <c r="T23" s="94"/>
      <c r="U23" s="94"/>
      <c r="V23" s="94"/>
      <c r="W23" s="94"/>
      <c r="X23" s="94"/>
      <c r="Y23" s="94"/>
      <c r="Z23" s="94"/>
      <c r="CP23" s="87"/>
      <c r="CQ23" s="98"/>
      <c r="CR23" s="98"/>
      <c r="CS23" s="98"/>
      <c r="CT23" s="85"/>
      <c r="CU23" s="85"/>
      <c r="CV23" s="85"/>
      <c r="CW23" s="85"/>
      <c r="CX23" s="85"/>
      <c r="CY23" s="85"/>
      <c r="CZ23" s="85"/>
      <c r="DA23" s="85"/>
      <c r="DB23" s="98"/>
      <c r="DC23" s="85"/>
      <c r="DD23" s="85"/>
      <c r="DE23" s="85"/>
      <c r="DF23" s="85"/>
      <c r="DG23" s="85"/>
      <c r="DH23" s="98"/>
      <c r="DI23" s="98"/>
      <c r="DJ23" s="98"/>
      <c r="DK23" s="98"/>
      <c r="DL23" s="98"/>
      <c r="DM23" s="98"/>
      <c r="DN23" s="98"/>
      <c r="DO23" s="98"/>
      <c r="DP23" s="98"/>
      <c r="DQ23" s="102"/>
      <c r="DR23" s="98"/>
      <c r="DS23" s="98"/>
    </row>
    <row r="24" spans="1:127" ht="12.75" customHeight="1">
      <c r="B24" s="568"/>
      <c r="C24" s="569"/>
      <c r="D24" s="569"/>
      <c r="E24" s="569"/>
      <c r="F24" s="570"/>
      <c r="G24" s="94"/>
      <c r="H24" s="94"/>
      <c r="I24" s="94"/>
      <c r="J24" s="94"/>
      <c r="K24" s="94"/>
      <c r="L24" s="94"/>
      <c r="M24" s="94"/>
      <c r="N24" s="94"/>
      <c r="O24" s="94"/>
      <c r="P24" s="94"/>
      <c r="Q24" s="94"/>
      <c r="R24" s="94"/>
      <c r="S24" s="94"/>
      <c r="T24" s="94"/>
      <c r="U24" s="94"/>
      <c r="V24" s="94"/>
      <c r="W24" s="94"/>
      <c r="X24" s="94"/>
      <c r="Y24" s="94"/>
      <c r="Z24" s="94"/>
      <c r="CP24" s="87"/>
      <c r="CQ24" s="98"/>
      <c r="CR24" s="98"/>
      <c r="CS24" s="98"/>
      <c r="CT24" s="85"/>
      <c r="CU24" s="85"/>
      <c r="CV24" s="85"/>
      <c r="CW24" s="85"/>
      <c r="CX24" s="85"/>
      <c r="CY24" s="85"/>
      <c r="CZ24" s="85"/>
      <c r="DA24" s="85"/>
      <c r="DB24" s="98"/>
      <c r="DC24" s="85"/>
      <c r="DD24" s="85"/>
      <c r="DE24" s="85"/>
      <c r="DF24" s="85"/>
      <c r="DG24" s="85"/>
      <c r="DH24" s="98"/>
      <c r="DI24" s="98"/>
      <c r="DJ24" s="98"/>
      <c r="DK24" s="98"/>
      <c r="DL24" s="98"/>
      <c r="DM24" s="98"/>
      <c r="DN24" s="98"/>
      <c r="DO24" s="98"/>
      <c r="DP24" s="98"/>
      <c r="DQ24" s="102"/>
      <c r="DR24" s="98"/>
      <c r="DS24" s="98"/>
    </row>
    <row r="25" spans="1:127" ht="12.75" customHeight="1">
      <c r="B25" s="571"/>
      <c r="C25" s="572"/>
      <c r="D25" s="572"/>
      <c r="E25" s="572"/>
      <c r="F25" s="573"/>
      <c r="G25" s="94"/>
      <c r="H25" s="94"/>
      <c r="I25" s="94"/>
      <c r="J25" s="94"/>
      <c r="K25" s="94"/>
      <c r="L25" s="94"/>
      <c r="M25" s="94"/>
      <c r="N25" s="94"/>
      <c r="O25" s="94"/>
      <c r="P25" s="94"/>
      <c r="Q25" s="94"/>
      <c r="R25" s="94"/>
      <c r="S25" s="94"/>
      <c r="T25" s="94"/>
      <c r="U25" s="94"/>
      <c r="V25" s="94"/>
      <c r="W25" s="94"/>
      <c r="X25" s="94"/>
      <c r="Y25" s="94"/>
      <c r="Z25" s="94"/>
      <c r="CP25" s="87"/>
      <c r="CQ25" s="98"/>
      <c r="CR25" s="98"/>
      <c r="CS25" s="98"/>
      <c r="CT25" s="85"/>
      <c r="CU25" s="85"/>
      <c r="CV25" s="85"/>
      <c r="CW25" s="85"/>
      <c r="CX25" s="85"/>
      <c r="CY25" s="85"/>
      <c r="CZ25" s="85"/>
      <c r="DA25" s="85"/>
      <c r="DB25" s="98"/>
      <c r="DC25" s="85"/>
      <c r="DD25" s="85"/>
      <c r="DE25" s="85"/>
      <c r="DF25" s="85"/>
      <c r="DG25" s="85"/>
      <c r="DH25" s="98"/>
      <c r="DI25" s="98"/>
      <c r="DJ25" s="98"/>
      <c r="DK25" s="98"/>
      <c r="DL25" s="98"/>
      <c r="DM25" s="98"/>
      <c r="DN25" s="98"/>
      <c r="DO25" s="98"/>
      <c r="DP25" s="98"/>
      <c r="DQ25" s="102"/>
      <c r="DR25" s="98"/>
      <c r="DS25" s="98"/>
    </row>
    <row r="26" spans="1:127" ht="12.75" customHeight="1">
      <c r="B26" s="574"/>
      <c r="C26" s="575"/>
      <c r="D26" s="575"/>
      <c r="E26" s="575"/>
      <c r="F26" s="576"/>
      <c r="G26" s="94"/>
      <c r="H26" s="94"/>
      <c r="I26" s="94"/>
      <c r="J26" s="94"/>
      <c r="K26" s="94"/>
      <c r="L26" s="94"/>
      <c r="M26" s="94"/>
      <c r="N26" s="94"/>
      <c r="O26" s="94"/>
      <c r="P26" s="94"/>
      <c r="Q26" s="94"/>
      <c r="R26" s="94"/>
      <c r="S26" s="94"/>
      <c r="T26" s="94"/>
      <c r="U26" s="94"/>
      <c r="V26" s="94"/>
      <c r="W26" s="94"/>
      <c r="X26" s="94"/>
      <c r="Y26" s="94"/>
      <c r="Z26" s="94"/>
      <c r="CP26" s="87"/>
      <c r="CQ26" s="98"/>
      <c r="CR26" s="98"/>
      <c r="CS26" s="98"/>
      <c r="CT26" s="85"/>
      <c r="CU26" s="85"/>
      <c r="CV26" s="85"/>
      <c r="CW26" s="85"/>
      <c r="CX26" s="85"/>
      <c r="CY26" s="85"/>
      <c r="CZ26" s="85"/>
      <c r="DA26" s="85"/>
      <c r="DB26" s="98"/>
      <c r="DC26" s="85"/>
      <c r="DD26" s="85"/>
      <c r="DE26" s="85"/>
      <c r="DF26" s="85"/>
      <c r="DG26" s="85"/>
      <c r="DH26" s="98"/>
      <c r="DI26" s="98"/>
      <c r="DJ26" s="98"/>
      <c r="DK26" s="98"/>
      <c r="DL26" s="98"/>
      <c r="DM26" s="98"/>
      <c r="DN26" s="98"/>
      <c r="DO26" s="98"/>
      <c r="DP26" s="98"/>
      <c r="DQ26" s="102"/>
      <c r="DR26" s="98"/>
      <c r="DS26" s="98"/>
    </row>
    <row r="27" spans="1:127" s="88" customFormat="1" ht="12.75" customHeight="1" thickBot="1">
      <c r="A27" s="164"/>
      <c r="B27" s="119"/>
      <c r="C27" s="119"/>
      <c r="D27" s="119"/>
      <c r="E27" s="119"/>
      <c r="F27" s="119"/>
      <c r="G27" s="120"/>
      <c r="H27" s="120"/>
      <c r="I27" s="120"/>
      <c r="J27" s="120"/>
      <c r="K27" s="120"/>
      <c r="L27" s="120"/>
      <c r="M27" s="120"/>
      <c r="N27" s="120"/>
      <c r="O27" s="118"/>
      <c r="P27" s="94"/>
      <c r="Q27" s="94"/>
      <c r="R27" s="94"/>
      <c r="S27" s="94"/>
      <c r="CP27" s="80"/>
      <c r="CQ27" s="80"/>
      <c r="CR27" s="80"/>
      <c r="CS27" s="80"/>
      <c r="CT27" s="80"/>
      <c r="CU27" s="80"/>
      <c r="CV27" s="80"/>
      <c r="CW27" s="80"/>
      <c r="CX27" s="80"/>
      <c r="CY27" s="80"/>
      <c r="CZ27" s="80"/>
      <c r="DA27" s="80"/>
      <c r="DB27" s="80"/>
      <c r="DC27" s="80"/>
      <c r="DD27" s="80"/>
      <c r="DE27" s="80"/>
      <c r="DF27" s="80"/>
      <c r="DG27" s="80"/>
      <c r="DH27" s="80"/>
      <c r="DI27" s="80"/>
      <c r="DJ27" s="80"/>
      <c r="DK27" s="80"/>
      <c r="DL27" s="80"/>
      <c r="DM27" s="80"/>
      <c r="DN27" s="80"/>
      <c r="DO27" s="80"/>
      <c r="DP27" s="121"/>
      <c r="DQ27" s="80"/>
      <c r="DR27" s="83"/>
    </row>
    <row r="28" spans="1:127" ht="12.75" customHeight="1">
      <c r="B28" s="179" t="s">
        <v>139</v>
      </c>
      <c r="C28" s="180"/>
      <c r="D28" s="180"/>
      <c r="E28" s="180"/>
      <c r="F28" s="181"/>
      <c r="P28" s="94"/>
      <c r="Q28" s="94"/>
      <c r="R28" s="94"/>
      <c r="S28" s="94"/>
      <c r="CF28" s="80"/>
      <c r="CG28" s="80"/>
      <c r="CH28" s="80"/>
      <c r="CI28" s="80"/>
      <c r="CJ28" s="80"/>
      <c r="CK28" s="80"/>
      <c r="CL28" s="80"/>
      <c r="CM28" s="80"/>
      <c r="CN28" s="80"/>
      <c r="CO28" s="80"/>
      <c r="DF28" s="92"/>
      <c r="DH28" s="83"/>
      <c r="DI28" s="87"/>
      <c r="DJ28" s="87"/>
      <c r="DK28" s="87"/>
      <c r="DL28" s="87"/>
      <c r="DM28" s="87"/>
      <c r="DN28" s="87"/>
      <c r="DO28" s="87"/>
      <c r="DP28" s="87"/>
      <c r="DQ28" s="87"/>
      <c r="DR28" s="87"/>
      <c r="DW28" s="188" t="s">
        <v>140</v>
      </c>
    </row>
    <row r="29" spans="1:127" ht="12.75" customHeight="1">
      <c r="B29" s="182" t="s">
        <v>141</v>
      </c>
      <c r="C29" s="173"/>
      <c r="D29" s="173"/>
      <c r="E29" s="173"/>
      <c r="F29" s="183"/>
      <c r="CF29" s="80"/>
      <c r="CG29" s="80"/>
      <c r="CH29" s="80"/>
      <c r="CI29" s="80"/>
      <c r="CJ29" s="80"/>
      <c r="CK29" s="80"/>
      <c r="CL29" s="80"/>
      <c r="CM29" s="80"/>
      <c r="CN29" s="80"/>
      <c r="CO29" s="80"/>
      <c r="DF29" s="92"/>
      <c r="DH29" s="83"/>
      <c r="DI29" s="87"/>
      <c r="DJ29" s="87"/>
      <c r="DK29" s="87"/>
      <c r="DL29" s="87"/>
      <c r="DM29" s="87"/>
      <c r="DN29" s="87"/>
      <c r="DO29" s="87"/>
      <c r="DP29" s="87"/>
      <c r="DQ29" s="87"/>
      <c r="DR29" s="87"/>
      <c r="DW29" s="188" t="s">
        <v>142</v>
      </c>
    </row>
    <row r="30" spans="1:127" ht="12.75" customHeight="1">
      <c r="B30" s="235" t="s">
        <v>143</v>
      </c>
      <c r="C30" s="144"/>
      <c r="D30" s="144"/>
      <c r="E30" s="144"/>
      <c r="F30" s="184"/>
      <c r="CF30" s="80"/>
      <c r="CG30" s="80"/>
      <c r="CH30" s="80"/>
      <c r="CI30" s="80"/>
      <c r="CJ30" s="80"/>
      <c r="CK30" s="80"/>
      <c r="CL30" s="80"/>
      <c r="CM30" s="80"/>
      <c r="CN30" s="80"/>
      <c r="CO30" s="80"/>
      <c r="DF30" s="92"/>
      <c r="DH30" s="83"/>
      <c r="DI30" s="87"/>
      <c r="DJ30" s="87"/>
      <c r="DK30" s="87"/>
      <c r="DL30" s="87"/>
      <c r="DM30" s="87"/>
      <c r="DN30" s="87"/>
      <c r="DO30" s="87"/>
      <c r="DP30" s="87"/>
      <c r="DQ30" s="87"/>
      <c r="DR30" s="87"/>
      <c r="DW30" s="188" t="s">
        <v>144</v>
      </c>
    </row>
    <row r="31" spans="1:127" ht="12.75" customHeight="1">
      <c r="B31" s="235" t="s">
        <v>145</v>
      </c>
      <c r="C31" s="144"/>
      <c r="D31" s="144"/>
      <c r="E31" s="144"/>
      <c r="F31" s="184"/>
      <c r="CF31" s="80"/>
      <c r="CG31" s="80"/>
      <c r="CH31" s="80"/>
      <c r="CI31" s="80"/>
      <c r="CJ31" s="80"/>
      <c r="CK31" s="80"/>
      <c r="CL31" s="80"/>
      <c r="CM31" s="80"/>
      <c r="CN31" s="80"/>
      <c r="CO31" s="80"/>
      <c r="DF31" s="92"/>
      <c r="DH31" s="83"/>
      <c r="DI31" s="87"/>
      <c r="DJ31" s="87"/>
      <c r="DK31" s="87"/>
      <c r="DL31" s="87"/>
      <c r="DM31" s="87"/>
      <c r="DN31" s="87"/>
      <c r="DO31" s="87"/>
      <c r="DP31" s="87"/>
      <c r="DQ31" s="87"/>
      <c r="DR31" s="87"/>
      <c r="DW31" s="188"/>
    </row>
    <row r="32" spans="1:127" ht="12.75" customHeight="1">
      <c r="B32" s="235" t="s">
        <v>146</v>
      </c>
      <c r="C32" s="176"/>
      <c r="D32" s="176"/>
      <c r="E32" s="176"/>
      <c r="F32" s="185"/>
      <c r="CF32" s="80"/>
      <c r="CG32" s="80"/>
      <c r="CH32" s="80"/>
      <c r="CI32" s="80"/>
      <c r="CJ32" s="80"/>
      <c r="CK32" s="80"/>
      <c r="CL32" s="80"/>
      <c r="CM32" s="80"/>
      <c r="CN32" s="80"/>
      <c r="CO32" s="80"/>
      <c r="DF32" s="92"/>
      <c r="DH32" s="83"/>
      <c r="DI32" s="87"/>
      <c r="DJ32" s="87"/>
      <c r="DK32" s="87"/>
      <c r="DL32" s="87"/>
      <c r="DM32" s="87"/>
      <c r="DN32" s="87"/>
      <c r="DO32" s="87"/>
      <c r="DP32" s="87"/>
      <c r="DQ32" s="87"/>
      <c r="DR32" s="87"/>
      <c r="DW32" s="188" t="s">
        <v>147</v>
      </c>
    </row>
    <row r="33" spans="1:127" ht="12.75" customHeight="1" thickBot="1">
      <c r="B33" s="236" t="s">
        <v>148</v>
      </c>
      <c r="C33" s="186"/>
      <c r="D33" s="186"/>
      <c r="E33" s="186"/>
      <c r="F33" s="187"/>
      <c r="CF33" s="80"/>
      <c r="CG33" s="80"/>
      <c r="CH33" s="80"/>
      <c r="CI33" s="80"/>
      <c r="CJ33" s="80"/>
      <c r="CK33" s="80"/>
      <c r="CL33" s="80"/>
      <c r="CM33" s="80"/>
      <c r="CN33" s="80"/>
      <c r="CO33" s="80"/>
      <c r="DF33" s="92"/>
      <c r="DH33" s="83"/>
      <c r="DI33" s="87"/>
      <c r="DJ33" s="87"/>
      <c r="DK33" s="87"/>
      <c r="DL33" s="87"/>
      <c r="DM33" s="87"/>
      <c r="DN33" s="87"/>
      <c r="DO33" s="87"/>
      <c r="DP33" s="87"/>
      <c r="DQ33" s="87"/>
      <c r="DR33" s="87"/>
      <c r="DW33" s="188" t="s">
        <v>149</v>
      </c>
    </row>
    <row r="34" spans="1:127" ht="12.75" customHeight="1">
      <c r="B34" s="178"/>
      <c r="C34" s="178"/>
      <c r="D34" s="178"/>
      <c r="E34" s="178"/>
      <c r="F34" s="178"/>
      <c r="H34" s="178"/>
      <c r="I34" s="178"/>
      <c r="J34" s="178"/>
      <c r="K34" s="178"/>
      <c r="L34" s="178"/>
      <c r="M34" s="178"/>
      <c r="N34" s="178"/>
      <c r="O34" s="178"/>
      <c r="CO34" s="80"/>
      <c r="DO34" s="92"/>
      <c r="DP34" s="80"/>
      <c r="DQ34" s="83"/>
      <c r="DR34" s="87"/>
      <c r="DW34" s="188" t="s">
        <v>150</v>
      </c>
    </row>
    <row r="35" spans="1:127" ht="12.75" customHeight="1" thickBot="1">
      <c r="A35" s="87"/>
      <c r="B35" s="252" t="s">
        <v>151</v>
      </c>
      <c r="C35" s="178"/>
      <c r="D35" s="178"/>
      <c r="E35" s="178"/>
      <c r="F35" s="178"/>
      <c r="H35" s="178"/>
      <c r="I35" s="178"/>
      <c r="J35" s="178"/>
      <c r="K35" s="178"/>
      <c r="L35" s="94"/>
      <c r="M35" s="94"/>
      <c r="N35" s="94"/>
      <c r="O35" s="94"/>
      <c r="P35" s="192"/>
      <c r="Q35" s="178"/>
      <c r="R35" s="178"/>
      <c r="CN35" s="80"/>
      <c r="CO35" s="80"/>
      <c r="DN35" s="92"/>
      <c r="DP35" s="83"/>
      <c r="DQ35" s="87"/>
      <c r="DR35" s="87"/>
      <c r="DV35" s="188"/>
    </row>
    <row r="36" spans="1:127" ht="12.75" customHeight="1">
      <c r="A36" s="87"/>
      <c r="B36" s="559"/>
      <c r="C36" s="560"/>
      <c r="D36" s="560"/>
      <c r="E36" s="560"/>
      <c r="F36" s="561"/>
      <c r="G36" s="178"/>
      <c r="L36" s="94"/>
      <c r="M36" s="94"/>
      <c r="N36" s="94"/>
      <c r="O36" s="94"/>
      <c r="P36" s="192"/>
      <c r="CO36" s="80"/>
      <c r="DO36" s="92"/>
      <c r="DP36" s="80"/>
      <c r="DQ36" s="83"/>
      <c r="DR36" s="87"/>
    </row>
    <row r="37" spans="1:127" ht="12.75" customHeight="1">
      <c r="A37" s="87"/>
      <c r="B37" s="562"/>
      <c r="C37" s="563"/>
      <c r="D37" s="563"/>
      <c r="E37" s="563"/>
      <c r="F37" s="564"/>
      <c r="G37" s="178"/>
      <c r="L37" s="94"/>
      <c r="M37" s="94"/>
      <c r="N37" s="94"/>
      <c r="O37" s="94"/>
      <c r="P37" s="192"/>
      <c r="CO37" s="80"/>
      <c r="DO37" s="92"/>
      <c r="DP37" s="80"/>
      <c r="DQ37" s="83"/>
      <c r="DR37" s="87"/>
    </row>
    <row r="38" spans="1:127" ht="12.75" customHeight="1">
      <c r="A38" s="87"/>
      <c r="B38" s="565"/>
      <c r="C38" s="566"/>
      <c r="D38" s="566"/>
      <c r="E38" s="566"/>
      <c r="F38" s="567"/>
      <c r="G38" s="178"/>
      <c r="H38" s="178"/>
      <c r="I38" s="178"/>
      <c r="J38" s="178"/>
      <c r="L38" s="94"/>
      <c r="M38" s="94"/>
      <c r="N38" s="94"/>
      <c r="O38" s="94"/>
      <c r="P38" s="192"/>
      <c r="Q38" s="178"/>
      <c r="R38" s="178"/>
      <c r="CN38" s="80"/>
      <c r="CO38" s="80"/>
      <c r="DN38" s="92"/>
      <c r="DP38" s="83"/>
      <c r="DQ38" s="87"/>
      <c r="DR38" s="87"/>
      <c r="DV38" s="188"/>
    </row>
    <row r="39" spans="1:127" s="122" customFormat="1" ht="12.75" customHeight="1">
      <c r="B39" s="253"/>
      <c r="C39" s="253"/>
      <c r="D39" s="253"/>
      <c r="E39" s="253"/>
      <c r="F39" s="253"/>
      <c r="G39" s="178"/>
      <c r="H39" s="178"/>
      <c r="I39" s="178"/>
      <c r="J39" s="178"/>
      <c r="L39" s="193"/>
      <c r="M39" s="193"/>
      <c r="N39" s="193"/>
      <c r="O39" s="193"/>
      <c r="P39" s="192"/>
      <c r="Q39" s="178"/>
      <c r="R39" s="178"/>
      <c r="CN39" s="80"/>
      <c r="CO39" s="80"/>
      <c r="CP39" s="80"/>
      <c r="CQ39" s="80"/>
      <c r="CR39" s="80"/>
      <c r="CS39" s="80"/>
      <c r="CT39" s="80"/>
      <c r="CU39" s="80"/>
      <c r="CV39" s="80"/>
      <c r="CW39" s="80"/>
      <c r="CX39" s="80"/>
      <c r="CY39" s="80"/>
      <c r="CZ39" s="80"/>
      <c r="DA39" s="80"/>
      <c r="DB39" s="80"/>
      <c r="DC39" s="80"/>
      <c r="DD39" s="80"/>
      <c r="DE39" s="80"/>
      <c r="DF39" s="80"/>
      <c r="DG39" s="80"/>
      <c r="DH39" s="80"/>
      <c r="DI39" s="80"/>
      <c r="DJ39" s="80"/>
      <c r="DK39" s="80"/>
      <c r="DL39" s="80"/>
      <c r="DM39" s="80"/>
      <c r="DN39" s="121"/>
      <c r="DO39" s="80"/>
      <c r="DP39" s="83"/>
      <c r="DV39" s="199"/>
    </row>
    <row r="40" spans="1:127" ht="12.75" customHeight="1">
      <c r="B40" s="117" t="s">
        <v>152</v>
      </c>
      <c r="CN40" s="80"/>
      <c r="CO40" s="80"/>
      <c r="DN40" s="92"/>
      <c r="DP40" s="83"/>
      <c r="DQ40" s="87"/>
      <c r="DR40" s="87"/>
    </row>
    <row r="41" spans="1:127" ht="18" customHeight="1">
      <c r="A41" s="265"/>
      <c r="B41" s="286"/>
      <c r="C41" s="287"/>
      <c r="D41" s="288"/>
      <c r="E41" s="288"/>
      <c r="F41" s="288"/>
      <c r="G41" s="288"/>
      <c r="H41" s="288"/>
      <c r="I41" s="289"/>
      <c r="J41" s="289"/>
      <c r="K41" s="289"/>
      <c r="L41" s="289"/>
      <c r="M41" s="289"/>
      <c r="N41" s="230" t="s">
        <v>153</v>
      </c>
      <c r="O41" s="230"/>
      <c r="P41" s="579" t="s">
        <v>154</v>
      </c>
      <c r="Q41" s="581" t="s">
        <v>155</v>
      </c>
      <c r="R41" s="577" t="s">
        <v>156</v>
      </c>
      <c r="CL41" s="80"/>
      <c r="CM41" s="80"/>
      <c r="CN41" s="80"/>
      <c r="CO41" s="80"/>
      <c r="DL41" s="92"/>
      <c r="DN41" s="83"/>
      <c r="DO41" s="87"/>
      <c r="DP41" s="87"/>
      <c r="DQ41" s="87"/>
      <c r="DR41" s="87"/>
    </row>
    <row r="42" spans="1:127" s="255" customFormat="1" ht="22" customHeight="1">
      <c r="A42" s="266"/>
      <c r="B42" s="290" t="s">
        <v>157</v>
      </c>
      <c r="C42" s="291" t="s">
        <v>158</v>
      </c>
      <c r="D42" s="292" t="s">
        <v>159</v>
      </c>
      <c r="E42" s="292" t="s">
        <v>160</v>
      </c>
      <c r="F42" s="292" t="s">
        <v>161</v>
      </c>
      <c r="G42" s="292" t="s">
        <v>162</v>
      </c>
      <c r="H42" s="292" t="s">
        <v>163</v>
      </c>
      <c r="I42" s="293" t="s">
        <v>164</v>
      </c>
      <c r="J42" s="294" t="s">
        <v>165</v>
      </c>
      <c r="K42" s="293" t="s">
        <v>166</v>
      </c>
      <c r="L42" s="295" t="s">
        <v>167</v>
      </c>
      <c r="M42" s="295" t="s">
        <v>168</v>
      </c>
      <c r="N42" s="296">
        <v>1</v>
      </c>
      <c r="O42" s="296">
        <v>2</v>
      </c>
      <c r="P42" s="580"/>
      <c r="Q42" s="582"/>
      <c r="R42" s="578"/>
      <c r="CL42" s="256"/>
      <c r="CM42" s="256"/>
      <c r="CN42" s="256"/>
      <c r="CO42" s="256"/>
      <c r="CP42" s="256"/>
      <c r="CQ42" s="256"/>
      <c r="CR42" s="256"/>
      <c r="CS42" s="256"/>
      <c r="CT42" s="256"/>
      <c r="CU42" s="256"/>
      <c r="CV42" s="256"/>
      <c r="CW42" s="256"/>
      <c r="CX42" s="256"/>
      <c r="CY42" s="256"/>
      <c r="CZ42" s="256"/>
      <c r="DA42" s="256"/>
      <c r="DB42" s="256"/>
      <c r="DC42" s="256"/>
      <c r="DD42" s="256"/>
      <c r="DE42" s="256"/>
      <c r="DF42" s="256"/>
      <c r="DG42" s="256"/>
      <c r="DH42" s="256"/>
      <c r="DI42" s="256"/>
      <c r="DJ42" s="256"/>
      <c r="DK42" s="256"/>
      <c r="DL42" s="257"/>
      <c r="DM42" s="256"/>
      <c r="DN42" s="233"/>
    </row>
    <row r="43" spans="1:127" ht="13" customHeight="1">
      <c r="B43" s="477"/>
      <c r="C43" s="423"/>
      <c r="D43" s="384"/>
      <c r="E43" s="384"/>
      <c r="F43" s="384"/>
      <c r="G43" s="382"/>
      <c r="H43" s="382"/>
      <c r="I43" s="191"/>
      <c r="J43" s="479"/>
      <c r="K43" s="384"/>
      <c r="L43" s="384"/>
      <c r="M43" s="383"/>
      <c r="N43" s="419"/>
      <c r="O43" s="419"/>
      <c r="P43" s="481"/>
      <c r="Q43" s="482"/>
      <c r="R43" s="483"/>
      <c r="CL43" s="80"/>
      <c r="CM43" s="80"/>
      <c r="CN43" s="80"/>
      <c r="CO43" s="80"/>
      <c r="DL43" s="92"/>
      <c r="DN43" s="83"/>
      <c r="DO43" s="87"/>
      <c r="DP43" s="87"/>
      <c r="DQ43" s="87"/>
      <c r="DR43" s="87"/>
    </row>
    <row r="44" spans="1:127" s="109" customFormat="1" ht="12.75" customHeight="1">
      <c r="A44" s="165"/>
      <c r="B44" s="381"/>
      <c r="C44" s="139"/>
      <c r="D44" s="384"/>
      <c r="E44" s="384"/>
      <c r="F44" s="384"/>
      <c r="G44" s="382"/>
      <c r="H44" s="382"/>
      <c r="I44" s="124"/>
      <c r="J44" s="479"/>
      <c r="K44" s="384"/>
      <c r="L44" s="384"/>
      <c r="M44" s="385"/>
      <c r="N44" s="419"/>
      <c r="O44" s="419"/>
      <c r="P44" s="481"/>
      <c r="Q44" s="484"/>
      <c r="R44" s="483"/>
      <c r="CL44" s="125"/>
      <c r="CM44" s="125"/>
      <c r="CN44" s="125"/>
      <c r="CO44" s="125"/>
      <c r="CP44" s="125"/>
      <c r="CQ44" s="125"/>
      <c r="CR44" s="125"/>
      <c r="CS44" s="125"/>
      <c r="CT44" s="125"/>
      <c r="CU44" s="125"/>
      <c r="CV44" s="125"/>
      <c r="CW44" s="125"/>
      <c r="CX44" s="125"/>
      <c r="CY44" s="125"/>
      <c r="CZ44" s="125"/>
      <c r="DA44" s="125"/>
      <c r="DB44" s="125"/>
      <c r="DC44" s="125"/>
      <c r="DD44" s="125"/>
      <c r="DE44" s="125"/>
      <c r="DF44" s="125"/>
      <c r="DG44" s="125"/>
      <c r="DH44" s="125"/>
      <c r="DI44" s="125"/>
      <c r="DJ44" s="125"/>
      <c r="DK44" s="125"/>
      <c r="DL44" s="126"/>
      <c r="DM44" s="125"/>
      <c r="DN44" s="127"/>
    </row>
    <row r="45" spans="1:127" s="109" customFormat="1" ht="12.75" customHeight="1">
      <c r="A45" s="165"/>
      <c r="B45" s="381"/>
      <c r="C45" s="139"/>
      <c r="D45" s="384"/>
      <c r="E45" s="384"/>
      <c r="F45" s="384"/>
      <c r="G45" s="382"/>
      <c r="H45" s="382"/>
      <c r="I45" s="124"/>
      <c r="J45" s="479"/>
      <c r="K45" s="384"/>
      <c r="L45" s="384"/>
      <c r="M45" s="385"/>
      <c r="N45" s="419"/>
      <c r="O45" s="419"/>
      <c r="P45" s="481"/>
      <c r="Q45" s="484"/>
      <c r="R45" s="483"/>
      <c r="CL45" s="125"/>
      <c r="CM45" s="125"/>
      <c r="CN45" s="125"/>
      <c r="CO45" s="125"/>
      <c r="CP45" s="125"/>
      <c r="CQ45" s="125"/>
      <c r="CR45" s="125"/>
      <c r="CS45" s="125"/>
      <c r="CT45" s="125"/>
      <c r="CU45" s="125"/>
      <c r="CV45" s="125"/>
      <c r="CW45" s="125"/>
      <c r="CX45" s="125"/>
      <c r="CY45" s="125"/>
      <c r="CZ45" s="125"/>
      <c r="DA45" s="125"/>
      <c r="DB45" s="125"/>
      <c r="DC45" s="125"/>
      <c r="DD45" s="125"/>
      <c r="DE45" s="125"/>
      <c r="DF45" s="125"/>
      <c r="DG45" s="125"/>
      <c r="DH45" s="125"/>
      <c r="DI45" s="125"/>
      <c r="DJ45" s="125"/>
      <c r="DK45" s="125"/>
      <c r="DL45" s="126"/>
      <c r="DM45" s="125"/>
      <c r="DN45" s="127"/>
    </row>
    <row r="46" spans="1:127" s="109" customFormat="1" ht="12.75" customHeight="1">
      <c r="A46" s="165"/>
      <c r="B46" s="381"/>
      <c r="C46" s="139"/>
      <c r="D46" s="384"/>
      <c r="E46" s="384"/>
      <c r="F46" s="384"/>
      <c r="G46" s="382"/>
      <c r="H46" s="382"/>
      <c r="I46" s="124"/>
      <c r="J46" s="479"/>
      <c r="K46" s="384"/>
      <c r="L46" s="384"/>
      <c r="M46" s="385"/>
      <c r="N46" s="419"/>
      <c r="O46" s="419"/>
      <c r="P46" s="481"/>
      <c r="Q46" s="484"/>
      <c r="R46" s="483"/>
      <c r="CL46" s="125"/>
      <c r="CM46" s="125"/>
      <c r="CN46" s="125"/>
      <c r="CO46" s="125"/>
      <c r="CP46" s="125"/>
      <c r="CQ46" s="125"/>
      <c r="CR46" s="125"/>
      <c r="CS46" s="125"/>
      <c r="CT46" s="125"/>
      <c r="CU46" s="125"/>
      <c r="CV46" s="125"/>
      <c r="CW46" s="125"/>
      <c r="CX46" s="125"/>
      <c r="CY46" s="125"/>
      <c r="CZ46" s="125"/>
      <c r="DA46" s="125"/>
      <c r="DB46" s="125"/>
      <c r="DC46" s="125"/>
      <c r="DD46" s="125"/>
      <c r="DE46" s="125"/>
      <c r="DF46" s="125"/>
      <c r="DG46" s="125"/>
      <c r="DH46" s="125"/>
      <c r="DI46" s="125"/>
      <c r="DJ46" s="125"/>
      <c r="DK46" s="125"/>
      <c r="DL46" s="126"/>
      <c r="DM46" s="125"/>
      <c r="DN46" s="127"/>
    </row>
    <row r="47" spans="1:127" s="109" customFormat="1" ht="12.75" customHeight="1">
      <c r="A47" s="165"/>
      <c r="B47" s="381"/>
      <c r="C47" s="139"/>
      <c r="D47" s="384"/>
      <c r="E47" s="384"/>
      <c r="F47" s="384"/>
      <c r="G47" s="382"/>
      <c r="H47" s="382"/>
      <c r="I47" s="124"/>
      <c r="J47" s="479"/>
      <c r="K47" s="384"/>
      <c r="L47" s="384"/>
      <c r="M47" s="385"/>
      <c r="N47" s="419"/>
      <c r="O47" s="419"/>
      <c r="P47" s="481"/>
      <c r="Q47" s="484"/>
      <c r="R47" s="483"/>
      <c r="CL47" s="125"/>
      <c r="CM47" s="125"/>
      <c r="CN47" s="125"/>
      <c r="CO47" s="125"/>
      <c r="CP47" s="125"/>
      <c r="CQ47" s="125"/>
      <c r="CR47" s="125"/>
      <c r="CS47" s="125"/>
      <c r="CT47" s="125"/>
      <c r="CU47" s="125"/>
      <c r="CV47" s="125"/>
      <c r="CW47" s="125"/>
      <c r="CX47" s="125"/>
      <c r="CY47" s="125"/>
      <c r="CZ47" s="125"/>
      <c r="DA47" s="125"/>
      <c r="DB47" s="125"/>
      <c r="DC47" s="125"/>
      <c r="DD47" s="125"/>
      <c r="DE47" s="125"/>
      <c r="DF47" s="125"/>
      <c r="DG47" s="125"/>
      <c r="DH47" s="125"/>
      <c r="DI47" s="125"/>
      <c r="DJ47" s="125"/>
      <c r="DK47" s="125"/>
      <c r="DL47" s="126"/>
      <c r="DM47" s="125"/>
      <c r="DN47" s="127"/>
    </row>
    <row r="48" spans="1:127" s="109" customFormat="1" ht="12.75" customHeight="1">
      <c r="A48" s="165"/>
      <c r="B48" s="381"/>
      <c r="C48" s="139"/>
      <c r="D48" s="384"/>
      <c r="E48" s="384"/>
      <c r="F48" s="384"/>
      <c r="G48" s="382"/>
      <c r="H48" s="382"/>
      <c r="I48" s="124"/>
      <c r="J48" s="479"/>
      <c r="K48" s="384"/>
      <c r="L48" s="384"/>
      <c r="M48" s="385"/>
      <c r="N48" s="419"/>
      <c r="O48" s="419"/>
      <c r="P48" s="481"/>
      <c r="Q48" s="484"/>
      <c r="R48" s="483"/>
      <c r="CL48" s="125"/>
      <c r="CM48" s="125"/>
      <c r="CN48" s="125"/>
      <c r="CO48" s="125"/>
      <c r="CP48" s="125"/>
      <c r="CQ48" s="125"/>
      <c r="CR48" s="125"/>
      <c r="CS48" s="125"/>
      <c r="CT48" s="125"/>
      <c r="CU48" s="125"/>
      <c r="CV48" s="125"/>
      <c r="CW48" s="125"/>
      <c r="CX48" s="125"/>
      <c r="CY48" s="125"/>
      <c r="CZ48" s="125"/>
      <c r="DA48" s="125"/>
      <c r="DB48" s="125"/>
      <c r="DC48" s="125"/>
      <c r="DD48" s="125"/>
      <c r="DE48" s="125"/>
      <c r="DF48" s="125"/>
      <c r="DG48" s="125"/>
      <c r="DH48" s="125"/>
      <c r="DI48" s="125"/>
      <c r="DJ48" s="125"/>
      <c r="DK48" s="125"/>
      <c r="DL48" s="126"/>
      <c r="DM48" s="125"/>
      <c r="DN48" s="127"/>
    </row>
    <row r="49" spans="1:132" ht="12.65" customHeight="1" thickBot="1">
      <c r="B49" s="386"/>
      <c r="C49" s="387"/>
      <c r="D49" s="408"/>
      <c r="E49" s="408"/>
      <c r="F49" s="408"/>
      <c r="G49" s="388"/>
      <c r="H49" s="388"/>
      <c r="I49" s="231"/>
      <c r="J49" s="480"/>
      <c r="K49" s="408"/>
      <c r="L49" s="408"/>
      <c r="M49" s="389"/>
      <c r="N49" s="420"/>
      <c r="O49" s="420"/>
      <c r="P49" s="343"/>
      <c r="Q49" s="408"/>
      <c r="R49" s="485"/>
      <c r="CL49" s="80"/>
      <c r="CM49" s="80"/>
      <c r="CN49" s="80"/>
      <c r="CO49" s="80"/>
      <c r="DL49" s="92"/>
      <c r="DN49" s="83"/>
      <c r="DO49" s="87"/>
      <c r="DP49" s="87"/>
      <c r="DQ49" s="87"/>
      <c r="DR49" s="87"/>
    </row>
    <row r="50" spans="1:132" ht="12.75" customHeight="1">
      <c r="H50" s="86"/>
      <c r="I50" s="86"/>
      <c r="P50" s="128"/>
    </row>
    <row r="51" spans="1:132" ht="12.75" customHeight="1">
      <c r="B51" s="258" t="s">
        <v>169</v>
      </c>
      <c r="H51" s="86"/>
      <c r="I51" s="86"/>
      <c r="P51" s="128"/>
    </row>
    <row r="52" spans="1:132" ht="27.65" customHeight="1">
      <c r="A52" s="265"/>
      <c r="B52" s="282" t="s">
        <v>158</v>
      </c>
      <c r="C52" s="283" t="s">
        <v>170</v>
      </c>
      <c r="D52" s="284" t="s">
        <v>171</v>
      </c>
      <c r="E52" s="284" t="s">
        <v>172</v>
      </c>
      <c r="F52" s="284" t="s">
        <v>173</v>
      </c>
      <c r="G52" s="284" t="s">
        <v>174</v>
      </c>
      <c r="H52" s="285" t="s">
        <v>175</v>
      </c>
      <c r="I52" s="267"/>
      <c r="J52" s="267"/>
      <c r="Q52" s="128"/>
      <c r="CP52" s="87"/>
      <c r="DP52" s="80"/>
      <c r="DQ52" s="92"/>
      <c r="DR52" s="80"/>
      <c r="DS52" s="83"/>
    </row>
    <row r="53" spans="1:132" ht="12.75" customHeight="1">
      <c r="B53" s="372"/>
      <c r="C53" s="373"/>
      <c r="D53" s="417"/>
      <c r="E53" s="417"/>
      <c r="F53" s="374" t="s">
        <v>176</v>
      </c>
      <c r="G53" s="417">
        <f>D53-E53</f>
        <v>0</v>
      </c>
      <c r="H53" s="375"/>
      <c r="I53" s="86"/>
      <c r="J53" s="86"/>
      <c r="Q53" s="128"/>
      <c r="CP53" s="87"/>
      <c r="DP53" s="80"/>
      <c r="DQ53" s="92"/>
      <c r="DR53" s="80"/>
      <c r="DS53" s="83"/>
    </row>
    <row r="54" spans="1:132" ht="12.75" customHeight="1">
      <c r="B54" s="372"/>
      <c r="C54" s="373"/>
      <c r="D54" s="417"/>
      <c r="E54" s="417"/>
      <c r="F54" s="123"/>
      <c r="G54" s="417">
        <f>D54-E54</f>
        <v>0</v>
      </c>
      <c r="H54" s="375"/>
      <c r="I54" s="86"/>
      <c r="J54" s="86"/>
      <c r="Q54" s="128"/>
      <c r="CP54" s="87"/>
      <c r="DP54" s="80"/>
      <c r="DQ54" s="92"/>
      <c r="DR54" s="80"/>
      <c r="DS54" s="83"/>
    </row>
    <row r="55" spans="1:132" ht="12.75" customHeight="1">
      <c r="B55" s="372"/>
      <c r="C55" s="373"/>
      <c r="D55" s="417"/>
      <c r="E55" s="417"/>
      <c r="F55" s="123"/>
      <c r="G55" s="417">
        <f>D55-E55</f>
        <v>0</v>
      </c>
      <c r="H55" s="375"/>
      <c r="I55" s="86"/>
      <c r="J55" s="86"/>
      <c r="Q55" s="128"/>
      <c r="CP55" s="87"/>
      <c r="DP55" s="80"/>
      <c r="DQ55" s="92"/>
      <c r="DR55" s="80"/>
      <c r="DS55" s="83"/>
    </row>
    <row r="56" spans="1:132" ht="12.75" customHeight="1">
      <c r="B56" s="372"/>
      <c r="C56" s="373"/>
      <c r="D56" s="417"/>
      <c r="E56" s="417"/>
      <c r="F56" s="123"/>
      <c r="G56" s="417">
        <f>D56-E56</f>
        <v>0</v>
      </c>
      <c r="H56" s="375"/>
      <c r="I56" s="86"/>
      <c r="J56" s="86"/>
      <c r="Q56" s="128"/>
      <c r="CP56" s="87"/>
      <c r="DP56" s="80"/>
      <c r="DQ56" s="92"/>
      <c r="DR56" s="80"/>
      <c r="DS56" s="83"/>
    </row>
    <row r="57" spans="1:132" ht="12.75" customHeight="1" thickBot="1">
      <c r="B57" s="376"/>
      <c r="C57" s="377"/>
      <c r="D57" s="418"/>
      <c r="E57" s="418"/>
      <c r="F57" s="343"/>
      <c r="G57" s="418">
        <f>D57-E57</f>
        <v>0</v>
      </c>
      <c r="H57" s="378"/>
      <c r="I57" s="86"/>
      <c r="J57" s="86"/>
      <c r="Q57" s="128"/>
      <c r="CP57" s="87"/>
      <c r="DP57" s="80"/>
      <c r="DQ57" s="92"/>
      <c r="DR57" s="80"/>
      <c r="DS57" s="83"/>
    </row>
    <row r="58" spans="1:132" ht="12.75" customHeight="1">
      <c r="I58" s="122"/>
      <c r="Q58" s="128"/>
      <c r="CP58" s="87"/>
      <c r="DP58" s="80"/>
      <c r="DQ58" s="92"/>
      <c r="DR58" s="80"/>
      <c r="DS58" s="83"/>
    </row>
    <row r="59" spans="1:132" ht="12.75" customHeight="1" thickBot="1">
      <c r="B59" s="259" t="s">
        <v>177</v>
      </c>
      <c r="C59" s="129"/>
      <c r="D59" s="122"/>
      <c r="E59" s="122"/>
      <c r="F59" s="260"/>
      <c r="G59" s="122"/>
      <c r="H59" s="122"/>
      <c r="I59" s="122"/>
      <c r="J59" s="122"/>
      <c r="K59" s="122"/>
      <c r="L59" s="122"/>
      <c r="M59" s="122"/>
      <c r="Q59" s="128"/>
      <c r="CP59" s="87"/>
      <c r="CQ59" s="87"/>
      <c r="DP59" s="80"/>
      <c r="DR59" s="92"/>
      <c r="DS59" s="80"/>
      <c r="DT59" s="83"/>
    </row>
    <row r="60" spans="1:132" s="117" customFormat="1" ht="14.15" customHeight="1">
      <c r="A60" s="163"/>
      <c r="B60" s="583" t="s">
        <v>157</v>
      </c>
      <c r="C60" s="596" t="s">
        <v>128</v>
      </c>
      <c r="D60" s="585" t="s">
        <v>178</v>
      </c>
      <c r="E60" s="585" t="s">
        <v>179</v>
      </c>
      <c r="F60" s="585" t="s">
        <v>173</v>
      </c>
      <c r="G60" s="585" t="s">
        <v>180</v>
      </c>
      <c r="H60" s="585" t="s">
        <v>181</v>
      </c>
      <c r="I60" s="585" t="s">
        <v>182</v>
      </c>
      <c r="J60" s="591" t="s">
        <v>183</v>
      </c>
      <c r="K60" s="591"/>
      <c r="L60" s="591"/>
      <c r="M60" s="591"/>
      <c r="N60" s="591"/>
      <c r="O60" s="591"/>
      <c r="P60" s="598" t="s">
        <v>184</v>
      </c>
      <c r="Q60" s="594" t="s">
        <v>153</v>
      </c>
      <c r="R60" s="595"/>
      <c r="S60" s="587" t="s">
        <v>185</v>
      </c>
      <c r="T60" s="268"/>
      <c r="X60" s="129"/>
      <c r="Y60" s="129"/>
      <c r="CX60" s="269"/>
      <c r="CY60" s="269"/>
      <c r="CZ60" s="269"/>
      <c r="DA60" s="269"/>
      <c r="DB60" s="269"/>
      <c r="DC60" s="269"/>
      <c r="DD60" s="269"/>
      <c r="DE60" s="269"/>
      <c r="DF60" s="269"/>
      <c r="DG60" s="269"/>
      <c r="DH60" s="269"/>
      <c r="DI60" s="269"/>
      <c r="DJ60" s="269"/>
      <c r="DK60" s="269"/>
      <c r="DL60" s="269"/>
      <c r="DM60" s="269"/>
      <c r="DN60" s="269"/>
      <c r="DO60" s="269"/>
      <c r="DP60" s="269"/>
      <c r="DQ60" s="269"/>
      <c r="DR60" s="269"/>
      <c r="DS60" s="269"/>
      <c r="DT60" s="269"/>
      <c r="DU60" s="269"/>
      <c r="DV60" s="269"/>
      <c r="DW60" s="269"/>
      <c r="DX60" s="270"/>
      <c r="DY60" s="269"/>
      <c r="DZ60" s="271"/>
    </row>
    <row r="61" spans="1:132" s="275" customFormat="1" ht="28.5" customHeight="1">
      <c r="A61" s="254"/>
      <c r="B61" s="584"/>
      <c r="C61" s="597"/>
      <c r="D61" s="586"/>
      <c r="E61" s="586"/>
      <c r="F61" s="586"/>
      <c r="G61" s="586"/>
      <c r="H61" s="586"/>
      <c r="I61" s="586"/>
      <c r="J61" s="272" t="s">
        <v>186</v>
      </c>
      <c r="K61" s="272" t="s">
        <v>187</v>
      </c>
      <c r="L61" s="272" t="s">
        <v>188</v>
      </c>
      <c r="M61" s="273" t="s">
        <v>189</v>
      </c>
      <c r="N61" s="273" t="s">
        <v>190</v>
      </c>
      <c r="O61" s="592" t="s">
        <v>191</v>
      </c>
      <c r="P61" s="599"/>
      <c r="Q61" s="600">
        <v>3</v>
      </c>
      <c r="R61" s="589">
        <v>4</v>
      </c>
      <c r="S61" s="588"/>
      <c r="T61" s="268"/>
      <c r="U61" s="117"/>
      <c r="V61" s="117"/>
      <c r="W61" s="117"/>
      <c r="X61" s="274"/>
      <c r="Y61" s="274"/>
      <c r="CZ61" s="276"/>
      <c r="DA61" s="276"/>
      <c r="DB61" s="276"/>
      <c r="DC61" s="276"/>
      <c r="DD61" s="276"/>
      <c r="DE61" s="276"/>
      <c r="DF61" s="276"/>
      <c r="DG61" s="276"/>
      <c r="DH61" s="276"/>
      <c r="DI61" s="276"/>
      <c r="DJ61" s="276"/>
      <c r="DK61" s="276"/>
      <c r="DL61" s="276"/>
      <c r="DM61" s="276"/>
      <c r="DN61" s="276"/>
      <c r="DO61" s="276"/>
      <c r="DP61" s="276"/>
      <c r="DQ61" s="276"/>
      <c r="DR61" s="276"/>
      <c r="DS61" s="276"/>
      <c r="DT61" s="276"/>
      <c r="DU61" s="276"/>
      <c r="DV61" s="276"/>
      <c r="DW61" s="276"/>
      <c r="DX61" s="276"/>
      <c r="DY61" s="276"/>
      <c r="DZ61" s="277"/>
      <c r="EA61" s="276"/>
      <c r="EB61" s="278"/>
    </row>
    <row r="62" spans="1:132" s="117" customFormat="1" ht="18.75" customHeight="1">
      <c r="A62" s="163"/>
      <c r="B62" s="584"/>
      <c r="C62" s="597"/>
      <c r="D62" s="586"/>
      <c r="E62" s="586"/>
      <c r="F62" s="586"/>
      <c r="G62" s="586"/>
      <c r="H62" s="586"/>
      <c r="I62" s="586"/>
      <c r="J62" s="279" t="s">
        <v>192</v>
      </c>
      <c r="K62" s="279" t="s">
        <v>193</v>
      </c>
      <c r="L62" s="279" t="s">
        <v>194</v>
      </c>
      <c r="M62" s="280" t="s">
        <v>195</v>
      </c>
      <c r="N62" s="280" t="s">
        <v>196</v>
      </c>
      <c r="O62" s="593"/>
      <c r="P62" s="599"/>
      <c r="Q62" s="601"/>
      <c r="R62" s="590"/>
      <c r="S62" s="588"/>
      <c r="T62" s="268"/>
      <c r="X62" s="281"/>
      <c r="Y62" s="281"/>
      <c r="CZ62" s="269"/>
      <c r="DA62" s="269"/>
      <c r="DB62" s="269"/>
      <c r="DC62" s="269"/>
      <c r="DD62" s="269"/>
      <c r="DE62" s="269"/>
      <c r="DF62" s="269"/>
      <c r="DG62" s="269"/>
      <c r="DH62" s="269"/>
      <c r="DI62" s="269"/>
      <c r="DJ62" s="269"/>
      <c r="DK62" s="269"/>
      <c r="DL62" s="269"/>
      <c r="DM62" s="269"/>
      <c r="DN62" s="269"/>
      <c r="DO62" s="269"/>
      <c r="DP62" s="269"/>
      <c r="DQ62" s="269"/>
      <c r="DR62" s="269"/>
      <c r="DS62" s="269"/>
      <c r="DT62" s="269"/>
      <c r="DU62" s="269"/>
      <c r="DV62" s="269"/>
      <c r="DW62" s="269"/>
      <c r="DX62" s="269"/>
      <c r="DY62" s="269"/>
      <c r="DZ62" s="270"/>
      <c r="EA62" s="269"/>
      <c r="EB62" s="271"/>
    </row>
    <row r="63" spans="1:132" ht="12.75" customHeight="1">
      <c r="B63" s="393"/>
      <c r="C63" s="486"/>
      <c r="D63" s="415"/>
      <c r="E63" s="394"/>
      <c r="F63" s="370" t="s">
        <v>136</v>
      </c>
      <c r="G63" s="384"/>
      <c r="H63" s="398"/>
      <c r="I63" s="399"/>
      <c r="J63" s="400"/>
      <c r="K63" s="400"/>
      <c r="L63" s="400"/>
      <c r="M63" s="400"/>
      <c r="N63" s="400"/>
      <c r="O63" s="401">
        <f>SUM(J63:N63)</f>
        <v>0</v>
      </c>
      <c r="P63" s="402" t="str">
        <f>IF(B63=3,"不适用",IF(E63="","",IF(O63&gt;=E63*I63,"是","否")))</f>
        <v/>
      </c>
      <c r="Q63" s="384"/>
      <c r="R63" s="384"/>
      <c r="S63" s="228"/>
      <c r="T63" s="128"/>
      <c r="X63" s="131"/>
      <c r="Y63" s="131"/>
      <c r="CP63" s="87"/>
      <c r="CQ63" s="87"/>
      <c r="CR63" s="87"/>
      <c r="CS63" s="87"/>
      <c r="CT63" s="87"/>
      <c r="CU63" s="87"/>
      <c r="CV63" s="87"/>
      <c r="CW63" s="87"/>
      <c r="CX63" s="87"/>
      <c r="DP63" s="80"/>
      <c r="DR63" s="80"/>
      <c r="DS63" s="80"/>
      <c r="DT63" s="80"/>
      <c r="DU63" s="80"/>
      <c r="DV63" s="80"/>
      <c r="DW63" s="80"/>
      <c r="DX63" s="80"/>
      <c r="DY63" s="92"/>
      <c r="DZ63" s="80"/>
      <c r="EA63" s="83"/>
    </row>
    <row r="64" spans="1:132" ht="12.75" customHeight="1">
      <c r="B64" s="393"/>
      <c r="C64" s="486"/>
      <c r="D64" s="415"/>
      <c r="E64" s="394"/>
      <c r="F64" s="370"/>
      <c r="G64" s="384"/>
      <c r="H64" s="398"/>
      <c r="I64" s="399"/>
      <c r="J64" s="400"/>
      <c r="K64" s="400"/>
      <c r="L64" s="400"/>
      <c r="M64" s="400"/>
      <c r="N64" s="400"/>
      <c r="O64" s="401">
        <f t="shared" ref="O64:O67" si="1">SUM(J64:N64)</f>
        <v>0</v>
      </c>
      <c r="P64" s="402" t="str">
        <f t="shared" ref="P64:P67" si="2">IF(B64=3,"不适用",IF(E64="","",IF(O64&gt;=E64*I64,"是","否")))</f>
        <v/>
      </c>
      <c r="Q64" s="384"/>
      <c r="R64" s="384"/>
      <c r="S64" s="228"/>
      <c r="T64" s="128"/>
      <c r="X64" s="131"/>
      <c r="Y64" s="131"/>
      <c r="CP64" s="87"/>
      <c r="CQ64" s="87"/>
      <c r="CR64" s="87"/>
      <c r="CS64" s="87"/>
      <c r="CT64" s="87"/>
      <c r="CU64" s="87"/>
      <c r="CV64" s="87"/>
      <c r="CW64" s="87"/>
      <c r="CX64" s="87"/>
      <c r="DP64" s="80"/>
      <c r="DR64" s="80"/>
      <c r="DS64" s="80"/>
      <c r="DT64" s="80"/>
      <c r="DU64" s="80"/>
      <c r="DV64" s="80"/>
      <c r="DW64" s="80"/>
      <c r="DX64" s="80"/>
      <c r="DY64" s="92"/>
      <c r="DZ64" s="80"/>
      <c r="EA64" s="83"/>
    </row>
    <row r="65" spans="1:131" ht="12.75" customHeight="1">
      <c r="B65" s="393"/>
      <c r="C65" s="486"/>
      <c r="D65" s="415"/>
      <c r="E65" s="394"/>
      <c r="F65" s="370"/>
      <c r="G65" s="384"/>
      <c r="H65" s="398"/>
      <c r="I65" s="403"/>
      <c r="J65" s="404"/>
      <c r="K65" s="404"/>
      <c r="L65" s="404"/>
      <c r="M65" s="404"/>
      <c r="N65" s="405"/>
      <c r="O65" s="406">
        <f t="shared" si="1"/>
        <v>0</v>
      </c>
      <c r="P65" s="402" t="str">
        <f t="shared" si="2"/>
        <v/>
      </c>
      <c r="Q65" s="384"/>
      <c r="R65" s="384"/>
      <c r="S65" s="228"/>
      <c r="T65" s="128"/>
      <c r="X65" s="131"/>
      <c r="Y65" s="131"/>
      <c r="CP65" s="87"/>
      <c r="CQ65" s="87"/>
      <c r="CR65" s="87"/>
      <c r="CS65" s="87"/>
      <c r="CT65" s="87"/>
      <c r="CU65" s="87"/>
      <c r="CV65" s="87"/>
      <c r="CW65" s="87"/>
      <c r="CX65" s="87"/>
      <c r="DP65" s="80"/>
      <c r="DR65" s="80"/>
      <c r="DS65" s="80"/>
      <c r="DT65" s="80"/>
      <c r="DU65" s="80"/>
      <c r="DV65" s="80"/>
      <c r="DW65" s="80"/>
      <c r="DX65" s="80"/>
      <c r="DY65" s="92"/>
      <c r="DZ65" s="80"/>
      <c r="EA65" s="83"/>
    </row>
    <row r="66" spans="1:131" ht="12.75" customHeight="1">
      <c r="B66" s="393"/>
      <c r="C66" s="486"/>
      <c r="D66" s="415"/>
      <c r="E66" s="394"/>
      <c r="F66" s="370"/>
      <c r="G66" s="384"/>
      <c r="H66" s="398"/>
      <c r="I66" s="403"/>
      <c r="J66" s="394"/>
      <c r="K66" s="394"/>
      <c r="L66" s="394"/>
      <c r="M66" s="394"/>
      <c r="N66" s="407"/>
      <c r="O66" s="401">
        <f t="shared" si="1"/>
        <v>0</v>
      </c>
      <c r="P66" s="402" t="str">
        <f t="shared" si="2"/>
        <v/>
      </c>
      <c r="Q66" s="384"/>
      <c r="R66" s="384"/>
      <c r="S66" s="228"/>
      <c r="T66" s="128"/>
      <c r="X66" s="131"/>
      <c r="Y66" s="131"/>
      <c r="CP66" s="87"/>
      <c r="CQ66" s="87"/>
      <c r="CR66" s="87"/>
      <c r="CS66" s="87"/>
      <c r="CT66" s="87"/>
      <c r="CU66" s="87"/>
      <c r="CV66" s="87"/>
      <c r="CW66" s="87"/>
      <c r="CX66" s="87"/>
      <c r="DP66" s="80"/>
      <c r="DR66" s="80"/>
      <c r="DS66" s="80"/>
      <c r="DT66" s="80"/>
      <c r="DU66" s="80"/>
      <c r="DV66" s="80"/>
      <c r="DW66" s="80"/>
      <c r="DX66" s="80"/>
      <c r="DY66" s="92"/>
      <c r="DZ66" s="80"/>
      <c r="EA66" s="83"/>
    </row>
    <row r="67" spans="1:131" ht="12.75" customHeight="1" thickBot="1">
      <c r="B67" s="395"/>
      <c r="C67" s="416"/>
      <c r="D67" s="396"/>
      <c r="E67" s="397"/>
      <c r="F67" s="371"/>
      <c r="G67" s="408"/>
      <c r="H67" s="409"/>
      <c r="I67" s="410"/>
      <c r="J67" s="411"/>
      <c r="K67" s="411"/>
      <c r="L67" s="411"/>
      <c r="M67" s="411"/>
      <c r="N67" s="412"/>
      <c r="O67" s="413">
        <f t="shared" si="1"/>
        <v>0</v>
      </c>
      <c r="P67" s="414" t="str">
        <f t="shared" si="2"/>
        <v/>
      </c>
      <c r="Q67" s="408"/>
      <c r="R67" s="408"/>
      <c r="S67" s="229"/>
      <c r="T67" s="128"/>
      <c r="X67" s="131"/>
      <c r="Y67" s="131"/>
      <c r="CP67" s="87"/>
      <c r="CQ67" s="87"/>
      <c r="CR67" s="87"/>
      <c r="CS67" s="87"/>
      <c r="CT67" s="87"/>
      <c r="CU67" s="87"/>
      <c r="CV67" s="87"/>
      <c r="CW67" s="87"/>
      <c r="DP67" s="80"/>
      <c r="DR67" s="80"/>
      <c r="DS67" s="80"/>
      <c r="DT67" s="80"/>
      <c r="DU67" s="80"/>
      <c r="DV67" s="80"/>
      <c r="DW67" s="80"/>
      <c r="DX67" s="92"/>
      <c r="DY67" s="80"/>
      <c r="DZ67" s="83"/>
    </row>
    <row r="68" spans="1:131" s="122" customFormat="1" ht="12.75" customHeight="1">
      <c r="A68" s="200"/>
      <c r="B68" s="200"/>
      <c r="C68" s="200"/>
      <c r="D68" s="200"/>
      <c r="E68" s="200"/>
      <c r="F68" s="200"/>
      <c r="G68" s="200"/>
      <c r="H68" s="200"/>
      <c r="I68" s="200"/>
      <c r="J68" s="200"/>
      <c r="K68" s="200"/>
      <c r="L68" s="200"/>
      <c r="M68" s="200"/>
      <c r="N68" s="200"/>
      <c r="O68" s="200"/>
      <c r="P68" s="200"/>
      <c r="Q68" s="128"/>
      <c r="R68" s="87"/>
      <c r="S68" s="87"/>
      <c r="T68" s="87"/>
      <c r="U68" s="131"/>
      <c r="V68" s="131"/>
      <c r="CU68" s="80"/>
      <c r="CV68" s="80"/>
      <c r="CW68" s="80"/>
      <c r="CX68" s="80"/>
      <c r="CY68" s="80"/>
      <c r="CZ68" s="80"/>
      <c r="DA68" s="80"/>
      <c r="DB68" s="80"/>
      <c r="DC68" s="80"/>
      <c r="DD68" s="80"/>
      <c r="DE68" s="80"/>
      <c r="DF68" s="80"/>
      <c r="DG68" s="80"/>
      <c r="DH68" s="80"/>
      <c r="DI68" s="80"/>
      <c r="DJ68" s="80"/>
      <c r="DK68" s="80"/>
      <c r="DL68" s="80"/>
      <c r="DM68" s="80"/>
      <c r="DN68" s="80"/>
      <c r="DO68" s="80"/>
      <c r="DP68" s="80"/>
      <c r="DQ68" s="80"/>
      <c r="DR68" s="80"/>
      <c r="DS68" s="80"/>
      <c r="DT68" s="80"/>
      <c r="DU68" s="121"/>
      <c r="DV68" s="80"/>
      <c r="DW68" s="83"/>
    </row>
  </sheetData>
  <mergeCells count="25">
    <mergeCell ref="B60:B62"/>
    <mergeCell ref="H60:H62"/>
    <mergeCell ref="S60:S62"/>
    <mergeCell ref="R61:R62"/>
    <mergeCell ref="J60:O60"/>
    <mergeCell ref="O61:O62"/>
    <mergeCell ref="Q60:R60"/>
    <mergeCell ref="E60:E62"/>
    <mergeCell ref="F60:F62"/>
    <mergeCell ref="G60:G62"/>
    <mergeCell ref="I60:I62"/>
    <mergeCell ref="C60:C62"/>
    <mergeCell ref="D60:D62"/>
    <mergeCell ref="P60:P62"/>
    <mergeCell ref="Q61:Q62"/>
    <mergeCell ref="B36:F38"/>
    <mergeCell ref="B24:F26"/>
    <mergeCell ref="R41:R42"/>
    <mergeCell ref="P41:P42"/>
    <mergeCell ref="Q41:Q42"/>
    <mergeCell ref="C7:E7"/>
    <mergeCell ref="C8:E8"/>
    <mergeCell ref="C9:E9"/>
    <mergeCell ref="C10:E10"/>
    <mergeCell ref="C11:E11"/>
  </mergeCells>
  <phoneticPr fontId="34" type="noConversion"/>
  <conditionalFormatting sqref="B36:B37 B53:G53 B54:E57 G54:G57">
    <cfRule type="containsBlanks" dxfId="26" priority="33">
      <formula>LEN(TRIM(B36))=0</formula>
    </cfRule>
  </conditionalFormatting>
  <conditionalFormatting sqref="B16:C18">
    <cfRule type="containsBlanks" dxfId="25" priority="36">
      <formula>LEN(TRIM(B16))=0</formula>
    </cfRule>
  </conditionalFormatting>
  <conditionalFormatting sqref="B63:E67">
    <cfRule type="containsBlanks" dxfId="24" priority="4">
      <formula>LEN(TRIM(B63))=0</formula>
    </cfRule>
  </conditionalFormatting>
  <conditionalFormatting sqref="B24:F26">
    <cfRule type="containsBlanks" dxfId="23" priority="15">
      <formula>LEN(TRIM(B24))=0</formula>
    </cfRule>
  </conditionalFormatting>
  <conditionalFormatting sqref="B43:O49">
    <cfRule type="containsBlanks" dxfId="22" priority="26">
      <formula>LEN(TRIM(B43))=0</formula>
    </cfRule>
  </conditionalFormatting>
  <conditionalFormatting sqref="D17:D18">
    <cfRule type="containsBlanks" dxfId="21" priority="13">
      <formula>LEN(TRIM(D17))=0</formula>
    </cfRule>
  </conditionalFormatting>
  <conditionalFormatting sqref="F16:F18">
    <cfRule type="containsBlanks" dxfId="20" priority="16">
      <formula>LEN(TRIM(F16))=0</formula>
    </cfRule>
  </conditionalFormatting>
  <conditionalFormatting sqref="G63:R67">
    <cfRule type="containsBlanks" dxfId="19" priority="3">
      <formula>LEN(TRIM(G63))=0</formula>
    </cfRule>
  </conditionalFormatting>
  <conditionalFormatting sqref="N43:N49">
    <cfRule type="expression" dxfId="18" priority="20">
      <formula>B43=2</formula>
    </cfRule>
  </conditionalFormatting>
  <conditionalFormatting sqref="O43:O49">
    <cfRule type="expression" dxfId="17" priority="19">
      <formula>B43=1</formula>
    </cfRule>
  </conditionalFormatting>
  <conditionalFormatting sqref="Q43:Q49">
    <cfRule type="expression" dxfId="16" priority="22">
      <formula>B43=1</formula>
    </cfRule>
  </conditionalFormatting>
  <conditionalFormatting sqref="Q63:Q67">
    <cfRule type="expression" dxfId="15" priority="2">
      <formula>B63=4</formula>
    </cfRule>
  </conditionalFormatting>
  <conditionalFormatting sqref="R43:R49 F8:H11">
    <cfRule type="containsBlanks" dxfId="14" priority="37">
      <formula>LEN(TRIM(F8))=0</formula>
    </cfRule>
  </conditionalFormatting>
  <conditionalFormatting sqref="R43:R49">
    <cfRule type="expression" dxfId="13" priority="21">
      <formula>B43=2</formula>
    </cfRule>
  </conditionalFormatting>
  <conditionalFormatting sqref="R63:R67">
    <cfRule type="expression" dxfId="12" priority="1">
      <formula>B63=3</formula>
    </cfRule>
  </conditionalFormatting>
  <dataValidations count="6">
    <dataValidation type="list" allowBlank="1" showInputMessage="1" sqref="G8:G11" xr:uid="{06329D99-8706-4FC2-AFB9-A955678ACA50}">
      <formula1>"是,否"</formula1>
    </dataValidation>
    <dataValidation type="list" allowBlank="1" showInputMessage="1" sqref="N43:O49 Q63:R67" xr:uid="{47E8592A-E536-433A-8A35-3151AAE9BAAF}">
      <formula1>"Y,N"</formula1>
    </dataValidation>
    <dataValidation type="list" allowBlank="1" showInputMessage="1" sqref="H8:H11" xr:uid="{70810DD0-8A0B-49A0-AF44-3F6AE263A298}">
      <formula1>"是,不适用"</formula1>
    </dataValidation>
    <dataValidation type="list" allowBlank="1" showInputMessage="1" sqref="B43:B49" xr:uid="{7E11E63A-86F4-4D87-A944-7CFF2A77EF0A}">
      <formula1>"1,2"</formula1>
    </dataValidation>
    <dataValidation type="list" allowBlank="1" showInputMessage="1" sqref="B63:B67" xr:uid="{FE6E39C4-7648-496D-BAE5-FF018B37DAC6}">
      <formula1>"3,4"</formula1>
    </dataValidation>
    <dataValidation type="list" allowBlank="1" showInputMessage="1" sqref="L43:L49 G63:G67" xr:uid="{BDDBEE66-C7AE-4035-979D-736713F58AFA}">
      <formula1>"使用授信,第三方担保,保证金,抵押/质押（不含保证金）,其他"</formula1>
    </dataValidation>
  </dataValidations>
  <hyperlinks>
    <hyperlink ref="I2" location="汇总!A1" display="返回汇总页" xr:uid="{36503530-65E0-4476-9452-F8A29CAA5F10}"/>
  </hyperlinks>
  <pageMargins left="0.74791660000000004" right="0.74791660000000004" top="0.98402780000000001" bottom="0.98402780000000001" header="0.51180550000000002" footer="0.51180550000000002"/>
  <pageSetup paperSize="9" orientation="landscape" errors="blank"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54A8-9B3F-429D-8C67-9552759AFA86}">
  <dimension ref="A1:DU56"/>
  <sheetViews>
    <sheetView showGridLines="0" zoomScale="70" zoomScaleNormal="70" workbookViewId="0">
      <selection activeCell="K8" sqref="K8"/>
    </sheetView>
  </sheetViews>
  <sheetFormatPr defaultColWidth="7.33203125" defaultRowHeight="12.75" customHeight="1" outlineLevelRow="1"/>
  <cols>
    <col min="1" max="1" width="2.33203125" style="163" customWidth="1"/>
    <col min="2" max="2" width="17.75" style="87" customWidth="1"/>
    <col min="3" max="3" width="20.75" style="87" customWidth="1"/>
    <col min="4" max="4" width="21" style="87" customWidth="1"/>
    <col min="5" max="5" width="24.75" style="87" customWidth="1"/>
    <col min="6" max="6" width="41.83203125" style="87" customWidth="1"/>
    <col min="7" max="7" width="20.08203125" style="87" customWidth="1"/>
    <col min="8" max="8" width="15.83203125" style="87" customWidth="1"/>
    <col min="9" max="9" width="15.33203125" style="87" customWidth="1"/>
    <col min="10" max="10" width="11.08203125" style="87" customWidth="1"/>
    <col min="11" max="11" width="12.5" style="87" customWidth="1"/>
    <col min="12" max="12" width="13.75" style="87" customWidth="1"/>
    <col min="13" max="13" width="16.33203125" style="87" customWidth="1"/>
    <col min="14" max="17" width="13.75" style="87" customWidth="1"/>
    <col min="18" max="18" width="13.5" style="87" customWidth="1"/>
    <col min="19" max="19" width="12.75" style="87" customWidth="1"/>
    <col min="20" max="20" width="10.75" style="87" customWidth="1"/>
    <col min="21" max="23" width="13.33203125" style="87" customWidth="1"/>
    <col min="24" max="34" width="7.33203125" style="87" customWidth="1"/>
    <col min="35" max="92" width="7.33203125" style="87"/>
    <col min="93" max="93" width="13.08203125" style="80" customWidth="1"/>
    <col min="94" max="104" width="7.33203125" style="80"/>
    <col min="105" max="105" width="14.33203125" style="80" customWidth="1"/>
    <col min="106" max="111" width="7.33203125" style="80"/>
    <col min="112" max="112" width="10.33203125" style="80" customWidth="1"/>
    <col min="113" max="116" width="7.33203125" style="80"/>
    <col min="117" max="117" width="10.08203125" style="80" customWidth="1"/>
    <col min="118" max="118" width="12.33203125" style="80" customWidth="1"/>
    <col min="119" max="119" width="7.33203125" style="92"/>
    <col min="120" max="120" width="7.33203125" style="80"/>
    <col min="121" max="121" width="7.33203125" style="83"/>
    <col min="122" max="16384" width="7.33203125" style="87"/>
  </cols>
  <sheetData>
    <row r="1" spans="1:124" s="35" customFormat="1" ht="12.75" customHeight="1">
      <c r="A1" s="138" t="s">
        <v>197</v>
      </c>
      <c r="CF1" s="80"/>
      <c r="CG1" s="80"/>
      <c r="CH1" s="80"/>
      <c r="CI1" s="80"/>
      <c r="CJ1" s="80"/>
      <c r="CK1" s="80"/>
      <c r="CL1" s="80"/>
      <c r="CM1" s="80"/>
      <c r="CN1" s="80"/>
      <c r="CO1" s="80"/>
      <c r="CP1" s="80"/>
      <c r="CQ1" s="80"/>
      <c r="CR1" s="80"/>
      <c r="CS1" s="80"/>
      <c r="CT1" s="80"/>
      <c r="CU1" s="80"/>
      <c r="CV1" s="80"/>
      <c r="CW1" s="80"/>
      <c r="CX1" s="80"/>
      <c r="CY1" s="80"/>
      <c r="CZ1" s="80"/>
      <c r="DA1" s="80"/>
      <c r="DB1" s="80"/>
      <c r="DC1" s="80"/>
      <c r="DD1" s="80"/>
      <c r="DE1" s="80"/>
      <c r="DF1" s="82"/>
      <c r="DG1" s="80"/>
      <c r="DH1" s="83"/>
    </row>
    <row r="2" spans="1:124" s="35" customFormat="1" ht="12.75" customHeight="1">
      <c r="A2" s="162"/>
      <c r="I2" s="47" t="s">
        <v>70</v>
      </c>
      <c r="CH2" s="80"/>
      <c r="CI2" s="80"/>
      <c r="CJ2" s="80"/>
      <c r="CK2" s="80"/>
      <c r="CL2" s="80"/>
      <c r="CM2" s="80"/>
      <c r="CN2" s="80"/>
      <c r="CO2" s="80"/>
      <c r="CP2" s="80"/>
      <c r="CQ2" s="80"/>
      <c r="CR2" s="80"/>
      <c r="CS2" s="80"/>
      <c r="CT2" s="80"/>
      <c r="CU2" s="80"/>
      <c r="CV2" s="80"/>
      <c r="CW2" s="80"/>
      <c r="CX2" s="80"/>
      <c r="CY2" s="80"/>
      <c r="CZ2" s="80"/>
      <c r="DA2" s="80"/>
      <c r="DB2" s="80"/>
      <c r="DC2" s="80"/>
      <c r="DD2" s="80"/>
      <c r="DE2" s="80"/>
      <c r="DF2" s="80"/>
      <c r="DG2" s="80"/>
      <c r="DH2" s="82"/>
      <c r="DI2" s="80"/>
      <c r="DJ2" s="83"/>
    </row>
    <row r="3" spans="1:124" ht="12.75" customHeight="1" thickBot="1">
      <c r="CO3" s="79"/>
      <c r="CP3" s="88"/>
      <c r="CQ3" s="88"/>
      <c r="CZ3" s="88"/>
      <c r="DG3" s="88"/>
      <c r="DH3" s="89"/>
      <c r="DI3" s="90"/>
      <c r="DJ3" s="91"/>
      <c r="DK3" s="91"/>
      <c r="DL3" s="88"/>
      <c r="DN3" s="81"/>
    </row>
    <row r="4" spans="1:124" ht="20">
      <c r="B4" s="95" t="s">
        <v>117</v>
      </c>
      <c r="C4" s="96"/>
      <c r="D4" s="96"/>
      <c r="E4" s="96"/>
      <c r="F4" s="96"/>
      <c r="G4" s="96"/>
      <c r="H4" s="96"/>
      <c r="I4" s="97"/>
      <c r="J4" s="94"/>
      <c r="K4" s="94"/>
      <c r="L4" s="94"/>
      <c r="M4" s="94"/>
      <c r="N4" s="94"/>
      <c r="O4" s="98"/>
      <c r="P4" s="98"/>
      <c r="Q4" s="94"/>
      <c r="R4" s="94"/>
      <c r="S4" s="94"/>
      <c r="CO4" s="87"/>
      <c r="CP4" s="87"/>
      <c r="CQ4" s="87"/>
      <c r="CR4" s="88"/>
      <c r="CS4" s="88"/>
      <c r="CT4" s="88"/>
      <c r="DC4" s="88"/>
      <c r="DI4" s="88"/>
      <c r="DJ4" s="88"/>
      <c r="DK4" s="88"/>
      <c r="DL4" s="88"/>
      <c r="DM4" s="88"/>
      <c r="DN4" s="88"/>
      <c r="DO4" s="88"/>
      <c r="DP4" s="88"/>
      <c r="DQ4" s="88"/>
      <c r="DR4" s="92"/>
      <c r="DS4" s="88"/>
      <c r="DT4" s="88"/>
    </row>
    <row r="5" spans="1:124" ht="20.149999999999999" customHeight="1">
      <c r="B5" s="168" t="s">
        <v>198</v>
      </c>
      <c r="C5" s="99"/>
      <c r="D5" s="99"/>
      <c r="E5" s="99"/>
      <c r="F5" s="99"/>
      <c r="G5" s="99"/>
      <c r="H5" s="99"/>
      <c r="I5" s="100"/>
      <c r="J5" s="94"/>
      <c r="K5" s="94"/>
      <c r="L5" s="94"/>
      <c r="M5" s="94"/>
      <c r="N5" s="94"/>
      <c r="O5" s="98"/>
      <c r="P5" s="98"/>
      <c r="Q5" s="94"/>
      <c r="R5" s="94"/>
      <c r="S5" s="94"/>
      <c r="CO5" s="87"/>
      <c r="CP5" s="87"/>
      <c r="CQ5" s="87"/>
      <c r="CR5" s="98"/>
      <c r="CS5" s="98"/>
      <c r="CT5" s="101"/>
      <c r="CU5" s="85"/>
      <c r="CV5" s="85"/>
      <c r="CW5" s="85"/>
      <c r="CX5" s="85"/>
      <c r="CY5" s="85"/>
      <c r="CZ5" s="85"/>
      <c r="DA5" s="85"/>
      <c r="DB5" s="85"/>
      <c r="DC5" s="98"/>
      <c r="DD5" s="85"/>
      <c r="DE5" s="85"/>
      <c r="DF5" s="85"/>
      <c r="DG5" s="85"/>
      <c r="DH5" s="85"/>
      <c r="DI5" s="98"/>
      <c r="DJ5" s="98"/>
      <c r="DK5" s="98"/>
      <c r="DL5" s="98"/>
      <c r="DM5" s="98"/>
      <c r="DN5" s="98"/>
      <c r="DO5" s="98"/>
      <c r="DP5" s="98"/>
      <c r="DQ5" s="98"/>
      <c r="DR5" s="102"/>
      <c r="DS5" s="98"/>
      <c r="DT5" s="98"/>
    </row>
    <row r="6" spans="1:124" ht="12.75" customHeight="1">
      <c r="B6" s="103"/>
      <c r="C6" s="99"/>
      <c r="D6" s="99"/>
      <c r="E6" s="99"/>
      <c r="F6" s="99"/>
      <c r="G6" s="99"/>
      <c r="H6" s="99"/>
      <c r="I6" s="100"/>
      <c r="J6" s="94"/>
      <c r="K6" s="94"/>
      <c r="L6" s="94"/>
      <c r="M6" s="94"/>
      <c r="N6" s="94"/>
      <c r="O6" s="98"/>
      <c r="P6" s="98"/>
      <c r="Q6" s="94"/>
      <c r="R6" s="94"/>
      <c r="S6" s="94"/>
      <c r="CO6" s="87"/>
      <c r="CP6" s="87"/>
      <c r="CQ6" s="87"/>
      <c r="CR6" s="98"/>
      <c r="CS6" s="101"/>
      <c r="CT6" s="101"/>
      <c r="CU6" s="85"/>
      <c r="CV6" s="85"/>
      <c r="CW6" s="85"/>
      <c r="CX6" s="85"/>
      <c r="CY6" s="85"/>
      <c r="CZ6" s="85"/>
      <c r="DA6" s="85"/>
      <c r="DB6" s="85"/>
      <c r="DC6" s="101"/>
      <c r="DD6" s="85"/>
      <c r="DE6" s="85"/>
      <c r="DF6" s="85"/>
      <c r="DG6" s="85"/>
      <c r="DH6" s="85"/>
      <c r="DI6" s="101"/>
      <c r="DJ6" s="98"/>
      <c r="DK6" s="98"/>
      <c r="DL6" s="98"/>
      <c r="DM6" s="98"/>
      <c r="DN6" s="98"/>
      <c r="DO6" s="101"/>
      <c r="DP6" s="101"/>
      <c r="DQ6" s="101"/>
      <c r="DR6" s="104"/>
      <c r="DS6" s="98"/>
      <c r="DT6" s="98"/>
    </row>
    <row r="7" spans="1:124" ht="20">
      <c r="B7" s="59" t="s">
        <v>73</v>
      </c>
      <c r="C7" s="535" t="s">
        <v>74</v>
      </c>
      <c r="D7" s="536"/>
      <c r="E7" s="537"/>
      <c r="F7" s="60" t="s">
        <v>75</v>
      </c>
      <c r="G7" s="60" t="s">
        <v>76</v>
      </c>
      <c r="H7" s="60" t="s">
        <v>77</v>
      </c>
      <c r="I7" s="61" t="s">
        <v>78</v>
      </c>
      <c r="J7" s="94"/>
      <c r="K7" s="94"/>
      <c r="L7" s="94"/>
      <c r="M7" s="94"/>
      <c r="N7" s="94"/>
      <c r="O7" s="98"/>
      <c r="P7" s="98"/>
      <c r="Q7" s="94"/>
      <c r="R7" s="94"/>
      <c r="S7" s="94"/>
      <c r="CO7" s="87"/>
      <c r="CP7" s="87"/>
      <c r="CQ7" s="87"/>
      <c r="CR7" s="105"/>
      <c r="CS7" s="101"/>
      <c r="CT7" s="106"/>
      <c r="CU7" s="85"/>
      <c r="CV7" s="85"/>
      <c r="CW7" s="85"/>
      <c r="CX7" s="85"/>
      <c r="CY7" s="85"/>
      <c r="CZ7" s="85"/>
      <c r="DA7" s="85"/>
      <c r="DB7" s="85"/>
      <c r="DC7" s="101"/>
      <c r="DD7" s="85"/>
      <c r="DE7" s="85"/>
      <c r="DF7" s="85"/>
      <c r="DG7" s="85"/>
      <c r="DH7" s="85"/>
      <c r="DI7" s="101"/>
      <c r="DJ7" s="105"/>
      <c r="DK7" s="105"/>
      <c r="DL7" s="105"/>
      <c r="DM7" s="105"/>
      <c r="DN7" s="105"/>
      <c r="DO7" s="101"/>
      <c r="DP7" s="101"/>
      <c r="DQ7" s="101"/>
      <c r="DR7" s="104"/>
      <c r="DS7" s="105"/>
      <c r="DT7" s="105"/>
    </row>
    <row r="8" spans="1:124" ht="102.65" customHeight="1" outlineLevel="1">
      <c r="B8" s="107">
        <v>1</v>
      </c>
      <c r="C8" s="602" t="s">
        <v>199</v>
      </c>
      <c r="D8" s="602"/>
      <c r="E8" s="602"/>
      <c r="F8" s="390" t="s">
        <v>120</v>
      </c>
      <c r="G8" s="391"/>
      <c r="H8" s="391"/>
      <c r="I8" s="84"/>
      <c r="J8" s="94"/>
      <c r="K8" s="94"/>
      <c r="L8" s="94"/>
      <c r="M8" s="108"/>
      <c r="N8" s="108"/>
      <c r="O8" s="94"/>
      <c r="P8" s="94"/>
      <c r="Q8" s="94"/>
      <c r="R8" s="94"/>
      <c r="CO8" s="87"/>
      <c r="CP8" s="105"/>
      <c r="CQ8" s="106"/>
      <c r="CR8" s="106"/>
      <c r="CS8" s="85"/>
      <c r="CT8" s="85"/>
      <c r="CU8" s="85"/>
      <c r="CV8" s="85"/>
      <c r="CW8" s="85"/>
      <c r="CX8" s="85"/>
      <c r="CY8" s="85"/>
      <c r="CZ8" s="85"/>
      <c r="DA8" s="106"/>
      <c r="DB8" s="85"/>
      <c r="DC8" s="85"/>
      <c r="DD8" s="85"/>
      <c r="DE8" s="85"/>
      <c r="DF8" s="85"/>
      <c r="DG8" s="106"/>
      <c r="DH8" s="101"/>
      <c r="DI8" s="101"/>
      <c r="DJ8" s="101"/>
      <c r="DK8" s="101"/>
      <c r="DL8" s="101"/>
      <c r="DM8" s="106"/>
      <c r="DN8" s="106"/>
      <c r="DO8" s="106"/>
      <c r="DP8" s="102"/>
      <c r="DQ8" s="105"/>
      <c r="DR8" s="109"/>
    </row>
    <row r="9" spans="1:124" ht="102.65" customHeight="1" outlineLevel="1">
      <c r="B9" s="110">
        <v>2</v>
      </c>
      <c r="C9" s="602" t="s">
        <v>200</v>
      </c>
      <c r="D9" s="602"/>
      <c r="E9" s="602"/>
      <c r="F9" s="392" t="s">
        <v>80</v>
      </c>
      <c r="G9" s="391"/>
      <c r="H9" s="391"/>
      <c r="I9" s="84"/>
      <c r="J9" s="94"/>
      <c r="K9" s="94"/>
      <c r="L9" s="94"/>
      <c r="M9" s="108"/>
      <c r="N9" s="108"/>
      <c r="O9" s="94"/>
      <c r="P9" s="94"/>
      <c r="Q9" s="94"/>
      <c r="R9" s="94"/>
      <c r="CO9" s="87"/>
      <c r="CP9" s="101"/>
      <c r="CQ9" s="106"/>
      <c r="CR9" s="106"/>
      <c r="CS9" s="85"/>
      <c r="CT9" s="85"/>
      <c r="CU9" s="85"/>
      <c r="CV9" s="85"/>
      <c r="CW9" s="85"/>
      <c r="CX9" s="85"/>
      <c r="CY9" s="85"/>
      <c r="CZ9" s="85"/>
      <c r="DA9" s="106"/>
      <c r="DB9" s="85"/>
      <c r="DC9" s="85"/>
      <c r="DD9" s="85"/>
      <c r="DE9" s="85"/>
      <c r="DF9" s="85"/>
      <c r="DG9" s="106"/>
      <c r="DH9" s="106"/>
      <c r="DI9" s="106"/>
      <c r="DJ9" s="106"/>
      <c r="DK9" s="106"/>
      <c r="DL9" s="106"/>
      <c r="DM9" s="106"/>
      <c r="DN9" s="106"/>
      <c r="DO9" s="106"/>
      <c r="DP9" s="102"/>
      <c r="DQ9" s="101"/>
      <c r="DR9" s="111"/>
    </row>
    <row r="10" spans="1:124" ht="102.65" customHeight="1" outlineLevel="1">
      <c r="B10" s="112">
        <v>3</v>
      </c>
      <c r="C10" s="602" t="s">
        <v>201</v>
      </c>
      <c r="D10" s="602"/>
      <c r="E10" s="602"/>
      <c r="F10" s="392" t="s">
        <v>202</v>
      </c>
      <c r="G10" s="391"/>
      <c r="H10" s="391"/>
      <c r="I10" s="84"/>
      <c r="J10" s="94"/>
      <c r="K10" s="94"/>
      <c r="L10" s="94"/>
      <c r="M10" s="108"/>
      <c r="N10" s="108"/>
      <c r="O10" s="94"/>
      <c r="P10" s="94"/>
      <c r="Q10" s="94"/>
      <c r="R10" s="94"/>
      <c r="CO10" s="87"/>
      <c r="CP10" s="101"/>
      <c r="CQ10" s="106"/>
      <c r="CR10" s="106"/>
      <c r="CS10" s="85"/>
      <c r="CT10" s="85"/>
      <c r="CU10" s="85"/>
      <c r="CV10" s="85"/>
      <c r="CW10" s="85"/>
      <c r="CX10" s="85"/>
      <c r="CY10" s="85"/>
      <c r="CZ10" s="85"/>
      <c r="DA10" s="106"/>
      <c r="DB10" s="85"/>
      <c r="DC10" s="85"/>
      <c r="DD10" s="85"/>
      <c r="DE10" s="85"/>
      <c r="DF10" s="85"/>
      <c r="DG10" s="106"/>
      <c r="DH10" s="106"/>
      <c r="DI10" s="106"/>
      <c r="DJ10" s="106"/>
      <c r="DK10" s="106"/>
      <c r="DL10" s="106"/>
      <c r="DM10" s="106"/>
      <c r="DN10" s="106"/>
      <c r="DO10" s="106"/>
      <c r="DP10" s="102"/>
      <c r="DQ10" s="101"/>
      <c r="DR10" s="111"/>
    </row>
    <row r="11" spans="1:124" ht="102.65" customHeight="1" outlineLevel="1">
      <c r="B11" s="110">
        <v>4</v>
      </c>
      <c r="C11" s="602" t="s">
        <v>203</v>
      </c>
      <c r="D11" s="602"/>
      <c r="E11" s="602"/>
      <c r="F11" s="392" t="s">
        <v>202</v>
      </c>
      <c r="G11" s="391"/>
      <c r="H11" s="391"/>
      <c r="I11" s="84"/>
      <c r="J11" s="94"/>
      <c r="K11" s="94"/>
      <c r="L11" s="94"/>
      <c r="M11" s="108"/>
      <c r="N11" s="108"/>
      <c r="O11" s="94"/>
      <c r="P11" s="94"/>
      <c r="Q11" s="94"/>
      <c r="R11" s="94"/>
      <c r="CO11" s="87"/>
      <c r="CP11" s="106"/>
      <c r="CQ11" s="106"/>
      <c r="CR11" s="106"/>
      <c r="CS11" s="85"/>
      <c r="CT11" s="85"/>
      <c r="CU11" s="85"/>
      <c r="CV11" s="85"/>
      <c r="CW11" s="85"/>
      <c r="CX11" s="85"/>
      <c r="CY11" s="85"/>
      <c r="CZ11" s="85"/>
      <c r="DA11" s="106"/>
      <c r="DB11" s="85"/>
      <c r="DC11" s="85"/>
      <c r="DD11" s="85"/>
      <c r="DE11" s="85"/>
      <c r="DF11" s="85"/>
      <c r="DG11" s="106"/>
      <c r="DH11" s="106"/>
      <c r="DI11" s="106"/>
      <c r="DJ11" s="106"/>
      <c r="DK11" s="106"/>
      <c r="DL11" s="106"/>
      <c r="DM11" s="106"/>
      <c r="DN11" s="106"/>
      <c r="DO11" s="106"/>
      <c r="DP11" s="102"/>
      <c r="DQ11" s="106"/>
      <c r="DR11" s="113"/>
    </row>
    <row r="12" spans="1:124" ht="12.75" customHeight="1" thickBot="1">
      <c r="B12" s="114"/>
      <c r="C12" s="115"/>
      <c r="D12" s="115"/>
      <c r="E12" s="115"/>
      <c r="F12" s="115"/>
      <c r="G12" s="115"/>
      <c r="H12" s="115"/>
      <c r="I12" s="116"/>
      <c r="J12" s="94"/>
      <c r="K12" s="94"/>
      <c r="L12" s="94"/>
      <c r="M12" s="94"/>
      <c r="N12" s="94"/>
      <c r="O12" s="94"/>
      <c r="P12" s="94"/>
      <c r="Q12" s="94"/>
      <c r="R12" s="94"/>
      <c r="S12" s="94"/>
      <c r="T12" s="94"/>
      <c r="U12" s="94"/>
      <c r="V12" s="94"/>
      <c r="W12" s="94"/>
      <c r="X12" s="94"/>
      <c r="Y12" s="94"/>
      <c r="Z12" s="94"/>
      <c r="AA12" s="94"/>
      <c r="AB12" s="94"/>
      <c r="CO12" s="87"/>
      <c r="CP12" s="87"/>
      <c r="CQ12" s="87"/>
      <c r="CR12" s="106"/>
      <c r="CS12" s="98"/>
      <c r="CT12" s="98"/>
      <c r="CU12" s="85"/>
      <c r="CV12" s="85"/>
      <c r="CW12" s="85"/>
      <c r="CX12" s="85"/>
      <c r="CY12" s="85"/>
      <c r="CZ12" s="85"/>
      <c r="DA12" s="85"/>
      <c r="DB12" s="85"/>
      <c r="DC12" s="98"/>
      <c r="DD12" s="85"/>
      <c r="DE12" s="85"/>
      <c r="DF12" s="85"/>
      <c r="DG12" s="85"/>
      <c r="DH12" s="85"/>
      <c r="DI12" s="98"/>
      <c r="DJ12" s="98"/>
      <c r="DK12" s="98"/>
      <c r="DL12" s="98"/>
      <c r="DM12" s="98"/>
      <c r="DN12" s="98"/>
      <c r="DO12" s="98"/>
      <c r="DP12" s="98"/>
      <c r="DQ12" s="98"/>
      <c r="DR12" s="102"/>
      <c r="DS12" s="106"/>
      <c r="DT12" s="113"/>
    </row>
    <row r="13" spans="1:124" ht="12.75" customHeight="1">
      <c r="B13" s="8"/>
      <c r="C13" s="117"/>
      <c r="D13" s="117"/>
      <c r="E13" s="117"/>
      <c r="F13" s="117"/>
      <c r="G13" s="94"/>
      <c r="H13" s="94"/>
      <c r="I13" s="94"/>
      <c r="J13" s="94"/>
      <c r="K13" s="94"/>
      <c r="L13" s="94"/>
      <c r="M13" s="94"/>
      <c r="N13" s="94"/>
      <c r="O13" s="94"/>
      <c r="P13" s="94"/>
      <c r="Q13" s="94"/>
      <c r="R13" s="94"/>
      <c r="S13" s="94"/>
      <c r="T13" s="94"/>
      <c r="U13" s="94"/>
      <c r="V13" s="94"/>
      <c r="W13" s="94"/>
      <c r="X13" s="94"/>
      <c r="Y13" s="94"/>
      <c r="CO13" s="87"/>
      <c r="CP13" s="98"/>
      <c r="CQ13" s="98"/>
      <c r="CR13" s="98"/>
      <c r="CS13" s="85"/>
      <c r="CT13" s="85"/>
      <c r="CU13" s="85"/>
      <c r="CV13" s="85"/>
      <c r="CW13" s="85"/>
      <c r="CX13" s="85"/>
      <c r="CY13" s="85"/>
      <c r="CZ13" s="85"/>
      <c r="DA13" s="98"/>
      <c r="DB13" s="85"/>
      <c r="DC13" s="85"/>
      <c r="DD13" s="85"/>
      <c r="DE13" s="85"/>
      <c r="DF13" s="85"/>
      <c r="DG13" s="98"/>
      <c r="DH13" s="98"/>
      <c r="DI13" s="98"/>
      <c r="DJ13" s="98"/>
      <c r="DK13" s="98"/>
      <c r="DL13" s="98"/>
      <c r="DM13" s="98"/>
      <c r="DN13" s="98"/>
      <c r="DO13" s="98"/>
      <c r="DP13" s="102"/>
      <c r="DQ13" s="98"/>
      <c r="DR13" s="98"/>
    </row>
    <row r="14" spans="1:124" s="192" customFormat="1" ht="15" customHeight="1" thickBot="1">
      <c r="B14" s="250" t="s">
        <v>127</v>
      </c>
      <c r="H14" s="194"/>
      <c r="I14" s="194"/>
      <c r="J14" s="193"/>
      <c r="K14" s="194"/>
      <c r="L14" s="94"/>
      <c r="M14" s="94"/>
      <c r="N14" s="94"/>
      <c r="O14" s="94"/>
    </row>
    <row r="15" spans="1:124" s="192" customFormat="1" ht="33.75" customHeight="1">
      <c r="B15" s="348" t="s">
        <v>128</v>
      </c>
      <c r="C15" s="346" t="s">
        <v>129</v>
      </c>
      <c r="D15" s="349" t="s">
        <v>130</v>
      </c>
      <c r="E15" s="346" t="s">
        <v>131</v>
      </c>
      <c r="F15" s="346" t="s">
        <v>132</v>
      </c>
      <c r="G15" s="346" t="s">
        <v>133</v>
      </c>
      <c r="H15" s="347" t="s">
        <v>204</v>
      </c>
      <c r="I15" s="193"/>
      <c r="K15" s="94"/>
      <c r="L15" s="94"/>
      <c r="M15" s="94"/>
      <c r="N15" s="94"/>
    </row>
    <row r="16" spans="1:124" s="192" customFormat="1" ht="15" customHeight="1">
      <c r="B16" s="222"/>
      <c r="C16" s="195"/>
      <c r="D16" s="421">
        <f>'M.00 Lead'!F26</f>
        <v>0</v>
      </c>
      <c r="E16" s="196" t="s">
        <v>135</v>
      </c>
      <c r="F16" s="379"/>
      <c r="G16" s="196" t="s">
        <v>136</v>
      </c>
      <c r="H16" s="366">
        <f>D16-F16</f>
        <v>0</v>
      </c>
      <c r="I16" s="193"/>
      <c r="K16" s="94"/>
      <c r="L16" s="94"/>
      <c r="M16" s="94"/>
      <c r="N16" s="94"/>
    </row>
    <row r="17" spans="2:122" s="192" customFormat="1" ht="15" customHeight="1">
      <c r="B17" s="222"/>
      <c r="C17" s="195"/>
      <c r="D17" s="421"/>
      <c r="E17" s="423"/>
      <c r="F17" s="379"/>
      <c r="G17" s="423"/>
      <c r="H17" s="366">
        <f t="shared" ref="H17:H18" si="0">D17-F17</f>
        <v>0</v>
      </c>
      <c r="I17" s="193"/>
      <c r="K17" s="94"/>
      <c r="L17" s="94"/>
      <c r="M17" s="94"/>
      <c r="N17" s="94"/>
    </row>
    <row r="18" spans="2:122" s="192" customFormat="1" ht="15" customHeight="1" thickBot="1">
      <c r="B18" s="224"/>
      <c r="C18" s="227"/>
      <c r="D18" s="422"/>
      <c r="E18" s="424"/>
      <c r="F18" s="380"/>
      <c r="G18" s="424"/>
      <c r="H18" s="367">
        <f t="shared" si="0"/>
        <v>0</v>
      </c>
      <c r="I18" s="193"/>
      <c r="K18" s="94"/>
      <c r="L18" s="94"/>
      <c r="M18" s="94"/>
      <c r="N18" s="94"/>
    </row>
    <row r="19" spans="2:122" s="192" customFormat="1" ht="15" customHeight="1">
      <c r="B19" s="425"/>
      <c r="C19" s="425"/>
      <c r="D19" s="364"/>
      <c r="E19" s="425"/>
      <c r="F19" s="364"/>
      <c r="G19" s="425"/>
      <c r="H19" s="364"/>
      <c r="I19" s="193"/>
      <c r="J19" s="87"/>
      <c r="K19" s="94"/>
      <c r="L19" s="94"/>
      <c r="M19" s="94"/>
      <c r="N19" s="94"/>
    </row>
    <row r="20" spans="2:122" s="192" customFormat="1" ht="15" customHeight="1" thickBot="1">
      <c r="C20" s="251" t="s">
        <v>137</v>
      </c>
      <c r="D20" s="365">
        <f>SUM(D16:D18)</f>
        <v>0</v>
      </c>
      <c r="E20" s="198"/>
      <c r="F20" s="365">
        <f>SUM(F16:F18)</f>
        <v>0</v>
      </c>
      <c r="G20" s="197"/>
      <c r="H20" s="365">
        <f>SUM(H16:H18)</f>
        <v>0</v>
      </c>
      <c r="I20" s="193"/>
      <c r="J20" s="87"/>
      <c r="K20" s="94"/>
      <c r="L20" s="94"/>
      <c r="M20" s="94"/>
      <c r="N20" s="94"/>
    </row>
    <row r="21" spans="2:122" s="192" customFormat="1" ht="15" customHeight="1" thickTop="1">
      <c r="C21" s="251"/>
      <c r="D21" s="194" t="s">
        <v>110</v>
      </c>
      <c r="E21" s="194"/>
      <c r="F21" s="194" t="s">
        <v>110</v>
      </c>
      <c r="G21" s="194"/>
      <c r="H21" s="194" t="s">
        <v>110</v>
      </c>
      <c r="I21" s="193"/>
      <c r="J21" s="87"/>
      <c r="K21" s="94"/>
      <c r="L21" s="94"/>
      <c r="M21" s="94"/>
      <c r="N21" s="94"/>
    </row>
    <row r="22" spans="2:122" s="192" customFormat="1" ht="15" customHeight="1">
      <c r="C22" s="251"/>
      <c r="D22" s="251"/>
      <c r="E22" s="194"/>
      <c r="F22" s="194"/>
      <c r="G22" s="194"/>
      <c r="H22" s="194"/>
      <c r="I22" s="194"/>
      <c r="J22" s="193"/>
      <c r="K22" s="87"/>
      <c r="L22" s="94"/>
      <c r="M22" s="94"/>
      <c r="N22" s="94"/>
      <c r="O22" s="94"/>
    </row>
    <row r="23" spans="2:122" ht="12.75" customHeight="1">
      <c r="B23" s="8" t="s">
        <v>138</v>
      </c>
      <c r="C23" s="234"/>
      <c r="D23" s="234"/>
      <c r="E23" s="234"/>
      <c r="F23" s="234"/>
      <c r="G23" s="94"/>
      <c r="H23" s="94"/>
      <c r="I23" s="94"/>
      <c r="J23" s="94"/>
      <c r="K23" s="94"/>
      <c r="L23" s="94"/>
      <c r="M23" s="94"/>
      <c r="N23" s="94"/>
      <c r="O23" s="94"/>
      <c r="P23" s="94"/>
      <c r="Q23" s="94"/>
      <c r="R23" s="94"/>
      <c r="S23" s="94"/>
      <c r="T23" s="94"/>
      <c r="U23" s="94"/>
      <c r="V23" s="94"/>
      <c r="W23" s="94"/>
      <c r="X23" s="94"/>
      <c r="Y23" s="94"/>
      <c r="CO23" s="87"/>
      <c r="CP23" s="98"/>
      <c r="CQ23" s="98"/>
      <c r="CR23" s="98"/>
      <c r="CS23" s="85"/>
      <c r="CT23" s="85"/>
      <c r="CU23" s="85"/>
      <c r="CV23" s="85"/>
      <c r="CW23" s="85"/>
      <c r="CX23" s="85"/>
      <c r="CY23" s="85"/>
      <c r="CZ23" s="85"/>
      <c r="DA23" s="98"/>
      <c r="DB23" s="85"/>
      <c r="DC23" s="85"/>
      <c r="DD23" s="85"/>
      <c r="DE23" s="85"/>
      <c r="DF23" s="85"/>
      <c r="DG23" s="98"/>
      <c r="DH23" s="98"/>
      <c r="DI23" s="98"/>
      <c r="DJ23" s="98"/>
      <c r="DK23" s="98"/>
      <c r="DL23" s="98"/>
      <c r="DM23" s="98"/>
      <c r="DN23" s="98"/>
      <c r="DO23" s="98"/>
      <c r="DP23" s="102"/>
      <c r="DQ23" s="98"/>
      <c r="DR23" s="98"/>
    </row>
    <row r="24" spans="2:122" ht="12.75" customHeight="1">
      <c r="B24" s="568"/>
      <c r="C24" s="569"/>
      <c r="D24" s="569"/>
      <c r="E24" s="569"/>
      <c r="F24" s="570"/>
      <c r="G24" s="94"/>
      <c r="H24" s="94"/>
      <c r="I24" s="94"/>
      <c r="J24" s="94"/>
      <c r="K24" s="94"/>
      <c r="L24" s="94"/>
      <c r="M24" s="94"/>
      <c r="N24" s="94"/>
      <c r="O24" s="94"/>
      <c r="P24" s="94"/>
      <c r="Q24" s="94"/>
      <c r="R24" s="94"/>
      <c r="S24" s="94"/>
      <c r="T24" s="94"/>
      <c r="U24" s="94"/>
      <c r="V24" s="94"/>
      <c r="W24" s="94"/>
      <c r="X24" s="94"/>
      <c r="Y24" s="94"/>
      <c r="CO24" s="87"/>
      <c r="CP24" s="98"/>
      <c r="CQ24" s="98"/>
      <c r="CR24" s="98"/>
      <c r="CS24" s="85"/>
      <c r="CT24" s="85"/>
      <c r="CU24" s="85"/>
      <c r="CV24" s="85"/>
      <c r="CW24" s="85"/>
      <c r="CX24" s="85"/>
      <c r="CY24" s="85"/>
      <c r="CZ24" s="85"/>
      <c r="DA24" s="98"/>
      <c r="DB24" s="85"/>
      <c r="DC24" s="85"/>
      <c r="DD24" s="85"/>
      <c r="DE24" s="85"/>
      <c r="DF24" s="85"/>
      <c r="DG24" s="98"/>
      <c r="DH24" s="98"/>
      <c r="DI24" s="98"/>
      <c r="DJ24" s="98"/>
      <c r="DK24" s="98"/>
      <c r="DL24" s="98"/>
      <c r="DM24" s="98"/>
      <c r="DN24" s="98"/>
      <c r="DO24" s="98"/>
      <c r="DP24" s="102"/>
      <c r="DQ24" s="98"/>
      <c r="DR24" s="98"/>
    </row>
    <row r="25" spans="2:122" ht="12.75" customHeight="1">
      <c r="B25" s="571"/>
      <c r="C25" s="572"/>
      <c r="D25" s="572"/>
      <c r="E25" s="572"/>
      <c r="F25" s="573"/>
      <c r="G25" s="94"/>
      <c r="H25" s="94"/>
      <c r="I25" s="94"/>
      <c r="J25" s="94"/>
      <c r="K25" s="94"/>
      <c r="L25" s="94"/>
      <c r="M25" s="94"/>
      <c r="N25" s="94"/>
      <c r="O25" s="94"/>
      <c r="P25" s="94"/>
      <c r="Q25" s="94"/>
      <c r="R25" s="94"/>
      <c r="S25" s="94"/>
      <c r="T25" s="94"/>
      <c r="U25" s="94"/>
      <c r="V25" s="94"/>
      <c r="W25" s="94"/>
      <c r="X25" s="94"/>
      <c r="Y25" s="94"/>
      <c r="CO25" s="87"/>
      <c r="CP25" s="98"/>
      <c r="CQ25" s="98"/>
      <c r="CR25" s="98"/>
      <c r="CS25" s="85"/>
      <c r="CT25" s="85"/>
      <c r="CU25" s="85"/>
      <c r="CV25" s="85"/>
      <c r="CW25" s="85"/>
      <c r="CX25" s="85"/>
      <c r="CY25" s="85"/>
      <c r="CZ25" s="85"/>
      <c r="DA25" s="98"/>
      <c r="DB25" s="85"/>
      <c r="DC25" s="85"/>
      <c r="DD25" s="85"/>
      <c r="DE25" s="85"/>
      <c r="DF25" s="85"/>
      <c r="DG25" s="98"/>
      <c r="DH25" s="98"/>
      <c r="DI25" s="98"/>
      <c r="DJ25" s="98"/>
      <c r="DK25" s="98"/>
      <c r="DL25" s="98"/>
      <c r="DM25" s="98"/>
      <c r="DN25" s="98"/>
      <c r="DO25" s="98"/>
      <c r="DP25" s="102"/>
      <c r="DQ25" s="98"/>
      <c r="DR25" s="98"/>
    </row>
    <row r="26" spans="2:122" ht="12.75" customHeight="1" thickBot="1">
      <c r="B26" s="574"/>
      <c r="C26" s="575"/>
      <c r="D26" s="575"/>
      <c r="E26" s="575"/>
      <c r="F26" s="576"/>
      <c r="G26" s="94"/>
      <c r="H26" s="94"/>
      <c r="I26" s="94"/>
      <c r="J26" s="94"/>
      <c r="K26" s="94"/>
      <c r="L26" s="94"/>
      <c r="M26" s="94"/>
      <c r="N26" s="94"/>
      <c r="O26" s="94"/>
      <c r="P26" s="94"/>
      <c r="Q26" s="94"/>
      <c r="R26" s="94"/>
      <c r="S26" s="94"/>
      <c r="T26" s="94"/>
      <c r="U26" s="94"/>
      <c r="V26" s="94"/>
      <c r="W26" s="94"/>
      <c r="X26" s="94"/>
      <c r="Y26" s="94"/>
      <c r="CO26" s="87"/>
      <c r="CP26" s="98"/>
      <c r="CQ26" s="98"/>
      <c r="CR26" s="98"/>
      <c r="CS26" s="85"/>
      <c r="CT26" s="85"/>
      <c r="CU26" s="85"/>
      <c r="CV26" s="85"/>
      <c r="CW26" s="85"/>
      <c r="CX26" s="85"/>
      <c r="CY26" s="85"/>
      <c r="CZ26" s="85"/>
      <c r="DA26" s="98"/>
      <c r="DB26" s="85"/>
      <c r="DC26" s="85"/>
      <c r="DD26" s="85"/>
      <c r="DE26" s="85"/>
      <c r="DF26" s="85"/>
      <c r="DG26" s="98"/>
      <c r="DH26" s="98"/>
      <c r="DI26" s="98"/>
      <c r="DJ26" s="98"/>
      <c r="DK26" s="98"/>
      <c r="DL26" s="98"/>
      <c r="DM26" s="98"/>
      <c r="DN26" s="98"/>
      <c r="DO26" s="98"/>
      <c r="DP26" s="102"/>
      <c r="DQ26" s="98"/>
      <c r="DR26" s="98"/>
    </row>
    <row r="27" spans="2:122" ht="12.75" customHeight="1">
      <c r="B27" s="117"/>
      <c r="C27" s="117"/>
      <c r="D27" s="117"/>
      <c r="E27" s="117"/>
      <c r="F27" s="117"/>
      <c r="G27" s="94"/>
      <c r="H27" s="94"/>
      <c r="I27" s="193"/>
      <c r="J27" s="94"/>
      <c r="K27" s="94"/>
      <c r="L27" s="94"/>
      <c r="M27" s="94"/>
      <c r="N27" s="94"/>
      <c r="O27" s="94"/>
      <c r="P27" s="94"/>
      <c r="Q27" s="94"/>
      <c r="R27" s="94"/>
      <c r="S27" s="94"/>
      <c r="T27" s="94"/>
      <c r="U27" s="94"/>
      <c r="V27" s="94"/>
      <c r="W27" s="94"/>
      <c r="X27" s="94"/>
      <c r="Y27" s="94"/>
      <c r="CO27" s="87"/>
      <c r="CP27" s="98"/>
      <c r="CQ27" s="98"/>
      <c r="CR27" s="98"/>
      <c r="CS27" s="85"/>
      <c r="CT27" s="85"/>
      <c r="CU27" s="85"/>
      <c r="CV27" s="85"/>
      <c r="CW27" s="85"/>
      <c r="CX27" s="85"/>
      <c r="CY27" s="85"/>
      <c r="CZ27" s="85"/>
      <c r="DA27" s="98"/>
      <c r="DB27" s="85"/>
      <c r="DC27" s="85"/>
      <c r="DD27" s="85"/>
      <c r="DE27" s="85"/>
      <c r="DF27" s="85"/>
      <c r="DG27" s="98"/>
      <c r="DH27" s="98"/>
      <c r="DI27" s="98"/>
      <c r="DJ27" s="98"/>
      <c r="DK27" s="98"/>
      <c r="DL27" s="98"/>
      <c r="DM27" s="98"/>
      <c r="DN27" s="98"/>
      <c r="DO27" s="98"/>
      <c r="DP27" s="102"/>
      <c r="DQ27" s="98"/>
      <c r="DR27" s="98"/>
    </row>
    <row r="28" spans="2:122" s="192" customFormat="1" ht="15" customHeight="1">
      <c r="B28" s="250" t="s">
        <v>205</v>
      </c>
      <c r="D28" s="194"/>
      <c r="E28" s="194"/>
      <c r="F28" s="194"/>
      <c r="G28" s="194"/>
      <c r="H28" s="194"/>
      <c r="I28" s="194"/>
      <c r="J28" s="194"/>
      <c r="K28" s="194"/>
      <c r="L28" s="94"/>
      <c r="M28" s="94"/>
      <c r="N28" s="94"/>
    </row>
    <row r="29" spans="2:122" s="192" customFormat="1" ht="23.15" customHeight="1">
      <c r="B29" s="619" t="s">
        <v>206</v>
      </c>
      <c r="C29" s="620"/>
      <c r="D29" s="621"/>
      <c r="E29" s="603" t="s">
        <v>207</v>
      </c>
      <c r="F29" s="603" t="s">
        <v>174</v>
      </c>
      <c r="G29" s="617" t="s">
        <v>175</v>
      </c>
      <c r="K29" s="94"/>
      <c r="L29" s="94"/>
      <c r="M29" s="94"/>
    </row>
    <row r="30" spans="2:122" s="192" customFormat="1" ht="27" customHeight="1">
      <c r="B30" s="305" t="s">
        <v>208</v>
      </c>
      <c r="C30" s="298" t="s">
        <v>209</v>
      </c>
      <c r="D30" s="299" t="s">
        <v>210</v>
      </c>
      <c r="E30" s="604"/>
      <c r="F30" s="604"/>
      <c r="G30" s="618"/>
      <c r="K30" s="94"/>
      <c r="L30" s="94"/>
      <c r="M30" s="94"/>
    </row>
    <row r="31" spans="2:122" s="192" customFormat="1" ht="15" customHeight="1">
      <c r="B31" s="222"/>
      <c r="C31" s="219"/>
      <c r="D31" s="219"/>
      <c r="E31" s="219"/>
      <c r="F31" s="219">
        <f>C31-E31</f>
        <v>0</v>
      </c>
      <c r="G31" s="223"/>
      <c r="K31" s="94"/>
      <c r="L31" s="94"/>
      <c r="M31" s="94"/>
    </row>
    <row r="32" spans="2:122" s="192" customFormat="1" ht="15" customHeight="1">
      <c r="B32" s="222"/>
      <c r="C32" s="219"/>
      <c r="D32" s="219"/>
      <c r="E32" s="219"/>
      <c r="F32" s="219">
        <f t="shared" ref="F32:F33" si="1">C32-E32</f>
        <v>0</v>
      </c>
      <c r="G32" s="223"/>
      <c r="K32" s="94"/>
      <c r="L32" s="94"/>
      <c r="M32" s="94"/>
    </row>
    <row r="33" spans="1:125" s="192" customFormat="1" ht="15" customHeight="1">
      <c r="B33" s="224"/>
      <c r="C33" s="225"/>
      <c r="D33" s="225"/>
      <c r="E33" s="225"/>
      <c r="F33" s="225">
        <f t="shared" si="1"/>
        <v>0</v>
      </c>
      <c r="G33" s="226"/>
      <c r="K33" s="94"/>
      <c r="L33" s="94"/>
      <c r="M33" s="94"/>
    </row>
    <row r="34" spans="1:125" ht="12.75" customHeight="1">
      <c r="A34" s="87"/>
      <c r="C34" s="117"/>
      <c r="D34" s="117"/>
      <c r="E34" s="117"/>
      <c r="F34" s="117"/>
      <c r="G34" s="117"/>
      <c r="H34" s="94"/>
      <c r="I34" s="94"/>
      <c r="J34" s="193"/>
      <c r="K34" s="94"/>
      <c r="L34" s="94"/>
      <c r="M34" s="94"/>
      <c r="N34" s="94"/>
      <c r="O34" s="94"/>
      <c r="P34" s="94"/>
      <c r="Q34" s="94"/>
      <c r="R34" s="94"/>
      <c r="S34" s="94"/>
      <c r="T34" s="94"/>
      <c r="U34" s="94"/>
      <c r="V34" s="94"/>
      <c r="W34" s="94"/>
      <c r="X34" s="94"/>
      <c r="Y34" s="94"/>
      <c r="Z34" s="94"/>
      <c r="CO34" s="87"/>
      <c r="CP34" s="87"/>
      <c r="CQ34" s="98"/>
      <c r="CR34" s="98"/>
      <c r="CS34" s="98"/>
      <c r="CT34" s="85"/>
      <c r="CU34" s="85"/>
      <c r="CV34" s="85"/>
      <c r="CW34" s="85"/>
      <c r="CX34" s="85"/>
      <c r="CY34" s="85"/>
      <c r="CZ34" s="85"/>
      <c r="DA34" s="85"/>
      <c r="DB34" s="98"/>
      <c r="DC34" s="85"/>
      <c r="DD34" s="85"/>
      <c r="DE34" s="85"/>
      <c r="DF34" s="85"/>
      <c r="DG34" s="85"/>
      <c r="DH34" s="98"/>
      <c r="DI34" s="98"/>
      <c r="DJ34" s="98"/>
      <c r="DK34" s="98"/>
      <c r="DL34" s="98"/>
      <c r="DM34" s="98"/>
      <c r="DN34" s="98"/>
      <c r="DO34" s="98"/>
      <c r="DP34" s="98"/>
      <c r="DQ34" s="102"/>
      <c r="DR34" s="98"/>
      <c r="DS34" s="98"/>
    </row>
    <row r="35" spans="1:125" s="88" customFormat="1" ht="12.75" customHeight="1" thickBot="1">
      <c r="A35" s="164"/>
      <c r="B35" s="119"/>
      <c r="C35" s="119"/>
      <c r="D35" s="119"/>
      <c r="E35" s="119"/>
      <c r="F35" s="119"/>
      <c r="G35" s="120"/>
      <c r="H35" s="120"/>
      <c r="I35" s="120"/>
      <c r="J35" s="120"/>
      <c r="K35" s="94"/>
      <c r="L35" s="94"/>
      <c r="M35" s="94"/>
      <c r="N35" s="94"/>
      <c r="O35" s="118"/>
      <c r="P35" s="118"/>
      <c r="CO35" s="80"/>
      <c r="CP35" s="80"/>
      <c r="CQ35" s="80"/>
      <c r="CR35" s="80"/>
      <c r="CS35" s="80"/>
      <c r="CT35" s="80"/>
      <c r="CU35" s="80"/>
      <c r="CV35" s="80"/>
      <c r="CW35" s="80"/>
      <c r="CX35" s="80"/>
      <c r="CY35" s="80"/>
      <c r="CZ35" s="80"/>
      <c r="DA35" s="80"/>
      <c r="DB35" s="80"/>
      <c r="DC35" s="80"/>
      <c r="DD35" s="80"/>
      <c r="DE35" s="80"/>
      <c r="DF35" s="80"/>
      <c r="DG35" s="80"/>
      <c r="DH35" s="80"/>
      <c r="DI35" s="80"/>
      <c r="DJ35" s="80"/>
      <c r="DK35" s="80"/>
      <c r="DL35" s="80"/>
      <c r="DM35" s="80"/>
      <c r="DN35" s="80"/>
      <c r="DO35" s="121"/>
      <c r="DP35" s="80"/>
      <c r="DQ35" s="83"/>
    </row>
    <row r="36" spans="1:125" ht="15.65" customHeight="1">
      <c r="B36" s="169" t="s">
        <v>139</v>
      </c>
      <c r="C36" s="170"/>
      <c r="D36" s="170"/>
      <c r="E36" s="170"/>
      <c r="F36" s="171"/>
      <c r="K36" s="94"/>
      <c r="L36" s="94"/>
      <c r="M36" s="94"/>
      <c r="N36" s="94"/>
      <c r="CF36" s="80"/>
      <c r="CG36" s="80"/>
      <c r="CH36" s="80"/>
      <c r="CI36" s="80"/>
      <c r="CJ36" s="80"/>
      <c r="CK36" s="80"/>
      <c r="CL36" s="80"/>
      <c r="CM36" s="80"/>
      <c r="CN36" s="80"/>
      <c r="DF36" s="92"/>
      <c r="DH36" s="83"/>
      <c r="DI36" s="87"/>
      <c r="DJ36" s="87"/>
      <c r="DK36" s="87"/>
      <c r="DL36" s="87"/>
      <c r="DM36" s="87"/>
      <c r="DN36" s="87"/>
      <c r="DO36" s="87"/>
      <c r="DP36" s="87"/>
      <c r="DQ36" s="87"/>
    </row>
    <row r="37" spans="1:125" ht="12.75" customHeight="1">
      <c r="B37" s="172" t="s">
        <v>211</v>
      </c>
      <c r="C37" s="173"/>
      <c r="D37" s="173"/>
      <c r="E37" s="173"/>
      <c r="F37" s="174"/>
      <c r="K37" s="94"/>
      <c r="L37" s="94"/>
      <c r="M37" s="94"/>
      <c r="N37" s="94"/>
      <c r="CF37" s="80"/>
      <c r="CG37" s="80"/>
      <c r="CH37" s="80"/>
      <c r="CI37" s="80"/>
      <c r="CJ37" s="80"/>
      <c r="CK37" s="80"/>
      <c r="CL37" s="80"/>
      <c r="CM37" s="80"/>
      <c r="CN37" s="80"/>
      <c r="DF37" s="92"/>
      <c r="DH37" s="83"/>
      <c r="DI37" s="87"/>
      <c r="DJ37" s="87"/>
      <c r="DK37" s="87"/>
      <c r="DL37" s="87"/>
      <c r="DM37" s="87"/>
      <c r="DN37" s="87"/>
      <c r="DO37" s="87"/>
      <c r="DP37" s="87"/>
      <c r="DQ37" s="87"/>
    </row>
    <row r="38" spans="1:125" ht="14.5">
      <c r="B38" s="237" t="s">
        <v>212</v>
      </c>
      <c r="C38" s="300"/>
      <c r="D38" s="300"/>
      <c r="E38" s="300"/>
      <c r="F38" s="175"/>
      <c r="K38" s="94"/>
      <c r="L38" s="94"/>
      <c r="M38" s="94"/>
      <c r="N38" s="94"/>
      <c r="CF38" s="80"/>
      <c r="CG38" s="80"/>
      <c r="CH38" s="80"/>
      <c r="CI38" s="80"/>
      <c r="CJ38" s="80"/>
      <c r="CK38" s="80"/>
      <c r="CL38" s="80"/>
      <c r="CM38" s="80"/>
      <c r="CN38" s="80"/>
      <c r="DF38" s="92"/>
      <c r="DH38" s="83"/>
      <c r="DI38" s="87"/>
      <c r="DJ38" s="87"/>
      <c r="DK38" s="87"/>
      <c r="DL38" s="87"/>
      <c r="DM38" s="87"/>
      <c r="DN38" s="87"/>
      <c r="DO38" s="87"/>
      <c r="DP38" s="87"/>
      <c r="DQ38" s="87"/>
    </row>
    <row r="39" spans="1:125" ht="15" thickBot="1">
      <c r="B39" s="177" t="s">
        <v>213</v>
      </c>
      <c r="C39" s="301"/>
      <c r="D39" s="301"/>
      <c r="E39" s="301"/>
      <c r="F39" s="302"/>
      <c r="H39" s="178"/>
      <c r="K39" s="94"/>
      <c r="L39" s="94"/>
      <c r="M39" s="94"/>
      <c r="N39" s="94"/>
      <c r="CF39" s="80"/>
      <c r="CG39" s="80"/>
      <c r="CH39" s="80"/>
      <c r="CI39" s="80"/>
      <c r="CJ39" s="80"/>
      <c r="CK39" s="80"/>
      <c r="CL39" s="80"/>
      <c r="CM39" s="80"/>
      <c r="CN39" s="80"/>
      <c r="DF39" s="92"/>
      <c r="DH39" s="83"/>
      <c r="DI39" s="87"/>
      <c r="DJ39" s="87"/>
      <c r="DK39" s="87"/>
      <c r="DL39" s="87"/>
      <c r="DM39" s="87"/>
      <c r="DN39" s="87"/>
      <c r="DO39" s="87"/>
      <c r="DP39" s="87"/>
      <c r="DQ39" s="87"/>
    </row>
    <row r="40" spans="1:125" ht="12.75" customHeight="1">
      <c r="B40" s="178"/>
      <c r="C40" s="178"/>
      <c r="D40" s="178"/>
      <c r="E40" s="178"/>
      <c r="F40" s="178"/>
      <c r="G40" s="178"/>
      <c r="I40" s="178"/>
      <c r="J40" s="178"/>
      <c r="K40" s="94"/>
      <c r="L40" s="94"/>
      <c r="M40" s="94"/>
      <c r="N40" s="94"/>
      <c r="O40" s="178"/>
      <c r="CO40" s="87"/>
      <c r="DO40" s="80"/>
      <c r="DP40" s="92"/>
      <c r="DQ40" s="80"/>
      <c r="DR40" s="83"/>
    </row>
    <row r="41" spans="1:125" ht="12.75" customHeight="1" thickBot="1">
      <c r="A41" s="87"/>
      <c r="B41" s="252" t="s">
        <v>214</v>
      </c>
      <c r="C41" s="178"/>
      <c r="D41" s="178"/>
      <c r="E41" s="178"/>
      <c r="F41" s="178"/>
      <c r="G41" s="178"/>
      <c r="H41" s="178"/>
      <c r="I41" s="178"/>
      <c r="J41" s="178"/>
      <c r="K41" s="178"/>
      <c r="L41" s="94"/>
      <c r="M41" s="94"/>
      <c r="N41" s="94"/>
      <c r="O41" s="192"/>
      <c r="P41" s="178"/>
      <c r="Q41" s="178"/>
      <c r="CM41" s="80"/>
      <c r="CN41" s="80"/>
      <c r="DM41" s="92"/>
      <c r="DO41" s="83"/>
      <c r="DP41" s="87"/>
      <c r="DQ41" s="87"/>
      <c r="DU41" s="188"/>
    </row>
    <row r="42" spans="1:125" ht="12.75" customHeight="1">
      <c r="A42" s="87"/>
      <c r="B42" s="605"/>
      <c r="C42" s="606"/>
      <c r="D42" s="606"/>
      <c r="E42" s="606"/>
      <c r="F42" s="607"/>
      <c r="G42" s="178"/>
      <c r="L42" s="94"/>
      <c r="M42" s="94"/>
      <c r="N42" s="94"/>
      <c r="O42" s="192"/>
      <c r="CN42" s="80"/>
      <c r="DN42" s="92"/>
      <c r="DO42" s="80"/>
      <c r="DP42" s="83"/>
      <c r="DQ42" s="87"/>
    </row>
    <row r="43" spans="1:125" ht="12.75" customHeight="1">
      <c r="A43" s="87"/>
      <c r="B43" s="608"/>
      <c r="C43" s="609"/>
      <c r="D43" s="609"/>
      <c r="E43" s="609"/>
      <c r="F43" s="610"/>
      <c r="G43" s="178"/>
      <c r="L43" s="94"/>
      <c r="M43" s="94"/>
      <c r="N43" s="94"/>
      <c r="O43" s="192"/>
      <c r="CN43" s="80"/>
      <c r="DN43" s="92"/>
      <c r="DO43" s="80"/>
      <c r="DP43" s="83"/>
      <c r="DQ43" s="87"/>
    </row>
    <row r="44" spans="1:125" ht="12.75" customHeight="1">
      <c r="A44" s="87"/>
      <c r="B44" s="611"/>
      <c r="C44" s="612"/>
      <c r="D44" s="612"/>
      <c r="E44" s="612"/>
      <c r="F44" s="613"/>
      <c r="G44" s="178"/>
      <c r="H44" s="178"/>
      <c r="I44" s="178"/>
      <c r="J44" s="178"/>
      <c r="L44" s="94"/>
      <c r="M44" s="94"/>
      <c r="N44" s="94"/>
      <c r="O44" s="192"/>
      <c r="P44" s="178"/>
      <c r="Q44" s="178"/>
      <c r="CM44" s="80"/>
      <c r="CN44" s="80"/>
      <c r="DM44" s="92"/>
      <c r="DO44" s="83"/>
      <c r="DP44" s="87"/>
      <c r="DQ44" s="87"/>
      <c r="DU44" s="188"/>
    </row>
    <row r="45" spans="1:125" ht="12.75" customHeight="1">
      <c r="A45" s="87"/>
      <c r="B45" s="297"/>
      <c r="C45" s="297"/>
      <c r="D45" s="297"/>
      <c r="E45" s="297"/>
      <c r="F45" s="297"/>
      <c r="G45" s="178"/>
      <c r="H45" s="178"/>
      <c r="I45" s="178"/>
      <c r="J45" s="178"/>
      <c r="L45" s="94"/>
      <c r="M45" s="94"/>
      <c r="N45" s="94"/>
      <c r="O45" s="192"/>
      <c r="P45" s="178"/>
      <c r="Q45" s="178"/>
      <c r="CM45" s="80"/>
      <c r="CN45" s="80"/>
      <c r="DM45" s="92"/>
      <c r="DO45" s="83"/>
      <c r="DP45" s="87"/>
      <c r="DQ45" s="87"/>
      <c r="DU45" s="188"/>
    </row>
    <row r="46" spans="1:125" ht="12.75" customHeight="1">
      <c r="B46" s="129" t="s">
        <v>215</v>
      </c>
      <c r="L46" s="616"/>
      <c r="M46" s="616"/>
      <c r="N46" s="616"/>
    </row>
    <row r="47" spans="1:125" s="117" customFormat="1" ht="12.75" customHeight="1">
      <c r="A47" s="163"/>
      <c r="B47" s="286"/>
      <c r="C47" s="287"/>
      <c r="D47" s="288"/>
      <c r="E47" s="288"/>
      <c r="F47" s="288"/>
      <c r="G47" s="288"/>
      <c r="H47" s="288"/>
      <c r="I47" s="289"/>
      <c r="J47" s="303"/>
      <c r="K47" s="304"/>
      <c r="L47" s="220" t="s">
        <v>216</v>
      </c>
      <c r="M47" s="221"/>
      <c r="N47" s="614" t="s">
        <v>217</v>
      </c>
      <c r="CJ47" s="269"/>
      <c r="CK47" s="269"/>
      <c r="CL47" s="269"/>
      <c r="CM47" s="269"/>
      <c r="CN47" s="269"/>
      <c r="CO47" s="269"/>
      <c r="CP47" s="269"/>
      <c r="CQ47" s="269"/>
      <c r="CR47" s="269"/>
      <c r="CS47" s="269"/>
      <c r="CT47" s="269"/>
      <c r="CU47" s="269"/>
      <c r="CV47" s="269"/>
      <c r="CW47" s="269"/>
      <c r="CX47" s="269"/>
      <c r="CY47" s="269"/>
      <c r="CZ47" s="269"/>
      <c r="DA47" s="269"/>
      <c r="DB47" s="269"/>
      <c r="DC47" s="269"/>
      <c r="DD47" s="269"/>
      <c r="DE47" s="269"/>
      <c r="DF47" s="269"/>
      <c r="DG47" s="269"/>
      <c r="DH47" s="269"/>
      <c r="DI47" s="269"/>
      <c r="DJ47" s="270"/>
      <c r="DK47" s="269"/>
      <c r="DL47" s="271"/>
    </row>
    <row r="48" spans="1:125" s="117" customFormat="1" ht="26.25" customHeight="1">
      <c r="A48" s="163"/>
      <c r="B48" s="290" t="s">
        <v>157</v>
      </c>
      <c r="C48" s="291" t="s">
        <v>158</v>
      </c>
      <c r="D48" s="292" t="s">
        <v>159</v>
      </c>
      <c r="E48" s="292" t="s">
        <v>160</v>
      </c>
      <c r="F48" s="292" t="s">
        <v>161</v>
      </c>
      <c r="G48" s="292" t="s">
        <v>162</v>
      </c>
      <c r="H48" s="292" t="s">
        <v>163</v>
      </c>
      <c r="I48" s="293" t="s">
        <v>164</v>
      </c>
      <c r="J48" s="294" t="s">
        <v>165</v>
      </c>
      <c r="K48" s="294" t="s">
        <v>218</v>
      </c>
      <c r="L48" s="299">
        <v>1</v>
      </c>
      <c r="M48" s="296">
        <v>2</v>
      </c>
      <c r="N48" s="615"/>
      <c r="CJ48" s="269"/>
      <c r="CK48" s="269"/>
      <c r="CL48" s="269"/>
      <c r="CM48" s="269"/>
      <c r="CN48" s="269"/>
      <c r="CO48" s="269"/>
      <c r="CP48" s="269"/>
      <c r="CQ48" s="269"/>
      <c r="CR48" s="269"/>
      <c r="CS48" s="269"/>
      <c r="CT48" s="269"/>
      <c r="CU48" s="269"/>
      <c r="CV48" s="269"/>
      <c r="CW48" s="269"/>
      <c r="CX48" s="269"/>
      <c r="CY48" s="269"/>
      <c r="CZ48" s="269"/>
      <c r="DA48" s="269"/>
      <c r="DB48" s="269"/>
      <c r="DC48" s="269"/>
      <c r="DD48" s="269"/>
      <c r="DE48" s="269"/>
      <c r="DF48" s="269"/>
      <c r="DG48" s="269"/>
      <c r="DH48" s="269"/>
      <c r="DI48" s="269"/>
      <c r="DJ48" s="270"/>
      <c r="DK48" s="269"/>
      <c r="DL48" s="271"/>
    </row>
    <row r="49" spans="2:122" ht="12" customHeight="1">
      <c r="B49" s="381"/>
      <c r="C49" s="478"/>
      <c r="D49" s="402"/>
      <c r="E49" s="402"/>
      <c r="F49" s="402"/>
      <c r="G49" s="487"/>
      <c r="H49" s="487"/>
      <c r="I49" s="492"/>
      <c r="J49" s="488"/>
      <c r="K49" s="494"/>
      <c r="L49" s="446"/>
      <c r="M49" s="446"/>
      <c r="N49" s="426"/>
      <c r="CJ49" s="80"/>
      <c r="CK49" s="80"/>
      <c r="CL49" s="80"/>
      <c r="CM49" s="80"/>
      <c r="CN49" s="80"/>
      <c r="DJ49" s="92"/>
      <c r="DL49" s="83"/>
      <c r="DM49" s="87"/>
      <c r="DN49" s="87"/>
      <c r="DO49" s="87"/>
      <c r="DP49" s="87"/>
      <c r="DQ49" s="87"/>
    </row>
    <row r="50" spans="2:122" ht="12" customHeight="1">
      <c r="B50" s="381"/>
      <c r="C50" s="478"/>
      <c r="D50" s="402"/>
      <c r="E50" s="402"/>
      <c r="F50" s="402"/>
      <c r="G50" s="487"/>
      <c r="H50" s="487"/>
      <c r="I50" s="492"/>
      <c r="J50" s="488"/>
      <c r="K50" s="494"/>
      <c r="L50" s="446"/>
      <c r="M50" s="446"/>
      <c r="N50" s="426"/>
      <c r="CJ50" s="80"/>
      <c r="CK50" s="80"/>
      <c r="CL50" s="80"/>
      <c r="CM50" s="80"/>
      <c r="CN50" s="80"/>
      <c r="DJ50" s="92"/>
      <c r="DL50" s="83"/>
      <c r="DM50" s="87"/>
      <c r="DN50" s="87"/>
      <c r="DO50" s="87"/>
      <c r="DP50" s="87"/>
      <c r="DQ50" s="87"/>
    </row>
    <row r="51" spans="2:122" ht="12" customHeight="1">
      <c r="B51" s="381"/>
      <c r="C51" s="478"/>
      <c r="D51" s="402"/>
      <c r="E51" s="402"/>
      <c r="F51" s="402"/>
      <c r="G51" s="487"/>
      <c r="H51" s="487"/>
      <c r="I51" s="492"/>
      <c r="J51" s="488"/>
      <c r="K51" s="494"/>
      <c r="L51" s="446"/>
      <c r="M51" s="446"/>
      <c r="N51" s="426"/>
      <c r="CJ51" s="80"/>
      <c r="CK51" s="80"/>
      <c r="CL51" s="80"/>
      <c r="CM51" s="80"/>
      <c r="CN51" s="80"/>
      <c r="DJ51" s="92"/>
      <c r="DL51" s="83"/>
      <c r="DM51" s="87"/>
      <c r="DN51" s="87"/>
      <c r="DO51" s="87"/>
      <c r="DP51" s="87"/>
      <c r="DQ51" s="87"/>
    </row>
    <row r="52" spans="2:122" ht="12.75" customHeight="1">
      <c r="B52" s="381"/>
      <c r="C52" s="139"/>
      <c r="D52" s="384"/>
      <c r="E52" s="384"/>
      <c r="F52" s="384"/>
      <c r="G52" s="382"/>
      <c r="H52" s="382"/>
      <c r="I52" s="124"/>
      <c r="J52" s="489"/>
      <c r="K52" s="385"/>
      <c r="L52" s="446"/>
      <c r="M52" s="446"/>
      <c r="N52" s="426"/>
      <c r="CJ52" s="80"/>
      <c r="CK52" s="80"/>
      <c r="CL52" s="80"/>
      <c r="CM52" s="80"/>
      <c r="CN52" s="80"/>
      <c r="DJ52" s="92"/>
      <c r="DL52" s="83"/>
      <c r="DM52" s="87"/>
      <c r="DN52" s="87"/>
      <c r="DO52" s="87"/>
      <c r="DP52" s="87"/>
      <c r="DQ52" s="87"/>
    </row>
    <row r="53" spans="2:122" ht="12.75" customHeight="1" thickBot="1">
      <c r="B53" s="447"/>
      <c r="C53" s="387"/>
      <c r="D53" s="414"/>
      <c r="E53" s="414"/>
      <c r="F53" s="414"/>
      <c r="G53" s="490"/>
      <c r="H53" s="490"/>
      <c r="I53" s="493"/>
      <c r="J53" s="491"/>
      <c r="K53" s="495"/>
      <c r="L53" s="448"/>
      <c r="M53" s="448"/>
      <c r="N53" s="427"/>
      <c r="CJ53" s="80"/>
      <c r="CK53" s="80"/>
      <c r="CL53" s="80"/>
      <c r="CM53" s="80"/>
      <c r="CN53" s="80"/>
      <c r="DJ53" s="92"/>
      <c r="DL53" s="83"/>
      <c r="DM53" s="87"/>
      <c r="DN53" s="87"/>
      <c r="DO53" s="87"/>
      <c r="DP53" s="87"/>
      <c r="DQ53" s="87"/>
    </row>
    <row r="54" spans="2:122" ht="12.75" customHeight="1">
      <c r="H54" s="86"/>
      <c r="I54" s="86"/>
      <c r="CN54" s="80"/>
      <c r="DN54" s="92"/>
      <c r="DO54" s="80"/>
      <c r="DP54" s="83"/>
      <c r="DQ54" s="87"/>
    </row>
    <row r="55" spans="2:122" ht="12.75" customHeight="1">
      <c r="P55" s="128"/>
      <c r="CO55" s="87"/>
      <c r="DO55" s="80"/>
      <c r="DP55" s="92"/>
      <c r="DQ55" s="80"/>
      <c r="DR55" s="83"/>
    </row>
    <row r="56" spans="2:122" ht="12.75" customHeight="1">
      <c r="F56" s="93"/>
      <c r="G56" s="130"/>
    </row>
  </sheetData>
  <mergeCells count="13">
    <mergeCell ref="E29:E30"/>
    <mergeCell ref="B42:F44"/>
    <mergeCell ref="B24:F26"/>
    <mergeCell ref="N47:N48"/>
    <mergeCell ref="L46:N46"/>
    <mergeCell ref="F29:F30"/>
    <mergeCell ref="G29:G30"/>
    <mergeCell ref="B29:D29"/>
    <mergeCell ref="C7:E7"/>
    <mergeCell ref="C8:E8"/>
    <mergeCell ref="C9:E9"/>
    <mergeCell ref="C10:E10"/>
    <mergeCell ref="C11:E11"/>
  </mergeCells>
  <phoneticPr fontId="34" type="noConversion"/>
  <conditionalFormatting sqref="B42">
    <cfRule type="containsBlanks" dxfId="11" priority="14">
      <formula>LEN(TRIM(B42))=0</formula>
    </cfRule>
  </conditionalFormatting>
  <conditionalFormatting sqref="B16:C18">
    <cfRule type="containsBlanks" dxfId="10" priority="22">
      <formula>LEN(TRIM(B16))=0</formula>
    </cfRule>
  </conditionalFormatting>
  <conditionalFormatting sqref="B24:F26">
    <cfRule type="containsBlanks" dxfId="9" priority="1">
      <formula>LEN(TRIM(B24))=0</formula>
    </cfRule>
  </conditionalFormatting>
  <conditionalFormatting sqref="B31:F33">
    <cfRule type="containsBlanks" dxfId="8" priority="3">
      <formula>LEN(TRIM(B31))=0</formula>
    </cfRule>
  </conditionalFormatting>
  <conditionalFormatting sqref="B49:M53">
    <cfRule type="containsBlanks" dxfId="7" priority="12">
      <formula>LEN(TRIM(B49))=0</formula>
    </cfRule>
  </conditionalFormatting>
  <conditionalFormatting sqref="D16 G16 H16:H18">
    <cfRule type="containsBlanks" dxfId="6" priority="21">
      <formula>LEN(TRIM(D16))=0</formula>
    </cfRule>
  </conditionalFormatting>
  <conditionalFormatting sqref="D17:D18">
    <cfRule type="containsBlanks" dxfId="5" priority="5">
      <formula>LEN(TRIM(D17))=0</formula>
    </cfRule>
  </conditionalFormatting>
  <conditionalFormatting sqref="F16:F18">
    <cfRule type="containsBlanks" dxfId="4" priority="2">
      <formula>LEN(TRIM(F16))=0</formula>
    </cfRule>
  </conditionalFormatting>
  <conditionalFormatting sqref="F8:H11">
    <cfRule type="containsBlanks" dxfId="3" priority="11">
      <formula>LEN(TRIM(F8))=0</formula>
    </cfRule>
  </conditionalFormatting>
  <conditionalFormatting sqref="M49 L49:L53">
    <cfRule type="expression" dxfId="2" priority="7">
      <formula>B49=2</formula>
    </cfRule>
  </conditionalFormatting>
  <conditionalFormatting sqref="M49:M53">
    <cfRule type="expression" dxfId="1" priority="6">
      <formula>B49=1</formula>
    </cfRule>
  </conditionalFormatting>
  <dataValidations disablePrompts="1" count="4">
    <dataValidation type="list" allowBlank="1" showInputMessage="1" sqref="L49:M53" xr:uid="{4891CD71-9FD8-4350-A7B4-1D3756B6FFB7}">
      <formula1>"Y,N"</formula1>
    </dataValidation>
    <dataValidation type="list" allowBlank="1" showInputMessage="1" sqref="H8:H11" xr:uid="{C7EE02A1-5B96-4701-93BA-771309AA3D91}">
      <formula1>"是,不适用"</formula1>
    </dataValidation>
    <dataValidation type="list" allowBlank="1" showInputMessage="1" sqref="G8:G11" xr:uid="{E6E4DF4F-CD5A-4C98-9AAF-CF7005C82AD9}">
      <formula1>"是,否"</formula1>
    </dataValidation>
    <dataValidation type="list" allowBlank="1" showInputMessage="1" showErrorMessage="1" sqref="B49:B53" xr:uid="{8494355C-7CAC-4BA4-A7D8-8C5DC22855BC}">
      <formula1>"1,2"</formula1>
    </dataValidation>
  </dataValidations>
  <hyperlinks>
    <hyperlink ref="I2" location="汇总!A1" display="返回汇总页" xr:uid="{A9CBA6FD-80FD-4D21-8A29-9A2DD0ED9BC3}"/>
  </hyperlinks>
  <pageMargins left="0.74791660000000004" right="0.74791660000000004" top="0.98402780000000001" bottom="0.98402780000000001" header="0.51180550000000002" footer="0.51180550000000002"/>
  <pageSetup paperSize="9" orientation="landscape" errors="blank"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AF4B-EB67-4AA9-9E9B-BDADC0648FEF}">
  <dimension ref="A1:M22"/>
  <sheetViews>
    <sheetView showGridLines="0" zoomScale="70" zoomScaleNormal="70" workbookViewId="0">
      <selection activeCell="H23" sqref="H23"/>
    </sheetView>
  </sheetViews>
  <sheetFormatPr defaultColWidth="8.83203125" defaultRowHeight="14.5"/>
  <cols>
    <col min="1" max="1" width="2.25" style="312" customWidth="1"/>
    <col min="2" max="2" width="2.58203125" style="312" customWidth="1"/>
    <col min="3" max="3" width="50.58203125" style="312" customWidth="1"/>
    <col min="4" max="9" width="20.75" style="312" customWidth="1"/>
    <col min="10" max="10" width="2.58203125" style="312" customWidth="1"/>
    <col min="11" max="11" width="1.58203125" style="312" customWidth="1"/>
    <col min="12" max="12" width="8.83203125" style="312"/>
    <col min="13" max="13" width="11" style="312" customWidth="1"/>
    <col min="14" max="16384" width="8.83203125" style="312"/>
  </cols>
  <sheetData>
    <row r="1" spans="1:13">
      <c r="K1" s="306"/>
    </row>
    <row r="2" spans="1:13">
      <c r="I2" s="307"/>
      <c r="K2" s="306"/>
    </row>
    <row r="3" spans="1:13" s="313" customFormat="1" ht="30" customHeight="1">
      <c r="B3" s="308"/>
      <c r="C3" s="314" t="s">
        <v>219</v>
      </c>
      <c r="D3" s="315"/>
      <c r="E3" s="315"/>
      <c r="F3" s="315"/>
      <c r="G3" s="315"/>
      <c r="H3" s="315"/>
      <c r="I3" s="316"/>
      <c r="J3" s="308"/>
      <c r="K3" s="306"/>
      <c r="L3" s="308"/>
      <c r="M3" s="308"/>
    </row>
    <row r="4" spans="1:13">
      <c r="B4" s="309"/>
      <c r="C4" s="310"/>
      <c r="D4" s="310"/>
      <c r="E4" s="309"/>
      <c r="F4" s="310"/>
      <c r="G4" s="311"/>
      <c r="H4" s="311"/>
      <c r="I4" s="311"/>
      <c r="J4" s="309"/>
      <c r="K4" s="306"/>
      <c r="L4" s="309"/>
      <c r="M4" s="249" t="s">
        <v>220</v>
      </c>
    </row>
    <row r="5" spans="1:13">
      <c r="B5" s="309"/>
      <c r="C5" s="310"/>
      <c r="D5" s="310"/>
      <c r="E5" s="309"/>
      <c r="F5" s="310"/>
      <c r="G5" s="311"/>
      <c r="H5" s="311"/>
      <c r="I5" s="311"/>
      <c r="J5" s="309"/>
      <c r="K5" s="306"/>
      <c r="L5" s="309"/>
      <c r="M5" s="309"/>
    </row>
    <row r="6" spans="1:13">
      <c r="B6" s="309"/>
      <c r="C6" s="428"/>
      <c r="D6" s="429"/>
      <c r="E6" s="430"/>
      <c r="F6" s="429"/>
      <c r="G6" s="431"/>
      <c r="H6" s="431"/>
      <c r="I6" s="432"/>
      <c r="J6" s="309"/>
      <c r="K6" s="306"/>
      <c r="L6" s="309"/>
      <c r="M6" s="309"/>
    </row>
    <row r="7" spans="1:13">
      <c r="B7" s="309"/>
      <c r="C7" s="433"/>
      <c r="D7" s="434"/>
      <c r="E7" s="435"/>
      <c r="F7" s="434"/>
      <c r="G7" s="436"/>
      <c r="H7" s="436"/>
      <c r="I7" s="437"/>
      <c r="J7" s="309"/>
      <c r="K7" s="306"/>
      <c r="L7" s="309"/>
      <c r="M7" s="309"/>
    </row>
    <row r="8" spans="1:13">
      <c r="B8" s="309"/>
      <c r="C8" s="438"/>
      <c r="D8" s="434"/>
      <c r="E8" s="435"/>
      <c r="F8" s="434"/>
      <c r="G8" s="436"/>
      <c r="H8" s="436"/>
      <c r="I8" s="437"/>
      <c r="J8" s="309"/>
      <c r="K8" s="306"/>
      <c r="L8" s="309"/>
      <c r="M8" s="309"/>
    </row>
    <row r="9" spans="1:13">
      <c r="B9" s="309"/>
      <c r="C9" s="433"/>
      <c r="D9" s="434"/>
      <c r="E9" s="435"/>
      <c r="F9" s="434"/>
      <c r="G9" s="436"/>
      <c r="H9" s="436"/>
      <c r="I9" s="437"/>
      <c r="J9" s="309"/>
      <c r="K9" s="306"/>
      <c r="L9" s="309"/>
      <c r="M9" s="309"/>
    </row>
    <row r="10" spans="1:13">
      <c r="B10" s="309"/>
      <c r="C10" s="433"/>
      <c r="D10" s="434"/>
      <c r="E10" s="435"/>
      <c r="F10" s="434"/>
      <c r="G10" s="436"/>
      <c r="H10" s="436"/>
      <c r="I10" s="437"/>
      <c r="J10" s="309"/>
      <c r="K10" s="306"/>
      <c r="L10" s="309"/>
      <c r="M10" s="309"/>
    </row>
    <row r="11" spans="1:13">
      <c r="B11" s="309"/>
      <c r="C11" s="439"/>
      <c r="D11" s="435"/>
      <c r="E11" s="435"/>
      <c r="F11" s="435"/>
      <c r="G11" s="435"/>
      <c r="H11" s="435"/>
      <c r="I11" s="437"/>
      <c r="J11" s="309"/>
      <c r="K11" s="306"/>
      <c r="L11" s="309"/>
      <c r="M11" s="309"/>
    </row>
    <row r="12" spans="1:13">
      <c r="B12" s="309"/>
      <c r="C12" s="440"/>
      <c r="D12" s="441"/>
      <c r="E12" s="441"/>
      <c r="F12" s="441"/>
      <c r="G12" s="441"/>
      <c r="H12" s="441"/>
      <c r="I12" s="442"/>
      <c r="J12" s="309"/>
      <c r="K12" s="306"/>
      <c r="L12" s="309"/>
      <c r="M12" s="309"/>
    </row>
    <row r="13" spans="1:13">
      <c r="B13" s="309"/>
      <c r="C13" s="443"/>
      <c r="D13" s="444"/>
      <c r="E13" s="444"/>
      <c r="F13" s="444"/>
      <c r="G13" s="444"/>
      <c r="H13" s="444"/>
      <c r="I13" s="445"/>
      <c r="J13" s="309"/>
      <c r="K13" s="306"/>
      <c r="L13" s="309"/>
      <c r="M13" s="309"/>
    </row>
    <row r="14" spans="1:13" ht="15" customHeight="1">
      <c r="B14" s="309"/>
      <c r="C14" s="309"/>
      <c r="D14" s="309"/>
      <c r="E14" s="309"/>
      <c r="F14" s="309"/>
      <c r="G14" s="309"/>
      <c r="H14" s="309"/>
      <c r="I14" s="309"/>
      <c r="J14" s="309"/>
      <c r="K14" s="306"/>
      <c r="L14" s="309"/>
      <c r="M14" s="309"/>
    </row>
    <row r="15" spans="1:13">
      <c r="A15" s="306"/>
      <c r="B15" s="306"/>
      <c r="C15" s="306"/>
      <c r="D15" s="306"/>
      <c r="E15" s="306"/>
      <c r="F15" s="306"/>
      <c r="G15" s="306"/>
      <c r="H15" s="306"/>
      <c r="I15" s="306"/>
      <c r="J15" s="306"/>
      <c r="K15" s="306"/>
      <c r="L15" s="309"/>
      <c r="M15" s="309"/>
    </row>
    <row r="16" spans="1:13">
      <c r="B16" s="309"/>
      <c r="C16" s="309"/>
      <c r="D16" s="309"/>
      <c r="E16" s="309"/>
      <c r="F16" s="309"/>
      <c r="G16" s="309"/>
      <c r="H16" s="309"/>
      <c r="I16" s="309"/>
      <c r="J16" s="309"/>
      <c r="K16" s="309"/>
      <c r="L16" s="309"/>
      <c r="M16" s="309"/>
    </row>
    <row r="17" spans="2:13">
      <c r="B17" s="309"/>
      <c r="C17" s="309"/>
      <c r="D17" s="309"/>
      <c r="E17" s="309"/>
      <c r="F17" s="309"/>
      <c r="G17" s="309"/>
      <c r="H17" s="309"/>
      <c r="I17" s="309"/>
      <c r="J17" s="309"/>
      <c r="K17" s="309"/>
      <c r="L17" s="309"/>
      <c r="M17" s="309"/>
    </row>
    <row r="18" spans="2:13">
      <c r="B18" s="309"/>
      <c r="C18" s="309"/>
      <c r="D18" s="309"/>
      <c r="E18" s="309"/>
      <c r="F18" s="309"/>
      <c r="G18" s="309"/>
      <c r="H18" s="309"/>
      <c r="I18" s="309"/>
      <c r="J18" s="309"/>
      <c r="K18" s="309"/>
      <c r="L18" s="309"/>
      <c r="M18" s="309"/>
    </row>
    <row r="19" spans="2:13">
      <c r="B19" s="309"/>
      <c r="C19" s="309"/>
      <c r="D19" s="309"/>
      <c r="E19" s="309"/>
      <c r="F19" s="309"/>
      <c r="G19" s="309"/>
      <c r="H19" s="309"/>
      <c r="I19" s="309"/>
      <c r="J19" s="309"/>
      <c r="K19" s="309"/>
      <c r="L19" s="309"/>
      <c r="M19" s="309"/>
    </row>
    <row r="20" spans="2:13">
      <c r="B20" s="309"/>
      <c r="C20" s="309"/>
      <c r="D20" s="309"/>
      <c r="E20" s="309"/>
      <c r="F20" s="309"/>
      <c r="G20" s="309"/>
      <c r="H20" s="309"/>
      <c r="I20" s="309"/>
      <c r="J20" s="309"/>
      <c r="K20" s="309"/>
      <c r="L20" s="309"/>
      <c r="M20" s="309"/>
    </row>
    <row r="21" spans="2:13">
      <c r="B21" s="309"/>
      <c r="C21" s="309"/>
      <c r="D21" s="309"/>
      <c r="E21" s="309"/>
      <c r="F21" s="309"/>
      <c r="G21" s="309"/>
      <c r="H21" s="309"/>
      <c r="I21" s="309"/>
      <c r="J21" s="309"/>
      <c r="K21" s="309"/>
      <c r="L21" s="309"/>
      <c r="M21" s="309"/>
    </row>
    <row r="22" spans="2:13">
      <c r="B22" s="309"/>
      <c r="C22" s="309"/>
      <c r="D22" s="309"/>
      <c r="E22" s="309"/>
      <c r="F22" s="309"/>
      <c r="G22" s="309"/>
      <c r="H22" s="309"/>
      <c r="I22" s="309"/>
      <c r="J22" s="309"/>
      <c r="K22" s="309"/>
      <c r="L22" s="309"/>
      <c r="M22" s="309"/>
    </row>
  </sheetData>
  <phoneticPr fontId="34" type="noConversion"/>
  <conditionalFormatting sqref="C6:I13">
    <cfRule type="containsBlanks" dxfId="0" priority="1">
      <formula>LEN(TRIM(C6))=0</formula>
    </cfRule>
  </conditionalFormatting>
  <hyperlinks>
    <hyperlink ref="M4" location="汇总!A1" display="返回汇总页" xr:uid="{0B2D34BD-3D25-4EDA-B99E-B3A61391B2BB}"/>
  </hyperlinks>
  <pageMargins left="0.7" right="0.7" top="0.75" bottom="0.75" header="0.3" footer="0.3"/>
  <pageSetup paperSize="9" orientation="portrait" horizontalDpi="300" r:id="rId1"/>
  <headerFooter>
    <oddFooter>&amp;LPAL SWP Accrued Liabilities
(24 June 2025)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3"/>
  <dimension ref="A1:DV92"/>
  <sheetViews>
    <sheetView workbookViewId="0"/>
  </sheetViews>
  <sheetFormatPr defaultColWidth="9" defaultRowHeight="14"/>
  <cols>
    <col min="1" max="1" width="8.203125E-2" customWidth="1"/>
  </cols>
  <sheetData>
    <row r="1" spans="1:126">
      <c r="A1" t="s">
        <v>221</v>
      </c>
    </row>
    <row r="6" spans="1:126">
      <c r="E6" t="s">
        <v>222</v>
      </c>
      <c r="Y6" t="s">
        <v>223</v>
      </c>
      <c r="Z6" t="s">
        <v>224</v>
      </c>
      <c r="AA6" t="s">
        <v>225</v>
      </c>
      <c r="AB6" t="s">
        <v>226</v>
      </c>
      <c r="AC6" t="s">
        <v>227</v>
      </c>
      <c r="AD6" t="s">
        <v>228</v>
      </c>
      <c r="AE6" t="s">
        <v>229</v>
      </c>
      <c r="AF6" t="s">
        <v>230</v>
      </c>
      <c r="AG6" t="s">
        <v>231</v>
      </c>
      <c r="AH6" t="s">
        <v>232</v>
      </c>
      <c r="AI6" t="s">
        <v>233</v>
      </c>
      <c r="AJ6" t="s">
        <v>234</v>
      </c>
      <c r="AK6" t="s">
        <v>235</v>
      </c>
      <c r="AL6" t="s">
        <v>236</v>
      </c>
      <c r="AM6" t="s">
        <v>237</v>
      </c>
      <c r="AN6" t="s">
        <v>238</v>
      </c>
      <c r="AO6" t="s">
        <v>239</v>
      </c>
      <c r="AP6" t="s">
        <v>240</v>
      </c>
      <c r="AQ6" t="s">
        <v>241</v>
      </c>
      <c r="AR6" t="s">
        <v>242</v>
      </c>
      <c r="AS6" t="s">
        <v>243</v>
      </c>
      <c r="AT6" t="s">
        <v>244</v>
      </c>
      <c r="AU6" t="s">
        <v>245</v>
      </c>
      <c r="AV6" t="s">
        <v>246</v>
      </c>
      <c r="AW6" t="s">
        <v>247</v>
      </c>
      <c r="AX6" t="s">
        <v>248</v>
      </c>
      <c r="AY6" t="s">
        <v>249</v>
      </c>
      <c r="AZ6" t="s">
        <v>250</v>
      </c>
      <c r="BA6" t="s">
        <v>251</v>
      </c>
      <c r="BB6" t="s">
        <v>252</v>
      </c>
      <c r="BC6" t="s">
        <v>253</v>
      </c>
      <c r="BD6" t="s">
        <v>254</v>
      </c>
      <c r="BE6" t="s">
        <v>255</v>
      </c>
      <c r="BF6" t="s">
        <v>256</v>
      </c>
      <c r="BG6" t="s">
        <v>257</v>
      </c>
      <c r="BH6" t="s">
        <v>258</v>
      </c>
      <c r="BI6" t="s">
        <v>259</v>
      </c>
      <c r="BJ6" t="s">
        <v>260</v>
      </c>
      <c r="BK6" t="s">
        <v>261</v>
      </c>
      <c r="BL6" t="s">
        <v>262</v>
      </c>
      <c r="BM6" t="s">
        <v>263</v>
      </c>
      <c r="BN6" t="s">
        <v>264</v>
      </c>
      <c r="BO6" t="s">
        <v>265</v>
      </c>
      <c r="BP6" t="s">
        <v>266</v>
      </c>
      <c r="BQ6" t="s">
        <v>267</v>
      </c>
      <c r="BR6" t="s">
        <v>268</v>
      </c>
      <c r="BS6" t="s">
        <v>269</v>
      </c>
      <c r="BT6" t="s">
        <v>270</v>
      </c>
      <c r="BU6" t="s">
        <v>271</v>
      </c>
      <c r="BV6" t="s">
        <v>272</v>
      </c>
      <c r="BW6" t="s">
        <v>273</v>
      </c>
      <c r="BX6" t="s">
        <v>274</v>
      </c>
      <c r="BY6" t="s">
        <v>275</v>
      </c>
      <c r="BZ6" t="s">
        <v>276</v>
      </c>
      <c r="CA6" t="s">
        <v>277</v>
      </c>
      <c r="CB6" t="s">
        <v>278</v>
      </c>
      <c r="CC6" t="s">
        <v>279</v>
      </c>
      <c r="CD6" t="s">
        <v>280</v>
      </c>
      <c r="CE6" t="s">
        <v>281</v>
      </c>
      <c r="CF6" t="s">
        <v>282</v>
      </c>
      <c r="CG6" t="s">
        <v>283</v>
      </c>
      <c r="CH6" t="s">
        <v>284</v>
      </c>
      <c r="CI6" t="s">
        <v>285</v>
      </c>
      <c r="CJ6" t="s">
        <v>286</v>
      </c>
      <c r="CK6" t="s">
        <v>287</v>
      </c>
      <c r="CL6" t="s">
        <v>288</v>
      </c>
      <c r="CM6" t="s">
        <v>289</v>
      </c>
      <c r="CN6" t="s">
        <v>290</v>
      </c>
      <c r="CO6" t="s">
        <v>291</v>
      </c>
      <c r="CP6" t="s">
        <v>292</v>
      </c>
      <c r="CQ6" t="s">
        <v>293</v>
      </c>
      <c r="CR6" t="s">
        <v>294</v>
      </c>
      <c r="CS6" t="s">
        <v>295</v>
      </c>
      <c r="CT6" t="s">
        <v>296</v>
      </c>
      <c r="CU6" t="s">
        <v>297</v>
      </c>
      <c r="CV6" t="s">
        <v>298</v>
      </c>
      <c r="CW6" t="s">
        <v>299</v>
      </c>
      <c r="CX6" t="s">
        <v>300</v>
      </c>
      <c r="CY6" t="s">
        <v>301</v>
      </c>
      <c r="CZ6" t="s">
        <v>302</v>
      </c>
      <c r="DA6" t="s">
        <v>303</v>
      </c>
      <c r="DB6" t="s">
        <v>304</v>
      </c>
      <c r="DC6" t="s">
        <v>305</v>
      </c>
      <c r="DD6" t="s">
        <v>306</v>
      </c>
      <c r="DE6" t="s">
        <v>307</v>
      </c>
      <c r="DF6" t="s">
        <v>308</v>
      </c>
      <c r="DG6" t="s">
        <v>309</v>
      </c>
      <c r="DH6" t="s">
        <v>310</v>
      </c>
      <c r="DI6" t="s">
        <v>311</v>
      </c>
      <c r="DJ6" t="s">
        <v>312</v>
      </c>
      <c r="DK6" t="s">
        <v>313</v>
      </c>
      <c r="DL6" t="s">
        <v>314</v>
      </c>
      <c r="DM6" t="s">
        <v>315</v>
      </c>
      <c r="DN6" t="s">
        <v>316</v>
      </c>
      <c r="DO6" t="s">
        <v>317</v>
      </c>
      <c r="DP6" t="s">
        <v>318</v>
      </c>
      <c r="DQ6" t="s">
        <v>319</v>
      </c>
      <c r="DR6" t="s">
        <v>320</v>
      </c>
      <c r="DS6" t="s">
        <v>321</v>
      </c>
      <c r="DT6" t="s">
        <v>322</v>
      </c>
      <c r="DU6" t="s">
        <v>323</v>
      </c>
      <c r="DV6" t="s">
        <v>324</v>
      </c>
    </row>
    <row r="10" spans="1:126">
      <c r="F10" t="e">
        <f>#REF!</f>
        <v>#REF!</v>
      </c>
      <c r="G10" t="s">
        <v>325</v>
      </c>
    </row>
    <row r="11" spans="1:126">
      <c r="A11" s="1">
        <v>92</v>
      </c>
      <c r="F11" t="e">
        <f>#REF!</f>
        <v>#REF!</v>
      </c>
      <c r="G11" t="s">
        <v>326</v>
      </c>
    </row>
    <row r="12" spans="1:126">
      <c r="F12" t="e">
        <f>#REF!</f>
        <v>#REF!</v>
      </c>
      <c r="G12" t="s">
        <v>327</v>
      </c>
    </row>
    <row r="13" spans="1:126">
      <c r="F13" t="e">
        <f>#REF!</f>
        <v>#REF!</v>
      </c>
      <c r="G13" t="s">
        <v>328</v>
      </c>
    </row>
    <row r="14" spans="1:126">
      <c r="F14" t="e">
        <f>#REF!</f>
        <v>#REF!</v>
      </c>
      <c r="G14" t="s">
        <v>329</v>
      </c>
    </row>
    <row r="15" spans="1:126">
      <c r="A15" s="1">
        <v>30</v>
      </c>
      <c r="F15" t="e">
        <f>#REF!</f>
        <v>#REF!</v>
      </c>
      <c r="G15" t="s">
        <v>330</v>
      </c>
      <c r="R15" t="str">
        <f>汇总!A25</f>
        <v>P1</v>
      </c>
      <c r="S15" t="s">
        <v>331</v>
      </c>
    </row>
    <row r="16" spans="1:126">
      <c r="F16" t="e">
        <f>#REF!</f>
        <v>#REF!</v>
      </c>
      <c r="G16" t="s">
        <v>332</v>
      </c>
      <c r="R16" t="e">
        <f>汇总!#REF!</f>
        <v>#REF!</v>
      </c>
      <c r="S16" t="s">
        <v>333</v>
      </c>
    </row>
    <row r="17" spans="6:19">
      <c r="F17" t="e">
        <f>#REF!</f>
        <v>#REF!</v>
      </c>
      <c r="G17" t="s">
        <v>334</v>
      </c>
      <c r="R17">
        <f>汇总!A32</f>
        <v>0</v>
      </c>
      <c r="S17" t="s">
        <v>335</v>
      </c>
    </row>
    <row r="18" spans="6:19">
      <c r="F18" t="e">
        <f>#REF!</f>
        <v>#REF!</v>
      </c>
      <c r="G18" t="s">
        <v>336</v>
      </c>
      <c r="R18" t="e">
        <f>汇总!#REF!</f>
        <v>#REF!</v>
      </c>
      <c r="S18" t="s">
        <v>337</v>
      </c>
    </row>
    <row r="19" spans="6:19">
      <c r="F19" t="e">
        <f>#REF!</f>
        <v>#REF!</v>
      </c>
      <c r="G19" t="s">
        <v>338</v>
      </c>
      <c r="R19" t="e">
        <f>'M.01 银承BKD'!#REF!</f>
        <v>#REF!</v>
      </c>
      <c r="S19" t="s">
        <v>339</v>
      </c>
    </row>
    <row r="20" spans="6:19">
      <c r="F20" t="e">
        <f>#REF!</f>
        <v>#REF!</v>
      </c>
      <c r="G20" t="s">
        <v>340</v>
      </c>
      <c r="R20" t="e">
        <f>'M.01 银承BKD'!#REF!</f>
        <v>#REF!</v>
      </c>
      <c r="S20" t="s">
        <v>341</v>
      </c>
    </row>
    <row r="21" spans="6:19">
      <c r="F21" t="e">
        <f>#REF!</f>
        <v>#REF!</v>
      </c>
      <c r="G21" t="s">
        <v>342</v>
      </c>
      <c r="R21" t="e">
        <f>#REF!</f>
        <v>#REF!</v>
      </c>
      <c r="S21" t="s">
        <v>343</v>
      </c>
    </row>
    <row r="22" spans="6:19">
      <c r="F22" t="e">
        <f>#REF!</f>
        <v>#REF!</v>
      </c>
      <c r="G22" t="s">
        <v>344</v>
      </c>
      <c r="R22" t="e">
        <f>#REF!</f>
        <v>#REF!</v>
      </c>
      <c r="S22" t="s">
        <v>345</v>
      </c>
    </row>
    <row r="23" spans="6:19">
      <c r="F23" t="e">
        <f>#REF!</f>
        <v>#REF!</v>
      </c>
      <c r="G23" t="s">
        <v>346</v>
      </c>
      <c r="R23" t="e">
        <f>#REF!</f>
        <v>#REF!</v>
      </c>
      <c r="S23" t="s">
        <v>347</v>
      </c>
    </row>
    <row r="24" spans="6:19">
      <c r="F24" t="e">
        <f>#REF!</f>
        <v>#REF!</v>
      </c>
      <c r="G24" t="s">
        <v>348</v>
      </c>
      <c r="R24" t="e">
        <f>#REF!</f>
        <v>#REF!</v>
      </c>
      <c r="S24" t="s">
        <v>349</v>
      </c>
    </row>
    <row r="25" spans="6:19">
      <c r="F25" t="e">
        <f>#REF!</f>
        <v>#REF!</v>
      </c>
      <c r="G25" t="s">
        <v>350</v>
      </c>
      <c r="R25" t="str">
        <f>汇总!A25</f>
        <v>P1</v>
      </c>
      <c r="S25" t="s">
        <v>351</v>
      </c>
    </row>
    <row r="26" spans="6:19">
      <c r="F26" t="e">
        <f>#REF!</f>
        <v>#REF!</v>
      </c>
      <c r="G26" t="s">
        <v>352</v>
      </c>
      <c r="R26" t="e">
        <f>汇总!#REF!</f>
        <v>#REF!</v>
      </c>
      <c r="S26" t="s">
        <v>353</v>
      </c>
    </row>
    <row r="27" spans="6:19">
      <c r="F27" t="e">
        <f>#REF!</f>
        <v>#REF!</v>
      </c>
      <c r="G27" t="s">
        <v>354</v>
      </c>
      <c r="R27" t="e">
        <f>'M.01 银承BKD'!#REF!</f>
        <v>#REF!</v>
      </c>
      <c r="S27" t="s">
        <v>355</v>
      </c>
    </row>
    <row r="28" spans="6:19">
      <c r="F28" t="e">
        <f>#REF!</f>
        <v>#REF!</v>
      </c>
      <c r="G28" t="s">
        <v>356</v>
      </c>
      <c r="R28" t="e">
        <f>'M.01 银承BKD'!#REF!</f>
        <v>#REF!</v>
      </c>
      <c r="S28" t="s">
        <v>357</v>
      </c>
    </row>
    <row r="29" spans="6:19">
      <c r="F29" t="e">
        <f>#REF!</f>
        <v>#REF!</v>
      </c>
      <c r="G29" t="s">
        <v>358</v>
      </c>
      <c r="R29" t="e">
        <f>'M.02 商承BKD'!#REF!</f>
        <v>#REF!</v>
      </c>
      <c r="S29" t="s">
        <v>359</v>
      </c>
    </row>
    <row r="30" spans="6:19">
      <c r="F30" t="e">
        <f>#REF!</f>
        <v>#REF!</v>
      </c>
      <c r="G30" t="s">
        <v>360</v>
      </c>
      <c r="R30" t="e">
        <f>'M.02 商承BKD'!#REF!</f>
        <v>#REF!</v>
      </c>
      <c r="S30" t="s">
        <v>361</v>
      </c>
    </row>
    <row r="31" spans="6:19">
      <c r="F31" t="e">
        <f>#REF!</f>
        <v>#REF!</v>
      </c>
      <c r="G31" t="s">
        <v>362</v>
      </c>
    </row>
    <row r="32" spans="6:19">
      <c r="F32" t="e">
        <f>#REF!</f>
        <v>#REF!</v>
      </c>
      <c r="G32" t="s">
        <v>363</v>
      </c>
    </row>
    <row r="33" spans="6:7">
      <c r="F33" t="e">
        <f>#REF!</f>
        <v>#REF!</v>
      </c>
      <c r="G33" t="s">
        <v>364</v>
      </c>
    </row>
    <row r="34" spans="6:7">
      <c r="F34" t="e">
        <f>#REF!</f>
        <v>#REF!</v>
      </c>
      <c r="G34" t="s">
        <v>365</v>
      </c>
    </row>
    <row r="35" spans="6:7">
      <c r="F35" t="e">
        <f>#REF!</f>
        <v>#REF!</v>
      </c>
      <c r="G35" t="s">
        <v>366</v>
      </c>
    </row>
    <row r="36" spans="6:7">
      <c r="F36" t="e">
        <f>#REF!</f>
        <v>#REF!</v>
      </c>
      <c r="G36" t="s">
        <v>367</v>
      </c>
    </row>
    <row r="37" spans="6:7">
      <c r="F37" t="e">
        <f>#REF!</f>
        <v>#REF!</v>
      </c>
      <c r="G37" t="s">
        <v>368</v>
      </c>
    </row>
    <row r="38" spans="6:7">
      <c r="F38" t="e">
        <f>#REF!</f>
        <v>#REF!</v>
      </c>
      <c r="G38" t="s">
        <v>369</v>
      </c>
    </row>
    <row r="39" spans="6:7">
      <c r="F39" t="e">
        <f>#REF!</f>
        <v>#REF!</v>
      </c>
      <c r="G39" t="s">
        <v>370</v>
      </c>
    </row>
    <row r="40" spans="6:7">
      <c r="F40" t="e">
        <f>#REF!</f>
        <v>#REF!</v>
      </c>
      <c r="G40" t="s">
        <v>371</v>
      </c>
    </row>
    <row r="41" spans="6:7">
      <c r="F41" t="e">
        <f>#REF!</f>
        <v>#REF!</v>
      </c>
      <c r="G41" t="s">
        <v>372</v>
      </c>
    </row>
    <row r="42" spans="6:7">
      <c r="F42" t="e">
        <f>#REF!</f>
        <v>#REF!</v>
      </c>
      <c r="G42" t="s">
        <v>373</v>
      </c>
    </row>
    <row r="43" spans="6:7">
      <c r="F43" t="e">
        <f>#REF!</f>
        <v>#REF!</v>
      </c>
      <c r="G43" t="s">
        <v>374</v>
      </c>
    </row>
    <row r="44" spans="6:7">
      <c r="F44" t="e">
        <f>'M.01 银承BKD'!#REF!</f>
        <v>#REF!</v>
      </c>
      <c r="G44" t="s">
        <v>375</v>
      </c>
    </row>
    <row r="45" spans="6:7">
      <c r="F45" t="e">
        <f>'M.01 银承BKD'!#REF!</f>
        <v>#REF!</v>
      </c>
      <c r="G45" t="s">
        <v>376</v>
      </c>
    </row>
    <row r="46" spans="6:7">
      <c r="F46" t="e">
        <f>'M.01 银承BKD'!#REF!</f>
        <v>#REF!</v>
      </c>
      <c r="G46" t="s">
        <v>377</v>
      </c>
    </row>
    <row r="47" spans="6:7">
      <c r="F47" t="e">
        <f>'M.01 银承BKD'!#REF!</f>
        <v>#REF!</v>
      </c>
      <c r="G47" t="s">
        <v>378</v>
      </c>
    </row>
    <row r="48" spans="6:7">
      <c r="F48" t="e">
        <f>'M.01 银承BKD'!#REF!</f>
        <v>#REF!</v>
      </c>
      <c r="G48" t="s">
        <v>379</v>
      </c>
    </row>
    <row r="49" spans="6:7">
      <c r="F49" t="e">
        <f>'M.01 银承BKD'!#REF!</f>
        <v>#REF!</v>
      </c>
      <c r="G49" t="s">
        <v>380</v>
      </c>
    </row>
    <row r="50" spans="6:7">
      <c r="F50" t="e">
        <f>'M.01 银承BKD'!#REF!</f>
        <v>#REF!</v>
      </c>
      <c r="G50" t="s">
        <v>381</v>
      </c>
    </row>
    <row r="51" spans="6:7">
      <c r="F51" t="e">
        <f>'M.01 银承BKD'!#REF!</f>
        <v>#REF!</v>
      </c>
      <c r="G51" t="s">
        <v>382</v>
      </c>
    </row>
    <row r="52" spans="6:7">
      <c r="F52" t="e">
        <f>'M.01 银承BKD'!#REF!</f>
        <v>#REF!</v>
      </c>
      <c r="G52" t="s">
        <v>383</v>
      </c>
    </row>
    <row r="53" spans="6:7">
      <c r="F53" t="e">
        <f>'M.01 银承BKD'!#REF!</f>
        <v>#REF!</v>
      </c>
      <c r="G53" t="s">
        <v>384</v>
      </c>
    </row>
    <row r="54" spans="6:7">
      <c r="F54" t="e">
        <f>'M.01 银承BKD'!#REF!</f>
        <v>#REF!</v>
      </c>
      <c r="G54" t="s">
        <v>385</v>
      </c>
    </row>
    <row r="55" spans="6:7">
      <c r="F55" t="e">
        <f>#REF!</f>
        <v>#REF!</v>
      </c>
      <c r="G55" t="s">
        <v>386</v>
      </c>
    </row>
    <row r="56" spans="6:7">
      <c r="F56" t="e">
        <f>#REF!</f>
        <v>#REF!</v>
      </c>
      <c r="G56" t="s">
        <v>387</v>
      </c>
    </row>
    <row r="57" spans="6:7">
      <c r="F57" t="e">
        <f>#REF!</f>
        <v>#REF!</v>
      </c>
      <c r="G57" t="s">
        <v>388</v>
      </c>
    </row>
    <row r="58" spans="6:7">
      <c r="F58" t="e">
        <f>#REF!</f>
        <v>#REF!</v>
      </c>
      <c r="G58" t="s">
        <v>389</v>
      </c>
    </row>
    <row r="59" spans="6:7">
      <c r="F59" t="e">
        <f>#REF!</f>
        <v>#REF!</v>
      </c>
      <c r="G59" t="s">
        <v>390</v>
      </c>
    </row>
    <row r="60" spans="6:7">
      <c r="F60" t="e">
        <f>#REF!</f>
        <v>#REF!</v>
      </c>
      <c r="G60" t="s">
        <v>391</v>
      </c>
    </row>
    <row r="61" spans="6:7">
      <c r="F61" t="e">
        <f>#REF!</f>
        <v>#REF!</v>
      </c>
      <c r="G61" t="s">
        <v>392</v>
      </c>
    </row>
    <row r="62" spans="6:7">
      <c r="F62" t="e">
        <f>#REF!</f>
        <v>#REF!</v>
      </c>
      <c r="G62" t="s">
        <v>393</v>
      </c>
    </row>
    <row r="63" spans="6:7">
      <c r="F63" t="e">
        <f>#REF!</f>
        <v>#REF!</v>
      </c>
      <c r="G63" t="s">
        <v>394</v>
      </c>
    </row>
    <row r="64" spans="6:7">
      <c r="F64" t="e">
        <f>#REF!</f>
        <v>#REF!</v>
      </c>
      <c r="G64" t="s">
        <v>395</v>
      </c>
    </row>
    <row r="65" spans="6:7">
      <c r="F65" t="e">
        <f>#REF!</f>
        <v>#REF!</v>
      </c>
      <c r="G65" t="s">
        <v>396</v>
      </c>
    </row>
    <row r="66" spans="6:7">
      <c r="F66" t="e">
        <f>#REF!</f>
        <v>#REF!</v>
      </c>
      <c r="G66" t="s">
        <v>397</v>
      </c>
    </row>
    <row r="67" spans="6:7">
      <c r="F67" t="e">
        <f>#REF!</f>
        <v>#REF!</v>
      </c>
      <c r="G67" t="s">
        <v>398</v>
      </c>
    </row>
    <row r="68" spans="6:7">
      <c r="F68" t="e">
        <f>#REF!</f>
        <v>#REF!</v>
      </c>
      <c r="G68" t="s">
        <v>399</v>
      </c>
    </row>
    <row r="69" spans="6:7">
      <c r="F69" t="e">
        <f>#REF!</f>
        <v>#REF!</v>
      </c>
      <c r="G69" t="s">
        <v>400</v>
      </c>
    </row>
    <row r="70" spans="6:7">
      <c r="F70" t="e">
        <f>#REF!</f>
        <v>#REF!</v>
      </c>
      <c r="G70" t="s">
        <v>401</v>
      </c>
    </row>
    <row r="71" spans="6:7">
      <c r="F71" t="e">
        <f>#REF!</f>
        <v>#REF!</v>
      </c>
      <c r="G71" t="s">
        <v>402</v>
      </c>
    </row>
    <row r="72" spans="6:7">
      <c r="F72" t="e">
        <f>#REF!</f>
        <v>#REF!</v>
      </c>
      <c r="G72" t="s">
        <v>403</v>
      </c>
    </row>
    <row r="73" spans="6:7">
      <c r="F73" t="e">
        <f>#REF!</f>
        <v>#REF!</v>
      </c>
      <c r="G73" t="s">
        <v>404</v>
      </c>
    </row>
    <row r="74" spans="6:7">
      <c r="F74" t="e">
        <f>#REF!</f>
        <v>#REF!</v>
      </c>
      <c r="G74" t="s">
        <v>405</v>
      </c>
    </row>
    <row r="75" spans="6:7">
      <c r="F75" t="e">
        <f>#REF!</f>
        <v>#REF!</v>
      </c>
      <c r="G75" t="s">
        <v>406</v>
      </c>
    </row>
    <row r="76" spans="6:7">
      <c r="F76" t="e">
        <f>#REF!</f>
        <v>#REF!</v>
      </c>
      <c r="G76" t="s">
        <v>407</v>
      </c>
    </row>
    <row r="77" spans="6:7">
      <c r="F77" t="e">
        <f>#REF!</f>
        <v>#REF!</v>
      </c>
      <c r="G77" t="s">
        <v>408</v>
      </c>
    </row>
    <row r="78" spans="6:7">
      <c r="F78" t="e">
        <f>#REF!</f>
        <v>#REF!</v>
      </c>
      <c r="G78" t="s">
        <v>409</v>
      </c>
    </row>
    <row r="79" spans="6:7">
      <c r="F79" t="e">
        <f>#REF!</f>
        <v>#REF!</v>
      </c>
      <c r="G79" t="s">
        <v>410</v>
      </c>
    </row>
    <row r="80" spans="6:7">
      <c r="F80" t="e">
        <f>#REF!</f>
        <v>#REF!</v>
      </c>
      <c r="G80" t="s">
        <v>411</v>
      </c>
    </row>
    <row r="81" spans="6:7">
      <c r="F81" t="e">
        <f>#REF!</f>
        <v>#REF!</v>
      </c>
      <c r="G81" t="s">
        <v>412</v>
      </c>
    </row>
    <row r="82" spans="6:7">
      <c r="F82" t="e">
        <f>#REF!</f>
        <v>#REF!</v>
      </c>
      <c r="G82" t="s">
        <v>413</v>
      </c>
    </row>
    <row r="83" spans="6:7">
      <c r="F83" t="e">
        <f>'M.02 商承BKD'!#REF!</f>
        <v>#REF!</v>
      </c>
      <c r="G83" t="s">
        <v>414</v>
      </c>
    </row>
    <row r="84" spans="6:7">
      <c r="F84" t="e">
        <f>'M.02 商承BKD'!#REF!</f>
        <v>#REF!</v>
      </c>
      <c r="G84" t="s">
        <v>415</v>
      </c>
    </row>
    <row r="85" spans="6:7">
      <c r="F85" t="e">
        <f>'M.02 商承BKD'!#REF!</f>
        <v>#REF!</v>
      </c>
      <c r="G85" t="s">
        <v>416</v>
      </c>
    </row>
    <row r="86" spans="6:7">
      <c r="F86" t="e">
        <f>'M.02 商承BKD'!#REF!</f>
        <v>#REF!</v>
      </c>
      <c r="G86" t="s">
        <v>417</v>
      </c>
    </row>
    <row r="87" spans="6:7">
      <c r="F87" t="e">
        <f>'M.02 商承BKD'!#REF!</f>
        <v>#REF!</v>
      </c>
      <c r="G87" t="s">
        <v>418</v>
      </c>
    </row>
    <row r="88" spans="6:7">
      <c r="F88" t="e">
        <f>'M.02 商承BKD'!#REF!</f>
        <v>#REF!</v>
      </c>
      <c r="G88" t="s">
        <v>419</v>
      </c>
    </row>
    <row r="89" spans="6:7">
      <c r="F89" t="e">
        <f>'M.02 商承BKD'!#REF!</f>
        <v>#REF!</v>
      </c>
      <c r="G89" t="s">
        <v>420</v>
      </c>
    </row>
    <row r="90" spans="6:7">
      <c r="F90" t="e">
        <f>'M.02 商承BKD'!#REF!</f>
        <v>#REF!</v>
      </c>
      <c r="G90" t="s">
        <v>421</v>
      </c>
    </row>
    <row r="91" spans="6:7">
      <c r="F91" t="e">
        <f>'M.02 商承BKD'!#REF!</f>
        <v>#REF!</v>
      </c>
      <c r="G91" t="s">
        <v>422</v>
      </c>
    </row>
    <row r="92" spans="6:7">
      <c r="F92" t="e">
        <f>'M.02 商承BKD'!#REF!</f>
        <v>#REF!</v>
      </c>
      <c r="G92" t="s">
        <v>423</v>
      </c>
    </row>
  </sheetData>
  <phoneticPr fontId="34"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85a4095a0e7018796401923b38c9fe9c">
  <xsd:schema xmlns:xsd="http://www.w3.org/2001/XMLSchema" xmlns:xs="http://www.w3.org/2001/XMLSchema" xmlns:p="http://schemas.microsoft.com/office/2006/metadata/properties" xmlns:ns2="aa9bf47e-7d7d-4d70-9d97-7b2a84c9bd53" targetNamespace="http://schemas.microsoft.com/office/2006/metadata/properties" ma:root="true" ma:fieldsID="9554c9bd4e172567dfde44a844c1fe0f"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CC291B-C9D7-44A2-A7F8-AEBB36E4B26B}">
  <ds:schemaRefs>
    <ds:schemaRef ds:uri="http://schemas.microsoft.com/sharepoint/v3/contenttype/forms"/>
  </ds:schemaRefs>
</ds:datastoreItem>
</file>

<file path=customXml/itemProps2.xml><?xml version="1.0" encoding="utf-8"?>
<ds:datastoreItem xmlns:ds="http://schemas.openxmlformats.org/officeDocument/2006/customXml" ds:itemID="{B82A8A3A-7894-4663-9030-12CEC61881F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45AC691-22A4-43F0-AC23-AA2F69C210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bf47e-7d7d-4d70-9d97-7b2a84c9b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汇总</vt:lpstr>
      <vt:lpstr>M.00 Lead</vt:lpstr>
      <vt:lpstr>M.01 银承BKD</vt:lpstr>
      <vt:lpstr>M.02 商承BKD</vt:lpstr>
      <vt:lpstr>M.01.01&amp;02.01明细账</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Skywind_N_应付账款_20191231_测试账套穿透模板1.xlsx</dc:title>
  <dc:subject/>
  <dc:creator>Helen HL Qiao</dc:creator>
  <cp:keywords>Final Audit.V6.M.0901</cp:keywords>
  <dc:description>10124938-818F-4C5F-A38C-5EC3345A3A16</dc:description>
  <cp:lastModifiedBy>Evelyn Z Zhao</cp:lastModifiedBy>
  <cp:revision/>
  <dcterms:created xsi:type="dcterms:W3CDTF">2019-08-16T09:12:00Z</dcterms:created>
  <dcterms:modified xsi:type="dcterms:W3CDTF">2025-09-02T05:52:42Z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ICV">
    <vt:lpwstr>DAB51CA01B73440982348705B3F4B6B0</vt:lpwstr>
  </property>
  <property fmtid="{D5CDD505-2E9C-101B-9397-08002B2CF9AE}" pid="4" name="KSOProductBuildVer">
    <vt:lpwstr>2052-11.1.0.12358</vt:lpwstr>
  </property>
</Properties>
</file>
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96" yWindow="0" windowWidth="11712" windowHeight="12336" tabRatio="870" firstSheet="7" activeTab="9" autoFilterDateGrouping="1"/>
  </bookViews>
  <sheets>
    <sheet name="汇总" sheetId="1" state="visible" r:id="rId1"/>
    <sheet name="L1.00 Lead sheet" sheetId="2" state="visible" r:id="rId2"/>
    <sheet name="L1.01.1 Agree SL to GL" sheetId="3" state="visible" r:id="rId3"/>
    <sheet name="L1.02.1 新增测试" sheetId="4" state="visible" r:id="rId4"/>
    <sheet name="L1.02.1a 选样输出" sheetId="5" state="visible" r:id="rId5"/>
    <sheet name="新增清单" sheetId="6" state="visible" r:id="rId6"/>
    <sheet name="L1.02.2 处置测试" sheetId="7" state="visible" r:id="rId7"/>
    <sheet name="L1.02.2a 选样输出" sheetId="8" state="visible" r:id="rId8"/>
    <sheet name="处置清单" sheetId="9" state="visible" r:id="rId9"/>
    <sheet name="L1.03 摊销测试" sheetId="10" state="visible" r:id="rId10"/>
    <sheet name="SkywindSettingSheet" sheetId="11" state="veryHidden" r:id="rId11"/>
    <sheet name="DS_INTERNAL_SETTINGS_STORAGE" sheetId="12" state="veryHidden" r:id="rId12"/>
    <sheet name="DS_INTERNAL_DOCGROUP_STORAGE" sheetId="13" state="veryHidden" r:id="rId13"/>
    <sheet name="DS_INTERNAL_DOCUMENT_STORAGE" sheetId="14" state="veryHidden" r:id="rId14"/>
    <sheet name="DS_INTERNAL_SNIP_STORAGE" sheetId="15" state="veryHidden" r:id="rId15"/>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hylinkcount" hidden="1">22</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15wrn.²Ä1­Ó¤ë1_Ü20¤H." localSheetId="0" hidden="1">{#N/A,#N/A,FALSE,"²Ä1­Ó¤ë"}</definedName>
    <definedName name="_16wrn.²Ä1­Ó¤ë1_Ü20¤H." localSheetId="0" hidden="1">{#N/A,#N/A,FALSE,"²Ä1­Ó¤ë"}</definedName>
    <definedName name="_dod1" localSheetId="0" hidden="1">{#N/A,#N/A,TRUE,"CPRD";#N/A,#N/A,TRUE,"BCCPDR";#N/A,#N/A,TRUE,"EWRD";#N/A,#N/A,TRUE,"5100";#N/A,#N/A,TRUE,"5110"}</definedName>
    <definedName name="_dog1" localSheetId="0" hidden="1">{#N/A,#N/A,TRUE,"CPRD";#N/A,#N/A,TRUE,"BCCPDR";#N/A,#N/A,TRUE,"EWRD";#N/A,#N/A,TRUE,"5100";#N/A,#N/A,TRUE,"5110"}</definedName>
    <definedName name="_O1" localSheetId="0" hidden="1">{#N/A,#N/A,FALSE,"970301";#N/A,#N/A,FALSE,"970302";#N/A,#N/A,FALSE,"970303";#N/A,#N/A,FALSE,"970304";#N/A,#N/A,FALSE,"COM1";#N/A,#N/A,FALSE,"COM2"}</definedName>
    <definedName name="aavbrdf" localSheetId="0" hidden="1">{#N/A,#N/A,FALSE,"OffAdvance";#N/A,#N/A,FALSE,"OffExpRprt";#N/A,#N/A,FALSE,"Travelling";#N/A,#N/A,FALSE,"Entertmnt";#N/A,#N/A,FALSE,"Promotion"}</definedName>
    <definedName name="aaz" localSheetId="0" hidden="1">{#N/A,#N/A,FALSE,"资产负债表";#N/A,#N/A,FALSE,"资产负债表"}</definedName>
    <definedName name="ada" localSheetId="0" hidden="1">{#N/A,#N/A,FALSE,"资产负债表";#N/A,#N/A,FALSE,"资产负债表"}</definedName>
    <definedName name="adaf" localSheetId="0" hidden="1">{#N/A,#N/A,FALSE,"资产负债表";#N/A,#N/A,FALSE,"资产负债表"}</definedName>
    <definedName name="adas" localSheetId="0" hidden="1">{"M1Print",#N/A,TRUE,"M1";"M2Print",#N/A,TRUE,"M2";"M1sPrint",#N/A,TRUE,"M1s";"M2aPrint",#N/A,TRUE,"M2a";"M4Print",#N/A,TRUE,"M4";"M5Print",#N/A,TRUE,"M5";"M6Print",#N/A,TRUE,"M6";"M6_1Print",#N/A,TRUE,"M6_1";"M6_2Print",#N/A,TRUE,"M6_2";"M7_1Print",#N/A,TRUE,"M7_1";"M7_2Print",#N/A,TRUE,"M7_2"}</definedName>
    <definedName name="adf" localSheetId="0" hidden="1">{"toptrial",#N/A,TRUE,"toptrial";"adjustment",#N/A,TRUE,"toptrial";"voucher",#N/A,TRUE,"toptrial"}</definedName>
    <definedName name="afhai" localSheetId="0" hidden="1">{#N/A,#N/A,FALSE,"资产负债表";#N/A,#N/A,FALSE,"资产负债表"}</definedName>
    <definedName name="AGEDDATABASE" localSheetId="0" hidden="1">{#N/A,#N/A,FALSE,"970301";#N/A,#N/A,FALSE,"970302";#N/A,#N/A,FALSE,"970303";#N/A,#N/A,FALSE,"970304";#N/A,#N/A,FALSE,"COM1";#N/A,#N/A,FALSE,"COM2"}</definedName>
    <definedName name="aidhaif" localSheetId="0" hidden="1">{#N/A,#N/A,FALSE,"资产负债表";#N/A,#N/A,FALSE,"资产负债表"}</definedName>
    <definedName name="anakf" localSheetId="0" hidden="1">{#N/A,#N/A,FALSE,"资产负债表";#N/A,#N/A,FALSE,"资产负债表"}</definedName>
    <definedName name="asdas" localSheetId="0" hidden="1">{#N/A,#N/A,FALSE,"Marketing";#N/A,#N/A,FALSE,"Selling";#N/A,#N/A,FALSE,"Promotional";#N/A,#N/A,FALSE,"Advertising"}</definedName>
    <definedName name="asdg" localSheetId="0" hidden="1">{#N/A,#N/A,FALSE,"资产负债表";#N/A,#N/A,FALSE,"资产负债表"}</definedName>
    <definedName name="ass" localSheetId="0" hidden="1">{#N/A,#N/A,TRUE,"CPRD";#N/A,#N/A,TRUE,"BCCPDR";#N/A,#N/A,TRUE,"EWRD";#N/A,#N/A,TRUE,"5100";#N/A,#N/A,TRUE,"5110"}</definedName>
    <definedName name="book" localSheetId="0" hidden="1">{#N/A,#N/A,FALSE,"OffAdvance";#N/A,#N/A,FALSE,"OffExpRprt";#N/A,#N/A,FALSE,"Entertmnt";#N/A,#N/A,FALSE,"Promotion";#N/A,#N/A,FALSE,"Travelling"}</definedName>
    <definedName name="book.2" localSheetId="0" hidden="1">{#N/A,#N/A,FALSE,"OffAdvance";#N/A,#N/A,FALSE,"OffExpRprt";#N/A,#N/A,FALSE,"Travelling";#N/A,#N/A,FALSE,"Entertmnt";#N/A,#N/A,FALSE,"Promotion"}</definedName>
    <definedName name="BYD" localSheetId="0" hidden="1">{#N/A,#N/A,FALSE,"Earn'gs &amp; Val'n";#N/A,#N/A,FALSE,"Interim"}</definedName>
    <definedName name="cashflow20030930" localSheetId="0" hidden="1">{"M1Print",#N/A,TRUE,"M1";"M2Print",#N/A,TRUE,"M2";"M1sPrint",#N/A,TRUE,"M1s";"M2aPrint",#N/A,TRUE,"M2a";"M4Print",#N/A,TRUE,"M4";"M5Print",#N/A,TRUE,"M5";"M6Print",#N/A,TRUE,"M6";"M6_1Print",#N/A,TRUE,"M6_1";"M6_2Print",#N/A,TRUE,"M6_2";"M7_1Print",#N/A,TRUE,"M7_1";"M7_2Print",#N/A,TRUE,"M7_2"}</definedName>
    <definedName name="cbx" localSheetId="0" hidden="1">{#N/A,#N/A,FALSE,"M1s Board";#N/A,#N/A,FALSE,"M3 Board";#N/A,#N/A,FALSE,"M6 Board";#N/A,#N/A,FALSE,"M7";#N/A,#N/A,FALSE,"M7B";#N/A,#N/A,FALSE,"M8";#N/A,#N/A,FALSE,"M8A Board";#N/A,#N/A,FALSE,"AF1 Board"}</definedName>
    <definedName name="cccvb" localSheetId="0" hidden="1">{#N/A,#N/A,FALSE,"资产负债表";#N/A,#N/A,FALSE,"资产负债表"}</definedName>
    <definedName name="CFVVHH" localSheetId="0" hidden="1">{#N/A,#N/A,FALSE,"资产负债表";#N/A,#N/A,FALSE,"资产负债表"}</definedName>
    <definedName name="cfyik" localSheetId="0" hidden="1">{#N/A,#N/A,FALSE,"资产负债表";#N/A,#N/A,FALSE,"资产负债表"}</definedName>
    <definedName name="cgul" localSheetId="0" hidden="1">{#N/A,#N/A,FALSE,"资产负债表";#N/A,#N/A,FALSE,"资产负债表"}</definedName>
    <definedName name="cguocnbnl" localSheetId="0" hidden="1">{#N/A,#N/A,FALSE,"资产负债表";#N/A,#N/A,FALSE,"资产负债表"}</definedName>
    <definedName name="Coll" localSheetId="0" hidden="1">{#N/A,#N/A,FALSE,"970301";#N/A,#N/A,FALSE,"970302";#N/A,#N/A,FALSE,"970303";#N/A,#N/A,FALSE,"970304";#N/A,#N/A,FALSE,"COM1";#N/A,#N/A,FALSE,"COM2"}</definedName>
    <definedName name="dcca" localSheetId="0" hidden="1">{#N/A,#N/A,FALSE,"资产负债表";#N/A,#N/A,FALSE,"资产负债表"}</definedName>
    <definedName name="dfgdafsg" localSheetId="0" hidden="1">{#N/A,#N/A,FALSE,"OffAdvance";#N/A,#N/A,FALSE,"OffExpRprt";#N/A,#N/A,FALSE,"Travelling";#N/A,#N/A,FALSE,"Entertmnt";#N/A,#N/A,FALSE,"Promotion"}</definedName>
    <definedName name="dfv" localSheetId="0" hidden="1">{"M1Print",#N/A,TRUE,"M1";"M2Print",#N/A,TRUE,"M2";"M1sPrint",#N/A,TRUE,"M1s";"M2aPrint",#N/A,TRUE,"M2a";"M4Print",#N/A,TRUE,"M4";"M5Print",#N/A,TRUE,"M5";"M6Print",#N/A,TRUE,"M6";"M6_1Print",#N/A,TRUE,"M6_1";"M6_2Print",#N/A,TRUE,"M6_2";"M7_1Print",#N/A,TRUE,"M7_1";"M7_2Print",#N/A,TRUE,"M7_2"}</definedName>
    <definedName name="dh" localSheetId="0" hidden="1">{"M4Print",#N/A,FALSE,"M4"}</definedName>
    <definedName name="dlf" localSheetId="0" hidden="1">{"M4Print",#N/A,FALSE,"M4"}</definedName>
    <definedName name="doddd" localSheetId="0" hidden="1">{#N/A,#N/A,TRUE,"CPRD";#N/A,#N/A,TRUE,"BCCPDR";#N/A,#N/A,TRUE,"EWRD";#N/A,#N/A,TRUE,"5100";#N/A,#N/A,TRUE,"5110"}</definedName>
    <definedName name="dog" localSheetId="0" hidden="1">{#N/A,#N/A,TRUE,"CPRD";#N/A,#N/A,TRUE,"BCCPDR";#N/A,#N/A,TRUE,"EWRD";#N/A,#N/A,TRUE,"5100";#N/A,#N/A,TRUE,"5110"}</definedName>
    <definedName name="dvbm" localSheetId="0" hidden="1">{#N/A,#N/A,FALSE,"资产负债表";#N/A,#N/A,FALSE,"资产负债表"}</definedName>
    <definedName name="ehdg" localSheetId="0" hidden="1">{#N/A,#N/A,FALSE,"Jan"}</definedName>
    <definedName name="erf" localSheetId="0" hidden="1">{#N/A,#N/A,FALSE,"970301";#N/A,#N/A,FALSE,"970302";#N/A,#N/A,FALSE,"970303";#N/A,#N/A,FALSE,"970304";#N/A,#N/A,FALSE,"COM1";#N/A,#N/A,FALSE,"COM2"}</definedName>
    <definedName name="eryj" localSheetId="0" hidden="1">{#N/A,#N/A,FALSE,"资产负债表";#N/A,#N/A,FALSE,"资产负债表"}</definedName>
    <definedName name="ExpenseUpload" localSheetId="0" hidden="1">{#N/A,#N/A,TRUE,"CPRD";#N/A,#N/A,TRUE,"BCCPDR";#N/A,#N/A,TRUE,"EWRD";#N/A,#N/A,TRUE,"5100";#N/A,#N/A,TRUE,"5110"}</definedName>
    <definedName name="faif" localSheetId="0" hidden="1">{#N/A,#N/A,FALSE,"资产负债表";#N/A,#N/A,FALSE,"资产负债表"}</definedName>
    <definedName name="fd" localSheetId="0" hidden="1">{"M1sPrint",#N/A,FALSE,"M1s"}</definedName>
    <definedName name="feedback" localSheetId="0" hidden="1">{#N/A,#N/A,TRUE,"CPRD";#N/A,#N/A,TRUE,"BCCPDR";#N/A,#N/A,TRUE,"EWRD";#N/A,#N/A,TRUE,"5100";#N/A,#N/A,TRUE,"5110"}</definedName>
    <definedName name="fgdg" localSheetId="0" hidden="1">{"M1Print",#N/A,TRUE,"M1";"M2Print",#N/A,TRUE,"M2";"M1sPrint",#N/A,TRUE,"M1s";"M2aPrint",#N/A,TRUE,"M2a";"M4Print",#N/A,TRUE,"M4";"M5Print",#N/A,TRUE,"M5";"M6Print",#N/A,TRUE,"M6";"M6_1Print",#N/A,TRUE,"M6_1";"M6_2Print",#N/A,TRUE,"M6_2";"M7_1Print",#N/A,TRUE,"M7_1";"M7_2Print",#N/A,TRUE,"M7_2"}</definedName>
    <definedName name="fvb" localSheetId="0" hidden="1">{#N/A,#N/A,FALSE,"资产负债表";#N/A,#N/A,FALSE,"资产负债表"}</definedName>
    <definedName name="G9IJGF" localSheetId="0" hidden="1">{#N/A,#N/A,FALSE,"资产负债表";#N/A,#N/A,FALSE,"资产负债表"}</definedName>
    <definedName name="hadiah" localSheetId="0" hidden="1">{#N/A,#N/A,FALSE,"资产负债表";#N/A,#N/A,FALSE,"资产负债表"}</definedName>
    <definedName name="HdctTrnd" localSheetId="0" hidden="1">{#N/A,#N/A,TRUE,"CPRD";#N/A,#N/A,TRUE,"BCCPDR";#N/A,#N/A,TRUE,"EWRD";#N/A,#N/A,TRUE,"5100";#N/A,#N/A,TRUE,"5110"}</definedName>
    <definedName name="HTL_Cotrol1" localSheetId="0" hidden="1">{"'Sheet3'!$A$47:$M$47"}</definedName>
    <definedName name="HTML_Control" localSheetId="0" hidden="1">{"'Vxxe_times_J750 (2)'!$A$3:$E$14"}</definedName>
    <definedName name="hueoa" localSheetId="0" hidden="1">{#N/A,#N/A,FALSE,"资产负债表";#N/A,#N/A,FALSE,"资产负债表"}</definedName>
    <definedName name="ieji" localSheetId="0" hidden="1">{#N/A,#N/A,FALSE,"970301";#N/A,#N/A,FALSE,"970302";#N/A,#N/A,FALSE,"970303";#N/A,#N/A,FALSE,"970304";#N/A,#N/A,FALSE,"COM1";#N/A,#N/A,FALSE,"COM2"}</definedName>
    <definedName name="jdda" localSheetId="0" hidden="1">{"M4Print",#N/A,FALSE,"M4"}</definedName>
    <definedName name="jdfslsajdflasdkjpf" localSheetId="0" hidden="1">{#N/A,#N/A,FALSE,"OffAdvance";#N/A,#N/A,FALSE,"OffExpRprt";#N/A,#N/A,FALSE,"Entertmnt";#N/A,#N/A,FALSE,"Promotion";#N/A,#N/A,FALSE,"Travelling"}</definedName>
    <definedName name="jfgh" localSheetId="0" hidden="1">{"M1sPrint",#N/A,FALSE,"M1s"}</definedName>
    <definedName name="jgfhfg" localSheetId="0" hidden="1">{"M1sPrint",#N/A,FALSE,"M1s"}</definedName>
    <definedName name="jlj" localSheetId="0" hidden="1">{"M2aPrint",#N/A,FALSE,"M2a"}</definedName>
    <definedName name="jughn" localSheetId="0" hidden="1">{"M7_1Print",#N/A,TRUE,"M7_1";"M7_2Print",#N/A,TRUE,"M7_2"}</definedName>
    <definedName name="jytj" localSheetId="0" hidden="1">{"M7_1Print",#N/A,TRUE,"M7_1";"M7_2Print",#N/A,TRUE,"M7_2"}</definedName>
    <definedName name="kljik" localSheetId="0" hidden="1">{#N/A,#N/A,FALSE,"OffAdvance";#N/A,#N/A,FALSE,"OffExpRprt";#N/A,#N/A,FALSE,"Entertmnt";#N/A,#N/A,FALSE,"Promotion";#N/A,#N/A,FALSE,"Travelling"}</definedName>
    <definedName name="kuj" localSheetId="0" hidden="1">{"M6Print",#N/A,FALSE,"M6";"M6_1Print",#N/A,FALSE,"M6_1";"M6_2Print",#N/A,FALSE,"M6_2"}</definedName>
    <definedName name="lu" localSheetId="0" hidden="1">{"M1sPrint",#N/A,FALSE,"M1s"}</definedName>
    <definedName name="n" localSheetId="0" hidden="1">{"M2Print",#N/A,FALSE,"M2"}</definedName>
    <definedName name="ngn" localSheetId="0" hidden="1">{"M1Print",#N/A,TRUE,"M1";"M2Print",#N/A,TRUE,"M2";"M1sPrint",#N/A,TRUE,"M1s";"M2aPrint",#N/A,TRUE,"M2a";"M4Print",#N/A,TRUE,"M4";"M5Print",#N/A,TRUE,"M5";"M6Print",#N/A,TRUE,"M6";"M6_1Print",#N/A,TRUE,"M6_1";"M6_2Print",#N/A,TRUE,"M6_2";"M7_1Print",#N/A,TRUE,"M7_1";"M7_2Print",#N/A,TRUE,"M7_2"}</definedName>
    <definedName name="notused" localSheetId="0" hidden="1">{#N/A,#N/A,TRUE,"CPRD";#N/A,#N/A,TRUE,"BCCPDR";#N/A,#N/A,TRUE,"EWRD";#N/A,#N/A,TRUE,"5100";#N/A,#N/A,TRUE,"5110"}</definedName>
    <definedName name="ooo" localSheetId="0" hidden="1">{#N/A,#N/A,FALSE,"Sales  total 9712";#N/A,#N/A,FALSE,"Sales  total 9712";#N/A,#N/A,FALSE,"Sales  total 9712";#N/A,#N/A,FALSE,"Sales  total 9712"}</definedName>
    <definedName name="qwertyuiopasdfghjkl" localSheetId="0" hidden="1">{"M2aPrint",#N/A,FALSE,"M2a"}</definedName>
    <definedName name="qwwertyuiop" localSheetId="0" hidden="1">{"M2Print",#N/A,FALSE,"M2"}</definedName>
    <definedName name="RJE" localSheetId="0" hidden="1">{"toptrial",#N/A,TRUE,"toptrial";"adjustment",#N/A,TRUE,"toptrial";"voucher",#N/A,TRUE,"toptrial"}</definedName>
    <definedName name="sdfs" localSheetId="0" hidden="1">{"M1sPrint",#N/A,FALSE,"M1s"}</definedName>
    <definedName name="sssz" localSheetId="0" hidden="1">{#N/A,#N/A,FALSE,"资产负债表";#N/A,#N/A,FALSE,"资产负债表"}</definedName>
    <definedName name="terh" localSheetId="0" hidden="1">{#N/A,#N/A,FALSE,"OffAdvance";#N/A,#N/A,FALSE,"OffExpRprt";#N/A,#N/A,FALSE,"Entertmnt";#N/A,#N/A,FALSE,"Promotion";#N/A,#N/A,FALSE,"Travelling"}</definedName>
    <definedName name="tfhg" localSheetId="0" hidden="1">{"M1Print",#N/A,FALSE,"M1"}</definedName>
    <definedName name="the" localSheetId="0" hidden="1">{#N/A,#N/A,FALSE,"Marketing";#N/A,#N/A,FALSE,"Selling";#N/A,#N/A,FALSE,"Promotional";#N/A,#N/A,FALSE,"Advertising"}</definedName>
    <definedName name="ulead" localSheetId="0" hidden="1">{#N/A,#N/A,FALSE,"970301";#N/A,#N/A,FALSE,"970302";#N/A,#N/A,FALSE,"970303";#N/A,#N/A,FALSE,"970304";#N/A,#N/A,FALSE,"COM1";#N/A,#N/A,FALSE,"COM2"}</definedName>
    <definedName name="uygh" localSheetId="0" hidden="1">{"M6Print",#N/A,FALSE,"M6";"M6_1Print",#N/A,FALSE,"M6_1";"M6_2Print",#N/A,FALSE,"M6_2"}</definedName>
    <definedName name="vhvkb" localSheetId="0" hidden="1">{#N/A,#N/A,FALSE,"资产负债表";#N/A,#N/A,FALSE,"资产负债表"}</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all._M._.Scheduleds。1" localSheetId="0" hidden="1">{"M1Print",#N/A,TRUE,"M1";"M2Print",#N/A,TRUE,"M2";"M1sPrint",#N/A,TRUE,"M1s";"M2aPrint",#N/A,TRUE,"M2a";"M4Print",#N/A,TRUE,"M4";"M5Print",#N/A,TRUE,"M5";"M6Print",#N/A,TRUE,"M6";"M6_1Print",#N/A,TRUE,"M6_1";"M6_2Print",#N/A,TRUE,"M6_2";"M7_1Print",#N/A,TRUE,"M7_1";"M7_2Print",#N/A,TRUE,"M7_2"}</definedName>
    <definedName name="wrn.BC._.Telfast."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0"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ERNST." localSheetId="0" hidden="1">{#N/A,#N/A,FALSE,"YTCHAN";#N/A,#N/A,FALSE,"TOMMY";#N/A,#N/A,FALSE,"REP.OFFICE";#N/A,#N/A,FALSE,"E&amp;Y_CONSULTANT";#N/A,#N/A,FALSE,"BT &amp; CIT"}</definedName>
    <definedName name="wrn.Financial._.Report." localSheetId="0"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0" hidden="1">{#N/A,#N/A,FALSE,"OffAdvance";#N/A,#N/A,FALSE,"OffExpRprt";#N/A,#N/A,FALSE,"Entertmnt";#N/A,#N/A,FALSE,"Promotion";#N/A,#N/A,FALSE,"Travelling"}</definedName>
    <definedName name="wrn.gb." localSheetId="0" hidden="1">{#N/A,#N/A,FALSE,"资产负债表";#N/A,#N/A,FALSE,"资产负债表"}</definedName>
    <definedName name="wrn.Input._.Data." localSheetId="0" hidden="1">{"Input_Fin",#N/A,FALSE,"By Code";"Input_Opt",#N/A,FALSE,"By Code"}</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Monthly._.Report." localSheetId="0"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0" hidden="1">{#N/A,#N/A,FALSE,"OffAdvance";#N/A,#N/A,FALSE,"OffExpRprt";#N/A,#N/A,FALSE,"Travelling";#N/A,#N/A,FALSE,"Entertmnt";#N/A,#N/A,FALSE,"Promotion"}</definedName>
    <definedName name="wrn.Operation._.Report." localSheetId="0"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0" hidden="1">{#N/A,#N/A,FALSE,"Sales  total 9712";#N/A,#N/A,FALSE,"Sales  total 9712";#N/A,#N/A,FALSE,"Sales  total 9712";#N/A,#N/A,FALSE,"Sales  total 9712"}</definedName>
    <definedName name="wrn.Sales." localSheetId="0" hidden="1">{#N/A,#N/A,FALSE,"Marketing";#N/A,#N/A,FALSE,"Selling";#N/A,#N/A,FALSE,"Promotional";#N/A,#N/A,FALSE,"Advertising"}</definedName>
    <definedName name="wrn.sunmicro." localSheetId="0" hidden="1">{#N/A,#N/A,FALSE,"FREEMAN";#N/A,#N/A,FALSE,"STEPHEN";#N/A,#N/A,FALSE,"VICTOR"}</definedName>
    <definedName name="wrn.test1." localSheetId="0" hidden="1">{#N/A,#N/A,FALSE,"Earn'gs &amp; Val'n";#N/A,#N/A,FALSE,"Interim"}</definedName>
    <definedName name="wrn.tope" localSheetId="0" hidden="1">{"toptrial",#N/A,TRUE,"toptrial";"adjustment",#N/A,TRUE,"toptrial";"voucher",#N/A,TRUE,"toptrial"}</definedName>
    <definedName name="wrn.toptrial." localSheetId="0" hidden="1">{"toptrial",#N/A,TRUE,"toptrial";"adjustment",#N/A,TRUE,"toptrial";"voucher",#N/A,TRUE,"toptrial"}</definedName>
    <definedName name="wrn.voucher9703." localSheetId="0" hidden="1">{#N/A,#N/A,FALSE,"970301";#N/A,#N/A,FALSE,"970302";#N/A,#N/A,FALSE,"970303";#N/A,#N/A,FALSE,"970304";#N/A,#N/A,FALSE,"COM1";#N/A,#N/A,FALSE,"COM2"}</definedName>
    <definedName name="wrn.ytd." localSheetId="0" hidden="1">{#N/A,#N/A,FALSE,"YTD"}</definedName>
    <definedName name="wrn100.gb" localSheetId="0" hidden="1">{#N/A,#N/A,FALSE,"资产负债表";#N/A,#N/A,FALSE,"资产负债表"}</definedName>
    <definedName name="wrnn.all." localSheetId="0" hidden="1">{#N/A,#N/A,FALSE,"SUM";#N/A,#N/A,FALSE,"SK_TOT";#N/A,#N/A,FALSE,"YM";#N/A,#N/A,FALSE,"TSMC";#N/A,#N/A,FALSE,"ICW";#N/A,#N/A,FALSE,"Sheet1"}</definedName>
    <definedName name="wtr" localSheetId="0" hidden="1">{#N/A,#N/A,FALSE,"资产负债表";#N/A,#N/A,FALSE,"资产负债表"}</definedName>
    <definedName name="xzxsfd" localSheetId="0" hidden="1">{"M1Print",#N/A,FALSE,"M1"}</definedName>
    <definedName name="y" localSheetId="0" hidden="1">{#N/A,#N/A,FALSE,"970301";#N/A,#N/A,FALSE,"970302";#N/A,#N/A,FALSE,"970303";#N/A,#N/A,FALSE,"970304";#N/A,#N/A,FALSE,"COM1";#N/A,#N/A,FALSE,"COM2"}</definedName>
    <definedName name="zdry" localSheetId="0" hidden="1">{#N/A,#N/A,FALSE,"资产负债表";#N/A,#N/A,FALSE,"资产负债表"}</definedName>
    <definedName name="zerey" localSheetId="0" hidden="1">{#N/A,#N/A,FALSE,"资产负债表";#N/A,#N/A,FALSE,"资产负债表"}</definedName>
    <definedName name="啊" localSheetId="0" hidden="1">{#N/A,#N/A,FALSE,"970301";#N/A,#N/A,FALSE,"970302";#N/A,#N/A,FALSE,"970303";#N/A,#N/A,FALSE,"970304";#N/A,#N/A,FALSE,"COM1";#N/A,#N/A,FALSE,"COM2"}</definedName>
    <definedName name="备用" localSheetId="0" hidden="1">{#N/A,#N/A,FALSE,"OffAdvance";#N/A,#N/A,FALSE,"OffExpRprt";#N/A,#N/A,FALSE,"Entertmnt";#N/A,#N/A,FALSE,"Promotion";#N/A,#N/A,FALSE,"Travelling"}</definedName>
    <definedName name="借款" localSheetId="0" hidden="1">{#N/A,#N/A,FALSE,"970301";#N/A,#N/A,FALSE,"970302";#N/A,#N/A,FALSE,"970303";#N/A,#N/A,FALSE,"970304";#N/A,#N/A,FALSE,"COM1";#N/A,#N/A,FALSE,"COM2"}</definedName>
    <definedName name="苛" localSheetId="0" hidden="1">{"M1sPrint",#N/A,FALSE,"M1s"}</definedName>
    <definedName name="试验" localSheetId="0" hidden="1">{#N/A,#N/A,FALSE,"OffAdvance";#N/A,#N/A,FALSE,"OffExpRprt";#N/A,#N/A,FALSE,"Travelling";#N/A,#N/A,FALSE,"Entertmnt";#N/A,#N/A,FALSE,"Promotion"}</definedName>
    <definedName name="已05" localSheetId="0" hidden="1">{"M1Print",#N/A,TRUE,"M1";"M2Print",#N/A,TRUE,"M2";"M1sPrint",#N/A,TRUE,"M1s";"M2aPrint",#N/A,TRUE,"M2a";"M4Print",#N/A,TRUE,"M4";"M5Print",#N/A,TRUE,"M5";"M6Print",#N/A,TRUE,"M6";"M6_1Print",#N/A,TRUE,"M6_1";"M6_2Print",#N/A,TRUE,"M6_2";"M7_1Print",#N/A,TRUE,"M7_1";"M7_2Print",#N/A,TRUE,"M7_2"}</definedName>
    <definedName name="应手款" localSheetId="0" hidden="1">{#N/A,#N/A,FALSE,"970301";#N/A,#N/A,FALSE,"970302";#N/A,#N/A,FALSE,"970303";#N/A,#N/A,FALSE,"970304";#N/A,#N/A,FALSE,"COM1";#N/A,#N/A,FALSE,"COM2"}</definedName>
    <definedName name="应手款1月" localSheetId="0"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GEDDATABASE" localSheetId="4" hidden="1">{#N/A,#N/A,FALSE,"970301";#N/A,#N/A,FALSE,"970302";#N/A,#N/A,FALSE,"970303";#N/A,#N/A,FALSE,"970304";#N/A,#N/A,FALSE,"COM1";#N/A,#N/A,FALSE,"COM2"}</definedName>
    <definedName name="asdas" localSheetId="4" hidden="1">{#N/A,#N/A,FALSE,"Marketing";#N/A,#N/A,FALSE,"Selling";#N/A,#N/A,FALSE,"Promotional";#N/A,#N/A,FALSE,"Advertising"}</definedName>
    <definedName name="ass" localSheetId="4" hidden="1">{#N/A,#N/A,TRUE,"CPRD";#N/A,#N/A,TRUE,"BCCPDR";#N/A,#N/A,TRUE,"EWRD";#N/A,#N/A,TRUE,"5100";#N/A,#N/A,TRUE,"5110"}</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oll" localSheetId="4" hidden="1">{#N/A,#N/A,FALSE,"970301";#N/A,#N/A,FALSE,"970302";#N/A,#N/A,FALSE,"970303";#N/A,#N/A,FALSE,"970304";#N/A,#N/A,FALSE,"COM1";#N/A,#N/A,FALSE,"COM2"}</definedName>
    <definedName name="doddd" localSheetId="4" hidden="1">{#N/A,#N/A,TRUE,"CPRD";#N/A,#N/A,TRUE,"BCCPDR";#N/A,#N/A,TRUE,"EWRD";#N/A,#N/A,TRUE,"5100";#N/A,#N/A,TRUE,"5110"}</definedName>
    <definedName name="dog" localSheetId="4" hidden="1">{#N/A,#N/A,TRUE,"CPRD";#N/A,#N/A,TRUE,"BCCPDR";#N/A,#N/A,TRUE,"EWRD";#N/A,#N/A,TRUE,"5100";#N/A,#N/A,TRUE,"5110"}</definedName>
    <definedName name="ehdg" localSheetId="4" hidden="1">{#N/A,#N/A,FALSE,"Jan"}</definedName>
    <definedName name="ExpenseUpload" localSheetId="4" hidden="1">{#N/A,#N/A,TRUE,"CPRD";#N/A,#N/A,TRUE,"BCCPDR";#N/A,#N/A,TRUE,"EWRD";#N/A,#N/A,TRUE,"5100";#N/A,#N/A,TRUE,"5110"}</definedName>
    <definedName name="feedback"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form." localSheetId="4" hidden="1">{#N/A,#N/A,FALSE,"OffAdvance";#N/A,#N/A,FALSE,"OffExpRprt";#N/A,#N/A,FALSE,"Entertmnt";#N/A,#N/A,FALSE,"Promotion";#N/A,#N/A,FALSE,"Travelling"}</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test1." localSheetId="4" hidden="1">{#N/A,#N/A,FALSE,"Earn'gs &amp; Val'n";#N/A,#N/A,FALSE,"Interim"}</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n.all." localSheetId="4" hidden="1">{#N/A,#N/A,FALSE,"SUM";#N/A,#N/A,FALSE,"SK_TOT";#N/A,#N/A,FALSE,"YM";#N/A,#N/A,FALSE,"TSMC";#N/A,#N/A,FALSE,"ICW";#N/A,#N/A,FALSE,"Sheet1"}</definedName>
    <definedName name="xzxsfd" localSheetId="4" hidden="1">{"M1Print",#N/A,FALSE,"M1"}</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adas" localSheetId="5" hidden="1">{"M1Print",#N/A,TRUE,"M1";"M2Print",#N/A,TRUE,"M2";"M1sPrint",#N/A,TRUE,"M1s";"M2aPrint",#N/A,TRUE,"M2a";"M4Print",#N/A,TRUE,"M4";"M5Print",#N/A,TRUE,"M5";"M6Print",#N/A,TRUE,"M6";"M6_1Print",#N/A,TRUE,"M6_1";"M6_2Print",#N/A,TRUE,"M6_2";"M7_1Print",#N/A,TRUE,"M7_1";"M7_2Print",#N/A,TRUE,"M7_2"}</definedName>
    <definedName name="ass" localSheetId="5" hidden="1">{#N/A,#N/A,TRUE,"CPRD";#N/A,#N/A,TRUE,"BCCPDR";#N/A,#N/A,TRUE,"EWRD";#N/A,#N/A,TRUE,"5100";#N/A,#N/A,TRUE,"5110"}</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TextRefCopyRangeCount" localSheetId="5" hidden="1">4</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 localSheetId="5" hidden="1">#REF!</definedName>
    <definedName name="XREF_COLUMN_11" localSheetId="5" hidden="1">#REF!</definedName>
    <definedName name="XREF_COLUMN_12" localSheetId="5" hidden="1">#REF!</definedName>
    <definedName name="XREF_COLUMN_2" localSheetId="5" hidden="1">#REF!</definedName>
    <definedName name="XREF_COLUMN_3" localSheetId="5" hidden="1">#REF!</definedName>
    <definedName name="XREF_COLUMN_5" localSheetId="5" hidden="1">#REF!</definedName>
    <definedName name="XREF_COLUMN_6" localSheetId="5" hidden="1">#REF!</definedName>
    <definedName name="XREF_COLUMN_7" localSheetId="5" hidden="1">#REF!</definedName>
    <definedName name="XRefCopy11" localSheetId="5" hidden="1">#REF!</definedName>
    <definedName name="XRefCopy13Row" localSheetId="5" hidden="1">#REF!</definedName>
    <definedName name="XRefCopy16Row" localSheetId="5" hidden="1">#REF!</definedName>
    <definedName name="XRefPaste1" localSheetId="5" hidden="1">#REF!</definedName>
    <definedName name="XRefPaste2" localSheetId="5" hidden="1">#REF!</definedName>
    <definedName name="XRefPaste2Row" localSheetId="5" hidden="1">#REF!</definedName>
    <definedName name="XRefPaste6Row" localSheetId="5" hidden="1">#REF!</definedName>
    <definedName name="xzxsfd" localSheetId="5" hidden="1">{"M1Print",#N/A,FALSE,"M1"}</definedName>
    <definedName name="Z_1711050D_B2D8_42FB_A40D_E4BD90297684_.wvu.Cols" localSheetId="5" hidden="1">#REF!,#REF!,#REF!,#REF!,#REF!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GEDDATABASE" localSheetId="7" hidden="1">{#N/A,#N/A,FALSE,"970301";#N/A,#N/A,FALSE,"970302";#N/A,#N/A,FALSE,"970303";#N/A,#N/A,FALSE,"970304";#N/A,#N/A,FALSE,"COM1";#N/A,#N/A,FALSE,"COM2"}</definedName>
    <definedName name="asdas" localSheetId="7" hidden="1">{#N/A,#N/A,FALSE,"Marketing";#N/A,#N/A,FALSE,"Selling";#N/A,#N/A,FALSE,"Promotional";#N/A,#N/A,FALSE,"Advertising"}</definedName>
    <definedName name="ass" localSheetId="7" hidden="1">{#N/A,#N/A,TRUE,"CPRD";#N/A,#N/A,TRUE,"BCCPDR";#N/A,#N/A,TRUE,"EWRD";#N/A,#N/A,TRUE,"5100";#N/A,#N/A,TRUE,"5110"}</definedName>
    <definedName name="BYD" localSheetId="7" hidden="1">{#N/A,#N/A,FALSE,"Earn'gs &amp; Val'n";#N/A,#N/A,FALSE,"Interim"}</definedName>
    <definedName name="cashflow20030930" localSheetId="7" hidden="1">{"M1Print",#N/A,TRUE,"M1";"M2Print",#N/A,TRUE,"M2";"M1sPrint",#N/A,TRUE,"M1s";"M2aPrint",#N/A,TRUE,"M2a";"M4Print",#N/A,TRUE,"M4";"M5Print",#N/A,TRUE,"M5";"M6Print",#N/A,TRUE,"M6";"M6_1Print",#N/A,TRUE,"M6_1";"M6_2Print",#N/A,TRUE,"M6_2";"M7_1Print",#N/A,TRUE,"M7_1";"M7_2Print",#N/A,TRUE,"M7_2"}</definedName>
    <definedName name="Coll" localSheetId="7" hidden="1">{#N/A,#N/A,FALSE,"970301";#N/A,#N/A,FALSE,"970302";#N/A,#N/A,FALSE,"970303";#N/A,#N/A,FALSE,"970304";#N/A,#N/A,FALSE,"COM1";#N/A,#N/A,FALSE,"COM2"}</definedName>
    <definedName name="doddd" localSheetId="7" hidden="1">{#N/A,#N/A,TRUE,"CPRD";#N/A,#N/A,TRUE,"BCCPDR";#N/A,#N/A,TRUE,"EWRD";#N/A,#N/A,TRUE,"5100";#N/A,#N/A,TRUE,"5110"}</definedName>
    <definedName name="dog" localSheetId="7" hidden="1">{#N/A,#N/A,TRUE,"CPRD";#N/A,#N/A,TRUE,"BCCPDR";#N/A,#N/A,TRUE,"EWRD";#N/A,#N/A,TRUE,"5100";#N/A,#N/A,TRUE,"5110"}</definedName>
    <definedName name="ehdg" localSheetId="7" hidden="1">{#N/A,#N/A,FALSE,"Jan"}</definedName>
    <definedName name="ExpenseUpload" localSheetId="7" hidden="1">{#N/A,#N/A,TRUE,"CPRD";#N/A,#N/A,TRUE,"BCCPDR";#N/A,#N/A,TRUE,"EWRD";#N/A,#N/A,TRUE,"5100";#N/A,#N/A,TRUE,"5110"}</definedName>
    <definedName name="feedback"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ooo" localSheetId="7" hidden="1">{#N/A,#N/A,FALSE,"Sales  total 9712";#N/A,#N/A,FALSE,"Sales  total 9712";#N/A,#N/A,FALSE,"Sales  total 9712";#N/A,#N/A,FALSE,"Sales  total 9712"}</definedName>
    <definedName name="qwertyuiopasdfghjkl" localSheetId="7" hidden="1">{"M2aPrint",#N/A,FALSE,"M2a"}</definedName>
    <definedName name="qwwertyuiop" localSheetId="7" hidden="1">{"M2Print",#N/A,FALSE,"M2"}</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C._.Telfast."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7"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7" hidden="1">{#N/A,#N/A,FALSE,"M1s Board";#N/A,#N/A,FALSE,"M3 Board";#N/A,#N/A,FALSE,"M6 Board";#N/A,#N/A,FALSE,"M7";#N/A,#N/A,FALSE,"M7B";#N/A,#N/A,FALSE,"M8";#N/A,#N/A,FALSE,"M8A Board";#N/A,#N/A,FALSE,"AF1 Board"}</definedName>
    <definedName name="wrn.Deposit._.By._.Day." localSheetId="7" hidden="1">{#N/A,#N/A,FALSE,"Deposits by day"}</definedName>
    <definedName name="wrn.Deptartment._.Expenses." localSheetId="7" hidden="1">{#N/A,#N/A,TRUE,"CPRD";#N/A,#N/A,TRUE,"BCCPDR";#N/A,#N/A,TRUE,"EWRD";#N/A,#N/A,TRUE,"5100";#N/A,#N/A,TRUE,"5110"}</definedName>
    <definedName name="wrn.form." localSheetId="7" hidden="1">{#N/A,#N/A,FALSE,"OffAdvance";#N/A,#N/A,FALSE,"OffExpRprt";#N/A,#N/A,FALSE,"Entertmnt";#N/A,#N/A,FALSE,"Promotion";#N/A,#N/A,FALSE,"Travelling"}</definedName>
    <definedName name="wrn.jan." localSheetId="7" hidden="1">{#N/A,#N/A,FALSE,"Jan"}</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Monthly._.Report." localSheetId="7"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7" hidden="1">{#N/A,#N/A,FALSE,"OffAdvance";#N/A,#N/A,FALSE,"OffExpRprt";#N/A,#N/A,FALSE,"Travelling";#N/A,#N/A,FALSE,"Entertmnt";#N/A,#N/A,FALSE,"Promotion"}</definedName>
    <definedName name="wrn.REPORT." localSheetId="7" hidden="1">{#N/A,#N/A,FALSE,"Sales  total 9712";#N/A,#N/A,FALSE,"Sales  total 9712";#N/A,#N/A,FALSE,"Sales  total 9712";#N/A,#N/A,FALSE,"Sales  total 9712"}</definedName>
    <definedName name="wrn.Sales." localSheetId="7" hidden="1">{#N/A,#N/A,FALSE,"Marketing";#N/A,#N/A,FALSE,"Selling";#N/A,#N/A,FALSE,"Promotional";#N/A,#N/A,FALSE,"Advertising"}</definedName>
    <definedName name="wrn.test1." localSheetId="7" hidden="1">{#N/A,#N/A,FALSE,"Earn'gs &amp; Val'n";#N/A,#N/A,FALSE,"Interim"}</definedName>
    <definedName name="wrn.toptrial." localSheetId="7" hidden="1">{"toptrial",#N/A,TRUE,"toptrial";"adjustment",#N/A,TRUE,"toptrial";"voucher",#N/A,TRUE,"toptrial"}</definedName>
    <definedName name="wrn.voucher9703." localSheetId="7" hidden="1">{#N/A,#N/A,FALSE,"970301";#N/A,#N/A,FALSE,"970302";#N/A,#N/A,FALSE,"970303";#N/A,#N/A,FALSE,"970304";#N/A,#N/A,FALSE,"COM1";#N/A,#N/A,FALSE,"COM2"}</definedName>
    <definedName name="wrn.ytd." localSheetId="7" hidden="1">{#N/A,#N/A,FALSE,"YTD"}</definedName>
    <definedName name="wrnn.all." localSheetId="7" hidden="1">{#N/A,#N/A,FALSE,"SUM";#N/A,#N/A,FALSE,"SK_TOT";#N/A,#N/A,FALSE,"YM";#N/A,#N/A,FALSE,"TSMC";#N/A,#N/A,FALSE,"ICW";#N/A,#N/A,FALSE,"Sheet1"}</definedName>
    <definedName name="xzxsfd" localSheetId="7" hidden="1">{"M1Print",#N/A,FALSE,"M1"}</definedName>
    <definedName name="备用" localSheetId="7" hidden="1">{#N/A,#N/A,FALSE,"OffAdvance";#N/A,#N/A,FALSE,"OffExpRprt";#N/A,#N/A,FALSE,"Entertmnt";#N/A,#N/A,FALSE,"Promotion";#N/A,#N/A,FALSE,"Travelling"}</definedName>
    <definedName name="借款" localSheetId="7" hidden="1">{#N/A,#N/A,FALSE,"970301";#N/A,#N/A,FALSE,"970302";#N/A,#N/A,FALSE,"970303";#N/A,#N/A,FALSE,"970304";#N/A,#N/A,FALSE,"COM1";#N/A,#N/A,FALSE,"COM2"}</definedName>
    <definedName name="苛" localSheetId="7" hidden="1">{"M1sPrint",#N/A,FALSE,"M1s"}</definedName>
    <definedName name="试验" localSheetId="7" hidden="1">{#N/A,#N/A,FALSE,"OffAdvance";#N/A,#N/A,FALSE,"OffExpRprt";#N/A,#N/A,FALSE,"Travelling";#N/A,#N/A,FALSE,"Entertmnt";#N/A,#N/A,FALSE,"Promotion"}</definedName>
    <definedName name="应手款" localSheetId="7" hidden="1">{#N/A,#N/A,FALSE,"970301";#N/A,#N/A,FALSE,"970302";#N/A,#N/A,FALSE,"970303";#N/A,#N/A,FALSE,"970304";#N/A,#N/A,FALSE,"COM1";#N/A,#N/A,FALSE,"COM2"}</definedName>
    <definedName name="应手款1月" localSheetId="7" hidden="1">{#N/A,#N/A,FALSE,"Marketing";#N/A,#N/A,FALSE,"Selling";#N/A,#N/A,FALSE,"Promotional";#N/A,#N/A,FALSE,"Advertising"}</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_Fill" localSheetId="9" hidden="1">#REF!</definedName>
    <definedName name="_Key1" localSheetId="9" hidden="1">#REF!</definedName>
    <definedName name="_Sort" localSheetId="9" hidden="1">#REF!</definedName>
    <definedName name="adas" localSheetId="9" hidden="1">{"M1Print",#N/A,TRUE,"M1";"M2Print",#N/A,TRUE,"M2";"M1sPrint",#N/A,TRUE,"M1s";"M2aPrint",#N/A,TRUE,"M2a";"M4Print",#N/A,TRUE,"M4";"M5Print",#N/A,TRUE,"M5";"M6Print",#N/A,TRUE,"M6";"M6_1Print",#N/A,TRUE,"M6_1";"M6_2Print",#N/A,TRUE,"M6_2";"M7_1Print",#N/A,TRUE,"M7_1";"M7_2Print",#N/A,TRUE,"M7_2"}</definedName>
    <definedName name="AS2TickmarkLS" localSheetId="9" hidden="1">#REF!</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Sheet1_BNE_MESSAGES" localSheetId="9" hidden="1">#REF!</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ActiveRow" localSheetId="9" hidden="1">#REF!</definedName>
    <definedName name="XRefCopy1" localSheetId="9" hidden="1">#REF!</definedName>
    <definedName name="XRefCopy11" localSheetId="9" hidden="1">#REF!</definedName>
    <definedName name="XRefCopy11Row" localSheetId="9" hidden="1">#REF!</definedName>
    <definedName name="XRefCopy13Row" localSheetId="9" hidden="1">#REF!</definedName>
    <definedName name="XRefCopy14" localSheetId="9" hidden="1">#REF!</definedName>
    <definedName name="XRefCopy16Row" localSheetId="9" hidden="1">#REF!</definedName>
    <definedName name="XRefCopy1Row" localSheetId="9" hidden="1">#REF!</definedName>
    <definedName name="XRefPaste2" localSheetId="9" hidden="1">#REF!</definedName>
    <definedName name="XRefPaste24" localSheetId="9" hidden="1">#REF!</definedName>
    <definedName name="XRefPaste2Row" localSheetId="9" hidden="1">#REF!</definedName>
    <definedName name="XRefPaste3" localSheetId="9" hidden="1">#REF!</definedName>
    <definedName name="XRefPaste6Row" localSheetId="9" hidden="1">#REF!</definedName>
    <definedName name="XRefPaste7" localSheetId="9" hidden="1">#REF!</definedName>
    <definedName name="xzxsfd" localSheetId="9" hidden="1">{"M1Print",#N/A,FALSE,"M1"}</definedName>
    <definedName name="Z_E738B51C_56AE_4F9F_8D8A_36AD6137B90D_.wvu.Cols" localSheetId="9" hidden="1">#REF!</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0.00_ ;[Red]\-#,##0.00\ "/>
    <numFmt numFmtId="165" formatCode="_(* #,##0_);_(* \(#,##0\);_(* &quot;-&quot;??_);_(@_)"/>
    <numFmt numFmtId="166" formatCode="0.0%"/>
    <numFmt numFmtId="167" formatCode="[=0]&quot;-&quot;;General"/>
    <numFmt numFmtId="168" formatCode="0_ "/>
    <numFmt numFmtId="169" formatCode="_(\¥* #,##0.00_);_(\¥* \(#,##0.00\);_(\¥* &quot;-&quot;??_);_(@_)"/>
    <numFmt numFmtId="170" formatCode="_ * #,##0.00_ ;_ * \-#,##0.00_ ;_ * &quot;-&quot;??_ ;_ @_ "/>
    <numFmt numFmtId="171" formatCode="_-* #,##0.0000000000_-;\-* #,##0.0000000000_-;_-* &quot;-&quot;??_-;_-@_-"/>
    <numFmt numFmtId="172" formatCode="_-* #,##0_-;\-* #,##0_-;_-* &quot;-&quot;_-;_-@_-"/>
    <numFmt numFmtId="173" formatCode="\¥#,##0;\-\¥#,##0"/>
    <numFmt numFmtId="174" formatCode="#,##0;\(#,##0\)"/>
    <numFmt numFmtId="175" formatCode="&quot;$&quot;#,##0;[Red]&quot;$&quot;&quot;$&quot;&quot;$&quot;&quot;$&quot;&quot;$&quot;&quot;$&quot;&quot;$&quot;\-#,##0"/>
    <numFmt numFmtId="176" formatCode="#,##0;\-#,##0;&quot;-&quot;"/>
    <numFmt numFmtId="177" formatCode="&quot;\&quot;#,##0.00;[Red]&quot;\&quot;&quot;\&quot;&quot;\&quot;&quot;\&quot;&quot;\&quot;&quot;\&quot;\-#,##0.00"/>
    <numFmt numFmtId="178" formatCode="&quot;\&quot;#,##0;[Red]&quot;\&quot;\-#,##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quot;\&quot;#,##0;[Red]&quot;\&quot;&quot;\&quot;\-#,##0"/>
    <numFmt numFmtId="186" formatCode="_(&quot;$&quot;* #,##0.00_);_(&quot;$&quot;* \(#,##0.00\);_(&quot;$&quot;* &quot;-&quot;??_);_(@_)"/>
    <numFmt numFmtId="187" formatCode="_-* #,##0\ _k_r_-;\-* #,##0\ _k_r_-;_-* &quot;-&quot;\ _k_r_-;_-@_-"/>
    <numFmt numFmtId="188" formatCode="_-* #,##0.00\ _k_r_-;\-* #,##0.00\ _k_r_-;_-* &quot;-&quot;??\ _k_r_-;_-@_-"/>
    <numFmt numFmtId="189" formatCode="#,##0.00_);#,##0.00\)"/>
    <numFmt numFmtId="190" formatCode="0.00000&quot;  &quot;"/>
    <numFmt numFmtId="191" formatCode="_-* #,##0.00_-;\-* #,##0.00_-;_-* &quot;-&quot;??_-;_-@_-"/>
    <numFmt numFmtId="192" formatCode="_-&quot;$&quot;* #,##0_-;\-&quot;$&quot;* #,##0_-;_-&quot;$&quot;* &quot;-&quot;_-;_-@_-"/>
    <numFmt numFmtId="193" formatCode="_-&quot;$&quot;* #,##0.00_-;\-&quot;$&quot;* #,##0.00_-;_-&quot;$&quot;* &quot;-&quot;??_-;_-@_-"/>
    <numFmt numFmtId="194" formatCode="&quot;\&quot;#,##0.00;[Red]&quot;\&quot;\-#,##0.00"/>
    <numFmt numFmtId="195"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6" formatCode="_([$€-2]* #,##0.00_);_([$€-2]* \(#,##0.00\);_([$€-2]* &quot;-&quot;??_)"/>
    <numFmt numFmtId="197" formatCode="* #,##0.00;[Red]\(#,##0.00\);&quot;-&quot;;\ @"/>
    <numFmt numFmtId="198" formatCode="_([$€-2]* #,##0.00000_);_([$€-2]* \(#,##0.00000\);_([$€-2]* &quot;-&quot;??_)"/>
    <numFmt numFmtId="199" formatCode="&quot;¥&quot;#,##0;\-&quot;¥&quot;#,##0"/>
    <numFmt numFmtId="200" formatCode="[$-804]aaaa;@"/>
    <numFmt numFmtId="201" formatCode="yyyy/mm/dd"/>
  </numFmts>
  <fonts count="174">
    <font>
      <name val="等线"/>
      <charset val="134"/>
      <color theme="1"/>
      <sz val="11"/>
      <scheme val="minor"/>
    </font>
    <font>
      <name val="等线"/>
      <charset val="134"/>
      <family val="2"/>
      <color theme="1"/>
      <sz val="11"/>
      <scheme val="minor"/>
    </font>
    <font>
      <name val="等线"/>
      <family val="2"/>
      <color theme="1"/>
      <sz val="11"/>
      <scheme val="minor"/>
    </font>
    <font>
      <name val="等线"/>
      <charset val="134"/>
      <family val="2"/>
      <color theme="1"/>
      <sz val="11"/>
      <scheme val="minor"/>
    </font>
    <font>
      <name val="等线"/>
      <family val="2"/>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color theme="1"/>
      <sz val="11"/>
    </font>
    <font>
      <name val="Arial"/>
      <family val="2"/>
      <color rgb="FF000000"/>
      <sz val="10"/>
    </font>
    <font>
      <name val="Arial"/>
      <family val="2"/>
      <sz val="10"/>
    </font>
    <font>
      <name val="Arial"/>
      <family val="2"/>
      <color rgb="FFFF0000"/>
      <sz val="10"/>
    </font>
    <font>
      <name val="Arial"/>
      <family val="2"/>
      <color theme="0"/>
      <sz val="10"/>
    </font>
    <font>
      <name val="宋体"/>
      <charset val="134"/>
      <family val="3"/>
      <sz val="10"/>
    </font>
    <font>
      <name val="Arial"/>
      <family val="2"/>
      <b val="1"/>
      <sz val="10"/>
    </font>
    <font>
      <name val="Arial"/>
      <family val="2"/>
      <color theme="10"/>
      <sz val="10"/>
      <u val="single"/>
    </font>
    <font>
      <name val="Arial"/>
      <family val="2"/>
      <color indexed="8"/>
      <sz val="10"/>
    </font>
    <font>
      <name val="Arial"/>
      <family val="2"/>
      <b val="1"/>
      <color indexed="8"/>
      <sz val="10"/>
    </font>
    <font>
      <name val="Arial"/>
      <family val="2"/>
      <b val="1"/>
      <color indexed="10"/>
      <sz val="10"/>
    </font>
    <font>
      <name val="Arial"/>
      <family val="2"/>
      <color indexed="10"/>
      <sz val="10"/>
    </font>
    <font>
      <name val="等线"/>
      <charset val="134"/>
      <family val="3"/>
      <color theme="10"/>
      <sz val="11"/>
      <u val="single"/>
      <scheme val="minor"/>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0"/>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Tms Rmn"/>
      <family val="1"/>
      <sz val="13"/>
    </font>
    <font>
      <name val="宋体"/>
      <charset val="134"/>
      <family val="3"/>
      <color theme="10"/>
      <sz val="11"/>
      <u val="single"/>
    </font>
    <font>
      <name val="柧挬"/>
      <family val="2"/>
      <sz val="12"/>
    </font>
    <font>
      <name val="宋体"/>
      <charset val="134"/>
      <family val="3"/>
      <color indexed="12"/>
      <sz val="10"/>
      <u val="single"/>
    </font>
    <font>
      <name val="Times New Roman"/>
      <family val="1"/>
      <sz val="12"/>
    </font>
    <font>
      <name val="宋体"/>
      <charset val="134"/>
      <family val="3"/>
      <color indexed="38"/>
      <sz val="11"/>
    </font>
    <font>
      <name val="宋体"/>
      <charset val="134"/>
      <family val="3"/>
      <color theme="1"/>
      <sz val="11"/>
    </font>
    <font>
      <name val="ＭＳ Ｐゴシック"/>
      <family val="2"/>
      <sz val="11"/>
    </font>
    <font>
      <name val="Times New Roman"/>
      <family val="1"/>
      <sz val="10"/>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b val="1"/>
      <color indexed="8"/>
      <sz val="12"/>
    </font>
    <font>
      <name val="柧挬"/>
      <family val="2"/>
      <sz val="14"/>
    </font>
    <font>
      <name val="宋体"/>
      <charset val="134"/>
      <family val="3"/>
      <color indexed="12"/>
      <sz val="12"/>
      <u val="single"/>
    </font>
    <font>
      <name val="宋体"/>
      <charset val="134"/>
      <family val="3"/>
      <b val="1"/>
      <color indexed="35"/>
      <sz val="18"/>
    </font>
    <font>
      <name val="官帕眉"/>
      <family val="2"/>
      <sz val="12"/>
    </font>
    <font>
      <name val="宋体"/>
      <charset val="134"/>
      <family val="3"/>
      <color rgb="FF006100"/>
      <sz val="11"/>
    </font>
    <font>
      <name val="EYInterstate Light"/>
      <sz val="8"/>
    </font>
    <font>
      <name val="Arial"/>
      <family val="2"/>
      <sz val="8"/>
    </font>
    <font>
      <name val="Helv"/>
      <family val="2"/>
      <b val="1"/>
      <sz val="12"/>
    </font>
    <font>
      <name val="Arial"/>
      <family val="2"/>
      <b val="1"/>
      <sz val="12"/>
    </font>
    <font>
      <name val="Helv"/>
      <family val="2"/>
      <b val="1"/>
      <sz val="11"/>
    </font>
    <font>
      <name val="Century Schoolbook"/>
      <family val="1"/>
      <sz val="8"/>
    </font>
    <font>
      <name val="Tahoma"/>
      <family val="2"/>
      <sz val="10"/>
    </font>
    <font>
      <name val="Arial Narrow"/>
      <family val="2"/>
      <sz val="10"/>
    </font>
    <font>
      <name val="Calibri"/>
      <family val="2"/>
      <color indexed="8"/>
      <sz val="11"/>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Times New Roman"/>
      <family val="1"/>
      <b val="1"/>
      <i val="1"/>
      <sz val="10"/>
    </font>
    <font>
      <name val="宋体"/>
      <charset val="134"/>
      <family val="3"/>
      <color indexed="16"/>
      <sz val="12"/>
    </font>
    <font>
      <name val="Arial"/>
      <family val="2"/>
      <color indexed="48"/>
      <sz val="19"/>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7"/>
      <sz val="12"/>
    </font>
    <font>
      <name val="新細明體"/>
      <family val="1"/>
      <sz val="12"/>
    </font>
    <font>
      <name val="奔覆眉"/>
      <family val="2"/>
      <sz val="10"/>
    </font>
    <font>
      <name val="等线"/>
      <charset val="134"/>
      <family val="3"/>
      <color theme="1"/>
      <sz val="11"/>
      <scheme val="minor"/>
    </font>
    <font>
      <name val="等线"/>
      <charset val="134"/>
      <family val="3"/>
      <sz val="9"/>
      <scheme val="minor"/>
    </font>
    <font>
      <name val="等线"/>
      <charset val="134"/>
      <family val="2"/>
      <sz val="9"/>
      <scheme val="minor"/>
    </font>
    <font>
      <name val="等线"/>
      <charset val="134"/>
      <family val="2"/>
      <color theme="1"/>
      <sz val="11"/>
      <scheme val="minor"/>
    </font>
    <font>
      <name val="等线"/>
      <family val="2"/>
      <color theme="10"/>
      <sz val="11"/>
      <u val="single"/>
      <scheme val="minor"/>
    </font>
    <font>
      <name val="Arial"/>
      <family val="2"/>
      <b val="1"/>
      <color rgb="FF000000"/>
      <sz val="10"/>
    </font>
    <font>
      <name val="Arial"/>
      <family val="2"/>
      <color theme="1"/>
      <sz val="14"/>
    </font>
    <font>
      <name val="Arial"/>
      <family val="2"/>
      <b val="1"/>
      <color theme="0"/>
      <sz val="10"/>
    </font>
    <font>
      <name val="等线"/>
      <charset val="134"/>
      <family val="3"/>
      <color theme="1"/>
      <sz val="11"/>
      <scheme val="minor"/>
    </font>
    <font>
      <name val="EYInterstate Light"/>
      <family val="2"/>
      <sz val="8"/>
    </font>
    <font>
      <name val="Helv"/>
      <family val="2"/>
      <sz val="10"/>
    </font>
    <font>
      <name val="等线"/>
      <charset val="128"/>
      <family val="3"/>
      <sz val="6"/>
      <scheme val="minor"/>
    </font>
    <font>
      <name val="等线"/>
      <charset val="134"/>
      <family val="3"/>
      <color theme="1"/>
      <sz val="11"/>
      <scheme val="minor"/>
    </font>
    <font>
      <name val="等线"/>
      <charset val="134"/>
      <family val="3"/>
      <b val="1"/>
      <color theme="0"/>
      <sz val="11"/>
      <scheme val="minor"/>
    </font>
    <font>
      <name val="Arial Unicode MS"/>
      <family val="2"/>
      <color theme="1"/>
      <sz val="9"/>
    </font>
    <font>
      <name val="等线"/>
      <charset val="134"/>
      <family val="3"/>
      <color rgb="FF006100"/>
      <sz val="11"/>
      <scheme val="minor"/>
    </font>
    <font>
      <name val="等线"/>
      <charset val="134"/>
      <family val="3"/>
      <sz val="10"/>
      <scheme val="minor"/>
    </font>
    <font>
      <name val="等线"/>
      <charset val="134"/>
      <family val="2"/>
      <color theme="10"/>
      <sz val="11"/>
      <u val="single"/>
      <scheme val="minor"/>
    </font>
    <font>
      <name val="Arial"/>
      <charset val="134"/>
      <family val="2"/>
      <color theme="1"/>
      <sz val="9"/>
    </font>
    <font>
      <name val="Arial"/>
      <family val="2"/>
      <b val="1"/>
      <strike val="1"/>
      <color rgb="FF0000FF"/>
      <sz val="10"/>
    </font>
    <font>
      <name val="Arial"/>
      <family val="2"/>
      <b val="1"/>
      <color theme="1"/>
      <sz val="10"/>
    </font>
    <font>
      <name val="Arial"/>
      <family val="2"/>
      <color rgb="FFFFFFFF"/>
      <sz val="10"/>
    </font>
    <font>
      <name val="Arial"/>
      <family val="2"/>
      <strike val="1"/>
      <color rgb="FF0000FF"/>
      <sz val="10"/>
    </font>
    <font>
      <name val="Arial"/>
      <family val="2"/>
      <i val="1"/>
      <sz val="10"/>
    </font>
    <font>
      <name val="Arial"/>
      <family val="2"/>
      <color indexed="0"/>
      <sz val="10"/>
    </font>
    <font>
      <name val="微软雅黑"/>
      <charset val="134"/>
      <family val="2"/>
      <color theme="1"/>
      <sz val="10"/>
    </font>
    <font>
      <name val="微软雅黑"/>
      <charset val="134"/>
      <family val="2"/>
      <b val="1"/>
      <color rgb="FFFF0000"/>
      <sz val="10"/>
    </font>
    <font>
      <name val="微软雅黑"/>
      <charset val="134"/>
      <family val="2"/>
      <color rgb="FF000000"/>
      <sz val="10"/>
    </font>
    <font>
      <name val="微软雅黑"/>
      <charset val="134"/>
      <family val="2"/>
      <sz val="10"/>
    </font>
    <font>
      <name val="微软雅黑"/>
      <charset val="134"/>
      <family val="2"/>
      <b val="1"/>
      <sz val="10"/>
    </font>
    <font>
      <name val="微软雅黑"/>
      <charset val="134"/>
      <family val="2"/>
      <b val="1"/>
      <color rgb="FF000000"/>
      <sz val="10"/>
    </font>
    <font>
      <name val="微软雅黑"/>
      <charset val="134"/>
      <family val="2"/>
      <b val="1"/>
      <i val="1"/>
      <color rgb="FFFF0000"/>
      <sz val="10"/>
    </font>
    <font>
      <name val="微软雅黑"/>
      <charset val="134"/>
      <family val="2"/>
      <b val="1"/>
      <color theme="1"/>
      <sz val="10"/>
    </font>
    <font>
      <name val="微软雅黑"/>
      <charset val="134"/>
      <family val="2"/>
      <i val="1"/>
      <sz val="10"/>
    </font>
    <font>
      <name val="Arial"/>
      <family val="2"/>
      <b val="1"/>
      <color rgb="FF000000"/>
      <sz val="14"/>
    </font>
    <font>
      <name val="等线"/>
      <charset val="134"/>
      <family val="3"/>
      <color rgb="FF9C0006"/>
      <sz val="11"/>
      <scheme val="minor"/>
    </font>
    <font>
      <name val="Calibri"/>
      <family val="2"/>
      <color rgb="FF000000"/>
      <sz val="11"/>
    </font>
    <font>
      <name val="宋体"/>
      <charset val="134"/>
      <family val="3"/>
      <b val="1"/>
      <color rgb="FFFF0000"/>
      <sz val="11"/>
    </font>
    <font>
      <name val="宋体"/>
      <charset val="134"/>
      <family val="3"/>
      <b val="1"/>
      <color theme="1"/>
      <sz val="10"/>
    </font>
    <font>
      <name val="等线"/>
      <charset val="134"/>
      <family val="3"/>
      <color theme="10"/>
      <sz val="10"/>
      <u val="single"/>
    </font>
    <font>
      <name val="等线"/>
      <charset val="134"/>
      <family val="3"/>
      <color rgb="FF9C5700"/>
      <sz val="11"/>
      <scheme val="minor"/>
    </font>
    <font>
      <name val="Times New Roman"/>
      <family val="1"/>
      <color theme="1"/>
      <sz val="10"/>
    </font>
    <font>
      <name val="宋体"/>
      <charset val="134"/>
      <family val="3"/>
      <color theme="1"/>
      <sz val="12"/>
    </font>
    <font>
      <name val="等线"/>
      <charset val="134"/>
      <family val="3"/>
      <color theme="1"/>
      <sz val="10"/>
    </font>
    <font>
      <name val="Calibri"/>
      <family val="2"/>
      <color rgb="FF000000"/>
      <sz val="12"/>
    </font>
    <font>
      <name val="宋体"/>
      <charset val="134"/>
      <family val="2"/>
      <sz val="10"/>
    </font>
    <font>
      <name val="Arial"/>
      <family val="2"/>
      <color theme="10"/>
      <sz val="9"/>
      <u val="single"/>
    </font>
    <font>
      <name val="Arial"/>
      <family val="2"/>
      <b val="1"/>
      <color rgb="FF000000"/>
      <sz val="12"/>
    </font>
    <font>
      <name val="Arial"/>
      <family val="2"/>
      <b val="1"/>
      <color theme="0"/>
      <sz val="14"/>
    </font>
    <font>
      <name val="Arial"/>
      <family val="2"/>
      <b val="1"/>
      <color rgb="FFFFC000"/>
      <sz val="14"/>
    </font>
    <font>
      <name val="Arial"/>
      <family val="2"/>
      <color theme="10"/>
      <sz val="12"/>
      <u val="single"/>
    </font>
    <font>
      <name val="Arial"/>
      <family val="2"/>
      <b val="1"/>
      <color rgb="FF0000FF"/>
      <sz val="10"/>
    </font>
    <font>
      <name val="Arial"/>
      <family val="2"/>
      <i val="1"/>
      <color theme="4" tint="-0.249977111117893"/>
      <sz val="8"/>
      <vertAlign val="superscript"/>
    </font>
    <font>
      <name val="Arial"/>
      <family val="2"/>
      <b val="1"/>
      <i val="1"/>
      <color rgb="FFFF0000"/>
      <sz val="10"/>
    </font>
    <font>
      <name val="Arial"/>
      <family val="2"/>
      <i val="1"/>
      <color rgb="FF000000"/>
      <sz val="10"/>
    </font>
    <font>
      <name val="Arial"/>
      <family val="2"/>
      <color rgb="FF242424"/>
      <sz val="10"/>
    </font>
    <font>
      <name val="Arial"/>
      <family val="2"/>
      <b val="1"/>
      <i val="1"/>
      <color theme="4"/>
      <sz val="10"/>
    </font>
    <font>
      <name val="Tahoma"/>
      <family val="2"/>
      <color theme="1"/>
      <sz val="10"/>
    </font>
    <font>
      <name val="等线"/>
      <family val="2"/>
      <color indexed="8"/>
      <sz val="11"/>
      <scheme val="minor"/>
    </font>
    <font>
      <name val="微软雅黑"/>
      <charset val="134"/>
      <family val="2"/>
      <b val="1"/>
      <i val="1"/>
      <sz val="10"/>
    </font>
    <font>
      <name val="Arial"/>
      <family val="2"/>
      <b val="1"/>
      <color rgb="FFFFC000"/>
      <sz val="10"/>
    </font>
    <font>
      <name val="Arial"/>
      <family val="2"/>
      <i val="1"/>
      <color theme="1"/>
      <sz val="10"/>
    </font>
    <font>
      <name val="Arial"/>
      <family val="2"/>
      <b val="1"/>
      <color rgb="FFFFFFFF"/>
      <sz val="14"/>
    </font>
    <font>
      <name val="等线"/>
      <family val="2"/>
      <color rgb="FF000000"/>
      <sz val="11"/>
      <scheme val="minor"/>
    </font>
    <font>
      <name val="Arial"/>
      <family val="2"/>
      <sz val="12"/>
    </font>
    <font>
      <name val="times new roman"/>
      <family val="2"/>
      <color theme="1"/>
      <sz val="10"/>
    </font>
    <font>
      <name val="微软雅黑"/>
      <charset val="134"/>
      <family val="2"/>
      <b val="1"/>
      <i val="1"/>
      <color rgb="FF000000"/>
      <sz val="10"/>
    </font>
    <font>
      <name val="Arial"/>
      <family val="2"/>
      <b val="1"/>
      <color theme="10"/>
      <sz val="9"/>
      <u val="single"/>
    </font>
    <font>
      <name val="Arial"/>
      <family val="2"/>
      <b val="1"/>
      <color rgb="FFFF0000"/>
      <sz val="10"/>
      <vertAlign val="superscript"/>
    </font>
    <font>
      <name val="微软雅黑"/>
      <charset val="134"/>
      <family val="2"/>
      <b val="1"/>
      <color rgb="FFFFFFFF"/>
      <sz val="14"/>
    </font>
    <font>
      <name val="微软雅黑"/>
      <charset val="134"/>
      <family val="2"/>
      <b val="1"/>
      <color theme="0"/>
      <sz val="14"/>
    </font>
    <font>
      <name val="微软雅黑"/>
      <charset val="134"/>
      <family val="2"/>
      <b val="1"/>
      <sz val="12"/>
    </font>
    <font>
      <name val="微软雅黑"/>
      <charset val="134"/>
      <family val="2"/>
      <b val="1"/>
      <color rgb="FF000000"/>
      <sz val="12"/>
    </font>
    <font>
      <name val="微软雅黑"/>
      <charset val="134"/>
      <family val="2"/>
      <b val="1"/>
      <color rgb="FFFF0000"/>
      <sz val="14"/>
    </font>
    <font>
      <name val="微软雅黑"/>
      <charset val="134"/>
      <family val="2"/>
      <b val="1"/>
      <color rgb="FF000000"/>
      <sz val="14"/>
    </font>
    <font>
      <name val="微软雅黑"/>
      <charset val="134"/>
      <family val="2"/>
      <b val="1"/>
      <i val="1"/>
      <color rgb="FFFF0000"/>
      <sz val="14"/>
    </font>
    <font>
      <name val="Arial"/>
      <family val="2"/>
      <b val="1"/>
      <i val="1"/>
      <color rgb="FFFF0000"/>
      <sz val="14"/>
    </font>
    <font>
      <name val="Arial"/>
      <family val="2"/>
      <color theme="1"/>
      <sz val="12"/>
    </font>
    <font>
      <name val="Arial"/>
      <family val="2"/>
      <b val="1"/>
      <color theme="1"/>
      <sz val="12"/>
    </font>
    <font>
      <name val="Arial"/>
      <family val="2"/>
      <color rgb="FF000000"/>
      <sz val="14"/>
    </font>
    <font>
      <name val="Arial"/>
      <family val="2"/>
      <b val="1"/>
      <color rgb="FFFF0000"/>
      <sz val="14"/>
    </font>
    <font>
      <name val="Arial"/>
      <family val="2"/>
      <b val="1"/>
      <color rgb="FFFF0000"/>
      <sz val="12"/>
    </font>
    <font>
      <name val="Arial"/>
      <family val="2"/>
      <b val="1"/>
      <color indexed="8"/>
      <sz val="14"/>
    </font>
    <font>
      <name val="微软雅黑"/>
      <charset val="134"/>
      <family val="2"/>
      <b val="1"/>
      <color indexed="8"/>
      <sz val="14"/>
    </font>
    <font>
      <name val="Arial"/>
      <family val="2"/>
      <b val="1"/>
      <color rgb="FF000000"/>
      <sz val="11"/>
    </font>
    <font>
      <name val="Arial"/>
      <family val="2"/>
      <color rgb="FF000000"/>
      <sz val="11"/>
    </font>
    <font>
      <name val="微软雅黑"/>
      <family val="2"/>
      <b val="1"/>
      <sz val="10"/>
    </font>
    <font>
      <name val="Arial"/>
      <charset val="134"/>
      <family val="2"/>
      <sz val="10"/>
    </font>
    <font>
      <name val="Arial"/>
      <family val="2"/>
      <b val="1"/>
      <color theme="4" tint="-0.249977111117893"/>
      <sz val="10"/>
      <u val="single"/>
    </font>
    <font>
      <name val="微软雅黑"/>
      <charset val="134"/>
      <family val="2"/>
      <b val="1"/>
      <color theme="4" tint="-0.249977111117893"/>
      <sz val="10"/>
      <u val="single"/>
    </font>
    <font>
      <name val="Arial"/>
      <family val="2"/>
      <color rgb="FFFF0000"/>
      <sz val="10"/>
      <u val="single"/>
    </font>
    <font>
      <name val="微软雅黑"/>
      <charset val="134"/>
      <family val="2"/>
      <color rgb="FFFF0000"/>
      <sz val="10"/>
      <u val="single"/>
    </font>
    <font>
      <name val="Arial"/>
      <charset val="134"/>
      <family val="2"/>
      <b val="1"/>
      <color rgb="FF000000"/>
      <sz val="10"/>
    </font>
    <font>
      <name val="Arial"/>
      <family val="2"/>
      <b val="1"/>
      <color theme="1"/>
      <sz val="11"/>
    </font>
    <font>
      <name val="Arial"/>
      <family val="2"/>
      <color rgb="FF0000FF"/>
      <sz val="10"/>
    </font>
    <font>
      <name val="Arial"/>
      <family val="2"/>
      <color theme="4" tint="-0.249977111117893"/>
      <sz val="10"/>
      <u val="single"/>
    </font>
    <font>
      <name val="Arial"/>
      <family val="2"/>
      <b val="1"/>
      <color rgb="FFFF0000"/>
      <sz val="16"/>
    </font>
  </fonts>
  <fills count="62">
    <fill>
      <patternFill/>
    </fill>
    <fill>
      <patternFill patternType="gray125"/>
    </fill>
    <fill>
      <patternFill patternType="solid">
        <fgColor theme="0"/>
        <bgColor indexed="64"/>
      </patternFill>
    </fill>
    <fill>
      <patternFill patternType="solid">
        <fgColor theme="0" tint="-0.3499252296517838"/>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theme="6"/>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indexed="10"/>
        <bgColor indexed="64"/>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lightUp">
        <fgColor indexed="9"/>
        <bgColor indexed="55"/>
      </patternFill>
    </fill>
    <fill>
      <patternFill patternType="solid">
        <fgColor indexed="1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29"/>
      </patternFill>
    </fill>
    <fill>
      <patternFill patternType="solid">
        <fgColor theme="0" tint="-0.3499862666707358"/>
        <bgColor indexed="64"/>
      </patternFill>
    </fill>
    <fill>
      <patternFill patternType="solid">
        <fgColor theme="8" tint="0.7999816888943144"/>
        <bgColor indexed="64"/>
      </patternFill>
    </fill>
    <fill>
      <patternFill patternType="solid">
        <fgColor theme="4" tint="0.7999816888943144"/>
        <bgColor indexed="64"/>
      </patternFill>
    </fill>
    <fill>
      <patternFill patternType="solid">
        <fgColor rgb="FFA5A5A5"/>
        <bgColor indexed="64"/>
      </patternFill>
    </fill>
    <fill>
      <patternFill patternType="solid">
        <fgColor rgb="FFC6EFCE"/>
        <bgColor indexed="64"/>
      </patternFill>
    </fill>
    <fill>
      <patternFill patternType="solid">
        <fgColor theme="4" tint="0.7993102816858425"/>
        <bgColor indexed="64"/>
      </patternFill>
    </fill>
    <fill>
      <patternFill patternType="solid">
        <fgColor theme="9" tint="0.7993102816858425"/>
        <bgColor indexed="64"/>
      </patternFill>
    </fill>
    <fill>
      <patternFill patternType="solid">
        <fgColor rgb="FFFFC7CE"/>
        <bgColor indexed="64"/>
      </patternFill>
    </fill>
    <fill>
      <patternFill patternType="solid">
        <fgColor rgb="FF808080"/>
        <bgColor indexed="64"/>
      </patternFill>
    </fill>
    <fill>
      <patternFill patternType="solid">
        <fgColor rgb="FFFFEB9C"/>
        <bgColor indexed="64"/>
      </patternFill>
    </fill>
    <fill>
      <patternFill patternType="solid">
        <fgColor indexed="62"/>
        <bgColor indexed="64"/>
      </patternFill>
    </fill>
    <fill>
      <patternFill patternType="solid">
        <fgColor rgb="FF000000"/>
        <bgColor rgb="FF000000"/>
      </patternFill>
    </fill>
    <fill>
      <patternFill patternType="solid">
        <fgColor theme="1"/>
        <bgColor indexed="64"/>
      </patternFill>
    </fill>
    <fill>
      <patternFill patternType="solid">
        <fgColor rgb="FF333399"/>
        <bgColor indexed="64"/>
      </patternFill>
    </fill>
    <fill>
      <patternFill patternType="solid">
        <fgColor theme="0" tint="-0.0499893185216834"/>
        <bgColor indexed="64"/>
      </patternFill>
    </fill>
    <fill>
      <patternFill patternType="solid">
        <fgColor rgb="FFF2F2F2"/>
        <bgColor rgb="FF000000"/>
      </patternFill>
    </fill>
    <fill>
      <patternFill patternType="solid">
        <fgColor theme="0" tint="-0.3499862666707358"/>
        <bgColor rgb="FF000000"/>
      </patternFill>
    </fill>
    <fill>
      <patternFill patternType="solid">
        <fgColor rgb="FF333399"/>
        <bgColor rgb="FF000000"/>
      </patternFill>
    </fill>
    <fill>
      <patternFill patternType="solid">
        <fgColor rgb="FFFFFFFF"/>
        <bgColor rgb="FF000000"/>
      </patternFill>
    </fill>
    <fill>
      <patternFill patternType="solid">
        <fgColor rgb="FFA6A6A6"/>
        <bgColor rgb="FF000000"/>
      </patternFill>
    </fill>
  </fills>
  <borders count="92">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medium">
        <color auto="1"/>
      </top>
      <bottom style="medium">
        <color auto="1"/>
      </bottom>
      <diagonal/>
    </border>
    <border>
      <left/>
      <right/>
      <top/>
      <bottom style="medium">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style="medium">
        <color indexed="64"/>
      </top>
      <bottom style="medium">
        <color auto="1"/>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right/>
      <top style="double">
        <color indexed="64"/>
      </top>
      <bottom/>
      <diagonal/>
    </border>
    <border>
      <left style="thin">
        <color auto="1"/>
      </left>
      <right style="thin">
        <color auto="1"/>
      </right>
      <top style="thin">
        <color auto="1"/>
      </top>
      <bottom style="thin">
        <color auto="1"/>
      </bottom>
      <diagonal/>
    </border>
    <border>
      <left/>
      <right/>
      <top style="medium">
        <color indexed="64"/>
      </top>
      <bottom style="medium">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48"/>
      </left>
      <right style="thin">
        <color indexed="48"/>
      </right>
      <top style="thin">
        <color indexed="48"/>
      </top>
      <bottom style="thin">
        <color indexed="48"/>
      </bottom>
      <diagonal/>
    </border>
    <border>
      <left style="thin">
        <color auto="1"/>
      </left>
      <right/>
      <top/>
      <bottom style="thin">
        <color auto="1"/>
      </bottom>
      <diagonal/>
    </border>
    <border>
      <left/>
      <right style="thin">
        <color indexed="64"/>
      </right>
      <top/>
      <bottom/>
      <diagonal/>
    </border>
    <border>
      <left style="thin">
        <color indexed="64"/>
      </left>
      <right style="thin">
        <color indexed="64"/>
      </right>
      <top style="thin">
        <color indexed="64"/>
      </top>
      <bottom style="thin">
        <color auto="1"/>
      </bottom>
      <diagonal/>
    </border>
    <border>
      <left style="thin">
        <color indexed="41"/>
      </left>
      <right style="thin">
        <color indexed="48"/>
      </right>
      <top style="medium">
        <color indexed="41"/>
      </top>
      <bottom style="thin">
        <color indexed="48"/>
      </bottom>
      <diagonal/>
    </border>
    <border>
      <left/>
      <right/>
      <top style="medium">
        <color indexed="64"/>
      </top>
      <bottom style="medium">
        <color auto="1"/>
      </bottom>
      <diagonal/>
    </border>
    <border>
      <left/>
      <right/>
      <top style="medium">
        <color auto="1"/>
      </top>
      <bottom style="medium">
        <color auto="1"/>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top style="thin">
        <color auto="1"/>
      </top>
      <bottom style="double">
        <color auto="1"/>
      </bottom>
      <diagonal/>
    </border>
    <border>
      <left/>
      <right/>
      <top style="thin">
        <color rgb="FF000000"/>
      </top>
      <bottom/>
      <diagonal/>
    </border>
    <border>
      <left/>
      <right/>
      <top style="thin">
        <color rgb="FF000000"/>
      </top>
      <bottom style="thin">
        <color rgb="FF000000"/>
      </bottom>
      <diagonal/>
    </border>
    <border>
      <left/>
      <right style="thin">
        <color auto="1"/>
      </right>
      <top style="thin">
        <color auto="1"/>
      </top>
      <bottom style="thin">
        <color auto="1"/>
      </bottom>
      <diagonal/>
    </border>
    <border>
      <left/>
      <right style="thin">
        <color indexed="64"/>
      </right>
      <top/>
      <bottom style="thin">
        <color rgb="FF000000"/>
      </bottom>
      <diagonal/>
    </border>
    <border>
      <left style="thin">
        <color indexed="64"/>
      </left>
      <right/>
      <top style="thin">
        <color indexed="64"/>
      </top>
      <bottom style="thin">
        <color indexed="64"/>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indexed="64"/>
      </top>
      <bottom style="thin">
        <color rgb="FF000000"/>
      </bottom>
      <diagonal/>
    </border>
    <border>
      <left style="thin">
        <color rgb="FF000000"/>
      </left>
      <right/>
      <top style="thin">
        <color rgb="FF000000"/>
      </top>
      <bottom/>
      <diagonal/>
    </border>
    <border>
      <left style="medium">
        <color indexed="64"/>
      </left>
      <right style="medium">
        <color indexed="64"/>
      </right>
      <top style="thin">
        <color rgb="FF000000"/>
      </top>
      <bottom/>
      <diagonal/>
    </border>
    <border>
      <left style="medium">
        <color indexed="64"/>
      </left>
      <right style="thin">
        <color rgb="FF000000"/>
      </right>
      <top style="thin">
        <color rgb="FF000000"/>
      </top>
      <bottom/>
      <diagonal/>
    </border>
    <border>
      <left style="thin">
        <color rgb="FF000000"/>
      </left>
      <right/>
      <top style="thin">
        <color auto="1"/>
      </top>
      <bottom/>
      <diagonal/>
    </border>
    <border>
      <left/>
      <right style="thin">
        <color rgb="FF000000"/>
      </right>
      <top style="thin">
        <color auto="1"/>
      </top>
      <bottom/>
      <diagonal/>
    </border>
    <border>
      <left style="thin">
        <color rgb="FF000000"/>
      </left>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indexed="64"/>
      </top>
      <bottom style="thin">
        <color indexed="64"/>
      </bottom>
      <diagonal/>
    </border>
    <border>
      <left style="thin">
        <color rgb="FF000000"/>
      </left>
      <right style="medium">
        <color indexed="64"/>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auto="1"/>
      </bottom>
      <diagonal/>
    </border>
    <border>
      <left/>
      <right style="thin">
        <color indexed="64"/>
      </right>
      <top style="thin">
        <color indexed="64"/>
      </top>
      <bottom style="thin">
        <color auto="1"/>
      </bottom>
      <diagonal/>
    </border>
    <border>
      <left style="thin">
        <color rgb="FF000000"/>
      </left>
      <right style="thin">
        <color rgb="FF000000"/>
      </right>
      <top style="thin">
        <color auto="1"/>
      </top>
      <bottom style="thin">
        <color rgb="FF000000"/>
      </bottom>
      <diagonal/>
    </border>
    <border>
      <left style="thin">
        <color indexed="64"/>
      </left>
      <right/>
      <top/>
      <bottom/>
      <diagonal/>
    </border>
    <border>
      <left style="thin">
        <color indexed="64"/>
      </left>
      <right/>
      <top/>
      <bottom style="thin">
        <color auto="1"/>
      </bottom>
      <diagonal/>
    </border>
    <border>
      <left/>
      <right style="thin">
        <color indexed="64"/>
      </right>
      <top/>
      <bottom style="thin">
        <color auto="1"/>
      </bottom>
      <diagonal/>
    </border>
    <border>
      <left/>
      <right style="thin">
        <color auto="1"/>
      </right>
      <top/>
      <bottom/>
      <diagonal/>
    </border>
    <border>
      <left style="thin">
        <color indexed="64"/>
      </left>
      <right style="thin">
        <color auto="1"/>
      </right>
      <top style="thin">
        <color indexed="64"/>
      </top>
      <bottom style="thin">
        <color indexed="64"/>
      </bottom>
      <diagonal/>
    </border>
    <border>
      <left/>
      <right style="thin">
        <color auto="1"/>
      </right>
      <top style="thin">
        <color indexed="64"/>
      </top>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rgb="FF000000"/>
      </left>
      <right style="thin">
        <color auto="1"/>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rgb="FF000000"/>
      </right>
      <top style="thin">
        <color indexed="64"/>
      </top>
      <bottom/>
      <diagonal/>
    </border>
    <border>
      <left/>
      <right style="thin">
        <color rgb="FF000000"/>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bottom/>
      <diagonal/>
    </border>
    <border>
      <left style="thin">
        <color auto="1"/>
      </left>
      <right style="thin">
        <color indexed="64"/>
      </right>
      <top/>
      <bottom/>
      <diagonal/>
    </border>
  </borders>
  <cellStyleXfs count="3761">
    <xf numFmtId="0" fontId="0" fillId="0" borderId="0"/>
    <xf numFmtId="41" fontId="11" fillId="0" borderId="0"/>
    <xf numFmtId="0" fontId="22" fillId="4" borderId="0" applyAlignment="1">
      <alignment vertical="center"/>
    </xf>
    <xf numFmtId="0" fontId="23" fillId="5" borderId="0"/>
    <xf numFmtId="0" fontId="17" fillId="6" borderId="30" applyAlignment="1">
      <alignment horizontal="left" vertical="center" indent="1"/>
    </xf>
    <xf numFmtId="0" fontId="24" fillId="0" borderId="0"/>
    <xf numFmtId="0" fontId="25" fillId="7" borderId="0"/>
    <xf numFmtId="0" fontId="89" fillId="0" borderId="0"/>
    <xf numFmtId="43" fontId="26" fillId="0" borderId="0"/>
    <xf numFmtId="43" fontId="89" fillId="0" borderId="0"/>
    <xf numFmtId="41" fontId="27" fillId="0" borderId="0"/>
    <xf numFmtId="0" fontId="28" fillId="8" borderId="0"/>
    <xf numFmtId="0" fontId="27" fillId="0" borderId="0"/>
    <xf numFmtId="0" fontId="11" fillId="0" borderId="0"/>
    <xf numFmtId="9" fontId="89" fillId="0" borderId="0"/>
    <xf numFmtId="0" fontId="27" fillId="0" borderId="0" applyAlignment="1">
      <alignment vertical="center"/>
    </xf>
    <xf numFmtId="0" fontId="29" fillId="0" borderId="0" applyAlignment="1">
      <alignment horizontal="left"/>
    </xf>
    <xf numFmtId="43" fontId="11" fillId="0" borderId="0"/>
    <xf numFmtId="0" fontId="30" fillId="9" borderId="0"/>
    <xf numFmtId="9" fontId="89" fillId="0" borderId="0"/>
    <xf numFmtId="171" fontId="27" fillId="0" borderId="0"/>
    <xf numFmtId="41" fontId="11" fillId="0" borderId="0"/>
    <xf numFmtId="0" fontId="23" fillId="10" borderId="0"/>
    <xf numFmtId="0" fontId="32" fillId="11" borderId="0"/>
    <xf numFmtId="0" fontId="89" fillId="0" borderId="0"/>
    <xf numFmtId="43" fontId="89" fillId="0" borderId="0"/>
    <xf numFmtId="0" fontId="17" fillId="9" borderId="30" applyAlignment="1">
      <alignment horizontal="right" vertical="center"/>
    </xf>
    <xf numFmtId="0" fontId="22" fillId="12" borderId="0" applyAlignment="1">
      <alignment vertical="center"/>
    </xf>
    <xf numFmtId="166" fontId="33" fillId="0" borderId="0"/>
    <xf numFmtId="41" fontId="27" fillId="0" borderId="0"/>
    <xf numFmtId="0" fontId="34" fillId="0" borderId="0"/>
    <xf numFmtId="0" fontId="35"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27" fillId="0" borderId="0"/>
    <xf numFmtId="172" fontId="37" fillId="0" borderId="0"/>
    <xf numFmtId="0" fontId="25" fillId="18" borderId="0"/>
    <xf numFmtId="0" fontId="38" fillId="10" borderId="0"/>
    <xf numFmtId="10" fontId="33" fillId="0" borderId="0"/>
    <xf numFmtId="41" fontId="89" fillId="0" borderId="0"/>
    <xf numFmtId="173" fontId="27" fillId="0" borderId="0"/>
    <xf numFmtId="0" fontId="28" fillId="19" borderId="0"/>
    <xf numFmtId="0" fontId="89" fillId="0" borderId="0"/>
    <xf numFmtId="41" fontId="89" fillId="0" borderId="0"/>
    <xf numFmtId="0" fontId="28" fillId="20" borderId="0"/>
    <xf numFmtId="0" fontId="25" fillId="18" borderId="0"/>
    <xf numFmtId="0" fontId="28" fillId="21" borderId="0"/>
    <xf numFmtId="0" fontId="39" fillId="0" borderId="0"/>
    <xf numFmtId="0" fontId="25" fillId="6" borderId="0"/>
    <xf numFmtId="0" fontId="40" fillId="0" borderId="0"/>
    <xf numFmtId="174" fontId="41" fillId="0" borderId="0"/>
    <xf numFmtId="0" fontId="22" fillId="22" borderId="0" applyAlignment="1">
      <alignment vertical="center"/>
    </xf>
    <xf numFmtId="0" fontId="23" fillId="5" borderId="0"/>
    <xf numFmtId="0" fontId="23" fillId="5" borderId="0"/>
    <xf numFmtId="0" fontId="28" fillId="8" borderId="0"/>
    <xf numFmtId="175" fontId="11" fillId="0" borderId="0"/>
    <xf numFmtId="0" fontId="25" fillId="6" borderId="0"/>
    <xf numFmtId="0" fontId="89" fillId="0" borderId="0"/>
    <xf numFmtId="0" fontId="25" fillId="5" borderId="0"/>
    <xf numFmtId="0" fontId="28" fillId="7" borderId="0"/>
    <xf numFmtId="0" fontId="23" fillId="5" borderId="0"/>
    <xf numFmtId="0" fontId="28" fillId="20" borderId="0"/>
    <xf numFmtId="0" fontId="25" fillId="18" borderId="0"/>
    <xf numFmtId="0" fontId="32" fillId="11" borderId="0"/>
    <xf numFmtId="0" fontId="17" fillId="23" borderId="30" applyAlignment="1">
      <alignment horizontal="right" vertical="center"/>
    </xf>
    <xf numFmtId="0" fontId="25" fillId="7" borderId="0"/>
    <xf numFmtId="0" fontId="89" fillId="0" borderId="0"/>
    <xf numFmtId="0" fontId="28" fillId="7" borderId="0"/>
    <xf numFmtId="43" fontId="89" fillId="0" borderId="0"/>
    <xf numFmtId="0" fontId="22" fillId="24" borderId="0" applyAlignment="1">
      <alignment vertical="center"/>
    </xf>
    <xf numFmtId="0" fontId="11" fillId="21" borderId="30" applyAlignment="1">
      <alignment horizontal="left" vertical="center" indent="1"/>
    </xf>
    <xf numFmtId="0" fontId="28" fillId="25" borderId="0"/>
    <xf numFmtId="0" fontId="25" fillId="26" borderId="0"/>
    <xf numFmtId="41" fontId="41" fillId="0" borderId="0"/>
    <xf numFmtId="0" fontId="25" fillId="18" borderId="0"/>
    <xf numFmtId="0" fontId="28" fillId="21" borderId="0"/>
    <xf numFmtId="0" fontId="22" fillId="27" borderId="0" applyAlignment="1">
      <alignment vertical="center"/>
    </xf>
    <xf numFmtId="0" fontId="28" fillId="28" borderId="0"/>
    <xf numFmtId="0" fontId="18" fillId="29" borderId="37" applyAlignment="1">
      <alignment horizontal="left" vertical="center" indent="1"/>
    </xf>
    <xf numFmtId="0" fontId="17" fillId="11" borderId="30" applyAlignment="1">
      <alignment horizontal="right" vertical="center"/>
    </xf>
    <xf numFmtId="0" fontId="25" fillId="6" borderId="0"/>
    <xf numFmtId="0" fontId="26" fillId="0" borderId="0"/>
    <xf numFmtId="0" fontId="17" fillId="23" borderId="30" applyAlignment="1">
      <alignment horizontal="right" vertical="center"/>
    </xf>
    <xf numFmtId="0" fontId="25" fillId="17" borderId="0"/>
    <xf numFmtId="0" fontId="17" fillId="16" borderId="30" applyAlignment="1">
      <alignment horizontal="right" vertical="center"/>
    </xf>
    <xf numFmtId="0" fontId="18" fillId="13" borderId="30" applyAlignment="1">
      <alignment vertical="center"/>
    </xf>
    <xf numFmtId="0" fontId="28" fillId="17" borderId="0"/>
    <xf numFmtId="0" fontId="17" fillId="30" borderId="30" applyAlignment="1">
      <alignment horizontal="right" vertical="center"/>
    </xf>
    <xf numFmtId="0" fontId="22" fillId="31" borderId="0" applyAlignment="1">
      <alignment vertical="center"/>
    </xf>
    <xf numFmtId="0" fontId="11" fillId="0" borderId="0"/>
    <xf numFmtId="176" fontId="17" fillId="0" borderId="0"/>
    <xf numFmtId="175" fontId="11" fillId="0" borderId="0"/>
    <xf numFmtId="0" fontId="42" fillId="0" borderId="0"/>
    <xf numFmtId="0" fontId="43" fillId="32" borderId="15"/>
    <xf numFmtId="43" fontId="27" fillId="0" borderId="0"/>
    <xf numFmtId="0" fontId="44" fillId="0" borderId="1" applyAlignment="1">
      <alignment horizontal="center"/>
    </xf>
    <xf numFmtId="0" fontId="30" fillId="9" borderId="0"/>
    <xf numFmtId="0" fontId="11" fillId="16" borderId="30" applyAlignment="1">
      <alignment horizontal="left" vertical="center" indent="1"/>
    </xf>
    <xf numFmtId="175" fontId="11" fillId="0" borderId="0"/>
    <xf numFmtId="175" fontId="11" fillId="0" borderId="0"/>
    <xf numFmtId="0" fontId="89" fillId="0" borderId="0"/>
    <xf numFmtId="43" fontId="89" fillId="0" borderId="0"/>
    <xf numFmtId="175" fontId="11" fillId="0" borderId="0"/>
    <xf numFmtId="0" fontId="89" fillId="0" borderId="0"/>
    <xf numFmtId="175" fontId="11" fillId="0" borderId="0"/>
    <xf numFmtId="175" fontId="11" fillId="0" borderId="0"/>
    <xf numFmtId="177" fontId="11" fillId="0" borderId="0"/>
    <xf numFmtId="175" fontId="11" fillId="0" borderId="0"/>
    <xf numFmtId="0" fontId="45" fillId="33" borderId="0"/>
    <xf numFmtId="41" fontId="89" fillId="0" borderId="0"/>
    <xf numFmtId="0" fontId="38" fillId="10" borderId="0"/>
    <xf numFmtId="41" fontId="46" fillId="0" borderId="0"/>
    <xf numFmtId="41" fontId="89" fillId="0" borderId="0"/>
    <xf numFmtId="0" fontId="26" fillId="0" borderId="0"/>
    <xf numFmtId="41" fontId="89" fillId="0" borderId="0"/>
    <xf numFmtId="41" fontId="89" fillId="0" borderId="0"/>
    <xf numFmtId="0" fontId="38" fillId="10" borderId="0"/>
    <xf numFmtId="0" fontId="89" fillId="0" borderId="0"/>
    <xf numFmtId="41" fontId="89" fillId="0" borderId="0"/>
    <xf numFmtId="0" fontId="89" fillId="0" borderId="0"/>
    <xf numFmtId="41" fontId="89" fillId="0" borderId="0"/>
    <xf numFmtId="41" fontId="89" fillId="0" borderId="0"/>
    <xf numFmtId="41" fontId="46" fillId="0" borderId="0"/>
    <xf numFmtId="0" fontId="47" fillId="34" borderId="0"/>
    <xf numFmtId="0" fontId="38" fillId="1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23" fillId="5" borderId="0"/>
    <xf numFmtId="0" fontId="16" fillId="0" borderId="0"/>
    <xf numFmtId="0" fontId="32" fillId="11" borderId="0"/>
    <xf numFmtId="41" fontId="27" fillId="0" borderId="0"/>
    <xf numFmtId="38" fontId="48" fillId="0" borderId="0"/>
    <xf numFmtId="0" fontId="49" fillId="0" borderId="0" applyProtection="1">
      <protection locked="0" hidden="0"/>
    </xf>
    <xf numFmtId="41" fontId="27" fillId="0" borderId="0"/>
    <xf numFmtId="0" fontId="16" fillId="0" borderId="0"/>
    <xf numFmtId="41" fontId="27" fillId="0" borderId="0"/>
    <xf numFmtId="0" fontId="16"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0" fontId="23" fillId="5" borderId="0"/>
    <xf numFmtId="0" fontId="50" fillId="0" borderId="0"/>
    <xf numFmtId="43" fontId="89" fillId="0" borderId="0"/>
    <xf numFmtId="43" fontId="89" fillId="0" borderId="0"/>
    <xf numFmtId="0" fontId="38" fillId="10" borderId="0"/>
    <xf numFmtId="43" fontId="89" fillId="0" borderId="0"/>
    <xf numFmtId="43" fontId="89" fillId="0" borderId="0"/>
    <xf numFmtId="43" fontId="27" fillId="0" borderId="0"/>
    <xf numFmtId="0" fontId="32" fillId="11" borderId="0"/>
    <xf numFmtId="43" fontId="27" fillId="0" borderId="0"/>
    <xf numFmtId="43" fontId="27" fillId="0" borderId="0"/>
    <xf numFmtId="178" fontId="51"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0" fontId="30" fillId="9" borderId="0"/>
    <xf numFmtId="43" fontId="89" fillId="0" borderId="0"/>
    <xf numFmtId="37" fontId="33" fillId="0" borderId="0"/>
    <xf numFmtId="0" fontId="30" fillId="9" borderId="0"/>
    <xf numFmtId="179" fontId="33" fillId="0" borderId="0"/>
    <xf numFmtId="0" fontId="41" fillId="0" borderId="0"/>
    <xf numFmtId="39" fontId="33" fillId="0" borderId="0"/>
    <xf numFmtId="180" fontId="33" fillId="0" borderId="0"/>
    <xf numFmtId="181" fontId="33" fillId="0" borderId="0"/>
    <xf numFmtId="182" fontId="41" fillId="0" borderId="0"/>
    <xf numFmtId="0" fontId="53" fillId="0" borderId="0" applyAlignment="1">
      <alignment vertical="center"/>
    </xf>
    <xf numFmtId="183" fontId="41" fillId="0" borderId="0"/>
    <xf numFmtId="0" fontId="54" fillId="35" borderId="26"/>
    <xf numFmtId="184" fontId="26" fillId="0" borderId="0"/>
    <xf numFmtId="184" fontId="26" fillId="0" borderId="0"/>
    <xf numFmtId="0" fontId="54" fillId="7" borderId="0"/>
    <xf numFmtId="43" fontId="41" fillId="0" borderId="0"/>
    <xf numFmtId="0" fontId="55" fillId="0" borderId="0" applyAlignment="1">
      <alignment horizontal="left"/>
    </xf>
    <xf numFmtId="0" fontId="32" fillId="11" borderId="0"/>
    <xf numFmtId="0" fontId="56" fillId="0" borderId="36"/>
    <xf numFmtId="0" fontId="26" fillId="0" borderId="0"/>
    <xf numFmtId="0" fontId="56" fillId="0" borderId="11" applyAlignment="1">
      <alignment horizontal="left" vertical="center"/>
    </xf>
    <xf numFmtId="43" fontId="27" fillId="0" borderId="0"/>
    <xf numFmtId="0" fontId="54" fillId="6" borderId="26"/>
    <xf numFmtId="0" fontId="57" fillId="0" borderId="6"/>
    <xf numFmtId="185" fontId="11" fillId="0" borderId="0"/>
    <xf numFmtId="0" fontId="57" fillId="0" borderId="6"/>
    <xf numFmtId="166" fontId="27" fillId="0" borderId="0"/>
    <xf numFmtId="0" fontId="38" fillId="10" borderId="0"/>
    <xf numFmtId="0" fontId="11" fillId="0" borderId="0"/>
    <xf numFmtId="0" fontId="89" fillId="0" borderId="0"/>
    <xf numFmtId="0" fontId="89" fillId="0" borderId="0"/>
    <xf numFmtId="0" fontId="89" fillId="0" borderId="0"/>
    <xf numFmtId="0" fontId="23" fillId="5" borderId="0"/>
    <xf numFmtId="0" fontId="17" fillId="28" borderId="30" applyAlignment="1">
      <alignment horizontal="right" vertical="center"/>
    </xf>
    <xf numFmtId="0" fontId="89" fillId="0" borderId="0"/>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 fontId="58" fillId="0" borderId="0" applyAlignment="1">
      <alignment horizontal="right"/>
    </xf>
    <xf numFmtId="0" fontId="11" fillId="0" borderId="0"/>
    <xf numFmtId="43" fontId="27" fillId="0" borderId="0"/>
    <xf numFmtId="0" fontId="53" fillId="0" borderId="0" applyAlignment="1">
      <alignment vertical="center"/>
    </xf>
    <xf numFmtId="0" fontId="59" fillId="0" borderId="0"/>
    <xf numFmtId="0" fontId="89" fillId="0" borderId="0"/>
    <xf numFmtId="0" fontId="89" fillId="0" borderId="0"/>
    <xf numFmtId="43" fontId="27" fillId="0" borderId="0"/>
    <xf numFmtId="0" fontId="89" fillId="0" borderId="0"/>
    <xf numFmtId="43" fontId="27" fillId="0" borderId="0"/>
    <xf numFmtId="0" fontId="89" fillId="0" borderId="0"/>
    <xf numFmtId="0" fontId="7" fillId="0" borderId="0"/>
    <xf numFmtId="0" fontId="89" fillId="0" borderId="0"/>
    <xf numFmtId="0" fontId="89" fillId="0" borderId="0"/>
    <xf numFmtId="0" fontId="60" fillId="0" borderId="0"/>
    <xf numFmtId="0" fontId="61" fillId="0" borderId="0"/>
    <xf numFmtId="0" fontId="23" fillId="10" borderId="0"/>
    <xf numFmtId="0" fontId="32" fillId="11"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39" fillId="0" borderId="0"/>
    <xf numFmtId="10" fontId="11" fillId="0" borderId="0"/>
    <xf numFmtId="0" fontId="37" fillId="0" borderId="0"/>
    <xf numFmtId="0" fontId="54" fillId="7" borderId="26"/>
    <xf numFmtId="9" fontId="89" fillId="0" borderId="0"/>
    <xf numFmtId="4" fontId="29" fillId="0" borderId="0" applyAlignment="1">
      <alignment horizontal="right"/>
    </xf>
    <xf numFmtId="186" fontId="11" fillId="0" borderId="0"/>
    <xf numFmtId="4" fontId="62" fillId="0" borderId="0" applyAlignment="1">
      <alignment horizontal="right"/>
    </xf>
    <xf numFmtId="41" fontId="41"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38" fillId="10" borderId="0"/>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8" fillId="14" borderId="0" applyAlignment="1">
      <alignment horizontal="left" vertical="center" indent="1"/>
    </xf>
    <xf numFmtId="0" fontId="17" fillId="9" borderId="30" applyAlignment="1">
      <alignment horizontal="right" vertical="center"/>
    </xf>
    <xf numFmtId="0" fontId="26" fillId="0" borderId="0"/>
    <xf numFmtId="0" fontId="17" fillId="15" borderId="30" applyAlignment="1">
      <alignment horizontal="right" vertical="center"/>
    </xf>
    <xf numFmtId="0" fontId="38" fillId="10" borderId="0"/>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6" borderId="0" applyAlignment="1">
      <alignment horizontal="left" vertical="center" indent="1"/>
    </xf>
    <xf numFmtId="0" fontId="65" fillId="20" borderId="0" applyAlignment="1">
      <alignment horizontal="left" vertical="center" indent="1"/>
    </xf>
    <xf numFmtId="0" fontId="66" fillId="0" borderId="0"/>
    <xf numFmtId="0" fontId="17" fillId="14" borderId="30" applyAlignment="1">
      <alignment horizontal="right" vertical="center"/>
    </xf>
    <xf numFmtId="0" fontId="17" fillId="14" borderId="30" applyAlignment="1">
      <alignment horizontal="right" vertical="center"/>
    </xf>
    <xf numFmtId="0" fontId="26" fillId="0" borderId="0"/>
    <xf numFmtId="0" fontId="17" fillId="16" borderId="0" applyAlignment="1">
      <alignment horizontal="left" vertical="center" indent="1"/>
    </xf>
    <xf numFmtId="0" fontId="17" fillId="14" borderId="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67" fillId="0" borderId="0" applyAlignment="1">
      <alignment horizontal="left"/>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30" fillId="9" borderId="0"/>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68" fillId="9" borderId="0"/>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69" fillId="39" borderId="0" applyAlignment="1">
      <alignment horizontal="left" vertical="center" indent="1"/>
    </xf>
    <xf numFmtId="0" fontId="20" fillId="16" borderId="30" applyAlignment="1">
      <alignment horizontal="right" vertical="center"/>
    </xf>
    <xf numFmtId="0" fontId="20" fillId="16" borderId="30" applyAlignment="1">
      <alignment horizontal="right" vertical="center"/>
    </xf>
    <xf numFmtId="4" fontId="70" fillId="0" borderId="0"/>
    <xf numFmtId="43" fontId="54" fillId="0" borderId="16"/>
    <xf numFmtId="43" fontId="54" fillId="0" borderId="16"/>
    <xf numFmtId="0" fontId="36" fillId="0" borderId="0" applyProtection="1">
      <protection locked="0" hidden="0"/>
    </xf>
    <xf numFmtId="43" fontId="54" fillId="0" borderId="16"/>
    <xf numFmtId="43" fontId="54" fillId="0" borderId="16"/>
    <xf numFmtId="0" fontId="31" fillId="35" borderId="0"/>
    <xf numFmtId="0" fontId="57" fillId="0" borderId="0"/>
    <xf numFmtId="0" fontId="27" fillId="0" borderId="0"/>
    <xf numFmtId="0" fontId="71" fillId="0" borderId="0" applyAlignment="1">
      <alignment horizontal="center"/>
    </xf>
    <xf numFmtId="187" fontId="11" fillId="0" borderId="0"/>
    <xf numFmtId="0" fontId="72" fillId="0" borderId="0"/>
    <xf numFmtId="188" fontId="11" fillId="0" borderId="0"/>
    <xf numFmtId="189" fontId="27" fillId="0" borderId="0"/>
    <xf numFmtId="190" fontId="27" fillId="0" borderId="0"/>
    <xf numFmtId="9" fontId="73" fillId="0" borderId="0"/>
    <xf numFmtId="0" fontId="38" fillId="10" borderId="0"/>
    <xf numFmtId="0" fontId="37" fillId="0" borderId="0"/>
    <xf numFmtId="191" fontId="37" fillId="0" borderId="0"/>
    <xf numFmtId="9" fontId="37" fillId="0" borderId="0"/>
    <xf numFmtId="9" fontId="89" fillId="0" borderId="0"/>
    <xf numFmtId="43" fontId="27" fillId="0" borderId="0"/>
    <xf numFmtId="0" fontId="48" fillId="0" borderId="0"/>
    <xf numFmtId="0" fontId="48" fillId="0" borderId="0"/>
    <xf numFmtId="0" fontId="30" fillId="9" borderId="0"/>
    <xf numFmtId="0" fontId="30" fillId="9" borderId="0"/>
    <xf numFmtId="0" fontId="30" fillId="9" borderId="0"/>
    <xf numFmtId="0" fontId="32" fillId="11" borderId="0"/>
    <xf numFmtId="0" fontId="30" fillId="9" borderId="0"/>
    <xf numFmtId="0" fontId="30" fillId="9" borderId="0"/>
    <xf numFmtId="0" fontId="31" fillId="35" borderId="0"/>
    <xf numFmtId="0" fontId="30" fillId="9" borderId="0"/>
    <xf numFmtId="0" fontId="32" fillId="11" borderId="0"/>
    <xf numFmtId="0" fontId="32" fillId="11" borderId="0"/>
    <xf numFmtId="0" fontId="32" fillId="11" borderId="0"/>
    <xf numFmtId="0" fontId="32" fillId="11" borderId="0"/>
    <xf numFmtId="0" fontId="32" fillId="11" borderId="0"/>
    <xf numFmtId="0" fontId="89" fillId="0" borderId="0"/>
    <xf numFmtId="0" fontId="47" fillId="40" borderId="0"/>
    <xf numFmtId="0" fontId="26" fillId="0" borderId="0"/>
    <xf numFmtId="0" fontId="26" fillId="0" borderId="0"/>
    <xf numFmtId="0" fontId="27" fillId="0" borderId="0"/>
    <xf numFmtId="0" fontId="23" fillId="10" borderId="0"/>
    <xf numFmtId="0" fontId="27" fillId="0" borderId="0"/>
    <xf numFmtId="0" fontId="27" fillId="0" borderId="0"/>
    <xf numFmtId="0" fontId="26" fillId="0" borderId="0"/>
    <xf numFmtId="0" fontId="26" fillId="0" borderId="0"/>
    <xf numFmtId="0" fontId="26" fillId="0" borderId="0"/>
    <xf numFmtId="0" fontId="26" fillId="0" borderId="0"/>
    <xf numFmtId="0" fontId="27" fillId="0" borderId="0"/>
    <xf numFmtId="0" fontId="26" fillId="0" borderId="0"/>
    <xf numFmtId="0" fontId="49" fillId="0" borderId="0" applyProtection="1">
      <protection locked="0" hidden="0"/>
    </xf>
    <xf numFmtId="0" fontId="23" fillId="5" borderId="0"/>
    <xf numFmtId="0" fontId="23" fillId="10" borderId="0"/>
    <xf numFmtId="0" fontId="23" fillId="10" borderId="0"/>
    <xf numFmtId="0" fontId="23" fillId="10" borderId="0"/>
    <xf numFmtId="0" fontId="23" fillId="5" borderId="0"/>
    <xf numFmtId="0" fontId="74" fillId="5" borderId="0"/>
    <xf numFmtId="192" fontId="37" fillId="0" borderId="0"/>
    <xf numFmtId="0" fontId="23" fillId="5" borderId="0"/>
    <xf numFmtId="0" fontId="23" fillId="5" borderId="0"/>
    <xf numFmtId="0" fontId="38" fillId="10" borderId="0"/>
    <xf numFmtId="0" fontId="38" fillId="10" borderId="0"/>
    <xf numFmtId="0" fontId="38" fillId="10" borderId="0"/>
    <xf numFmtId="0" fontId="23" fillId="10" borderId="0"/>
    <xf numFmtId="193" fontId="37" fillId="0" borderId="0"/>
    <xf numFmtId="0" fontId="38" fillId="10" borderId="0"/>
    <xf numFmtId="0" fontId="45" fillId="33" borderId="0"/>
    <xf numFmtId="0" fontId="23" fillId="10" borderId="0"/>
    <xf numFmtId="0" fontId="23" fillId="10" borderId="0"/>
    <xf numFmtId="0" fontId="23" fillId="10" borderId="0"/>
    <xf numFmtId="0" fontId="38" fillId="10" borderId="0"/>
    <xf numFmtId="0" fontId="45" fillId="33" borderId="0"/>
    <xf numFmtId="0" fontId="45" fillId="33" borderId="0"/>
    <xf numFmtId="169" fontId="89" fillId="0" borderId="0"/>
    <xf numFmtId="192" fontId="75" fillId="0" borderId="0"/>
    <xf numFmtId="193" fontId="75" fillId="0" borderId="0"/>
    <xf numFmtId="194" fontId="51"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76" fillId="0" borderId="0"/>
    <xf numFmtId="0" fontId="47" fillId="41" borderId="0"/>
    <xf numFmtId="195" fontId="70" fillId="0" borderId="0"/>
    <xf numFmtId="40" fontId="48" fillId="0" borderId="0"/>
    <xf numFmtId="0" fontId="11" fillId="0" borderId="26"/>
    <xf numFmtId="38" fontId="40" fillId="0" borderId="0"/>
    <xf numFmtId="40" fontId="40" fillId="0" borderId="0"/>
    <xf numFmtId="0" fontId="40" fillId="0" borderId="0"/>
    <xf numFmtId="0" fontId="6" fillId="0" borderId="0"/>
    <xf numFmtId="0" fontId="80" fillId="0" borderId="0"/>
    <xf numFmtId="0" fontId="81" fillId="0" borderId="0"/>
    <xf numFmtId="0" fontId="80" fillId="0" borderId="0" applyAlignment="1">
      <alignment vertical="center"/>
    </xf>
    <xf numFmtId="0" fontId="26" fillId="0" borderId="0"/>
    <xf numFmtId="0" fontId="80" fillId="0" borderId="0" applyAlignment="1">
      <alignment vertical="center"/>
    </xf>
    <xf numFmtId="0" fontId="80" fillId="0" borderId="0"/>
    <xf numFmtId="0" fontId="89" fillId="0" borderId="0"/>
    <xf numFmtId="0" fontId="80" fillId="0" borderId="0"/>
    <xf numFmtId="0" fontId="89" fillId="0" borderId="0"/>
    <xf numFmtId="0" fontId="89" fillId="0" borderId="0" applyAlignment="1">
      <alignment vertical="center"/>
    </xf>
    <xf numFmtId="0" fontId="53" fillId="0" borderId="0" applyAlignment="1">
      <alignment vertical="center"/>
    </xf>
    <xf numFmtId="0" fontId="80" fillId="0" borderId="0" applyAlignment="1">
      <alignment vertical="center"/>
    </xf>
    <xf numFmtId="0" fontId="80" fillId="0" borderId="0"/>
    <xf numFmtId="0" fontId="86" fillId="0" borderId="0" applyAlignment="1">
      <alignment vertical="center"/>
    </xf>
    <xf numFmtId="43" fontId="80" fillId="0" borderId="0"/>
    <xf numFmtId="0" fontId="80" fillId="0" borderId="0"/>
    <xf numFmtId="9" fontId="80" fillId="0" borderId="0"/>
    <xf numFmtId="0" fontId="27" fillId="0" borderId="0" applyAlignment="1">
      <alignment vertical="center"/>
    </xf>
    <xf numFmtId="41" fontId="11" fillId="0" borderId="0"/>
    <xf numFmtId="0" fontId="80" fillId="0" borderId="0"/>
    <xf numFmtId="43" fontId="11" fillId="0" borderId="0"/>
    <xf numFmtId="0" fontId="26" fillId="0" borderId="0"/>
    <xf numFmtId="0" fontId="80" fillId="0" borderId="0"/>
    <xf numFmtId="0" fontId="11" fillId="0" borderId="0"/>
    <xf numFmtId="196" fontId="87" fillId="0" borderId="0" applyProtection="1">
      <protection locked="0" hidden="0"/>
    </xf>
    <xf numFmtId="0" fontId="26" fillId="0" borderId="0"/>
    <xf numFmtId="0" fontId="11" fillId="0" borderId="0"/>
    <xf numFmtId="0" fontId="80" fillId="0" borderId="0"/>
    <xf numFmtId="0" fontId="89" fillId="0" borderId="0"/>
    <xf numFmtId="0" fontId="11" fillId="0" borderId="0"/>
    <xf numFmtId="0" fontId="53" fillId="0" borderId="0" applyAlignment="1">
      <alignment vertical="center"/>
    </xf>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90" fillId="45" borderId="20"/>
    <xf numFmtId="0" fontId="39" fillId="0" borderId="0"/>
    <xf numFmtId="41" fontId="27" fillId="0" borderId="0"/>
    <xf numFmtId="9" fontId="26" fillId="0" borderId="0"/>
    <xf numFmtId="41" fontId="89" fillId="0" borderId="0"/>
    <xf numFmtId="9" fontId="89" fillId="0" borderId="0"/>
    <xf numFmtId="41" fontId="89" fillId="0" borderId="0"/>
    <xf numFmtId="41" fontId="89" fillId="0" borderId="0"/>
    <xf numFmtId="43" fontId="11" fillId="0" borderId="0"/>
    <xf numFmtId="41" fontId="89" fillId="0" borderId="0"/>
    <xf numFmtId="9"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17" applyAlignment="1">
      <alignment horizontal="right"/>
    </xf>
    <xf numFmtId="0" fontId="16" fillId="0" borderId="0"/>
    <xf numFmtId="0" fontId="89" fillId="0" borderId="0"/>
    <xf numFmtId="0" fontId="21" fillId="0" borderId="0"/>
    <xf numFmtId="0" fontId="21" fillId="0" borderId="0"/>
    <xf numFmtId="0" fontId="89" fillId="0" borderId="0"/>
    <xf numFmtId="196" fontId="87" fillId="0" borderId="0" applyProtection="1">
      <protection locked="0" hidden="0"/>
    </xf>
    <xf numFmtId="4" fontId="89" fillId="0" borderId="17"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0" fontId="21"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0" fontId="91"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0" fontId="92" fillId="46"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17"/>
    <xf numFmtId="0" fontId="89" fillId="0" borderId="17"/>
    <xf numFmtId="0" fontId="89" fillId="0" borderId="17"/>
    <xf numFmtId="0" fontId="89" fillId="0" borderId="17"/>
    <xf numFmtId="41" fontId="27" fillId="0" borderId="0"/>
    <xf numFmtId="0" fontId="21" fillId="0" borderId="0"/>
    <xf numFmtId="0" fontId="21"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26" fillId="0" borderId="0"/>
    <xf numFmtId="0" fontId="89" fillId="0" borderId="0"/>
    <xf numFmtId="0" fontId="26" fillId="0" borderId="0"/>
    <xf numFmtId="0" fontId="11" fillId="0" borderId="0"/>
    <xf numFmtId="198" fontId="26" fillId="0" borderId="0"/>
    <xf numFmtId="0" fontId="89" fillId="0" borderId="0"/>
    <xf numFmtId="0" fontId="89" fillId="0" borderId="0"/>
    <xf numFmtId="0" fontId="89" fillId="0" borderId="0"/>
    <xf numFmtId="0" fontId="26" fillId="0" borderId="0"/>
    <xf numFmtId="0" fontId="26" fillId="0" borderId="0"/>
    <xf numFmtId="0" fontId="89" fillId="0" borderId="0"/>
    <xf numFmtId="0" fontId="26" fillId="0" borderId="0"/>
    <xf numFmtId="0" fontId="26" fillId="0" borderId="0"/>
    <xf numFmtId="0" fontId="89" fillId="0" borderId="0"/>
    <xf numFmtId="0" fontId="89" fillId="0" borderId="0" applyAlignment="1">
      <alignment vertical="center"/>
    </xf>
    <xf numFmtId="0" fontId="26" fillId="0" borderId="0"/>
    <xf numFmtId="0" fontId="89" fillId="0" borderId="0"/>
    <xf numFmtId="0" fontId="27" fillId="0" borderId="0"/>
    <xf numFmtId="0" fontId="89" fillId="0" borderId="0"/>
    <xf numFmtId="0" fontId="27"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9" fontId="89" fillId="0" borderId="0"/>
    <xf numFmtId="9" fontId="11" fillId="0" borderId="0"/>
    <xf numFmtId="9" fontId="27" fillId="0" borderId="0"/>
    <xf numFmtId="198" fontId="26" fillId="0" borderId="0"/>
    <xf numFmtId="198" fontId="93" fillId="0" borderId="0"/>
    <xf numFmtId="0" fontId="26" fillId="0" borderId="0"/>
    <xf numFmtId="0" fontId="27" fillId="0" borderId="0"/>
    <xf numFmtId="0" fontId="61" fillId="0" borderId="0" applyProtection="1">
      <protection locked="0" hidden="0"/>
    </xf>
    <xf numFmtId="0" fontId="11" fillId="0" borderId="0" applyProtection="1">
      <protection locked="0" hidden="0"/>
    </xf>
    <xf numFmtId="196" fontId="11" fillId="0" borderId="0"/>
    <xf numFmtId="0" fontId="27" fillId="0" borderId="0" applyAlignment="1">
      <alignment vertical="top"/>
    </xf>
    <xf numFmtId="0" fontId="61" fillId="0" borderId="0" applyProtection="1">
      <protection locked="0" hidden="0"/>
    </xf>
    <xf numFmtId="0" fontId="11" fillId="0" borderId="0" applyProtection="1">
      <protection locked="0" hidden="0"/>
    </xf>
    <xf numFmtId="0" fontId="89" fillId="0" borderId="0" applyAlignment="1" applyProtection="1">
      <alignment vertical="center"/>
      <protection locked="0" hidden="0"/>
    </xf>
    <xf numFmtId="0" fontId="11" fillId="0" borderId="0" applyProtection="1">
      <protection locked="0" hidden="0"/>
    </xf>
    <xf numFmtId="0" fontId="89" fillId="0" borderId="0"/>
    <xf numFmtId="0" fontId="27" fillId="0" borderId="0"/>
    <xf numFmtId="0" fontId="89" fillId="0" borderId="0" applyAlignment="1">
      <alignment vertical="center"/>
    </xf>
    <xf numFmtId="0" fontId="26" fillId="0" borderId="0"/>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0" fontId="26" fillId="0" borderId="0"/>
    <xf numFmtId="43" fontId="6" fillId="0" borderId="0"/>
    <xf numFmtId="198" fontId="26" fillId="0" borderId="0"/>
    <xf numFmtId="0" fontId="26" fillId="0" borderId="0"/>
    <xf numFmtId="0" fontId="89" fillId="0" borderId="0" applyAlignment="1">
      <alignment vertical="center"/>
    </xf>
    <xf numFmtId="0" fontId="89" fillId="0" borderId="0"/>
    <xf numFmtId="0" fontId="26" fillId="0" borderId="0"/>
    <xf numFmtId="9" fontId="89" fillId="0" borderId="0"/>
    <xf numFmtId="0" fontId="89" fillId="0" borderId="0"/>
    <xf numFmtId="43" fontId="89" fillId="0" borderId="0"/>
    <xf numFmtId="0" fontId="89" fillId="0" borderId="0"/>
    <xf numFmtId="0" fontId="89" fillId="0" borderId="0"/>
    <xf numFmtId="41" fontId="89" fillId="0" borderId="0"/>
    <xf numFmtId="0" fontId="80" fillId="0" borderId="0" applyAlignment="1">
      <alignment vertical="center"/>
    </xf>
    <xf numFmtId="9" fontId="89" fillId="0" borderId="0"/>
    <xf numFmtId="43" fontId="89" fillId="0" borderId="0"/>
    <xf numFmtId="0" fontId="26" fillId="0" borderId="0"/>
    <xf numFmtId="0" fontId="6" fillId="0" borderId="0"/>
    <xf numFmtId="43" fontId="26" fillId="0" borderId="0"/>
    <xf numFmtId="0"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0" fontId="89" fillId="0" borderId="0"/>
    <xf numFmtId="43" fontId="89" fillId="0" borderId="0"/>
    <xf numFmtId="0" fontId="80" fillId="0" borderId="0" applyAlignment="1">
      <alignment vertical="center"/>
    </xf>
    <xf numFmtId="0" fontId="94" fillId="0" borderId="0" applyAlignment="1">
      <alignment vertical="center"/>
    </xf>
    <xf numFmtId="0" fontId="89" fillId="0" borderId="0"/>
    <xf numFmtId="0" fontId="95" fillId="0" borderId="0"/>
    <xf numFmtId="0" fontId="80" fillId="0" borderId="0" applyAlignment="1">
      <alignment vertical="center"/>
    </xf>
    <xf numFmtId="0" fontId="21" fillId="0" borderId="0"/>
    <xf numFmtId="0" fontId="89" fillId="0" borderId="0"/>
    <xf numFmtId="0" fontId="17" fillId="6" borderId="30" applyAlignment="1">
      <alignment horizontal="left" vertical="center" indent="1"/>
    </xf>
    <xf numFmtId="169"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0" fontId="17" fillId="9" borderId="30" applyAlignment="1">
      <alignment horizontal="right" vertical="center"/>
    </xf>
    <xf numFmtId="41" fontId="27" fillId="0" borderId="0"/>
    <xf numFmtId="0" fontId="34"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34" fillId="0" borderId="0"/>
    <xf numFmtId="0" fontId="11" fillId="16" borderId="30" applyAlignment="1">
      <alignment horizontal="left" vertical="top" indent="1"/>
    </xf>
    <xf numFmtId="41" fontId="89" fillId="0" borderId="0"/>
    <xf numFmtId="41" fontId="89" fillId="0" borderId="0"/>
    <xf numFmtId="0" fontId="17" fillId="23" borderId="30" applyAlignment="1">
      <alignment horizontal="right" vertical="center"/>
    </xf>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1" fillId="0" borderId="0"/>
    <xf numFmtId="0" fontId="43" fillId="32" borderId="15"/>
    <xf numFmtId="0" fontId="11" fillId="16" borderId="30" applyAlignment="1">
      <alignment horizontal="left" vertical="center" indent="1"/>
    </xf>
    <xf numFmtId="43" fontId="89" fillId="0" borderId="0"/>
    <xf numFmtId="41" fontId="89" fillId="0" borderId="0"/>
    <xf numFmtId="41" fontId="46" fillId="0" borderId="0"/>
    <xf numFmtId="41" fontId="89" fillId="0" borderId="0"/>
    <xf numFmtId="0" fontId="26"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0" fontId="16" fillId="0" borderId="0"/>
    <xf numFmtId="41" fontId="27" fillId="0" borderId="0"/>
    <xf numFmtId="41" fontId="27" fillId="0" borderId="0"/>
    <xf numFmtId="41" fontId="27" fillId="0" borderId="0"/>
    <xf numFmtId="41" fontId="27" fillId="0" borderId="0"/>
    <xf numFmtId="0" fontId="49" fillId="0" borderId="0" applyProtection="1">
      <protection locked="0" hidden="0"/>
    </xf>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17"/>
    <xf numFmtId="184" fontId="26" fillId="0" borderId="0"/>
    <xf numFmtId="184" fontId="26" fillId="0" borderId="0"/>
    <xf numFmtId="0" fontId="56" fillId="0" borderId="35"/>
    <xf numFmtId="0" fontId="26" fillId="0" borderId="0"/>
    <xf numFmtId="43" fontId="27" fillId="0" borderId="0"/>
    <xf numFmtId="0" fontId="54" fillId="6" borderId="17"/>
    <xf numFmtId="0" fontId="17" fillId="28" borderId="30" applyAlignment="1">
      <alignment horizontal="right" vertical="center"/>
    </xf>
    <xf numFmtId="0" fontId="17" fillId="28" borderId="30" applyAlignment="1">
      <alignment horizontal="right" vertical="center"/>
    </xf>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26" fillId="0" borderId="0"/>
    <xf numFmtId="0" fontId="39" fillId="0" borderId="0"/>
    <xf numFmtId="0" fontId="26" fillId="0" borderId="0"/>
    <xf numFmtId="0" fontId="26" fillId="0" borderId="0"/>
    <xf numFmtId="0" fontId="54" fillId="7" borderId="17"/>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26" fillId="0" borderId="0"/>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9" fontId="27" fillId="0" borderId="0"/>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26" fillId="0" borderId="0"/>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17"/>
    <xf numFmtId="0" fontId="6" fillId="0" borderId="0"/>
    <xf numFmtId="0" fontId="80" fillId="0" borderId="0" applyAlignment="1">
      <alignment vertical="center"/>
    </xf>
    <xf numFmtId="0" fontId="89" fillId="0" borderId="0"/>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6" fillId="0" borderId="0" applyAlignment="1">
      <alignment vertical="center"/>
    </xf>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199" fontId="27" fillId="0" borderId="0"/>
    <xf numFmtId="0" fontId="80" fillId="47" borderId="0"/>
    <xf numFmtId="0" fontId="80" fillId="48" borderId="0"/>
    <xf numFmtId="0" fontId="22" fillId="22" borderId="0"/>
    <xf numFmtId="43" fontId="11" fillId="0" borderId="0"/>
    <xf numFmtId="0" fontId="112" fillId="49" borderId="0"/>
    <xf numFmtId="0" fontId="112" fillId="49"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0" fontId="90" fillId="45" borderId="2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19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3"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113" fillId="0" borderId="0"/>
    <xf numFmtId="43" fontId="80" fillId="0" borderId="0"/>
    <xf numFmtId="43" fontId="80" fillId="0" borderId="0"/>
    <xf numFmtId="43" fontId="11" fillId="0" borderId="0"/>
    <xf numFmtId="41" fontId="80"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113"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3" fontId="113"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4"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92" fillId="46" borderId="0"/>
    <xf numFmtId="0" fontId="92" fillId="46" borderId="0"/>
    <xf numFmtId="0" fontId="92" fillId="46" borderId="0"/>
    <xf numFmtId="0" fontId="56" fillId="0" borderId="35"/>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21" fillId="0" borderId="0"/>
    <xf numFmtId="0" fontId="16" fillId="0" borderId="0"/>
    <xf numFmtId="0" fontId="21" fillId="0" borderId="0"/>
    <xf numFmtId="0" fontId="34" fillId="0" borderId="0"/>
    <xf numFmtId="0" fontId="21" fillId="0" borderId="0"/>
    <xf numFmtId="0" fontId="116" fillId="0" borderId="0"/>
    <xf numFmtId="0" fontId="21" fillId="0" borderId="0"/>
    <xf numFmtId="0" fontId="21" fillId="0" borderId="0"/>
    <xf numFmtId="0" fontId="54" fillId="6" borderId="26"/>
    <xf numFmtId="0" fontId="54" fillId="6" borderId="26"/>
    <xf numFmtId="0" fontId="117" fillId="51" borderId="0"/>
    <xf numFmtId="0" fontId="11"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9"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11" fillId="0" borderId="0"/>
    <xf numFmtId="0" fontId="61" fillId="0" borderId="0"/>
    <xf numFmtId="0" fontId="11" fillId="0" borderId="0"/>
    <xf numFmtId="0" fontId="80" fillId="0" borderId="0"/>
    <xf numFmtId="0" fontId="113" fillId="0" borderId="0"/>
    <xf numFmtId="0" fontId="80" fillId="0" borderId="0"/>
    <xf numFmtId="0" fontId="80" fillId="0" borderId="0"/>
    <xf numFmtId="0" fontId="80" fillId="0" borderId="0"/>
    <xf numFmtId="0" fontId="80" fillId="0" borderId="0"/>
    <xf numFmtId="0" fontId="37" fillId="0" borderId="0"/>
    <xf numFmtId="0" fontId="80" fillId="0" borderId="0"/>
    <xf numFmtId="0" fontId="80" fillId="0" borderId="0"/>
    <xf numFmtId="0" fontId="80" fillId="0" borderId="0"/>
    <xf numFmtId="200" fontId="118" fillId="0" borderId="0" applyProtection="1">
      <protection locked="0" hidden="0"/>
    </xf>
    <xf numFmtId="0" fontId="80" fillId="0" borderId="0"/>
    <xf numFmtId="0" fontId="39" fillId="0" borderId="0"/>
    <xf numFmtId="0" fontId="80" fillId="0" borderId="0"/>
    <xf numFmtId="0" fontId="26" fillId="0" borderId="0"/>
    <xf numFmtId="0" fontId="26" fillId="0" borderId="0"/>
    <xf numFmtId="0" fontId="80" fillId="0" borderId="0"/>
    <xf numFmtId="0" fontId="80" fillId="0" borderId="0"/>
    <xf numFmtId="0" fontId="113" fillId="0" borderId="0"/>
    <xf numFmtId="0" fontId="80" fillId="0" borderId="0"/>
    <xf numFmtId="0" fontId="7" fillId="0" borderId="0"/>
    <xf numFmtId="0" fontId="80" fillId="0" borderId="0"/>
    <xf numFmtId="0" fontId="80" fillId="0" borderId="0"/>
    <xf numFmtId="0" fontId="80" fillId="0" borderId="0"/>
    <xf numFmtId="0" fontId="80" fillId="0" borderId="0"/>
    <xf numFmtId="0" fontId="80" fillId="0" borderId="0"/>
    <xf numFmtId="0" fontId="113" fillId="0" borderId="0"/>
    <xf numFmtId="0" fontId="80" fillId="0" borderId="0"/>
    <xf numFmtId="0" fontId="7" fillId="0" borderId="0"/>
    <xf numFmtId="0" fontId="80" fillId="0" borderId="0" applyAlignment="1">
      <alignment vertical="center"/>
    </xf>
    <xf numFmtId="0" fontId="80" fillId="0" borderId="0"/>
    <xf numFmtId="0" fontId="113" fillId="0" borderId="0"/>
    <xf numFmtId="0" fontId="80" fillId="0" borderId="0"/>
    <xf numFmtId="0" fontId="80" fillId="0" borderId="0"/>
    <xf numFmtId="0" fontId="119"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0" fontId="46" fillId="0" borderId="0" applyProtection="1">
      <protection locked="0" hidden="0"/>
    </xf>
    <xf numFmtId="0" fontId="27" fillId="0" borderId="0"/>
    <xf numFmtId="196" fontId="41" fillId="0" borderId="0" applyProtection="1">
      <protection locked="0" hidden="0"/>
    </xf>
    <xf numFmtId="9" fontId="80" fillId="0" borderId="0"/>
    <xf numFmtId="0" fontId="46" fillId="0" borderId="0" applyProtection="1">
      <protection locked="0" hidden="0"/>
    </xf>
    <xf numFmtId="0" fontId="80" fillId="0" borderId="0"/>
    <xf numFmtId="9"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0" fontId="80" fillId="0" borderId="0"/>
    <xf numFmtId="0" fontId="80" fillId="0" borderId="0"/>
    <xf numFmtId="0" fontId="113" fillId="0" borderId="0"/>
    <xf numFmtId="0" fontId="80" fillId="0" borderId="0"/>
    <xf numFmtId="0" fontId="113" fillId="0" borderId="0"/>
    <xf numFmtId="0" fontId="80" fillId="0" borderId="0"/>
    <xf numFmtId="0" fontId="80" fillId="0" borderId="0"/>
    <xf numFmtId="43" fontId="61" fillId="0" borderId="0"/>
    <xf numFmtId="43" fontId="61" fillId="0" borderId="0"/>
    <xf numFmtId="0" fontId="113"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9" fontId="11" fillId="0" borderId="0"/>
    <xf numFmtId="166" fontId="80" fillId="0" borderId="0"/>
    <xf numFmtId="166" fontId="80" fillId="0" borderId="0"/>
    <xf numFmtId="9" fontId="27" fillId="0" borderId="0"/>
    <xf numFmtId="9" fontId="80" fillId="0" borderId="0"/>
    <xf numFmtId="166" fontId="80" fillId="0" borderId="0"/>
    <xf numFmtId="166" fontId="80" fillId="0" borderId="0"/>
    <xf numFmtId="9" fontId="113"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61" fillId="0" borderId="0"/>
    <xf numFmtId="9" fontId="80" fillId="0" borderId="0"/>
    <xf numFmtId="9" fontId="26" fillId="0" borderId="0"/>
    <xf numFmtId="0" fontId="80" fillId="0" borderId="0"/>
    <xf numFmtId="0" fontId="80" fillId="0" borderId="0"/>
    <xf numFmtId="0" fontId="61" fillId="0" borderId="0" applyProtection="1">
      <protection locked="0" hidden="0"/>
    </xf>
    <xf numFmtId="0" fontId="80" fillId="0" borderId="0"/>
    <xf numFmtId="0" fontId="120" fillId="0" borderId="0" applyAlignment="1">
      <alignment vertical="center"/>
    </xf>
    <xf numFmtId="0" fontId="120" fillId="0" borderId="0" applyAlignment="1">
      <alignment vertical="center"/>
    </xf>
    <xf numFmtId="0" fontId="119" fillId="0" borderId="0"/>
    <xf numFmtId="0" fontId="80" fillId="0" borderId="0"/>
    <xf numFmtId="0" fontId="80" fillId="0" borderId="0"/>
    <xf numFmtId="0" fontId="113" fillId="0" borderId="0"/>
    <xf numFmtId="0" fontId="80" fillId="0" borderId="0"/>
    <xf numFmtId="0" fontId="119" fillId="0" borderId="0"/>
    <xf numFmtId="0" fontId="80" fillId="0" borderId="0"/>
    <xf numFmtId="0" fontId="11" fillId="0" borderId="0" applyProtection="1">
      <protection locked="0" hidden="0"/>
    </xf>
    <xf numFmtId="0" fontId="121" fillId="0" borderId="0"/>
    <xf numFmtId="0" fontId="80" fillId="0" borderId="0"/>
    <xf numFmtId="0" fontId="80" fillId="0" borderId="0"/>
    <xf numFmtId="0" fontId="80" fillId="0" borderId="0"/>
    <xf numFmtId="0" fontId="80" fillId="0" borderId="0"/>
    <xf numFmtId="0" fontId="80" fillId="0" borderId="0"/>
    <xf numFmtId="0" fontId="80" fillId="0" borderId="0"/>
    <xf numFmtId="0" fontId="21"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113"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31" fillId="13" borderId="0"/>
    <xf numFmtId="0" fontId="31" fillId="52" borderId="0"/>
    <xf numFmtId="0" fontId="31" fillId="52" borderId="0"/>
    <xf numFmtId="0" fontId="31" fillId="15" borderId="0"/>
    <xf numFmtId="0" fontId="31" fillId="13" borderId="0"/>
    <xf numFmtId="0" fontId="31" fillId="17" borderId="0"/>
    <xf numFmtId="0" fontId="11" fillId="0" borderId="26"/>
    <xf numFmtId="0" fontId="11" fillId="0" borderId="26"/>
    <xf numFmtId="0" fontId="80" fillId="0" borderId="0"/>
    <xf numFmtId="0" fontId="122" fillId="0" borderId="0"/>
    <xf numFmtId="43" fontId="27" fillId="0" borderId="0"/>
    <xf numFmtId="43" fontId="80" fillId="0" borderId="0"/>
    <xf numFmtId="9" fontId="80" fillId="0" borderId="0"/>
    <xf numFmtId="0" fontId="6" fillId="0" borderId="0"/>
    <xf numFmtId="0" fontId="36" fillId="0" borderId="0" applyProtection="1">
      <protection locked="0" hidden="0"/>
    </xf>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26" fillId="0" borderId="0"/>
    <xf numFmtId="0" fontId="94" fillId="0" borderId="0"/>
    <xf numFmtId="0" fontId="94"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applyAlignment="1">
      <alignment vertical="center"/>
    </xf>
    <xf numFmtId="0" fontId="80" fillId="0" borderId="0"/>
    <xf numFmtId="0" fontId="80" fillId="0" borderId="0"/>
    <xf numFmtId="43" fontId="80" fillId="0" borderId="0"/>
    <xf numFmtId="0" fontId="80" fillId="0" borderId="0"/>
    <xf numFmtId="0" fontId="80" fillId="0" borderId="0" applyAlignment="1">
      <alignment vertical="center"/>
    </xf>
    <xf numFmtId="0" fontId="80" fillId="0" borderId="0"/>
    <xf numFmtId="0" fontId="80" fillId="0" borderId="0"/>
    <xf numFmtId="43" fontId="80" fillId="0" borderId="0"/>
    <xf numFmtId="0" fontId="80" fillId="0" borderId="0"/>
    <xf numFmtId="9" fontId="80" fillId="0" borderId="0"/>
    <xf numFmtId="0" fontId="6" fillId="0" borderId="0"/>
    <xf numFmtId="0" fontId="7" fillId="0" borderId="0"/>
    <xf numFmtId="43" fontId="6" fillId="0" borderId="0"/>
    <xf numFmtId="0" fontId="9" fillId="0" borderId="0"/>
    <xf numFmtId="41" fontId="37" fillId="0" borderId="0"/>
    <xf numFmtId="9" fontId="6" fillId="0" borderId="0"/>
    <xf numFmtId="41" fontId="6" fillId="0" borderId="0"/>
    <xf numFmtId="0" fontId="81" fillId="0" borderId="0"/>
    <xf numFmtId="43" fontId="11" fillId="0" borderId="0"/>
    <xf numFmtId="0" fontId="11" fillId="0" borderId="0"/>
    <xf numFmtId="0" fontId="6" fillId="0" borderId="0"/>
    <xf numFmtId="0" fontId="134" fillId="0" borderId="0"/>
    <xf numFmtId="0" fontId="135" fillId="0" borderId="0"/>
    <xf numFmtId="43" fontId="134" fillId="0" borderId="0"/>
    <xf numFmtId="0" fontId="135" fillId="0" borderId="0"/>
    <xf numFmtId="0" fontId="80" fillId="0" borderId="0"/>
    <xf numFmtId="0" fontId="80" fillId="0" borderId="0"/>
    <xf numFmtId="0" fontId="80" fillId="0" borderId="0"/>
    <xf numFmtId="43"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41" fontId="80" fillId="0" borderId="0"/>
    <xf numFmtId="0"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0" fontId="80" fillId="47" borderId="0"/>
    <xf numFmtId="0" fontId="80" fillId="48" borderId="0"/>
    <xf numFmtId="4" fontId="80" fillId="0" borderId="33" applyAlignment="1">
      <alignment horizontal="right"/>
    </xf>
    <xf numFmtId="4" fontId="80" fillId="0" borderId="33" applyAlignment="1">
      <alignment horizontal="right"/>
    </xf>
    <xf numFmtId="4" fontId="102" fillId="0" borderId="33" applyAlignment="1">
      <alignment horizontal="right" vertical="center"/>
    </xf>
    <xf numFmtId="4" fontId="102" fillId="0" borderId="33" applyAlignment="1">
      <alignment horizontal="right" vertical="center"/>
    </xf>
    <xf numFmtId="4" fontId="80" fillId="0" borderId="33" applyAlignment="1">
      <alignment horizontal="right"/>
    </xf>
    <xf numFmtId="4" fontId="80" fillId="0" borderId="33" applyAlignment="1">
      <alignment horizontal="right"/>
    </xf>
    <xf numFmtId="10" fontId="80" fillId="0" borderId="33"/>
    <xf numFmtId="0" fontId="102" fillId="0" borderId="33" applyAlignment="1">
      <alignment horizontal="right" vertical="center"/>
    </xf>
    <xf numFmtId="0" fontId="102" fillId="0" borderId="33" applyAlignment="1">
      <alignment horizontal="right" vertical="center"/>
    </xf>
    <xf numFmtId="10" fontId="80" fillId="0" borderId="33"/>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80" fillId="0" borderId="33"/>
    <xf numFmtId="0" fontId="54" fillId="35" borderId="33"/>
    <xf numFmtId="0" fontId="54" fillId="35" borderId="33"/>
    <xf numFmtId="0" fontId="102" fillId="0" borderId="33"/>
    <xf numFmtId="0" fontId="102" fillId="0" borderId="33"/>
    <xf numFmtId="0" fontId="115" fillId="50" borderId="33" applyAlignment="1">
      <alignment horizontal="center" vertical="center"/>
    </xf>
    <xf numFmtId="0" fontId="115" fillId="50" borderId="33" applyAlignment="1">
      <alignment horizontal="center" vertical="center"/>
    </xf>
    <xf numFmtId="0" fontId="54" fillId="6" borderId="33"/>
    <xf numFmtId="0" fontId="54" fillId="6" borderId="33"/>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200" fontId="80" fillId="0" borderId="0" applyProtection="1">
      <protection locked="0" hidden="0"/>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166" fontId="80" fillId="0" borderId="0"/>
    <xf numFmtId="9" fontId="80" fillId="0" borderId="0"/>
    <xf numFmtId="166" fontId="80" fillId="0" borderId="0"/>
    <xf numFmtId="166" fontId="80" fillId="0" borderId="0"/>
    <xf numFmtId="166" fontId="80" fillId="0" borderId="0"/>
    <xf numFmtId="9" fontId="80" fillId="0" borderId="0"/>
    <xf numFmtId="166" fontId="80" fillId="0" borderId="0"/>
    <xf numFmtId="166" fontId="80" fillId="0" borderId="0"/>
    <xf numFmtId="9" fontId="80" fillId="0" borderId="0"/>
    <xf numFmtId="9" fontId="80" fillId="0" borderId="0"/>
    <xf numFmtId="9" fontId="80" fillId="0" borderId="0"/>
    <xf numFmtId="9" fontId="80" fillId="0" borderId="0"/>
    <xf numFmtId="9" fontId="80" fillId="0" borderId="0"/>
    <xf numFmtId="9" fontId="80" fillId="0" borderId="0"/>
    <xf numFmtId="0" fontId="54" fillId="7" borderId="33"/>
    <xf numFmtId="0" fontId="54" fillId="7" borderId="33"/>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33"/>
    <xf numFmtId="0" fontId="11" fillId="0" borderId="33"/>
    <xf numFmtId="0" fontId="80" fillId="0" borderId="0"/>
    <xf numFmtId="0" fontId="80"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80" fillId="0" borderId="0" applyAlignment="1">
      <alignment vertical="center"/>
    </xf>
    <xf numFmtId="0" fontId="80" fillId="0" borderId="0" applyAlignment="1">
      <alignment vertical="center"/>
    </xf>
    <xf numFmtId="0" fontId="6" fillId="0" borderId="0"/>
    <xf numFmtId="43" fontId="80" fillId="0" borderId="0"/>
    <xf numFmtId="0" fontId="80" fillId="0" borderId="0" applyAlignment="1">
      <alignment vertical="center"/>
    </xf>
    <xf numFmtId="0" fontId="80" fillId="0" borderId="0"/>
    <xf numFmtId="0" fontId="89" fillId="0" borderId="0" applyAlignment="1">
      <alignment vertical="center"/>
    </xf>
    <xf numFmtId="0" fontId="80" fillId="0" borderId="0" applyAlignment="1">
      <alignment vertical="center"/>
    </xf>
    <xf numFmtId="0" fontId="80" fillId="0" borderId="0"/>
    <xf numFmtId="0" fontId="6" fillId="0" borderId="0"/>
    <xf numFmtId="43" fontId="6" fillId="0" borderId="0"/>
    <xf numFmtId="0" fontId="134" fillId="0" borderId="0"/>
    <xf numFmtId="43" fontId="134" fillId="0" borderId="0"/>
    <xf numFmtId="0" fontId="6" fillId="0" borderId="0"/>
    <xf numFmtId="43" fontId="11" fillId="0" borderId="0"/>
    <xf numFmtId="186" fontId="11" fillId="0" borderId="0"/>
    <xf numFmtId="186" fontId="134" fillId="0" borderId="0"/>
    <xf numFmtId="43" fontId="11" fillId="0" borderId="0"/>
    <xf numFmtId="43" fontId="11" fillId="0" borderId="0"/>
    <xf numFmtId="0" fontId="17" fillId="0" borderId="0" applyAlignment="1">
      <alignment vertical="top"/>
    </xf>
    <xf numFmtId="0" fontId="134" fillId="0" borderId="0"/>
    <xf numFmtId="43" fontId="6" fillId="0" borderId="0"/>
    <xf numFmtId="0" fontId="6" fillId="0" borderId="0"/>
    <xf numFmtId="193" fontId="41" fillId="0" borderId="0"/>
    <xf numFmtId="0" fontId="11" fillId="0" borderId="0" applyAlignment="1">
      <alignment vertical="top"/>
    </xf>
    <xf numFmtId="193" fontId="41" fillId="0" borderId="0"/>
    <xf numFmtId="0" fontId="6" fillId="0" borderId="0"/>
    <xf numFmtId="186" fontId="6" fillId="0" borderId="0"/>
    <xf numFmtId="0" fontId="135" fillId="0" borderId="0"/>
    <xf numFmtId="0" fontId="135" fillId="0" borderId="0"/>
    <xf numFmtId="43" fontId="6" fillId="0" borderId="0"/>
    <xf numFmtId="0" fontId="7" fillId="0" borderId="0"/>
    <xf numFmtId="43" fontId="7" fillId="0" borderId="0"/>
    <xf numFmtId="186" fontId="7" fillId="0" borderId="0"/>
    <xf numFmtId="9" fontId="7" fillId="0" borderId="0"/>
    <xf numFmtId="0" fontId="11" fillId="0" borderId="0"/>
    <xf numFmtId="186" fontId="7" fillId="0" borderId="0"/>
    <xf numFmtId="0" fontId="140" fillId="0" borderId="0"/>
    <xf numFmtId="0" fontId="6" fillId="0" borderId="0"/>
    <xf numFmtId="0" fontId="134" fillId="0" borderId="0"/>
    <xf numFmtId="0" fontId="141" fillId="0" borderId="0"/>
    <xf numFmtId="0" fontId="127" fillId="0" borderId="0"/>
    <xf numFmtId="41" fontId="6" fillId="0" borderId="0"/>
    <xf numFmtId="0" fontId="6" fillId="0" borderId="0"/>
    <xf numFmtId="0" fontId="6" fillId="0" borderId="0"/>
    <xf numFmtId="0" fontId="142" fillId="0" borderId="0"/>
    <xf numFmtId="43" fontId="142" fillId="0" borderId="0"/>
    <xf numFmtId="186" fontId="17" fillId="0" borderId="0" applyAlignment="1">
      <alignment vertical="top"/>
    </xf>
    <xf numFmtId="0" fontId="16" fillId="0" borderId="0" applyAlignment="1" applyProtection="1">
      <alignment vertical="top"/>
      <protection locked="0" hidden="0"/>
    </xf>
    <xf numFmtId="43" fontId="11" fillId="0" borderId="0"/>
    <xf numFmtId="0" fontId="81" fillId="0" borderId="0"/>
    <xf numFmtId="0" fontId="9" fillId="0" borderId="0"/>
    <xf numFmtId="0" fontId="113" fillId="0" borderId="0"/>
    <xf numFmtId="0" fontId="81" fillId="0" borderId="0"/>
    <xf numFmtId="9" fontId="6" fillId="0" borderId="0"/>
    <xf numFmtId="166" fontId="6" fillId="0" borderId="0"/>
    <xf numFmtId="0" fontId="9" fillId="0" borderId="0"/>
    <xf numFmtId="41" fontId="6" fillId="0" borderId="0"/>
    <xf numFmtId="0" fontId="6" fillId="0" borderId="0"/>
    <xf numFmtId="0" fontId="6" fillId="0" borderId="0"/>
    <xf numFmtId="0" fontId="6" fillId="0" borderId="0"/>
    <xf numFmtId="0" fontId="7" fillId="0" borderId="0"/>
    <xf numFmtId="0" fontId="6" fillId="0" borderId="0"/>
    <xf numFmtId="0" fontId="7" fillId="0" borderId="0"/>
    <xf numFmtId="0" fontId="89" fillId="0" borderId="0"/>
    <xf numFmtId="0" fontId="17" fillId="6" borderId="30" applyAlignment="1">
      <alignment horizontal="left" vertical="center" indent="1"/>
    </xf>
    <xf numFmtId="0" fontId="89" fillId="0" borderId="0"/>
    <xf numFmtId="43" fontId="26" fillId="0" borderId="0"/>
    <xf numFmtId="43" fontId="89" fillId="0" borderId="0"/>
    <xf numFmtId="41" fontId="27" fillId="0" borderId="0"/>
    <xf numFmtId="9" fontId="89" fillId="0" borderId="0"/>
    <xf numFmtId="9" fontId="89" fillId="0" borderId="0"/>
    <xf numFmtId="0" fontId="89" fillId="0" borderId="0"/>
    <xf numFmtId="43" fontId="89" fillId="0" borderId="0"/>
    <xf numFmtId="0" fontId="17" fillId="9" borderId="30" applyAlignment="1">
      <alignment horizontal="right" vertical="center"/>
    </xf>
    <xf numFmtId="41" fontId="27" fillId="0" borderId="0"/>
    <xf numFmtId="0" fontId="17" fillId="14" borderId="30" applyAlignment="1">
      <alignment horizontal="left" vertical="center" indent="1"/>
    </xf>
    <xf numFmtId="0" fontId="18" fillId="13" borderId="30" applyAlignment="1">
      <alignment horizontal="left" vertical="center" indent="1"/>
    </xf>
    <xf numFmtId="0" fontId="36" fillId="0" borderId="0" applyProtection="1">
      <protection locked="0" hidden="0"/>
    </xf>
    <xf numFmtId="0" fontId="11" fillId="16" borderId="30" applyAlignment="1">
      <alignment horizontal="left" vertical="top" indent="1"/>
    </xf>
    <xf numFmtId="41" fontId="89" fillId="0" borderId="0"/>
    <xf numFmtId="173" fontId="27" fillId="0" borderId="0"/>
    <xf numFmtId="0" fontId="89" fillId="0" borderId="0"/>
    <xf numFmtId="41" fontId="89" fillId="0" borderId="0"/>
    <xf numFmtId="0" fontId="89" fillId="0" borderId="0"/>
    <xf numFmtId="0" fontId="17" fillId="23" borderId="30" applyAlignment="1">
      <alignment horizontal="right" vertical="center"/>
    </xf>
    <xf numFmtId="0" fontId="89" fillId="0" borderId="0"/>
    <xf numFmtId="43" fontId="89" fillId="0" borderId="0"/>
    <xf numFmtId="0" fontId="11" fillId="21" borderId="30" applyAlignment="1">
      <alignment horizontal="left" vertical="center" indent="1"/>
    </xf>
    <xf numFmtId="0" fontId="18" fillId="29" borderId="37" applyAlignment="1">
      <alignment horizontal="left" vertical="center" indent="1"/>
    </xf>
    <xf numFmtId="0" fontId="17" fillId="11" borderId="30" applyAlignment="1">
      <alignment horizontal="right" vertical="center"/>
    </xf>
    <xf numFmtId="0" fontId="26" fillId="0" borderId="0"/>
    <xf numFmtId="0" fontId="17" fillId="23" borderId="30" applyAlignment="1">
      <alignment horizontal="right" vertical="center"/>
    </xf>
    <xf numFmtId="0" fontId="17" fillId="16" borderId="30" applyAlignment="1">
      <alignment horizontal="right" vertical="center"/>
    </xf>
    <xf numFmtId="0" fontId="18" fillId="13" borderId="30" applyAlignment="1">
      <alignment vertical="center"/>
    </xf>
    <xf numFmtId="0" fontId="17" fillId="30" borderId="30" applyAlignment="1">
      <alignment horizontal="right" vertical="center"/>
    </xf>
    <xf numFmtId="0" fontId="18" fillId="29" borderId="37" applyAlignment="1">
      <alignment horizontal="left" vertical="center" indent="1"/>
    </xf>
    <xf numFmtId="0" fontId="11" fillId="16" borderId="30" applyAlignment="1">
      <alignment horizontal="left" vertical="center" indent="1"/>
    </xf>
    <xf numFmtId="0" fontId="89" fillId="0" borderId="0"/>
    <xf numFmtId="43" fontId="89" fillId="0" borderId="0"/>
    <xf numFmtId="0" fontId="89" fillId="0" borderId="0"/>
    <xf numFmtId="41" fontId="89" fillId="0" borderId="0"/>
    <xf numFmtId="41" fontId="46" fillId="0" borderId="0"/>
    <xf numFmtId="41" fontId="89" fillId="0" borderId="0"/>
    <xf numFmtId="41" fontId="89" fillId="0" borderId="0"/>
    <xf numFmtId="41" fontId="89" fillId="0" borderId="0"/>
    <xf numFmtId="0" fontId="89" fillId="0" borderId="0"/>
    <xf numFmtId="41" fontId="89" fillId="0" borderId="0"/>
    <xf numFmtId="0"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0" fontId="49" fillId="0" borderId="0" applyProtection="1">
      <protection locked="0" hidden="0"/>
    </xf>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43" fontId="89" fillId="0" borderId="0"/>
    <xf numFmtId="43" fontId="89" fillId="0" borderId="0"/>
    <xf numFmtId="43" fontId="89" fillId="0" borderId="0"/>
    <xf numFmtId="43" fontId="89" fillId="0" borderId="0"/>
    <xf numFmtId="43" fontId="89" fillId="0" borderId="0"/>
    <xf numFmtId="0" fontId="53" fillId="0" borderId="0" applyAlignment="1">
      <alignment vertical="center"/>
    </xf>
    <xf numFmtId="0" fontId="54" fillId="35" borderId="26"/>
    <xf numFmtId="0" fontId="56" fillId="0" borderId="35"/>
    <xf numFmtId="0" fontId="26" fillId="0" borderId="0"/>
    <xf numFmtId="0" fontId="56" fillId="0" borderId="11" applyAlignment="1">
      <alignment horizontal="left" vertical="center"/>
    </xf>
    <xf numFmtId="43" fontId="27" fillId="0" borderId="0"/>
    <xf numFmtId="0" fontId="54" fillId="6" borderId="26"/>
    <xf numFmtId="0" fontId="57" fillId="0" borderId="6"/>
    <xf numFmtId="0" fontId="89" fillId="0" borderId="0"/>
    <xf numFmtId="0" fontId="17" fillId="28" borderId="30" applyAlignment="1">
      <alignment horizontal="right" vertical="center"/>
    </xf>
    <xf numFmtId="0" fontId="17" fillId="28" borderId="30" applyAlignment="1">
      <alignment horizontal="right" vertical="center"/>
    </xf>
    <xf numFmtId="0" fontId="89" fillId="0" borderId="0"/>
    <xf numFmtId="0" fontId="89" fillId="0" borderId="0"/>
    <xf numFmtId="0" fontId="89" fillId="0" borderId="0"/>
    <xf numFmtId="0" fontId="89" fillId="0" borderId="0"/>
    <xf numFmtId="0" fontId="89" fillId="0" borderId="0"/>
    <xf numFmtId="0" fontId="17" fillId="14" borderId="30" applyAlignment="1">
      <alignment horizontal="left" vertical="top" indent="1"/>
    </xf>
    <xf numFmtId="0" fontId="18" fillId="13" borderId="30" applyAlignment="1">
      <alignment horizontal="left" vertical="top" indent="1"/>
    </xf>
    <xf numFmtId="0" fontId="39" fillId="0" borderId="0"/>
    <xf numFmtId="43" fontId="27" fillId="0" borderId="0"/>
    <xf numFmtId="0" fontId="53" fillId="0" borderId="0" applyAlignment="1">
      <alignment vertical="center"/>
    </xf>
    <xf numFmtId="0" fontId="89" fillId="0" borderId="0"/>
    <xf numFmtId="0" fontId="89" fillId="0" borderId="0"/>
    <xf numFmtId="43" fontId="27" fillId="0" borderId="0"/>
    <xf numFmtId="0" fontId="89" fillId="0" borderId="0"/>
    <xf numFmtId="43" fontId="27" fillId="0" borderId="0"/>
    <xf numFmtId="0" fontId="89" fillId="0" borderId="0"/>
    <xf numFmtId="0" fontId="89" fillId="0" borderId="0"/>
    <xf numFmtId="0" fontId="89" fillId="0" borderId="0"/>
    <xf numFmtId="43" fontId="89" fillId="0" borderId="0"/>
    <xf numFmtId="0" fontId="26" fillId="0" borderId="0"/>
    <xf numFmtId="0" fontId="26" fillId="0" borderId="0"/>
    <xf numFmtId="0" fontId="54" fillId="7" borderId="26"/>
    <xf numFmtId="9" fontId="89" fillId="0" borderId="0"/>
    <xf numFmtId="0" fontId="17" fillId="16" borderId="30" applyAlignment="1">
      <alignment horizontal="right" vertical="center"/>
    </xf>
    <xf numFmtId="0" fontId="17" fillId="15" borderId="30" applyAlignment="1">
      <alignment horizontal="right" vertical="center"/>
    </xf>
    <xf numFmtId="0" fontId="18" fillId="13" borderId="30" applyAlignment="1">
      <alignment vertical="center"/>
    </xf>
    <xf numFmtId="0" fontId="63" fillId="16" borderId="30" applyAlignment="1">
      <alignment horizontal="right" vertical="center"/>
    </xf>
    <xf numFmtId="0" fontId="64" fillId="13" borderId="30" applyAlignment="1">
      <alignment vertical="center"/>
    </xf>
    <xf numFmtId="0" fontId="63" fillId="16" borderId="30" applyAlignment="1">
      <alignment horizontal="right" vertical="center"/>
    </xf>
    <xf numFmtId="0" fontId="64" fillId="13" borderId="30" applyAlignment="1">
      <alignment vertical="center"/>
    </xf>
    <xf numFmtId="0" fontId="17" fillId="14" borderId="30" applyAlignment="1">
      <alignment horizontal="left" vertical="center" indent="1"/>
    </xf>
    <xf numFmtId="0" fontId="18" fillId="13" borderId="30" applyAlignment="1">
      <alignment horizontal="left" vertical="center" indent="1"/>
    </xf>
    <xf numFmtId="0" fontId="17" fillId="14"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6" borderId="30" applyAlignment="1">
      <alignment horizontal="left" vertical="center" indent="1"/>
    </xf>
    <xf numFmtId="0" fontId="17" fillId="11"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9" fontId="26" fillId="0" borderId="0"/>
    <xf numFmtId="0" fontId="17" fillId="38" borderId="30" applyAlignment="1">
      <alignment horizontal="right" vertical="center"/>
    </xf>
    <xf numFmtId="9" fontId="26" fillId="0" borderId="0"/>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43" fontId="89" fillId="0" borderId="0"/>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top" indent="1"/>
    </xf>
    <xf numFmtId="0" fontId="17" fillId="6" borderId="30" applyAlignment="1">
      <alignment horizontal="left" vertical="top" indent="1"/>
    </xf>
    <xf numFmtId="43" fontId="26" fillId="0" borderId="0"/>
    <xf numFmtId="0" fontId="20" fillId="16" borderId="30" applyAlignment="1">
      <alignment horizontal="right" vertical="center"/>
    </xf>
    <xf numFmtId="0" fontId="20" fillId="16" borderId="30" applyAlignment="1">
      <alignment horizontal="right" vertical="center"/>
    </xf>
    <xf numFmtId="43" fontId="54" fillId="0" borderId="16"/>
    <xf numFmtId="43" fontId="54" fillId="0" borderId="16"/>
    <xf numFmtId="43" fontId="54" fillId="0" borderId="16"/>
    <xf numFmtId="43" fontId="54" fillId="0" borderId="16"/>
    <xf numFmtId="9" fontId="89" fillId="0" borderId="0"/>
    <xf numFmtId="43" fontId="27" fillId="0" borderId="0"/>
    <xf numFmtId="0" fontId="89" fillId="0" borderId="0"/>
    <xf numFmtId="0" fontId="26" fillId="0" borderId="0"/>
    <xf numFmtId="0" fontId="26"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xf numFmtId="0" fontId="89" fillId="0" borderId="0"/>
    <xf numFmtId="0" fontId="53" fillId="0" borderId="0" applyAlignment="1">
      <alignment vertical="center"/>
    </xf>
    <xf numFmtId="0" fontId="80" fillId="0" borderId="0" applyAlignment="1">
      <alignment vertical="center"/>
    </xf>
    <xf numFmtId="0" fontId="86" fillId="0" borderId="0" applyAlignment="1">
      <alignment vertical="center"/>
    </xf>
    <xf numFmtId="43" fontId="80" fillId="0" borderId="0"/>
    <xf numFmtId="0" fontId="80" fillId="0" borderId="0"/>
    <xf numFmtId="9" fontId="80" fillId="0" borderId="0"/>
    <xf numFmtId="41" fontId="11" fillId="0" borderId="0"/>
    <xf numFmtId="43" fontId="11" fillId="0" borderId="0"/>
    <xf numFmtId="0" fontId="80" fillId="0" borderId="0"/>
    <xf numFmtId="43" fontId="80" fillId="0" borderId="0"/>
    <xf numFmtId="0" fontId="86" fillId="0" borderId="0" applyAlignment="1">
      <alignment vertical="center"/>
    </xf>
    <xf numFmtId="0" fontId="80" fillId="0" borderId="0"/>
    <xf numFmtId="0" fontId="26" fillId="0" borderId="0"/>
    <xf numFmtId="196" fontId="87" fillId="0" borderId="0" applyProtection="1">
      <protection locked="0" hidden="0"/>
    </xf>
    <xf numFmtId="0" fontId="89" fillId="0" borderId="0"/>
    <xf numFmtId="43" fontId="26" fillId="0" borderId="0"/>
    <xf numFmtId="0" fontId="89" fillId="0" borderId="0"/>
    <xf numFmtId="0" fontId="39" fillId="0" borderId="0"/>
    <xf numFmtId="41" fontId="27" fillId="0" borderId="0"/>
    <xf numFmtId="41" fontId="89" fillId="0" borderId="0"/>
    <xf numFmtId="9" fontId="89" fillId="0" borderId="0"/>
    <xf numFmtId="41" fontId="89" fillId="0" borderId="0"/>
    <xf numFmtId="41" fontId="89" fillId="0" borderId="0"/>
    <xf numFmtId="43" fontId="11" fillId="0" borderId="0"/>
    <xf numFmtId="41" fontId="89" fillId="0" borderId="0"/>
    <xf numFmtId="41" fontId="89" fillId="0" borderId="0"/>
    <xf numFmtId="9" fontId="89" fillId="0" borderId="0"/>
    <xf numFmtId="41" fontId="89" fillId="0" borderId="0"/>
    <xf numFmtId="41" fontId="89" fillId="0" borderId="0"/>
    <xf numFmtId="43" fontId="89" fillId="0" borderId="0"/>
    <xf numFmtId="41" fontId="89" fillId="0" borderId="0"/>
    <xf numFmtId="43" fontId="89" fillId="0" borderId="0"/>
    <xf numFmtId="0" fontId="89" fillId="0" borderId="0"/>
    <xf numFmtId="197" fontId="27" fillId="0" borderId="0"/>
    <xf numFmtId="41" fontId="89" fillId="0" borderId="0"/>
    <xf numFmtId="41" fontId="27" fillId="0" borderId="0"/>
    <xf numFmtId="0" fontId="16" fillId="0" borderId="0"/>
    <xf numFmtId="4" fontId="89" fillId="0" borderId="26" applyAlignment="1">
      <alignment horizontal="right"/>
    </xf>
    <xf numFmtId="0" fontId="89" fillId="0" borderId="0"/>
    <xf numFmtId="0" fontId="21" fillId="0" borderId="0"/>
    <xf numFmtId="4" fontId="89" fillId="0" borderId="26" applyAlignment="1">
      <alignment horizontal="right"/>
    </xf>
    <xf numFmtId="41" fontId="89"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27" fillId="0" borderId="0"/>
    <xf numFmtId="41" fontId="27" fillId="0" borderId="0"/>
    <xf numFmtId="43" fontId="89" fillId="0" borderId="0"/>
    <xf numFmtId="0" fontId="89" fillId="0" borderId="0"/>
    <xf numFmtId="43" fontId="89" fillId="0" borderId="0"/>
    <xf numFmtId="43" fontId="89" fillId="0" borderId="0"/>
    <xf numFmtId="43" fontId="89" fillId="0" borderId="0"/>
    <xf numFmtId="197" fontId="26" fillId="0" borderId="0"/>
    <xf numFmtId="43" fontId="26" fillId="0" borderId="0"/>
    <xf numFmtId="43" fontId="26" fillId="0" borderId="0"/>
    <xf numFmtId="43" fontId="11" fillId="0" borderId="0"/>
    <xf numFmtId="43" fontId="26"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3" fontId="89" fillId="0" borderId="0"/>
    <xf numFmtId="41" fontId="89" fillId="0" borderId="0"/>
    <xf numFmtId="41" fontId="89" fillId="0" borderId="0"/>
    <xf numFmtId="43" fontId="11" fillId="0" borderId="0"/>
    <xf numFmtId="197" fontId="27" fillId="0" borderId="0"/>
    <xf numFmtId="43" fontId="27" fillId="0" borderId="0"/>
    <xf numFmtId="43" fontId="89" fillId="0" borderId="0"/>
    <xf numFmtId="43" fontId="89" fillId="0" borderId="0"/>
    <xf numFmtId="43" fontId="89" fillId="0" borderId="0"/>
    <xf numFmtId="43" fontId="26" fillId="0" borderId="0"/>
    <xf numFmtId="43" fontId="11" fillId="0" borderId="0"/>
    <xf numFmtId="43" fontId="11"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37" fillId="0" borderId="0"/>
    <xf numFmtId="43" fontId="37" fillId="0" borderId="0"/>
    <xf numFmtId="43" fontId="89" fillId="0" borderId="0"/>
    <xf numFmtId="43" fontId="89" fillId="0" borderId="0"/>
    <xf numFmtId="43" fontId="89" fillId="0" borderId="0"/>
    <xf numFmtId="0" fontId="89" fillId="0" borderId="0"/>
    <xf numFmtId="43" fontId="89" fillId="0" borderId="0"/>
    <xf numFmtId="43" fontId="89" fillId="0" borderId="0"/>
    <xf numFmtId="0" fontId="89" fillId="0" borderId="26"/>
    <xf numFmtId="0" fontId="89" fillId="0" borderId="26"/>
    <xf numFmtId="0" fontId="89" fillId="0" borderId="26"/>
    <xf numFmtId="0" fontId="89" fillId="0" borderId="26"/>
    <xf numFmtId="41" fontId="27" fillId="0" borderId="0"/>
    <xf numFmtId="0" fontId="89" fillId="0" borderId="0"/>
    <xf numFmtId="0" fontId="89" fillId="0" borderId="0"/>
    <xf numFmtId="0" fontId="89" fillId="0" borderId="0"/>
    <xf numFmtId="0" fontId="89" fillId="0" borderId="0"/>
    <xf numFmtId="0" fontId="11" fillId="0" borderId="0"/>
    <xf numFmtId="0" fontId="89" fillId="0" borderId="0"/>
    <xf numFmtId="0" fontId="89" fillId="0" borderId="0"/>
    <xf numFmtId="0" fontId="89" fillId="0" borderId="0"/>
    <xf numFmtId="0" fontId="26" fillId="0" borderId="0"/>
    <xf numFmtId="0" fontId="89" fillId="0" borderId="0"/>
    <xf numFmtId="0" fontId="26" fillId="0" borderId="0"/>
    <xf numFmtId="0" fontId="26" fillId="0" borderId="0"/>
    <xf numFmtId="0" fontId="89" fillId="0" borderId="0"/>
    <xf numFmtId="0" fontId="26" fillId="0" borderId="0"/>
    <xf numFmtId="0" fontId="89" fillId="0" borderId="0"/>
    <xf numFmtId="0" fontId="27" fillId="0" borderId="0"/>
    <xf numFmtId="0" fontId="89" fillId="0" borderId="0"/>
    <xf numFmtId="0" fontId="89" fillId="0" borderId="0"/>
    <xf numFmtId="0" fontId="89" fillId="0" borderId="0" applyAlignment="1">
      <alignment vertical="center"/>
    </xf>
    <xf numFmtId="166" fontId="89" fillId="0" borderId="0"/>
    <xf numFmtId="166" fontId="89" fillId="0" borderId="0"/>
    <xf numFmtId="9" fontId="11" fillId="0" borderId="0"/>
    <xf numFmtId="9" fontId="89" fillId="0" borderId="0"/>
    <xf numFmtId="9" fontId="89" fillId="0" borderId="0"/>
    <xf numFmtId="0" fontId="61" fillId="0" borderId="0" applyProtection="1">
      <protection locked="0" hidden="0"/>
    </xf>
    <xf numFmtId="196" fontId="11" fillId="0" borderId="0"/>
    <xf numFmtId="0" fontId="11" fillId="0" borderId="0" applyProtection="1">
      <protection locked="0" hidden="0"/>
    </xf>
    <xf numFmtId="0" fontId="89" fillId="0" borderId="0" applyAlignment="1">
      <alignment vertical="center"/>
    </xf>
    <xf numFmtId="43" fontId="11" fillId="0" borderId="0"/>
    <xf numFmtId="0" fontId="89" fillId="0" borderId="0"/>
    <xf numFmtId="43" fontId="61" fillId="0" borderId="0"/>
    <xf numFmtId="43" fontId="61" fillId="0" borderId="0"/>
    <xf numFmtId="43" fontId="11" fillId="0" borderId="0"/>
    <xf numFmtId="43" fontId="11" fillId="0" borderId="0"/>
    <xf numFmtId="41" fontId="27" fillId="0" borderId="0"/>
    <xf numFmtId="0" fontId="26" fillId="0" borderId="0"/>
    <xf numFmtId="43" fontId="26" fillId="0" borderId="0"/>
    <xf numFmtId="0" fontId="26" fillId="0" borderId="0"/>
    <xf numFmtId="0" fontId="26" fillId="0" borderId="0"/>
    <xf numFmtId="43" fontId="6" fillId="0" borderId="0"/>
    <xf numFmtId="198" fontId="26" fillId="0" borderId="0"/>
    <xf numFmtId="43" fontId="89" fillId="0" borderId="0"/>
    <xf numFmtId="0" fontId="89" fillId="0" borderId="0"/>
    <xf numFmtId="41" fontId="89" fillId="0" borderId="0"/>
    <xf numFmtId="0" fontId="80" fillId="0" borderId="0" applyAlignment="1">
      <alignment vertical="center"/>
    </xf>
    <xf numFmtId="43" fontId="89" fillId="0" borderId="0"/>
    <xf numFmtId="0" fontId="26" fillId="0" borderId="0"/>
    <xf numFmtId="0" fontId="6" fillId="0" borderId="0"/>
    <xf numFmtId="43" fontId="26" fillId="0" borderId="0"/>
    <xf numFmtId="43" fontId="6" fillId="0" borderId="0"/>
    <xf numFmtId="0" fontId="80" fillId="0" borderId="0" applyAlignment="1">
      <alignment vertical="center"/>
    </xf>
    <xf numFmtId="0" fontId="6" fillId="0" borderId="0"/>
    <xf numFmtId="0" fontId="89" fillId="0" borderId="0"/>
    <xf numFmtId="0" fontId="89" fillId="0" borderId="0"/>
    <xf numFmtId="43" fontId="89" fillId="0" borderId="0"/>
    <xf numFmtId="0" fontId="80" fillId="0" borderId="0" applyAlignment="1">
      <alignment vertical="center"/>
    </xf>
    <xf numFmtId="0" fontId="80" fillId="0" borderId="0" applyAlignment="1">
      <alignment vertical="center"/>
    </xf>
    <xf numFmtId="0" fontId="89" fillId="0" borderId="0"/>
    <xf numFmtId="43" fontId="26" fillId="0" borderId="0"/>
    <xf numFmtId="43" fontId="89" fillId="0" borderId="0"/>
    <xf numFmtId="41" fontId="27" fillId="0" borderId="0"/>
    <xf numFmtId="0" fontId="21" fillId="0" borderId="0"/>
    <xf numFmtId="43" fontId="11" fillId="0" borderId="0"/>
    <xf numFmtId="43" fontId="89" fillId="0" borderId="0"/>
    <xf numFmtId="41" fontId="27" fillId="0" borderId="0"/>
    <xf numFmtId="0" fontId="34" fillId="0" borderId="0"/>
    <xf numFmtId="0" fontId="36" fillId="0" borderId="0" applyProtection="1">
      <protection locked="0" hidden="0"/>
    </xf>
    <xf numFmtId="41" fontId="89" fillId="0" borderId="0"/>
    <xf numFmtId="41" fontId="89" fillId="0" borderId="0"/>
    <xf numFmtId="43" fontId="89" fillId="0" borderId="0"/>
    <xf numFmtId="0" fontId="18" fillId="29" borderId="37" applyAlignment="1">
      <alignment horizontal="left" vertical="center" indent="1"/>
    </xf>
    <xf numFmtId="0" fontId="26" fillId="0" borderId="0"/>
    <xf numFmtId="0" fontId="11" fillId="0" borderId="0"/>
    <xf numFmtId="0" fontId="43" fillId="32" borderId="15"/>
    <xf numFmtId="43" fontId="89" fillId="0" borderId="0"/>
    <xf numFmtId="41" fontId="89" fillId="0" borderId="0"/>
    <xf numFmtId="41" fontId="46" fillId="0" borderId="0"/>
    <xf numFmtId="41" fontId="89" fillId="0" borderId="0"/>
    <xf numFmtId="41" fontId="89" fillId="0" borderId="0"/>
    <xf numFmtId="41" fontId="89" fillId="0" borderId="0"/>
    <xf numFmtId="41" fontId="89" fillId="0" borderId="0"/>
    <xf numFmtId="41" fontId="89" fillId="0" borderId="0"/>
    <xf numFmtId="41" fontId="89" fillId="0" borderId="0"/>
    <xf numFmtId="41" fontId="46" fillId="0" borderId="0"/>
    <xf numFmtId="41" fontId="46" fillId="0" borderId="0"/>
    <xf numFmtId="41" fontId="46" fillId="0" borderId="0"/>
    <xf numFmtId="41" fontId="89" fillId="0" borderId="0"/>
    <xf numFmtId="43" fontId="89" fillId="0" borderId="0"/>
    <xf numFmtId="43" fontId="89" fillId="0" borderId="0"/>
    <xf numFmtId="41" fontId="89" fillId="0" borderId="0"/>
    <xf numFmtId="41" fontId="89" fillId="0" borderId="0"/>
    <xf numFmtId="41" fontId="27" fillId="0" borderId="0"/>
    <xf numFmtId="41" fontId="27" fillId="0" borderId="0"/>
    <xf numFmtId="41" fontId="27" fillId="0" borderId="0"/>
    <xf numFmtId="41" fontId="27" fillId="0" borderId="0"/>
    <xf numFmtId="41" fontId="27"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27" fillId="0" borderId="0"/>
    <xf numFmtId="43" fontId="11" fillId="0" borderId="0"/>
    <xf numFmtId="43" fontId="89" fillId="0" borderId="0"/>
    <xf numFmtId="43" fontId="89" fillId="0" borderId="0"/>
    <xf numFmtId="43" fontId="89" fillId="0" borderId="0"/>
    <xf numFmtId="43" fontId="26" fillId="0" borderId="0"/>
    <xf numFmtId="43" fontId="89"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26" fillId="0" borderId="0"/>
    <xf numFmtId="41" fontId="46" fillId="0" borderId="0"/>
    <xf numFmtId="43" fontId="89" fillId="0" borderId="0"/>
    <xf numFmtId="43" fontId="89" fillId="0" borderId="0"/>
    <xf numFmtId="43" fontId="89" fillId="0" borderId="0"/>
    <xf numFmtId="43" fontId="89" fillId="0" borderId="0"/>
    <xf numFmtId="43" fontId="27" fillId="0" borderId="0"/>
    <xf numFmtId="43" fontId="27" fillId="0" borderId="0"/>
    <xf numFmtId="43" fontId="27" fillId="0" borderId="0"/>
    <xf numFmtId="43" fontId="27" fillId="0" borderId="0"/>
    <xf numFmtId="43" fontId="27" fillId="0" borderId="0"/>
    <xf numFmtId="43" fontId="27" fillId="0" borderId="0"/>
    <xf numFmtId="0" fontId="52" fillId="10" borderId="0"/>
    <xf numFmtId="43" fontId="89" fillId="0" borderId="0"/>
    <xf numFmtId="43" fontId="89" fillId="0" borderId="0"/>
    <xf numFmtId="43" fontId="89" fillId="0" borderId="0"/>
    <xf numFmtId="43" fontId="89" fillId="0" borderId="0"/>
    <xf numFmtId="43" fontId="89" fillId="0" borderId="0"/>
    <xf numFmtId="0" fontId="54" fillId="35" borderId="26"/>
    <xf numFmtId="0" fontId="56" fillId="0" borderId="35"/>
    <xf numFmtId="43" fontId="27" fillId="0" borderId="0"/>
    <xf numFmtId="0" fontId="54" fillId="6" borderId="26"/>
    <xf numFmtId="0" fontId="89" fillId="0" borderId="0"/>
    <xf numFmtId="0" fontId="39" fillId="0" borderId="0"/>
    <xf numFmtId="43" fontId="27" fillId="0" borderId="0"/>
    <xf numFmtId="43" fontId="27" fillId="0" borderId="0"/>
    <xf numFmtId="43" fontId="27" fillId="0" borderId="0"/>
    <xf numFmtId="0" fontId="7" fillId="0" borderId="0"/>
    <xf numFmtId="0" fontId="26" fillId="0" borderId="0"/>
    <xf numFmtId="0" fontId="26" fillId="0" borderId="0"/>
    <xf numFmtId="43" fontId="89" fillId="0" borderId="0"/>
    <xf numFmtId="0" fontId="11" fillId="0" borderId="0"/>
    <xf numFmtId="0" fontId="39" fillId="0" borderId="0"/>
    <xf numFmtId="0" fontId="26" fillId="0" borderId="0"/>
    <xf numFmtId="0" fontId="26" fillId="0" borderId="0"/>
    <xf numFmtId="0" fontId="54" fillId="7" borderId="26"/>
    <xf numFmtId="9" fontId="89" fillId="0" borderId="0"/>
    <xf numFmtId="9" fontId="27" fillId="0" borderId="0"/>
    <xf numFmtId="0" fontId="18" fillId="29" borderId="37" applyAlignment="1">
      <alignment horizontal="left" vertical="center" indent="1"/>
    </xf>
    <xf numFmtId="0" fontId="26" fillId="0" borderId="0"/>
    <xf numFmtId="0" fontId="18" fillId="29" borderId="37" applyAlignment="1">
      <alignment horizontal="left" vertical="center" indent="1"/>
    </xf>
    <xf numFmtId="43" fontId="89" fillId="0" borderId="0"/>
    <xf numFmtId="43" fontId="26" fillId="0" borderId="0"/>
    <xf numFmtId="43" fontId="54" fillId="0" borderId="16"/>
    <xf numFmtId="43" fontId="54" fillId="0" borderId="16"/>
    <xf numFmtId="43" fontId="54" fillId="0" borderId="16"/>
    <xf numFmtId="43" fontId="54" fillId="0" borderId="16"/>
    <xf numFmtId="0" fontId="27" fillId="0" borderId="0"/>
    <xf numFmtId="43" fontId="27" fillId="0" borderId="0"/>
    <xf numFmtId="0" fontId="26" fillId="0" borderId="0"/>
    <xf numFmtId="0" fontId="27" fillId="0" borderId="0"/>
    <xf numFmtId="0" fontId="26" fillId="0" borderId="0"/>
    <xf numFmtId="0" fontId="27" fillId="0" borderId="0"/>
    <xf numFmtId="43" fontId="27" fillId="0" borderId="0"/>
    <xf numFmtId="43" fontId="27" fillId="0" borderId="0"/>
    <xf numFmtId="43" fontId="27" fillId="0" borderId="0"/>
    <xf numFmtId="43" fontId="26" fillId="0" borderId="0"/>
    <xf numFmtId="43" fontId="27" fillId="0" borderId="0"/>
    <xf numFmtId="43" fontId="89" fillId="0" borderId="0"/>
    <xf numFmtId="43" fontId="89" fillId="0" borderId="0"/>
    <xf numFmtId="43" fontId="89" fillId="0" borderId="0"/>
    <xf numFmtId="41" fontId="27" fillId="0" borderId="0"/>
    <xf numFmtId="41" fontId="27" fillId="0" borderId="0"/>
    <xf numFmtId="41" fontId="27" fillId="0" borderId="0"/>
    <xf numFmtId="41" fontId="27" fillId="0" borderId="0"/>
    <xf numFmtId="41" fontId="27" fillId="0" borderId="0"/>
    <xf numFmtId="0" fontId="11" fillId="0" borderId="26"/>
    <xf numFmtId="0" fontId="6" fillId="0" borderId="0"/>
    <xf numFmtId="0" fontId="80" fillId="0" borderId="0" applyAlignment="1">
      <alignment vertical="center"/>
    </xf>
    <xf numFmtId="0" fontId="80" fillId="0" borderId="0"/>
    <xf numFmtId="0" fontId="86" fillId="0" borderId="0" applyAlignment="1">
      <alignment vertical="center"/>
    </xf>
    <xf numFmtId="43" fontId="80" fillId="0" borderId="0"/>
    <xf numFmtId="41" fontId="11" fillId="0" borderId="0"/>
    <xf numFmtId="43" fontId="11" fillId="0" borderId="0"/>
    <xf numFmtId="0" fontId="80" fillId="0" borderId="0"/>
    <xf numFmtId="196" fontId="87" fillId="0" borderId="0" applyProtection="1">
      <protection locked="0" hidden="0"/>
    </xf>
    <xf numFmtId="43" fontId="80" fillId="0" borderId="0"/>
    <xf numFmtId="0" fontId="27" fillId="0" borderId="0"/>
    <xf numFmtId="0" fontId="18" fillId="29" borderId="37" applyAlignment="1">
      <alignment horizontal="left" vertical="center" indent="1"/>
    </xf>
    <xf numFmtId="0" fontId="56" fillId="0" borderId="36"/>
    <xf numFmtId="0" fontId="18" fillId="29" borderId="37" applyAlignment="1">
      <alignment horizontal="left" vertical="center" indent="1"/>
    </xf>
    <xf numFmtId="0" fontId="7" fillId="0" borderId="0"/>
    <xf numFmtId="0" fontId="80" fillId="0" borderId="0"/>
    <xf numFmtId="0" fontId="80" fillId="0" borderId="0"/>
    <xf numFmtId="0" fontId="80" fillId="0" borderId="0"/>
    <xf numFmtId="0" fontId="80" fillId="0" borderId="0"/>
    <xf numFmtId="41" fontId="80" fillId="0" borderId="0"/>
    <xf numFmtId="9" fontId="80" fillId="0" borderId="0"/>
    <xf numFmtId="41" fontId="80" fillId="0" borderId="0"/>
    <xf numFmtId="0" fontId="80" fillId="0" borderId="0" applyAlignment="1">
      <alignment vertical="center"/>
    </xf>
    <xf numFmtId="0" fontId="80" fillId="0" borderId="0"/>
    <xf numFmtId="0" fontId="80" fillId="0" borderId="0" applyAlignment="1" applyProtection="1">
      <alignment vertical="center"/>
      <protection locked="0" hidden="0"/>
    </xf>
    <xf numFmtId="43" fontId="80" fillId="0" borderId="0"/>
    <xf numFmtId="0" fontId="80" fillId="0" borderId="0"/>
    <xf numFmtId="43" fontId="11" fillId="0" borderId="0"/>
    <xf numFmtId="4" fontId="80" fillId="0" borderId="26" applyAlignment="1">
      <alignment horizontal="right"/>
    </xf>
    <xf numFmtId="4" fontId="80" fillId="0" borderId="26" applyAlignment="1">
      <alignment horizontal="right"/>
    </xf>
    <xf numFmtId="4" fontId="102" fillId="0" borderId="26" applyAlignment="1">
      <alignment horizontal="right" vertical="center"/>
    </xf>
    <xf numFmtId="4" fontId="102" fillId="0" borderId="26" applyAlignment="1">
      <alignment horizontal="right" vertical="center"/>
    </xf>
    <xf numFmtId="4" fontId="80" fillId="0" borderId="26" applyAlignment="1">
      <alignment horizontal="right"/>
    </xf>
    <xf numFmtId="4" fontId="80" fillId="0" borderId="26" applyAlignment="1">
      <alignment horizontal="right"/>
    </xf>
    <xf numFmtId="10" fontId="80" fillId="0" borderId="26"/>
    <xf numFmtId="0" fontId="102" fillId="0" borderId="26" applyAlignment="1">
      <alignment horizontal="right" vertical="center"/>
    </xf>
    <xf numFmtId="0" fontId="102" fillId="0" borderId="26" applyAlignment="1">
      <alignment horizontal="right" vertical="center"/>
    </xf>
    <xf numFmtId="10" fontId="80" fillId="0" borderId="26"/>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46"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80" fillId="0" borderId="0"/>
    <xf numFmtId="43" fontId="80" fillId="0" borderId="0"/>
    <xf numFmtId="41" fontId="80" fillId="0" borderId="0"/>
    <xf numFmtId="43" fontId="11" fillId="0" borderId="0"/>
    <xf numFmtId="43" fontId="80" fillId="0" borderId="0"/>
    <xf numFmtId="43" fontId="80" fillId="0" borderId="0"/>
    <xf numFmtId="43" fontId="11" fillId="0" borderId="0"/>
    <xf numFmtId="41" fontId="80"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3" fontId="80" fillId="0" borderId="0"/>
    <xf numFmtId="41" fontId="80" fillId="0" borderId="0"/>
    <xf numFmtId="41" fontId="80" fillId="0" borderId="0"/>
    <xf numFmtId="43" fontId="80" fillId="0" borderId="0"/>
    <xf numFmtId="43" fontId="80" fillId="0" borderId="0"/>
    <xf numFmtId="41" fontId="80" fillId="0" borderId="0"/>
    <xf numFmtId="43" fontId="80" fillId="0" borderId="0"/>
    <xf numFmtId="43" fontId="80" fillId="0" borderId="0"/>
    <xf numFmtId="43" fontId="11" fillId="0" borderId="0"/>
    <xf numFmtId="41" fontId="80" fillId="0" borderId="0"/>
    <xf numFmtId="41" fontId="46" fillId="0" borderId="0"/>
    <xf numFmtId="43" fontId="80" fillId="0" borderId="0"/>
    <xf numFmtId="43" fontId="80" fillId="0" borderId="0"/>
    <xf numFmtId="43" fontId="80" fillId="0" borderId="0"/>
    <xf numFmtId="43" fontId="11" fillId="0" borderId="0"/>
    <xf numFmtId="43" fontId="11" fillId="0" borderId="0"/>
    <xf numFmtId="43" fontId="11" fillId="0" borderId="0"/>
    <xf numFmtId="43" fontId="11" fillId="0" borderId="0"/>
    <xf numFmtId="43" fontId="11"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1" fontId="11" fillId="0" borderId="0"/>
    <xf numFmtId="41" fontId="11" fillId="0" borderId="0"/>
    <xf numFmtId="41" fontId="11" fillId="0" borderId="0"/>
    <xf numFmtId="43" fontId="80" fillId="0" borderId="0"/>
    <xf numFmtId="41" fontId="11" fillId="0" borderId="0"/>
    <xf numFmtId="41" fontId="11" fillId="0" borderId="0"/>
    <xf numFmtId="43" fontId="80" fillId="0" borderId="0"/>
    <xf numFmtId="41" fontId="11" fillId="0" borderId="0"/>
    <xf numFmtId="41" fontId="11" fillId="0" borderId="0"/>
    <xf numFmtId="41" fontId="11" fillId="0" borderId="0"/>
    <xf numFmtId="43" fontId="80" fillId="0" borderId="0"/>
    <xf numFmtId="41"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1"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80" fillId="0" borderId="26"/>
    <xf numFmtId="0" fontId="54" fillId="35" borderId="26"/>
    <xf numFmtId="0" fontId="54" fillId="35" borderId="26"/>
    <xf numFmtId="0" fontId="102" fillId="0" borderId="26"/>
    <xf numFmtId="0" fontId="102" fillId="0" borderId="26"/>
    <xf numFmtId="0" fontId="56" fillId="0" borderId="36"/>
    <xf numFmtId="0" fontId="56" fillId="0" borderId="11" applyAlignment="1">
      <alignment horizontal="left" vertical="center"/>
    </xf>
    <xf numFmtId="0" fontId="115" fillId="50" borderId="26" applyAlignment="1">
      <alignment horizontal="center" vertical="center"/>
    </xf>
    <xf numFmtId="0" fontId="115" fillId="50" borderId="26" applyAlignment="1">
      <alignment horizontal="center" vertical="center"/>
    </xf>
    <xf numFmtId="0" fontId="34" fillId="0" borderId="0"/>
    <xf numFmtId="0" fontId="54" fillId="6" borderId="26"/>
    <xf numFmtId="0" fontId="54" fillId="6" borderId="26"/>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lignment vertical="center"/>
    </xf>
    <xf numFmtId="0" fontId="80" fillId="0" borderId="0"/>
    <xf numFmtId="0" fontId="80" fillId="0" borderId="0"/>
    <xf numFmtId="0" fontId="80" fillId="0" borderId="0"/>
    <xf numFmtId="0" fontId="80" fillId="0" borderId="0"/>
    <xf numFmtId="0" fontId="80" fillId="0" borderId="0"/>
    <xf numFmtId="0" fontId="80" fillId="0" borderId="0"/>
    <xf numFmtId="9" fontId="80" fillId="0" borderId="0"/>
    <xf numFmtId="0" fontId="80" fillId="0" borderId="0"/>
    <xf numFmtId="0" fontId="80" fillId="0" borderId="0"/>
    <xf numFmtId="0" fontId="80" fillId="0" borderId="0"/>
    <xf numFmtId="0" fontId="80" fillId="0" borderId="0"/>
    <xf numFmtId="0" fontId="80" fillId="0" borderId="0"/>
    <xf numFmtId="43" fontId="61" fillId="0" borderId="0"/>
    <xf numFmtId="43" fontId="61" fillId="0" borderId="0"/>
    <xf numFmtId="0" fontId="80" fillId="0" borderId="0"/>
    <xf numFmtId="0" fontId="80" fillId="0" borderId="0"/>
    <xf numFmtId="0" fontId="80" fillId="0" borderId="0" applyAlignment="1">
      <alignment vertical="center"/>
    </xf>
    <xf numFmtId="166" fontId="80" fillId="0" borderId="0"/>
    <xf numFmtId="9" fontId="80" fillId="0" borderId="0"/>
    <xf numFmtId="9" fontId="80" fillId="0" borderId="0"/>
    <xf numFmtId="9" fontId="80" fillId="0" borderId="0"/>
    <xf numFmtId="9" fontId="80" fillId="0" borderId="0"/>
    <xf numFmtId="9" fontId="80" fillId="0" borderId="0"/>
    <xf numFmtId="0" fontId="54" fillId="7" borderId="26"/>
    <xf numFmtId="0" fontId="54" fillId="7" borderId="26"/>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8" fillId="29" borderId="37" applyAlignment="1">
      <alignment horizontal="left" vertical="center" indent="1"/>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9"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xf numFmtId="0" fontId="80" fillId="0" borderId="0" applyAlignment="1" applyProtection="1">
      <alignment vertical="center"/>
      <protection locked="0" hidden="0"/>
    </xf>
    <xf numFmtId="43" fontId="11" fillId="0" borderId="0"/>
    <xf numFmtId="43" fontId="80" fillId="0" borderId="0"/>
    <xf numFmtId="43" fontId="80" fillId="0" borderId="0"/>
    <xf numFmtId="43" fontId="80" fillId="0" borderId="0"/>
    <xf numFmtId="43" fontId="11" fillId="0" borderId="0"/>
    <xf numFmtId="43" fontId="80" fillId="0" borderId="0"/>
    <xf numFmtId="43" fontId="80" fillId="0" borderId="0"/>
    <xf numFmtId="43" fontId="80" fillId="0" borderId="0"/>
    <xf numFmtId="43" fontId="61" fillId="0" borderId="0"/>
    <xf numFmtId="43" fontId="61" fillId="0" borderId="0"/>
    <xf numFmtId="43" fontId="11"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43" fontId="80" fillId="0" borderId="0"/>
    <xf numFmtId="0" fontId="11" fillId="0" borderId="26"/>
    <xf numFmtId="0" fontId="11" fillId="0" borderId="26"/>
    <xf numFmtId="0" fontId="80" fillId="0" borderId="0"/>
    <xf numFmtId="43" fontId="27" fillId="0" borderId="0"/>
    <xf numFmtId="43" fontId="80" fillId="0" borderId="0"/>
    <xf numFmtId="9" fontId="80" fillId="0" borderId="0"/>
    <xf numFmtId="0" fontId="6" fillId="0" borderId="0"/>
    <xf numFmtId="43" fontId="80" fillId="0" borderId="0"/>
    <xf numFmtId="0" fontId="6" fillId="0" borderId="0"/>
    <xf numFmtId="0" fontId="80" fillId="0" borderId="0"/>
    <xf numFmtId="0" fontId="6" fillId="0" borderId="0"/>
    <xf numFmtId="0" fontId="80" fillId="0" borderId="0"/>
    <xf numFmtId="43" fontId="80" fillId="0" borderId="0"/>
    <xf numFmtId="0" fontId="6" fillId="0" borderId="0"/>
    <xf numFmtId="0" fontId="6" fillId="0" borderId="0"/>
    <xf numFmtId="43" fontId="80" fillId="0" borderId="0"/>
    <xf numFmtId="0" fontId="18" fillId="13" borderId="30" applyAlignment="1">
      <alignment vertical="center"/>
    </xf>
    <xf numFmtId="0" fontId="18" fillId="13" borderId="30" applyAlignment="1">
      <alignment vertical="center"/>
    </xf>
    <xf numFmtId="0" fontId="18" fillId="13" borderId="30" applyAlignment="1">
      <alignment vertical="center"/>
    </xf>
    <xf numFmtId="0" fontId="18"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64" fillId="13" borderId="30" applyAlignment="1">
      <alignment vertical="center"/>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center"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8" fillId="13" borderId="30" applyAlignment="1">
      <alignment horizontal="left" vertical="top" indent="1"/>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9"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15"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30"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11"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8"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23"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6"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7"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38"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7" fillId="14" borderId="30" applyAlignment="1">
      <alignment horizontal="right" vertical="center"/>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center"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20" borderId="30" applyAlignment="1">
      <alignment horizontal="left" vertical="top"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center"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14" borderId="30" applyAlignment="1">
      <alignment horizontal="left" vertical="top"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center"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21" borderId="30" applyAlignment="1">
      <alignment horizontal="left" vertical="top"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center"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1" fillId="16" borderId="30" applyAlignment="1">
      <alignment horizontal="left" vertical="top" indent="1"/>
    </xf>
    <xf numFmtId="0" fontId="17" fillId="6" borderId="30" applyAlignment="1">
      <alignment vertical="center"/>
    </xf>
    <xf numFmtId="0" fontId="17" fillId="6" borderId="30" applyAlignment="1">
      <alignment vertical="center"/>
    </xf>
    <xf numFmtId="0" fontId="17" fillId="6" borderId="30" applyAlignment="1">
      <alignment vertical="center"/>
    </xf>
    <xf numFmtId="0" fontId="17"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63" fillId="6" borderId="30" applyAlignment="1">
      <alignment vertical="center"/>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center"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6" borderId="30" applyAlignment="1">
      <alignment horizontal="left" vertical="top" indent="1"/>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17"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63" fillId="16" borderId="30" applyAlignment="1">
      <alignment horizontal="right" vertical="center"/>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center"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17" fillId="14" borderId="30" applyAlignment="1">
      <alignment horizontal="left" vertical="top" indent="1"/>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20" fillId="16" borderId="30" applyAlignment="1">
      <alignment horizontal="right" vertical="center"/>
    </xf>
    <xf numFmtId="0" fontId="80" fillId="0" borderId="0"/>
    <xf numFmtId="0" fontId="80" fillId="0" borderId="0"/>
    <xf numFmtId="43" fontId="80" fillId="0" borderId="0"/>
    <xf numFmtId="0" fontId="80" fillId="0" borderId="0"/>
    <xf numFmtId="0" fontId="80" fillId="0" borderId="0"/>
    <xf numFmtId="0" fontId="80" fillId="0" borderId="0"/>
    <xf numFmtId="43" fontId="80" fillId="0" borderId="0"/>
    <xf numFmtId="0" fontId="80" fillId="0" borderId="0"/>
    <xf numFmtId="9" fontId="80" fillId="0" borderId="0"/>
    <xf numFmtId="43" fontId="6" fillId="0" borderId="0"/>
    <xf numFmtId="41" fontId="6" fillId="0" borderId="0"/>
    <xf numFmtId="43" fontId="11" fillId="0" borderId="0"/>
    <xf numFmtId="43" fontId="134" fillId="0" borderId="0"/>
    <xf numFmtId="0" fontId="18" fillId="29" borderId="37" applyAlignment="1">
      <alignment horizontal="left" vertical="center" indent="1"/>
    </xf>
    <xf numFmtId="0" fontId="89" fillId="0" borderId="0"/>
    <xf numFmtId="0" fontId="18" fillId="29" borderId="37" applyAlignment="1">
      <alignment horizontal="left" vertical="center" indent="1"/>
    </xf>
    <xf numFmtId="0" fontId="89" fillId="0" borderId="0"/>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41" fontId="46" fillId="0" borderId="0"/>
    <xf numFmtId="0" fontId="56" fillId="0" borderId="36"/>
    <xf numFmtId="0" fontId="26" fillId="0" borderId="0"/>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18" fillId="29" borderId="37" applyAlignment="1">
      <alignment horizontal="left" vertical="center" indent="1"/>
    </xf>
    <xf numFmtId="0" fontId="56" fillId="0" borderId="36"/>
    <xf numFmtId="0" fontId="18" fillId="29" borderId="37" applyAlignment="1">
      <alignment horizontal="left" vertical="center" indent="1"/>
    </xf>
    <xf numFmtId="41" fontId="46" fillId="0" borderId="0"/>
    <xf numFmtId="0" fontId="18" fillId="29" borderId="37" applyAlignment="1">
      <alignment horizontal="left" vertical="center" indent="1"/>
    </xf>
    <xf numFmtId="0" fontId="6" fillId="0" borderId="0"/>
    <xf numFmtId="0" fontId="21" fillId="0" borderId="0"/>
  </cellStyleXfs>
  <cellXfs count="732">
    <xf numFmtId="0" fontId="0" fillId="0" borderId="0" pivotButton="0" quotePrefix="0" xfId="0"/>
    <xf numFmtId="0" fontId="7" fillId="2" borderId="0" applyAlignment="1" pivotButton="0" quotePrefix="0" xfId="0">
      <alignment vertical="center"/>
    </xf>
    <xf numFmtId="0" fontId="7" fillId="2" borderId="0" applyAlignment="1" pivotButton="0" quotePrefix="0" xfId="0">
      <alignment horizontal="center" vertical="center"/>
    </xf>
    <xf numFmtId="0" fontId="7" fillId="0" borderId="0" applyAlignment="1" applyProtection="1" pivotButton="0" quotePrefix="0" xfId="380">
      <alignment vertical="center"/>
      <protection locked="0" hidden="0"/>
    </xf>
    <xf numFmtId="49" fontId="0" fillId="0" borderId="0" pivotButton="0" quotePrefix="0" xfId="0"/>
    <xf numFmtId="0" fontId="8" fillId="2" borderId="0" applyAlignment="1" pivotButton="0" quotePrefix="0" xfId="0">
      <alignment vertical="center"/>
    </xf>
    <xf numFmtId="0" fontId="8" fillId="0" borderId="0"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49" fontId="8" fillId="2" borderId="0" applyAlignment="1" pivotButton="0" quotePrefix="0" xfId="0">
      <alignment vertical="center"/>
    </xf>
    <xf numFmtId="0" fontId="8" fillId="0" borderId="0" applyAlignment="1" pivotButton="0" quotePrefix="0" xfId="446">
      <alignment vertical="center"/>
    </xf>
    <xf numFmtId="0" fontId="7" fillId="0" borderId="0" applyAlignment="1" pivotButton="0" quotePrefix="0" xfId="446">
      <alignment vertical="center"/>
    </xf>
    <xf numFmtId="43" fontId="8" fillId="0" borderId="0" applyAlignment="1" applyProtection="1" pivotButton="0" quotePrefix="0" xfId="448">
      <alignment horizontal="left" vertical="center"/>
      <protection locked="0" hidden="0"/>
    </xf>
    <xf numFmtId="43" fontId="8" fillId="0" borderId="0" applyAlignment="1" applyProtection="1" pivotButton="0" quotePrefix="0" xfId="452">
      <alignment horizontal="right" vertical="center" shrinkToFit="1"/>
      <protection locked="0" hidden="0"/>
    </xf>
    <xf numFmtId="43" fontId="8" fillId="0" borderId="0" applyAlignment="1" pivotButton="0" quotePrefix="0" xfId="448">
      <alignment vertical="center"/>
    </xf>
    <xf numFmtId="43" fontId="8" fillId="0" borderId="0" applyAlignment="1" applyProtection="1" pivotButton="0" quotePrefix="0" xfId="448">
      <alignment horizontal="right" vertical="center" shrinkToFit="1"/>
      <protection locked="0" hidden="0"/>
    </xf>
    <xf numFmtId="0" fontId="11" fillId="0" borderId="0" applyAlignment="1" pivotButton="0" quotePrefix="0" xfId="447">
      <alignment horizontal="left" vertical="center"/>
    </xf>
    <xf numFmtId="0" fontId="15" fillId="0" borderId="0" applyAlignment="1" pivotButton="0" quotePrefix="0" xfId="447">
      <alignment horizontal="right" vertical="center"/>
    </xf>
    <xf numFmtId="0" fontId="15" fillId="0" borderId="0" applyAlignment="1" pivotButton="0" quotePrefix="0" xfId="447">
      <alignment vertical="center" wrapText="1"/>
    </xf>
    <xf numFmtId="0" fontId="8" fillId="2" borderId="0" applyAlignment="1" pivotButton="0" quotePrefix="0" xfId="446">
      <alignment vertical="center"/>
    </xf>
    <xf numFmtId="0" fontId="7" fillId="2" borderId="0" applyAlignment="1" pivotButton="0" quotePrefix="0" xfId="446">
      <alignment vertical="center"/>
    </xf>
    <xf numFmtId="0" fontId="97" fillId="2" borderId="0" applyAlignment="1" pivotButton="0" quotePrefix="0" xfId="0">
      <alignment vertical="center"/>
    </xf>
    <xf numFmtId="0" fontId="8" fillId="0" borderId="0" applyAlignment="1" pivotButton="0" quotePrefix="0" xfId="0">
      <alignment vertical="center"/>
    </xf>
    <xf numFmtId="9" fontId="7" fillId="0" borderId="0" applyAlignment="1" applyProtection="1" pivotButton="0" quotePrefix="0" xfId="14">
      <alignment vertical="center"/>
      <protection locked="0" hidden="0"/>
    </xf>
    <xf numFmtId="0" fontId="11" fillId="0" borderId="0" applyAlignment="1" applyProtection="1" pivotButton="0" quotePrefix="0" xfId="380">
      <alignment vertical="center"/>
      <protection locked="0" hidden="0"/>
    </xf>
    <xf numFmtId="0" fontId="11" fillId="0" borderId="0" applyAlignment="1" applyProtection="1" pivotButton="0" quotePrefix="0" xfId="464">
      <alignment horizontal="center" vertical="center" wrapText="1"/>
      <protection locked="0" hidden="0"/>
    </xf>
    <xf numFmtId="9" fontId="11" fillId="0" borderId="0" applyAlignment="1" applyProtection="1" pivotButton="0" quotePrefix="0" xfId="464">
      <alignment vertical="center" wrapText="1"/>
      <protection locked="0" hidden="0"/>
    </xf>
    <xf numFmtId="0" fontId="97" fillId="0" borderId="0" applyAlignment="1" pivotButton="0" quotePrefix="0" xfId="446">
      <alignment vertical="center"/>
    </xf>
    <xf numFmtId="0" fontId="98" fillId="0" borderId="0" applyAlignment="1" pivotButton="0" quotePrefix="0" xfId="446">
      <alignment vertical="center"/>
    </xf>
    <xf numFmtId="0" fontId="8" fillId="0" borderId="0" applyAlignment="1" pivotButton="0" quotePrefix="0" xfId="446">
      <alignment horizontal="center" vertical="center"/>
    </xf>
    <xf numFmtId="0" fontId="8" fillId="0" borderId="0" applyAlignment="1" pivotButton="0" quotePrefix="0" xfId="439">
      <alignment vertical="center"/>
    </xf>
    <xf numFmtId="0" fontId="19" fillId="0" borderId="0" applyAlignment="1" pivotButton="0" quotePrefix="0" xfId="451">
      <alignment vertical="center"/>
    </xf>
    <xf numFmtId="0" fontId="7" fillId="0" borderId="0" applyAlignment="1" pivotButton="0" quotePrefix="0" xfId="439">
      <alignment vertical="center"/>
    </xf>
    <xf numFmtId="0" fontId="8" fillId="0" borderId="0" applyAlignment="1" pivotButton="0" quotePrefix="0" xfId="446">
      <alignment horizontal="left" vertical="center" shrinkToFit="1"/>
    </xf>
    <xf numFmtId="0" fontId="15" fillId="0" borderId="0" applyAlignment="1" pivotButton="0" quotePrefix="0" xfId="451">
      <alignment vertical="center"/>
    </xf>
    <xf numFmtId="0" fontId="97" fillId="2" borderId="0" applyAlignment="1" pivotButton="0" quotePrefix="0" xfId="446">
      <alignment vertical="center"/>
    </xf>
    <xf numFmtId="0" fontId="7" fillId="0" borderId="0" applyAlignment="1" pivotButton="0" quotePrefix="0" xfId="446">
      <alignment horizontal="center" vertical="center"/>
    </xf>
    <xf numFmtId="0" fontId="82" fillId="0" borderId="0" applyAlignment="1" applyProtection="1" pivotButton="0" quotePrefix="0" xfId="439">
      <alignment horizontal="center" vertical="center"/>
      <protection locked="0" hidden="0"/>
    </xf>
    <xf numFmtId="14" fontId="8" fillId="0" borderId="0" applyAlignment="1" applyProtection="1" pivotButton="0" quotePrefix="0" xfId="439">
      <alignment horizontal="center" vertical="center"/>
      <protection locked="0" hidden="0"/>
    </xf>
    <xf numFmtId="0" fontId="8" fillId="0" borderId="0" applyAlignment="1" applyProtection="1" pivotButton="0" quotePrefix="0" xfId="439">
      <alignment horizontal="center" vertical="center"/>
      <protection locked="0" hidden="0"/>
    </xf>
    <xf numFmtId="0" fontId="8" fillId="2" borderId="0" applyAlignment="1" pivotButton="0" quotePrefix="0" xfId="446">
      <alignment horizontal="center" vertical="center"/>
    </xf>
    <xf numFmtId="0" fontId="11" fillId="0" borderId="0" applyAlignment="1" applyProtection="1" pivotButton="0" quotePrefix="0" xfId="439">
      <alignment horizontal="left" vertical="center"/>
      <protection locked="0" hidden="0"/>
    </xf>
    <xf numFmtId="0" fontId="11" fillId="0" borderId="0" applyAlignment="1" applyProtection="1" pivotButton="0" quotePrefix="0" xfId="439">
      <alignment horizontal="center" vertical="center"/>
      <protection locked="0" hidden="0"/>
    </xf>
    <xf numFmtId="43" fontId="11" fillId="0" borderId="0" applyAlignment="1" applyProtection="1" pivotButton="0" quotePrefix="0" xfId="439">
      <alignment horizontal="justify" vertical="center"/>
      <protection locked="0" hidden="0"/>
    </xf>
    <xf numFmtId="0" fontId="8" fillId="0" borderId="0" applyAlignment="1" pivotButton="0" quotePrefix="0" xfId="0">
      <alignment horizontal="left" vertical="center"/>
    </xf>
    <xf numFmtId="0" fontId="11" fillId="0" borderId="0" applyAlignment="1" pivotButton="0" quotePrefix="0" xfId="439">
      <alignment vertical="center"/>
    </xf>
    <xf numFmtId="0" fontId="8" fillId="0" borderId="0" applyAlignment="1" pivotButton="0" quotePrefix="0" xfId="249">
      <alignment vertical="center"/>
    </xf>
    <xf numFmtId="0" fontId="17" fillId="0" borderId="0" applyAlignment="1" pivotButton="0" quotePrefix="0" xfId="249">
      <alignment vertical="center"/>
    </xf>
    <xf numFmtId="0" fontId="9" fillId="0" borderId="0" pivotButton="0" quotePrefix="0" xfId="0"/>
    <xf numFmtId="164" fontId="17" fillId="0" borderId="0" applyAlignment="1" pivotButton="0" quotePrefix="0" xfId="249">
      <alignment vertical="center"/>
    </xf>
    <xf numFmtId="0" fontId="8" fillId="0" borderId="0" pivotButton="0" quotePrefix="0" xfId="439"/>
    <xf numFmtId="0" fontId="7" fillId="0" borderId="0" pivotButton="0" quotePrefix="0" xfId="439"/>
    <xf numFmtId="0" fontId="7" fillId="0" borderId="0" applyAlignment="1" applyProtection="1" pivotButton="0" quotePrefix="0" xfId="1787">
      <alignment vertical="center"/>
      <protection locked="0" hidden="0"/>
    </xf>
    <xf numFmtId="0" fontId="7" fillId="55" borderId="0" applyAlignment="1" applyProtection="1" pivotButton="0" quotePrefix="0" xfId="1787">
      <alignment vertical="center"/>
      <protection locked="0" hidden="0"/>
    </xf>
    <xf numFmtId="0" fontId="9" fillId="0" borderId="0" applyAlignment="1" applyProtection="1" pivotButton="0" quotePrefix="0" xfId="1787">
      <alignment vertical="center"/>
      <protection locked="0" hidden="0"/>
    </xf>
    <xf numFmtId="0" fontId="130" fillId="0" borderId="0" applyAlignment="1" applyProtection="1" pivotButton="0" quotePrefix="0" xfId="1787">
      <alignment vertical="center" wrapText="1"/>
      <protection locked="0" hidden="0"/>
    </xf>
    <xf numFmtId="0" fontId="15" fillId="0" borderId="0" applyAlignment="1" pivotButton="0" quotePrefix="0" xfId="1787">
      <alignment vertical="center"/>
    </xf>
    <xf numFmtId="0" fontId="131" fillId="0" borderId="0" applyAlignment="1" applyProtection="1" pivotButton="0" quotePrefix="0" xfId="1787">
      <alignment horizontal="left" vertical="center" wrapText="1"/>
      <protection locked="0" hidden="0"/>
    </xf>
    <xf numFmtId="0" fontId="82" fillId="0" borderId="0" applyAlignment="1" applyProtection="1" pivotButton="0" quotePrefix="0" xfId="1787">
      <alignment horizontal="center" vertical="center"/>
      <protection locked="0" hidden="0"/>
    </xf>
    <xf numFmtId="0" fontId="7" fillId="0" borderId="0" applyAlignment="1" applyProtection="1" pivotButton="0" quotePrefix="0" xfId="1790">
      <alignment vertical="center"/>
      <protection locked="0" hidden="0"/>
    </xf>
    <xf numFmtId="0" fontId="7" fillId="2" borderId="0" applyAlignment="1" applyProtection="1" pivotButton="0" quotePrefix="0" xfId="1787">
      <alignment vertical="center"/>
      <protection locked="0" hidden="0"/>
    </xf>
    <xf numFmtId="0" fontId="12" fillId="0" borderId="0" applyAlignment="1" applyProtection="1" pivotButton="0" quotePrefix="0" xfId="1787">
      <alignment vertical="center"/>
      <protection locked="0" hidden="0"/>
    </xf>
    <xf numFmtId="165" fontId="11" fillId="0" borderId="0" applyAlignment="1" applyProtection="1" pivotButton="0" quotePrefix="0" xfId="1789">
      <alignment vertical="center" wrapText="1"/>
      <protection locked="0" hidden="0"/>
    </xf>
    <xf numFmtId="0" fontId="7" fillId="0" borderId="0" applyAlignment="1" applyProtection="1" pivotButton="0" quotePrefix="0" xfId="1787">
      <alignment horizontal="left" vertical="center"/>
      <protection locked="0" hidden="0"/>
    </xf>
    <xf numFmtId="9" fontId="11" fillId="0" borderId="0" applyAlignment="1" applyProtection="1" pivotButton="0" quotePrefix="0" xfId="464">
      <alignment horizontal="left" vertical="center" wrapText="1"/>
      <protection locked="0" hidden="0"/>
    </xf>
    <xf numFmtId="0" fontId="7" fillId="55" borderId="0" applyAlignment="1" applyProtection="1" pivotButton="0" quotePrefix="0" xfId="1787">
      <alignment horizontal="left" vertical="center"/>
      <protection locked="0" hidden="0"/>
    </xf>
    <xf numFmtId="0" fontId="12" fillId="0" borderId="0" applyAlignment="1" applyProtection="1" pivotButton="0" quotePrefix="0" xfId="1787">
      <alignment horizontal="left" vertical="center"/>
      <protection locked="0" hidden="0"/>
    </xf>
    <xf numFmtId="0" fontId="8" fillId="0" borderId="0" applyAlignment="1" applyProtection="1" pivotButton="0" quotePrefix="0" xfId="1787">
      <alignment horizontal="center" vertical="center"/>
      <protection locked="0" hidden="0"/>
    </xf>
    <xf numFmtId="0" fontId="97" fillId="0" borderId="0" applyAlignment="1" applyProtection="1" pivotButton="0" quotePrefix="0" xfId="1787">
      <alignment horizontal="left" vertical="center"/>
      <protection locked="0" hidden="0"/>
    </xf>
    <xf numFmtId="0" fontId="11" fillId="0" borderId="0" applyAlignment="1" applyProtection="1" pivotButton="0" quotePrefix="0" xfId="1787">
      <alignment vertical="center"/>
      <protection locked="0" hidden="0"/>
    </xf>
    <xf numFmtId="165" fontId="7" fillId="0" borderId="0" applyAlignment="1" applyProtection="1" pivotButton="0" quotePrefix="0" xfId="1789">
      <alignment vertical="center"/>
      <protection locked="0" hidden="0"/>
    </xf>
    <xf numFmtId="0" fontId="8" fillId="0" borderId="0" applyAlignment="1" applyProtection="1" pivotButton="0" quotePrefix="0" xfId="1787">
      <alignment horizontal="left" vertical="center"/>
      <protection locked="0" hidden="0"/>
    </xf>
    <xf numFmtId="0" fontId="97" fillId="0" borderId="0" applyAlignment="1" applyProtection="1" pivotButton="0" quotePrefix="0" xfId="1787">
      <alignment vertical="center"/>
      <protection locked="0" hidden="0"/>
    </xf>
    <xf numFmtId="0" fontId="11" fillId="0" borderId="0" applyAlignment="1" applyProtection="1" pivotButton="0" quotePrefix="0" xfId="1791">
      <alignment horizontal="left" vertical="center"/>
      <protection locked="0" hidden="0"/>
    </xf>
    <xf numFmtId="0" fontId="11" fillId="0" borderId="0" applyAlignment="1" applyProtection="1" pivotButton="0" quotePrefix="1" xfId="1792">
      <alignment horizontal="left" vertical="center"/>
      <protection locked="0" hidden="0"/>
    </xf>
    <xf numFmtId="41" fontId="11" fillId="0" borderId="0" applyAlignment="1" applyProtection="1" pivotButton="0" quotePrefix="0" xfId="1791">
      <alignment vertical="center"/>
      <protection locked="0" hidden="0"/>
    </xf>
    <xf numFmtId="9" fontId="11" fillId="0" borderId="0" applyAlignment="1" applyProtection="1" pivotButton="0" quotePrefix="1" xfId="1792">
      <alignment vertical="center"/>
      <protection locked="0" hidden="0"/>
    </xf>
    <xf numFmtId="41" fontId="11" fillId="55" borderId="0" applyAlignment="1" applyProtection="1" pivotButton="0" quotePrefix="0" xfId="1791">
      <alignment vertical="center"/>
      <protection locked="0" hidden="0"/>
    </xf>
    <xf numFmtId="9" fontId="11" fillId="55" borderId="0" applyAlignment="1" applyProtection="1" pivotButton="0" quotePrefix="1" xfId="1792">
      <alignment vertical="center"/>
      <protection locked="0" hidden="0"/>
    </xf>
    <xf numFmtId="0" fontId="7" fillId="54" borderId="11" applyAlignment="1" applyProtection="1" pivotButton="0" quotePrefix="0" xfId="1787">
      <alignment horizontal="centerContinuous" vertical="center"/>
      <protection locked="0" hidden="0"/>
    </xf>
    <xf numFmtId="0" fontId="11" fillId="54" borderId="11" applyAlignment="1" applyProtection="1" pivotButton="0" quotePrefix="0" xfId="1787">
      <alignment horizontal="centerContinuous" vertical="center"/>
      <protection locked="0" hidden="0"/>
    </xf>
    <xf numFmtId="49" fontId="133" fillId="0" borderId="0" applyAlignment="1" applyProtection="1" pivotButton="0" quotePrefix="0" xfId="1787">
      <alignment vertical="center"/>
      <protection locked="0" hidden="0"/>
    </xf>
    <xf numFmtId="0" fontId="16" fillId="0" borderId="0" applyAlignment="1" applyProtection="1" pivotButton="0" quotePrefix="0" xfId="1794">
      <alignment horizontal="left" vertical="center"/>
      <protection locked="0" hidden="0"/>
    </xf>
    <xf numFmtId="0" fontId="11" fillId="0" borderId="0" applyAlignment="1" applyProtection="1" pivotButton="0" quotePrefix="0" xfId="1794">
      <alignment horizontal="left" vertical="center"/>
      <protection locked="0" hidden="0"/>
    </xf>
    <xf numFmtId="0" fontId="8" fillId="0" borderId="0" applyAlignment="1" applyProtection="1" pivotButton="0" quotePrefix="0" xfId="1787">
      <alignment vertical="center"/>
      <protection locked="0" hidden="0"/>
    </xf>
    <xf numFmtId="0" fontId="11" fillId="0" borderId="3" applyAlignment="1" applyProtection="1" pivotButton="0" quotePrefix="0" xfId="1794">
      <alignment horizontal="left" vertical="center"/>
      <protection locked="0" hidden="0"/>
    </xf>
    <xf numFmtId="0" fontId="7" fillId="0" borderId="3" applyAlignment="1" applyProtection="1" pivotButton="0" quotePrefix="0" xfId="1787">
      <alignment vertical="center"/>
      <protection locked="0" hidden="0"/>
    </xf>
    <xf numFmtId="165" fontId="7" fillId="0" borderId="3" applyAlignment="1" applyProtection="1" pivotButton="0" quotePrefix="0" xfId="1789">
      <alignment vertical="center"/>
      <protection locked="0" hidden="0"/>
    </xf>
    <xf numFmtId="0" fontId="15" fillId="0" borderId="0" applyAlignment="1" applyProtection="1" pivotButton="0" quotePrefix="0" xfId="1794">
      <alignment horizontal="left" vertical="center"/>
      <protection locked="0" hidden="0"/>
    </xf>
    <xf numFmtId="0" fontId="15" fillId="0" borderId="0" applyAlignment="1" applyProtection="1" pivotButton="0" quotePrefix="0" xfId="1787">
      <alignment vertical="center" wrapText="1"/>
      <protection locked="0" hidden="0"/>
    </xf>
    <xf numFmtId="0" fontId="15" fillId="0" borderId="3" applyAlignment="1" applyProtection="1" pivotButton="0" quotePrefix="0" xfId="1787">
      <alignment vertical="center" wrapText="1"/>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0" fontId="15" fillId="0" borderId="0" applyAlignment="1" applyProtection="1" pivotButton="0" quotePrefix="0" xfId="1787">
      <alignment vertical="center"/>
      <protection locked="0" hidden="0"/>
    </xf>
    <xf numFmtId="0" fontId="11" fillId="0" borderId="0" applyAlignment="1" applyProtection="1" pivotButton="0" quotePrefix="0" xfId="1794">
      <alignment horizontal="left" vertical="center"/>
      <protection locked="0" hidden="0"/>
    </xf>
    <xf numFmtId="41" fontId="8" fillId="0" borderId="0" applyAlignment="1" applyProtection="1" pivotButton="0" quotePrefix="0" xfId="1787">
      <alignment horizontal="left" vertical="center"/>
      <protection locked="0" hidden="0"/>
    </xf>
    <xf numFmtId="0" fontId="100" fillId="0" borderId="2" applyAlignment="1" pivotButton="0" quotePrefix="0" xfId="1787">
      <alignment vertical="center"/>
    </xf>
    <xf numFmtId="0" fontId="8" fillId="0" borderId="3" applyAlignment="1" applyProtection="1" pivotButton="0" quotePrefix="0" xfId="1787">
      <alignment vertical="center"/>
      <protection locked="0" hidden="0"/>
    </xf>
    <xf numFmtId="0" fontId="15" fillId="0" borderId="32" applyAlignment="1" applyProtection="1" pivotButton="0" quotePrefix="0" xfId="1787">
      <alignment vertical="center"/>
      <protection locked="0" hidden="0"/>
    </xf>
    <xf numFmtId="0" fontId="11" fillId="0" borderId="32" applyAlignment="1" applyProtection="1" pivotButton="0" quotePrefix="0" xfId="1787">
      <alignment vertical="center"/>
      <protection locked="0" hidden="0"/>
    </xf>
    <xf numFmtId="0" fontId="15" fillId="0" borderId="1" applyAlignment="1" applyProtection="1" pivotButton="0" quotePrefix="0" xfId="1787">
      <alignment vertical="center"/>
      <protection locked="0" hidden="0"/>
    </xf>
    <xf numFmtId="0" fontId="15" fillId="0" borderId="8" applyAlignment="1" applyProtection="1" pivotButton="0" quotePrefix="0" xfId="1787">
      <alignment vertical="center"/>
      <protection locked="0" hidden="0"/>
    </xf>
    <xf numFmtId="0" fontId="133" fillId="0" borderId="0" applyAlignment="1" applyProtection="1" pivotButton="0" quotePrefix="0" xfId="1787">
      <alignment vertical="center"/>
      <protection locked="0" hidden="0"/>
    </xf>
    <xf numFmtId="0" fontId="7" fillId="54" borderId="3" applyAlignment="1" applyProtection="1" pivotButton="0" quotePrefix="0" xfId="1787">
      <alignment horizontal="centerContinuous" vertical="center"/>
      <protection locked="0" hidden="0"/>
    </xf>
    <xf numFmtId="0" fontId="137" fillId="54" borderId="3" applyAlignment="1" applyProtection="1" pivotButton="0" quotePrefix="0" xfId="1787">
      <alignment horizontal="centerContinuous" vertical="center"/>
      <protection locked="0" hidden="0"/>
    </xf>
    <xf numFmtId="0" fontId="11" fillId="54" borderId="3" applyAlignment="1" applyProtection="1" pivotButton="0" quotePrefix="0" xfId="1787">
      <alignment horizontal="centerContinuous" vertical="center"/>
      <protection locked="0" hidden="0"/>
    </xf>
    <xf numFmtId="0" fontId="11" fillId="54" borderId="7"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wrapText="1"/>
      <protection locked="0" hidden="0"/>
    </xf>
    <xf numFmtId="0" fontId="137" fillId="0" borderId="0" applyAlignment="1" applyProtection="1" pivotButton="0" quotePrefix="0" xfId="1787">
      <alignment horizontal="center" vertical="center"/>
      <protection locked="0" hidden="0"/>
    </xf>
    <xf numFmtId="0" fontId="18" fillId="0" borderId="0" applyAlignment="1" applyProtection="1" pivotButton="0" quotePrefix="0" xfId="1787">
      <alignment vertical="center" wrapText="1"/>
      <protection locked="0" hidden="0"/>
    </xf>
    <xf numFmtId="0" fontId="16" fillId="0" borderId="0" applyAlignment="1" applyProtection="1" pivotButton="0" quotePrefix="0" xfId="1794">
      <alignment vertical="center"/>
      <protection locked="0" hidden="0"/>
    </xf>
    <xf numFmtId="0" fontId="16" fillId="0" borderId="0" applyAlignment="1" applyProtection="1" pivotButton="0" quotePrefix="0" xfId="1794">
      <alignment horizontal="right" vertical="center"/>
      <protection locked="0" hidden="0"/>
    </xf>
    <xf numFmtId="0" fontId="16" fillId="0" borderId="0" applyAlignment="1" applyProtection="1" pivotButton="0" quotePrefix="0" xfId="1794">
      <alignment horizontal="right" vertical="center"/>
      <protection locked="0" hidden="0"/>
    </xf>
    <xf numFmtId="0" fontId="11" fillId="0" borderId="0" applyAlignment="1" applyProtection="1" pivotButton="0" quotePrefix="0" xfId="1794">
      <alignment horizontal="right" vertical="center"/>
      <protection locked="0" hidden="0"/>
    </xf>
    <xf numFmtId="0" fontId="138" fillId="0" borderId="0" applyAlignment="1" applyProtection="1" pivotButton="0" quotePrefix="0" xfId="1787">
      <alignment horizontal="left" vertical="center" wrapText="1"/>
      <protection locked="0" hidden="0"/>
    </xf>
    <xf numFmtId="0" fontId="15" fillId="0" borderId="1" applyAlignment="1" applyProtection="1" pivotButton="0" quotePrefix="0" xfId="1787">
      <alignment horizontal="center" vertical="center" wrapText="1"/>
      <protection locked="0" hidden="0"/>
    </xf>
    <xf numFmtId="0" fontId="11" fillId="0" borderId="0" applyAlignment="1" applyProtection="1" pivotButton="0" quotePrefix="0" xfId="1787">
      <alignment horizontal="left" vertical="center"/>
      <protection locked="0" hidden="0"/>
    </xf>
    <xf numFmtId="0" fontId="15" fillId="0" borderId="0" applyAlignment="1" applyProtection="1" pivotButton="0" quotePrefix="0" xfId="1787">
      <alignment horizontal="left" vertical="center"/>
      <protection locked="0" hidden="0"/>
    </xf>
    <xf numFmtId="37" fontId="7" fillId="0" borderId="0" applyAlignment="1" applyProtection="1" pivotButton="0" quotePrefix="0" xfId="1789">
      <alignment vertical="center"/>
      <protection locked="0" hidden="0"/>
    </xf>
    <xf numFmtId="0" fontId="8" fillId="0" borderId="7" applyAlignment="1" applyProtection="1" pivotButton="0" quotePrefix="0" xfId="1787">
      <alignment vertical="center"/>
      <protection locked="0" hidden="0"/>
    </xf>
    <xf numFmtId="49" fontId="11" fillId="0" borderId="0" applyAlignment="1" applyProtection="1" pivotButton="0" quotePrefix="0" xfId="1794">
      <alignment horizontal="left" vertical="center"/>
      <protection locked="0" hidden="0"/>
    </xf>
    <xf numFmtId="165" fontId="7" fillId="2" borderId="0" applyAlignment="1" applyProtection="1" pivotButton="0" quotePrefix="0" xfId="1789">
      <alignment vertical="center"/>
      <protection locked="0" hidden="0"/>
    </xf>
    <xf numFmtId="0" fontId="11" fillId="0" borderId="0" applyAlignment="1" applyProtection="1" pivotButton="0" quotePrefix="0" xfId="1787">
      <alignment horizontal="left" vertical="top"/>
      <protection locked="0" hidden="0"/>
    </xf>
    <xf numFmtId="0" fontId="129" fillId="0" borderId="0" applyAlignment="1" pivotButton="0" quotePrefix="0" xfId="1787">
      <alignment horizontal="left" vertical="center" wrapText="1"/>
    </xf>
    <xf numFmtId="9" fontId="11" fillId="2" borderId="0" applyAlignment="1" applyProtection="1" pivotButton="0" quotePrefix="0" xfId="1788">
      <alignment horizontal="right" vertical="center" wrapText="1"/>
      <protection locked="0" hidden="0"/>
    </xf>
    <xf numFmtId="9" fontId="11" fillId="2" borderId="33" applyAlignment="1" applyProtection="1" pivotButton="0" quotePrefix="0" xfId="1788">
      <alignment horizontal="right" vertical="center" wrapText="1"/>
      <protection locked="0" hidden="0"/>
    </xf>
    <xf numFmtId="0" fontId="8" fillId="0" borderId="33" applyAlignment="1" pivotButton="0" quotePrefix="0" xfId="0">
      <alignment horizontal="center" vertical="center"/>
    </xf>
    <xf numFmtId="0" fontId="97" fillId="2" borderId="33" applyAlignment="1" pivotButton="0" quotePrefix="0" xfId="0">
      <alignment horizontal="left" vertical="center" wrapText="1"/>
    </xf>
    <xf numFmtId="0" fontId="97" fillId="0" borderId="33" applyAlignment="1" pivotButton="0" quotePrefix="0" xfId="0">
      <alignment horizontal="left" vertical="center" wrapText="1"/>
    </xf>
    <xf numFmtId="0" fontId="8" fillId="0" borderId="33" applyAlignment="1" pivotButton="0" quotePrefix="0" xfId="0">
      <alignment horizontal="center" vertical="center" shrinkToFit="1"/>
    </xf>
    <xf numFmtId="0" fontId="8" fillId="2" borderId="33" applyAlignment="1" pivotButton="0" quotePrefix="0" xfId="0">
      <alignment horizontal="center" vertical="center" shrinkToFit="1"/>
    </xf>
    <xf numFmtId="0" fontId="7" fillId="2" borderId="33" applyAlignment="1" pivotButton="0" quotePrefix="0" xfId="0">
      <alignment horizontal="center" vertical="center"/>
    </xf>
    <xf numFmtId="0" fontId="11" fillId="0" borderId="0" applyAlignment="1" applyProtection="1" pivotButton="0" quotePrefix="0" xfId="1787">
      <alignment horizontal="left" vertical="top" wrapText="1"/>
      <protection locked="0" hidden="0"/>
    </xf>
    <xf numFmtId="0" fontId="15" fillId="43" borderId="33" applyAlignment="1" applyProtection="1" pivotButton="0" quotePrefix="0" xfId="239">
      <alignment horizontal="center" vertical="center" wrapText="1"/>
      <protection locked="0" hidden="0"/>
    </xf>
    <xf numFmtId="0" fontId="97" fillId="43" borderId="33" applyAlignment="1" applyProtection="1" pivotButton="0" quotePrefix="0" xfId="239">
      <alignment horizontal="center" vertical="center"/>
      <protection locked="0" hidden="0"/>
    </xf>
    <xf numFmtId="0" fontId="8" fillId="0" borderId="0" applyAlignment="1" applyProtection="1" pivotButton="0" quotePrefix="0" xfId="1787">
      <alignment horizontal="left" vertical="center" wrapText="1"/>
      <protection locked="0" hidden="0"/>
    </xf>
    <xf numFmtId="0" fontId="144" fillId="2" borderId="0" applyAlignment="1" pivotButton="0" quotePrefix="1" xfId="564">
      <alignment vertical="center"/>
    </xf>
    <xf numFmtId="0" fontId="97" fillId="2" borderId="0" applyAlignment="1" pivotButton="0" quotePrefix="0" xfId="0">
      <alignment horizontal="center" vertical="center"/>
    </xf>
    <xf numFmtId="0" fontId="97" fillId="0" borderId="0" applyAlignment="1" pivotButton="0" quotePrefix="0" xfId="0">
      <alignment vertical="center"/>
    </xf>
    <xf numFmtId="0" fontId="97" fillId="0" borderId="0" applyAlignment="1" applyProtection="1" pivotButton="0" quotePrefix="0" xfId="849">
      <alignment vertical="center"/>
      <protection locked="0" hidden="0"/>
    </xf>
    <xf numFmtId="9" fontId="97" fillId="0" borderId="0" applyAlignment="1" pivotButton="0" quotePrefix="0" xfId="14">
      <alignment vertical="center"/>
    </xf>
    <xf numFmtId="0" fontId="15" fillId="0" borderId="33" applyAlignment="1" pivotButton="0" quotePrefix="0" xfId="0">
      <alignment horizontal="center" vertical="center"/>
    </xf>
    <xf numFmtId="43" fontId="97"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15" fillId="0" borderId="0" applyAlignment="1" pivotButton="0" quotePrefix="0" xfId="448">
      <alignment vertical="center"/>
    </xf>
    <xf numFmtId="9" fontId="97" fillId="0" borderId="0" applyAlignment="1" applyProtection="1" pivotButton="0" quotePrefix="0" xfId="14">
      <alignment vertical="center"/>
      <protection locked="0" hidden="0"/>
    </xf>
    <xf numFmtId="0" fontId="15" fillId="0" borderId="0" applyAlignment="1" applyProtection="1" pivotButton="0" quotePrefix="0" xfId="849">
      <alignment vertical="center"/>
      <protection locked="0" hidden="0"/>
    </xf>
    <xf numFmtId="0" fontId="11" fillId="0" borderId="0" applyAlignment="1" applyProtection="1" pivotButton="0" quotePrefix="0" xfId="1787">
      <alignment horizontal="left" vertical="center" wrapText="1"/>
      <protection locked="0" hidden="0"/>
    </xf>
    <xf numFmtId="0" fontId="16" fillId="0" borderId="0" applyAlignment="1" pivotButton="0" quotePrefix="1" xfId="3760">
      <alignment vertical="center"/>
    </xf>
    <xf numFmtId="0" fontId="16" fillId="0" borderId="0" applyAlignment="1" applyProtection="1" pivotButton="0" quotePrefix="1" xfId="3760">
      <alignment vertical="center"/>
      <protection locked="0" hidden="0"/>
    </xf>
    <xf numFmtId="0" fontId="137" fillId="54" borderId="11" applyAlignment="1" applyProtection="1" pivotButton="0" quotePrefix="0" xfId="1787">
      <alignment horizontal="centerContinuous" vertical="center"/>
      <protection locked="0" hidden="0"/>
    </xf>
    <xf numFmtId="0" fontId="82" fillId="56" borderId="11" applyAlignment="1" applyProtection="1" pivotButton="0" quotePrefix="0" xfId="1787">
      <alignment vertical="center"/>
      <protection locked="0" hidden="0"/>
    </xf>
    <xf numFmtId="43" fontId="15" fillId="0" borderId="0" applyAlignment="1" pivotButton="0" quotePrefix="0" xfId="448">
      <alignment vertical="center" wrapText="1"/>
    </xf>
    <xf numFmtId="49" fontId="7" fillId="0" borderId="0" applyAlignment="1" pivotButton="0" quotePrefix="0" xfId="446">
      <alignment vertical="center"/>
    </xf>
    <xf numFmtId="49" fontId="82" fillId="0" borderId="0" applyAlignment="1" pivotButton="0" quotePrefix="0" xfId="439">
      <alignment vertical="top" wrapText="1"/>
    </xf>
    <xf numFmtId="0" fontId="15" fillId="42" borderId="33" applyAlignment="1" pivotButton="0" quotePrefix="0" xfId="1788">
      <alignment horizontal="left" vertical="center"/>
    </xf>
    <xf numFmtId="0" fontId="99" fillId="0" borderId="12" applyAlignment="1" pivotButton="0" quotePrefix="0" xfId="219">
      <alignment horizontal="center" vertical="center" shrinkToFit="1"/>
    </xf>
    <xf numFmtId="0" fontId="82" fillId="58" borderId="3" applyAlignment="1" pivotButton="0" quotePrefix="0" xfId="1787">
      <alignment horizontal="centerContinuous" vertical="center"/>
    </xf>
    <xf numFmtId="0" fontId="82" fillId="58" borderId="7" applyAlignment="1" pivotButton="0" quotePrefix="0" xfId="1787">
      <alignment horizontal="centerContinuous" vertical="center"/>
    </xf>
    <xf numFmtId="0" fontId="15" fillId="42" borderId="2" applyAlignment="1" applyProtection="1" pivotButton="0" quotePrefix="0" xfId="1787">
      <alignment vertical="center"/>
      <protection locked="0" hidden="0"/>
    </xf>
    <xf numFmtId="0" fontId="8" fillId="42" borderId="3" applyAlignment="1" applyProtection="1" pivotButton="0" quotePrefix="0" xfId="1787">
      <alignment vertical="center"/>
      <protection locked="0" hidden="0"/>
    </xf>
    <xf numFmtId="0" fontId="8" fillId="42" borderId="7" applyAlignment="1" applyProtection="1" pivotButton="0" quotePrefix="0" xfId="1787">
      <alignment vertical="center"/>
      <protection locked="0" hidden="0"/>
    </xf>
    <xf numFmtId="0" fontId="100" fillId="0" borderId="0" applyAlignment="1" applyProtection="1" pivotButton="0" quotePrefix="0" xfId="1789">
      <alignment vertical="center"/>
      <protection locked="0" hidden="0"/>
    </xf>
    <xf numFmtId="43" fontId="11" fillId="0" borderId="0" applyAlignment="1" applyProtection="1" pivotButton="0" quotePrefix="0" xfId="1789">
      <alignment horizontal="right" vertical="center"/>
      <protection locked="0" hidden="0"/>
    </xf>
    <xf numFmtId="43" fontId="7" fillId="0" borderId="0" applyAlignment="1" applyProtection="1" pivotButton="0" quotePrefix="0" xfId="1789">
      <alignment horizontal="right" vertical="center"/>
      <protection locked="0" hidden="0"/>
    </xf>
    <xf numFmtId="43" fontId="11" fillId="0" borderId="0" applyAlignment="1" applyProtection="1" pivotButton="0" quotePrefix="0" xfId="1791">
      <alignment horizontal="right" vertical="center"/>
      <protection locked="0" hidden="0"/>
    </xf>
    <xf numFmtId="43" fontId="15" fillId="0" borderId="0" applyAlignment="1" applyProtection="1" pivotButton="0" quotePrefix="0" xfId="452">
      <alignment vertical="center" shrinkToFit="1"/>
      <protection locked="0" hidden="0"/>
    </xf>
    <xf numFmtId="43" fontId="15" fillId="0" borderId="0" applyAlignment="1" applyProtection="1" pivotButton="0" quotePrefix="0" xfId="448">
      <alignment vertical="center" shrinkToFit="1"/>
      <protection locked="0" hidden="0"/>
    </xf>
    <xf numFmtId="0" fontId="15" fillId="0" borderId="44" applyAlignment="1" pivotButton="0" quotePrefix="0" xfId="0">
      <alignment vertical="center"/>
    </xf>
    <xf numFmtId="0" fontId="15" fillId="0" borderId="11" applyAlignment="1" pivotButton="0" quotePrefix="0" xfId="0">
      <alignment horizontal="center" vertical="center"/>
    </xf>
    <xf numFmtId="43" fontId="7" fillId="0" borderId="44" applyAlignment="1" pivotButton="0" quotePrefix="0" xfId="25">
      <alignment horizontal="right" vertical="center" shrinkToFit="1"/>
    </xf>
    <xf numFmtId="0" fontId="15" fillId="42" borderId="44" applyAlignment="1" applyProtection="1" pivotButton="0" quotePrefix="0" xfId="1787">
      <alignment vertical="center"/>
      <protection locked="0" hidden="0"/>
    </xf>
    <xf numFmtId="0" fontId="8" fillId="42" borderId="11" applyAlignment="1" applyProtection="1" pivotButton="0" quotePrefix="0" xfId="1787">
      <alignment vertical="center"/>
      <protection locked="0" hidden="0"/>
    </xf>
    <xf numFmtId="0" fontId="15" fillId="42" borderId="44" applyAlignment="1" pivotButton="0" quotePrefix="0" xfId="1787">
      <alignment horizontal="centerContinuous" vertical="center"/>
    </xf>
    <xf numFmtId="0" fontId="15" fillId="42" borderId="42" applyAlignment="1" pivotButton="0" quotePrefix="0" xfId="1787">
      <alignment horizontal="centerContinuous" vertical="center"/>
    </xf>
    <xf numFmtId="0" fontId="15" fillId="0" borderId="42" applyAlignment="1" pivotButton="0" quotePrefix="0" xfId="0">
      <alignment vertical="center"/>
    </xf>
    <xf numFmtId="0" fontId="97" fillId="42" borderId="33" applyAlignment="1" pivotButton="0" quotePrefix="0" xfId="0">
      <alignment horizontal="center" vertical="center"/>
    </xf>
    <xf numFmtId="0" fontId="97" fillId="3" borderId="33" applyAlignment="1" pivotButton="0" quotePrefix="0" xfId="0">
      <alignment horizontal="center" vertical="center"/>
    </xf>
    <xf numFmtId="43" fontId="7" fillId="0" borderId="33" applyAlignment="1" pivotButton="0" quotePrefix="0" xfId="25">
      <alignment horizontal="right" vertical="center" shrinkToFit="1"/>
    </xf>
    <xf numFmtId="0" fontId="11" fillId="54" borderId="42" applyAlignment="1" applyProtection="1" pivotButton="0" quotePrefix="0" xfId="1787">
      <alignment horizontal="centerContinuous" vertical="center"/>
      <protection locked="0" hidden="0"/>
    </xf>
    <xf numFmtId="0" fontId="82" fillId="56" borderId="42" applyAlignment="1" applyProtection="1" pivotButton="0" quotePrefix="0" xfId="1787">
      <alignment vertical="center"/>
      <protection locked="0" hidden="0"/>
    </xf>
    <xf numFmtId="0" fontId="97" fillId="0" borderId="33" applyAlignment="1" pivotButton="0" quotePrefix="0" xfId="448">
      <alignment vertical="center"/>
    </xf>
    <xf numFmtId="0" fontId="15" fillId="0" borderId="33" applyAlignment="1" applyProtection="1" pivotButton="0" quotePrefix="0" xfId="439">
      <alignment horizontal="center" vertical="center"/>
      <protection locked="0" hidden="0"/>
    </xf>
    <xf numFmtId="0" fontId="15" fillId="0" borderId="33" applyAlignment="1" applyProtection="1" pivotButton="0" quotePrefix="0" xfId="439">
      <alignment horizontal="justify" vertical="center"/>
      <protection locked="0" hidden="0"/>
    </xf>
    <xf numFmtId="0" fontId="15" fillId="0" borderId="33" applyAlignment="1" applyProtection="1" pivotButton="0" quotePrefix="0" xfId="439">
      <alignment horizontal="right" vertical="center"/>
      <protection locked="0" hidden="0"/>
    </xf>
    <xf numFmtId="0" fontId="10" fillId="0" borderId="33" applyAlignment="1" pivotButton="0" quotePrefix="0" xfId="0">
      <alignment vertical="center"/>
    </xf>
    <xf numFmtId="0" fontId="11" fillId="0" borderId="33" applyAlignment="1" applyProtection="1" pivotButton="0" quotePrefix="0" xfId="1787">
      <alignment horizontal="center" vertical="center"/>
      <protection locked="0" hidden="0"/>
    </xf>
    <xf numFmtId="0" fontId="8" fillId="42" borderId="42" applyAlignment="1" applyProtection="1" pivotButton="0" quotePrefix="0" xfId="1787">
      <alignment vertical="center"/>
      <protection locked="0" hidden="0"/>
    </xf>
    <xf numFmtId="0" fontId="15" fillId="42" borderId="33" applyAlignment="1" pivotButton="0" quotePrefix="0" xfId="1795">
      <alignment horizontal="center" vertical="center" wrapText="1"/>
    </xf>
    <xf numFmtId="0" fontId="15" fillId="42" borderId="33" applyAlignment="1" pivotButton="0" quotePrefix="0" xfId="1795">
      <alignment horizontal="center" vertical="center" wrapText="1"/>
    </xf>
    <xf numFmtId="0" fontId="15" fillId="42" borderId="33" applyAlignment="1" pivotButton="0" quotePrefix="0" xfId="1796">
      <alignment horizontal="center" vertical="center" wrapText="1"/>
    </xf>
    <xf numFmtId="0" fontId="15" fillId="42" borderId="33" applyAlignment="1" applyProtection="1" pivotButton="0" quotePrefix="0" xfId="1796">
      <alignment horizontal="center" vertical="center"/>
      <protection locked="0" hidden="0"/>
    </xf>
    <xf numFmtId="0" fontId="15" fillId="42" borderId="33" applyAlignment="1" applyProtection="1" pivotButton="0" quotePrefix="0" xfId="1795">
      <alignment horizontal="center" vertical="center"/>
      <protection locked="0" hidden="0"/>
    </xf>
    <xf numFmtId="0" fontId="97" fillId="2" borderId="33" applyAlignment="1" applyProtection="1" pivotButton="0" quotePrefix="0" xfId="1797">
      <alignment horizontal="center" vertical="center"/>
      <protection locked="0" hidden="0"/>
    </xf>
    <xf numFmtId="0" fontId="82" fillId="56" borderId="42" applyAlignment="1" applyProtection="1" pivotButton="0" quotePrefix="0" xfId="1787">
      <alignment vertical="center" wrapText="1"/>
      <protection locked="0" hidden="0"/>
    </xf>
    <xf numFmtId="0" fontId="82" fillId="58" borderId="33" applyAlignment="1" pivotButton="0" quotePrefix="0" xfId="1787">
      <alignment horizontal="centerContinuous" vertical="center"/>
    </xf>
    <xf numFmtId="0" fontId="15" fillId="42" borderId="44" applyAlignment="1" pivotButton="0" quotePrefix="0" xfId="0">
      <alignment horizontal="centerContinuous" vertical="center"/>
    </xf>
    <xf numFmtId="0" fontId="15" fillId="42" borderId="42" applyAlignment="1" pivotButton="0" quotePrefix="0" xfId="0">
      <alignment horizontal="centerContinuous" vertical="center"/>
    </xf>
    <xf numFmtId="0" fontId="8" fillId="0" borderId="45" applyAlignment="1" pivotButton="0" quotePrefix="0" xfId="0">
      <alignment horizontal="center" vertical="center"/>
    </xf>
    <xf numFmtId="0" fontId="7" fillId="0" borderId="44" applyAlignment="1" pivotButton="0" quotePrefix="0" xfId="0">
      <alignment vertical="center"/>
    </xf>
    <xf numFmtId="0" fontId="7" fillId="0" borderId="1" applyAlignment="1" pivotButton="0" quotePrefix="0" xfId="0">
      <alignment vertical="center"/>
    </xf>
    <xf numFmtId="0" fontId="7" fillId="0" borderId="46" applyAlignment="1" pivotButton="0" quotePrefix="0" xfId="0">
      <alignment vertical="center"/>
    </xf>
    <xf numFmtId="0" fontId="128" fillId="0" borderId="45" applyAlignment="1" pivotButton="0" quotePrefix="0" xfId="0">
      <alignment horizontal="center" vertical="center"/>
    </xf>
    <xf numFmtId="0" fontId="7" fillId="0" borderId="3" applyAlignment="1" pivotButton="0" quotePrefix="0" xfId="0">
      <alignment vertical="center"/>
    </xf>
    <xf numFmtId="0" fontId="7" fillId="0" borderId="11" applyAlignment="1" pivotButton="0" quotePrefix="0" xfId="0">
      <alignment vertical="center"/>
    </xf>
    <xf numFmtId="0" fontId="7" fillId="0" borderId="47" applyAlignment="1" pivotButton="0" quotePrefix="0" xfId="0">
      <alignment vertical="center"/>
    </xf>
    <xf numFmtId="0" fontId="11" fillId="0" borderId="44" applyAlignment="1" pivotButton="0" quotePrefix="0" xfId="462">
      <alignment vertical="center"/>
    </xf>
    <xf numFmtId="0" fontId="7" fillId="0" borderId="40" applyAlignment="1" pivotButton="0" quotePrefix="0" xfId="0">
      <alignment vertical="center"/>
    </xf>
    <xf numFmtId="0" fontId="7" fillId="0" borderId="41" applyAlignment="1" pivotButton="0" quotePrefix="0" xfId="0">
      <alignment vertical="center"/>
    </xf>
    <xf numFmtId="0" fontId="8" fillId="0" borderId="45" applyAlignment="1" applyProtection="1" pivotButton="0" quotePrefix="0" xfId="0">
      <alignment horizontal="center" vertical="center"/>
      <protection locked="0" hidden="0"/>
    </xf>
    <xf numFmtId="0" fontId="7" fillId="0" borderId="1" applyAlignment="1" applyProtection="1" pivotButton="0" quotePrefix="0" xfId="0">
      <alignment vertical="center"/>
      <protection locked="0" hidden="0"/>
    </xf>
    <xf numFmtId="0" fontId="7" fillId="0" borderId="11" applyAlignment="1" applyProtection="1" pivotButton="0" quotePrefix="0" xfId="0">
      <alignment vertical="center"/>
      <protection locked="0" hidden="0"/>
    </xf>
    <xf numFmtId="0" fontId="7" fillId="0" borderId="47" applyAlignment="1" applyProtection="1" pivotButton="0" quotePrefix="0" xfId="0">
      <alignment vertical="center"/>
      <protection locked="0" hidden="0"/>
    </xf>
    <xf numFmtId="0" fontId="96" fillId="0" borderId="45" applyAlignment="1" pivotButton="0" quotePrefix="0" xfId="0">
      <alignment horizontal="center" vertical="center"/>
    </xf>
    <xf numFmtId="0" fontId="7" fillId="0" borderId="48" applyAlignment="1" applyProtection="1" pivotButton="0" quotePrefix="0" xfId="0">
      <alignment vertical="center"/>
      <protection locked="0" hidden="0"/>
    </xf>
    <xf numFmtId="0" fontId="7" fillId="0" borderId="49" applyAlignment="1" applyProtection="1" pivotButton="0" quotePrefix="0" xfId="0">
      <alignment vertical="center"/>
      <protection locked="0" hidden="0"/>
    </xf>
    <xf numFmtId="0" fontId="125" fillId="54" borderId="51" applyAlignment="1" applyProtection="1" pivotButton="0" quotePrefix="0" xfId="1787">
      <alignment horizontal="centerContinuous" vertical="center"/>
      <protection locked="0" hidden="0"/>
    </xf>
    <xf numFmtId="0" fontId="83" fillId="54" borderId="40" applyAlignment="1" applyProtection="1" pivotButton="0" quotePrefix="0" xfId="1787">
      <alignment horizontal="centerContinuous" vertical="center"/>
      <protection locked="0" hidden="0"/>
    </xf>
    <xf numFmtId="0" fontId="126" fillId="53" borderId="52" applyAlignment="1" applyProtection="1" pivotButton="0" quotePrefix="0" xfId="1787">
      <alignment horizontal="centerContinuous" vertical="center"/>
      <protection locked="0" hidden="0"/>
    </xf>
    <xf numFmtId="0" fontId="126" fillId="53" borderId="53" applyAlignment="1" applyProtection="1" pivotButton="0" quotePrefix="0" xfId="1787">
      <alignment horizontal="centerContinuous" vertical="center"/>
      <protection locked="0" hidden="0"/>
    </xf>
    <xf numFmtId="0" fontId="10" fillId="0" borderId="33" applyAlignment="1" applyProtection="1" pivotButton="0" quotePrefix="0" xfId="1787">
      <alignment horizontal="left" vertical="center"/>
      <protection locked="0" hidden="0"/>
    </xf>
    <xf numFmtId="0" fontId="8" fillId="0" borderId="38" applyAlignment="1" pivotButton="0" quotePrefix="0" xfId="0">
      <alignment horizontal="center" vertical="center"/>
    </xf>
    <xf numFmtId="0" fontId="10" fillId="0" borderId="50" applyAlignment="1" pivotButton="0" quotePrefix="0" xfId="0">
      <alignment vertical="center"/>
    </xf>
    <xf numFmtId="0" fontId="101" fillId="2" borderId="33" applyAlignment="1" pivotButton="0" quotePrefix="0" xfId="238">
      <alignment vertical="center"/>
    </xf>
    <xf numFmtId="0" fontId="15" fillId="0" borderId="0" applyAlignment="1" applyProtection="1" pivotButton="0" quotePrefix="0" xfId="1787">
      <alignment horizontal="left" vertical="center" wrapText="1"/>
      <protection locked="0" hidden="0"/>
    </xf>
    <xf numFmtId="0" fontId="17" fillId="0" borderId="33" applyAlignment="1" pivotButton="0" quotePrefix="0" xfId="249">
      <alignment horizontal="center" vertical="center"/>
    </xf>
    <xf numFmtId="0" fontId="7" fillId="0" borderId="33" applyAlignment="1" pivotButton="0" quotePrefix="0" xfId="868">
      <alignment horizontal="center" vertical="center"/>
    </xf>
    <xf numFmtId="0" fontId="7" fillId="0" borderId="33" applyAlignment="1" pivotButton="0" quotePrefix="0" xfId="120">
      <alignment horizontal="center" vertical="center"/>
    </xf>
    <xf numFmtId="0" fontId="82" fillId="0" borderId="0" applyAlignment="1" pivotButton="0" quotePrefix="0" xfId="249">
      <alignment vertical="center"/>
    </xf>
    <xf numFmtId="0" fontId="15" fillId="2" borderId="0" applyAlignment="1" pivotButton="0" quotePrefix="0" xfId="1795">
      <alignment horizontal="center" vertical="center" wrapText="1"/>
    </xf>
    <xf numFmtId="0" fontId="155" fillId="0" borderId="0" applyAlignment="1" pivotButton="0" quotePrefix="0" xfId="0">
      <alignment vertical="center"/>
    </xf>
    <xf numFmtId="0" fontId="84" fillId="2" borderId="0" pivotButton="0" quotePrefix="0" xfId="3730"/>
    <xf numFmtId="0" fontId="83" fillId="2" borderId="0" pivotButton="0" quotePrefix="0" xfId="3730"/>
    <xf numFmtId="0" fontId="157" fillId="2" borderId="0" pivotButton="0" quotePrefix="0" xfId="3730"/>
    <xf numFmtId="0" fontId="157" fillId="44" borderId="0" applyAlignment="1" pivotButton="0" quotePrefix="0" xfId="249">
      <alignment vertical="center"/>
    </xf>
    <xf numFmtId="0" fontId="83" fillId="0" borderId="0" pivotButton="0" quotePrefix="0" xfId="3730"/>
    <xf numFmtId="0" fontId="123" fillId="0" borderId="0" applyAlignment="1" pivotButton="0" quotePrefix="1" xfId="3760">
      <alignment vertical="center"/>
    </xf>
    <xf numFmtId="0" fontId="125" fillId="54" borderId="44" applyAlignment="1" applyProtection="1" pivotButton="0" quotePrefix="0" xfId="1787">
      <alignment horizontal="centerContinuous" vertical="center"/>
      <protection locked="0" hidden="0"/>
    </xf>
    <xf numFmtId="0" fontId="125" fillId="54" borderId="2" applyAlignment="1" applyProtection="1" pivotButton="0" quotePrefix="0" xfId="1787">
      <alignment horizontal="centerContinuous" vertical="center"/>
      <protection locked="0" hidden="0"/>
    </xf>
    <xf numFmtId="49" fontId="124" fillId="56" borderId="44" applyAlignment="1" applyProtection="1" pivotButton="0" quotePrefix="0" xfId="1787">
      <alignment vertical="center"/>
      <protection locked="0" hidden="0"/>
    </xf>
    <xf numFmtId="0" fontId="11" fillId="0" borderId="4" applyAlignment="1" applyProtection="1" pivotButton="0" quotePrefix="0" xfId="1787">
      <alignment horizontal="left" vertical="center" indent="2"/>
      <protection locked="0" hidden="0"/>
    </xf>
    <xf numFmtId="0" fontId="11" fillId="0" borderId="32" applyAlignment="1" applyProtection="1" pivotButton="0" quotePrefix="0" xfId="1787">
      <alignment horizontal="left" vertical="center"/>
      <protection locked="0" hidden="0"/>
    </xf>
    <xf numFmtId="0" fontId="11" fillId="0" borderId="31" applyAlignment="1" applyProtection="1" pivotButton="0" quotePrefix="0" xfId="1787">
      <alignment horizontal="left" vertical="center" indent="2"/>
      <protection locked="0" hidden="0"/>
    </xf>
    <xf numFmtId="0" fontId="11" fillId="0" borderId="1" applyAlignment="1" applyProtection="1" pivotButton="0" quotePrefix="0" xfId="1787">
      <alignment vertical="center"/>
      <protection locked="0" hidden="0"/>
    </xf>
    <xf numFmtId="0" fontId="11" fillId="0" borderId="8" applyAlignment="1" applyProtection="1" pivotButton="0" quotePrefix="0" xfId="1787">
      <alignment vertical="center"/>
      <protection locked="0" hidden="0"/>
    </xf>
    <xf numFmtId="0" fontId="124" fillId="56" borderId="44" applyAlignment="1" applyProtection="1" pivotButton="0" quotePrefix="0" xfId="1787">
      <alignment vertical="center"/>
      <protection locked="0" hidden="0"/>
    </xf>
    <xf numFmtId="0" fontId="154" fillId="0" borderId="0" applyAlignment="1" applyProtection="1" pivotButton="0" quotePrefix="0" xfId="1787">
      <alignment vertical="center"/>
      <protection locked="0" hidden="0"/>
    </xf>
    <xf numFmtId="0" fontId="124" fillId="56" borderId="11" applyAlignment="1" applyProtection="1" pivotButton="0" quotePrefix="0" xfId="1787">
      <alignment vertical="center"/>
      <protection locked="0" hidden="0"/>
    </xf>
    <xf numFmtId="0" fontId="124" fillId="56" borderId="42" applyAlignment="1" applyProtection="1" pivotButton="0" quotePrefix="0" xfId="1787">
      <alignment vertical="center"/>
      <protection locked="0" hidden="0"/>
    </xf>
    <xf numFmtId="0" fontId="154" fillId="55" borderId="0" applyAlignment="1" applyProtection="1" pivotButton="0" quotePrefix="0" xfId="1787">
      <alignment vertical="center"/>
      <protection locked="0" hidden="0"/>
    </xf>
    <xf numFmtId="0" fontId="141" fillId="0" borderId="0" applyAlignment="1" pivotButton="0" quotePrefix="0" xfId="439">
      <alignment vertical="center"/>
    </xf>
    <xf numFmtId="0" fontId="158" fillId="2" borderId="0" applyAlignment="1" pivotButton="0" quotePrefix="0" xfId="0">
      <alignment vertical="center"/>
    </xf>
    <xf numFmtId="0" fontId="124" fillId="57" borderId="31" applyAlignment="1" pivotButton="0" quotePrefix="0" xfId="0">
      <alignment vertical="center"/>
    </xf>
    <xf numFmtId="0" fontId="124" fillId="57" borderId="1" applyAlignment="1" pivotButton="0" quotePrefix="0" xfId="0">
      <alignment vertical="center"/>
    </xf>
    <xf numFmtId="0" fontId="124" fillId="57" borderId="1" applyAlignment="1" pivotButton="0" quotePrefix="0" xfId="0">
      <alignment vertical="center" wrapText="1"/>
    </xf>
    <xf numFmtId="0" fontId="124" fillId="57" borderId="1" applyAlignment="1" pivotButton="0" quotePrefix="0" xfId="0">
      <alignment horizontal="left" vertical="center" wrapText="1"/>
    </xf>
    <xf numFmtId="0" fontId="124" fillId="57" borderId="8" applyAlignment="1" pivotButton="0" quotePrefix="0" xfId="0">
      <alignment horizontal="left" vertical="center" wrapText="1"/>
    </xf>
    <xf numFmtId="0" fontId="155" fillId="2" borderId="0" applyAlignment="1" pivotButton="0" quotePrefix="0" xfId="0">
      <alignment vertical="center"/>
    </xf>
    <xf numFmtId="0" fontId="155" fillId="2" borderId="0" applyAlignment="1" pivotButton="0" quotePrefix="0" xfId="0">
      <alignment horizontal="center" vertical="center"/>
    </xf>
    <xf numFmtId="0" fontId="155" fillId="0" borderId="0" applyAlignment="1" applyProtection="1" pivotButton="0" quotePrefix="0" xfId="849">
      <alignment vertical="center"/>
      <protection locked="0" hidden="0"/>
    </xf>
    <xf numFmtId="9" fontId="155" fillId="0" borderId="0" applyAlignment="1" pivotButton="0" quotePrefix="0" xfId="14">
      <alignment vertical="center"/>
    </xf>
    <xf numFmtId="0" fontId="56" fillId="56" borderId="54" applyAlignment="1" pivotButton="0" quotePrefix="0" xfId="1787">
      <alignment horizontal="left" vertical="center"/>
    </xf>
    <xf numFmtId="0" fontId="56" fillId="56" borderId="56" applyAlignment="1" pivotButton="0" quotePrefix="0" xfId="1787">
      <alignment horizontal="left" vertical="center"/>
    </xf>
    <xf numFmtId="0" fontId="130" fillId="0" borderId="0" applyAlignment="1" pivotButton="0" quotePrefix="0" xfId="0">
      <alignment horizontal="left" vertical="center"/>
    </xf>
    <xf numFmtId="0" fontId="7" fillId="0" borderId="33" applyAlignment="1" applyProtection="1" pivotButton="0" quotePrefix="0" xfId="1802">
      <alignment horizontal="center" vertical="center"/>
      <protection locked="0" hidden="0"/>
    </xf>
    <xf numFmtId="0" fontId="100" fillId="0" borderId="0" applyAlignment="1" applyProtection="1" pivotButton="0" quotePrefix="0" xfId="1787">
      <alignment vertical="center"/>
      <protection locked="0" hidden="0"/>
    </xf>
    <xf numFmtId="0" fontId="8" fillId="0" borderId="0" applyAlignment="1" applyProtection="1" pivotButton="0" quotePrefix="0" xfId="1787">
      <alignment horizontal="right" vertical="center"/>
      <protection locked="0" hidden="0"/>
    </xf>
    <xf numFmtId="43" fontId="10" fillId="0" borderId="0" applyAlignment="1" applyProtection="1" pivotButton="0" quotePrefix="0" xfId="1787">
      <alignment horizontal="right" vertical="center" wrapText="1"/>
      <protection locked="0" hidden="0"/>
    </xf>
    <xf numFmtId="166" fontId="7" fillId="0" borderId="0" applyAlignment="1" applyProtection="1" pivotButton="0" quotePrefix="0" xfId="1790">
      <alignment horizontal="right" vertical="center"/>
      <protection locked="0" hidden="0"/>
    </xf>
    <xf numFmtId="0" fontId="132" fillId="0" borderId="0" applyAlignment="1" applyProtection="1" pivotButton="0" quotePrefix="0" xfId="1787">
      <alignment horizontal="center" vertical="center"/>
      <protection locked="0" hidden="0"/>
    </xf>
    <xf numFmtId="165"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43" fontId="7" fillId="0" borderId="0" applyAlignment="1" applyProtection="1" pivotButton="0" quotePrefix="0" xfId="1787">
      <alignment horizontal="right"/>
      <protection locked="0" hidden="0"/>
    </xf>
    <xf numFmtId="43" fontId="7" fillId="0" borderId="0" applyAlignment="1" applyProtection="1" pivotButton="0" quotePrefix="0" xfId="1787">
      <alignment horizontal="right" vertical="center"/>
      <protection locked="0" hidden="0"/>
    </xf>
    <xf numFmtId="0" fontId="15" fillId="0" borderId="0" applyAlignment="1" pivotButton="0" quotePrefix="0" xfId="0">
      <alignment horizontal="left" vertical="center"/>
    </xf>
    <xf numFmtId="0" fontId="11" fillId="0" borderId="0" applyAlignment="1" pivotButton="0" quotePrefix="0" xfId="0">
      <alignment horizontal="center" vertical="center"/>
    </xf>
    <xf numFmtId="0" fontId="11" fillId="0" borderId="0" applyAlignment="1" pivotButton="0" quotePrefix="0" xfId="0">
      <alignment horizontal="left" vertical="center"/>
    </xf>
    <xf numFmtId="0" fontId="8" fillId="0" borderId="0" applyAlignment="1" pivotButton="0" quotePrefix="0" xfId="0">
      <alignment horizontal="center" vertical="center"/>
    </xf>
    <xf numFmtId="0" fontId="15" fillId="0" borderId="0" applyAlignment="1" pivotButton="0" quotePrefix="0" xfId="0">
      <alignment horizontal="center" vertical="center"/>
    </xf>
    <xf numFmtId="0" fontId="11" fillId="0" borderId="40" applyAlignment="1" applyProtection="1" pivotButton="0" quotePrefix="0" xfId="849">
      <alignment horizontal="left" vertical="center"/>
      <protection locked="0" hidden="0"/>
    </xf>
    <xf numFmtId="0" fontId="7" fillId="0" borderId="0" applyAlignment="1" pivotButton="0" quotePrefix="0" xfId="0">
      <alignment vertical="center"/>
    </xf>
    <xf numFmtId="0" fontId="15" fillId="0" borderId="2" applyAlignment="1" pivotButton="0" quotePrefix="0" xfId="0">
      <alignment vertical="center"/>
    </xf>
    <xf numFmtId="0" fontId="15" fillId="0" borderId="3" applyAlignment="1" pivotButton="0" quotePrefix="0" xfId="0">
      <alignment vertical="center"/>
    </xf>
    <xf numFmtId="0" fontId="10" fillId="0" borderId="3" applyAlignment="1" pivotButton="0" quotePrefix="0" xfId="0">
      <alignment vertical="center"/>
    </xf>
    <xf numFmtId="0" fontId="10" fillId="0" borderId="7" applyAlignment="1" pivotButton="0" quotePrefix="0" xfId="0">
      <alignment vertical="center"/>
    </xf>
    <xf numFmtId="0" fontId="15" fillId="0" borderId="4" applyAlignment="1" pivotButton="0" quotePrefix="0" xfId="0">
      <alignment vertical="center"/>
    </xf>
    <xf numFmtId="0" fontId="15" fillId="0" borderId="0" applyAlignment="1" pivotButton="0" quotePrefix="0" xfId="0">
      <alignment vertical="center"/>
    </xf>
    <xf numFmtId="0" fontId="11" fillId="0" borderId="32" applyAlignment="1" pivotButton="0" quotePrefix="0" xfId="0">
      <alignment vertical="center"/>
    </xf>
    <xf numFmtId="0" fontId="10" fillId="0" borderId="4" applyAlignment="1" pivotButton="0" quotePrefix="0" xfId="0">
      <alignment horizontal="left" vertical="center"/>
    </xf>
    <xf numFmtId="0" fontId="10" fillId="0" borderId="0" applyAlignment="1" pivotButton="0" quotePrefix="0" xfId="0">
      <alignment horizontal="left" vertical="center"/>
    </xf>
    <xf numFmtId="0" fontId="11" fillId="0" borderId="0" applyAlignment="1" pivotButton="0" quotePrefix="0" xfId="0">
      <alignment vertical="center"/>
    </xf>
    <xf numFmtId="0" fontId="11" fillId="0" borderId="0" applyAlignment="1" pivotButton="0" quotePrefix="0" xfId="0">
      <alignment horizontal="right" vertical="center"/>
    </xf>
    <xf numFmtId="0" fontId="10" fillId="0" borderId="4" applyAlignment="1" pivotButton="0" quotePrefix="0" xfId="0">
      <alignment vertical="center"/>
    </xf>
    <xf numFmtId="0" fontId="10" fillId="0" borderId="0" applyAlignment="1" pivotButton="0" quotePrefix="0" xfId="0">
      <alignmen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0" fontId="8" fillId="0" borderId="32" applyAlignment="1" pivotButton="0" quotePrefix="0" xfId="0">
      <alignment vertical="center"/>
    </xf>
    <xf numFmtId="0" fontId="11" fillId="0" borderId="25" applyAlignment="1" pivotButton="0" quotePrefix="0" xfId="0">
      <alignment horizontal="center" vertical="center"/>
    </xf>
    <xf numFmtId="0" fontId="10" fillId="0" borderId="31" applyAlignment="1" pivotButton="0" quotePrefix="0" xfId="0">
      <alignment vertical="center"/>
    </xf>
    <xf numFmtId="0" fontId="10" fillId="0" borderId="1" applyAlignment="1" pivotButton="0" quotePrefix="0" xfId="0">
      <alignment vertical="center"/>
    </xf>
    <xf numFmtId="0" fontId="11" fillId="0" borderId="1" applyAlignment="1" pivotButton="0" quotePrefix="0" xfId="0">
      <alignment vertical="center"/>
    </xf>
    <xf numFmtId="0" fontId="11" fillId="0" borderId="1" applyAlignment="1" pivotButton="0" quotePrefix="0" xfId="0">
      <alignment horizontal="left" vertical="center"/>
    </xf>
    <xf numFmtId="0" fontId="11" fillId="0" borderId="8" applyAlignment="1" pivotButton="0" quotePrefix="0" xfId="0">
      <alignment vertical="center"/>
    </xf>
    <xf numFmtId="49"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wrapText="1"/>
      <protection locked="0" hidden="0"/>
    </xf>
    <xf numFmtId="10" fontId="11" fillId="0" borderId="33" applyAlignment="1" applyProtection="1" pivotButton="0" quotePrefix="0" xfId="450">
      <alignment horizontal="right" vertical="center"/>
      <protection locked="0" hidden="0"/>
    </xf>
    <xf numFmtId="0" fontId="11" fillId="0" borderId="33" applyAlignment="1" applyProtection="1" pivotButton="0" quotePrefix="0" xfId="439">
      <alignment horizontal="left" vertical="center" shrinkToFit="1"/>
      <protection locked="0" hidden="0"/>
    </xf>
    <xf numFmtId="49" fontId="11" fillId="0" borderId="33" applyAlignment="1" applyProtection="1" pivotButton="0" quotePrefix="0" xfId="439">
      <alignment horizontal="left" vertical="center"/>
      <protection locked="0" hidden="0"/>
    </xf>
    <xf numFmtId="0" fontId="11" fillId="0" borderId="33" applyAlignment="1" applyProtection="1" pivotButton="0" quotePrefix="0" xfId="439">
      <alignment horizontal="left" vertical="center" wrapText="1"/>
      <protection locked="0" hidden="0"/>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xf numFmtId="49" fontId="7" fillId="0" borderId="33" applyAlignment="1" pivotButton="0" quotePrefix="0" xfId="0">
      <alignment horizontal="left" vertical="center" shrinkToFit="1"/>
    </xf>
    <xf numFmtId="0" fontId="7" fillId="0" borderId="33" applyAlignment="1" pivotButton="0" quotePrefix="0" xfId="0">
      <alignment vertical="center"/>
    </xf>
    <xf numFmtId="165" fontId="11" fillId="0" borderId="33" applyAlignment="1" applyProtection="1" pivotButton="0" quotePrefix="0" xfId="1800">
      <alignment horizontal="left" vertical="center"/>
      <protection locked="0" hidden="0"/>
    </xf>
    <xf numFmtId="37" fontId="7" fillId="0" borderId="0" applyAlignment="1" applyProtection="1" pivotButton="0" quotePrefix="0" xfId="1787">
      <alignment vertical="center"/>
      <protection locked="0" hidden="0"/>
    </xf>
    <xf numFmtId="37" fontId="8" fillId="0" borderId="0" applyAlignment="1" applyProtection="1" pivotButton="0" quotePrefix="0" xfId="1787">
      <alignment horizontal="left" vertical="center"/>
      <protection locked="0" hidden="0"/>
    </xf>
    <xf numFmtId="37" fontId="11" fillId="0" borderId="33" applyAlignment="1" applyProtection="1" pivotButton="0" quotePrefix="0" xfId="1787">
      <alignment horizontal="center" vertical="center"/>
      <protection locked="0" hidden="0"/>
    </xf>
    <xf numFmtId="14" fontId="11" fillId="0" borderId="33" applyAlignment="1" applyProtection="1" pivotButton="0" quotePrefix="0" xfId="1790">
      <alignment horizontal="left" vertical="center"/>
      <protection locked="0" hidden="0"/>
    </xf>
    <xf numFmtId="0" fontId="123" fillId="0" borderId="0" applyAlignment="1" applyProtection="1" pivotButton="0" quotePrefix="1" xfId="3760">
      <alignment vertical="center"/>
      <protection locked="0" hidden="0"/>
    </xf>
    <xf numFmtId="49" fontId="15" fillId="0" borderId="0" applyAlignment="1" pivotButton="0" quotePrefix="0" xfId="446">
      <alignment horizontal="left" vertical="top"/>
    </xf>
    <xf numFmtId="0" fontId="97" fillId="0" borderId="3" applyAlignment="1" pivotButton="0" quotePrefix="0" xfId="0">
      <alignment vertical="center"/>
    </xf>
    <xf numFmtId="0" fontId="15" fillId="0" borderId="7" applyAlignment="1" pivotButton="0" quotePrefix="0" xfId="0">
      <alignment vertical="center"/>
    </xf>
    <xf numFmtId="0" fontId="97" fillId="0" borderId="1" applyAlignment="1" pivotButton="0" quotePrefix="0" xfId="0">
      <alignment vertical="center"/>
    </xf>
    <xf numFmtId="0" fontId="15" fillId="0" borderId="43" applyAlignment="1" pivotButton="0" quotePrefix="0" xfId="0">
      <alignment horizontal="center" vertical="center"/>
    </xf>
    <xf numFmtId="0" fontId="128" fillId="0" borderId="10" applyAlignment="1" pivotButton="0" quotePrefix="0" xfId="0">
      <alignment horizontal="center" vertical="center" wrapText="1"/>
    </xf>
    <xf numFmtId="0" fontId="128" fillId="0" borderId="33" applyAlignment="1" pivotButton="0" quotePrefix="0" xfId="0">
      <alignment horizontal="center" vertical="center" wrapText="1"/>
    </xf>
    <xf numFmtId="0" fontId="8" fillId="0" borderId="33" applyAlignment="1" pivotButton="0" quotePrefix="0" xfId="0">
      <alignment horizontal="center"/>
    </xf>
    <xf numFmtId="0" fontId="97" fillId="0" borderId="2" applyAlignment="1" pivotButton="0" quotePrefix="0" xfId="0">
      <alignment vertical="center"/>
    </xf>
    <xf numFmtId="0" fontId="97" fillId="0" borderId="31" applyAlignment="1" pivotButton="0" quotePrefix="0" xfId="0">
      <alignment vertical="center"/>
    </xf>
    <xf numFmtId="0" fontId="8" fillId="0" borderId="0" applyAlignment="1" applyProtection="1" pivotButton="0" quotePrefix="0" xfId="9">
      <alignment horizontal="left" vertical="center"/>
      <protection locked="0" hidden="0"/>
    </xf>
    <xf numFmtId="0" fontId="82" fillId="0" borderId="0" applyAlignment="1" applyProtection="1" pivotButton="0" quotePrefix="0" xfId="448">
      <alignment horizontal="left" vertical="center"/>
      <protection locked="0" hidden="0"/>
    </xf>
    <xf numFmtId="0" fontId="8" fillId="0" borderId="0" applyAlignment="1" pivotButton="0" quotePrefix="0" xfId="1783">
      <alignment horizontal="left" vertical="center"/>
    </xf>
    <xf numFmtId="0" fontId="97" fillId="0" borderId="44" applyAlignment="1" pivotButton="0" quotePrefix="0" xfId="1783">
      <alignment vertical="center"/>
    </xf>
    <xf numFmtId="0" fontId="97" fillId="0" borderId="11" applyAlignment="1" pivotButton="0" quotePrefix="0" xfId="1783">
      <alignment vertical="center"/>
    </xf>
    <xf numFmtId="0" fontId="97" fillId="0" borderId="11" applyAlignment="1" pivotButton="0" quotePrefix="0" xfId="1783">
      <alignment horizontal="center" vertical="center"/>
    </xf>
    <xf numFmtId="0" fontId="97" fillId="0" borderId="42" applyAlignment="1" pivotButton="0" quotePrefix="0" xfId="1783">
      <alignment vertical="center"/>
    </xf>
    <xf numFmtId="0" fontId="8" fillId="0" borderId="0" applyAlignment="1" pivotButton="0" quotePrefix="0" xfId="1783">
      <alignment horizontal="right" vertical="center"/>
    </xf>
    <xf numFmtId="0" fontId="15" fillId="0" borderId="44" applyAlignment="1" applyProtection="1" pivotButton="0" quotePrefix="0" xfId="1782">
      <alignment vertical="center"/>
      <protection locked="0" hidden="0"/>
    </xf>
    <xf numFmtId="0" fontId="15" fillId="0" borderId="11" applyAlignment="1" applyProtection="1" pivotButton="0" quotePrefix="0" xfId="1782">
      <alignment horizontal="center" vertical="center"/>
      <protection locked="0" hidden="0"/>
    </xf>
    <xf numFmtId="0" fontId="15" fillId="0" borderId="11" applyAlignment="1" applyProtection="1" pivotButton="0" quotePrefix="0" xfId="1782">
      <alignment vertical="center"/>
      <protection locked="0" hidden="0"/>
    </xf>
    <xf numFmtId="0" fontId="15" fillId="0" borderId="42" applyAlignment="1" applyProtection="1" pivotButton="0" quotePrefix="0" xfId="1782">
      <alignment vertical="center"/>
      <protection locked="0" hidden="0"/>
    </xf>
    <xf numFmtId="0" fontId="97" fillId="0" borderId="10" applyAlignment="1" pivotButton="0" quotePrefix="0" xfId="1783">
      <alignment horizontal="center" vertical="center"/>
    </xf>
    <xf numFmtId="0" fontId="97" fillId="0" borderId="10" applyAlignment="1" pivotButton="0" quotePrefix="0" xfId="1782">
      <alignment horizontal="center" vertical="center"/>
    </xf>
    <xf numFmtId="0" fontId="97" fillId="0" borderId="0" applyAlignment="1" pivotButton="0" quotePrefix="0" xfId="1782">
      <alignment horizontal="center" vertical="center"/>
    </xf>
    <xf numFmtId="0" fontId="97" fillId="0" borderId="33" applyAlignment="1" pivotButton="0" quotePrefix="0" xfId="1783">
      <alignment vertical="center"/>
    </xf>
    <xf numFmtId="0" fontId="7" fillId="0" borderId="0" applyAlignment="1" applyProtection="1" pivotButton="0" quotePrefix="0" xfId="3759">
      <alignment vertical="center"/>
      <protection locked="0" hidden="0"/>
    </xf>
    <xf numFmtId="0" fontId="7" fillId="0" borderId="0" applyAlignment="1" pivotButton="0" quotePrefix="0" xfId="1777">
      <alignment vertical="center"/>
    </xf>
    <xf numFmtId="49" fontId="15" fillId="0" borderId="0" applyAlignment="1" pivotButton="0" quotePrefix="0" xfId="439">
      <alignment horizontal="left" vertical="top"/>
    </xf>
    <xf numFmtId="0" fontId="15" fillId="0" borderId="0" applyAlignment="1" pivotButton="0" quotePrefix="0" xfId="3730">
      <alignment vertical="center"/>
    </xf>
    <xf numFmtId="0" fontId="11" fillId="0" borderId="0" applyAlignment="1" pivotButton="0" quotePrefix="0" xfId="3730">
      <alignment vertical="center"/>
    </xf>
    <xf numFmtId="0" fontId="156" fillId="59" borderId="0" applyAlignment="1" pivotButton="0" quotePrefix="0" xfId="868">
      <alignment vertical="center"/>
    </xf>
    <xf numFmtId="0" fontId="161" fillId="0" borderId="0" applyAlignment="1" pivotButton="0" quotePrefix="0" xfId="0">
      <alignment vertical="center"/>
    </xf>
    <xf numFmtId="0" fontId="82" fillId="0" borderId="0" applyAlignment="1" pivotButton="0" quotePrefix="0" xfId="0">
      <alignment vertical="center"/>
    </xf>
    <xf numFmtId="0" fontId="161" fillId="60" borderId="0" applyAlignment="1" pivotButton="0" quotePrefix="0" xfId="0">
      <alignment vertical="center"/>
    </xf>
    <xf numFmtId="0" fontId="128" fillId="0" borderId="0" applyAlignment="1" pivotButton="0" quotePrefix="0" xfId="0">
      <alignment horizontal="center" vertical="center"/>
    </xf>
    <xf numFmtId="0" fontId="162" fillId="0" borderId="0" applyAlignment="1" pivotButton="0" quotePrefix="0" xfId="0">
      <alignment vertical="center"/>
    </xf>
    <xf numFmtId="0" fontId="162" fillId="60" borderId="0" applyAlignment="1" pivotButton="0" quotePrefix="0" xfId="0">
      <alignment vertical="center"/>
    </xf>
    <xf numFmtId="14" fontId="15" fillId="61" borderId="33" applyAlignment="1" pivotButton="0" quotePrefix="0" xfId="0">
      <alignment horizontal="center" vertical="center"/>
    </xf>
    <xf numFmtId="0" fontId="82" fillId="61" borderId="33" applyAlignment="1" pivotButton="0" quotePrefix="0" xfId="0">
      <alignment horizontal="center" vertical="center" wrapText="1"/>
    </xf>
    <xf numFmtId="0" fontId="15" fillId="61" borderId="33" applyAlignment="1" pivotButton="0" quotePrefix="0" xfId="0">
      <alignment horizontal="center" vertical="center"/>
    </xf>
    <xf numFmtId="14" fontId="7" fillId="0" borderId="44" applyAlignment="1" pivotButton="0" quotePrefix="0" xfId="185">
      <alignment horizontal="right" vertical="center" shrinkToFit="1"/>
    </xf>
    <xf numFmtId="0" fontId="126" fillId="53" borderId="61" applyAlignment="1" applyProtection="1" pivotButton="0" quotePrefix="0" xfId="1787">
      <alignment horizontal="centerContinuous" vertical="center"/>
      <protection locked="0" hidden="0"/>
    </xf>
    <xf numFmtId="0" fontId="124" fillId="56" borderId="62" applyAlignment="1" applyProtection="1" pivotButton="0" quotePrefix="0" xfId="1787">
      <alignment vertical="center"/>
      <protection locked="0" hidden="0"/>
    </xf>
    <xf numFmtId="0" fontId="124" fillId="56" borderId="41" applyAlignment="1" applyProtection="1" pivotButton="0" quotePrefix="0" xfId="1787">
      <alignment vertical="center" wrapText="1"/>
      <protection locked="0" hidden="0"/>
    </xf>
    <xf numFmtId="0" fontId="124" fillId="56" borderId="63" applyAlignment="1" applyProtection="1" pivotButton="0" quotePrefix="0" xfId="1787">
      <alignment vertical="center" wrapText="1"/>
      <protection locked="0" hidden="0"/>
    </xf>
    <xf numFmtId="0" fontId="11" fillId="0" borderId="0" applyAlignment="1" applyProtection="1" pivotButton="0" quotePrefix="0" xfId="218">
      <alignment vertical="center"/>
      <protection locked="0" hidden="0"/>
    </xf>
    <xf numFmtId="0" fontId="163" fillId="0" borderId="0" applyAlignment="1" pivotButton="0" quotePrefix="0" xfId="1787">
      <alignment vertical="center"/>
    </xf>
    <xf numFmtId="0" fontId="15" fillId="61" borderId="64" applyAlignment="1" pivotButton="0" quotePrefix="0" xfId="0">
      <alignment horizontal="center" vertical="center" wrapText="1"/>
    </xf>
    <xf numFmtId="0" fontId="15" fillId="61" borderId="65" applyAlignment="1" pivotButton="0" quotePrefix="0" xfId="0">
      <alignment horizontal="center" vertical="center" wrapText="1"/>
    </xf>
    <xf numFmtId="0" fontId="8" fillId="61" borderId="65" applyAlignment="1" pivotButton="0" quotePrefix="0" xfId="0">
      <alignment vertical="center"/>
    </xf>
    <xf numFmtId="0" fontId="15" fillId="61" borderId="67" applyAlignment="1" pivotButton="0" quotePrefix="0" xfId="0">
      <alignment horizontal="center" vertical="center" wrapText="1"/>
    </xf>
    <xf numFmtId="0" fontId="15" fillId="61" borderId="68" applyAlignment="1" pivotButton="0" quotePrefix="0" xfId="0">
      <alignment horizontal="center" vertical="center" wrapText="1"/>
    </xf>
    <xf numFmtId="0" fontId="8" fillId="61" borderId="68" applyAlignment="1" pivotButton="0" quotePrefix="0" xfId="0">
      <alignment horizontal="center" vertical="center" wrapText="1"/>
    </xf>
    <xf numFmtId="43" fontId="97" fillId="0" borderId="0" applyAlignment="1" applyProtection="1" pivotButton="0" quotePrefix="0" xfId="1787">
      <alignment horizontal="right" vertical="center"/>
      <protection locked="0" hidden="0"/>
    </xf>
    <xf numFmtId="0" fontId="11" fillId="0" borderId="0" applyAlignment="1" applyProtection="1" pivotButton="0" quotePrefix="0" xfId="1792">
      <alignment horizontal="left" vertical="center"/>
      <protection locked="0" hidden="0"/>
    </xf>
    <xf numFmtId="0" fontId="164" fillId="0" borderId="0" applyAlignment="1" applyProtection="1" pivotButton="0" quotePrefix="0" xfId="1787">
      <alignment horizontal="left" vertical="center"/>
      <protection locked="0" hidden="0"/>
    </xf>
    <xf numFmtId="0" fontId="132" fillId="0" borderId="0" applyAlignment="1" applyProtection="1" pivotButton="0" quotePrefix="0" xfId="1787">
      <alignment horizontal="left" vertical="center"/>
      <protection locked="0" hidden="0"/>
    </xf>
    <xf numFmtId="43" fontId="56" fillId="56" borderId="4" applyAlignment="1" applyProtection="1" pivotButton="0" quotePrefix="0" xfId="1789">
      <alignment horizontal="right" vertical="center" shrinkToFit="1"/>
      <protection locked="0" hidden="0"/>
    </xf>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43" fontId="11" fillId="2" borderId="33" applyAlignment="1" pivotButton="0" quotePrefix="0" xfId="1789">
      <alignment horizontal="right" vertical="center" shrinkToFit="1"/>
    </xf>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43" fontId="97" fillId="0" borderId="39" applyAlignment="1" applyProtection="1" pivotButton="0" quotePrefix="0" xfId="1787">
      <alignment horizontal="right" vertical="center" shrinkToFit="1"/>
      <protection locked="0" hidden="0"/>
    </xf>
    <xf numFmtId="43" fontId="7" fillId="0" borderId="0" applyAlignment="1" applyProtection="1" pivotButton="0" quotePrefix="0" xfId="1787">
      <alignment horizontal="right" vertical="center" shrinkToFit="1"/>
      <protection locked="0" hidden="0"/>
    </xf>
    <xf numFmtId="10" fontId="7" fillId="0" borderId="0" applyAlignment="1" applyProtection="1" pivotButton="0" quotePrefix="0" xfId="1790">
      <alignment horizontal="right" vertical="center" shrinkToFit="1"/>
      <protection locked="0" hidden="0"/>
    </xf>
    <xf numFmtId="10" fontId="97" fillId="0" borderId="39" applyAlignment="1" applyProtection="1" pivotButton="0" quotePrefix="0" xfId="1790">
      <alignment horizontal="right" vertical="center" shrinkToFit="1"/>
      <protection locked="0" hidden="0"/>
    </xf>
    <xf numFmtId="0" fontId="7" fillId="2" borderId="0" applyAlignment="1" pivotButton="0" quotePrefix="0" xfId="868">
      <alignment horizontal="center" vertical="center"/>
    </xf>
    <xf numFmtId="0" fontId="159" fillId="0" borderId="0" applyAlignment="1" pivotButton="0" quotePrefix="0" xfId="0">
      <alignment horizontal="left" vertical="center"/>
    </xf>
    <xf numFmtId="17" fontId="165" fillId="0" borderId="33" applyAlignment="1" pivotButton="0" quotePrefix="0" xfId="3760">
      <alignment horizontal="center" vertical="center"/>
    </xf>
    <xf numFmtId="0" fontId="167" fillId="42" borderId="0" applyAlignment="1" applyProtection="1" pivotButton="0" quotePrefix="0" xfId="3760">
      <alignment vertical="center"/>
      <protection locked="0" hidden="0"/>
    </xf>
    <xf numFmtId="0" fontId="7" fillId="0" borderId="33" applyAlignment="1" pivotButton="0" quotePrefix="0" xfId="0">
      <alignment horizontal="left" vertical="center" wrapText="1"/>
    </xf>
    <xf numFmtId="0" fontId="7" fillId="0" borderId="33" applyAlignment="1" pivotButton="0" quotePrefix="0" xfId="0">
      <alignment horizontal="left" vertical="center"/>
    </xf>
    <xf numFmtId="0" fontId="7" fillId="2" borderId="33" applyAlignment="1" pivotButton="0" quotePrefix="0" xfId="0">
      <alignment horizontal="left" vertical="center" wrapText="1"/>
    </xf>
    <xf numFmtId="0" fontId="7" fillId="2" borderId="42" applyAlignment="1" pivotButton="0" quotePrefix="0" xfId="0">
      <alignment horizontal="left" vertical="center" wrapText="1"/>
    </xf>
    <xf numFmtId="169" fontId="7" fillId="2" borderId="33" applyAlignment="1" pivotButton="0" quotePrefix="0" xfId="0">
      <alignment horizontal="center" vertical="center"/>
    </xf>
    <xf numFmtId="43" fontId="7" fillId="0" borderId="33" applyAlignment="1" pivotButton="0" quotePrefix="0" xfId="9">
      <alignment vertical="center" shrinkToFit="1"/>
    </xf>
    <xf numFmtId="10" fontId="7" fillId="0" borderId="33" applyAlignment="1" pivotButton="0" quotePrefix="0" xfId="14">
      <alignment vertical="center" shrinkToFit="1"/>
    </xf>
    <xf numFmtId="0" fontId="7" fillId="2" borderId="33" applyAlignment="1" pivotButton="0" quotePrefix="0" xfId="0">
      <alignment vertical="center"/>
    </xf>
    <xf numFmtId="0" fontId="7" fillId="2" borderId="12" applyAlignment="1" pivotButton="0" quotePrefix="0" xfId="0">
      <alignment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7" fillId="0" borderId="33" applyAlignment="1" pivotButton="0" quotePrefix="0" xfId="0">
      <alignment horizontal="right" vertical="center"/>
    </xf>
    <xf numFmtId="170" fontId="12" fillId="0" borderId="33" applyAlignment="1" pivotButton="0" quotePrefix="0" xfId="0">
      <alignment horizontal="right" vertical="center"/>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1" fillId="0" borderId="0" applyAlignment="1" applyProtection="1" pivotButton="0" quotePrefix="0" xfId="448">
      <alignment vertical="center" shrinkToFit="1"/>
      <protection locked="0" hidden="0"/>
    </xf>
    <xf numFmtId="43" fontId="11"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7" fillId="0" borderId="0" applyAlignment="1" pivotButton="0" quotePrefix="0" xfId="1783">
      <alignment vertical="center"/>
    </xf>
    <xf numFmtId="0" fontId="7" fillId="0" borderId="0" applyAlignment="1" pivotButton="0" quotePrefix="0" xfId="1782">
      <alignment vertical="center"/>
    </xf>
    <xf numFmtId="170" fontId="11" fillId="0" borderId="0" applyAlignment="1" pivotButton="0" quotePrefix="0" xfId="0">
      <alignment horizontal="right" vertical="center"/>
    </xf>
    <xf numFmtId="0" fontId="11" fillId="0" borderId="33" applyAlignment="1" applyProtection="1" pivotButton="0" quotePrefix="0" xfId="1800">
      <alignment horizontal="left" vertical="center"/>
      <protection locked="0" hidden="0"/>
    </xf>
    <xf numFmtId="0" fontId="7"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protection locked="0" hidden="0"/>
    </xf>
    <xf numFmtId="0" fontId="11" fillId="0" borderId="33" applyAlignment="1" applyProtection="1" pivotButton="0" quotePrefix="0" xfId="1798">
      <alignment horizontal="left" vertical="center" wrapText="1"/>
      <protection locked="0" hidden="0"/>
    </xf>
    <xf numFmtId="0" fontId="11" fillId="0" borderId="33" applyAlignment="1" applyProtection="1" pivotButton="0" quotePrefix="0" xfId="1799">
      <alignment horizontal="left" vertical="center"/>
      <protection locked="0" hidden="0"/>
    </xf>
    <xf numFmtId="0" fontId="11" fillId="0" borderId="33" applyAlignment="1" applyProtection="1" pivotButton="0" quotePrefix="0" xfId="1801">
      <alignment horizontal="left" vertical="center"/>
      <protection locked="0" hidden="0"/>
    </xf>
    <xf numFmtId="0" fontId="11" fillId="0" borderId="33" applyAlignment="1" applyProtection="1" pivotButton="0" quotePrefix="0" xfId="1790">
      <alignment horizontal="left" vertical="center"/>
      <protection locked="0" hidden="0"/>
    </xf>
    <xf numFmtId="14" fontId="11" fillId="0" borderId="33" applyAlignment="1" applyProtection="1" pivotButton="0" quotePrefix="0" xfId="1789">
      <alignment horizontal="right" vertical="center" wrapText="1"/>
      <protection locked="0" hidden="0"/>
    </xf>
    <xf numFmtId="14" fontId="11" fillId="0" borderId="33" applyAlignment="1" applyProtection="1" pivotButton="0" quotePrefix="0" xfId="1789">
      <alignment horizontal="right" vertical="center"/>
      <protection locked="0" hidden="0"/>
    </xf>
    <xf numFmtId="10" fontId="11" fillId="0" borderId="33" applyAlignment="1" applyProtection="1" pivotButton="0" quotePrefix="0" xfId="1800">
      <alignment horizontal="right" vertical="center"/>
      <protection locked="0" hidden="0"/>
    </xf>
    <xf numFmtId="0" fontId="169" fillId="0" borderId="0" pivotButton="0" quotePrefix="0" xfId="0"/>
    <xf numFmtId="0" fontId="8" fillId="58" borderId="2" applyAlignment="1" pivotButton="0" quotePrefix="0" xfId="1787">
      <alignment horizontal="centerContinuous" vertical="center"/>
    </xf>
    <xf numFmtId="0" fontId="11" fillId="0" borderId="33" applyAlignment="1" applyProtection="1" pivotButton="0" quotePrefix="0" xfId="1797">
      <alignment horizontal="left" vertical="center"/>
      <protection locked="0" hidden="0"/>
    </xf>
    <xf numFmtId="0" fontId="7" fillId="0" borderId="33" applyAlignment="1" applyProtection="1" pivotButton="0" quotePrefix="0" xfId="1800">
      <alignment horizontal="left" vertical="center"/>
      <protection locked="0" hidden="0"/>
    </xf>
    <xf numFmtId="0" fontId="8" fillId="58" borderId="33" applyAlignment="1" pivotButton="0" quotePrefix="0" xfId="1787">
      <alignment horizontal="centerContinuous" vertical="center"/>
    </xf>
    <xf numFmtId="0" fontId="11" fillId="0" borderId="33" applyAlignment="1" applyProtection="1" pivotButton="0" quotePrefix="0" xfId="1789">
      <alignment horizontal="left" vertical="center"/>
      <protection locked="0" hidden="0"/>
    </xf>
    <xf numFmtId="14" fontId="11" fillId="0" borderId="33" applyAlignment="1" applyProtection="1" pivotButton="0" quotePrefix="0" xfId="439">
      <alignment horizontal="left" vertical="center" shrinkToFit="1"/>
      <protection locked="0" hidden="0"/>
    </xf>
    <xf numFmtId="14" fontId="7" fillId="0" borderId="10" applyAlignment="1" pivotButton="0" quotePrefix="0" xfId="0">
      <alignment horizontal="left" vertical="center"/>
    </xf>
    <xf numFmtId="0" fontId="99" fillId="0" borderId="33" applyAlignment="1" pivotButton="0" quotePrefix="0" xfId="219">
      <alignment horizontal="center" vertical="center" shrinkToFit="1"/>
    </xf>
    <xf numFmtId="0" fontId="83" fillId="44" borderId="0" pivotButton="0" quotePrefix="0" xfId="3730"/>
    <xf numFmtId="0" fontId="170" fillId="0" borderId="0" pivotButton="0" quotePrefix="0" xfId="0"/>
    <xf numFmtId="0" fontId="82" fillId="2" borderId="0" applyAlignment="1" pivotButton="0" quotePrefix="0" xfId="446">
      <alignment vertical="center"/>
    </xf>
    <xf numFmtId="0" fontId="97" fillId="55" borderId="0" applyAlignment="1" applyProtection="1" pivotButton="0" quotePrefix="0" xfId="1787">
      <alignment vertical="center"/>
      <protection locked="0" hidden="0"/>
    </xf>
    <xf numFmtId="0" fontId="15" fillId="0" borderId="33" applyAlignment="1" applyProtection="1" pivotButton="0" quotePrefix="0" xfId="439">
      <alignment horizontal="center" vertical="center" wrapText="1"/>
      <protection locked="0" hidden="0"/>
    </xf>
    <xf numFmtId="0" fontId="15" fillId="0" borderId="44" applyAlignment="1" applyProtection="1" pivotButton="0" quotePrefix="0" xfId="439">
      <alignment horizontal="center" vertical="center" wrapText="1"/>
      <protection locked="0" hidden="0"/>
    </xf>
    <xf numFmtId="0" fontId="82" fillId="42" borderId="10" applyAlignment="1" pivotButton="0" quotePrefix="0" xfId="0">
      <alignment horizontal="center" vertical="center"/>
    </xf>
    <xf numFmtId="0" fontId="15" fillId="42" borderId="10" applyAlignment="1" pivotButton="0" quotePrefix="0" xfId="0">
      <alignment horizontal="center" vertical="center" wrapText="1"/>
    </xf>
    <xf numFmtId="0" fontId="97" fillId="0" borderId="0" applyAlignment="1" pivotButton="0" quotePrefix="0" xfId="446">
      <alignment horizontal="center" vertical="center"/>
    </xf>
    <xf numFmtId="0" fontId="97" fillId="0" borderId="33" applyAlignment="1" pivotButton="0" quotePrefix="0" xfId="0">
      <alignment horizontal="center" vertical="center"/>
    </xf>
    <xf numFmtId="0" fontId="97" fillId="3" borderId="12" applyAlignment="1" pivotButton="0" quotePrefix="0" xfId="0">
      <alignment horizontal="center" vertical="center" wrapText="1"/>
    </xf>
    <xf numFmtId="0" fontId="97" fillId="3" borderId="10" applyAlignment="1" pivotButton="0" quotePrefix="0" xfId="0">
      <alignment horizontal="center" vertical="center" wrapText="1"/>
    </xf>
    <xf numFmtId="0" fontId="16" fillId="2" borderId="0" applyAlignment="1" pivotButton="0" quotePrefix="1" xfId="3760">
      <alignment horizontal="center" vertical="center"/>
    </xf>
    <xf numFmtId="0" fontId="7" fillId="0" borderId="0" applyAlignment="1" pivotButton="0" quotePrefix="0" xfId="868">
      <alignment horizontal="center" vertical="center"/>
    </xf>
    <xf numFmtId="17" fontId="7" fillId="2" borderId="0" applyAlignment="1" pivotButton="0" quotePrefix="0" xfId="868">
      <alignment horizontal="center" vertical="center"/>
    </xf>
    <xf numFmtId="0" fontId="171" fillId="2" borderId="0" applyAlignment="1" pivotButton="0" quotePrefix="0" xfId="868">
      <alignment horizontal="center" vertical="center"/>
    </xf>
    <xf numFmtId="0" fontId="172" fillId="0" borderId="0" applyAlignment="1" pivotButton="0" quotePrefix="0" xfId="3760">
      <alignment horizontal="left" vertical="center"/>
    </xf>
    <xf numFmtId="0" fontId="11" fillId="0" borderId="33" applyAlignment="1" applyProtection="1" pivotButton="0" quotePrefix="0" xfId="34">
      <alignment horizontal="left" vertical="center" wrapText="1"/>
      <protection locked="0" hidden="0"/>
    </xf>
    <xf numFmtId="0" fontId="7" fillId="0" borderId="33" applyAlignment="1" pivotButton="0" quotePrefix="0" xfId="868">
      <alignment horizontal="left" vertical="center"/>
    </xf>
    <xf numFmtId="0" fontId="15" fillId="42" borderId="33" applyAlignment="1" pivotButton="0" quotePrefix="0" xfId="0">
      <alignment horizontal="center" vertical="center"/>
    </xf>
    <xf numFmtId="0" fontId="15" fillId="42" borderId="12" applyAlignment="1" pivotButton="0" quotePrefix="0" xfId="0">
      <alignment horizontal="center" vertical="center"/>
    </xf>
    <xf numFmtId="0" fontId="10" fillId="2" borderId="44" applyAlignment="1" pivotButton="0" quotePrefix="0" xfId="1787">
      <alignment horizontal="center" vertical="center"/>
    </xf>
    <xf numFmtId="0" fontId="10" fillId="2" borderId="44" applyAlignment="1" pivotButton="0" quotePrefix="0" xfId="1787">
      <alignment horizontal="center" vertical="center" wrapText="1"/>
    </xf>
    <xf numFmtId="0" fontId="56" fillId="56" borderId="2" applyAlignment="1" applyProtection="1" pivotButton="0" quotePrefix="0" xfId="1788">
      <alignment horizontal="right" vertical="center"/>
      <protection locked="0" hidden="0"/>
    </xf>
    <xf numFmtId="14" fontId="56" fillId="56" borderId="4" applyAlignment="1" applyProtection="1" pivotButton="0" quotePrefix="0" xfId="1788">
      <alignment horizontal="right" vertical="center"/>
      <protection locked="0" hidden="0"/>
    </xf>
    <xf numFmtId="0" fontId="56" fillId="56" borderId="4" applyAlignment="1" applyProtection="1" pivotButton="0" quotePrefix="0" xfId="17">
      <alignment horizontal="right" vertical="center"/>
      <protection locked="0" hidden="0"/>
    </xf>
    <xf numFmtId="0" fontId="56" fillId="56" borderId="31" applyAlignment="1" applyProtection="1" pivotButton="0" quotePrefix="0" xfId="1788">
      <alignment horizontal="right" vertical="center"/>
      <protection locked="0" hidden="0"/>
    </xf>
    <xf numFmtId="0" fontId="11" fillId="0" borderId="0" applyAlignment="1" applyProtection="1" pivotButton="0" quotePrefix="0" xfId="1789">
      <alignment horizontal="left" vertical="center"/>
      <protection locked="0" hidden="0"/>
    </xf>
    <xf numFmtId="0" fontId="11" fillId="0" borderId="0" applyAlignment="1" applyProtection="1" pivotButton="0" quotePrefix="0" xfId="849">
      <alignment horizontal="left" vertical="center"/>
      <protection locked="0" hidden="0"/>
    </xf>
    <xf numFmtId="0" fontId="11" fillId="0" borderId="48" applyAlignment="1" applyProtection="1" pivotButton="0" quotePrefix="0" xfId="849">
      <alignment horizontal="left" vertical="center"/>
      <protection locked="0" hidden="0"/>
    </xf>
    <xf numFmtId="0" fontId="11" fillId="0" borderId="49" applyAlignment="1" applyProtection="1" pivotButton="0" quotePrefix="0" xfId="849">
      <alignment horizontal="left" vertical="center"/>
      <protection locked="0" hidden="0"/>
    </xf>
    <xf numFmtId="0" fontId="11" fillId="0" borderId="51" applyAlignment="1" applyProtection="1" pivotButton="0" quotePrefix="0" xfId="849">
      <alignment horizontal="left" vertical="center"/>
      <protection locked="0" hidden="0"/>
    </xf>
    <xf numFmtId="0" fontId="11" fillId="0" borderId="40" applyAlignment="1" pivotButton="0" quotePrefix="0" xfId="0">
      <alignment horizontal="left" vertical="center"/>
    </xf>
    <xf numFmtId="0" fontId="11" fillId="0" borderId="58" applyAlignment="1" pivotButton="0" quotePrefix="0" xfId="0">
      <alignment horizontal="left" vertical="center"/>
    </xf>
    <xf numFmtId="0" fontId="11" fillId="0" borderId="56" applyAlignment="1" applyProtection="1" pivotButton="0" quotePrefix="0" xfId="849">
      <alignment horizontal="left" vertical="center"/>
      <protection locked="0" hidden="0"/>
    </xf>
    <xf numFmtId="0" fontId="11" fillId="0" borderId="57" applyAlignment="1" pivotButton="0" quotePrefix="0" xfId="0">
      <alignment horizontal="left" vertical="center"/>
    </xf>
    <xf numFmtId="0" fontId="11" fillId="0" borderId="59" applyAlignment="1" applyProtection="1" pivotButton="0" quotePrefix="0" xfId="849">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43" fontId="7" fillId="0" borderId="0" applyAlignment="1" applyProtection="1" pivotButton="0" quotePrefix="0" xfId="1789">
      <alignment vertical="center"/>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11" fillId="0" borderId="33" applyAlignment="1" applyProtection="1" pivotButton="0" quotePrefix="0" xfId="1800">
      <alignment horizontal="left" vertical="center" wrapText="1"/>
      <protection locked="0" hidden="0"/>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0" fontId="130" fillId="0" borderId="0" applyAlignment="1" pivotButton="0" quotePrefix="0" xfId="0">
      <alignment horizontal="left" vertical="center" wrapText="1"/>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0" fontId="100" fillId="0" borderId="0" applyAlignment="1" applyProtection="1" pivotButton="0" quotePrefix="0" xfId="1787">
      <alignment horizontal="left" vertical="top" wrapText="1"/>
      <protection locked="0" hidden="0"/>
    </xf>
    <xf numFmtId="0" fontId="173" fillId="2" borderId="0" applyAlignment="1" pivotButton="0" quotePrefix="0" xfId="868">
      <alignment horizontal="left" vertical="center"/>
    </xf>
    <xf numFmtId="0" fontId="56" fillId="57" borderId="56" applyAlignment="1" pivotButton="0" quotePrefix="0" xfId="0">
      <alignment vertical="center"/>
    </xf>
    <xf numFmtId="17" fontId="82" fillId="43" borderId="33" applyAlignment="1" applyProtection="1" pivotButton="0" quotePrefix="0" xfId="239">
      <alignment horizontal="left" vertical="center" wrapText="1"/>
      <protection locked="0" hidden="0"/>
    </xf>
    <xf numFmtId="17" fontId="15" fillId="43" borderId="33" applyAlignment="1" applyProtection="1" pivotButton="0" quotePrefix="0" xfId="239">
      <alignment horizontal="left" vertical="center" wrapText="1"/>
      <protection locked="0" hidden="0"/>
    </xf>
    <xf numFmtId="49" fontId="10" fillId="0" borderId="33" applyAlignment="1" pivotButton="0" quotePrefix="0" xfId="868">
      <alignment horizontal="left" vertical="center" wrapText="1"/>
    </xf>
    <xf numFmtId="49" fontId="7" fillId="0" borderId="33" applyAlignment="1" pivotButton="0" quotePrefix="0" xfId="868">
      <alignment horizontal="left" vertical="center" wrapText="1"/>
    </xf>
    <xf numFmtId="49" fontId="11" fillId="0" borderId="33" applyAlignment="1" pivotButton="0" quotePrefix="0" xfId="249">
      <alignment horizontal="left" vertical="center" wrapText="1"/>
    </xf>
    <xf numFmtId="0" fontId="10" fillId="0" borderId="33" applyAlignment="1" pivotButton="0" quotePrefix="0" xfId="868">
      <alignment horizontal="left" vertical="center" wrapText="1"/>
    </xf>
    <xf numFmtId="0" fontId="7" fillId="0" borderId="33" applyAlignment="1" pivotButton="0" quotePrefix="0" xfId="868">
      <alignment horizontal="left" vertical="center" wrapText="1"/>
    </xf>
    <xf numFmtId="0" fontId="124" fillId="56" borderId="54" applyAlignment="1" pivotButton="0" quotePrefix="0" xfId="1787">
      <alignment horizontal="left" vertical="center" wrapText="1"/>
    </xf>
    <xf numFmtId="0" fontId="124" fillId="56" borderId="3" applyAlignment="1" pivotButton="0" quotePrefix="0" xfId="1787">
      <alignment horizontal="left" vertical="center" wrapText="1"/>
    </xf>
    <xf numFmtId="0" fontId="124" fillId="56" borderId="55" applyAlignment="1" pivotButton="0" quotePrefix="0" xfId="1787">
      <alignment horizontal="left" vertical="center" wrapText="1"/>
    </xf>
    <xf numFmtId="0" fontId="124" fillId="56" borderId="56" applyAlignment="1" pivotButton="0" quotePrefix="0" xfId="1787">
      <alignment horizontal="left" vertical="center" wrapText="1"/>
    </xf>
    <xf numFmtId="0" fontId="124" fillId="56" borderId="0" applyAlignment="1" pivotButton="0" quotePrefix="0" xfId="1787">
      <alignment horizontal="left" vertical="center" wrapText="1"/>
    </xf>
    <xf numFmtId="0" fontId="124" fillId="56" borderId="57" applyAlignment="1" pivotButton="0" quotePrefix="0" xfId="1787">
      <alignment horizontal="left" vertical="center" wrapText="1"/>
    </xf>
    <xf numFmtId="0" fontId="124" fillId="56" borderId="59" applyAlignment="1" pivotButton="0" quotePrefix="0" xfId="1787">
      <alignment horizontal="left" vertical="center" wrapText="1"/>
    </xf>
    <xf numFmtId="0" fontId="124" fillId="56" borderId="48" applyAlignment="1" pivotButton="0" quotePrefix="0" xfId="1787">
      <alignment horizontal="left" vertical="center" wrapText="1"/>
    </xf>
    <xf numFmtId="0" fontId="124" fillId="56" borderId="49" applyAlignment="1" pivotButton="0" quotePrefix="0" xfId="1787">
      <alignment horizontal="left" vertical="center" wrapText="1"/>
    </xf>
    <xf numFmtId="0" fontId="11" fillId="0" borderId="33" applyAlignment="1" applyProtection="1" pivotButton="0" quotePrefix="0" xfId="1787">
      <alignment horizontal="left" vertical="center" wrapText="1"/>
      <protection locked="0" hidden="0"/>
    </xf>
    <xf numFmtId="0" fontId="130" fillId="60" borderId="2" applyAlignment="1" pivotButton="0" quotePrefix="0" xfId="0">
      <alignment horizontal="left" vertical="center" wrapText="1"/>
    </xf>
    <xf numFmtId="0" fontId="130" fillId="60" borderId="3" applyAlignment="1" pivotButton="0" quotePrefix="0" xfId="0">
      <alignment horizontal="left" vertical="center" wrapText="1"/>
    </xf>
    <xf numFmtId="0" fontId="130" fillId="60" borderId="7" applyAlignment="1" pivotButton="0" quotePrefix="0" xfId="0">
      <alignment horizontal="left" vertical="center" wrapText="1"/>
    </xf>
    <xf numFmtId="0" fontId="130" fillId="60" borderId="4" applyAlignment="1" pivotButton="0" quotePrefix="0" xfId="0">
      <alignment horizontal="left" vertical="center" wrapText="1"/>
    </xf>
    <xf numFmtId="0" fontId="130" fillId="60" borderId="0" applyAlignment="1" pivotButton="0" quotePrefix="0" xfId="0">
      <alignment horizontal="left" vertical="center" wrapText="1"/>
    </xf>
    <xf numFmtId="0" fontId="130" fillId="60" borderId="32" applyAlignment="1" pivotButton="0" quotePrefix="0" xfId="0">
      <alignment horizontal="left" vertical="center" wrapText="1"/>
    </xf>
    <xf numFmtId="0" fontId="130" fillId="60" borderId="31" applyAlignment="1" pivotButton="0" quotePrefix="0" xfId="0">
      <alignment horizontal="left" vertical="center" wrapText="1"/>
    </xf>
    <xf numFmtId="0" fontId="130" fillId="60" borderId="1" applyAlignment="1" pivotButton="0" quotePrefix="0" xfId="0">
      <alignment horizontal="left" vertical="center" wrapText="1"/>
    </xf>
    <xf numFmtId="0" fontId="130" fillId="60" borderId="8" applyAlignment="1" pivotButton="0" quotePrefix="0" xfId="0">
      <alignment horizontal="left" vertical="center" wrapText="1"/>
    </xf>
    <xf numFmtId="0" fontId="130" fillId="0" borderId="3" applyAlignment="1" pivotButton="0" quotePrefix="0" xfId="0">
      <alignment horizontal="left" vertical="center" wrapText="1"/>
    </xf>
    <xf numFmtId="0" fontId="130" fillId="0" borderId="0" applyAlignment="1" pivotButton="0" quotePrefix="0" xfId="0">
      <alignment horizontal="left" vertical="center" wrapText="1"/>
    </xf>
    <xf numFmtId="0" fontId="15" fillId="58" borderId="44" applyAlignment="1" pivotButton="0" quotePrefix="0" xfId="0">
      <alignment horizontal="center" vertical="center"/>
    </xf>
    <xf numFmtId="0" fontId="15" fillId="58" borderId="11" applyAlignment="1" pivotButton="0" quotePrefix="0" xfId="0">
      <alignment horizontal="center" vertical="center"/>
    </xf>
    <xf numFmtId="0" fontId="15" fillId="58" borderId="42" applyAlignment="1" pivotButton="0" quotePrefix="0" xfId="0">
      <alignment horizontal="center" vertical="center"/>
    </xf>
    <xf numFmtId="0" fontId="82" fillId="61" borderId="2" applyAlignment="1" pivotButton="0" quotePrefix="0" xfId="0">
      <alignment horizontal="center" vertical="center"/>
    </xf>
    <xf numFmtId="0" fontId="82" fillId="61" borderId="3" applyAlignment="1" pivotButton="0" quotePrefix="0" xfId="0">
      <alignment horizontal="center" vertical="center"/>
    </xf>
    <xf numFmtId="0" fontId="82" fillId="61" borderId="7" applyAlignment="1" pivotButton="0" quotePrefix="0" xfId="0">
      <alignment horizontal="center" vertical="center"/>
    </xf>
    <xf numFmtId="14" fontId="15" fillId="61" borderId="60" applyAlignment="1" pivotButton="0" quotePrefix="0" xfId="0">
      <alignment horizontal="center" vertical="center"/>
    </xf>
    <xf numFmtId="14" fontId="15" fillId="61" borderId="11" applyAlignment="1" pivotButton="0" quotePrefix="0" xfId="0">
      <alignment horizontal="center" vertical="center"/>
    </xf>
    <xf numFmtId="14" fontId="15" fillId="61" borderId="42" applyAlignment="1" pivotButton="0" quotePrefix="0" xfId="0">
      <alignment horizontal="center" vertical="center"/>
    </xf>
    <xf numFmtId="0" fontId="15" fillId="61" borderId="44" applyAlignment="1" pivotButton="0" quotePrefix="0" xfId="0">
      <alignment horizontal="center" vertical="center"/>
    </xf>
    <xf numFmtId="0" fontId="15" fillId="61" borderId="47" applyAlignment="1" pivotButton="0" quotePrefix="0" xfId="0">
      <alignment horizontal="center" vertical="center"/>
    </xf>
    <xf numFmtId="0" fontId="82" fillId="61" borderId="65" applyAlignment="1" pivotButton="0" quotePrefix="0" xfId="0">
      <alignment horizontal="center" vertical="center" wrapText="1"/>
    </xf>
    <xf numFmtId="0" fontId="82" fillId="61" borderId="68" applyAlignment="1" pivotButton="0" quotePrefix="0" xfId="0">
      <alignment horizontal="center" vertical="center" wrapText="1"/>
    </xf>
    <xf numFmtId="0" fontId="82" fillId="61" borderId="66" applyAlignment="1" pivotButton="0" quotePrefix="0" xfId="0">
      <alignment horizontal="center" vertical="center" wrapText="1"/>
    </xf>
    <xf numFmtId="0" fontId="82" fillId="61" borderId="69" applyAlignment="1" pivotButton="0" quotePrefix="0" xfId="0">
      <alignment horizontal="center" vertical="center" wrapText="1"/>
    </xf>
    <xf numFmtId="0" fontId="139" fillId="53" borderId="4" applyAlignment="1" pivotButton="0" quotePrefix="0" xfId="0">
      <alignment horizontal="center" vertical="center"/>
    </xf>
    <xf numFmtId="0" fontId="139" fillId="53" borderId="0" applyAlignment="1" pivotButton="0" quotePrefix="0" xfId="0">
      <alignment horizontal="center" vertical="center"/>
    </xf>
    <xf numFmtId="0" fontId="139" fillId="53" borderId="32" applyAlignment="1" pivotButton="0" quotePrefix="0" xfId="0">
      <alignment horizontal="center" vertical="center"/>
    </xf>
    <xf numFmtId="0" fontId="100" fillId="0" borderId="2" applyAlignment="1" applyProtection="1" pivotButton="0" quotePrefix="0" xfId="1787">
      <alignment horizontal="left" vertical="center" wrapText="1"/>
      <protection locked="0" hidden="0"/>
    </xf>
    <xf numFmtId="0" fontId="100" fillId="0" borderId="3" applyAlignment="1" applyProtection="1" pivotButton="0" quotePrefix="0" xfId="1787">
      <alignment horizontal="left" vertical="center" wrapText="1"/>
      <protection locked="0" hidden="0"/>
    </xf>
    <xf numFmtId="0" fontId="100" fillId="0" borderId="7" applyAlignment="1" applyProtection="1" pivotButton="0" quotePrefix="0" xfId="1787">
      <alignment horizontal="left" vertical="center" wrapText="1"/>
      <protection locked="0" hidden="0"/>
    </xf>
    <xf numFmtId="0" fontId="100" fillId="0" borderId="4" applyAlignment="1" applyProtection="1" pivotButton="0" quotePrefix="0" xfId="1787">
      <alignment horizontal="left" vertical="center" wrapText="1"/>
      <protection locked="0" hidden="0"/>
    </xf>
    <xf numFmtId="0" fontId="100" fillId="0" borderId="0" applyAlignment="1" applyProtection="1" pivotButton="0" quotePrefix="0" xfId="1787">
      <alignment horizontal="left" vertical="center" wrapText="1"/>
      <protection locked="0" hidden="0"/>
    </xf>
    <xf numFmtId="0" fontId="100" fillId="0" borderId="32" applyAlignment="1" applyProtection="1" pivotButton="0" quotePrefix="0" xfId="1787">
      <alignment horizontal="left" vertical="center" wrapText="1"/>
      <protection locked="0" hidden="0"/>
    </xf>
    <xf numFmtId="0" fontId="100" fillId="0" borderId="31" applyAlignment="1" applyProtection="1" pivotButton="0" quotePrefix="0" xfId="1787">
      <alignment horizontal="left" vertical="center" wrapText="1"/>
      <protection locked="0" hidden="0"/>
    </xf>
    <xf numFmtId="0" fontId="100" fillId="0" borderId="1" applyAlignment="1" applyProtection="1" pivotButton="0" quotePrefix="0" xfId="1787">
      <alignment horizontal="left" vertical="center" wrapText="1"/>
      <protection locked="0" hidden="0"/>
    </xf>
    <xf numFmtId="0" fontId="100" fillId="0" borderId="8" applyAlignment="1" applyProtection="1" pivotButton="0" quotePrefix="0" xfId="1787">
      <alignment horizontal="left" vertical="center" wrapText="1"/>
      <protection locked="0" hidden="0"/>
    </xf>
    <xf numFmtId="0" fontId="100" fillId="0" borderId="2" applyAlignment="1" applyProtection="1" pivotButton="0" quotePrefix="0" xfId="233">
      <alignment horizontal="left" vertical="center" wrapText="1"/>
      <protection locked="0" hidden="0"/>
    </xf>
    <xf numFmtId="0" fontId="100" fillId="0" borderId="3" applyAlignment="1" applyProtection="1" pivotButton="0" quotePrefix="0" xfId="233">
      <alignment horizontal="left" vertical="center" wrapText="1"/>
      <protection locked="0" hidden="0"/>
    </xf>
    <xf numFmtId="0" fontId="100" fillId="0" borderId="7" applyAlignment="1" applyProtection="1" pivotButton="0" quotePrefix="0" xfId="233">
      <alignment horizontal="left" vertical="center" wrapText="1"/>
      <protection locked="0" hidden="0"/>
    </xf>
    <xf numFmtId="0" fontId="100" fillId="0" borderId="4" applyAlignment="1" applyProtection="1" pivotButton="0" quotePrefix="0" xfId="233">
      <alignment horizontal="left" vertical="center" wrapText="1"/>
      <protection locked="0" hidden="0"/>
    </xf>
    <xf numFmtId="0" fontId="100" fillId="0" borderId="0" applyAlignment="1" applyProtection="1" pivotButton="0" quotePrefix="0" xfId="233">
      <alignment horizontal="left" vertical="center" wrapText="1"/>
      <protection locked="0" hidden="0"/>
    </xf>
    <xf numFmtId="0" fontId="100" fillId="0" borderId="32" applyAlignment="1" applyProtection="1" pivotButton="0" quotePrefix="0" xfId="233">
      <alignment horizontal="left" vertical="center" wrapText="1"/>
      <protection locked="0" hidden="0"/>
    </xf>
    <xf numFmtId="0" fontId="100" fillId="0" borderId="31" applyAlignment="1" applyProtection="1" pivotButton="0" quotePrefix="0" xfId="233">
      <alignment horizontal="left" vertical="center" wrapText="1"/>
      <protection locked="0" hidden="0"/>
    </xf>
    <xf numFmtId="0" fontId="100" fillId="0" borderId="1" applyAlignment="1" applyProtection="1" pivotButton="0" quotePrefix="0" xfId="233">
      <alignment horizontal="left" vertical="center" wrapText="1"/>
      <protection locked="0" hidden="0"/>
    </xf>
    <xf numFmtId="0" fontId="100" fillId="0" borderId="8" applyAlignment="1" applyProtection="1" pivotButton="0" quotePrefix="0" xfId="233">
      <alignment horizontal="left" vertical="center" wrapText="1"/>
      <protection locked="0" hidden="0"/>
    </xf>
    <xf numFmtId="0" fontId="8" fillId="0" borderId="12" applyAlignment="1" pivotButton="0" quotePrefix="0" xfId="0">
      <alignment horizontal="center" vertical="center"/>
    </xf>
    <xf numFmtId="0" fontId="8" fillId="0" borderId="10" applyAlignment="1" pivotButton="0" quotePrefix="0" xfId="0">
      <alignment horizontal="center" vertical="center"/>
    </xf>
    <xf numFmtId="0" fontId="97" fillId="0" borderId="12" applyAlignment="1" pivotButton="0" quotePrefix="0" xfId="0">
      <alignment horizontal="center" vertical="center"/>
    </xf>
    <xf numFmtId="0" fontId="97" fillId="0" borderId="19" applyAlignment="1" pivotButton="0" quotePrefix="0" xfId="0">
      <alignment horizontal="center" vertical="center"/>
    </xf>
    <xf numFmtId="0" fontId="97" fillId="0" borderId="10" applyAlignment="1" pivotButton="0" quotePrefix="0" xfId="0">
      <alignment horizontal="center" vertical="center"/>
    </xf>
    <xf numFmtId="0" fontId="97" fillId="2" borderId="12" applyAlignment="1" pivotButton="0" quotePrefix="0" xfId="0">
      <alignment horizontal="center" vertical="center"/>
    </xf>
    <xf numFmtId="0" fontId="97" fillId="2" borderId="10" applyAlignment="1" pivotButton="0" quotePrefix="0" xfId="0">
      <alignment horizontal="center" vertical="center"/>
    </xf>
    <xf numFmtId="0" fontId="97" fillId="2" borderId="19" applyAlignment="1" pivotButton="0" quotePrefix="0" xfId="0">
      <alignment horizontal="center" vertical="center"/>
    </xf>
    <xf numFmtId="49" fontId="157" fillId="44" borderId="0" applyAlignment="1" pivotButton="0" quotePrefix="0" xfId="439">
      <alignment horizontal="left" vertical="top" wrapText="1"/>
    </xf>
    <xf numFmtId="49" fontId="111" fillId="0" borderId="0" applyAlignment="1" pivotButton="0" quotePrefix="0" xfId="439">
      <alignment horizontal="left" vertical="top" wrapText="1"/>
    </xf>
    <xf numFmtId="0" fontId="100" fillId="0" borderId="2" applyAlignment="1" applyProtection="1" pivotButton="0" quotePrefix="0" xfId="1787">
      <alignment horizontal="left" vertical="top" wrapText="1"/>
      <protection locked="0" hidden="0"/>
    </xf>
    <xf numFmtId="0" fontId="100" fillId="0" borderId="3" applyAlignment="1" applyProtection="1" pivotButton="0" quotePrefix="0" xfId="1787">
      <alignment horizontal="left" vertical="top" wrapText="1"/>
      <protection locked="0" hidden="0"/>
    </xf>
    <xf numFmtId="0" fontId="100" fillId="0" borderId="7" applyAlignment="1" applyProtection="1" pivotButton="0" quotePrefix="0" xfId="1787">
      <alignment horizontal="left" vertical="top" wrapText="1"/>
      <protection locked="0" hidden="0"/>
    </xf>
    <xf numFmtId="0" fontId="100" fillId="0" borderId="4" applyAlignment="1" applyProtection="1" pivotButton="0" quotePrefix="0" xfId="1787">
      <alignment horizontal="left" vertical="top" wrapText="1"/>
      <protection locked="0" hidden="0"/>
    </xf>
    <xf numFmtId="0" fontId="100" fillId="0" borderId="0" applyAlignment="1" applyProtection="1" pivotButton="0" quotePrefix="0" xfId="1787">
      <alignment horizontal="left" vertical="top" wrapText="1"/>
      <protection locked="0" hidden="0"/>
    </xf>
    <xf numFmtId="0" fontId="100" fillId="0" borderId="32" applyAlignment="1" applyProtection="1" pivotButton="0" quotePrefix="0" xfId="1787">
      <alignment horizontal="left" vertical="top" wrapText="1"/>
      <protection locked="0" hidden="0"/>
    </xf>
    <xf numFmtId="0" fontId="100" fillId="0" borderId="31" applyAlignment="1" applyProtection="1" pivotButton="0" quotePrefix="0" xfId="1787">
      <alignment horizontal="left" vertical="top" wrapText="1"/>
      <protection locked="0" hidden="0"/>
    </xf>
    <xf numFmtId="0" fontId="100" fillId="0" borderId="1" applyAlignment="1" applyProtection="1" pivotButton="0" quotePrefix="0" xfId="1787">
      <alignment horizontal="left" vertical="top" wrapText="1"/>
      <protection locked="0" hidden="0"/>
    </xf>
    <xf numFmtId="0" fontId="100" fillId="0" borderId="8" applyAlignment="1" applyProtection="1" pivotButton="0" quotePrefix="0" xfId="1787">
      <alignment horizontal="left" vertical="top" wrapText="1"/>
      <protection locked="0" hidden="0"/>
    </xf>
    <xf numFmtId="49" fontId="111" fillId="0" borderId="0" applyAlignment="1" pivotButton="0" quotePrefix="0" xfId="439">
      <alignment horizontal="left" vertical="center" wrapText="1"/>
    </xf>
    <xf numFmtId="0" fontId="82" fillId="42" borderId="44" applyAlignment="1" pivotButton="0" quotePrefix="0" xfId="0">
      <alignment horizontal="center" vertical="center"/>
    </xf>
    <xf numFmtId="0" fontId="82" fillId="42" borderId="42" applyAlignment="1" pivotButton="0" quotePrefix="0" xfId="0">
      <alignment horizontal="center" vertical="center"/>
    </xf>
    <xf numFmtId="0" fontId="8" fillId="42" borderId="44" applyAlignment="1" pivotButton="0" quotePrefix="0" xfId="0">
      <alignment horizontal="center" vertical="center"/>
    </xf>
    <xf numFmtId="0" fontId="8" fillId="42" borderId="11" applyAlignment="1" pivotButton="0" quotePrefix="0" xfId="0">
      <alignment horizontal="center" vertical="center"/>
    </xf>
    <xf numFmtId="0" fontId="8" fillId="42" borderId="42" applyAlignment="1" pivotButton="0" quotePrefix="0" xfId="0">
      <alignment horizontal="center" vertical="center"/>
    </xf>
    <xf numFmtId="0" fontId="153" fillId="44" borderId="0" applyAlignment="1" pivotButton="0" quotePrefix="0" xfId="439">
      <alignment horizontal="left" vertical="center" wrapText="1"/>
    </xf>
    <xf numFmtId="0" fontId="97" fillId="3" borderId="12" applyAlignment="1" pivotButton="0" quotePrefix="0" xfId="0">
      <alignment horizontal="center" vertical="center"/>
    </xf>
    <xf numFmtId="0" fontId="97" fillId="3" borderId="10" applyAlignment="1" pivotButton="0" quotePrefix="0" xfId="0">
      <alignment horizontal="center" vertical="center"/>
    </xf>
    <xf numFmtId="0" fontId="0" fillId="0" borderId="72" applyProtection="1" pivotButton="0" quotePrefix="0" xfId="0">
      <protection locked="0" hidden="0"/>
    </xf>
    <xf numFmtId="0" fontId="0" fillId="0" borderId="73" applyProtection="1" pivotButton="0" quotePrefix="0" xfId="0">
      <protection locked="0" hidden="0"/>
    </xf>
    <xf numFmtId="0" fontId="0" fillId="0" borderId="72" pivotButton="0" quotePrefix="0" xfId="0"/>
    <xf numFmtId="0" fontId="0" fillId="0" borderId="73" pivotButton="0" quotePrefix="0" xfId="0"/>
    <xf numFmtId="0" fontId="124" fillId="56" borderId="74" applyAlignment="1" pivotButton="0" quotePrefix="0" xfId="1787">
      <alignment horizontal="left" vertical="center" wrapText="1"/>
    </xf>
    <xf numFmtId="0" fontId="0" fillId="0" borderId="3" pivotButton="0" quotePrefix="0" xfId="0"/>
    <xf numFmtId="0" fontId="0" fillId="0" borderId="55" pivotButton="0" quotePrefix="0" xfId="0"/>
    <xf numFmtId="201" fontId="56" fillId="56" borderId="4" applyAlignment="1" applyProtection="1" pivotButton="0" quotePrefix="0" xfId="1788">
      <alignment horizontal="right" vertical="center"/>
      <protection locked="0" hidden="0"/>
    </xf>
    <xf numFmtId="0" fontId="0" fillId="0" borderId="56" pivotButton="0" quotePrefix="0" xfId="0"/>
    <xf numFmtId="0" fontId="0" fillId="0" borderId="57" pivotButton="0" quotePrefix="0" xfId="0"/>
    <xf numFmtId="43" fontId="56" fillId="56" borderId="4" applyAlignment="1" applyProtection="1" pivotButton="0" quotePrefix="0" xfId="1789">
      <alignment horizontal="right" vertical="center" shrinkToFit="1"/>
      <protection locked="0" hidden="0"/>
    </xf>
    <xf numFmtId="0" fontId="0" fillId="0" borderId="59" pivotButton="0" quotePrefix="0" xfId="0"/>
    <xf numFmtId="0" fontId="0" fillId="0" borderId="48" pivotButton="0" quotePrefix="0" xfId="0"/>
    <xf numFmtId="0" fontId="0" fillId="0" borderId="49" pivotButton="0" quotePrefix="0" xfId="0"/>
    <xf numFmtId="165" fontId="7" fillId="2" borderId="0" applyAlignment="1" applyProtection="1" pivotButton="0" quotePrefix="0" xfId="1789">
      <alignment vertical="center"/>
      <protection locked="0" hidden="0"/>
    </xf>
    <xf numFmtId="0" fontId="15" fillId="58" borderId="79" applyAlignment="1" pivotButton="0" quotePrefix="0" xfId="0">
      <alignment horizontal="center" vertical="center"/>
    </xf>
    <xf numFmtId="0" fontId="0" fillId="0" borderId="81" pivotButton="0" quotePrefix="0" xfId="0"/>
    <xf numFmtId="0" fontId="0" fillId="0" borderId="82" pivotButton="0" quotePrefix="0" xfId="0"/>
    <xf numFmtId="43" fontId="10" fillId="2" borderId="33" applyAlignment="1" applyProtection="1" pivotButton="0" quotePrefix="0" xfId="1789">
      <alignment horizontal="right" vertical="center" shrinkToFit="1"/>
      <protection locked="0" hidden="0"/>
    </xf>
    <xf numFmtId="43" fontId="7" fillId="2" borderId="12" applyAlignment="1" applyProtection="1" pivotButton="0" quotePrefix="0" xfId="1789">
      <alignment horizontal="right" vertical="center" shrinkToFit="1"/>
      <protection locked="0" hidden="0"/>
    </xf>
    <xf numFmtId="43" fontId="7" fillId="2" borderId="19" applyAlignment="1" applyProtection="1" pivotButton="0" quotePrefix="0" xfId="1789">
      <alignment horizontal="right" vertical="center" shrinkToFit="1"/>
      <protection locked="0" hidden="0"/>
    </xf>
    <xf numFmtId="43" fontId="7" fillId="2" borderId="10" applyAlignment="1" applyProtection="1" pivotButton="0" quotePrefix="0" xfId="1789">
      <alignment horizontal="right" vertical="center" shrinkToFit="1"/>
      <protection locked="0" hidden="0"/>
    </xf>
    <xf numFmtId="0" fontId="0" fillId="0" borderId="70" applyProtection="1" pivotButton="0" quotePrefix="0" xfId="0">
      <protection locked="0" hidden="0"/>
    </xf>
    <xf numFmtId="0" fontId="0" fillId="0" borderId="71" applyProtection="1" pivotButton="0" quotePrefix="0" xfId="0">
      <protection locked="0" hidden="0"/>
    </xf>
    <xf numFmtId="0" fontId="0" fillId="0" borderId="75" applyProtection="1" pivotButton="0" quotePrefix="0" xfId="0">
      <protection locked="0" hidden="0"/>
    </xf>
    <xf numFmtId="0" fontId="0" fillId="0" borderId="0" applyProtection="1" pivotButton="0" quotePrefix="0" xfId="0">
      <protection locked="0" hidden="0"/>
    </xf>
    <xf numFmtId="0" fontId="0" fillId="0" borderId="32" applyProtection="1" pivotButton="0" quotePrefix="0" xfId="0">
      <protection locked="0" hidden="0"/>
    </xf>
    <xf numFmtId="0" fontId="0" fillId="0" borderId="76" applyProtection="1" pivotButton="0" quotePrefix="0" xfId="0">
      <protection locked="0" hidden="0"/>
    </xf>
    <xf numFmtId="0" fontId="0" fillId="0" borderId="1" applyProtection="1" pivotButton="0" quotePrefix="0" xfId="0">
      <protection locked="0" hidden="0"/>
    </xf>
    <xf numFmtId="0" fontId="0" fillId="0" borderId="77" applyProtection="1" pivotButton="0" quotePrefix="0" xfId="0">
      <protection locked="0" hidden="0"/>
    </xf>
    <xf numFmtId="165" fontId="11" fillId="0" borderId="0" applyAlignment="1" applyProtection="1" pivotButton="0" quotePrefix="0" xfId="1789">
      <alignment vertical="center" wrapText="1"/>
      <protection locked="0" hidden="0"/>
    </xf>
    <xf numFmtId="43" fontId="11" fillId="2" borderId="33" applyAlignment="1" pivotButton="0" quotePrefix="0" xfId="1789">
      <alignment horizontal="right" vertical="center" shrinkToFit="1"/>
    </xf>
    <xf numFmtId="0" fontId="82" fillId="61" borderId="12" applyAlignment="1" pivotButton="0" quotePrefix="0" xfId="0">
      <alignment horizontal="center" vertical="center"/>
    </xf>
    <xf numFmtId="0" fontId="0" fillId="0" borderId="7" pivotButton="0" quotePrefix="0" xfId="0"/>
    <xf numFmtId="14" fontId="15" fillId="61" borderId="83" applyAlignment="1" pivotButton="0" quotePrefix="0" xfId="0">
      <alignment horizontal="center" vertical="center"/>
    </xf>
    <xf numFmtId="201" fontId="15" fillId="61" borderId="33" applyAlignment="1" pivotButton="0" quotePrefix="0" xfId="0">
      <alignment horizontal="center" vertical="center"/>
    </xf>
    <xf numFmtId="0" fontId="15" fillId="61" borderId="84" applyAlignment="1" pivotButton="0" quotePrefix="0" xfId="0">
      <alignment horizontal="center" vertical="center"/>
    </xf>
    <xf numFmtId="0" fontId="0" fillId="0" borderId="86" pivotButton="0" quotePrefix="0" xfId="0"/>
    <xf numFmtId="0" fontId="82" fillId="61" borderId="87" applyAlignment="1" pivotButton="0" quotePrefix="0" xfId="0">
      <alignment horizontal="center" vertical="center" wrapText="1"/>
    </xf>
    <xf numFmtId="0" fontId="82" fillId="61" borderId="89" applyAlignment="1" pivotButton="0" quotePrefix="0" xfId="0">
      <alignment horizontal="center" vertical="center" wrapText="1"/>
    </xf>
    <xf numFmtId="0" fontId="0" fillId="0" borderId="68" pivotButton="0" quotePrefix="0" xfId="0"/>
    <xf numFmtId="0" fontId="0" fillId="0" borderId="69" pivotButton="0" quotePrefix="0" xfId="0"/>
    <xf numFmtId="43" fontId="11" fillId="0" borderId="0" applyAlignment="1" applyProtection="1" pivotButton="0" quotePrefix="0" xfId="1789">
      <alignment horizontal="right" vertical="center" shrinkToFit="1"/>
      <protection locked="0" hidden="0"/>
    </xf>
    <xf numFmtId="43" fontId="10" fillId="0" borderId="0" applyAlignment="1" applyProtection="1" pivotButton="0" quotePrefix="0" xfId="1787">
      <alignment horizontal="right" vertical="center" shrinkToFit="1"/>
      <protection locked="0" hidden="0"/>
    </xf>
    <xf numFmtId="43" fontId="11" fillId="0" borderId="0" applyAlignment="1" applyProtection="1" pivotButton="0" quotePrefix="0" xfId="1787">
      <alignment horizontal="right" vertical="center" shrinkToFit="1"/>
      <protection locked="0" hidden="0"/>
    </xf>
    <xf numFmtId="43" fontId="7" fillId="0" borderId="0" applyAlignment="1" applyProtection="1" pivotButton="0" quotePrefix="0" xfId="1789">
      <alignment horizontal="right" vertical="center" shrinkToFit="1"/>
      <protection locked="0" hidden="0"/>
    </xf>
    <xf numFmtId="201" fontId="132" fillId="0" borderId="0" applyAlignment="1" applyProtection="1" pivotButton="0" quotePrefix="0" xfId="1787">
      <alignment horizontal="left" vertical="center"/>
      <protection locked="0" hidden="0"/>
    </xf>
    <xf numFmtId="43" fontId="11" fillId="0" borderId="0" applyAlignment="1" applyProtection="1" pivotButton="0" quotePrefix="0" xfId="1789">
      <alignment horizontal="right" vertical="center"/>
      <protection locked="0" hidden="0"/>
    </xf>
    <xf numFmtId="43" fontId="10" fillId="0" borderId="0" applyAlignment="1" applyProtection="1" pivotButton="0" quotePrefix="0" xfId="1787">
      <alignment horizontal="right" vertical="center" wrapText="1"/>
      <protection locked="0" hidden="0"/>
    </xf>
    <xf numFmtId="43" fontId="7" fillId="0" borderId="0" applyAlignment="1" applyProtection="1" pivotButton="0" quotePrefix="0" xfId="1789">
      <alignment horizontal="right" vertical="center"/>
      <protection locked="0" hidden="0"/>
    </xf>
    <xf numFmtId="166" fontId="7" fillId="0" borderId="0" applyAlignment="1" applyProtection="1" pivotButton="0" quotePrefix="0" xfId="1790">
      <alignment horizontal="right" vertical="center"/>
      <protection locked="0" hidden="0"/>
    </xf>
    <xf numFmtId="43" fontId="97" fillId="0" borderId="39" applyAlignment="1" applyProtection="1" pivotButton="0" quotePrefix="0" xfId="1787">
      <alignment horizontal="right" vertical="center" shrinkToFit="1"/>
      <protection locked="0" hidden="0"/>
    </xf>
    <xf numFmtId="43" fontId="97" fillId="0" borderId="0" applyAlignment="1" applyProtection="1" pivotButton="0" quotePrefix="0" xfId="1787">
      <alignment horizontal="right" vertical="center"/>
      <protection locked="0" hidden="0"/>
    </xf>
    <xf numFmtId="166" fontId="97" fillId="0" borderId="0" applyAlignment="1" applyProtection="1" pivotButton="0" quotePrefix="0" xfId="1790">
      <alignment horizontal="right" vertical="center"/>
      <protection locked="0" hidden="0"/>
    </xf>
    <xf numFmtId="165" fontId="9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protection locked="0" hidden="0"/>
    </xf>
    <xf numFmtId="43" fontId="7" fillId="0" borderId="0" applyAlignment="1" applyProtection="1" pivotButton="0" quotePrefix="0" xfId="1787">
      <alignment horizontal="right" vertical="center" shrinkToFit="1"/>
      <protection locked="0" hidden="0"/>
    </xf>
    <xf numFmtId="43" fontId="11" fillId="0" borderId="0" applyAlignment="1" applyProtection="1" pivotButton="0" quotePrefix="0" xfId="1791">
      <alignment horizontal="right" vertical="center"/>
      <protection locked="0" hidden="0"/>
    </xf>
    <xf numFmtId="43" fontId="7" fillId="0" borderId="0" applyAlignment="1" applyProtection="1" pivotButton="0" quotePrefix="0" xfId="1787">
      <alignment horizontal="right"/>
      <protection locked="0" hidden="0"/>
    </xf>
    <xf numFmtId="0" fontId="130" fillId="60" borderId="26" applyAlignment="1" pivotButton="0" quotePrefix="0" xfId="0">
      <alignment horizontal="left" vertical="center" wrapText="1"/>
    </xf>
    <xf numFmtId="41" fontId="11" fillId="0" borderId="0" applyAlignment="1" applyProtection="1" pivotButton="0" quotePrefix="0" xfId="1791">
      <alignment vertical="center"/>
      <protection locked="0" hidden="0"/>
    </xf>
    <xf numFmtId="0" fontId="0" fillId="0" borderId="4" pivotButton="0" quotePrefix="0" xfId="0"/>
    <xf numFmtId="0" fontId="0" fillId="0" borderId="78" pivotButton="0" quotePrefix="0" xfId="0"/>
    <xf numFmtId="0" fontId="0" fillId="0" borderId="31" pivotButton="0" quotePrefix="0" xfId="0"/>
    <xf numFmtId="0" fontId="0" fillId="0" borderId="1" pivotButton="0" quotePrefix="0" xfId="0"/>
    <xf numFmtId="0" fontId="0" fillId="0" borderId="8" pivotButton="0" quotePrefix="0" xfId="0"/>
    <xf numFmtId="41" fontId="11" fillId="55" borderId="0" applyAlignment="1" applyProtection="1" pivotButton="0" quotePrefix="0" xfId="1791">
      <alignment vertical="center"/>
      <protection locked="0" hidden="0"/>
    </xf>
    <xf numFmtId="0" fontId="139" fillId="53" borderId="91" applyAlignment="1" pivotButton="0" quotePrefix="0" xfId="0">
      <alignment horizontal="center" vertical="center"/>
    </xf>
    <xf numFmtId="0" fontId="0" fillId="0" borderId="32" pivotButton="0" quotePrefix="0" xfId="0"/>
    <xf numFmtId="0" fontId="8" fillId="0" borderId="26" applyAlignment="1" pivotButton="0" quotePrefix="0" xfId="0">
      <alignment horizontal="center" vertical="center"/>
    </xf>
    <xf numFmtId="0" fontId="0" fillId="0" borderId="10" pivotButton="0" quotePrefix="0" xfId="0"/>
    <xf numFmtId="0" fontId="97" fillId="0" borderId="26" applyAlignment="1" pivotButton="0" quotePrefix="0" xfId="0">
      <alignment horizontal="center" vertical="center"/>
    </xf>
    <xf numFmtId="170" fontId="97" fillId="0" borderId="42" applyAlignment="1" pivotButton="0" quotePrefix="0" xfId="9">
      <alignment horizontal="right" vertical="center" shrinkToFit="1"/>
    </xf>
    <xf numFmtId="170" fontId="97" fillId="0" borderId="33" applyAlignment="1" pivotButton="0" quotePrefix="0" xfId="9">
      <alignment horizontal="right" vertical="center" shrinkToFit="1"/>
    </xf>
    <xf numFmtId="170" fontId="8" fillId="0" borderId="33" applyAlignment="1" pivotButton="0" quotePrefix="0" xfId="0">
      <alignment horizontal="right" vertical="center"/>
    </xf>
    <xf numFmtId="0" fontId="0" fillId="0" borderId="19" pivotButton="0" quotePrefix="0" xfId="0"/>
    <xf numFmtId="170" fontId="7" fillId="0" borderId="42" applyAlignment="1" pivotButton="0" quotePrefix="0" xfId="9">
      <alignment horizontal="right" vertical="center" shrinkToFit="1"/>
    </xf>
    <xf numFmtId="170" fontId="7" fillId="0" borderId="33" applyAlignment="1" pivotButton="0" quotePrefix="0" xfId="9">
      <alignment horizontal="right" vertical="center" shrinkToFit="1"/>
    </xf>
    <xf numFmtId="170" fontId="12" fillId="0" borderId="33" applyAlignment="1" pivotButton="0" quotePrefix="0" xfId="0">
      <alignment horizontal="right" vertical="center"/>
    </xf>
    <xf numFmtId="0" fontId="97" fillId="2" borderId="26" applyAlignment="1" pivotButton="0" quotePrefix="0" xfId="0">
      <alignment horizontal="center" vertical="center"/>
    </xf>
    <xf numFmtId="169" fontId="7" fillId="2" borderId="33" applyAlignment="1" pivotButton="0" quotePrefix="0" xfId="0">
      <alignment horizontal="center" vertical="center"/>
    </xf>
    <xf numFmtId="170" fontId="7" fillId="0" borderId="33" applyAlignment="1" pivotButton="0" quotePrefix="0" xfId="0">
      <alignment horizontal="right" vertical="center"/>
    </xf>
    <xf numFmtId="43" fontId="7" fillId="0" borderId="33" applyAlignment="1" pivotButton="0" quotePrefix="0" xfId="9">
      <alignment vertical="center" shrinkToFit="1"/>
    </xf>
    <xf numFmtId="43" fontId="8" fillId="0" borderId="0" applyAlignment="1" applyProtection="1" pivotButton="0" quotePrefix="0" xfId="452">
      <alignment horizontal="right" vertical="center" shrinkToFit="1"/>
      <protection locked="0" hidden="0"/>
    </xf>
    <xf numFmtId="43" fontId="11" fillId="0" borderId="0" applyAlignment="1" applyProtection="1" pivotButton="0" quotePrefix="0" xfId="452">
      <alignment vertical="center" shrinkToFit="1"/>
      <protection locked="0" hidden="0"/>
    </xf>
    <xf numFmtId="43" fontId="12" fillId="0" borderId="0" applyAlignment="1" applyProtection="1" pivotButton="0" quotePrefix="0" xfId="452">
      <alignment vertical="center" shrinkToFit="1"/>
      <protection locked="0" hidden="0"/>
    </xf>
    <xf numFmtId="43" fontId="15" fillId="0" borderId="0" applyAlignment="1" applyProtection="1" pivotButton="0" quotePrefix="0" xfId="452">
      <alignment vertical="center" shrinkToFit="1"/>
      <protection locked="0" hidden="0"/>
    </xf>
    <xf numFmtId="43" fontId="97" fillId="0" borderId="0" applyAlignment="1" pivotButton="0" quotePrefix="0" xfId="448">
      <alignment vertical="center"/>
    </xf>
    <xf numFmtId="43" fontId="8" fillId="0" borderId="0" applyAlignment="1" pivotButton="0" quotePrefix="0" xfId="448">
      <alignment vertical="center"/>
    </xf>
    <xf numFmtId="43" fontId="97" fillId="0" borderId="0" applyAlignment="1" applyProtection="1" pivotButton="0" quotePrefix="0" xfId="465">
      <alignment horizontal="right" vertical="center" shrinkToFit="1"/>
      <protection locked="0" hidden="0"/>
    </xf>
    <xf numFmtId="43" fontId="8" fillId="0" borderId="0" applyAlignment="1" applyProtection="1" pivotButton="0" quotePrefix="0" xfId="448">
      <alignment horizontal="right" vertical="center" shrinkToFit="1"/>
      <protection locked="0" hidden="0"/>
    </xf>
    <xf numFmtId="43" fontId="11" fillId="0" borderId="0" applyAlignment="1" applyProtection="1" pivotButton="0" quotePrefix="0" xfId="448">
      <alignment vertical="center" shrinkToFit="1"/>
      <protection locked="0" hidden="0"/>
    </xf>
    <xf numFmtId="43" fontId="15" fillId="0" borderId="0" applyAlignment="1" applyProtection="1" pivotButton="0" quotePrefix="0" xfId="448">
      <alignment vertical="center" shrinkToFit="1"/>
      <protection locked="0" hidden="0"/>
    </xf>
    <xf numFmtId="43" fontId="15" fillId="0" borderId="0" applyAlignment="1" pivotButton="0" quotePrefix="0" xfId="448">
      <alignment vertical="center"/>
    </xf>
    <xf numFmtId="43" fontId="8" fillId="0" borderId="0" applyAlignment="1" applyProtection="1" pivotButton="0" quotePrefix="0" xfId="448">
      <alignment horizontal="left" vertical="center"/>
      <protection locked="0" hidden="0"/>
    </xf>
    <xf numFmtId="43" fontId="11" fillId="0" borderId="0" applyAlignment="1" applyProtection="1" pivotButton="0" quotePrefix="0" xfId="448">
      <alignment horizontal="right" vertical="center" shrinkToFit="1"/>
      <protection locked="0" hidden="0"/>
    </xf>
    <xf numFmtId="43" fontId="15" fillId="0" borderId="0" applyAlignment="1" applyProtection="1" pivotButton="0" quotePrefix="0" xfId="448">
      <alignment horizontal="right" vertical="center" shrinkToFit="1"/>
      <protection locked="0" hidden="0"/>
    </xf>
    <xf numFmtId="43" fontId="7" fillId="0" borderId="33" applyAlignment="1" pivotButton="0" quotePrefix="0" xfId="1784">
      <alignment vertical="center"/>
    </xf>
    <xf numFmtId="0" fontId="100" fillId="0" borderId="26" applyAlignment="1" applyProtection="1" pivotButton="0" quotePrefix="0" xfId="233">
      <alignment horizontal="left" vertical="center" wrapText="1"/>
      <protection locked="0" hidden="0"/>
    </xf>
    <xf numFmtId="0" fontId="0" fillId="0" borderId="3"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78" applyProtection="1" pivotButton="0" quotePrefix="0" xfId="0">
      <protection locked="0" hidden="0"/>
    </xf>
    <xf numFmtId="0" fontId="0" fillId="0" borderId="31" applyProtection="1" pivotButton="0" quotePrefix="0" xfId="0">
      <protection locked="0" hidden="0"/>
    </xf>
    <xf numFmtId="0" fontId="0" fillId="0" borderId="8" applyProtection="1" pivotButton="0" quotePrefix="0" xfId="0">
      <protection locked="0" hidden="0"/>
    </xf>
    <xf numFmtId="0" fontId="100" fillId="0" borderId="26" applyAlignment="1" applyProtection="1" pivotButton="0" quotePrefix="0" xfId="1787">
      <alignment horizontal="left" vertical="center" wrapText="1"/>
      <protection locked="0" hidden="0"/>
    </xf>
    <xf numFmtId="170" fontId="11" fillId="0" borderId="0" applyAlignment="1" pivotButton="0" quotePrefix="0" xfId="0">
      <alignment horizontal="right" vertical="center"/>
    </xf>
    <xf numFmtId="167" fontId="11" fillId="0" borderId="39" applyAlignment="1" pivotButton="0" quotePrefix="0" xfId="0">
      <alignment horizontal="right" vertical="center"/>
    </xf>
    <xf numFmtId="167" fontId="11" fillId="0" borderId="0" applyAlignment="1" pivotButton="0" quotePrefix="0" xfId="0">
      <alignment horizontal="right" vertical="center"/>
    </xf>
    <xf numFmtId="165" fontId="7" fillId="0" borderId="0" applyAlignment="1" applyProtection="1" pivotButton="0" quotePrefix="0" xfId="1789">
      <alignment vertical="center"/>
      <protection locked="0" hidden="0"/>
    </xf>
    <xf numFmtId="165" fontId="7" fillId="0" borderId="3" applyAlignment="1" applyProtection="1" pivotButton="0" quotePrefix="0" xfId="1789">
      <alignment vertical="center"/>
      <protection locked="0" hidden="0"/>
    </xf>
    <xf numFmtId="165" fontId="11" fillId="0" borderId="3" applyAlignment="1" applyProtection="1" pivotButton="0" quotePrefix="0" xfId="1789">
      <alignment vertical="center" wrapText="1"/>
      <protection locked="0" hidden="0"/>
    </xf>
    <xf numFmtId="41" fontId="13"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center" vertical="center"/>
      <protection locked="0" hidden="0"/>
    </xf>
    <xf numFmtId="41" fontId="8" fillId="0" borderId="0" applyAlignment="1" applyProtection="1" pivotButton="0" quotePrefix="0" xfId="1787">
      <alignment horizontal="left" vertical="center"/>
      <protection locked="0" hidden="0"/>
    </xf>
    <xf numFmtId="43" fontId="11" fillId="0" borderId="33" applyAlignment="1" applyProtection="1" pivotButton="0" quotePrefix="0" xfId="1789">
      <alignment horizontal="right" vertical="center" shrinkToFit="1"/>
      <protection locked="0" hidden="0"/>
    </xf>
    <xf numFmtId="43" fontId="11" fillId="0" borderId="33" applyAlignment="1" applyProtection="1" pivotButton="0" quotePrefix="0" xfId="1800">
      <alignment horizontal="right" vertical="center" shrinkToFit="1"/>
      <protection locked="0" hidden="0"/>
    </xf>
    <xf numFmtId="165" fontId="11" fillId="0" borderId="33" applyAlignment="1" applyProtection="1" pivotButton="0" quotePrefix="0" xfId="1800">
      <alignment horizontal="left" vertical="center"/>
      <protection locked="0" hidden="0"/>
    </xf>
    <xf numFmtId="43" fontId="15" fillId="0" borderId="0" applyAlignment="1" pivotButton="0" quotePrefix="0" xfId="448">
      <alignment vertical="center" wrapText="1"/>
    </xf>
    <xf numFmtId="164" fontId="17" fillId="0" borderId="0" applyAlignment="1" pivotButton="0" quotePrefix="0" xfId="249">
      <alignment vertical="center"/>
    </xf>
    <xf numFmtId="0" fontId="100" fillId="0" borderId="26" applyAlignment="1" applyProtection="1" pivotButton="0" quotePrefix="0" xfId="1787">
      <alignment horizontal="left" vertical="top" wrapText="1"/>
      <protection locked="0" hidden="0"/>
    </xf>
    <xf numFmtId="43" fontId="7" fillId="0" borderId="0" applyAlignment="1" applyProtection="1" pivotButton="0" quotePrefix="0" xfId="1789">
      <alignment vertical="center"/>
      <protection locked="0" hidden="0"/>
    </xf>
    <xf numFmtId="43" fontId="11" fillId="0" borderId="0" applyAlignment="1" applyProtection="1" pivotButton="0" quotePrefix="0" xfId="1789">
      <alignment vertical="center" wrapText="1"/>
      <protection locked="0" hidden="0"/>
    </xf>
    <xf numFmtId="43" fontId="7" fillId="0" borderId="3" applyAlignment="1" applyProtection="1" pivotButton="0" quotePrefix="0" xfId="1789">
      <alignment vertical="center"/>
      <protection locked="0" hidden="0"/>
    </xf>
    <xf numFmtId="43" fontId="11" fillId="0" borderId="3" applyAlignment="1" applyProtection="1" pivotButton="0" quotePrefix="0" xfId="1789">
      <alignment vertical="center" wrapText="1"/>
      <protection locked="0" hidden="0"/>
    </xf>
    <xf numFmtId="43" fontId="7" fillId="0" borderId="33" applyAlignment="1" applyProtection="1" pivotButton="0" quotePrefix="0" xfId="1789">
      <alignment horizontal="right" vertical="center" shrinkToFit="1"/>
      <protection locked="0" hidden="0"/>
    </xf>
    <xf numFmtId="43" fontId="7" fillId="0" borderId="33" applyAlignment="1" applyProtection="1" pivotButton="0" quotePrefix="0" xfId="1800">
      <alignment horizontal="right" vertical="center" shrinkToFit="1"/>
      <protection locked="0" hidden="0"/>
    </xf>
    <xf numFmtId="0" fontId="82" fillId="42" borderId="79" applyAlignment="1" pivotButton="0" quotePrefix="0" xfId="0">
      <alignment horizontal="center" vertical="center"/>
    </xf>
    <xf numFmtId="0" fontId="8" fillId="42" borderId="79" applyAlignment="1" pivotButton="0" quotePrefix="0" xfId="0">
      <alignment horizontal="center" vertical="center"/>
    </xf>
    <xf numFmtId="43" fontId="11" fillId="0" borderId="33" applyAlignment="1" applyProtection="1" pivotButton="0" quotePrefix="0" xfId="448">
      <alignment horizontal="right" vertical="center" shrinkToFit="1"/>
      <protection locked="0" hidden="0"/>
    </xf>
    <xf numFmtId="43" fontId="11" fillId="0" borderId="33" applyAlignment="1" applyProtection="1" pivotButton="0" quotePrefix="0" xfId="450">
      <alignment horizontal="right" vertical="center" shrinkToFit="1"/>
      <protection locked="0" hidden="0"/>
    </xf>
    <xf numFmtId="43" fontId="11" fillId="0" borderId="44" applyAlignment="1" applyProtection="1" pivotButton="0" quotePrefix="0" xfId="448">
      <alignment horizontal="right" vertical="center" shrinkToFit="1"/>
      <protection locked="0" hidden="0"/>
    </xf>
    <xf numFmtId="43" fontId="7" fillId="0" borderId="10" applyAlignment="1" pivotButton="0" quotePrefix="0" xfId="25">
      <alignment horizontal="right" vertical="center" shrinkToFit="1"/>
    </xf>
    <xf numFmtId="43" fontId="7" fillId="0" borderId="44" applyAlignment="1" pivotButton="0" quotePrefix="0" xfId="25">
      <alignment horizontal="right" vertical="center" shrinkToFit="1"/>
    </xf>
    <xf numFmtId="43" fontId="7" fillId="0" borderId="33" applyAlignment="1" pivotButton="0" quotePrefix="0" xfId="25">
      <alignment horizontal="right" vertical="center" shrinkToFit="1"/>
    </xf>
    <xf numFmtId="43" fontId="15" fillId="0" borderId="33" applyAlignment="1" applyProtection="1" pivotButton="0" quotePrefix="0" xfId="448">
      <alignment horizontal="right" vertical="center" shrinkToFit="1"/>
      <protection locked="0" hidden="0"/>
    </xf>
    <xf numFmtId="43" fontId="15" fillId="0" borderId="44" applyAlignment="1" applyProtection="1" pivotButton="0" quotePrefix="0" xfId="448">
      <alignment horizontal="right" vertical="center" shrinkToFit="1"/>
      <protection locked="0" hidden="0"/>
    </xf>
    <xf numFmtId="43" fontId="11" fillId="0" borderId="0" applyAlignment="1" applyProtection="1" pivotButton="0" quotePrefix="0" xfId="439">
      <alignment horizontal="justify" vertical="center"/>
      <protection locked="0" hidden="0"/>
    </xf>
    <xf numFmtId="0" fontId="97" fillId="3" borderId="26" applyAlignment="1" pivotButton="0" quotePrefix="0" xfId="0">
      <alignment horizontal="center" vertical="center"/>
    </xf>
    <xf numFmtId="168" fontId="7" fillId="0" borderId="33" applyAlignment="1" pivotButton="0" quotePrefix="0" xfId="0">
      <alignment horizontal="left" vertical="center" shrinkToFit="1"/>
    </xf>
    <xf numFmtId="43" fontId="7" fillId="0" borderId="33" applyAlignment="1" pivotButton="0" quotePrefix="0" xfId="9">
      <alignment horizontal="left" vertical="center" shrinkToFit="1"/>
    </xf>
  </cellXfs>
  <cellStyles count="3761">
    <cellStyle name="常规" xfId="0" builtinId="0"/>
    <cellStyle name="だ[0]_Total (2)" xfId="1"/>
    <cellStyle name="Accent1_RESULTS" xfId="2"/>
    <cellStyle name="好_49-营业收入（空白模板）" xfId="3"/>
    <cellStyle name="SAPBEXresItem" xfId="4"/>
    <cellStyle name="Normalny_Arkusz1" xfId="5"/>
    <cellStyle name="Accent2 - 40%" xfId="6"/>
    <cellStyle name="Normal 126" xfId="7"/>
    <cellStyle name="千位分隔 3 3 2" xfId="8"/>
    <cellStyle name="千位分隔" xfId="9" builtinId="3"/>
    <cellStyle name="Comma [0] 3" xfId="10"/>
    <cellStyle name="Accent2 - 60%" xfId="11"/>
    <cellStyle name="常规 2 2 3 3 2" xfId="12"/>
    <cellStyle name="_x000a_mouse.drv=lm" xfId="13"/>
    <cellStyle name="百分比" xfId="14" builtinId="5"/>
    <cellStyle name="常规 6" xfId="15"/>
    <cellStyle name="entry" xfId="16"/>
    <cellStyle name="Comma 2" xfId="17"/>
    <cellStyle name="差_货币资金 岳华" xfId="18"/>
    <cellStyle name="百分比 4" xfId="19"/>
    <cellStyle name="0%" xfId="20"/>
    <cellStyle name="桁区切り_１１月価格表" xfId="21"/>
    <cellStyle name="好_资产减值损失" xfId="22"/>
    <cellStyle name="差_Book2" xfId="23"/>
    <cellStyle name="Normal 2 3 2 2" xfId="24"/>
    <cellStyle name="Comma 10" xfId="25"/>
    <cellStyle name="SAPBEXexcBad7 2" xfId="26"/>
    <cellStyle name="Accent3_RESULTS" xfId="27"/>
    <cellStyle name="0.0%" xfId="28"/>
    <cellStyle name="千位分隔[0] 2" xfId="29"/>
    <cellStyle name="Hyperlink 2" xfId="30"/>
    <cellStyle name="昗弨_BOOKSHIP" xfId="31"/>
    <cellStyle name="SAPBEXstdItem" xfId="32"/>
    <cellStyle name="SAPBEXaggItem" xfId="33"/>
    <cellStyle name="Hyperlink 3" xfId="34"/>
    <cellStyle name="Hyperlink 4" xfId="35"/>
    <cellStyle name="SAPBEXHLevel3X" xfId="36"/>
    <cellStyle name="千位[0]_1995" xfId="37"/>
    <cellStyle name="だ[0]_PLDT" xfId="38"/>
    <cellStyle name="Accent1 - 20%" xfId="39"/>
    <cellStyle name="好_存货 - 复制" xfId="40"/>
    <cellStyle name="0.00%" xfId="41"/>
    <cellStyle name="Comma [0] 2 2 2 2 3" xfId="42"/>
    <cellStyle name="00" xfId="43"/>
    <cellStyle name="Accent2" xfId="44"/>
    <cellStyle name="常规 9 2" xfId="45"/>
    <cellStyle name="Comma [0] 2 2 2 2 2" xfId="46"/>
    <cellStyle name="Accent1" xfId="47"/>
    <cellStyle name="Accent1 - 40%" xfId="48"/>
    <cellStyle name="Accent1 - 60%" xfId="49"/>
    <cellStyle name="Normal 5 2" xfId="50"/>
    <cellStyle name="Accent2 - 20%" xfId="51"/>
    <cellStyle name="통화_BOILER-CO1" xfId="52"/>
    <cellStyle name="comma zerodec" xfId="53"/>
    <cellStyle name="Accent2_RESULTS" xfId="54"/>
    <cellStyle name="好_55-资产减值损失（空白模板）" xfId="55"/>
    <cellStyle name="好_50-营业成本（空白模板）" xfId="56"/>
    <cellStyle name="Accent3" xfId="57"/>
    <cellStyle name="Comma  - Style2" xfId="58"/>
    <cellStyle name="Accent3 - 20%" xfId="59"/>
    <cellStyle name="Normal 121 2 4" xfId="60"/>
    <cellStyle name="Accent3 - 40%" xfId="61"/>
    <cellStyle name="Accent3 - 60%" xfId="62"/>
    <cellStyle name="好_货币资金 岳华" xfId="63"/>
    <cellStyle name="Accent4" xfId="64"/>
    <cellStyle name="Accent4 - 20%" xfId="65"/>
    <cellStyle name="差_ZA0货币资金审定表 " xfId="66"/>
    <cellStyle name="SAPBEXexcCritical6" xfId="67"/>
    <cellStyle name="Accent4 - 40%" xfId="68"/>
    <cellStyle name="Normal 12 2" xfId="69"/>
    <cellStyle name="Accent4 - 60%" xfId="70"/>
    <cellStyle name="Comma 8 2" xfId="71"/>
    <cellStyle name="Accent4_RESULTS" xfId="72"/>
    <cellStyle name="SAPBEXHLevel2 2" xfId="73"/>
    <cellStyle name="Accent5" xfId="74"/>
    <cellStyle name="Accent5 - 20%" xfId="75"/>
    <cellStyle name="千分位[0]_ 白土" xfId="76"/>
    <cellStyle name="Accent5 - 40%" xfId="77"/>
    <cellStyle name="Accent5 - 60%" xfId="78"/>
    <cellStyle name="Accent5_RESULTS" xfId="79"/>
    <cellStyle name="Accent6" xfId="80"/>
    <cellStyle name="SAPBEXfilterDrill" xfId="81"/>
    <cellStyle name="SAPBEXexcCritical4 2" xfId="82"/>
    <cellStyle name="Accent6 - 20%" xfId="83"/>
    <cellStyle name="常规 3 3" xfId="84"/>
    <cellStyle name="SAPBEXexcCritical6 2" xfId="85"/>
    <cellStyle name="Accent6 - 40%" xfId="86"/>
    <cellStyle name="SAPBEXstdData" xfId="87"/>
    <cellStyle name="SAPBEXaggData" xfId="88"/>
    <cellStyle name="Accent6 - 60%" xfId="89"/>
    <cellStyle name="SAPBEXexcBad9 2" xfId="90"/>
    <cellStyle name="Accent6_RESULTS" xfId="91"/>
    <cellStyle name="Normal 6" xfId="92"/>
    <cellStyle name="Calc Currency (0)" xfId="93"/>
    <cellStyle name="Comma  - Style3" xfId="94"/>
    <cellStyle name="category" xfId="95"/>
    <cellStyle name="Check Cell 2" xfId="96"/>
    <cellStyle name="千位_1995" xfId="97"/>
    <cellStyle name="Col Heads" xfId="98"/>
    <cellStyle name="差_4-应收账款（空白模板）" xfId="99"/>
    <cellStyle name="SAPBEXHLevel3 2" xfId="100"/>
    <cellStyle name="Comma  - Style1" xfId="101"/>
    <cellStyle name="Comma  - Style4" xfId="102"/>
    <cellStyle name="Normal 2 3 2 2 2" xfId="103"/>
    <cellStyle name="Comma 10 2" xfId="104"/>
    <cellStyle name="Comma  - Style5" xfId="105"/>
    <cellStyle name="Normal 2 3 2 2 3" xfId="106"/>
    <cellStyle name="Comma  - Style6" xfId="107"/>
    <cellStyle name="Comma  - Style7" xfId="108"/>
    <cellStyle name="霓付_1202" xfId="109"/>
    <cellStyle name="Comma  - Style8" xfId="110"/>
    <cellStyle name="好_大信底稿目录" xfId="111"/>
    <cellStyle name="Comma [0] 2" xfId="112"/>
    <cellStyle name="好_资产负债标准底稿" xfId="113"/>
    <cellStyle name="Comma [0] 2 2" xfId="114"/>
    <cellStyle name="Comma [0] 2 2 2" xfId="115"/>
    <cellStyle name="常规 9" xfId="116"/>
    <cellStyle name="Comma [0] 2 2 2 2" xfId="117"/>
    <cellStyle name="Comma [0] 2 2 2 2 2 2" xfId="118"/>
    <cellStyle name="好_应收账款" xfId="119"/>
    <cellStyle name="Normal 111 2" xfId="120"/>
    <cellStyle name="Comma [0] 2 2 2 3" xfId="121"/>
    <cellStyle name="Normal 111 2 2" xfId="122"/>
    <cellStyle name="Comma [0] 2 2 2 3 2" xfId="123"/>
    <cellStyle name="Comma [0] 2 2 2 4" xfId="124"/>
    <cellStyle name="Comma [0] 2 2 3" xfId="125"/>
    <cellStyle name="强调 1" xfId="126"/>
    <cellStyle name="好_货币资金 天职" xfId="127"/>
    <cellStyle name="Comma [0] 2 2 3 2" xfId="128"/>
    <cellStyle name="Comma [0] 2 2 4" xfId="129"/>
    <cellStyle name="Comma [0] 2 3" xfId="130"/>
    <cellStyle name="千位分隔 6" xfId="131"/>
    <cellStyle name="Comma 10 2 4" xfId="132"/>
    <cellStyle name="Comma [0] 2 3 2" xfId="133"/>
    <cellStyle name="Comma [0] 2 4" xfId="134"/>
    <cellStyle name="好_Sheet1" xfId="135"/>
    <cellStyle name="超链接 2" xfId="136"/>
    <cellStyle name="差_9管理费用" xfId="137"/>
    <cellStyle name="Comma [0] 3 2" xfId="138"/>
    <cellStyle name="寘嬫愗傝_PRODUCT DETAIL Q1" xfId="139"/>
    <cellStyle name="超链接 2 2" xfId="140"/>
    <cellStyle name="Comma [0] 3 2 2" xfId="141"/>
    <cellStyle name="超链接 2 2 2" xfId="142"/>
    <cellStyle name="Comma [0] 3 2 2 2" xfId="143"/>
    <cellStyle name="超链接 2 3" xfId="144"/>
    <cellStyle name="Comma [0] 3 2 3" xfId="145"/>
    <cellStyle name="超链接 3" xfId="146"/>
    <cellStyle name="Comma [0] 3 3" xfId="147"/>
    <cellStyle name="千位分隔 4" xfId="148"/>
    <cellStyle name="Comma 2 3" xfId="149"/>
    <cellStyle name="Comma 10 2 2" xfId="150"/>
    <cellStyle name="千位分隔 4 2" xfId="151"/>
    <cellStyle name="Comma 2 3 2" xfId="152"/>
    <cellStyle name="Comma 10 2 2 2" xfId="153"/>
    <cellStyle name="千位分隔 5" xfId="154"/>
    <cellStyle name="Comma 2 4" xfId="155"/>
    <cellStyle name="Comma 10 2 3" xfId="156"/>
    <cellStyle name="千位分隔 7" xfId="157"/>
    <cellStyle name="Comma 10 2 5" xfId="158"/>
    <cellStyle name="千位分隔 3 2 2 2" xfId="159"/>
    <cellStyle name="Comma 11" xfId="160"/>
    <cellStyle name="千位分隔 3" xfId="161"/>
    <cellStyle name="Comma 2 2" xfId="162"/>
    <cellStyle name="千位分隔 3 2" xfId="163"/>
    <cellStyle name="Comma 2 2 2" xfId="164"/>
    <cellStyle name="千位分隔 3 2 2" xfId="165"/>
    <cellStyle name="Comma 2 2 2 2" xfId="166"/>
    <cellStyle name="千位分隔 3 3" xfId="167"/>
    <cellStyle name="Comma 2 2 3" xfId="168"/>
    <cellStyle name="好_3-3 进一步审计程序-存货与生产循环" xfId="169"/>
    <cellStyle name="标题 5" xfId="170"/>
    <cellStyle name="Comma 3" xfId="171"/>
    <cellStyle name="Comma 3 2" xfId="172"/>
    <cellStyle name="好_货币资金" xfId="173"/>
    <cellStyle name="Comma 4" xfId="174"/>
    <cellStyle name="Comma 4 2" xfId="175"/>
    <cellStyle name="Comma 5" xfId="176"/>
    <cellStyle name="差_存货" xfId="177"/>
    <cellStyle name="Comma 5 2" xfId="178"/>
    <cellStyle name="Comma 5 2 2" xfId="179"/>
    <cellStyle name="烹拳_1202" xfId="180"/>
    <cellStyle name="Comma 5 2 2 2" xfId="181"/>
    <cellStyle name="Comma 5 2 3" xfId="182"/>
    <cellStyle name="Comma 5 3" xfId="183"/>
    <cellStyle name="Good 2" xfId="184"/>
    <cellStyle name="Comma 6" xfId="185"/>
    <cellStyle name="Comma 6 2" xfId="186"/>
    <cellStyle name="Comma 7" xfId="187"/>
    <cellStyle name="Comma 7 2" xfId="188"/>
    <cellStyle name="差_49-营业收入（空白模板）" xfId="189"/>
    <cellStyle name="Comma 8" xfId="190"/>
    <cellStyle name="Comma,0" xfId="191"/>
    <cellStyle name="差_55-资产减值损失（空白模板）" xfId="192"/>
    <cellStyle name="Comma,1" xfId="193"/>
    <cellStyle name="普通_ 白土" xfId="194"/>
    <cellStyle name="Comma,2" xfId="195"/>
    <cellStyle name="Currency,0" xfId="196"/>
    <cellStyle name="Currency,2" xfId="197"/>
    <cellStyle name="Currency1" xfId="198"/>
    <cellStyle name="Normal 2 2 2" xfId="199"/>
    <cellStyle name="Dollar (zero dec)" xfId="200"/>
    <cellStyle name="entry box" xfId="201"/>
    <cellStyle name="Euro" xfId="202"/>
    <cellStyle name="Euro 2" xfId="203"/>
    <cellStyle name="Grey" xfId="204"/>
    <cellStyle name="千分位_ 白土" xfId="205"/>
    <cellStyle name="HEADER" xfId="206"/>
    <cellStyle name="差_货币资金" xfId="207"/>
    <cellStyle name="Header1" xfId="208"/>
    <cellStyle name="Normal 8 2" xfId="209"/>
    <cellStyle name="Header2" xfId="210"/>
    <cellStyle name="千位分隔 2 2 2" xfId="211"/>
    <cellStyle name="Input [yellow]" xfId="212"/>
    <cellStyle name="Model" xfId="213"/>
    <cellStyle name="霓付 [0]_1202" xfId="214"/>
    <cellStyle name="Model 2" xfId="215"/>
    <cellStyle name="Normal - Style1" xfId="216"/>
    <cellStyle name="好_应付职工薪酬" xfId="217"/>
    <cellStyle name="Normal 10 10" xfId="218"/>
    <cellStyle name="Normal 103" xfId="219"/>
    <cellStyle name="Normal 121 2" xfId="220"/>
    <cellStyle name="Normal 121 2 2" xfId="221"/>
    <cellStyle name="好_4-应收账款（空白模板）" xfId="222"/>
    <cellStyle name="SAPBEXexcCritical5" xfId="223"/>
    <cellStyle name="Normal 121 2 2 2" xfId="224"/>
    <cellStyle name="SAPBEXexcCritical5 2" xfId="225"/>
    <cellStyle name="Normal 121 2 2 2 2" xfId="226"/>
    <cellStyle name="Normal 121 2 3" xfId="227"/>
    <cellStyle name="Normal 13" xfId="228"/>
    <cellStyle name="Normal 182" xfId="229"/>
    <cellStyle name="Normal 182 2" xfId="230"/>
    <cellStyle name="SAPBEXstdItemX 2" xfId="231"/>
    <cellStyle name="SAPBEXaggItemX 2" xfId="232"/>
    <cellStyle name="Normal 2" xfId="233"/>
    <cellStyle name="標準_１１月価格表" xfId="234"/>
    <cellStyle name="Normal 2 2" xfId="235"/>
    <cellStyle name="千位分隔 4 2 2" xfId="236"/>
    <cellStyle name="Normal 2 2 3 2" xfId="237"/>
    <cellStyle name="Normal 2 24" xfId="238"/>
    <cellStyle name="Normal 2 3" xfId="239"/>
    <cellStyle name="Normal 2 3 2" xfId="240"/>
    <cellStyle name="千位分隔 5 2" xfId="241"/>
    <cellStyle name="Normal 2 3 3" xfId="242"/>
    <cellStyle name="千位分隔 5 2 2" xfId="243"/>
    <cellStyle name="Normal 2 3 3 2" xfId="244"/>
    <cellStyle name="Normal 2 4" xfId="245"/>
    <cellStyle name="Normal 3" xfId="246"/>
    <cellStyle name="Normal 3 2" xfId="247"/>
    <cellStyle name="_laroux" xfId="248"/>
    <cellStyle name="Normal 3 2 2 2 2" xfId="249"/>
    <cellStyle name="好_9管理费用" xfId="250"/>
    <cellStyle name="差_10存货" xfId="251"/>
    <cellStyle name="Normal 4" xfId="252"/>
    <cellStyle name="Normal 4 3" xfId="253"/>
    <cellStyle name="千位分隔 7 3 2" xfId="254"/>
    <cellStyle name="Normal 5" xfId="255"/>
    <cellStyle name="Normal 5 3" xfId="256"/>
    <cellStyle name="Normal 6 2" xfId="257"/>
    <cellStyle name="Normal 7" xfId="258"/>
    <cellStyle name="Normal 8" xfId="259"/>
    <cellStyle name="Normal 9" xfId="260"/>
    <cellStyle name="Percent [2]" xfId="261"/>
    <cellStyle name="样式 1" xfId="262"/>
    <cellStyle name="Prefilled" xfId="263"/>
    <cellStyle name="Percent 2" xfId="264"/>
    <cellStyle name="price" xfId="265"/>
    <cellStyle name="通貨 [0.00]_１１月価格表" xfId="266"/>
    <cellStyle name="revised" xfId="267"/>
    <cellStyle name="row_def_array" xfId="268"/>
    <cellStyle name="SAPBEXstdData 2" xfId="269"/>
    <cellStyle name="SAPBEXexcBad8" xfId="270"/>
    <cellStyle name="SAPBEXaggData 2" xfId="271"/>
    <cellStyle name="SAPBEXstdDataEmph" xfId="272"/>
    <cellStyle name="SAPBEXaggDataEmph" xfId="273"/>
    <cellStyle name="好_10存货" xfId="274"/>
    <cellStyle name="SAPBEXstdDataEmph 2" xfId="275"/>
    <cellStyle name="SAPBEXaggDataEmph 2" xfId="276"/>
    <cellStyle name="SAPBEXstdItem 2" xfId="277"/>
    <cellStyle name="SAPBEXaggItem 2" xfId="278"/>
    <cellStyle name="SAPBEXstdItemX" xfId="279"/>
    <cellStyle name="SAPBEXaggItemX" xfId="280"/>
    <cellStyle name="SAPBEXchaText" xfId="281"/>
    <cellStyle name="SAPBEXexcBad7" xfId="282"/>
    <cellStyle name="常规 4" xfId="283"/>
    <cellStyle name="SAPBEXexcBad8 2" xfId="284"/>
    <cellStyle name="好_存货" xfId="285"/>
    <cellStyle name="SAPBEXexcBad9" xfId="286"/>
    <cellStyle name="SAPBEXresItem 2" xfId="287"/>
    <cellStyle name="SAPBEXexcCritical4" xfId="288"/>
    <cellStyle name="SAPBEXexcGood1" xfId="289"/>
    <cellStyle name="SAPBEXexcGood1 2" xfId="290"/>
    <cellStyle name="百分比 2" xfId="291"/>
    <cellStyle name="SAPBEXexcGood2" xfId="292"/>
    <cellStyle name="SAPBEXexcGood2 2" xfId="293"/>
    <cellStyle name="百分比 3" xfId="294"/>
    <cellStyle name="SAPBEXexcGood3" xfId="295"/>
    <cellStyle name="百分比 3 2" xfId="296"/>
    <cellStyle name="SAPBEXexcGood3 2" xfId="297"/>
    <cellStyle name="SAPBEXfilterDrill 2" xfId="298"/>
    <cellStyle name="SAPBEXfilterItem" xfId="299"/>
    <cellStyle name="SAPBEXfilterText" xfId="300"/>
    <cellStyle name="表标题" xfId="301"/>
    <cellStyle name="SAPBEXformats" xfId="302"/>
    <cellStyle name="SAPBEXformats 2" xfId="303"/>
    <cellStyle name="常规 7" xfId="304"/>
    <cellStyle name="SAPBEXheaderItem" xfId="305"/>
    <cellStyle name="SAPBEXheaderText" xfId="306"/>
    <cellStyle name="SAPBEXHLevel0" xfId="307"/>
    <cellStyle name="SAPBEXHLevel0 2" xfId="308"/>
    <cellStyle name="SAPBEXHLevel0X" xfId="309"/>
    <cellStyle name="section" xfId="310"/>
    <cellStyle name="SAPBEXHLevel0X 2" xfId="311"/>
    <cellStyle name="千位分隔 8 2" xfId="312"/>
    <cellStyle name="SAPBEXHLevel1" xfId="313"/>
    <cellStyle name="SAPBEXHLevel1 2" xfId="314"/>
    <cellStyle name="SAPBEXHLevel1X" xfId="315"/>
    <cellStyle name="SAPBEXHLevel1X 2" xfId="316"/>
    <cellStyle name="SAPBEXHLevel2" xfId="317"/>
    <cellStyle name="SAPBEXHLevel2X" xfId="318"/>
    <cellStyle name="SAPBEXHLevel2X 2" xfId="319"/>
    <cellStyle name="差_50-营业成本（空白模板）" xfId="320"/>
    <cellStyle name="SAPBEXHLevel3" xfId="321"/>
    <cellStyle name="SAPBEXHLevel3X 2" xfId="322"/>
    <cellStyle name="SAPBEXresData" xfId="323"/>
    <cellStyle name="差_3-2 进一步审计程序-采购与付款循环" xfId="324"/>
    <cellStyle name="SAPBEXresData 2" xfId="325"/>
    <cellStyle name="SAPBEXresDataEmph" xfId="326"/>
    <cellStyle name="SAPBEXresDataEmph 2" xfId="327"/>
    <cellStyle name="SAPBEXresItemX" xfId="328"/>
    <cellStyle name="SAPBEXresItemX 2" xfId="329"/>
    <cellStyle name="千位分隔 3 4" xfId="330"/>
    <cellStyle name="SAPBEXtitle" xfId="331"/>
    <cellStyle name="SAPBEXundefined" xfId="332"/>
    <cellStyle name="SAPBEXundefined 2" xfId="333"/>
    <cellStyle name="桁区切り [0.00]_１１月価格表" xfId="334"/>
    <cellStyle name="SOR" xfId="335"/>
    <cellStyle name="SOR 2" xfId="336"/>
    <cellStyle name="超链接 4" xfId="337"/>
    <cellStyle name="SOR 2 2" xfId="338"/>
    <cellStyle name="SOR 3" xfId="339"/>
    <cellStyle name="差_大信底稿目录" xfId="340"/>
    <cellStyle name="subhead" xfId="341"/>
    <cellStyle name="常规 2" xfId="342"/>
    <cellStyle name="title" xfId="343"/>
    <cellStyle name="Tusental (0)_pldt" xfId="344"/>
    <cellStyle name="표준_0N-HANDLING " xfId="345"/>
    <cellStyle name="Tusental_pldt" xfId="346"/>
    <cellStyle name="Valuta (0)_pldt" xfId="347"/>
    <cellStyle name="Valuta_pldt" xfId="348"/>
    <cellStyle name="パーセント_laroux" xfId="349"/>
    <cellStyle name="好_银行函证结果汇总表" xfId="350"/>
    <cellStyle name="_PLDT" xfId="351"/>
    <cellStyle name="だ_PLDT" xfId="352"/>
    <cellStyle name="だ_laroux" xfId="353"/>
    <cellStyle name="百分比 4 2" xfId="354"/>
    <cellStyle name="千位分隔 5 3" xfId="355"/>
    <cellStyle name="捠壿 [0.00]_PRODUCT DETAIL Q1" xfId="356"/>
    <cellStyle name="捠壿_PRODUCT DETAIL Q1" xfId="357"/>
    <cellStyle name="差_19-无形资产（空白模板）" xfId="358"/>
    <cellStyle name="差_2-交易性金融资产（空白模板）" xfId="359"/>
    <cellStyle name="差_3-3 进一步审计程序-存货与生产循环" xfId="360"/>
    <cellStyle name="差_应付职工薪酬" xfId="361"/>
    <cellStyle name="差_51-营业税金及附加（空白模板）" xfId="362"/>
    <cellStyle name="差_54-财务费用（空白模板）" xfId="363"/>
    <cellStyle name="差_dxn底稿目录" xfId="364"/>
    <cellStyle name="差_Sheet1" xfId="365"/>
    <cellStyle name="差_底稿设置宏" xfId="366"/>
    <cellStyle name="差_货币资金 天职" xfId="367"/>
    <cellStyle name="差_无形资产" xfId="368"/>
    <cellStyle name="差_应收账款" xfId="369"/>
    <cellStyle name="差_账项明细表" xfId="370"/>
    <cellStyle name="常规 10" xfId="371"/>
    <cellStyle name="强调 3" xfId="372"/>
    <cellStyle name="常规 2 2" xfId="373"/>
    <cellStyle name="常规 2 2 2" xfId="374"/>
    <cellStyle name="常规 2 2 3" xfId="375"/>
    <cellStyle name="好_营业收入" xfId="376"/>
    <cellStyle name="常规 2 2 3 3" xfId="377"/>
    <cellStyle name="常规 2_10存货" xfId="378"/>
    <cellStyle name="常规 3" xfId="379"/>
    <cellStyle name="常规 3 2" xfId="380"/>
    <cellStyle name="常规 3 2 2" xfId="381"/>
    <cellStyle name="常规 4 2" xfId="382"/>
    <cellStyle name="常规 5" xfId="383"/>
    <cellStyle name="常规 8" xfId="384"/>
    <cellStyle name="超级链接_综合类底稿表格" xfId="385"/>
    <cellStyle name="好_19-无形资产（空白模板）" xfId="386"/>
    <cellStyle name="好_1财务费用" xfId="387"/>
    <cellStyle name="好_1营业收入" xfId="388"/>
    <cellStyle name="好_1资产减值损失" xfId="389"/>
    <cellStyle name="好_2-交易性金融资产（空白模板）" xfId="390"/>
    <cellStyle name="好_3-2 进一步审计程序-采购与付款循环" xfId="391"/>
    <cellStyle name="砯刽 [0]_PLDT" xfId="392"/>
    <cellStyle name="好_51-营业税金及附加（空白模板）" xfId="393"/>
    <cellStyle name="好_54-财务费用（空白模板）" xfId="394"/>
    <cellStyle name="好_Book2" xfId="395"/>
    <cellStyle name="好_ZA0货币资金审定表 " xfId="396"/>
    <cellStyle name="好_资产负债类底稿模版" xfId="397"/>
    <cellStyle name="好_财务费用" xfId="398"/>
    <cellStyle name="砯刽_PLDT" xfId="399"/>
    <cellStyle name="好_底稿设置宏" xfId="400"/>
    <cellStyle name="好_底稿设置宏_大信底稿目录" xfId="401"/>
    <cellStyle name="好_实收资本(股本)" xfId="402"/>
    <cellStyle name="好_无形资产" xfId="403"/>
    <cellStyle name="好_应收利息" xfId="404"/>
    <cellStyle name="好_账项明细表" xfId="405"/>
    <cellStyle name="好_资产负债标准底稿_大信底稿目录" xfId="406"/>
    <cellStyle name="好_资产负债类底稿模版_大信底稿目录" xfId="407"/>
    <cellStyle name="货币 2" xfId="408"/>
    <cellStyle name="貨幣 [0]_SGV" xfId="409"/>
    <cellStyle name="貨幣_SGV" xfId="410"/>
    <cellStyle name="烹拳 [0]_1202" xfId="411"/>
    <cellStyle name="千位分隔 2" xfId="412"/>
    <cellStyle name="千位分隔 2 2" xfId="413"/>
    <cellStyle name="千位分隔 2 3" xfId="414"/>
    <cellStyle name="千位分隔 3 2 3" xfId="415"/>
    <cellStyle name="千位分隔 4 3" xfId="416"/>
    <cellStyle name="千位分隔 7 3" xfId="417"/>
    <cellStyle name="千位分隔 8" xfId="418"/>
    <cellStyle name="千位分隔 9" xfId="419"/>
    <cellStyle name="千位分隔[0] 2 2" xfId="420"/>
    <cellStyle name="千位分隔[0] 2 2 2" xfId="421"/>
    <cellStyle name="千位分隔[0] 2 2 2 2" xfId="422"/>
    <cellStyle name="千位分隔[0] 2 2 3" xfId="423"/>
    <cellStyle name="千位分隔[0] 2 3" xfId="424"/>
    <cellStyle name="钎霖_(沥焊何巩)岿喊牢盔拌裙" xfId="425"/>
    <cellStyle name="强调 2" xfId="426"/>
    <cellStyle name="通貨_１１月価格表" xfId="427"/>
    <cellStyle name="寘嬫愗傝 [0.00]_PRODUCT DETAIL Q1" xfId="428"/>
    <cellStyle name="资产" xfId="429"/>
    <cellStyle name="콤마 [0]_BOILER-CO1" xfId="430"/>
    <cellStyle name="콤마_BOILER-CO1" xfId="431"/>
    <cellStyle name="통화 [0]_BOILER-CO1" xfId="432"/>
    <cellStyle name="一般 2" xfId="433"/>
    <cellStyle name="常规 11" xfId="434"/>
    <cellStyle name="超連結 2" xfId="435"/>
    <cellStyle name="常规 2 2 4" xfId="436"/>
    <cellStyle name="常规 12" xfId="437"/>
    <cellStyle name="常规 2 2 5" xfId="438"/>
    <cellStyle name="常规 10 2" xfId="439"/>
    <cellStyle name="Normal 10" xfId="440"/>
    <cellStyle name="Normal 2 3 6" xfId="441"/>
    <cellStyle name="Normal 12 2 2 2 2" xfId="442"/>
    <cellStyle name="Normal 9 2 2" xfId="443"/>
    <cellStyle name="Normal 2 2 2 2" xfId="444"/>
    <cellStyle name="常规 2 2 5 2" xfId="445"/>
    <cellStyle name="Normal 103 2" xfId="446"/>
    <cellStyle name="Normal 2 5" xfId="447"/>
    <cellStyle name="千位分隔 10" xfId="448"/>
    <cellStyle name="Normal 2 3 2 2 4" xfId="449"/>
    <cellStyle name="百分比 5" xfId="450"/>
    <cellStyle name="常规_Book1" xfId="451"/>
    <cellStyle name="Comma 3 3" xfId="452"/>
    <cellStyle name="Normal 111 2 3" xfId="453"/>
    <cellStyle name="Comma 2 2 4" xfId="454"/>
    <cellStyle name="常规 3 2 3" xfId="455"/>
    <cellStyle name="Normal 10 2" xfId="456"/>
    <cellStyle name="Normal 10 2 2 2" xfId="457"/>
    <cellStyle name="Normal 4 2" xfId="458"/>
    <cellStyle name="常规 3 2 4" xfId="459"/>
    <cellStyle name="Normal 2 10 2" xfId="460"/>
    <cellStyle name="Normal 118" xfId="461"/>
    <cellStyle name="Normal 121 2 2 2 4" xfId="462"/>
    <cellStyle name="Normal 2 2 3" xfId="463"/>
    <cellStyle name="Normal 2 2 4" xfId="464"/>
    <cellStyle name="Comma 4 4" xfId="465"/>
    <cellStyle name="Normal 2 2 2 2 2" xfId="466"/>
    <cellStyle name="Normal 2 3 2 2 2 2" xfId="467"/>
    <cellStyle name="Normal 4 3 3" xfId="468"/>
    <cellStyle name="Normal 3 2 2" xfId="469"/>
    <cellStyle name="Normal 7 2" xfId="470"/>
    <cellStyle name="千位分隔 12" xfId="471"/>
    <cellStyle name="Normal 12" xfId="472"/>
    <cellStyle name="Check Cell 2 3" xfId="473"/>
    <cellStyle name="Normal 9 2" xfId="474"/>
    <cellStyle name="Comma [0] 3 5" xfId="475"/>
    <cellStyle name="百分比 6" xfId="476"/>
    <cellStyle name="Comma [0] 2 3 4" xfId="477"/>
    <cellStyle name="Percent 3 3" xfId="478"/>
    <cellStyle name="Comma [0] 2 2 2 4 3" xfId="479"/>
    <cellStyle name="Comma [0] 2 7" xfId="480"/>
    <cellStyle name="Comma 2 9" xfId="481"/>
    <cellStyle name="Comma [0] 2 2 2 6" xfId="482"/>
    <cellStyle name="百分比 4 4" xfId="483"/>
    <cellStyle name="Comma [0] 2 2 2 2 5" xfId="484"/>
    <cellStyle name="Percent 3 2" xfId="485"/>
    <cellStyle name="Comma [0] 2 2 2 3 4" xfId="486"/>
    <cellStyle name="Comma [0] 2 2 3 4" xfId="487"/>
    <cellStyle name="Comma 10 4" xfId="488"/>
    <cellStyle name="Comma [0] 2 2 4 3" xfId="489"/>
    <cellStyle name="Comma 3 4" xfId="490"/>
    <cellStyle name="Normal 125" xfId="491"/>
    <cellStyle name="Comma 3 5" xfId="492"/>
    <cellStyle name="Comma [0] 2 4 2" xfId="493"/>
    <cellStyle name="千位分隔[0] 2 5" xfId="494"/>
    <cellStyle name="Hyperlink 2 4" xfId="495"/>
    <cellStyle name="cellStyleNum 2 2" xfId="496"/>
    <cellStyle name="Hyperlink 3 3" xfId="497"/>
    <cellStyle name="Normal 3 2 3" xfId="498"/>
    <cellStyle name="Hyperlink 4 4" xfId="499"/>
    <cellStyle name="Hyperlink 5" xfId="500"/>
    <cellStyle name="Normal 6 2 3" xfId="501"/>
    <cellStyle name="?鹎%U龡&amp;H?_x0008__x001c__x001c_?_x0007__x0001__x0001_" xfId="502"/>
    <cellStyle name="cellStyleNum 2" xfId="503"/>
    <cellStyle name="Comma [0] 2 2 6" xfId="504"/>
    <cellStyle name="Comma [0] 2 2 2 2 2 4" xfId="505"/>
    <cellStyle name="Comma [0] 2 2 2 2 3 3" xfId="506"/>
    <cellStyle name="Comma 2 5" xfId="507"/>
    <cellStyle name="Comma [0] 2 3 2 3" xfId="508"/>
    <cellStyle name="Comma [0] 2 4 4" xfId="509"/>
    <cellStyle name="Comma [0] 2 5" xfId="510"/>
    <cellStyle name="超链接 2 5" xfId="511"/>
    <cellStyle name="Comma [0] 3 2 5" xfId="512"/>
    <cellStyle name="Comma [0] 3 2 2 4" xfId="513"/>
    <cellStyle name="Comma 10 2 7" xfId="514"/>
    <cellStyle name="Normal 2 3 2 3" xfId="515"/>
    <cellStyle name="Comma 11 3" xfId="516"/>
    <cellStyle name="Comma 12" xfId="517"/>
    <cellStyle name="Comma 12 2" xfId="518"/>
    <cellStyle name="Normal 31" xfId="519"/>
    <cellStyle name="Comma 13" xfId="520"/>
    <cellStyle name="Comma 16" xfId="521"/>
    <cellStyle name="千位分隔 3 6" xfId="522"/>
    <cellStyle name="Comma 2 2 6" xfId="523"/>
    <cellStyle name="千位分隔 3 2 5" xfId="524"/>
    <cellStyle name="Comma 2 2 2 4" xfId="525"/>
    <cellStyle name="千位分隔 3 3 4" xfId="526"/>
    <cellStyle name="Comma 2 2 3 3" xfId="527"/>
    <cellStyle name="千位分隔 3 4 4" xfId="528"/>
    <cellStyle name="Comma 2 2 4 3" xfId="529"/>
    <cellStyle name="千位分隔 4 5" xfId="530"/>
    <cellStyle name="Comma 2 3 4" xfId="531"/>
    <cellStyle name="千位分隔 4 2 4" xfId="532"/>
    <cellStyle name="Comma 2 3 2 3" xfId="533"/>
    <cellStyle name="Comma 2 4 4" xfId="534"/>
    <cellStyle name="Comma 2 4 2" xfId="535"/>
    <cellStyle name="Comma 2 6" xfId="536"/>
    <cellStyle name="Comma 2 7" xfId="537"/>
    <cellStyle name="Comma 3 7" xfId="538"/>
    <cellStyle name="Comma 3 2 5" xfId="539"/>
    <cellStyle name="Comma 3 2 2" xfId="540"/>
    <cellStyle name="Comma 3 3 3" xfId="541"/>
    <cellStyle name="Comma 4 6" xfId="542"/>
    <cellStyle name="Comma 4 2 4" xfId="543"/>
    <cellStyle name="Comma 4 2 2" xfId="544"/>
    <cellStyle name="Comma 4 3" xfId="545"/>
    <cellStyle name="Comma 4 4 3" xfId="546"/>
    <cellStyle name="Comma 5 5" xfId="547"/>
    <cellStyle name="Comma 5 2 5" xfId="548"/>
    <cellStyle name="Comma 5 2 2 4" xfId="549"/>
    <cellStyle name="Comma 5 3 3" xfId="550"/>
    <cellStyle name="Comma 58" xfId="551"/>
    <cellStyle name="Good 2 3" xfId="552"/>
    <cellStyle name="Comma 6 4" xfId="553"/>
    <cellStyle name="Comma 7 4" xfId="554"/>
    <cellStyle name="Comma 7 2 3" xfId="555"/>
    <cellStyle name="Normal 3 3 2" xfId="556"/>
    <cellStyle name="Comma 8 4" xfId="557"/>
    <cellStyle name="Comma 9" xfId="558"/>
    <cellStyle name="dataStyle 2" xfId="559"/>
    <cellStyle name="dataStyle 2 2" xfId="560"/>
    <cellStyle name="dataStyle 3" xfId="561"/>
    <cellStyle name="dataStyle 3 2" xfId="562"/>
    <cellStyle name="千位分隔[0] 2 2 5" xfId="563"/>
    <cellStyle name="Hyperlink 2 2" xfId="564"/>
    <cellStyle name="Hyperlink 4 2" xfId="565"/>
    <cellStyle name="Normal 10 4" xfId="566"/>
    <cellStyle name="Normal 10 2 3" xfId="567"/>
    <cellStyle name="Normal 103 2 4" xfId="568"/>
    <cellStyle name="Normal 103 2 2" xfId="569"/>
    <cellStyle name="Normal 103 3" xfId="570"/>
    <cellStyle name="Normal 11" xfId="571"/>
    <cellStyle name="Normal 11 2" xfId="572"/>
    <cellStyle name="Normal 121" xfId="573"/>
    <cellStyle name="Normal 125 2" xfId="574"/>
    <cellStyle name="Normal 126 2" xfId="575"/>
    <cellStyle name="Normal 13 3" xfId="576"/>
    <cellStyle name="Normal 2 3 5" xfId="577"/>
    <cellStyle name="Normal 2 7" xfId="578"/>
    <cellStyle name="Normal 2 2 2 3" xfId="579"/>
    <cellStyle name="常规 2 8" xfId="580"/>
    <cellStyle name="Normal 2 3 4" xfId="581"/>
    <cellStyle name="Normal 2 3 4 2" xfId="582"/>
    <cellStyle name="Normal 2 4 3" xfId="583"/>
    <cellStyle name="Normal 2 5 3" xfId="584"/>
    <cellStyle name="Normal 3 2 5" xfId="585"/>
    <cellStyle name="Normal 3 3" xfId="586"/>
    <cellStyle name="Normal 3 6" xfId="587"/>
    <cellStyle name="Normal 4 2 4" xfId="588"/>
    <cellStyle name="Normal 4 2 2" xfId="589"/>
    <cellStyle name="Normal 4 3 5" xfId="590"/>
    <cellStyle name="Normal 4 3 2" xfId="591"/>
    <cellStyle name="Normal 4 4" xfId="592"/>
    <cellStyle name="Normal 5 5" xfId="593"/>
    <cellStyle name="Normal 6 4" xfId="594"/>
    <cellStyle name="一般_2008 06CUIT" xfId="595"/>
    <cellStyle name="Normal 7 4" xfId="596"/>
    <cellStyle name="Normal 8 4" xfId="597"/>
    <cellStyle name="Percent 2 4" xfId="598"/>
    <cellStyle name="Percent 2 2" xfId="599"/>
    <cellStyle name="Percent 3" xfId="600"/>
    <cellStyle name="Percent 4" xfId="601"/>
    <cellStyle name="Percent 5" xfId="602"/>
    <cellStyle name="Percent 5 2" xfId="603"/>
    <cellStyle name="百分比 2 3" xfId="604"/>
    <cellStyle name="百分比 3 4" xfId="605"/>
    <cellStyle name="常规 2 7" xfId="606"/>
    <cellStyle name="常规 2- " xfId="607"/>
    <cellStyle name="常规 2 2 6" xfId="608"/>
    <cellStyle name="常规 2 2 2 4" xfId="609"/>
    <cellStyle name="常规 2 2 2 2" xfId="610"/>
    <cellStyle name="常规 2 2 3 4" xfId="611"/>
    <cellStyle name="常规 2 3" xfId="612"/>
    <cellStyle name="常规 2 3 2" xfId="613"/>
    <cellStyle name="常规 2 3 3" xfId="614"/>
    <cellStyle name="常规 3 4" xfId="615"/>
    <cellStyle name="常规 3 2 2 3" xfId="616"/>
    <cellStyle name="常规 3 3 3" xfId="617"/>
    <cellStyle name="常规 4 5" xfId="618"/>
    <cellStyle name="常规 4 2 3" xfId="619"/>
    <cellStyle name="常规 4 3" xfId="620"/>
    <cellStyle name="常规 5 3" xfId="621"/>
    <cellStyle name="常规 7 3" xfId="622"/>
    <cellStyle name="千位分隔 2 5" xfId="623"/>
    <cellStyle name="千位分隔 2 2 5" xfId="624"/>
    <cellStyle name="千位分隔 2 2 2 4" xfId="625"/>
    <cellStyle name="千位分隔 2 2 2 2" xfId="626"/>
    <cellStyle name="千位分隔 2 2 3" xfId="627"/>
    <cellStyle name="千位分隔 2 3 3" xfId="628"/>
    <cellStyle name="千位分隔[0] 2 2 2 4" xfId="629"/>
    <cellStyle name="常规 8 2" xfId="630"/>
    <cellStyle name="千位分隔 5 5" xfId="631"/>
    <cellStyle name="Normal 3 2 4" xfId="632"/>
    <cellStyle name="常规 2 2 4 3" xfId="633"/>
    <cellStyle name="Normal 3 2 6" xfId="634"/>
    <cellStyle name="Comma 3 2 3" xfId="635"/>
    <cellStyle name="常规 2 4" xfId="636"/>
    <cellStyle name="Normal 3 6 2" xfId="637"/>
    <cellStyle name="Normal 14 2" xfId="638"/>
    <cellStyle name="Normal 2 3 5 2" xfId="639"/>
    <cellStyle name="常规 3 2 4 2" xfId="640"/>
    <cellStyle name="Percent 6 2" xfId="641"/>
    <cellStyle name="Normal 103 4 2" xfId="642"/>
    <cellStyle name="Comma 9 2" xfId="643"/>
    <cellStyle name="Normal 2 3 4 2 2" xfId="644"/>
    <cellStyle name="Normal 3 5" xfId="645"/>
    <cellStyle name="Comma 2 5 5" xfId="646"/>
    <cellStyle name="常规 4 3 2 2" xfId="647"/>
    <cellStyle name="百分比 4 3" xfId="648"/>
    <cellStyle name="千位分隔 3 4 3" xfId="649"/>
    <cellStyle name="Normal 14" xfId="650"/>
    <cellStyle name="Normal 15" xfId="651"/>
    <cellStyle name="Comma 14" xfId="652"/>
    <cellStyle name="Normal 14 3" xfId="653"/>
    <cellStyle name="Comma 3 2 3 3" xfId="654"/>
    <cellStyle name="Normal 16" xfId="655"/>
    <cellStyle name="Normal 15 2" xfId="656"/>
    <cellStyle name="Normal 2 10" xfId="657"/>
    <cellStyle name="Normal 121 4" xfId="658"/>
    <cellStyle name="Normal 3 4" xfId="659"/>
    <cellStyle name="Comma 12 2 2" xfId="660"/>
    <cellStyle name="Normal 16 2" xfId="661"/>
    <cellStyle name="超链接 3 3" xfId="662"/>
    <cellStyle name="Normal 15 2 2" xfId="663"/>
    <cellStyle name="Normal 17" xfId="664"/>
    <cellStyle name="常规 2 2 5 2 2" xfId="665"/>
    <cellStyle name="Hyperlink 2 2 3" xfId="666"/>
    <cellStyle name="常规 13" xfId="667"/>
    <cellStyle name="SAPBEXresItem 3" xfId="668"/>
    <cellStyle name="货币 3" xfId="669"/>
    <cellStyle name="千位分隔 3 3 2 2" xfId="670"/>
    <cellStyle name="千位分隔 11" xfId="671"/>
    <cellStyle name="Comma [0] 3 4" xfId="672"/>
    <cellStyle name="超链接 5" xfId="673"/>
    <cellStyle name="Comma 2 8" xfId="674"/>
    <cellStyle name="Comma 10 3" xfId="675"/>
    <cellStyle name="SAPBEXexcBad7 2 2" xfId="676"/>
    <cellStyle name="千位分隔[0] 2 4" xfId="677"/>
    <cellStyle name="Hyperlink 2 3" xfId="678"/>
    <cellStyle name="SAPBEXstdItem 3" xfId="679"/>
    <cellStyle name="SAPBEXaggItem 3" xfId="680"/>
    <cellStyle name="Hyperlink 3 2" xfId="681"/>
    <cellStyle name="Hyperlink 4 3" xfId="682"/>
    <cellStyle name="SAPBEXHLevel3X 3" xfId="683"/>
    <cellStyle name="Comma [0] 2 2 2 2 3 2" xfId="684"/>
    <cellStyle name="Comma [0] 2 2 2 2 2 3" xfId="685"/>
    <cellStyle name="SAPBEXexcCritical6 3" xfId="686"/>
    <cellStyle name="Comma 8 2 2" xfId="687"/>
    <cellStyle name="SAPBEXHLevel2 2 2" xfId="688"/>
    <cellStyle name="SAPBEXfilterDrill 3" xfId="689"/>
    <cellStyle name="SAPBEXexcCritical4 2 2" xfId="690"/>
    <cellStyle name="常规 3 3 2" xfId="691"/>
    <cellStyle name="SAPBEXexcCritical6 2 2" xfId="692"/>
    <cellStyle name="SAPBEXstdData 3" xfId="693"/>
    <cellStyle name="SAPBEXaggData 3" xfId="694"/>
    <cellStyle name="SAPBEXexcBad9 2 2" xfId="695"/>
    <cellStyle name="Normal 6 3" xfId="696"/>
    <cellStyle name="Check Cell 2 2" xfId="697"/>
    <cellStyle name="SAPBEXHLevel3 2 2" xfId="698"/>
    <cellStyle name="Comma 10 2 6" xfId="699"/>
    <cellStyle name="Comma [0] 2 6" xfId="700"/>
    <cellStyle name="Comma [0] 2 2 5" xfId="701"/>
    <cellStyle name="Comma [0] 2 2 2 5" xfId="702"/>
    <cellStyle name="常规 9 3" xfId="703"/>
    <cellStyle name="Comma [0] 2 2 2 2 4" xfId="704"/>
    <cellStyle name="Comma [0] 2 2 2 2 2 2 2" xfId="705"/>
    <cellStyle name="Comma [0] 2 2 2 3 3" xfId="706"/>
    <cellStyle name="Comma [0] 2 2 2 3 2 2" xfId="707"/>
    <cellStyle name="Comma [0] 2 2 2 4 2" xfId="708"/>
    <cellStyle name="Comma [0] 2 2 3 3" xfId="709"/>
    <cellStyle name="Comma [0] 2 2 3 2 2" xfId="710"/>
    <cellStyle name="Comma [0] 2 2 4 2" xfId="711"/>
    <cellStyle name="Comma [0] 2 3 3" xfId="712"/>
    <cellStyle name="千位分隔 6 2" xfId="713"/>
    <cellStyle name="Comma 10 2 4 2" xfId="714"/>
    <cellStyle name="Comma [0] 2 3 2 2" xfId="715"/>
    <cellStyle name="Comma [0] 2 4 3" xfId="716"/>
    <cellStyle name="超链接 2 4" xfId="717"/>
    <cellStyle name="Comma [0] 3 2 4" xfId="718"/>
    <cellStyle name="Comma [0] 3 2 2 3" xfId="719"/>
    <cellStyle name="Comma [0] 3 2 2 2 2" xfId="720"/>
    <cellStyle name="Comma [0] 3 2 3 2" xfId="721"/>
    <cellStyle name="超链接 3 2" xfId="722"/>
    <cellStyle name="Comma [0] 3 3 2" xfId="723"/>
    <cellStyle name="千位分隔 4 4" xfId="724"/>
    <cellStyle name="Comma 2 3 3" xfId="725"/>
    <cellStyle name="Comma 10 2 2 3" xfId="726"/>
    <cellStyle name="千位分隔 4 2 3" xfId="727"/>
    <cellStyle name="Comma 2 3 2 2" xfId="728"/>
    <cellStyle name="Comma 10 2 2 2 2" xfId="729"/>
    <cellStyle name="千位分隔 5 4" xfId="730"/>
    <cellStyle name="Comma 2 4 3" xfId="731"/>
    <cellStyle name="Comma 10 2 3 2" xfId="732"/>
    <cellStyle name="千位分隔 7 2" xfId="733"/>
    <cellStyle name="Comma 10 2 5 2" xfId="734"/>
    <cellStyle name="千位分隔 3 2 2 2 2" xfId="735"/>
    <cellStyle name="Comma 11 2" xfId="736"/>
    <cellStyle name="千位分隔 3 5" xfId="737"/>
    <cellStyle name="Comma 2 2 5" xfId="738"/>
    <cellStyle name="千位分隔 3 2 4" xfId="739"/>
    <cellStyle name="Comma 2 2 2 3" xfId="740"/>
    <cellStyle name="千位分隔 3 2 2 3" xfId="741"/>
    <cellStyle name="Comma 2 2 2 2 2" xfId="742"/>
    <cellStyle name="千位分隔 3 3 3" xfId="743"/>
    <cellStyle name="Comma 2 2 3 2" xfId="744"/>
    <cellStyle name="Comma 3 6" xfId="745"/>
    <cellStyle name="Comma 3 2 4" xfId="746"/>
    <cellStyle name="Comma 4 5" xfId="747"/>
    <cellStyle name="Comma 4 2 3" xfId="748"/>
    <cellStyle name="Comma 5 4" xfId="749"/>
    <cellStyle name="Comma 5 2 4" xfId="750"/>
    <cellStyle name="Comma 5 2 2 3" xfId="751"/>
    <cellStyle name="Comma 5 2 2 2 2" xfId="752"/>
    <cellStyle name="Comma 5 2 3 2" xfId="753"/>
    <cellStyle name="Comma 5 3 2" xfId="754"/>
    <cellStyle name="Good 2 2" xfId="755"/>
    <cellStyle name="Comma 6 3" xfId="756"/>
    <cellStyle name="Comma 6 2 2" xfId="757"/>
    <cellStyle name="Comma 7 3" xfId="758"/>
    <cellStyle name="Comma 7 2 2" xfId="759"/>
    <cellStyle name="Comma 8 3" xfId="760"/>
    <cellStyle name="entry box 2" xfId="761"/>
    <cellStyle name="Euro 3" xfId="762"/>
    <cellStyle name="Euro 2 2" xfId="763"/>
    <cellStyle name="Header1 2" xfId="764"/>
    <cellStyle name="Normal 8 2 2" xfId="765"/>
    <cellStyle name="千位分隔 2 2 2 3" xfId="766"/>
    <cellStyle name="Input [yellow] 2" xfId="767"/>
    <cellStyle name="SAPBEXexcCritical5 3" xfId="768"/>
    <cellStyle name="SAPBEXexcCritical5 2 2" xfId="769"/>
    <cellStyle name="Normal 13 2" xfId="770"/>
    <cellStyle name="SAPBEXstdItemX 2 2" xfId="771"/>
    <cellStyle name="SAPBEXaggItemX 2 2" xfId="772"/>
    <cellStyle name="Normal 2 6" xfId="773"/>
    <cellStyle name="千位分隔 4 2 2 2" xfId="774"/>
    <cellStyle name="千位分隔 5 2 3" xfId="775"/>
    <cellStyle name="千位分隔 5 2 2 2" xfId="776"/>
    <cellStyle name="Normal 2 4 2" xfId="777"/>
    <cellStyle name="Normal 4 5" xfId="778"/>
    <cellStyle name="Normal 4 3 4" xfId="779"/>
    <cellStyle name="千位分隔 7 3 2 2" xfId="780"/>
    <cellStyle name="Normal 5 4" xfId="781"/>
    <cellStyle name="Normal 5 3 2" xfId="782"/>
    <cellStyle name="Normal 6 2 2" xfId="783"/>
    <cellStyle name="Normal 7 3" xfId="784"/>
    <cellStyle name="Normal 8 3" xfId="785"/>
    <cellStyle name="Prefilled 2" xfId="786"/>
    <cellStyle name="Percent 2 3" xfId="787"/>
    <cellStyle name="SAPBEXstdData 2 2" xfId="788"/>
    <cellStyle name="SAPBEXexcBad8 3" xfId="789"/>
    <cellStyle name="SAPBEXaggData 2 2" xfId="790"/>
    <cellStyle name="SAPBEXstdDataEmph 3" xfId="791"/>
    <cellStyle name="SAPBEXaggDataEmph 3" xfId="792"/>
    <cellStyle name="SAPBEXstdDataEmph 2 2" xfId="793"/>
    <cellStyle name="SAPBEXaggDataEmph 2 2" xfId="794"/>
    <cellStyle name="SAPBEXstdItem 2 2" xfId="795"/>
    <cellStyle name="SAPBEXaggItem 2 2" xfId="796"/>
    <cellStyle name="SAPBEXstdItemX 3" xfId="797"/>
    <cellStyle name="SAPBEXaggItemX 3" xfId="798"/>
    <cellStyle name="SAPBEXexcBad7 3" xfId="799"/>
    <cellStyle name="常规 4 4" xfId="800"/>
    <cellStyle name="SAPBEXexcBad8 2 2" xfId="801"/>
    <cellStyle name="SAPBEXexcBad9 3" xfId="802"/>
    <cellStyle name="SAPBEXresItem 2 2" xfId="803"/>
    <cellStyle name="SAPBEXexcCritical4 3" xfId="804"/>
    <cellStyle name="SAPBEXexcGood1 3" xfId="805"/>
    <cellStyle name="SAPBEXexcGood1 2 2" xfId="806"/>
    <cellStyle name="百分比 2 2" xfId="807"/>
    <cellStyle name="SAPBEXexcGood2 3" xfId="808"/>
    <cellStyle name="SAPBEXexcGood2 2 2" xfId="809"/>
    <cellStyle name="百分比 3 3" xfId="810"/>
    <cellStyle name="SAPBEXexcGood3 3" xfId="811"/>
    <cellStyle name="百分比 3 2 2" xfId="812"/>
    <cellStyle name="SAPBEXexcGood3 2 2" xfId="813"/>
    <cellStyle name="SAPBEXfilterDrill 2 2" xfId="814"/>
    <cellStyle name="SAPBEXformats 3" xfId="815"/>
    <cellStyle name="SAPBEXformats 2 2" xfId="816"/>
    <cellStyle name="常规 7 2" xfId="817"/>
    <cellStyle name="SAPBEXHLevel0 3" xfId="818"/>
    <cellStyle name="SAPBEXHLevel0 2 2" xfId="819"/>
    <cellStyle name="SAPBEXHLevel0X 3" xfId="820"/>
    <cellStyle name="SAPBEXHLevel0X 2 2" xfId="821"/>
    <cellStyle name="千位分隔 8 2 2" xfId="822"/>
    <cellStyle name="SAPBEXHLevel1 3" xfId="823"/>
    <cellStyle name="SAPBEXHLevel1 2 2" xfId="824"/>
    <cellStyle name="SAPBEXHLevel1X 3" xfId="825"/>
    <cellStyle name="SAPBEXHLevel1X 2 2" xfId="826"/>
    <cellStyle name="SAPBEXHLevel2 3" xfId="827"/>
    <cellStyle name="SAPBEXHLevel2X 3" xfId="828"/>
    <cellStyle name="SAPBEXHLevel2X 2 2" xfId="829"/>
    <cellStyle name="SAPBEXHLevel3 3" xfId="830"/>
    <cellStyle name="SAPBEXHLevel3X 2 2" xfId="831"/>
    <cellStyle name="SAPBEXresData 3" xfId="832"/>
    <cellStyle name="SAPBEXresData 2 2" xfId="833"/>
    <cellStyle name="SAPBEXresDataEmph 3" xfId="834"/>
    <cellStyle name="SAPBEXresDataEmph 2 2" xfId="835"/>
    <cellStyle name="SAPBEXresItemX 3" xfId="836"/>
    <cellStyle name="SAPBEXresItemX 2 2" xfId="837"/>
    <cellStyle name="千位分隔 3 4 2" xfId="838"/>
    <cellStyle name="SAPBEXundefined 3" xfId="839"/>
    <cellStyle name="SAPBEXundefined 2 2" xfId="840"/>
    <cellStyle name="SOR 4" xfId="841"/>
    <cellStyle name="SOR 2 3" xfId="842"/>
    <cellStyle name="SOR 2 2 2" xfId="843"/>
    <cellStyle name="SOR 3 2" xfId="844"/>
    <cellStyle name="常规 2 5" xfId="845"/>
    <cellStyle name="千位分隔 5 3 2" xfId="846"/>
    <cellStyle name="常规 2 2 2 3" xfId="847"/>
    <cellStyle name="常规 2 2 3 2" xfId="848"/>
    <cellStyle name="常规 3 2 2 2" xfId="849"/>
    <cellStyle name="常规 4 2 2" xfId="850"/>
    <cellStyle name="常规 5 2" xfId="851"/>
    <cellStyle name="千位分隔 2 4" xfId="852"/>
    <cellStyle name="千位分隔 2 2 4" xfId="853"/>
    <cellStyle name="千位分隔 2 3 2" xfId="854"/>
    <cellStyle name="千位分隔 3 2 3 2" xfId="855"/>
    <cellStyle name="千位分隔 4 3 2" xfId="856"/>
    <cellStyle name="千位分隔 7 3 3" xfId="857"/>
    <cellStyle name="千位分隔 8 3" xfId="858"/>
    <cellStyle name="千位分隔 9 2" xfId="859"/>
    <cellStyle name="千位分隔[0] 2 2 4" xfId="860"/>
    <cellStyle name="千位分隔[0] 2 2 2 3" xfId="861"/>
    <cellStyle name="千位分隔[0] 2 2 2 2 2" xfId="862"/>
    <cellStyle name="千位分隔[0] 2 2 3 2" xfId="863"/>
    <cellStyle name="千位分隔[0] 2 3 2" xfId="864"/>
    <cellStyle name="资产 2" xfId="865"/>
    <cellStyle name="一般 2 2" xfId="866"/>
    <cellStyle name="常规 2 2 4 2" xfId="867"/>
    <cellStyle name="Normal 10 3" xfId="868"/>
    <cellStyle name="Normal 103 2 3" xfId="869"/>
    <cellStyle name="Normal 2 5 2" xfId="870"/>
    <cellStyle name="千位分隔 10 2" xfId="871"/>
    <cellStyle name="Comma 3 3 2" xfId="872"/>
    <cellStyle name="Comma 2 2 4 2" xfId="873"/>
    <cellStyle name="Normal 10 2 2" xfId="874"/>
    <cellStyle name="Normal 4 2 3" xfId="875"/>
    <cellStyle name="Comma 4 4 2" xfId="876"/>
    <cellStyle name="常规 2 6" xfId="877"/>
    <cellStyle name="SAPBEXfilterDrill 4" xfId="878"/>
    <cellStyle name="Header1 3" xfId="879"/>
    <cellStyle name="SAPBEXfilterDrill 2 3" xfId="880"/>
    <cellStyle name="Normal 4 6" xfId="881"/>
    <cellStyle name="Normal 2 3 3 3" xfId="882"/>
    <cellStyle name="Normal 2 3 3 2 2" xfId="883"/>
    <cellStyle name="Normal 2 2 3 2 2" xfId="884"/>
    <cellStyle name="Normal 121 2 5" xfId="885"/>
    <cellStyle name="Normal 121 2 2 4" xfId="886"/>
    <cellStyle name="Comma [0] 3 6" xfId="887"/>
    <cellStyle name="Percent 2 7" xfId="888"/>
    <cellStyle name="Comma 2 11" xfId="889"/>
    <cellStyle name="Normal 12 3" xfId="890"/>
    <cellStyle name="Normal 111 2 2 2" xfId="891"/>
    <cellStyle name="常规 3 6" xfId="892"/>
    <cellStyle name="Comma 5 6" xfId="893"/>
    <cellStyle name="千位分隔 2 2 6" xfId="894"/>
    <cellStyle name="00 2" xfId="895"/>
    <cellStyle name="20% - Accent1 2" xfId="896"/>
    <cellStyle name="20% - Accent6 2" xfId="897"/>
    <cellStyle name="Accent2 2" xfId="898"/>
    <cellStyle name="Comma 2 2 3 10" xfId="899"/>
    <cellStyle name="Bad 2" xfId="900"/>
    <cellStyle name="Bad 3" xfId="901"/>
    <cellStyle name="cellStyleNum" xfId="902"/>
    <cellStyle name="cellStyleNum 2 4" xfId="903"/>
    <cellStyle name="cellStyleNum 2 2 3" xfId="904"/>
    <cellStyle name="cellStyleNum 2 2 2" xfId="905"/>
    <cellStyle name="cellStyleNum 2 3" xfId="906"/>
    <cellStyle name="cellStyleNum 3" xfId="907"/>
    <cellStyle name="cellStylePer" xfId="908"/>
    <cellStyle name="cellStylePer 2" xfId="909"/>
    <cellStyle name="cellStylePer 2 2" xfId="910"/>
    <cellStyle name="cellStylePer 3" xfId="911"/>
    <cellStyle name="Check Cell 2 2 2" xfId="912"/>
    <cellStyle name="Comma [0] 2 8" xfId="913"/>
    <cellStyle name="Comma [0] 2 2 7" xfId="914"/>
    <cellStyle name="Comma [0] 2 2 2 7" xfId="915"/>
    <cellStyle name="Comma [0] 2 2 2 2 6" xfId="916"/>
    <cellStyle name="Comma [0] 2 2 2 2 2 5" xfId="917"/>
    <cellStyle name="Comma [0] 2 2 2 2 2 2 3" xfId="918"/>
    <cellStyle name="Comma [0] 2 2 2 2 3 4" xfId="919"/>
    <cellStyle name="Comma [0] 2 2 2 2 4 2" xfId="920"/>
    <cellStyle name="Comma [0] 2 2 2 2 5 2" xfId="921"/>
    <cellStyle name="Comma [0] 2 2 2 3 5" xfId="922"/>
    <cellStyle name="Comma [0] 2 2 2 4 4" xfId="923"/>
    <cellStyle name="Comma [0] 2 2 2 5 2" xfId="924"/>
    <cellStyle name="Comma [0] 2 2 3 5" xfId="925"/>
    <cellStyle name="Comma [0] 2 2 3 2 3" xfId="926"/>
    <cellStyle name="Comma [0] 2 2 3 3 2" xfId="927"/>
    <cellStyle name="Comma [0] 2 2 4 4" xfId="928"/>
    <cellStyle name="Comma [0] 2 2 4 2 2" xfId="929"/>
    <cellStyle name="Comma [0] 2 2 4 3 2" xfId="930"/>
    <cellStyle name="Comma [0] 2 2 5 2" xfId="931"/>
    <cellStyle name="Comma [0] 2 3 6" xfId="932"/>
    <cellStyle name="Comma [0] 2 3 2 4" xfId="933"/>
    <cellStyle name="Comma [0] 2 3 2 2 2" xfId="934"/>
    <cellStyle name="Comma [0] 2 3 2 3 2" xfId="935"/>
    <cellStyle name="Comma [0] 2 3 3 4" xfId="936"/>
    <cellStyle name="Comma [0] 2 3 3 2" xfId="937"/>
    <cellStyle name="Comma [0] 2 3 3 3" xfId="938"/>
    <cellStyle name="Comma [0] 2 3 4 2" xfId="939"/>
    <cellStyle name="Comma [0] 2 3 5" xfId="940"/>
    <cellStyle name="Comma [0] 2 4 5" xfId="941"/>
    <cellStyle name="Comma [0] 2 4 2 3" xfId="942"/>
    <cellStyle name="Comma [0] 2 4 2 2" xfId="943"/>
    <cellStyle name="Comma [0] 2 4 3 2" xfId="944"/>
    <cellStyle name="Comma [0] 2 4 4 2" xfId="945"/>
    <cellStyle name="Comma [0] 2 5 4" xfId="946"/>
    <cellStyle name="Comma [0] 2 5 2" xfId="947"/>
    <cellStyle name="Comma [0] 2 5 3" xfId="948"/>
    <cellStyle name="Comma [0] 2 6 3" xfId="949"/>
    <cellStyle name="Comma [0] 2 6 2" xfId="950"/>
    <cellStyle name="Comma [0] 2 7 2" xfId="951"/>
    <cellStyle name="Comma [0] 3 3 3" xfId="952"/>
    <cellStyle name="Comma 10 5" xfId="953"/>
    <cellStyle name="Comma 10 2 8" xfId="954"/>
    <cellStyle name="Comma 10 2 2 4" xfId="955"/>
    <cellStyle name="Comma 10 2 3 3" xfId="956"/>
    <cellStyle name="Comma 10 2 4 3" xfId="957"/>
    <cellStyle name="Comma 10 3 3" xfId="958"/>
    <cellStyle name="Comma 10 3 2" xfId="959"/>
    <cellStyle name="Comma 10 4 2" xfId="960"/>
    <cellStyle name="Comma 11 5" xfId="961"/>
    <cellStyle name="Comma 11 2 3" xfId="962"/>
    <cellStyle name="Comma 11 2 2" xfId="963"/>
    <cellStyle name="Comma 11 3 3" xfId="964"/>
    <cellStyle name="Comma 11 3 2" xfId="965"/>
    <cellStyle name="Comma 11 4" xfId="966"/>
    <cellStyle name="Comma 12 6" xfId="967"/>
    <cellStyle name="Comma 12 2 3" xfId="968"/>
    <cellStyle name="Comma 12 3" xfId="969"/>
    <cellStyle name="Comma 12 3 2" xfId="970"/>
    <cellStyle name="Comma 12 4" xfId="971"/>
    <cellStyle name="Comma 12 4 2" xfId="972"/>
    <cellStyle name="Comma 12 5" xfId="973"/>
    <cellStyle name="Comma 13 5" xfId="974"/>
    <cellStyle name="Comma 13 2" xfId="975"/>
    <cellStyle name="Comma 13 2 2" xfId="976"/>
    <cellStyle name="Comma 13 3" xfId="977"/>
    <cellStyle name="Comma 13 3 2" xfId="978"/>
    <cellStyle name="Comma 13 4" xfId="979"/>
    <cellStyle name="Comma 14 5" xfId="980"/>
    <cellStyle name="Comma 14 2" xfId="981"/>
    <cellStyle name="Comma 14 2 2" xfId="982"/>
    <cellStyle name="Comma 14 3" xfId="983"/>
    <cellStyle name="Comma 14 3 2" xfId="984"/>
    <cellStyle name="Comma 14 4" xfId="985"/>
    <cellStyle name="Comma 15" xfId="986"/>
    <cellStyle name="Comma 15 2" xfId="987"/>
    <cellStyle name="Comma 15 2 2" xfId="988"/>
    <cellStyle name="Comma 15 3" xfId="989"/>
    <cellStyle name="Comma 15 3 2" xfId="990"/>
    <cellStyle name="Comma 15 4" xfId="991"/>
    <cellStyle name="Comma 16 7" xfId="992"/>
    <cellStyle name="Comma 16 2" xfId="993"/>
    <cellStyle name="Comma 16 2 2" xfId="994"/>
    <cellStyle name="Comma 16 2 2 2" xfId="995"/>
    <cellStyle name="Comma 16 2 3" xfId="996"/>
    <cellStyle name="Comma 16 2 3 2" xfId="997"/>
    <cellStyle name="Comma 16 2 4" xfId="998"/>
    <cellStyle name="Comma 16 3" xfId="999"/>
    <cellStyle name="Comma 16 3 2" xfId="1000"/>
    <cellStyle name="Comma 16 3 2 2" xfId="1001"/>
    <cellStyle name="Comma 16 3 3" xfId="1002"/>
    <cellStyle name="Comma 16 3 3 2" xfId="1003"/>
    <cellStyle name="Comma 16 3 4" xfId="1004"/>
    <cellStyle name="Comma 16 4" xfId="1005"/>
    <cellStyle name="Comma 16 4 2" xfId="1006"/>
    <cellStyle name="Comma 16 5" xfId="1007"/>
    <cellStyle name="Comma 16 5 2" xfId="1008"/>
    <cellStyle name="Comma 16 6" xfId="1009"/>
    <cellStyle name="Comma 17" xfId="1010"/>
    <cellStyle name="Comma 17 2" xfId="1011"/>
    <cellStyle name="Comma 17 2 2" xfId="1012"/>
    <cellStyle name="Comma 17 3" xfId="1013"/>
    <cellStyle name="Comma 17 3 2" xfId="1014"/>
    <cellStyle name="Comma 17 4" xfId="1015"/>
    <cellStyle name="Comma 18" xfId="1016"/>
    <cellStyle name="Comma 18 2" xfId="1017"/>
    <cellStyle name="Comma 18 2 2" xfId="1018"/>
    <cellStyle name="Comma 18 3" xfId="1019"/>
    <cellStyle name="Comma 18 3 2" xfId="1020"/>
    <cellStyle name="Comma 18 4" xfId="1021"/>
    <cellStyle name="Comma 19" xfId="1022"/>
    <cellStyle name="Comma 19 2" xfId="1023"/>
    <cellStyle name="Comma 19 2 2" xfId="1024"/>
    <cellStyle name="Comma 19 3" xfId="1025"/>
    <cellStyle name="Comma 19 3 2" xfId="1026"/>
    <cellStyle name="Comma 19 4" xfId="1027"/>
    <cellStyle name="Comma 2 10" xfId="1028"/>
    <cellStyle name="Comma 2 12" xfId="1029"/>
    <cellStyle name="Comma 2 2 2 8" xfId="1030"/>
    <cellStyle name="Comma 2 2 2 2 6" xfId="1031"/>
    <cellStyle name="Comma 2 2 2 2 2 3" xfId="1032"/>
    <cellStyle name="Comma 2 2 2 2 2 2" xfId="1033"/>
    <cellStyle name="Comma 2 2 2 2 3" xfId="1034"/>
    <cellStyle name="Comma 2 2 2 2 4" xfId="1035"/>
    <cellStyle name="Comma 2 2 2 2 5" xfId="1036"/>
    <cellStyle name="Comma 2 2 2 2_1" xfId="1037"/>
    <cellStyle name="Comma 2 2 2 3 3" xfId="1038"/>
    <cellStyle name="Comma 2 2 2 3 2" xfId="1039"/>
    <cellStyle name="Comma 2 2 2 4 2" xfId="1040"/>
    <cellStyle name="Comma 2 2 2 5" xfId="1041"/>
    <cellStyle name="Comma 2 2 2 6" xfId="1042"/>
    <cellStyle name="Comma 2 2 2 7" xfId="1043"/>
    <cellStyle name="Comma 2 2 2_1" xfId="1044"/>
    <cellStyle name="Comma 2 2 3 9" xfId="1045"/>
    <cellStyle name="Comma 2 2 3 2 4" xfId="1046"/>
    <cellStyle name="Comma 2 2 3 2 2" xfId="1047"/>
    <cellStyle name="Comma 2 2 3 2 2 2" xfId="1048"/>
    <cellStyle name="Comma 2 2 3 2 2 2 2" xfId="1049"/>
    <cellStyle name="Comma 2 2 3 2 2 3" xfId="1050"/>
    <cellStyle name="Comma 2 2 3 2 2_1" xfId="1051"/>
    <cellStyle name="Comma 2 2 3 2 3" xfId="1052"/>
    <cellStyle name="Comma 2 2 3 2_1" xfId="1053"/>
    <cellStyle name="Comma 2 2 3 3 4" xfId="1054"/>
    <cellStyle name="Comma 2 2 3 3 2" xfId="1055"/>
    <cellStyle name="Comma 2 2 3 3 2 2" xfId="1056"/>
    <cellStyle name="Comma 2 2 3 3 3" xfId="1057"/>
    <cellStyle name="Comma 2 2 3 3_1" xfId="1058"/>
    <cellStyle name="Comma 2 2 3 4" xfId="1059"/>
    <cellStyle name="Comma 2 2 3 4 2" xfId="1060"/>
    <cellStyle name="Comma 2 2 3 5" xfId="1061"/>
    <cellStyle name="Comma 2 2 3 6" xfId="1062"/>
    <cellStyle name="Comma 2 2 3 7" xfId="1063"/>
    <cellStyle name="Comma 2 2 3 8" xfId="1064"/>
    <cellStyle name="Comma 2 2 3_1" xfId="1065"/>
    <cellStyle name="Comma 2 2 4 2 3" xfId="1066"/>
    <cellStyle name="Comma 2 2 4 2 2" xfId="1067"/>
    <cellStyle name="Comma 2 2 4 3 2" xfId="1068"/>
    <cellStyle name="Comma 2 2 4 4" xfId="1069"/>
    <cellStyle name="Comma 2 2 4 5" xfId="1070"/>
    <cellStyle name="Comma 2 2 4 6" xfId="1071"/>
    <cellStyle name="Comma 2 2 4_1" xfId="1072"/>
    <cellStyle name="Comma 2 2 5 3" xfId="1073"/>
    <cellStyle name="Comma 2 2 5 2" xfId="1074"/>
    <cellStyle name="Comma 2 2 7" xfId="1075"/>
    <cellStyle name="Comma 2 2 8" xfId="1076"/>
    <cellStyle name="Comma 2 2 9" xfId="1077"/>
    <cellStyle name="Comma 2 2_1" xfId="1078"/>
    <cellStyle name="Comma 2 3 9" xfId="1079"/>
    <cellStyle name="Comma 2 3 2 6" xfId="1080"/>
    <cellStyle name="Comma 2 3 2 2 5" xfId="1081"/>
    <cellStyle name="Comma 2 3 2 2 2" xfId="1082"/>
    <cellStyle name="Comma 2 3 2 2 3" xfId="1083"/>
    <cellStyle name="Comma 2 3 2 2 4" xfId="1084"/>
    <cellStyle name="Comma 2 3 2 3 4" xfId="1085"/>
    <cellStyle name="Comma 2 3 2 3 2" xfId="1086"/>
    <cellStyle name="Comma 2 3 2 3 3" xfId="1087"/>
    <cellStyle name="Comma 2 3 2 4" xfId="1088"/>
    <cellStyle name="Comma 2 3 2 5" xfId="1089"/>
    <cellStyle name="Comma 2 3 2_1" xfId="1090"/>
    <cellStyle name="Comma 2 3 3 6" xfId="1091"/>
    <cellStyle name="Comma 2 3 3 2" xfId="1092"/>
    <cellStyle name="Comma 2 3 3 2 2" xfId="1093"/>
    <cellStyle name="Comma 2 3 3 2 3" xfId="1094"/>
    <cellStyle name="Comma 2 3 3 3" xfId="1095"/>
    <cellStyle name="Comma 2 3 3 3 2" xfId="1096"/>
    <cellStyle name="Comma 2 3 3 4" xfId="1097"/>
    <cellStyle name="Comma 2 3 3 5" xfId="1098"/>
    <cellStyle name="Comma 2 3 4 5" xfId="1099"/>
    <cellStyle name="Comma 2 3 4 2" xfId="1100"/>
    <cellStyle name="Comma 2 3 4 3" xfId="1101"/>
    <cellStyle name="Comma 2 3 4 4" xfId="1102"/>
    <cellStyle name="Comma 2 3 5" xfId="1103"/>
    <cellStyle name="Comma 2 3 5 2" xfId="1104"/>
    <cellStyle name="Comma 2 3 5 3" xfId="1105"/>
    <cellStyle name="Comma 2 3 6" xfId="1106"/>
    <cellStyle name="Comma 2 3 7" xfId="1107"/>
    <cellStyle name="Comma 2 3 8" xfId="1108"/>
    <cellStyle name="Comma 2 3_1" xfId="1109"/>
    <cellStyle name="Comma 2 4 7" xfId="1110"/>
    <cellStyle name="Comma 2 4 2 5" xfId="1111"/>
    <cellStyle name="Comma 2 4 2 2" xfId="1112"/>
    <cellStyle name="Comma 2 4 2 3" xfId="1113"/>
    <cellStyle name="Comma 2 4 2 4" xfId="1114"/>
    <cellStyle name="Comma 2 4 3 2" xfId="1115"/>
    <cellStyle name="Comma 2 4 4 2" xfId="1116"/>
    <cellStyle name="Comma 2 4 5" xfId="1117"/>
    <cellStyle name="Comma 2 4 6" xfId="1118"/>
    <cellStyle name="Comma 2 4_1" xfId="1119"/>
    <cellStyle name="Comma 2 5 6" xfId="1120"/>
    <cellStyle name="Comma 2 5 2" xfId="1121"/>
    <cellStyle name="Comma 2 5 3" xfId="1122"/>
    <cellStyle name="Comma 2 5 4" xfId="1123"/>
    <cellStyle name="Comma 2 6 3" xfId="1124"/>
    <cellStyle name="Comma 2 6 2" xfId="1125"/>
    <cellStyle name="Comma 2 7 3" xfId="1126"/>
    <cellStyle name="Comma 2 7 2" xfId="1127"/>
    <cellStyle name="Comma 2 8 2" xfId="1128"/>
    <cellStyle name="Comma 2 9 3" xfId="1129"/>
    <cellStyle name="Comma 2 9 2" xfId="1130"/>
    <cellStyle name="Comma 2_1" xfId="1131"/>
    <cellStyle name="Comma 20" xfId="1132"/>
    <cellStyle name="Comma 20 2" xfId="1133"/>
    <cellStyle name="Comma 20 2 2" xfId="1134"/>
    <cellStyle name="Comma 20 3" xfId="1135"/>
    <cellStyle name="Comma 20 3 2" xfId="1136"/>
    <cellStyle name="Comma 20 4" xfId="1137"/>
    <cellStyle name="Comma 21" xfId="1138"/>
    <cellStyle name="Comma 21 2" xfId="1139"/>
    <cellStyle name="Comma 21 2 2" xfId="1140"/>
    <cellStyle name="Comma 21 3" xfId="1141"/>
    <cellStyle name="Comma 21 3 2" xfId="1142"/>
    <cellStyle name="Comma 21 4" xfId="1143"/>
    <cellStyle name="Comma 22" xfId="1144"/>
    <cellStyle name="Comma 22 2" xfId="1145"/>
    <cellStyle name="Comma 22 2 2" xfId="1146"/>
    <cellStyle name="Comma 22 3" xfId="1147"/>
    <cellStyle name="Comma 22 3 2" xfId="1148"/>
    <cellStyle name="Comma 22 4" xfId="1149"/>
    <cellStyle name="Comma 23" xfId="1150"/>
    <cellStyle name="Comma 23 2" xfId="1151"/>
    <cellStyle name="Comma 23 2 2" xfId="1152"/>
    <cellStyle name="Comma 23 3" xfId="1153"/>
    <cellStyle name="Comma 23 3 2" xfId="1154"/>
    <cellStyle name="Comma 23 4" xfId="1155"/>
    <cellStyle name="Comma 24" xfId="1156"/>
    <cellStyle name="Comma 24 2" xfId="1157"/>
    <cellStyle name="Comma 24 2 2" xfId="1158"/>
    <cellStyle name="Comma 24 3" xfId="1159"/>
    <cellStyle name="Comma 24 3 2" xfId="1160"/>
    <cellStyle name="Comma 24 4" xfId="1161"/>
    <cellStyle name="Comma 25" xfId="1162"/>
    <cellStyle name="Comma 25 2" xfId="1163"/>
    <cellStyle name="Comma 25 2 2" xfId="1164"/>
    <cellStyle name="Comma 25 3" xfId="1165"/>
    <cellStyle name="Comma 25 3 2" xfId="1166"/>
    <cellStyle name="Comma 25 4" xfId="1167"/>
    <cellStyle name="Comma 26" xfId="1168"/>
    <cellStyle name="Comma 26 2" xfId="1169"/>
    <cellStyle name="Comma 26 2 2" xfId="1170"/>
    <cellStyle name="Comma 26 3" xfId="1171"/>
    <cellStyle name="Comma 26 3 2" xfId="1172"/>
    <cellStyle name="Comma 26 4" xfId="1173"/>
    <cellStyle name="Comma 27" xfId="1174"/>
    <cellStyle name="Comma 27 2" xfId="1175"/>
    <cellStyle name="Comma 27 2 2" xfId="1176"/>
    <cellStyle name="Comma 27 3" xfId="1177"/>
    <cellStyle name="Comma 27 3 2" xfId="1178"/>
    <cellStyle name="Comma 27 4" xfId="1179"/>
    <cellStyle name="Comma 28" xfId="1180"/>
    <cellStyle name="Comma 28 2" xfId="1181"/>
    <cellStyle name="Comma 28 2 2" xfId="1182"/>
    <cellStyle name="Comma 28 3" xfId="1183"/>
    <cellStyle name="Comma 28 3 2" xfId="1184"/>
    <cellStyle name="Comma 28 4" xfId="1185"/>
    <cellStyle name="Comma 29" xfId="1186"/>
    <cellStyle name="Comma 29 2" xfId="1187"/>
    <cellStyle name="Comma 29 2 2" xfId="1188"/>
    <cellStyle name="Comma 29 3" xfId="1189"/>
    <cellStyle name="Comma 29 3 2" xfId="1190"/>
    <cellStyle name="Comma 29 4" xfId="1191"/>
    <cellStyle name="Comma 3 2 6" xfId="1192"/>
    <cellStyle name="Comma 3 2 2 4" xfId="1193"/>
    <cellStyle name="Comma 3 2 2 2" xfId="1194"/>
    <cellStyle name="Comma 3 2 2 3" xfId="1195"/>
    <cellStyle name="Comma 3 2 3 4" xfId="1196"/>
    <cellStyle name="Comma 3 2 3 2" xfId="1197"/>
    <cellStyle name="Comma 3 2 4 2" xfId="1198"/>
    <cellStyle name="Comma 3 2 5 2" xfId="1199"/>
    <cellStyle name="Comma 3 3 2 2" xfId="1200"/>
    <cellStyle name="Comma 3 3 3 3" xfId="1201"/>
    <cellStyle name="Comma 3 3 3 2" xfId="1202"/>
    <cellStyle name="Comma 3 3 4" xfId="1203"/>
    <cellStyle name="Comma 3 3 5" xfId="1204"/>
    <cellStyle name="Comma 3 4 4" xfId="1205"/>
    <cellStyle name="Comma 3 4 2" xfId="1206"/>
    <cellStyle name="Comma 3 4 3" xfId="1207"/>
    <cellStyle name="Comma 3 5 3" xfId="1208"/>
    <cellStyle name="Comma 3 5 2" xfId="1209"/>
    <cellStyle name="Comma 3 6 2" xfId="1210"/>
    <cellStyle name="Comma 3 7 2" xfId="1211"/>
    <cellStyle name="Comma 30" xfId="1212"/>
    <cellStyle name="Comma 30 2" xfId="1213"/>
    <cellStyle name="Comma 30 2 2" xfId="1214"/>
    <cellStyle name="Comma 30 3" xfId="1215"/>
    <cellStyle name="Comma 30 3 2" xfId="1216"/>
    <cellStyle name="Comma 30 4" xfId="1217"/>
    <cellStyle name="Comma 31" xfId="1218"/>
    <cellStyle name="Comma 31 2" xfId="1219"/>
    <cellStyle name="Comma 31 2 2" xfId="1220"/>
    <cellStyle name="Comma 31 3" xfId="1221"/>
    <cellStyle name="Comma 31 3 2" xfId="1222"/>
    <cellStyle name="Comma 31 4" xfId="1223"/>
    <cellStyle name="Comma 32" xfId="1224"/>
    <cellStyle name="Comma 32 2" xfId="1225"/>
    <cellStyle name="Comma 32 2 2" xfId="1226"/>
    <cellStyle name="Comma 32 3" xfId="1227"/>
    <cellStyle name="Comma 32 3 2" xfId="1228"/>
    <cellStyle name="Comma 32 4" xfId="1229"/>
    <cellStyle name="Comma 33" xfId="1230"/>
    <cellStyle name="Comma 33 2" xfId="1231"/>
    <cellStyle name="Comma 34" xfId="1232"/>
    <cellStyle name="Comma 34 2" xfId="1233"/>
    <cellStyle name="Comma 35" xfId="1234"/>
    <cellStyle name="Comma 35 2" xfId="1235"/>
    <cellStyle name="Comma 36" xfId="1236"/>
    <cellStyle name="Comma 36 2" xfId="1237"/>
    <cellStyle name="Comma 37" xfId="1238"/>
    <cellStyle name="Comma 38" xfId="1239"/>
    <cellStyle name="Comma 4 2 5" xfId="1240"/>
    <cellStyle name="Comma 4 2 2 2" xfId="1241"/>
    <cellStyle name="Comma 4 2 3 2" xfId="1242"/>
    <cellStyle name="Comma 4 3 4" xfId="1243"/>
    <cellStyle name="Comma 4 3 2" xfId="1244"/>
    <cellStyle name="Comma 4 3 3" xfId="1245"/>
    <cellStyle name="Comma 4 5 2" xfId="1246"/>
    <cellStyle name="Comma 5 2 6" xfId="1247"/>
    <cellStyle name="Comma 5 2 3 3" xfId="1248"/>
    <cellStyle name="Comma 5 3 4" xfId="1249"/>
    <cellStyle name="Comma 5 3 3 2" xfId="1250"/>
    <cellStyle name="Comma 5 5 2" xfId="1251"/>
    <cellStyle name="Comma 6 6" xfId="1252"/>
    <cellStyle name="Comma 6 2 3" xfId="1253"/>
    <cellStyle name="Comma 6 2 2 2" xfId="1254"/>
    <cellStyle name="Comma 6 3 3" xfId="1255"/>
    <cellStyle name="Comma 6 3 2" xfId="1256"/>
    <cellStyle name="Comma 6 4 2" xfId="1257"/>
    <cellStyle name="Comma 6 5" xfId="1258"/>
    <cellStyle name="Comma 7 6" xfId="1259"/>
    <cellStyle name="Comma 7 2 4" xfId="1260"/>
    <cellStyle name="Comma 7 2 2 2" xfId="1261"/>
    <cellStyle name="Comma 7 3 3" xfId="1262"/>
    <cellStyle name="Comma 7 3 2" xfId="1263"/>
    <cellStyle name="Comma 7 4 2" xfId="1264"/>
    <cellStyle name="Comma 7 5" xfId="1265"/>
    <cellStyle name="Comma 8 6" xfId="1266"/>
    <cellStyle name="Comma 8 2 3" xfId="1267"/>
    <cellStyle name="Comma 8 2 2 2" xfId="1268"/>
    <cellStyle name="Comma 8 3 3" xfId="1269"/>
    <cellStyle name="Comma 8 3 2" xfId="1270"/>
    <cellStyle name="Comma 8 4 2" xfId="1271"/>
    <cellStyle name="Comma 8 5" xfId="1272"/>
    <cellStyle name="Comma 84" xfId="1273"/>
    <cellStyle name="Comma 84 2" xfId="1274"/>
    <cellStyle name="Comma 84 2 2" xfId="1275"/>
    <cellStyle name="Comma 84 2 2 2" xfId="1276"/>
    <cellStyle name="Comma 84 2 3" xfId="1277"/>
    <cellStyle name="Comma 84 2 3 2" xfId="1278"/>
    <cellStyle name="Comma 84 2 4" xfId="1279"/>
    <cellStyle name="Comma 84 3" xfId="1280"/>
    <cellStyle name="Comma 84 3 2" xfId="1281"/>
    <cellStyle name="Comma 84 4" xfId="1282"/>
    <cellStyle name="Comma 9 5" xfId="1283"/>
    <cellStyle name="Comma 9 2 3" xfId="1284"/>
    <cellStyle name="Comma 9 2 2" xfId="1285"/>
    <cellStyle name="Comma 9 3" xfId="1286"/>
    <cellStyle name="Comma 9 3 2" xfId="1287"/>
    <cellStyle name="Comma 9 4" xfId="1288"/>
    <cellStyle name="consultationStyle" xfId="1289"/>
    <cellStyle name="dataStyle" xfId="1290"/>
    <cellStyle name="dataStyle 2 3" xfId="1291"/>
    <cellStyle name="dataStyle 2 2 2" xfId="1292"/>
    <cellStyle name="dataStyle 3 3" xfId="1293"/>
    <cellStyle name="dataStyle 3 2 2" xfId="1294"/>
    <cellStyle name="dataStyle 4" xfId="1295"/>
    <cellStyle name="dateStyle" xfId="1296"/>
    <cellStyle name="dateStyle 2" xfId="1297"/>
    <cellStyle name="entry box 3" xfId="1298"/>
    <cellStyle name="entry box 2 2" xfId="1299"/>
    <cellStyle name="evenStyle" xfId="1300"/>
    <cellStyle name="evenStyle 2" xfId="1301"/>
    <cellStyle name="Good 2 2 2" xfId="1302"/>
    <cellStyle name="Good 3" xfId="1303"/>
    <cellStyle name="Good 4" xfId="1304"/>
    <cellStyle name="Header1 4" xfId="1305"/>
    <cellStyle name="Header2 2" xfId="1306"/>
    <cellStyle name="headStyle" xfId="1307"/>
    <cellStyle name="headStyle 2" xfId="1308"/>
    <cellStyle name="Hyperlink 2 2 5" xfId="1309"/>
    <cellStyle name="Hyperlink 2 2 2" xfId="1310"/>
    <cellStyle name="Hyperlink 2 2 4" xfId="1311"/>
    <cellStyle name="Hyperlink 2 3 2" xfId="1312"/>
    <cellStyle name="Hyperlink 4 2 3" xfId="1313"/>
    <cellStyle name="Hyperlink 4 2 2" xfId="1314"/>
    <cellStyle name="Hyperlink 5 3" xfId="1315"/>
    <cellStyle name="Hyperlink 5 2" xfId="1316"/>
    <cellStyle name="Hyperlink 6" xfId="1317"/>
    <cellStyle name="Input [yellow] 3" xfId="1318"/>
    <cellStyle name="Input [yellow] 2 2" xfId="1319"/>
    <cellStyle name="Neutral 2" xfId="1320"/>
    <cellStyle name="Normal 10 10 2" xfId="1321"/>
    <cellStyle name="Normal 10 2 2 3" xfId="1322"/>
    <cellStyle name="Normal 106 2" xfId="1323"/>
    <cellStyle name="Normal 11 3" xfId="1324"/>
    <cellStyle name="Normal 111 2 3 2" xfId="1325"/>
    <cellStyle name="Normal 118 2" xfId="1326"/>
    <cellStyle name="Normal 121 3" xfId="1327"/>
    <cellStyle name="Normal 121 2 2 2 3" xfId="1328"/>
    <cellStyle name="Normal 121 2 2 2 2 2" xfId="1329"/>
    <cellStyle name="Normal 121 2 2 3" xfId="1330"/>
    <cellStyle name="Normal 121 2 3 3" xfId="1331"/>
    <cellStyle name="Normal 121 2 3 2" xfId="1332"/>
    <cellStyle name="Normal 121 2 4 2" xfId="1333"/>
    <cellStyle name="Normal 124" xfId="1334"/>
    <cellStyle name="Normal 124 2" xfId="1335"/>
    <cellStyle name="Normal 124 2 2" xfId="1336"/>
    <cellStyle name="Normal 125 4" xfId="1337"/>
    <cellStyle name="Normal 125 2 3" xfId="1338"/>
    <cellStyle name="Normal 125 2 2" xfId="1339"/>
    <cellStyle name="Normal 125 3" xfId="1340"/>
    <cellStyle name="Normal 126 4" xfId="1341"/>
    <cellStyle name="Normal 126 2 3" xfId="1342"/>
    <cellStyle name="Normal 126 2 2" xfId="1343"/>
    <cellStyle name="Normal 126 3" xfId="1344"/>
    <cellStyle name="Normal 129" xfId="1345"/>
    <cellStyle name="Normal 129 2" xfId="1346"/>
    <cellStyle name="Normal 182 3" xfId="1347"/>
    <cellStyle name="Normal 182 2 2" xfId="1348"/>
    <cellStyle name="Normal 2 10 2 2" xfId="1349"/>
    <cellStyle name="Normal 2 16" xfId="1350"/>
    <cellStyle name="Normal 2 18" xfId="1351"/>
    <cellStyle name="Normal 2 2 2 2 3" xfId="1352"/>
    <cellStyle name="Normal 2 2_2" xfId="1353"/>
    <cellStyle name="Normal 2 3 2 2 3 2" xfId="1354"/>
    <cellStyle name="Normal 2 3 2 3 2" xfId="1355"/>
    <cellStyle name="Normal 2 3 2 4" xfId="1356"/>
    <cellStyle name="Normal 2 3 4 3" xfId="1357"/>
    <cellStyle name="Normal 2 3 4 2 3" xfId="1358"/>
    <cellStyle name="Normal 2 3 5 3" xfId="1359"/>
    <cellStyle name="Normal 2 4 2 3" xfId="1360"/>
    <cellStyle name="Normal 2 4 2 2" xfId="1361"/>
    <cellStyle name="Normal 2 4 3 2" xfId="1362"/>
    <cellStyle name="Normal 2 4 4" xfId="1363"/>
    <cellStyle name="Normal 2 5 4" xfId="1364"/>
    <cellStyle name="Normal 2 5 2 2" xfId="1365"/>
    <cellStyle name="Normal 2 6 2" xfId="1366"/>
    <cellStyle name="Normal 2 8" xfId="1367"/>
    <cellStyle name="Normal 2 9" xfId="1368"/>
    <cellStyle name="Normal 2 9 2" xfId="1369"/>
    <cellStyle name="Normal 2_1" xfId="1370"/>
    <cellStyle name="Normal 3 7" xfId="1371"/>
    <cellStyle name="Normal 3 2 7" xfId="1372"/>
    <cellStyle name="Normal 3 2 2 2" xfId="1373"/>
    <cellStyle name="Normal 3 2 3 3" xfId="1374"/>
    <cellStyle name="Normal 3 2 3 2" xfId="1375"/>
    <cellStyle name="Normal 3 2 4 2" xfId="1376"/>
    <cellStyle name="Normal 3 2 5 2" xfId="1377"/>
    <cellStyle name="Normal 3 2_2" xfId="1378"/>
    <cellStyle name="Normal 3 3 3" xfId="1379"/>
    <cellStyle name="Normal 3 3 2 2" xfId="1380"/>
    <cellStyle name="Normal 3 4 2" xfId="1381"/>
    <cellStyle name="Normal 3 5 2" xfId="1382"/>
    <cellStyle name="Normal 3_1" xfId="1383"/>
    <cellStyle name="Normal 32" xfId="1384"/>
    <cellStyle name="Normal 32 2" xfId="1385"/>
    <cellStyle name="Normal 4 2 2 2" xfId="1386"/>
    <cellStyle name="Normal 4 2 3 2" xfId="1387"/>
    <cellStyle name="Normal 4 3 2 2" xfId="1388"/>
    <cellStyle name="Normal 4 3 3 2" xfId="1389"/>
    <cellStyle name="Normal 4 4 2" xfId="1390"/>
    <cellStyle name="Normal 4 5 2" xfId="1391"/>
    <cellStyle name="Normal 5 2 2" xfId="1392"/>
    <cellStyle name="Normal 5 3 3" xfId="1393"/>
    <cellStyle name="Normal 5 4 2" xfId="1394"/>
    <cellStyle name="Normal 56" xfId="1395"/>
    <cellStyle name="Normal 6 2 2 2" xfId="1396"/>
    <cellStyle name="Normal 6 3 2" xfId="1397"/>
    <cellStyle name="Normal 6 4 2" xfId="1398"/>
    <cellStyle name="Normal 6_3" xfId="1399"/>
    <cellStyle name="Normal 7 8" xfId="1400"/>
    <cellStyle name="Normal 7 2 4" xfId="1401"/>
    <cellStyle name="Normal 7 2 2" xfId="1402"/>
    <cellStyle name="Normal 7 2 2 2" xfId="1403"/>
    <cellStyle name="Normal 7 2 2_1" xfId="1404"/>
    <cellStyle name="Normal 7 2 3" xfId="1405"/>
    <cellStyle name="Normal 7 2_1" xfId="1406"/>
    <cellStyle name="Normal 7 3 5" xfId="1407"/>
    <cellStyle name="Normal 7 3 2" xfId="1408"/>
    <cellStyle name="Normal 7 3 3" xfId="1409"/>
    <cellStyle name="Normal 7 3 3 2" xfId="1410"/>
    <cellStyle name="Normal 7 3 3_1" xfId="1411"/>
    <cellStyle name="Normal 7 3 4" xfId="1412"/>
    <cellStyle name="Normal 7 3_1" xfId="1413"/>
    <cellStyle name="Normal 7 4 2" xfId="1414"/>
    <cellStyle name="Normal 7 5" xfId="1415"/>
    <cellStyle name="Normal 7 6" xfId="1416"/>
    <cellStyle name="Normal 7 7" xfId="1417"/>
    <cellStyle name="Normal 7_1" xfId="1418"/>
    <cellStyle name="Normal 8 2 3" xfId="1419"/>
    <cellStyle name="Normal 8 3 2" xfId="1420"/>
    <cellStyle name="Normal 9 2 3" xfId="1421"/>
    <cellStyle name="Percent 2 2 4" xfId="1422"/>
    <cellStyle name="Percent 2 2 2" xfId="1423"/>
    <cellStyle name="Percent 2 2 3" xfId="1424"/>
    <cellStyle name="Percent 2 3 4" xfId="1425"/>
    <cellStyle name="Percent 2 3 2" xfId="1426"/>
    <cellStyle name="Percent 2 3 2 2" xfId="1427"/>
    <cellStyle name="Percent 2 3 3" xfId="1428"/>
    <cellStyle name="Percent 2 4 2" xfId="1429"/>
    <cellStyle name="Percent 2 5" xfId="1430"/>
    <cellStyle name="Percent 2 6" xfId="1431"/>
    <cellStyle name="Percent 2_3" xfId="1432"/>
    <cellStyle name="Percent 3 4" xfId="1433"/>
    <cellStyle name="Percent 3 2 2" xfId="1434"/>
    <cellStyle name="Percent 4 3" xfId="1435"/>
    <cellStyle name="Percent 4 2" xfId="1436"/>
    <cellStyle name="Percent 5 3" xfId="1437"/>
    <cellStyle name="Percent 6" xfId="1438"/>
    <cellStyle name="Prefilled 3" xfId="1439"/>
    <cellStyle name="Prefilled 2 2" xfId="1440"/>
    <cellStyle name="SAPBEXaggData 4" xfId="1441"/>
    <cellStyle name="SAPBEXaggData 2 3" xfId="1442"/>
    <cellStyle name="SAPBEXaggData 2 2 2" xfId="1443"/>
    <cellStyle name="SAPBEXaggData 3 2" xfId="1444"/>
    <cellStyle name="SAPBEXaggDataEmph 4" xfId="1445"/>
    <cellStyle name="SAPBEXaggDataEmph 2 3" xfId="1446"/>
    <cellStyle name="SAPBEXaggDataEmph 2 2 2" xfId="1447"/>
    <cellStyle name="SAPBEXaggDataEmph 3 2" xfId="1448"/>
    <cellStyle name="SAPBEXaggItem 4" xfId="1449"/>
    <cellStyle name="SAPBEXaggItem 2 3" xfId="1450"/>
    <cellStyle name="SAPBEXaggItem 2 2 2" xfId="1451"/>
    <cellStyle name="SAPBEXaggItem 3 2" xfId="1452"/>
    <cellStyle name="SAPBEXaggItemX 4" xfId="1453"/>
    <cellStyle name="SAPBEXaggItemX 2 3" xfId="1454"/>
    <cellStyle name="SAPBEXaggItemX 2 2 2" xfId="1455"/>
    <cellStyle name="SAPBEXaggItemX 3 2" xfId="1456"/>
    <cellStyle name="SAPBEXexcBad7 4" xfId="1457"/>
    <cellStyle name="SAPBEXexcBad7 2 3" xfId="1458"/>
    <cellStyle name="SAPBEXexcBad7 2 2 2" xfId="1459"/>
    <cellStyle name="SAPBEXexcBad7 3 2" xfId="1460"/>
    <cellStyle name="SAPBEXexcBad8 4" xfId="1461"/>
    <cellStyle name="SAPBEXexcBad8 2 3" xfId="1462"/>
    <cellStyle name="SAPBEXexcBad8 2 2 2" xfId="1463"/>
    <cellStyle name="SAPBEXexcBad8 3 2" xfId="1464"/>
    <cellStyle name="SAPBEXexcBad9 4" xfId="1465"/>
    <cellStyle name="SAPBEXexcBad9 2 3" xfId="1466"/>
    <cellStyle name="SAPBEXexcBad9 2 2 2" xfId="1467"/>
    <cellStyle name="SAPBEXexcBad9 3 2" xfId="1468"/>
    <cellStyle name="SAPBEXexcCritical4 4" xfId="1469"/>
    <cellStyle name="SAPBEXexcCritical4 2 3" xfId="1470"/>
    <cellStyle name="SAPBEXexcCritical4 2 2 2" xfId="1471"/>
    <cellStyle name="SAPBEXexcCritical4 3 2" xfId="1472"/>
    <cellStyle name="SAPBEXexcCritical5 4" xfId="1473"/>
    <cellStyle name="SAPBEXexcCritical5 2 3" xfId="1474"/>
    <cellStyle name="SAPBEXexcCritical5 2 2 2" xfId="1475"/>
    <cellStyle name="SAPBEXexcCritical5 3 2" xfId="1476"/>
    <cellStyle name="SAPBEXexcCritical6 4" xfId="1477"/>
    <cellStyle name="SAPBEXexcCritical6 2 3" xfId="1478"/>
    <cellStyle name="SAPBEXexcCritical6 2 2 2" xfId="1479"/>
    <cellStyle name="SAPBEXexcCritical6 3 2" xfId="1480"/>
    <cellStyle name="SAPBEXexcGood1 4" xfId="1481"/>
    <cellStyle name="SAPBEXexcGood1 2 3" xfId="1482"/>
    <cellStyle name="SAPBEXexcGood1 2 2 2" xfId="1483"/>
    <cellStyle name="SAPBEXexcGood1 3 2" xfId="1484"/>
    <cellStyle name="SAPBEXexcGood2 4" xfId="1485"/>
    <cellStyle name="SAPBEXexcGood2 2 3" xfId="1486"/>
    <cellStyle name="SAPBEXexcGood2 2 2 2" xfId="1487"/>
    <cellStyle name="SAPBEXexcGood2 3 2" xfId="1488"/>
    <cellStyle name="SAPBEXexcGood3 4" xfId="1489"/>
    <cellStyle name="SAPBEXexcGood3 2 3" xfId="1490"/>
    <cellStyle name="SAPBEXexcGood3 2 2 2" xfId="1491"/>
    <cellStyle name="SAPBEXexcGood3 3 2" xfId="1492"/>
    <cellStyle name="SAPBEXfilterDrill 5" xfId="1493"/>
    <cellStyle name="SAPBEXformats 4" xfId="1494"/>
    <cellStyle name="SAPBEXformats 2 3" xfId="1495"/>
    <cellStyle name="SAPBEXformats 2 2 2" xfId="1496"/>
    <cellStyle name="SAPBEXformats 3 2" xfId="1497"/>
    <cellStyle name="SAPBEXHLevel0 4" xfId="1498"/>
    <cellStyle name="SAPBEXHLevel0 2 3" xfId="1499"/>
    <cellStyle name="SAPBEXHLevel0 2 2 2" xfId="1500"/>
    <cellStyle name="SAPBEXHLevel0 3 2" xfId="1501"/>
    <cellStyle name="SAPBEXHLevel0X 4" xfId="1502"/>
    <cellStyle name="SAPBEXHLevel0X 2 3" xfId="1503"/>
    <cellStyle name="SAPBEXHLevel0X 2 2 2" xfId="1504"/>
    <cellStyle name="SAPBEXHLevel0X 3 2" xfId="1505"/>
    <cellStyle name="SAPBEXHLevel1 4" xfId="1506"/>
    <cellStyle name="SAPBEXHLevel1 2 3" xfId="1507"/>
    <cellStyle name="SAPBEXHLevel1 2 2 2" xfId="1508"/>
    <cellStyle name="SAPBEXHLevel1 3 2" xfId="1509"/>
    <cellStyle name="SAPBEXHLevel1X 4" xfId="1510"/>
    <cellStyle name="SAPBEXHLevel1X 2 3" xfId="1511"/>
    <cellStyle name="SAPBEXHLevel1X 2 2 2" xfId="1512"/>
    <cellStyle name="SAPBEXHLevel1X 3 2" xfId="1513"/>
    <cellStyle name="SAPBEXHLevel2 4" xfId="1514"/>
    <cellStyle name="SAPBEXHLevel2 2 3" xfId="1515"/>
    <cellStyle name="SAPBEXHLevel2 2 2 2" xfId="1516"/>
    <cellStyle name="SAPBEXHLevel2 3 2" xfId="1517"/>
    <cellStyle name="SAPBEXHLevel2X 4" xfId="1518"/>
    <cellStyle name="SAPBEXHLevel2X 2 3" xfId="1519"/>
    <cellStyle name="SAPBEXHLevel2X 2 2 2" xfId="1520"/>
    <cellStyle name="SAPBEXHLevel2X 3 2" xfId="1521"/>
    <cellStyle name="SAPBEXHLevel3 4" xfId="1522"/>
    <cellStyle name="SAPBEXHLevel3 2 3" xfId="1523"/>
    <cellStyle name="SAPBEXHLevel3 2 2 2" xfId="1524"/>
    <cellStyle name="SAPBEXHLevel3 3 2" xfId="1525"/>
    <cellStyle name="SAPBEXHLevel3X 4" xfId="1526"/>
    <cellStyle name="SAPBEXHLevel3X 2 3" xfId="1527"/>
    <cellStyle name="SAPBEXHLevel3X 2 2 2" xfId="1528"/>
    <cellStyle name="SAPBEXHLevel3X 3 2" xfId="1529"/>
    <cellStyle name="SAPBEXresData 4" xfId="1530"/>
    <cellStyle name="SAPBEXresData 2 3" xfId="1531"/>
    <cellStyle name="SAPBEXresData 2 2 2" xfId="1532"/>
    <cellStyle name="SAPBEXresData 3 2" xfId="1533"/>
    <cellStyle name="SAPBEXresDataEmph 4" xfId="1534"/>
    <cellStyle name="SAPBEXresDataEmph 2 3" xfId="1535"/>
    <cellStyle name="SAPBEXresDataEmph 2 2 2" xfId="1536"/>
    <cellStyle name="SAPBEXresDataEmph 3 2" xfId="1537"/>
    <cellStyle name="SAPBEXresItem 4" xfId="1538"/>
    <cellStyle name="SAPBEXresItem 2 3" xfId="1539"/>
    <cellStyle name="SAPBEXresItem 2 2 2" xfId="1540"/>
    <cellStyle name="SAPBEXresItem 3 2" xfId="1541"/>
    <cellStyle name="SAPBEXresItemX 4" xfId="1542"/>
    <cellStyle name="SAPBEXresItemX 2 3" xfId="1543"/>
    <cellStyle name="SAPBEXresItemX 2 2 2" xfId="1544"/>
    <cellStyle name="SAPBEXresItemX 3 2" xfId="1545"/>
    <cellStyle name="SAPBEXstdData 4" xfId="1546"/>
    <cellStyle name="SAPBEXstdData 2 3" xfId="1547"/>
    <cellStyle name="SAPBEXstdData 2 2 2" xfId="1548"/>
    <cellStyle name="SAPBEXstdData 3 2" xfId="1549"/>
    <cellStyle name="SAPBEXstdDataEmph 4" xfId="1550"/>
    <cellStyle name="SAPBEXstdDataEmph 2 3" xfId="1551"/>
    <cellStyle name="SAPBEXstdDataEmph 2 2 2" xfId="1552"/>
    <cellStyle name="SAPBEXstdDataEmph 3 2" xfId="1553"/>
    <cellStyle name="SAPBEXstdItem 4" xfId="1554"/>
    <cellStyle name="SAPBEXstdItem 2 3" xfId="1555"/>
    <cellStyle name="SAPBEXstdItem 2 2 2" xfId="1556"/>
    <cellStyle name="SAPBEXstdItem 3 2" xfId="1557"/>
    <cellStyle name="SAPBEXstdItemX 4" xfId="1558"/>
    <cellStyle name="SAPBEXstdItemX 2 3" xfId="1559"/>
    <cellStyle name="SAPBEXstdItemX 2 2 2" xfId="1560"/>
    <cellStyle name="SAPBEXstdItemX 3 2" xfId="1561"/>
    <cellStyle name="SAPBEXundefined 4" xfId="1562"/>
    <cellStyle name="SAPBEXundefined 2 3" xfId="1563"/>
    <cellStyle name="SAPBEXundefined 2 2 2" xfId="1564"/>
    <cellStyle name="SAPBEXundefined 3 2" xfId="1565"/>
    <cellStyle name="百分比 2 2 2" xfId="1566"/>
    <cellStyle name="百分比 3 2 3" xfId="1567"/>
    <cellStyle name="百分比 4 5" xfId="1568"/>
    <cellStyle name="常规 2 2 2 2 3" xfId="1569"/>
    <cellStyle name="常规 2 2 2 2 2" xfId="1570"/>
    <cellStyle name="常规 2 2 2 3 2" xfId="1571"/>
    <cellStyle name="常规 2 2 3 2 2" xfId="1572"/>
    <cellStyle name="常规 2 4 2" xfId="1573"/>
    <cellStyle name="常规 2 5 2" xfId="1574"/>
    <cellStyle name="常规 2 6 2" xfId="1575"/>
    <cellStyle name="常规 3 2 2 4" xfId="1576"/>
    <cellStyle name="常规 3 2 2 2 2" xfId="1577"/>
    <cellStyle name="常规 3 2_3" xfId="1578"/>
    <cellStyle name="常规 3 3 4" xfId="1579"/>
    <cellStyle name="常规 3 3 2 2" xfId="1580"/>
    <cellStyle name="常规 3 4 2" xfId="1581"/>
    <cellStyle name="常规 3 5" xfId="1582"/>
    <cellStyle name="常规 3_1" xfId="1583"/>
    <cellStyle name="常规 4 2 4" xfId="1584"/>
    <cellStyle name="常规 4 3 2" xfId="1585"/>
    <cellStyle name="常规 5 2 2" xfId="1586"/>
    <cellStyle name="常规 6 2" xfId="1587"/>
    <cellStyle name="常规 7 2 2" xfId="1588"/>
    <cellStyle name="常规 8 2 2" xfId="1589"/>
    <cellStyle name="超链接 2 2 3" xfId="1590"/>
    <cellStyle name="常规 3 7" xfId="1591"/>
    <cellStyle name="Comma 2 2 10" xfId="1592"/>
    <cellStyle name="千位分隔 2 2 2 2 2" xfId="1593"/>
    <cellStyle name="千位分隔 2 2 3 2" xfId="1594"/>
    <cellStyle name="千位分隔 2 2 4 2" xfId="1595"/>
    <cellStyle name="千位分隔 2 2 5 2" xfId="1596"/>
    <cellStyle name="千位分隔 2 3 4" xfId="1597"/>
    <cellStyle name="千位分隔 2 3 2 2" xfId="1598"/>
    <cellStyle name="千位分隔 2 3 3 2" xfId="1599"/>
    <cellStyle name="千位分隔 2 4 2" xfId="1600"/>
    <cellStyle name="千位分隔 2 5 2" xfId="1601"/>
    <cellStyle name="千位分隔 2 6" xfId="1602"/>
    <cellStyle name="千位分隔 2_1" xfId="1603"/>
    <cellStyle name="千位分隔 3 2 2 4" xfId="1604"/>
    <cellStyle name="千位分隔 3 3 5" xfId="1605"/>
    <cellStyle name="千位分隔 3 4 5" xfId="1606"/>
    <cellStyle name="千位分隔 4 2 2 3" xfId="1607"/>
    <cellStyle name="千位分隔 4 2 2 2 2" xfId="1608"/>
    <cellStyle name="千位分隔 4 2 3 2" xfId="1609"/>
    <cellStyle name="千位分隔 4 2 4 2" xfId="1610"/>
    <cellStyle name="千位分隔 4 2_1" xfId="1611"/>
    <cellStyle name="千位分隔 4 3 3" xfId="1612"/>
    <cellStyle name="千位分隔 4 3 2 2" xfId="1613"/>
    <cellStyle name="千位分隔 4 4 2" xfId="1614"/>
    <cellStyle name="千位分隔 4 5 2" xfId="1615"/>
    <cellStyle name="千位分隔 4_1" xfId="1616"/>
    <cellStyle name="千位分隔 5 2 4" xfId="1617"/>
    <cellStyle name="千位分隔 5 3 3" xfId="1618"/>
    <cellStyle name="千位分隔 6 3" xfId="1619"/>
    <cellStyle name="千位分隔 6 2 2" xfId="1620"/>
    <cellStyle name="千位分隔 7 4" xfId="1621"/>
    <cellStyle name="千位分隔 7 2 2" xfId="1622"/>
    <cellStyle name="千位分隔 8 4" xfId="1623"/>
    <cellStyle name="千位分隔 8 2 3" xfId="1624"/>
    <cellStyle name="强调文字颜色 1" xfId="1625"/>
    <cellStyle name="强调文字颜色 2" xfId="1626"/>
    <cellStyle name="强调文字颜色 3" xfId="1627"/>
    <cellStyle name="强调文字颜色 4" xfId="1628"/>
    <cellStyle name="强调文字颜色 5" xfId="1629"/>
    <cellStyle name="强调文字颜色 6" xfId="1630"/>
    <cellStyle name="资产 3" xfId="1631"/>
    <cellStyle name="资产 2 2" xfId="1632"/>
    <cellStyle name="Normal 12 2 2" xfId="1633"/>
    <cellStyle name="Normal 13 4" xfId="1634"/>
    <cellStyle name="Comma 39" xfId="1635"/>
    <cellStyle name="千位分隔 7 3 4" xfId="1636"/>
    <cellStyle name="百分比 4 2 2" xfId="1637"/>
    <cellStyle name="常规 9 2 4" xfId="1638"/>
    <cellStyle name="Hyperlink 7" xfId="1639"/>
    <cellStyle name="Comma 10 2 5 3" xfId="1640"/>
    <cellStyle name="常规 9 2 2" xfId="1641"/>
    <cellStyle name="Normal 14 4" xfId="1642"/>
    <cellStyle name="常规 9 2 3" xfId="1643"/>
    <cellStyle name="Normal 13 2 2" xfId="1644"/>
    <cellStyle name="千位分隔 9 3" xfId="1645"/>
    <cellStyle name="一般 2 3" xfId="1646"/>
    <cellStyle name="Normal 10 2 4" xfId="1647"/>
    <cellStyle name="Comma 41" xfId="1648"/>
    <cellStyle name="Normal 2 10 3" xfId="1649"/>
    <cellStyle name="Hyperlink 8" xfId="1650"/>
    <cellStyle name="超链接 6" xfId="1651"/>
    <cellStyle name="SAPBEXaggData 5" xfId="1652"/>
    <cellStyle name="SAPBEXaggData 2 4" xfId="1653"/>
    <cellStyle name="SAPBEXaggData 2 2 3" xfId="1654"/>
    <cellStyle name="SAPBEXaggData 3 3" xfId="1655"/>
    <cellStyle name="SAPBEXaggDataEmph 5" xfId="1656"/>
    <cellStyle name="SAPBEXaggDataEmph 2 4" xfId="1657"/>
    <cellStyle name="SAPBEXaggDataEmph 2 2 3" xfId="1658"/>
    <cellStyle name="SAPBEXaggDataEmph 3 3" xfId="1659"/>
    <cellStyle name="SAPBEXaggItem 5" xfId="1660"/>
    <cellStyle name="SAPBEXaggItem 2 4" xfId="1661"/>
    <cellStyle name="SAPBEXaggItem 2 2 3" xfId="1662"/>
    <cellStyle name="SAPBEXaggItem 3 3" xfId="1663"/>
    <cellStyle name="SAPBEXaggItemX 5" xfId="1664"/>
    <cellStyle name="SAPBEXaggItemX 2 4" xfId="1665"/>
    <cellStyle name="SAPBEXaggItemX 2 2 3" xfId="1666"/>
    <cellStyle name="SAPBEXaggItemX 3 3" xfId="1667"/>
    <cellStyle name="SAPBEXexcBad7 5" xfId="1668"/>
    <cellStyle name="SAPBEXexcBad7 2 4" xfId="1669"/>
    <cellStyle name="SAPBEXexcBad7 2 2 3" xfId="1670"/>
    <cellStyle name="SAPBEXexcBad7 3 3" xfId="1671"/>
    <cellStyle name="SAPBEXexcBad8 5" xfId="1672"/>
    <cellStyle name="SAPBEXexcBad8 2 4" xfId="1673"/>
    <cellStyle name="SAPBEXexcBad8 2 2 3" xfId="1674"/>
    <cellStyle name="SAPBEXexcBad8 3 3" xfId="1675"/>
    <cellStyle name="SAPBEXexcBad9 5" xfId="1676"/>
    <cellStyle name="SAPBEXexcBad9 2 4" xfId="1677"/>
    <cellStyle name="SAPBEXexcBad9 2 2 3" xfId="1678"/>
    <cellStyle name="SAPBEXexcBad9 3 3" xfId="1679"/>
    <cellStyle name="SAPBEXexcCritical4 5" xfId="1680"/>
    <cellStyle name="SAPBEXexcCritical4 2 4" xfId="1681"/>
    <cellStyle name="SAPBEXexcCritical4 2 2 3" xfId="1682"/>
    <cellStyle name="SAPBEXexcCritical4 3 3" xfId="1683"/>
    <cellStyle name="SAPBEXexcCritical5 5" xfId="1684"/>
    <cellStyle name="SAPBEXexcCritical5 2 4" xfId="1685"/>
    <cellStyle name="SAPBEXexcCritical5 2 2 3" xfId="1686"/>
    <cellStyle name="SAPBEXexcCritical5 3 3" xfId="1687"/>
    <cellStyle name="SAPBEXexcCritical6 5" xfId="1688"/>
    <cellStyle name="SAPBEXexcCritical6 2 4" xfId="1689"/>
    <cellStyle name="SAPBEXexcCritical6 2 2 3" xfId="1690"/>
    <cellStyle name="SAPBEXexcCritical6 3 3" xfId="1691"/>
    <cellStyle name="SAPBEXexcGood1 5" xfId="1692"/>
    <cellStyle name="SAPBEXexcGood1 2 4" xfId="1693"/>
    <cellStyle name="SAPBEXexcGood1 2 2 3" xfId="1694"/>
    <cellStyle name="SAPBEXexcGood1 3 3" xfId="1695"/>
    <cellStyle name="SAPBEXexcGood2 5" xfId="1696"/>
    <cellStyle name="SAPBEXexcGood2 2 4" xfId="1697"/>
    <cellStyle name="SAPBEXexcGood2 2 2 3" xfId="1698"/>
    <cellStyle name="SAPBEXexcGood2 3 3" xfId="1699"/>
    <cellStyle name="SAPBEXexcGood3 5" xfId="1700"/>
    <cellStyle name="SAPBEXexcGood3 2 4" xfId="1701"/>
    <cellStyle name="SAPBEXexcGood3 2 2 3" xfId="1702"/>
    <cellStyle name="SAPBEXexcGood3 3 3" xfId="1703"/>
    <cellStyle name="SAPBEXformats 5" xfId="1704"/>
    <cellStyle name="SAPBEXformats 2 4" xfId="1705"/>
    <cellStyle name="SAPBEXformats 2 2 3" xfId="1706"/>
    <cellStyle name="SAPBEXformats 3 3" xfId="1707"/>
    <cellStyle name="SAPBEXHLevel0 5" xfId="1708"/>
    <cellStyle name="SAPBEXHLevel0 2 4" xfId="1709"/>
    <cellStyle name="SAPBEXHLevel0 2 2 3" xfId="1710"/>
    <cellStyle name="SAPBEXHLevel0 3 3" xfId="1711"/>
    <cellStyle name="SAPBEXHLevel0X 5" xfId="1712"/>
    <cellStyle name="SAPBEXHLevel0X 2 4" xfId="1713"/>
    <cellStyle name="SAPBEXHLevel0X 2 2 3" xfId="1714"/>
    <cellStyle name="SAPBEXHLevel0X 3 3" xfId="1715"/>
    <cellStyle name="SAPBEXHLevel1 5" xfId="1716"/>
    <cellStyle name="SAPBEXHLevel1 2 4" xfId="1717"/>
    <cellStyle name="SAPBEXHLevel1 2 2 3" xfId="1718"/>
    <cellStyle name="SAPBEXHLevel1 3 3" xfId="1719"/>
    <cellStyle name="SAPBEXHLevel1X 5" xfId="1720"/>
    <cellStyle name="SAPBEXHLevel1X 2 4" xfId="1721"/>
    <cellStyle name="SAPBEXHLevel1X 2 2 3" xfId="1722"/>
    <cellStyle name="SAPBEXHLevel1X 3 3" xfId="1723"/>
    <cellStyle name="SAPBEXHLevel2 5" xfId="1724"/>
    <cellStyle name="SAPBEXHLevel2 2 4" xfId="1725"/>
    <cellStyle name="SAPBEXHLevel2 2 2 3" xfId="1726"/>
    <cellStyle name="SAPBEXHLevel2 3 3" xfId="1727"/>
    <cellStyle name="SAPBEXHLevel2X 5" xfId="1728"/>
    <cellStyle name="SAPBEXHLevel2X 2 4" xfId="1729"/>
    <cellStyle name="SAPBEXHLevel2X 2 2 3" xfId="1730"/>
    <cellStyle name="SAPBEXHLevel2X 3 3" xfId="1731"/>
    <cellStyle name="SAPBEXHLevel3 5" xfId="1732"/>
    <cellStyle name="SAPBEXHLevel3 2 4" xfId="1733"/>
    <cellStyle name="SAPBEXHLevel3 2 2 3" xfId="1734"/>
    <cellStyle name="SAPBEXHLevel3 3 3" xfId="1735"/>
    <cellStyle name="SAPBEXHLevel3X 5" xfId="1736"/>
    <cellStyle name="SAPBEXHLevel3X 2 4" xfId="1737"/>
    <cellStyle name="SAPBEXHLevel3X 2 2 3" xfId="1738"/>
    <cellStyle name="SAPBEXHLevel3X 3 3" xfId="1739"/>
    <cellStyle name="SAPBEXresData 5" xfId="1740"/>
    <cellStyle name="SAPBEXresData 2 4" xfId="1741"/>
    <cellStyle name="SAPBEXresData 2 2 3" xfId="1742"/>
    <cellStyle name="SAPBEXresData 3 3" xfId="1743"/>
    <cellStyle name="SAPBEXresDataEmph 5" xfId="1744"/>
    <cellStyle name="SAPBEXresDataEmph 2 4" xfId="1745"/>
    <cellStyle name="SAPBEXresDataEmph 2 2 3" xfId="1746"/>
    <cellStyle name="SAPBEXresDataEmph 3 3" xfId="1747"/>
    <cellStyle name="SAPBEXresItem 5" xfId="1748"/>
    <cellStyle name="SAPBEXresItem 2 4" xfId="1749"/>
    <cellStyle name="SAPBEXresItem 2 2 3" xfId="1750"/>
    <cellStyle name="SAPBEXresItem 3 3" xfId="1751"/>
    <cellStyle name="SAPBEXresItemX 5" xfId="1752"/>
    <cellStyle name="SAPBEXresItemX 2 4" xfId="1753"/>
    <cellStyle name="SAPBEXresItemX 2 2 3" xfId="1754"/>
    <cellStyle name="SAPBEXresItemX 3 3" xfId="1755"/>
    <cellStyle name="SAPBEXstdData 5" xfId="1756"/>
    <cellStyle name="SAPBEXstdData 2 4" xfId="1757"/>
    <cellStyle name="SAPBEXstdData 2 2 3" xfId="1758"/>
    <cellStyle name="SAPBEXstdData 3 3" xfId="1759"/>
    <cellStyle name="SAPBEXstdDataEmph 5" xfId="1760"/>
    <cellStyle name="SAPBEXstdDataEmph 2 4" xfId="1761"/>
    <cellStyle name="SAPBEXstdDataEmph 2 2 3" xfId="1762"/>
    <cellStyle name="SAPBEXstdDataEmph 3 3" xfId="1763"/>
    <cellStyle name="SAPBEXstdItem 5" xfId="1764"/>
    <cellStyle name="SAPBEXstdItem 2 4" xfId="1765"/>
    <cellStyle name="SAPBEXstdItem 2 2 3" xfId="1766"/>
    <cellStyle name="SAPBEXstdItem 3 3" xfId="1767"/>
    <cellStyle name="SAPBEXstdItemX 5" xfId="1768"/>
    <cellStyle name="SAPBEXstdItemX 2 4" xfId="1769"/>
    <cellStyle name="SAPBEXstdItemX 2 2 3" xfId="1770"/>
    <cellStyle name="SAPBEXstdItemX 3 3" xfId="1771"/>
    <cellStyle name="SAPBEXundefined 5" xfId="1772"/>
    <cellStyle name="SAPBEXundefined 2 4" xfId="1773"/>
    <cellStyle name="SAPBEXundefined 2 2 3" xfId="1774"/>
    <cellStyle name="SAPBEXundefined 3 3" xfId="1775"/>
    <cellStyle name="常规 2 2 5 3" xfId="1776"/>
    <cellStyle name="Normal 18" xfId="1777"/>
    <cellStyle name="Normal 118 3" xfId="1778"/>
    <cellStyle name="Comma 40" xfId="1779"/>
    <cellStyle name="Normal 103 4" xfId="1780"/>
    <cellStyle name="常规 2 2 5 5" xfId="1781"/>
    <cellStyle name="常规 10 2 2" xfId="1782"/>
    <cellStyle name="Normal 103 2 5" xfId="1783"/>
    <cellStyle name="千位分隔 10 3" xfId="1784"/>
    <cellStyle name="Normal 10 2 5" xfId="1785"/>
    <cellStyle name="百分比 5 2" xfId="1786"/>
    <cellStyle name="Normal 19" xfId="1787"/>
    <cellStyle name="Normal 2 2 3 3" xfId="1788"/>
    <cellStyle name="Comma 42" xfId="1789"/>
    <cellStyle name="Normal 2 11" xfId="1790"/>
    <cellStyle name="Comma_A 8 2a CAL - Interim 2 2" xfId="1791"/>
    <cellStyle name="Percent 4 2 2" xfId="1792"/>
    <cellStyle name="Comma [0] 2 9" xfId="1793"/>
    <cellStyle name="Hyperlink 9" xfId="1794"/>
    <cellStyle name="Comma 4 3 5" xfId="1795"/>
    <cellStyle name="Normal_SHEET" xfId="1796"/>
    <cellStyle name="Normal 5 6" xfId="1797"/>
    <cellStyle name="Normal 8 5" xfId="1798"/>
    <cellStyle name="Normal 6 5" xfId="1799"/>
    <cellStyle name="Comma 6 7" xfId="1800"/>
    <cellStyle name="Normal 2 3 7" xfId="1801"/>
    <cellStyle name="常规 15" xfId="1802"/>
    <cellStyle name="Normal 103 6" xfId="1803"/>
    <cellStyle name="Normal 2 3 9" xfId="1804"/>
    <cellStyle name="千位分隔 14" xfId="1805"/>
    <cellStyle name="Normal 2 3 3 5" xfId="1806"/>
    <cellStyle name="Normal 2 3 3 2 4" xfId="1807"/>
    <cellStyle name="Normal 2 3 2 2 6" xfId="1808"/>
    <cellStyle name="Normal 121 2 6" xfId="1809"/>
    <cellStyle name="Normal 118 4" xfId="1810"/>
    <cellStyle name="百分比 8" xfId="1811"/>
    <cellStyle name="Normal 121 2 2 5" xfId="1812"/>
    <cellStyle name="Comma [0] 3 8" xfId="1813"/>
    <cellStyle name="Normal 111 2 5" xfId="1814"/>
    <cellStyle name="Percent 2 9" xfId="1815"/>
    <cellStyle name="Comma 2 11 3" xfId="1816"/>
    <cellStyle name="Normal 12 5" xfId="1817"/>
    <cellStyle name="Normal 111 2 2 4" xfId="1818"/>
    <cellStyle name="常规 3 8" xfId="1819"/>
    <cellStyle name="Comma 5 8" xfId="1820"/>
    <cellStyle name="千位分隔 2 2 8" xfId="1821"/>
    <cellStyle name="20% - Accent1 2 2" xfId="1822"/>
    <cellStyle name="20% - Accent6 2 2" xfId="1823"/>
    <cellStyle name="cellStyleNum 5" xfId="1824"/>
    <cellStyle name="cellStyleNum 2 6" xfId="1825"/>
    <cellStyle name="cellStyleNum 2 2 5" xfId="1826"/>
    <cellStyle name="cellStyleNum 2 2 2 3" xfId="1827"/>
    <cellStyle name="cellStyleNum 2 3 3" xfId="1828"/>
    <cellStyle name="cellStyleNum 3 3" xfId="1829"/>
    <cellStyle name="cellStylePer 5" xfId="1830"/>
    <cellStyle name="cellStylePer 2 4" xfId="1831"/>
    <cellStyle name="cellStylePer 2 2 3" xfId="1832"/>
    <cellStyle name="cellStylePer 3 3" xfId="1833"/>
    <cellStyle name="Comma [0] 2 11" xfId="1834"/>
    <cellStyle name="Comma [0] 2 2 9" xfId="1835"/>
    <cellStyle name="Comma [0] 2 2 2 9" xfId="1836"/>
    <cellStyle name="Comma [0] 2 2 2 2 8" xfId="1837"/>
    <cellStyle name="Comma [0] 2 2 2 2 2 7" xfId="1838"/>
    <cellStyle name="Comma [0] 2 2 2 2 2 2 5" xfId="1839"/>
    <cellStyle name="Comma [0] 2 2 2 2 3 6" xfId="1840"/>
    <cellStyle name="Comma [0] 2 2 2 2 4 4" xfId="1841"/>
    <cellStyle name="Comma [0] 2 2 2 2 5 4" xfId="1842"/>
    <cellStyle name="Comma [0] 2 2 2 3 7" xfId="1843"/>
    <cellStyle name="Comma [0] 2 2 2 4 6" xfId="1844"/>
    <cellStyle name="Comma [0] 2 2 2 5 4" xfId="1845"/>
    <cellStyle name="Comma [0] 2 2 3 7" xfId="1846"/>
    <cellStyle name="Comma [0] 2 2 3 2 5" xfId="1847"/>
    <cellStyle name="Comma [0] 2 2 3 3 4" xfId="1848"/>
    <cellStyle name="Comma [0] 2 2 4 6" xfId="1849"/>
    <cellStyle name="Comma [0] 2 2 4 2 4" xfId="1850"/>
    <cellStyle name="Comma [0] 2 2 4 3 4" xfId="1851"/>
    <cellStyle name="Comma [0] 2 2 5 4" xfId="1852"/>
    <cellStyle name="Comma [0] 2 3 8" xfId="1853"/>
    <cellStyle name="Comma [0] 2 3 2 6" xfId="1854"/>
    <cellStyle name="Comma [0] 2 3 2 2 4" xfId="1855"/>
    <cellStyle name="Comma [0] 2 3 2 3 4" xfId="1856"/>
    <cellStyle name="Comma [0] 2 3 3 6" xfId="1857"/>
    <cellStyle name="Comma [0] 2 3 3 2 3" xfId="1858"/>
    <cellStyle name="Comma [0] 2 3 3 3 3" xfId="1859"/>
    <cellStyle name="Comma [0] 2 3 4 4" xfId="1860"/>
    <cellStyle name="Comma [0] 2 3 5 3" xfId="1861"/>
    <cellStyle name="Comma [0] 2 4 7" xfId="1862"/>
    <cellStyle name="Comma [0] 2 4 2 5" xfId="1863"/>
    <cellStyle name="Comma [0] 2 4 2 2 3" xfId="1864"/>
    <cellStyle name="Comma [0] 2 4 3 4" xfId="1865"/>
    <cellStyle name="Comma [0] 2 4 4 4" xfId="1866"/>
    <cellStyle name="Comma [0] 2 5 6" xfId="1867"/>
    <cellStyle name="Comma [0] 2 5 2 3" xfId="1868"/>
    <cellStyle name="Comma [0] 2 5 3 3" xfId="1869"/>
    <cellStyle name="Comma [0] 2 6 5" xfId="1870"/>
    <cellStyle name="Comma [0] 2 6 2 3" xfId="1871"/>
    <cellStyle name="Comma [0] 3 3 5" xfId="1872"/>
    <cellStyle name="Comma 10 7" xfId="1873"/>
    <cellStyle name="Comma 10 2 10" xfId="1874"/>
    <cellStyle name="Comma 10 2 2 6" xfId="1875"/>
    <cellStyle name="Comma 10 2 3 5" xfId="1876"/>
    <cellStyle name="Comma 10 2 4 5" xfId="1877"/>
    <cellStyle name="Comma 10 3 5" xfId="1878"/>
    <cellStyle name="Comma 10 3 2 3" xfId="1879"/>
    <cellStyle name="Comma 10 4 4" xfId="1880"/>
    <cellStyle name="Comma 11 7" xfId="1881"/>
    <cellStyle name="Comma 11 2 5" xfId="1882"/>
    <cellStyle name="Comma 11 2 2 3" xfId="1883"/>
    <cellStyle name="Comma 11 3 5" xfId="1884"/>
    <cellStyle name="Comma 11 3 2 3" xfId="1885"/>
    <cellStyle name="Comma 11 4 3" xfId="1886"/>
    <cellStyle name="Comma 12 8" xfId="1887"/>
    <cellStyle name="Comma 12 3 4" xfId="1888"/>
    <cellStyle name="Comma 12 3 2 3" xfId="1889"/>
    <cellStyle name="Comma 12 4 4" xfId="1890"/>
    <cellStyle name="Comma 12 4 2 3" xfId="1891"/>
    <cellStyle name="Comma 12 5 3" xfId="1892"/>
    <cellStyle name="Comma 13 7" xfId="1893"/>
    <cellStyle name="Comma 13 2 4" xfId="1894"/>
    <cellStyle name="Comma 13 2 2 3" xfId="1895"/>
    <cellStyle name="Comma 13 3 4" xfId="1896"/>
    <cellStyle name="Comma 13 3 2 3" xfId="1897"/>
    <cellStyle name="Comma 13 4 3" xfId="1898"/>
    <cellStyle name="Comma 14 7" xfId="1899"/>
    <cellStyle name="Comma 14 2 4" xfId="1900"/>
    <cellStyle name="Comma 14 2 2 3" xfId="1901"/>
    <cellStyle name="Comma 14 3 4" xfId="1902"/>
    <cellStyle name="Comma 14 3 2 3" xfId="1903"/>
    <cellStyle name="Comma 14 4 3" xfId="1904"/>
    <cellStyle name="Comma 15 6" xfId="1905"/>
    <cellStyle name="Comma 15 2 4" xfId="1906"/>
    <cellStyle name="Comma 15 2 2 3" xfId="1907"/>
    <cellStyle name="Comma 15 3 4" xfId="1908"/>
    <cellStyle name="Comma 15 3 2 3" xfId="1909"/>
    <cellStyle name="Comma 15 4 3" xfId="1910"/>
    <cellStyle name="Comma 16 9" xfId="1911"/>
    <cellStyle name="Comma 16 2 6" xfId="1912"/>
    <cellStyle name="Comma 16 2 2 4" xfId="1913"/>
    <cellStyle name="Comma 16 2 2 2 3" xfId="1914"/>
    <cellStyle name="Comma 16 2 3 4" xfId="1915"/>
    <cellStyle name="Comma 16 2 3 2 3" xfId="1916"/>
    <cellStyle name="Comma 16 2 4 3" xfId="1917"/>
    <cellStyle name="Comma 16 3 6" xfId="1918"/>
    <cellStyle name="Comma 16 3 2 4" xfId="1919"/>
    <cellStyle name="Comma 16 3 2 2 3" xfId="1920"/>
    <cellStyle name="Comma 16 3 3 4" xfId="1921"/>
    <cellStyle name="Comma 16 3 3 2 3" xfId="1922"/>
    <cellStyle name="Comma 16 3 4 3" xfId="1923"/>
    <cellStyle name="Comma 16 4 4" xfId="1924"/>
    <cellStyle name="Comma 16 4 2 3" xfId="1925"/>
    <cellStyle name="Comma 16 5 4" xfId="1926"/>
    <cellStyle name="Comma 16 5 2 3" xfId="1927"/>
    <cellStyle name="Comma 16 6 3" xfId="1928"/>
    <cellStyle name="Comma 17 6" xfId="1929"/>
    <cellStyle name="Comma 17 2 4" xfId="1930"/>
    <cellStyle name="Comma 17 2 2 3" xfId="1931"/>
    <cellStyle name="Comma 17 3 4" xfId="1932"/>
    <cellStyle name="Comma 17 3 2 3" xfId="1933"/>
    <cellStyle name="Comma 17 4 3" xfId="1934"/>
    <cellStyle name="Comma 18 6" xfId="1935"/>
    <cellStyle name="Comma 18 2 4" xfId="1936"/>
    <cellStyle name="Comma 18 2 2 3" xfId="1937"/>
    <cellStyle name="Comma 18 3 4" xfId="1938"/>
    <cellStyle name="Comma 18 3 2 3" xfId="1939"/>
    <cellStyle name="Comma 18 4 3" xfId="1940"/>
    <cellStyle name="Comma 19 6" xfId="1941"/>
    <cellStyle name="Comma 19 2 4" xfId="1942"/>
    <cellStyle name="Comma 19 2 2 3" xfId="1943"/>
    <cellStyle name="Comma 19 3 4" xfId="1944"/>
    <cellStyle name="Comma 19 3 2 3" xfId="1945"/>
    <cellStyle name="Comma 19 4 3" xfId="1946"/>
    <cellStyle name="Comma 2 10 3" xfId="1947"/>
    <cellStyle name="Comma 2 2 2 10" xfId="1948"/>
    <cellStyle name="Comma 2 2 2 2 8" xfId="1949"/>
    <cellStyle name="Comma 2 2 2 2 2 5" xfId="1950"/>
    <cellStyle name="Comma 2 2 2 2 2 2 3" xfId="1951"/>
    <cellStyle name="Comma 2 2 2 2 3 3" xfId="1952"/>
    <cellStyle name="Comma 2 2 2 2 4 3" xfId="1953"/>
    <cellStyle name="Comma 2 2 2 2 5 3" xfId="1954"/>
    <cellStyle name="Comma 2 2 2 3 5" xfId="1955"/>
    <cellStyle name="Comma 2 2 2 3 2 3" xfId="1956"/>
    <cellStyle name="Comma 2 2 2 4 4" xfId="1957"/>
    <cellStyle name="Comma 2 2 2 5 3" xfId="1958"/>
    <cellStyle name="Comma 2 2 2 6 3" xfId="1959"/>
    <cellStyle name="Comma 2 2 2 7 3" xfId="1960"/>
    <cellStyle name="Comma 2 2 3 2 8" xfId="1961"/>
    <cellStyle name="Comma 2 2 3 2 2 5" xfId="1962"/>
    <cellStyle name="Comma 2 2 3 2 2 2 4" xfId="1963"/>
    <cellStyle name="Comma 2 2 3 2 2 2 2 3" xfId="1964"/>
    <cellStyle name="Comma 2 2 3 2 2 3 3" xfId="1965"/>
    <cellStyle name="Comma 2 2 3 2 3 3" xfId="1966"/>
    <cellStyle name="Comma 2 2 3 3 6" xfId="1967"/>
    <cellStyle name="Comma 2 2 3 3 2 4" xfId="1968"/>
    <cellStyle name="Comma 2 2 3 3 2 2 3" xfId="1969"/>
    <cellStyle name="Comma 2 2 3 3 3 3" xfId="1970"/>
    <cellStyle name="Comma 2 2 3 4 4" xfId="1971"/>
    <cellStyle name="Comma 2 2 3 4 2 3" xfId="1972"/>
    <cellStyle name="Comma 2 2 3 5 3" xfId="1973"/>
    <cellStyle name="Comma 2 2 3 6 3" xfId="1974"/>
    <cellStyle name="Comma 2 2 3 7 3" xfId="1975"/>
    <cellStyle name="Comma 2 2 4 2 5" xfId="1976"/>
    <cellStyle name="Comma 2 2 4 2 2 3" xfId="1977"/>
    <cellStyle name="Comma 2 2 4 3 4" xfId="1978"/>
    <cellStyle name="Comma 2 2 4 4 3" xfId="1979"/>
    <cellStyle name="Comma 2 2 4 5 3" xfId="1980"/>
    <cellStyle name="Comma 2 2 5 5" xfId="1981"/>
    <cellStyle name="Comma 2 2 5 2 3" xfId="1982"/>
    <cellStyle name="Comma 2 2 8 3" xfId="1983"/>
    <cellStyle name="Comma 2 3 11" xfId="1984"/>
    <cellStyle name="Comma 2 3 2 8" xfId="1985"/>
    <cellStyle name="Comma 2 3 2 2 7" xfId="1986"/>
    <cellStyle name="Comma 2 3 2 2 2 3" xfId="1987"/>
    <cellStyle name="Comma 2 3 2 2 3 3" xfId="1988"/>
    <cellStyle name="Comma 2 3 2 2 4 3" xfId="1989"/>
    <cellStyle name="Comma 2 3 2 3 6" xfId="1990"/>
    <cellStyle name="Comma 2 3 2 3 2 3" xfId="1991"/>
    <cellStyle name="Comma 2 3 2 3 3 3" xfId="1992"/>
    <cellStyle name="Comma 2 3 2 4 3" xfId="1993"/>
    <cellStyle name="Comma 2 3 2 5 3" xfId="1994"/>
    <cellStyle name="Comma 2 3 3 8" xfId="1995"/>
    <cellStyle name="Comma 2 3 3 2 5" xfId="1996"/>
    <cellStyle name="Comma 2 3 3 2 2 3" xfId="1997"/>
    <cellStyle name="Comma 2 3 3 2 3 3" xfId="1998"/>
    <cellStyle name="Comma 2 3 3 3 4" xfId="1999"/>
    <cellStyle name="Comma 2 3 3 3 2 3" xfId="2000"/>
    <cellStyle name="Comma 2 3 3 4 3" xfId="2001"/>
    <cellStyle name="Comma 2 3 3 5 3" xfId="2002"/>
    <cellStyle name="Comma 2 3 4 7" xfId="2003"/>
    <cellStyle name="Comma 2 3 4 2 3" xfId="2004"/>
    <cellStyle name="Comma 2 3 4 3 3" xfId="2005"/>
    <cellStyle name="Comma 2 3 4 4 3" xfId="2006"/>
    <cellStyle name="Comma 2 3 5 5" xfId="2007"/>
    <cellStyle name="Comma 2 3 5 2 3" xfId="2008"/>
    <cellStyle name="Comma 2 3 5 3 3" xfId="2009"/>
    <cellStyle name="Comma 2 3 6 3" xfId="2010"/>
    <cellStyle name="Comma 2 3 7 3" xfId="2011"/>
    <cellStyle name="Comma 2 3 8 3" xfId="2012"/>
    <cellStyle name="Comma 2 4 9" xfId="2013"/>
    <cellStyle name="Comma 2 4 2 7" xfId="2014"/>
    <cellStyle name="Comma 2 4 2 2 3" xfId="2015"/>
    <cellStyle name="Comma 2 4 2 3 3" xfId="2016"/>
    <cellStyle name="Comma 2 4 2 4 3" xfId="2017"/>
    <cellStyle name="Comma 2 4 3 4" xfId="2018"/>
    <cellStyle name="Comma 2 4 4 4" xfId="2019"/>
    <cellStyle name="Comma 2 4 6 3" xfId="2020"/>
    <cellStyle name="Comma 2 5 2 3" xfId="2021"/>
    <cellStyle name="Comma 2 5 3 3" xfId="2022"/>
    <cellStyle name="Comma 2 5 4 3" xfId="2023"/>
    <cellStyle name="Comma 2 9 5" xfId="2024"/>
    <cellStyle name="Comma 2 9 2 3" xfId="2025"/>
    <cellStyle name="Comma 20 6" xfId="2026"/>
    <cellStyle name="Comma 20 2 4" xfId="2027"/>
    <cellStyle name="Comma 20 2 2 3" xfId="2028"/>
    <cellStyle name="Comma 20 3 4" xfId="2029"/>
    <cellStyle name="Comma 20 3 2 3" xfId="2030"/>
    <cellStyle name="Comma 20 4 3" xfId="2031"/>
    <cellStyle name="Comma 21 6" xfId="2032"/>
    <cellStyle name="Comma 21 2 4" xfId="2033"/>
    <cellStyle name="Comma 21 2 2 3" xfId="2034"/>
    <cellStyle name="Comma 21 3 4" xfId="2035"/>
    <cellStyle name="Comma 21 3 2 3" xfId="2036"/>
    <cellStyle name="Comma 21 4 3" xfId="2037"/>
    <cellStyle name="Comma 22 6" xfId="2038"/>
    <cellStyle name="Comma 22 2 4" xfId="2039"/>
    <cellStyle name="Comma 22 2 2 3" xfId="2040"/>
    <cellStyle name="Comma 22 3 4" xfId="2041"/>
    <cellStyle name="Comma 22 3 2 3" xfId="2042"/>
    <cellStyle name="Comma 22 4 3" xfId="2043"/>
    <cellStyle name="Comma 23 6" xfId="2044"/>
    <cellStyle name="Comma 23 2 4" xfId="2045"/>
    <cellStyle name="Comma 23 2 2 3" xfId="2046"/>
    <cellStyle name="Comma 23 3 4" xfId="2047"/>
    <cellStyle name="Comma 23 3 2 3" xfId="2048"/>
    <cellStyle name="Comma 23 4 3" xfId="2049"/>
    <cellStyle name="Comma 24 6" xfId="2050"/>
    <cellStyle name="Comma 24 2 4" xfId="2051"/>
    <cellStyle name="Comma 24 2 2 3" xfId="2052"/>
    <cellStyle name="Comma 24 3 4" xfId="2053"/>
    <cellStyle name="Comma 24 3 2 3" xfId="2054"/>
    <cellStyle name="Comma 24 4 3" xfId="2055"/>
    <cellStyle name="Comma 25 6" xfId="2056"/>
    <cellStyle name="Comma 25 2 4" xfId="2057"/>
    <cellStyle name="Comma 25 2 2 3" xfId="2058"/>
    <cellStyle name="Comma 25 3 4" xfId="2059"/>
    <cellStyle name="Comma 25 3 2 3" xfId="2060"/>
    <cellStyle name="Comma 25 4 3" xfId="2061"/>
    <cellStyle name="Comma 26 6" xfId="2062"/>
    <cellStyle name="Comma 26 2 4" xfId="2063"/>
    <cellStyle name="Comma 26 2 2 3" xfId="2064"/>
    <cellStyle name="Comma 26 3 4" xfId="2065"/>
    <cellStyle name="Comma 26 3 2 3" xfId="2066"/>
    <cellStyle name="Comma 26 4 3" xfId="2067"/>
    <cellStyle name="Comma 27 6" xfId="2068"/>
    <cellStyle name="Comma 27 2 4" xfId="2069"/>
    <cellStyle name="Comma 27 2 2 3" xfId="2070"/>
    <cellStyle name="Comma 27 3 4" xfId="2071"/>
    <cellStyle name="Comma 27 3 2 3" xfId="2072"/>
    <cellStyle name="Comma 27 4 3" xfId="2073"/>
    <cellStyle name="Comma 28 6" xfId="2074"/>
    <cellStyle name="Comma 28 2 4" xfId="2075"/>
    <cellStyle name="Comma 28 2 2 3" xfId="2076"/>
    <cellStyle name="Comma 28 3 4" xfId="2077"/>
    <cellStyle name="Comma 28 3 2 3" xfId="2078"/>
    <cellStyle name="Comma 28 4 3" xfId="2079"/>
    <cellStyle name="Comma 29 6" xfId="2080"/>
    <cellStyle name="Comma 29 2 4" xfId="2081"/>
    <cellStyle name="Comma 29 2 2 3" xfId="2082"/>
    <cellStyle name="Comma 29 3 4" xfId="2083"/>
    <cellStyle name="Comma 29 3 2 3" xfId="2084"/>
    <cellStyle name="Comma 29 4 3" xfId="2085"/>
    <cellStyle name="Comma 3 2 2 2 3" xfId="2086"/>
    <cellStyle name="Comma 3 2 4 4" xfId="2087"/>
    <cellStyle name="Comma 3 3 4 3" xfId="2088"/>
    <cellStyle name="Comma 3 4 2 3" xfId="2089"/>
    <cellStyle name="Comma 3 6 4" xfId="2090"/>
    <cellStyle name="Comma 30 6" xfId="2091"/>
    <cellStyle name="Comma 30 2 4" xfId="2092"/>
    <cellStyle name="Comma 30 2 2 3" xfId="2093"/>
    <cellStyle name="Comma 30 3 4" xfId="2094"/>
    <cellStyle name="Comma 30 3 2 3" xfId="2095"/>
    <cellStyle name="Comma 30 4 3" xfId="2096"/>
    <cellStyle name="Comma 31 6" xfId="2097"/>
    <cellStyle name="Comma 31 2 4" xfId="2098"/>
    <cellStyle name="Comma 31 2 2 3" xfId="2099"/>
    <cellStyle name="Comma 31 3 4" xfId="2100"/>
    <cellStyle name="Comma 31 3 2 3" xfId="2101"/>
    <cellStyle name="Comma 31 4 3" xfId="2102"/>
    <cellStyle name="Comma 32 6" xfId="2103"/>
    <cellStyle name="Comma 32 2 4" xfId="2104"/>
    <cellStyle name="Comma 32 2 2 3" xfId="2105"/>
    <cellStyle name="Comma 32 3 4" xfId="2106"/>
    <cellStyle name="Comma 32 3 2 3" xfId="2107"/>
    <cellStyle name="Comma 32 4 3" xfId="2108"/>
    <cellStyle name="Comma 33 4" xfId="2109"/>
    <cellStyle name="Comma 33 2 3" xfId="2110"/>
    <cellStyle name="Comma 34 4" xfId="2111"/>
    <cellStyle name="Comma 34 2 3" xfId="2112"/>
    <cellStyle name="Comma 35 4" xfId="2113"/>
    <cellStyle name="Comma 35 2 3" xfId="2114"/>
    <cellStyle name="Comma 36 4" xfId="2115"/>
    <cellStyle name="Comma 36 2 3" xfId="2116"/>
    <cellStyle name="Comma 37 3" xfId="2117"/>
    <cellStyle name="Comma 38 3" xfId="2118"/>
    <cellStyle name="Comma 4 8" xfId="2119"/>
    <cellStyle name="Comma 4 2 7" xfId="2120"/>
    <cellStyle name="Comma 4 2 2 4" xfId="2121"/>
    <cellStyle name="Comma 4 2 3 4" xfId="2122"/>
    <cellStyle name="Comma 4 3 7" xfId="2123"/>
    <cellStyle name="Comma 4 3 2 3" xfId="2124"/>
    <cellStyle name="Comma 4 3 3 3" xfId="2125"/>
    <cellStyle name="Comma 4 4 5" xfId="2126"/>
    <cellStyle name="Comma 4 5 4" xfId="2127"/>
    <cellStyle name="Comma 5 2 8" xfId="2128"/>
    <cellStyle name="Comma 5 2 3 5" xfId="2129"/>
    <cellStyle name="Comma 5 3 6" xfId="2130"/>
    <cellStyle name="Comma 5 3 3 4" xfId="2131"/>
    <cellStyle name="Comma 5 5 4" xfId="2132"/>
    <cellStyle name="Comma 6 9" xfId="2133"/>
    <cellStyle name="Comma 6 2 5" xfId="2134"/>
    <cellStyle name="Comma 6 2 2 4" xfId="2135"/>
    <cellStyle name="Comma 6 3 5" xfId="2136"/>
    <cellStyle name="Comma 6 3 2 3" xfId="2137"/>
    <cellStyle name="Comma 6 4 4" xfId="2138"/>
    <cellStyle name="Comma 6 5 3" xfId="2139"/>
    <cellStyle name="Comma 7 8" xfId="2140"/>
    <cellStyle name="Comma 7 2 6" xfId="2141"/>
    <cellStyle name="Comma 7 2 2 4" xfId="2142"/>
    <cellStyle name="Comma 7 3 5" xfId="2143"/>
    <cellStyle name="Comma 7 3 2 3" xfId="2144"/>
    <cellStyle name="Comma 7 4 4" xfId="2145"/>
    <cellStyle name="Comma 7 5 3" xfId="2146"/>
    <cellStyle name="Comma 8 8" xfId="2147"/>
    <cellStyle name="Comma 8 2 5" xfId="2148"/>
    <cellStyle name="Comma 8 2 2 4" xfId="2149"/>
    <cellStyle name="Comma 8 3 5" xfId="2150"/>
    <cellStyle name="Comma 8 3 2 3" xfId="2151"/>
    <cellStyle name="Comma 8 4 4" xfId="2152"/>
    <cellStyle name="Comma 8 5 3" xfId="2153"/>
    <cellStyle name="Comma 84 6" xfId="2154"/>
    <cellStyle name="Comma 84 2 6" xfId="2155"/>
    <cellStyle name="Comma 84 2 2 4" xfId="2156"/>
    <cellStyle name="Comma 84 2 2 2 3" xfId="2157"/>
    <cellStyle name="Comma 84 2 3 4" xfId="2158"/>
    <cellStyle name="Comma 84 2 3 2 3" xfId="2159"/>
    <cellStyle name="Comma 84 2 4 3" xfId="2160"/>
    <cellStyle name="Comma 84 3 4" xfId="2161"/>
    <cellStyle name="Comma 84 3 2 3" xfId="2162"/>
    <cellStyle name="Comma 84 4 3" xfId="2163"/>
    <cellStyle name="Comma 9 7" xfId="2164"/>
    <cellStyle name="Comma 9 2 5" xfId="2165"/>
    <cellStyle name="Comma 9 2 2 3" xfId="2166"/>
    <cellStyle name="Comma 9 3 4" xfId="2167"/>
    <cellStyle name="Comma 9 3 2 3" xfId="2168"/>
    <cellStyle name="Comma 9 4 3" xfId="2169"/>
    <cellStyle name="dataStyle 6" xfId="2170"/>
    <cellStyle name="dataStyle 2 5" xfId="2171"/>
    <cellStyle name="dataStyle 2 2 4" xfId="2172"/>
    <cellStyle name="dataStyle 3 5" xfId="2173"/>
    <cellStyle name="dataStyle 3 2 4" xfId="2174"/>
    <cellStyle name="dataStyle 4 3" xfId="2175"/>
    <cellStyle name="dateStyle 4" xfId="2176"/>
    <cellStyle name="dateStyle 2 3" xfId="2177"/>
    <cellStyle name="entry box 5" xfId="2178"/>
    <cellStyle name="entry box 2 4" xfId="2179"/>
    <cellStyle name="evenStyle 4" xfId="2180"/>
    <cellStyle name="evenStyle 2 3" xfId="2181"/>
    <cellStyle name="headStyle 4" xfId="2182"/>
    <cellStyle name="headStyle 2 3" xfId="2183"/>
    <cellStyle name="Input [yellow] 5" xfId="2184"/>
    <cellStyle name="Input [yellow] 2 4" xfId="2185"/>
    <cellStyle name="Normal 10 6" xfId="2186"/>
    <cellStyle name="Normal 10 2 2 5" xfId="2187"/>
    <cellStyle name="Normal 103 2 6" xfId="2188"/>
    <cellStyle name="Normal 106 2 2" xfId="2189"/>
    <cellStyle name="Normal 11 5" xfId="2190"/>
    <cellStyle name="Normal 111 2 3 3" xfId="2191"/>
    <cellStyle name="Normal 111 2 3 2 2" xfId="2192"/>
    <cellStyle name="Normal 118 2 2" xfId="2193"/>
    <cellStyle name="Normal 121 5" xfId="2194"/>
    <cellStyle name="Normal 121 2 2 2 5" xfId="2195"/>
    <cellStyle name="Normal 121 2 2 2 2 4" xfId="2196"/>
    <cellStyle name="Normal 121 2 2 3 2" xfId="2197"/>
    <cellStyle name="Normal 121 2 3 5" xfId="2198"/>
    <cellStyle name="Normal 121 2 3 2 2" xfId="2199"/>
    <cellStyle name="Normal 121 2 4 4" xfId="2200"/>
    <cellStyle name="Normal 124 2 3" xfId="2201"/>
    <cellStyle name="Normal 124 2 2 2" xfId="2202"/>
    <cellStyle name="Normal 125 6" xfId="2203"/>
    <cellStyle name="Normal 125 2 5" xfId="2204"/>
    <cellStyle name="Normal 125 2 2 2" xfId="2205"/>
    <cellStyle name="Normal 125 3 2" xfId="2206"/>
    <cellStyle name="Normal 126 6" xfId="2207"/>
    <cellStyle name="Normal 126 2 5" xfId="2208"/>
    <cellStyle name="Normal 126 2 2 2" xfId="2209"/>
    <cellStyle name="Normal 126 3 2" xfId="2210"/>
    <cellStyle name="Normal 129 3" xfId="2211"/>
    <cellStyle name="Normal 129 2 2" xfId="2212"/>
    <cellStyle name="Normal 182 5" xfId="2213"/>
    <cellStyle name="Normal 182 2 4" xfId="2214"/>
    <cellStyle name="Normal 2 2 2 2 5" xfId="2215"/>
    <cellStyle name="Normal 2 3 2 6" xfId="2216"/>
    <cellStyle name="Normal 2 3 2 2 2 4" xfId="2217"/>
    <cellStyle name="Normal 2 3 2 2 3 4" xfId="2218"/>
    <cellStyle name="Normal 2 3 2 3 4" xfId="2219"/>
    <cellStyle name="Normal 2 3 2 4 2" xfId="2220"/>
    <cellStyle name="Normal 2 3 4 5" xfId="2221"/>
    <cellStyle name="Normal 2 3 5 5" xfId="2222"/>
    <cellStyle name="Normal 2 4 2 5" xfId="2223"/>
    <cellStyle name="Normal 2 4 2 2 2" xfId="2224"/>
    <cellStyle name="Normal 2 4 4 2" xfId="2225"/>
    <cellStyle name="Normal 2 5 2 4" xfId="2226"/>
    <cellStyle name="Normal 2 9 3" xfId="2227"/>
    <cellStyle name="Normal 2 9 2 2" xfId="2228"/>
    <cellStyle name="Normal 3 12" xfId="2229"/>
    <cellStyle name="Normal 3 2 2 4" xfId="2230"/>
    <cellStyle name="Normal 3 2 3 5" xfId="2231"/>
    <cellStyle name="Normal 3 2 3 2 2" xfId="2232"/>
    <cellStyle name="Normal 3 2 4 4" xfId="2233"/>
    <cellStyle name="Normal 3 2 5 4" xfId="2234"/>
    <cellStyle name="Normal 3 3 5" xfId="2235"/>
    <cellStyle name="Normal 3 4 4" xfId="2236"/>
    <cellStyle name="Normal 3 5 4" xfId="2237"/>
    <cellStyle name="Normal 32 3" xfId="2238"/>
    <cellStyle name="Normal 32 2 2" xfId="2239"/>
    <cellStyle name="Normal 4 2 3 4" xfId="2240"/>
    <cellStyle name="Normal 4 3 2 4" xfId="2241"/>
    <cellStyle name="Normal 4 3 3 4" xfId="2242"/>
    <cellStyle name="Normal 4 4 4" xfId="2243"/>
    <cellStyle name="Normal 4 5 4" xfId="2244"/>
    <cellStyle name="Normal 5 2 2 2" xfId="2245"/>
    <cellStyle name="Normal 6 2 2 4" xfId="2246"/>
    <cellStyle name="Normal 6 4 4" xfId="2247"/>
    <cellStyle name="Normal 7 12" xfId="2248"/>
    <cellStyle name="Normal 7 2 8" xfId="2249"/>
    <cellStyle name="Normal 7 2 2 3" xfId="2250"/>
    <cellStyle name="Normal 7 2 2 2 2" xfId="2251"/>
    <cellStyle name="Normal 7 2 3 2" xfId="2252"/>
    <cellStyle name="Normal 7 3 9" xfId="2253"/>
    <cellStyle name="Normal 7 3 2 2" xfId="2254"/>
    <cellStyle name="Normal 7 3 3 3" xfId="2255"/>
    <cellStyle name="Normal 7 3 3 2 2" xfId="2256"/>
    <cellStyle name="Normal 7 3 4 2" xfId="2257"/>
    <cellStyle name="Normal 7 4 4" xfId="2258"/>
    <cellStyle name="Normal 7 5 2" xfId="2259"/>
    <cellStyle name="Normal 8 2 5" xfId="2260"/>
    <cellStyle name="Normal 8 3 4" xfId="2261"/>
    <cellStyle name="Normal 9 2 5" xfId="2262"/>
    <cellStyle name="Percent 2 2 6" xfId="2263"/>
    <cellStyle name="Percent 2 2 2 2" xfId="2264"/>
    <cellStyle name="Percent 2 2 3 2" xfId="2265"/>
    <cellStyle name="Percent 2 3 2 3" xfId="2266"/>
    <cellStyle name="Percent 2 3 2 2 2" xfId="2267"/>
    <cellStyle name="Percent 2 4 4" xfId="2268"/>
    <cellStyle name="Percent 2 5 2" xfId="2269"/>
    <cellStyle name="Percent 2 6 2" xfId="2270"/>
    <cellStyle name="Percent 3 6" xfId="2271"/>
    <cellStyle name="Percent 3 2 4" xfId="2272"/>
    <cellStyle name="Percent 4 5" xfId="2273"/>
    <cellStyle name="Percent 4 2 3" xfId="2274"/>
    <cellStyle name="Percent 5 5" xfId="2275"/>
    <cellStyle name="Percent 6 3" xfId="2276"/>
    <cellStyle name="Prefilled 5" xfId="2277"/>
    <cellStyle name="Prefilled 2 4" xfId="2278"/>
    <cellStyle name="SAPBEXaggData 2 2 4" xfId="2279"/>
    <cellStyle name="SAPBEXaggData 3 4" xfId="2280"/>
    <cellStyle name="SAPBEXaggDataEmph 2 2 4" xfId="2281"/>
    <cellStyle name="SAPBEXaggDataEmph 3 4" xfId="2282"/>
    <cellStyle name="SAPBEXaggItem 2 2 4" xfId="2283"/>
    <cellStyle name="SAPBEXaggItem 3 4" xfId="2284"/>
    <cellStyle name="SAPBEXaggItemX 2 2 4" xfId="2285"/>
    <cellStyle name="SAPBEXaggItemX 3 4" xfId="2286"/>
    <cellStyle name="SAPBEXexcBad7 2 2 4" xfId="2287"/>
    <cellStyle name="SAPBEXexcBad7 3 4" xfId="2288"/>
    <cellStyle name="SAPBEXexcBad8 2 2 4" xfId="2289"/>
    <cellStyle name="SAPBEXexcBad8 3 4" xfId="2290"/>
    <cellStyle name="SAPBEXexcBad9 2 2 4" xfId="2291"/>
    <cellStyle name="SAPBEXexcBad9 3 4" xfId="2292"/>
    <cellStyle name="SAPBEXexcCritical4 2 2 4" xfId="2293"/>
    <cellStyle name="SAPBEXexcCritical4 3 4" xfId="2294"/>
    <cellStyle name="SAPBEXexcCritical5 2 2 4" xfId="2295"/>
    <cellStyle name="SAPBEXexcCritical5 3 4" xfId="2296"/>
    <cellStyle name="SAPBEXexcCritical6 2 2 4" xfId="2297"/>
    <cellStyle name="SAPBEXexcCritical6 3 4" xfId="2298"/>
    <cellStyle name="SAPBEXexcGood1 2 2 4" xfId="2299"/>
    <cellStyle name="SAPBEXexcGood1 3 4" xfId="2300"/>
    <cellStyle name="SAPBEXexcGood2 2 2 4" xfId="2301"/>
    <cellStyle name="SAPBEXexcGood2 3 4" xfId="2302"/>
    <cellStyle name="SAPBEXexcGood3 2 2 4" xfId="2303"/>
    <cellStyle name="SAPBEXexcGood3 3 4" xfId="2304"/>
    <cellStyle name="SAPBEXfilterDrill 9" xfId="2305"/>
    <cellStyle name="SAPBEXformats 2 2 4" xfId="2306"/>
    <cellStyle name="SAPBEXformats 3 4" xfId="2307"/>
    <cellStyle name="SAPBEXHLevel0 2 2 4" xfId="2308"/>
    <cellStyle name="SAPBEXHLevel0 3 4" xfId="2309"/>
    <cellStyle name="SAPBEXHLevel0X 2 2 4" xfId="2310"/>
    <cellStyle name="SAPBEXHLevel0X 3 4" xfId="2311"/>
    <cellStyle name="SAPBEXHLevel1 2 2 4" xfId="2312"/>
    <cellStyle name="SAPBEXHLevel1 3 4" xfId="2313"/>
    <cellStyle name="SAPBEXHLevel1X 2 2 4" xfId="2314"/>
    <cellStyle name="SAPBEXHLevel1X 3 4" xfId="2315"/>
    <cellStyle name="SAPBEXHLevel2 2 2 4" xfId="2316"/>
    <cellStyle name="SAPBEXHLevel2 3 4" xfId="2317"/>
    <cellStyle name="SAPBEXHLevel2X 2 2 4" xfId="2318"/>
    <cellStyle name="SAPBEXHLevel2X 3 4" xfId="2319"/>
    <cellStyle name="SAPBEXHLevel3 2 2 4" xfId="2320"/>
    <cellStyle name="SAPBEXHLevel3 3 4" xfId="2321"/>
    <cellStyle name="SAPBEXHLevel3X 2 2 4" xfId="2322"/>
    <cellStyle name="SAPBEXHLevel3X 3 4" xfId="2323"/>
    <cellStyle name="SAPBEXresData 2 2 4" xfId="2324"/>
    <cellStyle name="SAPBEXresData 3 4" xfId="2325"/>
    <cellStyle name="SAPBEXresDataEmph 2 2 4" xfId="2326"/>
    <cellStyle name="SAPBEXresDataEmph 3 4" xfId="2327"/>
    <cellStyle name="SAPBEXresItem 2 2 4" xfId="2328"/>
    <cellStyle name="SAPBEXresItem 3 4" xfId="2329"/>
    <cellStyle name="SAPBEXresItemX 2 2 4" xfId="2330"/>
    <cellStyle name="SAPBEXresItemX 3 4" xfId="2331"/>
    <cellStyle name="SAPBEXstdData 2 2 4" xfId="2332"/>
    <cellStyle name="SAPBEXstdData 3 4" xfId="2333"/>
    <cellStyle name="SAPBEXstdDataEmph 2 2 4" xfId="2334"/>
    <cellStyle name="SAPBEXstdDataEmph 3 4" xfId="2335"/>
    <cellStyle name="SAPBEXstdItem 2 2 4" xfId="2336"/>
    <cellStyle name="SAPBEXstdItem 3 4" xfId="2337"/>
    <cellStyle name="SAPBEXstdItemX 2 2 4" xfId="2338"/>
    <cellStyle name="SAPBEXstdItemX 3 4" xfId="2339"/>
    <cellStyle name="SAPBEXundefined 2 2 4" xfId="2340"/>
    <cellStyle name="SAPBEXundefined 3 4" xfId="2341"/>
    <cellStyle name="百分比 3 2 5" xfId="2342"/>
    <cellStyle name="常规 2 2 2 2 5" xfId="2343"/>
    <cellStyle name="常规 2 2 2 2 2 2" xfId="2344"/>
    <cellStyle name="常规 2 2 3 2 4" xfId="2345"/>
    <cellStyle name="常规 3 2 2 6" xfId="2346"/>
    <cellStyle name="常规 3 2 2 2 4" xfId="2347"/>
    <cellStyle name="常规 3 3 6" xfId="2348"/>
    <cellStyle name="常规 3 4 4" xfId="2349"/>
    <cellStyle name="常规 4 2 6" xfId="2350"/>
    <cellStyle name="常规 4 3 4" xfId="2351"/>
    <cellStyle name="常规 5 2 4" xfId="2352"/>
    <cellStyle name="常规 6 2 2" xfId="2353"/>
    <cellStyle name="常规 7 2 4" xfId="2354"/>
    <cellStyle name="常规 8 2 4" xfId="2355"/>
    <cellStyle name="千位分隔 2 2 2 2 4" xfId="2356"/>
    <cellStyle name="千位分隔 2 2 3 4" xfId="2357"/>
    <cellStyle name="千位分隔 2 2 4 4" xfId="2358"/>
    <cellStyle name="千位分隔 2 3 6" xfId="2359"/>
    <cellStyle name="千位分隔 2 3 2 4" xfId="2360"/>
    <cellStyle name="千位分隔 2 3 3 4" xfId="2361"/>
    <cellStyle name="千位分隔 3 2 2 6" xfId="2362"/>
    <cellStyle name="千位分隔 3 3 7" xfId="2363"/>
    <cellStyle name="千位分隔 3 4 7" xfId="2364"/>
    <cellStyle name="千位分隔 4 2 2 5" xfId="2365"/>
    <cellStyle name="千位分隔 4 2 2 2 4" xfId="2366"/>
    <cellStyle name="千位分隔 4 2 3 4" xfId="2367"/>
    <cellStyle name="千位分隔 4 2 4 4" xfId="2368"/>
    <cellStyle name="千位分隔 4 3 5" xfId="2369"/>
    <cellStyle name="千位分隔 4 3 2 4" xfId="2370"/>
    <cellStyle name="千位分隔 4 4 4" xfId="2371"/>
    <cellStyle name="千位分隔 4 5 4" xfId="2372"/>
    <cellStyle name="千位分隔 5 2 6" xfId="2373"/>
    <cellStyle name="千位分隔 5 3 5" xfId="2374"/>
    <cellStyle name="千位分隔 6 5" xfId="2375"/>
    <cellStyle name="千位分隔 6 2 4" xfId="2376"/>
    <cellStyle name="千位分隔 7 6" xfId="2377"/>
    <cellStyle name="千位分隔 7 2 4" xfId="2378"/>
    <cellStyle name="千位分隔 8 6" xfId="2379"/>
    <cellStyle name="千位分隔 8 2 5" xfId="2380"/>
    <cellStyle name="资产 5" xfId="2381"/>
    <cellStyle name="资产 2 4" xfId="2382"/>
    <cellStyle name="Normal 12 2 4" xfId="2383"/>
    <cellStyle name="常规 10 4" xfId="2384"/>
    <cellStyle name="千位分隔 7 3 6" xfId="2385"/>
    <cellStyle name="百分比 4 2 4" xfId="2386"/>
    <cellStyle name="常规 9 2 6" xfId="2387"/>
    <cellStyle name="Comma 10 2 5 5" xfId="2388"/>
    <cellStyle name="常规 9 2 2 3" xfId="2389"/>
    <cellStyle name="Normal 14 6" xfId="2390"/>
    <cellStyle name="常规 9 2 3 3" xfId="2391"/>
    <cellStyle name="Normal 13 2 4" xfId="2392"/>
    <cellStyle name="千位分隔 9 5" xfId="2393"/>
    <cellStyle name="一般 2 5" xfId="2394"/>
    <cellStyle name="常规 2 2 4 4" xfId="2395"/>
    <cellStyle name="常规 2 2 5 4" xfId="2396"/>
    <cellStyle name="Normal 10 2 7" xfId="2397"/>
    <cellStyle name="Comma 41 3" xfId="2398"/>
    <cellStyle name="常规 2 2 5 5 2" xfId="2399"/>
    <cellStyle name="Normal 2 3 6 2" xfId="2400"/>
    <cellStyle name="常规 10 5" xfId="2401"/>
    <cellStyle name="常规 2 2 5 3 2" xfId="2402"/>
    <cellStyle name="常规 10 2 3" xfId="2403"/>
    <cellStyle name="常规 11 3" xfId="2404"/>
    <cellStyle name="千位分隔 10 5" xfId="2405"/>
    <cellStyle name="Normal 8 4 3" xfId="2406"/>
    <cellStyle name="Comma 6 6 3" xfId="2407"/>
    <cellStyle name="Normal 3 6 4" xfId="2408"/>
    <cellStyle name="Comma 4 3 4 3" xfId="2409"/>
    <cellStyle name="Currency 2 2" xfId="2410"/>
    <cellStyle name="Currency 6" xfId="2411"/>
    <cellStyle name="Comma 2 13" xfId="2412"/>
    <cellStyle name="Comma 17 8" xfId="2413"/>
    <cellStyle name="Style 1 5 4" xfId="2414"/>
    <cellStyle name="Normal 2 2 5" xfId="2415"/>
    <cellStyle name="Comma 3 8" xfId="2416"/>
    <cellStyle name="Normal 4 6 3" xfId="2417"/>
    <cellStyle name="Currency 3" xfId="2418"/>
    <cellStyle name="Normal 3 2 6 3" xfId="2419"/>
    <cellStyle name="Currency 2" xfId="2420"/>
    <cellStyle name="Normal 5 5 3" xfId="2421"/>
    <cellStyle name="Currency 4" xfId="2422"/>
    <cellStyle name="Normal 2 3 6 3" xfId="2423"/>
    <cellStyle name="Normal 3 3 3 3" xfId="2424"/>
    <cellStyle name="Comma 4 6 3" xfId="2425"/>
    <cellStyle name="Normal 7 8 3" xfId="2426"/>
    <cellStyle name="Comma 5 6 3" xfId="2427"/>
    <cellStyle name="Currency 5" xfId="2428"/>
    <cellStyle name="Percent 3 3 3" xfId="2429"/>
    <cellStyle name="Normal 2 4 5" xfId="2430"/>
    <cellStyle name="Currency 4 2" xfId="2431"/>
    <cellStyle name="Normal 3 4 2 3" xfId="2432"/>
    <cellStyle name="Normal 4 2 4 3" xfId="2433"/>
    <cellStyle name="Normal 5 2 3" xfId="2434"/>
    <cellStyle name="Normal 2 2 2 3 3" xfId="2435"/>
    <cellStyle name="Hyperlink 2 4 3" xfId="2436"/>
    <cellStyle name="Comma [0] 2 8 3" xfId="2437"/>
    <cellStyle name="Normal 121 2 5 3" xfId="2438"/>
    <cellStyle name="Normal 118 3 3" xfId="2439"/>
    <cellStyle name="Normal 55" xfId="2440"/>
    <cellStyle name="Comma 12 6 3" xfId="2441"/>
    <cellStyle name="Currency 9" xfId="2442"/>
    <cellStyle name="Hyperlink 2 2 5 3" xfId="2443"/>
    <cellStyle name="Comma 16 7 3" xfId="2444"/>
    <cellStyle name="超链接 5 3" xfId="2445"/>
    <cellStyle name="Normal 3 5 2 3" xfId="2446"/>
    <cellStyle name="Normal 4 3 4 3" xfId="2447"/>
    <cellStyle name="Hyperlink 3 2 3" xfId="2448"/>
    <cellStyle name="Percent 2 2 4 3" xfId="2449"/>
    <cellStyle name="Percent 4 3 3" xfId="2450"/>
    <cellStyle name="Normal 2 2 2 2 2 3" xfId="2451"/>
    <cellStyle name="Comma 2 2 10 3" xfId="2452"/>
    <cellStyle name="Normal 3 10" xfId="2453"/>
    <cellStyle name="Normal 3 7 3" xfId="2454"/>
    <cellStyle name="Normal 3 9" xfId="2455"/>
    <cellStyle name="Normal 7 9" xfId="2456"/>
    <cellStyle name="Normal 3 8" xfId="2457"/>
    <cellStyle name="Normal 7 10" xfId="2458"/>
    <cellStyle name="常规 14" xfId="2459"/>
    <cellStyle name="SAPBEXresItem 6" xfId="2460"/>
    <cellStyle name="Normal 126 5" xfId="2461"/>
    <cellStyle name="千位分隔 3 3 2 3" xfId="2462"/>
    <cellStyle name="千位分隔 13" xfId="2463"/>
    <cellStyle name="Comma [0] 3 7" xfId="2464"/>
    <cellStyle name="百分比 7" xfId="2465"/>
    <cellStyle name="百分比 4 6" xfId="2466"/>
    <cellStyle name="Normal 2 3 2 2 5" xfId="2467"/>
    <cellStyle name="Comma 10 6" xfId="2468"/>
    <cellStyle name="SAPBEXexcBad7 2 5" xfId="2469"/>
    <cellStyle name="千位分隔[0] 2 6" xfId="2470"/>
    <cellStyle name="SAPBEXstdItem 6" xfId="2471"/>
    <cellStyle name="SAPBEXaggItem 6" xfId="2472"/>
    <cellStyle name="Hyperlink 3 4" xfId="2473"/>
    <cellStyle name="SAPBEXHLevel3X 6" xfId="2474"/>
    <cellStyle name="Comma [0] 2 2 2 2 3 5" xfId="2475"/>
    <cellStyle name="00 3" xfId="2476"/>
    <cellStyle name="常规 9 2 5" xfId="2477"/>
    <cellStyle name="Comma [0] 2 2 2 2 2 6" xfId="2478"/>
    <cellStyle name="Normal 121 2 4 3" xfId="2479"/>
    <cellStyle name="SAPBEXexcCritical6 6" xfId="2480"/>
    <cellStyle name="Normal 12 2 3" xfId="2481"/>
    <cellStyle name="Comma 8 2 4" xfId="2482"/>
    <cellStyle name="SAPBEXHLevel2 2 5" xfId="2483"/>
    <cellStyle name="SAPBEXfilterDrill 6" xfId="2484"/>
    <cellStyle name="SAPBEXexcCritical4 2 5" xfId="2485"/>
    <cellStyle name="常规 3 3 5" xfId="2486"/>
    <cellStyle name="SAPBEXexcCritical6 2 5" xfId="2487"/>
    <cellStyle name="SAPBEXstdData 6" xfId="2488"/>
    <cellStyle name="SAPBEXaggData 6" xfId="2489"/>
    <cellStyle name="SAPBEXexcBad9 2 5" xfId="2490"/>
    <cellStyle name="SAPBEXfilterDrill 2 2 3" xfId="2491"/>
    <cellStyle name="SAPBEXHLevel3 2 5" xfId="2492"/>
    <cellStyle name="Normal 2 3 2 2 2 3" xfId="2493"/>
    <cellStyle name="Comma 10 2 9" xfId="2494"/>
    <cellStyle name="Normal 2 3 2 2 3 3" xfId="2495"/>
    <cellStyle name="Comma [0] 2 10" xfId="2496"/>
    <cellStyle name="Comma [0] 2 2 8" xfId="2497"/>
    <cellStyle name="Comma [0] 2 2 2 8" xfId="2498"/>
    <cellStyle name="Comma [0] 2 2 2 2 7" xfId="2499"/>
    <cellStyle name="Comma [0] 2 2 2 2 2 2 4" xfId="2500"/>
    <cellStyle name="Normal 111 2 4" xfId="2501"/>
    <cellStyle name="Comma [0] 2 2 2 3 6" xfId="2502"/>
    <cellStyle name="Normal 111 2 2 3" xfId="2503"/>
    <cellStyle name="Comma [0] 2 2 2 3 2 3" xfId="2504"/>
    <cellStyle name="Comma [0] 2 2 2 4 5" xfId="2505"/>
    <cellStyle name="Comma [0] 2 2 3 6" xfId="2506"/>
    <cellStyle name="Comma [0] 2 2 3 2 4" xfId="2507"/>
    <cellStyle name="Comma [0] 2 2 4 5" xfId="2508"/>
    <cellStyle name="Comma [0] 2 3 7" xfId="2509"/>
    <cellStyle name="千位分隔 6 4" xfId="2510"/>
    <cellStyle name="Comma 10 2 4 4" xfId="2511"/>
    <cellStyle name="Comma [0] 2 3 2 5" xfId="2512"/>
    <cellStyle name="Comma [0] 2 4 6" xfId="2513"/>
    <cellStyle name="Comma [0] 3 2 6" xfId="2514"/>
    <cellStyle name="超链接 2 2 4" xfId="2515"/>
    <cellStyle name="Comma [0] 3 2 2 5" xfId="2516"/>
    <cellStyle name="Comma [0] 3 2 2 2 3" xfId="2517"/>
    <cellStyle name="Comma [0] 3 2 3 3" xfId="2518"/>
    <cellStyle name="Comma [0] 3 3 4" xfId="2519"/>
    <cellStyle name="千位分隔 4 6" xfId="2520"/>
    <cellStyle name="Comma 2 3 10" xfId="2521"/>
    <cellStyle name="Comma 10 2 2 5" xfId="2522"/>
    <cellStyle name="千位分隔 4 2 5" xfId="2523"/>
    <cellStyle name="Comma 2 3 2 7" xfId="2524"/>
    <cellStyle name="Comma 10 2 2 2 3" xfId="2525"/>
    <cellStyle name="千位分隔 5 6" xfId="2526"/>
    <cellStyle name="Comma 2 4 8" xfId="2527"/>
    <cellStyle name="Comma 10 2 3 4" xfId="2528"/>
    <cellStyle name="千位分隔 7 5" xfId="2529"/>
    <cellStyle name="Comma 10 2 5 4" xfId="2530"/>
    <cellStyle name="千位分隔 3 2 2 2 3" xfId="2531"/>
    <cellStyle name="Comma 11 6" xfId="2532"/>
    <cellStyle name="千位分隔 3 7" xfId="2533"/>
    <cellStyle name="Comma 2 2 11" xfId="2534"/>
    <cellStyle name="千位分隔 3 2 6" xfId="2535"/>
    <cellStyle name="Comma 2 2 2 9" xfId="2536"/>
    <cellStyle name="千位分隔 3 2 2 5" xfId="2537"/>
    <cellStyle name="Comma 2 2 2 2 7" xfId="2538"/>
    <cellStyle name="千位分隔 3 3 6" xfId="2539"/>
    <cellStyle name="Comma 2 2 3 11" xfId="2540"/>
    <cellStyle name="Comma 3 9" xfId="2541"/>
    <cellStyle name="Comma 3 2 7" xfId="2542"/>
    <cellStyle name="Comma 4 7" xfId="2543"/>
    <cellStyle name="Comma 4 2 6" xfId="2544"/>
    <cellStyle name="Comma 5 7" xfId="2545"/>
    <cellStyle name="Comma 5 2 7" xfId="2546"/>
    <cellStyle name="Comma 5 2 2 5" xfId="2547"/>
    <cellStyle name="Comma 5 2 2 2 3" xfId="2548"/>
    <cellStyle name="Comma 5 2 3 4" xfId="2549"/>
    <cellStyle name="Comma 5 3 5" xfId="2550"/>
    <cellStyle name="Comma 6 8" xfId="2551"/>
    <cellStyle name="Comma 6 2 4" xfId="2552"/>
    <cellStyle name="Comma 7 7" xfId="2553"/>
    <cellStyle name="Comma 7 2 5" xfId="2554"/>
    <cellStyle name="Comma 8 7" xfId="2555"/>
    <cellStyle name="Normal 2 2 2 4" xfId="2556"/>
    <cellStyle name="entry box 4" xfId="2557"/>
    <cellStyle name="Header1 5" xfId="2558"/>
    <cellStyle name="Normal 8 2 4" xfId="2559"/>
    <cellStyle name="Header2 3" xfId="2560"/>
    <cellStyle name="千位分隔 2 2 2 5" xfId="2561"/>
    <cellStyle name="Input [yellow] 4" xfId="2562"/>
    <cellStyle name="Model 3" xfId="2563"/>
    <cellStyle name="Normal 103 5" xfId="2564"/>
    <cellStyle name="SAPBEXexcCritical5 6" xfId="2565"/>
    <cellStyle name="SAPBEXexcCritical5 2 5" xfId="2566"/>
    <cellStyle name="Normal 121 2 2 2 2 3" xfId="2567"/>
    <cellStyle name="Normal 121 2 3 4" xfId="2568"/>
    <cellStyle name="Normal 13 5" xfId="2569"/>
    <cellStyle name="Normal 182 4" xfId="2570"/>
    <cellStyle name="Normal 182 2 3" xfId="2571"/>
    <cellStyle name="SAPBEXstdItemX 2 5" xfId="2572"/>
    <cellStyle name="SAPBEXaggItemX 2 5" xfId="2573"/>
    <cellStyle name="Normal 2 12" xfId="2574"/>
    <cellStyle name="千位分隔 4 2 2 4" xfId="2575"/>
    <cellStyle name="Normal 2 2 3 2 3" xfId="2576"/>
    <cellStyle name="Normal 2 3 8" xfId="2577"/>
    <cellStyle name="Normal 2 3 2 5" xfId="2578"/>
    <cellStyle name="千位分隔 5 2 5" xfId="2579"/>
    <cellStyle name="Normal 2 3 3 4" xfId="2580"/>
    <cellStyle name="千位分隔 5 2 2 3" xfId="2581"/>
    <cellStyle name="Normal 2 3 3 2 3" xfId="2582"/>
    <cellStyle name="Normal 3 11" xfId="2583"/>
    <cellStyle name="Normal 3 2 8" xfId="2584"/>
    <cellStyle name="千位分隔 7 3 2 3" xfId="2585"/>
    <cellStyle name="Normal 5 3 4" xfId="2586"/>
    <cellStyle name="Normal 7 11" xfId="2587"/>
    <cellStyle name="Prefilled 4" xfId="2588"/>
    <cellStyle name="Percent 2 8" xfId="2589"/>
    <cellStyle name="SAPBEXstdData 2 5" xfId="2590"/>
    <cellStyle name="SAPBEXexcBad8 6" xfId="2591"/>
    <cellStyle name="SAPBEXaggData 2 5" xfId="2592"/>
    <cellStyle name="SAPBEXstdDataEmph 6" xfId="2593"/>
    <cellStyle name="SAPBEXaggDataEmph 6" xfId="2594"/>
    <cellStyle name="SAPBEXstdDataEmph 2 5" xfId="2595"/>
    <cellStyle name="SAPBEXaggDataEmph 2 5" xfId="2596"/>
    <cellStyle name="SAPBEXstdItem 2 5" xfId="2597"/>
    <cellStyle name="SAPBEXaggItem 2 5" xfId="2598"/>
    <cellStyle name="SAPBEXstdItemX 6" xfId="2599"/>
    <cellStyle name="SAPBEXaggItemX 6" xfId="2600"/>
    <cellStyle name="SAPBEXexcBad7 6" xfId="2601"/>
    <cellStyle name="SAPBEXexcBad8 2 5" xfId="2602"/>
    <cellStyle name="SAPBEXexcBad9 6" xfId="2603"/>
    <cellStyle name="SAPBEXresItem 2 5" xfId="2604"/>
    <cellStyle name="SAPBEXexcCritical4 6" xfId="2605"/>
    <cellStyle name="SAPBEXexcGood1 6" xfId="2606"/>
    <cellStyle name="SAPBEXexcGood1 2 5" xfId="2607"/>
    <cellStyle name="SAPBEXexcGood2 6" xfId="2608"/>
    <cellStyle name="SAPBEXexcGood2 2 5" xfId="2609"/>
    <cellStyle name="百分比 3 5" xfId="2610"/>
    <cellStyle name="SAPBEXexcGood3 6" xfId="2611"/>
    <cellStyle name="百分比 3 2 4" xfId="2612"/>
    <cellStyle name="SAPBEXexcGood3 2 5" xfId="2613"/>
    <cellStyle name="SAPBEXfilterDrill 2 6" xfId="2614"/>
    <cellStyle name="SAPBEXformats 6" xfId="2615"/>
    <cellStyle name="SAPBEXformats 2 5" xfId="2616"/>
    <cellStyle name="SAPBEXHLevel0 6" xfId="2617"/>
    <cellStyle name="SAPBEXHLevel0 2 5" xfId="2618"/>
    <cellStyle name="SAPBEXHLevel0X 6" xfId="2619"/>
    <cellStyle name="SAPBEXHLevel0X 2 5" xfId="2620"/>
    <cellStyle name="千位分隔 8 2 4" xfId="2621"/>
    <cellStyle name="SAPBEXHLevel1 6" xfId="2622"/>
    <cellStyle name="SAPBEXHLevel1 2 5" xfId="2623"/>
    <cellStyle name="SAPBEXHLevel1X 6" xfId="2624"/>
    <cellStyle name="SAPBEXHLevel1X 2 5" xfId="2625"/>
    <cellStyle name="SAPBEXHLevel2 6" xfId="2626"/>
    <cellStyle name="SAPBEXHLevel2X 6" xfId="2627"/>
    <cellStyle name="SAPBEXHLevel2X 2 5" xfId="2628"/>
    <cellStyle name="SAPBEXHLevel3 6" xfId="2629"/>
    <cellStyle name="SAPBEXHLevel3X 2 5" xfId="2630"/>
    <cellStyle name="SAPBEXresData 6" xfId="2631"/>
    <cellStyle name="SAPBEXresData 2 5" xfId="2632"/>
    <cellStyle name="SAPBEXresDataEmph 6" xfId="2633"/>
    <cellStyle name="SAPBEXresDataEmph 2 5" xfId="2634"/>
    <cellStyle name="SAPBEXresItemX 6" xfId="2635"/>
    <cellStyle name="SAPBEXresItemX 2 5" xfId="2636"/>
    <cellStyle name="千位分隔 3 4 6" xfId="2637"/>
    <cellStyle name="SAPBEXundefined 6" xfId="2638"/>
    <cellStyle name="SAPBEXundefined 2 5" xfId="2639"/>
    <cellStyle name="SOR 5" xfId="2640"/>
    <cellStyle name="SOR 2 4" xfId="2641"/>
    <cellStyle name="SOR 2 2 3" xfId="2642"/>
    <cellStyle name="SOR 3 3" xfId="2643"/>
    <cellStyle name="百分比 4 2 3" xfId="2644"/>
    <cellStyle name="千位分隔 5 3 4" xfId="2645"/>
    <cellStyle name="常规 10 3" xfId="2646"/>
    <cellStyle name="常规 3 2 2 5" xfId="2647"/>
    <cellStyle name="常规 4 2 5" xfId="2648"/>
    <cellStyle name="千位分隔 2 7" xfId="2649"/>
    <cellStyle name="千位分隔 2 2 7" xfId="2650"/>
    <cellStyle name="千位分隔 2 3 5" xfId="2651"/>
    <cellStyle name="千位分隔 3 2 3 3" xfId="2652"/>
    <cellStyle name="千位分隔 4 3 4" xfId="2653"/>
    <cellStyle name="千位分隔 7 3 5" xfId="2654"/>
    <cellStyle name="千位分隔 8 5" xfId="2655"/>
    <cellStyle name="千位分隔 9 4" xfId="2656"/>
    <cellStyle name="千位分隔[0] 2 2 6" xfId="2657"/>
    <cellStyle name="千位分隔[0] 2 2 2 5" xfId="2658"/>
    <cellStyle name="千位分隔[0] 2 2 2 2 3" xfId="2659"/>
    <cellStyle name="千位分隔[0] 2 2 3 3" xfId="2660"/>
    <cellStyle name="千位分隔[0] 2 3 3" xfId="2661"/>
    <cellStyle name="资产 4" xfId="2662"/>
    <cellStyle name="一般 2 4" xfId="2663"/>
    <cellStyle name="常规 11 2" xfId="2664"/>
    <cellStyle name="Normal 10 5" xfId="2665"/>
    <cellStyle name="Normal 2 2 2 2 4" xfId="2666"/>
    <cellStyle name="常规 2 2 5 2 3" xfId="2667"/>
    <cellStyle name="Normal 2 5 5" xfId="2668"/>
    <cellStyle name="千位分隔 10 4" xfId="2669"/>
    <cellStyle name="Normal 2 3 2 2 4 2" xfId="2670"/>
    <cellStyle name="百分比 5 3" xfId="2671"/>
    <cellStyle name="Comma 3 3 6" xfId="2672"/>
    <cellStyle name="Comma 2 2 4 7" xfId="2673"/>
    <cellStyle name="Normal 10 2 6" xfId="2674"/>
    <cellStyle name="Comma 4 4 4" xfId="2675"/>
    <cellStyle name="Normal 2 2 2 2 2 2" xfId="2676"/>
    <cellStyle name="Normal 2 3 2 2 2 2 2" xfId="2677"/>
    <cellStyle name="Normal 4 3 3 3" xfId="2678"/>
    <cellStyle name="Normal 3 2 2 3" xfId="2679"/>
    <cellStyle name="Normal 7 2 5" xfId="2680"/>
    <cellStyle name="千位分隔 12 2" xfId="2681"/>
    <cellStyle name="Normal 12 4" xfId="2682"/>
    <cellStyle name="Normal 9 2 4" xfId="2683"/>
    <cellStyle name="Comma [0] 3 5 2" xfId="2684"/>
    <cellStyle name="Comma [0] 2 3 4 3" xfId="2685"/>
    <cellStyle name="Percent 3 3 2" xfId="2686"/>
    <cellStyle name="Comma [0] 2 2 2 4 3 2" xfId="2687"/>
    <cellStyle name="Comma [0] 2 7 3" xfId="2688"/>
    <cellStyle name="Comma 2 9 4" xfId="2689"/>
    <cellStyle name="Comma [0] 2 2 2 6 2" xfId="2690"/>
    <cellStyle name="Comma [0] 2 2 2 2 5 3" xfId="2691"/>
    <cellStyle name="Percent 3 2 3" xfId="2692"/>
    <cellStyle name="Comma [0] 2 2 2 3 4 2" xfId="2693"/>
    <cellStyle name="Comma [0] 2 2 3 4 2" xfId="2694"/>
    <cellStyle name="Comma 10 4 3" xfId="2695"/>
    <cellStyle name="Comma [0] 2 2 4 3 3" xfId="2696"/>
    <cellStyle name="Comma 3 4 5" xfId="2697"/>
    <cellStyle name="Normal 125 5" xfId="2698"/>
    <cellStyle name="Comma 3 5 4" xfId="2699"/>
    <cellStyle name="Comma [0] 2 4 2 4" xfId="2700"/>
    <cellStyle name="千位分隔[0] 2 5 2" xfId="2701"/>
    <cellStyle name="Hyperlink 2 4 2" xfId="2702"/>
    <cellStyle name="cellStyleNum 2 2 4" xfId="2703"/>
    <cellStyle name="Normal 3 2 3 4" xfId="2704"/>
    <cellStyle name="Hyperlink 5 4" xfId="2705"/>
    <cellStyle name="cellStyleNum 2 5" xfId="2706"/>
    <cellStyle name="Comma [0] 2 2 6 2" xfId="2707"/>
    <cellStyle name="Comma [0] 2 2 2 2 2 4 2" xfId="2708"/>
    <cellStyle name="Comma [0] 2 2 2 2 3 3 2" xfId="2709"/>
    <cellStyle name="Comma 2 5 7" xfId="2710"/>
    <cellStyle name="Comma [0] 2 3 2 3 3" xfId="2711"/>
    <cellStyle name="Comma [0] 2 4 4 3" xfId="2712"/>
    <cellStyle name="Comma [0] 2 5 5" xfId="2713"/>
    <cellStyle name="Comma [0] 3 2 5 2" xfId="2714"/>
    <cellStyle name="Comma [0] 3 2 2 4 2" xfId="2715"/>
    <cellStyle name="Comma 10 2 7 2" xfId="2716"/>
    <cellStyle name="Normal 2 3 2 3 3" xfId="2717"/>
    <cellStyle name="Comma 11 3 4" xfId="2718"/>
    <cellStyle name="Comma 12 7" xfId="2719"/>
    <cellStyle name="Comma 12 2 4" xfId="2720"/>
    <cellStyle name="Comma 13 6" xfId="2721"/>
    <cellStyle name="Comma 16 8" xfId="2722"/>
    <cellStyle name="千位分隔 3 6 2" xfId="2723"/>
    <cellStyle name="Comma 2 2 6 2" xfId="2724"/>
    <cellStyle name="千位分隔 3 2 5 2" xfId="2725"/>
    <cellStyle name="Comma 2 2 2 4 3" xfId="2726"/>
    <cellStyle name="千位分隔 3 3 4 2" xfId="2727"/>
    <cellStyle name="Comma 2 2 3 3 5" xfId="2728"/>
    <cellStyle name="千位分隔 3 4 4 2" xfId="2729"/>
    <cellStyle name="Comma 2 2 4 3 3" xfId="2730"/>
    <cellStyle name="千位分隔 4 5 3" xfId="2731"/>
    <cellStyle name="Comma 2 3 4 6" xfId="2732"/>
    <cellStyle name="千位分隔 4 2 4 3" xfId="2733"/>
    <cellStyle name="Comma 2 3 2 3 5" xfId="2734"/>
    <cellStyle name="Comma 2 4 4 3" xfId="2735"/>
    <cellStyle name="Comma 2 4 2 6" xfId="2736"/>
    <cellStyle name="Comma 2 6 4" xfId="2737"/>
    <cellStyle name="Comma 2 7 4" xfId="2738"/>
    <cellStyle name="Comma 3 7 3" xfId="2739"/>
    <cellStyle name="Comma 3 2 5 3" xfId="2740"/>
    <cellStyle name="Comma 3 2 2 5" xfId="2741"/>
    <cellStyle name="Comma 3 3 3 4" xfId="2742"/>
    <cellStyle name="Comma 4 6 2" xfId="2743"/>
    <cellStyle name="Comma 4 2 4 2" xfId="2744"/>
    <cellStyle name="Comma 4 2 2 3" xfId="2745"/>
    <cellStyle name="Comma 4 3 6" xfId="2746"/>
    <cellStyle name="Comma 4 4 3 2" xfId="2747"/>
    <cellStyle name="Comma 5 5 3" xfId="2748"/>
    <cellStyle name="Comma 5 2 5 2" xfId="2749"/>
    <cellStyle name="Comma 5 2 2 4 2" xfId="2750"/>
    <cellStyle name="Comma 5 3 3 3" xfId="2751"/>
    <cellStyle name="Comma 58 2" xfId="2752"/>
    <cellStyle name="Comma 6 4 3" xfId="2753"/>
    <cellStyle name="Comma 7 4 3" xfId="2754"/>
    <cellStyle name="Comma 7 2 3 2" xfId="2755"/>
    <cellStyle name="Normal 3 3 2 3" xfId="2756"/>
    <cellStyle name="Comma 8 4 3" xfId="2757"/>
    <cellStyle name="Comma 9 6" xfId="2758"/>
    <cellStyle name="dataStyle 2 4" xfId="2759"/>
    <cellStyle name="dataStyle 2 2 3" xfId="2760"/>
    <cellStyle name="dataStyle 3 4" xfId="2761"/>
    <cellStyle name="dataStyle 3 2 3" xfId="2762"/>
    <cellStyle name="千位分隔[0] 2 2 5 2" xfId="2763"/>
    <cellStyle name="Normal 11 4" xfId="2764"/>
    <cellStyle name="Normal 125 2 4" xfId="2765"/>
    <cellStyle name="Normal 126 2 4" xfId="2766"/>
    <cellStyle name="Normal 2 3 5 4" xfId="2767"/>
    <cellStyle name="Normal 2 2 2 3 2" xfId="2768"/>
    <cellStyle name="Normal 2 3 4 4" xfId="2769"/>
    <cellStyle name="Normal 2 3 4 2 4" xfId="2770"/>
    <cellStyle name="Normal 2 4 3 3" xfId="2771"/>
    <cellStyle name="Normal 3 2 5 3" xfId="2772"/>
    <cellStyle name="Normal 3 3 4" xfId="2773"/>
    <cellStyle name="Normal 3 6 3" xfId="2774"/>
    <cellStyle name="Normal 4 2 4 2" xfId="2775"/>
    <cellStyle name="Normal 4 2 2 3" xfId="2776"/>
    <cellStyle name="Normal 4 3 2 3" xfId="2777"/>
    <cellStyle name="Normal 4 4 3" xfId="2778"/>
    <cellStyle name="Normal 5 5 2" xfId="2779"/>
    <cellStyle name="Normal 6 4 3" xfId="2780"/>
    <cellStyle name="Normal 7 4 3" xfId="2781"/>
    <cellStyle name="Normal 8 4 2" xfId="2782"/>
    <cellStyle name="Percent 2 4 3" xfId="2783"/>
    <cellStyle name="Percent 2 2 5" xfId="2784"/>
    <cellStyle name="Percent 3 5" xfId="2785"/>
    <cellStyle name="Percent 4 4" xfId="2786"/>
    <cellStyle name="Percent 5 4" xfId="2787"/>
    <cellStyle name="常规 2 2 2 2 4" xfId="2788"/>
    <cellStyle name="常规 2 3 4" xfId="2789"/>
    <cellStyle name="常规 3 4 3" xfId="2790"/>
    <cellStyle name="常规 4 3 3" xfId="2791"/>
    <cellStyle name="千位分隔 2 5 3" xfId="2792"/>
    <cellStyle name="千位分隔 2 2 5 3" xfId="2793"/>
    <cellStyle name="千位分隔 2 2 2 4 2" xfId="2794"/>
    <cellStyle name="千位分隔 2 2 2 2 3" xfId="2795"/>
    <cellStyle name="千位分隔 2 2 3 3" xfId="2796"/>
    <cellStyle name="千位分隔 2 3 3 3" xfId="2797"/>
    <cellStyle name="千位分隔[0] 2 2 2 4 2" xfId="2798"/>
    <cellStyle name="常规 8 2 3" xfId="2799"/>
    <cellStyle name="千位分隔 5 5 2" xfId="2800"/>
    <cellStyle name="Normal 3 2 4 3" xfId="2801"/>
    <cellStyle name="Normal 3 2 6 2" xfId="2802"/>
    <cellStyle name="Comma 3 2 3 5" xfId="2803"/>
    <cellStyle name="常规 2 4 3" xfId="2804"/>
    <cellStyle name="Comma 9 2 4" xfId="2805"/>
    <cellStyle name="Normal 3 5 3" xfId="2806"/>
    <cellStyle name="Comma 2 5 5 2" xfId="2807"/>
    <cellStyle name="常规 4 3 2 2 2" xfId="2808"/>
    <cellStyle name="千位分隔 3 4 3 2" xfId="2809"/>
    <cellStyle name="Normal 14 5" xfId="2810"/>
    <cellStyle name="Normal 15 3" xfId="2811"/>
    <cellStyle name="Comma 14 6" xfId="2812"/>
    <cellStyle name="Comma 3 2 3 3 2" xfId="2813"/>
    <cellStyle name="Normal 16 3" xfId="2814"/>
    <cellStyle name="Normal 15 2 3" xfId="2815"/>
    <cellStyle name="Normal 2 10 4" xfId="2816"/>
    <cellStyle name="Normal 3 4 3" xfId="2817"/>
    <cellStyle name="Comma 12 2 2 2" xfId="2818"/>
    <cellStyle name="Normal 16 2 2" xfId="2819"/>
    <cellStyle name="常规 2 2 5 2 2 2" xfId="2820"/>
    <cellStyle name="常规 13 2" xfId="2821"/>
    <cellStyle name="千位分隔 3 3 2 2 2" xfId="2822"/>
    <cellStyle name="千位分隔 11 2" xfId="2823"/>
    <cellStyle name="Comma [0] 3 4 2" xfId="2824"/>
    <cellStyle name="超链接 5 2" xfId="2825"/>
    <cellStyle name="Comma 2 8 3" xfId="2826"/>
    <cellStyle name="Comma 10 3 4" xfId="2827"/>
    <cellStyle name="千位分隔[0] 2 4 2" xfId="2828"/>
    <cellStyle name="Hyperlink 2 3 3" xfId="2829"/>
    <cellStyle name="Hyperlink 3 2 2" xfId="2830"/>
    <cellStyle name="Comma [0] 2 2 2 2 3 2 2" xfId="2831"/>
    <cellStyle name="Comma [0] 2 2 2 2 2 3 2" xfId="2832"/>
    <cellStyle name="Comma 8 2 2 3" xfId="2833"/>
    <cellStyle name="SAPBEXfilterDrill 3 4" xfId="2834"/>
    <cellStyle name="常规 3 3 2 3" xfId="2835"/>
    <cellStyle name="Normal 6 3 3" xfId="2836"/>
    <cellStyle name="Check Cell 2 2 3" xfId="2837"/>
    <cellStyle name="Comma 10 2 6 2" xfId="2838"/>
    <cellStyle name="Comma [0] 2 6 4" xfId="2839"/>
    <cellStyle name="Comma [0] 2 2 5 3" xfId="2840"/>
    <cellStyle name="Comma [0] 2 2 2 5 3" xfId="2841"/>
    <cellStyle name="Comma [0] 2 2 2 2 4 3" xfId="2842"/>
    <cellStyle name="Comma [0] 2 2 2 2 2 2 2 2" xfId="2843"/>
    <cellStyle name="Comma [0] 2 2 2 3 3 2" xfId="2844"/>
    <cellStyle name="Comma [0] 2 2 2 3 2 2 2" xfId="2845"/>
    <cellStyle name="Comma [0] 2 2 2 4 2 2" xfId="2846"/>
    <cellStyle name="Comma [0] 2 2 3 3 3" xfId="2847"/>
    <cellStyle name="Comma [0] 2 2 3 2 2 2" xfId="2848"/>
    <cellStyle name="Comma [0] 2 2 4 2 3" xfId="2849"/>
    <cellStyle name="Comma [0] 2 3 3 5" xfId="2850"/>
    <cellStyle name="千位分隔 6 2 3" xfId="2851"/>
    <cellStyle name="Comma 10 2 4 2 2" xfId="2852"/>
    <cellStyle name="Comma [0] 2 3 2 2 3" xfId="2853"/>
    <cellStyle name="Comma [0] 2 4 3 3" xfId="2854"/>
    <cellStyle name="Comma [0] 3 2 4 2" xfId="2855"/>
    <cellStyle name="Comma [0] 3 2 2 3 2" xfId="2856"/>
    <cellStyle name="Comma [0] 3 2 2 2 2 2" xfId="2857"/>
    <cellStyle name="Comma [0] 3 2 3 2 2" xfId="2858"/>
    <cellStyle name="Comma [0] 3 3 2 2" xfId="2859"/>
    <cellStyle name="千位分隔 4 4 3" xfId="2860"/>
    <cellStyle name="Comma 2 3 3 7" xfId="2861"/>
    <cellStyle name="Comma 10 2 2 3 2" xfId="2862"/>
    <cellStyle name="千位分隔 4 2 3 3" xfId="2863"/>
    <cellStyle name="Comma 2 3 2 2 6" xfId="2864"/>
    <cellStyle name="Comma 10 2 2 2 2 2" xfId="2865"/>
    <cellStyle name="千位分隔 5 4 2" xfId="2866"/>
    <cellStyle name="Comma 2 4 3 3" xfId="2867"/>
    <cellStyle name="Comma 10 2 3 2 2" xfId="2868"/>
    <cellStyle name="千位分隔 7 2 3" xfId="2869"/>
    <cellStyle name="Comma 10 2 5 2 2" xfId="2870"/>
    <cellStyle name="千位分隔 3 2 2 2 2 2" xfId="2871"/>
    <cellStyle name="Comma 11 2 4" xfId="2872"/>
    <cellStyle name="千位分隔 3 5 2" xfId="2873"/>
    <cellStyle name="Comma 2 2 5 4" xfId="2874"/>
    <cellStyle name="千位分隔 3 2 4 2" xfId="2875"/>
    <cellStyle name="Comma 2 2 2 3 4" xfId="2876"/>
    <cellStyle name="千位分隔 3 2 2 3 2" xfId="2877"/>
    <cellStyle name="Comma 2 2 2 2 2 4" xfId="2878"/>
    <cellStyle name="千位分隔 3 3 3 2" xfId="2879"/>
    <cellStyle name="Comma 2 2 3 2 5" xfId="2880"/>
    <cellStyle name="Comma 3 6 3" xfId="2881"/>
    <cellStyle name="Comma 3 2 4 3" xfId="2882"/>
    <cellStyle name="Comma 4 5 3" xfId="2883"/>
    <cellStyle name="Comma 4 2 3 3" xfId="2884"/>
    <cellStyle name="Comma 5 4 2" xfId="2885"/>
    <cellStyle name="Comma 5 2 4 2" xfId="2886"/>
    <cellStyle name="Comma 5 2 2 3 2" xfId="2887"/>
    <cellStyle name="Comma 5 2 2 2 2 2" xfId="2888"/>
    <cellStyle name="Comma 5 2 3 2 2" xfId="2889"/>
    <cellStyle name="Comma 5 3 2 2" xfId="2890"/>
    <cellStyle name="Good 2 2 3" xfId="2891"/>
    <cellStyle name="Comma 6 3 4" xfId="2892"/>
    <cellStyle name="Comma 6 2 2 3" xfId="2893"/>
    <cellStyle name="Comma 7 3 4" xfId="2894"/>
    <cellStyle name="Comma 7 2 2 3" xfId="2895"/>
    <cellStyle name="Comma 8 3 4" xfId="2896"/>
    <cellStyle name="entry box 2 3" xfId="2897"/>
    <cellStyle name="Header1 2 3" xfId="2898"/>
    <cellStyle name="千位分隔 2 2 2 3 2" xfId="2899"/>
    <cellStyle name="Input [yellow] 2 3" xfId="2900"/>
    <cellStyle name="Normal 13 2 3" xfId="2901"/>
    <cellStyle name="Normal 2 6 3" xfId="2902"/>
    <cellStyle name="千位分隔 4 2 2 2 3" xfId="2903"/>
    <cellStyle name="千位分隔 5 2 3 2" xfId="2904"/>
    <cellStyle name="千位分隔 5 2 2 2 2" xfId="2905"/>
    <cellStyle name="Normal 2 4 2 4" xfId="2906"/>
    <cellStyle name="Normal 4 5 3" xfId="2907"/>
    <cellStyle name="Normal 4 3 4 2" xfId="2908"/>
    <cellStyle name="千位分隔 7 3 2 2 2" xfId="2909"/>
    <cellStyle name="Normal 5 4 3" xfId="2910"/>
    <cellStyle name="Normal 6 2 2 3" xfId="2911"/>
    <cellStyle name="Normal 7 3 6" xfId="2912"/>
    <cellStyle name="Normal 8 3 3" xfId="2913"/>
    <cellStyle name="Prefilled 2 3" xfId="2914"/>
    <cellStyle name="Percent 2 3 5" xfId="2915"/>
    <cellStyle name="百分比 2 2 3" xfId="2916"/>
    <cellStyle name="SAPBEXfilterDrill 2 2 4" xfId="2917"/>
    <cellStyle name="常规 7 2 3" xfId="2918"/>
    <cellStyle name="SAPBEXfilterDrill 7" xfId="2919"/>
    <cellStyle name="千位分隔 8 2 2 2" xfId="2920"/>
    <cellStyle name="千位分隔 3 4 2 2" xfId="2921"/>
    <cellStyle name="SOR 4 2" xfId="2922"/>
    <cellStyle name="SOR 2 3 2" xfId="2923"/>
    <cellStyle name="SOR 2 2 2 2" xfId="2924"/>
    <cellStyle name="SOR 3 2 2" xfId="2925"/>
    <cellStyle name="常规 2 5 3" xfId="2926"/>
    <cellStyle name="千位分隔 5 3 2 2" xfId="2927"/>
    <cellStyle name="常规 2 2 2 3 3" xfId="2928"/>
    <cellStyle name="常规 2 2 3 2 3" xfId="2929"/>
    <cellStyle name="常规 3 2 2 2 3" xfId="2930"/>
    <cellStyle name="常规 5 2 3" xfId="2931"/>
    <cellStyle name="千位分隔 2 4 3" xfId="2932"/>
    <cellStyle name="千位分隔 2 2 4 3" xfId="2933"/>
    <cellStyle name="千位分隔 2 3 2 3" xfId="2934"/>
    <cellStyle name="千位分隔 3 2 3 2 2" xfId="2935"/>
    <cellStyle name="千位分隔 4 3 2 3" xfId="2936"/>
    <cellStyle name="千位分隔 7 3 3 2" xfId="2937"/>
    <cellStyle name="千位分隔 8 3 2" xfId="2938"/>
    <cellStyle name="千位分隔 9 2 2" xfId="2939"/>
    <cellStyle name="千位分隔[0] 2 2 4 2" xfId="2940"/>
    <cellStyle name="千位分隔[0] 2 2 2 3 2" xfId="2941"/>
    <cellStyle name="千位分隔[0] 2 2 2 2 2 2" xfId="2942"/>
    <cellStyle name="千位分隔[0] 2 2 3 2 2" xfId="2943"/>
    <cellStyle name="千位分隔[0] 2 3 2 2" xfId="2944"/>
    <cellStyle name="资产 2 3" xfId="2945"/>
    <cellStyle name="一般 2 2 2" xfId="2946"/>
    <cellStyle name="常规 2 2 4 2 2" xfId="2947"/>
    <cellStyle name="Normal 103 2 3 2" xfId="2948"/>
    <cellStyle name="Normal 2 5 2 3" xfId="2949"/>
    <cellStyle name="千位分隔 10 2 2" xfId="2950"/>
    <cellStyle name="Comma 3 3 2 3" xfId="2951"/>
    <cellStyle name="Comma 2 2 4 2 4" xfId="2952"/>
    <cellStyle name="Normal 10 2 2 4" xfId="2953"/>
    <cellStyle name="Normal 4 2 3 3" xfId="2954"/>
    <cellStyle name="Comma 4 4 2 2" xfId="2955"/>
    <cellStyle name="常规 2 6 3" xfId="2956"/>
    <cellStyle name="SAPBEXfilterDrill 4 4" xfId="2957"/>
    <cellStyle name="Header1 3 2" xfId="2958"/>
    <cellStyle name="SAPBEXfilterDrill 2 3 4" xfId="2959"/>
    <cellStyle name="Normal 4 6 2" xfId="2960"/>
    <cellStyle name="Normal 2 3 3 3 2" xfId="2961"/>
    <cellStyle name="Normal 2 3 3 2 2 2" xfId="2962"/>
    <cellStyle name="Normal 121 2 5 2" xfId="2963"/>
    <cellStyle name="Normal 121 2 2 4 2" xfId="2964"/>
    <cellStyle name="Comma [0] 3 6 2" xfId="2965"/>
    <cellStyle name="Percent 2 7 2" xfId="2966"/>
    <cellStyle name="Comma 2 11 2" xfId="2967"/>
    <cellStyle name="Normal 12 3 2" xfId="2968"/>
    <cellStyle name="Normal 111 2 2 2 2" xfId="2969"/>
    <cellStyle name="常规 3 6 2" xfId="2970"/>
    <cellStyle name="Comma 5 6 2" xfId="2971"/>
    <cellStyle name="千位分隔 2 2 6 2" xfId="2972"/>
    <cellStyle name="Comma 2 2 3 10 2" xfId="2973"/>
    <cellStyle name="cellStyleNum 4" xfId="2974"/>
    <cellStyle name="cellStyleNum 2 4 2" xfId="2975"/>
    <cellStyle name="cellStyleNum 2 2 3 2" xfId="2976"/>
    <cellStyle name="cellStyleNum 2 2 2 2" xfId="2977"/>
    <cellStyle name="cellStyleNum 2 3 2" xfId="2978"/>
    <cellStyle name="cellStyleNum 3 2" xfId="2979"/>
    <cellStyle name="cellStylePer 4" xfId="2980"/>
    <cellStyle name="cellStylePer 2 3" xfId="2981"/>
    <cellStyle name="cellStylePer 2 2 2" xfId="2982"/>
    <cellStyle name="cellStylePer 3 2" xfId="2983"/>
    <cellStyle name="Comma [0] 2 8 2" xfId="2984"/>
    <cellStyle name="Comma [0] 2 2 7 2" xfId="2985"/>
    <cellStyle name="Comma [0] 2 2 2 7 2" xfId="2986"/>
    <cellStyle name="Comma [0] 2 2 2 2 6 2" xfId="2987"/>
    <cellStyle name="Comma [0] 2 2 2 2 2 5 2" xfId="2988"/>
    <cellStyle name="Comma [0] 2 2 2 2 2 2 3 2" xfId="2989"/>
    <cellStyle name="Comma [0] 2 2 2 2 3 4 2" xfId="2990"/>
    <cellStyle name="Comma [0] 2 2 2 2 4 2 2" xfId="2991"/>
    <cellStyle name="Comma [0] 2 2 2 2 5 2 2" xfId="2992"/>
    <cellStyle name="Comma [0] 2 2 2 3 5 2" xfId="2993"/>
    <cellStyle name="Comma [0] 2 2 2 4 4 2" xfId="2994"/>
    <cellStyle name="Comma [0] 2 2 2 5 2 2" xfId="2995"/>
    <cellStyle name="Comma [0] 2 2 3 5 2" xfId="2996"/>
    <cellStyle name="Comma [0] 2 2 3 2 3 2" xfId="2997"/>
    <cellStyle name="Comma [0] 2 2 3 3 2 2" xfId="2998"/>
    <cellStyle name="Comma [0] 2 2 4 4 2" xfId="2999"/>
    <cellStyle name="Comma [0] 2 2 4 2 2 2" xfId="3000"/>
    <cellStyle name="Comma [0] 2 2 4 3 2 2" xfId="3001"/>
    <cellStyle name="Comma [0] 2 2 5 2 2" xfId="3002"/>
    <cellStyle name="Comma [0] 2 3 6 2" xfId="3003"/>
    <cellStyle name="Comma [0] 2 3 2 4 2" xfId="3004"/>
    <cellStyle name="Comma [0] 2 3 2 2 2 2" xfId="3005"/>
    <cellStyle name="Comma [0] 2 3 2 3 2 2" xfId="3006"/>
    <cellStyle name="Comma [0] 2 3 3 4 2" xfId="3007"/>
    <cellStyle name="Comma [0] 2 3 3 2 2" xfId="3008"/>
    <cellStyle name="Comma [0] 2 3 3 3 2" xfId="3009"/>
    <cellStyle name="Comma [0] 2 3 4 2 2" xfId="3010"/>
    <cellStyle name="Comma [0] 2 3 5 2" xfId="3011"/>
    <cellStyle name="Comma [0] 2 4 5 2" xfId="3012"/>
    <cellStyle name="Comma [0] 2 4 2 3 2" xfId="3013"/>
    <cellStyle name="Comma [0] 2 4 2 2 2" xfId="3014"/>
    <cellStyle name="Comma [0] 2 4 3 2 2" xfId="3015"/>
    <cellStyle name="Comma [0] 2 4 4 2 2" xfId="3016"/>
    <cellStyle name="Comma [0] 2 5 4 2" xfId="3017"/>
    <cellStyle name="Comma [0] 2 5 2 2" xfId="3018"/>
    <cellStyle name="Comma [0] 2 5 3 2" xfId="3019"/>
    <cellStyle name="Comma [0] 2 6 3 2" xfId="3020"/>
    <cellStyle name="Comma [0] 2 6 2 2" xfId="3021"/>
    <cellStyle name="Comma [0] 2 7 2 2" xfId="3022"/>
    <cellStyle name="Comma [0] 3 3 3 2" xfId="3023"/>
    <cellStyle name="Comma 10 5 2" xfId="3024"/>
    <cellStyle name="Comma 10 2 8 2" xfId="3025"/>
    <cellStyle name="Comma 10 2 2 4 2" xfId="3026"/>
    <cellStyle name="Comma 10 2 3 3 2" xfId="3027"/>
    <cellStyle name="Comma 10 2 4 3 2" xfId="3028"/>
    <cellStyle name="Comma 10 3 3 2" xfId="3029"/>
    <cellStyle name="Comma 10 3 2 2" xfId="3030"/>
    <cellStyle name="Comma 10 4 2 2" xfId="3031"/>
    <cellStyle name="Comma 11 5 2" xfId="3032"/>
    <cellStyle name="Comma 11 2 3 2" xfId="3033"/>
    <cellStyle name="Comma 11 2 2 2" xfId="3034"/>
    <cellStyle name="Comma 11 3 3 2" xfId="3035"/>
    <cellStyle name="Comma 11 3 2 2" xfId="3036"/>
    <cellStyle name="Comma 11 4 2" xfId="3037"/>
    <cellStyle name="Comma 12 6 2" xfId="3038"/>
    <cellStyle name="Comma 12 3 3" xfId="3039"/>
    <cellStyle name="Comma 12 3 2 2" xfId="3040"/>
    <cellStyle name="Comma 12 4 3" xfId="3041"/>
    <cellStyle name="Comma 12 4 2 2" xfId="3042"/>
    <cellStyle name="Comma 12 5 2" xfId="3043"/>
    <cellStyle name="Comma 13 5 2" xfId="3044"/>
    <cellStyle name="Comma 13 2 3" xfId="3045"/>
    <cellStyle name="Comma 13 2 2 2" xfId="3046"/>
    <cellStyle name="Comma 13 3 3" xfId="3047"/>
    <cellStyle name="Comma 13 3 2 2" xfId="3048"/>
    <cellStyle name="Comma 13 4 2" xfId="3049"/>
    <cellStyle name="Comma 14 5 2" xfId="3050"/>
    <cellStyle name="Comma 14 2 3" xfId="3051"/>
    <cellStyle name="Comma 14 2 2 2" xfId="3052"/>
    <cellStyle name="Comma 14 3 3" xfId="3053"/>
    <cellStyle name="Comma 14 3 2 2" xfId="3054"/>
    <cellStyle name="Comma 14 4 2" xfId="3055"/>
    <cellStyle name="Comma 15 5" xfId="3056"/>
    <cellStyle name="Comma 15 2 3" xfId="3057"/>
    <cellStyle name="Comma 15 2 2 2" xfId="3058"/>
    <cellStyle name="Comma 15 3 3" xfId="3059"/>
    <cellStyle name="Comma 15 3 2 2" xfId="3060"/>
    <cellStyle name="Comma 15 4 2" xfId="3061"/>
    <cellStyle name="Comma 16 7 2" xfId="3062"/>
    <cellStyle name="Comma 16 2 5" xfId="3063"/>
    <cellStyle name="Comma 16 2 2 3" xfId="3064"/>
    <cellStyle name="Comma 16 2 2 2 2" xfId="3065"/>
    <cellStyle name="Comma 16 2 3 3" xfId="3066"/>
    <cellStyle name="Comma 16 2 3 2 2" xfId="3067"/>
    <cellStyle name="Comma 16 2 4 2" xfId="3068"/>
    <cellStyle name="Comma 16 3 5" xfId="3069"/>
    <cellStyle name="Comma 16 3 2 3" xfId="3070"/>
    <cellStyle name="Comma 16 3 2 2 2" xfId="3071"/>
    <cellStyle name="Comma 16 3 3 3" xfId="3072"/>
    <cellStyle name="Comma 16 3 3 2 2" xfId="3073"/>
    <cellStyle name="Comma 16 3 4 2" xfId="3074"/>
    <cellStyle name="Comma 16 4 3" xfId="3075"/>
    <cellStyle name="Comma 16 4 2 2" xfId="3076"/>
    <cellStyle name="Comma 16 5 3" xfId="3077"/>
    <cellStyle name="Comma 16 5 2 2" xfId="3078"/>
    <cellStyle name="Comma 16 6 2" xfId="3079"/>
    <cellStyle name="Comma 17 5" xfId="3080"/>
    <cellStyle name="Comma 17 2 3" xfId="3081"/>
    <cellStyle name="Comma 17 2 2 2" xfId="3082"/>
    <cellStyle name="Comma 17 3 3" xfId="3083"/>
    <cellStyle name="Comma 17 3 2 2" xfId="3084"/>
    <cellStyle name="Comma 17 4 2" xfId="3085"/>
    <cellStyle name="Comma 18 5" xfId="3086"/>
    <cellStyle name="Comma 18 2 3" xfId="3087"/>
    <cellStyle name="Comma 18 2 2 2" xfId="3088"/>
    <cellStyle name="Comma 18 3 3" xfId="3089"/>
    <cellStyle name="Comma 18 3 2 2" xfId="3090"/>
    <cellStyle name="Comma 18 4 2" xfId="3091"/>
    <cellStyle name="Comma 19 5" xfId="3092"/>
    <cellStyle name="Comma 19 2 3" xfId="3093"/>
    <cellStyle name="Comma 19 2 2 2" xfId="3094"/>
    <cellStyle name="Comma 19 3 3" xfId="3095"/>
    <cellStyle name="Comma 19 3 2 2" xfId="3096"/>
    <cellStyle name="Comma 19 4 2" xfId="3097"/>
    <cellStyle name="Comma 2 10 2" xfId="3098"/>
    <cellStyle name="Comma 2 12 2" xfId="3099"/>
    <cellStyle name="Comma 2 2 2 8 2" xfId="3100"/>
    <cellStyle name="Comma 2 2 2 2 6 2" xfId="3101"/>
    <cellStyle name="Comma 2 2 2 2 2 3 2" xfId="3102"/>
    <cellStyle name="Comma 2 2 2 2 2 2 2" xfId="3103"/>
    <cellStyle name="Comma 2 2 2 2 3 2" xfId="3104"/>
    <cellStyle name="Comma 2 2 2 2 4 2" xfId="3105"/>
    <cellStyle name="Comma 2 2 2 2 5 2" xfId="3106"/>
    <cellStyle name="Comma 2 2 2 3 3 2" xfId="3107"/>
    <cellStyle name="Comma 2 2 2 3 2 2" xfId="3108"/>
    <cellStyle name="Comma 2 2 2 4 2 2" xfId="3109"/>
    <cellStyle name="Comma 2 2 2 5 2" xfId="3110"/>
    <cellStyle name="Comma 2 2 2 6 2" xfId="3111"/>
    <cellStyle name="Comma 2 2 2 7 2" xfId="3112"/>
    <cellStyle name="Comma 2 2 3 9 2" xfId="3113"/>
    <cellStyle name="Comma 2 2 3 2 4 2" xfId="3114"/>
    <cellStyle name="Comma 2 2 3 2 2 4" xfId="3115"/>
    <cellStyle name="Comma 2 2 3 2 2 2 3" xfId="3116"/>
    <cellStyle name="Comma 2 2 3 2 2 2 2 2" xfId="3117"/>
    <cellStyle name="Comma 2 2 3 2 2 3 2" xfId="3118"/>
    <cellStyle name="Comma 2 2 3 2 3 2" xfId="3119"/>
    <cellStyle name="Comma 2 2 3 3 4 2" xfId="3120"/>
    <cellStyle name="Comma 2 2 3 3 2 3" xfId="3121"/>
    <cellStyle name="Comma 2 2 3 3 2 2 2" xfId="3122"/>
    <cellStyle name="Comma 2 2 3 3 3 2" xfId="3123"/>
    <cellStyle name="Comma 2 2 3 4 3" xfId="3124"/>
    <cellStyle name="Comma 2 2 3 4 2 2" xfId="3125"/>
    <cellStyle name="Comma 2 2 3 5 2" xfId="3126"/>
    <cellStyle name="Comma 2 2 3 6 2" xfId="3127"/>
    <cellStyle name="Comma 2 2 3 7 2" xfId="3128"/>
    <cellStyle name="Comma 2 2 3 8 2" xfId="3129"/>
    <cellStyle name="Comma 2 2 4 2 3 2" xfId="3130"/>
    <cellStyle name="Comma 2 2 4 2 2 2" xfId="3131"/>
    <cellStyle name="Comma 2 2 4 3 2 2" xfId="3132"/>
    <cellStyle name="Comma 2 2 4 4 2" xfId="3133"/>
    <cellStyle name="Comma 2 2 4 5 2" xfId="3134"/>
    <cellStyle name="Comma 2 2 4 6 2" xfId="3135"/>
    <cellStyle name="Comma 2 2 5 3 2" xfId="3136"/>
    <cellStyle name="Comma 2 2 5 2 2" xfId="3137"/>
    <cellStyle name="Comma 2 2 7 2" xfId="3138"/>
    <cellStyle name="Comma 2 2 8 2" xfId="3139"/>
    <cellStyle name="Comma 2 2 9 2" xfId="3140"/>
    <cellStyle name="Comma 2 3 9 2" xfId="3141"/>
    <cellStyle name="Comma 2 3 2 6 2" xfId="3142"/>
    <cellStyle name="Comma 2 3 2 2 5 2" xfId="3143"/>
    <cellStyle name="Comma 2 3 2 2 2 2" xfId="3144"/>
    <cellStyle name="Comma 2 3 2 2 3 2" xfId="3145"/>
    <cellStyle name="Comma 2 3 2 2 4 2" xfId="3146"/>
    <cellStyle name="Comma 2 3 2 3 4 2" xfId="3147"/>
    <cellStyle name="Comma 2 3 2 3 2 2" xfId="3148"/>
    <cellStyle name="Comma 2 3 2 3 3 2" xfId="3149"/>
    <cellStyle name="Comma 2 3 2 4 2" xfId="3150"/>
    <cellStyle name="Comma 2 3 2 5 2" xfId="3151"/>
    <cellStyle name="Comma 2 3 3 6 2" xfId="3152"/>
    <cellStyle name="Comma 2 3 3 2 4" xfId="3153"/>
    <cellStyle name="Comma 2 3 3 2 2 2" xfId="3154"/>
    <cellStyle name="Comma 2 3 3 2 3 2" xfId="3155"/>
    <cellStyle name="Comma 2 3 3 3 3" xfId="3156"/>
    <cellStyle name="Comma 2 3 3 3 2 2" xfId="3157"/>
    <cellStyle name="Comma 2 3 3 4 2" xfId="3158"/>
    <cellStyle name="Comma 2 3 3 5 2" xfId="3159"/>
    <cellStyle name="Comma 2 3 4 5 2" xfId="3160"/>
    <cellStyle name="Comma 2 3 4 2 2" xfId="3161"/>
    <cellStyle name="Comma 2 3 4 3 2" xfId="3162"/>
    <cellStyle name="Comma 2 3 4 4 2" xfId="3163"/>
    <cellStyle name="Comma 2 3 5 4" xfId="3164"/>
    <cellStyle name="Comma 2 3 5 2 2" xfId="3165"/>
    <cellStyle name="Comma 2 3 5 3 2" xfId="3166"/>
    <cellStyle name="Comma 2 3 6 2" xfId="3167"/>
    <cellStyle name="Comma 2 3 7 2" xfId="3168"/>
    <cellStyle name="Comma 2 3 8 2" xfId="3169"/>
    <cellStyle name="Comma 2 4 7 2" xfId="3170"/>
    <cellStyle name="Comma 2 4 2 5 2" xfId="3171"/>
    <cellStyle name="Comma 2 4 2 2 2" xfId="3172"/>
    <cellStyle name="Comma 2 4 2 3 2" xfId="3173"/>
    <cellStyle name="Comma 2 4 2 4 2" xfId="3174"/>
    <cellStyle name="Comma 2 4 3 2 2" xfId="3175"/>
    <cellStyle name="Comma 2 4 4 2 2" xfId="3176"/>
    <cellStyle name="Comma 2 4 5 2" xfId="3177"/>
    <cellStyle name="Comma 2 4 6 2" xfId="3178"/>
    <cellStyle name="Comma 2 5 6 2" xfId="3179"/>
    <cellStyle name="Comma 2 5 2 2" xfId="3180"/>
    <cellStyle name="Comma 2 5 3 2" xfId="3181"/>
    <cellStyle name="Comma 2 5 4 2" xfId="3182"/>
    <cellStyle name="Comma 2 6 3 2" xfId="3183"/>
    <cellStyle name="Comma 2 6 2 2" xfId="3184"/>
    <cellStyle name="Comma 2 7 3 2" xfId="3185"/>
    <cellStyle name="Comma 2 7 2 2" xfId="3186"/>
    <cellStyle name="Comma 2 8 2 2" xfId="3187"/>
    <cellStyle name="Comma 2 9 3 2" xfId="3188"/>
    <cellStyle name="Comma 2 9 2 2" xfId="3189"/>
    <cellStyle name="Comma 20 5" xfId="3190"/>
    <cellStyle name="Comma 20 2 3" xfId="3191"/>
    <cellStyle name="Comma 20 2 2 2" xfId="3192"/>
    <cellStyle name="Comma 20 3 3" xfId="3193"/>
    <cellStyle name="Comma 20 3 2 2" xfId="3194"/>
    <cellStyle name="Comma 20 4 2" xfId="3195"/>
    <cellStyle name="Comma 21 5" xfId="3196"/>
    <cellStyle name="Comma 21 2 3" xfId="3197"/>
    <cellStyle name="Comma 21 2 2 2" xfId="3198"/>
    <cellStyle name="Comma 21 3 3" xfId="3199"/>
    <cellStyle name="Comma 21 3 2 2" xfId="3200"/>
    <cellStyle name="Comma 21 4 2" xfId="3201"/>
    <cellStyle name="Comma 22 5" xfId="3202"/>
    <cellStyle name="Comma 22 2 3" xfId="3203"/>
    <cellStyle name="Comma 22 2 2 2" xfId="3204"/>
    <cellStyle name="Comma 22 3 3" xfId="3205"/>
    <cellStyle name="Comma 22 3 2 2" xfId="3206"/>
    <cellStyle name="Comma 22 4 2" xfId="3207"/>
    <cellStyle name="Comma 23 5" xfId="3208"/>
    <cellStyle name="Comma 23 2 3" xfId="3209"/>
    <cellStyle name="Comma 23 2 2 2" xfId="3210"/>
    <cellStyle name="Comma 23 3 3" xfId="3211"/>
    <cellStyle name="Comma 23 3 2 2" xfId="3212"/>
    <cellStyle name="Comma 23 4 2" xfId="3213"/>
    <cellStyle name="Comma 24 5" xfId="3214"/>
    <cellStyle name="Comma 24 2 3" xfId="3215"/>
    <cellStyle name="Comma 24 2 2 2" xfId="3216"/>
    <cellStyle name="Comma 24 3 3" xfId="3217"/>
    <cellStyle name="Comma 24 3 2 2" xfId="3218"/>
    <cellStyle name="Comma 24 4 2" xfId="3219"/>
    <cellStyle name="Comma 25 5" xfId="3220"/>
    <cellStyle name="Comma 25 2 3" xfId="3221"/>
    <cellStyle name="Comma 25 2 2 2" xfId="3222"/>
    <cellStyle name="Comma 25 3 3" xfId="3223"/>
    <cellStyle name="Comma 25 3 2 2" xfId="3224"/>
    <cellStyle name="Comma 25 4 2" xfId="3225"/>
    <cellStyle name="Comma 26 5" xfId="3226"/>
    <cellStyle name="Comma 26 2 3" xfId="3227"/>
    <cellStyle name="Comma 26 2 2 2" xfId="3228"/>
    <cellStyle name="Comma 26 3 3" xfId="3229"/>
    <cellStyle name="Comma 26 3 2 2" xfId="3230"/>
    <cellStyle name="Comma 26 4 2" xfId="3231"/>
    <cellStyle name="Comma 27 5" xfId="3232"/>
    <cellStyle name="Comma 27 2 3" xfId="3233"/>
    <cellStyle name="Comma 27 2 2 2" xfId="3234"/>
    <cellStyle name="Comma 27 3 3" xfId="3235"/>
    <cellStyle name="Comma 27 3 2 2" xfId="3236"/>
    <cellStyle name="Comma 27 4 2" xfId="3237"/>
    <cellStyle name="Comma 28 5" xfId="3238"/>
    <cellStyle name="Comma 28 2 3" xfId="3239"/>
    <cellStyle name="Comma 28 2 2 2" xfId="3240"/>
    <cellStyle name="Comma 28 3 3" xfId="3241"/>
    <cellStyle name="Comma 28 3 2 2" xfId="3242"/>
    <cellStyle name="Comma 28 4 2" xfId="3243"/>
    <cellStyle name="Comma 29 5" xfId="3244"/>
    <cellStyle name="Comma 29 2 3" xfId="3245"/>
    <cellStyle name="Comma 29 2 2 2" xfId="3246"/>
    <cellStyle name="Comma 29 3 3" xfId="3247"/>
    <cellStyle name="Comma 29 3 2 2" xfId="3248"/>
    <cellStyle name="Comma 29 4 2" xfId="3249"/>
    <cellStyle name="Comma 3 2 6 2" xfId="3250"/>
    <cellStyle name="Comma 3 2 2 4 2" xfId="3251"/>
    <cellStyle name="Comma 3 2 2 2 2" xfId="3252"/>
    <cellStyle name="Comma 3 2 2 3 2" xfId="3253"/>
    <cellStyle name="Comma 3 2 3 4 2" xfId="3254"/>
    <cellStyle name="Comma 3 2 3 2 2" xfId="3255"/>
    <cellStyle name="Comma 3 2 4 2 2" xfId="3256"/>
    <cellStyle name="Comma 3 2 5 2 2" xfId="3257"/>
    <cellStyle name="Comma 3 3 2 2 2" xfId="3258"/>
    <cellStyle name="Comma 3 3 3 3 2" xfId="3259"/>
    <cellStyle name="Comma 3 3 3 2 2" xfId="3260"/>
    <cellStyle name="Comma 3 3 4 2" xfId="3261"/>
    <cellStyle name="Comma 3 3 5 2" xfId="3262"/>
    <cellStyle name="Comma 3 4 4 2" xfId="3263"/>
    <cellStyle name="Comma 3 4 2 2" xfId="3264"/>
    <cellStyle name="Comma 3 4 3 2" xfId="3265"/>
    <cellStyle name="Comma 3 5 3 2" xfId="3266"/>
    <cellStyle name="Comma 3 5 2 2" xfId="3267"/>
    <cellStyle name="Comma 3 6 2 2" xfId="3268"/>
    <cellStyle name="Comma 3 7 2 2" xfId="3269"/>
    <cellStyle name="Comma 30 5" xfId="3270"/>
    <cellStyle name="Comma 30 2 3" xfId="3271"/>
    <cellStyle name="Comma 30 2 2 2" xfId="3272"/>
    <cellStyle name="Comma 30 3 3" xfId="3273"/>
    <cellStyle name="Comma 30 3 2 2" xfId="3274"/>
    <cellStyle name="Comma 30 4 2" xfId="3275"/>
    <cellStyle name="Comma 31 5" xfId="3276"/>
    <cellStyle name="Comma 31 2 3" xfId="3277"/>
    <cellStyle name="Comma 31 2 2 2" xfId="3278"/>
    <cellStyle name="Comma 31 3 3" xfId="3279"/>
    <cellStyle name="Comma 31 3 2 2" xfId="3280"/>
    <cellStyle name="Comma 31 4 2" xfId="3281"/>
    <cellStyle name="Comma 32 5" xfId="3282"/>
    <cellStyle name="Comma 32 2 3" xfId="3283"/>
    <cellStyle name="Comma 32 2 2 2" xfId="3284"/>
    <cellStyle name="Comma 32 3 3" xfId="3285"/>
    <cellStyle name="Comma 32 3 2 2" xfId="3286"/>
    <cellStyle name="Comma 32 4 2" xfId="3287"/>
    <cellStyle name="Comma 33 3" xfId="3288"/>
    <cellStyle name="Comma 33 2 2" xfId="3289"/>
    <cellStyle name="Comma 34 3" xfId="3290"/>
    <cellStyle name="Comma 34 2 2" xfId="3291"/>
    <cellStyle name="Comma 35 3" xfId="3292"/>
    <cellStyle name="Comma 35 2 2" xfId="3293"/>
    <cellStyle name="Comma 36 3" xfId="3294"/>
    <cellStyle name="Comma 36 2 2" xfId="3295"/>
    <cellStyle name="Comma 37 2" xfId="3296"/>
    <cellStyle name="Comma 38 2" xfId="3297"/>
    <cellStyle name="Comma 4 2 5 2" xfId="3298"/>
    <cellStyle name="Comma 4 2 2 2 2" xfId="3299"/>
    <cellStyle name="Comma 4 2 3 2 2" xfId="3300"/>
    <cellStyle name="Comma 4 3 4 2" xfId="3301"/>
    <cellStyle name="Comma 4 3 2 2" xfId="3302"/>
    <cellStyle name="Comma 4 3 3 2" xfId="3303"/>
    <cellStyle name="Comma 4 5 2 2" xfId="3304"/>
    <cellStyle name="Comma 5 2 6 2" xfId="3305"/>
    <cellStyle name="Comma 5 2 3 3 2" xfId="3306"/>
    <cellStyle name="Comma 5 3 4 2" xfId="3307"/>
    <cellStyle name="Comma 5 3 3 2 2" xfId="3308"/>
    <cellStyle name="Comma 5 5 2 2" xfId="3309"/>
    <cellStyle name="Comma 6 6 2" xfId="3310"/>
    <cellStyle name="Comma 6 2 3 2" xfId="3311"/>
    <cellStyle name="Comma 6 2 2 2 2" xfId="3312"/>
    <cellStyle name="Comma 6 3 3 2" xfId="3313"/>
    <cellStyle name="Comma 6 3 2 2" xfId="3314"/>
    <cellStyle name="Comma 6 4 2 2" xfId="3315"/>
    <cellStyle name="Comma 6 5 2" xfId="3316"/>
    <cellStyle name="Comma 7 6 2" xfId="3317"/>
    <cellStyle name="Comma 7 2 4 2" xfId="3318"/>
    <cellStyle name="Comma 7 2 2 2 2" xfId="3319"/>
    <cellStyle name="Comma 7 3 3 2" xfId="3320"/>
    <cellStyle name="Comma 7 3 2 2" xfId="3321"/>
    <cellStyle name="Comma 7 4 2 2" xfId="3322"/>
    <cellStyle name="Comma 7 5 2" xfId="3323"/>
    <cellStyle name="Comma 8 6 2" xfId="3324"/>
    <cellStyle name="Comma 8 2 3 2" xfId="3325"/>
    <cellStyle name="Comma 8 2 2 2 2" xfId="3326"/>
    <cellStyle name="Comma 8 3 3 2" xfId="3327"/>
    <cellStyle name="Comma 8 3 2 2" xfId="3328"/>
    <cellStyle name="Comma 8 4 2 2" xfId="3329"/>
    <cellStyle name="Comma 8 5 2" xfId="3330"/>
    <cellStyle name="Comma 84 5" xfId="3331"/>
    <cellStyle name="Comma 84 2 5" xfId="3332"/>
    <cellStyle name="Comma 84 2 2 3" xfId="3333"/>
    <cellStyle name="Comma 84 2 2 2 2" xfId="3334"/>
    <cellStyle name="Comma 84 2 3 3" xfId="3335"/>
    <cellStyle name="Comma 84 2 3 2 2" xfId="3336"/>
    <cellStyle name="Comma 84 2 4 2" xfId="3337"/>
    <cellStyle name="Comma 84 3 3" xfId="3338"/>
    <cellStyle name="Comma 84 3 2 2" xfId="3339"/>
    <cellStyle name="Comma 84 4 2" xfId="3340"/>
    <cellStyle name="Comma 9 5 2" xfId="3341"/>
    <cellStyle name="Comma 9 2 3 2" xfId="3342"/>
    <cellStyle name="Comma 9 2 2 2" xfId="3343"/>
    <cellStyle name="Comma 9 3 3" xfId="3344"/>
    <cellStyle name="Comma 9 3 2 2" xfId="3345"/>
    <cellStyle name="Comma 9 4 2" xfId="3346"/>
    <cellStyle name="dataStyle 5" xfId="3347"/>
    <cellStyle name="dataStyle 2 3 2" xfId="3348"/>
    <cellStyle name="dataStyle 2 2 2 2" xfId="3349"/>
    <cellStyle name="dataStyle 3 3 2" xfId="3350"/>
    <cellStyle name="dataStyle 3 2 2 2" xfId="3351"/>
    <cellStyle name="dataStyle 4 2" xfId="3352"/>
    <cellStyle name="dateStyle 3" xfId="3353"/>
    <cellStyle name="dateStyle 2 2" xfId="3354"/>
    <cellStyle name="entry box 3 2" xfId="3355"/>
    <cellStyle name="entry box 2 2 2" xfId="3356"/>
    <cellStyle name="evenStyle 3" xfId="3357"/>
    <cellStyle name="evenStyle 2 2" xfId="3358"/>
    <cellStyle name="Header1 4 3" xfId="3359"/>
    <cellStyle name="Header2 2 2" xfId="3360"/>
    <cellStyle name="headStyle 3" xfId="3361"/>
    <cellStyle name="headStyle 2 2" xfId="3362"/>
    <cellStyle name="Hyperlink 2 2 5 2" xfId="3363"/>
    <cellStyle name="Input [yellow] 3 2" xfId="3364"/>
    <cellStyle name="Input [yellow] 2 2 2" xfId="3365"/>
    <cellStyle name="Normal 10 2 2 3 2" xfId="3366"/>
    <cellStyle name="Normal 11 3 2" xfId="3367"/>
    <cellStyle name="Normal 121 3 2" xfId="3368"/>
    <cellStyle name="Normal 121 2 2 2 3 2" xfId="3369"/>
    <cellStyle name="Normal 121 2 2 2 2 2 2" xfId="3370"/>
    <cellStyle name="Normal 121 2 3 3 2" xfId="3371"/>
    <cellStyle name="Normal 121 2 4 2 2" xfId="3372"/>
    <cellStyle name="Normal 125 4 2" xfId="3373"/>
    <cellStyle name="Normal 125 2 3 2" xfId="3374"/>
    <cellStyle name="Normal 126 4 2" xfId="3375"/>
    <cellStyle name="Normal 126 2 3 2" xfId="3376"/>
    <cellStyle name="Normal 182 3 2" xfId="3377"/>
    <cellStyle name="Normal 182 2 2 2" xfId="3378"/>
    <cellStyle name="Normal 2 2 2 2 3 2" xfId="3379"/>
    <cellStyle name="Normal 2 3 2 2 3 2 2" xfId="3380"/>
    <cellStyle name="Normal 2 3 2 3 2 2" xfId="3381"/>
    <cellStyle name="Normal 2 3 4 3 2" xfId="3382"/>
    <cellStyle name="Normal 2 3 5 3 2" xfId="3383"/>
    <cellStyle name="Normal 2 4 2 3 2" xfId="3384"/>
    <cellStyle name="Normal 2 5 2 2 2" xfId="3385"/>
    <cellStyle name="Normal 3 7 2" xfId="3386"/>
    <cellStyle name="Normal 3 2 2 2 3" xfId="3387"/>
    <cellStyle name="Normal 3 2 3 3 2" xfId="3388"/>
    <cellStyle name="Normal 3 2 4 2 2" xfId="3389"/>
    <cellStyle name="Normal 3 2 5 2 2" xfId="3390"/>
    <cellStyle name="Normal 3 3 3 2" xfId="3391"/>
    <cellStyle name="Normal 3 4 2 2" xfId="3392"/>
    <cellStyle name="Normal 3 5 2 2" xfId="3393"/>
    <cellStyle name="Normal 4 2 3 2 2" xfId="3394"/>
    <cellStyle name="Normal 4 3 2 2 2" xfId="3395"/>
    <cellStyle name="Normal 4 3 3 2 2" xfId="3396"/>
    <cellStyle name="Normal 4 4 2 2" xfId="3397"/>
    <cellStyle name="Normal 4 5 2 2" xfId="3398"/>
    <cellStyle name="Normal 6 2 2 2 2" xfId="3399"/>
    <cellStyle name="Normal 6 4 2 2" xfId="3400"/>
    <cellStyle name="Normal 7 8 2" xfId="3401"/>
    <cellStyle name="Normal 7 2 4 2" xfId="3402"/>
    <cellStyle name="Normal 7 3 5 2" xfId="3403"/>
    <cellStyle name="Normal 7 4 2 2" xfId="3404"/>
    <cellStyle name="Normal 7 6 2" xfId="3405"/>
    <cellStyle name="Normal 7 7 2" xfId="3406"/>
    <cellStyle name="Normal 8 2 3 2" xfId="3407"/>
    <cellStyle name="Normal 8 3 2 2" xfId="3408"/>
    <cellStyle name="Normal 9 2 3 2" xfId="3409"/>
    <cellStyle name="Percent 2 2 4 2" xfId="3410"/>
    <cellStyle name="Percent 2 4 2 2" xfId="3411"/>
    <cellStyle name="Percent 3 4 2" xfId="3412"/>
    <cellStyle name="Percent 3 2 2 2" xfId="3413"/>
    <cellStyle name="Percent 4 3 2" xfId="3414"/>
    <cellStyle name="Percent 5 3 2" xfId="3415"/>
    <cellStyle name="Prefilled 3 2" xfId="3416"/>
    <cellStyle name="Prefilled 2 2 2" xfId="3417"/>
    <cellStyle name="SAPBEXaggData 4 2" xfId="3418"/>
    <cellStyle name="SAPBEXaggData 2 3 2" xfId="3419"/>
    <cellStyle name="SAPBEXaggData 2 2 2 2" xfId="3420"/>
    <cellStyle name="SAPBEXaggData 3 2 2" xfId="3421"/>
    <cellStyle name="SAPBEXaggDataEmph 4 2" xfId="3422"/>
    <cellStyle name="SAPBEXaggDataEmph 2 3 2" xfId="3423"/>
    <cellStyle name="SAPBEXaggDataEmph 2 2 2 2" xfId="3424"/>
    <cellStyle name="SAPBEXaggDataEmph 3 2 2" xfId="3425"/>
    <cellStyle name="SAPBEXaggItem 4 2" xfId="3426"/>
    <cellStyle name="SAPBEXaggItem 2 3 2" xfId="3427"/>
    <cellStyle name="SAPBEXaggItem 2 2 2 2" xfId="3428"/>
    <cellStyle name="SAPBEXaggItem 3 2 2" xfId="3429"/>
    <cellStyle name="SAPBEXaggItemX 4 2" xfId="3430"/>
    <cellStyle name="SAPBEXaggItemX 2 3 2" xfId="3431"/>
    <cellStyle name="SAPBEXaggItemX 2 2 2 2" xfId="3432"/>
    <cellStyle name="SAPBEXaggItemX 3 2 2" xfId="3433"/>
    <cellStyle name="SAPBEXexcBad7 4 2" xfId="3434"/>
    <cellStyle name="SAPBEXexcBad7 2 3 2" xfId="3435"/>
    <cellStyle name="SAPBEXexcBad7 2 2 2 2" xfId="3436"/>
    <cellStyle name="SAPBEXexcBad7 3 2 2" xfId="3437"/>
    <cellStyle name="SAPBEXexcBad8 4 2" xfId="3438"/>
    <cellStyle name="SAPBEXexcBad8 2 3 2" xfId="3439"/>
    <cellStyle name="SAPBEXexcBad8 2 2 2 2" xfId="3440"/>
    <cellStyle name="SAPBEXexcBad8 3 2 2" xfId="3441"/>
    <cellStyle name="SAPBEXexcBad9 4 2" xfId="3442"/>
    <cellStyle name="SAPBEXexcBad9 2 3 2" xfId="3443"/>
    <cellStyle name="SAPBEXexcBad9 2 2 2 2" xfId="3444"/>
    <cellStyle name="SAPBEXexcBad9 3 2 2" xfId="3445"/>
    <cellStyle name="SAPBEXexcCritical4 4 2" xfId="3446"/>
    <cellStyle name="SAPBEXexcCritical4 2 3 2" xfId="3447"/>
    <cellStyle name="SAPBEXexcCritical4 2 2 2 2" xfId="3448"/>
    <cellStyle name="SAPBEXexcCritical4 3 2 2" xfId="3449"/>
    <cellStyle name="SAPBEXexcCritical5 4 2" xfId="3450"/>
    <cellStyle name="SAPBEXexcCritical5 2 3 2" xfId="3451"/>
    <cellStyle name="SAPBEXexcCritical5 2 2 2 2" xfId="3452"/>
    <cellStyle name="SAPBEXexcCritical5 3 2 2" xfId="3453"/>
    <cellStyle name="SAPBEXexcCritical6 4 2" xfId="3454"/>
    <cellStyle name="SAPBEXexcCritical6 2 3 2" xfId="3455"/>
    <cellStyle name="SAPBEXexcCritical6 2 2 2 2" xfId="3456"/>
    <cellStyle name="SAPBEXexcCritical6 3 2 2" xfId="3457"/>
    <cellStyle name="SAPBEXexcGood1 4 2" xfId="3458"/>
    <cellStyle name="SAPBEXexcGood1 2 3 2" xfId="3459"/>
    <cellStyle name="SAPBEXexcGood1 2 2 2 2" xfId="3460"/>
    <cellStyle name="SAPBEXexcGood1 3 2 2" xfId="3461"/>
    <cellStyle name="SAPBEXexcGood2 4 2" xfId="3462"/>
    <cellStyle name="SAPBEXexcGood2 2 3 2" xfId="3463"/>
    <cellStyle name="SAPBEXexcGood2 2 2 2 2" xfId="3464"/>
    <cellStyle name="SAPBEXexcGood2 3 2 2" xfId="3465"/>
    <cellStyle name="SAPBEXexcGood3 4 2" xfId="3466"/>
    <cellStyle name="SAPBEXexcGood3 2 3 2" xfId="3467"/>
    <cellStyle name="SAPBEXexcGood3 2 2 2 2" xfId="3468"/>
    <cellStyle name="SAPBEXexcGood3 3 2 2" xfId="3469"/>
    <cellStyle name="SAPBEXfilterDrill 5 4" xfId="3470"/>
    <cellStyle name="SAPBEXformats 4 2" xfId="3471"/>
    <cellStyle name="SAPBEXformats 2 3 2" xfId="3472"/>
    <cellStyle name="SAPBEXformats 2 2 2 2" xfId="3473"/>
    <cellStyle name="SAPBEXformats 3 2 2" xfId="3474"/>
    <cellStyle name="SAPBEXHLevel0 4 2" xfId="3475"/>
    <cellStyle name="SAPBEXHLevel0 2 3 2" xfId="3476"/>
    <cellStyle name="SAPBEXHLevel0 2 2 2 2" xfId="3477"/>
    <cellStyle name="SAPBEXHLevel0 3 2 2" xfId="3478"/>
    <cellStyle name="SAPBEXHLevel0X 4 2" xfId="3479"/>
    <cellStyle name="SAPBEXHLevel0X 2 3 2" xfId="3480"/>
    <cellStyle name="SAPBEXHLevel0X 2 2 2 2" xfId="3481"/>
    <cellStyle name="SAPBEXHLevel0X 3 2 2" xfId="3482"/>
    <cellStyle name="SAPBEXHLevel1 4 2" xfId="3483"/>
    <cellStyle name="SAPBEXHLevel1 2 3 2" xfId="3484"/>
    <cellStyle name="SAPBEXHLevel1 2 2 2 2" xfId="3485"/>
    <cellStyle name="SAPBEXHLevel1 3 2 2" xfId="3486"/>
    <cellStyle name="SAPBEXHLevel1X 4 2" xfId="3487"/>
    <cellStyle name="SAPBEXHLevel1X 2 3 2" xfId="3488"/>
    <cellStyle name="SAPBEXHLevel1X 2 2 2 2" xfId="3489"/>
    <cellStyle name="SAPBEXHLevel1X 3 2 2" xfId="3490"/>
    <cellStyle name="SAPBEXHLevel2 4 2" xfId="3491"/>
    <cellStyle name="SAPBEXHLevel2 2 3 2" xfId="3492"/>
    <cellStyle name="SAPBEXHLevel2 2 2 2 2" xfId="3493"/>
    <cellStyle name="SAPBEXHLevel2 3 2 2" xfId="3494"/>
    <cellStyle name="SAPBEXHLevel2X 4 2" xfId="3495"/>
    <cellStyle name="SAPBEXHLevel2X 2 3 2" xfId="3496"/>
    <cellStyle name="SAPBEXHLevel2X 2 2 2 2" xfId="3497"/>
    <cellStyle name="SAPBEXHLevel2X 3 2 2" xfId="3498"/>
    <cellStyle name="SAPBEXHLevel3 4 2" xfId="3499"/>
    <cellStyle name="SAPBEXHLevel3 2 3 2" xfId="3500"/>
    <cellStyle name="SAPBEXHLevel3 2 2 2 2" xfId="3501"/>
    <cellStyle name="SAPBEXHLevel3 3 2 2" xfId="3502"/>
    <cellStyle name="SAPBEXHLevel3X 4 2" xfId="3503"/>
    <cellStyle name="SAPBEXHLevel3X 2 3 2" xfId="3504"/>
    <cellStyle name="SAPBEXHLevel3X 2 2 2 2" xfId="3505"/>
    <cellStyle name="SAPBEXHLevel3X 3 2 2" xfId="3506"/>
    <cellStyle name="SAPBEXresData 4 2" xfId="3507"/>
    <cellStyle name="SAPBEXresData 2 3 2" xfId="3508"/>
    <cellStyle name="SAPBEXresData 2 2 2 2" xfId="3509"/>
    <cellStyle name="SAPBEXresData 3 2 2" xfId="3510"/>
    <cellStyle name="SAPBEXresDataEmph 4 2" xfId="3511"/>
    <cellStyle name="SAPBEXresDataEmph 2 3 2" xfId="3512"/>
    <cellStyle name="SAPBEXresDataEmph 2 2 2 2" xfId="3513"/>
    <cellStyle name="SAPBEXresDataEmph 3 2 2" xfId="3514"/>
    <cellStyle name="SAPBEXresItem 4 2" xfId="3515"/>
    <cellStyle name="SAPBEXresItem 2 3 2" xfId="3516"/>
    <cellStyle name="SAPBEXresItem 2 2 2 2" xfId="3517"/>
    <cellStyle name="SAPBEXresItem 3 2 2" xfId="3518"/>
    <cellStyle name="SAPBEXresItemX 4 2" xfId="3519"/>
    <cellStyle name="SAPBEXresItemX 2 3 2" xfId="3520"/>
    <cellStyle name="SAPBEXresItemX 2 2 2 2" xfId="3521"/>
    <cellStyle name="SAPBEXresItemX 3 2 2" xfId="3522"/>
    <cellStyle name="SAPBEXstdData 4 2" xfId="3523"/>
    <cellStyle name="SAPBEXstdData 2 3 2" xfId="3524"/>
    <cellStyle name="SAPBEXstdData 2 2 2 2" xfId="3525"/>
    <cellStyle name="SAPBEXstdData 3 2 2" xfId="3526"/>
    <cellStyle name="SAPBEXstdDataEmph 4 2" xfId="3527"/>
    <cellStyle name="SAPBEXstdDataEmph 2 3 2" xfId="3528"/>
    <cellStyle name="SAPBEXstdDataEmph 2 2 2 2" xfId="3529"/>
    <cellStyle name="SAPBEXstdDataEmph 3 2 2" xfId="3530"/>
    <cellStyle name="SAPBEXstdItem 4 2" xfId="3531"/>
    <cellStyle name="SAPBEXstdItem 2 3 2" xfId="3532"/>
    <cellStyle name="SAPBEXstdItem 2 2 2 2" xfId="3533"/>
    <cellStyle name="SAPBEXstdItem 3 2 2" xfId="3534"/>
    <cellStyle name="SAPBEXstdItemX 4 2" xfId="3535"/>
    <cellStyle name="SAPBEXstdItemX 2 3 2" xfId="3536"/>
    <cellStyle name="SAPBEXstdItemX 2 2 2 2" xfId="3537"/>
    <cellStyle name="SAPBEXstdItemX 3 2 2" xfId="3538"/>
    <cellStyle name="SAPBEXundefined 4 2" xfId="3539"/>
    <cellStyle name="SAPBEXundefined 2 3 2" xfId="3540"/>
    <cellStyle name="SAPBEXundefined 2 2 2 2" xfId="3541"/>
    <cellStyle name="SAPBEXundefined 3 2 2" xfId="3542"/>
    <cellStyle name="百分比 3 2 3 2" xfId="3543"/>
    <cellStyle name="常规 2 2 2 2 3 2" xfId="3544"/>
    <cellStyle name="常规 2 2 3 2 2 2" xfId="3545"/>
    <cellStyle name="常规 3 2 2 4 2" xfId="3546"/>
    <cellStyle name="常规 3 2 2 2 2 2" xfId="3547"/>
    <cellStyle name="常规 3 3 4 2" xfId="3548"/>
    <cellStyle name="常规 3 4 2 2" xfId="3549"/>
    <cellStyle name="常规 4 2 4 2" xfId="3550"/>
    <cellStyle name="常规 4 3 2 3" xfId="3551"/>
    <cellStyle name="常规 5 2 2 2" xfId="3552"/>
    <cellStyle name="常规 7 2 2 2" xfId="3553"/>
    <cellStyle name="常规 8 2 2 2" xfId="3554"/>
    <cellStyle name="常规 3 7 2" xfId="3555"/>
    <cellStyle name="Comma 2 2 10 2" xfId="3556"/>
    <cellStyle name="千位分隔 2 2 2 2 2 2" xfId="3557"/>
    <cellStyle name="千位分隔 2 2 3 2 2" xfId="3558"/>
    <cellStyle name="千位分隔 2 2 4 2 2" xfId="3559"/>
    <cellStyle name="千位分隔 2 2 5 2 2" xfId="3560"/>
    <cellStyle name="千位分隔 2 3 4 2" xfId="3561"/>
    <cellStyle name="千位分隔 2 3 2 2 2" xfId="3562"/>
    <cellStyle name="千位分隔 2 3 3 2 2" xfId="3563"/>
    <cellStyle name="千位分隔 2 4 2 2" xfId="3564"/>
    <cellStyle name="千位分隔 2 5 2 2" xfId="3565"/>
    <cellStyle name="千位分隔 2 6 2" xfId="3566"/>
    <cellStyle name="千位分隔 3 2 2 4 2" xfId="3567"/>
    <cellStyle name="千位分隔 3 3 5 2" xfId="3568"/>
    <cellStyle name="千位分隔 3 4 5 2" xfId="3569"/>
    <cellStyle name="千位分隔 4 2 2 3 2" xfId="3570"/>
    <cellStyle name="千位分隔 4 2 2 2 2 2" xfId="3571"/>
    <cellStyle name="千位分隔 4 2 3 2 2" xfId="3572"/>
    <cellStyle name="千位分隔 4 2 4 2 2" xfId="3573"/>
    <cellStyle name="千位分隔 4 3 3 2" xfId="3574"/>
    <cellStyle name="千位分隔 4 3 2 2 2" xfId="3575"/>
    <cellStyle name="千位分隔 4 4 2 2" xfId="3576"/>
    <cellStyle name="千位分隔 4 5 2 2" xfId="3577"/>
    <cellStyle name="千位分隔 5 2 4 2" xfId="3578"/>
    <cellStyle name="千位分隔 5 3 3 2" xfId="3579"/>
    <cellStyle name="千位分隔 6 3 2" xfId="3580"/>
    <cellStyle name="千位分隔 6 2 2 2" xfId="3581"/>
    <cellStyle name="千位分隔 7 4 2" xfId="3582"/>
    <cellStyle name="千位分隔 7 2 2 2" xfId="3583"/>
    <cellStyle name="千位分隔 8 4 2" xfId="3584"/>
    <cellStyle name="千位分隔 8 2 3 2" xfId="3585"/>
    <cellStyle name="资产 3 2" xfId="3586"/>
    <cellStyle name="资产 2 2 2" xfId="3587"/>
    <cellStyle name="Normal 12 2 2 2" xfId="3588"/>
    <cellStyle name="Comma 39 2" xfId="3589"/>
    <cellStyle name="千位分隔 7 3 4 2" xfId="3590"/>
    <cellStyle name="百分比 4 2 2 2" xfId="3591"/>
    <cellStyle name="常规 9 2 4 2" xfId="3592"/>
    <cellStyle name="Comma 10 2 5 3 2" xfId="3593"/>
    <cellStyle name="常规 9 2 2 2" xfId="3594"/>
    <cellStyle name="Normal 14 4 2" xfId="3595"/>
    <cellStyle name="常规 9 2 3 2" xfId="3596"/>
    <cellStyle name="Normal 13 2 2 2" xfId="3597"/>
    <cellStyle name="千位分隔 9 3 2" xfId="3598"/>
    <cellStyle name="一般 2 3 2" xfId="3599"/>
    <cellStyle name="Normal 10 2 4 2" xfId="3600"/>
    <cellStyle name="Comma 41 2" xfId="3601"/>
    <cellStyle name="SAPBEXaggData 5 2" xfId="3602"/>
    <cellStyle name="SAPBEXaggData 2 4 2" xfId="3603"/>
    <cellStyle name="SAPBEXaggData 2 2 3 2" xfId="3604"/>
    <cellStyle name="SAPBEXaggData 3 3 2" xfId="3605"/>
    <cellStyle name="SAPBEXaggDataEmph 5 2" xfId="3606"/>
    <cellStyle name="SAPBEXaggDataEmph 2 4 2" xfId="3607"/>
    <cellStyle name="SAPBEXaggDataEmph 2 2 3 2" xfId="3608"/>
    <cellStyle name="SAPBEXaggDataEmph 3 3 2" xfId="3609"/>
    <cellStyle name="SAPBEXaggItem 5 2" xfId="3610"/>
    <cellStyle name="SAPBEXaggItem 2 4 2" xfId="3611"/>
    <cellStyle name="SAPBEXaggItem 2 2 3 2" xfId="3612"/>
    <cellStyle name="SAPBEXaggItem 3 3 2" xfId="3613"/>
    <cellStyle name="SAPBEXaggItemX 5 2" xfId="3614"/>
    <cellStyle name="SAPBEXaggItemX 2 4 2" xfId="3615"/>
    <cellStyle name="SAPBEXaggItemX 2 2 3 2" xfId="3616"/>
    <cellStyle name="SAPBEXaggItemX 3 3 2" xfId="3617"/>
    <cellStyle name="SAPBEXexcBad7 5 2" xfId="3618"/>
    <cellStyle name="SAPBEXexcBad7 2 4 2" xfId="3619"/>
    <cellStyle name="SAPBEXexcBad7 2 2 3 2" xfId="3620"/>
    <cellStyle name="SAPBEXexcBad7 3 3 2" xfId="3621"/>
    <cellStyle name="SAPBEXexcBad8 5 2" xfId="3622"/>
    <cellStyle name="SAPBEXexcBad8 2 4 2" xfId="3623"/>
    <cellStyle name="SAPBEXexcBad8 2 2 3 2" xfId="3624"/>
    <cellStyle name="SAPBEXexcBad8 3 3 2" xfId="3625"/>
    <cellStyle name="SAPBEXexcBad9 5 2" xfId="3626"/>
    <cellStyle name="SAPBEXexcBad9 2 4 2" xfId="3627"/>
    <cellStyle name="SAPBEXexcBad9 2 2 3 2" xfId="3628"/>
    <cellStyle name="SAPBEXexcBad9 3 3 2" xfId="3629"/>
    <cellStyle name="SAPBEXexcCritical4 5 2" xfId="3630"/>
    <cellStyle name="SAPBEXexcCritical4 2 4 2" xfId="3631"/>
    <cellStyle name="SAPBEXexcCritical4 2 2 3 2" xfId="3632"/>
    <cellStyle name="SAPBEXexcCritical4 3 3 2" xfId="3633"/>
    <cellStyle name="SAPBEXexcCritical5 5 2" xfId="3634"/>
    <cellStyle name="SAPBEXexcCritical5 2 4 2" xfId="3635"/>
    <cellStyle name="SAPBEXexcCritical5 2 2 3 2" xfId="3636"/>
    <cellStyle name="SAPBEXexcCritical5 3 3 2" xfId="3637"/>
    <cellStyle name="SAPBEXexcCritical6 5 2" xfId="3638"/>
    <cellStyle name="SAPBEXexcCritical6 2 4 2" xfId="3639"/>
    <cellStyle name="SAPBEXexcCritical6 2 2 3 2" xfId="3640"/>
    <cellStyle name="SAPBEXexcCritical6 3 3 2" xfId="3641"/>
    <cellStyle name="SAPBEXexcGood1 5 2" xfId="3642"/>
    <cellStyle name="SAPBEXexcGood1 2 4 2" xfId="3643"/>
    <cellStyle name="SAPBEXexcGood1 2 2 3 2" xfId="3644"/>
    <cellStyle name="SAPBEXexcGood1 3 3 2" xfId="3645"/>
    <cellStyle name="SAPBEXexcGood2 5 2" xfId="3646"/>
    <cellStyle name="SAPBEXexcGood2 2 4 2" xfId="3647"/>
    <cellStyle name="SAPBEXexcGood2 2 2 3 2" xfId="3648"/>
    <cellStyle name="SAPBEXexcGood2 3 3 2" xfId="3649"/>
    <cellStyle name="SAPBEXexcGood3 5 2" xfId="3650"/>
    <cellStyle name="SAPBEXexcGood3 2 4 2" xfId="3651"/>
    <cellStyle name="SAPBEXexcGood3 2 2 3 2" xfId="3652"/>
    <cellStyle name="SAPBEXexcGood3 3 3 2" xfId="3653"/>
    <cellStyle name="SAPBEXformats 5 2" xfId="3654"/>
    <cellStyle name="SAPBEXformats 2 4 2" xfId="3655"/>
    <cellStyle name="SAPBEXformats 2 2 3 2" xfId="3656"/>
    <cellStyle name="SAPBEXformats 3 3 2" xfId="3657"/>
    <cellStyle name="SAPBEXHLevel0 5 2" xfId="3658"/>
    <cellStyle name="SAPBEXHLevel0 2 4 2" xfId="3659"/>
    <cellStyle name="SAPBEXHLevel0 2 2 3 2" xfId="3660"/>
    <cellStyle name="SAPBEXHLevel0 3 3 2" xfId="3661"/>
    <cellStyle name="SAPBEXHLevel0X 5 2" xfId="3662"/>
    <cellStyle name="SAPBEXHLevel0X 2 4 2" xfId="3663"/>
    <cellStyle name="SAPBEXHLevel0X 2 2 3 2" xfId="3664"/>
    <cellStyle name="SAPBEXHLevel0X 3 3 2" xfId="3665"/>
    <cellStyle name="SAPBEXHLevel1 5 2" xfId="3666"/>
    <cellStyle name="SAPBEXHLevel1 2 4 2" xfId="3667"/>
    <cellStyle name="SAPBEXHLevel1 2 2 3 2" xfId="3668"/>
    <cellStyle name="SAPBEXHLevel1 3 3 2" xfId="3669"/>
    <cellStyle name="SAPBEXHLevel1X 5 2" xfId="3670"/>
    <cellStyle name="SAPBEXHLevel1X 2 4 2" xfId="3671"/>
    <cellStyle name="SAPBEXHLevel1X 2 2 3 2" xfId="3672"/>
    <cellStyle name="SAPBEXHLevel1X 3 3 2" xfId="3673"/>
    <cellStyle name="SAPBEXHLevel2 5 2" xfId="3674"/>
    <cellStyle name="SAPBEXHLevel2 2 4 2" xfId="3675"/>
    <cellStyle name="SAPBEXHLevel2 2 2 3 2" xfId="3676"/>
    <cellStyle name="SAPBEXHLevel2 3 3 2" xfId="3677"/>
    <cellStyle name="SAPBEXHLevel2X 5 2" xfId="3678"/>
    <cellStyle name="SAPBEXHLevel2X 2 4 2" xfId="3679"/>
    <cellStyle name="SAPBEXHLevel2X 2 2 3 2" xfId="3680"/>
    <cellStyle name="SAPBEXHLevel2X 3 3 2" xfId="3681"/>
    <cellStyle name="SAPBEXHLevel3 5 2" xfId="3682"/>
    <cellStyle name="SAPBEXHLevel3 2 4 2" xfId="3683"/>
    <cellStyle name="SAPBEXHLevel3 2 2 3 2" xfId="3684"/>
    <cellStyle name="SAPBEXHLevel3 3 3 2" xfId="3685"/>
    <cellStyle name="SAPBEXHLevel3X 5 2" xfId="3686"/>
    <cellStyle name="SAPBEXHLevel3X 2 4 2" xfId="3687"/>
    <cellStyle name="SAPBEXHLevel3X 2 2 3 2" xfId="3688"/>
    <cellStyle name="SAPBEXHLevel3X 3 3 2" xfId="3689"/>
    <cellStyle name="SAPBEXresData 5 2" xfId="3690"/>
    <cellStyle name="SAPBEXresData 2 4 2" xfId="3691"/>
    <cellStyle name="SAPBEXresData 2 2 3 2" xfId="3692"/>
    <cellStyle name="SAPBEXresData 3 3 2" xfId="3693"/>
    <cellStyle name="SAPBEXresDataEmph 5 2" xfId="3694"/>
    <cellStyle name="SAPBEXresDataEmph 2 4 2" xfId="3695"/>
    <cellStyle name="SAPBEXresDataEmph 2 2 3 2" xfId="3696"/>
    <cellStyle name="SAPBEXresDataEmph 3 3 2" xfId="3697"/>
    <cellStyle name="SAPBEXresItem 5 2" xfId="3698"/>
    <cellStyle name="SAPBEXresItem 2 4 2" xfId="3699"/>
    <cellStyle name="SAPBEXresItem 2 2 3 2" xfId="3700"/>
    <cellStyle name="SAPBEXresItem 3 3 2" xfId="3701"/>
    <cellStyle name="SAPBEXresItemX 5 2" xfId="3702"/>
    <cellStyle name="SAPBEXresItemX 2 4 2" xfId="3703"/>
    <cellStyle name="SAPBEXresItemX 2 2 3 2" xfId="3704"/>
    <cellStyle name="SAPBEXresItemX 3 3 2" xfId="3705"/>
    <cellStyle name="SAPBEXstdData 5 2" xfId="3706"/>
    <cellStyle name="SAPBEXstdData 2 4 2" xfId="3707"/>
    <cellStyle name="SAPBEXstdData 2 2 3 2" xfId="3708"/>
    <cellStyle name="SAPBEXstdData 3 3 2" xfId="3709"/>
    <cellStyle name="SAPBEXstdDataEmph 5 2" xfId="3710"/>
    <cellStyle name="SAPBEXstdDataEmph 2 4 2" xfId="3711"/>
    <cellStyle name="SAPBEXstdDataEmph 2 2 3 2" xfId="3712"/>
    <cellStyle name="SAPBEXstdDataEmph 3 3 2" xfId="3713"/>
    <cellStyle name="SAPBEXstdItem 5 2" xfId="3714"/>
    <cellStyle name="SAPBEXstdItem 2 4 2" xfId="3715"/>
    <cellStyle name="SAPBEXstdItem 2 2 3 2" xfId="3716"/>
    <cellStyle name="SAPBEXstdItem 3 3 2" xfId="3717"/>
    <cellStyle name="SAPBEXstdItemX 5 2" xfId="3718"/>
    <cellStyle name="SAPBEXstdItemX 2 4 2" xfId="3719"/>
    <cellStyle name="SAPBEXstdItemX 2 2 3 2" xfId="3720"/>
    <cellStyle name="SAPBEXstdItemX 3 3 2" xfId="3721"/>
    <cellStyle name="SAPBEXundefined 5 2" xfId="3722"/>
    <cellStyle name="SAPBEXundefined 2 4 2" xfId="3723"/>
    <cellStyle name="SAPBEXundefined 2 2 3 2" xfId="3724"/>
    <cellStyle name="SAPBEXundefined 3 3 2" xfId="3725"/>
    <cellStyle name="Normal 18 2" xfId="3726"/>
    <cellStyle name="Normal 118 3 2" xfId="3727"/>
    <cellStyle name="Comma 40 2" xfId="3728"/>
    <cellStyle name="Normal 103 4 3" xfId="3729"/>
    <cellStyle name="常规 10 2 2 2" xfId="3730"/>
    <cellStyle name="Normal 103 2 5 2" xfId="3731"/>
    <cellStyle name="千位分隔 10 3 2" xfId="3732"/>
    <cellStyle name="Normal 10 2 5 2" xfId="3733"/>
    <cellStyle name="百分比 5 2 2" xfId="3734"/>
    <cellStyle name="Comma 42 2" xfId="3735"/>
    <cellStyle name="Comma [0] 2 9 2" xfId="3736"/>
    <cellStyle name="Comma 4 3 5 2" xfId="3737"/>
    <cellStyle name="Comma 6 7 2" xfId="3738"/>
    <cellStyle name="SAPBEXfilterDrill 2 4" xfId="3739"/>
    <cellStyle name="Normal 7 2 7" xfId="3740"/>
    <cellStyle name="SAPBEXfilterDrill 2 5" xfId="3741"/>
    <cellStyle name="Normal 7 2 6" xfId="3742"/>
    <cellStyle name="Normal 7 3 8" xfId="3743"/>
    <cellStyle name="SAPBEXfilterDrill 2 3 3" xfId="3744"/>
    <cellStyle name="SAPBEXfilterDrill 3 3" xfId="3745"/>
    <cellStyle name="SAPBEXfilterDrill 3 2" xfId="3746"/>
    <cellStyle name="SAPBEXfilterDrill 8" xfId="3747"/>
    <cellStyle name="Comma 2 2 3 2 6" xfId="3748"/>
    <cellStyle name="Header1 2 2" xfId="3749"/>
    <cellStyle name="Normal 7 3 7" xfId="3750"/>
    <cellStyle name="SAPBEXfilterDrill 2 2 2" xfId="3751"/>
    <cellStyle name="SAPBEXfilterDrill 4 2" xfId="3752"/>
    <cellStyle name="SAPBEXfilterDrill 2 3 2" xfId="3753"/>
    <cellStyle name="SAPBEXfilterDrill 5 3" xfId="3754"/>
    <cellStyle name="Header1 4 2" xfId="3755"/>
    <cellStyle name="SAPBEXfilterDrill 4 3" xfId="3756"/>
    <cellStyle name="Comma 2 2 3 2 7" xfId="3757"/>
    <cellStyle name="SAPBEXfilterDrill 5 2" xfId="3758"/>
    <cellStyle name="Normal 17 2" xfId="3759"/>
    <cellStyle name="Hyperlink" xfId="3760"/>
  </cellStyles>
  <dxfs count="65">
    <dxf>
      <fill>
        <patternFill>
          <bgColor rgb="FFFFFFCC"/>
        </patternFill>
      </fill>
    </dxf>
    <dxf>
      <font>
        <b val="1"/>
        <strike val="1"/>
        <color rgb="FF0000FF"/>
      </font>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border>
        <left style="thin">
          <color auto="1"/>
        </left>
        <right style="thin">
          <color auto="1"/>
        </right>
      </border>
    </dxf>
    <dxf>
      <border>
        <left style="thin">
          <color auto="1"/>
        </left>
        <right style="thin">
          <color auto="1"/>
        </right>
      </border>
    </dxf>
    <dxf>
      <fill>
        <patternFill>
          <bgColor theme="0" tint="-0.1499069185460982"/>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
      <border>
        <left style="thin">
          <color auto="1"/>
        </left>
        <right style="thin">
          <color auto="1"/>
        </right>
      </border>
    </dxf>
    <dxf>
      <border>
        <left style="thin">
          <color auto="1"/>
        </left>
        <right style="thin">
          <color auto="1"/>
        </right>
      </border>
    </dxf>
    <dxf>
      <fill>
        <patternFill>
          <bgColor theme="0" tint="-0.1490524002807703"/>
        </patternFill>
      </fill>
    </dxf>
    <dxf>
      <fill>
        <patternFill>
          <bgColor theme="0"/>
        </patternFill>
      </fill>
    </dxf>
    <dxf>
      <border>
        <bottom style="thick">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3" defaultTableStyle="TableStyleMedium2" defaultPivotStyle="PivotStyleLight16">
    <tableStyle name="Table Style 1" pivot="0" count="6">
      <tableStyleElement type="wholeTable" dxfId="64"/>
      <tableStyleElement type="totalRow" dxfId="63"/>
      <tableStyleElement type="firstRowStripe" dxfId="62"/>
      <tableStyleElement type="secondRowStripe" dxfId="61"/>
      <tableStyleElement type="firstColumnStripe" dxfId="60"/>
      <tableStyleElement type="secondColumnStripe" dxfId="59"/>
    </tableStyle>
    <tableStyle name="MySqlDefault" table="0" count="0"/>
    <tableStyle name="Table Style 1 2" pivot="0" count="6">
      <tableStyleElement type="wholeTable" dxfId="58"/>
      <tableStyleElement type="totalRow" dxfId="57"/>
      <tableStyleElement type="firstRowStripe" dxfId="56"/>
      <tableStyleElement type="secondRowStripe" dxfId="55"/>
      <tableStyleElement type="firstColumnStripe" dxfId="54"/>
      <tableStyleElement type="secondColumnStripe" dxfId="53"/>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5%BC%80%E5%8F%91%E6%94%AF%E5%87%BA%20202YMMDD%20XYZ%E5%85%AC%E5%8F%B8.xlsx?d=w8d035e625ede4adca4623f8914032963&amp;csf=1&amp;web=1&amp;e=UwJVdk"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6%9D%83%E5%B1%9E%E6%A3%80%E6%9F%A5%20202YMMDD%20XYZ%E5%85%AC%E5%8F%B8.xlsx?d=w631d0c47aac24161b07da7253304f70e&amp;csf=1&amp;web=1&amp;e=lhDLtd"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L1%20SWP%20%E6%97%A0%E5%BD%A2%E8%B5%84%E4%BA%A7%E8%B5%84%E6%9C%AC%E5%8C%96%E6%94%AF%E5%87%BA%20202YMMDD%20XYZ%E5%85%AC%E5%8F%B8.xlsx?d=wc8be4fce8ecb417b9ccdf1c6e9c98110&amp;csf=1&amp;web=1&amp;e=QVjpg3" TargetMode="External" Id="rId3" /></Relationships>
</file>

<file path=xl/worksheets/sheet1.xml><?xml version="1.0" encoding="utf-8"?>
<worksheet xmlns="http://schemas.openxmlformats.org/spreadsheetml/2006/main">
  <sheetPr>
    <outlinePr summaryBelow="1" summaryRight="1"/>
    <pageSetUpPr/>
  </sheetPr>
  <dimension ref="A1:L19"/>
  <sheetViews>
    <sheetView showGridLines="0" zoomScale="70" zoomScaleNormal="70" workbookViewId="0">
      <selection activeCell="M16" sqref="M16"/>
    </sheetView>
  </sheetViews>
  <sheetFormatPr baseColWidth="8" defaultColWidth="8.6640625" defaultRowHeight="12.75" customHeight="1"/>
  <cols>
    <col width="3.6640625" customWidth="1" style="392" min="1" max="1"/>
    <col width="18.88671875" customWidth="1" style="392" min="2" max="2"/>
    <col width="11" customWidth="1" style="392" min="3" max="3"/>
    <col width="8.6640625" customWidth="1" style="392" min="4" max="4"/>
    <col width="37.6640625" customWidth="1" style="392" min="5" max="5"/>
    <col width="23.21875" bestFit="1" customWidth="1" style="392" min="6" max="6"/>
    <col width="10.88671875" customWidth="1" style="392" min="7" max="7"/>
    <col width="20.6640625" customWidth="1" style="392" min="8" max="8"/>
    <col width="8.6640625" customWidth="1" style="392" min="9" max="16384"/>
  </cols>
  <sheetData>
    <row r="1" ht="24.6" customHeight="1">
      <c r="A1" s="497" t="inlineStr">
        <is>
          <t xml:space="preserve">V6 SWP </t>
        </is>
      </c>
    </row>
    <row r="2" ht="16.5" customHeight="1">
      <c r="B2" s="393" t="inlineStr">
        <is>
          <t>该科目涉及OSP底稿可参考此链接</t>
        </is>
      </c>
      <c r="E2" s="455" t="inlineStr">
        <is>
          <t>OSP L1 SWP 开发支出 202YMMDD XYZ公司.xlsx</t>
        </is>
      </c>
    </row>
    <row r="3" ht="16.5" customHeight="1">
      <c r="E3" s="455" t="inlineStr">
        <is>
          <t>OSP L1 SWP 无形资产权属检查 202YMMDD XYZ公司.xlsx</t>
        </is>
      </c>
    </row>
    <row r="4" ht="16.5" customHeight="1">
      <c r="E4" s="455" t="inlineStr">
        <is>
          <t>OSP L1 SWP 无形资产资本化支出 202YMMDD XYZ公司.xlsx</t>
        </is>
      </c>
    </row>
    <row r="5" ht="9.9" customHeight="1">
      <c r="A5" s="451" t="n"/>
    </row>
    <row r="6" ht="19.5" customHeight="1">
      <c r="A6" s="452" t="n"/>
      <c r="B6" s="134" t="inlineStr">
        <is>
          <t>L1.00</t>
        </is>
      </c>
      <c r="C6" s="499" t="inlineStr">
        <is>
          <t>L1.00 Lead sheet（认定：E、V、C、R&amp;O、P&amp;D）</t>
        </is>
      </c>
      <c r="D6" s="591" t="n"/>
      <c r="E6" s="592" t="n"/>
      <c r="F6" s="133" t="inlineStr">
        <is>
          <t>程序页</t>
        </is>
      </c>
      <c r="G6" s="133" t="inlineStr">
        <is>
          <t>执行</t>
        </is>
      </c>
      <c r="H6" s="134" t="inlineStr">
        <is>
          <t>不执行的原因</t>
        </is>
      </c>
    </row>
    <row r="7" ht="47.1" customHeight="1">
      <c r="A7" s="452" t="n"/>
      <c r="B7" s="227" t="n">
        <v>1</v>
      </c>
      <c r="C7" s="502" t="inlineStr">
        <is>
          <t>获取和编制无形资产两期变动的引导表，并与试算平衡表和上年底稿核对一致。对无形资产变动建立预期并说明理由，对不符合预期的变动以及异常变动进行调查和分析。</t>
        </is>
      </c>
      <c r="D7" s="593" t="n"/>
      <c r="E7" s="594" t="n"/>
      <c r="F7" s="394" t="inlineStr">
        <is>
          <t>L1.00 Lead sheet</t>
        </is>
      </c>
      <c r="G7" s="265" t="n"/>
      <c r="H7" s="456" t="n"/>
      <c r="L7" s="453" t="n"/>
    </row>
    <row r="8" ht="15" customHeight="1">
      <c r="A8" s="452" t="n"/>
      <c r="B8" s="134" t="inlineStr">
        <is>
          <t>L1.01.1</t>
        </is>
      </c>
      <c r="C8" s="500" t="inlineStr">
        <is>
          <t>L1.01.1 Agree SL to GL（认定：E、V、C、R&amp;O、P&amp;D）</t>
        </is>
      </c>
      <c r="D8" s="591" t="n"/>
      <c r="E8" s="592" t="n"/>
      <c r="F8" s="133" t="inlineStr">
        <is>
          <t>程序页</t>
        </is>
      </c>
      <c r="G8" s="133" t="inlineStr">
        <is>
          <t>执行</t>
        </is>
      </c>
      <c r="H8" s="134" t="inlineStr">
        <is>
          <t>不执行的原因</t>
        </is>
      </c>
    </row>
    <row r="9" ht="29.4" customHeight="1">
      <c r="A9" s="452" t="n"/>
      <c r="B9" s="227" t="n">
        <v>1</v>
      </c>
      <c r="C9" s="502" t="inlineStr">
        <is>
          <t>获取无形资产后推明细表，并将其与试算平衡表和无形资产清单核对一致。</t>
        </is>
      </c>
      <c r="D9" s="593" t="n"/>
      <c r="E9" s="594" t="n"/>
      <c r="F9" s="394" t="inlineStr">
        <is>
          <t>L1.01.1 Agree SL to GL</t>
        </is>
      </c>
      <c r="G9" s="265" t="n"/>
      <c r="H9" s="457" t="n"/>
    </row>
    <row r="10" ht="15" customHeight="1">
      <c r="A10" s="452" t="n"/>
      <c r="B10" s="134" t="inlineStr">
        <is>
          <t>L1.02.1</t>
        </is>
      </c>
      <c r="C10" s="499" t="inlineStr">
        <is>
          <t>L1.02.1 新增测试 &amp;新增清单（认定：E、V、C、R&amp;O、P&amp;D）</t>
        </is>
      </c>
      <c r="D10" s="591" t="n"/>
      <c r="E10" s="592" t="n"/>
      <c r="F10" s="133" t="inlineStr">
        <is>
          <t>程序页</t>
        </is>
      </c>
      <c r="G10" s="133" t="inlineStr">
        <is>
          <t>执行</t>
        </is>
      </c>
      <c r="H10" s="134" t="inlineStr">
        <is>
          <t>不执行的原因</t>
        </is>
      </c>
    </row>
    <row r="11" ht="39.75" customHeight="1">
      <c r="A11" s="452" t="n"/>
      <c r="B11" s="226" t="n">
        <v>1</v>
      </c>
      <c r="C11" s="504" t="inlineStr">
        <is>
          <t xml:space="preserve">获取当期按类别划分的所有无形资产新增清单，并将该列表与无形资产后推核对一致，调查超过SAD名义金额的差额。
</t>
        </is>
      </c>
      <c r="D11" s="593" t="n"/>
      <c r="E11" s="594" t="n"/>
      <c r="F11" s="394" t="inlineStr">
        <is>
          <t>新增清单</t>
        </is>
      </c>
      <c r="G11" s="265" t="n"/>
      <c r="H11" s="457" t="n"/>
    </row>
    <row r="12" ht="29.4" customHeight="1">
      <c r="A12" s="452" t="n"/>
      <c r="B12" s="226" t="n">
        <v>2</v>
      </c>
      <c r="C12" s="503" t="inlineStr">
        <is>
          <t>对本年新增资产执行关键项目测试和代表性样本测试（如需要）。</t>
        </is>
      </c>
      <c r="D12" s="593" t="n"/>
      <c r="E12" s="594" t="n"/>
      <c r="F12" s="394" t="inlineStr">
        <is>
          <t>L1.02.1 新增测试</t>
        </is>
      </c>
      <c r="G12" s="265" t="n"/>
      <c r="H12" s="457" t="n"/>
    </row>
    <row r="13" ht="15" customHeight="1">
      <c r="A13" s="452" t="n"/>
      <c r="B13" s="134" t="inlineStr">
        <is>
          <t>L1.02.2</t>
        </is>
      </c>
      <c r="C13" s="499" t="inlineStr">
        <is>
          <t>L1.02.2 处置测试 &amp; 处置清单（认定：E、V、C、R&amp;O、P&amp;D）</t>
        </is>
      </c>
      <c r="D13" s="591" t="n"/>
      <c r="E13" s="592" t="n"/>
      <c r="F13" s="133" t="inlineStr">
        <is>
          <t>程序页</t>
        </is>
      </c>
      <c r="G13" s="133" t="inlineStr">
        <is>
          <t>执行</t>
        </is>
      </c>
      <c r="H13" s="134" t="inlineStr">
        <is>
          <t>不执行的原因</t>
        </is>
      </c>
    </row>
    <row r="14" ht="36" customHeight="1">
      <c r="A14" s="452" t="n"/>
      <c r="B14" s="228" t="n">
        <v>1</v>
      </c>
      <c r="C14" s="501" t="inlineStr">
        <is>
          <t>获取当期按类别划分的所有无形资产处置清单，包括记录的处置的损益，并将该列表与无形资产后推核对一致，我们调查超过SAD名义金额的差额。</t>
        </is>
      </c>
      <c r="D14" s="593" t="n"/>
      <c r="E14" s="594" t="n"/>
      <c r="F14" s="394" t="inlineStr">
        <is>
          <t>处置清单</t>
        </is>
      </c>
      <c r="G14" s="265" t="n"/>
      <c r="H14" s="457" t="n"/>
    </row>
    <row r="15" ht="29.4" customHeight="1">
      <c r="A15" s="452" t="n"/>
      <c r="B15" s="228" t="n">
        <v>2</v>
      </c>
      <c r="C15" s="503" t="inlineStr">
        <is>
          <t>对本年处置资产执行关键项目测试和代表性样本测试（如需要）。</t>
        </is>
      </c>
      <c r="D15" s="593" t="n"/>
      <c r="E15" s="594" t="n"/>
      <c r="F15" s="394" t="inlineStr">
        <is>
          <t>L1.02.2 处置测试</t>
        </is>
      </c>
      <c r="G15" s="265" t="n"/>
      <c r="H15" s="457" t="n"/>
    </row>
    <row r="16" ht="15" customHeight="1">
      <c r="B16" s="134" t="inlineStr">
        <is>
          <t>L1.03</t>
        </is>
      </c>
      <c r="C16" s="499" t="inlineStr">
        <is>
          <t>L1.03 摊销测试（认定：E、V、C、R&amp;O、P&amp;D）</t>
        </is>
      </c>
      <c r="D16" s="591" t="n"/>
      <c r="E16" s="592" t="n"/>
      <c r="F16" s="133" t="inlineStr">
        <is>
          <t>程序页</t>
        </is>
      </c>
      <c r="G16" s="133" t="inlineStr">
        <is>
          <t>执行</t>
        </is>
      </c>
      <c r="H16" s="134" t="inlineStr">
        <is>
          <t>不执行的原因</t>
        </is>
      </c>
    </row>
    <row r="17" ht="84" customHeight="1">
      <c r="B17" s="227" t="n">
        <v>1</v>
      </c>
      <c r="C17" s="502" t="inlineStr">
        <is>
          <t>按照公司摊销政策对本年应计提摊销执行重新计算（by item），并与账面进行核对，调查超过SAD名义金额的差额。
检查无形资产各项目的摊销政策是否符合有关规定，是否与上期一致，其是否具有商业合理性。若改变摊销政策，检查其依据是否充分。</t>
        </is>
      </c>
      <c r="D17" s="593" t="n"/>
      <c r="E17" s="594" t="n"/>
      <c r="F17" s="394" t="inlineStr">
        <is>
          <t>L1.03 摊销测试</t>
        </is>
      </c>
      <c r="G17" s="265" t="n"/>
      <c r="H17" s="457" t="n"/>
    </row>
    <row r="18" ht="15" customHeight="1">
      <c r="B18" s="134" t="inlineStr">
        <is>
          <t>L1.04</t>
        </is>
      </c>
      <c r="C18" s="499" t="inlineStr">
        <is>
          <t>L1.04 无形资产的减值（认定：V）</t>
        </is>
      </c>
      <c r="D18" s="591" t="n"/>
      <c r="E18" s="592" t="n"/>
      <c r="F18" s="133" t="inlineStr">
        <is>
          <t>程序页</t>
        </is>
      </c>
      <c r="G18" s="133" t="inlineStr">
        <is>
          <t>执行</t>
        </is>
      </c>
      <c r="H18" s="134" t="inlineStr">
        <is>
          <t>不执行的原因</t>
        </is>
      </c>
    </row>
    <row r="19" ht="41.1" customHeight="1">
      <c r="B19" s="227" t="n">
        <v>1</v>
      </c>
      <c r="C19" s="501" t="inlineStr">
        <is>
          <t>验证是否已按照公司的会计政策或适用财务报告框架进行了适当调整，以反映无形资产的账面价值的减值。</t>
        </is>
      </c>
      <c r="D19" s="593" t="n"/>
      <c r="E19" s="594" t="n"/>
      <c r="F19" s="394" t="inlineStr">
        <is>
          <t>项目组自行填写底稿索引</t>
        </is>
      </c>
      <c r="G19" s="265" t="n"/>
      <c r="H19" s="457" t="n"/>
      <c r="K19" s="454" t="n"/>
    </row>
  </sheetData>
  <mergeCells count="14">
    <mergeCell ref="C16:E16"/>
    <mergeCell ref="C11:E11"/>
    <mergeCell ref="C14:E14"/>
    <mergeCell ref="C13:E13"/>
    <mergeCell ref="C19:E19"/>
    <mergeCell ref="C8:E8"/>
    <mergeCell ref="C9:E9"/>
    <mergeCell ref="C18:E18"/>
    <mergeCell ref="C17:E17"/>
    <mergeCell ref="C7:E7"/>
    <mergeCell ref="C15:E15"/>
    <mergeCell ref="C12:E12"/>
    <mergeCell ref="C6:E6"/>
    <mergeCell ref="C10:E10"/>
  </mergeCells>
  <conditionalFormatting sqref="F19">
    <cfRule type="containsBlanks" priority="1" dxfId="20">
      <formula>LEN(TRIM(F19))=0</formula>
    </cfRule>
  </conditionalFormatting>
  <conditionalFormatting sqref="G7">
    <cfRule type="containsBlanks" priority="39" dxfId="0">
      <formula>LEN(TRIM(G7))=0</formula>
    </cfRule>
  </conditionalFormatting>
  <conditionalFormatting sqref="G9">
    <cfRule type="containsBlanks" priority="6" dxfId="0">
      <formula>LEN(TRIM(G9))=0</formula>
    </cfRule>
  </conditionalFormatting>
  <conditionalFormatting sqref="G11:G12">
    <cfRule type="containsBlanks" priority="5" dxfId="0">
      <formula>LEN(TRIM(G11))=0</formula>
    </cfRule>
  </conditionalFormatting>
  <conditionalFormatting sqref="G14:G15">
    <cfRule type="containsBlanks" priority="4" dxfId="0">
      <formula>LEN(TRIM(G14))=0</formula>
    </cfRule>
  </conditionalFormatting>
  <conditionalFormatting sqref="G17">
    <cfRule type="containsBlanks" priority="3" dxfId="0">
      <formula>LEN(TRIM(G17))=0</formula>
    </cfRule>
  </conditionalFormatting>
  <conditionalFormatting sqref="G19">
    <cfRule type="containsBlanks" priority="2" dxfId="0">
      <formula>LEN(TRIM(G19))=0</formula>
    </cfRule>
  </conditionalFormatting>
  <conditionalFormatting sqref="H7 H9 H11:H12 H14:H15 H17">
    <cfRule type="expression" priority="12" dxfId="20">
      <formula>SUMPRODUCT((G7="否")*(LEN(H7)=0))</formula>
    </cfRule>
  </conditionalFormatting>
  <conditionalFormatting sqref="H9">
    <cfRule type="expression" priority="18" dxfId="0">
      <formula>SUMPRODUCT((OR(G9="否",#REF!="否"))*(LEN(H9)=0))</formula>
    </cfRule>
  </conditionalFormatting>
  <conditionalFormatting sqref="H11:H12">
    <cfRule type="expression" priority="16" dxfId="0">
      <formula>SUMPRODUCT((OR(G11="否",#REF!="否"))*(LEN(H11)=0))</formula>
    </cfRule>
  </conditionalFormatting>
  <conditionalFormatting sqref="H14:H15">
    <cfRule type="expression" priority="14" dxfId="0">
      <formula>SUMPRODUCT((OR(G14="否",#REF!="否"))*(LEN(H14)=0))</formula>
    </cfRule>
  </conditionalFormatting>
  <conditionalFormatting sqref="H17">
    <cfRule type="expression" priority="13" dxfId="0">
      <formula>SUMPRODUCT((OR(G17="否",#REF!="否"))*(LEN(H17)=0))</formula>
    </cfRule>
  </conditionalFormatting>
  <conditionalFormatting sqref="H19">
    <cfRule type="expression" priority="10" dxfId="20">
      <formula>SUMPRODUCT((G19="否")*(LEN(H19)=0))</formula>
    </cfRule>
    <cfRule type="expression" priority="11" dxfId="0">
      <formula>SUMPRODUCT((OR(G19="否",#REF!="否"))*(LEN(H19)=0))</formula>
    </cfRule>
  </conditionalFormatting>
  <dataValidations count="1">
    <dataValidation sqref="G7 G9 G11:G12 G14:G15 G17 G19" showDropDown="0" showInputMessage="1" showErrorMessage="1" allowBlank="1" type="list">
      <formula1>"是,否"</formula1>
    </dataValidation>
  </dataValidations>
  <hyperlinks>
    <hyperlink xmlns:r="http://schemas.openxmlformats.org/officeDocument/2006/relationships" ref="E2" display="https://eychinamanaged.sharepoint.cn/:x:/r/sites/GCknowledgecenter/Shared Documents/%E5%AE%A1%E8%AE%A1%E6%A0%87%E5%87%86%E5%BA%95%E7%A8%BF/%E6%A0%87%E5%87%86%E5%AE%A1%E8%AE%A1%E5%BA%95%E7%A8%BF%E6%A8%A1%E6%9D%BF%E7%AC%AC%E4%BA%94%E7%89%88-%E4%BD%BF%E7%94%A8%E7%89%88/OSP/OSP L1 SWP %E5%BC%80%E5%8F%91%E6%94%AF%E5%87%BA 202YMMDD XYZ%E5%85%AC%E5%8F%B8.xlsx?d=w8d035e625ede4adca4623f8914032963&amp;csf=1&amp;web=1&amp;e=UwJVdk" r:id="rId1"/>
    <hyperlink xmlns:r="http://schemas.openxmlformats.org/officeDocument/2006/relationships" ref="E3" display="https://eychinamanaged.sharepoint.cn/:x:/r/sites/GCknowledgecenter/Shared Documents/%E5%AE%A1%E8%AE%A1%E6%A0%87%E5%87%86%E5%BA%95%E7%A8%BF/%E6%A0%87%E5%87%86%E5%AE%A1%E8%AE%A1%E5%BA%95%E7%A8%BF%E6%A8%A1%E6%9D%BF%E7%AC%AC%E4%BA%94%E7%89%88-%E4%BD%BF%E7%94%A8%E7%89%88/OSP/OSP L1 SWP %E6%97%A0%E5%BD%A2%E8%B5%84%E4%BA%A7%E6%9D%83%E5%B1%9E%E6%A3%80%E6%9F%A5 202YMMDD XYZ%E5%85%AC%E5%8F%B8.xlsx?d=w631d0c47aac24161b07da7253304f70e&amp;csf=1&amp;web=1&amp;e=lhDLtd" r:id="rId2"/>
    <hyperlink xmlns:r="http://schemas.openxmlformats.org/officeDocument/2006/relationships" ref="E4" display="https://eychinamanaged.sharepoint.cn/:x:/r/sites/GCknowledgecenter/Shared Documents/%E5%AE%A1%E8%AE%A1%E6%A0%87%E5%87%86%E5%BA%95%E7%A8%BF/%E6%A0%87%E5%87%86%E5%AE%A1%E8%AE%A1%E5%BA%95%E7%A8%BF%E6%A8%A1%E6%9D%BF%E7%AC%AC%E4%BA%94%E7%89%88-%E4%BD%BF%E7%94%A8%E7%89%88/OSP/OSP L1 SWP %E6%97%A0%E5%BD%A2%E8%B5%84%E4%BA%A7%E8%B5%84%E6%9C%AC%E5%8C%96%E6%94%AF%E5%87%BA 202YMMDD XYZ%E5%85%AC%E5%8F%B8.xlsx?d=wc8be4fce8ecb417b9ccdf1c6e9c98110&amp;csf=1&amp;web=1&amp;e=QVjpg3" r:id="rId3"/>
    <hyperlink ref="F7" location="'L1.00 Lead sheet'!$A$1" display="'L1.00 Lead sheet'!$A$1"/>
    <hyperlink ref="F9" location="'L1.01.1 Agree SL to GL'!A1" display="L1.01.1 Agree SL to GL"/>
    <hyperlink ref="F11" location="'新增清单'!$A$1" display="'新增清单'!$A$1"/>
    <hyperlink ref="F12" location="'L1.02.1 新增测试'!A1" display="L1.02.1 新增测试"/>
    <hyperlink ref="F14" location="'处置清单'!$A$1" display="'处置清单'!$A$1"/>
    <hyperlink ref="F15" location="'L1.02.2 处置测试'!A1" display="L1.02.2 处置测试"/>
    <hyperlink ref="F17" location="'L1.03 摊销测试'!A1" display="L1.03 摊销测试"/>
  </hyperlinks>
  <pageMargins left="0.7" right="0.7" top="0.75" bottom="0.75" header="0.3" footer="0.3"/>
</worksheet>
</file>

<file path=xl/worksheets/sheet2.xml><?xml version="1.0" encoding="utf-8"?>
<worksheet xmlns="http://schemas.openxmlformats.org/spreadsheetml/2006/main">
  <sheetPr>
    <outlinePr summaryBelow="1" summaryRight="1"/>
    <pageSetUpPr fitToPage="1"/>
  </sheetPr>
  <dimension ref="A1:R96"/>
  <sheetViews>
    <sheetView showGridLines="0" topLeftCell="A9" zoomScale="70" zoomScaleNormal="70" workbookViewId="0">
      <selection activeCell="I48" sqref="I48"/>
    </sheetView>
  </sheetViews>
  <sheetFormatPr baseColWidth="8" defaultColWidth="9.109375" defaultRowHeight="15" customHeight="1"/>
  <cols>
    <col width="2.6640625" customWidth="1" style="51" min="1" max="1"/>
    <col width="23.88671875" customWidth="1" style="51" min="2" max="2"/>
    <col width="22.88671875" customWidth="1" style="51" min="3" max="3"/>
    <col width="20.33203125" customWidth="1" style="51" min="4" max="4"/>
    <col width="24.33203125" customWidth="1" style="51" min="5" max="5"/>
    <col width="14.88671875" customWidth="1" style="51" min="6" max="6"/>
    <col width="15.109375" customWidth="1" style="51" min="7" max="7"/>
    <col width="15.33203125" customWidth="1" style="51" min="8" max="8"/>
    <col width="17.109375" customWidth="1" style="51" min="9" max="9"/>
    <col width="22.6640625" customWidth="1" style="51" min="10" max="10"/>
    <col width="13.33203125" customWidth="1" style="51" min="11" max="11"/>
    <col width="11.33203125" customWidth="1" style="51" min="12" max="12"/>
    <col width="8.88671875" customWidth="1" style="51" min="13" max="13"/>
    <col width="17.6640625" customWidth="1" style="51" min="14" max="15"/>
    <col width="2.6640625" customWidth="1" style="60" min="16" max="16"/>
    <col width="1.6640625" customWidth="1" style="51" min="17" max="17"/>
    <col width="9.109375" customWidth="1" style="51" min="18" max="16384"/>
  </cols>
  <sheetData>
    <row r="1" ht="50.1" customHeight="1">
      <c r="A1" s="319" t="n"/>
      <c r="B1" s="217" t="inlineStr">
        <is>
          <t>标准工作底稿: L1 SWP 无形资产</t>
        </is>
      </c>
      <c r="C1" s="218" t="n"/>
      <c r="D1" s="362" t="n"/>
      <c r="E1" s="219" t="n"/>
      <c r="F1" s="219" t="n"/>
      <c r="G1" s="219" t="n"/>
      <c r="H1" s="219" t="n"/>
      <c r="I1" s="219" t="n"/>
      <c r="J1" s="219" t="n"/>
      <c r="K1" s="219" t="n"/>
      <c r="L1" s="219" t="n"/>
      <c r="M1" s="219" t="n"/>
      <c r="N1" s="219" t="n"/>
      <c r="O1" s="220" t="n"/>
      <c r="P1" s="51" t="n"/>
      <c r="Q1" s="52" t="n"/>
    </row>
    <row r="2" ht="17.4" customFormat="1" customHeight="1" s="247">
      <c r="B2" s="262" t="inlineStr">
        <is>
          <t>客户名称</t>
        </is>
      </c>
      <c r="C2" s="462" t="inlineStr">
        <is>
          <t>东风鸿远工程咨询有限公司</t>
        </is>
      </c>
      <c r="D2" s="595" t="n"/>
      <c r="E2" s="596" t="n"/>
      <c r="F2" s="596" t="n"/>
      <c r="G2" s="596" t="n"/>
      <c r="H2" s="596" t="n"/>
      <c r="I2" s="596" t="n"/>
      <c r="J2" s="596" t="n"/>
      <c r="K2" s="596" t="n"/>
      <c r="L2" s="596" t="n"/>
      <c r="M2" s="596" t="n"/>
      <c r="N2" s="596" t="n"/>
      <c r="O2" s="597" t="n"/>
      <c r="Q2" s="250" t="n"/>
    </row>
    <row r="3" ht="17.4" customFormat="1" customHeight="1" s="247">
      <c r="B3" s="263" t="inlineStr">
        <is>
          <t>期末</t>
        </is>
      </c>
      <c r="C3" s="598" t="n">
        <v>46387</v>
      </c>
      <c r="D3" s="599" t="n"/>
      <c r="O3" s="600" t="n"/>
      <c r="Q3" s="250" t="n"/>
    </row>
    <row r="4" ht="17.4" customFormat="1" customHeight="1" s="247">
      <c r="B4" s="263" t="inlineStr">
        <is>
          <t>分析日期</t>
        </is>
      </c>
      <c r="C4" s="598" t="n">
        <v>46169.59670896208</v>
      </c>
      <c r="D4" s="599" t="n"/>
      <c r="O4" s="600" t="n"/>
      <c r="Q4" s="250" t="n"/>
    </row>
    <row r="5" ht="17.4" customFormat="1" customHeight="1" s="247">
      <c r="B5" s="263" t="inlineStr">
        <is>
          <t>可容忍误差(TE）</t>
        </is>
      </c>
      <c r="C5" s="601" t="n"/>
      <c r="D5" s="599" t="n"/>
      <c r="O5" s="600" t="n"/>
      <c r="Q5" s="250" t="n"/>
    </row>
    <row r="6" ht="17.4" customFormat="1" customHeight="1" s="247">
      <c r="B6" s="263" t="inlineStr">
        <is>
          <t>名义金额（SAD）</t>
        </is>
      </c>
      <c r="C6" s="601" t="n"/>
      <c r="D6" s="599" t="n"/>
      <c r="O6" s="600" t="n"/>
      <c r="Q6" s="250" t="n"/>
    </row>
    <row r="7" ht="17.4" customFormat="1" customHeight="1" s="247">
      <c r="B7" s="263" t="inlineStr">
        <is>
          <t>公认会计准则（GAAP）</t>
        </is>
      </c>
      <c r="C7" s="464" t="inlineStr">
        <is>
          <t>PRC</t>
        </is>
      </c>
      <c r="D7" s="599" t="n"/>
      <c r="O7" s="600" t="n"/>
      <c r="Q7" s="250" t="n"/>
    </row>
    <row r="8" ht="17.4" customFormat="1" customHeight="1" s="247">
      <c r="B8" s="498" t="inlineStr">
        <is>
          <t>记账本位币</t>
        </is>
      </c>
      <c r="C8" s="465" t="inlineStr">
        <is>
          <t>CNY</t>
        </is>
      </c>
      <c r="D8" s="602" t="n"/>
      <c r="E8" s="603" t="n"/>
      <c r="F8" s="603" t="n"/>
      <c r="G8" s="603" t="n"/>
      <c r="H8" s="603" t="n"/>
      <c r="I8" s="603" t="n"/>
      <c r="J8" s="603" t="n"/>
      <c r="K8" s="603" t="n"/>
      <c r="L8" s="603" t="n"/>
      <c r="M8" s="603" t="n"/>
      <c r="N8" s="603" t="n"/>
      <c r="O8" s="604" t="n"/>
      <c r="Q8" s="250" t="n"/>
    </row>
    <row r="9" ht="30" customFormat="1" customHeight="1" s="247">
      <c r="B9" s="363" t="inlineStr">
        <is>
          <t>L1.00：编制引导表并比较余额</t>
        </is>
      </c>
      <c r="C9" s="364" t="n"/>
      <c r="D9" s="364" t="n"/>
      <c r="E9" s="364" t="n"/>
      <c r="F9" s="364" t="n"/>
      <c r="G9" s="364" t="n"/>
      <c r="H9" s="364" t="n"/>
      <c r="I9" s="364" t="n"/>
      <c r="J9" s="364" t="n"/>
      <c r="K9" s="364" t="n"/>
      <c r="L9" s="364" t="n"/>
      <c r="M9" s="364" t="n"/>
      <c r="N9" s="364" t="n"/>
      <c r="O9" s="365" t="n"/>
      <c r="Q9" s="250" t="n"/>
    </row>
    <row r="10" ht="15" customHeight="1">
      <c r="P10" s="51" t="n"/>
      <c r="Q10" s="52" t="n"/>
    </row>
    <row r="11" ht="15" customHeight="1">
      <c r="B11" s="395" t="inlineStr">
        <is>
          <t>返回汇总页</t>
        </is>
      </c>
      <c r="F11" s="605" t="n"/>
      <c r="G11" s="605" t="n"/>
      <c r="H11" s="605" t="n"/>
      <c r="I11" s="605" t="n"/>
      <c r="J11" s="605" t="n"/>
      <c r="K11" s="605" t="n"/>
      <c r="P11" s="51" t="n"/>
      <c r="Q11" s="52" t="n"/>
    </row>
    <row r="12" ht="15" customHeight="1">
      <c r="F12" s="605" t="n"/>
      <c r="G12" s="605" t="n"/>
      <c r="H12" s="605" t="n"/>
      <c r="I12" s="605" t="n"/>
      <c r="J12" s="605" t="n"/>
      <c r="K12" s="605" t="n"/>
      <c r="P12" s="51" t="n"/>
      <c r="Q12" s="52" t="n"/>
    </row>
    <row r="13" ht="15" customHeight="1">
      <c r="B13" s="7" t="n"/>
      <c r="C13" s="7" t="n"/>
      <c r="D13" s="197" t="inlineStr">
        <is>
          <t>Threshold(s)</t>
        </is>
      </c>
      <c r="E13" s="198" t="n"/>
      <c r="F13" s="605" t="n"/>
      <c r="G13" s="605" t="n"/>
      <c r="H13" s="606" t="inlineStr">
        <is>
          <t>安永标记</t>
        </is>
      </c>
      <c r="I13" s="607" t="n"/>
      <c r="J13" s="607" t="n"/>
      <c r="K13" s="607" t="n"/>
      <c r="L13" s="608" t="n"/>
      <c r="P13" s="51" t="n"/>
      <c r="Q13" s="52" t="n"/>
    </row>
    <row r="14" ht="15" customHeight="1">
      <c r="B14" s="458" t="inlineStr">
        <is>
          <t>认定</t>
        </is>
      </c>
      <c r="C14" s="458" t="inlineStr">
        <is>
          <t>CRA</t>
        </is>
      </c>
      <c r="D14" s="458" t="inlineStr">
        <is>
          <t>各项认定1</t>
        </is>
      </c>
      <c r="E14" s="459" t="inlineStr">
        <is>
          <t>所有相关认定 2</t>
        </is>
      </c>
      <c r="F14" s="605" t="n"/>
      <c r="G14" s="605" t="n"/>
      <c r="H14" s="199" t="inlineStr">
        <is>
          <t>TB</t>
        </is>
      </c>
      <c r="I14" s="200" t="inlineStr">
        <is>
          <t>已与科目余额表核对无误</t>
        </is>
      </c>
      <c r="J14" s="201" t="n"/>
      <c r="K14" s="201" t="n"/>
      <c r="L14" s="202" t="n"/>
      <c r="P14" s="51" t="n"/>
      <c r="Q14" s="52" t="n"/>
    </row>
    <row r="15" ht="15" customHeight="1">
      <c r="B15" s="460" t="inlineStr">
        <is>
          <t>完整性 (C)</t>
        </is>
      </c>
      <c r="C15" s="221" t="n"/>
      <c r="D15" s="609">
        <f>IF(C15="Minimal",$C$5*100%,IF(C15="Low",$C$5*75%,IF(C15="Moderate",$C$5*50%,IF(C15="High",$C$5*25%,IF(C15="N/A","-",)))))</f>
        <v/>
      </c>
      <c r="E15" s="610">
        <f>MIN($D$15:$D$19)</f>
        <v/>
      </c>
      <c r="F15" s="605" t="n"/>
      <c r="G15" s="605" t="n"/>
      <c r="H15" s="203" t="inlineStr">
        <is>
          <t>PY</t>
        </is>
      </c>
      <c r="I15" s="200" t="inlineStr">
        <is>
          <t>与上年最终审定数核对一致</t>
        </is>
      </c>
      <c r="J15" s="204" t="n"/>
      <c r="K15" s="205" t="n"/>
      <c r="L15" s="206" t="n"/>
      <c r="P15" s="51" t="n"/>
      <c r="Q15" s="52" t="n"/>
    </row>
    <row r="16" ht="15" customHeight="1">
      <c r="B16" s="460" t="inlineStr">
        <is>
          <t>存在性 (E) / 发生 (O)</t>
        </is>
      </c>
      <c r="C16" s="221" t="n"/>
      <c r="D16" s="609">
        <f>IF(C16="Minimal",$C$5*100%,IF(C16="Low",$C$5*75%,IF(C16="Moderate",$C$5*50%,IF(C16="High",$C$5*25%,IF(C16="N/A","-",)))))</f>
        <v/>
      </c>
      <c r="E16" s="611" t="n"/>
      <c r="F16" s="605" t="n"/>
      <c r="G16" s="605" t="n"/>
      <c r="H16" s="199" t="inlineStr">
        <is>
          <t>A3</t>
        </is>
      </c>
      <c r="I16" s="207" t="inlineStr">
        <is>
          <t>与未审数、审定数核对一致</t>
        </is>
      </c>
      <c r="J16" s="208" t="n"/>
      <c r="K16" s="205" t="n"/>
      <c r="L16" s="206" t="n"/>
      <c r="P16" s="51" t="n"/>
      <c r="Q16" s="52" t="n"/>
    </row>
    <row r="17" ht="15" customHeight="1">
      <c r="B17" s="460" t="inlineStr">
        <is>
          <t>计价/计量 (V/M)</t>
        </is>
      </c>
      <c r="C17" s="221" t="n"/>
      <c r="D17" s="609">
        <f>IF(C17="Minimal",$C$5*100%,IF(C17="Low",$C$5*75%,IF(C17="Moderate",$C$5*50%,IF(C17="High",$C$5*25%,IF(C17="N/A","-",)))))</f>
        <v/>
      </c>
      <c r="E17" s="611" t="n"/>
      <c r="F17" s="605" t="n"/>
      <c r="G17" s="605" t="n"/>
      <c r="H17" s="199" t="inlineStr">
        <is>
          <t>A5</t>
        </is>
      </c>
      <c r="I17" s="207" t="inlineStr">
        <is>
          <t>与审计调整核对一致</t>
        </is>
      </c>
      <c r="J17" s="209" t="n"/>
      <c r="K17" s="205" t="n"/>
      <c r="L17" s="206" t="n"/>
      <c r="P17" s="51" t="n"/>
      <c r="Q17" s="52" t="n"/>
    </row>
    <row r="18" ht="15" customHeight="1">
      <c r="B18" s="460" t="inlineStr">
        <is>
          <t>权利和义务 (R&amp;O)</t>
        </is>
      </c>
      <c r="C18" s="221" t="n"/>
      <c r="D18" s="609">
        <f>IF(C18="Minimal",$C$5*100%,IF(C18="Low",$C$5*75%,IF(C18="Moderate",$C$5*50%,IF(C18="High",$C$5*25%,IF(C18="N/A","-",)))))</f>
        <v/>
      </c>
      <c r="E18" s="611" t="n"/>
      <c r="F18" s="605" t="n"/>
      <c r="G18" s="605" t="n"/>
      <c r="H18" s="210" t="inlineStr">
        <is>
          <t>FS</t>
        </is>
      </c>
      <c r="I18" s="200" t="inlineStr">
        <is>
          <t>与FS.0x与财务报表核对无误</t>
        </is>
      </c>
      <c r="J18" s="211" t="n"/>
      <c r="K18" s="212" t="n"/>
      <c r="L18" s="213" t="n"/>
      <c r="P18" s="51" t="n"/>
      <c r="Q18" s="52" t="n"/>
    </row>
    <row r="19" ht="15" customHeight="1">
      <c r="B19" s="461" t="inlineStr">
        <is>
          <t>列报和披露 (P&amp;D)</t>
        </is>
      </c>
      <c r="C19" s="221" t="n"/>
      <c r="D19" s="609">
        <f>IF(C19="Minimal",$C$5*100%,IF(C19="Low",$C$5*75%,IF(C19="Moderate",$C$5*50%,IF(C19="High",$C$5*25%,IF(C19="N/A","-",)))))</f>
        <v/>
      </c>
      <c r="E19" s="612" t="n"/>
      <c r="F19" s="605" t="n"/>
      <c r="G19" s="605" t="n"/>
      <c r="H19" s="214" t="inlineStr">
        <is>
          <t>w</t>
        </is>
      </c>
      <c r="I19" s="200" t="inlineStr">
        <is>
          <t>低于SAD的金额——放弃进一步调查</t>
        </is>
      </c>
      <c r="J19" s="205" t="n"/>
      <c r="K19" s="205" t="n"/>
      <c r="L19" s="206" t="n"/>
      <c r="P19" s="51" t="n"/>
      <c r="Q19" s="52" t="n"/>
    </row>
    <row r="20" ht="15" customHeight="1">
      <c r="B20" s="525" t="inlineStr">
        <is>
          <t xml:space="preserve">1 各项认定的测试阈值，是根据EY GAM SUBSTANTIVE DESIGN 2.2.1 </t>
        </is>
      </c>
      <c r="C20" s="596" t="n"/>
      <c r="D20" s="596" t="n"/>
      <c r="E20" s="596" t="n"/>
      <c r="F20" s="123" t="n"/>
      <c r="G20" s="123" t="n"/>
      <c r="H20" s="199" t="inlineStr">
        <is>
          <t>Rx</t>
        </is>
      </c>
      <c r="I20" s="200" t="inlineStr">
        <is>
          <t>重新计算，无异常</t>
        </is>
      </c>
      <c r="J20" s="205" t="n"/>
      <c r="K20" s="205" t="n"/>
      <c r="L20" s="206" t="n"/>
      <c r="P20" s="51" t="n"/>
      <c r="Q20" s="52" t="n"/>
    </row>
    <row r="21" ht="18.75" customHeight="1">
      <c r="B21" s="264" t="inlineStr">
        <is>
          <t>中的示例测试阈值（用占TE的百分比表示）在相应风险等级（CRA）区间的上限计算得出的。</t>
        </is>
      </c>
      <c r="C21" s="526" t="n"/>
      <c r="D21" s="526" t="n"/>
      <c r="E21" s="526" t="n"/>
      <c r="F21" s="123" t="n"/>
      <c r="G21" s="123" t="n"/>
      <c r="H21" s="214" t="inlineStr">
        <is>
          <t>m</t>
        </is>
      </c>
      <c r="I21" s="200" t="inlineStr">
        <is>
          <t>余额/活动不符合测试范围–无需进一步调查</t>
        </is>
      </c>
      <c r="J21" s="205" t="n"/>
      <c r="K21" s="205" t="n"/>
      <c r="L21" s="206" t="n"/>
      <c r="P21" s="51" t="n"/>
      <c r="Q21" s="52" t="n"/>
    </row>
    <row r="22" ht="18.75" customHeight="1">
      <c r="B22" s="264" t="inlineStr">
        <is>
          <t>除负债/费用类别账户的完整性认定应当使用负债/费用账户表之外，其他类别账户和认定均可使用资产/收入账户表。</t>
        </is>
      </c>
      <c r="C22" s="526" t="n"/>
      <c r="D22" s="526" t="n"/>
      <c r="E22" s="526" t="n"/>
      <c r="F22" s="123" t="n"/>
      <c r="G22" s="123" t="n"/>
      <c r="H22" s="222" t="inlineStr">
        <is>
          <t>SL</t>
        </is>
      </c>
      <c r="I22" s="223" t="inlineStr">
        <is>
          <t>已与明细账核对无误</t>
        </is>
      </c>
      <c r="J22" s="215" t="n"/>
      <c r="K22" s="215" t="n"/>
      <c r="L22" s="216" t="n"/>
      <c r="P22" s="51" t="n"/>
      <c r="Q22" s="52" t="n"/>
    </row>
    <row r="23" ht="33" customHeight="1">
      <c r="B23" s="526" t="inlineStr">
        <is>
          <t>2 所有相关认定的测试阈值，是所有有效认定对应之测试阈值的最小值。我们在 Lead中使用该测试阈值：（a）作为选取总账账户进行测试的起点；（b）作为（需要进一步调查的）金额波动范围的起点。</t>
        </is>
      </c>
      <c r="F23" s="123" t="n"/>
      <c r="G23" s="123" t="n"/>
      <c r="P23" s="51" t="n"/>
      <c r="Q23" s="52" t="n"/>
    </row>
    <row r="24" ht="15" customHeight="1">
      <c r="P24" s="51" t="n"/>
      <c r="Q24" s="52" t="n"/>
    </row>
    <row r="25" ht="15" customFormat="1" customHeight="1" s="58">
      <c r="B25" s="55" t="inlineStr">
        <is>
          <t>以下描述我们对无形资产的预期，在此期间的相关账户余额和相关波动，以及我们这些预期的依据和理由。（请对无形资产L1.01.1 BKD中表1的变动项分别进行预期，如新增、处置、摊销方法、摊销年限、摊销费用、使用寿命变化等。）</t>
        </is>
      </c>
      <c r="C25" s="56" t="n"/>
      <c r="D25" s="56" t="n"/>
      <c r="E25" s="56" t="n"/>
      <c r="F25" s="56" t="n"/>
      <c r="G25" s="56" t="n"/>
      <c r="H25" s="56" t="n"/>
      <c r="I25" s="56" t="n"/>
      <c r="J25" s="56" t="n"/>
      <c r="K25" s="56" t="n"/>
      <c r="L25" s="56" t="n"/>
      <c r="M25" s="56" t="n"/>
      <c r="N25" s="57" t="n"/>
      <c r="O25" s="57" t="n"/>
      <c r="Q25" s="52" t="n"/>
    </row>
    <row r="26" ht="15" customHeight="1">
      <c r="B26" s="515" t="n"/>
      <c r="C26" s="613" t="n"/>
      <c r="D26" s="613" t="n"/>
      <c r="E26" s="613" t="n"/>
      <c r="F26" s="614" t="n"/>
      <c r="G26" s="122" t="n"/>
      <c r="H26" s="122" t="n"/>
      <c r="I26" s="122" t="n"/>
      <c r="J26" s="122" t="n"/>
      <c r="K26" s="122" t="n"/>
      <c r="P26" s="51" t="n"/>
      <c r="Q26" s="52" t="n"/>
    </row>
    <row r="27" ht="15" customHeight="1">
      <c r="B27" s="615" t="n"/>
      <c r="C27" s="616" t="n"/>
      <c r="D27" s="616" t="n"/>
      <c r="E27" s="616" t="n"/>
      <c r="F27" s="617" t="n"/>
      <c r="G27" s="122" t="n"/>
      <c r="H27" s="122" t="n"/>
      <c r="I27" s="122" t="n"/>
      <c r="J27" s="122" t="n"/>
      <c r="K27" s="122" t="n"/>
      <c r="P27" s="51" t="n"/>
      <c r="Q27" s="52" t="n"/>
    </row>
    <row r="28" ht="15" customHeight="1">
      <c r="B28" s="615" t="n"/>
      <c r="C28" s="616" t="n"/>
      <c r="D28" s="616" t="n"/>
      <c r="E28" s="616" t="n"/>
      <c r="F28" s="617" t="n"/>
      <c r="G28" s="122" t="n"/>
      <c r="H28" s="122" t="n"/>
      <c r="I28" s="122" t="n"/>
      <c r="J28" s="122" t="n"/>
      <c r="K28" s="122" t="n"/>
      <c r="P28" s="51" t="n"/>
      <c r="Q28" s="52" t="n"/>
    </row>
    <row r="29" ht="15" customHeight="1">
      <c r="B29" s="618" t="n"/>
      <c r="C29" s="619" t="n"/>
      <c r="D29" s="619" t="n"/>
      <c r="E29" s="619" t="n"/>
      <c r="F29" s="620" t="n"/>
      <c r="G29" s="122" t="n"/>
      <c r="H29" s="122" t="n"/>
      <c r="I29" s="122" t="n"/>
      <c r="J29" s="122" t="n"/>
      <c r="K29" s="122" t="n"/>
      <c r="P29" s="51" t="n"/>
      <c r="Q29" s="52" t="n"/>
    </row>
    <row r="30" ht="15" customHeight="1">
      <c r="D30" s="54" t="n"/>
      <c r="E30" s="54" t="n"/>
      <c r="F30" s="54" t="n"/>
      <c r="G30" s="54" t="n"/>
      <c r="H30" s="54" t="n"/>
      <c r="I30" s="54" t="n"/>
      <c r="J30" s="54" t="n"/>
      <c r="K30" s="54" t="n"/>
      <c r="L30" s="54" t="n"/>
      <c r="M30" s="135" t="n"/>
      <c r="N30" s="366" t="n"/>
      <c r="O30" s="366" t="n"/>
      <c r="P30" s="59" t="n"/>
      <c r="Q30" s="52" t="n"/>
      <c r="R30" s="60" t="n"/>
    </row>
    <row r="31" ht="15" customHeight="1">
      <c r="B31" s="174" t="inlineStr">
        <is>
          <t>波动范围</t>
        </is>
      </c>
      <c r="C31" s="175" t="n"/>
      <c r="D31" s="621" t="n"/>
      <c r="E31" s="24" t="n"/>
      <c r="F31" s="24" t="n"/>
      <c r="G31" s="24" t="n"/>
      <c r="H31" s="24" t="n"/>
      <c r="I31" s="24" t="n"/>
      <c r="J31" s="24" t="n"/>
      <c r="K31" s="24" t="n"/>
      <c r="L31" s="24" t="n"/>
      <c r="M31" s="24" t="n"/>
      <c r="N31" s="24" t="n"/>
      <c r="O31" s="24" t="n"/>
      <c r="P31" s="51" t="n"/>
      <c r="Q31" s="52" t="n"/>
      <c r="R31" s="60" t="n"/>
    </row>
    <row r="32" ht="15" customHeight="1">
      <c r="B32" s="156">
        <f>"波动幅度 ("&amp;C8&amp; "):"</f>
        <v/>
      </c>
      <c r="C32" s="622">
        <f>$E$15</f>
        <v/>
      </c>
      <c r="D32" s="25" t="n"/>
      <c r="P32" s="51" t="n"/>
      <c r="Q32" s="52" t="n"/>
      <c r="R32" s="60" t="n"/>
    </row>
    <row r="33" ht="15" customFormat="1" customHeight="1" s="62">
      <c r="B33" s="156" t="inlineStr">
        <is>
          <t>波动幅度(%):</t>
        </is>
      </c>
      <c r="C33" s="125" t="n">
        <v>0.1</v>
      </c>
      <c r="D33" s="63" t="n"/>
      <c r="Q33" s="64" t="n"/>
      <c r="R33" s="65" t="n"/>
    </row>
    <row r="34" ht="15" customFormat="1" customHeight="1" s="62">
      <c r="B34" s="124" t="n"/>
      <c r="C34" s="124" t="n"/>
      <c r="D34" s="63" t="n"/>
      <c r="Q34" s="64" t="n"/>
      <c r="R34" s="65" t="n"/>
    </row>
    <row r="35" ht="15" customFormat="1" customHeight="1" s="62">
      <c r="B35" s="367" t="inlineStr">
        <is>
          <t>我们获取或编制了与上期对比的重大账户（无形资产）引导表。我们将本期余额与试算平衡表核对一致，并将上期余额与上期审定数核对一致（如适用）。</t>
        </is>
      </c>
      <c r="C35" s="53" t="n"/>
      <c r="D35" s="53" t="n"/>
      <c r="Q35" s="64" t="n"/>
      <c r="R35" s="65" t="n"/>
    </row>
    <row r="36" ht="15" customFormat="1" customHeight="1" s="62">
      <c r="B36" s="367" t="inlineStr">
        <is>
          <t>我们将期末余额与上期余额进行对比。调查超出测试阈值（金额和百分比）的波动，以及代表异常或预期外变动或未发生预期中变动的波动，并确定其对我们计划实质性程序的影响（如有）。</t>
        </is>
      </c>
      <c r="C36" s="53" t="n"/>
      <c r="D36" s="53" t="n"/>
      <c r="Q36" s="64" t="n"/>
      <c r="R36" s="65" t="n"/>
    </row>
    <row r="37" ht="15" customHeight="1">
      <c r="K37" s="53" t="n"/>
      <c r="L37" s="53" t="n"/>
      <c r="M37" s="53" t="n"/>
      <c r="N37" s="53" t="n"/>
      <c r="O37" s="53" t="n"/>
      <c r="Q37" s="52" t="n"/>
    </row>
    <row r="38" ht="15" customHeight="1">
      <c r="B38" s="353" t="n"/>
      <c r="C38" s="353" t="n"/>
      <c r="D38" s="278" t="n"/>
      <c r="E38" s="278" t="inlineStr">
        <is>
          <t>|------- TB -------|</t>
        </is>
      </c>
      <c r="F38" s="278" t="n"/>
      <c r="G38" s="278" t="n"/>
      <c r="H38" s="278" t="n"/>
      <c r="I38" s="294" t="n"/>
      <c r="J38" s="355" t="inlineStr">
        <is>
          <t>|------- PY -------|</t>
        </is>
      </c>
      <c r="K38" s="352" t="n"/>
      <c r="L38" s="352" t="n"/>
      <c r="M38" s="352" t="n"/>
      <c r="N38" s="354" t="n"/>
      <c r="O38" s="354" t="n"/>
      <c r="Q38" s="52" t="n"/>
    </row>
    <row r="39" ht="15" customHeight="1">
      <c r="B39" s="294" t="n"/>
      <c r="C39" s="294" t="n"/>
      <c r="D39" s="294" t="n"/>
      <c r="E39" s="623">
        <f>"货币/单位: "&amp;C8</f>
        <v/>
      </c>
      <c r="F39" s="596" t="n"/>
      <c r="G39" s="596" t="n"/>
      <c r="H39" s="596" t="n"/>
      <c r="I39" s="596" t="n"/>
      <c r="J39" s="624" t="n"/>
      <c r="K39" s="355" t="n"/>
      <c r="L39" s="355" t="n"/>
      <c r="M39" s="356" t="n"/>
      <c r="N39" s="356" t="n"/>
      <c r="O39" s="357" t="n"/>
      <c r="Q39" s="52" t="n"/>
    </row>
    <row r="40" ht="15" customHeight="1">
      <c r="B40" s="368" t="n"/>
      <c r="C40" s="369" t="n"/>
      <c r="D40" s="369" t="n"/>
      <c r="E40" s="625">
        <f>C3</f>
        <v/>
      </c>
      <c r="F40" s="607" t="n"/>
      <c r="G40" s="607" t="n"/>
      <c r="H40" s="607" t="n"/>
      <c r="I40" s="608" t="n"/>
      <c r="J40" s="626">
        <f>DATE(YEAR($C$3)-1,12,31)</f>
        <v/>
      </c>
      <c r="K40" s="627" t="inlineStr">
        <is>
          <t>本期和上期期末余额</t>
        </is>
      </c>
      <c r="L40" s="628" t="n"/>
      <c r="M40" s="370" t="n"/>
      <c r="N40" s="629" t="inlineStr">
        <is>
          <t>基于波动幅度判断，是否进一步调查？</t>
        </is>
      </c>
      <c r="O40" s="630" t="inlineStr">
        <is>
          <t>基于定性考虑判断，是否进一步调查？</t>
        </is>
      </c>
      <c r="Q40" s="52" t="n"/>
    </row>
    <row r="41" ht="15" customHeight="1">
      <c r="B41" s="371" t="inlineStr">
        <is>
          <t>总账科目编码</t>
        </is>
      </c>
      <c r="C41" s="372" t="inlineStr">
        <is>
          <t>科目名称</t>
        </is>
      </c>
      <c r="D41" s="372" t="inlineStr">
        <is>
          <t>索引号</t>
        </is>
      </c>
      <c r="E41" s="359" t="inlineStr">
        <is>
          <t>期末账面数</t>
        </is>
      </c>
      <c r="F41" s="360" t="inlineStr">
        <is>
          <t>账表调整数</t>
        </is>
      </c>
      <c r="G41" s="360" t="inlineStr">
        <is>
          <t>期末未审数</t>
        </is>
      </c>
      <c r="H41" s="360" t="inlineStr">
        <is>
          <t>审计调整数</t>
        </is>
      </c>
      <c r="I41" s="359" t="inlineStr">
        <is>
          <t>期末审定数</t>
        </is>
      </c>
      <c r="J41" s="359" t="inlineStr">
        <is>
          <t>上期末审定数</t>
        </is>
      </c>
      <c r="K41" s="360" t="inlineStr">
        <is>
          <t>变动金额</t>
        </is>
      </c>
      <c r="L41" s="360" t="inlineStr">
        <is>
          <t>变动%</t>
        </is>
      </c>
      <c r="M41" s="373" t="inlineStr">
        <is>
          <t>Notes</t>
        </is>
      </c>
      <c r="N41" s="631" t="n"/>
      <c r="O41" s="632" t="n"/>
      <c r="Q41" s="52" t="n"/>
    </row>
    <row r="42" ht="15" customHeight="1">
      <c r="B42" s="466" t="inlineStr">
        <is>
          <t>1701</t>
        </is>
      </c>
      <c r="C42" s="376" t="inlineStr">
        <is>
          <t>无形资产</t>
        </is>
      </c>
      <c r="D42" s="70" t="inlineStr">
        <is>
          <t>L.01.1</t>
        </is>
      </c>
      <c r="E42" s="633">
        <f>'L1.01.1 Agree SL to GL'!T37</f>
        <v/>
      </c>
      <c r="F42" s="634" t="n"/>
      <c r="G42" s="633">
        <f>E42+F42</f>
        <v/>
      </c>
      <c r="H42" s="634" t="n"/>
      <c r="I42" s="633">
        <f>G42+H42</f>
        <v/>
      </c>
      <c r="J42" s="635" t="n">
        <v>14041923237.12</v>
      </c>
      <c r="K42" s="636">
        <f>I42-J42</f>
        <v/>
      </c>
      <c r="L42" s="390">
        <f>IF(J42&lt;&gt;0,K42/J42,1)</f>
        <v/>
      </c>
      <c r="M42" s="70" t="inlineStr">
        <is>
          <t>[A]</t>
        </is>
      </c>
      <c r="N42" s="637">
        <f>IF(AND(ABS(K42)&gt;=$C$32,ABS(L42)&gt;=$C$33),"是","否")</f>
        <v/>
      </c>
      <c r="O42" s="377" t="n"/>
      <c r="Q42" s="52" t="n"/>
    </row>
    <row r="43" ht="15" customHeight="1">
      <c r="B43" s="466" t="inlineStr">
        <is>
          <t>1702</t>
        </is>
      </c>
      <c r="C43" s="376" t="inlineStr">
        <is>
          <t>累计摊销</t>
        </is>
      </c>
      <c r="D43" s="70" t="inlineStr">
        <is>
          <t>L.01.1</t>
        </is>
      </c>
      <c r="E43" s="633">
        <f>'L1.01.1 Agree SL to GL'!T39</f>
        <v/>
      </c>
      <c r="F43" s="634" t="n"/>
      <c r="G43" s="633">
        <f>E43+F43</f>
        <v/>
      </c>
      <c r="H43" s="634" t="n"/>
      <c r="I43" s="633">
        <f>G43+H43</f>
        <v/>
      </c>
      <c r="J43" s="633" t="n">
        <v>9263266599.640011</v>
      </c>
      <c r="K43" s="636">
        <f>I43-J43</f>
        <v/>
      </c>
      <c r="L43" s="390">
        <f>IF(J43&lt;&gt;0,K43/J43,1)</f>
        <v/>
      </c>
      <c r="M43" s="70" t="n"/>
      <c r="N43" s="637">
        <f>IF(AND(ABS(K43)&gt;=$C$32,ABS(L43)&gt;=$C$33),"是","否")</f>
        <v/>
      </c>
      <c r="O43" s="377" t="n"/>
      <c r="Q43" s="52" t="n"/>
    </row>
    <row r="44" ht="15" customHeight="1">
      <c r="B44" s="466" t="inlineStr">
        <is>
          <t>1703</t>
        </is>
      </c>
      <c r="C44" s="376" t="inlineStr">
        <is>
          <t>减值准备</t>
        </is>
      </c>
      <c r="D44" s="70" t="inlineStr">
        <is>
          <t>L.01.1</t>
        </is>
      </c>
      <c r="E44" s="633">
        <f>'L1.01.1 Agree SL to GL'!T41</f>
        <v/>
      </c>
      <c r="F44" s="634" t="n"/>
      <c r="G44" s="633">
        <f>E44+F44</f>
        <v/>
      </c>
      <c r="H44" s="634" t="n"/>
      <c r="I44" s="633">
        <f>G44+H44</f>
        <v/>
      </c>
      <c r="J44" s="633" t="n">
        <v>2868414923.24</v>
      </c>
      <c r="K44" s="636">
        <f>I44-J44</f>
        <v/>
      </c>
      <c r="L44" s="390">
        <f>IF(J44&lt;&gt;0,K44/J44,1)</f>
        <v/>
      </c>
      <c r="M44" s="70" t="n"/>
      <c r="N44" s="637">
        <f>IF(AND(ABS(K44)&gt;=$C$32,ABS(L44)&gt;=$C$33),"是","否")</f>
        <v/>
      </c>
      <c r="O44" s="377" t="n"/>
      <c r="Q44" s="52" t="n"/>
    </row>
    <row r="45" ht="15" customHeight="1">
      <c r="B45" s="163" t="n"/>
      <c r="C45" s="266" t="n"/>
      <c r="D45" s="267" t="n"/>
      <c r="E45" s="638" t="n"/>
      <c r="F45" s="639" t="n"/>
      <c r="G45" s="638" t="n"/>
      <c r="H45" s="639" t="n"/>
      <c r="I45" s="638" t="n"/>
      <c r="J45" s="638" t="n"/>
      <c r="K45" s="640" t="n"/>
      <c r="L45" s="641" t="n"/>
      <c r="M45" s="70" t="n"/>
      <c r="N45" s="377" t="n"/>
      <c r="O45" s="377" t="n"/>
      <c r="Q45" s="52" t="n"/>
    </row>
    <row r="46" ht="15" customHeight="1" thickBot="1">
      <c r="C46" s="71" t="inlineStr">
        <is>
          <t>合计</t>
        </is>
      </c>
      <c r="D46" s="71" t="n"/>
      <c r="E46" s="642">
        <f>E42-E43-E44</f>
        <v/>
      </c>
      <c r="F46" s="642">
        <f>F42-F43-F44</f>
        <v/>
      </c>
      <c r="G46" s="642">
        <f>G42-G43-G44</f>
        <v/>
      </c>
      <c r="H46" s="642">
        <f>H42-H43-H44</f>
        <v/>
      </c>
      <c r="I46" s="642">
        <f>I42-I43-I44</f>
        <v/>
      </c>
      <c r="J46" s="642">
        <f>J42-J43-J44</f>
        <v/>
      </c>
      <c r="K46" s="642">
        <f>K42-K43-K44</f>
        <v/>
      </c>
      <c r="L46" s="391">
        <f>IF(J46&lt;&gt;0,K46/J46,1)</f>
        <v/>
      </c>
      <c r="M46" s="70" t="n"/>
      <c r="N46" s="637">
        <f>IF(AND(ABS(K46)&gt;=$C$32,ABS(L46)&gt;=$C$33),"是","否")</f>
        <v/>
      </c>
      <c r="O46" s="377" t="n"/>
      <c r="Q46" s="52" t="n"/>
    </row>
    <row r="47" ht="15" customHeight="1" thickTop="1">
      <c r="C47" s="71" t="n"/>
      <c r="D47" s="71" t="n"/>
      <c r="E47" s="643" t="n"/>
      <c r="F47" s="643" t="n"/>
      <c r="G47" s="643" t="n"/>
      <c r="H47" s="643" t="n"/>
      <c r="I47" s="643" t="n"/>
      <c r="J47" s="643" t="n"/>
      <c r="K47" s="643" t="n"/>
      <c r="L47" s="644" t="n"/>
      <c r="M47" s="70" t="n"/>
      <c r="N47" s="270" t="n"/>
      <c r="O47" s="375" t="n"/>
      <c r="Q47" s="52" t="n"/>
    </row>
    <row r="48" ht="15" customHeight="1">
      <c r="C48" s="21" t="inlineStr">
        <is>
          <t>check with A3</t>
        </is>
      </c>
      <c r="D48" s="71" t="n"/>
      <c r="E48" s="47" t="n"/>
      <c r="F48" s="645" t="n"/>
      <c r="G48" s="635" t="n"/>
      <c r="H48" s="645" t="n"/>
      <c r="I48" s="635" t="n"/>
      <c r="J48" s="635" t="n"/>
      <c r="K48" s="645" t="n"/>
      <c r="L48" s="644" t="n"/>
      <c r="M48" s="70" t="n"/>
      <c r="Q48" s="52" t="n"/>
    </row>
    <row r="49" ht="15" customFormat="1" customHeight="1" s="62">
      <c r="A49" s="51" t="n"/>
      <c r="C49" s="21" t="inlineStr">
        <is>
          <t>Diff</t>
        </is>
      </c>
      <c r="D49" s="72" t="n"/>
      <c r="E49" s="47" t="n"/>
      <c r="F49" s="646" t="n"/>
      <c r="G49" s="647">
        <f>G48-G46</f>
        <v/>
      </c>
      <c r="H49" s="646" t="n"/>
      <c r="I49" s="647">
        <f>I48-I46</f>
        <v/>
      </c>
      <c r="J49" s="647">
        <f>J48-J46</f>
        <v/>
      </c>
      <c r="K49" s="648" t="n"/>
      <c r="L49" s="72" t="n"/>
      <c r="M49" s="73" t="n"/>
      <c r="N49" s="73" t="n"/>
      <c r="O49" s="73" t="n"/>
      <c r="Q49" s="64" t="n"/>
    </row>
    <row r="50" ht="15" customFormat="1" customHeight="1" s="62">
      <c r="A50" s="51" t="n"/>
      <c r="C50" s="21" t="n"/>
      <c r="D50" s="72" t="n"/>
      <c r="E50" s="47" t="n"/>
      <c r="F50" s="646" t="n"/>
      <c r="G50" s="649" t="n"/>
      <c r="H50" s="646" t="n"/>
      <c r="I50" s="649" t="n"/>
      <c r="J50" s="649" t="n"/>
      <c r="K50" s="648" t="n"/>
      <c r="L50" s="72" t="n"/>
      <c r="M50" s="73" t="n"/>
      <c r="N50" s="73" t="n"/>
      <c r="O50" s="73" t="n"/>
      <c r="Q50" s="64" t="n"/>
    </row>
    <row r="51" ht="15" customFormat="1" customHeight="1" s="62">
      <c r="A51" s="51" t="n"/>
      <c r="B51" s="43" t="inlineStr">
        <is>
          <t>波动说明</t>
        </is>
      </c>
      <c r="C51" s="353" t="n"/>
      <c r="D51" s="353" t="n"/>
      <c r="E51" s="353" t="n"/>
      <c r="F51" s="353" t="n"/>
      <c r="K51" s="72" t="n"/>
      <c r="L51" s="72" t="n"/>
      <c r="M51" s="72" t="n"/>
      <c r="N51" s="73" t="n"/>
      <c r="O51" s="73" t="n"/>
      <c r="Q51" s="64" t="n"/>
    </row>
    <row r="52" ht="15" customHeight="1">
      <c r="B52" s="650" t="inlineStr">
        <is>
          <t>[A]</t>
        </is>
      </c>
      <c r="C52" s="596" t="n"/>
      <c r="D52" s="596" t="n"/>
      <c r="E52" s="596" t="n"/>
      <c r="F52" s="624" t="n"/>
      <c r="M52" s="651" t="n"/>
      <c r="N52" s="75" t="n"/>
      <c r="O52" s="75" t="n"/>
      <c r="P52" s="75" t="n"/>
      <c r="Q52" s="52" t="n"/>
      <c r="R52" s="60" t="n"/>
    </row>
    <row r="53" ht="15" customHeight="1">
      <c r="B53" s="652" t="n"/>
      <c r="F53" s="653" t="n"/>
      <c r="M53" s="651" t="n"/>
      <c r="N53" s="75" t="n"/>
      <c r="O53" s="75" t="n"/>
      <c r="P53" s="75" t="n"/>
      <c r="Q53" s="52" t="n"/>
      <c r="R53" s="60" t="n"/>
    </row>
    <row r="54" ht="15" customHeight="1">
      <c r="B54" s="652" t="n"/>
      <c r="F54" s="653" t="n"/>
      <c r="M54" s="651" t="n"/>
      <c r="N54" s="75" t="n"/>
      <c r="O54" s="75" t="n"/>
      <c r="P54" s="75" t="n"/>
      <c r="Q54" s="52" t="n"/>
      <c r="R54" s="60" t="n"/>
    </row>
    <row r="55" ht="15" customHeight="1">
      <c r="B55" s="654" t="n"/>
      <c r="C55" s="655" t="n"/>
      <c r="D55" s="655" t="n"/>
      <c r="E55" s="655" t="n"/>
      <c r="F55" s="656" t="n"/>
      <c r="M55" s="651" t="n"/>
      <c r="N55" s="75" t="n"/>
      <c r="O55" s="75" t="n"/>
      <c r="P55" s="75" t="n"/>
      <c r="Q55" s="52" t="n"/>
      <c r="R55" s="60" t="n"/>
    </row>
    <row r="56" ht="15" customHeight="1">
      <c r="B56" s="577" t="n"/>
      <c r="C56" s="577" t="n"/>
      <c r="D56" s="577" t="n"/>
      <c r="E56" s="577" t="n"/>
      <c r="F56" s="577" t="n"/>
      <c r="M56" s="651" t="n"/>
      <c r="N56" s="75" t="n"/>
      <c r="O56" s="75" t="n"/>
      <c r="P56" s="75" t="n"/>
      <c r="Q56" s="52" t="n"/>
      <c r="R56" s="60" t="n"/>
    </row>
    <row r="57" ht="15" customHeight="1">
      <c r="B57" s="275" t="inlineStr">
        <is>
          <t>调整汇总表（如不适用请删除）</t>
        </is>
      </c>
      <c r="C57" s="43" t="n"/>
      <c r="D57" s="276" t="n"/>
      <c r="E57" s="276" t="n"/>
      <c r="F57" s="577" t="n"/>
      <c r="M57" s="651" t="n"/>
      <c r="N57" s="75" t="n"/>
      <c r="O57" s="75" t="n"/>
      <c r="P57" s="75" t="n"/>
      <c r="Q57" s="52" t="n"/>
      <c r="R57" s="60" t="n"/>
    </row>
    <row r="58" ht="15" customHeight="1">
      <c r="B58" s="277" t="inlineStr">
        <is>
          <t>调整类型</t>
        </is>
      </c>
      <c r="C58" s="278" t="n"/>
      <c r="D58" s="278" t="n"/>
      <c r="E58" s="279" t="n"/>
      <c r="F58" s="279" t="n"/>
      <c r="M58" s="651" t="n"/>
      <c r="N58" s="75" t="n"/>
      <c r="O58" s="75" t="n"/>
      <c r="P58" s="75" t="n"/>
      <c r="Q58" s="52" t="n"/>
      <c r="R58" s="60" t="n"/>
    </row>
    <row r="59" ht="15" customHeight="1">
      <c r="B59" s="470" t="n"/>
      <c r="C59" s="280" t="n"/>
      <c r="D59" s="280" t="n"/>
      <c r="E59" s="471" t="n"/>
      <c r="F59" s="472" t="n"/>
      <c r="M59" s="651" t="n"/>
      <c r="N59" s="75" t="n"/>
      <c r="O59" s="75" t="n"/>
      <c r="P59" s="75" t="n"/>
      <c r="Q59" s="52" t="n"/>
      <c r="R59" s="60" t="n"/>
    </row>
    <row r="60" ht="15" customHeight="1">
      <c r="B60" s="473" t="n"/>
      <c r="C60" s="467" t="n"/>
      <c r="D60" s="467" t="n"/>
      <c r="E60" s="277" t="n"/>
      <c r="F60" s="474" t="n"/>
      <c r="M60" s="651" t="n"/>
      <c r="N60" s="75" t="n"/>
      <c r="O60" s="75" t="n"/>
      <c r="P60" s="75" t="n"/>
      <c r="Q60" s="52" t="n"/>
      <c r="R60" s="60" t="n"/>
    </row>
    <row r="61" ht="15" customHeight="1">
      <c r="B61" s="473" t="n"/>
      <c r="C61" s="467" t="n"/>
      <c r="D61" s="467" t="n"/>
      <c r="E61" s="277" t="n"/>
      <c r="F61" s="474" t="n"/>
      <c r="M61" s="651" t="n"/>
      <c r="N61" s="75" t="n"/>
      <c r="O61" s="75" t="n"/>
      <c r="P61" s="75" t="n"/>
      <c r="Q61" s="52" t="n"/>
      <c r="R61" s="60" t="n"/>
    </row>
    <row r="62" ht="15" customHeight="1">
      <c r="B62" s="475" t="n"/>
      <c r="C62" s="468" t="n"/>
      <c r="D62" s="468" t="n"/>
      <c r="E62" s="468" t="n"/>
      <c r="F62" s="469" t="n"/>
      <c r="M62" s="651" t="n"/>
      <c r="N62" s="75" t="n"/>
      <c r="O62" s="75" t="n"/>
      <c r="P62" s="75" t="n"/>
      <c r="Q62" s="52" t="n"/>
      <c r="R62" s="60" t="n"/>
    </row>
    <row r="63" ht="15" customHeight="1">
      <c r="B63" s="577" t="n"/>
      <c r="C63" s="577" t="n"/>
      <c r="D63" s="577" t="n"/>
      <c r="E63" s="577" t="n"/>
      <c r="F63" s="577" t="n"/>
      <c r="M63" s="651" t="n"/>
      <c r="N63" s="75" t="n"/>
      <c r="O63" s="75" t="n"/>
      <c r="P63" s="75" t="n"/>
      <c r="Q63" s="52" t="n"/>
      <c r="R63" s="60" t="n"/>
    </row>
    <row r="64" ht="7.5" customHeight="1">
      <c r="A64" s="52" t="n"/>
      <c r="B64" s="52" t="n"/>
      <c r="C64" s="52" t="n"/>
      <c r="D64" s="52" t="n"/>
      <c r="E64" s="52" t="n"/>
      <c r="F64" s="52" t="n"/>
      <c r="G64" s="52" t="n"/>
      <c r="H64" s="52" t="n"/>
      <c r="I64" s="52" t="n"/>
      <c r="J64" s="52" t="n"/>
      <c r="K64" s="52" t="n"/>
      <c r="L64" s="657" t="n"/>
      <c r="M64" s="77" t="n"/>
      <c r="N64" s="77" t="n"/>
      <c r="O64" s="77" t="n"/>
      <c r="P64" s="52" t="n"/>
      <c r="Q64" s="52" t="n"/>
    </row>
    <row r="65" ht="15" customHeight="1">
      <c r="L65" s="651" t="n"/>
      <c r="M65" s="75" t="n"/>
      <c r="N65" s="75" t="n"/>
      <c r="O65" s="75" t="n"/>
    </row>
    <row r="66" ht="15" customHeight="1">
      <c r="L66" s="651" t="n"/>
      <c r="M66" s="75" t="n"/>
      <c r="N66" s="75" t="n"/>
      <c r="O66" s="75" t="n"/>
    </row>
    <row r="67" ht="15" customHeight="1">
      <c r="P67" s="51" t="n"/>
    </row>
    <row r="68" ht="15" customHeight="1">
      <c r="P68" s="51" t="n"/>
    </row>
    <row r="69" ht="15" customHeight="1">
      <c r="P69" s="51" t="n"/>
    </row>
    <row r="70" ht="15" customHeight="1">
      <c r="P70" s="51" t="n"/>
    </row>
    <row r="71" ht="15" customHeight="1">
      <c r="P71" s="51" t="n"/>
    </row>
    <row r="72" ht="15" customHeight="1">
      <c r="P72" s="51" t="n"/>
    </row>
    <row r="73" ht="15" customHeight="1">
      <c r="P73" s="51" t="n"/>
    </row>
    <row r="74" ht="15" customHeight="1">
      <c r="P74" s="51" t="n"/>
    </row>
    <row r="75" ht="15" customHeight="1">
      <c r="P75" s="51" t="n"/>
    </row>
    <row r="76" ht="15" customHeight="1">
      <c r="P76" s="51" t="n"/>
    </row>
    <row r="77" ht="15" customHeight="1">
      <c r="P77" s="51" t="n"/>
    </row>
    <row r="78" ht="15" customHeight="1">
      <c r="P78" s="51" t="n"/>
    </row>
    <row r="79" ht="15" customHeight="1">
      <c r="P79" s="51" t="n"/>
    </row>
    <row r="80" ht="15" customHeight="1">
      <c r="P80" s="51" t="n"/>
    </row>
    <row r="81" ht="15" customHeight="1">
      <c r="P81" s="51" t="n"/>
    </row>
    <row r="82" ht="15" customHeight="1">
      <c r="P82" s="51" t="n"/>
    </row>
    <row r="83" ht="15" customHeight="1">
      <c r="P83" s="51" t="n"/>
    </row>
    <row r="84" ht="15" customHeight="1">
      <c r="P84" s="51" t="n"/>
    </row>
    <row r="85" ht="15" customHeight="1">
      <c r="P85" s="51" t="n"/>
    </row>
    <row r="86" ht="15" customHeight="1">
      <c r="P86" s="51" t="n"/>
    </row>
    <row r="87" ht="15" customHeight="1">
      <c r="P87" s="51" t="n"/>
    </row>
    <row r="88" ht="15" customHeight="1">
      <c r="P88" s="51" t="n"/>
    </row>
    <row r="89" ht="15" customHeight="1">
      <c r="P89" s="51" t="n"/>
    </row>
    <row r="90" ht="15" customHeight="1">
      <c r="P90" s="51" t="n"/>
    </row>
    <row r="91" ht="15" customHeight="1">
      <c r="P91" s="51" t="n"/>
    </row>
    <row r="92" ht="15" customHeight="1">
      <c r="P92" s="51" t="n"/>
    </row>
    <row r="93" ht="15" customHeight="1">
      <c r="P93" s="51" t="n"/>
    </row>
    <row r="94" ht="15" customHeight="1">
      <c r="P94" s="51" t="n"/>
    </row>
    <row r="95" ht="15" customHeight="1">
      <c r="P95" s="51" t="n"/>
    </row>
    <row r="96" ht="15" customHeight="1">
      <c r="P96" s="51" t="n"/>
    </row>
  </sheetData>
  <mergeCells count="11">
    <mergeCell ref="B23:E23"/>
    <mergeCell ref="B26:F29"/>
    <mergeCell ref="N40:N41"/>
    <mergeCell ref="D2:O8"/>
    <mergeCell ref="K40:L40"/>
    <mergeCell ref="E39:J39"/>
    <mergeCell ref="B20:E20"/>
    <mergeCell ref="B52:F55"/>
    <mergeCell ref="O40:O41"/>
    <mergeCell ref="E40:I40"/>
    <mergeCell ref="H13:L13"/>
  </mergeCells>
  <conditionalFormatting sqref="B26 B42:E44">
    <cfRule type="containsBlanks" priority="20" dxfId="0">
      <formula>LEN(TRIM(B26))=0</formula>
    </cfRule>
  </conditionalFormatting>
  <conditionalFormatting sqref="B52:F55">
    <cfRule type="containsBlanks" priority="1" dxfId="0">
      <formula>LEN(TRIM(B52))=0</formula>
    </cfRule>
  </conditionalFormatting>
  <conditionalFormatting sqref="B59:F59 B60:B62 C60:F60">
    <cfRule type="containsBlanks" priority="3" dxfId="0">
      <formula>LEN(TRIM(B59))=0</formula>
    </cfRule>
  </conditionalFormatting>
  <conditionalFormatting sqref="C2:C8">
    <cfRule type="containsBlanks" priority="18" dxfId="0">
      <formula>LEN(TRIM(C2))=0</formula>
    </cfRule>
  </conditionalFormatting>
  <conditionalFormatting sqref="C15:C19">
    <cfRule type="containsBlanks" priority="19" dxfId="0">
      <formula>LEN(TRIM(C15))=0</formula>
    </cfRule>
  </conditionalFormatting>
  <conditionalFormatting sqref="C33">
    <cfRule type="containsBlanks" priority="4" dxfId="0">
      <formula>LEN(TRIM(C33))=0</formula>
    </cfRule>
  </conditionalFormatting>
  <conditionalFormatting sqref="C61:F62">
    <cfRule type="containsBlanks" priority="2" dxfId="20">
      <formula>LEN(TRIM(C61))=0</formula>
    </cfRule>
  </conditionalFormatting>
  <conditionalFormatting sqref="G42:G44">
    <cfRule type="containsBlanks" priority="24" dxfId="0">
      <formula>LEN(TRIM(G42))=0</formula>
    </cfRule>
  </conditionalFormatting>
  <conditionalFormatting sqref="G48">
    <cfRule type="containsBlanks" priority="23" dxfId="0">
      <formula>LEN(TRIM(G48))=0</formula>
    </cfRule>
  </conditionalFormatting>
  <conditionalFormatting sqref="I42:J44">
    <cfRule type="containsBlanks" priority="6" dxfId="0">
      <formula>LEN(TRIM(I42))=0</formula>
    </cfRule>
  </conditionalFormatting>
  <conditionalFormatting sqref="I48:J48">
    <cfRule type="containsBlanks" priority="7" dxfId="0">
      <formula>LEN(TRIM(I48))=0</formula>
    </cfRule>
  </conditionalFormatting>
  <conditionalFormatting sqref="O42:O44 O46">
    <cfRule type="containsBlanks" priority="25" dxfId="0">
      <formula>LEN(TRIM(O42))=0</formula>
    </cfRule>
  </conditionalFormatting>
  <dataValidations count="4">
    <dataValidation sqref="C15:C19" showDropDown="0" showInputMessage="1" showErrorMessage="1" allowBlank="1" type="list">
      <formula1>"Minimal,Low,Moderate,High,N/A"</formula1>
    </dataValidation>
    <dataValidation sqref="O45" showDropDown="0" showInputMessage="1" showErrorMessage="1" allowBlank="1" type="list">
      <formula1>"是,否"</formula1>
    </dataValidation>
    <dataValidation sqref="B59:B62" showDropDown="0" showInputMessage="1" showErrorMessage="0" allowBlank="1" type="list">
      <formula1>"管理层账表调整(CLA),已更正审计调整(AA/RA/OA),未更正审计调整(SAD)"</formula1>
    </dataValidation>
    <dataValidation sqref="O42:O44 O46" showDropDown="0" showInputMessage="1" showErrorMessage="0" allowBlank="1" type="list">
      <formula1>"是,否"</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2" fitToHeight="0" horizontalDpi="300"/>
  <headerFooter>
    <oddHeader/>
    <oddFooter>&amp;LK SWP PPE_x000a_(24 June 2025)</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G134"/>
  <sheetViews>
    <sheetView showGridLines="0" zoomScale="70" zoomScaleNormal="70" workbookViewId="0">
      <selection activeCell="AB40" sqref="AB40"/>
    </sheetView>
  </sheetViews>
  <sheetFormatPr baseColWidth="8" defaultColWidth="8.77734375" defaultRowHeight="12.75" customHeight="1"/>
  <cols>
    <col width="2.6640625" customWidth="1" style="5" min="1" max="1"/>
    <col width="10.77734375" customWidth="1" style="1" min="2" max="2"/>
    <col width="18.77734375" customWidth="1" style="1" min="3" max="3"/>
    <col width="11.6640625" bestFit="1" customWidth="1" style="1" min="4" max="4"/>
    <col width="13.33203125" customWidth="1" style="1" min="5" max="5"/>
    <col width="16.77734375" customWidth="1" style="1" min="6" max="6"/>
    <col width="16.88671875" customWidth="1" style="1" min="7" max="7"/>
    <col width="12.88671875" customWidth="1" style="1" min="8" max="8"/>
    <col width="17.109375" customWidth="1" style="1" min="9" max="9"/>
    <col width="14.109375" customWidth="1" style="1" min="10" max="10"/>
    <col width="14.21875" customWidth="1" style="1" min="11" max="11"/>
    <col width="15" customWidth="1" style="1" min="12" max="12"/>
    <col width="15.88671875" customWidth="1" style="1" min="13" max="13"/>
    <col width="13.88671875" customWidth="1" style="1" min="14" max="14"/>
    <col width="15.88671875" customWidth="1" style="1" min="15" max="15"/>
    <col width="15.109375" customWidth="1" style="1" min="16" max="16"/>
    <col width="14" customWidth="1" style="1" min="17" max="17"/>
    <col width="15.33203125" customWidth="1" style="1" min="18" max="18"/>
    <col width="16.21875" customWidth="1" style="1" min="19" max="19"/>
    <col width="12.77734375" customWidth="1" style="1" min="20" max="20"/>
    <col width="17.21875" customWidth="1" style="1" min="21" max="21"/>
    <col width="12.77734375" customWidth="1" style="1" min="22" max="23"/>
    <col width="2.6640625" customWidth="1" style="1" min="24" max="24"/>
    <col width="1.6640625" customWidth="1" style="2" min="25" max="25"/>
    <col width="12.77734375" customWidth="1" style="281" min="26" max="26"/>
    <col width="12.77734375" customWidth="1" style="1" min="27" max="31"/>
    <col width="8.77734375" customWidth="1" style="1" min="32" max="80"/>
    <col width="13.109375" customWidth="1" style="3" min="81" max="81"/>
    <col width="7.33203125" customWidth="1" style="3" min="82" max="82"/>
    <col width="8.77734375" customWidth="1" style="3" min="83" max="92"/>
    <col width="14.33203125" customWidth="1" style="3" min="93" max="93"/>
    <col width="8.77734375" customWidth="1" style="3" min="94" max="99"/>
    <col width="10.33203125" customWidth="1" style="3" min="100" max="100"/>
    <col width="8.77734375" customWidth="1" style="3" min="101" max="104"/>
    <col width="10.109375" customWidth="1" style="3" min="105" max="105"/>
    <col width="12.33203125" customWidth="1" style="3" min="106" max="106"/>
    <col width="8.77734375" customWidth="1" style="22" min="107" max="107"/>
    <col width="8.77734375" customWidth="1" style="3" min="108" max="108"/>
    <col width="8.77734375" customWidth="1" style="23" min="109" max="109"/>
    <col width="8.77734375" customWidth="1" style="1" min="110" max="16384"/>
  </cols>
  <sheetData>
    <row r="1" ht="50.1" customFormat="1" customHeight="1" s="20">
      <c r="A1" s="136" t="n"/>
      <c r="B1" s="658" t="inlineStr">
        <is>
          <t>标准工作底稿: L1 SWP 无形资产</t>
        </is>
      </c>
      <c r="W1" s="659" t="n"/>
      <c r="Y1" s="52" t="n"/>
      <c r="Z1" s="138" t="n"/>
      <c r="AA1" s="137" t="n"/>
      <c r="CE1" s="138" t="n"/>
      <c r="CF1" s="138" t="n"/>
      <c r="CG1" s="138" t="n"/>
      <c r="CH1" s="139" t="n"/>
      <c r="CI1" s="139" t="n"/>
      <c r="CJ1" s="139" t="n"/>
      <c r="CK1" s="139" t="n"/>
      <c r="CL1" s="139" t="n"/>
      <c r="CM1" s="139" t="n"/>
      <c r="CN1" s="139" t="n"/>
      <c r="CO1" s="139" t="n"/>
      <c r="CP1" s="138" t="n"/>
      <c r="CQ1" s="139" t="n"/>
      <c r="CR1" s="139" t="n"/>
      <c r="CS1" s="139" t="n"/>
      <c r="CT1" s="139" t="n"/>
      <c r="CU1" s="139" t="n"/>
      <c r="CV1" s="138" t="n"/>
      <c r="CW1" s="138" t="n"/>
      <c r="CX1" s="138" t="n"/>
      <c r="CY1" s="138" t="n"/>
      <c r="CZ1" s="138" t="n"/>
      <c r="DA1" s="138" t="n"/>
      <c r="DB1" s="138" t="n"/>
      <c r="DC1" s="138" t="n"/>
      <c r="DD1" s="138" t="n"/>
      <c r="DE1" s="140" t="n"/>
      <c r="DF1" s="138" t="n"/>
      <c r="DG1" s="138" t="n"/>
    </row>
    <row r="2" ht="30" customFormat="1" customHeight="1" s="258">
      <c r="A2" s="252" t="n"/>
      <c r="B2" s="253" t="inlineStr">
        <is>
          <t>L1.01.1 明细账与总账核对一致</t>
        </is>
      </c>
      <c r="C2" s="254" t="n"/>
      <c r="D2" s="255" t="n"/>
      <c r="E2" s="256" t="n"/>
      <c r="F2" s="255" t="n"/>
      <c r="G2" s="256" t="n"/>
      <c r="H2" s="255" t="n"/>
      <c r="I2" s="256" t="n"/>
      <c r="J2" s="255" t="n"/>
      <c r="K2" s="256" t="n"/>
      <c r="L2" s="255" t="n"/>
      <c r="M2" s="256" t="n"/>
      <c r="N2" s="255" t="n"/>
      <c r="O2" s="256" t="n"/>
      <c r="P2" s="255" t="n"/>
      <c r="Q2" s="256" t="n"/>
      <c r="R2" s="255" t="n"/>
      <c r="S2" s="256" t="n"/>
      <c r="T2" s="255" t="n"/>
      <c r="U2" s="255" t="n"/>
      <c r="V2" s="255" t="n"/>
      <c r="W2" s="257" t="n"/>
      <c r="Y2" s="250" t="n"/>
      <c r="Z2" s="231" t="n"/>
      <c r="AA2" s="259" t="n"/>
      <c r="CE2" s="231" t="n"/>
      <c r="CF2" s="231" t="n"/>
      <c r="CG2" s="231" t="n"/>
      <c r="CH2" s="260" t="n"/>
      <c r="CI2" s="260" t="n"/>
      <c r="CJ2" s="260" t="n"/>
      <c r="CK2" s="260" t="n"/>
      <c r="CL2" s="260" t="n"/>
      <c r="CM2" s="260" t="n"/>
      <c r="CN2" s="260" t="n"/>
      <c r="CO2" s="260" t="n"/>
      <c r="CP2" s="231" t="n"/>
      <c r="CQ2" s="260" t="n"/>
      <c r="CR2" s="260" t="n"/>
      <c r="CS2" s="260" t="n"/>
      <c r="CT2" s="260" t="n"/>
      <c r="CU2" s="260" t="n"/>
      <c r="CV2" s="231" t="n"/>
      <c r="CW2" s="231" t="n"/>
      <c r="CX2" s="231" t="n"/>
      <c r="CY2" s="231" t="n"/>
      <c r="CZ2" s="231" t="n"/>
      <c r="DA2" s="231" t="n"/>
      <c r="DB2" s="231" t="n"/>
      <c r="DC2" s="231" t="n"/>
      <c r="DD2" s="231" t="n"/>
      <c r="DE2" s="261" t="n"/>
      <c r="DF2" s="231" t="n"/>
      <c r="DG2" s="231" t="n"/>
    </row>
    <row r="3" ht="12" customFormat="1" customHeight="1" s="20">
      <c r="A3" s="5" t="n"/>
      <c r="B3" s="6" t="n"/>
      <c r="Y3" s="52" t="n"/>
      <c r="Z3" s="138" t="n"/>
      <c r="AA3" s="137" t="n"/>
      <c r="CE3" s="138" t="n"/>
      <c r="CF3" s="138" t="n"/>
      <c r="CG3" s="138" t="n"/>
      <c r="CH3" s="139" t="n"/>
      <c r="CI3" s="139" t="n"/>
      <c r="CJ3" s="139" t="n"/>
      <c r="CK3" s="139" t="n"/>
      <c r="CL3" s="139" t="n"/>
      <c r="CM3" s="139" t="n"/>
      <c r="CN3" s="139" t="n"/>
      <c r="CO3" s="139" t="n"/>
      <c r="CP3" s="138" t="n"/>
      <c r="CQ3" s="139" t="n"/>
      <c r="CR3" s="139" t="n"/>
      <c r="CS3" s="139" t="n"/>
      <c r="CT3" s="139" t="n"/>
      <c r="CU3" s="139" t="n"/>
      <c r="CV3" s="138" t="n"/>
      <c r="CW3" s="138" t="n"/>
      <c r="CX3" s="138" t="n"/>
      <c r="CY3" s="138" t="n"/>
      <c r="CZ3" s="138" t="n"/>
      <c r="DA3" s="138" t="n"/>
      <c r="DB3" s="138" t="n"/>
      <c r="DC3" s="138" t="n"/>
      <c r="DD3" s="138" t="n"/>
      <c r="DE3" s="140" t="n"/>
      <c r="DF3" s="138" t="n"/>
      <c r="DG3" s="138" t="n"/>
    </row>
    <row r="4" ht="12" customFormat="1" customHeight="1" s="20">
      <c r="A4" s="5" t="n"/>
      <c r="B4" s="395" t="inlineStr">
        <is>
          <t>返回汇总页</t>
        </is>
      </c>
      <c r="Y4" s="52" t="n"/>
      <c r="Z4" s="138" t="n"/>
      <c r="AA4" s="137" t="n"/>
      <c r="CE4" s="138" t="n"/>
      <c r="CF4" s="138" t="n"/>
      <c r="CG4" s="138" t="n"/>
      <c r="CH4" s="139" t="n"/>
      <c r="CI4" s="139" t="n"/>
      <c r="CJ4" s="139" t="n"/>
      <c r="CK4" s="139" t="n"/>
      <c r="CL4" s="139" t="n"/>
      <c r="CM4" s="139" t="n"/>
      <c r="CN4" s="139" t="n"/>
      <c r="CO4" s="139" t="n"/>
      <c r="CP4" s="138" t="n"/>
      <c r="CQ4" s="139" t="n"/>
      <c r="CR4" s="139" t="n"/>
      <c r="CS4" s="139" t="n"/>
      <c r="CT4" s="139" t="n"/>
      <c r="CU4" s="139" t="n"/>
      <c r="CV4" s="138" t="n"/>
      <c r="CW4" s="138" t="n"/>
      <c r="CX4" s="138" t="n"/>
      <c r="CY4" s="138" t="n"/>
      <c r="CZ4" s="138" t="n"/>
      <c r="DA4" s="138" t="n"/>
      <c r="DB4" s="138" t="n"/>
      <c r="DC4" s="138" t="n"/>
      <c r="DD4" s="138" t="n"/>
      <c r="DE4" s="140" t="n"/>
      <c r="DF4" s="138" t="n"/>
      <c r="DG4" s="138" t="n"/>
    </row>
    <row r="5" ht="12" customFormat="1" customHeight="1" s="20">
      <c r="A5" s="5" t="n"/>
      <c r="Y5" s="52" t="n"/>
      <c r="Z5" s="138" t="n"/>
      <c r="AA5" s="137" t="n"/>
      <c r="CE5" s="138" t="n"/>
      <c r="CF5" s="138" t="n"/>
      <c r="CG5" s="138" t="n"/>
      <c r="CH5" s="139" t="n"/>
      <c r="CI5" s="139" t="n"/>
      <c r="CJ5" s="139" t="n"/>
      <c r="CK5" s="139" t="n"/>
      <c r="CL5" s="139" t="n"/>
      <c r="CM5" s="139" t="n"/>
      <c r="CN5" s="139" t="n"/>
      <c r="CO5" s="139" t="n"/>
      <c r="CP5" s="138" t="n"/>
      <c r="CQ5" s="139" t="n"/>
      <c r="CR5" s="139" t="n"/>
      <c r="CS5" s="139" t="n"/>
      <c r="CT5" s="139" t="n"/>
      <c r="CU5" s="139" t="n"/>
      <c r="CV5" s="138" t="n"/>
      <c r="CW5" s="138" t="n"/>
      <c r="CX5" s="138" t="n"/>
      <c r="CY5" s="138" t="n"/>
      <c r="CZ5" s="138" t="n"/>
      <c r="DA5" s="138" t="n"/>
      <c r="DB5" s="138" t="n"/>
      <c r="DC5" s="138" t="n"/>
      <c r="DD5" s="138" t="n"/>
      <c r="DE5" s="140" t="n"/>
      <c r="DF5" s="138" t="n"/>
      <c r="DG5" s="138" t="n"/>
    </row>
    <row r="6" ht="15.6" customFormat="1" customHeight="1" s="20">
      <c r="A6" s="5" t="n"/>
      <c r="B6" s="320" t="inlineStr">
        <is>
          <t>获取上期末至本期末（或中期，如适用）无形资产及相关新增、处置、转让和摊销的后推明细表。（原值、累计摊销、减值均为正数填列，本期减少以负数填列，账表调整、审计调整数据均直接链接至L1.00 Lead sheet。）以下资产类别作为示例，审计团队需按照被审计单位实际情况修改。</t>
        </is>
      </c>
      <c r="C6" s="138" t="n"/>
      <c r="D6" s="138" t="n"/>
      <c r="E6" s="138" t="n"/>
      <c r="F6" s="138" t="n"/>
      <c r="G6" s="138" t="n"/>
      <c r="H6" s="138" t="n"/>
      <c r="I6" s="138" t="n"/>
      <c r="J6" s="138" t="n"/>
      <c r="K6" s="138" t="n"/>
      <c r="L6" s="138" t="n"/>
      <c r="Y6" s="52" t="n"/>
      <c r="Z6" s="138" t="n"/>
      <c r="AA6" s="137" t="n"/>
      <c r="CE6" s="138" t="n"/>
      <c r="CF6" s="138" t="n"/>
      <c r="CG6" s="138" t="n"/>
      <c r="CH6" s="139" t="n"/>
      <c r="CI6" s="139" t="n"/>
      <c r="CJ6" s="139" t="n"/>
      <c r="CK6" s="139" t="n"/>
      <c r="CL6" s="139" t="n"/>
      <c r="CM6" s="139" t="n"/>
      <c r="CN6" s="139" t="n"/>
      <c r="CO6" s="139" t="n"/>
      <c r="CP6" s="138" t="n"/>
      <c r="CQ6" s="139" t="n"/>
      <c r="CR6" s="139" t="n"/>
      <c r="CS6" s="139" t="n"/>
      <c r="CT6" s="139" t="n"/>
      <c r="CU6" s="139" t="n"/>
      <c r="CV6" s="138" t="n"/>
      <c r="CW6" s="138" t="n"/>
      <c r="CX6" s="138" t="n"/>
      <c r="CY6" s="138" t="n"/>
      <c r="CZ6" s="138" t="n"/>
      <c r="DA6" s="138" t="n"/>
      <c r="DB6" s="138" t="n"/>
      <c r="DC6" s="138" t="n"/>
      <c r="DD6" s="138" t="n"/>
      <c r="DE6" s="140" t="n"/>
      <c r="DF6" s="138" t="n"/>
      <c r="DG6" s="138" t="n"/>
    </row>
    <row r="7" ht="15.6" customFormat="1" customHeight="1" s="20">
      <c r="A7" s="5" t="n"/>
      <c r="B7" s="320" t="inlineStr">
        <is>
          <t>将期初无形资产余额与上期审定数核对一致，将期末无形资产余额与无形资产明细账和试算表核对一致。调查大于SAD的差异。</t>
        </is>
      </c>
      <c r="C7" s="138" t="n"/>
      <c r="D7" s="138" t="n"/>
      <c r="E7" s="138" t="n"/>
      <c r="F7" s="138" t="n"/>
      <c r="G7" s="138" t="n"/>
      <c r="H7" s="138" t="n"/>
      <c r="I7" s="138" t="n"/>
      <c r="J7" s="138" t="n"/>
      <c r="K7" s="138" t="n"/>
      <c r="L7" s="138" t="n"/>
      <c r="Y7" s="52" t="n"/>
      <c r="Z7" s="138" t="n"/>
      <c r="AA7" s="137" t="n"/>
      <c r="CE7" s="138" t="n"/>
      <c r="CF7" s="138" t="n"/>
      <c r="CG7" s="138" t="n"/>
      <c r="CH7" s="139" t="n"/>
      <c r="CI7" s="139" t="n"/>
      <c r="CJ7" s="139" t="n"/>
      <c r="CK7" s="139" t="n"/>
      <c r="CL7" s="139" t="n"/>
      <c r="CM7" s="139" t="n"/>
      <c r="CN7" s="139" t="n"/>
      <c r="CO7" s="139" t="n"/>
      <c r="CP7" s="138" t="n"/>
      <c r="CQ7" s="139" t="n"/>
      <c r="CR7" s="139" t="n"/>
      <c r="CS7" s="139" t="n"/>
      <c r="CT7" s="139" t="n"/>
      <c r="CU7" s="139" t="n"/>
      <c r="CV7" s="138" t="n"/>
      <c r="CW7" s="138" t="n"/>
      <c r="CX7" s="138" t="n"/>
      <c r="CY7" s="138" t="n"/>
      <c r="CZ7" s="138" t="n"/>
      <c r="DA7" s="138" t="n"/>
      <c r="DB7" s="138" t="n"/>
      <c r="DC7" s="138" t="n"/>
      <c r="DD7" s="138" t="n"/>
      <c r="DE7" s="140" t="n"/>
      <c r="DF7" s="138" t="n"/>
      <c r="DG7" s="138" t="n"/>
    </row>
    <row r="8" ht="15.6" customFormat="1" customHeight="1" s="20">
      <c r="A8" s="5" t="n"/>
      <c r="B8" s="320" t="inlineStr">
        <is>
          <t>我们选择了超过测试阈值的后推活动（如，新增、处置、转移和摊销费用），以执行L1.02和L1.03的实质性程序。对于未包含在本程序表范围内的程序，我们交叉索引至完成该程序的单独程序表。我们评估了无形资产的其他转出和其他调整，以了解调整的性质，并确定是否需要执行额外程序。</t>
        </is>
      </c>
      <c r="C8" s="138" t="n"/>
      <c r="D8" s="138" t="n"/>
      <c r="E8" s="138" t="n"/>
      <c r="F8" s="138" t="n"/>
      <c r="G8" s="138" t="n"/>
      <c r="H8" s="138" t="n"/>
      <c r="I8" s="138" t="n"/>
      <c r="J8" s="138" t="n"/>
      <c r="K8" s="138" t="n"/>
      <c r="L8" s="138" t="n"/>
      <c r="Y8" s="52" t="n"/>
      <c r="Z8" s="138" t="n"/>
      <c r="AA8" s="137" t="n"/>
      <c r="CE8" s="138" t="n"/>
      <c r="CF8" s="138" t="n"/>
      <c r="CG8" s="138" t="n"/>
      <c r="CH8" s="139" t="n"/>
      <c r="CI8" s="139" t="n"/>
      <c r="CJ8" s="139" t="n"/>
      <c r="CK8" s="139" t="n"/>
      <c r="CL8" s="139" t="n"/>
      <c r="CM8" s="139" t="n"/>
      <c r="CN8" s="139" t="n"/>
      <c r="CO8" s="139" t="n"/>
      <c r="CP8" s="138" t="n"/>
      <c r="CQ8" s="139" t="n"/>
      <c r="CR8" s="139" t="n"/>
      <c r="CS8" s="139" t="n"/>
      <c r="CT8" s="139" t="n"/>
      <c r="CU8" s="139" t="n"/>
      <c r="CV8" s="138" t="n"/>
      <c r="CW8" s="138" t="n"/>
      <c r="CX8" s="138" t="n"/>
      <c r="CY8" s="138" t="n"/>
      <c r="CZ8" s="138" t="n"/>
      <c r="DA8" s="138" t="n"/>
      <c r="DB8" s="138" t="n"/>
      <c r="DC8" s="138" t="n"/>
      <c r="DD8" s="138" t="n"/>
      <c r="DE8" s="140" t="n"/>
      <c r="DF8" s="138" t="n"/>
      <c r="DG8" s="138" t="n"/>
    </row>
    <row r="9" ht="12" customFormat="1" customHeight="1" s="20">
      <c r="A9" s="5" t="n"/>
      <c r="B9" s="5" t="inlineStr">
        <is>
          <t>表1</t>
        </is>
      </c>
      <c r="W9" s="138" t="n"/>
      <c r="Y9" s="52" t="n"/>
      <c r="Z9" s="138" t="n"/>
      <c r="AA9" s="137" t="n"/>
      <c r="CE9" s="138" t="n"/>
      <c r="CF9" s="138" t="n"/>
      <c r="CG9" s="138" t="n"/>
      <c r="CH9" s="139" t="n"/>
      <c r="CI9" s="139" t="n"/>
      <c r="CJ9" s="139" t="n"/>
      <c r="CK9" s="139" t="n"/>
      <c r="CL9" s="139" t="n"/>
      <c r="CM9" s="139" t="n"/>
      <c r="CN9" s="139" t="n"/>
      <c r="CO9" s="139" t="n"/>
      <c r="CP9" s="138" t="n"/>
      <c r="CQ9" s="139" t="n"/>
      <c r="CR9" s="139" t="n"/>
      <c r="CS9" s="139" t="n"/>
      <c r="CT9" s="139" t="n"/>
      <c r="CU9" s="139" t="n"/>
      <c r="CV9" s="138" t="n"/>
      <c r="CW9" s="138" t="n"/>
      <c r="CX9" s="138" t="n"/>
      <c r="CY9" s="138" t="n"/>
      <c r="CZ9" s="138" t="n"/>
      <c r="DA9" s="138" t="n"/>
      <c r="DB9" s="138" t="n"/>
      <c r="DC9" s="138" t="n"/>
      <c r="DD9" s="138" t="n"/>
      <c r="DE9" s="140" t="n"/>
      <c r="DF9" s="138" t="n"/>
      <c r="DG9" s="138" t="n"/>
    </row>
    <row r="10" ht="12.75" customFormat="1" customHeight="1" s="20">
      <c r="A10" s="5" t="n"/>
      <c r="B10" s="328" t="n"/>
      <c r="C10" s="321" t="n"/>
      <c r="D10" s="322" t="n"/>
      <c r="E10" s="169" t="n"/>
      <c r="F10" s="170" t="inlineStr">
        <is>
          <t>土地使用权</t>
        </is>
      </c>
      <c r="G10" s="176" t="n"/>
      <c r="H10" s="169" t="n"/>
      <c r="I10" s="170" t="inlineStr">
        <is>
          <t>非专利技术</t>
        </is>
      </c>
      <c r="J10" s="176" t="n"/>
      <c r="K10" s="169" t="n"/>
      <c r="L10" s="170" t="inlineStr">
        <is>
          <t>专利权</t>
        </is>
      </c>
      <c r="M10" s="176" t="n"/>
      <c r="N10" s="169" t="n"/>
      <c r="O10" s="170" t="inlineStr">
        <is>
          <t>软件</t>
        </is>
      </c>
      <c r="P10" s="176" t="n"/>
      <c r="Q10" s="169" t="n"/>
      <c r="R10" s="170" t="inlineStr">
        <is>
          <t>其他</t>
        </is>
      </c>
      <c r="S10" s="176" t="n"/>
      <c r="T10" s="169" t="n"/>
      <c r="U10" s="170" t="inlineStr">
        <is>
          <t>合计</t>
        </is>
      </c>
      <c r="V10" s="176" t="n"/>
      <c r="W10" s="660" t="inlineStr">
        <is>
          <t>Check</t>
        </is>
      </c>
      <c r="Y10" s="52" t="n"/>
      <c r="Z10" s="138" t="n"/>
    </row>
    <row r="11" ht="12.75" customFormat="1" customHeight="1" s="20">
      <c r="A11" s="5" t="n"/>
      <c r="B11" s="329" t="n"/>
      <c r="C11" s="323" t="n"/>
      <c r="D11" s="324" t="n"/>
      <c r="E11" s="141" t="inlineStr">
        <is>
          <t>账面数</t>
        </is>
      </c>
      <c r="F11" s="177" t="inlineStr">
        <is>
          <t>账表调整/审计调整</t>
        </is>
      </c>
      <c r="G11" s="141" t="inlineStr">
        <is>
          <t>审定数</t>
        </is>
      </c>
      <c r="H11" s="141" t="inlineStr">
        <is>
          <t>账面数</t>
        </is>
      </c>
      <c r="I11" s="178" t="inlineStr">
        <is>
          <t>账表调整/审计调整</t>
        </is>
      </c>
      <c r="J11" s="141" t="inlineStr">
        <is>
          <t>审定数</t>
        </is>
      </c>
      <c r="K11" s="141" t="inlineStr">
        <is>
          <t>账面数</t>
        </is>
      </c>
      <c r="L11" s="178" t="inlineStr">
        <is>
          <t>账表调整/审计调整</t>
        </is>
      </c>
      <c r="M11" s="141" t="inlineStr">
        <is>
          <t>审定数</t>
        </is>
      </c>
      <c r="N11" s="141" t="inlineStr">
        <is>
          <t>账面数</t>
        </is>
      </c>
      <c r="O11" s="178" t="inlineStr">
        <is>
          <t>账表调整/审计调整</t>
        </is>
      </c>
      <c r="P11" s="141" t="inlineStr">
        <is>
          <t>审定数</t>
        </is>
      </c>
      <c r="Q11" s="141" t="inlineStr">
        <is>
          <t>账面数</t>
        </is>
      </c>
      <c r="R11" s="178" t="inlineStr">
        <is>
          <t>账表调整/审计调整</t>
        </is>
      </c>
      <c r="S11" s="141" t="inlineStr">
        <is>
          <t>审定数</t>
        </is>
      </c>
      <c r="T11" s="141" t="inlineStr">
        <is>
          <t>账面数</t>
        </is>
      </c>
      <c r="U11" s="178" t="inlineStr">
        <is>
          <t>账表调整/审计调整</t>
        </is>
      </c>
      <c r="V11" s="141" t="inlineStr">
        <is>
          <t>审定数</t>
        </is>
      </c>
      <c r="W11" s="661" t="n"/>
      <c r="Y11" s="52" t="n"/>
      <c r="Z11" s="138" t="n"/>
    </row>
    <row r="12" ht="12.75" customFormat="1" customHeight="1" s="20">
      <c r="A12" s="5" t="n"/>
      <c r="B12" s="662" t="inlineStr">
        <is>
          <t>原值</t>
        </is>
      </c>
      <c r="C12" s="128" t="inlineStr">
        <is>
          <t>年初余额</t>
        </is>
      </c>
      <c r="D12" s="325" t="inlineStr">
        <is>
          <t>PY</t>
        </is>
      </c>
      <c r="E12" s="663" t="n">
        <v>289470095.55</v>
      </c>
      <c r="F12" s="664" t="n">
        <v>211</v>
      </c>
      <c r="G12" s="664">
        <f>SUM(E12:F12)</f>
        <v/>
      </c>
      <c r="H12" s="663" t="n">
        <v>3094762347.91</v>
      </c>
      <c r="I12" s="664" t="n">
        <v>0</v>
      </c>
      <c r="J12" s="664">
        <f>SUM(H12:I12)</f>
        <v/>
      </c>
      <c r="K12" s="663" t="n">
        <v>5854422592.22</v>
      </c>
      <c r="L12" s="664" t="n">
        <v>0</v>
      </c>
      <c r="M12" s="664">
        <f>SUM(K12:L12)</f>
        <v/>
      </c>
      <c r="N12" s="663" t="n">
        <v>676210615.570001</v>
      </c>
      <c r="O12" s="664" t="n">
        <v>0</v>
      </c>
      <c r="P12" s="664">
        <f>SUM(N12:O12)</f>
        <v/>
      </c>
      <c r="Q12" s="664" t="n">
        <v>4127057585.87</v>
      </c>
      <c r="R12" s="664" t="n">
        <v>0</v>
      </c>
      <c r="S12" s="664">
        <f>SUM(Q12:R12)</f>
        <v/>
      </c>
      <c r="T12" s="664">
        <f>SUM(Q12,N12,K12,H12,E12)</f>
        <v/>
      </c>
      <c r="U12" s="664">
        <f>F12+I12+L12+O12+R12</f>
        <v/>
      </c>
      <c r="V12" s="664">
        <f>G12+J12+M12+P12+S12</f>
        <v/>
      </c>
      <c r="W12" s="665">
        <f>V12-'L1.00 Lead sheet'!J42</f>
        <v/>
      </c>
      <c r="Y12" s="52" t="n"/>
      <c r="Z12" s="138" t="n"/>
    </row>
    <row r="13" ht="12.75" customFormat="1" customHeight="1" s="20">
      <c r="A13" s="5" t="n"/>
      <c r="B13" s="666" t="n"/>
      <c r="C13" s="396" t="inlineStr">
        <is>
          <t>购置</t>
        </is>
      </c>
      <c r="D13" s="126" t="inlineStr">
        <is>
          <t>L1.02.1</t>
        </is>
      </c>
      <c r="E13" s="667" t="n"/>
      <c r="F13" s="668" t="n"/>
      <c r="G13" s="668">
        <f>SUM(E13:F13)</f>
        <v/>
      </c>
      <c r="H13" s="667" t="n"/>
      <c r="I13" s="668" t="n"/>
      <c r="J13" s="668">
        <f>SUM(H13:I13)</f>
        <v/>
      </c>
      <c r="K13" s="667" t="n"/>
      <c r="L13" s="668" t="n"/>
      <c r="M13" s="668">
        <f>SUM(K13:L13)</f>
        <v/>
      </c>
      <c r="N13" s="667" t="n"/>
      <c r="O13" s="668" t="n"/>
      <c r="P13" s="668">
        <f>SUM(N13:O13)</f>
        <v/>
      </c>
      <c r="Q13" s="668" t="n"/>
      <c r="R13" s="668" t="n"/>
      <c r="S13" s="668">
        <f>SUM(Q13:R13)</f>
        <v/>
      </c>
      <c r="T13" s="668">
        <f>SUM(Q13,N13,K13,H13,E13)</f>
        <v/>
      </c>
      <c r="U13" s="668">
        <f>F13+I13+L13+O13+R13</f>
        <v/>
      </c>
      <c r="V13" s="668">
        <f>G13+J13+M13+P13+S13</f>
        <v/>
      </c>
      <c r="W13" s="669" t="n"/>
      <c r="Y13" s="52" t="n"/>
      <c r="Z13" s="138" t="n"/>
    </row>
    <row r="14" ht="12.75" customFormat="1" customHeight="1" s="20">
      <c r="A14" s="5" t="n"/>
      <c r="B14" s="666" t="n"/>
      <c r="C14" s="397" t="inlineStr">
        <is>
          <t>本年其他新增</t>
        </is>
      </c>
      <c r="D14" s="126" t="n"/>
      <c r="E14" s="667" t="n"/>
      <c r="F14" s="668" t="n"/>
      <c r="G14" s="668">
        <f>SUM(E14:F14)</f>
        <v/>
      </c>
      <c r="H14" s="667" t="n"/>
      <c r="I14" s="668" t="n"/>
      <c r="J14" s="668">
        <f>SUM(H14:I14)</f>
        <v/>
      </c>
      <c r="K14" s="667" t="n"/>
      <c r="L14" s="668" t="n"/>
      <c r="M14" s="668">
        <f>SUM(K14:L14)</f>
        <v/>
      </c>
      <c r="N14" s="667" t="n"/>
      <c r="O14" s="668" t="n"/>
      <c r="P14" s="668">
        <f>SUM(N14:O14)</f>
        <v/>
      </c>
      <c r="Q14" s="668" t="n"/>
      <c r="R14" s="668" t="n"/>
      <c r="S14" s="668">
        <f>SUM(Q14:R14)</f>
        <v/>
      </c>
      <c r="T14" s="668">
        <f>SUM(Q14,N14,K14,H14,E14)</f>
        <v/>
      </c>
      <c r="U14" s="668">
        <f>F14+I14+L14+O14+R14</f>
        <v/>
      </c>
      <c r="V14" s="668">
        <f>G14+J14+M14+P14+S14</f>
        <v/>
      </c>
      <c r="W14" s="669" t="n"/>
      <c r="Y14" s="52" t="n"/>
      <c r="Z14" s="138" t="n"/>
    </row>
    <row r="15" ht="12.75" customFormat="1" customHeight="1" s="20">
      <c r="A15" s="5" t="n"/>
      <c r="B15" s="666" t="n"/>
      <c r="C15" s="396" t="inlineStr">
        <is>
          <t>处置或报废</t>
        </is>
      </c>
      <c r="D15" s="126" t="inlineStr">
        <is>
          <t>L1.02.2</t>
        </is>
      </c>
      <c r="E15" s="667" t="n"/>
      <c r="F15" s="668" t="n"/>
      <c r="G15" s="668">
        <f>SUM(E15:F15)</f>
        <v/>
      </c>
      <c r="H15" s="667" t="n"/>
      <c r="I15" s="668" t="n"/>
      <c r="J15" s="668">
        <f>SUM(H15:I15)</f>
        <v/>
      </c>
      <c r="K15" s="667" t="n"/>
      <c r="L15" s="668" t="n"/>
      <c r="M15" s="668">
        <f>SUM(K15:L15)</f>
        <v/>
      </c>
      <c r="N15" s="667" t="n"/>
      <c r="O15" s="668" t="n"/>
      <c r="P15" s="668">
        <f>SUM(N15:O15)</f>
        <v/>
      </c>
      <c r="Q15" s="668" t="n"/>
      <c r="R15" s="668" t="n"/>
      <c r="S15" s="668">
        <f>SUM(Q15:R15)</f>
        <v/>
      </c>
      <c r="T15" s="668">
        <f>SUM(Q15,N15,K15,H15,E15)</f>
        <v/>
      </c>
      <c r="U15" s="668">
        <f>F15+I15+L15+O15+R15</f>
        <v/>
      </c>
      <c r="V15" s="668">
        <f>G15+J15+M15+P15+S15</f>
        <v/>
      </c>
      <c r="W15" s="669" t="n"/>
      <c r="Y15" s="52" t="n"/>
      <c r="Z15" s="138" t="n"/>
    </row>
    <row r="16" ht="12.75" customFormat="1" customHeight="1" s="20">
      <c r="A16" s="5" t="n"/>
      <c r="B16" s="666" t="n"/>
      <c r="C16" s="396" t="inlineStr">
        <is>
          <t>本年其他转出</t>
        </is>
      </c>
      <c r="D16" s="126" t="n"/>
      <c r="E16" s="667" t="n"/>
      <c r="F16" s="668" t="n"/>
      <c r="G16" s="668">
        <f>SUM(E16:F16)</f>
        <v/>
      </c>
      <c r="H16" s="667" t="n"/>
      <c r="I16" s="668" t="n"/>
      <c r="J16" s="668">
        <f>SUM(H16:I16)</f>
        <v/>
      </c>
      <c r="K16" s="667" t="n"/>
      <c r="L16" s="668" t="n"/>
      <c r="M16" s="668">
        <f>SUM(K16:L16)</f>
        <v/>
      </c>
      <c r="N16" s="667" t="n"/>
      <c r="O16" s="668" t="n"/>
      <c r="P16" s="668">
        <f>SUM(N16:O16)</f>
        <v/>
      </c>
      <c r="Q16" s="668" t="n"/>
      <c r="R16" s="668" t="n"/>
      <c r="S16" s="668">
        <f>SUM(Q16:R16)</f>
        <v/>
      </c>
      <c r="T16" s="668">
        <f>SUM(Q16,N16,K16,H16,E16)</f>
        <v/>
      </c>
      <c r="U16" s="668">
        <f>F16+I16+L16+O16+R16</f>
        <v/>
      </c>
      <c r="V16" s="668">
        <f>G16+J16+M16+P16+S16</f>
        <v/>
      </c>
      <c r="W16" s="669" t="n"/>
      <c r="Y16" s="52" t="n"/>
      <c r="Z16" s="138" t="n"/>
    </row>
    <row r="17" ht="12.75" customFormat="1" customHeight="1" s="20">
      <c r="A17" s="5" t="n"/>
      <c r="B17" s="661" t="n"/>
      <c r="C17" s="128" t="inlineStr">
        <is>
          <t>年末余额</t>
        </is>
      </c>
      <c r="D17" s="129" t="inlineStr">
        <is>
          <t>Rx</t>
        </is>
      </c>
      <c r="E17" s="663">
        <f>SUM(E12:E16)</f>
        <v/>
      </c>
      <c r="F17" s="663">
        <f>SUM(F12:F16)</f>
        <v/>
      </c>
      <c r="G17" s="663">
        <f>SUM(G12:G16)</f>
        <v/>
      </c>
      <c r="H17" s="663">
        <f>SUM(H12:H16)</f>
        <v/>
      </c>
      <c r="I17" s="663">
        <f>SUM(I12:I16)</f>
        <v/>
      </c>
      <c r="J17" s="663">
        <f>SUM(J12:J16)</f>
        <v/>
      </c>
      <c r="K17" s="663">
        <f>SUM(K12:K16)</f>
        <v/>
      </c>
      <c r="L17" s="663">
        <f>SUM(L12:L16)</f>
        <v/>
      </c>
      <c r="M17" s="663">
        <f>SUM(M12:M16)</f>
        <v/>
      </c>
      <c r="N17" s="663">
        <f>SUM(N12:N16)</f>
        <v/>
      </c>
      <c r="O17" s="663">
        <f>SUM(O12:O16)</f>
        <v/>
      </c>
      <c r="P17" s="663">
        <f>SUM(P12:P16)</f>
        <v/>
      </c>
      <c r="Q17" s="663">
        <f>SUM(Q12:Q16)</f>
        <v/>
      </c>
      <c r="R17" s="663">
        <f>SUM(R12:R16)</f>
        <v/>
      </c>
      <c r="S17" s="663">
        <f>SUM(S12:S16)</f>
        <v/>
      </c>
      <c r="T17" s="664">
        <f>SUM(T12:T16)</f>
        <v/>
      </c>
      <c r="U17" s="663">
        <f>SUM(U12:U16)</f>
        <v/>
      </c>
      <c r="V17" s="663">
        <f>SUM(V12:V16)</f>
        <v/>
      </c>
      <c r="W17" s="665">
        <f>V17-'L1.00 Lead sheet'!I42</f>
        <v/>
      </c>
      <c r="Y17" s="52" t="n"/>
      <c r="Z17" s="138" t="n"/>
    </row>
    <row r="18" ht="12.75" customFormat="1" customHeight="1" s="20">
      <c r="A18" s="5" t="n"/>
      <c r="B18" s="568" t="n"/>
      <c r="C18" s="128" t="inlineStr">
        <is>
          <t>年初余额</t>
        </is>
      </c>
      <c r="D18" s="326" t="inlineStr">
        <is>
          <t>PY</t>
        </is>
      </c>
      <c r="E18" s="664" t="n">
        <v>60441787.55</v>
      </c>
      <c r="F18" s="664" t="n">
        <v>0</v>
      </c>
      <c r="G18" s="664">
        <f>SUM(E18:F18)</f>
        <v/>
      </c>
      <c r="H18" s="664" t="n">
        <v>2557370884.9</v>
      </c>
      <c r="I18" s="664" t="n">
        <v>0</v>
      </c>
      <c r="J18" s="664">
        <f>SUM(H18:I18)</f>
        <v/>
      </c>
      <c r="K18" s="664" t="n">
        <v>3324549322.97</v>
      </c>
      <c r="L18" s="664" t="n">
        <v>0</v>
      </c>
      <c r="M18" s="664">
        <f>SUM(K18:L18)</f>
        <v/>
      </c>
      <c r="N18" s="664" t="n">
        <v>553975285.79</v>
      </c>
      <c r="O18" s="664" t="n">
        <v>0</v>
      </c>
      <c r="P18" s="664">
        <f>SUM(N18:O18)</f>
        <v/>
      </c>
      <c r="Q18" s="664" t="n">
        <v>2766929318.43001</v>
      </c>
      <c r="R18" s="664" t="n">
        <v>0</v>
      </c>
      <c r="S18" s="664">
        <f>SUM(Q18:R18)</f>
        <v/>
      </c>
      <c r="T18" s="664">
        <f>SUM(Q18,N18,K18,H18,E18)</f>
        <v/>
      </c>
      <c r="U18" s="664">
        <f>F18+I18+L18+O18+R18</f>
        <v/>
      </c>
      <c r="V18" s="664">
        <f>G18+J18+M18+P18+S18</f>
        <v/>
      </c>
      <c r="W18" s="665">
        <f>V18-'L1.00 Lead sheet'!J43</f>
        <v/>
      </c>
      <c r="Y18" s="52" t="n"/>
      <c r="Z18" s="138" t="n"/>
    </row>
    <row r="19" ht="12.75" customFormat="1" customHeight="1" s="20">
      <c r="A19" s="5" t="n"/>
      <c r="B19" s="570" t="n"/>
      <c r="C19" s="396" t="inlineStr">
        <is>
          <t>计提</t>
        </is>
      </c>
      <c r="D19" s="126" t="inlineStr">
        <is>
          <t>L1.01.1a</t>
        </is>
      </c>
      <c r="E19" s="668" t="n"/>
      <c r="F19" s="668" t="n"/>
      <c r="G19" s="668">
        <f>SUM(E19:F19)</f>
        <v/>
      </c>
      <c r="H19" s="668" t="n"/>
      <c r="I19" s="668" t="n"/>
      <c r="J19" s="668">
        <f>SUM(H19:I19)</f>
        <v/>
      </c>
      <c r="K19" s="668" t="n"/>
      <c r="L19" s="668" t="n"/>
      <c r="M19" s="668">
        <f>SUM(K19:L19)</f>
        <v/>
      </c>
      <c r="N19" s="668" t="n"/>
      <c r="O19" s="668" t="n"/>
      <c r="P19" s="668">
        <f>SUM(N19:O19)</f>
        <v/>
      </c>
      <c r="Q19" s="668" t="n"/>
      <c r="R19" s="668" t="n"/>
      <c r="S19" s="668">
        <f>SUM(Q19:R19)</f>
        <v/>
      </c>
      <c r="T19" s="668">
        <f>SUM(Q19,N19,K19,H19,E19)</f>
        <v/>
      </c>
      <c r="U19" s="668">
        <f>F19+I19+L19+O19+R19</f>
        <v/>
      </c>
      <c r="V19" s="668">
        <f>G19+J19+M19+P19+S19</f>
        <v/>
      </c>
      <c r="W19" s="669">
        <f>V19+'L1.03 摊销测试'!H18</f>
        <v/>
      </c>
      <c r="Y19" s="52" t="n"/>
      <c r="Z19" s="138" t="n"/>
    </row>
    <row r="20" ht="12.75" customFormat="1" customHeight="1" s="20">
      <c r="A20" s="5" t="n"/>
      <c r="B20" s="570" t="inlineStr">
        <is>
          <t>累计摊销</t>
        </is>
      </c>
      <c r="C20" s="396" t="inlineStr">
        <is>
          <t>处置或报废</t>
        </is>
      </c>
      <c r="D20" s="126" t="inlineStr">
        <is>
          <t>L1.02.2</t>
        </is>
      </c>
      <c r="E20" s="668" t="n"/>
      <c r="F20" s="668" t="n"/>
      <c r="G20" s="668">
        <f>SUM(E20:F20)</f>
        <v/>
      </c>
      <c r="H20" s="668" t="n"/>
      <c r="I20" s="668" t="n"/>
      <c r="J20" s="668">
        <f>SUM(H20:I20)</f>
        <v/>
      </c>
      <c r="K20" s="668" t="n"/>
      <c r="L20" s="668" t="n"/>
      <c r="M20" s="668">
        <f>SUM(K20:L20)</f>
        <v/>
      </c>
      <c r="N20" s="668" t="n"/>
      <c r="O20" s="668" t="n"/>
      <c r="P20" s="668">
        <f>SUM(N20:O20)</f>
        <v/>
      </c>
      <c r="Q20" s="668" t="n"/>
      <c r="R20" s="668" t="n"/>
      <c r="S20" s="668">
        <f>SUM(Q20:R20)</f>
        <v/>
      </c>
      <c r="T20" s="668">
        <f>SUM(Q20,N20,K20,H20,E20)</f>
        <v/>
      </c>
      <c r="U20" s="668">
        <f>F20+I20+L20+O20+R20</f>
        <v/>
      </c>
      <c r="V20" s="668">
        <f>G20+J20+M20+P20+S20</f>
        <v/>
      </c>
      <c r="W20" s="669" t="n"/>
      <c r="Y20" s="52" t="n"/>
      <c r="Z20" s="138" t="n"/>
    </row>
    <row r="21" ht="12.75" customFormat="1" customHeight="1" s="20">
      <c r="A21" s="5" t="n"/>
      <c r="B21" s="570" t="n"/>
      <c r="C21" s="396" t="inlineStr">
        <is>
          <t>本年其他转出</t>
        </is>
      </c>
      <c r="D21" s="126" t="n"/>
      <c r="E21" s="668" t="n"/>
      <c r="F21" s="668" t="n"/>
      <c r="G21" s="668">
        <f>SUM(E21:F21)</f>
        <v/>
      </c>
      <c r="H21" s="668" t="n"/>
      <c r="I21" s="668" t="n"/>
      <c r="J21" s="668">
        <f>SUM(H21:I21)</f>
        <v/>
      </c>
      <c r="K21" s="668" t="n"/>
      <c r="L21" s="668" t="n"/>
      <c r="M21" s="668">
        <f>SUM(K21:L21)</f>
        <v/>
      </c>
      <c r="N21" s="668" t="n"/>
      <c r="O21" s="668" t="n"/>
      <c r="P21" s="668">
        <f>SUM(N21:O21)</f>
        <v/>
      </c>
      <c r="Q21" s="668" t="n"/>
      <c r="R21" s="668" t="n"/>
      <c r="S21" s="668">
        <f>SUM(Q21:R21)</f>
        <v/>
      </c>
      <c r="T21" s="668">
        <f>SUM(Q21,N21,K21,H21,E21)</f>
        <v/>
      </c>
      <c r="U21" s="668">
        <f>F21+I21+L21+O21+R21</f>
        <v/>
      </c>
      <c r="V21" s="668">
        <f>G21+J21+M21+P21+S21</f>
        <v/>
      </c>
      <c r="W21" s="669" t="n"/>
      <c r="Y21" s="52" t="n"/>
      <c r="Z21" s="138" t="n"/>
    </row>
    <row r="22" ht="12.75" customFormat="1" customHeight="1" s="20">
      <c r="A22" s="5" t="n"/>
      <c r="B22" s="569" t="n"/>
      <c r="C22" s="128">
        <f>C17</f>
        <v/>
      </c>
      <c r="D22" s="129" t="inlineStr">
        <is>
          <t>Rx</t>
        </is>
      </c>
      <c r="E22" s="663">
        <f>SUM(E18:E21)</f>
        <v/>
      </c>
      <c r="F22" s="663">
        <f>SUM(F18:F21)</f>
        <v/>
      </c>
      <c r="G22" s="663">
        <f>SUM(G18:G21)</f>
        <v/>
      </c>
      <c r="H22" s="663">
        <f>SUM(H18:H21)</f>
        <v/>
      </c>
      <c r="I22" s="663">
        <f>SUM(I18:I21)</f>
        <v/>
      </c>
      <c r="J22" s="663">
        <f>SUM(J18:J21)</f>
        <v/>
      </c>
      <c r="K22" s="663">
        <f>SUM(K18:K21)</f>
        <v/>
      </c>
      <c r="L22" s="663">
        <f>SUM(L18:L21)</f>
        <v/>
      </c>
      <c r="M22" s="663">
        <f>SUM(M18:M21)</f>
        <v/>
      </c>
      <c r="N22" s="663">
        <f>SUM(N18:N21)</f>
        <v/>
      </c>
      <c r="O22" s="663">
        <f>SUM(O18:O21)</f>
        <v/>
      </c>
      <c r="P22" s="663">
        <f>SUM(P18:P21)</f>
        <v/>
      </c>
      <c r="Q22" s="663">
        <f>SUM(Q18:Q21)</f>
        <v/>
      </c>
      <c r="R22" s="663">
        <f>SUM(R18:R21)</f>
        <v/>
      </c>
      <c r="S22" s="663">
        <f>SUM(S18:S21)</f>
        <v/>
      </c>
      <c r="T22" s="664">
        <f>SUM(T18:T21)</f>
        <v/>
      </c>
      <c r="U22" s="663">
        <f>SUM(U18:U21)</f>
        <v/>
      </c>
      <c r="V22" s="663">
        <f>SUM(V18:V21)</f>
        <v/>
      </c>
      <c r="W22" s="665">
        <f>V22-'L1.00 Lead sheet'!I43</f>
        <v/>
      </c>
      <c r="Y22" s="52" t="n"/>
      <c r="Z22" s="138" t="n"/>
    </row>
    <row r="23" ht="12.75" customFormat="1" customHeight="1" s="20">
      <c r="A23" s="5" t="n"/>
      <c r="B23" s="568" t="n"/>
      <c r="C23" s="128" t="inlineStr">
        <is>
          <t>年初余额</t>
        </is>
      </c>
      <c r="D23" s="326" t="inlineStr">
        <is>
          <t>PY</t>
        </is>
      </c>
      <c r="E23" s="664" t="n">
        <v>0</v>
      </c>
      <c r="F23" s="664" t="n">
        <v>0</v>
      </c>
      <c r="G23" s="664">
        <f>SUM(E23:F23)</f>
        <v/>
      </c>
      <c r="H23" s="664" t="n">
        <v>416526129.04</v>
      </c>
      <c r="I23" s="664" t="n">
        <v>0</v>
      </c>
      <c r="J23" s="664">
        <f>SUM(H23:I23)</f>
        <v/>
      </c>
      <c r="K23" s="664" t="n">
        <v>1988987868.6</v>
      </c>
      <c r="L23" s="664" t="n">
        <v>0</v>
      </c>
      <c r="M23" s="664">
        <f>SUM(K23:L23)</f>
        <v/>
      </c>
      <c r="N23" s="664" t="n">
        <v>5406999.22</v>
      </c>
      <c r="O23" s="664" t="n">
        <v>0</v>
      </c>
      <c r="P23" s="664">
        <f>SUM(N23:O23)</f>
        <v/>
      </c>
      <c r="Q23" s="664" t="n">
        <v>457493926.38</v>
      </c>
      <c r="R23" s="664" t="n">
        <v>0</v>
      </c>
      <c r="S23" s="664">
        <f>SUM(Q23:R23)</f>
        <v/>
      </c>
      <c r="T23" s="664">
        <f>SUM(Q23,N23,K23,H23,E23)</f>
        <v/>
      </c>
      <c r="U23" s="664">
        <f>F23+I23+L23+O23+R23</f>
        <v/>
      </c>
      <c r="V23" s="664">
        <f>G23+J23+M23+P23+S23</f>
        <v/>
      </c>
      <c r="W23" s="665">
        <f>V23-'L1.00 Lead sheet'!J44</f>
        <v/>
      </c>
      <c r="Y23" s="52" t="n"/>
      <c r="Z23" s="138" t="n"/>
    </row>
    <row r="24" ht="12.75" customFormat="1" customHeight="1" s="20">
      <c r="A24" s="5" t="n"/>
      <c r="B24" s="570" t="n"/>
      <c r="C24" s="396" t="inlineStr">
        <is>
          <t>计提</t>
        </is>
      </c>
      <c r="D24" s="126" t="inlineStr">
        <is>
          <t>SWP减值</t>
        </is>
      </c>
      <c r="E24" s="668" t="n"/>
      <c r="F24" s="668" t="n"/>
      <c r="G24" s="668">
        <f>SUM(E24:F24)</f>
        <v/>
      </c>
      <c r="H24" s="668" t="n"/>
      <c r="I24" s="668" t="n"/>
      <c r="J24" s="668">
        <f>SUM(H24:I24)</f>
        <v/>
      </c>
      <c r="K24" s="668" t="n"/>
      <c r="L24" s="668" t="n"/>
      <c r="M24" s="668">
        <f>SUM(K24:L24)</f>
        <v/>
      </c>
      <c r="N24" s="668" t="n"/>
      <c r="O24" s="668" t="n"/>
      <c r="P24" s="668">
        <f>SUM(N24:O24)</f>
        <v/>
      </c>
      <c r="Q24" s="668" t="n"/>
      <c r="R24" s="668" t="n"/>
      <c r="S24" s="668">
        <f>SUM(Q24:R24)</f>
        <v/>
      </c>
      <c r="T24" s="668">
        <f>SUM(Q24,N24,K24,H24,E24)</f>
        <v/>
      </c>
      <c r="U24" s="668">
        <f>F24+I24+L24+O24+R24</f>
        <v/>
      </c>
      <c r="V24" s="668">
        <f>G24+J24+M24+P24+S24</f>
        <v/>
      </c>
      <c r="W24" s="669" t="n"/>
      <c r="Y24" s="52" t="n"/>
      <c r="Z24" s="138" t="n"/>
    </row>
    <row r="25" ht="12.75" customFormat="1" customHeight="1" s="20">
      <c r="A25" s="5" t="n"/>
      <c r="B25" s="570" t="inlineStr">
        <is>
          <t>减值准备</t>
        </is>
      </c>
      <c r="C25" s="396" t="inlineStr">
        <is>
          <t>处置或报废</t>
        </is>
      </c>
      <c r="D25" s="126" t="inlineStr">
        <is>
          <t>L1.02.2</t>
        </is>
      </c>
      <c r="E25" s="668" t="n"/>
      <c r="F25" s="668" t="n"/>
      <c r="G25" s="668">
        <f>SUM(E25:F25)</f>
        <v/>
      </c>
      <c r="H25" s="668" t="n"/>
      <c r="I25" s="668" t="n"/>
      <c r="J25" s="668">
        <f>SUM(H25:I25)</f>
        <v/>
      </c>
      <c r="K25" s="668" t="n"/>
      <c r="L25" s="668" t="n"/>
      <c r="M25" s="668">
        <f>SUM(K25:L25)</f>
        <v/>
      </c>
      <c r="N25" s="668" t="n"/>
      <c r="O25" s="668" t="n"/>
      <c r="P25" s="668">
        <f>SUM(N25:O25)</f>
        <v/>
      </c>
      <c r="Q25" s="668" t="n"/>
      <c r="R25" s="668" t="n"/>
      <c r="S25" s="668">
        <f>SUM(Q25:R25)</f>
        <v/>
      </c>
      <c r="T25" s="668">
        <f>SUM(Q25,N25,K25,H25,E25)</f>
        <v/>
      </c>
      <c r="U25" s="668">
        <f>F25+I25+L25+O25+R25</f>
        <v/>
      </c>
      <c r="V25" s="668">
        <f>G25+J25+M25+P25+S25</f>
        <v/>
      </c>
      <c r="W25" s="669" t="n"/>
      <c r="Y25" s="52" t="n"/>
      <c r="Z25" s="138" t="n"/>
    </row>
    <row r="26" ht="12.75" customFormat="1" customHeight="1" s="20">
      <c r="A26" s="5" t="n"/>
      <c r="B26" s="570" t="n"/>
      <c r="C26" s="396" t="inlineStr">
        <is>
          <t>本年其他转出</t>
        </is>
      </c>
      <c r="D26" s="327" t="inlineStr">
        <is>
          <t>SWP减值</t>
        </is>
      </c>
      <c r="E26" s="668" t="n"/>
      <c r="F26" s="668" t="n"/>
      <c r="G26" s="668">
        <f>SUM(E26:F26)</f>
        <v/>
      </c>
      <c r="H26" s="668" t="n"/>
      <c r="I26" s="668" t="n"/>
      <c r="J26" s="668">
        <f>SUM(H26:I26)</f>
        <v/>
      </c>
      <c r="K26" s="668" t="n"/>
      <c r="L26" s="668" t="n"/>
      <c r="M26" s="668">
        <f>SUM(K26:L26)</f>
        <v/>
      </c>
      <c r="N26" s="668" t="n"/>
      <c r="O26" s="668" t="n"/>
      <c r="P26" s="668">
        <f>SUM(N26:O26)</f>
        <v/>
      </c>
      <c r="Q26" s="668" t="n"/>
      <c r="R26" s="668" t="n"/>
      <c r="S26" s="668">
        <f>SUM(Q26:R26)</f>
        <v/>
      </c>
      <c r="T26" s="668">
        <f>SUM(Q26,N26,K26,H26,E26)</f>
        <v/>
      </c>
      <c r="U26" s="668">
        <f>F26+I26+L26+O26+R26</f>
        <v/>
      </c>
      <c r="V26" s="668">
        <f>G26+J26+M26+P26+S26</f>
        <v/>
      </c>
      <c r="W26" s="669" t="n"/>
      <c r="Y26" s="52" t="n"/>
      <c r="Z26" s="138" t="n"/>
    </row>
    <row r="27" ht="12.75" customFormat="1" customHeight="1" s="20">
      <c r="A27" s="5" t="n"/>
      <c r="B27" s="569" t="n"/>
      <c r="C27" s="128">
        <f>C17</f>
        <v/>
      </c>
      <c r="D27" s="129" t="inlineStr">
        <is>
          <t>Rx</t>
        </is>
      </c>
      <c r="E27" s="663">
        <f>SUM(E23:E26)</f>
        <v/>
      </c>
      <c r="F27" s="663">
        <f>SUM(F23:F26)</f>
        <v/>
      </c>
      <c r="G27" s="663">
        <f>SUM(G23:G26)</f>
        <v/>
      </c>
      <c r="H27" s="663">
        <f>SUM(H23:H26)</f>
        <v/>
      </c>
      <c r="I27" s="663">
        <f>SUM(I23:I26)</f>
        <v/>
      </c>
      <c r="J27" s="663">
        <f>SUM(J23:J26)</f>
        <v/>
      </c>
      <c r="K27" s="663">
        <f>SUM(K23:K26)</f>
        <v/>
      </c>
      <c r="L27" s="663">
        <f>SUM(L23:L26)</f>
        <v/>
      </c>
      <c r="M27" s="663">
        <f>SUM(M23:M26)</f>
        <v/>
      </c>
      <c r="N27" s="663">
        <f>SUM(N23:N26)</f>
        <v/>
      </c>
      <c r="O27" s="663">
        <f>SUM(O23:O26)</f>
        <v/>
      </c>
      <c r="P27" s="663">
        <f>SUM(P23:P26)</f>
        <v/>
      </c>
      <c r="Q27" s="663">
        <f>SUM(Q23:Q26)</f>
        <v/>
      </c>
      <c r="R27" s="663">
        <f>SUM(R23:R26)</f>
        <v/>
      </c>
      <c r="S27" s="663">
        <f>SUM(S23:S26)</f>
        <v/>
      </c>
      <c r="T27" s="664">
        <f>SUM(T23:T26)</f>
        <v/>
      </c>
      <c r="U27" s="663">
        <f>SUM(U23:U26)</f>
        <v/>
      </c>
      <c r="V27" s="663">
        <f>SUM(V23:V26)</f>
        <v/>
      </c>
      <c r="W27" s="665">
        <f>V27-'L1.00 Lead sheet'!I44</f>
        <v/>
      </c>
      <c r="Y27" s="52" t="n"/>
      <c r="Z27" s="138" t="n"/>
    </row>
    <row r="28" ht="12.75" customFormat="1" customHeight="1" s="138">
      <c r="A28" s="21" t="n"/>
      <c r="B28" s="670" t="inlineStr">
        <is>
          <t>净值 (NBV)</t>
        </is>
      </c>
      <c r="C28" s="128">
        <f>C17</f>
        <v/>
      </c>
      <c r="D28" s="129" t="inlineStr">
        <is>
          <t>Rx</t>
        </is>
      </c>
      <c r="E28" s="663">
        <f>E17-E22-E27</f>
        <v/>
      </c>
      <c r="F28" s="663">
        <f>F17-F22-F27</f>
        <v/>
      </c>
      <c r="G28" s="663">
        <f>G17-G22-G27</f>
        <v/>
      </c>
      <c r="H28" s="663">
        <f>H17-H22-H27</f>
        <v/>
      </c>
      <c r="I28" s="663">
        <f>I17-I22-I27</f>
        <v/>
      </c>
      <c r="J28" s="663">
        <f>J17-J22-J27</f>
        <v/>
      </c>
      <c r="K28" s="663">
        <f>K17-K22-K27</f>
        <v/>
      </c>
      <c r="L28" s="663">
        <f>L17-L22-L27</f>
        <v/>
      </c>
      <c r="M28" s="663">
        <f>M17-M22-M27</f>
        <v/>
      </c>
      <c r="N28" s="663">
        <f>N17-N22-N27</f>
        <v/>
      </c>
      <c r="O28" s="663">
        <f>O17-O22-O27</f>
        <v/>
      </c>
      <c r="P28" s="664">
        <f>P17-P22-P27</f>
        <v/>
      </c>
      <c r="Q28" s="664">
        <f>Q17-Q22-Q27</f>
        <v/>
      </c>
      <c r="R28" s="664">
        <f>R17-R22-R27</f>
        <v/>
      </c>
      <c r="S28" s="664">
        <f>S17-S22-S27</f>
        <v/>
      </c>
      <c r="T28" s="664">
        <f>SUM(S28,N28,K28,H28,E28)</f>
        <v/>
      </c>
      <c r="U28" s="663">
        <f>F28+I28+L28+O28+R28</f>
        <v/>
      </c>
      <c r="V28" s="663">
        <f>G28+J28+M28+P28+S28</f>
        <v/>
      </c>
      <c r="W28" s="665">
        <f>V28-'L1.00 Lead sheet'!I48</f>
        <v/>
      </c>
      <c r="Y28" s="52" t="n"/>
    </row>
    <row r="29" ht="12.75" customFormat="1" customHeight="1" s="20">
      <c r="A29" s="5" t="n"/>
      <c r="B29" s="661" t="n"/>
      <c r="C29" s="127">
        <f>C12</f>
        <v/>
      </c>
      <c r="D29" s="130" t="inlineStr">
        <is>
          <t>Rx</t>
        </is>
      </c>
      <c r="E29" s="663">
        <f>E12-E18-E23</f>
        <v/>
      </c>
      <c r="F29" s="663">
        <f>F12-F18-F23</f>
        <v/>
      </c>
      <c r="G29" s="663">
        <f>G12-G18-G23</f>
        <v/>
      </c>
      <c r="H29" s="663">
        <f>H12-H18-H23</f>
        <v/>
      </c>
      <c r="I29" s="663">
        <f>I12-I18-I23</f>
        <v/>
      </c>
      <c r="J29" s="663">
        <f>J12-J18-J23</f>
        <v/>
      </c>
      <c r="K29" s="663">
        <f>K12-K18-K23</f>
        <v/>
      </c>
      <c r="L29" s="663">
        <f>L12-L18-L23</f>
        <v/>
      </c>
      <c r="M29" s="663">
        <f>M12-M18-M23</f>
        <v/>
      </c>
      <c r="N29" s="663">
        <f>N12-N18-N23</f>
        <v/>
      </c>
      <c r="O29" s="663">
        <f>O12-O18-O23</f>
        <v/>
      </c>
      <c r="P29" s="663">
        <f>P12-P18-P23</f>
        <v/>
      </c>
      <c r="Q29" s="663">
        <f>Q12-Q18-Q23</f>
        <v/>
      </c>
      <c r="R29" s="663">
        <f>R12-R18-R23</f>
        <v/>
      </c>
      <c r="S29" s="663">
        <f>S12-S18-S23</f>
        <v/>
      </c>
      <c r="T29" s="664">
        <f>SUM(S29,N29,K29,H29,E29)</f>
        <v/>
      </c>
      <c r="U29" s="663">
        <f>F29+I29+L29+O29+R29</f>
        <v/>
      </c>
      <c r="V29" s="663">
        <f>G29+J29+M29+P29+S29</f>
        <v/>
      </c>
      <c r="W29" s="665">
        <f>V29-'L1.00 Lead sheet'!J48</f>
        <v/>
      </c>
      <c r="Y29" s="52" t="n"/>
      <c r="Z29" s="138" t="n"/>
    </row>
    <row r="30" ht="12.75" customFormat="1" customHeight="1" s="20">
      <c r="A30" s="5" t="n"/>
      <c r="B30" s="670" t="inlineStr">
        <is>
          <t>变动</t>
        </is>
      </c>
      <c r="C30" s="398" t="inlineStr">
        <is>
          <t>原值变动金额</t>
        </is>
      </c>
      <c r="D30" s="671" t="inlineStr">
        <is>
          <t>本年VS上年</t>
        </is>
      </c>
      <c r="E30" s="667">
        <f>E17-E12</f>
        <v/>
      </c>
      <c r="F30" s="667">
        <f>F17-F12</f>
        <v/>
      </c>
      <c r="G30" s="667">
        <f>G17-G12</f>
        <v/>
      </c>
      <c r="H30" s="667">
        <f>H17-H12</f>
        <v/>
      </c>
      <c r="I30" s="667">
        <f>I17-I12</f>
        <v/>
      </c>
      <c r="J30" s="667">
        <f>J17-J12</f>
        <v/>
      </c>
      <c r="K30" s="667">
        <f>K17-K12</f>
        <v/>
      </c>
      <c r="L30" s="667">
        <f>L17-L12</f>
        <v/>
      </c>
      <c r="M30" s="667">
        <f>M17-M12</f>
        <v/>
      </c>
      <c r="N30" s="667">
        <f>N17-N12</f>
        <v/>
      </c>
      <c r="O30" s="667">
        <f>O17-O12</f>
        <v/>
      </c>
      <c r="P30" s="667">
        <f>P17-P12</f>
        <v/>
      </c>
      <c r="Q30" s="667">
        <f>Q17-Q12</f>
        <v/>
      </c>
      <c r="R30" s="668">
        <f>R17-R12</f>
        <v/>
      </c>
      <c r="S30" s="668">
        <f>S17-S12</f>
        <v/>
      </c>
      <c r="T30" s="668">
        <f>T17-T12</f>
        <v/>
      </c>
      <c r="U30" s="667">
        <f>U17-U12</f>
        <v/>
      </c>
      <c r="V30" s="667">
        <f>V17-V12</f>
        <v/>
      </c>
      <c r="W30" s="672" t="n"/>
      <c r="Y30" s="52" t="n"/>
      <c r="Z30" s="138" t="n"/>
    </row>
    <row r="31" ht="12.75" customFormat="1" customHeight="1" s="20">
      <c r="A31" s="5" t="n"/>
      <c r="B31" s="666" t="n"/>
      <c r="C31" s="398" t="inlineStr">
        <is>
          <t>原值变动比例</t>
        </is>
      </c>
      <c r="D31" s="131" t="inlineStr">
        <is>
          <t>%</t>
        </is>
      </c>
      <c r="E31" s="402">
        <f>IFERROR(E30/E12,1)</f>
        <v/>
      </c>
      <c r="F31" s="313" t="n"/>
      <c r="G31" s="402">
        <f>IFERROR(G30/G12,1)</f>
        <v/>
      </c>
      <c r="H31" s="402">
        <f>IFERROR(H30/H12,1)</f>
        <v/>
      </c>
      <c r="I31" s="313" t="n"/>
      <c r="J31" s="402">
        <f>IFERROR(J30/J12,1)</f>
        <v/>
      </c>
      <c r="K31" s="402">
        <f>IFERROR(K30/K12,1)</f>
        <v/>
      </c>
      <c r="L31" s="313" t="n"/>
      <c r="M31" s="402">
        <f>IFERROR(M30/M12,1)</f>
        <v/>
      </c>
      <c r="N31" s="402">
        <f>IFERROR(N30/N12,1)</f>
        <v/>
      </c>
      <c r="O31" s="313" t="n"/>
      <c r="P31" s="402">
        <f>IFERROR(P30/P12,1)</f>
        <v/>
      </c>
      <c r="Q31" s="402">
        <f>IFERROR(Q30/Q12,1)</f>
        <v/>
      </c>
      <c r="R31" s="402" t="n"/>
      <c r="S31" s="402">
        <f>IFERROR(S30/S12,1)</f>
        <v/>
      </c>
      <c r="T31" s="402">
        <f>IFERROR(T30/T12,1)</f>
        <v/>
      </c>
      <c r="U31" s="313" t="n"/>
      <c r="V31" s="402">
        <f>IFERROR(V30/V12,1)</f>
        <v/>
      </c>
      <c r="W31" s="313" t="n"/>
      <c r="Y31" s="52" t="n"/>
      <c r="Z31" s="138" t="n"/>
    </row>
    <row r="32" ht="12.75" customFormat="1" customHeight="1" s="20">
      <c r="A32" s="5" t="n"/>
      <c r="B32" s="666" t="n"/>
      <c r="C32" s="398" t="inlineStr">
        <is>
          <t>累计摊销变动金额</t>
        </is>
      </c>
      <c r="D32" s="671" t="inlineStr">
        <is>
          <t>本年VS上年</t>
        </is>
      </c>
      <c r="E32" s="673">
        <f>E22-E18</f>
        <v/>
      </c>
      <c r="F32" s="673" t="n"/>
      <c r="G32" s="673">
        <f>G22-G18</f>
        <v/>
      </c>
      <c r="H32" s="673">
        <f>H22-H18</f>
        <v/>
      </c>
      <c r="I32" s="673" t="n"/>
      <c r="J32" s="673">
        <f>J22-J18</f>
        <v/>
      </c>
      <c r="K32" s="673">
        <f>K22-K18</f>
        <v/>
      </c>
      <c r="L32" s="673" t="n"/>
      <c r="M32" s="673">
        <f>M22-M18</f>
        <v/>
      </c>
      <c r="N32" s="673">
        <f>N22-N18</f>
        <v/>
      </c>
      <c r="O32" s="673" t="n"/>
      <c r="P32" s="673">
        <f>P22-P18</f>
        <v/>
      </c>
      <c r="Q32" s="673">
        <f>Q22-Q18</f>
        <v/>
      </c>
      <c r="R32" s="673" t="n"/>
      <c r="S32" s="673">
        <f>S22-S18</f>
        <v/>
      </c>
      <c r="T32" s="673">
        <f>T22-T18</f>
        <v/>
      </c>
      <c r="U32" s="673" t="n"/>
      <c r="V32" s="673">
        <f>V22-V18</f>
        <v/>
      </c>
      <c r="W32" s="403" t="n"/>
      <c r="Y32" s="52" t="n"/>
      <c r="Z32" s="138" t="n"/>
    </row>
    <row r="33" ht="12.75" customFormat="1" customHeight="1" s="20">
      <c r="A33" s="5" t="n"/>
      <c r="B33" s="666" t="n"/>
      <c r="C33" s="398" t="inlineStr">
        <is>
          <t>累计摊销变动比例</t>
        </is>
      </c>
      <c r="D33" s="131" t="inlineStr">
        <is>
          <t>%</t>
        </is>
      </c>
      <c r="E33" s="402">
        <f>IFERROR(E32/E18,1)</f>
        <v/>
      </c>
      <c r="F33" s="313" t="n"/>
      <c r="G33" s="402">
        <f>IFERROR(G32/G18,1)</f>
        <v/>
      </c>
      <c r="H33" s="402">
        <f>IFERROR(H32/H18,1)</f>
        <v/>
      </c>
      <c r="I33" s="313" t="n"/>
      <c r="J33" s="402">
        <f>IFERROR(J32/J18,1)</f>
        <v/>
      </c>
      <c r="K33" s="402">
        <f>IFERROR(K32/K18,1)</f>
        <v/>
      </c>
      <c r="L33" s="313" t="n"/>
      <c r="M33" s="402">
        <f>IFERROR(M32/M18,1)</f>
        <v/>
      </c>
      <c r="N33" s="402">
        <f>IFERROR(N32/N18,1)</f>
        <v/>
      </c>
      <c r="O33" s="313" t="n"/>
      <c r="P33" s="402">
        <f>IFERROR(P32/P18,1)</f>
        <v/>
      </c>
      <c r="Q33" s="402">
        <f>IFERROR(Q32/Q18,1)</f>
        <v/>
      </c>
      <c r="R33" s="402" t="n"/>
      <c r="S33" s="402">
        <f>IFERROR(S32/S18,1)</f>
        <v/>
      </c>
      <c r="T33" s="402">
        <f>IFERROR(T32/T18,1)</f>
        <v/>
      </c>
      <c r="U33" s="313" t="n"/>
      <c r="V33" s="402">
        <f>IFERROR(V32/V18,1)</f>
        <v/>
      </c>
      <c r="W33" s="403" t="n"/>
      <c r="Y33" s="52" t="n"/>
      <c r="Z33" s="138" t="n"/>
    </row>
    <row r="34" ht="12.75" customFormat="1" customHeight="1" s="20">
      <c r="A34" s="5" t="n"/>
      <c r="B34" s="666" t="n"/>
      <c r="C34" s="398" t="inlineStr">
        <is>
          <t>减值准备变动金额</t>
        </is>
      </c>
      <c r="D34" s="131" t="inlineStr">
        <is>
          <t>本年VS上年</t>
        </is>
      </c>
      <c r="E34" s="673">
        <f>E27-E23</f>
        <v/>
      </c>
      <c r="F34" s="673" t="n"/>
      <c r="G34" s="673">
        <f>G27-G23</f>
        <v/>
      </c>
      <c r="H34" s="673">
        <f>H27-H23</f>
        <v/>
      </c>
      <c r="I34" s="673" t="n"/>
      <c r="J34" s="673">
        <f>J27-J23</f>
        <v/>
      </c>
      <c r="K34" s="673">
        <f>K27-K23</f>
        <v/>
      </c>
      <c r="L34" s="673" t="n"/>
      <c r="M34" s="673">
        <f>M27-M23</f>
        <v/>
      </c>
      <c r="N34" s="673">
        <f>N27-N23</f>
        <v/>
      </c>
      <c r="O34" s="673" t="n"/>
      <c r="P34" s="673">
        <f>P27-P23</f>
        <v/>
      </c>
      <c r="Q34" s="673">
        <f>Q27-Q23</f>
        <v/>
      </c>
      <c r="R34" s="673" t="n"/>
      <c r="S34" s="673">
        <f>S27-S23</f>
        <v/>
      </c>
      <c r="T34" s="673">
        <f>T27-T23</f>
        <v/>
      </c>
      <c r="U34" s="673" t="n"/>
      <c r="V34" s="673">
        <f>V27-V23</f>
        <v/>
      </c>
      <c r="W34" s="404" t="n"/>
      <c r="Y34" s="52" t="n"/>
      <c r="Z34" s="138" t="n"/>
    </row>
    <row r="35" ht="12.75" customFormat="1" customHeight="1" s="20">
      <c r="A35" s="5" t="n"/>
      <c r="B35" s="661" t="n"/>
      <c r="C35" s="399" t="inlineStr">
        <is>
          <t>减值准备变动比例</t>
        </is>
      </c>
      <c r="D35" s="131" t="inlineStr">
        <is>
          <t>%</t>
        </is>
      </c>
      <c r="E35" s="402">
        <f>IFERROR(E34/E23,1)</f>
        <v/>
      </c>
      <c r="F35" s="313" t="n"/>
      <c r="G35" s="402">
        <f>IFERROR(G34/G23,1)</f>
        <v/>
      </c>
      <c r="H35" s="402">
        <f>IFERROR(H34/H23,1)</f>
        <v/>
      </c>
      <c r="I35" s="313" t="n"/>
      <c r="J35" s="402">
        <f>IFERROR(J34/J23,1)</f>
        <v/>
      </c>
      <c r="K35" s="402">
        <f>IFERROR(K34/K23,1)</f>
        <v/>
      </c>
      <c r="L35" s="313" t="n"/>
      <c r="M35" s="402">
        <f>IFERROR(M34/M23,1)</f>
        <v/>
      </c>
      <c r="N35" s="402">
        <f>IFERROR(N34/N23,1)</f>
        <v/>
      </c>
      <c r="O35" s="313" t="n"/>
      <c r="P35" s="402">
        <f>IFERROR(P34/P23,1)</f>
        <v/>
      </c>
      <c r="Q35" s="402">
        <f>IFERROR(Q34/Q23,1)</f>
        <v/>
      </c>
      <c r="R35" s="402" t="n"/>
      <c r="S35" s="402">
        <f>IFERROR(S34/S23,1)</f>
        <v/>
      </c>
      <c r="T35" s="402">
        <f>IFERROR(T34/T23,1)</f>
        <v/>
      </c>
      <c r="U35" s="313" t="n"/>
      <c r="V35" s="402">
        <f>IFERROR(V34/V23,1)</f>
        <v/>
      </c>
      <c r="W35" s="403" t="n"/>
      <c r="Y35" s="52" t="n"/>
      <c r="Z35" s="138" t="n"/>
    </row>
    <row r="36" ht="12.75" customFormat="1" customHeight="1" s="20">
      <c r="A36" s="5" t="n"/>
      <c r="E36" s="138" t="n"/>
      <c r="F36" s="138" t="n"/>
      <c r="G36" s="138" t="n"/>
      <c r="H36" s="138" t="n"/>
      <c r="I36" s="138" t="n"/>
      <c r="J36" s="138" t="n"/>
      <c r="K36" s="138" t="n"/>
      <c r="L36" s="138" t="n"/>
      <c r="M36" s="138" t="n"/>
      <c r="N36" s="138" t="n"/>
      <c r="O36" s="138" t="n"/>
      <c r="P36" s="138" t="n"/>
      <c r="Q36" s="138" t="n"/>
      <c r="R36" s="138" t="n"/>
      <c r="S36" s="138" t="n"/>
      <c r="T36" s="138" t="n"/>
      <c r="U36" s="138" t="n"/>
      <c r="V36" s="138" t="n"/>
      <c r="Y36" s="52" t="n"/>
      <c r="Z36" s="138" t="n"/>
    </row>
    <row r="37" ht="15.6" customFormat="1" customHeight="1" s="26">
      <c r="A37" s="9" t="n"/>
      <c r="B37" s="330" t="inlineStr">
        <is>
          <t>TB-原值</t>
        </is>
      </c>
      <c r="C37" s="674" t="n"/>
      <c r="D37" s="674" t="n"/>
      <c r="E37" s="675" t="n"/>
      <c r="F37" s="675" t="n"/>
      <c r="G37" s="675" t="n"/>
      <c r="H37" s="675" t="n"/>
      <c r="I37" s="675" t="n"/>
      <c r="J37" s="676" t="n"/>
      <c r="K37" s="675" t="n"/>
      <c r="L37" s="676" t="n"/>
      <c r="M37" s="675" t="n"/>
      <c r="N37" s="675" t="n"/>
      <c r="O37" s="675" t="n"/>
      <c r="P37" s="675" t="n"/>
      <c r="Q37" s="675" t="n"/>
      <c r="R37" s="675" t="n"/>
      <c r="S37" s="676" t="n"/>
      <c r="T37" s="677">
        <f>E37+H37+K37+N37+Q37</f>
        <v/>
      </c>
      <c r="W37" s="5" t="n"/>
      <c r="Y37" s="52" t="n"/>
    </row>
    <row r="38" ht="15.6" customFormat="1" customHeight="1" s="678">
      <c r="A38" s="679" t="n"/>
      <c r="B38" s="330" t="inlineStr">
        <is>
          <t>差异</t>
        </is>
      </c>
      <c r="C38" s="680" t="n"/>
      <c r="D38" s="681" t="n"/>
      <c r="E38" s="682">
        <f>E37-E17</f>
        <v/>
      </c>
      <c r="F38" s="682" t="n"/>
      <c r="G38" s="682" t="n"/>
      <c r="H38" s="682">
        <f>H37-H17</f>
        <v/>
      </c>
      <c r="I38" s="682" t="n"/>
      <c r="J38" s="682" t="n"/>
      <c r="K38" s="682">
        <f>K37-K17</f>
        <v/>
      </c>
      <c r="L38" s="682" t="n"/>
      <c r="M38" s="682" t="n"/>
      <c r="N38" s="682">
        <f>N37-N17</f>
        <v/>
      </c>
      <c r="O38" s="682" t="n"/>
      <c r="P38" s="682" t="n"/>
      <c r="Q38" s="682">
        <f>Q37-Q17</f>
        <v/>
      </c>
      <c r="R38" s="682" t="n"/>
      <c r="S38" s="682" t="n"/>
      <c r="T38" s="683">
        <f>T37-T17</f>
        <v/>
      </c>
      <c r="U38" s="684" t="n"/>
      <c r="V38" s="684" t="n"/>
      <c r="W38" s="5" t="n"/>
      <c r="X38" s="684" t="n"/>
      <c r="Y38" s="52" t="n"/>
      <c r="Z38" s="684" t="n"/>
      <c r="AA38" s="684" t="n"/>
      <c r="AB38" s="684" t="n"/>
      <c r="AC38" s="684" t="n"/>
      <c r="AD38" s="684" t="n"/>
      <c r="AE38" s="684" t="n"/>
    </row>
    <row r="39" ht="15.6" customFormat="1" customHeight="1" s="678">
      <c r="A39" s="679" t="n"/>
      <c r="B39" s="330" t="inlineStr">
        <is>
          <t>TB-累计摊销</t>
        </is>
      </c>
      <c r="C39" s="680" t="n"/>
      <c r="D39" s="681" t="n"/>
      <c r="E39" s="675" t="n"/>
      <c r="F39" s="675" t="n"/>
      <c r="G39" s="675" t="n"/>
      <c r="H39" s="675" t="n"/>
      <c r="I39" s="675" t="n"/>
      <c r="J39" s="676" t="n"/>
      <c r="K39" s="675" t="n"/>
      <c r="L39" s="676" t="n"/>
      <c r="M39" s="675" t="n"/>
      <c r="N39" s="675" t="n"/>
      <c r="O39" s="675" t="n"/>
      <c r="P39" s="675" t="n"/>
      <c r="Q39" s="675" t="n"/>
      <c r="R39" s="682" t="n"/>
      <c r="S39" s="682" t="n"/>
      <c r="T39" s="677">
        <f>E39+H39+K39+N39+Q39</f>
        <v/>
      </c>
      <c r="U39" s="684" t="n"/>
      <c r="V39" s="684" t="n"/>
      <c r="W39" s="5" t="n"/>
      <c r="X39" s="684" t="n"/>
      <c r="Y39" s="52" t="n"/>
      <c r="Z39" s="684" t="n"/>
      <c r="AA39" s="684" t="n"/>
      <c r="AB39" s="684" t="n"/>
      <c r="AC39" s="684" t="n"/>
      <c r="AD39" s="684" t="n"/>
      <c r="AE39" s="684" t="n"/>
    </row>
    <row r="40" ht="15.6" customFormat="1" customHeight="1" s="678">
      <c r="A40" s="679" t="n"/>
      <c r="B40" s="330" t="inlineStr">
        <is>
          <t>差异</t>
        </is>
      </c>
      <c r="C40" s="680" t="n"/>
      <c r="D40" s="681" t="n"/>
      <c r="E40" s="682">
        <f>E39-E22</f>
        <v/>
      </c>
      <c r="F40" s="682" t="n"/>
      <c r="G40" s="682" t="n"/>
      <c r="H40" s="682">
        <f>H39-H22</f>
        <v/>
      </c>
      <c r="I40" s="682" t="n"/>
      <c r="J40" s="682" t="n"/>
      <c r="K40" s="682">
        <f>K39-K22</f>
        <v/>
      </c>
      <c r="L40" s="682" t="n"/>
      <c r="M40" s="682" t="n"/>
      <c r="N40" s="682">
        <f>N39-N22</f>
        <v/>
      </c>
      <c r="O40" s="682" t="n"/>
      <c r="P40" s="682" t="n"/>
      <c r="Q40" s="682">
        <f>Q39-Q22</f>
        <v/>
      </c>
      <c r="R40" s="682" t="n"/>
      <c r="S40" s="682" t="n"/>
      <c r="T40" s="683">
        <f>T39-T22</f>
        <v/>
      </c>
      <c r="U40" s="684" t="n"/>
      <c r="V40" s="684" t="n"/>
      <c r="W40" s="5" t="n"/>
      <c r="X40" s="684" t="n"/>
      <c r="Y40" s="52" t="n"/>
      <c r="Z40" s="684" t="n"/>
      <c r="AA40" s="684" t="n"/>
      <c r="AB40" s="684" t="n"/>
      <c r="AC40" s="684" t="n"/>
      <c r="AD40" s="684" t="n"/>
      <c r="AE40" s="684" t="n"/>
    </row>
    <row r="41" ht="15.6" customFormat="1" customHeight="1" s="678">
      <c r="A41" s="679" t="n"/>
      <c r="B41" s="330" t="inlineStr">
        <is>
          <t>TB-减值准备</t>
        </is>
      </c>
      <c r="C41" s="680" t="n"/>
      <c r="D41" s="681" t="n"/>
      <c r="E41" s="675" t="n"/>
      <c r="F41" s="675" t="n"/>
      <c r="G41" s="675" t="n"/>
      <c r="H41" s="675" t="n"/>
      <c r="I41" s="675" t="n"/>
      <c r="J41" s="676" t="n"/>
      <c r="K41" s="675" t="n"/>
      <c r="L41" s="676" t="n"/>
      <c r="M41" s="675" t="n"/>
      <c r="N41" s="675" t="n"/>
      <c r="O41" s="675" t="n"/>
      <c r="P41" s="675" t="n"/>
      <c r="Q41" s="675" t="n"/>
      <c r="R41" s="682" t="n"/>
      <c r="S41" s="682" t="n"/>
      <c r="T41" s="677">
        <f>E41+H41+K41+N41+Q41</f>
        <v/>
      </c>
      <c r="U41" s="684" t="n"/>
      <c r="V41" s="684" t="n"/>
      <c r="W41" s="5" t="n"/>
      <c r="X41" s="684" t="n"/>
      <c r="Y41" s="52" t="n"/>
      <c r="Z41" s="684" t="n"/>
      <c r="AA41" s="684" t="n"/>
      <c r="AB41" s="684" t="n"/>
      <c r="AC41" s="684" t="n"/>
      <c r="AD41" s="684" t="n"/>
      <c r="AE41" s="684" t="n"/>
    </row>
    <row r="42" ht="15.6" customFormat="1" customHeight="1" s="678">
      <c r="A42" s="679" t="n"/>
      <c r="B42" s="330" t="inlineStr">
        <is>
          <t>差异</t>
        </is>
      </c>
      <c r="C42" s="680" t="n"/>
      <c r="D42" s="681" t="n"/>
      <c r="E42" s="682">
        <f>E41-E27</f>
        <v/>
      </c>
      <c r="F42" s="682" t="n"/>
      <c r="G42" s="682" t="n"/>
      <c r="H42" s="682">
        <f>H41-H27</f>
        <v/>
      </c>
      <c r="I42" s="682" t="n"/>
      <c r="J42" s="682" t="n"/>
      <c r="K42" s="682">
        <f>K41-K27</f>
        <v/>
      </c>
      <c r="L42" s="682" t="n"/>
      <c r="M42" s="682" t="n"/>
      <c r="N42" s="682">
        <f>N41-N27</f>
        <v/>
      </c>
      <c r="O42" s="682" t="n"/>
      <c r="P42" s="682" t="n"/>
      <c r="Q42" s="682">
        <f>Q41-Q27</f>
        <v/>
      </c>
      <c r="R42" s="682" t="n"/>
      <c r="S42" s="682" t="n"/>
      <c r="T42" s="683">
        <f>T41-T27</f>
        <v/>
      </c>
      <c r="U42" s="684" t="n"/>
      <c r="V42" s="684" t="n"/>
      <c r="W42" s="5" t="n"/>
      <c r="X42" s="684" t="n"/>
      <c r="Y42" s="52" t="n"/>
      <c r="Z42" s="684" t="n"/>
      <c r="AA42" s="684" t="n"/>
      <c r="AB42" s="684" t="n"/>
      <c r="AC42" s="684" t="n"/>
      <c r="AD42" s="684" t="n"/>
      <c r="AE42" s="684" t="n"/>
    </row>
    <row r="43" ht="15.6" customFormat="1" customHeight="1" s="678">
      <c r="A43" s="679" t="n"/>
      <c r="B43" s="330" t="inlineStr">
        <is>
          <t>TB-净值</t>
        </is>
      </c>
      <c r="C43" s="680" t="n"/>
      <c r="D43" s="681" t="n"/>
      <c r="E43" s="675" t="n"/>
      <c r="F43" s="675" t="n"/>
      <c r="G43" s="675" t="n"/>
      <c r="H43" s="675" t="n"/>
      <c r="I43" s="675" t="n"/>
      <c r="J43" s="676" t="n"/>
      <c r="K43" s="675" t="n"/>
      <c r="L43" s="676" t="n"/>
      <c r="M43" s="675" t="n"/>
      <c r="N43" s="675" t="n"/>
      <c r="O43" s="675" t="n"/>
      <c r="P43" s="675" t="n"/>
      <c r="Q43" s="675" t="n"/>
      <c r="R43" s="682" t="n"/>
      <c r="S43" s="682" t="n"/>
      <c r="T43" s="677">
        <f>E43+H43+K43+N43+Q43</f>
        <v/>
      </c>
      <c r="U43" s="684" t="n"/>
      <c r="V43" s="684" t="n"/>
      <c r="W43" s="5" t="n"/>
      <c r="X43" s="684" t="n"/>
      <c r="Y43" s="52" t="n"/>
      <c r="Z43" s="684" t="n"/>
      <c r="AA43" s="684" t="n"/>
      <c r="AB43" s="684" t="n"/>
      <c r="AC43" s="684" t="n"/>
      <c r="AD43" s="684" t="n"/>
      <c r="AE43" s="684" t="n"/>
    </row>
    <row r="44" ht="15.6" customFormat="1" customHeight="1" s="678">
      <c r="A44" s="679" t="n"/>
      <c r="B44" s="330" t="inlineStr">
        <is>
          <t>差异</t>
        </is>
      </c>
      <c r="C44" s="680" t="n"/>
      <c r="D44" s="681" t="n"/>
      <c r="E44" s="682">
        <f>E43-E28</f>
        <v/>
      </c>
      <c r="F44" s="682" t="n"/>
      <c r="G44" s="682" t="n"/>
      <c r="H44" s="682">
        <f>H43-H28</f>
        <v/>
      </c>
      <c r="I44" s="682" t="n"/>
      <c r="J44" s="682" t="n"/>
      <c r="K44" s="682">
        <f>K43-K28</f>
        <v/>
      </c>
      <c r="L44" s="682" t="n"/>
      <c r="M44" s="682" t="n"/>
      <c r="N44" s="682">
        <f>N43-N28</f>
        <v/>
      </c>
      <c r="O44" s="682" t="n"/>
      <c r="P44" s="682" t="n"/>
      <c r="Q44" s="682">
        <f>Q43-Q28</f>
        <v/>
      </c>
      <c r="R44" s="682" t="n"/>
      <c r="S44" s="682" t="n"/>
      <c r="T44" s="683">
        <f>T43-T28</f>
        <v/>
      </c>
      <c r="U44" s="684" t="n"/>
      <c r="V44" s="684" t="n"/>
      <c r="W44" s="5" t="n"/>
      <c r="X44" s="684" t="n"/>
      <c r="Y44" s="52" t="n"/>
      <c r="Z44" s="684" t="n"/>
      <c r="AA44" s="684" t="n"/>
      <c r="AB44" s="684" t="n"/>
      <c r="AC44" s="684" t="n"/>
      <c r="AD44" s="684" t="n"/>
      <c r="AE44" s="684" t="n"/>
    </row>
    <row r="45" ht="13.2" customFormat="1" customHeight="1" s="678">
      <c r="A45" s="679" t="n"/>
      <c r="B45" s="685" t="n"/>
      <c r="C45" s="680" t="n"/>
      <c r="D45" s="681" t="n"/>
      <c r="E45" s="686" t="n"/>
      <c r="F45" s="686" t="n"/>
      <c r="G45" s="686" t="n"/>
      <c r="H45" s="686" t="n"/>
      <c r="I45" s="686" t="n"/>
      <c r="J45" s="686" t="n"/>
      <c r="K45" s="686" t="n"/>
      <c r="L45" s="686" t="n"/>
      <c r="M45" s="686" t="n"/>
      <c r="N45" s="686" t="n"/>
      <c r="O45" s="686" t="n"/>
      <c r="P45" s="686" t="n"/>
      <c r="Q45" s="686" t="n"/>
      <c r="R45" s="686" t="n"/>
      <c r="S45" s="686" t="n"/>
      <c r="T45" s="687" t="n"/>
      <c r="U45" s="684" t="n"/>
      <c r="V45" s="684" t="n"/>
      <c r="W45" s="5" t="n"/>
      <c r="X45" s="684" t="n"/>
      <c r="Y45" s="52" t="n"/>
      <c r="Z45" s="684" t="n"/>
      <c r="AA45" s="684" t="n"/>
      <c r="AB45" s="684" t="n"/>
      <c r="AC45" s="684" t="n"/>
      <c r="AD45" s="684" t="n"/>
      <c r="AE45" s="684" t="n"/>
    </row>
    <row r="46" ht="13.2" customFormat="1" customHeight="1" s="678">
      <c r="A46" s="679" t="n"/>
      <c r="C46" s="680" t="n"/>
      <c r="D46" s="681" t="n"/>
      <c r="E46" s="687" t="n"/>
      <c r="F46" s="687" t="n"/>
      <c r="G46" s="687" t="n"/>
      <c r="H46" s="687" t="n"/>
      <c r="I46" s="687" t="n"/>
      <c r="J46" s="687" t="n"/>
      <c r="K46" s="687" t="n"/>
      <c r="L46" s="687" t="n"/>
      <c r="M46" s="687" t="n"/>
      <c r="N46" s="687" t="n"/>
      <c r="O46" s="687" t="n"/>
      <c r="P46" s="687" t="n"/>
      <c r="Q46" s="687" t="n"/>
      <c r="R46" s="687" t="n"/>
      <c r="S46" s="687" t="n"/>
      <c r="T46" s="687" t="n"/>
      <c r="U46" s="684" t="n"/>
      <c r="V46" s="684" t="n"/>
      <c r="W46" s="5" t="n"/>
      <c r="X46" s="684" t="n"/>
      <c r="Y46" s="52" t="n"/>
      <c r="Z46" s="684" t="n"/>
      <c r="AA46" s="684" t="n"/>
      <c r="AB46" s="684" t="n"/>
      <c r="AC46" s="684" t="n"/>
      <c r="AD46" s="684" t="n"/>
      <c r="AE46" s="684" t="n"/>
    </row>
    <row r="47" ht="12.75" customFormat="1" customHeight="1" s="20">
      <c r="A47" s="8" t="n"/>
      <c r="B47" s="331" t="inlineStr">
        <is>
          <t>获取期末的无形资产明细清单，我们将无形资产明细清单的金额与表1金额进行核对，调查大于SAD的差异。</t>
        </is>
      </c>
      <c r="C47" s="138" t="n"/>
      <c r="D47" s="138" t="n"/>
      <c r="E47" s="138" t="n"/>
      <c r="F47" s="138" t="n"/>
      <c r="G47" s="138" t="n"/>
      <c r="H47" s="138" t="n"/>
      <c r="I47" s="138" t="n"/>
      <c r="J47" s="138" t="n"/>
      <c r="K47" s="138" t="n"/>
      <c r="L47" s="138" t="n"/>
      <c r="Y47" s="52" t="n"/>
      <c r="Z47" s="138" t="n"/>
      <c r="AA47" s="137" t="n"/>
      <c r="CE47" s="139" t="n"/>
      <c r="CF47" s="139" t="n"/>
      <c r="CG47" s="139" t="n"/>
      <c r="CH47" s="139" t="n"/>
      <c r="CI47" s="139" t="n"/>
      <c r="CJ47" s="139" t="n"/>
      <c r="CK47" s="139" t="n"/>
      <c r="CL47" s="139" t="n"/>
      <c r="CM47" s="139" t="n"/>
      <c r="CN47" s="139" t="n"/>
      <c r="CO47" s="139" t="n"/>
      <c r="CP47" s="139" t="n"/>
      <c r="CQ47" s="139" t="n"/>
      <c r="CR47" s="139" t="n"/>
      <c r="CS47" s="139" t="n"/>
      <c r="CT47" s="139" t="n"/>
      <c r="CU47" s="139" t="n"/>
      <c r="CV47" s="139" t="n"/>
      <c r="CW47" s="139" t="n"/>
      <c r="CX47" s="139" t="n"/>
      <c r="CY47" s="139" t="n"/>
      <c r="CZ47" s="139" t="n"/>
      <c r="DA47" s="139" t="n"/>
      <c r="DB47" s="139" t="n"/>
      <c r="DC47" s="139" t="n"/>
      <c r="DD47" s="139" t="n"/>
      <c r="DE47" s="146" t="n"/>
      <c r="DF47" s="139" t="n"/>
      <c r="DG47" s="147" t="n"/>
    </row>
    <row r="48" ht="12.75" customFormat="1" customHeight="1" s="20">
      <c r="A48" s="8" t="n"/>
      <c r="B48" s="332" t="inlineStr">
        <is>
          <t>表2</t>
        </is>
      </c>
      <c r="C48" s="138" t="n"/>
      <c r="D48" s="138" t="n"/>
      <c r="E48" s="138" t="n"/>
      <c r="F48" s="138" t="n"/>
      <c r="G48" s="138" t="n"/>
      <c r="H48" s="138" t="n"/>
      <c r="I48" s="138" t="n"/>
      <c r="J48" s="138" t="n"/>
      <c r="K48" s="138" t="n"/>
      <c r="L48" s="138" t="n"/>
      <c r="Y48" s="52" t="n"/>
      <c r="Z48" s="138" t="n"/>
      <c r="AA48" s="137" t="n"/>
      <c r="CE48" s="139" t="n"/>
      <c r="CF48" s="139" t="n"/>
      <c r="CG48" s="139" t="n"/>
      <c r="CH48" s="139" t="n"/>
      <c r="CI48" s="139" t="n"/>
      <c r="CJ48" s="139" t="n"/>
      <c r="CK48" s="139" t="n"/>
      <c r="CL48" s="139" t="n"/>
      <c r="CM48" s="139" t="n"/>
      <c r="CN48" s="139" t="n"/>
      <c r="CO48" s="139" t="n"/>
      <c r="CP48" s="139" t="n"/>
      <c r="CQ48" s="139" t="n"/>
      <c r="CR48" s="139" t="n"/>
      <c r="CS48" s="139" t="n"/>
      <c r="CT48" s="139" t="n"/>
      <c r="CU48" s="139" t="n"/>
      <c r="CV48" s="139" t="n"/>
      <c r="CW48" s="139" t="n"/>
      <c r="CX48" s="139" t="n"/>
      <c r="CY48" s="139" t="n"/>
      <c r="CZ48" s="139" t="n"/>
      <c r="DA48" s="139" t="n"/>
      <c r="DB48" s="139" t="n"/>
      <c r="DC48" s="139" t="n"/>
      <c r="DD48" s="139" t="n"/>
      <c r="DE48" s="146" t="n"/>
      <c r="DF48" s="139" t="n"/>
      <c r="DG48" s="147" t="n"/>
    </row>
    <row r="49" ht="12.75" customFormat="1" customHeight="1" s="20">
      <c r="A49" s="5" t="n"/>
      <c r="B49" s="333" t="n"/>
      <c r="C49" s="334" t="n"/>
      <c r="D49" s="335" t="inlineStr">
        <is>
          <t>IA list汇总</t>
        </is>
      </c>
      <c r="E49" s="334" t="n"/>
      <c r="F49" s="336" t="n"/>
      <c r="G49" s="337" t="inlineStr">
        <is>
          <t>表3</t>
        </is>
      </c>
      <c r="H49" s="338" t="n"/>
      <c r="I49" s="339" t="inlineStr">
        <is>
          <t>check with 表1</t>
        </is>
      </c>
      <c r="J49" s="340" t="n"/>
      <c r="K49" s="341" t="n"/>
      <c r="L49" s="138" t="n"/>
      <c r="Y49" s="52" t="n"/>
      <c r="Z49" s="138" t="n"/>
      <c r="AA49" s="137" t="n"/>
      <c r="CE49" s="139" t="n"/>
      <c r="CF49" s="139" t="n"/>
      <c r="CG49" s="139" t="n"/>
      <c r="CH49" s="139" t="n"/>
      <c r="CI49" s="139" t="n"/>
      <c r="CJ49" s="139" t="n"/>
      <c r="CK49" s="139" t="n"/>
      <c r="CL49" s="139" t="n"/>
      <c r="CM49" s="139" t="n"/>
      <c r="CN49" s="139" t="n"/>
      <c r="CO49" s="139" t="n"/>
      <c r="CP49" s="139" t="n"/>
      <c r="CQ49" s="139" t="n"/>
      <c r="CR49" s="139" t="n"/>
      <c r="CS49" s="139" t="n"/>
      <c r="CT49" s="139" t="n"/>
      <c r="CU49" s="139" t="n"/>
      <c r="CV49" s="139" t="n"/>
      <c r="CW49" s="139" t="n"/>
      <c r="CX49" s="139" t="n"/>
      <c r="CY49" s="139" t="n"/>
      <c r="CZ49" s="139" t="n"/>
      <c r="DA49" s="139" t="n"/>
      <c r="DB49" s="139" t="n"/>
      <c r="DC49" s="139" t="n"/>
      <c r="DD49" s="139" t="n"/>
      <c r="DE49" s="146" t="n"/>
      <c r="DF49" s="139" t="n"/>
      <c r="DG49" s="147" t="n"/>
    </row>
    <row r="50" ht="12.75" customFormat="1" customHeight="1" s="20">
      <c r="A50" s="5" t="n"/>
      <c r="B50" s="342" t="inlineStr">
        <is>
          <t>类别</t>
        </is>
      </c>
      <c r="C50" s="343" t="inlineStr">
        <is>
          <t>原值</t>
        </is>
      </c>
      <c r="D50" s="343" t="inlineStr">
        <is>
          <t>累计摊销</t>
        </is>
      </c>
      <c r="E50" s="343" t="inlineStr">
        <is>
          <t>减值准备</t>
        </is>
      </c>
      <c r="F50" s="343" t="inlineStr">
        <is>
          <t>净值</t>
        </is>
      </c>
      <c r="G50" s="344" t="n"/>
      <c r="H50" s="343" t="inlineStr">
        <is>
          <t>原值</t>
        </is>
      </c>
      <c r="I50" s="343" t="inlineStr">
        <is>
          <t>累计摊销</t>
        </is>
      </c>
      <c r="J50" s="343" t="inlineStr">
        <is>
          <t>减值准备</t>
        </is>
      </c>
      <c r="K50" s="343" t="inlineStr">
        <is>
          <t>净值</t>
        </is>
      </c>
      <c r="L50" s="138" t="n"/>
      <c r="Y50" s="52" t="n"/>
      <c r="Z50" s="138" t="n"/>
      <c r="AA50" s="137" t="n"/>
      <c r="CE50" s="139" t="n"/>
      <c r="CF50" s="139" t="n"/>
      <c r="CG50" s="139" t="n"/>
      <c r="CH50" s="139" t="n"/>
      <c r="CI50" s="139" t="n"/>
      <c r="CJ50" s="139" t="n"/>
      <c r="CK50" s="139" t="n"/>
      <c r="CL50" s="139" t="n"/>
      <c r="CM50" s="139" t="n"/>
      <c r="CN50" s="139" t="n"/>
      <c r="CO50" s="139" t="n"/>
      <c r="CP50" s="139" t="n"/>
      <c r="CQ50" s="139" t="n"/>
      <c r="CR50" s="139" t="n"/>
      <c r="CS50" s="139" t="n"/>
      <c r="CT50" s="139" t="n"/>
      <c r="CU50" s="139" t="n"/>
      <c r="CV50" s="139" t="n"/>
      <c r="CW50" s="139" t="n"/>
      <c r="CX50" s="139" t="n"/>
      <c r="CY50" s="139" t="n"/>
      <c r="CZ50" s="139" t="n"/>
      <c r="DA50" s="139" t="n"/>
      <c r="DB50" s="139" t="n"/>
      <c r="DC50" s="139" t="n"/>
      <c r="DD50" s="139" t="n"/>
      <c r="DE50" s="146" t="n"/>
      <c r="DF50" s="139" t="n"/>
      <c r="DG50" s="147" t="n"/>
    </row>
    <row r="51" ht="12.75" customFormat="1" customHeight="1" s="20">
      <c r="A51" s="5" t="n"/>
      <c r="B51" s="345">
        <f>F10</f>
        <v/>
      </c>
      <c r="C51" s="688">
        <f>SUMIF('L1.03 摊销测试'!$D$12:$D$17,$B51,'L1.03 摊销测试'!$J$12:$J$17)</f>
        <v/>
      </c>
      <c r="D51" s="688">
        <f>SUMIF('L1.03 摊销测试'!$D$12:$D$17,$B51,'L1.03 摊销测试'!$K$12:$K$17)</f>
        <v/>
      </c>
      <c r="E51" s="688">
        <f>SUMIF('L1.03 摊销测试'!$D$12:$D$17,$B51,'L1.03 摊销测试'!$L$12:$L$17)</f>
        <v/>
      </c>
      <c r="F51" s="688">
        <f>SUMIF('L1.03 摊销测试'!$D$12:$D$17,$B51,'L1.03 摊销测试'!$M$12:$M$17)</f>
        <v/>
      </c>
      <c r="G51" s="417" t="n"/>
      <c r="H51" s="688">
        <f>C51-E17</f>
        <v/>
      </c>
      <c r="I51" s="688">
        <f>D51-E22</f>
        <v/>
      </c>
      <c r="J51" s="688">
        <f>E51-E27</f>
        <v/>
      </c>
      <c r="K51" s="688">
        <f>F51-E28</f>
        <v/>
      </c>
      <c r="L51" s="138" t="n"/>
      <c r="Y51" s="52" t="n"/>
      <c r="Z51" s="138" t="n"/>
      <c r="AA51" s="137" t="n"/>
      <c r="CE51" s="139" t="n"/>
      <c r="CF51" s="139" t="n"/>
      <c r="CG51" s="139" t="n"/>
      <c r="CH51" s="139" t="n"/>
      <c r="CI51" s="139" t="n"/>
      <c r="CJ51" s="139" t="n"/>
      <c r="CK51" s="139" t="n"/>
      <c r="CL51" s="139" t="n"/>
      <c r="CM51" s="139" t="n"/>
      <c r="CN51" s="139" t="n"/>
      <c r="CO51" s="139" t="n"/>
      <c r="CP51" s="139" t="n"/>
      <c r="CQ51" s="139" t="n"/>
      <c r="CR51" s="139" t="n"/>
      <c r="CS51" s="139" t="n"/>
      <c r="CT51" s="139" t="n"/>
      <c r="CU51" s="139" t="n"/>
      <c r="CV51" s="139" t="n"/>
      <c r="CW51" s="139" t="n"/>
      <c r="CX51" s="139" t="n"/>
      <c r="CY51" s="139" t="n"/>
      <c r="CZ51" s="139" t="n"/>
      <c r="DA51" s="139" t="n"/>
      <c r="DB51" s="139" t="n"/>
      <c r="DC51" s="139" t="n"/>
      <c r="DD51" s="139" t="n"/>
      <c r="DE51" s="146" t="n"/>
      <c r="DF51" s="139" t="n"/>
      <c r="DG51" s="147" t="n"/>
    </row>
    <row r="52" ht="12.75" customFormat="1" customHeight="1" s="20">
      <c r="A52" s="5" t="n"/>
      <c r="B52" s="345">
        <f>I10</f>
        <v/>
      </c>
      <c r="C52" s="688">
        <f>SUMIF('L1.03 摊销测试'!$D$12:$D$17,$B52,'L1.03 摊销测试'!$J$12:$J$17)</f>
        <v/>
      </c>
      <c r="D52" s="688">
        <f>SUMIF('L1.03 摊销测试'!$D$12:$D$17,$B52,'L1.03 摊销测试'!$K$12:$K$17)</f>
        <v/>
      </c>
      <c r="E52" s="688">
        <f>SUMIF('L1.03 摊销测试'!$D$12:$D$17,$B52,'L1.03 摊销测试'!$L$12:$L$17)</f>
        <v/>
      </c>
      <c r="F52" s="688">
        <f>SUMIF('L1.03 摊销测试'!$D$12:$D$17,$B52,'L1.03 摊销测试'!$M$12:$M$17)</f>
        <v/>
      </c>
      <c r="G52" s="417" t="n"/>
      <c r="H52" s="688">
        <f>C52-H17</f>
        <v/>
      </c>
      <c r="I52" s="688">
        <f>D52-H22</f>
        <v/>
      </c>
      <c r="J52" s="688">
        <f>E52-H27</f>
        <v/>
      </c>
      <c r="K52" s="688">
        <f>F52-H28</f>
        <v/>
      </c>
      <c r="L52" s="138" t="n"/>
      <c r="Y52" s="52" t="n"/>
      <c r="Z52" s="138" t="n"/>
      <c r="AA52" s="137" t="n"/>
      <c r="CE52" s="139" t="n"/>
      <c r="CF52" s="139" t="n"/>
      <c r="CG52" s="139" t="n"/>
      <c r="CH52" s="139" t="n"/>
      <c r="CI52" s="139" t="n"/>
      <c r="CJ52" s="139" t="n"/>
      <c r="CK52" s="139" t="n"/>
      <c r="CL52" s="139" t="n"/>
      <c r="CM52" s="139" t="n"/>
      <c r="CN52" s="139" t="n"/>
      <c r="CO52" s="139" t="n"/>
      <c r="CP52" s="139" t="n"/>
      <c r="CQ52" s="139" t="n"/>
      <c r="CR52" s="139" t="n"/>
      <c r="CS52" s="139" t="n"/>
      <c r="CT52" s="139" t="n"/>
      <c r="CU52" s="139" t="n"/>
      <c r="CV52" s="139" t="n"/>
      <c r="CW52" s="139" t="n"/>
      <c r="CX52" s="139" t="n"/>
      <c r="CY52" s="139" t="n"/>
      <c r="CZ52" s="139" t="n"/>
      <c r="DA52" s="139" t="n"/>
      <c r="DB52" s="139" t="n"/>
      <c r="DC52" s="139" t="n"/>
      <c r="DD52" s="139" t="n"/>
      <c r="DE52" s="146" t="n"/>
      <c r="DF52" s="139" t="n"/>
      <c r="DG52" s="147" t="n"/>
    </row>
    <row r="53" ht="12.75" customFormat="1" customHeight="1" s="20">
      <c r="A53" s="5" t="n"/>
      <c r="B53" s="345">
        <f>L10</f>
        <v/>
      </c>
      <c r="C53" s="688">
        <f>SUMIF('L1.03 摊销测试'!$D$12:$D$17,$B53,'L1.03 摊销测试'!$J$12:$J$17)</f>
        <v/>
      </c>
      <c r="D53" s="688">
        <f>SUMIF('L1.03 摊销测试'!$D$12:$D$17,$B53,'L1.03 摊销测试'!$K$12:$K$17)</f>
        <v/>
      </c>
      <c r="E53" s="688">
        <f>SUMIF('L1.03 摊销测试'!$D$12:$D$17,$B53,'L1.03 摊销测试'!$L$12:$L$17)</f>
        <v/>
      </c>
      <c r="F53" s="688">
        <f>SUMIF('L1.03 摊销测试'!$D$12:$D$17,$B53,'L1.03 摊销测试'!$M$12:$M$17)</f>
        <v/>
      </c>
      <c r="G53" s="417" t="n"/>
      <c r="H53" s="688">
        <f>C53-K17</f>
        <v/>
      </c>
      <c r="I53" s="688">
        <f>D53-K22</f>
        <v/>
      </c>
      <c r="J53" s="688">
        <f>E53-K27</f>
        <v/>
      </c>
      <c r="K53" s="688">
        <f>F53-K28</f>
        <v/>
      </c>
      <c r="L53" s="138" t="n"/>
      <c r="Y53" s="52" t="n"/>
      <c r="Z53" s="138" t="n"/>
      <c r="AA53" s="137" t="n"/>
      <c r="CE53" s="139" t="n"/>
      <c r="CF53" s="139" t="n"/>
      <c r="CG53" s="139" t="n"/>
      <c r="CH53" s="139" t="n"/>
      <c r="CI53" s="139" t="n"/>
      <c r="CJ53" s="139" t="n"/>
      <c r="CK53" s="139" t="n"/>
      <c r="CL53" s="139" t="n"/>
      <c r="CM53" s="139" t="n"/>
      <c r="CN53" s="139" t="n"/>
      <c r="CO53" s="139" t="n"/>
      <c r="CP53" s="139" t="n"/>
      <c r="CQ53" s="139" t="n"/>
      <c r="CR53" s="139" t="n"/>
      <c r="CS53" s="139" t="n"/>
      <c r="CT53" s="139" t="n"/>
      <c r="CU53" s="139" t="n"/>
      <c r="CV53" s="139" t="n"/>
      <c r="CW53" s="139" t="n"/>
      <c r="CX53" s="139" t="n"/>
      <c r="CY53" s="139" t="n"/>
      <c r="CZ53" s="139" t="n"/>
      <c r="DA53" s="139" t="n"/>
      <c r="DB53" s="139" t="n"/>
      <c r="DC53" s="139" t="n"/>
      <c r="DD53" s="139" t="n"/>
      <c r="DE53" s="146" t="n"/>
      <c r="DF53" s="139" t="n"/>
      <c r="DG53" s="147" t="n"/>
    </row>
    <row r="54" ht="12.75" customFormat="1" customHeight="1" s="20">
      <c r="A54" s="5" t="n"/>
      <c r="B54" s="345">
        <f>O10</f>
        <v/>
      </c>
      <c r="C54" s="688">
        <f>SUMIF('L1.03 摊销测试'!$D$12:$D$17,$B54,'L1.03 摊销测试'!$J$12:$J$17)</f>
        <v/>
      </c>
      <c r="D54" s="688">
        <f>SUMIF('L1.03 摊销测试'!$D$12:$D$17,$B54,'L1.03 摊销测试'!$K$12:$K$17)</f>
        <v/>
      </c>
      <c r="E54" s="688">
        <f>SUMIF('L1.03 摊销测试'!$D$12:$D$17,$B54,'L1.03 摊销测试'!$L$12:$L$17)</f>
        <v/>
      </c>
      <c r="F54" s="688">
        <f>SUMIF('L1.03 摊销测试'!$D$12:$D$17,$B54,'L1.03 摊销测试'!$M$12:$M$17)</f>
        <v/>
      </c>
      <c r="G54" s="417" t="n"/>
      <c r="H54" s="688">
        <f>C54-N17</f>
        <v/>
      </c>
      <c r="I54" s="688">
        <f>D54-N22</f>
        <v/>
      </c>
      <c r="J54" s="688">
        <f>E54-N27</f>
        <v/>
      </c>
      <c r="K54" s="688">
        <f>F54-N28</f>
        <v/>
      </c>
      <c r="L54" s="138" t="n"/>
      <c r="Y54" s="52" t="n"/>
      <c r="Z54" s="138" t="n"/>
      <c r="AA54" s="137" t="n"/>
      <c r="CE54" s="139" t="n"/>
      <c r="CF54" s="139" t="n"/>
      <c r="CG54" s="139" t="n"/>
      <c r="CH54" s="139" t="n"/>
      <c r="CI54" s="139" t="n"/>
      <c r="CJ54" s="139" t="n"/>
      <c r="CK54" s="139" t="n"/>
      <c r="CL54" s="139" t="n"/>
      <c r="CM54" s="139" t="n"/>
      <c r="CN54" s="139" t="n"/>
      <c r="CO54" s="139" t="n"/>
      <c r="CP54" s="139" t="n"/>
      <c r="CQ54" s="139" t="n"/>
      <c r="CR54" s="139" t="n"/>
      <c r="CS54" s="139" t="n"/>
      <c r="CT54" s="139" t="n"/>
      <c r="CU54" s="139" t="n"/>
      <c r="CV54" s="139" t="n"/>
      <c r="CW54" s="139" t="n"/>
      <c r="CX54" s="139" t="n"/>
      <c r="CY54" s="139" t="n"/>
      <c r="CZ54" s="139" t="n"/>
      <c r="DA54" s="139" t="n"/>
      <c r="DB54" s="139" t="n"/>
      <c r="DC54" s="139" t="n"/>
      <c r="DD54" s="139" t="n"/>
      <c r="DE54" s="146" t="n"/>
      <c r="DF54" s="139" t="n"/>
      <c r="DG54" s="147" t="n"/>
    </row>
    <row r="55" ht="12.75" customFormat="1" customHeight="1" s="20">
      <c r="A55" s="5" t="n"/>
      <c r="B55" s="345">
        <f>R10</f>
        <v/>
      </c>
      <c r="C55" s="688">
        <f>SUMIF('L1.03 摊销测试'!$D$12:$D$17,$B55,'L1.03 摊销测试'!$J$12:$J$17)</f>
        <v/>
      </c>
      <c r="D55" s="688">
        <f>SUMIF('L1.03 摊销测试'!$D$12:$D$17,$B55,'L1.03 摊销测试'!$K$12:$K$17)</f>
        <v/>
      </c>
      <c r="E55" s="688">
        <f>SUMIF('L1.03 摊销测试'!$D$12:$D$17,$B55,'L1.03 摊销测试'!$L$12:$L$17)</f>
        <v/>
      </c>
      <c r="F55" s="688">
        <f>SUMIF('L1.03 摊销测试'!$D$12:$D$17,$B55,'L1.03 摊销测试'!$M$12:$M$17)</f>
        <v/>
      </c>
      <c r="G55" s="417" t="n"/>
      <c r="H55" s="688">
        <f>C55-Q17</f>
        <v/>
      </c>
      <c r="I55" s="688">
        <f>D55-Q22</f>
        <v/>
      </c>
      <c r="J55" s="688">
        <f>E55-Q27</f>
        <v/>
      </c>
      <c r="K55" s="688">
        <f>F55-Q28</f>
        <v/>
      </c>
      <c r="L55" s="138" t="n"/>
      <c r="Y55" s="52" t="n"/>
      <c r="Z55" s="138" t="n"/>
      <c r="AA55" s="137" t="n"/>
      <c r="CE55" s="139" t="n"/>
      <c r="CF55" s="139" t="n"/>
      <c r="CG55" s="139" t="n"/>
      <c r="CH55" s="139" t="n"/>
      <c r="CI55" s="139" t="n"/>
      <c r="CJ55" s="139" t="n"/>
      <c r="CK55" s="139" t="n"/>
      <c r="CL55" s="139" t="n"/>
      <c r="CM55" s="139" t="n"/>
      <c r="CN55" s="139" t="n"/>
      <c r="CO55" s="139" t="n"/>
      <c r="CP55" s="139" t="n"/>
      <c r="CQ55" s="139" t="n"/>
      <c r="CR55" s="139" t="n"/>
      <c r="CS55" s="139" t="n"/>
      <c r="CT55" s="139" t="n"/>
      <c r="CU55" s="139" t="n"/>
      <c r="CV55" s="139" t="n"/>
      <c r="CW55" s="139" t="n"/>
      <c r="CX55" s="139" t="n"/>
      <c r="CY55" s="139" t="n"/>
      <c r="CZ55" s="139" t="n"/>
      <c r="DA55" s="139" t="n"/>
      <c r="DB55" s="139" t="n"/>
      <c r="DC55" s="139" t="n"/>
      <c r="DD55" s="139" t="n"/>
      <c r="DE55" s="146" t="n"/>
      <c r="DF55" s="139" t="n"/>
      <c r="DG55" s="147" t="n"/>
    </row>
    <row r="56" ht="12.75" customFormat="1" customHeight="1" s="20">
      <c r="A56" s="5" t="n"/>
      <c r="B56" s="345" t="inlineStr">
        <is>
          <t>合计</t>
        </is>
      </c>
      <c r="C56" s="688">
        <f>SUM(C51:C55)</f>
        <v/>
      </c>
      <c r="D56" s="688">
        <f>SUMIF('L1.03 摊销测试'!$D$12:$D$17,$B56,'L1.03 摊销测试'!$K$12:$K$17)</f>
        <v/>
      </c>
      <c r="E56" s="688">
        <f>SUMIF('L1.03 摊销测试'!$D$12:$D$17,$B56,'L1.03 摊销测试'!$L$12:$L$17)</f>
        <v/>
      </c>
      <c r="F56" s="688">
        <f>SUMIF('L1.03 摊销测试'!$D$12:$D$17,$B56,'L1.03 摊销测试'!$M$12:$M$17)</f>
        <v/>
      </c>
      <c r="G56" s="418" t="n"/>
      <c r="H56" s="688">
        <f>C56-T17</f>
        <v/>
      </c>
      <c r="I56" s="688">
        <f>D56-T22</f>
        <v/>
      </c>
      <c r="J56" s="688">
        <f>E56-T27</f>
        <v/>
      </c>
      <c r="K56" s="688">
        <f>F56-T28</f>
        <v/>
      </c>
      <c r="L56" s="138" t="n"/>
      <c r="Y56" s="52" t="n"/>
      <c r="Z56" s="138" t="n"/>
      <c r="AA56" s="137" t="n"/>
      <c r="CE56" s="139" t="n"/>
      <c r="CF56" s="139" t="n"/>
      <c r="CG56" s="139" t="n"/>
      <c r="CH56" s="139" t="n"/>
      <c r="CI56" s="139" t="n"/>
      <c r="CJ56" s="139" t="n"/>
      <c r="CK56" s="139" t="n"/>
      <c r="CL56" s="139" t="n"/>
      <c r="CM56" s="139" t="n"/>
      <c r="CN56" s="139" t="n"/>
      <c r="CO56" s="139" t="n"/>
      <c r="CP56" s="139" t="n"/>
      <c r="CQ56" s="139" t="n"/>
      <c r="CR56" s="139" t="n"/>
      <c r="CS56" s="139" t="n"/>
      <c r="CT56" s="139" t="n"/>
      <c r="CU56" s="139" t="n"/>
      <c r="CV56" s="139" t="n"/>
      <c r="CW56" s="139" t="n"/>
      <c r="CX56" s="139" t="n"/>
      <c r="CY56" s="139" t="n"/>
      <c r="CZ56" s="139" t="n"/>
      <c r="DA56" s="139" t="n"/>
      <c r="DB56" s="139" t="n"/>
      <c r="DC56" s="139" t="n"/>
      <c r="DD56" s="139" t="n"/>
      <c r="DE56" s="146" t="n"/>
      <c r="DF56" s="139" t="n"/>
      <c r="DG56" s="147" t="n"/>
    </row>
    <row r="57" ht="12.75" customFormat="1" customHeight="1" s="20">
      <c r="A57" s="5" t="n"/>
      <c r="B57" s="138" t="n"/>
      <c r="C57" s="138" t="n"/>
      <c r="D57" s="138" t="n"/>
      <c r="E57" s="138" t="n"/>
      <c r="F57" s="138" t="n"/>
      <c r="G57" s="138" t="n"/>
      <c r="H57" s="138" t="n"/>
      <c r="I57" s="138" t="n"/>
      <c r="J57" s="138" t="n"/>
      <c r="K57" s="138" t="n"/>
      <c r="L57" s="138" t="n"/>
      <c r="Y57" s="52" t="n"/>
      <c r="Z57" s="138" t="n"/>
      <c r="AA57" s="137" t="n"/>
      <c r="CE57" s="139" t="n"/>
      <c r="CF57" s="139" t="n"/>
      <c r="CG57" s="139" t="n"/>
      <c r="CH57" s="139" t="n"/>
      <c r="CI57" s="139" t="n"/>
      <c r="CJ57" s="139" t="n"/>
      <c r="CK57" s="139" t="n"/>
      <c r="CL57" s="139" t="n"/>
      <c r="CM57" s="139" t="n"/>
      <c r="CN57" s="139" t="n"/>
      <c r="CO57" s="139" t="n"/>
      <c r="CP57" s="139" t="n"/>
      <c r="CQ57" s="139" t="n"/>
      <c r="CR57" s="139" t="n"/>
      <c r="CS57" s="139" t="n"/>
      <c r="CT57" s="139" t="n"/>
      <c r="CU57" s="139" t="n"/>
      <c r="CV57" s="139" t="n"/>
      <c r="CW57" s="139" t="n"/>
      <c r="CX57" s="139" t="n"/>
      <c r="CY57" s="139" t="n"/>
      <c r="CZ57" s="139" t="n"/>
      <c r="DA57" s="139" t="n"/>
      <c r="DB57" s="139" t="n"/>
      <c r="DC57" s="139" t="n"/>
      <c r="DD57" s="139" t="n"/>
      <c r="DE57" s="146" t="n"/>
      <c r="DF57" s="139" t="n"/>
      <c r="DG57" s="147" t="n"/>
    </row>
    <row r="58" ht="12.75" customFormat="1" customHeight="1" s="20">
      <c r="A58" s="138" t="n"/>
      <c r="B58" s="346" t="inlineStr">
        <is>
          <t>Notes：如果项目仅对部分总账科目执行程序，需评估未执行程序的总账科目加总金额是否大于TE，如大于TE，请项目组执行额外的测试程序。(如不适用请删除）</t>
        </is>
      </c>
      <c r="C58" s="138" t="n"/>
      <c r="D58" s="347" t="n"/>
      <c r="E58" s="347" t="n"/>
      <c r="F58" s="347" t="n"/>
      <c r="G58" s="138" t="n"/>
      <c r="H58" s="138" t="n"/>
      <c r="I58" s="138" t="n"/>
      <c r="J58" s="138" t="n"/>
      <c r="K58" s="138" t="n"/>
      <c r="L58" s="138" t="n"/>
      <c r="Y58" s="52" t="n"/>
      <c r="Z58" s="138" t="n"/>
      <c r="AA58" s="137" t="n"/>
      <c r="CE58" s="139" t="n"/>
      <c r="CF58" s="139" t="n"/>
      <c r="CG58" s="139" t="n"/>
      <c r="CH58" s="139" t="n"/>
      <c r="CI58" s="139" t="n"/>
      <c r="CJ58" s="139" t="n"/>
      <c r="CK58" s="139" t="n"/>
      <c r="CL58" s="139" t="n"/>
      <c r="CM58" s="139" t="n"/>
      <c r="CN58" s="139" t="n"/>
      <c r="CO58" s="139" t="n"/>
      <c r="CP58" s="139" t="n"/>
      <c r="CQ58" s="139" t="n"/>
      <c r="CR58" s="139" t="n"/>
      <c r="CS58" s="139" t="n"/>
      <c r="CT58" s="139" t="n"/>
      <c r="CU58" s="139" t="n"/>
      <c r="CV58" s="139" t="n"/>
      <c r="CW58" s="139" t="n"/>
      <c r="CX58" s="139" t="n"/>
      <c r="CY58" s="139" t="n"/>
      <c r="CZ58" s="139" t="n"/>
      <c r="DA58" s="139" t="n"/>
      <c r="DB58" s="139" t="n"/>
      <c r="DC58" s="139" t="n"/>
      <c r="DD58" s="139" t="n"/>
      <c r="DE58" s="146" t="n"/>
      <c r="DF58" s="139" t="n"/>
      <c r="DG58" s="147" t="n"/>
    </row>
    <row r="59" ht="12.75" customFormat="1" customHeight="1" s="20">
      <c r="A59" s="21" t="n"/>
      <c r="B59" s="689" t="n"/>
      <c r="C59" s="690" t="n"/>
      <c r="D59" s="690" t="n"/>
      <c r="E59" s="690" t="n"/>
      <c r="F59" s="691" t="n"/>
      <c r="G59" s="138" t="n"/>
      <c r="H59" s="138" t="n"/>
      <c r="I59" s="138" t="n"/>
      <c r="J59" s="138" t="n"/>
      <c r="Y59" s="52" t="n"/>
      <c r="Z59" s="138" t="n"/>
      <c r="AA59" s="137" t="n"/>
      <c r="CE59" s="139" t="n"/>
      <c r="CF59" s="139" t="n"/>
      <c r="CG59" s="139" t="n"/>
      <c r="CH59" s="139" t="n"/>
      <c r="CI59" s="139" t="n"/>
      <c r="CJ59" s="139" t="n"/>
      <c r="CK59" s="139" t="n"/>
      <c r="CL59" s="139" t="n"/>
      <c r="CM59" s="139" t="n"/>
      <c r="CN59" s="139" t="n"/>
      <c r="CO59" s="139" t="n"/>
      <c r="CP59" s="139" t="n"/>
      <c r="CQ59" s="139" t="n"/>
      <c r="CR59" s="139" t="n"/>
      <c r="CS59" s="139" t="n"/>
      <c r="CT59" s="139" t="n"/>
      <c r="CU59" s="139" t="n"/>
      <c r="CV59" s="139" t="n"/>
      <c r="CW59" s="139" t="n"/>
      <c r="CX59" s="139" t="n"/>
      <c r="CY59" s="139" t="n"/>
      <c r="CZ59" s="139" t="n"/>
      <c r="DA59" s="139" t="n"/>
      <c r="DB59" s="139" t="n"/>
      <c r="DC59" s="139" t="n"/>
      <c r="DD59" s="139" t="n"/>
      <c r="DE59" s="146" t="n"/>
      <c r="DF59" s="139" t="n"/>
      <c r="DG59" s="147" t="n"/>
    </row>
    <row r="60" ht="12.75" customFormat="1" customHeight="1" s="20">
      <c r="A60" s="21" t="n"/>
      <c r="B60" s="692" t="n"/>
      <c r="C60" s="616" t="n"/>
      <c r="D60" s="616" t="n"/>
      <c r="E60" s="616" t="n"/>
      <c r="F60" s="693" t="n"/>
      <c r="G60" s="138" t="n"/>
      <c r="H60" s="138" t="n"/>
      <c r="I60" s="138" t="n"/>
      <c r="J60" s="138" t="n"/>
      <c r="Y60" s="52" t="n"/>
      <c r="Z60" s="138" t="n"/>
      <c r="AA60" s="137" t="n"/>
      <c r="CE60" s="139" t="n"/>
      <c r="CF60" s="139" t="n"/>
      <c r="CG60" s="139" t="n"/>
      <c r="CH60" s="139" t="n"/>
      <c r="CI60" s="139" t="n"/>
      <c r="CJ60" s="139" t="n"/>
      <c r="CK60" s="139" t="n"/>
      <c r="CL60" s="139" t="n"/>
      <c r="CM60" s="139" t="n"/>
      <c r="CN60" s="139" t="n"/>
      <c r="CO60" s="139" t="n"/>
      <c r="CP60" s="139" t="n"/>
      <c r="CQ60" s="139" t="n"/>
      <c r="CR60" s="139" t="n"/>
      <c r="CS60" s="139" t="n"/>
      <c r="CT60" s="139" t="n"/>
      <c r="CU60" s="139" t="n"/>
      <c r="CV60" s="139" t="n"/>
      <c r="CW60" s="139" t="n"/>
      <c r="CX60" s="139" t="n"/>
      <c r="CY60" s="139" t="n"/>
      <c r="CZ60" s="139" t="n"/>
      <c r="DA60" s="139" t="n"/>
      <c r="DB60" s="139" t="n"/>
      <c r="DC60" s="139" t="n"/>
      <c r="DD60" s="139" t="n"/>
      <c r="DE60" s="146" t="n"/>
      <c r="DF60" s="139" t="n"/>
      <c r="DG60" s="147" t="n"/>
    </row>
    <row r="61" ht="12.75" customFormat="1" customHeight="1" s="20">
      <c r="A61" s="21" t="n"/>
      <c r="B61" s="692" t="n"/>
      <c r="C61" s="616" t="n"/>
      <c r="D61" s="616" t="n"/>
      <c r="E61" s="616" t="n"/>
      <c r="F61" s="693" t="n"/>
      <c r="G61" s="138" t="n"/>
      <c r="H61" s="138" t="n"/>
      <c r="I61" s="138" t="n"/>
      <c r="J61" s="138" t="n"/>
      <c r="Y61" s="52" t="n"/>
      <c r="Z61" s="138" t="n"/>
      <c r="AA61" s="137" t="n"/>
      <c r="CE61" s="139" t="n"/>
      <c r="CF61" s="139" t="n"/>
      <c r="CG61" s="139" t="n"/>
      <c r="CH61" s="139" t="n"/>
      <c r="CI61" s="139" t="n"/>
      <c r="CJ61" s="139" t="n"/>
      <c r="CK61" s="139" t="n"/>
      <c r="CL61" s="139" t="n"/>
      <c r="CM61" s="139" t="n"/>
      <c r="CN61" s="139" t="n"/>
      <c r="CO61" s="139" t="n"/>
      <c r="CP61" s="139" t="n"/>
      <c r="CQ61" s="139" t="n"/>
      <c r="CR61" s="139" t="n"/>
      <c r="CS61" s="139" t="n"/>
      <c r="CT61" s="139" t="n"/>
      <c r="CU61" s="139" t="n"/>
      <c r="CV61" s="139" t="n"/>
      <c r="CW61" s="139" t="n"/>
      <c r="CX61" s="139" t="n"/>
      <c r="CY61" s="139" t="n"/>
      <c r="CZ61" s="139" t="n"/>
      <c r="DA61" s="139" t="n"/>
      <c r="DB61" s="139" t="n"/>
      <c r="DC61" s="139" t="n"/>
      <c r="DD61" s="139" t="n"/>
      <c r="DE61" s="146" t="n"/>
      <c r="DF61" s="139" t="n"/>
      <c r="DG61" s="147" t="n"/>
    </row>
    <row r="62" ht="12.75" customFormat="1" customHeight="1" s="20">
      <c r="A62" s="21" t="n"/>
      <c r="B62" s="694" t="n"/>
      <c r="C62" s="619" t="n"/>
      <c r="D62" s="619" t="n"/>
      <c r="E62" s="619" t="n"/>
      <c r="F62" s="695" t="n"/>
      <c r="G62" s="138" t="n"/>
      <c r="H62" s="138" t="n"/>
      <c r="I62" s="138" t="n"/>
      <c r="J62" s="138" t="n"/>
      <c r="Y62" s="52" t="n"/>
      <c r="Z62" s="138" t="n"/>
      <c r="AA62" s="137" t="n"/>
      <c r="CE62" s="139" t="n"/>
      <c r="CF62" s="139" t="n"/>
      <c r="CG62" s="139" t="n"/>
      <c r="CH62" s="139" t="n"/>
      <c r="CI62" s="139" t="n"/>
      <c r="CJ62" s="139" t="n"/>
      <c r="CK62" s="139" t="n"/>
      <c r="CL62" s="139" t="n"/>
      <c r="CM62" s="139" t="n"/>
      <c r="CN62" s="139" t="n"/>
      <c r="CO62" s="139" t="n"/>
      <c r="CP62" s="139" t="n"/>
      <c r="CQ62" s="139" t="n"/>
      <c r="CR62" s="139" t="n"/>
      <c r="CS62" s="139" t="n"/>
      <c r="CT62" s="139" t="n"/>
      <c r="CU62" s="139" t="n"/>
      <c r="CV62" s="139" t="n"/>
      <c r="CW62" s="139" t="n"/>
      <c r="CX62" s="139" t="n"/>
      <c r="CY62" s="139" t="n"/>
      <c r="CZ62" s="139" t="n"/>
      <c r="DA62" s="139" t="n"/>
      <c r="DB62" s="139" t="n"/>
      <c r="DC62" s="139" t="n"/>
      <c r="DD62" s="139" t="n"/>
      <c r="DE62" s="146" t="n"/>
      <c r="DF62" s="139" t="n"/>
      <c r="DG62" s="147" t="n"/>
    </row>
    <row r="63" ht="12.75" customFormat="1" customHeight="1" s="20">
      <c r="A63" s="21" t="n"/>
      <c r="B63" s="138" t="n"/>
      <c r="C63" s="138" t="n"/>
      <c r="D63" s="138" t="n"/>
      <c r="E63" s="138" t="n"/>
      <c r="F63" s="138" t="n"/>
      <c r="G63" s="138" t="n"/>
      <c r="H63" s="138" t="n"/>
      <c r="I63" s="138" t="n"/>
      <c r="J63" s="138" t="n"/>
      <c r="Y63" s="52" t="n"/>
      <c r="Z63" s="138" t="n"/>
      <c r="AA63" s="137" t="n"/>
      <c r="CE63" s="139" t="n"/>
      <c r="CF63" s="139" t="n"/>
      <c r="CG63" s="139" t="n"/>
      <c r="CH63" s="139" t="n"/>
      <c r="CI63" s="139" t="n"/>
      <c r="CJ63" s="139" t="n"/>
      <c r="CK63" s="139" t="n"/>
      <c r="CL63" s="139" t="n"/>
      <c r="CM63" s="139" t="n"/>
      <c r="CN63" s="139" t="n"/>
      <c r="CO63" s="139" t="n"/>
      <c r="CP63" s="139" t="n"/>
      <c r="CQ63" s="139" t="n"/>
      <c r="CR63" s="139" t="n"/>
      <c r="CS63" s="139" t="n"/>
      <c r="CT63" s="139" t="n"/>
      <c r="CU63" s="139" t="n"/>
      <c r="CV63" s="139" t="n"/>
      <c r="CW63" s="139" t="n"/>
      <c r="CX63" s="139" t="n"/>
      <c r="CY63" s="139" t="n"/>
      <c r="CZ63" s="139" t="n"/>
      <c r="DA63" s="139" t="n"/>
      <c r="DB63" s="139" t="n"/>
      <c r="DC63" s="139" t="n"/>
      <c r="DD63" s="139" t="n"/>
      <c r="DE63" s="146" t="n"/>
      <c r="DF63" s="139" t="n"/>
      <c r="DG63" s="147" t="n"/>
    </row>
    <row r="64" ht="12.75" customFormat="1" customHeight="1" s="20">
      <c r="A64" s="21" t="n"/>
      <c r="B64" s="281" t="inlineStr">
        <is>
          <t>Notes：请在此记录无形资产明细账和总账的差异，并详细记录对差异进行的核查程序</t>
        </is>
      </c>
      <c r="C64" s="138" t="n"/>
      <c r="D64" s="138" t="n"/>
      <c r="E64" s="138" t="n"/>
      <c r="F64" s="138" t="n"/>
      <c r="G64" s="138" t="n"/>
      <c r="H64" s="138" t="n"/>
      <c r="I64" s="138" t="n"/>
      <c r="J64" s="138" t="n"/>
      <c r="Y64" s="52" t="n"/>
      <c r="Z64" s="138" t="n"/>
      <c r="AA64" s="137" t="n"/>
      <c r="CE64" s="139" t="n"/>
      <c r="CF64" s="139" t="n"/>
      <c r="CG64" s="139" t="n"/>
      <c r="CH64" s="139" t="n"/>
      <c r="CI64" s="139" t="n"/>
      <c r="CJ64" s="139" t="n"/>
      <c r="CK64" s="139" t="n"/>
      <c r="CL64" s="139" t="n"/>
      <c r="CM64" s="139" t="n"/>
      <c r="CN64" s="139" t="n"/>
      <c r="CO64" s="139" t="n"/>
      <c r="CP64" s="139" t="n"/>
      <c r="CQ64" s="139" t="n"/>
      <c r="CR64" s="139" t="n"/>
      <c r="CS64" s="139" t="n"/>
      <c r="CT64" s="139" t="n"/>
      <c r="CU64" s="139" t="n"/>
      <c r="CV64" s="139" t="n"/>
      <c r="CW64" s="139" t="n"/>
      <c r="CX64" s="139" t="n"/>
      <c r="CY64" s="139" t="n"/>
      <c r="CZ64" s="139" t="n"/>
      <c r="DA64" s="139" t="n"/>
      <c r="DB64" s="139" t="n"/>
      <c r="DC64" s="139" t="n"/>
      <c r="DD64" s="139" t="n"/>
      <c r="DE64" s="146" t="n"/>
      <c r="DF64" s="139" t="n"/>
      <c r="DG64" s="147" t="n"/>
    </row>
    <row r="65" ht="12.75" customFormat="1" customHeight="1" s="20">
      <c r="A65" s="21" t="n"/>
      <c r="B65" s="696" t="n"/>
      <c r="C65" s="690" t="n"/>
      <c r="D65" s="690" t="n"/>
      <c r="E65" s="690" t="n"/>
      <c r="F65" s="691" t="n"/>
      <c r="G65" s="138" t="n"/>
      <c r="H65" s="138" t="n"/>
      <c r="I65" s="138" t="n"/>
      <c r="J65" s="138" t="n"/>
      <c r="Y65" s="52" t="n"/>
      <c r="Z65" s="138" t="n"/>
      <c r="AA65" s="137" t="n"/>
      <c r="CE65" s="139" t="n"/>
      <c r="CF65" s="139" t="n"/>
      <c r="CG65" s="139" t="n"/>
      <c r="CH65" s="139" t="n"/>
      <c r="CI65" s="139" t="n"/>
      <c r="CJ65" s="139" t="n"/>
      <c r="CK65" s="139" t="n"/>
      <c r="CL65" s="139" t="n"/>
      <c r="CM65" s="139" t="n"/>
      <c r="CN65" s="139" t="n"/>
      <c r="CO65" s="139" t="n"/>
      <c r="CP65" s="139" t="n"/>
      <c r="CQ65" s="139" t="n"/>
      <c r="CR65" s="139" t="n"/>
      <c r="CS65" s="139" t="n"/>
      <c r="CT65" s="139" t="n"/>
      <c r="CU65" s="139" t="n"/>
      <c r="CV65" s="139" t="n"/>
      <c r="CW65" s="139" t="n"/>
      <c r="CX65" s="139" t="n"/>
      <c r="CY65" s="139" t="n"/>
      <c r="CZ65" s="139" t="n"/>
      <c r="DA65" s="139" t="n"/>
      <c r="DB65" s="139" t="n"/>
      <c r="DC65" s="139" t="n"/>
      <c r="DD65" s="139" t="n"/>
      <c r="DE65" s="146" t="n"/>
      <c r="DF65" s="139" t="n"/>
      <c r="DG65" s="147" t="n"/>
    </row>
    <row r="66" ht="12.75" customFormat="1" customHeight="1" s="20">
      <c r="A66" s="21" t="n"/>
      <c r="B66" s="692" t="n"/>
      <c r="C66" s="616" t="n"/>
      <c r="D66" s="616" t="n"/>
      <c r="E66" s="616" t="n"/>
      <c r="F66" s="693" t="n"/>
      <c r="G66" s="138" t="n"/>
      <c r="H66" s="138" t="n"/>
      <c r="I66" s="138" t="n"/>
      <c r="J66" s="138" t="n"/>
      <c r="Y66" s="52" t="n"/>
      <c r="Z66" s="138" t="n"/>
      <c r="AA66" s="137" t="n"/>
      <c r="CE66" s="139" t="n"/>
      <c r="CF66" s="139" t="n"/>
      <c r="CG66" s="139" t="n"/>
      <c r="CH66" s="139" t="n"/>
      <c r="CI66" s="139" t="n"/>
      <c r="CJ66" s="139" t="n"/>
      <c r="CK66" s="139" t="n"/>
      <c r="CL66" s="139" t="n"/>
      <c r="CM66" s="139" t="n"/>
      <c r="CN66" s="139" t="n"/>
      <c r="CO66" s="139" t="n"/>
      <c r="CP66" s="139" t="n"/>
      <c r="CQ66" s="139" t="n"/>
      <c r="CR66" s="139" t="n"/>
      <c r="CS66" s="139" t="n"/>
      <c r="CT66" s="139" t="n"/>
      <c r="CU66" s="139" t="n"/>
      <c r="CV66" s="139" t="n"/>
      <c r="CW66" s="139" t="n"/>
      <c r="CX66" s="139" t="n"/>
      <c r="CY66" s="139" t="n"/>
      <c r="CZ66" s="139" t="n"/>
      <c r="DA66" s="139" t="n"/>
      <c r="DB66" s="139" t="n"/>
      <c r="DC66" s="139" t="n"/>
      <c r="DD66" s="139" t="n"/>
      <c r="DE66" s="146" t="n"/>
      <c r="DF66" s="139" t="n"/>
      <c r="DG66" s="147" t="n"/>
    </row>
    <row r="67" ht="12.75" customFormat="1" customHeight="1" s="20">
      <c r="A67" s="21" t="n"/>
      <c r="B67" s="692" t="n"/>
      <c r="C67" s="616" t="n"/>
      <c r="D67" s="616" t="n"/>
      <c r="E67" s="616" t="n"/>
      <c r="F67" s="693" t="n"/>
      <c r="G67" s="138" t="n"/>
      <c r="H67" s="138" t="n"/>
      <c r="I67" s="138" t="n"/>
      <c r="J67" s="138" t="n"/>
      <c r="Y67" s="52" t="n"/>
      <c r="Z67" s="138" t="n"/>
      <c r="AA67" s="137" t="n"/>
      <c r="CE67" s="139" t="n"/>
      <c r="CF67" s="139" t="n"/>
      <c r="CG67" s="139" t="n"/>
      <c r="CH67" s="139" t="n"/>
      <c r="CI67" s="139" t="n"/>
      <c r="CJ67" s="139" t="n"/>
      <c r="CK67" s="139" t="n"/>
      <c r="CL67" s="139" t="n"/>
      <c r="CM67" s="139" t="n"/>
      <c r="CN67" s="139" t="n"/>
      <c r="CO67" s="139" t="n"/>
      <c r="CP67" s="139" t="n"/>
      <c r="CQ67" s="139" t="n"/>
      <c r="CR67" s="139" t="n"/>
      <c r="CS67" s="139" t="n"/>
      <c r="CT67" s="139" t="n"/>
      <c r="CU67" s="139" t="n"/>
      <c r="CV67" s="139" t="n"/>
      <c r="CW67" s="139" t="n"/>
      <c r="CX67" s="139" t="n"/>
      <c r="CY67" s="139" t="n"/>
      <c r="CZ67" s="139" t="n"/>
      <c r="DA67" s="139" t="n"/>
      <c r="DB67" s="139" t="n"/>
      <c r="DC67" s="139" t="n"/>
      <c r="DD67" s="139" t="n"/>
      <c r="DE67" s="146" t="n"/>
      <c r="DF67" s="139" t="n"/>
      <c r="DG67" s="147" t="n"/>
    </row>
    <row r="68" ht="12.75" customFormat="1" customHeight="1" s="20">
      <c r="A68" s="21" t="n"/>
      <c r="B68" s="694" t="n"/>
      <c r="C68" s="619" t="n"/>
      <c r="D68" s="619" t="n"/>
      <c r="E68" s="619" t="n"/>
      <c r="F68" s="695" t="n"/>
      <c r="G68" s="138" t="n"/>
      <c r="H68" s="138" t="n"/>
      <c r="I68" s="138" t="n"/>
      <c r="J68" s="138" t="n"/>
      <c r="Y68" s="52" t="n"/>
      <c r="Z68" s="138" t="n"/>
      <c r="AA68" s="137" t="n"/>
      <c r="CE68" s="139" t="n"/>
      <c r="CF68" s="139" t="n"/>
      <c r="CG68" s="139" t="n"/>
      <c r="CH68" s="139" t="n"/>
      <c r="CI68" s="139" t="n"/>
      <c r="CJ68" s="139" t="n"/>
      <c r="CK68" s="139" t="n"/>
      <c r="CL68" s="139" t="n"/>
      <c r="CM68" s="139" t="n"/>
      <c r="CN68" s="139" t="n"/>
      <c r="CO68" s="139" t="n"/>
      <c r="CP68" s="139" t="n"/>
      <c r="CQ68" s="139" t="n"/>
      <c r="CR68" s="139" t="n"/>
      <c r="CS68" s="139" t="n"/>
      <c r="CT68" s="139" t="n"/>
      <c r="CU68" s="139" t="n"/>
      <c r="CV68" s="139" t="n"/>
      <c r="CW68" s="139" t="n"/>
      <c r="CX68" s="139" t="n"/>
      <c r="CY68" s="139" t="n"/>
      <c r="CZ68" s="139" t="n"/>
      <c r="DA68" s="139" t="n"/>
      <c r="DB68" s="139" t="n"/>
      <c r="DC68" s="139" t="n"/>
      <c r="DD68" s="139" t="n"/>
      <c r="DE68" s="146" t="n"/>
      <c r="DF68" s="139" t="n"/>
      <c r="DG68" s="147" t="n"/>
    </row>
    <row r="69" ht="15" customHeight="1">
      <c r="A69" s="21" t="n"/>
      <c r="B69" s="281" t="n"/>
      <c r="C69" s="281" t="n"/>
      <c r="D69" s="281" t="n"/>
      <c r="E69" s="281" t="n"/>
      <c r="F69" s="281" t="n"/>
      <c r="G69" s="281" t="n"/>
      <c r="H69" s="281" t="n"/>
      <c r="I69" s="281" t="n"/>
      <c r="J69" s="281" t="n"/>
      <c r="Y69" s="52" t="n"/>
    </row>
    <row r="70" ht="15" customHeight="1">
      <c r="B70" s="348" t="inlineStr">
        <is>
          <t>将无形资产本年摊销与利润表相关科目金额核对。复核本期摊销是否正确，与利润表科目核对是否相符。</t>
        </is>
      </c>
      <c r="C70" s="10" t="n"/>
      <c r="D70" s="10" t="n"/>
      <c r="E70" s="10" t="n"/>
      <c r="F70" s="281" t="n"/>
      <c r="G70" s="281" t="n"/>
      <c r="H70" s="281" t="n"/>
      <c r="I70" s="281" t="n"/>
      <c r="J70" s="281" t="n"/>
      <c r="Y70" s="52" t="n"/>
    </row>
    <row r="71" ht="15" customHeight="1">
      <c r="A71" s="21" t="n"/>
      <c r="B71" s="21" t="inlineStr">
        <is>
          <t>表4</t>
        </is>
      </c>
      <c r="C71" s="281" t="n"/>
      <c r="D71" s="281" t="n"/>
      <c r="E71" s="281" t="n"/>
      <c r="F71" s="281" t="n"/>
      <c r="G71" s="10" t="n"/>
      <c r="H71" s="281" t="n"/>
      <c r="I71" s="281" t="n"/>
      <c r="J71" s="281" t="n"/>
      <c r="K71" s="281" t="n"/>
      <c r="Y71" s="52" t="n"/>
    </row>
    <row r="72" ht="15" customHeight="1">
      <c r="A72" s="21" t="n"/>
      <c r="B72" s="282" t="inlineStr">
        <is>
          <t>本年摊销与利润表科目核对</t>
        </is>
      </c>
      <c r="C72" s="283" t="n"/>
      <c r="D72" s="283" t="n"/>
      <c r="E72" s="284" t="n"/>
      <c r="F72" s="284" t="n"/>
      <c r="G72" s="285" t="n"/>
      <c r="H72" s="281" t="n"/>
      <c r="I72" s="281" t="n"/>
      <c r="J72" s="281" t="n"/>
      <c r="K72" s="281" t="n"/>
      <c r="Y72" s="52" t="n"/>
    </row>
    <row r="73" ht="15" customHeight="1">
      <c r="A73" s="21" t="n"/>
      <c r="B73" s="286" t="inlineStr">
        <is>
          <t>交叉索引</t>
        </is>
      </c>
      <c r="C73" s="287" t="inlineStr">
        <is>
          <t>账套名称/账套编码</t>
        </is>
      </c>
      <c r="D73" s="287" t="inlineStr">
        <is>
          <t>科目编码</t>
        </is>
      </c>
      <c r="E73" s="287" t="inlineStr">
        <is>
          <t>科目名称</t>
        </is>
      </c>
      <c r="F73" s="279" t="inlineStr">
        <is>
          <t>金额</t>
        </is>
      </c>
      <c r="G73" s="288" t="n"/>
      <c r="H73" s="281" t="n"/>
      <c r="I73" s="281" t="n"/>
      <c r="J73" s="281" t="n"/>
      <c r="K73" s="281" t="n"/>
      <c r="Y73" s="52" t="n"/>
    </row>
    <row r="74" ht="15" customHeight="1">
      <c r="A74" s="21" t="n"/>
      <c r="B74" s="289" t="n"/>
      <c r="C74" s="290" t="n"/>
      <c r="D74" s="277" t="n"/>
      <c r="E74" s="291" t="inlineStr">
        <is>
          <t>制造费用</t>
        </is>
      </c>
      <c r="F74" s="697" t="n"/>
      <c r="G74" s="288" t="n"/>
      <c r="H74" s="281" t="n"/>
      <c r="I74" s="281" t="n"/>
      <c r="J74" s="281" t="n"/>
      <c r="K74" s="281" t="n"/>
      <c r="Y74" s="52" t="n"/>
    </row>
    <row r="75" ht="15" customHeight="1">
      <c r="A75" s="21" t="n"/>
      <c r="B75" s="289" t="n"/>
      <c r="C75" s="290" t="n"/>
      <c r="D75" s="277" t="n"/>
      <c r="E75" s="291" t="inlineStr">
        <is>
          <t>管理费用</t>
        </is>
      </c>
      <c r="F75" s="697" t="n"/>
      <c r="G75" s="288" t="n"/>
      <c r="H75" s="281" t="n"/>
      <c r="I75" s="281" t="n"/>
      <c r="J75" s="281" t="n"/>
      <c r="K75" s="281" t="n"/>
      <c r="Y75" s="52" t="n"/>
    </row>
    <row r="76" ht="15" customHeight="1">
      <c r="A76" s="21" t="n"/>
      <c r="B76" s="289" t="n"/>
      <c r="C76" s="290" t="n"/>
      <c r="D76" s="277" t="n"/>
      <c r="E76" s="291" t="inlineStr">
        <is>
          <t>研发费用</t>
        </is>
      </c>
      <c r="F76" s="697" t="n"/>
      <c r="G76" s="288" t="n"/>
      <c r="H76" s="281" t="n"/>
      <c r="I76" s="281" t="n"/>
      <c r="J76" s="281" t="n"/>
      <c r="K76" s="281" t="n"/>
      <c r="Y76" s="52" t="n"/>
    </row>
    <row r="77" ht="15" customHeight="1">
      <c r="A77" s="21" t="n"/>
      <c r="B77" s="289" t="n"/>
      <c r="C77" s="290" t="n"/>
      <c r="D77" s="277" t="n"/>
      <c r="E77" s="291" t="inlineStr">
        <is>
          <t>销售费用</t>
        </is>
      </c>
      <c r="F77" s="697" t="n"/>
      <c r="G77" s="288" t="n"/>
      <c r="H77" s="281" t="n"/>
      <c r="I77" s="281" t="n"/>
      <c r="J77" s="281" t="n"/>
      <c r="K77" s="281" t="n"/>
      <c r="Y77" s="52" t="n"/>
    </row>
    <row r="78" ht="15" customHeight="1">
      <c r="A78" s="21" t="n"/>
      <c r="B78" s="289" t="n"/>
      <c r="C78" s="290" t="n"/>
      <c r="D78" s="277" t="n"/>
      <c r="E78" s="291" t="inlineStr">
        <is>
          <t>[…]</t>
        </is>
      </c>
      <c r="F78" s="697" t="n"/>
      <c r="G78" s="288" t="n"/>
      <c r="H78" s="281" t="n"/>
      <c r="I78" s="281" t="n"/>
      <c r="J78" s="281" t="n"/>
      <c r="K78" s="281" t="n"/>
      <c r="Y78" s="52" t="n"/>
    </row>
    <row r="79" ht="15" customHeight="1" thickBot="1">
      <c r="A79" s="21" t="n"/>
      <c r="B79" s="293" t="n"/>
      <c r="C79" s="294" t="n"/>
      <c r="D79" s="294" t="n"/>
      <c r="E79" s="291" t="inlineStr">
        <is>
          <t>合计</t>
        </is>
      </c>
      <c r="F79" s="698">
        <f>SUM(F74:F78)</f>
        <v/>
      </c>
      <c r="G79" s="288" t="n"/>
      <c r="H79" s="281" t="n"/>
      <c r="I79" s="281" t="n"/>
      <c r="J79" s="281" t="n"/>
      <c r="K79" s="281" t="n"/>
      <c r="Y79" s="52" t="n"/>
    </row>
    <row r="80" ht="15" customHeight="1" thickTop="1">
      <c r="A80" s="21" t="n"/>
      <c r="B80" s="293" t="n"/>
      <c r="C80" s="294" t="n"/>
      <c r="D80" s="294" t="n"/>
      <c r="E80" s="291" t="n"/>
      <c r="F80" s="276" t="n"/>
      <c r="G80" s="288" t="n"/>
      <c r="H80" s="281" t="n"/>
      <c r="I80" s="281" t="n"/>
      <c r="J80" s="281" t="n"/>
      <c r="K80" s="281" t="n"/>
      <c r="Y80" s="52" t="n"/>
    </row>
    <row r="81" ht="15" customHeight="1">
      <c r="A81" s="21" t="n"/>
      <c r="B81" s="293" t="n"/>
      <c r="C81" s="294" t="n"/>
      <c r="D81" s="294" t="n"/>
      <c r="E81" s="292" t="inlineStr">
        <is>
          <t>累计摊销-本年计提</t>
        </is>
      </c>
      <c r="F81" s="699">
        <f>T19</f>
        <v/>
      </c>
      <c r="G81" s="288" t="n"/>
      <c r="H81" s="281" t="n"/>
      <c r="I81" s="281" t="n"/>
      <c r="J81" s="281" t="n"/>
      <c r="K81" s="281" t="n"/>
      <c r="Y81" s="52" t="n"/>
    </row>
    <row r="82" ht="15" customHeight="1" thickBot="1">
      <c r="A82" s="21" t="n"/>
      <c r="B82" s="293" t="n"/>
      <c r="C82" s="294" t="n"/>
      <c r="D82" s="294" t="n"/>
      <c r="E82" s="291" t="inlineStr">
        <is>
          <t>差异</t>
        </is>
      </c>
      <c r="F82" s="698">
        <f>F79-F81</f>
        <v/>
      </c>
      <c r="G82" s="297" t="n"/>
      <c r="H82" s="281" t="n"/>
      <c r="I82" s="281" t="n"/>
      <c r="J82" s="281" t="n"/>
      <c r="K82" s="281" t="n"/>
      <c r="Y82" s="52" t="n"/>
    </row>
    <row r="83" ht="15" customHeight="1" thickTop="1">
      <c r="A83" s="21" t="n"/>
      <c r="B83" s="293" t="n"/>
      <c r="C83" s="294" t="n"/>
      <c r="D83" s="294" t="n"/>
      <c r="E83" s="291" t="n"/>
      <c r="F83" s="298" t="n"/>
      <c r="G83" s="288" t="n"/>
      <c r="H83" s="281" t="n"/>
      <c r="I83" s="281" t="n"/>
      <c r="J83" s="281" t="n"/>
      <c r="K83" s="281" t="n"/>
      <c r="Y83" s="52" t="n"/>
    </row>
    <row r="84" ht="15" customHeight="1">
      <c r="A84" s="21" t="n"/>
      <c r="B84" s="299" t="n"/>
      <c r="C84" s="300" t="n"/>
      <c r="D84" s="300" t="n"/>
      <c r="E84" s="301" t="n"/>
      <c r="F84" s="302" t="n"/>
      <c r="G84" s="303" t="n"/>
      <c r="H84" s="281" t="n"/>
      <c r="I84" s="281" t="n"/>
      <c r="J84" s="281" t="n"/>
      <c r="K84" s="281" t="n"/>
      <c r="Y84" s="52" t="n"/>
    </row>
    <row r="85" ht="15" customHeight="1">
      <c r="Y85" s="52" t="n"/>
    </row>
    <row r="86" ht="7.5" customHeight="1">
      <c r="A86" s="52" t="n"/>
      <c r="B86" s="52" t="n"/>
      <c r="C86" s="52" t="n"/>
      <c r="D86" s="52" t="n"/>
      <c r="E86" s="52" t="n"/>
      <c r="F86" s="52" t="n"/>
      <c r="G86" s="52" t="n"/>
      <c r="H86" s="52" t="n"/>
      <c r="I86" s="52" t="n"/>
      <c r="J86" s="52" t="n"/>
      <c r="K86" s="52" t="n"/>
      <c r="L86" s="52" t="n"/>
      <c r="M86" s="52" t="n"/>
      <c r="N86" s="52" t="n"/>
      <c r="O86" s="52" t="n"/>
      <c r="P86" s="52" t="n"/>
      <c r="Q86" s="52" t="n"/>
      <c r="R86" s="52" t="n"/>
      <c r="S86" s="52" t="n"/>
      <c r="T86" s="52" t="n"/>
      <c r="U86" s="52" t="n"/>
      <c r="V86" s="52" t="n"/>
      <c r="W86" s="52" t="n"/>
      <c r="X86" s="52" t="n"/>
      <c r="Y86" s="52" t="n"/>
    </row>
    <row r="94" ht="12.75" customHeight="1">
      <c r="A94" s="8" t="n"/>
    </row>
    <row r="95" ht="12.75" customHeight="1">
      <c r="A95" s="8" t="n"/>
    </row>
    <row r="96" ht="12.75" customHeight="1">
      <c r="A96" s="8" t="n"/>
    </row>
    <row r="97" ht="12.75" customHeight="1">
      <c r="A97" s="8" t="n"/>
    </row>
    <row r="98" ht="12.75" customHeight="1">
      <c r="A98" s="8" t="n"/>
    </row>
    <row r="99" ht="12.75" customHeight="1">
      <c r="A99" s="8" t="n"/>
    </row>
    <row r="100" ht="12.75" customHeight="1">
      <c r="A100" s="8" t="n"/>
    </row>
    <row r="101" ht="12.75" customHeight="1">
      <c r="A101" s="8" t="n"/>
    </row>
    <row r="102" ht="12.75" customHeight="1">
      <c r="A102" s="8" t="n"/>
    </row>
    <row r="103" ht="12.75" customHeight="1">
      <c r="A103" s="8" t="n"/>
    </row>
    <row r="104" ht="12.75" customHeight="1">
      <c r="A104" s="8" t="n"/>
    </row>
    <row r="105" ht="12.75" customHeight="1">
      <c r="A105" s="8" t="n"/>
    </row>
    <row r="106" ht="12.75" customHeight="1">
      <c r="A106" s="8" t="n"/>
    </row>
    <row r="107" ht="12.75" customHeight="1">
      <c r="A107" s="8" t="n"/>
    </row>
    <row r="108" ht="12.75" customHeight="1">
      <c r="A108" s="8" t="n"/>
    </row>
    <row r="109" ht="12.75" customHeight="1">
      <c r="A109" s="8" t="n"/>
    </row>
    <row r="110" ht="12.75" customHeight="1">
      <c r="A110" s="8" t="n"/>
    </row>
    <row r="111" ht="12.75" customHeight="1">
      <c r="A111" s="8" t="n"/>
    </row>
    <row r="112" ht="12.75" customHeight="1">
      <c r="A112" s="8" t="n"/>
    </row>
    <row r="113" ht="12.75" customHeight="1">
      <c r="A113" s="8" t="n"/>
    </row>
    <row r="114" ht="12.75" customHeight="1">
      <c r="A114" s="8" t="n"/>
    </row>
    <row r="115" ht="12.75" customHeight="1">
      <c r="A115" s="8" t="n"/>
    </row>
    <row r="116" ht="12.75" customHeight="1">
      <c r="A116" s="8" t="n"/>
    </row>
    <row r="117" ht="12.75" customHeight="1">
      <c r="A117" s="8" t="n"/>
    </row>
    <row r="118" ht="12.75" customHeight="1">
      <c r="A118" s="8" t="n"/>
    </row>
    <row r="119" ht="12.75" customHeight="1">
      <c r="A119" s="8" t="n"/>
    </row>
    <row r="120" ht="12.75" customHeight="1">
      <c r="A120" s="8" t="n"/>
    </row>
    <row r="121" ht="12.75" customHeight="1">
      <c r="A121" s="8" t="n"/>
    </row>
    <row r="122" ht="12.75" customHeight="1">
      <c r="A122" s="8" t="n"/>
    </row>
    <row r="123" ht="12.75" customHeight="1">
      <c r="A123" s="8" t="n"/>
    </row>
    <row r="124" ht="12.75" customHeight="1">
      <c r="A124" s="8" t="n"/>
    </row>
    <row r="125" ht="12.75" customHeight="1">
      <c r="A125" s="8" t="n"/>
    </row>
    <row r="126" ht="12.75" customHeight="1">
      <c r="A126" s="8" t="n"/>
    </row>
    <row r="127" ht="12.75" customHeight="1">
      <c r="A127" s="8" t="n"/>
    </row>
    <row r="128" ht="12.75" customHeight="1">
      <c r="A128" s="8" t="n"/>
    </row>
    <row r="129" ht="12.75" customHeight="1">
      <c r="A129" s="8" t="n"/>
    </row>
    <row r="130" ht="12.75" customHeight="1">
      <c r="A130" s="8" t="n"/>
    </row>
    <row r="131" ht="12.75" customHeight="1">
      <c r="A131" s="8" t="n"/>
    </row>
    <row r="132" ht="12.75" customHeight="1">
      <c r="A132" s="8" t="n"/>
    </row>
    <row r="133" ht="12.75" customHeight="1">
      <c r="A133" s="8" t="n"/>
    </row>
    <row r="134" ht="12.75" customHeight="1">
      <c r="A134" s="8" t="n"/>
    </row>
  </sheetData>
  <mergeCells count="7">
    <mergeCell ref="W10:W11"/>
    <mergeCell ref="B12:B17"/>
    <mergeCell ref="B59:F62"/>
    <mergeCell ref="B30:B35"/>
    <mergeCell ref="B1:W1"/>
    <mergeCell ref="B28:B29"/>
    <mergeCell ref="B65:F68"/>
  </mergeCells>
  <conditionalFormatting sqref="B59">
    <cfRule type="containsBlanks" priority="3" dxfId="20">
      <formula>LEN(TRIM(B59))=0</formula>
    </cfRule>
  </conditionalFormatting>
  <conditionalFormatting sqref="B74:D78 E78">
    <cfRule type="containsBlanks" priority="2" dxfId="0">
      <formula>LEN(TRIM(B74))=0</formula>
    </cfRule>
  </conditionalFormatting>
  <conditionalFormatting sqref="B65:F68">
    <cfRule type="containsBlanks" priority="4" dxfId="0">
      <formula>LEN(TRIM(B65))=0</formula>
    </cfRule>
  </conditionalFormatting>
  <conditionalFormatting sqref="E12:E16 E18:E21 E23:E26 E37 H12:H16 H18:H21 H23:H26 H37 K12:K16 K18:K21 K23:K26 K37 N12:N16 N18:N21 N23:N26 N37 Q12:Q16 Q18:Q21 Q23:Q26 Q37 T37">
    <cfRule type="containsBlanks" priority="13" dxfId="20">
      <formula>LEN(TRIM(E12))=0</formula>
    </cfRule>
  </conditionalFormatting>
  <conditionalFormatting sqref="E39 H39 K39 N39 Q39">
    <cfRule type="containsBlanks" priority="14" dxfId="20">
      <formula>LEN(TRIM(E39))=0</formula>
    </cfRule>
  </conditionalFormatting>
  <conditionalFormatting sqref="E41 H41 K41 N41 Q41">
    <cfRule type="containsBlanks" priority="15" dxfId="20">
      <formula>LEN(TRIM(E41))=0</formula>
    </cfRule>
  </conditionalFormatting>
  <conditionalFormatting sqref="E43 H43 K43 N43 Q43">
    <cfRule type="containsBlanks" priority="16" dxfId="20">
      <formula>LEN(TRIM(E43))=0</formula>
    </cfRule>
  </conditionalFormatting>
  <conditionalFormatting sqref="F10 I10 L10 O10 R10">
    <cfRule type="containsBlanks" priority="11" dxfId="0">
      <formula>LEN(TRIM(F10))=0</formula>
    </cfRule>
  </conditionalFormatting>
  <conditionalFormatting sqref="F74:F78">
    <cfRule type="containsBlanks" priority="1" dxfId="0">
      <formula>LEN(TRIM(F74))=0</formula>
    </cfRule>
  </conditionalFormatting>
  <conditionalFormatting sqref="T39">
    <cfRule type="containsBlanks" priority="10" dxfId="0">
      <formula>LEN(TRIM(T39))=0</formula>
    </cfRule>
  </conditionalFormatting>
  <conditionalFormatting sqref="T41">
    <cfRule type="containsBlanks" priority="9" dxfId="0">
      <formula>LEN(TRIM(T41))=0</formula>
    </cfRule>
  </conditionalFormatting>
  <conditionalFormatting sqref="T43">
    <cfRule type="containsBlanks" priority="8" dxfId="0">
      <formula>LEN(TRIM(T43))=0</formula>
    </cfRule>
  </conditionalFormatting>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U45"/>
  <sheetViews>
    <sheetView showGridLines="0" topLeftCell="L20" zoomScale="70" zoomScaleNormal="70" workbookViewId="0">
      <selection activeCell="W28" sqref="W28"/>
    </sheetView>
  </sheetViews>
  <sheetFormatPr baseColWidth="8" defaultColWidth="8.88671875" defaultRowHeight="13.2"/>
  <cols>
    <col width="2.6640625" customWidth="1" style="51" min="1" max="1"/>
    <col width="15.88671875" customWidth="1" style="51" min="2" max="2"/>
    <col width="25.88671875" customWidth="1" style="51" min="3" max="3"/>
    <col width="15.88671875" customWidth="1" style="51" min="4" max="8"/>
    <col width="20.88671875" customWidth="1" style="51" min="9" max="9"/>
    <col width="15.88671875" customWidth="1" style="51" min="10" max="12"/>
    <col width="20.88671875" customWidth="1" style="51" min="13" max="13"/>
    <col width="25.88671875" customWidth="1" style="51" min="14" max="14"/>
    <col width="20.88671875" customWidth="1" style="51" min="15" max="15"/>
    <col width="5.88671875" customWidth="1" style="51" min="16" max="19"/>
    <col width="2.6640625" customWidth="1" style="51" min="20" max="20"/>
    <col width="1.6640625" customWidth="1" style="51" min="21" max="21"/>
    <col width="8.88671875" customWidth="1" style="51" min="22"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180" t="n"/>
      <c r="U1" s="52" t="n"/>
    </row>
    <row r="2" ht="30" customHeight="1">
      <c r="B2" s="246" t="inlineStr">
        <is>
          <t>L1.02.1：详细测试 (新增)</t>
        </is>
      </c>
      <c r="C2" s="152" t="n"/>
      <c r="D2" s="152" t="n"/>
      <c r="E2" s="152" t="n"/>
      <c r="F2" s="152" t="n"/>
      <c r="G2" s="152" t="n"/>
      <c r="H2" s="152" t="n"/>
      <c r="I2" s="152" t="n"/>
      <c r="J2" s="152" t="n"/>
      <c r="K2" s="152" t="n"/>
      <c r="L2" s="152" t="n"/>
      <c r="M2" s="152" t="n"/>
      <c r="N2" s="152" t="n"/>
      <c r="O2" s="152" t="n"/>
      <c r="P2" s="152" t="n"/>
      <c r="Q2" s="152" t="n"/>
      <c r="R2" s="152" t="n"/>
      <c r="S2" s="181" t="n"/>
      <c r="U2" s="52" t="n"/>
    </row>
    <row r="3" ht="12.9" customHeight="1">
      <c r="B3" s="109" t="n"/>
      <c r="C3" s="109" t="n"/>
      <c r="D3" s="109" t="n"/>
      <c r="E3" s="109" t="n"/>
      <c r="F3" s="109" t="n"/>
      <c r="G3" s="109" t="n"/>
      <c r="H3" s="109" t="n"/>
      <c r="I3" s="109" t="n"/>
      <c r="J3" s="109" t="n"/>
      <c r="K3" s="109" t="n"/>
      <c r="L3" s="109" t="n"/>
      <c r="M3" s="109" t="n"/>
      <c r="N3" s="109" t="n"/>
      <c r="O3" s="109" t="n"/>
      <c r="P3" s="109" t="n"/>
      <c r="Q3" s="109" t="n"/>
      <c r="U3" s="52" t="n"/>
    </row>
    <row r="4" ht="12.9" customHeight="1">
      <c r="B4" s="395" t="inlineStr">
        <is>
          <t>返回汇总页</t>
        </is>
      </c>
      <c r="C4" s="109" t="n"/>
      <c r="D4" s="109" t="n"/>
      <c r="E4" s="109" t="n"/>
      <c r="F4" s="109" t="n"/>
      <c r="G4" s="109" t="n"/>
      <c r="H4" s="109" t="n"/>
      <c r="I4" s="109" t="n"/>
      <c r="J4" s="109" t="n"/>
      <c r="K4" s="109" t="n"/>
      <c r="L4" s="109" t="n"/>
      <c r="M4" s="109" t="n"/>
      <c r="N4" s="109" t="n"/>
      <c r="O4" s="109" t="n"/>
      <c r="P4" s="109" t="n"/>
      <c r="Q4" s="109" t="n"/>
      <c r="U4" s="52" t="n"/>
    </row>
    <row r="5" ht="12.9" customHeight="1">
      <c r="B5" s="109" t="n"/>
      <c r="C5" s="109" t="n"/>
      <c r="D5" s="109" t="n"/>
      <c r="E5" s="109" t="n"/>
      <c r="F5" s="109" t="n"/>
      <c r="G5" s="109" t="n"/>
      <c r="H5" s="109" t="n"/>
      <c r="I5" s="109" t="n"/>
      <c r="J5" s="109" t="n"/>
      <c r="K5" s="109" t="n"/>
      <c r="L5" s="109" t="n"/>
      <c r="M5" s="109" t="n"/>
      <c r="N5" s="109" t="n"/>
      <c r="O5" s="109" t="n"/>
      <c r="P5" s="109" t="n"/>
      <c r="Q5" s="109" t="n"/>
      <c r="U5" s="52" t="n"/>
    </row>
    <row r="6" ht="15" customHeight="1">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L6" s="102" t="n"/>
      <c r="M6" s="102" t="n"/>
      <c r="N6" s="102" t="n"/>
      <c r="O6" s="102" t="n"/>
      <c r="P6" s="102" t="n"/>
      <c r="Q6" s="80" t="n"/>
      <c r="R6" s="80" t="n"/>
      <c r="S6" s="80" t="n"/>
      <c r="U6" s="52" t="n"/>
    </row>
    <row r="7" ht="15" customHeight="1">
      <c r="B7" s="696" t="n"/>
      <c r="C7" s="690" t="n"/>
      <c r="D7" s="690" t="n"/>
      <c r="E7" s="690" t="n"/>
      <c r="F7" s="691" t="n"/>
      <c r="G7" s="132" t="n"/>
      <c r="H7" s="132" t="n"/>
      <c r="I7" s="132" t="n"/>
      <c r="J7" s="132" t="n"/>
      <c r="K7" s="132" t="n"/>
      <c r="L7" s="132" t="n"/>
      <c r="M7" s="132" t="n"/>
      <c r="U7" s="52" t="n"/>
    </row>
    <row r="8" ht="15" customHeight="1">
      <c r="B8" s="692" t="n"/>
      <c r="C8" s="616" t="n"/>
      <c r="D8" s="616" t="n"/>
      <c r="E8" s="616" t="n"/>
      <c r="F8" s="693" t="n"/>
      <c r="G8" s="132" t="n"/>
      <c r="H8" s="132" t="n"/>
      <c r="I8" s="132" t="n"/>
      <c r="J8" s="132" t="n"/>
      <c r="K8" s="132" t="n"/>
      <c r="L8" s="132" t="n"/>
      <c r="M8" s="132" t="n"/>
      <c r="U8" s="52" t="n"/>
    </row>
    <row r="9" ht="15" customHeight="1">
      <c r="B9" s="692" t="n"/>
      <c r="C9" s="616" t="n"/>
      <c r="D9" s="616" t="n"/>
      <c r="E9" s="616" t="n"/>
      <c r="F9" s="693" t="n"/>
      <c r="G9" s="132" t="n"/>
      <c r="H9" s="132" t="n"/>
      <c r="I9" s="132" t="n"/>
      <c r="J9" s="132" t="n"/>
      <c r="K9" s="132" t="n"/>
      <c r="L9" s="132" t="n"/>
      <c r="M9" s="132" t="n"/>
      <c r="U9" s="52" t="n"/>
    </row>
    <row r="10" ht="15" customHeight="1">
      <c r="B10" s="694" t="n"/>
      <c r="C10" s="619" t="n"/>
      <c r="D10" s="619" t="n"/>
      <c r="E10" s="619" t="n"/>
      <c r="F10" s="695" t="n"/>
      <c r="G10" s="132" t="n"/>
      <c r="H10" s="132" t="n"/>
      <c r="I10" s="132" t="n"/>
      <c r="J10" s="132" t="n"/>
      <c r="K10" s="132" t="n"/>
      <c r="L10" s="132" t="n"/>
      <c r="M10" s="132" t="n"/>
      <c r="U10" s="52" t="n"/>
    </row>
    <row r="11" ht="15" customHeight="1">
      <c r="B11" s="81" t="n"/>
      <c r="C11" s="81" t="n"/>
      <c r="U11" s="52" t="n"/>
    </row>
    <row r="12" ht="15" customHeight="1">
      <c r="B12" s="94" t="inlineStr">
        <is>
          <t>购置总金额</t>
        </is>
      </c>
      <c r="C12" s="94" t="n"/>
      <c r="E12" s="640" t="n"/>
      <c r="U12" s="52" t="n"/>
    </row>
    <row r="13" ht="15" customHeight="1">
      <c r="B13" s="94" t="inlineStr">
        <is>
          <t>Breakdown中购置金额</t>
        </is>
      </c>
      <c r="C13" s="94" t="n"/>
      <c r="E13" s="700">
        <f>'L1.01.1 Agree SL to GL'!T13</f>
        <v/>
      </c>
      <c r="F13" s="83" t="inlineStr">
        <is>
          <t>L1.01.1</t>
        </is>
      </c>
      <c r="U13" s="52" t="n"/>
    </row>
    <row r="14" ht="15" customHeight="1">
      <c r="B14" s="84" t="inlineStr">
        <is>
          <t>差异</t>
        </is>
      </c>
      <c r="C14" s="84" t="n"/>
      <c r="D14" s="85" t="n"/>
      <c r="E14" s="701">
        <f>E12-E13</f>
        <v/>
      </c>
      <c r="F14" s="70" t="inlineStr">
        <is>
          <t>Rx</t>
        </is>
      </c>
      <c r="G14" s="87" t="inlineStr">
        <is>
          <t xml:space="preserve">差异是否需要进一步调查？     </t>
        </is>
      </c>
      <c r="J14" s="187">
        <f>IF(ABS(E14)&gt;'L1.00 Lead sheet'!$C$6, "Yes", "No")</f>
        <v/>
      </c>
      <c r="U14" s="52" t="n"/>
    </row>
    <row r="15" ht="15" customHeight="1">
      <c r="B15" s="94" t="n"/>
      <c r="C15" s="94" t="n"/>
      <c r="E15" s="700" t="n"/>
      <c r="U15" s="52" t="n"/>
    </row>
    <row r="16" ht="15" customHeight="1">
      <c r="B16" s="68" t="inlineStr">
        <is>
          <t>减：测试的关键项目</t>
        </is>
      </c>
      <c r="C16" s="68" t="n"/>
      <c r="D16" s="88" t="n"/>
      <c r="E16" s="640" t="n"/>
      <c r="G16" s="88" t="n"/>
      <c r="H16" s="88" t="n"/>
      <c r="K16" s="88" t="n"/>
      <c r="U16" s="52" t="n"/>
    </row>
    <row r="17" ht="15" customHeight="1">
      <c r="B17" s="84" t="inlineStr">
        <is>
          <t>进行代表性抽样的剩余总体</t>
        </is>
      </c>
      <c r="C17" s="84" t="n"/>
      <c r="D17" s="89" t="n"/>
      <c r="E17" s="702">
        <f>E12-E16</f>
        <v/>
      </c>
      <c r="G17" s="703" t="n"/>
      <c r="H17" s="704" t="n"/>
      <c r="K17" s="71" t="n"/>
      <c r="U17" s="52" t="n"/>
    </row>
    <row r="18" ht="15" customHeight="1">
      <c r="B18" s="88" t="n"/>
      <c r="C18" s="88" t="n"/>
      <c r="D18" s="88" t="n"/>
      <c r="E18" s="88" t="n"/>
      <c r="F18" s="88" t="n"/>
      <c r="G18" s="88" t="n"/>
      <c r="H18" s="88" t="n"/>
      <c r="I18" s="88" t="n"/>
      <c r="J18" s="88" t="n"/>
      <c r="K18" s="88" t="n"/>
      <c r="U18" s="52" t="n"/>
    </row>
    <row r="19" ht="15" customHeight="1">
      <c r="B19" s="229" t="inlineStr">
        <is>
          <t>在下方描述选择关键项目的理由（请参阅Canvas指导工作流程的“关键项目”部分，包括信息图标）</t>
        </is>
      </c>
      <c r="C19" s="93" t="n"/>
      <c r="D19" s="88" t="n"/>
      <c r="E19" s="88" t="n"/>
      <c r="F19" s="88" t="n"/>
      <c r="G19" s="88" t="n"/>
      <c r="H19" s="88" t="n"/>
      <c r="I19" s="88" t="n"/>
      <c r="J19" s="88" t="n"/>
      <c r="K19" s="88" t="n"/>
      <c r="U19" s="52" t="n"/>
    </row>
    <row r="20" ht="15" customHeight="1">
      <c r="B20" s="696" t="n"/>
      <c r="C20" s="690" t="n"/>
      <c r="D20" s="690" t="n"/>
      <c r="E20" s="690" t="n"/>
      <c r="F20" s="691" t="n"/>
      <c r="G20" s="132" t="n"/>
      <c r="H20" s="132" t="n"/>
      <c r="I20" s="132" t="n"/>
      <c r="J20" s="132" t="n"/>
      <c r="K20" s="132" t="n"/>
      <c r="L20" s="132" t="n"/>
      <c r="M20" s="132" t="n"/>
      <c r="U20" s="52" t="n"/>
    </row>
    <row r="21" ht="15" customHeight="1">
      <c r="B21" s="692" t="n"/>
      <c r="C21" s="616" t="n"/>
      <c r="D21" s="616" t="n"/>
      <c r="E21" s="616" t="n"/>
      <c r="F21" s="693" t="n"/>
      <c r="G21" s="132" t="n"/>
      <c r="H21" s="132" t="n"/>
      <c r="I21" s="132" t="n"/>
      <c r="J21" s="132" t="n"/>
      <c r="K21" s="132" t="n"/>
      <c r="L21" s="132" t="n"/>
      <c r="M21" s="132" t="n"/>
      <c r="U21" s="52" t="n"/>
    </row>
    <row r="22" ht="15" customHeight="1">
      <c r="B22" s="692" t="n"/>
      <c r="C22" s="616" t="n"/>
      <c r="D22" s="616" t="n"/>
      <c r="E22" s="616" t="n"/>
      <c r="F22" s="693" t="n"/>
      <c r="G22" s="132" t="n"/>
      <c r="H22" s="132" t="n"/>
      <c r="I22" s="132" t="n"/>
      <c r="J22" s="132" t="n"/>
      <c r="K22" s="132" t="n"/>
      <c r="L22" s="132" t="n"/>
      <c r="M22" s="132" t="n"/>
      <c r="U22" s="52" t="n"/>
    </row>
    <row r="23" ht="15" customHeight="1">
      <c r="B23" s="694" t="n"/>
      <c r="C23" s="619" t="n"/>
      <c r="D23" s="619" t="n"/>
      <c r="E23" s="619" t="n"/>
      <c r="F23" s="695" t="n"/>
      <c r="G23" s="132" t="n"/>
      <c r="H23" s="132" t="n"/>
      <c r="I23" s="132" t="n"/>
      <c r="J23" s="132" t="n"/>
      <c r="K23" s="132" t="n"/>
      <c r="L23" s="132" t="n"/>
      <c r="M23" s="132" t="n"/>
      <c r="U23" s="52" t="n"/>
    </row>
    <row r="24" ht="15" customHeight="1">
      <c r="B24" s="94" t="n"/>
      <c r="C24" s="94" t="n"/>
      <c r="D24" s="705" t="n"/>
      <c r="E24" s="705" t="n"/>
      <c r="G24" s="132" t="n"/>
      <c r="H24" s="132" t="n"/>
      <c r="I24" s="132" t="n"/>
      <c r="J24" s="132" t="n"/>
      <c r="K24" s="132" t="n"/>
      <c r="L24" s="132" t="n"/>
      <c r="M24" s="132" t="n"/>
      <c r="U24" s="52" t="n"/>
    </row>
    <row r="25" ht="15" customHeight="1">
      <c r="B25" s="172" t="inlineStr">
        <is>
          <t>EY 测试属性解释:</t>
        </is>
      </c>
      <c r="C25" s="173" t="n"/>
      <c r="D25" s="173" t="n"/>
      <c r="E25" s="173" t="n"/>
      <c r="F25" s="188" t="n"/>
      <c r="G25" s="132" t="n"/>
      <c r="H25" s="132" t="n"/>
      <c r="I25" s="132" t="n"/>
      <c r="J25" s="132" t="n"/>
      <c r="K25" s="132" t="n"/>
      <c r="L25" s="132" t="n"/>
      <c r="M25" s="132" t="n"/>
      <c r="U25" s="52" t="n"/>
    </row>
    <row r="26" ht="15" customHeight="1">
      <c r="B26" s="96" t="inlineStr">
        <is>
          <t>对于每个被选中进行测试的项目，我们检查了相关的第三方证据以及相关的会计分录，并确定：</t>
        </is>
      </c>
      <c r="C26" s="97" t="n"/>
      <c r="D26" s="97" t="n"/>
      <c r="E26" s="97" t="n"/>
      <c r="F26" s="119" t="n"/>
      <c r="G26" s="132" t="n"/>
      <c r="H26" s="132" t="n"/>
      <c r="I26" s="132" t="n"/>
      <c r="J26" s="132" t="n"/>
      <c r="K26" s="132" t="n"/>
      <c r="L26" s="132" t="n"/>
      <c r="M26" s="132" t="n"/>
      <c r="U26" s="52" t="n"/>
    </row>
    <row r="27" ht="15" customHeight="1">
      <c r="B27" s="241" t="inlineStr">
        <is>
          <t>1) 测试样本于恰当的日期被正确资本化为无形资产（即，不应该费用化）。</t>
        </is>
      </c>
      <c r="C27" s="93" t="n"/>
      <c r="D27" s="93" t="n"/>
      <c r="E27" s="93" t="n"/>
      <c r="F27" s="98" t="n"/>
      <c r="G27" s="132" t="n"/>
      <c r="H27" s="132" t="n"/>
      <c r="I27" s="132" t="n"/>
      <c r="J27" s="132" t="n"/>
      <c r="K27" s="132" t="n"/>
      <c r="L27" s="132" t="n"/>
      <c r="M27" s="132" t="n"/>
      <c r="N27" s="93" t="n"/>
      <c r="O27" s="93" t="n"/>
      <c r="P27" s="93" t="n"/>
      <c r="Q27" s="93" t="n"/>
      <c r="R27" s="93" t="n"/>
      <c r="U27" s="52" t="n"/>
    </row>
    <row r="28" ht="15" customHeight="1">
      <c r="B28" s="241" t="inlineStr">
        <is>
          <t>2) 历史成本已根据适用的财务报告框架进行记录。</t>
        </is>
      </c>
      <c r="C28" s="93" t="n"/>
      <c r="D28" s="93" t="n"/>
      <c r="E28" s="93" t="n"/>
      <c r="F28" s="98" t="n"/>
      <c r="G28" s="132" t="n"/>
      <c r="H28" s="132" t="n"/>
      <c r="I28" s="132" t="n"/>
      <c r="J28" s="132" t="n"/>
      <c r="K28" s="132" t="n"/>
      <c r="L28" s="132" t="n"/>
      <c r="M28" s="132" t="n"/>
      <c r="N28" s="93" t="n"/>
      <c r="O28" s="93" t="n"/>
      <c r="P28" s="93" t="n"/>
      <c r="Q28" s="93" t="n"/>
      <c r="R28" s="93" t="n"/>
      <c r="U28" s="52" t="n"/>
    </row>
    <row r="29" ht="15" customHeight="1">
      <c r="B29" s="241" t="inlineStr">
        <is>
          <t>3) 管理层对测试项目采用的使用寿命和摊销方法是适当的（符合实体的会计政策和适用的财务报告框架）。</t>
        </is>
      </c>
      <c r="C29" s="68" t="n"/>
      <c r="D29" s="68" t="n"/>
      <c r="E29" s="68" t="n"/>
      <c r="F29" s="99" t="n"/>
      <c r="G29" s="132" t="n"/>
      <c r="H29" s="132" t="n"/>
      <c r="I29" s="132" t="n"/>
      <c r="J29" s="132" t="n"/>
      <c r="K29" s="132" t="n"/>
      <c r="L29" s="132" t="n"/>
      <c r="M29" s="132" t="n"/>
      <c r="N29" s="93" t="n"/>
      <c r="O29" s="93" t="n"/>
      <c r="P29" s="93" t="n"/>
      <c r="Q29" s="93" t="n"/>
      <c r="R29" s="93" t="n"/>
      <c r="U29" s="52" t="n"/>
    </row>
    <row r="30" ht="15" customHeight="1">
      <c r="B30" s="243" t="inlineStr">
        <is>
          <t>4) 该资产已被归入适当的无形资产类别。</t>
        </is>
      </c>
      <c r="C30" s="100" t="n"/>
      <c r="D30" s="100" t="n"/>
      <c r="E30" s="100" t="n"/>
      <c r="F30" s="101" t="n"/>
      <c r="G30" s="132" t="n"/>
      <c r="H30" s="132" t="n"/>
      <c r="I30" s="132" t="n"/>
      <c r="J30" s="132" t="n"/>
      <c r="K30" s="132" t="n"/>
      <c r="L30" s="132" t="n"/>
      <c r="M30" s="132" t="n"/>
      <c r="N30" s="93" t="n"/>
      <c r="O30" s="93" t="n"/>
      <c r="P30" s="93" t="n"/>
      <c r="Q30" s="93" t="n"/>
      <c r="R30" s="93" t="n"/>
      <c r="U30" s="52" t="n"/>
    </row>
    <row r="31" ht="23.1" customHeight="1">
      <c r="O31" s="66" t="inlineStr">
        <is>
          <t>|------- Rx -------|</t>
        </is>
      </c>
      <c r="P31" s="431" t="inlineStr">
        <is>
          <t>EY Works</t>
        </is>
      </c>
      <c r="Q31" s="158" t="n"/>
      <c r="R31" s="158" t="n"/>
      <c r="S31" s="159" t="n"/>
      <c r="U31" s="52" t="n"/>
    </row>
    <row r="32" ht="60" customHeight="1">
      <c r="B32" s="190" t="inlineStr">
        <is>
          <t>样本序号</t>
        </is>
      </c>
      <c r="C32" s="190" t="inlineStr">
        <is>
          <t>样本类型</t>
        </is>
      </c>
      <c r="D32" s="190" t="inlineStr">
        <is>
          <t>无形资产类别</t>
        </is>
      </c>
      <c r="E32" s="190" t="inlineStr">
        <is>
          <t>总账账户代码</t>
        </is>
      </c>
      <c r="F32" s="190" t="inlineStr">
        <is>
          <t>无形资产编号</t>
        </is>
      </c>
      <c r="G32" s="190" t="inlineStr">
        <is>
          <t>无形资产名称</t>
        </is>
      </c>
      <c r="H32" s="190" t="inlineStr">
        <is>
          <t>资产原价</t>
        </is>
      </c>
      <c r="I32" s="191" t="inlineStr">
        <is>
          <t>资本化日期</t>
        </is>
      </c>
      <c r="J32" s="190" t="inlineStr">
        <is>
          <t>使用寿命 (月)</t>
        </is>
      </c>
      <c r="K32" s="190" t="inlineStr">
        <is>
          <t>残值率</t>
        </is>
      </c>
      <c r="L32" s="190" t="inlineStr">
        <is>
          <t>摊销政策</t>
        </is>
      </c>
      <c r="M32" s="191" t="inlineStr">
        <is>
          <t>资产原价（通过审计证据/支持性文件取得）</t>
        </is>
      </c>
      <c r="N32" s="191" t="inlineStr">
        <is>
          <t>获得的证据/支持的描述（例如，我们检查的控制权转移时点的单据/销售发票/合同/订单等）</t>
        </is>
      </c>
      <c r="O32" s="191" t="inlineStr">
        <is>
          <t>资产原价差异</t>
        </is>
      </c>
      <c r="P32" s="192" t="n">
        <v>1</v>
      </c>
      <c r="Q32" s="193" t="n">
        <v>2</v>
      </c>
      <c r="R32" s="193" t="n">
        <v>3</v>
      </c>
      <c r="S32" s="193" t="n">
        <v>4</v>
      </c>
      <c r="U32" s="52" t="n"/>
    </row>
    <row r="33" ht="15" customHeight="1">
      <c r="A33" s="59" t="n"/>
      <c r="B33" s="194" t="n">
        <v>1</v>
      </c>
      <c r="C33" s="421" t="n"/>
      <c r="D33" s="422" t="n"/>
      <c r="E33" s="422" t="n"/>
      <c r="F33" s="423" t="n"/>
      <c r="G33" s="424" t="n"/>
      <c r="H33" s="706" t="n"/>
      <c r="I33" s="427" t="n"/>
      <c r="J33" s="426" t="n"/>
      <c r="K33" s="429" t="n"/>
      <c r="L33" s="420" t="n"/>
      <c r="M33" s="707" t="n"/>
      <c r="N33" s="420" t="n"/>
      <c r="O33" s="708">
        <f>M33-H33</f>
        <v/>
      </c>
      <c r="P33" s="435" t="n"/>
      <c r="Q33" s="435" t="n"/>
      <c r="R33" s="435" t="n"/>
      <c r="S33" s="435" t="n"/>
      <c r="U33" s="52" t="n"/>
    </row>
    <row r="34" ht="15" customHeight="1">
      <c r="A34" s="59" t="n"/>
      <c r="B34" s="194" t="n">
        <v>2</v>
      </c>
      <c r="C34" s="421" t="n"/>
      <c r="D34" s="422" t="n"/>
      <c r="E34" s="422" t="n"/>
      <c r="F34" s="422" t="n"/>
      <c r="G34" s="424" t="n"/>
      <c r="H34" s="706" t="n"/>
      <c r="I34" s="428" t="n"/>
      <c r="J34" s="425" t="n"/>
      <c r="K34" s="429" t="n"/>
      <c r="L34" s="420" t="n"/>
      <c r="M34" s="707" t="n"/>
      <c r="N34" s="420" t="n"/>
      <c r="O34" s="708">
        <f>M34-H34</f>
        <v/>
      </c>
      <c r="P34" s="435" t="n"/>
      <c r="Q34" s="435" t="n"/>
      <c r="R34" s="435" t="n"/>
      <c r="S34" s="435" t="n"/>
      <c r="U34" s="52" t="n"/>
    </row>
    <row r="35" ht="15" customHeight="1">
      <c r="A35" s="59" t="n"/>
      <c r="B35" s="194" t="n">
        <v>3</v>
      </c>
      <c r="C35" s="421" t="n"/>
      <c r="D35" s="422" t="n"/>
      <c r="E35" s="422" t="n"/>
      <c r="F35" s="422" t="n"/>
      <c r="G35" s="424" t="n"/>
      <c r="H35" s="706" t="n"/>
      <c r="I35" s="428" t="n"/>
      <c r="J35" s="425" t="n"/>
      <c r="K35" s="429" t="n"/>
      <c r="L35" s="420" t="n"/>
      <c r="M35" s="707" t="n"/>
      <c r="N35" s="420" t="n"/>
      <c r="O35" s="708">
        <f>M35-H35</f>
        <v/>
      </c>
      <c r="P35" s="435" t="n"/>
      <c r="Q35" s="435" t="n"/>
      <c r="R35" s="435" t="n"/>
      <c r="S35" s="435" t="n"/>
      <c r="U35" s="52" t="n"/>
    </row>
    <row r="36" ht="15" customHeight="1">
      <c r="A36" s="59" t="n"/>
      <c r="B36" s="194" t="n">
        <v>4</v>
      </c>
      <c r="C36" s="421" t="n"/>
      <c r="D36" s="422" t="n"/>
      <c r="E36" s="422" t="n"/>
      <c r="F36" s="422" t="n"/>
      <c r="G36" s="424" t="n"/>
      <c r="H36" s="706" t="n"/>
      <c r="I36" s="428" t="n"/>
      <c r="J36" s="426" t="n"/>
      <c r="K36" s="429" t="n"/>
      <c r="L36" s="420" t="n"/>
      <c r="M36" s="707" t="n"/>
      <c r="N36" s="420" t="n"/>
      <c r="O36" s="708">
        <f>M36-H36</f>
        <v/>
      </c>
      <c r="P36" s="435" t="n"/>
      <c r="Q36" s="435" t="n"/>
      <c r="R36" s="435" t="n"/>
      <c r="S36" s="435" t="n"/>
      <c r="U36" s="52" t="n"/>
    </row>
    <row r="37" ht="15" customHeight="1">
      <c r="A37" s="59" t="n"/>
      <c r="B37" s="194" t="n">
        <v>5</v>
      </c>
      <c r="C37" s="421" t="n"/>
      <c r="D37" s="425" t="n"/>
      <c r="E37" s="425" t="n"/>
      <c r="F37" s="425" t="n"/>
      <c r="G37" s="424" t="n"/>
      <c r="H37" s="706" t="n"/>
      <c r="I37" s="428" t="n"/>
      <c r="J37" s="426" t="n"/>
      <c r="K37" s="429" t="n"/>
      <c r="L37" s="420" t="n"/>
      <c r="M37" s="707" t="n"/>
      <c r="N37" s="420" t="n"/>
      <c r="O37" s="708">
        <f>M37-H37</f>
        <v/>
      </c>
      <c r="P37" s="435" t="n"/>
      <c r="Q37" s="435" t="n"/>
      <c r="R37" s="435" t="n"/>
      <c r="S37" s="435" t="n"/>
      <c r="U37" s="52" t="n"/>
    </row>
    <row r="38" ht="15" customHeight="1">
      <c r="B38" s="68" t="n"/>
      <c r="C38" s="68" t="n"/>
      <c r="D38" s="68" t="n"/>
      <c r="E38" s="68" t="n"/>
      <c r="F38" s="68" t="n"/>
      <c r="G38" s="68" t="n"/>
      <c r="H38" s="68" t="n"/>
      <c r="I38" s="68" t="n"/>
      <c r="J38" s="68" t="n"/>
      <c r="K38" s="68" t="n"/>
      <c r="L38" s="68" t="n"/>
      <c r="M38" s="68" t="n"/>
      <c r="N38" s="68" t="n"/>
      <c r="O38" s="68" t="n"/>
      <c r="P38" s="68" t="n"/>
      <c r="Q38" s="68" t="n"/>
      <c r="R38" s="68" t="n"/>
      <c r="U38" s="52" t="n"/>
    </row>
    <row r="39" ht="15.6" customHeight="1">
      <c r="B39" s="430" t="inlineStr">
        <is>
          <t>标记图例: 记录已识别的异常情况以及如何解决这些异常情况的详细信息，包括执行的其他实质性程序（指南：包括足够的描述，以使之前与审计无关的经验丰富的审计师能够理解执行的程序）。</t>
        </is>
      </c>
      <c r="U39" s="52" t="n"/>
    </row>
    <row r="40" ht="15" customHeight="1">
      <c r="B40" s="696" t="n"/>
      <c r="C40" s="690" t="n"/>
      <c r="D40" s="690" t="n"/>
      <c r="E40" s="690" t="n"/>
      <c r="F40" s="691" t="n"/>
      <c r="U40" s="52" t="n"/>
    </row>
    <row r="41" ht="15" customHeight="1">
      <c r="B41" s="692" t="n"/>
      <c r="C41" s="616" t="n"/>
      <c r="D41" s="616" t="n"/>
      <c r="E41" s="616" t="n"/>
      <c r="F41" s="693" t="n"/>
      <c r="U41" s="52" t="n"/>
    </row>
    <row r="42" ht="15" customHeight="1">
      <c r="B42" s="692" t="n"/>
      <c r="C42" s="616" t="n"/>
      <c r="D42" s="616" t="n"/>
      <c r="E42" s="616" t="n"/>
      <c r="F42" s="693" t="n"/>
      <c r="U42" s="52" t="n"/>
    </row>
    <row r="43" ht="15" customHeight="1">
      <c r="B43" s="694" t="n"/>
      <c r="C43" s="619" t="n"/>
      <c r="D43" s="619" t="n"/>
      <c r="E43" s="619" t="n"/>
      <c r="F43" s="695" t="n"/>
      <c r="U43" s="52" t="n"/>
    </row>
    <row r="44" ht="15" customHeight="1">
      <c r="U44" s="52" t="n"/>
    </row>
    <row r="45" ht="7.5" customHeight="1">
      <c r="A45" s="52" t="n"/>
      <c r="B45" s="52" t="n"/>
      <c r="C45" s="52" t="n"/>
      <c r="D45" s="52" t="n"/>
      <c r="E45" s="52" t="n"/>
      <c r="F45" s="52" t="n"/>
      <c r="G45" s="52" t="n"/>
      <c r="H45" s="52" t="n"/>
      <c r="I45" s="52" t="n"/>
      <c r="J45" s="52" t="n"/>
      <c r="K45" s="52" t="n"/>
      <c r="L45" s="52" t="n"/>
      <c r="M45" s="52" t="n"/>
      <c r="N45" s="52" t="n"/>
      <c r="O45" s="52" t="n"/>
      <c r="P45" s="52" t="n"/>
      <c r="Q45" s="52" t="n"/>
      <c r="R45" s="52" t="n"/>
      <c r="S45" s="52" t="n"/>
      <c r="T45" s="52" t="n"/>
      <c r="U45" s="52" t="n"/>
    </row>
  </sheetData>
  <mergeCells count="3">
    <mergeCell ref="B20:F23"/>
    <mergeCell ref="B40:F43"/>
    <mergeCell ref="B7:F10"/>
  </mergeCells>
  <conditionalFormatting sqref="B7:F10">
    <cfRule type="containsBlanks" priority="8" dxfId="0">
      <formula>LEN(TRIM(B7))=0</formula>
    </cfRule>
  </conditionalFormatting>
  <conditionalFormatting sqref="B20:F23">
    <cfRule type="containsBlanks" priority="7" dxfId="0">
      <formula>LEN(TRIM(B20))=0</formula>
    </cfRule>
  </conditionalFormatting>
  <conditionalFormatting sqref="B40:F43">
    <cfRule type="containsBlanks" priority="6" dxfId="0">
      <formula>LEN(TRIM(B40))=0</formula>
    </cfRule>
  </conditionalFormatting>
  <conditionalFormatting sqref="B33:S37">
    <cfRule type="containsBlanks" priority="2" dxfId="0">
      <formula>LEN(TRIM(B33))=0</formula>
    </cfRule>
  </conditionalFormatting>
  <conditionalFormatting sqref="E12:E13 E16">
    <cfRule type="containsBlanks" priority="1" dxfId="0">
      <formula>LEN(TRIM(E12))=0</formula>
    </cfRule>
  </conditionalFormatting>
  <dataValidations count="2">
    <dataValidation sqref="P33:S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horizontalDpi="300" verticalDpi="300"/>
  <headerFooter>
    <oddHeader/>
    <oddFooter>&amp;LK SWP PPE_x000a_(24 June 2025)</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N6"/>
  <sheetViews>
    <sheetView zoomScale="70" zoomScaleNormal="70" workbookViewId="0">
      <selection activeCell="O26" sqref="O26"/>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6384"/>
  </cols>
  <sheetData>
    <row r="1">
      <c r="A1" s="232" t="n"/>
      <c r="L1" s="351" t="n"/>
    </row>
    <row r="2" ht="20.4" customHeight="1">
      <c r="B2" s="235" t="inlineStr">
        <is>
          <t>注：样本新增测试请与L1.02.1 新增（本年购置）测试金额核对一致。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row r="6">
      <c r="C6" s="236" t="n"/>
    </row>
  </sheetData>
  <hyperlinks>
    <hyperlink ref="N2" location="汇总!A1" display="返回汇总页"/>
  </hyperlink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AA7"/>
  <sheetViews>
    <sheetView showGridLines="0" zoomScale="70" zoomScaleNormal="70" workbookViewId="0">
      <selection activeCell="C20" sqref="C20"/>
    </sheetView>
  </sheetViews>
  <sheetFormatPr baseColWidth="8" defaultColWidth="8.109375" defaultRowHeight="13.2"/>
  <cols>
    <col width="2.6640625" customWidth="1" style="49" min="1" max="1"/>
    <col width="15.33203125" bestFit="1" customWidth="1" style="50" min="2" max="2"/>
    <col width="16" customWidth="1" style="50" min="3" max="5"/>
    <col width="18.6640625" customWidth="1" style="50" min="6" max="8"/>
    <col width="14.77734375" customWidth="1" style="50" min="9" max="11"/>
    <col width="2.6640625" customWidth="1" style="50" min="12" max="12"/>
    <col width="1.6640625" customWidth="1" style="50" min="13" max="13"/>
    <col width="8.109375" customWidth="1" style="50" min="14" max="14"/>
    <col width="10" customWidth="1" style="50" min="15" max="15"/>
    <col width="8.109375" customWidth="1" style="50" min="16" max="16384"/>
  </cols>
  <sheetData>
    <row r="1" ht="12.75" customFormat="1" customHeight="1" s="10">
      <c r="A1" s="237" t="n"/>
      <c r="B1" s="15" t="n"/>
      <c r="C1" s="15" t="n"/>
      <c r="D1" s="16" t="n"/>
      <c r="E1" s="709" t="n"/>
      <c r="F1" s="17" t="n"/>
      <c r="G1" s="17" t="n"/>
      <c r="H1" s="17" t="n"/>
      <c r="I1" s="154" t="n"/>
      <c r="J1" s="154" t="n"/>
      <c r="K1" s="154" t="n"/>
      <c r="L1" s="154" t="n"/>
      <c r="M1" s="52" t="n"/>
      <c r="N1" s="154" t="n"/>
      <c r="O1" s="154" t="n"/>
      <c r="P1" s="154" t="n"/>
      <c r="Q1" s="154" t="n"/>
      <c r="R1" s="154" t="n"/>
      <c r="S1" s="154" t="n"/>
      <c r="T1" s="154" t="n"/>
      <c r="U1" s="154" t="n"/>
      <c r="V1" s="154" t="n"/>
      <c r="W1" s="154" t="n"/>
      <c r="X1" s="154" t="n"/>
      <c r="Y1" s="154" t="n"/>
      <c r="Z1" s="154" t="n"/>
      <c r="AA1" s="154" t="n"/>
    </row>
    <row r="2" ht="12.9" customFormat="1" customHeight="1" s="46">
      <c r="A2" s="45" t="n"/>
      <c r="G2" s="710" t="n"/>
      <c r="M2" s="52" t="n"/>
      <c r="O2" s="395" t="inlineStr">
        <is>
          <t>返回汇总页</t>
        </is>
      </c>
    </row>
    <row r="3" ht="42" customFormat="1" customHeight="1" s="46">
      <c r="A3" s="45" t="n"/>
      <c r="B3" s="572" t="inlineStr">
        <is>
          <t xml:space="preserve">获取当期按类别划分的所有无形资产新增清单，并将该列表与无形资产后推核对一致。调查超过SAD名义金额的差额（例如，新增清单和后推明细表之间没被解释的差额）。 </t>
        </is>
      </c>
      <c r="M3" s="52" t="n"/>
    </row>
    <row r="4" customFormat="1" s="46">
      <c r="A4" s="45" t="n"/>
      <c r="G4" s="710" t="n"/>
      <c r="M4" s="52" t="n"/>
    </row>
    <row r="5" ht="42.75" customFormat="1" customHeight="1" s="31">
      <c r="A5" s="29" t="n"/>
      <c r="B5" s="571" t="inlineStr">
        <is>
          <t>注：项目组可以自定义无形资产新增清单表格，也可直接使用系统导出的无形资产新增清单，但必须确保必需字段（无形资产类别、编号、名称、入账开始日期、使用寿命、残值率、原值、新增方式）完整。</t>
        </is>
      </c>
      <c r="M5" s="52" t="n"/>
    </row>
    <row r="6" ht="15" customHeight="1">
      <c r="A6" s="50" t="n"/>
      <c r="B6" s="230" t="n"/>
      <c r="C6" s="230" t="n"/>
      <c r="D6" s="230" t="n"/>
      <c r="M6" s="52" t="n"/>
    </row>
    <row r="7" ht="7.5" customHeight="1">
      <c r="A7" s="52" t="n"/>
      <c r="B7" s="52" t="n"/>
      <c r="C7" s="52" t="n"/>
      <c r="D7" s="52" t="n"/>
      <c r="E7" s="52" t="n"/>
      <c r="F7" s="52" t="n"/>
      <c r="G7" s="52" t="n"/>
      <c r="H7" s="52" t="n"/>
      <c r="I7" s="52" t="n"/>
      <c r="J7" s="52" t="n"/>
      <c r="K7" s="52" t="n"/>
      <c r="L7" s="52" t="n"/>
      <c r="M7" s="52" t="n"/>
    </row>
  </sheetData>
  <mergeCells count="2">
    <mergeCell ref="B3:K3"/>
    <mergeCell ref="B5:K5"/>
  </mergeCells>
  <hyperlinks>
    <hyperlink ref="O2" location="汇总!A1" display="返回汇总页"/>
  </hyperlinks>
  <pageMargins left="0.7" right="0.7" top="0.75" bottom="0.75" header="0.3" footer="0.3"/>
  <pageSetup orientation="portrait" paperSize="9" verticalDpi="0"/>
</worksheet>
</file>

<file path=xl/worksheets/sheet7.xml><?xml version="1.0" encoding="utf-8"?>
<worksheet xmlns="http://schemas.openxmlformats.org/spreadsheetml/2006/main">
  <sheetPr>
    <outlinePr summaryBelow="1" summaryRight="1"/>
    <pageSetUpPr/>
  </sheetPr>
  <dimension ref="A1:W48"/>
  <sheetViews>
    <sheetView showGridLines="0" topLeftCell="M1" zoomScale="70" zoomScaleNormal="70" workbookViewId="0">
      <selection activeCell="K45" sqref="K45"/>
    </sheetView>
  </sheetViews>
  <sheetFormatPr baseColWidth="8" defaultColWidth="8.88671875" defaultRowHeight="15" customHeight="1"/>
  <cols>
    <col width="2.6640625" customWidth="1" style="51" min="1" max="1"/>
    <col width="15.88671875" customWidth="1" style="51" min="2" max="2"/>
    <col width="23" customWidth="1" style="51" min="3" max="3"/>
    <col width="22.6640625" customWidth="1" style="51" min="4" max="4"/>
    <col width="22.109375" customWidth="1" style="51" min="5" max="5"/>
    <col width="26.88671875" customWidth="1" style="51" min="6" max="6"/>
    <col width="15.88671875" customWidth="1" style="51" min="7" max="16"/>
    <col width="17.88671875" customWidth="1" style="51" min="17" max="17"/>
    <col width="25.88671875" customWidth="1" style="51" min="18" max="18"/>
    <col width="5.88671875" customWidth="1" style="51" min="19" max="21"/>
    <col width="2.6640625" customWidth="1" style="51" min="22" max="22"/>
    <col width="1.6640625" customWidth="1" style="51" min="23" max="23"/>
    <col width="8.88671875" customWidth="1" style="51" min="24" max="16384"/>
  </cols>
  <sheetData>
    <row r="1" ht="50.1" customHeight="1">
      <c r="A1" s="150" t="n"/>
      <c r="B1" s="239" t="inlineStr">
        <is>
          <t>标准工作底稿: L1 SWP 无形资产</t>
        </is>
      </c>
      <c r="C1" s="103" t="n"/>
      <c r="D1" s="104" t="n"/>
      <c r="E1" s="104" t="n"/>
      <c r="F1" s="104" t="n"/>
      <c r="G1" s="104" t="n"/>
      <c r="H1" s="104" t="n"/>
      <c r="I1" s="104" t="n"/>
      <c r="J1" s="104" t="n"/>
      <c r="K1" s="104" t="n"/>
      <c r="L1" s="104" t="n"/>
      <c r="M1" s="103" t="n"/>
      <c r="N1" s="103" t="n"/>
      <c r="O1" s="105" t="n"/>
      <c r="P1" s="105" t="n"/>
      <c r="Q1" s="105" t="n"/>
      <c r="R1" s="105" t="n"/>
      <c r="S1" s="105" t="n"/>
      <c r="T1" s="105" t="n"/>
      <c r="U1" s="106" t="n"/>
      <c r="W1" s="52" t="n"/>
    </row>
    <row r="2" ht="30" customHeight="1">
      <c r="B2" s="240" t="inlineStr">
        <is>
          <t>L1.02.2：详细测试 (处置)</t>
        </is>
      </c>
      <c r="C2" s="107" t="n"/>
      <c r="D2" s="107" t="n"/>
      <c r="E2" s="107" t="n"/>
      <c r="F2" s="107" t="n"/>
      <c r="G2" s="107" t="n"/>
      <c r="H2" s="107" t="n"/>
      <c r="I2" s="107" t="n"/>
      <c r="J2" s="107" t="n"/>
      <c r="K2" s="107" t="n"/>
      <c r="L2" s="107" t="n"/>
      <c r="M2" s="107" t="n"/>
      <c r="N2" s="107" t="n"/>
      <c r="O2" s="107" t="n"/>
      <c r="P2" s="107" t="n"/>
      <c r="Q2" s="107" t="n"/>
      <c r="R2" s="107" t="n"/>
      <c r="S2" s="107" t="n"/>
      <c r="T2" s="107" t="n"/>
      <c r="U2" s="195" t="n"/>
      <c r="V2" s="108" t="n"/>
      <c r="W2" s="52" t="n"/>
    </row>
    <row r="3" ht="12.9" customHeight="1">
      <c r="A3" s="83" t="n"/>
      <c r="B3" s="109" t="n"/>
      <c r="V3" s="110" t="n"/>
      <c r="W3" s="52" t="n"/>
    </row>
    <row r="4" ht="12.9" customHeight="1">
      <c r="A4" s="83" t="n"/>
      <c r="B4" s="395" t="inlineStr">
        <is>
          <t>返回汇总页</t>
        </is>
      </c>
      <c r="V4" s="110" t="n"/>
      <c r="W4" s="52" t="n"/>
    </row>
    <row r="5" ht="12.9" customHeight="1">
      <c r="A5" s="83" t="n"/>
      <c r="B5" s="109" t="n"/>
      <c r="V5" s="110" t="n"/>
      <c r="W5" s="52" t="n"/>
    </row>
    <row r="6" ht="15" customHeight="1">
      <c r="A6" s="83" t="n"/>
      <c r="B6" s="102" t="inlineStr">
        <is>
          <t>记录我们的详细测试所涵盖的总体（指引：纳入充分的描述，以使经验丰富且之前与该项审计无关的审计师能够理解样本是如何选择的，例如，总体的分类或筛选。）</t>
        </is>
      </c>
      <c r="C6" s="102" t="n"/>
      <c r="D6" s="102" t="n"/>
      <c r="E6" s="102" t="n"/>
      <c r="F6" s="102" t="n"/>
      <c r="G6" s="102" t="n"/>
      <c r="H6" s="102" t="n"/>
      <c r="I6" s="102" t="n"/>
      <c r="J6" s="102" t="n"/>
      <c r="K6" s="102" t="n"/>
      <c r="N6" s="112" t="n"/>
      <c r="W6" s="52" t="n"/>
    </row>
    <row r="7" ht="15" customHeight="1">
      <c r="A7" s="83" t="n"/>
      <c r="B7" s="711" t="n"/>
      <c r="C7" s="690" t="n"/>
      <c r="D7" s="690" t="n"/>
      <c r="E7" s="690" t="n"/>
      <c r="F7" s="691" t="n"/>
      <c r="G7" s="148" t="n"/>
      <c r="H7" s="148" t="n"/>
      <c r="I7" s="148" t="n"/>
      <c r="J7" s="148" t="n"/>
      <c r="K7" s="148" t="n"/>
      <c r="Q7" s="112" t="n"/>
      <c r="R7" s="112" t="n"/>
      <c r="S7" s="112" t="n"/>
      <c r="T7" s="112" t="n"/>
      <c r="U7" s="112" t="n"/>
      <c r="V7" s="112" t="n"/>
      <c r="W7" s="52" t="n"/>
    </row>
    <row r="8" ht="15" customHeight="1">
      <c r="A8" s="83" t="n"/>
      <c r="B8" s="692" t="n"/>
      <c r="C8" s="616" t="n"/>
      <c r="D8" s="616" t="n"/>
      <c r="E8" s="616" t="n"/>
      <c r="F8" s="693" t="n"/>
      <c r="G8" s="148" t="n"/>
      <c r="H8" s="148" t="n"/>
      <c r="I8" s="148" t="n"/>
      <c r="J8" s="148" t="n"/>
      <c r="K8" s="148" t="n"/>
      <c r="Q8" s="112" t="n"/>
      <c r="R8" s="112" t="n"/>
      <c r="S8" s="112" t="n"/>
      <c r="T8" s="112" t="n"/>
      <c r="U8" s="112" t="n"/>
      <c r="V8" s="112" t="n"/>
      <c r="W8" s="52" t="n"/>
    </row>
    <row r="9" ht="15" customHeight="1">
      <c r="A9" s="83" t="n"/>
      <c r="B9" s="692" t="n"/>
      <c r="C9" s="616" t="n"/>
      <c r="D9" s="616" t="n"/>
      <c r="E9" s="616" t="n"/>
      <c r="F9" s="693" t="n"/>
      <c r="G9" s="148" t="n"/>
      <c r="H9" s="148" t="n"/>
      <c r="I9" s="148" t="n"/>
      <c r="J9" s="148" t="n"/>
      <c r="K9" s="148" t="n"/>
      <c r="Q9" s="112" t="n"/>
      <c r="R9" s="112" t="n"/>
      <c r="S9" s="112" t="n"/>
      <c r="T9" s="112" t="n"/>
      <c r="U9" s="112" t="n"/>
      <c r="V9" s="112" t="n"/>
      <c r="W9" s="52" t="n"/>
    </row>
    <row r="10" ht="15" customHeight="1">
      <c r="A10" s="83" t="n"/>
      <c r="B10" s="694" t="n"/>
      <c r="C10" s="619" t="n"/>
      <c r="D10" s="619" t="n"/>
      <c r="E10" s="619" t="n"/>
      <c r="F10" s="695" t="n"/>
      <c r="G10" s="148" t="n"/>
      <c r="H10" s="148" t="n"/>
      <c r="I10" s="148" t="n"/>
      <c r="J10" s="148" t="n"/>
      <c r="K10" s="148" t="n"/>
      <c r="Q10" s="112" t="n"/>
      <c r="R10" s="112" t="n"/>
      <c r="S10" s="112" t="n"/>
      <c r="T10" s="112" t="n"/>
      <c r="U10" s="112" t="n"/>
      <c r="V10" s="112" t="n"/>
      <c r="W10" s="52" t="n"/>
    </row>
    <row r="11" ht="15" customHeight="1">
      <c r="A11" s="83" t="n"/>
      <c r="B11" s="132" t="n"/>
      <c r="C11" s="132" t="n"/>
      <c r="D11" s="132" t="n"/>
      <c r="E11" s="132" t="n"/>
      <c r="F11" s="132" t="n"/>
      <c r="G11" s="132" t="n"/>
      <c r="H11" s="132" t="n"/>
      <c r="I11" s="132" t="n"/>
      <c r="J11" s="132" t="n"/>
      <c r="K11" s="132" t="n"/>
      <c r="L11" s="132" t="n"/>
      <c r="M11" s="132" t="n"/>
      <c r="N11" s="113" t="n"/>
      <c r="O11" s="112" t="n"/>
      <c r="P11" s="112" t="n"/>
      <c r="Q11" s="112" t="n"/>
      <c r="R11" s="112" t="n"/>
      <c r="S11" s="112" t="n"/>
      <c r="T11" s="112" t="n"/>
      <c r="U11" s="112" t="n"/>
      <c r="V11" s="112" t="n"/>
      <c r="W11" s="52" t="n"/>
    </row>
    <row r="12" ht="15" customHeight="1">
      <c r="A12" s="83" t="n"/>
      <c r="B12" s="132" t="n"/>
      <c r="C12" s="132" t="n"/>
      <c r="D12" s="132" t="n"/>
      <c r="E12" s="66" t="inlineStr">
        <is>
          <t>|------- Rx -------|</t>
        </is>
      </c>
      <c r="F12" s="132" t="n"/>
      <c r="G12" s="132" t="n"/>
      <c r="H12" s="132" t="n"/>
      <c r="I12" s="132" t="n"/>
      <c r="J12" s="132" t="n"/>
      <c r="K12" s="132" t="n"/>
      <c r="L12" s="132" t="n"/>
      <c r="M12" s="132" t="n"/>
      <c r="N12" s="113" t="n"/>
      <c r="O12" s="112" t="n"/>
      <c r="P12" s="112" t="n"/>
      <c r="Q12" s="112" t="n"/>
      <c r="R12" s="112" t="n"/>
      <c r="S12" s="112" t="n"/>
      <c r="T12" s="112" t="n"/>
      <c r="U12" s="112" t="n"/>
      <c r="V12" s="112" t="n"/>
      <c r="W12" s="52" t="n"/>
    </row>
    <row r="13" ht="30" customHeight="1">
      <c r="C13" s="81" t="n"/>
      <c r="D13" s="114" t="n"/>
      <c r="E13" s="115" t="inlineStr">
        <is>
          <t>账面价值</t>
        </is>
      </c>
      <c r="F13" s="116" t="n"/>
      <c r="G13" s="115" t="inlineStr">
        <is>
          <t>原价</t>
        </is>
      </c>
      <c r="H13" s="225" t="n"/>
      <c r="I13" s="115" t="inlineStr">
        <is>
          <t>累计摊销</t>
        </is>
      </c>
      <c r="J13" s="62" t="n"/>
      <c r="K13" s="115" t="inlineStr">
        <is>
          <t>减值准备</t>
        </is>
      </c>
      <c r="L13" s="62" t="n"/>
      <c r="M13" s="62" t="n"/>
      <c r="W13" s="52" t="n"/>
    </row>
    <row r="14" ht="15" customHeight="1">
      <c r="B14" s="120" t="inlineStr">
        <is>
          <t>减少总金额</t>
        </is>
      </c>
      <c r="C14" s="94" t="n"/>
      <c r="E14" s="712">
        <f>G14-I14-K14</f>
        <v/>
      </c>
      <c r="F14" s="315" t="n"/>
      <c r="G14" s="712" t="n"/>
      <c r="H14" s="315" t="n"/>
      <c r="I14" s="713" t="n"/>
      <c r="K14" s="713" t="n"/>
      <c r="M14" s="62" t="n"/>
      <c r="W14" s="52" t="n"/>
    </row>
    <row r="15" ht="15" customHeight="1">
      <c r="B15" s="120" t="inlineStr">
        <is>
          <t>Breakdown中减少金额</t>
        </is>
      </c>
      <c r="C15" s="94" t="n"/>
      <c r="E15" s="712">
        <f>G15-I15-K15</f>
        <v/>
      </c>
      <c r="F15" s="70" t="inlineStr">
        <is>
          <t>L1.01.1</t>
        </is>
      </c>
      <c r="G15" s="712">
        <f>-('L1.01.1 Agree SL to GL'!T15)</f>
        <v/>
      </c>
      <c r="H15" s="83" t="inlineStr">
        <is>
          <t>L1.01.1</t>
        </is>
      </c>
      <c r="I15" s="712">
        <f>-('L1.01.1 Agree SL to GL'!T20)</f>
        <v/>
      </c>
      <c r="J15" s="83" t="inlineStr">
        <is>
          <t>L1.01.1</t>
        </is>
      </c>
      <c r="K15" s="712">
        <f>-('L1.01.1 Agree SL to GL'!T25)</f>
        <v/>
      </c>
      <c r="L15" s="83" t="inlineStr">
        <is>
          <t>L1.01.1</t>
        </is>
      </c>
      <c r="M15" s="62" t="n"/>
      <c r="W15" s="52" t="n"/>
    </row>
    <row r="16" ht="15" customHeight="1">
      <c r="B16" s="84" t="inlineStr">
        <is>
          <t>差异</t>
        </is>
      </c>
      <c r="C16" s="84" t="n"/>
      <c r="D16" s="85" t="n"/>
      <c r="E16" s="714">
        <f>E14-E15</f>
        <v/>
      </c>
      <c r="F16" s="316" t="inlineStr">
        <is>
          <t>Rx</t>
        </is>
      </c>
      <c r="G16" s="714">
        <f>G14-G15</f>
        <v/>
      </c>
      <c r="H16" s="316" t="inlineStr">
        <is>
          <t>Rx</t>
        </is>
      </c>
      <c r="I16" s="714">
        <f>I14-I15</f>
        <v/>
      </c>
      <c r="J16" s="70" t="inlineStr">
        <is>
          <t>Rx</t>
        </is>
      </c>
      <c r="K16" s="714">
        <f>K14-K15</f>
        <v/>
      </c>
      <c r="L16" s="70" t="inlineStr">
        <is>
          <t>Rx</t>
        </is>
      </c>
      <c r="M16" s="62" t="n"/>
      <c r="W16" s="52" t="n"/>
    </row>
    <row r="17" ht="15" customHeight="1">
      <c r="B17" s="117" t="inlineStr">
        <is>
          <t xml:space="preserve">差异是否需要进一步调查？     </t>
        </is>
      </c>
      <c r="C17" s="94" t="n"/>
      <c r="E17" s="317">
        <f>IF(ABS(E16)&gt;'L1.00 Lead sheet'!$C$6, "Yes", "No")</f>
        <v/>
      </c>
      <c r="F17" s="315" t="n"/>
      <c r="G17" s="317">
        <f>IF(ABS(G16)&gt;'L1.00 Lead sheet'!$C$6, "Yes", "No")</f>
        <v/>
      </c>
      <c r="H17" s="315" t="n"/>
      <c r="I17" s="317">
        <f>IF(ABS(I16)&gt;'L1.00 Lead sheet'!$C$6, "Yes", "No")</f>
        <v/>
      </c>
      <c r="K17" s="317">
        <f>IF(ABS(K16)&gt;'L1.00 Lead sheet'!$C$6, "Yes", "No")</f>
        <v/>
      </c>
      <c r="M17" s="62" t="n"/>
      <c r="W17" s="52" t="n"/>
    </row>
    <row r="18" ht="15" customHeight="1">
      <c r="B18" s="67" t="n"/>
      <c r="C18" s="94" t="n"/>
      <c r="E18" s="118" t="n"/>
      <c r="F18" s="315" t="n"/>
      <c r="G18" s="315" t="n"/>
      <c r="H18" s="315" t="n"/>
      <c r="I18" s="315" t="n"/>
      <c r="W18" s="52" t="n"/>
    </row>
    <row r="19" ht="15" customHeight="1">
      <c r="B19" s="68" t="inlineStr">
        <is>
          <t>减：测试的关键项目</t>
        </is>
      </c>
      <c r="C19" s="88" t="n"/>
      <c r="D19" s="88" t="n"/>
      <c r="E19" s="713" t="n"/>
      <c r="F19" s="315" t="n"/>
      <c r="G19" s="315" t="n"/>
      <c r="H19" s="315" t="n"/>
      <c r="I19" s="315" t="n"/>
      <c r="W19" s="52" t="n"/>
    </row>
    <row r="20" ht="15" customHeight="1">
      <c r="B20" s="84" t="inlineStr">
        <is>
          <t>进行代表性抽样的剩余总体</t>
        </is>
      </c>
      <c r="C20" s="84" t="n"/>
      <c r="D20" s="89" t="n"/>
      <c r="E20" s="715">
        <f>E14-E19</f>
        <v/>
      </c>
      <c r="W20" s="52" t="n"/>
    </row>
    <row r="21" ht="15" customHeight="1">
      <c r="C21" s="94" t="n"/>
      <c r="D21" s="705" t="n"/>
      <c r="W21" s="52" t="n"/>
    </row>
    <row r="22" ht="15" customHeight="1">
      <c r="B22" s="229" t="inlineStr">
        <is>
          <t>在下方描述选择关键项目的理由（请参阅Canvas指导工作流程的“关键项目”部分，包括信息图标）</t>
        </is>
      </c>
      <c r="C22" s="93" t="n"/>
      <c r="D22" s="88" t="n"/>
      <c r="E22" s="88" t="n"/>
      <c r="F22" s="88" t="n"/>
      <c r="W22" s="52" t="n"/>
    </row>
    <row r="23" ht="15" customHeight="1">
      <c r="B23" s="696" t="n"/>
      <c r="C23" s="690" t="n"/>
      <c r="D23" s="690" t="n"/>
      <c r="E23" s="690" t="n"/>
      <c r="F23" s="691" t="n"/>
      <c r="G23" s="132" t="n"/>
      <c r="H23" s="132" t="n"/>
      <c r="I23" s="132" t="n"/>
      <c r="J23" s="132" t="n"/>
      <c r="K23" s="132" t="n"/>
      <c r="W23" s="52" t="n"/>
    </row>
    <row r="24" ht="15" customHeight="1">
      <c r="B24" s="692" t="n"/>
      <c r="C24" s="616" t="n"/>
      <c r="D24" s="616" t="n"/>
      <c r="E24" s="616" t="n"/>
      <c r="F24" s="693" t="n"/>
      <c r="G24" s="132" t="n"/>
      <c r="H24" s="132" t="n"/>
      <c r="I24" s="132" t="n"/>
      <c r="J24" s="132" t="n"/>
      <c r="K24" s="132" t="n"/>
      <c r="W24" s="52" t="n"/>
    </row>
    <row r="25" ht="15" customHeight="1">
      <c r="B25" s="692" t="n"/>
      <c r="C25" s="616" t="n"/>
      <c r="D25" s="616" t="n"/>
      <c r="E25" s="616" t="n"/>
      <c r="F25" s="693" t="n"/>
      <c r="G25" s="132" t="n"/>
      <c r="H25" s="132" t="n"/>
      <c r="I25" s="132" t="n"/>
      <c r="J25" s="132" t="n"/>
      <c r="K25" s="132" t="n"/>
      <c r="W25" s="52" t="n"/>
    </row>
    <row r="26" ht="15" customHeight="1">
      <c r="B26" s="694" t="n"/>
      <c r="C26" s="619" t="n"/>
      <c r="D26" s="619" t="n"/>
      <c r="E26" s="619" t="n"/>
      <c r="F26" s="695" t="n"/>
      <c r="G26" s="132" t="n"/>
      <c r="H26" s="132" t="n"/>
      <c r="I26" s="132" t="n"/>
      <c r="J26" s="132" t="n"/>
      <c r="K26" s="132" t="n"/>
      <c r="W26" s="52" t="n"/>
    </row>
    <row r="27" ht="15" customHeight="1">
      <c r="B27" s="132" t="n"/>
      <c r="C27" s="132" t="n"/>
      <c r="D27" s="132" t="n"/>
      <c r="E27" s="132" t="n"/>
      <c r="F27" s="132" t="n"/>
      <c r="G27" s="132" t="n"/>
      <c r="H27" s="132" t="n"/>
      <c r="I27" s="132" t="n"/>
      <c r="J27" s="132" t="n"/>
      <c r="K27" s="132" t="n"/>
      <c r="W27" s="52" t="n"/>
    </row>
    <row r="28" ht="15" customHeight="1">
      <c r="B28" s="160" t="inlineStr">
        <is>
          <t>EY 测试属性解释:</t>
        </is>
      </c>
      <c r="C28" s="161" t="n"/>
      <c r="D28" s="161" t="n"/>
      <c r="E28" s="161" t="n"/>
      <c r="F28" s="162" t="n"/>
      <c r="G28" s="132" t="n"/>
      <c r="H28" s="132" t="n"/>
      <c r="I28" s="132" t="n"/>
      <c r="W28" s="52" t="n"/>
    </row>
    <row r="29" ht="15" customHeight="1">
      <c r="B29" s="96" t="inlineStr">
        <is>
          <t>对于每个被选中进行测试的项目，我们检查了相关的第三方证据以及相关的会计分录，并确定：</t>
        </is>
      </c>
      <c r="C29" s="97" t="n"/>
      <c r="D29" s="97" t="n"/>
      <c r="E29" s="97" t="n"/>
      <c r="F29" s="119" t="n"/>
      <c r="G29" s="132" t="n"/>
      <c r="H29" s="132" t="n"/>
      <c r="I29" s="132" t="n"/>
      <c r="P29" s="83" t="n"/>
      <c r="W29" s="52" t="n"/>
    </row>
    <row r="30" ht="15" customHeight="1">
      <c r="B30" s="241" t="inlineStr">
        <is>
          <t>1) 测试样本（原值和累计摊销余额）已从无形资产明细账和总账中正确移除。</t>
        </is>
      </c>
      <c r="C30" s="116" t="n"/>
      <c r="D30" s="116" t="n"/>
      <c r="E30" s="116" t="n"/>
      <c r="F30" s="242" t="n"/>
      <c r="G30" s="132" t="n"/>
      <c r="H30" s="132" t="n"/>
      <c r="I30" s="132" t="n"/>
      <c r="P30" s="93" t="n"/>
      <c r="Q30" s="93" t="n"/>
      <c r="R30" s="93" t="n"/>
      <c r="S30" s="93" t="n"/>
      <c r="W30" s="52" t="n"/>
    </row>
    <row r="31" ht="12.75" customHeight="1">
      <c r="B31" s="241" t="inlineStr">
        <is>
          <t>2) 重新计算资产处置时点的账面净值，并计算处置损益。确认处置损益已按照适用的财务报告框架正确记录和分类。</t>
        </is>
      </c>
      <c r="C31" s="68" t="n"/>
      <c r="D31" s="68" t="n"/>
      <c r="E31" s="68" t="n"/>
      <c r="F31" s="99" t="n"/>
      <c r="G31" s="132" t="n"/>
      <c r="H31" s="132" t="n"/>
      <c r="I31" s="132" t="n"/>
      <c r="P31" s="88" t="n"/>
      <c r="Q31" s="88" t="n"/>
      <c r="R31" s="88" t="n"/>
      <c r="S31" s="88" t="n"/>
      <c r="W31" s="52" t="n"/>
    </row>
    <row r="32">
      <c r="B32" s="243" t="inlineStr">
        <is>
          <t>3)如果适用，正确记录处置收入金额。如果资产被出售（即收到收益），则获得发票或付款证明等，并确认与日记账分录中记录的收益金额一致。</t>
        </is>
      </c>
      <c r="C32" s="244" t="n"/>
      <c r="D32" s="244" t="n"/>
      <c r="E32" s="244" t="n"/>
      <c r="F32" s="245" t="n"/>
      <c r="G32" s="132" t="n"/>
      <c r="H32" s="132" t="n"/>
      <c r="I32" s="132" t="n"/>
      <c r="P32" s="93" t="n"/>
      <c r="Q32" s="93" t="n"/>
      <c r="R32" s="93" t="n"/>
      <c r="S32" s="93" t="n"/>
      <c r="W32" s="52" t="n"/>
    </row>
    <row r="33" ht="15" customHeight="1">
      <c r="W33" s="52" t="n"/>
    </row>
    <row r="34" ht="15" customHeight="1">
      <c r="L34" s="66" t="inlineStr">
        <is>
          <t>|------- Rx -------|</t>
        </is>
      </c>
      <c r="O34" s="66" t="inlineStr">
        <is>
          <t>|------- Rx -------|</t>
        </is>
      </c>
      <c r="P34" s="66" t="n"/>
      <c r="Q34" s="66" t="inlineStr">
        <is>
          <t>|------- Rx -------|</t>
        </is>
      </c>
      <c r="S34" s="434" t="inlineStr">
        <is>
          <t>EY Works</t>
        </is>
      </c>
      <c r="T34" s="196" t="n"/>
      <c r="U34" s="196" t="n"/>
      <c r="W34" s="52" t="n"/>
    </row>
    <row r="35" ht="60" customHeight="1">
      <c r="B35" s="190" t="inlineStr">
        <is>
          <t>样本序号</t>
        </is>
      </c>
      <c r="C35" s="190" t="inlineStr">
        <is>
          <t>样本类型</t>
        </is>
      </c>
      <c r="D35" s="190" t="inlineStr">
        <is>
          <t>无形资产类别</t>
        </is>
      </c>
      <c r="E35" s="190" t="inlineStr">
        <is>
          <t>总账账户代码</t>
        </is>
      </c>
      <c r="F35" s="190" t="inlineStr">
        <is>
          <t>无形资产编号</t>
        </is>
      </c>
      <c r="G35" s="190" t="inlineStr">
        <is>
          <t>无形资产名称</t>
        </is>
      </c>
      <c r="H35" s="190" t="inlineStr">
        <is>
          <t>处置/报废日</t>
        </is>
      </c>
      <c r="I35" s="190" t="inlineStr">
        <is>
          <t>原价</t>
        </is>
      </c>
      <c r="J35" s="190" t="inlineStr">
        <is>
          <t>累计摊销</t>
        </is>
      </c>
      <c r="K35" s="190" t="inlineStr">
        <is>
          <t>减值准备</t>
        </is>
      </c>
      <c r="L35" s="191" t="inlineStr">
        <is>
          <t>账面价值</t>
        </is>
      </c>
      <c r="M35" s="191" t="inlineStr">
        <is>
          <t>出售价格</t>
        </is>
      </c>
      <c r="N35" s="191" t="inlineStr">
        <is>
          <t>处置交易凭证号</t>
        </is>
      </c>
      <c r="O35" s="191" t="inlineStr">
        <is>
          <t>处置损益</t>
        </is>
      </c>
      <c r="P35" s="191" t="inlineStr">
        <is>
          <t>出售价格（通过审计证据/支持性文件取得）</t>
        </is>
      </c>
      <c r="Q35" s="191" t="inlineStr">
        <is>
          <t>出售价格差异</t>
        </is>
      </c>
      <c r="R35" s="191" t="inlineStr">
        <is>
          <t>获得的证据/支持的描述（例如，我们检查的具体销售发票/合同/订单/审批文件等）</t>
        </is>
      </c>
      <c r="S35" s="192" t="n">
        <v>1</v>
      </c>
      <c r="T35" s="193" t="n">
        <v>2</v>
      </c>
      <c r="U35" s="193" t="n">
        <v>3</v>
      </c>
      <c r="W35" s="52" t="n"/>
    </row>
    <row r="36" ht="15" customHeight="1">
      <c r="B36" s="194" t="n">
        <v>1</v>
      </c>
      <c r="C36" s="421" t="n"/>
      <c r="D36" s="422" t="n"/>
      <c r="E36" s="422" t="n"/>
      <c r="F36" s="426" t="n"/>
      <c r="G36" s="432" t="n"/>
      <c r="H36" s="318" t="n"/>
      <c r="I36" s="706" t="n"/>
      <c r="J36" s="706" t="n"/>
      <c r="K36" s="706" t="n"/>
      <c r="L36" s="706">
        <f>SUM(I36:K36)</f>
        <v/>
      </c>
      <c r="M36" s="706" t="n"/>
      <c r="N36" s="485" t="n"/>
      <c r="O36" s="716">
        <f>M36-L36</f>
        <v/>
      </c>
      <c r="P36" s="716" t="n"/>
      <c r="Q36" s="717">
        <f>P36-M36</f>
        <v/>
      </c>
      <c r="R36" s="433" t="n"/>
      <c r="S36" s="435" t="n"/>
      <c r="T36" s="435" t="n"/>
      <c r="U36" s="435" t="n"/>
      <c r="W36" s="52" t="n"/>
    </row>
    <row r="37" ht="15" customHeight="1">
      <c r="B37" s="194" t="n">
        <v>2</v>
      </c>
      <c r="C37" s="421" t="n"/>
      <c r="D37" s="422" t="n"/>
      <c r="E37" s="422" t="n"/>
      <c r="F37" s="426" t="n"/>
      <c r="G37" s="432" t="n"/>
      <c r="H37" s="318" t="n"/>
      <c r="I37" s="706" t="n"/>
      <c r="J37" s="706" t="n"/>
      <c r="K37" s="706" t="n"/>
      <c r="L37" s="706">
        <f>SUM(I37:K37)</f>
        <v/>
      </c>
      <c r="M37" s="706" t="n"/>
      <c r="N37" s="485" t="n"/>
      <c r="O37" s="716">
        <f>M37-L37</f>
        <v/>
      </c>
      <c r="P37" s="716" t="n"/>
      <c r="Q37" s="717">
        <f>P37-M37</f>
        <v/>
      </c>
      <c r="R37" s="433" t="n"/>
      <c r="S37" s="435" t="n"/>
      <c r="T37" s="435" t="n"/>
      <c r="U37" s="435" t="n"/>
      <c r="W37" s="52" t="n"/>
    </row>
    <row r="38" ht="15" customHeight="1">
      <c r="B38" s="194" t="n">
        <v>3</v>
      </c>
      <c r="C38" s="421" t="n"/>
      <c r="D38" s="422" t="n"/>
      <c r="E38" s="422" t="n"/>
      <c r="F38" s="426" t="n"/>
      <c r="G38" s="432" t="n"/>
      <c r="H38" s="318" t="n"/>
      <c r="I38" s="706" t="n"/>
      <c r="J38" s="706" t="n"/>
      <c r="K38" s="706" t="n"/>
      <c r="L38" s="706">
        <f>SUM(I38:K38)</f>
        <v/>
      </c>
      <c r="M38" s="706" t="n"/>
      <c r="N38" s="485" t="n"/>
      <c r="O38" s="716">
        <f>M38-L38</f>
        <v/>
      </c>
      <c r="P38" s="716" t="n"/>
      <c r="Q38" s="717">
        <f>P38-M38</f>
        <v/>
      </c>
      <c r="R38" s="433" t="n"/>
      <c r="S38" s="435" t="n"/>
      <c r="T38" s="435" t="n"/>
      <c r="U38" s="435" t="n"/>
      <c r="W38" s="52" t="n"/>
    </row>
    <row r="39" ht="15" customHeight="1">
      <c r="B39" s="194" t="n">
        <v>4</v>
      </c>
      <c r="C39" s="421" t="n"/>
      <c r="D39" s="422" t="n"/>
      <c r="E39" s="422" t="n"/>
      <c r="F39" s="426" t="n"/>
      <c r="G39" s="432" t="n"/>
      <c r="H39" s="318" t="n"/>
      <c r="I39" s="706" t="n"/>
      <c r="J39" s="706" t="n"/>
      <c r="K39" s="706" t="n"/>
      <c r="L39" s="706">
        <f>SUM(I39:K39)</f>
        <v/>
      </c>
      <c r="M39" s="706" t="n"/>
      <c r="N39" s="485" t="n"/>
      <c r="O39" s="716">
        <f>M39-L39</f>
        <v/>
      </c>
      <c r="P39" s="716" t="n"/>
      <c r="Q39" s="717">
        <f>P39-M39</f>
        <v/>
      </c>
      <c r="R39" s="433" t="n"/>
      <c r="S39" s="435" t="n"/>
      <c r="T39" s="435" t="n"/>
      <c r="U39" s="435" t="n"/>
      <c r="W39" s="52" t="n"/>
    </row>
    <row r="40" ht="15" customHeight="1">
      <c r="B40" s="194" t="n">
        <v>5</v>
      </c>
      <c r="C40" s="421" t="n"/>
      <c r="D40" s="422" t="n"/>
      <c r="E40" s="422" t="n"/>
      <c r="F40" s="426" t="n"/>
      <c r="G40" s="432" t="n"/>
      <c r="H40" s="318" t="n"/>
      <c r="I40" s="706" t="n"/>
      <c r="J40" s="706" t="n"/>
      <c r="K40" s="706" t="n"/>
      <c r="L40" s="706">
        <f>SUM(I40:K40)</f>
        <v/>
      </c>
      <c r="M40" s="706" t="n"/>
      <c r="N40" s="485" t="n"/>
      <c r="O40" s="716">
        <f>M40-L40</f>
        <v/>
      </c>
      <c r="P40" s="716" t="n"/>
      <c r="Q40" s="717">
        <f>P40-M40</f>
        <v/>
      </c>
      <c r="R40" s="433" t="n"/>
      <c r="S40" s="435" t="n"/>
      <c r="T40" s="435" t="n"/>
      <c r="U40" s="435" t="n"/>
      <c r="W40" s="52" t="n"/>
    </row>
    <row r="41" ht="15" customHeight="1">
      <c r="W41" s="52" t="n"/>
    </row>
    <row r="42" ht="15" customHeight="1">
      <c r="B42" s="430" t="inlineStr">
        <is>
          <t>标记图例: 记录已识别的异常情况以及如何解决这些异常情况的详细信息，包括执行的其他实质性程序（指南：包括足够的描述，以使之前与审计无关的经验丰富的审计师能够理解执行的程序）。</t>
        </is>
      </c>
      <c r="W42" s="52" t="n"/>
    </row>
    <row r="43" ht="15" customHeight="1">
      <c r="B43" s="696" t="n"/>
      <c r="C43" s="690" t="n"/>
      <c r="D43" s="690" t="n"/>
      <c r="E43" s="690" t="n"/>
      <c r="F43" s="691" t="n"/>
      <c r="W43" s="52" t="n"/>
    </row>
    <row r="44" ht="15" customHeight="1">
      <c r="B44" s="692" t="n"/>
      <c r="C44" s="616" t="n"/>
      <c r="D44" s="616" t="n"/>
      <c r="E44" s="616" t="n"/>
      <c r="F44" s="693" t="n"/>
      <c r="W44" s="52" t="n"/>
    </row>
    <row r="45" ht="15" customHeight="1">
      <c r="B45" s="692" t="n"/>
      <c r="C45" s="616" t="n"/>
      <c r="D45" s="616" t="n"/>
      <c r="E45" s="616" t="n"/>
      <c r="F45" s="693" t="n"/>
      <c r="W45" s="52" t="n"/>
    </row>
    <row r="46" ht="15" customHeight="1">
      <c r="B46" s="694" t="n"/>
      <c r="C46" s="619" t="n"/>
      <c r="D46" s="619" t="n"/>
      <c r="E46" s="619" t="n"/>
      <c r="F46" s="695" t="n"/>
      <c r="W46" s="52" t="n"/>
    </row>
    <row r="47" ht="15" customHeight="1">
      <c r="W47" s="52" t="n"/>
    </row>
    <row r="48" ht="7.5" customHeight="1">
      <c r="A48" s="52" t="n"/>
      <c r="B48" s="52" t="n"/>
      <c r="C48" s="52" t="n"/>
      <c r="D48" s="52" t="n"/>
      <c r="E48" s="52" t="n"/>
      <c r="F48" s="52" t="n"/>
      <c r="G48" s="52" t="n"/>
      <c r="H48" s="52" t="n"/>
      <c r="I48" s="52" t="n"/>
      <c r="J48" s="52" t="n"/>
      <c r="K48" s="52" t="n"/>
      <c r="L48" s="52" t="n"/>
      <c r="M48" s="52" t="n"/>
      <c r="N48" s="52" t="n"/>
      <c r="O48" s="52" t="n"/>
      <c r="P48" s="52" t="n"/>
      <c r="Q48" s="52" t="n"/>
      <c r="R48" s="52" t="n"/>
      <c r="S48" s="52" t="n"/>
      <c r="T48" s="52" t="n"/>
      <c r="U48" s="52" t="n"/>
      <c r="V48" s="52" t="n"/>
      <c r="W48" s="52" t="n"/>
    </row>
  </sheetData>
  <mergeCells count="3">
    <mergeCell ref="B43:F46"/>
    <mergeCell ref="B23:F26"/>
    <mergeCell ref="B7:F10"/>
  </mergeCells>
  <conditionalFormatting sqref="B7:F10">
    <cfRule type="containsBlanks" priority="11" dxfId="0">
      <formula>LEN(TRIM(B7))=0</formula>
    </cfRule>
  </conditionalFormatting>
  <conditionalFormatting sqref="B23:F26">
    <cfRule type="containsBlanks" priority="13" dxfId="0">
      <formula>LEN(TRIM(B23))=0</formula>
    </cfRule>
  </conditionalFormatting>
  <conditionalFormatting sqref="B43:F46">
    <cfRule type="containsBlanks" priority="12" dxfId="0">
      <formula>LEN(TRIM(B43))=0</formula>
    </cfRule>
  </conditionalFormatting>
  <conditionalFormatting sqref="B36:U40">
    <cfRule type="containsBlanks" priority="2" dxfId="0">
      <formula>LEN(TRIM(B36))=0</formula>
    </cfRule>
  </conditionalFormatting>
  <conditionalFormatting sqref="E14:E15 E19 G14 I14 K14">
    <cfRule type="containsBlanks" priority="1" dxfId="0">
      <formula>LEN(TRIM(E14))=0</formula>
    </cfRule>
  </conditionalFormatting>
  <dataValidations count="2">
    <dataValidation sqref="S36:U40" showDropDown="0" showInputMessage="1" showErrorMessage="1" allowBlank="1" type="list">
      <formula1>"Y,N"</formula1>
    </dataValidation>
    <dataValidation sqref="C36:C40" showDropDown="0" showInputMessage="1" showErrorMessage="0" allowBlank="1" type="list">
      <formula1>"关键项,代表性样本"</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60" fitToHeight="0" horizontalDpi="300"/>
  <headerFooter>
    <oddHeader/>
    <oddFooter>&amp;LK SWP PPE_x000a_(24 June 2025)</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N4"/>
  <sheetViews>
    <sheetView zoomScale="70" zoomScaleNormal="70" workbookViewId="0">
      <selection activeCell="I11" sqref="I11"/>
    </sheetView>
  </sheetViews>
  <sheetFormatPr baseColWidth="8" defaultColWidth="8.6640625" defaultRowHeight="17.4"/>
  <cols>
    <col width="2.77734375" customWidth="1" style="234" min="1" max="1"/>
    <col width="8.6640625" customWidth="1" style="233" min="2" max="10"/>
    <col width="2.6640625" customWidth="1" style="233" min="11" max="11"/>
    <col width="1.6640625" customWidth="1" style="233" min="12" max="12"/>
    <col width="8.6640625" customWidth="1" style="233" min="13" max="13"/>
    <col width="11.109375" customWidth="1" style="233" min="14" max="14"/>
    <col width="8.6640625" customWidth="1" style="233" min="15" max="16384"/>
  </cols>
  <sheetData>
    <row r="1">
      <c r="A1" s="232" t="n"/>
      <c r="L1" s="351" t="n"/>
    </row>
    <row r="2" ht="20.4" customHeight="1">
      <c r="B2" s="235" t="inlineStr">
        <is>
          <t>注：样本处置测试请与L1.02.2 处置（处置及报废）测试金额核对一致。</t>
        </is>
      </c>
      <c r="C2" s="235" t="n"/>
      <c r="D2" s="235" t="n"/>
      <c r="E2" s="235" t="n"/>
      <c r="F2" s="235" t="n"/>
      <c r="G2" s="235" t="n"/>
      <c r="H2" s="235" t="n"/>
      <c r="I2" s="235" t="n"/>
      <c r="J2" s="439" t="n"/>
      <c r="L2" s="351" t="n"/>
      <c r="N2" s="395" t="inlineStr">
        <is>
          <t>返回汇总页</t>
        </is>
      </c>
    </row>
    <row r="3" ht="15" customHeight="1">
      <c r="L3" s="351" t="n"/>
    </row>
    <row r="4" ht="7.5" customHeight="1">
      <c r="A4" s="351" t="n"/>
      <c r="B4" s="351" t="n"/>
      <c r="C4" s="351" t="n"/>
      <c r="D4" s="351" t="n"/>
      <c r="E4" s="351" t="n"/>
      <c r="F4" s="351" t="n"/>
      <c r="G4" s="351" t="n"/>
      <c r="H4" s="351" t="n"/>
      <c r="I4" s="351" t="n"/>
      <c r="J4" s="351" t="n"/>
      <c r="K4" s="351" t="n"/>
      <c r="L4" s="351" t="n"/>
    </row>
  </sheetData>
  <hyperlinks>
    <hyperlink ref="N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H9"/>
  <sheetViews>
    <sheetView showGridLines="0" zoomScale="70" zoomScaleNormal="70" workbookViewId="0">
      <selection activeCell="H18" sqref="H18"/>
    </sheetView>
  </sheetViews>
  <sheetFormatPr baseColWidth="8" defaultColWidth="8.109375" defaultRowHeight="13.2"/>
  <cols>
    <col width="2.6640625" customWidth="1" style="49" min="1" max="1"/>
    <col width="10.109375" customWidth="1" style="50" min="2" max="2"/>
    <col width="15.88671875" customWidth="1" style="50" min="3" max="3"/>
    <col width="14.33203125" customWidth="1" style="50" min="4" max="9"/>
    <col width="19.33203125" customWidth="1" style="50" min="10" max="10"/>
    <col width="2.6640625" customWidth="1" style="50" min="11" max="11"/>
    <col width="1.6640625" customWidth="1" style="50" min="12" max="12"/>
    <col width="8.109375" customWidth="1" style="50" min="13" max="13"/>
    <col width="9.77734375" customWidth="1" style="50" min="14" max="14"/>
    <col width="8.109375" customWidth="1" style="50" min="15" max="18"/>
    <col width="1.33203125" customWidth="1" style="50" min="19" max="19"/>
    <col width="8.109375" customWidth="1" style="50" min="20" max="16384"/>
  </cols>
  <sheetData>
    <row r="1" ht="12.75" customFormat="1" customHeight="1" s="10">
      <c r="A1" s="237" t="n"/>
      <c r="B1" s="15" t="n"/>
      <c r="C1" s="15" t="n"/>
      <c r="D1" s="16" t="n"/>
      <c r="E1" s="709" t="n"/>
      <c r="F1" s="17" t="n"/>
      <c r="G1" s="17" t="n"/>
      <c r="H1" s="17" t="n"/>
      <c r="I1" s="154" t="n"/>
      <c r="J1" s="154" t="n"/>
      <c r="K1" s="154" t="n"/>
      <c r="L1" s="52" t="n"/>
      <c r="M1" s="154" t="n"/>
      <c r="N1" s="154" t="n"/>
      <c r="O1" s="154" t="n"/>
      <c r="P1" s="154" t="n"/>
      <c r="Q1" s="154" t="n"/>
      <c r="R1" s="154" t="n"/>
      <c r="S1" s="154" t="n"/>
      <c r="T1" s="154" t="n"/>
      <c r="U1" s="154" t="n"/>
      <c r="V1" s="154" t="n"/>
      <c r="W1" s="154" t="n"/>
      <c r="X1" s="154" t="n"/>
      <c r="Y1" s="154" t="n"/>
      <c r="Z1" s="154" t="n"/>
      <c r="AA1" s="154" t="n"/>
      <c r="AB1" s="154" t="n"/>
      <c r="AC1" s="154" t="n"/>
      <c r="AD1" s="154" t="n"/>
      <c r="AE1" s="154" t="n"/>
      <c r="AF1" s="154" t="n"/>
      <c r="AG1" s="154" t="n"/>
      <c r="AH1" s="154" t="n"/>
    </row>
    <row r="2" ht="15" customHeight="1">
      <c r="L2" s="52" t="n"/>
      <c r="N2" s="395" t="inlineStr">
        <is>
          <t>返回汇总页</t>
        </is>
      </c>
    </row>
    <row r="3" ht="33" customHeight="1">
      <c r="B3" s="582" t="inlineStr">
        <is>
          <t>获取当期按类别划分的所有无形资产处置清单，包括记录的处置的损益，并将该列表与无形资产后推核对一致。我们调查超过SAD名义金额的差额（例如，处置清单和后推明细表之间没被解释的差额）。我们考虑了实体经营的任何重大变化是否导致资产报废和/或处置，如果是，我们确保这些资产计入当期处置。</t>
        </is>
      </c>
      <c r="L3" s="52" t="n"/>
    </row>
    <row r="4" ht="33" customHeight="1">
      <c r="L4" s="52" t="n"/>
    </row>
    <row r="5">
      <c r="B5" s="155" t="n"/>
      <c r="C5" s="155" t="n"/>
      <c r="D5" s="155" t="n"/>
      <c r="E5" s="155" t="n"/>
      <c r="F5" s="155" t="n"/>
      <c r="G5" s="155" t="n"/>
      <c r="H5" s="155" t="n"/>
      <c r="I5" s="155" t="n"/>
      <c r="J5" s="155" t="n"/>
      <c r="L5" s="52" t="n"/>
    </row>
    <row r="6" ht="23.25" customFormat="1" customHeight="1" s="31">
      <c r="A6" s="29" t="n"/>
      <c r="B6" s="571" t="inlineStr">
        <is>
          <t>注：项目组可以自定义无形资产处置清单表格，也可直接使用系统导出的无形资产处置清单，但必须确保必需字段（无形资产类别、编号、名称、原值、累计折旧、减值、净值、处置日期、减少方式）完整。</t>
        </is>
      </c>
      <c r="L6" s="52" t="n"/>
    </row>
    <row r="7" ht="23.25" customFormat="1" customHeight="1" s="31">
      <c r="A7" s="29" t="n"/>
      <c r="L7" s="52" t="n"/>
    </row>
    <row r="8" ht="15" customHeight="1">
      <c r="L8" s="52" t="n"/>
    </row>
    <row r="9" ht="7.5" customHeight="1">
      <c r="A9" s="52" t="n"/>
      <c r="B9" s="52" t="n"/>
      <c r="C9" s="52" t="n"/>
      <c r="D9" s="52" t="n"/>
      <c r="E9" s="52" t="n"/>
      <c r="F9" s="52" t="n"/>
      <c r="G9" s="52" t="n"/>
      <c r="H9" s="52" t="n"/>
      <c r="I9" s="52" t="n"/>
      <c r="J9" s="52" t="n"/>
      <c r="K9" s="52" t="n"/>
      <c r="L9" s="52" t="n"/>
    </row>
  </sheetData>
  <mergeCells count="2">
    <mergeCell ref="B3:J4"/>
    <mergeCell ref="B6:J7"/>
  </mergeCells>
  <hyperlinks>
    <hyperlink ref="N2" location="'汇总'!$A$1" display="'汇总'!$A$1"/>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Z31"/>
  <sheetViews>
    <sheetView showGridLines="0" tabSelected="1" topLeftCell="J1" zoomScale="70" zoomScaleNormal="70" zoomScaleSheetLayoutView="70" workbookViewId="0">
      <selection activeCell="I22" sqref="I22"/>
    </sheetView>
  </sheetViews>
  <sheetFormatPr baseColWidth="8" defaultColWidth="7.33203125" defaultRowHeight="12.75" customHeight="1"/>
  <cols>
    <col width="2.6640625" customWidth="1" style="29" min="1" max="1"/>
    <col width="16.6640625" customWidth="1" style="44" min="2" max="2"/>
    <col width="18.77734375" bestFit="1" customWidth="1" style="44" min="3" max="3"/>
    <col width="16.109375" customWidth="1" style="44" min="4" max="4"/>
    <col width="26.33203125" bestFit="1" customWidth="1" style="44" min="5" max="5"/>
    <col width="16" bestFit="1" customWidth="1" style="44" min="6" max="6"/>
    <col width="13.33203125" bestFit="1" customWidth="1" style="44" min="7" max="7"/>
    <col width="13.77734375" customWidth="1" style="44" min="8" max="8"/>
    <col width="17" customWidth="1" style="44" min="9" max="9"/>
    <col width="12.109375" customWidth="1" style="44" min="10" max="10"/>
    <col width="13.6640625" customWidth="1" style="44" min="11" max="11"/>
    <col width="13.33203125" bestFit="1" customWidth="1" style="44" min="12" max="12"/>
    <col width="11.33203125" customWidth="1" style="44" min="13" max="13"/>
    <col width="10.77734375" customWidth="1" style="44" min="14" max="14"/>
    <col width="13.33203125" bestFit="1" customWidth="1" style="44" min="15" max="16"/>
    <col width="15.6640625" bestFit="1" customWidth="1" style="44" min="17" max="17"/>
    <col width="23.33203125" bestFit="1" customWidth="1" style="44" min="18" max="18"/>
    <col width="13.33203125" bestFit="1" customWidth="1" style="44" min="19" max="19"/>
    <col width="5.6640625" bestFit="1" customWidth="1" style="44" min="20" max="20"/>
    <col width="2.6640625" customWidth="1" style="44" min="21" max="21"/>
    <col width="1.6640625" customWidth="1" style="44" min="22" max="22"/>
    <col width="19.6640625" customWidth="1" style="44" min="23" max="23"/>
    <col width="13" customWidth="1" style="44" min="24" max="24"/>
    <col width="10.33203125" customWidth="1" style="44" min="25" max="25"/>
    <col width="7.33203125" customWidth="1" style="44" min="26" max="16384"/>
  </cols>
  <sheetData>
    <row r="1" ht="50.1" customHeight="1">
      <c r="A1" s="150" t="n"/>
      <c r="B1" s="238" t="inlineStr">
        <is>
          <t>标准工作底稿: L1 SWP 无形资产</t>
        </is>
      </c>
      <c r="C1" s="78" t="n"/>
      <c r="D1" s="151" t="n"/>
      <c r="E1" s="151" t="n"/>
      <c r="F1" s="151" t="n"/>
      <c r="G1" s="151" t="n"/>
      <c r="H1" s="151" t="n"/>
      <c r="I1" s="151" t="n"/>
      <c r="J1" s="151" t="n"/>
      <c r="K1" s="151" t="n"/>
      <c r="L1" s="151" t="n"/>
      <c r="M1" s="151" t="n"/>
      <c r="N1" s="78" t="n"/>
      <c r="O1" s="78" t="n"/>
      <c r="P1" s="79" t="n"/>
      <c r="Q1" s="79" t="n"/>
      <c r="R1" s="79" t="n"/>
      <c r="S1" s="79" t="n"/>
      <c r="T1" s="180" t="n"/>
      <c r="U1" s="51" t="n"/>
      <c r="V1" s="52" t="n"/>
      <c r="W1" s="51" t="n"/>
      <c r="X1" s="51" t="n"/>
      <c r="Y1" s="51" t="n"/>
      <c r="Z1" s="51" t="n"/>
    </row>
    <row r="2" ht="30" customFormat="1" customHeight="1" s="251">
      <c r="A2" s="247" t="n"/>
      <c r="B2" s="246" t="inlineStr">
        <is>
          <t>L1.03：详细测试 (摊销)</t>
        </is>
      </c>
      <c r="C2" s="248" t="n"/>
      <c r="D2" s="248" t="n"/>
      <c r="E2" s="248" t="n"/>
      <c r="F2" s="248" t="n"/>
      <c r="G2" s="248" t="n"/>
      <c r="H2" s="248" t="n"/>
      <c r="I2" s="248" t="n"/>
      <c r="J2" s="248" t="n"/>
      <c r="K2" s="248" t="n"/>
      <c r="L2" s="248" t="n"/>
      <c r="M2" s="248" t="n"/>
      <c r="N2" s="248" t="n"/>
      <c r="O2" s="248" t="n"/>
      <c r="P2" s="248" t="n"/>
      <c r="Q2" s="248" t="n"/>
      <c r="R2" s="248" t="n"/>
      <c r="S2" s="248" t="n"/>
      <c r="T2" s="249" t="n"/>
      <c r="U2" s="247" t="n"/>
      <c r="V2" s="250" t="n"/>
      <c r="W2" s="247" t="n"/>
      <c r="X2" s="247" t="n"/>
      <c r="Y2" s="247" t="n"/>
      <c r="Z2" s="247" t="n"/>
    </row>
    <row r="3" ht="12.75" customHeight="1">
      <c r="A3" s="149" t="n"/>
      <c r="V3" s="52" t="n"/>
    </row>
    <row r="4" ht="17.4" customFormat="1" customHeight="1" s="10">
      <c r="A4" s="18" t="n"/>
      <c r="B4" s="588" t="inlineStr">
        <is>
          <t>注：1.如果下列表格不适用，项目组可以自定义下方无形资产清单表格，也可直接使用系统导出的无形资产清单，但必须确保必需字段完整。</t>
        </is>
      </c>
      <c r="N4" s="27" t="n"/>
      <c r="V4" s="52" t="n"/>
    </row>
    <row r="5" ht="17.4" customFormat="1" customHeight="1" s="31">
      <c r="A5" s="29" t="n"/>
      <c r="B5" s="588" t="inlineStr">
        <is>
          <t>2.无形资产的类别：请使用被审计单位的台账，无需对资产的类别添加自己的重分类修改，资产类别应当与L1.01.1中列示的类别匹配。</t>
        </is>
      </c>
      <c r="N5" s="27" t="n"/>
      <c r="O5" s="10" t="n"/>
      <c r="P5" s="30" t="n"/>
      <c r="Q5" s="30" t="n"/>
      <c r="R5" s="19" t="n"/>
      <c r="S5" s="19" t="n"/>
      <c r="T5" s="19" t="n"/>
      <c r="U5" s="19" t="n"/>
      <c r="V5" s="52" t="n"/>
      <c r="W5" s="10" t="n"/>
      <c r="X5" s="19" t="n"/>
      <c r="Y5" s="19" t="n"/>
    </row>
    <row r="6" ht="12.9" customFormat="1" customHeight="1" s="10">
      <c r="A6" s="32" t="n"/>
      <c r="N6" s="27" t="n"/>
      <c r="P6" s="33" t="n"/>
      <c r="Q6" s="33" t="n"/>
      <c r="R6" s="34" t="n"/>
      <c r="S6" s="34" t="n"/>
      <c r="T6" s="34" t="n"/>
      <c r="U6" s="34" t="n"/>
      <c r="V6" s="52" t="n"/>
      <c r="W6" s="26" t="n"/>
      <c r="X6" s="34" t="n"/>
      <c r="Y6" s="34" t="n"/>
    </row>
    <row r="7" ht="12.9" customFormat="1" customHeight="1" s="10">
      <c r="A7" s="32" t="n"/>
      <c r="B7" s="395" t="inlineStr">
        <is>
          <t>返回汇总页</t>
        </is>
      </c>
      <c r="N7" s="27" t="n"/>
      <c r="P7" s="33" t="n"/>
      <c r="Q7" s="33" t="n"/>
      <c r="R7" s="34" t="n"/>
      <c r="S7" s="34" t="n"/>
      <c r="T7" s="34" t="n"/>
      <c r="U7" s="34" t="n"/>
      <c r="V7" s="52" t="n"/>
      <c r="W7" s="26" t="n"/>
      <c r="X7" s="34" t="n"/>
      <c r="Y7" s="34" t="n"/>
    </row>
    <row r="8" ht="12.9" customFormat="1" customHeight="1" s="10">
      <c r="A8" s="32" t="n"/>
      <c r="N8" s="27" t="n"/>
      <c r="P8" s="33" t="n"/>
      <c r="Q8" s="33" t="n"/>
      <c r="R8" s="34" t="n"/>
      <c r="S8" s="34" t="n"/>
      <c r="T8" s="34" t="n"/>
      <c r="U8" s="34" t="n"/>
      <c r="V8" s="52" t="n"/>
      <c r="W8" s="26" t="n"/>
      <c r="X8" s="34" t="n"/>
      <c r="Y8" s="34" t="n"/>
    </row>
    <row r="9" ht="15.6" customFormat="1" customHeight="1" s="19">
      <c r="A9" s="18" t="n"/>
      <c r="B9" s="26" t="inlineStr">
        <is>
          <t>按公司的摊销政策重新计算本年应计提的摊销费用并与账面本年摊销费用比对。重新计算摊销出现差异的，我们进行进一步核查以得出结论。</t>
        </is>
      </c>
      <c r="C9" s="30" t="n"/>
      <c r="D9" s="30" t="n"/>
      <c r="E9" s="30" t="n"/>
      <c r="F9" s="30" t="n"/>
      <c r="G9" s="30" t="n"/>
      <c r="H9" s="30" t="n"/>
      <c r="I9" s="30" t="n"/>
      <c r="J9" s="30" t="n"/>
      <c r="K9" s="30" t="n"/>
      <c r="V9" s="52" t="n"/>
      <c r="W9" s="10" t="n"/>
    </row>
    <row r="10" ht="20.1" customFormat="1" customHeight="1" s="34">
      <c r="A10" s="18" t="n"/>
      <c r="B10" s="30" t="inlineStr">
        <is>
          <t>|-------------------------------------------------------------------------------------------------------------------------------------------------必需字段*----------------------------------------------------------------------------------------------------------------------------------------------------------|</t>
        </is>
      </c>
      <c r="C10" s="33" t="n"/>
      <c r="D10" s="33" t="n"/>
      <c r="E10" s="33" t="n"/>
      <c r="F10" s="33" t="n"/>
      <c r="G10" s="33" t="n"/>
      <c r="H10" s="33" t="n"/>
      <c r="I10" s="33" t="n"/>
      <c r="J10" s="33" t="n"/>
      <c r="K10" s="33" t="n"/>
      <c r="L10" s="35" t="n"/>
      <c r="M10" s="35" t="n"/>
      <c r="N10" s="35" t="n"/>
      <c r="P10" s="28" t="n"/>
      <c r="Q10" s="28" t="n"/>
      <c r="R10" s="28" t="n"/>
      <c r="S10" s="28" t="n"/>
      <c r="T10" s="35" t="n"/>
      <c r="V10" s="52" t="n"/>
      <c r="W10" s="26" t="n"/>
    </row>
    <row r="11" ht="15.6" customFormat="1" customHeight="1" s="34">
      <c r="A11" s="18" t="n"/>
      <c r="B11" s="440" t="inlineStr">
        <is>
          <t>表1  无形资产明细清单</t>
        </is>
      </c>
      <c r="C11" s="33" t="n"/>
      <c r="D11" s="36" t="n"/>
      <c r="E11" s="37" t="n"/>
      <c r="F11" s="38" t="n"/>
      <c r="G11" s="37" t="n"/>
      <c r="H11" s="39" t="n"/>
      <c r="I11" s="441" t="n"/>
      <c r="J11" s="28" t="n"/>
      <c r="N11" s="718" t="inlineStr">
        <is>
          <t xml:space="preserve">    若处置或报废，须填写</t>
        </is>
      </c>
      <c r="O11" s="608" t="n"/>
      <c r="P11" s="719" t="inlineStr">
        <is>
          <t>EY Works</t>
        </is>
      </c>
      <c r="Q11" s="607" t="n"/>
      <c r="R11" s="607" t="n"/>
      <c r="S11" s="607" t="n"/>
      <c r="T11" s="608" t="n"/>
      <c r="V11" s="442" t="n"/>
      <c r="W11" s="26" t="n"/>
    </row>
    <row r="12" ht="15.6" customFormat="1" customHeight="1" s="447">
      <c r="A12" s="28" t="n"/>
      <c r="B12" s="183" t="inlineStr">
        <is>
          <t>无形资产编号</t>
        </is>
      </c>
      <c r="C12" s="183" t="inlineStr">
        <is>
          <t>无形资产名称</t>
        </is>
      </c>
      <c r="D12" s="183" t="inlineStr">
        <is>
          <t>无形资产类别</t>
        </is>
      </c>
      <c r="E12" s="183" t="inlineStr">
        <is>
          <t>入账开始日期</t>
        </is>
      </c>
      <c r="F12" s="443" t="inlineStr">
        <is>
          <t xml:space="preserve"> 残值率 </t>
        </is>
      </c>
      <c r="G12" s="183" t="inlineStr">
        <is>
          <t xml:space="preserve"> 使用寿命(月)</t>
        </is>
      </c>
      <c r="H12" s="443" t="inlineStr">
        <is>
          <t>本期摊销</t>
        </is>
      </c>
      <c r="I12" s="443" t="inlineStr">
        <is>
          <t>本期计提减值准备</t>
        </is>
      </c>
      <c r="J12" s="183" t="inlineStr">
        <is>
          <t>期末原值</t>
        </is>
      </c>
      <c r="K12" s="183" t="inlineStr">
        <is>
          <t>期末累计摊销</t>
        </is>
      </c>
      <c r="L12" s="183" t="inlineStr">
        <is>
          <t>期末减值准备</t>
        </is>
      </c>
      <c r="M12" s="444" t="inlineStr">
        <is>
          <t>期末净值</t>
        </is>
      </c>
      <c r="N12" s="445" t="inlineStr">
        <is>
          <t>处置日期</t>
        </is>
      </c>
      <c r="O12" s="445" t="inlineStr">
        <is>
          <t>原值减少金额</t>
        </is>
      </c>
      <c r="P12" s="445" t="inlineStr">
        <is>
          <t>提足折旧时间</t>
        </is>
      </c>
      <c r="Q12" s="445" t="inlineStr">
        <is>
          <t>本期应摊销月数</t>
        </is>
      </c>
      <c r="R12" s="445" t="inlineStr">
        <is>
          <t>本期应摊销金额</t>
        </is>
      </c>
      <c r="S12" s="445" t="inlineStr">
        <is>
          <t>本期差异</t>
        </is>
      </c>
      <c r="T12" s="446" t="inlineStr">
        <is>
          <t>标记</t>
        </is>
      </c>
      <c r="U12" s="34" t="n"/>
      <c r="V12" s="442" t="n"/>
      <c r="W12" s="26" t="n"/>
      <c r="X12" s="34" t="n"/>
      <c r="Y12" s="34" t="n"/>
    </row>
    <row r="13" ht="12.75" customFormat="1" customHeight="1" s="19">
      <c r="A13" s="18" t="n"/>
      <c r="B13" s="397" t="n"/>
      <c r="C13" s="304" t="n"/>
      <c r="D13" s="305" t="n"/>
      <c r="E13" s="436" t="n"/>
      <c r="F13" s="306" t="n"/>
      <c r="G13" s="307" t="n"/>
      <c r="H13" s="720" t="n"/>
      <c r="I13" s="721" t="n"/>
      <c r="J13" s="720" t="n"/>
      <c r="K13" s="720" t="n"/>
      <c r="L13" s="720" t="n"/>
      <c r="M13" s="722" t="n"/>
      <c r="N13" s="437" t="n"/>
      <c r="O13" s="723" t="n"/>
      <c r="P13" s="361">
        <f>IFERROR(EOMONTH(E13,G13-MONTH(1)),"")</f>
        <v/>
      </c>
      <c r="Q13" s="724">
        <f t="array" ref="Q13">IFERROR(IF(N13="",_xlfn.IFS(YEAR(E13)&lt;YEAR('L1.00 Lead sheet'!$C$3),_xlfn.IFS(YEAR(P13)&gt;YEAR('L1.00 Lead sheet'!$C$3),MONTH('L1.00 Lead sheet'!$C$3),YEAR(P13)=YEAR('L1.00 Lead sheet'!$C$3),IF(MONTH(P13)&gt;=MONTH('L1.00 Lead sheet'!$C$3),MONTH('L1.00 Lead sheet'!$C$3),MONTH(P13)),YEAR(P13)&lt;YEAR('L1.00 Lead sheet'!$C$3),0),(YEAR(E13)=YEAR('L1.00 Lead sheet'!$C$3)),MONTH('L1.00 Lead sheet'!$C$3)+1-(MONTH(E13)),YEAR(E13)&gt;YEAR('L1.00 Lead sheet'!$C$3),0),_xlfn.IFS(EOMONTH(E13,G13-1)&lt;DATE(YEAR('L1.00 Lead sheet'!$C$3),1,1),0,AND(DATE(YEAR('L1.00 Lead sheet'!$C$3),1,1)&lt;EOMONTH(E13,G13-1),EOMONTH(E13,G13-1)&lt;DATE(YEAR('L1.00 Lead sheet'!$C$3),MONTH('L1.00 Lead sheet'!$C$3),DAY('L1.00 Lead sheet'!$C$3))),IF(DATE(YEAR(N13),MONTH(N13),DAY(N13))&lt;EOMONTH(E13,G13-1),MONTH(N13)-1,MONTH(EOMONTH(E13,G13-1))),EOMONTH(E13,G13-1)=DATE(YEAR('L1.00 Lead sheet'!$C$3),MONTH('L1.00 Lead sheet'!$C$3),DAY('L1.00 Lead sheet'!$C$3)),IF(DATE(YEAR(N13),MONTH(N13),DAY(N13))&gt;EOMONTH(E13,G13-1),MONTH(EOMONTH(E13,G13-1)),MONTH(N13)-1),EOMONTH(E13,G13-1)&gt;DATE(YEAR('L1.00 Lead sheet'!$C$3),MONTH('L1.00 Lead sheet'!$C$3),DAY('L1.00 Lead sheet'!$C$3)),IF(YEAR(E13)&gt;YEAR('L1.00 Lead sheet'!$C$3),0,IF(YEAR(E13)=YEAR('L1.00 Lead sheet'!$C$3),IF(YEAR(N13)&gt;YEAR('L1.00 Lead sheet'!$C$3),MONTH('L1.00 Lead sheet'!$C$3)-MONTH(E13)+1,MONTH(N13)-MONTH(E13)+1),_xlfn.IFS(YEAR(N13)&gt;YEAR('L1.00 Lead sheet'!$C$3),MONTH('L1.00 Lead sheet'!$C$3),YEAR(N13)=YEAR('L1.00 Lead sheet'!$C$3),MONTH(N13)-1,YEAR(N13)&lt;YEAR('L1.00 Lead sheet'!$C$3),0))))),0)</f>
        <v/>
      </c>
      <c r="R13" s="725">
        <f>-(IFERROR(IF(J13=0,(O13*(1-F13))/G13*Q13,(J13*(1-F13))/G13*Q13),0))</f>
        <v/>
      </c>
      <c r="S13" s="724">
        <f>R13-H13</f>
        <v/>
      </c>
      <c r="T13" s="157">
        <f>IF(ABS(S13)&gt;'L1.00 Lead sheet'!$C$6,"Note","w")</f>
        <v/>
      </c>
      <c r="V13" s="52" t="n"/>
      <c r="W13" s="10" t="n"/>
    </row>
    <row r="14" ht="13.2" customFormat="1" customHeight="1" s="19">
      <c r="A14" s="18" t="n"/>
      <c r="B14" s="308" t="n"/>
      <c r="C14" s="304" t="n"/>
      <c r="D14" s="305" t="n"/>
      <c r="E14" s="436" t="n"/>
      <c r="F14" s="306" t="n"/>
      <c r="G14" s="307" t="n"/>
      <c r="H14" s="720" t="n"/>
      <c r="I14" s="721" t="n"/>
      <c r="J14" s="720" t="n"/>
      <c r="K14" s="720" t="n"/>
      <c r="L14" s="720" t="n"/>
      <c r="M14" s="722" t="n"/>
      <c r="N14" s="437" t="n"/>
      <c r="O14" s="723" t="n"/>
      <c r="P14" s="361">
        <f>IFERROR(EOMONTH(E14,G14-MONTH(1)),"")</f>
        <v/>
      </c>
      <c r="Q14" s="724">
        <f t="array" ref="Q14">IFERROR(IF(N14="",_xlfn.IFS(YEAR(E14)&lt;YEAR('L1.00 Lead sheet'!$C$3),_xlfn.IFS(YEAR(P14)&gt;YEAR('L1.00 Lead sheet'!$C$3),MONTH('L1.00 Lead sheet'!$C$3),YEAR(P14)=YEAR('L1.00 Lead sheet'!$C$3),IF(MONTH(P14)&gt;=MONTH('L1.00 Lead sheet'!$C$3),MONTH('L1.00 Lead sheet'!$C$3),MONTH(P14)),YEAR(P14)&lt;YEAR('L1.00 Lead sheet'!$C$3),0),(YEAR(E14)=YEAR('L1.00 Lead sheet'!$C$3)),MONTH('L1.00 Lead sheet'!$C$3)+1-(MONTH(E14)),YEAR(E14)&gt;YEAR('L1.00 Lead sheet'!$C$3),0),_xlfn.IFS(EOMONTH(E14,G14-1)&lt;DATE(YEAR('L1.00 Lead sheet'!$C$3),1,1),0,AND(DATE(YEAR('L1.00 Lead sheet'!$C$3),1,1)&lt;EOMONTH(E14,G14-1),EOMONTH(E14,G14-1)&lt;DATE(YEAR('L1.00 Lead sheet'!$C$3),MONTH('L1.00 Lead sheet'!$C$3),DAY('L1.00 Lead sheet'!$C$3))),IF(DATE(YEAR(N14),MONTH(N14),DAY(N14))&lt;EOMONTH(E14,G14-1),MONTH(N14)-1,MONTH(EOMONTH(E14,G14-1))),EOMONTH(E14,G14-1)=DATE(YEAR('L1.00 Lead sheet'!$C$3),MONTH('L1.00 Lead sheet'!$C$3),DAY('L1.00 Lead sheet'!$C$3)),IF(DATE(YEAR(N14),MONTH(N14),DAY(N14))&gt;EOMONTH(E14,G14-1),MONTH(EOMONTH(E14,G14-1)),MONTH(N14)-1),EOMONTH(E14,G14-1)&gt;DATE(YEAR('L1.00 Lead sheet'!$C$3),MONTH('L1.00 Lead sheet'!$C$3),DAY('L1.00 Lead sheet'!$C$3)),IF(YEAR(E14)&gt;YEAR('L1.00 Lead sheet'!$C$3),0,IF(YEAR(E14)=YEAR('L1.00 Lead sheet'!$C$3),IF(YEAR(N14)&gt;YEAR('L1.00 Lead sheet'!$C$3),MONTH('L1.00 Lead sheet'!$C$3)-MONTH(E14)+1,MONTH(N14)-MONTH(E14)+1),_xlfn.IFS(YEAR(N14)&gt;YEAR('L1.00 Lead sheet'!$C$3),MONTH('L1.00 Lead sheet'!$C$3),YEAR(N14)=YEAR('L1.00 Lead sheet'!$C$3),MONTH(N14)-1,YEAR(N14)&lt;YEAR('L1.00 Lead sheet'!$C$3),0))))),0)</f>
        <v/>
      </c>
      <c r="R14" s="725">
        <f>-(IFERROR(IF(J14=0,(O14*(1-F14))/G14*Q14,(J14*(1-F14))/G14*Q14),0))</f>
        <v/>
      </c>
      <c r="S14" s="725">
        <f>R14-H14</f>
        <v/>
      </c>
      <c r="T14" s="157">
        <f>IF(ABS(S14)&gt;'L1.00 Lead sheet'!$C$6,"Note","w")</f>
        <v/>
      </c>
      <c r="V14" s="52" t="n"/>
      <c r="W14" s="10" t="n"/>
    </row>
    <row r="15" ht="13.2" customFormat="1" customHeight="1" s="19">
      <c r="A15" s="18" t="n"/>
      <c r="B15" s="308" t="n"/>
      <c r="C15" s="304" t="n"/>
      <c r="D15" s="305" t="n"/>
      <c r="E15" s="436" t="n"/>
      <c r="F15" s="306" t="n"/>
      <c r="G15" s="307" t="n"/>
      <c r="H15" s="720" t="n"/>
      <c r="I15" s="721" t="n"/>
      <c r="J15" s="720" t="n"/>
      <c r="K15" s="720" t="n"/>
      <c r="L15" s="720" t="n"/>
      <c r="M15" s="722" t="n"/>
      <c r="N15" s="437" t="n"/>
      <c r="O15" s="723" t="n"/>
      <c r="P15" s="361">
        <f>IFERROR(EOMONTH(E15,G15-MONTH(1)),"")</f>
        <v/>
      </c>
      <c r="Q15" s="724">
        <f t="array" ref="Q15">IFERROR(IF(N15="",_xlfn.IFS(YEAR(E15)&lt;YEAR('L1.00 Lead sheet'!$C$3),_xlfn.IFS(YEAR(P15)&gt;YEAR('L1.00 Lead sheet'!$C$3),MONTH('L1.00 Lead sheet'!$C$3),YEAR(P15)=YEAR('L1.00 Lead sheet'!$C$3),IF(MONTH(P15)&gt;=MONTH('L1.00 Lead sheet'!$C$3),MONTH('L1.00 Lead sheet'!$C$3),MONTH(P15)),YEAR(P15)&lt;YEAR('L1.00 Lead sheet'!$C$3),0),(YEAR(E15)=YEAR('L1.00 Lead sheet'!$C$3)),MONTH('L1.00 Lead sheet'!$C$3)+1-(MONTH(E15)),YEAR(E15)&gt;YEAR('L1.00 Lead sheet'!$C$3),0),_xlfn.IFS(EOMONTH(E15,G15-1)&lt;DATE(YEAR('L1.00 Lead sheet'!$C$3),1,1),0,AND(DATE(YEAR('L1.00 Lead sheet'!$C$3),1,1)&lt;EOMONTH(E15,G15-1),EOMONTH(E15,G15-1)&lt;DATE(YEAR('L1.00 Lead sheet'!$C$3),MONTH('L1.00 Lead sheet'!$C$3),DAY('L1.00 Lead sheet'!$C$3))),IF(DATE(YEAR(N15),MONTH(N15),DAY(N15))&lt;EOMONTH(E15,G15-1),MONTH(N15)-1,MONTH(EOMONTH(E15,G15-1))),EOMONTH(E15,G15-1)=DATE(YEAR('L1.00 Lead sheet'!$C$3),MONTH('L1.00 Lead sheet'!$C$3),DAY('L1.00 Lead sheet'!$C$3)),IF(DATE(YEAR(N15),MONTH(N15),DAY(N15))&gt;EOMONTH(E15,G15-1),MONTH(EOMONTH(E15,G15-1)),MONTH(N15)-1),EOMONTH(E15,G15-1)&gt;DATE(YEAR('L1.00 Lead sheet'!$C$3),MONTH('L1.00 Lead sheet'!$C$3),DAY('L1.00 Lead sheet'!$C$3)),IF(YEAR(E15)&gt;YEAR('L1.00 Lead sheet'!$C$3),0,IF(YEAR(E15)=YEAR('L1.00 Lead sheet'!$C$3),IF(YEAR(N15)&gt;YEAR('L1.00 Lead sheet'!$C$3),MONTH('L1.00 Lead sheet'!$C$3)-MONTH(E15)+1,MONTH(N15)-MONTH(E15)+1),_xlfn.IFS(YEAR(N15)&gt;YEAR('L1.00 Lead sheet'!$C$3),MONTH('L1.00 Lead sheet'!$C$3),YEAR(N15)=YEAR('L1.00 Lead sheet'!$C$3),MONTH(N15)-1,YEAR(N15)&lt;YEAR('L1.00 Lead sheet'!$C$3),0))))),0)</f>
        <v/>
      </c>
      <c r="R15" s="725">
        <f>-(IFERROR(IF(J15=0,(O15*(1-F15))/G15*Q15,(J15*(1-F15))/G15*Q15),0))</f>
        <v/>
      </c>
      <c r="S15" s="725">
        <f>R15-H15</f>
        <v/>
      </c>
      <c r="T15" s="157">
        <f>IF(ABS(S15)&gt;'L1.00 Lead sheet'!$C$6,"Note","w")</f>
        <v/>
      </c>
      <c r="V15" s="52" t="n"/>
      <c r="W15" s="10" t="n"/>
    </row>
    <row r="16" ht="13.2" customFormat="1" customHeight="1" s="19">
      <c r="A16" s="18" t="n"/>
      <c r="B16" s="308" t="n"/>
      <c r="C16" s="307" t="n"/>
      <c r="D16" s="309" t="n"/>
      <c r="E16" s="436" t="n"/>
      <c r="F16" s="306" t="n"/>
      <c r="G16" s="307" t="n"/>
      <c r="H16" s="720" t="n"/>
      <c r="I16" s="721" t="n"/>
      <c r="J16" s="720" t="n"/>
      <c r="K16" s="720" t="n"/>
      <c r="L16" s="720" t="n"/>
      <c r="M16" s="722" t="n"/>
      <c r="N16" s="437" t="n"/>
      <c r="O16" s="723" t="n"/>
      <c r="P16" s="361">
        <f>IFERROR(EOMONTH(E16,G16-MONTH(1)),"")</f>
        <v/>
      </c>
      <c r="Q16" s="724">
        <f t="array" ref="Q16">IFERROR(IF(N16="",_xlfn.IFS(YEAR(E16)&lt;YEAR('L1.00 Lead sheet'!$C$3),_xlfn.IFS(YEAR(P16)&gt;YEAR('L1.00 Lead sheet'!$C$3),MONTH('L1.00 Lead sheet'!$C$3),YEAR(P16)=YEAR('L1.00 Lead sheet'!$C$3),IF(MONTH(P16)&gt;=MONTH('L1.00 Lead sheet'!$C$3),MONTH('L1.00 Lead sheet'!$C$3),MONTH(P16)),YEAR(P16)&lt;YEAR('L1.00 Lead sheet'!$C$3),0),(YEAR(E16)=YEAR('L1.00 Lead sheet'!$C$3)),MONTH('L1.00 Lead sheet'!$C$3)+1-(MONTH(E16)),YEAR(E16)&gt;YEAR('L1.00 Lead sheet'!$C$3),0),_xlfn.IFS(EOMONTH(E16,G16-1)&lt;DATE(YEAR('L1.00 Lead sheet'!$C$3),1,1),0,AND(DATE(YEAR('L1.00 Lead sheet'!$C$3),1,1)&lt;EOMONTH(E16,G16-1),EOMONTH(E16,G16-1)&lt;DATE(YEAR('L1.00 Lead sheet'!$C$3),MONTH('L1.00 Lead sheet'!$C$3),DAY('L1.00 Lead sheet'!$C$3))),IF(DATE(YEAR(N16),MONTH(N16),DAY(N16))&lt;EOMONTH(E16,G16-1),MONTH(N16)-1,MONTH(EOMONTH(E16,G16-1))),EOMONTH(E16,G16-1)=DATE(YEAR('L1.00 Lead sheet'!$C$3),MONTH('L1.00 Lead sheet'!$C$3),DAY('L1.00 Lead sheet'!$C$3)),IF(DATE(YEAR(N16),MONTH(N16),DAY(N16))&gt;EOMONTH(E16,G16-1),MONTH(EOMONTH(E16,G16-1)),MONTH(N16)-1),EOMONTH(E16,G16-1)&gt;DATE(YEAR('L1.00 Lead sheet'!$C$3),MONTH('L1.00 Lead sheet'!$C$3),DAY('L1.00 Lead sheet'!$C$3)),IF(YEAR(E16)&gt;YEAR('L1.00 Lead sheet'!$C$3),0,IF(YEAR(E16)=YEAR('L1.00 Lead sheet'!$C$3),IF(YEAR(N16)&gt;YEAR('L1.00 Lead sheet'!$C$3),MONTH('L1.00 Lead sheet'!$C$3)-MONTH(E16)+1,MONTH(N16)-MONTH(E16)+1),_xlfn.IFS(YEAR(N16)&gt;YEAR('L1.00 Lead sheet'!$C$3),MONTH('L1.00 Lead sheet'!$C$3),YEAR(N16)=YEAR('L1.00 Lead sheet'!$C$3),MONTH(N16)-1,YEAR(N16)&lt;YEAR('L1.00 Lead sheet'!$C$3),0))))),0)</f>
        <v/>
      </c>
      <c r="R16" s="725">
        <f>-(IFERROR(IF(J16=0,(O16*(1-F16))/G16*Q16,(J16*(1-F16))/G16*Q16),0))</f>
        <v/>
      </c>
      <c r="S16" s="725">
        <f>R16-H16</f>
        <v/>
      </c>
      <c r="T16" s="157">
        <f>IF(ABS(S16)&gt;'L1.00 Lead sheet'!$C$6,"Note","w")</f>
        <v/>
      </c>
      <c r="V16" s="52" t="n"/>
      <c r="W16" s="10" t="n"/>
    </row>
    <row r="17" ht="13.2" customFormat="1" customHeight="1" s="19">
      <c r="A17" s="18" t="n"/>
      <c r="B17" s="308" t="n"/>
      <c r="C17" s="307" t="n"/>
      <c r="D17" s="309" t="n"/>
      <c r="E17" s="436" t="n"/>
      <c r="F17" s="306" t="n"/>
      <c r="G17" s="307" t="n"/>
      <c r="H17" s="720" t="n"/>
      <c r="I17" s="721" t="n"/>
      <c r="J17" s="720" t="n"/>
      <c r="K17" s="720" t="n"/>
      <c r="L17" s="720" t="n"/>
      <c r="M17" s="722" t="n"/>
      <c r="N17" s="437" t="n"/>
      <c r="O17" s="723" t="n"/>
      <c r="P17" s="361">
        <f>IFERROR(EOMONTH(E17,G17-MONTH(1)),"")</f>
        <v/>
      </c>
      <c r="Q17" s="724">
        <f t="array" ref="Q17">IFERROR(IF(N17="",_xlfn.IFS(YEAR(E17)&lt;YEAR('L1.00 Lead sheet'!$C$3),_xlfn.IFS(YEAR(P17)&gt;YEAR('L1.00 Lead sheet'!$C$3),MONTH('L1.00 Lead sheet'!$C$3),YEAR(P17)=YEAR('L1.00 Lead sheet'!$C$3),IF(MONTH(P17)&gt;=MONTH('L1.00 Lead sheet'!$C$3),MONTH('L1.00 Lead sheet'!$C$3),MONTH(P17)),YEAR(P17)&lt;YEAR('L1.00 Lead sheet'!$C$3),0),(YEAR(E17)=YEAR('L1.00 Lead sheet'!$C$3)),MONTH('L1.00 Lead sheet'!$C$3)+1-(MONTH(E17)),YEAR(E17)&gt;YEAR('L1.00 Lead sheet'!$C$3),0),_xlfn.IFS(EOMONTH(E17,G17-1)&lt;DATE(YEAR('L1.00 Lead sheet'!$C$3),1,1),0,AND(DATE(YEAR('L1.00 Lead sheet'!$C$3),1,1)&lt;EOMONTH(E17,G17-1),EOMONTH(E17,G17-1)&lt;DATE(YEAR('L1.00 Lead sheet'!$C$3),MONTH('L1.00 Lead sheet'!$C$3),DAY('L1.00 Lead sheet'!$C$3))),IF(DATE(YEAR(N17),MONTH(N17),DAY(N17))&lt;EOMONTH(E17,G17-1),MONTH(N17)-1,MONTH(EOMONTH(E17,G17-1))),EOMONTH(E17,G17-1)=DATE(YEAR('L1.00 Lead sheet'!$C$3),MONTH('L1.00 Lead sheet'!$C$3),DAY('L1.00 Lead sheet'!$C$3)),IF(DATE(YEAR(N17),MONTH(N17),DAY(N17))&gt;EOMONTH(E17,G17-1),MONTH(EOMONTH(E17,G17-1)),MONTH(N17)-1),EOMONTH(E17,G17-1)&gt;DATE(YEAR('L1.00 Lead sheet'!$C$3),MONTH('L1.00 Lead sheet'!$C$3),DAY('L1.00 Lead sheet'!$C$3)),IF(YEAR(E17)&gt;YEAR('L1.00 Lead sheet'!$C$3),0,IF(YEAR(E17)=YEAR('L1.00 Lead sheet'!$C$3),IF(YEAR(N17)&gt;YEAR('L1.00 Lead sheet'!$C$3),MONTH('L1.00 Lead sheet'!$C$3)-MONTH(E17)+1,MONTH(N17)-MONTH(E17)+1),_xlfn.IFS(YEAR(N17)&gt;YEAR('L1.00 Lead sheet'!$C$3),MONTH('L1.00 Lead sheet'!$C$3),YEAR(N17)=YEAR('L1.00 Lead sheet'!$C$3),MONTH(N17)-1,YEAR(N17)&lt;YEAR('L1.00 Lead sheet'!$C$3),0))))),0)</f>
        <v/>
      </c>
      <c r="R17" s="725">
        <f>-(IFERROR(IF(J17=0,(O17*(1-F17))/G17*Q17,(J17*(1-F17))/G17*Q17),0))</f>
        <v/>
      </c>
      <c r="S17" s="725">
        <f>R17-H17</f>
        <v/>
      </c>
      <c r="T17" s="157">
        <f>IF(ABS(S17)&gt;'L1.00 Lead sheet'!$C$6,"Note","w")</f>
        <v/>
      </c>
      <c r="V17" s="52" t="n"/>
      <c r="W17" s="10" t="n"/>
    </row>
    <row r="18" ht="15.6" customFormat="1" customHeight="1" s="19">
      <c r="A18" s="18" t="n"/>
      <c r="B18" s="182" t="n"/>
      <c r="C18" s="183" t="n"/>
      <c r="D18" s="184" t="inlineStr">
        <is>
          <t>合计</t>
        </is>
      </c>
      <c r="E18" s="183" t="n"/>
      <c r="F18" s="185" t="n"/>
      <c r="G18" s="183" t="n"/>
      <c r="H18" s="726">
        <f>SUM(H12:H17)</f>
        <v/>
      </c>
      <c r="I18" s="726">
        <f>SUM(I12:I17)</f>
        <v/>
      </c>
      <c r="J18" s="726">
        <f>SUM(J12:J17)</f>
        <v/>
      </c>
      <c r="K18" s="726">
        <f>SUM(K12:K17)</f>
        <v/>
      </c>
      <c r="L18" s="726">
        <f>SUM(L12:L17)</f>
        <v/>
      </c>
      <c r="M18" s="727">
        <f>SUM(M12:M17)</f>
        <v/>
      </c>
      <c r="N18" s="186" t="n"/>
      <c r="O18" s="727">
        <f>SUM(O12:O17)</f>
        <v/>
      </c>
      <c r="P18" s="126" t="n"/>
      <c r="Q18" s="126" t="n"/>
      <c r="R18" s="727">
        <f>SUM(R12:R17)</f>
        <v/>
      </c>
      <c r="S18" s="727">
        <f>SUM(S12:S17)</f>
        <v/>
      </c>
      <c r="T18" s="438">
        <f>IF(ABS(S18)&gt;'L1.00 Lead sheet'!$C$6,"Note","w")</f>
        <v/>
      </c>
      <c r="U18" s="10" t="n"/>
      <c r="V18" s="52" t="n"/>
      <c r="W18" s="10" t="n"/>
      <c r="X18" s="10" t="n"/>
      <c r="Y18" s="10" t="n"/>
    </row>
    <row r="19" ht="13.2" customFormat="1" customHeight="1" s="10">
      <c r="A19" s="9" t="n"/>
      <c r="B19" s="40" t="n"/>
      <c r="C19" s="41" t="n"/>
      <c r="D19" s="41" t="n"/>
      <c r="E19" s="40" t="n"/>
      <c r="F19" s="728" t="n"/>
      <c r="G19" s="40" t="n"/>
      <c r="H19" s="28" t="inlineStr">
        <is>
          <t>Rx</t>
        </is>
      </c>
      <c r="I19" s="28" t="inlineStr">
        <is>
          <t>Rx</t>
        </is>
      </c>
      <c r="J19" s="28" t="inlineStr">
        <is>
          <t>Rx</t>
        </is>
      </c>
      <c r="K19" s="28" t="inlineStr">
        <is>
          <t>Rx</t>
        </is>
      </c>
      <c r="L19" s="28" t="inlineStr">
        <is>
          <t>Rx</t>
        </is>
      </c>
      <c r="M19" s="28" t="inlineStr">
        <is>
          <t>Rx</t>
        </is>
      </c>
      <c r="O19" s="28" t="inlineStr">
        <is>
          <t>Rx</t>
        </is>
      </c>
      <c r="R19" s="28" t="inlineStr">
        <is>
          <t>Rx</t>
        </is>
      </c>
      <c r="S19" s="28" t="n"/>
      <c r="V19" s="52" t="n"/>
    </row>
    <row r="20" ht="13.2" customFormat="1" customHeight="1" s="10">
      <c r="A20" s="9" t="n"/>
      <c r="B20" s="40" t="n"/>
      <c r="C20" s="41" t="n"/>
      <c r="D20" s="41" t="n"/>
      <c r="E20" s="40" t="n"/>
      <c r="F20" s="728" t="n"/>
      <c r="G20" s="40" t="n"/>
      <c r="H20" s="28" t="n"/>
      <c r="I20" s="28" t="n"/>
      <c r="J20" s="28" t="n"/>
      <c r="K20" s="28" t="n"/>
      <c r="L20" s="28" t="n"/>
      <c r="M20" s="28" t="n"/>
      <c r="V20" s="52" t="n"/>
    </row>
    <row r="21" ht="15.6" customFormat="1" customHeight="1" s="10">
      <c r="A21" s="9" t="n"/>
      <c r="B21" s="349" t="inlineStr">
        <is>
          <t>检查无形资产各项目的摊销政策是否符合有关规定，是否与上期一致，其是否具有商业合理性。若改变摊销政策，检查其依据是否充分。</t>
        </is>
      </c>
      <c r="C21" s="350" t="n"/>
      <c r="D21" s="350" t="n"/>
      <c r="E21" s="350" t="n"/>
      <c r="F21" s="350" t="n"/>
      <c r="G21" s="350" t="n"/>
      <c r="H21" s="28" t="n"/>
      <c r="I21" s="28" t="n"/>
      <c r="J21" s="28" t="n"/>
      <c r="K21" s="28" t="n"/>
      <c r="L21" s="28" t="n"/>
      <c r="M21" s="28" t="n"/>
      <c r="V21" s="52" t="n"/>
    </row>
    <row r="22" ht="15.6" customFormat="1" customHeight="1" s="10">
      <c r="A22" s="9" t="n"/>
      <c r="B22" s="5" t="inlineStr">
        <is>
          <t>表2  公司摊销政策复核表</t>
        </is>
      </c>
      <c r="C22" s="138" t="n"/>
      <c r="D22" s="1" t="n"/>
      <c r="E22" s="1" t="n"/>
      <c r="F22" s="1" t="n"/>
      <c r="G22" s="1" t="n"/>
      <c r="H22" s="28" t="n"/>
      <c r="I22" s="28" t="n"/>
      <c r="J22" s="28" t="n"/>
      <c r="K22" s="28" t="n"/>
      <c r="L22" s="28" t="n"/>
      <c r="M22" s="28" t="n"/>
      <c r="V22" s="52" t="n"/>
    </row>
    <row r="23" ht="15.6" customFormat="1" customHeight="1" s="10">
      <c r="A23" s="9" t="n"/>
      <c r="B23" s="662" t="inlineStr">
        <is>
          <t>资产类别</t>
        </is>
      </c>
      <c r="C23" s="448">
        <f>YEAR('L1.00 Lead sheet'!C3)&amp;"年度"</f>
        <v/>
      </c>
      <c r="D23" s="448">
        <f>YEAR('L1.00 Lead sheet'!C3)-1&amp;"年度"</f>
        <v/>
      </c>
      <c r="E23" s="729" t="inlineStr">
        <is>
          <t>差异</t>
        </is>
      </c>
      <c r="F23" s="729" t="inlineStr">
        <is>
          <t>差异说明</t>
        </is>
      </c>
      <c r="G23" s="449" t="inlineStr">
        <is>
          <t>使用寿命的</t>
        </is>
      </c>
      <c r="H23" s="28" t="n"/>
      <c r="I23" s="28" t="n"/>
      <c r="J23" s="28" t="n"/>
      <c r="K23" s="28" t="n"/>
      <c r="L23" s="28" t="n"/>
      <c r="M23" s="28" t="n"/>
      <c r="V23" s="52" t="n"/>
    </row>
    <row r="24" ht="31.2" customFormat="1" customHeight="1" s="10">
      <c r="A24" s="9" t="n"/>
      <c r="B24" s="661" t="n"/>
      <c r="C24" s="177" t="inlineStr">
        <is>
          <t>使用寿命</t>
        </is>
      </c>
      <c r="D24" s="177" t="inlineStr">
        <is>
          <t>使用寿命</t>
        </is>
      </c>
      <c r="E24" s="661" t="n"/>
      <c r="F24" s="661" t="n"/>
      <c r="G24" s="450" t="inlineStr">
        <is>
          <t>商业合理性分析</t>
        </is>
      </c>
      <c r="H24" s="28" t="n"/>
      <c r="I24" s="28" t="n"/>
      <c r="J24" s="28" t="n"/>
      <c r="K24" s="28" t="n"/>
      <c r="L24" s="28" t="n"/>
      <c r="M24" s="28" t="n"/>
      <c r="V24" s="52" t="n"/>
    </row>
    <row r="25" ht="13.2" customFormat="1" customHeight="1" s="10">
      <c r="A25" s="9" t="n"/>
      <c r="B25" s="224">
        <f>'L1.01.1 Agree SL to GL'!F10</f>
        <v/>
      </c>
      <c r="C25" s="730" t="n"/>
      <c r="D25" s="730" t="n"/>
      <c r="E25" s="731">
        <f>C25=D25</f>
        <v/>
      </c>
      <c r="F25" s="312" t="n"/>
      <c r="G25" s="313" t="n"/>
      <c r="H25" s="28" t="n"/>
      <c r="I25" s="28" t="n"/>
      <c r="J25" s="28" t="n"/>
      <c r="K25" s="28" t="n"/>
      <c r="L25" s="28" t="n"/>
      <c r="M25" s="28" t="n"/>
      <c r="V25" s="52" t="n"/>
    </row>
    <row r="26" ht="13.2" customFormat="1" customHeight="1" s="10">
      <c r="A26" s="9" t="n"/>
      <c r="B26" s="224">
        <f>'L1.01.1 Agree SL to GL'!I10</f>
        <v/>
      </c>
      <c r="C26" s="730" t="n"/>
      <c r="D26" s="730" t="n"/>
      <c r="E26" s="731">
        <f>C26=D26</f>
        <v/>
      </c>
      <c r="F26" s="312" t="n"/>
      <c r="G26" s="313" t="n"/>
      <c r="H26" s="28" t="n"/>
      <c r="I26" s="28" t="n"/>
      <c r="J26" s="28" t="n"/>
      <c r="K26" s="28" t="n"/>
      <c r="L26" s="28" t="n"/>
      <c r="M26" s="28" t="n"/>
      <c r="V26" s="52" t="n"/>
    </row>
    <row r="27" ht="13.2" customFormat="1" customHeight="1" s="10">
      <c r="A27" s="9" t="n"/>
      <c r="B27" s="224">
        <f>'L1.01.1 Agree SL to GL'!L10</f>
        <v/>
      </c>
      <c r="C27" s="730" t="n"/>
      <c r="D27" s="730" t="n"/>
      <c r="E27" s="731">
        <f>C27=D27</f>
        <v/>
      </c>
      <c r="F27" s="312" t="n"/>
      <c r="G27" s="313" t="n"/>
      <c r="H27" s="28" t="n"/>
      <c r="I27" s="28" t="n"/>
      <c r="J27" s="28" t="n"/>
      <c r="K27" s="28" t="n"/>
      <c r="L27" s="28" t="n"/>
      <c r="M27" s="28" t="n"/>
      <c r="V27" s="52" t="n"/>
    </row>
    <row r="28" ht="13.2" customFormat="1" customHeight="1" s="10">
      <c r="A28" s="9" t="n"/>
      <c r="B28" s="224">
        <f>'L1.01.1 Agree SL to GL'!O10</f>
        <v/>
      </c>
      <c r="C28" s="730" t="n"/>
      <c r="D28" s="730" t="n"/>
      <c r="E28" s="731">
        <f>C28=D28</f>
        <v/>
      </c>
      <c r="F28" s="312" t="n"/>
      <c r="G28" s="313" t="n"/>
      <c r="H28" s="28" t="n"/>
      <c r="I28" s="28" t="n"/>
      <c r="J28" s="28" t="n"/>
      <c r="K28" s="28" t="n"/>
      <c r="L28" s="28" t="n"/>
      <c r="M28" s="28" t="n"/>
      <c r="V28" s="52" t="n"/>
    </row>
    <row r="29" ht="13.2" customFormat="1" customHeight="1" s="10">
      <c r="A29" s="9" t="n"/>
      <c r="B29" s="224">
        <f>'L1.01.1 Agree SL to GL'!R10</f>
        <v/>
      </c>
      <c r="C29" s="312" t="n"/>
      <c r="D29" s="312" t="n"/>
      <c r="E29" s="731">
        <f>C29=D29</f>
        <v/>
      </c>
      <c r="F29" s="312" t="n"/>
      <c r="G29" s="313" t="n"/>
      <c r="H29" s="28" t="n"/>
      <c r="I29" s="28" t="n"/>
      <c r="J29" s="28" t="n"/>
      <c r="K29" s="28" t="n"/>
      <c r="L29" s="28" t="n"/>
      <c r="M29" s="28" t="n"/>
      <c r="V29" s="52" t="n"/>
    </row>
    <row r="30" ht="15" customHeight="1">
      <c r="V30" s="52" t="n"/>
    </row>
    <row r="31" ht="7.5" customHeight="1">
      <c r="A31" s="52" t="n"/>
      <c r="B31" s="52" t="n"/>
      <c r="C31" s="52" t="n"/>
      <c r="D31" s="52" t="n"/>
      <c r="E31" s="52" t="n"/>
      <c r="F31" s="52" t="n"/>
      <c r="G31" s="52" t="n"/>
      <c r="H31" s="52" t="n"/>
      <c r="I31" s="52" t="n"/>
      <c r="J31" s="52" t="n"/>
      <c r="K31" s="52" t="n"/>
      <c r="L31" s="52" t="n"/>
      <c r="M31" s="52" t="n"/>
      <c r="N31" s="52" t="n"/>
      <c r="O31" s="52" t="n"/>
      <c r="P31" s="52" t="n"/>
      <c r="Q31" s="52" t="n"/>
      <c r="R31" s="52" t="n"/>
      <c r="S31" s="52" t="n"/>
      <c r="T31" s="52" t="n"/>
      <c r="U31" s="52" t="n"/>
      <c r="V31" s="52" t="n"/>
    </row>
  </sheetData>
  <mergeCells count="7">
    <mergeCell ref="B23:B24"/>
    <mergeCell ref="N11:O11"/>
    <mergeCell ref="B5:M5"/>
    <mergeCell ref="P11:T11"/>
    <mergeCell ref="E23:E24"/>
    <mergeCell ref="F23:F24"/>
    <mergeCell ref="B4:M4"/>
  </mergeCells>
  <conditionalFormatting sqref="B25:D29">
    <cfRule type="containsBlanks" priority="3" dxfId="0">
      <formula>LEN(TRIM(B25))=0</formula>
    </cfRule>
  </conditionalFormatting>
  <conditionalFormatting sqref="B13:T17">
    <cfRule type="containsBlanks" priority="2" dxfId="0">
      <formula>LEN(TRIM(B13))=0</formula>
    </cfRule>
  </conditionalFormatting>
  <conditionalFormatting sqref="F25:G29">
    <cfRule type="containsBlanks" priority="4" dxfId="0">
      <formula>LEN(TRIM(F25))=0</formula>
    </cfRule>
  </conditionalFormatting>
  <conditionalFormatting sqref="T13:T18">
    <cfRule type="cellIs" priority="21" operator="equal" dxfId="1">
      <formula>"m"</formula>
    </cfRule>
  </conditionalFormatting>
  <conditionalFormatting sqref="T18">
    <cfRule type="containsBlanks" priority="1" dxfId="0">
      <formula>LEN(TRIM(T18))=0</formula>
    </cfRule>
  </conditionalFormatting>
  <hyperlinks>
    <hyperlink ref="B7" location="汇总!A1" display="返回汇总页"/>
  </hyperlinks>
  <pageMargins left="0.7" right="0.7" top="0.75" bottom="0.75" header="0.3" footer="0.3"/>
  <pageSetup orientation="portrait" paperSize="9"/>
</worksheet>
</file>

<file path=xl/worksheets/sheet11.xml><?xml version="1.0" encoding="utf-8"?>
<worksheet xmlns="http://schemas.openxmlformats.org/spreadsheetml/2006/main">
  <sheetPr codeName="Sheet4">
    <outlinePr summaryBelow="1" summaryRight="1"/>
    <pageSetUpPr/>
  </sheetPr>
  <dimension ref="A1:CD44"/>
  <sheetViews>
    <sheetView workbookViewId="0">
      <selection activeCell="A1" sqref="A1"/>
    </sheetView>
  </sheetViews>
  <sheetFormatPr baseColWidth="8" defaultColWidth="9" defaultRowHeight="13.8"/>
  <cols>
    <col width="0.109375" customWidth="1" min="1" max="1"/>
  </cols>
  <sheetData>
    <row r="1">
      <c r="A1" t="inlineStr">
        <is>
          <t>b8e777cf-a974-4dca-af89-7da1caee1666</t>
        </is>
      </c>
    </row>
    <row r="6">
      <c r="E6" t="inlineStr">
        <is>
          <t>ABC7dhNi9NAGADg+8L+hyF4LGGTrLtdb7XN1kA2LZksIstSZsm0hk4yJZlYiiz0oCy6eBA/jiLi2Y+DKC7qr2ncPfkXbNZ+SB1BYSRV59LDO9N3Mjy8w8z75eTT3uoKADfzHwCUC2zQw8oloJjXVNgd9IPIV6/SuNtEPRyrVtRLGbyOMSsB3gSlNElj+eMcUUrINADTA48yRMwIHRCcj7YRSfDi8HaAST6ozDJ5VxYyOSg8/8Ds9VE2PJmvmNgY/ZDXSi7HGHV92o8Wh1zar9I0YuO4Vp4Gq5TMgvo0aEYsYAFOxsG9/dnfcUhvYJ87BtMwRPHAy7f60w3Pp0A2IHiyre93WnGbDmWYu0Qzpp0YhdsBIdWYJomL2zvUx9Nl8lmHpV+HreE2Ssmy0NqauqarGsgevxo9e5K9OT59+UgI9PpFDrSuSeiCoCeLQ8xYEHXOP0qM8zrHuSwLutiC1sHo+a3PH16ILGjeya0bErpAaANk9++ePRwKZDY0HvOGZC6IuQZbluOZrlOxW9D0PMupwxb0Gm6lbgoB55X1/FCX3gV61xrVutvYbQr15tW39F4W790d0/Gk9//hDR1L1vY/bJ1f0bTx47rSiTEG0AaMgrotRtrgvbs0TT6wC2uSfeugvLs9uifmJr7Ju4hvSt+CfCcPanG+WxxfQx7WBTdOEDgb3smevj39+GB09F5M54R3UkvoglvefwB6Q0IvG/QayDlBwu93szj93UOba1z+241XV/a/Ag==</t>
        </is>
      </c>
      <c r="Y6" t="inlineStr">
        <is>
          <t>ABC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Ytjpw6JAABgIIZZqX+VA0PvIbh3heE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t>
        </is>
      </c>
      <c r="Z6" t="inlineStr">
        <is>
          <t>ABC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2OnDokAAGAghlmpf5UDQ+8huHeFiR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t>
        </is>
      </c>
      <c r="AA6" t="inlineStr">
        <is>
          <t>ABC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fHTh0SAQDAQAyzUv8qB4beQ3DvCsM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t>
        </is>
      </c>
      <c r="AB6" t="inlineStr">
        <is>
          <t>ABC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8dOHRIBAMBADLNS/yoHht5DcO8Kww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t>
        </is>
      </c>
      <c r="AC6" t="inlineStr">
        <is>
          <t>ABC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x04dEgEAwEAMs1L/KgcezUNw7wrD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t>
        </is>
      </c>
      <c r="AD6" t="inlineStr">
        <is>
          <t>ABC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xbFTh0QAADAQw6zUv8qBofcQ3LvC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t>
        </is>
      </c>
      <c r="AE6" t="inlineStr">
        <is>
          <t>ABC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OLYqUMiAAAYiGFW6l/lwNB7CO5dYX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t>
        </is>
      </c>
      <c r="AF6" t="inlineStr">
        <is>
          <t>AB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hx7NQxbh0EEEXRrbwNWDI22M4msgiST0sB+xfFVFcIKIIUJE79Rne6ww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t4MV7wghe84AUveMELXvCCF7zgBS9S5QUveMGL8YIXvOAFL8YLXvCCF7y4gRfjBS94wQte8IIXvOAFL3jBC17wIlVe8IIXvBgveMELXvBivOAFL3jBixv+g168vP+tFy8f/4YXffL/8eLn99fnry+/PD893h5fn3784cvr08f7p5+evry/frw9Hp+ev348vocXL29/7cXr2zd58fqdufj87Vx8/vX3x2//KMSfr6AABShAAQpQgAIUoAAFKEABClCAAhSgAAUoQAEKUIBCq1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t>
        </is>
      </c>
      <c r="AG6" t="inlineStr">
        <is>
          <t>ABC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BCqlCAAhSgkCoUoAAFKKQKBShAAQqpQgEKUIDCH+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H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I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J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K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OHBAAAAACC/r82+4EDR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L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QuzUIQEAAACAoP+vzX7gAJG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M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cROHRIAAAAACPr/2uwHDhCR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N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Wrs1CEBAAAAgKD/r81+4AAR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O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QO3VIAAAAACDo/2uzHzhARA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P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sVPHtmJUURRFWzkNOPj/G8vughZsTC9IBITEzhy5APqxcBkEFwQbBAiB5IAVn5k90nujBQ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AUoQCFVKEABClBIFQpQgAIUUoUCFKAAhVShAIVfLvHh6S9ReHj+X6DQj/x/UPj6i1dvX795+eLZy8fXL589f/745tmrp6fXz55ePDx+9faLr1+8fXr8HCg8PP45Co9/vPF/gsLDw2dW4ct/r8LHD+8+fXj34/tvP/7w3cdvvv/07v3fEvE3r/CCF7zgBS94wQte8IIXvOAFL3jBixt5wQte8IIXP2+8uKd5wYvfHTAveDFe/HyFvOAFL3jx6+/AC16MF789Rl7wghe84AUveJE3ec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84AUvxgte8IIXvLiBF+MFL3jBC17wghe84AUveMELXvAiVV7wghe8GC94wQte8GK84AUveMGLG3gxXvCCF7zgBS94wQte8IIXvOAFL1LlBS94wYvxghe8+ImdOiQCAICBGGal/lUODL2H4N4Vh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t>
        </is>
      </c>
      <c r="AQ6" t="inlineStr">
        <is>
          <t>ABC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jp06JAIAgIEYZqX+VQ48mofg3hWG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t>
        </is>
      </c>
      <c r="AR6" t="inlineStr">
        <is>
          <t>ABC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C168Ky94wQtexAte8IIXvIgXvOAFL3ixwIt4wQte8IIXvOAFL3jBC17wghe8eFde8IIXvIgXvOAFL3gRL3jBC17wYoEX8YIXvOAFL3jBC17wghe84AUvePGuvOAFL3gRL3jBC17wIl7wghe84MUCL+IFL3jBC17wghe84AUveMELXvDiXXnBC17wIl7wghe84EW84AUveMGLBV7EC17wghe84AUveMELXvCCF7zgxbvyghe84EW84AUveMGLeMELXvCCFwu8iBe84AUveMELXvCCF7zgBS94wYt35QUveMGLeMELXvCCF/GCF7zgBS8WeBEveMELXvCCF7zgBS94wQte8IIX78oLXvCCF/GCF7zgBS/iBS94wQteLPAiXvCCF7zgBS94wQte8IIXvOAFL96VF7zgBS/iBS94wQtexAte8IIXvFjgRbzgBS94wQte8IIXvOAFL3jBi2OnDokAAGAghlmpf5UDQ+8huHeF4c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t>
        </is>
      </c>
      <c r="AS6" t="inlineStr">
        <is>
          <t>ABC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MWxU4dEAAAwEMOs1L/KgaH3ENy7w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t>
        </is>
      </c>
      <c r="AT6" t="inlineStr">
        <is>
          <t>ABC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Di2KlDIgAAGIhhVupf5cDQewjuXWF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t>
        </is>
      </c>
      <c r="AU6" t="inlineStr">
        <is>
          <t>ABC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eHYqUMiAAAYiGFW6l/lwNB7CO5dYX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t>
        </is>
      </c>
      <c r="AV6" t="inlineStr">
        <is>
          <t>ABC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LFsVOHRAAAMBDDrNS/yoGh9xDcu8L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t>
        </is>
      </c>
      <c r="AW6" t="inlineStr">
        <is>
          <t>ABC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MWxU4dEAAAwEMOs1L/KgaH3ENy7w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t>
        </is>
      </c>
      <c r="AX6" t="inlineStr">
        <is>
          <t>ABC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xbFTh0QAADAQw6zUv8qBR/MQ3LvC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t>
        </is>
      </c>
      <c r="AY6" t="inlineStr">
        <is>
          <t>ABC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MELXrwrL3jBC17EC17wghe8iBe84AUveLHAi3jBC17wghe84AUveMELXvCCF7x4V17wghe8iBe84AUveBEveMELXvBigRfxghe84AUveMELXvCCF7zgBS948a684AUveBEveMELXvAiXvCCF7zgxQIv4gUveMELXvCCF7zgBS94wQte8OJdecELXvAiXvCCF7zgRbzgBS94wYsFXsQLXvCCF7zgBS94wQte8IIXvODFu/KCF7zgRbzgBS94wYt4wQte8IIXC7yIF7zgBS94wQte8IIXvOAFL3jBi3flBS94wYt4wQte8IIX8YIXvOAFLxZ4ES94wQte8IIXvOAFL3jBC17wghfvygte8IIX8YIXvOAFL+IFL3jBC14s8CJe8IIXvOAFL3jBC17wghe84AUv3pUXvOAFL+IFL3jBC17EC17wghe8WOBFvOAFL3jBC17wghe84AUveHHs1CERAAAMxDAr9a9yYOg9BPeuML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t>
        </is>
      </c>
      <c r="AZ6" t="inlineStr">
        <is>
          <t>ABC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w4duqQCAAABmKYlfpXOTD0HoJ7Vxh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t>
        </is>
      </c>
      <c r="BA6" t="inlineStr">
        <is>
          <t>ABC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HDt1SAQAAAMxzEr9qxwYeg/BvSsM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t>
        </is>
      </c>
      <c r="BB6" t="inlineStr">
        <is>
          <t>ABC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hx7NQhEQAADMQwK/WvcmDoPQT3rjA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OnbqkAgAAAZimJX6Vzkw9B6Ce1cYXvCCF7zgxQdexAte8IIXvOAFL3jBC17wghe84MVcecELXvAiXvCCF7zgRbzgBS94wYsPvIgXvOAFL3jBC17wghe84AUveMGLufKCF7zgRbzgBS94wYt4wQte8IIXH3gRL3jBC17wghe84AUveMELXvCCF3PlBS94wYt4wQte8IIX8YIXvOAFLz7wIl7wghe84AUveMELXvCCF7zgBS/mygte8IIX8YIXvOAFL+IFL3jBC158</t>
        </is>
      </c>
      <c r="BC6" t="inlineStr">
        <is>
          <t>ABC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zgBS94wYt4wQte8IIXH3gRL3jBC17wghe84AUveMELXvCCF3PlBS94wYt4wQte8IIX8YIXvOAFLz7wIl7wghe84AUveMELXvCCF7zgBS/mygte8IIX8YIXvOAFL+IFL3jBC1584EW84AUveMELXvCCF7zgBS94wQtezJUXvOAFL+IFL3jBC17EC17wghe8+MCLeMELXvCCF7zgBS94wQte8IIXvJgrL3jBC17EC17wghe8iBe84AUvePGBF/GCF7zgBS94wQte8IIXvOAFL3gxV17wghe8iBe84AUveBEveMELXvDiAy/iBS94wQte8IIXvOAFL3jBC17wYq684AUveBEveMELXvAiXvCCF7zgxQdexAte8IIXvOAFL3jBC17wghe84MVcecELXvAiXvCCF7zgRbzgBS94wYsPvIgXvOAFL3jBC17wghe84AUveMGLufKCF7zgRbw4duqQCAAABmKYlfpXOTD0HoJ7Vxh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t>
        </is>
      </c>
      <c r="BD6" t="inlineStr">
        <is>
          <t>ABC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Dh26pAIAAAGYpiV+lc58GgegntXGF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t>
        </is>
      </c>
      <c r="BE6" t="inlineStr">
        <is>
          <t>ABC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94wQtevCsveMELXsQLXvCCF7yIF7zgBS94scCLeMELXvCCF7zgBS94wQte8IIXvHhXXvCCF7yIF7zgBS94ES94wQte8GKBF/GCF7zgBS94wQte8IIXvOAFL3jxrrzgBS94ES94wQte8CJe8IIXvODFAi/iBS94wQte8IIXvOAFL3jBC17w4l15wQte8CJe8IIXvOBFvOAFL3jBiwVexAte8IIXvOAFL3jBC17wghe84MW78oIXvOBFvOAFL3jBi3jBC17wghcLvIgXvOAFL3jBC17wghe84AUveMGLd+UFL3jBi3jBC17wghfxghe84AUvFngRL3jBC17wghe84AUveMELXvCCF+/KC17wghfxghe84AUv4gUveMELXizwIl7wghe84AUveMELXvCCF7zgBS/elRe84AUv4gUveMELXsQLXvCCF7xY4EW84AUveMELXvCCF7zgBS+OnTokAgCAgRhmpf5VDgy9h+DeFYY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t>
        </is>
      </c>
      <c r="BF6" t="inlineStr">
        <is>
          <t>AB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vOAFL3jBC17wghdz5QUveMGLeMELXvCCF/GCF7zgBS8+8CJe8IIXvOAFL3jBC17wghe84AUv5soLXvCCF/GCF7zgBS/iBS94wQtefOBFvOAFL3jBC17wghe84AUveMELXsyVF7zgBS/iBS94wQtexAte8IIXvPjAi3jBC17wghe84AUveMELXvCCF7yYKy94wQtexAte8IIXvIgXvOAFL3jxgRfxghe84AUveMELXvCCF7zgBS94MVde8IIXvIgXvOAFL3gRL3jBC17w4gMv4gUveMELXvCCF7zgBS94wQte8GKuvOAFL3gRL3jBC17wIl7wghe84MUHXsQLXvCCF7zgBS94wQte8IIXvODFXHnBC17wIl7wghe84EW84AUveMGLD7yIF7zgBS94wQte8IIXvOAFL3jBi7nyghe84EW84AUveMGLeMELXvCCFx94ES94wQte8IIXx04dEgEAwEAMs1L/KgeG3kNw7wrD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t>
        </is>
      </c>
      <c r="BG6" t="inlineStr">
        <is>
          <t>ABC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C17wghe84AUveMELXvCCF7zgxVx5wQte8CJe8IIXvOBFvOAFL3jBiw+8iBe84AUveMELXvCCF7zgBS94wYu58oIXvOBFvOAFL3jBi3jBC17wghcfeBEveMELXvCCF7zgBS94wQte8IIXc+UFL3jBi3jBC17wghfxghe84AUvPvAiXvCCF7zgBS94wQte8IIXvOAFL+bKC17wghfxghe84AUv4gUveMELXnzgRbzgBS94wQte8IIXvOAFL3jBC17MlRe84AUv4gUveMELXsQLXvCCF7z4wIt4wQte8IIXvOAFL3jBC17wghe8mCsveMELXsQLXvCCF7yIF7zgBS948YEX8YIXvOAFL3jBC17wghe84AUveDFXXvCCF7yIF7zgBS94ES94wQte8OIDL+IFL3jBC17wghe84AUveMELXvBirrzgBS94ES94wQte8CJe8IIXvODFB17Ei2OnjnHrIIAoim7lbsCSscF2NpFFkHxaCti/KKZ6QkARpAhx6je60x1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t>
        </is>
      </c>
      <c r="BH6" t="inlineStr">
        <is>
          <t>ABC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eMELXvCCF7zgBS94wQteTJUXvOAFL+IFL3jBC17EC17wghe8uIEX8YIXvOAFL3jBC17wghe84AUveDFVXvCCF7yIF7zgBS94ES94wQte8OIGXsQLXvCCF7zgBS94wQte8IIXvODFVHnBC17wIl7wghe84EW84AUveMGLG3gRL3jBC17wghe84AUveMELXvCCF1PlBS94wYt4wQte8IIX8YIXvOAFL27gRbzgBS94wQte8IIXvOAFL3jBC15MlRe84AUv4gUveMELXsQLXvCCF7y4gRfxghe84AUveMELXvCCF7zgBS94MVVe8IIXvIgXvOAFL3gRL3jBC17w4gZexAte8IIXvOAFL3jBC17wghe84MVUecELXvAiXvCCF7zgRbzgBS94wYsbeBEveMELXvCCF7zgBS94wQte8IIXU+UFL3jBi3jBC17wghfxghe84AUvbuBFvOAFL3jBC17wghe84AUveMELXkyVF7zgBS/iBS94wQtexAte8IIXvLiBF/GCF7zgBS94wQte8IIXvOAFL3gxVV7wghe8iBe84AUveBEveMELXvDiBl7EC17wghe84AUveMELXvCCF7zgxVR5wQte8CJe8IIXvOBFvOAFL3jBixt4ES94wQte8IIXvOAFL3jBC17wghdT5QUveMGLeMELXvCCF/GCF7zgBS9u4EW84AUv/rtevLz/rRcvH/+GF/vk/+PFz++vz19ffnl+erw9vj79+MOX16eP908/PX15f/14ezw+PX/9eHwPL17e/tqL17dv8uL1O3Px+du5+Pzr74/f/lGIP19BAQpQgAIUoAAFKEABClCAAhSgAAUoQAEKUIACFKAAha1CAQpQgMJUoQAFKEBhqlCAAhSgMFUoQAEKUJgqFKAABShMFQpQgAIUpgoFKEABClOFAhSgAIWpQgEKUIDCVKEABShAYapQgAIUoDBVKEABClCYKhSgAAUoTBUKUIACFKYKBShAAQpThQIUoACFqUIBClCAwlShAAUoQGGqUIACFKAwVShAAQpQmCoUoAAFKEwVClCAAhSmCgUoQAEKU4UCFKAAhalCAQpQgMJUoQAFKEBhqlCAAhSgMFUoQAEKUJgqFKAABShMFQpQgAIUpgoFKEABClOFAhSgAIWpQgEKUIDCVKEABShAYapQgAIUoDBVKEABCn+w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I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J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K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L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M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N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t>
        </is>
      </c>
      <c r="BO6" t="inlineStr">
        <is>
          <t>ABC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t>
        </is>
      </c>
      <c r="BP6" t="inlineStr">
        <is>
          <t>ABC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t>
        </is>
      </c>
      <c r="BQ6" t="inlineStr">
        <is>
          <t>ABC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t>
        </is>
      </c>
      <c r="BR6" t="inlineStr">
        <is>
          <t>ABC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t>
        </is>
      </c>
      <c r="BS6" t="inlineStr">
        <is>
          <t>ABC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t>
        </is>
      </c>
      <c r="BT6" t="inlineStr">
        <is>
          <t>ABC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t>
        </is>
      </c>
      <c r="BU6" t="inlineStr">
        <is>
          <t>ABC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t>
        </is>
      </c>
      <c r="BV6" t="inlineStr">
        <is>
          <t>ABC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OHRIAAAAACPr/2uwHDhCR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t>
        </is>
      </c>
      <c r="BW6" t="inlineStr">
        <is>
          <t>ABC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qxU4cEAAAAAIL+vzb7gQNE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QO3VIAAAAACDo/2uzHzhARApSkMJUKUhBClKYKgUpSEEKU6UgBSlIYaoUpCAFKUyVghSkIIWpUpCCFKQwVQpSkIIUpkpBClKQwlQpSEEKUpgqBSlIQQpTpSAFKUhhqhSkIAUpTJWCFKQghalSkIIUpDBVClKQghSmSkEKUpDCVClIQQpSmCoFKUhBClOlIAUpSGGqFKQgBSlMlYIUpCCFqVKQghSkMFUKUpCCFKZKQQpSkMJUKUhBClKYKgUpSEEKU6UgBSlIYaoUpCAFKUyVghSkIIWp</t>
        </is>
      </c>
      <c r="BX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xE4dEgAAAAAI+v/a7AcOEJk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Y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QuzUIQEAAACAoP+vzX7gABE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Z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sZu/bU0GcYBGP4qsg8gvlFgh2VFQYFo0PHCGeJ0MWfRt2/Olt5zHUSBJ9fJGHtf7vfP73kuB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t>
        </is>
      </c>
      <c r="CA6" t="inlineStr">
        <is>
          <t>ABC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gAIUoJAqFKAABSikCgUoQAEKqUIBClCAQqpQeCwUbr+sF+Do+PriYjz/sXqy15c3n5vrL6esVuDDVzZ6cXR4c4srCc4m2U6jw/nsy3x88eZsOj2Yz66ujianH2YnubNbqn4xtZWoT7P5+eH462S++2pyOr6eLlbDi0a/T1m/iNHm8lw+yuePs8V4+scnvT282s73Zzf6+HajtJ7ur4sfTxaLs8svq5u6u/zV+yVcmxd5d/VyPhmfn8y+X24eWm6Mg6UANxN/+nT943LFr3/cX8M32vqijyYXs2+Tk63HzPnf5vx+2N3b21nN88F4F/Prv5zusD9sG+9gvI843mF32Lkb3t9s4vsL4P6UnzzfMuVh2Dfmxx3zeOfdi53p8l/Zf6F6fxvVw5NnpvxzAxjLRsDM/GzahqeL5j3b2v1i/VSqxLSZEbaYNjYYjekBjGljYEw/XdLyfO86Ksa0obHFaKYedFFtovBsYtfLKQ1UjGhLg9F4HnTxbASqoqGl947Wp73UiWpjUyxRjWiijcb0wMR0ksLLhs5nC7a/2Df5afsuqsS0OZaIHo3nAa6kE2G1NPVytAm2whs+pDga0wMU0zTI0cbDMUfzcsUCAA==</t>
        </is>
      </c>
      <c r="CB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rFThwQAAAAAgv6/NvuBA0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CC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ELs1CEBAAAAgKD/r81+4ACR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CD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nUTh2rNhUFABjeBV8iky5iFd21KgoVSi04iUSaSmnaSNoq7m6Cm7OLs06OPk7VxzBNjfrHOuvwLeFy7+XPOfec80E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oFKEABCqlCAQpQgEKqUIACFKCQKhSgAAUopAqFf4XC6cViAw4eHO3tDacv5zO7vX/yu7z/8sp8B/75yQY3NtZPhjiXYGeU4zRYn06eTod7d3bG49Xp5OBgY7R9f7KVkZ1S9YOpM4l6OJnurg+fjaaXbo22h0fjw/niRaOfryw+xGB5e86m8mRzcjgc/3Wmp4/nx/n3tRts3l0qLVZ3beXxytXLx+9fff384cun198+vr1w/ObdxV9DOFib4bX8R/cObk5Hw92tyYv95Uezw7E6U+Bk1a9fW9yc7frFzZUri+M0OPNrb4z2Js9HW2c++08W+/y5R98B</t>
        </is>
      </c>
    </row>
    <row r="9">
      <c r="A9" t="inlineStr">
        <is>
          <t>L1_200减值测试,L1_200减值测试</t>
        </is>
      </c>
    </row>
    <row r="10">
      <c r="F10">
        <f>#REF!</f>
        <v/>
      </c>
      <c r="G10" t="inlineStr">
        <is>
          <t>64e20412-8c57-4720-8496-e31c907f64da</t>
        </is>
      </c>
      <c r="H10">
        <f>#REF!</f>
        <v/>
      </c>
      <c r="I10" t="inlineStr">
        <is>
          <t>c10b7b35-29ec-4e88-81d3-50063290e8b3</t>
        </is>
      </c>
    </row>
    <row r="11">
      <c r="A11" s="4" t="n">
        <v>44</v>
      </c>
      <c r="F11">
        <f>#REF!</f>
        <v/>
      </c>
      <c r="G11" t="inlineStr">
        <is>
          <t>d51e0eb0-384b-4e92-80e5-5a1409a9e517</t>
        </is>
      </c>
      <c r="H11">
        <f>#REF!</f>
        <v/>
      </c>
      <c r="I11" t="inlineStr">
        <is>
          <t>551fce6c-88cc-4f1b-a7a3-d5c02927881b</t>
        </is>
      </c>
    </row>
    <row r="12">
      <c r="A12" s="4" t="n">
        <v>16</v>
      </c>
      <c r="F12">
        <f>#REF!</f>
        <v/>
      </c>
      <c r="G12" t="inlineStr">
        <is>
          <t>983eb9ed-675c-4b48-b09b-67a16519af2b</t>
        </is>
      </c>
      <c r="H12">
        <f>#REF!</f>
        <v/>
      </c>
      <c r="I12" t="inlineStr">
        <is>
          <t>119404d3-73a7-4f47-b98c-0f2d661451d2</t>
        </is>
      </c>
    </row>
    <row r="13">
      <c r="F13">
        <f>#REF!</f>
        <v/>
      </c>
      <c r="G13" t="inlineStr">
        <is>
          <t>f03c53f5-f092-4fd3-a156-7c6f76012f90</t>
        </is>
      </c>
      <c r="H13">
        <f>#REF!</f>
        <v/>
      </c>
      <c r="I13" t="inlineStr">
        <is>
          <t>7cbc3218-3fc2-4791-8d5a-fa3e221a8992</t>
        </is>
      </c>
    </row>
    <row r="14">
      <c r="F14">
        <f>#REF!</f>
        <v/>
      </c>
      <c r="G14" t="inlineStr">
        <is>
          <t>4e4583fe-7303-426d-9758-fbf2b74ed75c</t>
        </is>
      </c>
      <c r="H14">
        <f>#REF!</f>
        <v/>
      </c>
      <c r="I14" t="inlineStr">
        <is>
          <t>99efff94-9c41-44a6-ac3e-e4176ad6e9cc</t>
        </is>
      </c>
    </row>
    <row r="15">
      <c r="A15" s="4" t="n">
        <v>34</v>
      </c>
      <c r="F15">
        <f>#REF!</f>
        <v/>
      </c>
      <c r="G15" t="inlineStr">
        <is>
          <t>2e66dced-104a-4d3a-b3d7-4b4901ea2810</t>
        </is>
      </c>
      <c r="H15">
        <f>#REF!</f>
        <v/>
      </c>
      <c r="I15" t="inlineStr">
        <is>
          <t>93d590d2-ec66-4356-a08a-bf7be2b7e5e7</t>
        </is>
      </c>
      <c r="R15">
        <f>#REF!</f>
        <v/>
      </c>
      <c r="S15" t="inlineStr">
        <is>
          <t>88423085-c362-4faa-9312-ecc12fbb8490</t>
        </is>
      </c>
    </row>
    <row r="16">
      <c r="F16">
        <f>#REF!</f>
        <v/>
      </c>
      <c r="G16" t="inlineStr">
        <is>
          <t>167d9160-3445-42b2-8bd3-d1b8d899edb4</t>
        </is>
      </c>
      <c r="H16">
        <f>#REF!</f>
        <v/>
      </c>
      <c r="I16" t="inlineStr">
        <is>
          <t>c4f688f1-5830-49fc-be7d-38786a1f876a</t>
        </is>
      </c>
      <c r="R16">
        <f>#REF!</f>
        <v/>
      </c>
      <c r="S16" t="inlineStr">
        <is>
          <t>a9a1e3ee-ebf2-4323-9f6f-3e50c3873453</t>
        </is>
      </c>
    </row>
    <row r="17">
      <c r="F17">
        <f>#REF!</f>
        <v/>
      </c>
      <c r="G17" t="inlineStr">
        <is>
          <t>cd5d0e80-1a57-4f31-9ad9-5371825d3d39</t>
        </is>
      </c>
      <c r="R17">
        <f>#REF!</f>
        <v/>
      </c>
      <c r="S17" t="inlineStr">
        <is>
          <t>cc7c0b0c-d1af-43fd-9f21-ddb3a49a759b</t>
        </is>
      </c>
    </row>
    <row r="18">
      <c r="F18">
        <f>#REF!</f>
        <v/>
      </c>
      <c r="G18" t="inlineStr">
        <is>
          <t>2ca0850f-c161-4b54-ad72-6f7065738b37</t>
        </is>
      </c>
      <c r="R18">
        <f>#REF!</f>
        <v/>
      </c>
      <c r="S18" t="inlineStr">
        <is>
          <t>b2edc357-ba5e-44b5-a126-22a4dcaa4da9</t>
        </is>
      </c>
    </row>
    <row r="19">
      <c r="F19">
        <f>#REF!</f>
        <v/>
      </c>
      <c r="G19" t="inlineStr">
        <is>
          <t>cf345fca-8d73-49df-8d23-e82fc2c97f2d</t>
        </is>
      </c>
      <c r="R19">
        <f>#REF!</f>
        <v/>
      </c>
      <c r="S19" t="inlineStr">
        <is>
          <t>c98149a7-11af-4d1a-9c53-0d069ab005b1</t>
        </is>
      </c>
    </row>
    <row r="20">
      <c r="F20">
        <f>#REF!</f>
        <v/>
      </c>
      <c r="G20" t="inlineStr">
        <is>
          <t>7059f948-2cf6-4d71-9fac-21c51f309d2e</t>
        </is>
      </c>
      <c r="R20">
        <f>#REF!</f>
        <v/>
      </c>
      <c r="S20" t="inlineStr">
        <is>
          <t>16ae491c-c900-4e01-83d7-579e75b8829e</t>
        </is>
      </c>
    </row>
    <row r="21">
      <c r="F21">
        <f>#REF!</f>
        <v/>
      </c>
      <c r="G21" t="inlineStr">
        <is>
          <t>9ed7b0d5-3fe9-4190-8dff-766a8a97dfdc</t>
        </is>
      </c>
      <c r="R21">
        <f>#REF!</f>
        <v/>
      </c>
      <c r="S21" t="inlineStr">
        <is>
          <t>d6f449b8-4982-4808-aa3e-53bfa1ce0282</t>
        </is>
      </c>
    </row>
    <row r="22">
      <c r="F22">
        <f>#REF!</f>
        <v/>
      </c>
      <c r="G22" t="inlineStr">
        <is>
          <t>b553a51e-ae6c-4cce-9b93-86ca24c1aa09</t>
        </is>
      </c>
      <c r="R22" s="4">
        <f>#REF!</f>
        <v/>
      </c>
      <c r="S22" t="inlineStr">
        <is>
          <t>3dca8336-fcf0-4b2f-8626-96a9cf65b285</t>
        </is>
      </c>
    </row>
    <row r="23">
      <c r="F23">
        <f>#REF!</f>
        <v/>
      </c>
      <c r="G23" t="inlineStr">
        <is>
          <t>5032bdbb-af2d-44a5-b953-4d692a5d0d27</t>
        </is>
      </c>
      <c r="R23">
        <f>#REF!</f>
        <v/>
      </c>
      <c r="S23" t="inlineStr">
        <is>
          <t>08f71b1e-ef75-44c6-b068-f76e18d8500a</t>
        </is>
      </c>
    </row>
    <row r="24">
      <c r="F24">
        <f>#REF!</f>
        <v/>
      </c>
      <c r="G24" t="inlineStr">
        <is>
          <t>8cfe4b90-ae57-4f52-9a5e-9be22770d467</t>
        </is>
      </c>
      <c r="R24">
        <f>#REF!</f>
        <v/>
      </c>
      <c r="S24" t="inlineStr">
        <is>
          <t>17c11792-f015-444a-90f2-af2105fe93c8</t>
        </is>
      </c>
    </row>
    <row r="25">
      <c r="F25">
        <f>#REF!</f>
        <v/>
      </c>
      <c r="G25" t="inlineStr">
        <is>
          <t>4c8d6a92-66c0-4a3e-beac-d7a93a4e3f1e</t>
        </is>
      </c>
      <c r="R25">
        <f>#REF!</f>
        <v/>
      </c>
      <c r="S25" t="inlineStr">
        <is>
          <t>1b9d5e18-8c84-4f2e-a255-1feafa63ce3c</t>
        </is>
      </c>
    </row>
    <row r="26">
      <c r="F26">
        <f>#REF!</f>
        <v/>
      </c>
      <c r="G26" t="inlineStr">
        <is>
          <t>7d36140b-06af-40af-be37-5dfc62966a9c</t>
        </is>
      </c>
      <c r="R26" s="4">
        <f>#REF!</f>
        <v/>
      </c>
      <c r="S26" t="inlineStr">
        <is>
          <t>4d091a71-9beb-45aa-bb7c-f55e6a85b0b0</t>
        </is>
      </c>
    </row>
    <row r="27">
      <c r="F27">
        <f>#REF!</f>
        <v/>
      </c>
      <c r="G27" t="inlineStr">
        <is>
          <t>db172aaf-21c7-4cd1-8744-6f3dc79c9bda</t>
        </is>
      </c>
      <c r="R27">
        <f>#REF!</f>
        <v/>
      </c>
      <c r="S27" t="inlineStr">
        <is>
          <t>edc46e12-3e59-4a6f-80a8-ebab25c0d7e3</t>
        </is>
      </c>
    </row>
    <row r="28">
      <c r="F28">
        <f>#REF!</f>
        <v/>
      </c>
      <c r="G28" t="inlineStr">
        <is>
          <t>1a2ffd19-0f73-45e3-ade1-e149cbbc1935</t>
        </is>
      </c>
      <c r="R28">
        <f>#REF!</f>
        <v/>
      </c>
      <c r="S28" t="inlineStr">
        <is>
          <t>08990719-167a-4807-9408-22c6e10d05aa</t>
        </is>
      </c>
    </row>
    <row r="29">
      <c r="F29">
        <f>#REF!</f>
        <v/>
      </c>
      <c r="G29" t="inlineStr">
        <is>
          <t>55540efe-9c50-4f57-91a5-6cdd61c04eb7</t>
        </is>
      </c>
      <c r="R29">
        <f>#REF!</f>
        <v/>
      </c>
      <c r="S29" t="inlineStr">
        <is>
          <t>b7a9dfed-e7db-4801-b5ce-3cd2954e459c</t>
        </is>
      </c>
    </row>
    <row r="30">
      <c r="F30">
        <f>#REF!</f>
        <v/>
      </c>
      <c r="G30" t="inlineStr">
        <is>
          <t>64adf357-3c82-416b-a08b-1d5418eb380b</t>
        </is>
      </c>
      <c r="R30" s="4">
        <f>#REF!</f>
        <v/>
      </c>
      <c r="S30" t="inlineStr">
        <is>
          <t>0f702697-b587-46d8-bf66-83a4dfd1f98b</t>
        </is>
      </c>
    </row>
    <row r="31">
      <c r="F31">
        <f>#REF!</f>
        <v/>
      </c>
      <c r="G31" t="inlineStr">
        <is>
          <t>80ea1905-dd56-4e32-ab24-753511383540</t>
        </is>
      </c>
      <c r="R31">
        <f>#REF!</f>
        <v/>
      </c>
      <c r="S31" t="inlineStr">
        <is>
          <t>35092804-059f-42b7-ae0f-eafe0c89e234</t>
        </is>
      </c>
    </row>
    <row r="32">
      <c r="F32">
        <f>#REF!</f>
        <v/>
      </c>
      <c r="G32" t="inlineStr">
        <is>
          <t>490a8dfb-0fe4-4bd0-a521-462d317fa505</t>
        </is>
      </c>
      <c r="R32" s="4">
        <f>#REF!</f>
        <v/>
      </c>
      <c r="S32" t="inlineStr">
        <is>
          <t>0214d2a8-3948-46da-a8d8-bc0df05fcf9a</t>
        </is>
      </c>
    </row>
    <row r="33">
      <c r="F33">
        <f>#REF!</f>
        <v/>
      </c>
      <c r="G33" t="inlineStr">
        <is>
          <t>9ef70a34-6124-4d52-a5f3-58a450f55b14</t>
        </is>
      </c>
      <c r="R33">
        <f>#REF!</f>
        <v/>
      </c>
      <c r="S33" t="inlineStr">
        <is>
          <t>560f4263-5548-4935-9608-046f24fe6824</t>
        </is>
      </c>
    </row>
    <row r="34">
      <c r="F34">
        <f>#REF!</f>
        <v/>
      </c>
      <c r="G34" t="inlineStr">
        <is>
          <t>8327f4f7-832a-4723-991f-b83c2b40438c</t>
        </is>
      </c>
      <c r="R34">
        <f>#REF!</f>
        <v/>
      </c>
      <c r="S34" t="inlineStr">
        <is>
          <t>55b43e99-5250-4087-9cf0-6b19eea3ee44</t>
        </is>
      </c>
    </row>
    <row r="35">
      <c r="F35">
        <f>#REF!</f>
        <v/>
      </c>
      <c r="G35" t="inlineStr">
        <is>
          <t>af5bdbac-e5ff-406b-b5fb-89a8f66f700f</t>
        </is>
      </c>
    </row>
    <row r="36">
      <c r="F36">
        <f>#REF!</f>
        <v/>
      </c>
      <c r="G36" t="inlineStr">
        <is>
          <t>efde8ffa-f18b-4a32-9b9c-4f6d4518ab34</t>
        </is>
      </c>
    </row>
    <row r="37">
      <c r="F37">
        <f>#REF!</f>
        <v/>
      </c>
      <c r="G37" t="inlineStr">
        <is>
          <t>d66f64ac-ef61-429f-b384-3718f77d9c54</t>
        </is>
      </c>
    </row>
    <row r="38">
      <c r="F38">
        <f>#REF!</f>
        <v/>
      </c>
      <c r="G38" t="inlineStr">
        <is>
          <t>c986ae1a-db8d-437d-ae69-2b921fc47ca0</t>
        </is>
      </c>
    </row>
    <row r="39">
      <c r="F39">
        <f>#REF!</f>
        <v/>
      </c>
      <c r="G39" t="inlineStr">
        <is>
          <t>87315c74-871e-477b-8fe2-9c7d8d810308</t>
        </is>
      </c>
    </row>
    <row r="40">
      <c r="F40">
        <f>#REF!</f>
        <v/>
      </c>
      <c r="G40" t="inlineStr">
        <is>
          <t>8fcc93c5-fed0-4258-a344-7dcda27663f4</t>
        </is>
      </c>
    </row>
    <row r="41">
      <c r="F41">
        <f>#REF!</f>
        <v/>
      </c>
      <c r="G41" t="inlineStr">
        <is>
          <t>0a23ffcf-c0a7-481f-878b-b903f9495a9f</t>
        </is>
      </c>
    </row>
    <row r="42">
      <c r="F42">
        <f>#REF!</f>
        <v/>
      </c>
      <c r="G42" t="inlineStr">
        <is>
          <t>ea250ad1-cd25-4479-b368-5ed4471bb2c7</t>
        </is>
      </c>
    </row>
    <row r="43">
      <c r="F43">
        <f>#REF!</f>
        <v/>
      </c>
      <c r="G43" t="inlineStr">
        <is>
          <t>c73fd2e6-57c0-472d-a4f2-364357c58e63</t>
        </is>
      </c>
    </row>
    <row r="44">
      <c r="F44">
        <f>#REF!</f>
        <v/>
      </c>
      <c r="G44" t="inlineStr">
        <is>
          <t>1f01b757-5139-4881-9913-57c094d314dd</t>
        </is>
      </c>
    </row>
  </sheetData>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1748585924066</v>
      </c>
      <c r="B1" t="inlineStr">
        <is>
          <t>7PK60YJ2R6TH6GTS85FNSX8PZ8YS86H76SRZHQYQKA45G9BY71C0</t>
        </is>
      </c>
      <c r="C1" t="inlineStr">
        <is>
          <t>Cassie Z Zhang</t>
        </is>
      </c>
      <c r="D1" t="n">
        <v>7</v>
      </c>
      <c r="E1" t="n">
        <v>1750225878056</v>
      </c>
      <c r="F1" t="inlineStr">
        <is>
          <t>6YBFJ9NP0RNJCYED93FVYDS6ZMPT41FTW6XN3AYT2RWVRVVWS3DG</t>
        </is>
      </c>
      <c r="G1" t="inlineStr">
        <is>
          <t>Wesley Yan</t>
        </is>
      </c>
      <c r="H1" t="n">
        <v>0</v>
      </c>
      <c r="I1" t="n">
        <v>1751270085855</v>
      </c>
      <c r="J1" t="inlineStr">
        <is>
          <t>PWWFJ6YMYDEQFAD3AWR19JE638YP83B294053XBSKVMQVCDKJD3G</t>
        </is>
      </c>
      <c r="K1" t="inlineStr">
        <is>
          <t>Zhu Jin</t>
        </is>
      </c>
      <c r="L1" t="n">
        <v>0</v>
      </c>
      <c r="M1" t="n">
        <v>1751276571411</v>
      </c>
      <c r="N1" t="inlineStr">
        <is>
          <t>75DY8C6DK81CGKYJ21FZQEBQF4KQB5YS11WP11P12FZVAGAGERHG</t>
        </is>
      </c>
      <c r="O1" t="inlineStr">
        <is>
          <t>Tsia Yu</t>
        </is>
      </c>
      <c r="P1" t="n">
        <v>0</v>
      </c>
      <c r="Q1" t="n">
        <v>1751510171001</v>
      </c>
      <c r="R1" t="inlineStr">
        <is>
          <t>EP3THTW6FGC1ZTBDGWEKHPSB2Y0JS9EPQN3FSJ1W75PS9TAQK3DG</t>
        </is>
      </c>
      <c r="S1" t="inlineStr">
        <is>
          <t>Sean Sun</t>
        </is>
      </c>
      <c r="T1" t="n">
        <v>0</v>
      </c>
      <c r="U1" t="n">
        <v>1753347864412</v>
      </c>
      <c r="V1" t="inlineStr">
        <is>
          <t>27MRN2CY230YGQCH5SHPY9FGVAKPSVTQCEV49DCFDFF8H9XCQEK0</t>
        </is>
      </c>
      <c r="W1" t="inlineStr">
        <is>
          <t>Tian T Ma</t>
        </is>
      </c>
      <c r="X1" t="n">
        <v>0</v>
      </c>
      <c r="Y1" t="n">
        <v>1754467380507</v>
      </c>
      <c r="Z1" t="inlineStr">
        <is>
          <t>MQFDQD6SPH3FMJP2N0PQQ3N4PZ6XNH4T373A7HWSDE5TZ4A7V1DG</t>
        </is>
      </c>
      <c r="AA1" t="inlineStr">
        <is>
          <t>Zelda Zhang</t>
        </is>
      </c>
      <c r="AB1" t="n">
        <v>0</v>
      </c>
      <c r="AC1" t="n">
        <v>1755496104370</v>
      </c>
      <c r="AD1" t="inlineStr">
        <is>
          <t>9QKVRYJWFZ38Q15SSC9F8R37HJH3965E74F5R92CN1PGMMZQECQ0</t>
        </is>
      </c>
      <c r="AE1" t="inlineStr">
        <is>
          <t>Dan Y Yao</t>
        </is>
      </c>
      <c r="AF1" t="n">
        <v>0</v>
      </c>
      <c r="AG1" t="n">
        <v>1755671227920</v>
      </c>
      <c r="AH1" t="inlineStr">
        <is>
          <t>ESRXDMFF301213JT3ZH9F7ZDSK4QQHFF3A9ZCB0821P05Y900W90</t>
        </is>
      </c>
      <c r="AI1" t="inlineStr">
        <is>
          <t>Alina Ye</t>
        </is>
      </c>
      <c r="AJ1" t="n">
        <v>0</v>
      </c>
      <c r="AK1" t="n">
        <v>1755765316345</v>
      </c>
      <c r="AL1" t="inlineStr">
        <is>
          <t>1P2X1MX3XYWCZ8E2MX2Y07YGB3MV287QRPBD8BFP4A63CGJFS7B0</t>
        </is>
      </c>
      <c r="AM1" t="inlineStr">
        <is>
          <t>Evelyn Z Zhao</t>
        </is>
      </c>
      <c r="AN1" t="n">
        <v>0</v>
      </c>
      <c r="AO1" t="n">
        <v>1756440465897</v>
      </c>
      <c r="AP1" t="inlineStr">
        <is>
          <t>NCN9GVS7YB2ETCVN7MZBV9G447DJ76R2C78P4GRG46G7PJNY5X10</t>
        </is>
      </c>
      <c r="AQ1" t="inlineStr">
        <is>
          <t>Ke Xin Fan</t>
        </is>
      </c>
      <c r="AR1" t="n">
        <v>0</v>
      </c>
      <c r="AS1" t="n">
        <v>1760406772714</v>
      </c>
      <c r="AT1" t="inlineStr">
        <is>
          <t>58XF826Q5JE1FASBQ7H6JMW5XQ8R3GW2B8ET943THGZCT3BXCBX0</t>
        </is>
      </c>
      <c r="AU1" t="inlineStr">
        <is>
          <t>Luna DY Wu</t>
        </is>
      </c>
      <c r="AV1" t="n">
        <v>0</v>
      </c>
    </row>
    <row r="2">
      <c r="A2" t="n">
        <v>1748585924439</v>
      </c>
      <c r="B2" t="inlineStr">
        <is>
          <t>Create</t>
        </is>
      </c>
      <c r="C2" t="inlineStr">
        <is>
          <t>c6b91df8-a0a7-4864-b73c-870850a27fb0</t>
        </is>
      </c>
      <c r="D2" t="inlineStr">
        <is>
          <t>{"id":"c6b91df8-a0a7-4864-b73c-870850a27fb0","type":1,"name":"workbookId","value":"b79098ca-2c6b-422e-a01e-c84f8e7ccc66"}</t>
        </is>
      </c>
    </row>
    <row r="3">
      <c r="A3" t="n">
        <v>1748585924439</v>
      </c>
      <c r="B3" t="inlineStr">
        <is>
          <t>Create</t>
        </is>
      </c>
      <c r="C3" t="inlineStr">
        <is>
          <t>0775af90-6042-42d9-aff9-cf722ec40488</t>
        </is>
      </c>
      <c r="D3" t="inlineStr">
        <is>
          <t>{"id":"0775af90-6042-42d9-aff9-cf722ec40488","type":0,"name":"dataSnipperSheetDeleted","value":"false"}</t>
        </is>
      </c>
    </row>
    <row r="4">
      <c r="A4" t="n">
        <v>1748585924439</v>
      </c>
      <c r="B4" t="inlineStr">
        <is>
          <t>Create</t>
        </is>
      </c>
      <c r="C4" t="inlineStr">
        <is>
          <t>a9cd0b00-10a7-4ba8-963a-cfd32cef0e91</t>
        </is>
      </c>
      <c r="D4" t="inlineStr">
        <is>
          <t>{"id":"a9cd0b00-10a7-4ba8-963a-cfd32cef0e91","type":0,"name":"embed-documents","value":"false"}</t>
        </is>
      </c>
    </row>
    <row r="5">
      <c r="A5" t="n">
        <v>1748585924439</v>
      </c>
      <c r="B5" t="inlineStr">
        <is>
          <t>Create</t>
        </is>
      </c>
      <c r="C5" t="inlineStr">
        <is>
          <t>106d96ef-31fd-4b9a-a0bd-61bf141ceaf4</t>
        </is>
      </c>
      <c r="D5" t="inlineStr">
        <is>
          <t>{"id":"106d96ef-31fd-4b9a-a0bd-61bf141ceaf4","type":0,"name":"table-snip-suggestions","value":"true"}</t>
        </is>
      </c>
    </row>
    <row r="6">
      <c r="A6" t="n">
        <v>1748585924439</v>
      </c>
      <c r="B6" t="inlineStr">
        <is>
          <t>Create</t>
        </is>
      </c>
      <c r="C6" t="inlineStr">
        <is>
          <t>2de01863-aefb-43d4-98d1-75abd3b72854</t>
        </is>
      </c>
      <c r="D6" t="inlineStr">
        <is>
          <t>{"id":"2de01863-aefb-43d4-98d1-75abd3b72854","type":1,"name":"migratedFssProjectId","value":""}</t>
        </is>
      </c>
    </row>
    <row r="7">
      <c r="A7" t="n">
        <v>1748585924447</v>
      </c>
      <c r="B7" t="inlineStr">
        <is>
          <t>Create</t>
        </is>
      </c>
      <c r="C7" t="inlineStr">
        <is>
          <t>c6b91df8-a0a7-4864-b73c-870850a27fb0</t>
        </is>
      </c>
      <c r="D7" t="inlineStr">
        <is>
          <t>{"id":"c6b91df8-a0a7-4864-b73c-870850a27fb0","type":1,"name":"workbookId","value":"4db264c2-19c2-425e-945a-2e3233cb0f67"}</t>
        </is>
      </c>
    </row>
    <row r="8">
      <c r="A8" t="n">
        <v>1748585924448</v>
      </c>
      <c r="B8" t="inlineStr">
        <is>
          <t>Create</t>
        </is>
      </c>
      <c r="C8" t="inlineStr">
        <is>
          <t>a9cd0b00-10a7-4ba8-963a-cfd32cef0e91</t>
        </is>
      </c>
      <c r="D8" t="inlineStr">
        <is>
          <t>{"id":"a9cd0b00-10a7-4ba8-963a-cfd32cef0e91","type":0,"name":"embed-documents","value":"true"}</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1748585924161</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1751270086878</v>
      </c>
      <c r="J1" t="inlineStr">
        <is>
          <t>PWWFJ6YMYDEQFAD3AWR19JE638YP83B294053XBSKVMQVCDKJD3G</t>
        </is>
      </c>
      <c r="K1" t="inlineStr">
        <is>
          <t>Zhu Jin</t>
        </is>
      </c>
      <c r="L1" t="n">
        <v>0</v>
      </c>
      <c r="M1" t="n">
        <v>1751276572617</v>
      </c>
      <c r="N1" t="inlineStr">
        <is>
          <t>75DY8C6DK81CGKYJ21FZQEBQF4KQB5YS11WP11P12FZVAGAGERHG</t>
        </is>
      </c>
      <c r="O1" t="inlineStr">
        <is>
          <t>Tsia Yu</t>
        </is>
      </c>
      <c r="P1" t="n">
        <v>0</v>
      </c>
      <c r="Q1" t="n">
        <v>1751510171269</v>
      </c>
      <c r="R1" t="inlineStr">
        <is>
          <t>EP3THTW6FGC1ZTBDGWEKHPSB2Y0JS9EPQN3FSJ1W75PS9TAQK3DG</t>
        </is>
      </c>
      <c r="S1" t="inlineStr">
        <is>
          <t>Sean Sun</t>
        </is>
      </c>
      <c r="T1" t="n">
        <v>0</v>
      </c>
      <c r="U1" t="n">
        <v>1753347864427</v>
      </c>
      <c r="V1" t="inlineStr">
        <is>
          <t>27MRN2CY230YGQCH5SHPY9FGVAKPSVTQCEV49DCFDFF8H9XCQEK0</t>
        </is>
      </c>
      <c r="W1" t="inlineStr">
        <is>
          <t>Tian T Ma</t>
        </is>
      </c>
      <c r="X1" t="n">
        <v>0</v>
      </c>
      <c r="Y1" t="n">
        <v>1754467380539</v>
      </c>
      <c r="Z1" t="inlineStr">
        <is>
          <t>MQFDQD6SPH3FMJP2N0PQQ3N4PZ6XNH4T373A7HWSDE5TZ4A7V1DG</t>
        </is>
      </c>
      <c r="AA1" t="inlineStr">
        <is>
          <t>Zelda Zhang</t>
        </is>
      </c>
      <c r="AB1" t="n">
        <v>0</v>
      </c>
      <c r="AC1" t="n">
        <v>1755496104387</v>
      </c>
      <c r="AD1" t="inlineStr">
        <is>
          <t>9QKVRYJWFZ38Q15SSC9F8R37HJH3965E74F5R92CN1PGMMZQECQ0</t>
        </is>
      </c>
      <c r="AE1" t="inlineStr">
        <is>
          <t>Dan Y Yao</t>
        </is>
      </c>
      <c r="AF1" t="n">
        <v>0</v>
      </c>
      <c r="AG1" t="n">
        <v>1755671229260</v>
      </c>
      <c r="AH1" t="inlineStr">
        <is>
          <t>ESRXDMFF301213JT3ZH9F7ZDSK4QQHFF3A9ZCB0821P05Y900W90</t>
        </is>
      </c>
      <c r="AI1" t="inlineStr">
        <is>
          <t>Alina Ye</t>
        </is>
      </c>
      <c r="AJ1" t="n">
        <v>0</v>
      </c>
      <c r="AK1" t="n">
        <v>1755765316489</v>
      </c>
      <c r="AL1" t="inlineStr">
        <is>
          <t>1P2X1MX3XYWCZ8E2MX2Y07YGB3MV287QRPBD8BFP4A63CGJFS7B0</t>
        </is>
      </c>
      <c r="AM1" t="inlineStr">
        <is>
          <t>Evelyn Z Zhao</t>
        </is>
      </c>
      <c r="AN1" t="n">
        <v>0</v>
      </c>
      <c r="AO1" t="n">
        <v>1756440466678</v>
      </c>
      <c r="AP1" t="inlineStr">
        <is>
          <t>NCN9GVS7YB2ETCVN7MZBV9G447DJ76R2C78P4GRG46G7PJNY5X10</t>
        </is>
      </c>
      <c r="AQ1" t="inlineStr">
        <is>
          <t>Ke Xin Fan</t>
        </is>
      </c>
      <c r="AR1" t="n">
        <v>0</v>
      </c>
      <c r="AS1" t="n">
        <v>1760406773031</v>
      </c>
      <c r="AT1" t="inlineStr">
        <is>
          <t>58XF826Q5JE1FASBQ7H6JMW5XQ8R3GW2B8ET943THGZCT3BXCBX0</t>
        </is>
      </c>
      <c r="AU1" t="inlineStr">
        <is>
          <t>Luna DY Wu</t>
        </is>
      </c>
      <c r="AV1" t="n">
        <v>0</v>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1748585924240</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1751270086900</v>
      </c>
      <c r="J1" t="inlineStr">
        <is>
          <t>PWWFJ6YMYDEQFAD3AWR19JE638YP83B294053XBSKVMQVCDKJD3G</t>
        </is>
      </c>
      <c r="K1" t="inlineStr">
        <is>
          <t>Zhu Jin</t>
        </is>
      </c>
      <c r="L1" t="n">
        <v>0</v>
      </c>
      <c r="M1" t="n">
        <v>1751276572647</v>
      </c>
      <c r="N1" t="inlineStr">
        <is>
          <t>75DY8C6DK81CGKYJ21FZQEBQF4KQB5YS11WP11P12FZVAGAGERHG</t>
        </is>
      </c>
      <c r="O1" t="inlineStr">
        <is>
          <t>Tsia Yu</t>
        </is>
      </c>
      <c r="P1" t="n">
        <v>0</v>
      </c>
      <c r="Q1" t="n">
        <v>1751510171292</v>
      </c>
      <c r="R1" t="inlineStr">
        <is>
          <t>EP3THTW6FGC1ZTBDGWEKHPSB2Y0JS9EPQN3FSJ1W75PS9TAQK3DG</t>
        </is>
      </c>
      <c r="S1" t="inlineStr">
        <is>
          <t>Sean Sun</t>
        </is>
      </c>
      <c r="T1" t="n">
        <v>0</v>
      </c>
      <c r="U1" t="n">
        <v>1753347864431</v>
      </c>
      <c r="V1" t="inlineStr">
        <is>
          <t>27MRN2CY230YGQCH5SHPY9FGVAKPSVTQCEV49DCFDFF8H9XCQEK0</t>
        </is>
      </c>
      <c r="W1" t="inlineStr">
        <is>
          <t>Tian T Ma</t>
        </is>
      </c>
      <c r="X1" t="n">
        <v>0</v>
      </c>
      <c r="Y1" t="n">
        <v>1754467380603</v>
      </c>
      <c r="Z1" t="inlineStr">
        <is>
          <t>MQFDQD6SPH3FMJP2N0PQQ3N4PZ6XNH4T373A7HWSDE5TZ4A7V1DG</t>
        </is>
      </c>
      <c r="AA1" t="inlineStr">
        <is>
          <t>Zelda Zhang</t>
        </is>
      </c>
      <c r="AB1" t="n">
        <v>0</v>
      </c>
      <c r="AC1" t="n">
        <v>1755496104399</v>
      </c>
      <c r="AD1" t="inlineStr">
        <is>
          <t>9QKVRYJWFZ38Q15SSC9F8R37HJH3965E74F5R92CN1PGMMZQECQ0</t>
        </is>
      </c>
      <c r="AE1" t="inlineStr">
        <is>
          <t>Dan Y Yao</t>
        </is>
      </c>
      <c r="AF1" t="n">
        <v>0</v>
      </c>
      <c r="AG1" t="n">
        <v>1755671229291</v>
      </c>
      <c r="AH1" t="inlineStr">
        <is>
          <t>ESRXDMFF301213JT3ZH9F7ZDSK4QQHFF3A9ZCB0821P05Y900W90</t>
        </is>
      </c>
      <c r="AI1" t="inlineStr">
        <is>
          <t>Alina Ye</t>
        </is>
      </c>
      <c r="AJ1" t="n">
        <v>0</v>
      </c>
      <c r="AK1" t="n">
        <v>1755765316502</v>
      </c>
      <c r="AL1" t="inlineStr">
        <is>
          <t>1P2X1MX3XYWCZ8E2MX2Y07YGB3MV287QRPBD8BFP4A63CGJFS7B0</t>
        </is>
      </c>
      <c r="AM1" t="inlineStr">
        <is>
          <t>Evelyn Z Zhao</t>
        </is>
      </c>
      <c r="AN1" t="n">
        <v>0</v>
      </c>
      <c r="AO1" t="n">
        <v>1756440466692</v>
      </c>
      <c r="AP1" t="inlineStr">
        <is>
          <t>NCN9GVS7YB2ETCVN7MZBV9G447DJ76R2C78P4GRG46G7PJNY5X10</t>
        </is>
      </c>
      <c r="AQ1" t="inlineStr">
        <is>
          <t>Ke Xin Fan</t>
        </is>
      </c>
      <c r="AR1" t="n">
        <v>0</v>
      </c>
      <c r="AS1" t="n">
        <v>1760406773076</v>
      </c>
      <c r="AT1" t="inlineStr">
        <is>
          <t>58XF826Q5JE1FASBQ7H6JMW5XQ8R3GW2B8ET943THGZCT3BXCBX0</t>
        </is>
      </c>
      <c r="AU1" t="inlineStr">
        <is>
          <t>Luna DY Wu</t>
        </is>
      </c>
      <c r="AV1" t="n">
        <v>0</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3.8"/>
  <cols>
    <col width="13" bestFit="1" customWidth="1" min="9" max="9"/>
    <col width="8.77734375" bestFit="1" customWidth="1" min="12" max="12"/>
    <col width="13" bestFit="1" customWidth="1" min="17" max="17"/>
    <col width="9.109375" bestFit="1" customWidth="1" min="20" max="20"/>
  </cols>
  <sheetData>
    <row r="1">
      <c r="A1" t="n">
        <v>1748585924367</v>
      </c>
      <c r="B1" t="inlineStr">
        <is>
          <t>7PK60YJ2R6TH6GTS85FNSX8PZ8YS86H76SRZHQYQKA45G9BY71C0</t>
        </is>
      </c>
      <c r="C1" t="inlineStr">
        <is>
          <t>Cassie Z Zhang</t>
        </is>
      </c>
      <c r="D1" t="n">
        <v>0</v>
      </c>
      <c r="E1" t="n">
        <v>1750225878072</v>
      </c>
      <c r="F1" t="inlineStr">
        <is>
          <t>6YBFJ9NP0RNJCYED93FVYDS6ZMPT41FTW6XN3AYT2RWVRVVWS3DG</t>
        </is>
      </c>
      <c r="G1" t="inlineStr">
        <is>
          <t>Wesley Yan</t>
        </is>
      </c>
      <c r="H1" t="n">
        <v>0</v>
      </c>
      <c r="I1" t="n">
        <v>1751270086916</v>
      </c>
      <c r="J1" t="inlineStr">
        <is>
          <t>PWWFJ6YMYDEQFAD3AWR19JE638YP83B294053XBSKVMQVCDKJD3G</t>
        </is>
      </c>
      <c r="K1" t="inlineStr">
        <is>
          <t>Zhu Jin</t>
        </is>
      </c>
      <c r="L1" t="n">
        <v>0</v>
      </c>
      <c r="M1" t="n">
        <v>1751276572673</v>
      </c>
      <c r="N1" t="inlineStr">
        <is>
          <t>75DY8C6DK81CGKYJ21FZQEBQF4KQB5YS11WP11P12FZVAGAGERHG</t>
        </is>
      </c>
      <c r="O1" t="inlineStr">
        <is>
          <t>Tsia Yu</t>
        </is>
      </c>
      <c r="P1" t="n">
        <v>0</v>
      </c>
      <c r="Q1" t="n">
        <v>1751510171307</v>
      </c>
      <c r="R1" t="inlineStr">
        <is>
          <t>EP3THTW6FGC1ZTBDGWEKHPSB2Y0JS9EPQN3FSJ1W75PS9TAQK3DG</t>
        </is>
      </c>
      <c r="S1" t="inlineStr">
        <is>
          <t>Sean Sun</t>
        </is>
      </c>
      <c r="T1" t="n">
        <v>0</v>
      </c>
      <c r="U1" t="n">
        <v>1753347864436</v>
      </c>
      <c r="V1" t="inlineStr">
        <is>
          <t>27MRN2CY230YGQCH5SHPY9FGVAKPSVTQCEV49DCFDFF8H9XCQEK0</t>
        </is>
      </c>
      <c r="W1" t="inlineStr">
        <is>
          <t>Tian T Ma</t>
        </is>
      </c>
      <c r="X1" t="n">
        <v>0</v>
      </c>
      <c r="Y1" t="n">
        <v>1754467380713</v>
      </c>
      <c r="Z1" t="inlineStr">
        <is>
          <t>MQFDQD6SPH3FMJP2N0PQQ3N4PZ6XNH4T373A7HWSDE5TZ4A7V1DG</t>
        </is>
      </c>
      <c r="AA1" t="inlineStr">
        <is>
          <t>Zelda Zhang</t>
        </is>
      </c>
      <c r="AB1" t="n">
        <v>0</v>
      </c>
      <c r="AC1" t="n">
        <v>1755496104403</v>
      </c>
      <c r="AD1" t="inlineStr">
        <is>
          <t>9QKVRYJWFZ38Q15SSC9F8R37HJH3965E74F5R92CN1PGMMZQECQ0</t>
        </is>
      </c>
      <c r="AE1" t="inlineStr">
        <is>
          <t>Dan Y Yao</t>
        </is>
      </c>
      <c r="AF1" t="n">
        <v>0</v>
      </c>
      <c r="AG1" t="n">
        <v>1755671229307</v>
      </c>
      <c r="AH1" t="inlineStr">
        <is>
          <t>ESRXDMFF301213JT3ZH9F7ZDSK4QQHFF3A9ZCB0821P05Y900W90</t>
        </is>
      </c>
      <c r="AI1" t="inlineStr">
        <is>
          <t>Alina Ye</t>
        </is>
      </c>
      <c r="AJ1" t="n">
        <v>0</v>
      </c>
      <c r="AK1" t="n">
        <v>1755765316521</v>
      </c>
      <c r="AL1" t="inlineStr">
        <is>
          <t>1P2X1MX3XYWCZ8E2MX2Y07YGB3MV287QRPBD8BFP4A63CGJFS7B0</t>
        </is>
      </c>
      <c r="AM1" t="inlineStr">
        <is>
          <t>Evelyn Z Zhao</t>
        </is>
      </c>
      <c r="AN1" t="n">
        <v>0</v>
      </c>
      <c r="AO1" t="n">
        <v>1756440466716</v>
      </c>
      <c r="AP1" t="inlineStr">
        <is>
          <t>NCN9GVS7YB2ETCVN7MZBV9G447DJ76R2C78P4GRG46G7PJNY5X10</t>
        </is>
      </c>
      <c r="AQ1" t="inlineStr">
        <is>
          <t>Ke Xin Fan</t>
        </is>
      </c>
      <c r="AR1" t="n">
        <v>0</v>
      </c>
      <c r="AS1" t="n">
        <v>1760406773129</v>
      </c>
      <c r="AT1" t="inlineStr">
        <is>
          <t>58XF826Q5JE1FASBQ7H6JMW5XQ8R3GW2B8ET943THGZCT3BXCBX0</t>
        </is>
      </c>
      <c r="AU1" t="inlineStr">
        <is>
          <t>Luna DY Wu</t>
        </is>
      </c>
      <c r="AV1"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Skywind_L1_无形资产_20191231_好孩子项目测试.xlsx</dc:title>
  <dc:description>6C1C492D-4556-479B-A95F-20CE065E7E37</dc:description>
  <dcterms:created xsi:type="dcterms:W3CDTF">2015-06-05T18:17:00Z</dcterms:created>
  <dcterms:modified xsi:type="dcterms:W3CDTF">2026-05-27T06:19:15Z</dcterms:modified>
  <cp:lastModifiedBy>Luna DY Wu</cp:lastModifiedBy>
  <cp:keywords>Final Audit.V6.L1.0901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F1DE68158D454F66AA3F7509B138C858</vt:lpwstr>
  </property>
  <property name="KSOProductBuildVer" fmtid="{D5CDD505-2E9C-101B-9397-08002B2CF9AE}" pid="4">
    <vt:lpwstr>2052-11.1.0.12358</vt:lpwstr>
  </property>
  <property name="SV_QUERY_LIST_4F35BF76-6C0D-4D9B-82B2-816C12CF3733" fmtid="{D5CDD505-2E9C-101B-9397-08002B2CF9AE}" pid="5">
    <vt:lpwstr>empty_477D106A-C0D6-4607-AEBD-E2C9D60EA279</vt:lpwstr>
  </property>
  <property name="SV_HIDDEN_GRID_QUERY_LIST_4F35BF76-6C0D-4D9B-82B2-816C12CF3733" fmtid="{D5CDD505-2E9C-101B-9397-08002B2CF9AE}" pid="6">
    <vt:lpwstr>empty_477D106A-C0D6-4607-AEBD-E2C9D60EA279</vt:lpwstr>
  </property>
  <property name="Order" fmtid="{D5CDD505-2E9C-101B-9397-08002B2CF9AE}" pid="7">
    <vt:r8>316200</vt:r8>
  </property>
  <property name="xd_Signature" fmtid="{D5CDD505-2E9C-101B-9397-08002B2CF9AE}" pid="8">
    <vt:bool>0</vt:bool>
  </property>
  <property name="xd_ProgID" fmtid="{D5CDD505-2E9C-101B-9397-08002B2CF9AE}" pid="9">
    <vt:lpwstr/>
  </property>
  <property name="ComplianceAssetId" fmtid="{D5CDD505-2E9C-101B-9397-08002B2CF9AE}" pid="10">
    <vt:lpwstr/>
  </property>
  <property name="TemplateUrl" fmtid="{D5CDD505-2E9C-101B-9397-08002B2CF9AE}" pid="11">
    <vt:lpwstr/>
  </property>
  <property name="_ExtendedDescription" fmtid="{D5CDD505-2E9C-101B-9397-08002B2CF9AE}" pid="12">
    <vt:lpwstr/>
  </property>
  <property name="TriggerFlowInfo" fmtid="{D5CDD505-2E9C-101B-9397-08002B2CF9AE}" pid="13">
    <vt:lpwstr/>
  </property>
</Properties>
</file>
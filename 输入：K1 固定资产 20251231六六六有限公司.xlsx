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8" Type="http://schemas.openxmlformats.org/officeDocument/2006/relationships/custom-properties" Target="docProps/custom.xml"/><Relationship Id="rId7" Type="http://schemas.openxmlformats.org/officeDocument/2006/relationships/extended-properties" Target="docProps/app.xml"/><Relationship Id="rId1" Type="http://schemas.openxmlformats.org/officeDocument/2006/relationships/officeDocument" Target="xl/workbook.xml"/><Relationship Id="rId6" Type="http://schemas.openxmlformats.org/package/2006/relationships/metadata/core-properties" Target="docProps/core.xml"/><Relationship Id="rId5" Type="http://schemas.microsoft.com/office/2006/relationships/ui/extensibility" Target="customUI/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项目-AI测试\底稿自动化\固定资产\"/>
    </mc:Choice>
  </mc:AlternateContent>
  <xr:revisionPtr revIDLastSave="0" documentId="13_ncr:1_{31BD989A-4938-47F2-98FE-9562B33A2935}" xr6:coauthVersionLast="47" xr6:coauthVersionMax="47" xr10:uidLastSave="{00000000-0000-0000-0000-000000000000}"/>
  <bookViews>
    <workbookView xWindow="-108" yWindow="-108" windowWidth="23256" windowHeight="12456" tabRatio="834" activeTab="2" xr2:uid="{00000000-000D-0000-FFFF-FFFF00000000}"/>
  </bookViews>
  <sheets>
    <sheet name="汇总 " sheetId="217" r:id="rId1"/>
    <sheet name="K.00 Lead Sheet" sheetId="225" r:id="rId2"/>
    <sheet name="K.01 Agree SL to GL" sheetId="226" r:id="rId3"/>
    <sheet name="FA list" sheetId="200" r:id="rId4"/>
    <sheet name="新增清单" sheetId="221" r:id="rId5"/>
    <sheet name="SkywindSettingSheet" sheetId="170" state="veryHidden" r:id="rId6"/>
    <sheet name="K.03.3 折旧政策复核" sheetId="238" r:id="rId7"/>
  </sheets>
  <externalReferences>
    <externalReference r:id="rId8"/>
  </externalReferences>
  <definedNames>
    <definedName name="_____dod1" localSheetId="3" hidden="1">{#N/A,#N/A,TRUE,"CPRD";#N/A,#N/A,TRUE,"BCCPDR";#N/A,#N/A,TRUE,"EWRD";#N/A,#N/A,TRUE,"5100";#N/A,#N/A,TRUE,"5110"}</definedName>
    <definedName name="_____dod1" localSheetId="1" hidden="1">{#N/A,#N/A,TRUE,"CPRD";#N/A,#N/A,TRUE,"BCCPDR";#N/A,#N/A,TRUE,"EWRD";#N/A,#N/A,TRUE,"5100";#N/A,#N/A,TRUE,"5110"}</definedName>
    <definedName name="_____dod1" localSheetId="2" hidden="1">{#N/A,#N/A,TRUE,"CPRD";#N/A,#N/A,TRUE,"BCCPDR";#N/A,#N/A,TRUE,"EWRD";#N/A,#N/A,TRUE,"5100";#N/A,#N/A,TRUE,"5110"}</definedName>
    <definedName name="_____dod1" localSheetId="6" hidden="1">{#N/A,#N/A,TRUE,"CPRD";#N/A,#N/A,TRUE,"BCCPDR";#N/A,#N/A,TRUE,"EWRD";#N/A,#N/A,TRUE,"5100";#N/A,#N/A,TRUE,"5110"}</definedName>
    <definedName name="_____dod1" localSheetId="4"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localSheetId="1" hidden="1">{#N/A,#N/A,TRUE,"CPRD";#N/A,#N/A,TRUE,"BCCPDR";#N/A,#N/A,TRUE,"EWRD";#N/A,#N/A,TRUE,"5100";#N/A,#N/A,TRUE,"5110"}</definedName>
    <definedName name="____dod1" localSheetId="2" hidden="1">{#N/A,#N/A,TRUE,"CPRD";#N/A,#N/A,TRUE,"BCCPDR";#N/A,#N/A,TRUE,"EWRD";#N/A,#N/A,TRUE,"5100";#N/A,#N/A,TRUE,"5110"}</definedName>
    <definedName name="____dod1" localSheetId="6" hidden="1">{#N/A,#N/A,TRUE,"CPRD";#N/A,#N/A,TRUE,"BCCPDR";#N/A,#N/A,TRUE,"EWRD";#N/A,#N/A,TRUE,"5100";#N/A,#N/A,TRUE,"5110"}</definedName>
    <definedName name="____dod1" localSheetId="4"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localSheetId="1" hidden="1">{#N/A,#N/A,TRUE,"CPRD";#N/A,#N/A,TRUE,"BCCPDR";#N/A,#N/A,TRUE,"EWRD";#N/A,#N/A,TRUE,"5100";#N/A,#N/A,TRUE,"5110"}</definedName>
    <definedName name="___dod1" localSheetId="2" hidden="1">{#N/A,#N/A,TRUE,"CPRD";#N/A,#N/A,TRUE,"BCCPDR";#N/A,#N/A,TRUE,"EWRD";#N/A,#N/A,TRUE,"5100";#N/A,#N/A,TRUE,"5110"}</definedName>
    <definedName name="___dod1" localSheetId="6" hidden="1">{#N/A,#N/A,TRUE,"CPRD";#N/A,#N/A,TRUE,"BCCPDR";#N/A,#N/A,TRUE,"EWRD";#N/A,#N/A,TRUE,"5100";#N/A,#N/A,TRUE,"5110"}</definedName>
    <definedName name="___dod1" localSheetId="4"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localSheetId="1" hidden="1">{#N/A,#N/A,TRUE,"CPRD";#N/A,#N/A,TRUE,"BCCPDR";#N/A,#N/A,TRUE,"EWRD";#N/A,#N/A,TRUE,"5100";#N/A,#N/A,TRUE,"5110"}</definedName>
    <definedName name="___dog1" localSheetId="2" hidden="1">{#N/A,#N/A,TRUE,"CPRD";#N/A,#N/A,TRUE,"BCCPDR";#N/A,#N/A,TRUE,"EWRD";#N/A,#N/A,TRUE,"5100";#N/A,#N/A,TRUE,"5110"}</definedName>
    <definedName name="___dog1" localSheetId="6" hidden="1">{#N/A,#N/A,TRUE,"CPRD";#N/A,#N/A,TRUE,"BCCPDR";#N/A,#N/A,TRUE,"EWRD";#N/A,#N/A,TRUE,"5100";#N/A,#N/A,TRUE,"5110"}</definedName>
    <definedName name="___dog1" localSheetId="4"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localSheetId="6" hidden="1">{#N/A,#N/A,FALSE,"Umsatz 99";#N/A,#N/A,FALSE,"ER 99 "}</definedName>
    <definedName name="__A11" hidden="1">{#N/A,#N/A,FALSE,"Umsatz 99";#N/A,#N/A,FALSE,"ER 99 "}</definedName>
    <definedName name="__c" localSheetId="6"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3" hidden="1">{#N/A,#N/A,TRUE,"CPRD";#N/A,#N/A,TRUE,"BCCPDR";#N/A,#N/A,TRUE,"EWRD";#N/A,#N/A,TRUE,"5100";#N/A,#N/A,TRUE,"5110"}</definedName>
    <definedName name="__dod1" localSheetId="1" hidden="1">{#N/A,#N/A,TRUE,"CPRD";#N/A,#N/A,TRUE,"BCCPDR";#N/A,#N/A,TRUE,"EWRD";#N/A,#N/A,TRUE,"5100";#N/A,#N/A,TRUE,"5110"}</definedName>
    <definedName name="__dod1" localSheetId="2" hidden="1">{#N/A,#N/A,TRUE,"CPRD";#N/A,#N/A,TRUE,"BCCPDR";#N/A,#N/A,TRUE,"EWRD";#N/A,#N/A,TRUE,"5100";#N/A,#N/A,TRUE,"5110"}</definedName>
    <definedName name="__dod1" localSheetId="6" hidden="1">{#N/A,#N/A,TRUE,"CPRD";#N/A,#N/A,TRUE,"BCCPDR";#N/A,#N/A,TRUE,"EWRD";#N/A,#N/A,TRUE,"5100";#N/A,#N/A,TRUE,"5110"}</definedName>
    <definedName name="__dod1" localSheetId="4"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localSheetId="1" hidden="1">{#N/A,#N/A,TRUE,"CPRD";#N/A,#N/A,TRUE,"BCCPDR";#N/A,#N/A,TRUE,"EWRD";#N/A,#N/A,TRUE,"5100";#N/A,#N/A,TRUE,"5110"}</definedName>
    <definedName name="__dog1" localSheetId="2" hidden="1">{#N/A,#N/A,TRUE,"CPRD";#N/A,#N/A,TRUE,"BCCPDR";#N/A,#N/A,TRUE,"EWRD";#N/A,#N/A,TRUE,"5100";#N/A,#N/A,TRUE,"5110"}</definedName>
    <definedName name="__dog1" localSheetId="6" hidden="1">{#N/A,#N/A,TRUE,"CPRD";#N/A,#N/A,TRUE,"BCCPDR";#N/A,#N/A,TRUE,"EWRD";#N/A,#N/A,TRUE,"5100";#N/A,#N/A,TRUE,"5110"}</definedName>
    <definedName name="__dog1" localSheetId="4"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6" hidden="1">{#N/A,#N/A,FALSE,"ABB HOLDING LTD"}</definedName>
    <definedName name="__H200" hidden="1">{#N/A,#N/A,FALSE,"ABB HOLDING LTD"}</definedName>
    <definedName name="__IntlFixup" hidden="1">TRUE</definedName>
    <definedName name="_1" hidden="1">#REF!</definedName>
    <definedName name="_1__123Graph_ACHART_3" hidden="1">#REF!</definedName>
    <definedName name="_12c_" localSheetId="6"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6" hidden="1">{#N/A,#N/A,FALSE,"ABB HOLDING LTD"}</definedName>
    <definedName name="_12H200_" hidden="1">{#N/A,#N/A,FALSE,"ABB HOLDING LTD"}</definedName>
    <definedName name="_15wrn.²Ä1­Ó¤ë1_Ü20¤H." localSheetId="6" hidden="1">{#N/A,#N/A,FALSE,"²Ä1­Ó¤ë"}</definedName>
    <definedName name="_15wrn.²Ä1­Ó¤ë1_Ü20¤H." hidden="1">{#N/A,#N/A,FALSE,"²Ä1­Ó¤ë"}</definedName>
    <definedName name="_16wrn.²Ä1­Ó¤ë1_Ü20¤H." localSheetId="6" hidden="1">{#N/A,#N/A,FALSE,"²Ä1­Ó¤ë"}</definedName>
    <definedName name="_16wrn.²Ä1­Ó¤ë1_Ü20¤H." hidden="1">{#N/A,#N/A,FALSE,"²Ä1­Ó¤ë"}</definedName>
    <definedName name="_18wrn.²Ä1­Ó¤ë1_Ü20¤H." localSheetId="6"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localSheetId="6" hidden="1">{#N/A,#N/A,FALSE,"²Ä1­Ó¤ë"}</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localSheetId="6" hidden="1">{#N/A,#N/A,FALSE,"Umsatz 99";#N/A,#N/A,FALSE,"ER 99 "}</definedName>
    <definedName name="_6A11_" hidden="1">{#N/A,#N/A,FALSE,"Umsatz 99";#N/A,#N/A,FALSE,"ER 99 "}</definedName>
    <definedName name="_a1" localSheetId="6" hidden="1">{#N/A,#N/A,FALSE,"Virgin Flightdeck"}</definedName>
    <definedName name="_a1" hidden="1">{#N/A,#N/A,FALSE,"Virgin Flightdeck"}</definedName>
    <definedName name="_A11" localSheetId="6" hidden="1">{#N/A,#N/A,FALSE,"Umsatz 99";#N/A,#N/A,FALSE,"ER 99 "}</definedName>
    <definedName name="_A11" hidden="1">{#N/A,#N/A,FALSE,"Umsatz 99";#N/A,#N/A,FALSE,"ER 99 "}</definedName>
    <definedName name="_a2" localSheetId="6" hidden="1">{#N/A,#N/A,FALSE,"Virgin Flightdeck"}</definedName>
    <definedName name="_a2" hidden="1">{#N/A,#N/A,FALSE,"Virgin Flightdeck"}</definedName>
    <definedName name="_a3" localSheetId="6" hidden="1">{#N/A,#N/A,FALSE,"Virgin Flightdeck"}</definedName>
    <definedName name="_a3" hidden="1">{#N/A,#N/A,FALSE,"Virgin Flightdeck"}</definedName>
    <definedName name="_b2" localSheetId="6" hidden="1">{#N/A,#N/A,FALSE,"Virgin Flightdeck"}</definedName>
    <definedName name="_b2" hidden="1">{#N/A,#N/A,FALSE,"Virgin Flightdeck"}</definedName>
    <definedName name="_b3" localSheetId="6" hidden="1">{#N/A,#N/A,FALSE,"Virgin Flightdeck"}</definedName>
    <definedName name="_b3" hidden="1">{#N/A,#N/A,FALSE,"Virgin Flightdeck"}</definedName>
    <definedName name="_c" localSheetId="6"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Bin" hidden="1">#REF!</definedName>
    <definedName name="_dod1" localSheetId="3" hidden="1">{#N/A,#N/A,TRUE,"CPRD";#N/A,#N/A,TRUE,"BCCPDR";#N/A,#N/A,TRUE,"EWRD";#N/A,#N/A,TRUE,"5100";#N/A,#N/A,TRUE,"5110"}</definedName>
    <definedName name="_dod1" localSheetId="1" hidden="1">{#N/A,#N/A,TRUE,"CPRD";#N/A,#N/A,TRUE,"BCCPDR";#N/A,#N/A,TRUE,"EWRD";#N/A,#N/A,TRUE,"5100";#N/A,#N/A,TRUE,"5110"}</definedName>
    <definedName name="_dod1" localSheetId="2" hidden="1">{#N/A,#N/A,TRUE,"CPRD";#N/A,#N/A,TRUE,"BCCPDR";#N/A,#N/A,TRUE,"EWRD";#N/A,#N/A,TRUE,"5100";#N/A,#N/A,TRUE,"5110"}</definedName>
    <definedName name="_dod1" localSheetId="6" hidden="1">{#N/A,#N/A,TRUE,"CPRD";#N/A,#N/A,TRUE,"BCCPDR";#N/A,#N/A,TRUE,"EWRD";#N/A,#N/A,TRUE,"5100";#N/A,#N/A,TRUE,"5110"}</definedName>
    <definedName name="_dod1" localSheetId="4"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localSheetId="1" hidden="1">{#N/A,#N/A,TRUE,"CPRD";#N/A,#N/A,TRUE,"BCCPDR";#N/A,#N/A,TRUE,"EWRD";#N/A,#N/A,TRUE,"5100";#N/A,#N/A,TRUE,"5110"}</definedName>
    <definedName name="_dog1" localSheetId="2" hidden="1">{#N/A,#N/A,TRUE,"CPRD";#N/A,#N/A,TRUE,"BCCPDR";#N/A,#N/A,TRUE,"EWRD";#N/A,#N/A,TRUE,"5100";#N/A,#N/A,TRUE,"5110"}</definedName>
    <definedName name="_dog1" localSheetId="6" hidden="1">{#N/A,#N/A,TRUE,"CPRD";#N/A,#N/A,TRUE,"BCCPDR";#N/A,#N/A,TRUE,"EWRD";#N/A,#N/A,TRUE,"5100";#N/A,#N/A,TRUE,"5110"}</definedName>
    <definedName name="_dog1" localSheetId="4" hidden="1">{#N/A,#N/A,TRUE,"CPRD";#N/A,#N/A,TRUE,"BCCPDR";#N/A,#N/A,TRUE,"EWRD";#N/A,#N/A,TRUE,"5100";#N/A,#N/A,TRUE,"5110"}</definedName>
    <definedName name="_dog1" hidden="1">{#N/A,#N/A,TRUE,"CPRD";#N/A,#N/A,TRUE,"BCCPDR";#N/A,#N/A,TRUE,"EWRD";#N/A,#N/A,TRUE,"5100";#N/A,#N/A,TRUE,"5110"}</definedName>
    <definedName name="_Fill" localSheetId="3" hidden="1">#REF!</definedName>
    <definedName name="_Fill" localSheetId="1" hidden="1">'K.00 Lead Sheet'!#REF!</definedName>
    <definedName name="_Fill" localSheetId="2" hidden="1">#REF!</definedName>
    <definedName name="_Fill" hidden="1">#REF!</definedName>
    <definedName name="_xlnm._FilterDatabase" localSheetId="3" hidden="1">'FA list'!$A$10:$AI$223</definedName>
    <definedName name="_xlnm._FilterDatabase" localSheetId="1" hidden="1">'K.00 Lead Sheet'!#REF!</definedName>
    <definedName name="_xlnm._FilterDatabase" localSheetId="2" hidden="1">#REF!</definedName>
    <definedName name="_xlnm._FilterDatabase" localSheetId="0" hidden="1">'汇总 '!$B$5:$H$19</definedName>
    <definedName name="_xlnm._FilterDatabase" hidden="1">#REF!</definedName>
    <definedName name="_h2" localSheetId="6" hidden="1">{#N/A,#N/A,FALSE,"Virgin Flightdeck"}</definedName>
    <definedName name="_h2" hidden="1">{#N/A,#N/A,FALSE,"Virgin Flightdeck"}</definedName>
    <definedName name="_H200" localSheetId="6" hidden="1">{#N/A,#N/A,FALSE,"ABB HOLDING LTD"}</definedName>
    <definedName name="_H200" hidden="1">{#N/A,#N/A,FALSE,"ABB HOLDING LTD"}</definedName>
    <definedName name="_h3" localSheetId="6" hidden="1">{#N/A,#N/A,FALSE,"Virgin Flightdeck"}</definedName>
    <definedName name="_h3" hidden="1">{#N/A,#N/A,FALSE,"Virgin Flightdeck"}</definedName>
    <definedName name="_K7" localSheetId="6" hidden="1">{#N/A,#N/A,FALSE,"Sheet1"}</definedName>
    <definedName name="_K7" hidden="1">{#N/A,#N/A,FALSE,"Sheet1"}</definedName>
    <definedName name="_Key1" localSheetId="3" hidden="1">#REF!</definedName>
    <definedName name="_Key1" localSheetId="1" hidden="1">'K.00 Lead Sheet'!#REF!</definedName>
    <definedName name="_Key1" localSheetId="2" hidden="1">#REF!</definedName>
    <definedName name="_Key1" hidden="1">#REF!</definedName>
    <definedName name="_Key2" hidden="1">#REF!</definedName>
    <definedName name="_Key3" hidden="1">#REF!</definedName>
    <definedName name="_O1" localSheetId="6" hidden="1">{#N/A,#N/A,FALSE,"970301";#N/A,#N/A,FALSE,"970302";#N/A,#N/A,FALSE,"970303";#N/A,#N/A,FALSE,"970304";#N/A,#N/A,FALSE,"COM1";#N/A,#N/A,FALSE,"COM2"}</definedName>
    <definedName name="_O1" hidden="1">{#N/A,#N/A,FALSE,"970301";#N/A,#N/A,FALSE,"970302";#N/A,#N/A,FALSE,"970303";#N/A,#N/A,FALSE,"970304";#N/A,#N/A,FALSE,"COM1";#N/A,#N/A,FALSE,"COM2"}</definedName>
    <definedName name="_OP2" localSheetId="6"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6" hidden="1">{"CSC_1",#N/A,FALSE,"CSC Outputs";"CSC_2",#N/A,FALSE,"CSC Outputs"}</definedName>
    <definedName name="_sd2" hidden="1">{"CSC_1",#N/A,FALSE,"CSC Outputs";"CSC_2",#N/A,FALSE,"CSC Outputs"}</definedName>
    <definedName name="_Sort" localSheetId="3" hidden="1">#REF!</definedName>
    <definedName name="_Sort" localSheetId="1" hidden="1">'K.00 Lead Sheet'!#REF!</definedName>
    <definedName name="_Sort" localSheetId="2"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localSheetId="6" hidden="1">{#N/A,#N/A,FALSE,"Virgin Flightdeck"}</definedName>
    <definedName name="_wrn2" hidden="1">{#N/A,#N/A,FALSE,"Virgin Flightdeck"}</definedName>
    <definedName name="_wrn3" localSheetId="6" hidden="1">{#N/A,#N/A,FALSE,"Virgin Flightdeck"}</definedName>
    <definedName name="_wrn3" hidden="1">{#N/A,#N/A,FALSE,"Virgin Flightdeck"}</definedName>
    <definedName name="_wrn4" localSheetId="6"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6"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6" hidden="1">{#N/A,#N/A,FALSE,"资产负债表";#N/A,#N/A,FALSE,"资产负债表"}</definedName>
    <definedName name="aaz" hidden="1">{#N/A,#N/A,FALSE,"资产负债表";#N/A,#N/A,FALSE,"资产负债表"}</definedName>
    <definedName name="abcdeg" localSheetId="6"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6" hidden="1">{#N/A,#N/A,FALSE,"资产负债表";#N/A,#N/A,FALSE,"资产负债表"}</definedName>
    <definedName name="ada" hidden="1">{#N/A,#N/A,FALSE,"资产负债表";#N/A,#N/A,FALSE,"资产负债表"}</definedName>
    <definedName name="adaf" localSheetId="6" hidden="1">{#N/A,#N/A,FALSE,"资产负债表";#N/A,#N/A,FALSE,"资产负债表"}</definedName>
    <definedName name="adaf" hidden="1">{#N/A,#N/A,FALSE,"资产负债表";#N/A,#N/A,FALSE,"资产负债表"}</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6" hidden="1">{"toptrial",#N/A,TRUE,"toptrial";"adjustment",#N/A,TRUE,"toptrial";"voucher",#N/A,TRUE,"toptrial"}</definedName>
    <definedName name="adf" hidden="1">{"toptrial",#N/A,TRUE,"toptrial";"adjustment",#N/A,TRUE,"toptrial";"voucher",#N/A,TRUE,"toptrial"}</definedName>
    <definedName name="adfa" localSheetId="6"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6" hidden="1">{#N/A,#N/A,FALSE,"资产负债表";#N/A,#N/A,FALSE,"资产负债表"}</definedName>
    <definedName name="afhai" hidden="1">{#N/A,#N/A,FALSE,"资产负债表";#N/A,#N/A,FALSE,"资产负债表"}</definedName>
    <definedName name="afsdavad" hidden="1">#REF!</definedName>
    <definedName name="AGEDDATABASE" localSheetId="6" hidden="1">{#N/A,#N/A,FALSE,"970301";#N/A,#N/A,FALSE,"970302";#N/A,#N/A,FALSE,"970303";#N/A,#N/A,FALSE,"970304";#N/A,#N/A,FALSE,"COM1";#N/A,#N/A,FALSE,"COM2"}</definedName>
    <definedName name="AGEDDATABASE" hidden="1">{#N/A,#N/A,FALSE,"970301";#N/A,#N/A,FALSE,"970302";#N/A,#N/A,FALSE,"970303";#N/A,#N/A,FALSE,"970304";#N/A,#N/A,FALSE,"COM1";#N/A,#N/A,FALSE,"COM2"}</definedName>
    <definedName name="aidhaif" localSheetId="6" hidden="1">{#N/A,#N/A,FALSE,"资产负债表";#N/A,#N/A,FALSE,"资产负债表"}</definedName>
    <definedName name="aidhaif" hidden="1">{#N/A,#N/A,FALSE,"资产负债表";#N/A,#N/A,FALSE,"资产负债表"}</definedName>
    <definedName name="AJHFkjDGHF" localSheetId="6"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akf" localSheetId="6" hidden="1">{#N/A,#N/A,FALSE,"资产负债表";#N/A,#N/A,FALSE,"资产负债表"}</definedName>
    <definedName name="anakf" hidden="1">{#N/A,#N/A,FALSE,"资产负债表";#N/A,#N/A,FALSE,"资产负债表"}</definedName>
    <definedName name="ANALSIS._.9511" localSheetId="6" hidden="1">{#N/A,#N/A,FALSE,"ABB HOLDING LTD"}</definedName>
    <definedName name="ANALSIS._.9511" hidden="1">{#N/A,#N/A,FALSE,"ABB HOLDING LTD"}</definedName>
    <definedName name="anna" localSheetId="6" hidden="1">{#N/A,#N/A,FALSE,"ABB HOLDING LTD"}</definedName>
    <definedName name="anna" hidden="1">{#N/A,#N/A,FALSE,"ABB HOLDING LTD"}</definedName>
    <definedName name="anscount" hidden="1">1</definedName>
    <definedName name="app0" localSheetId="6" hidden="1">{"M1Print",#N/A,FALSE,"M1"}</definedName>
    <definedName name="app0" hidden="1">{"M1Print",#N/A,FALSE,"M1"}</definedName>
    <definedName name="are" localSheetId="6" hidden="1">{"toptrial",#N/A,TRUE,"toptrial";"adjustment",#N/A,TRUE,"toptrial";"voucher",#N/A,TRUE,"toptrial"}</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3" hidden="1">#REF!</definedName>
    <definedName name="AS2TickmarkLS" localSheetId="1" hidden="1">'K.00 Lead Sheet'!#REF!</definedName>
    <definedName name="AS2TickmarkLS" localSheetId="2" hidden="1">#REF!</definedName>
    <definedName name="AS2TickmarkLS" hidden="1">#REF!</definedName>
    <definedName name="AS2VersionLS" hidden="1">300</definedName>
    <definedName name="asda" localSheetId="6" hidden="1">{"CSC_1",#N/A,FALSE,"CSC Outputs";"CSC_2",#N/A,FALSE,"CSC Outputs"}</definedName>
    <definedName name="asda" hidden="1">{"CSC_1",#N/A,FALSE,"CSC Outputs";"CSC_2",#N/A,FALSE,"CSC Outputs"}</definedName>
    <definedName name="asdf" localSheetId="6" hidden="1">{#N/A,#N/A,FALSE,"970301";#N/A,#N/A,FALSE,"970302";#N/A,#N/A,FALSE,"970303";#N/A,#N/A,FALSE,"970304";#N/A,#N/A,FALSE,"COM1";#N/A,#N/A,FALSE,"COM2"}</definedName>
    <definedName name="asdf" hidden="1">{#N/A,#N/A,FALSE,"970301";#N/A,#N/A,FALSE,"970302";#N/A,#N/A,FALSE,"970303";#N/A,#N/A,FALSE,"970304";#N/A,#N/A,FALSE,"COM1";#N/A,#N/A,FALSE,"COM2"}</definedName>
    <definedName name="asdg" localSheetId="6" hidden="1">{#N/A,#N/A,FALSE,"资产负债表";#N/A,#N/A,FALSE,"资产负债表"}</definedName>
    <definedName name="asdg" hidden="1">{#N/A,#N/A,FALSE,"资产负债表";#N/A,#N/A,FALSE,"资产负债表"}</definedName>
    <definedName name="ass" localSheetId="3" hidden="1">{#N/A,#N/A,TRUE,"CPRD";#N/A,#N/A,TRUE,"BCCPDR";#N/A,#N/A,TRUE,"EWRD";#N/A,#N/A,TRUE,"5100";#N/A,#N/A,TRUE,"5110"}</definedName>
    <definedName name="ass" localSheetId="1" hidden="1">{#N/A,#N/A,TRUE,"CPRD";#N/A,#N/A,TRUE,"BCCPDR";#N/A,#N/A,TRUE,"EWRD";#N/A,#N/A,TRUE,"5100";#N/A,#N/A,TRUE,"5110"}</definedName>
    <definedName name="ass" localSheetId="2" hidden="1">{#N/A,#N/A,TRUE,"CPRD";#N/A,#N/A,TRUE,"BCCPDR";#N/A,#N/A,TRUE,"EWRD";#N/A,#N/A,TRUE,"5100";#N/A,#N/A,TRUE,"5110"}</definedName>
    <definedName name="ass" localSheetId="6" hidden="1">{#N/A,#N/A,TRUE,"CPRD";#N/A,#N/A,TRUE,"BCCPDR";#N/A,#N/A,TRUE,"EWRD";#N/A,#N/A,TRUE,"5100";#N/A,#N/A,TRUE,"5110"}</definedName>
    <definedName name="ass" localSheetId="4" hidden="1">{#N/A,#N/A,TRUE,"CPRD";#N/A,#N/A,TRUE,"BCCPDR";#N/A,#N/A,TRUE,"EWRD";#N/A,#N/A,TRUE,"5100";#N/A,#N/A,TRUE,"5110"}</definedName>
    <definedName name="ass" hidden="1">{#N/A,#N/A,TRUE,"CPRD";#N/A,#N/A,TRUE,"BCCPDR";#N/A,#N/A,TRUE,"EWRD";#N/A,#N/A,TRUE,"5100";#N/A,#N/A,TRUE,"5110"}</definedName>
    <definedName name="AuraStyleDefaultsReset" hidden="1">#N/A</definedName>
    <definedName name="Bear" localSheetId="6"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localSheetId="6"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6" hidden="1">{#N/A,#N/A,FALSE,"OffAdvance";#N/A,#N/A,FALSE,"OffExpRprt";#N/A,#N/A,FALSE,"Travelling";#N/A,#N/A,FALSE,"Entertmnt";#N/A,#N/A,FALSE,"Promotion"}</definedName>
    <definedName name="book.2" hidden="1">{#N/A,#N/A,FALSE,"OffAdvance";#N/A,#N/A,FALSE,"OffExpRprt";#N/A,#N/A,FALSE,"Travelling";#N/A,#N/A,FALSE,"Entertmnt";#N/A,#N/A,FALSE,"Promotion"}</definedName>
    <definedName name="bs_1" localSheetId="6" hidden="1">{#N/A,#N/A,FALSE,"BBPREP"}</definedName>
    <definedName name="bs_1" hidden="1">{#N/A,#N/A,FALSE,"BBPREP"}</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6"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6" hidden="1">{#N/A,#N/A,FALSE,"资产负债表";#N/A,#N/A,FALSE,"资产负债表"}</definedName>
    <definedName name="cccvb" hidden="1">{#N/A,#N/A,FALSE,"资产负债表";#N/A,#N/A,FALSE,"资产负债表"}</definedName>
    <definedName name="CFVVHH" localSheetId="6" hidden="1">{#N/A,#N/A,FALSE,"资产负债表";#N/A,#N/A,FALSE,"资产负债表"}</definedName>
    <definedName name="CFVVHH" hidden="1">{#N/A,#N/A,FALSE,"资产负债表";#N/A,#N/A,FALSE,"资产负债表"}</definedName>
    <definedName name="cfyik" localSheetId="6" hidden="1">{#N/A,#N/A,FALSE,"资产负债表";#N/A,#N/A,FALSE,"资产负债表"}</definedName>
    <definedName name="cfyik" hidden="1">{#N/A,#N/A,FALSE,"资产负债表";#N/A,#N/A,FALSE,"资产负债表"}</definedName>
    <definedName name="cgul" localSheetId="6" hidden="1">{#N/A,#N/A,FALSE,"资产负债表";#N/A,#N/A,FALSE,"资产负债表"}</definedName>
    <definedName name="cgul" hidden="1">{#N/A,#N/A,FALSE,"资产负债表";#N/A,#N/A,FALSE,"资产负债表"}</definedName>
    <definedName name="cguocnbnl" localSheetId="6"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localSheetId="6" hidden="1">{#N/A,#N/A,FALSE,"970301";#N/A,#N/A,FALSE,"970302";#N/A,#N/A,FALSE,"970303";#N/A,#N/A,FALSE,"970304";#N/A,#N/A,FALSE,"COM1";#N/A,#N/A,FALSE,"COM2"}</definedName>
    <definedName name="Coll" hidden="1">{#N/A,#N/A,FALSE,"970301";#N/A,#N/A,FALSE,"970302";#N/A,#N/A,FALSE,"970303";#N/A,#N/A,FALSE,"970304";#N/A,#N/A,FALSE,"COM1";#N/A,#N/A,FALSE,"COM2"}</definedName>
    <definedName name="copia" localSheetId="6"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localSheetId="6" hidden="1">Main.SAPF4Help()</definedName>
    <definedName name="CSCGZ" hidden="1">Main.SAPF4Help()</definedName>
    <definedName name="data1" hidden="1">#REF!</definedName>
    <definedName name="data2" hidden="1">#REF!</definedName>
    <definedName name="data3" hidden="1">#REF!</definedName>
    <definedName name="DBS" hidden="1">#REF!</definedName>
    <definedName name="dcca" localSheetId="6" hidden="1">{#N/A,#N/A,FALSE,"资产负债表";#N/A,#N/A,FALSE,"资产负债表"}</definedName>
    <definedName name="dcca" hidden="1">{#N/A,#N/A,FALSE,"资产负债表";#N/A,#N/A,FALSE,"资产负债表"}</definedName>
    <definedName name="DDDD" localSheetId="6" hidden="1">{#N/A,#N/A,FALSE,"Virgin Flightdeck"}</definedName>
    <definedName name="DDDD" hidden="1">{#N/A,#N/A,FALSE,"Virgin Flightdeck"}</definedName>
    <definedName name="DDDDDD" localSheetId="6" hidden="1">{#N/A,#N/A,FALSE,"Virgin Flightdeck"}</definedName>
    <definedName name="DDDDDD" hidden="1">{#N/A,#N/A,FALSE,"Virgin Flightdeck"}</definedName>
    <definedName name="dfd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6"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6"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6" hidden="1">{"M4Print",#N/A,FALSE,"M4"}</definedName>
    <definedName name="dh" hidden="1">{"M4Print",#N/A,FALSE,"M4"}</definedName>
    <definedName name="Discount" hidden="1">#REF!</definedName>
    <definedName name="display_area_2" hidden="1">#REF!</definedName>
    <definedName name="dlf" localSheetId="6"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3" hidden="1">{#N/A,#N/A,TRUE,"CPRD";#N/A,#N/A,TRUE,"BCCPDR";#N/A,#N/A,TRUE,"EWRD";#N/A,#N/A,TRUE,"5100";#N/A,#N/A,TRUE,"5110"}</definedName>
    <definedName name="doddd" localSheetId="1" hidden="1">{#N/A,#N/A,TRUE,"CPRD";#N/A,#N/A,TRUE,"BCCPDR";#N/A,#N/A,TRUE,"EWRD";#N/A,#N/A,TRUE,"5100";#N/A,#N/A,TRUE,"5110"}</definedName>
    <definedName name="doddd" localSheetId="2" hidden="1">{#N/A,#N/A,TRUE,"CPRD";#N/A,#N/A,TRUE,"BCCPDR";#N/A,#N/A,TRUE,"EWRD";#N/A,#N/A,TRUE,"5100";#N/A,#N/A,TRUE,"5110"}</definedName>
    <definedName name="doddd" localSheetId="6" hidden="1">{#N/A,#N/A,TRUE,"CPRD";#N/A,#N/A,TRUE,"BCCPDR";#N/A,#N/A,TRUE,"EWRD";#N/A,#N/A,TRUE,"5100";#N/A,#N/A,TRUE,"5110"}</definedName>
    <definedName name="doddd" localSheetId="4"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localSheetId="1" hidden="1">{#N/A,#N/A,TRUE,"CPRD";#N/A,#N/A,TRUE,"BCCPDR";#N/A,#N/A,TRUE,"EWRD";#N/A,#N/A,TRUE,"5100";#N/A,#N/A,TRUE,"5110"}</definedName>
    <definedName name="dog" localSheetId="2" hidden="1">{#N/A,#N/A,TRUE,"CPRD";#N/A,#N/A,TRUE,"BCCPDR";#N/A,#N/A,TRUE,"EWRD";#N/A,#N/A,TRUE,"5100";#N/A,#N/A,TRUE,"5110"}</definedName>
    <definedName name="dog" localSheetId="6" hidden="1">{#N/A,#N/A,TRUE,"CPRD";#N/A,#N/A,TRUE,"BCCPDR";#N/A,#N/A,TRUE,"EWRD";#N/A,#N/A,TRUE,"5100";#N/A,#N/A,TRUE,"5110"}</definedName>
    <definedName name="dog" localSheetId="4" hidden="1">{#N/A,#N/A,TRUE,"CPRD";#N/A,#N/A,TRUE,"BCCPDR";#N/A,#N/A,TRUE,"EWRD";#N/A,#N/A,TRUE,"5100";#N/A,#N/A,TRUE,"5110"}</definedName>
    <definedName name="dog" hidden="1">{#N/A,#N/A,TRUE,"CPRD";#N/A,#N/A,TRUE,"BCCPDR";#N/A,#N/A,TRUE,"EWRD";#N/A,#N/A,TRUE,"5100";#N/A,#N/A,TRUE,"5110"}</definedName>
    <definedName name="DPL" hidden="1">#REF!</definedName>
    <definedName name="ds" localSheetId="6" hidden="1">{"CSC_1",#N/A,FALSE,"CSC Outputs";"CSC_2",#N/A,FALSE,"CSC Outputs"}</definedName>
    <definedName name="ds" hidden="1">{"CSC_1",#N/A,FALSE,"CSC Outputs";"CSC_2",#N/A,FALSE,"CSC Outputs"}</definedName>
    <definedName name="dsasafsadf" localSheetId="6"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6"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localSheetId="6" hidden="1">{#N/A,#N/A,FALSE,"资产负债表";#N/A,#N/A,FALSE,"资产负债表"}</definedName>
    <definedName name="dvbm" hidden="1">{#N/A,#N/A,FALSE,"资产负债表";#N/A,#N/A,FALSE,"资产负债表"}</definedName>
    <definedName name="DWED" hidden="1">#REF!</definedName>
    <definedName name="EDEW" hidden="1">#REF!</definedName>
    <definedName name="edispu" localSheetId="6" hidden="1">{#N/A,#N/A,FALSE,"Sheet1"}</definedName>
    <definedName name="edispu" hidden="1">{#N/A,#N/A,FALSE,"Sheet1"}</definedName>
    <definedName name="ehdg" localSheetId="6" hidden="1">{#N/A,#N/A,FALSE,"Jan"}</definedName>
    <definedName name="ehdg" localSheetId="4" hidden="1">{#N/A,#N/A,FALSE,"Jan"}</definedName>
    <definedName name="ehdg" hidden="1">{#N/A,#N/A,FALSE,"Jan"}</definedName>
    <definedName name="eqwrwer" localSheetId="6"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6" hidden="1">{#N/A,#N/A,FALSE,"970301";#N/A,#N/A,FALSE,"970302";#N/A,#N/A,FALSE,"970303";#N/A,#N/A,FALSE,"970304";#N/A,#N/A,FALSE,"COM1";#N/A,#N/A,FALSE,"COM2"}</definedName>
    <definedName name="erf" hidden="1">{#N/A,#N/A,FALSE,"970301";#N/A,#N/A,FALSE,"970302";#N/A,#N/A,FALSE,"970303";#N/A,#N/A,FALSE,"970304";#N/A,#N/A,FALSE,"COM1";#N/A,#N/A,FALSE,"COM2"}</definedName>
    <definedName name="errrr" localSheetId="6" hidden="1">{"CSC_1",#N/A,FALSE,"CSC Outputs";"CSC_2",#N/A,FALSE,"CSC Outputs"}</definedName>
    <definedName name="errrr" hidden="1">{"CSC_1",#N/A,FALSE,"CSC Outputs";"CSC_2",#N/A,FALSE,"CSC Outputs"}</definedName>
    <definedName name="eryj" localSheetId="6" hidden="1">{#N/A,#N/A,FALSE,"资产负债表";#N/A,#N/A,FALSE,"资产负债表"}</definedName>
    <definedName name="eryj" hidden="1">{#N/A,#N/A,FALSE,"资产负债表";#N/A,#N/A,FALSE,"资产负债表"}</definedName>
    <definedName name="EV__LASTREFTIME__" hidden="1">39274.4724884259</definedName>
    <definedName name="ExpenseUpload" localSheetId="3" hidden="1">{#N/A,#N/A,TRUE,"CPRD";#N/A,#N/A,TRUE,"BCCPDR";#N/A,#N/A,TRUE,"EWRD";#N/A,#N/A,TRUE,"5100";#N/A,#N/A,TRUE,"5110"}</definedName>
    <definedName name="ExpenseUpload" localSheetId="1" hidden="1">{#N/A,#N/A,TRUE,"CPRD";#N/A,#N/A,TRUE,"BCCPDR";#N/A,#N/A,TRUE,"EWRD";#N/A,#N/A,TRUE,"5100";#N/A,#N/A,TRUE,"5110"}</definedName>
    <definedName name="ExpenseUpload" localSheetId="2" hidden="1">{#N/A,#N/A,TRUE,"CPRD";#N/A,#N/A,TRUE,"BCCPDR";#N/A,#N/A,TRUE,"EWRD";#N/A,#N/A,TRUE,"5100";#N/A,#N/A,TRUE,"5110"}</definedName>
    <definedName name="ExpenseUpload" localSheetId="6" hidden="1">{#N/A,#N/A,TRUE,"CPRD";#N/A,#N/A,TRUE,"BCCPDR";#N/A,#N/A,TRUE,"EWRD";#N/A,#N/A,TRUE,"5100";#N/A,#N/A,TRUE,"5110"}</definedName>
    <definedName name="ExpenseUpload" localSheetId="4" hidden="1">{#N/A,#N/A,TRUE,"CPRD";#N/A,#N/A,TRUE,"BCCPDR";#N/A,#N/A,TRUE,"EWRD";#N/A,#N/A,TRUE,"5100";#N/A,#N/A,TRUE,"5110"}</definedName>
    <definedName name="ExpenseUpload" hidden="1">{#N/A,#N/A,TRUE,"CPRD";#N/A,#N/A,TRUE,"BCCPDR";#N/A,#N/A,TRUE,"EWRD";#N/A,#N/A,TRUE,"5100";#N/A,#N/A,TRUE,"5110"}</definedName>
    <definedName name="faif" localSheetId="6" hidden="1">{#N/A,#N/A,FALSE,"资产负债表";#N/A,#N/A,FALSE,"资产负债表"}</definedName>
    <definedName name="faif" hidden="1">{#N/A,#N/A,FALSE,"资产负债表";#N/A,#N/A,FALSE,"资产负债表"}</definedName>
    <definedName name="FCode" hidden="1">#REF!</definedName>
    <definedName name="fd" localSheetId="6" hidden="1">{"M1sPrint",#N/A,FALSE,"M1s"}</definedName>
    <definedName name="fd" hidden="1">{"M1sPrint",#N/A,FALSE,"M1s"}</definedName>
    <definedName name="FDEFRE" hidden="1">#REF!</definedName>
    <definedName name="FDVV" localSheetId="6"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6" hidden="1">{#N/A,#N/A,TRUE,"CPRD";#N/A,#N/A,TRUE,"BCCPDR";#N/A,#N/A,TRUE,"EWRD";#N/A,#N/A,TRUE,"5100";#N/A,#N/A,TRUE,"5110"}</definedName>
    <definedName name="feedback" hidden="1">{#N/A,#N/A,TRUE,"CPRD";#N/A,#N/A,TRUE,"BCCPDR";#N/A,#N/A,TRUE,"EWRD";#N/A,#N/A,TRUE,"5100";#N/A,#N/A,TRUE,"5110"}</definedName>
    <definedName name="fgdg" localSheetId="6"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6" hidden="1">{#N/A,#N/A,FALSE,"970301";#N/A,#N/A,FALSE,"970302";#N/A,#N/A,FALSE,"970303";#N/A,#N/A,FALSE,"970304";#N/A,#N/A,FALSE,"COM1";#N/A,#N/A,FALSE,"COM2"}</definedName>
    <definedName name="fggh" hidden="1">{#N/A,#N/A,FALSE,"970301";#N/A,#N/A,FALSE,"970302";#N/A,#N/A,FALSE,"970303";#N/A,#N/A,FALSE,"970304";#N/A,#N/A,FALSE,"COM1";#N/A,#N/A,FALSE,"COM2"}</definedName>
    <definedName name="fggh1" localSheetId="6" hidden="1">{#N/A,#N/A,FALSE,"970301";#N/A,#N/A,FALSE,"970302";#N/A,#N/A,FALSE,"970303";#N/A,#N/A,FALSE,"970304";#N/A,#N/A,FALSE,"COM1";#N/A,#N/A,FALSE,"COM2"}</definedName>
    <definedName name="fggh1" hidden="1">{#N/A,#N/A,FALSE,"970301";#N/A,#N/A,FALSE,"970302";#N/A,#N/A,FALSE,"970303";#N/A,#N/A,FALSE,"970304";#N/A,#N/A,FALSE,"COM1";#N/A,#N/A,FALSE,"COM2"}</definedName>
    <definedName name="fvb" localSheetId="6" hidden="1">{#N/A,#N/A,FALSE,"资产负债表";#N/A,#N/A,FALSE,"资产负债表"}</definedName>
    <definedName name="fvb" hidden="1">{#N/A,#N/A,FALSE,"资产负债表";#N/A,#N/A,FALSE,"资产负债表"}</definedName>
    <definedName name="G9IJGF" localSheetId="6" hidden="1">{#N/A,#N/A,FALSE,"资产负债表";#N/A,#N/A,FALSE,"资产负债表"}</definedName>
    <definedName name="G9IJGF" hidden="1">{#N/A,#N/A,FALSE,"资产负债表";#N/A,#N/A,FALSE,"资产负债表"}</definedName>
    <definedName name="gggg" localSheetId="6" hidden="1">{#N/A,#N/A,FALSE,"OffAdvance";#N/A,#N/A,FALSE,"OffExpRprt";#N/A,#N/A,FALSE,"Travelling";#N/A,#N/A,FALSE,"Entertmnt";#N/A,#N/A,FALSE,"Promotion"}</definedName>
    <definedName name="gggg" hidden="1">{#N/A,#N/A,FALSE,"OffAdvance";#N/A,#N/A,FALSE,"OffExpRprt";#N/A,#N/A,FALSE,"Travelling";#N/A,#N/A,FALSE,"Entertmnt";#N/A,#N/A,FALSE,"Promotion"}</definedName>
    <definedName name="gggg1" localSheetId="6" hidden="1">{#N/A,#N/A,FALSE,"OffAdvance";#N/A,#N/A,FALSE,"OffExpRprt";#N/A,#N/A,FALSE,"Travelling";#N/A,#N/A,FALSE,"Entertmnt";#N/A,#N/A,FALSE,"Promotion"}</definedName>
    <definedName name="gggg1" hidden="1">{#N/A,#N/A,FALSE,"OffAdvance";#N/A,#N/A,FALSE,"OffExpRprt";#N/A,#N/A,FALSE,"Travelling";#N/A,#N/A,FALSE,"Entertmnt";#N/A,#N/A,FALSE,"Promotion"}</definedName>
    <definedName name="hadiah" localSheetId="6" hidden="1">{#N/A,#N/A,FALSE,"资产负债表";#N/A,#N/A,FALSE,"资产负债表"}</definedName>
    <definedName name="hadiah" hidden="1">{#N/A,#N/A,FALSE,"资产负债表";#N/A,#N/A,FALSE,"资产负债表"}</definedName>
    <definedName name="HdctTrnd" localSheetId="3" hidden="1">{#N/A,#N/A,TRUE,"CPRD";#N/A,#N/A,TRUE,"BCCPDR";#N/A,#N/A,TRUE,"EWRD";#N/A,#N/A,TRUE,"5100";#N/A,#N/A,TRUE,"5110"}</definedName>
    <definedName name="HdctTrnd" localSheetId="1" hidden="1">{#N/A,#N/A,TRUE,"CPRD";#N/A,#N/A,TRUE,"BCCPDR";#N/A,#N/A,TRUE,"EWRD";#N/A,#N/A,TRUE,"5100";#N/A,#N/A,TRUE,"5110"}</definedName>
    <definedName name="HdctTrnd" localSheetId="2" hidden="1">{#N/A,#N/A,TRUE,"CPRD";#N/A,#N/A,TRUE,"BCCPDR";#N/A,#N/A,TRUE,"EWRD";#N/A,#N/A,TRUE,"5100";#N/A,#N/A,TRUE,"5110"}</definedName>
    <definedName name="HdctTrnd" localSheetId="6" hidden="1">{#N/A,#N/A,TRUE,"CPRD";#N/A,#N/A,TRUE,"BCCPDR";#N/A,#N/A,TRUE,"EWRD";#N/A,#N/A,TRUE,"5100";#N/A,#N/A,TRUE,"5110"}</definedName>
    <definedName name="HdctTrnd" localSheetId="4" hidden="1">{#N/A,#N/A,TRUE,"CPRD";#N/A,#N/A,TRUE,"BCCPDR";#N/A,#N/A,TRUE,"EWRD";#N/A,#N/A,TRUE,"5100";#N/A,#N/A,TRUE,"5110"}</definedName>
    <definedName name="HdctTrnd" hidden="1">{#N/A,#N/A,TRUE,"CPRD";#N/A,#N/A,TRUE,"BCCPDR";#N/A,#N/A,TRUE,"EWRD";#N/A,#N/A,TRUE,"5100";#N/A,#N/A,TRUE,"5110"}</definedName>
    <definedName name="HiddenRows" hidden="1">#REF!</definedName>
    <definedName name="hod" localSheetId="6"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6" hidden="1">{#N/A,#N/A,FALSE,"AD_Purchase";#N/A,#N/A,FALSE,"Credit";#N/A,#N/A,FALSE,"PF Acquisition";#N/A,#N/A,FALSE,"PF Offering"}</definedName>
    <definedName name="houy" hidden="1">{#N/A,#N/A,FALSE,"AD_Purchase";#N/A,#N/A,FALSE,"Credit";#N/A,#N/A,FALSE,"PF Acquisition";#N/A,#N/A,FALSE,"PF Offering"}</definedName>
    <definedName name="HTL_Cotrol1" localSheetId="6" hidden="1">{"'Sheet3'!$A$47:$M$47"}</definedName>
    <definedName name="HTL_Cotrol1" hidden="1">{"'Sheet3'!$A$47:$M$47"}</definedName>
    <definedName name="HTML_CodePage" hidden="1">1252</definedName>
    <definedName name="HTML_Control" localSheetId="3" hidden="1">{"'Vxxe_times_J750 (2)'!$A$3:$E$14"}</definedName>
    <definedName name="HTML_Control" localSheetId="1" hidden="1">{"'Vxxe_times_J750 (2)'!$A$3:$E$14"}</definedName>
    <definedName name="HTML_Control" localSheetId="2" hidden="1">{"'Vxxe_times_J750 (2)'!$A$3:$E$14"}</definedName>
    <definedName name="HTML_Control" localSheetId="6" hidden="1">{"'Vxxe_times_J750 (2)'!$A$3:$E$14"}</definedName>
    <definedName name="HTML_Control" localSheetId="4"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localSheetId="6" hidden="1">{#N/A,#N/A,FALSE,"资产负债表";#N/A,#N/A,FALSE,"资产负债表"}</definedName>
    <definedName name="hueoa" hidden="1">{#N/A,#N/A,FALSE,"资产负债表";#N/A,#N/A,FALSE,"资产负债表"}</definedName>
    <definedName name="ieji" localSheetId="6" hidden="1">{#N/A,#N/A,FALSE,"970301";#N/A,#N/A,FALSE,"970302";#N/A,#N/A,FALSE,"970303";#N/A,#N/A,FALSE,"970304";#N/A,#N/A,FALSE,"COM1";#N/A,#N/A,FALSE,"COM2"}</definedName>
    <definedName name="ieji" hidden="1">{#N/A,#N/A,FALSE,"970301";#N/A,#N/A,FALSE,"970302";#N/A,#N/A,FALSE,"970303";#N/A,#N/A,FALSE,"970304";#N/A,#N/A,FALSE,"COM1";#N/A,#N/A,FALSE,"COM2"}</definedName>
    <definedName name="iiiiii" localSheetId="6" hidden="1">{#N/A,#N/A,FALSE,"PERSONAL";#N/A,#N/A,FALSE,"explotación";#N/A,#N/A,FALSE,"generales"}</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localSheetId="6" hidden="1">{"M4Print",#N/A,FALSE,"M4"}</definedName>
    <definedName name="jdda" hidden="1">{"M4Print",#N/A,FALSE,"M4"}</definedName>
    <definedName name="jdfslsajdflasdkjpf" localSheetId="6"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6" hidden="1">{"M1sPrint",#N/A,FALSE,"M1s"}</definedName>
    <definedName name="jfgh" hidden="1">{"M1sPrint",#N/A,FALSE,"M1s"}</definedName>
    <definedName name="jgfhfg" localSheetId="6" hidden="1">{"M1sPrint",#N/A,FALSE,"M1s"}</definedName>
    <definedName name="jgfhfg" hidden="1">{"M1sPrint",#N/A,FALSE,"M1s"}</definedName>
    <definedName name="jlj" localSheetId="6" hidden="1">{"M2aPrint",#N/A,FALSE,"M2a"}</definedName>
    <definedName name="jlj" hidden="1">{"M2aPrint",#N/A,FALSE,"M2a"}</definedName>
    <definedName name="jughn" localSheetId="6" hidden="1">{"M7_1Print",#N/A,TRUE,"M7_1";"M7_2Print",#N/A,TRUE,"M7_2"}</definedName>
    <definedName name="jughn" hidden="1">{"M7_1Print",#N/A,TRUE,"M7_1";"M7_2Print",#N/A,TRUE,"M7_2"}</definedName>
    <definedName name="jytj" localSheetId="6" hidden="1">{"M7_1Print",#N/A,TRUE,"M7_1";"M7_2Print",#N/A,TRUE,"M7_2"}</definedName>
    <definedName name="jytj" hidden="1">{"M7_1Print",#N/A,TRUE,"M7_1";"M7_2Print",#N/A,TRUE,"M7_2"}</definedName>
    <definedName name="K2_WBEVMODE" hidden="1">-1</definedName>
    <definedName name="klj" localSheetId="6" hidden="1">{#N/A,#N/A,FALSE,"OffAdvance";#N/A,#N/A,FALSE,"OffExpRprt";#N/A,#N/A,FALSE,"Travelling";#N/A,#N/A,FALSE,"Entertmnt";#N/A,#N/A,FALSE,"Promotion"}</definedName>
    <definedName name="klj" hidden="1">{#N/A,#N/A,FALSE,"OffAdvance";#N/A,#N/A,FALSE,"OffExpRprt";#N/A,#N/A,FALSE,"Travelling";#N/A,#N/A,FALSE,"Entertmnt";#N/A,#N/A,FALSE,"Promotion"}</definedName>
    <definedName name="kljik" localSheetId="6" hidden="1">{#N/A,#N/A,FALSE,"OffAdvance";#N/A,#N/A,FALSE,"OffExpRprt";#N/A,#N/A,FALSE,"Entertmnt";#N/A,#N/A,FALSE,"Promotion";#N/A,#N/A,FALSE,"Travelling"}</definedName>
    <definedName name="kljik" hidden="1">{#N/A,#N/A,FALSE,"OffAdvance";#N/A,#N/A,FALSE,"OffExpRprt";#N/A,#N/A,FALSE,"Entertmnt";#N/A,#N/A,FALSE,"Promotion";#N/A,#N/A,FALSE,"Travelling"}</definedName>
    <definedName name="kmk" localSheetId="6" hidden="1">{#N/A,#N/A,FALSE,"Marketing";#N/A,#N/A,FALSE,"Selling";#N/A,#N/A,FALSE,"Promotional";#N/A,#N/A,FALSE,"Advertising"}</definedName>
    <definedName name="kmk" hidden="1">{#N/A,#N/A,FALSE,"Marketing";#N/A,#N/A,FALSE,"Selling";#N/A,#N/A,FALSE,"Promotional";#N/A,#N/A,FALSE,"Advertising"}</definedName>
    <definedName name="kuj" localSheetId="6" hidden="1">{"M6Print",#N/A,FALSE,"M6";"M6_1Print",#N/A,FALSE,"M6_1";"M6_2Print",#N/A,FALSE,"M6_2"}</definedName>
    <definedName name="kuj" hidden="1">{"M6Print",#N/A,FALSE,"M6";"M6_1Print",#N/A,FALSE,"M6_1";"M6_2Print",#N/A,FALSE,"M6_2"}</definedName>
    <definedName name="lbo" localSheetId="6"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stOffset" hidden="1">1</definedName>
    <definedName name="lm" localSheetId="6" hidden="1">{#N/A,#N/A,FALSE,"970301";#N/A,#N/A,FALSE,"970302";#N/A,#N/A,FALSE,"970303";#N/A,#N/A,FALSE,"970304";#N/A,#N/A,FALSE,"COM1";#N/A,#N/A,FALSE,"COM2"}</definedName>
    <definedName name="lm" hidden="1">{#N/A,#N/A,FALSE,"970301";#N/A,#N/A,FALSE,"970302";#N/A,#N/A,FALSE,"970303";#N/A,#N/A,FALSE,"970304";#N/A,#N/A,FALSE,"COM1";#N/A,#N/A,FALSE,"COM2"}</definedName>
    <definedName name="lola" localSheetId="6" hidden="1">{#N/A,#N/A,FALSE,"PERSONAL";#N/A,#N/A,FALSE,"explotación";#N/A,#N/A,FALSE,"generales"}</definedName>
    <definedName name="lola" hidden="1">{#N/A,#N/A,FALSE,"PERSONAL";#N/A,#N/A,FALSE,"explotación";#N/A,#N/A,FALSE,"generales"}</definedName>
    <definedName name="lolal" localSheetId="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6"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6" hidden="1">{"M1sPrint",#N/A,FALSE,"M1s"}</definedName>
    <definedName name="lu" hidden="1">{"M1sPrint",#N/A,FALSE,"M1s"}</definedName>
    <definedName name="m" localSheetId="6" hidden="1">{#N/A,#N/A,FALSE,"Virgin Flightdeck"}</definedName>
    <definedName name="m" hidden="1">{#N/A,#N/A,FALSE,"Virgin Flightdeck"}</definedName>
    <definedName name="n" localSheetId="6" hidden="1">{"M2Print",#N/A,FALSE,"M2"}</definedName>
    <definedName name="n" hidden="1">{"M2Print",#N/A,FALSE,"M2"}</definedName>
    <definedName name="nc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6"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localSheetId="6" hidden="1">{#N/A,#N/A,FALSE,"Marketing";#N/A,#N/A,FALSE,"Selling";#N/A,#N/A,FALSE,"Promotional";#N/A,#N/A,FALSE,"Advertising"}</definedName>
    <definedName name="nmm" hidden="1">{#N/A,#N/A,FALSE,"Marketing";#N/A,#N/A,FALSE,"Selling";#N/A,#N/A,FALSE,"Promotional";#N/A,#N/A,FALSE,"Advertising"}</definedName>
    <definedName name="notused" localSheetId="3" hidden="1">{#N/A,#N/A,TRUE,"CPRD";#N/A,#N/A,TRUE,"BCCPDR";#N/A,#N/A,TRUE,"EWRD";#N/A,#N/A,TRUE,"5100";#N/A,#N/A,TRUE,"5110"}</definedName>
    <definedName name="notused" localSheetId="1" hidden="1">{#N/A,#N/A,TRUE,"CPRD";#N/A,#N/A,TRUE,"BCCPDR";#N/A,#N/A,TRUE,"EWRD";#N/A,#N/A,TRUE,"5100";#N/A,#N/A,TRUE,"5110"}</definedName>
    <definedName name="notused" localSheetId="2" hidden="1">{#N/A,#N/A,TRUE,"CPRD";#N/A,#N/A,TRUE,"BCCPDR";#N/A,#N/A,TRUE,"EWRD";#N/A,#N/A,TRUE,"5100";#N/A,#N/A,TRUE,"5110"}</definedName>
    <definedName name="notused" localSheetId="6" hidden="1">{#N/A,#N/A,TRUE,"CPRD";#N/A,#N/A,TRUE,"BCCPDR";#N/A,#N/A,TRUE,"EWRD";#N/A,#N/A,TRUE,"5100";#N/A,#N/A,TRUE,"5110"}</definedName>
    <definedName name="notused" localSheetId="4" hidden="1">{#N/A,#N/A,TRUE,"CPRD";#N/A,#N/A,TRUE,"BCCPDR";#N/A,#N/A,TRUE,"EWRD";#N/A,#N/A,TRUE,"5100";#N/A,#N/A,TRUE,"5110"}</definedName>
    <definedName name="notused" hidden="1">{#N/A,#N/A,TRUE,"CPRD";#N/A,#N/A,TRUE,"BCCPDR";#N/A,#N/A,TRUE,"EWRD";#N/A,#N/A,TRUE,"5100";#N/A,#N/A,TRUE,"5110"}</definedName>
    <definedName name="ooiuy" localSheetId="6" hidden="1">{#N/A,#N/A,FALSE,"ABB HOLDING LTD"}</definedName>
    <definedName name="ooiuy" hidden="1">{#N/A,#N/A,FALSE,"ABB HOLDING LTD"}</definedName>
    <definedName name="OrderTable" hidden="1">#REF!</definedName>
    <definedName name="others" hidden="1">#REF!</definedName>
    <definedName name="Print_CSC_Report_2" localSheetId="6" hidden="1">{"CSC_1",#N/A,FALSE,"CSC Outputs";"CSC_2",#N/A,FALSE,"CSC Outputs"}</definedName>
    <definedName name="Print_CSC_Report_2" hidden="1">{"CSC_1",#N/A,FALSE,"CSC Outputs";"CSC_2",#N/A,FALSE,"CSC Outputs"}</definedName>
    <definedName name="print_CSC_Report_22" localSheetId="6" hidden="1">{"CSC_1",#N/A,FALSE,"CSC Outputs";"CSC_2",#N/A,FALSE,"CSC Outputs"}</definedName>
    <definedName name="print_CSC_Report_22" hidden="1">{"CSC_1",#N/A,FALSE,"CSC Outputs";"CSC_2",#N/A,FALSE,"CSC Outputs"}</definedName>
    <definedName name="Print_CSC_Report_3" localSheetId="6"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3" hidden="1">{"M2aPrint",#N/A,FALSE,"M2a"}</definedName>
    <definedName name="qwertyuiopasdfghjkl" localSheetId="1" hidden="1">{"M2aPrint",#N/A,FALSE,"M2a"}</definedName>
    <definedName name="qwertyuiopasdfghjkl" localSheetId="2" hidden="1">{"M2aPrint",#N/A,FALSE,"M2a"}</definedName>
    <definedName name="qwertyuiopasdfghjkl" localSheetId="6" hidden="1">{"M2aPrint",#N/A,FALSE,"M2a"}</definedName>
    <definedName name="qwertyuiopasdfghjkl" localSheetId="4" hidden="1">{"M2aPrint",#N/A,FALSE,"M2a"}</definedName>
    <definedName name="qwertyuiopasdfghjkl" hidden="1">{"M2aPrint",#N/A,FALSE,"M2a"}</definedName>
    <definedName name="qwwertyuiop" localSheetId="3" hidden="1">{"M2Print",#N/A,FALSE,"M2"}</definedName>
    <definedName name="qwwertyuiop" localSheetId="1" hidden="1">{"M2Print",#N/A,FALSE,"M2"}</definedName>
    <definedName name="qwwertyuiop" localSheetId="2" hidden="1">{"M2Print",#N/A,FALSE,"M2"}</definedName>
    <definedName name="qwwertyuiop" localSheetId="6" hidden="1">{"M2Print",#N/A,FALSE,"M2"}</definedName>
    <definedName name="qwwertyuiop" localSheetId="4" hidden="1">{"M2Print",#N/A,FALSE,"M2"}</definedName>
    <definedName name="qwwertyuiop" hidden="1">{"M2Print",#N/A,FALSE,"M2"}</definedName>
    <definedName name="RCArea" hidden="1">#REF!</definedName>
    <definedName name="ReportPage1" localSheetId="6"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fsd" localSheetId="6" hidden="1">{#N/A,#N/A,FALSE,"ABB HOLDING LTD"}</definedName>
    <definedName name="rfsd" hidden="1">{#N/A,#N/A,FALSE,"ABB HOLDING LTD"}</definedName>
    <definedName name="RJE" localSheetId="6" hidden="1">{"toptrial",#N/A,TRUE,"toptrial";"adjustment",#N/A,TRUE,"toptrial";"voucher",#N/A,TRUE,"toptrial"}</definedName>
    <definedName name="RJE" hidden="1">{"toptrial",#N/A,TRUE,"toptrial";"adjustment",#N/A,TRUE,"toptrial";"voucher",#N/A,TRUE,"toptrial"}</definedName>
    <definedName name="rweqrerqw" localSheetId="6" hidden="1">{"CSC_1",#N/A,FALSE,"CSC Outputs";"CSC_2",#N/A,FALSE,"CSC Outputs"}</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6" hidden="1">Main.SAPF4Help()</definedName>
    <definedName name="SAPFuncF4Help" hidden="1">Main.SAPF4Help()</definedName>
    <definedName name="sdfs" localSheetId="6" hidden="1">{"M1sPrint",#N/A,FALSE,"M1s"}</definedName>
    <definedName name="sdfs" hidden="1">{"M1sPrint",#N/A,FALSE,"M1s"}</definedName>
    <definedName name="Sheet1_BNE_MESSAGES" localSheetId="3" hidden="1">#REF!</definedName>
    <definedName name="Sheet1_BNE_MESSAGES" localSheetId="1" hidden="1">'K.00 Lead Sheet'!#REF!</definedName>
    <definedName name="Sheet1_BNE_MESSAGES" localSheetId="2"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localSheetId="6" hidden="1">{#N/A,#N/A,FALSE,"Virgin Flightdeck"}</definedName>
    <definedName name="SHOA" hidden="1">{#N/A,#N/A,FALSE,"Virgin Flightdeck"}</definedName>
    <definedName name="Snow" localSheetId="6"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localSheetId="6" hidden="1">{#N/A,#N/A,FALSE,"资产负债表";#N/A,#N/A,FALSE,"资产负债表"}</definedName>
    <definedName name="sssz" hidden="1">{#N/A,#N/A,FALSE,"资产负债表";#N/A,#N/A,FALSE,"资产负债表"}</definedName>
    <definedName name="ste" localSheetId="6" hidden="1">{#N/A,#N/A,FALSE,"Virgin Flightdeck"}</definedName>
    <definedName name="ste" hidden="1">{#N/A,#N/A,FALSE,"Virgin Flightdeck"}</definedName>
    <definedName name="Summary2" localSheetId="6" hidden="1">{#N/A,#N/A,FALSE,"FACTSHEETS";#N/A,#N/A,FALSE,"pump";#N/A,#N/A,FALSE,"filter"}</definedName>
    <definedName name="Summary2" hidden="1">{#N/A,#N/A,FALSE,"FACTSHEETS";#N/A,#N/A,FALSE,"pump";#N/A,#N/A,FALSE,"filter"}</definedName>
    <definedName name="summary3" localSheetId="6" hidden="1">{#N/A,#N/A,FALSE,"Virgin Flightdeck"}</definedName>
    <definedName name="summary3" hidden="1">{#N/A,#N/A,FALSE,"Virgin Flightdeck"}</definedName>
    <definedName name="tbl_ProdInfo" hidden="1">#REF!</definedName>
    <definedName name="terh" localSheetId="6"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4</definedName>
    <definedName name="tfhg" localSheetId="6" hidden="1">{"M1Print",#N/A,FALSE,"M1"}</definedName>
    <definedName name="tfhg" hidden="1">{"M1Print",#N/A,FALSE,"M1"}</definedName>
    <definedName name="the" localSheetId="6"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localSheetId="6" hidden="1">{#N/A,#N/A,FALSE,"Virgin Flightdeck"}</definedName>
    <definedName name="tta" hidden="1">{#N/A,#N/A,FALSE,"Virgin Flightdeck"}</definedName>
    <definedName name="ufliuf" localSheetId="6" hidden="1">{#N/A,#N/A,FALSE,"Virgin Flightdeck"}</definedName>
    <definedName name="ufliuf" hidden="1">{#N/A,#N/A,FALSE,"Virgin Flightdeck"}</definedName>
    <definedName name="ulead" localSheetId="6" hidden="1">{#N/A,#N/A,FALSE,"970301";#N/A,#N/A,FALSE,"970302";#N/A,#N/A,FALSE,"970303";#N/A,#N/A,FALSE,"970304";#N/A,#N/A,FALSE,"COM1";#N/A,#N/A,FALSE,"COM2"}</definedName>
    <definedName name="ulead" hidden="1">{#N/A,#N/A,FALSE,"970301";#N/A,#N/A,FALSE,"970302";#N/A,#N/A,FALSE,"970303";#N/A,#N/A,FALSE,"970304";#N/A,#N/A,FALSE,"COM1";#N/A,#N/A,FALSE,"COM2"}</definedName>
    <definedName name="uuuuuuuu" localSheetId="6" hidden="1">Main.SAPF4Help()</definedName>
    <definedName name="uuuuuuuu" hidden="1">Main.SAPF4Help()</definedName>
    <definedName name="uygh" localSheetId="6" hidden="1">{"M6Print",#N/A,FALSE,"M6";"M6_1Print",#N/A,FALSE,"M6_1";"M6_2Print",#N/A,FALSE,"M6_2"}</definedName>
    <definedName name="uygh" hidden="1">{"M6Print",#N/A,FALSE,"M6";"M6_1Print",#N/A,FALSE,"M6_1";"M6_2Print",#N/A,FALSE,"M6_2"}</definedName>
    <definedName name="vhvkb" localSheetId="6" hidden="1">{#N/A,#N/A,FALSE,"资产负债表";#N/A,#N/A,FALSE,"资产负债表"}</definedName>
    <definedName name="vhvkb" hidden="1">{#N/A,#N/A,FALSE,"资产负债表";#N/A,#N/A,FALSE,"资产负债表"}</definedName>
    <definedName name="wacc" localSheetId="6" hidden="1">{#N/A,#N/A,FALSE,"Virgin Flightdeck"}</definedName>
    <definedName name="wacc" hidden="1">{#N/A,#N/A,FALSE,"Virgin Flightdeck"}</definedName>
    <definedName name="WACC_new" localSheetId="6" hidden="1">{#N/A,#N/A,FALSE,"Virgin Flightdeck"}</definedName>
    <definedName name="WACC_new" hidden="1">{#N/A,#N/A,FALSE,"Virgin Flightdeck"}</definedName>
    <definedName name="wacc1" localSheetId="6"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localSheetId="6"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localSheetId="6"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6"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6"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q" localSheetId="6"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6"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6"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6" hidden="1">{#N/A,#N/A,FALSE,"Debt Accr";#N/A,#N/A,FALSE,"Stock Accr";#N/A,#N/A,FALSE,"Debt Stock Accr"}</definedName>
    <definedName name="wrn.Accr_Dil." hidden="1">{#N/A,#N/A,FALSE,"Debt Accr";#N/A,#N/A,FALSE,"Stock Accr";#N/A,#N/A,FALSE,"Debt Stock Accr"}</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localSheetId="1" hidden="1">{#N/A,#N/A,FALSE,"SUM";#N/A,#N/A,FALSE,"SK_TOT";#N/A,#N/A,FALSE,"YM";#N/A,#N/A,FALSE,"TSMC";#N/A,#N/A,FALSE,"ICW";#N/A,#N/A,FALSE,"Sheet1"}</definedName>
    <definedName name="wrn.ALL." localSheetId="2" hidden="1">{#N/A,#N/A,FALSE,"SUM";#N/A,#N/A,FALSE,"SK_TOT";#N/A,#N/A,FALSE,"YM";#N/A,#N/A,FALSE,"TSMC";#N/A,#N/A,FALSE,"ICW";#N/A,#N/A,FALSE,"Sheet1"}</definedName>
    <definedName name="wrn.ALL." localSheetId="6" hidden="1">{#N/A,#N/A,FALSE,"SUM";#N/A,#N/A,FALSE,"SK_TOT";#N/A,#N/A,FALSE,"YM";#N/A,#N/A,FALSE,"TSMC";#N/A,#N/A,FALSE,"ICW";#N/A,#N/A,FALSE,"Sheet1"}</definedName>
    <definedName name="wrn.ALL." localSheetId="4" hidden="1">{#N/A,#N/A,FALSE,"SUM";#N/A,#N/A,FALSE,"SK_TOT";#N/A,#N/A,FALSE,"YM";#N/A,#N/A,FALSE,"TSMC";#N/A,#N/A,FALSE,"ICW";#N/A,#N/A,FALSE,"Sheet1"}</definedName>
    <definedName name="wrn.ALL." hidden="1">{#N/A,#N/A,FALSE,"SUM";#N/A,#N/A,FALSE,"SK_TOT";#N/A,#N/A,FALSE,"YM";#N/A,#N/A,FALSE,"TSMC";#N/A,#N/A,FALSE,"ICW";#N/A,#N/A,FALSE,"Sheet1"}</definedName>
    <definedName name="wrn.all._.gulp._.sheets." localSheetId="6"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6" hidden="1">{#N/A,#N/A,FALSE,"puboff";#N/A,#N/A,FALSE,"financials";#N/A,#N/A,FALSE,"valuation";#N/A,#N/A,FALSE,"split"}</definedName>
    <definedName name="wrn.ALL._.PAGES." hidden="1">{#N/A,#N/A,FALSE,"puboff";#N/A,#N/A,FALSE,"financials";#N/A,#N/A,FALSE,"valuation";#N/A,#N/A,FALSE,"split"}</definedName>
    <definedName name="wrn.ALL._.SHEETS." localSheetId="6"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6"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6"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6"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6"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6"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6" hidden="1">{#N/A,#N/A,FALSE,"AD_Purchase";#N/A,#N/A,FALSE,"Credit";#N/A,#N/A,FALSE,"PF Acquisition";#N/A,#N/A,FALSE,"PF Offering"}</definedName>
    <definedName name="wrn.AllModels." hidden="1">{#N/A,#N/A,FALSE,"AD_Purchase";#N/A,#N/A,FALSE,"Credit";#N/A,#N/A,FALSE,"PF Acquisition";#N/A,#N/A,FALSE,"PF Offering"}</definedName>
    <definedName name="wrn.ANALYSIS._.9507." localSheetId="6" hidden="1">{#N/A,#N/A,FALSE,"ABB HOLDING LTD"}</definedName>
    <definedName name="wrn.ANALYSIS._.9507." hidden="1">{#N/A,#N/A,FALSE,"ABB HOLDING LTD"}</definedName>
    <definedName name="WRN.ANALYSIS._.9511." localSheetId="6" hidden="1">{#N/A,#N/A,FALSE,"ABB HOLDING LTD"}</definedName>
    <definedName name="WRN.ANALYSIS._.9511." hidden="1">{#N/A,#N/A,FALSE,"ABB HOLDING LTD"}</definedName>
    <definedName name="wrn.Anixter." localSheetId="6"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6" hidden="1">{#N/A,#N/A,FALSE,"TSUM";#N/A,#N/A,FALSE,"shares";#N/A,#N/A,FALSE,"earnout";#N/A,#N/A,FALSE,"Heaty";#N/A,#N/A,FALSE,"self-tend";#N/A,#N/A,FALSE,"self-sum"}</definedName>
    <definedName name="wrn.basics." hidden="1">{#N/A,#N/A,FALSE,"TSUM";#N/A,#N/A,FALSE,"shares";#N/A,#N/A,FALSE,"earnout";#N/A,#N/A,FALSE,"Heaty";#N/A,#N/A,FALSE,"self-tend";#N/A,#N/A,FALSE,"self-sum"}</definedName>
    <definedName name="wrn.Board._.Reports." localSheetId="3"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6"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6" hidden="1">{#N/A,#N/A,FALSE,"Sheet1";#N/A,#N/A,FALSE,"Summary";#N/A,#N/A,FALSE,"proj1";#N/A,#N/A,FALSE,"proj2"}</definedName>
    <definedName name="wrn.bullshit1." hidden="1">{#N/A,#N/A,FALSE,"Sheet1";#N/A,#N/A,FALSE,"Summary";#N/A,#N/A,FALSE,"proj1";#N/A,#N/A,FALSE,"proj2"}</definedName>
    <definedName name="wrn.contribution." localSheetId="6" hidden="1">{#N/A,#N/A,FALSE,"Contribution Analysis"}</definedName>
    <definedName name="wrn.contribution." hidden="1">{#N/A,#N/A,FALSE,"Contribution Analysis"}</definedName>
    <definedName name="wrn.Cover." localSheetId="6"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6" hidden="1">{"orixcsc",#N/A,FALSE,"ORIX CSC";"orixcsc2",#N/A,FALSE,"ORIX CSC"}</definedName>
    <definedName name="wrn.csc." hidden="1">{"orixcsc",#N/A,FALSE,"ORIX CSC";"orixcsc2",#N/A,FALSE,"ORIX CSC"}</definedName>
    <definedName name="wrn.csc2." localSheetId="6" hidden="1">{#N/A,#N/A,FALSE,"ORIX CSC"}</definedName>
    <definedName name="wrn.csc2." hidden="1">{#N/A,#N/A,FALSE,"ORIX CSC"}</definedName>
    <definedName name="wrn.Current_External." localSheetId="6"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6"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6"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6" hidden="1">{#N/A,#N/A,FALSE,"Deposits by day"}</definedName>
    <definedName name="wrn.Deposit._.By._.Day." localSheetId="4" hidden="1">{#N/A,#N/A,FALSE,"Deposits by day"}</definedName>
    <definedName name="wrn.Deposit._.By._.Day." hidden="1">{#N/A,#N/A,FALSE,"Deposits by day"}</definedName>
    <definedName name="wrn.Deptartment._.Expenses." localSheetId="3" hidden="1">{#N/A,#N/A,TRUE,"CPRD";#N/A,#N/A,TRUE,"BCCPDR";#N/A,#N/A,TRUE,"EWRD";#N/A,#N/A,TRUE,"5100";#N/A,#N/A,TRUE,"5110"}</definedName>
    <definedName name="wrn.Deptartment._.Expenses." localSheetId="1" hidden="1">{#N/A,#N/A,TRUE,"CPRD";#N/A,#N/A,TRUE,"BCCPDR";#N/A,#N/A,TRUE,"EWRD";#N/A,#N/A,TRUE,"5100";#N/A,#N/A,TRUE,"5110"}</definedName>
    <definedName name="wrn.Deptartment._.Expenses." localSheetId="2" hidden="1">{#N/A,#N/A,TRUE,"CPRD";#N/A,#N/A,TRUE,"BCCPDR";#N/A,#N/A,TRUE,"EWRD";#N/A,#N/A,TRUE,"5100";#N/A,#N/A,TRUE,"5110"}</definedName>
    <definedName name="wrn.Deptartment._.Expenses." localSheetId="6" hidden="1">{#N/A,#N/A,TRUE,"CPRD";#N/A,#N/A,TRUE,"BCCPDR";#N/A,#N/A,TRUE,"EWRD";#N/A,#N/A,TRUE,"5100";#N/A,#N/A,TRUE,"5110"}</definedName>
    <definedName name="wrn.Deptartment._.Expenses." localSheetId="4" hidden="1">{#N/A,#N/A,TRUE,"CPRD";#N/A,#N/A,TRUE,"BCCPDR";#N/A,#N/A,TRUE,"EWRD";#N/A,#N/A,TRUE,"5100";#N/A,#N/A,TRUE,"5110"}</definedName>
    <definedName name="wrn.Deptartment._.Expenses." hidden="1">{#N/A,#N/A,TRUE,"CPRD";#N/A,#N/A,TRUE,"BCCPDR";#N/A,#N/A,TRUE,"EWRD";#N/A,#N/A,TRUE,"5100";#N/A,#N/A,TRUE,"5110"}</definedName>
    <definedName name="wrn.Detail._.income._.and._.expense." localSheetId="6" hidden="1">{#N/A,#N/A,TRUE,"Assumptions";#N/A,#N/A,TRUE,"Revenue &amp; Direct Expense";#N/A,#N/A,TRUE,"Indirect Expense"}</definedName>
    <definedName name="wrn.Detail._.income._.and._.expense." hidden="1">{#N/A,#N/A,TRUE,"Assumptions";#N/A,#N/A,TRUE,"Revenue &amp; Direct Expense";#N/A,#N/A,TRUE,"Indirect Expense"}</definedName>
    <definedName name="wrn.dir." localSheetId="6"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6"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6"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6" hidden="1">{"External_Annual_Income",#N/A,FALSE,"External";"External_Quarterly_Income",#N/A,FALSE,"External"}</definedName>
    <definedName name="wrn.External." hidden="1">{"External_Annual_Income",#N/A,FALSE,"External";"External_Quarterly_Income",#N/A,FALSE,"External"}</definedName>
    <definedName name="wrn.external.2" localSheetId="6" hidden="1">{"External_Annual_Income",#N/A,FALSE,"External";"External_Quarterly_Income",#N/A,FALSE,"External"}</definedName>
    <definedName name="wrn.external.2" hidden="1">{"External_Annual_Income",#N/A,FALSE,"External";"External_Quarterly_Income",#N/A,FALSE,"External"}</definedName>
    <definedName name="wrn.Filter." localSheetId="6"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6" hidden="1">{"Overview",#N/A,FALSE,"Overview";"Overview",#N/A,FALSE,"Classic Qwest"}</definedName>
    <definedName name="wrn.Financials." hidden="1">{"Overview",#N/A,FALSE,"Overview";"Overview",#N/A,FALSE,"Classic Qwest"}</definedName>
    <definedName name="wrn.first2." localSheetId="6" hidden="1">{#N/A,#N/A,FALSE,"sum-don";#N/A,#N/A,FALSE,"inc-don"}</definedName>
    <definedName name="wrn.first2." hidden="1">{#N/A,#N/A,FALSE,"sum-don";#N/A,#N/A,FALSE,"inc-don"}</definedName>
    <definedName name="wrn.first3." localSheetId="6" hidden="1">{#N/A,#N/A,FALSE,"Summary";#N/A,#N/A,FALSE,"proj1";#N/A,#N/A,FALSE,"proj2"}</definedName>
    <definedName name="wrn.first3." hidden="1">{#N/A,#N/A,FALSE,"Summary";#N/A,#N/A,FALSE,"proj1";#N/A,#N/A,FALSE,"proj2"}</definedName>
    <definedName name="wrn.first4." localSheetId="6" hidden="1">{#N/A,#N/A,FALSE,"Summary";#N/A,#N/A,FALSE,"proj1";#N/A,#N/A,FALSE,"proj2";#N/A,#N/A,FALSE,"DCF"}</definedName>
    <definedName name="wrn.first4." hidden="1">{#N/A,#N/A,FALSE,"Summary";#N/A,#N/A,FALSE,"proj1";#N/A,#N/A,FALSE,"proj2";#N/A,#N/A,FALSE,"DCF"}</definedName>
    <definedName name="wrn.form." localSheetId="6"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6" hidden="1">{#N/A,#N/A,FALSE,"Sheet1"}</definedName>
    <definedName name="wrn.fy00_Q1Q2." hidden="1">{#N/A,#N/A,FALSE,"Sheet1"}</definedName>
    <definedName name="wrn.gastos." localSheetId="6" hidden="1">{#N/A,#N/A,FALSE,"PERSONAL";#N/A,#N/A,FALSE,"explotación";#N/A,#N/A,FALSE,"generales"}</definedName>
    <definedName name="wrn.gastos." hidden="1">{#N/A,#N/A,FALSE,"PERSONAL";#N/A,#N/A,FALSE,"explotación";#N/A,#N/A,FALSE,"generales"}</definedName>
    <definedName name="wrn.gb." localSheetId="6" hidden="1">{#N/A,#N/A,FALSE,"资产负债表";#N/A,#N/A,FALSE,"资产负债表"}</definedName>
    <definedName name="wrn.gb." hidden="1">{#N/A,#N/A,FALSE,"资产负债表";#N/A,#N/A,FALSE,"资产负债表"}</definedName>
    <definedName name="wrn.HEAT." localSheetId="6" hidden="1">{#N/A,#N/A,FALSE,"Heat";#N/A,#N/A,FALSE,"DCF";#N/A,#N/A,FALSE,"LBO";#N/A,#N/A,FALSE,"A";#N/A,#N/A,FALSE,"C";#N/A,#N/A,FALSE,"impd";#N/A,#N/A,FALSE,"Accr-Dilu"}</definedName>
    <definedName name="wrn.HEAT." hidden="1">{#N/A,#N/A,FALSE,"Heat";#N/A,#N/A,FALSE,"DCF";#N/A,#N/A,FALSE,"LBO";#N/A,#N/A,FALSE,"A";#N/A,#N/A,FALSE,"C";#N/A,#N/A,FALSE,"impd";#N/A,#N/A,FALSE,"Accr-Dilu"}</definedName>
    <definedName name="wrn.Hydraulic." localSheetId="6"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6"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6" hidden="1">{#N/A,#N/A,FALSE,"Report Print"}</definedName>
    <definedName name="wrn.Income._.Statement." hidden="1">{#N/A,#N/A,FALSE,"Report Print"}</definedName>
    <definedName name="wrn.ingreso." localSheetId="6"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6"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6" hidden="1">{"Input_Fin",#N/A,FALSE,"By Code";"Input_Opt",#N/A,FALSE,"By Code"}</definedName>
    <definedName name="wrn.Input._.Data." hidden="1">{"Input_Fin",#N/A,FALSE,"By Code";"Input_Opt",#N/A,FALSE,"By Code"}</definedName>
    <definedName name="wrn.Inputs._.and._.detail._.calculations." localSheetId="6"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6"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6" hidden="1">{#N/A,#N/A,FALSE,"Report Print"}</definedName>
    <definedName name="wrn.IPIX." hidden="1">{#N/A,#N/A,FALSE,"Report Print"}</definedName>
    <definedName name="wrn.IPO._.Valuation." localSheetId="6" hidden="1">{"assumptions",#N/A,FALSE,"Scenario 1";"valuation",#N/A,FALSE,"Scenario 1"}</definedName>
    <definedName name="wrn.IPO._.Valuation." hidden="1">{"assumptions",#N/A,FALSE,"Scenario 1";"valuation",#N/A,FALSE,"Scenario 1"}</definedName>
    <definedName name="wrn.ipovalue." localSheetId="6" hidden="1">{#N/A,#N/A,FALSE,"puboff";#N/A,#N/A,FALSE,"valuation";#N/A,#N/A,FALSE,"finanalsis";#N/A,#N/A,FALSE,"split";#N/A,#N/A,FALSE,"ownership"}</definedName>
    <definedName name="wrn.ipovalue." hidden="1">{#N/A,#N/A,FALSE,"puboff";#N/A,#N/A,FALSE,"valuation";#N/A,#N/A,FALSE,"finanalsis";#N/A,#N/A,FALSE,"split";#N/A,#N/A,FALSE,"ownership"}</definedName>
    <definedName name="wrn.ISCG._.model." localSheetId="6"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6" hidden="1">{#N/A,#N/A,FALSE,"Jan"}</definedName>
    <definedName name="wrn.jan." localSheetId="4" hidden="1">{#N/A,#N/A,FALSE,"Jan"}</definedName>
    <definedName name="wrn.jan." hidden="1">{#N/A,#N/A,FALSE,"Jan"}</definedName>
    <definedName name="wrn.LBO._.Summary." localSheetId="6" hidden="1">{"LBO Summary",#N/A,FALSE,"Summary"}</definedName>
    <definedName name="wrn.LBO._.Summary." hidden="1">{"LBO Summary",#N/A,FALSE,"Summary"}</definedName>
    <definedName name="wrn.M1._.Operating._.Statement." localSheetId="3" hidden="1">{"M1Print",#N/A,FALSE,"M1"}</definedName>
    <definedName name="wrn.M1._.Operating._.Statement." localSheetId="1" hidden="1">{"M1Print",#N/A,FALSE,"M1"}</definedName>
    <definedName name="wrn.M1._.Operating._.Statement." localSheetId="2" hidden="1">{"M1Print",#N/A,FALSE,"M1"}</definedName>
    <definedName name="wrn.M1._.Operating._.Statement." localSheetId="6" hidden="1">{"M1Print",#N/A,FALSE,"M1"}</definedName>
    <definedName name="wrn.M1._.Operating._.Statement." localSheetId="4" hidden="1">{"M1Print",#N/A,FALSE,"M1"}</definedName>
    <definedName name="wrn.M1._.Operating._.Statement." hidden="1">{"M1Print",#N/A,FALSE,"M1"}</definedName>
    <definedName name="wrn.M1s._.Statistics." localSheetId="3" hidden="1">{"M1sPrint",#N/A,FALSE,"M1s"}</definedName>
    <definedName name="wrn.M1s._.Statistics." localSheetId="1" hidden="1">{"M1sPrint",#N/A,FALSE,"M1s"}</definedName>
    <definedName name="wrn.M1s._.Statistics." localSheetId="2" hidden="1">{"M1sPrint",#N/A,FALSE,"M1s"}</definedName>
    <definedName name="wrn.M1s._.Statistics." localSheetId="6" hidden="1">{"M1sPrint",#N/A,FALSE,"M1s"}</definedName>
    <definedName name="wrn.M1s._.Statistics." localSheetId="4" hidden="1">{"M1sPrint",#N/A,FALSE,"M1s"}</definedName>
    <definedName name="wrn.M1s._.Statistics." hidden="1">{"M1sPrint",#N/A,FALSE,"M1s"}</definedName>
    <definedName name="wrn.M2._.Balance._.Sheet." localSheetId="3" hidden="1">{"M2Print",#N/A,FALSE,"M2"}</definedName>
    <definedName name="wrn.M2._.Balance._.Sheet." localSheetId="1" hidden="1">{"M2Print",#N/A,FALSE,"M2"}</definedName>
    <definedName name="wrn.M2._.Balance._.Sheet." localSheetId="2" hidden="1">{"M2Print",#N/A,FALSE,"M2"}</definedName>
    <definedName name="wrn.M2._.Balance._.Sheet." localSheetId="6" hidden="1">{"M2Print",#N/A,FALSE,"M2"}</definedName>
    <definedName name="wrn.M2._.Balance._.Sheet." localSheetId="4" hidden="1">{"M2Print",#N/A,FALSE,"M2"}</definedName>
    <definedName name="wrn.M2._.Balance._.Sheet." hidden="1">{"M2Print",#N/A,FALSE,"M2"}</definedName>
    <definedName name="wrn.M2a._.Cashflow." localSheetId="3" hidden="1">{"M2aPrint",#N/A,FALSE,"M2a"}</definedName>
    <definedName name="wrn.M2a._.Cashflow." localSheetId="1" hidden="1">{"M2aPrint",#N/A,FALSE,"M2a"}</definedName>
    <definedName name="wrn.M2a._.Cashflow." localSheetId="2" hidden="1">{"M2aPrint",#N/A,FALSE,"M2a"}</definedName>
    <definedName name="wrn.M2a._.Cashflow." localSheetId="6" hidden="1">{"M2aPrint",#N/A,FALSE,"M2a"}</definedName>
    <definedName name="wrn.M2a._.Cashflow." localSheetId="4" hidden="1">{"M2aPrint",#N/A,FALSE,"M2a"}</definedName>
    <definedName name="wrn.M2a._.Cashflow." hidden="1">{"M2aPrint",#N/A,FALSE,"M2a"}</definedName>
    <definedName name="wrn.M4._.Inventories." localSheetId="3" hidden="1">{"M4Print",#N/A,FALSE,"M4"}</definedName>
    <definedName name="wrn.M4._.Inventories." localSheetId="1" hidden="1">{"M4Print",#N/A,FALSE,"M4"}</definedName>
    <definedName name="wrn.M4._.Inventories." localSheetId="2" hidden="1">{"M4Print",#N/A,FALSE,"M4"}</definedName>
    <definedName name="wrn.M4._.Inventories." localSheetId="6" hidden="1">{"M4Print",#N/A,FALSE,"M4"}</definedName>
    <definedName name="wrn.M4._.Inventories." localSheetId="4" hidden="1">{"M4Print",#N/A,FALSE,"M4"}</definedName>
    <definedName name="wrn.M4._.Inventories." hidden="1">{"M4Print",#N/A,FALSE,"M4"}</definedName>
    <definedName name="wrn.M5._.Flash._.and._.Forecast." localSheetId="3" hidden="1">{"M5Print",#N/A,FALSE,"M5"}</definedName>
    <definedName name="wrn.M5._.Flash._.and._.Forecast." localSheetId="1" hidden="1">{"M5Print",#N/A,FALSE,"M5"}</definedName>
    <definedName name="wrn.M5._.Flash._.and._.Forecast." localSheetId="2" hidden="1">{"M5Print",#N/A,FALSE,"M5"}</definedName>
    <definedName name="wrn.M5._.Flash._.and._.Forecast." localSheetId="6" hidden="1">{"M5Print",#N/A,FALSE,"M5"}</definedName>
    <definedName name="wrn.M5._.Flash._.and._.Forecast." localSheetId="4"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localSheetId="1" hidden="1">{"M6Print",#N/A,FALSE,"M6";"M6_1Print",#N/A,FALSE,"M6_1";"M6_2Print",#N/A,FALSE,"M6_2"}</definedName>
    <definedName name="wrn.M6._.Management._.Summary." localSheetId="2" hidden="1">{"M6Print",#N/A,FALSE,"M6";"M6_1Print",#N/A,FALSE,"M6_1";"M6_2Print",#N/A,FALSE,"M6_2"}</definedName>
    <definedName name="wrn.M6._.Management._.Summary." localSheetId="6" hidden="1">{"M6Print",#N/A,FALSE,"M6";"M6_1Print",#N/A,FALSE,"M6_1";"M6_2Print",#N/A,FALSE,"M6_2"}</definedName>
    <definedName name="wrn.M6._.Management._.Summary." localSheetId="4"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localSheetId="1" hidden="1">{"M7_1Print",#N/A,TRUE,"M7_1";"M7_2Print",#N/A,TRUE,"M7_2"}</definedName>
    <definedName name="wrn.M7._.Financial._.Controllers._.report." localSheetId="2" hidden="1">{"M7_1Print",#N/A,TRUE,"M7_1";"M7_2Print",#N/A,TRUE,"M7_2"}</definedName>
    <definedName name="wrn.M7._.Financial._.Controllers._.report." localSheetId="6" hidden="1">{"M7_1Print",#N/A,TRUE,"M7_1";"M7_2Print",#N/A,TRUE,"M7_2"}</definedName>
    <definedName name="wrn.M7._.Financial._.Controllers._.report." localSheetId="4" hidden="1">{"M7_1Print",#N/A,TRUE,"M7_1";"M7_2Print",#N/A,TRUE,"M7_2"}</definedName>
    <definedName name="wrn.M7._.Financial._.Controllers._.report." hidden="1">{"M7_1Print",#N/A,TRUE,"M7_1";"M7_2Print",#N/A,TRUE,"M7_2"}</definedName>
    <definedName name="wrn.Maine." localSheetId="6" hidden="1">{"Assumptions",#N/A,TRUE,"Assumptions";"Income",#N/A,TRUE,"Income";"Balance",#N/A,TRUE,"Balance"}</definedName>
    <definedName name="wrn.Maine." hidden="1">{"Assumptions",#N/A,TRUE,"Assumptions";"Income",#N/A,TRUE,"Income";"Balance",#N/A,TRUE,"Balance"}</definedName>
    <definedName name="wrn.Maine2." localSheetId="6"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6" hidden="1">{"Annual_Income",#N/A,FALSE,"Master Model";"Quarterly_Income",#N/A,FALSE,"Master Model"}</definedName>
    <definedName name="wrn.Master_Income." hidden="1">{"Annual_Income",#N/A,FALSE,"Master Model";"Quarterly_Income",#N/A,FALSE,"Master Model"}</definedName>
    <definedName name="wrn.merge." localSheetId="6"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6"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localSheetId="6"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6" hidden="1">{#N/A,#N/A,FALSE,"SUMMARY";#N/A,#N/A,FALSE,"MTD";#N/A,#N/A,FALSE,"YTD";#N/A,#N/A,FALSE,"Forecast"}</definedName>
    <definedName name="wrn.monthly._.review." hidden="1">{#N/A,#N/A,FALSE,"SUMMARY";#N/A,#N/A,FALSE,"MTD";#N/A,#N/A,FALSE,"YTD";#N/A,#N/A,FALSE,"Forecast"}</definedName>
    <definedName name="wrn.monthly._.to._.issue." localSheetId="6"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6" hidden="1">{#N/A,#N/A,TRUE,"TS";#N/A,#N/A,TRUE,"Combo";#N/A,#N/A,TRUE,"FAIR";#N/A,#N/A,TRUE,"RBC";#N/A,#N/A,TRUE,"xxxx"}</definedName>
    <definedName name="wrn.newest." hidden="1">{#N/A,#N/A,TRUE,"TS";#N/A,#N/A,TRUE,"Combo";#N/A,#N/A,TRUE,"FAIR";#N/A,#N/A,TRUE,"RBC";#N/A,#N/A,TRUE,"xxxx"}</definedName>
    <definedName name="wrn.Office." localSheetId="6"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6"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6"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6"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6"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6"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6"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6" hidden="1">{"standalone1",#N/A,FALSE,"DCFBase";"standalone2",#N/A,FALSE,"DCFBase"}</definedName>
    <definedName name="wrn.print._.standalone." hidden="1">{"standalone1",#N/A,FALSE,"DCFBase";"standalone2",#N/A,FALSE,"DCFBase"}</definedName>
    <definedName name="wrn.Print_CSC." localSheetId="6" hidden="1">{"CSC_1",#N/A,FALSE,"CSC Outputs";"CSC_2",#N/A,FALSE,"CSC Outputs"}</definedName>
    <definedName name="wrn.Print_CSC." hidden="1">{"CSC_1",#N/A,FALSE,"CSC Outputs";"CSC_2",#N/A,FALSE,"CSC Outputs"}</definedName>
    <definedName name="wrn.print_csc.2" localSheetId="6" hidden="1">{"CSC_1",#N/A,FALSE,"CSC Outputs";"CSC_2",#N/A,FALSE,"CSC Outputs"}</definedName>
    <definedName name="wrn.print_csc.2" hidden="1">{"CSC_1",#N/A,FALSE,"CSC Outputs";"CSC_2",#N/A,FALSE,"CSC Outputs"}</definedName>
    <definedName name="wrn.Print_CSC2" localSheetId="6" hidden="1">{"CSC_1",#N/A,FALSE,"CSC Outputs";"CSC_2",#N/A,FALSE,"CSC Outputs"}</definedName>
    <definedName name="wrn.Print_CSC2" hidden="1">{"CSC_1",#N/A,FALSE,"CSC Outputs";"CSC_2",#N/A,FALSE,"CSC Outputs"}</definedName>
    <definedName name="wrn.printall." localSheetId="6"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6"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6" hidden="1">{#N/A,#N/A,FALSE,"SUMMARY";#N/A,#N/A,FALSE,"MTD";#N/A,#N/A,FALSE,"QTD";#N/A,#N/A,FALSE,"YTD"}</definedName>
    <definedName name="wrn.qtr._.review." hidden="1">{#N/A,#N/A,FALSE,"SUMMARY";#N/A,#N/A,FALSE,"MTD";#N/A,#N/A,FALSE,"QTD";#N/A,#N/A,FALSE,"YTD"}</definedName>
    <definedName name="wrn.qtr._.to._.issue." localSheetId="6"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6" hidden="1">{#N/A,#N/A,FALSE,"Virgin Flightdeck"}</definedName>
    <definedName name="wrn.Radio." hidden="1">{#N/A,#N/A,FALSE,"Virgin Flightdeck"}</definedName>
    <definedName name="wrn.RELEVANTSHEETS." localSheetId="6" hidden="1">{#N/A,#N/A,FALSE,"AD_Purch";#N/A,#N/A,FALSE,"Projections";#N/A,#N/A,FALSE,"DCF";#N/A,#N/A,FALSE,"Mkt Val"}</definedName>
    <definedName name="wrn.RELEVANTSHEETS." hidden="1">{#N/A,#N/A,FALSE,"AD_Purch";#N/A,#N/A,FALSE,"Projections";#N/A,#N/A,FALSE,"DCF";#N/A,#N/A,FALSE,"Mkt Val"}</definedName>
    <definedName name="wrn.rep_page." localSheetId="6"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6"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6"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6" hidden="1">{#N/A,#N/A,FALSE,"Marketing";#N/A,#N/A,FALSE,"Selling";#N/A,#N/A,FALSE,"Promotional";#N/A,#N/A,FALSE,"Advertising"}</definedName>
    <definedName name="wrn.Sales." hidden="1">{#N/A,#N/A,FALSE,"Marketing";#N/A,#N/A,FALSE,"Selling";#N/A,#N/A,FALSE,"Promotional";#N/A,#N/A,FALSE,"Advertising"}</definedName>
    <definedName name="wrn.Schedule._.A." localSheetId="6" hidden="1">{#N/A,#N/A,FALSE,"ALLOFFSUM-A1"}</definedName>
    <definedName name="wrn.Schedule._.A." hidden="1">{#N/A,#N/A,FALSE,"ALLOFFSUM-A1"}</definedName>
    <definedName name="wrn.SKSCS1." localSheetId="6"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6"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6"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6"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6"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6"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6" hidden="1">{#N/A,#N/A,FALSE,"FREEMAN";#N/A,#N/A,FALSE,"STEPHEN";#N/A,#N/A,FALSE,"VICTOR"}</definedName>
    <definedName name="wrn.sunmicro." hidden="1">{#N/A,#N/A,FALSE,"FREEMAN";#N/A,#N/A,FALSE,"STEPHEN";#N/A,#N/A,FALSE,"VICTOR"}</definedName>
    <definedName name="wrn.tel2." localSheetId="6"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6"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6" hidden="1">{"test2",#N/A,TRUE,"Prices"}</definedName>
    <definedName name="wrn.test." hidden="1">{"test2",#N/A,TRUE,"Prices"}</definedName>
    <definedName name="wrn.TODO." localSheetId="6"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6"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6" hidden="1">{"toptrial",#N/A,TRUE,"toptrial";"adjustment",#N/A,TRUE,"toptrial";"voucher",#N/A,TRUE,"toptrial"}</definedName>
    <definedName name="wrn.tope" hidden="1">{"toptrial",#N/A,TRUE,"toptrial";"adjustment",#N/A,TRUE,"toptrial";"voucher",#N/A,TRUE,"toptrial"}</definedName>
    <definedName name="wrn.toptrial." localSheetId="6" hidden="1">{"toptrial",#N/A,TRUE,"toptrial";"adjustment",#N/A,TRUE,"toptrial";"voucher",#N/A,TRUE,"toptrial"}</definedName>
    <definedName name="wrn.toptrial." hidden="1">{"toptrial",#N/A,TRUE,"toptrial";"adjustment",#N/A,TRUE,"toptrial";"voucher",#N/A,TRUE,"toptrial"}</definedName>
    <definedName name="wrn.Total." localSheetId="6"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6" hidden="1">{#N/A,#N/A,TRUE,"TransPrcd 1";#N/A,#N/A,TRUE,"TransPrcd 2";#N/A,#N/A,TRUE,"TransPrcd 3"}</definedName>
    <definedName name="wrn.TransPrcd_123." hidden="1">{#N/A,#N/A,TRUE,"TransPrcd 1";#N/A,#N/A,TRUE,"TransPrcd 2";#N/A,#N/A,TRUE,"TransPrcd 3"}</definedName>
    <definedName name="wrn.Tweety." localSheetId="6" hidden="1">{#N/A,#N/A,FALSE,"A&amp;E";#N/A,#N/A,FALSE,"HighTop";#N/A,#N/A,FALSE,"JG";#N/A,#N/A,FALSE,"RI";#N/A,#N/A,FALSE,"woHT";#N/A,#N/A,FALSE,"woHT&amp;JG"}</definedName>
    <definedName name="wrn.Tweety." hidden="1">{#N/A,#N/A,FALSE,"A&amp;E";#N/A,#N/A,FALSE,"HighTop";#N/A,#N/A,FALSE,"JG";#N/A,#N/A,FALSE,"RI";#N/A,#N/A,FALSE,"woHT";#N/A,#N/A,FALSE,"woHT&amp;JG"}</definedName>
    <definedName name="wrn.Upper._.Case." localSheetId="6"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6" hidden="1">{#N/A,#N/A,FALSE,"Pooling";#N/A,#N/A,FALSE,"income";#N/A,#N/A,FALSE,"valuation"}</definedName>
    <definedName name="wrn.VALUATION." hidden="1">{#N/A,#N/A,FALSE,"Pooling";#N/A,#N/A,FALSE,"income";#N/A,#N/A,FALSE,"valuation"}</definedName>
    <definedName name="wrn.Valuation._.Package._.1." localSheetId="6"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6"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6"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6" hidden="1">{#N/A,#N/A,FALSE,"FACTSHEETS";#N/A,#N/A,FALSE,"pump";#N/A,#N/A,FALSE,"filter"}</definedName>
    <definedName name="wrn.wicor." hidden="1">{#N/A,#N/A,FALSE,"FACTSHEETS";#N/A,#N/A,FALSE,"pump";#N/A,#N/A,FALSE,"filter"}</definedName>
    <definedName name="wrn.ytd." localSheetId="6" hidden="1">{#N/A,#N/A,FALSE,"YTD"}</definedName>
    <definedName name="wrn.ytd." localSheetId="4" hidden="1">{#N/A,#N/A,FALSE,"YTD"}</definedName>
    <definedName name="wrn.ytd." hidden="1">{#N/A,#N/A,FALSE,"YTD"}</definedName>
    <definedName name="wrn.채권채무조회서." localSheetId="6" hidden="1">{#N/A,#N/A,FALSE,"채권채무";#N/A,#N/A,FALSE,"control sheet"}</definedName>
    <definedName name="wrn.채권채무조회서." hidden="1">{#N/A,#N/A,FALSE,"채권채무";#N/A,#N/A,FALSE,"control sheet"}</definedName>
    <definedName name="wrn100.gb" localSheetId="6" hidden="1">{#N/A,#N/A,FALSE,"资产负债表";#N/A,#N/A,FALSE,"资产负债表"}</definedName>
    <definedName name="wrn100.gb" hidden="1">{#N/A,#N/A,FALSE,"资产负债表";#N/A,#N/A,FALSE,"资产负债表"}</definedName>
    <definedName name="wrnn" localSheetId="6" hidden="1">{#N/A,#N/A,FALSE,"PERSONAL";#N/A,#N/A,FALSE,"explotación";#N/A,#N/A,FALSE,"generales"}</definedName>
    <definedName name="wrnn" hidden="1">{#N/A,#N/A,FALSE,"PERSONAL";#N/A,#N/A,FALSE,"explotación";#N/A,#N/A,FALSE,"generales"}</definedName>
    <definedName name="wrnn.all." localSheetId="3" hidden="1">{#N/A,#N/A,FALSE,"SUM";#N/A,#N/A,FALSE,"SK_TOT";#N/A,#N/A,FALSE,"YM";#N/A,#N/A,FALSE,"TSMC";#N/A,#N/A,FALSE,"ICW";#N/A,#N/A,FALSE,"Sheet1"}</definedName>
    <definedName name="wrnn.all." localSheetId="1" hidden="1">{#N/A,#N/A,FALSE,"SUM";#N/A,#N/A,FALSE,"SK_TOT";#N/A,#N/A,FALSE,"YM";#N/A,#N/A,FALSE,"TSMC";#N/A,#N/A,FALSE,"ICW";#N/A,#N/A,FALSE,"Sheet1"}</definedName>
    <definedName name="wrnn.all." localSheetId="2" hidden="1">{#N/A,#N/A,FALSE,"SUM";#N/A,#N/A,FALSE,"SK_TOT";#N/A,#N/A,FALSE,"YM";#N/A,#N/A,FALSE,"TSMC";#N/A,#N/A,FALSE,"ICW";#N/A,#N/A,FALSE,"Sheet1"}</definedName>
    <definedName name="wrnn.all." localSheetId="6" hidden="1">{#N/A,#N/A,FALSE,"SUM";#N/A,#N/A,FALSE,"SK_TOT";#N/A,#N/A,FALSE,"YM";#N/A,#N/A,FALSE,"TSMC";#N/A,#N/A,FALSE,"ICW";#N/A,#N/A,FALSE,"Sheet1"}</definedName>
    <definedName name="wrnn.all." localSheetId="4" hidden="1">{#N/A,#N/A,FALSE,"SUM";#N/A,#N/A,FALSE,"SK_TOT";#N/A,#N/A,FALSE,"YM";#N/A,#N/A,FALSE,"TSMC";#N/A,#N/A,FALSE,"ICW";#N/A,#N/A,FALSE,"Sheet1"}</definedName>
    <definedName name="wrnn.all." hidden="1">{#N/A,#N/A,FALSE,"SUM";#N/A,#N/A,FALSE,"SK_TOT";#N/A,#N/A,FALSE,"YM";#N/A,#N/A,FALSE,"TSMC";#N/A,#N/A,FALSE,"ICW";#N/A,#N/A,FALSE,"Sheet1"}</definedName>
    <definedName name="wro.fy00_Q1Q2." localSheetId="6" hidden="1">{#N/A,#N/A,FALSE,"Sheet1"}</definedName>
    <definedName name="wro.fy00_Q1Q2." hidden="1">{#N/A,#N/A,FALSE,"Sheet1"}</definedName>
    <definedName name="wtr" localSheetId="6" hidden="1">{#N/A,#N/A,FALSE,"资产负债表";#N/A,#N/A,FALSE,"资产负债表"}</definedName>
    <definedName name="wtr" hidden="1">{#N/A,#N/A,FALSE,"资产负债表";#N/A,#N/A,FALSE,"资产负债表"}</definedName>
    <definedName name="wvu.Curr_View." localSheetId="6"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6"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localSheetId="3" hidden="1">#REF!</definedName>
    <definedName name="XREF_COLUMN_10" localSheetId="1" hidden="1">'K.00 Lead Sheet'!#REF!</definedName>
    <definedName name="XREF_COLUMN_10" localSheetId="2" hidden="1">#REF!</definedName>
    <definedName name="XREF_COLUMN_10" hidden="1">#REF!</definedName>
    <definedName name="XREF_COLUMN_11" localSheetId="3" hidden="1">#REF!</definedName>
    <definedName name="XREF_COLUMN_11" localSheetId="1" hidden="1">'K.00 Lead Sheet'!#REF!</definedName>
    <definedName name="XREF_COLUMN_11" localSheetId="2" hidden="1">#REF!</definedName>
    <definedName name="XREF_COLUMN_11" hidden="1">#REF!</definedName>
    <definedName name="XREF_COLUMN_12" hidden="1">#REF!</definedName>
    <definedName name="XREF_COLUMN_19" localSheetId="3" hidden="1">#REF!</definedName>
    <definedName name="XREF_COLUMN_19" localSheetId="1" hidden="1">'K.00 Lead Sheet'!#REF!</definedName>
    <definedName name="XREF_COLUMN_19" localSheetId="2" hidden="1">#REF!</definedName>
    <definedName name="XREF_COLUMN_19" hidden="1">#REF!</definedName>
    <definedName name="XREF_COLUMN_2" localSheetId="3" hidden="1">#REF!</definedName>
    <definedName name="XREF_COLUMN_2" localSheetId="1" hidden="1">'K.00 Lead Sheet'!#REF!</definedName>
    <definedName name="XREF_COLUMN_2" localSheetId="2" hidden="1">#REF!</definedName>
    <definedName name="XREF_COLUMN_2" hidden="1">#REF!</definedName>
    <definedName name="XREF_COLUMN_20" localSheetId="3" hidden="1">#REF!</definedName>
    <definedName name="XREF_COLUMN_20" localSheetId="1" hidden="1">'K.00 Lead Sheet'!#REF!</definedName>
    <definedName name="XREF_COLUMN_20" localSheetId="2" hidden="1">#REF!</definedName>
    <definedName name="XREF_COLUMN_20" hidden="1">#REF!</definedName>
    <definedName name="XREF_COLUMN_21" hidden="1">#REF!</definedName>
    <definedName name="XREF_COLUMN_3" localSheetId="3" hidden="1">#REF!</definedName>
    <definedName name="XREF_COLUMN_3" localSheetId="1" hidden="1">'K.00 Lead Sheet'!#REF!</definedName>
    <definedName name="XREF_COLUMN_3" localSheetId="2" hidden="1">#REF!</definedName>
    <definedName name="XREF_COLUMN_3" hidden="1">#REF!</definedName>
    <definedName name="XREF_COLUMN_4" localSheetId="3" hidden="1">#REF!</definedName>
    <definedName name="XREF_COLUMN_4" localSheetId="1" hidden="1">'K.00 Lead Sheet'!#REF!</definedName>
    <definedName name="XREF_COLUMN_4" localSheetId="2" hidden="1">#REF!</definedName>
    <definedName name="XREF_COLUMN_4" hidden="1">#REF!</definedName>
    <definedName name="XREF_COLUMN_5" localSheetId="3" hidden="1">#REF!</definedName>
    <definedName name="XREF_COLUMN_5" localSheetId="1" hidden="1">'K.00 Lead Sheet'!#REF!</definedName>
    <definedName name="XREF_COLUMN_5" localSheetId="2" hidden="1">#REF!</definedName>
    <definedName name="XREF_COLUMN_5" hidden="1">#REF!</definedName>
    <definedName name="XREF_COLUMN_6" localSheetId="3" hidden="1">#REF!</definedName>
    <definedName name="XREF_COLUMN_6" localSheetId="1" hidden="1">'K.00 Lead Sheet'!#REF!</definedName>
    <definedName name="XREF_COLUMN_6" localSheetId="2" hidden="1">#REF!</definedName>
    <definedName name="XREF_COLUMN_6" hidden="1">#REF!</definedName>
    <definedName name="XREF_COLUMN_7" hidden="1">#REF!</definedName>
    <definedName name="XRefActiveRow" localSheetId="3" hidden="1">#REF!</definedName>
    <definedName name="XRefActiveRow" localSheetId="1" hidden="1">'K.00 Lead Sheet'!#REF!</definedName>
    <definedName name="XRefActiveRow" localSheetId="2" hidden="1">#REF!</definedName>
    <definedName name="XRefActiveRow" hidden="1">#REF!</definedName>
    <definedName name="XRefColumnsCount" hidden="1">2</definedName>
    <definedName name="XRefCopy1" localSheetId="3" hidden="1">#REF!</definedName>
    <definedName name="XRefCopy1" localSheetId="1" hidden="1">'K.00 Lead Sheet'!#REF!</definedName>
    <definedName name="XRefCopy1" localSheetId="2" hidden="1">#REF!</definedName>
    <definedName name="XRefCopy1" hidden="1">#REF!</definedName>
    <definedName name="XRefCopy10" hidden="1">#REF!</definedName>
    <definedName name="XRefCopy10Row" hidden="1">#REF!</definedName>
    <definedName name="XRefCopy11" localSheetId="3" hidden="1">#REF!</definedName>
    <definedName name="XRefCopy11" localSheetId="1" hidden="1">'K.00 Lead Sheet'!#REF!</definedName>
    <definedName name="XRefCopy11" localSheetId="2" hidden="1">#REF!</definedName>
    <definedName name="XRefCopy11" hidden="1">#REF!</definedName>
    <definedName name="XRefCopy11Row" localSheetId="3" hidden="1">#REF!</definedName>
    <definedName name="XRefCopy11Row" localSheetId="1" hidden="1">'K.00 Lead Sheet'!#REF!</definedName>
    <definedName name="XRefCopy11Row" localSheetId="2" hidden="1">#REF!</definedName>
    <definedName name="XRefCopy11Row" hidden="1">#REF!</definedName>
    <definedName name="XRefCopy12" hidden="1">#REF!</definedName>
    <definedName name="XRefCopy13" hidden="1">#REF!</definedName>
    <definedName name="XRefCopy13Row" localSheetId="3" hidden="1">#REF!</definedName>
    <definedName name="XRefCopy13Row" localSheetId="1" hidden="1">'K.00 Lead Sheet'!#REF!</definedName>
    <definedName name="XRefCopy13Row" localSheetId="2" hidden="1">#REF!</definedName>
    <definedName name="XRefCopy13Row" hidden="1">#REF!</definedName>
    <definedName name="XRefCopy14" localSheetId="3" hidden="1">#REF!</definedName>
    <definedName name="XRefCopy14" localSheetId="1" hidden="1">'K.00 Lead Sheet'!#REF!</definedName>
    <definedName name="XRefCopy14" localSheetId="2" hidden="1">#REF!</definedName>
    <definedName name="XRefCopy14" hidden="1">#REF!</definedName>
    <definedName name="XRefCopy15" hidden="1">#REF!</definedName>
    <definedName name="XRefCopy16" hidden="1">#REF!</definedName>
    <definedName name="XRefCopy16Row" localSheetId="3" hidden="1">#REF!</definedName>
    <definedName name="XRefCopy16Row" localSheetId="1" hidden="1">'K.00 Lead Sheet'!#REF!</definedName>
    <definedName name="XRefCopy16Row" localSheetId="2" hidden="1">#REF!</definedName>
    <definedName name="XRefCopy16Row" hidden="1">#REF!</definedName>
    <definedName name="XRefCopy17" hidden="1">#REF!</definedName>
    <definedName name="XRefCopy1Row" localSheetId="3" hidden="1">#REF!</definedName>
    <definedName name="XRefCopy1Row" localSheetId="1" hidden="1">'K.00 Lead Sheet'!#REF!</definedName>
    <definedName name="XRefCopy1Row" localSheetId="2"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localSheetId="3" hidden="1">#REF!</definedName>
    <definedName name="XRefPaste2" localSheetId="1" hidden="1">'K.00 Lead Sheet'!#REF!</definedName>
    <definedName name="XRefPaste2" localSheetId="2" hidden="1">#REF!</definedName>
    <definedName name="XRefPaste2" hidden="1">#REF!</definedName>
    <definedName name="XRefPaste24" localSheetId="3" hidden="1">#REF!</definedName>
    <definedName name="XRefPaste24" localSheetId="1" hidden="1">'K.00 Lead Sheet'!#REF!</definedName>
    <definedName name="XRefPaste24" localSheetId="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3" hidden="1">#REF!</definedName>
    <definedName name="XRefPaste2Row" localSheetId="1" hidden="1">'K.00 Lead Sheet'!#REF!</definedName>
    <definedName name="XRefPaste2Row" localSheetId="2" hidden="1">#REF!</definedName>
    <definedName name="XRefPaste2Row" hidden="1">#REF!</definedName>
    <definedName name="XRefPaste3" localSheetId="3" hidden="1">#REF!</definedName>
    <definedName name="XRefPaste3" localSheetId="1" hidden="1">'K.00 Lead Sheet'!#REF!</definedName>
    <definedName name="XRefPaste3" localSheetId="2"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3" hidden="1">#REF!</definedName>
    <definedName name="XRefPaste6Row" localSheetId="1" hidden="1">'K.00 Lead Sheet'!#REF!</definedName>
    <definedName name="XRefPaste6Row" localSheetId="2" hidden="1">#REF!</definedName>
    <definedName name="XRefPaste6Row" hidden="1">#REF!</definedName>
    <definedName name="XRefPaste7" localSheetId="3" hidden="1">#REF!</definedName>
    <definedName name="XRefPaste7" localSheetId="1" hidden="1">'K.00 Lead Sheet'!#REF!</definedName>
    <definedName name="XRefPaste7" localSheetId="2"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6" hidden="1">{#N/A,#N/A,FALSE,"Virgin Flightdeck"}</definedName>
    <definedName name="xxx" hidden="1">{#N/A,#N/A,FALSE,"Virgin Flightdeck"}</definedName>
    <definedName name="XXXXXXXXXXXX" hidden="1">#REF!</definedName>
    <definedName name="xyz" hidden="1">#REF!</definedName>
    <definedName name="xzxsfd" localSheetId="3" hidden="1">{"M1Print",#N/A,FALSE,"M1"}</definedName>
    <definedName name="xzxsfd" localSheetId="1" hidden="1">{"M1Print",#N/A,FALSE,"M1"}</definedName>
    <definedName name="xzxsfd" localSheetId="2" hidden="1">{"M1Print",#N/A,FALSE,"M1"}</definedName>
    <definedName name="xzxsfd" localSheetId="6" hidden="1">{"M1Print",#N/A,FALSE,"M1"}</definedName>
    <definedName name="xzxsfd" localSheetId="4" hidden="1">{"M1Print",#N/A,FALSE,"M1"}</definedName>
    <definedName name="xzxsfd" hidden="1">{"M1Print",#N/A,FALSE,"M1"}</definedName>
    <definedName name="y" localSheetId="6" hidden="1">{#N/A,#N/A,FALSE,"970301";#N/A,#N/A,FALSE,"970302";#N/A,#N/A,FALSE,"970303";#N/A,#N/A,FALSE,"970304";#N/A,#N/A,FALSE,"COM1";#N/A,#N/A,FALSE,"COM2"}</definedName>
    <definedName name="y" hidden="1">{#N/A,#N/A,FALSE,"970301";#N/A,#N/A,FALSE,"970302";#N/A,#N/A,FALSE,"970303";#N/A,#N/A,FALSE,"970304";#N/A,#N/A,FALSE,"COM1";#N/A,#N/A,FALSE,"COM2"}</definedName>
    <definedName name="yy" localSheetId="6"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3" hidden="1">#REF!</definedName>
    <definedName name="Z_E738B51C_56AE_4F9F_8D8A_36AD6137B90D_.wvu.Cols" localSheetId="1" hidden="1">'K.00 Lead Sheet'!#REF!</definedName>
    <definedName name="Z_E738B51C_56AE_4F9F_8D8A_36AD6137B90D_.wvu.Cols" localSheetId="2"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3" hidden="1">#REF!,#REF!</definedName>
    <definedName name="Z_E738B51C_56AE_4F9F_8D8A_36AD6137B90D_.wvu.PrintTitles" localSheetId="1" hidden="1">'K.00 Lead Sheet'!#REF!,'K.00 Lead Sheet'!#REF!</definedName>
    <definedName name="Z_E738B51C_56AE_4F9F_8D8A_36AD6137B90D_.wvu.PrintTitles" localSheetId="2" hidden="1">#REF!,#REF!</definedName>
    <definedName name="Z_E738B51C_56AE_4F9F_8D8A_36AD6137B90D_.wvu.PrintTitles" hidden="1">#REF!,#REF!</definedName>
    <definedName name="Z_E738B51C_56AE_4F9F_8D8A_36AD6137B90D_.wvu.Rows" localSheetId="3" hidden="1">#REF!</definedName>
    <definedName name="Z_E738B51C_56AE_4F9F_8D8A_36AD6137B90D_.wvu.Rows" localSheetId="1" hidden="1">'K.00 Lead Sheet'!#REF!</definedName>
    <definedName name="Z_E738B51C_56AE_4F9F_8D8A_36AD6137B90D_.wvu.Rows" localSheetId="2" hidden="1">#REF!</definedName>
    <definedName name="Z_E738B51C_56AE_4F9F_8D8A_36AD6137B90D_.wvu.Rows" hidden="1">#REF!</definedName>
    <definedName name="zdry" localSheetId="6" hidden="1">{#N/A,#N/A,FALSE,"资产负债表";#N/A,#N/A,FALSE,"资产负债表"}</definedName>
    <definedName name="zdry" hidden="1">{#N/A,#N/A,FALSE,"资产负债表";#N/A,#N/A,FALSE,"资产负债表"}</definedName>
    <definedName name="zerey" localSheetId="6" hidden="1">{#N/A,#N/A,FALSE,"资产负债表";#N/A,#N/A,FALSE,"资产负债表"}</definedName>
    <definedName name="zerey" hidden="1">{#N/A,#N/A,FALSE,"资产负债表";#N/A,#N/A,FALSE,"资产负债表"}</definedName>
    <definedName name="zxc" localSheetId="6"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6" hidden="1">{#N/A,#N/A,FALSE,"970301";#N/A,#N/A,FALSE,"970302";#N/A,#N/A,FALSE,"970303";#N/A,#N/A,FALSE,"970304";#N/A,#N/A,FALSE,"COM1";#N/A,#N/A,FALSE,"COM2"}</definedName>
    <definedName name="啊" hidden="1">{#N/A,#N/A,FALSE,"970301";#N/A,#N/A,FALSE,"970302";#N/A,#N/A,FALSE,"970303";#N/A,#N/A,FALSE,"970304";#N/A,#N/A,FALSE,"COM1";#N/A,#N/A,FALSE,"COM2"}</definedName>
    <definedName name="把" localSheetId="6" hidden="1">{#N/A,#N/A,FALSE,"Virgin Flightdeck"}</definedName>
    <definedName name="把" hidden="1">{#N/A,#N/A,FALSE,"Virgin Flightdeck"}</definedName>
    <definedName name="备用" localSheetId="6"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借款" localSheetId="6" hidden="1">{#N/A,#N/A,FALSE,"970301";#N/A,#N/A,FALSE,"970302";#N/A,#N/A,FALSE,"970303";#N/A,#N/A,FALSE,"970304";#N/A,#N/A,FALSE,"COM1";#N/A,#N/A,FALSE,"COM2"}</definedName>
    <definedName name="借款" hidden="1">{#N/A,#N/A,FALSE,"970301";#N/A,#N/A,FALSE,"970302";#N/A,#N/A,FALSE,"970303";#N/A,#N/A,FALSE,"970304";#N/A,#N/A,FALSE,"COM1";#N/A,#N/A,FALSE,"COM2"}</definedName>
    <definedName name="苛" localSheetId="3" hidden="1">{"M1sPrint",#N/A,FALSE,"M1s"}</definedName>
    <definedName name="苛" localSheetId="1" hidden="1">{"M1sPrint",#N/A,FALSE,"M1s"}</definedName>
    <definedName name="苛" localSheetId="2" hidden="1">{"M1sPrint",#N/A,FALSE,"M1s"}</definedName>
    <definedName name="苛" localSheetId="6" hidden="1">{"M1sPrint",#N/A,FALSE,"M1s"}</definedName>
    <definedName name="苛" localSheetId="4" hidden="1">{"M1sPrint",#N/A,FALSE,"M1s"}</definedName>
    <definedName name="苛" hidden="1">{"M1sPrint",#N/A,FALSE,"M1s"}</definedName>
    <definedName name="试验" localSheetId="6"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6"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6" hidden="1">{#N/A,#N/A,FALSE,"970301";#N/A,#N/A,FALSE,"970302";#N/A,#N/A,FALSE,"970303";#N/A,#N/A,FALSE,"970304";#N/A,#N/A,FALSE,"COM1";#N/A,#N/A,FALSE,"COM2"}</definedName>
    <definedName name="应手款" hidden="1">{#N/A,#N/A,FALSE,"970301";#N/A,#N/A,FALSE,"970302";#N/A,#N/A,FALSE,"970303";#N/A,#N/A,FALSE,"970304";#N/A,#N/A,FALSE,"COM1";#N/A,#N/A,FALSE,"COM2"}</definedName>
    <definedName name="应手款1月" localSheetId="6" hidden="1">{#N/A,#N/A,FALSE,"Marketing";#N/A,#N/A,FALSE,"Selling";#N/A,#N/A,FALSE,"Promotional";#N/A,#N/A,FALSE,"Advertising"}</definedName>
    <definedName name="应手款1月" hidden="1">{#N/A,#N/A,FALSE,"Marketing";#N/A,#N/A,FALSE,"Selling";#N/A,#N/A,FALSE,"Promotional";#N/A,#N/A,FALSE,"Advertising"}</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8" i="200" l="1"/>
  <c r="V12" i="200"/>
  <c r="H12" i="200"/>
  <c r="J14" i="238"/>
  <c r="J15" i="238"/>
  <c r="J16" i="238"/>
  <c r="J17" i="238"/>
  <c r="J18" i="238"/>
  <c r="J19" i="238"/>
  <c r="J20" i="238"/>
  <c r="J21" i="238"/>
  <c r="J13" i="238"/>
  <c r="D15" i="225"/>
  <c r="I36" i="221"/>
  <c r="L31" i="221"/>
  <c r="L32" i="221"/>
  <c r="L33" i="221"/>
  <c r="L34" i="221"/>
  <c r="L35" i="221"/>
  <c r="G35" i="221"/>
  <c r="G34" i="221"/>
  <c r="G33" i="221"/>
  <c r="G32" i="221"/>
  <c r="G31" i="221"/>
  <c r="L9" i="221"/>
  <c r="L10" i="221"/>
  <c r="L11" i="221"/>
  <c r="L12" i="221"/>
  <c r="L13" i="221"/>
  <c r="L14" i="221"/>
  <c r="L15" i="221"/>
  <c r="L16" i="221"/>
  <c r="L17" i="221"/>
  <c r="L18" i="221"/>
  <c r="L19" i="221"/>
  <c r="L20" i="221"/>
  <c r="L21" i="221"/>
  <c r="L22" i="221"/>
  <c r="L23" i="221"/>
  <c r="L24" i="221"/>
  <c r="L25" i="221"/>
  <c r="L26" i="221"/>
  <c r="L27" i="221"/>
  <c r="L28" i="221"/>
  <c r="L29" i="221"/>
  <c r="L30" i="221"/>
  <c r="L8" i="221"/>
  <c r="G30" i="221"/>
  <c r="G29" i="221"/>
  <c r="G28" i="221"/>
  <c r="G27" i="221"/>
  <c r="G26" i="221"/>
  <c r="G25" i="221"/>
  <c r="G24" i="221"/>
  <c r="G23" i="221"/>
  <c r="G22" i="221"/>
  <c r="G21" i="221"/>
  <c r="G20" i="221"/>
  <c r="G19" i="221"/>
  <c r="G18" i="221"/>
  <c r="G17" i="221"/>
  <c r="G16" i="221"/>
  <c r="G15" i="221"/>
  <c r="G14" i="221"/>
  <c r="G13" i="221"/>
  <c r="G12" i="221"/>
  <c r="G11" i="221"/>
  <c r="G10" i="221"/>
  <c r="G9" i="221"/>
  <c r="G8" i="221"/>
  <c r="H61" i="200"/>
  <c r="O61" i="200" s="1"/>
  <c r="M61" i="200"/>
  <c r="N61" i="200"/>
  <c r="V63" i="200"/>
  <c r="V64" i="200"/>
  <c r="V65" i="200"/>
  <c r="V66" i="200"/>
  <c r="V67" i="200"/>
  <c r="V81" i="200"/>
  <c r="V106" i="200"/>
  <c r="V107" i="200"/>
  <c r="V23" i="200"/>
  <c r="V56" i="200"/>
  <c r="L222" i="200"/>
  <c r="K222" i="200"/>
  <c r="M202" i="200"/>
  <c r="N202" i="200"/>
  <c r="M203" i="200"/>
  <c r="N203" i="200"/>
  <c r="M204" i="200"/>
  <c r="N204" i="200"/>
  <c r="M205" i="200"/>
  <c r="N205" i="200"/>
  <c r="M206" i="200"/>
  <c r="N206" i="200"/>
  <c r="M207" i="200"/>
  <c r="N207" i="200"/>
  <c r="M208" i="200"/>
  <c r="N208" i="200"/>
  <c r="M209" i="200"/>
  <c r="N209" i="200"/>
  <c r="M210" i="200"/>
  <c r="N210" i="200"/>
  <c r="M211" i="200"/>
  <c r="N211" i="200"/>
  <c r="M212" i="200"/>
  <c r="N212" i="200"/>
  <c r="M213" i="200"/>
  <c r="N213" i="200"/>
  <c r="M214" i="200"/>
  <c r="N214" i="200"/>
  <c r="M215" i="200"/>
  <c r="N215" i="200"/>
  <c r="M216" i="200"/>
  <c r="N216" i="200"/>
  <c r="M217" i="200"/>
  <c r="N217" i="200"/>
  <c r="H202" i="200"/>
  <c r="O202" i="200" s="1"/>
  <c r="H203" i="200"/>
  <c r="O203" i="200" s="1"/>
  <c r="H204" i="200"/>
  <c r="O204" i="200" s="1"/>
  <c r="H205" i="200"/>
  <c r="O205" i="200" s="1"/>
  <c r="H206" i="200"/>
  <c r="H207" i="200"/>
  <c r="P207" i="200" s="1"/>
  <c r="S207" i="200" s="1"/>
  <c r="T207" i="200" s="1"/>
  <c r="H208" i="200"/>
  <c r="O208" i="200" s="1"/>
  <c r="H209" i="200"/>
  <c r="O209" i="200" s="1"/>
  <c r="H210" i="200"/>
  <c r="O210" i="200" s="1"/>
  <c r="H211" i="200"/>
  <c r="O211" i="200" s="1"/>
  <c r="H212" i="200"/>
  <c r="O212" i="200" s="1"/>
  <c r="H213" i="200"/>
  <c r="P213" i="200" s="1"/>
  <c r="S213" i="200" s="1"/>
  <c r="H214" i="200"/>
  <c r="H215" i="200"/>
  <c r="P215" i="200" s="1"/>
  <c r="S215" i="200" s="1"/>
  <c r="H216" i="200"/>
  <c r="P216" i="200" s="1"/>
  <c r="S216" i="200" s="1"/>
  <c r="H217" i="200"/>
  <c r="M199" i="200"/>
  <c r="N199" i="200"/>
  <c r="M200" i="200"/>
  <c r="N200" i="200"/>
  <c r="M201" i="200"/>
  <c r="N201" i="200"/>
  <c r="M218" i="200"/>
  <c r="N218" i="200"/>
  <c r="M219" i="200"/>
  <c r="N219" i="200"/>
  <c r="M220" i="200"/>
  <c r="N220" i="200"/>
  <c r="M221" i="200"/>
  <c r="N221" i="200"/>
  <c r="H221" i="200"/>
  <c r="O221" i="200" s="1"/>
  <c r="H220" i="200"/>
  <c r="O220" i="200" s="1"/>
  <c r="H219" i="200"/>
  <c r="O219" i="200" s="1"/>
  <c r="H218" i="200"/>
  <c r="O218" i="200" s="1"/>
  <c r="H201" i="200"/>
  <c r="O201" i="200" s="1"/>
  <c r="H200" i="200"/>
  <c r="P200" i="200" s="1"/>
  <c r="S200" i="200" s="1"/>
  <c r="H199" i="200"/>
  <c r="O199" i="200" s="1"/>
  <c r="J222" i="200"/>
  <c r="I55" i="225"/>
  <c r="G55" i="225"/>
  <c r="K19" i="226"/>
  <c r="L19" i="226"/>
  <c r="N19" i="226"/>
  <c r="O19" i="226"/>
  <c r="R15" i="226"/>
  <c r="Q15" i="226"/>
  <c r="I37" i="221" s="1"/>
  <c r="P15" i="226"/>
  <c r="P16" i="226"/>
  <c r="M15" i="226"/>
  <c r="E19" i="226"/>
  <c r="F19" i="226"/>
  <c r="I19" i="226"/>
  <c r="H19" i="226"/>
  <c r="J15" i="226"/>
  <c r="J16" i="226"/>
  <c r="G15" i="226"/>
  <c r="T200" i="200" l="1"/>
  <c r="T216" i="200"/>
  <c r="U216" i="200" s="1"/>
  <c r="T215" i="200"/>
  <c r="T213" i="200"/>
  <c r="U213" i="200" s="1"/>
  <c r="U207" i="200"/>
  <c r="U215" i="200"/>
  <c r="W61" i="200"/>
  <c r="T61" i="200" s="1"/>
  <c r="W12" i="200"/>
  <c r="T12" i="200" s="1"/>
  <c r="S15" i="226"/>
  <c r="O207" i="200"/>
  <c r="P61" i="200"/>
  <c r="S61" i="200" s="1"/>
  <c r="P212" i="200"/>
  <c r="S212" i="200" s="1"/>
  <c r="O215" i="200"/>
  <c r="O216" i="200"/>
  <c r="P204" i="200"/>
  <c r="S204" i="200" s="1"/>
  <c r="O213" i="200"/>
  <c r="P199" i="200"/>
  <c r="S199" i="200" s="1"/>
  <c r="O200" i="200"/>
  <c r="P220" i="200"/>
  <c r="S220" i="200" s="1"/>
  <c r="T220" i="200" s="1"/>
  <c r="P214" i="200"/>
  <c r="S214" i="200" s="1"/>
  <c r="P206" i="200"/>
  <c r="S206" i="200" s="1"/>
  <c r="O214" i="200"/>
  <c r="O206" i="200"/>
  <c r="P221" i="200"/>
  <c r="S221" i="200" s="1"/>
  <c r="T221" i="200" s="1"/>
  <c r="P205" i="200"/>
  <c r="S205" i="200" s="1"/>
  <c r="P219" i="200"/>
  <c r="S219" i="200" s="1"/>
  <c r="T219" i="200" s="1"/>
  <c r="P211" i="200"/>
  <c r="S211" i="200" s="1"/>
  <c r="P203" i="200"/>
  <c r="S203" i="200" s="1"/>
  <c r="T203" i="200" s="1"/>
  <c r="P218" i="200"/>
  <c r="S218" i="200" s="1"/>
  <c r="T218" i="200" s="1"/>
  <c r="P210" i="200"/>
  <c r="S210" i="200" s="1"/>
  <c r="T210" i="200" s="1"/>
  <c r="P202" i="200"/>
  <c r="S202" i="200" s="1"/>
  <c r="T202" i="200" s="1"/>
  <c r="U200" i="200"/>
  <c r="P217" i="200"/>
  <c r="S217" i="200" s="1"/>
  <c r="P209" i="200"/>
  <c r="S209" i="200" s="1"/>
  <c r="P201" i="200"/>
  <c r="S201" i="200" s="1"/>
  <c r="O217" i="200"/>
  <c r="P208" i="200"/>
  <c r="S208" i="200" s="1"/>
  <c r="T208" i="200" s="1"/>
  <c r="U61" i="200" l="1"/>
  <c r="U203" i="200"/>
  <c r="U219" i="200"/>
  <c r="T205" i="200"/>
  <c r="U205" i="200" s="1"/>
  <c r="U221" i="200"/>
  <c r="T199" i="200"/>
  <c r="U199" i="200" s="1"/>
  <c r="T206" i="200"/>
  <c r="U206" i="200" s="1"/>
  <c r="U218" i="200"/>
  <c r="U220" i="200"/>
  <c r="U202" i="200"/>
  <c r="T212" i="200"/>
  <c r="U212" i="200" s="1"/>
  <c r="T209" i="200"/>
  <c r="U209" i="200" s="1"/>
  <c r="T214" i="200"/>
  <c r="U214" i="200" s="1"/>
  <c r="U208" i="200"/>
  <c r="T211" i="200"/>
  <c r="U211" i="200" s="1"/>
  <c r="U210" i="200"/>
  <c r="T204" i="200"/>
  <c r="U204" i="200" s="1"/>
  <c r="T201" i="200"/>
  <c r="U201" i="200" s="1"/>
  <c r="T217" i="200"/>
  <c r="U217" i="200" s="1"/>
  <c r="H16" i="238"/>
  <c r="I16" i="238"/>
  <c r="H17" i="238"/>
  <c r="I17" i="238"/>
  <c r="H18" i="238"/>
  <c r="I18" i="238"/>
  <c r="E16" i="238"/>
  <c r="E17" i="238"/>
  <c r="E18" i="238"/>
  <c r="I14" i="238"/>
  <c r="I15" i="238"/>
  <c r="H14" i="238"/>
  <c r="E14" i="238"/>
  <c r="I21" i="238"/>
  <c r="H21" i="238"/>
  <c r="E21" i="238"/>
  <c r="I20" i="238"/>
  <c r="H20" i="238"/>
  <c r="E20" i="238"/>
  <c r="I19" i="238"/>
  <c r="H19" i="238"/>
  <c r="E19" i="238"/>
  <c r="H15" i="238"/>
  <c r="E15" i="238"/>
  <c r="I13" i="238"/>
  <c r="H13" i="238"/>
  <c r="E13" i="238"/>
  <c r="I11" i="238"/>
  <c r="C10" i="238"/>
  <c r="F10" i="238" s="1"/>
  <c r="F73" i="170"/>
  <c r="F71" i="170"/>
  <c r="F70" i="170"/>
  <c r="F69" i="170"/>
  <c r="F68" i="170"/>
  <c r="F42" i="170"/>
  <c r="F41" i="170"/>
  <c r="F40" i="170"/>
  <c r="F39" i="170"/>
  <c r="F38" i="170"/>
  <c r="F37" i="170"/>
  <c r="F36" i="170"/>
  <c r="F35" i="170"/>
  <c r="F34" i="170"/>
  <c r="F33" i="170"/>
  <c r="F32" i="170"/>
  <c r="F31" i="170"/>
  <c r="F30" i="170"/>
  <c r="F29" i="170"/>
  <c r="F28" i="170"/>
  <c r="F27" i="170"/>
  <c r="R26" i="170"/>
  <c r="F26" i="170"/>
  <c r="R25" i="170"/>
  <c r="F25" i="170"/>
  <c r="R24" i="170"/>
  <c r="F24" i="170"/>
  <c r="R23" i="170"/>
  <c r="F23" i="170"/>
  <c r="R22" i="170"/>
  <c r="F22" i="170"/>
  <c r="R21" i="170"/>
  <c r="F21" i="170"/>
  <c r="R20" i="170"/>
  <c r="F20" i="170"/>
  <c r="R19" i="170"/>
  <c r="F19" i="170"/>
  <c r="R18" i="170"/>
  <c r="F18" i="170"/>
  <c r="R17" i="170"/>
  <c r="H17" i="170"/>
  <c r="F17" i="170"/>
  <c r="R16" i="170"/>
  <c r="H16" i="170"/>
  <c r="F16" i="170"/>
  <c r="R15" i="170"/>
  <c r="H15" i="170"/>
  <c r="F15" i="170"/>
  <c r="H14" i="170"/>
  <c r="F14" i="170"/>
  <c r="H13" i="170"/>
  <c r="F13" i="170"/>
  <c r="H12" i="170"/>
  <c r="F12" i="170"/>
  <c r="H11" i="170"/>
  <c r="F11" i="170"/>
  <c r="H10" i="170"/>
  <c r="F10" i="170"/>
  <c r="Q222" i="200"/>
  <c r="N198" i="200"/>
  <c r="M198" i="200"/>
  <c r="H198" i="200"/>
  <c r="N197" i="200"/>
  <c r="M197" i="200"/>
  <c r="H197" i="200"/>
  <c r="N196" i="200"/>
  <c r="M196" i="200"/>
  <c r="H196" i="200"/>
  <c r="N195" i="200"/>
  <c r="M195" i="200"/>
  <c r="H195" i="200"/>
  <c r="N194" i="200"/>
  <c r="M194" i="200"/>
  <c r="H194" i="200"/>
  <c r="N193" i="200"/>
  <c r="M193" i="200"/>
  <c r="H193" i="200"/>
  <c r="N192" i="200"/>
  <c r="M192" i="200"/>
  <c r="H192" i="200"/>
  <c r="N191" i="200"/>
  <c r="M191" i="200"/>
  <c r="H191" i="200"/>
  <c r="N190" i="200"/>
  <c r="M190" i="200"/>
  <c r="H190" i="200"/>
  <c r="N189" i="200"/>
  <c r="M189" i="200"/>
  <c r="H189" i="200"/>
  <c r="N188" i="200"/>
  <c r="M188" i="200"/>
  <c r="H188" i="200"/>
  <c r="N187" i="200"/>
  <c r="M187" i="200"/>
  <c r="H187" i="200"/>
  <c r="N186" i="200"/>
  <c r="M186" i="200"/>
  <c r="H186" i="200"/>
  <c r="N185" i="200"/>
  <c r="M185" i="200"/>
  <c r="H185" i="200"/>
  <c r="N184" i="200"/>
  <c r="M184" i="200"/>
  <c r="H184" i="200"/>
  <c r="N183" i="200"/>
  <c r="M183" i="200"/>
  <c r="H183" i="200"/>
  <c r="N182" i="200"/>
  <c r="M182" i="200"/>
  <c r="H182" i="200"/>
  <c r="N181" i="200"/>
  <c r="M181" i="200"/>
  <c r="H181" i="200"/>
  <c r="N180" i="200"/>
  <c r="M180" i="200"/>
  <c r="H180" i="200"/>
  <c r="N179" i="200"/>
  <c r="M179" i="200"/>
  <c r="H179" i="200"/>
  <c r="N178" i="200"/>
  <c r="M178" i="200"/>
  <c r="H178" i="200"/>
  <c r="N177" i="200"/>
  <c r="M177" i="200"/>
  <c r="H177" i="200"/>
  <c r="N176" i="200"/>
  <c r="M176" i="200"/>
  <c r="H176" i="200"/>
  <c r="N175" i="200"/>
  <c r="M175" i="200"/>
  <c r="H175" i="200"/>
  <c r="N174" i="200"/>
  <c r="M174" i="200"/>
  <c r="H174" i="200"/>
  <c r="N173" i="200"/>
  <c r="M173" i="200"/>
  <c r="H173" i="200"/>
  <c r="N172" i="200"/>
  <c r="M172" i="200"/>
  <c r="H172" i="200"/>
  <c r="N171" i="200"/>
  <c r="M171" i="200"/>
  <c r="H171" i="200"/>
  <c r="N170" i="200"/>
  <c r="M170" i="200"/>
  <c r="H170" i="200"/>
  <c r="N169" i="200"/>
  <c r="M169" i="200"/>
  <c r="H169" i="200"/>
  <c r="N168" i="200"/>
  <c r="M168" i="200"/>
  <c r="H168" i="200"/>
  <c r="N167" i="200"/>
  <c r="M167" i="200"/>
  <c r="H167" i="200"/>
  <c r="N166" i="200"/>
  <c r="M166" i="200"/>
  <c r="H166" i="200"/>
  <c r="N165" i="200"/>
  <c r="M165" i="200"/>
  <c r="H165" i="200"/>
  <c r="N164" i="200"/>
  <c r="M164" i="200"/>
  <c r="H164" i="200"/>
  <c r="N163" i="200"/>
  <c r="M163" i="200"/>
  <c r="H163" i="200"/>
  <c r="N162" i="200"/>
  <c r="M162" i="200"/>
  <c r="H162" i="200"/>
  <c r="N161" i="200"/>
  <c r="M161" i="200"/>
  <c r="H161" i="200"/>
  <c r="N160" i="200"/>
  <c r="M160" i="200"/>
  <c r="H160" i="200"/>
  <c r="N159" i="200"/>
  <c r="M159" i="200"/>
  <c r="H159" i="200"/>
  <c r="N158" i="200"/>
  <c r="M158" i="200"/>
  <c r="H158" i="200"/>
  <c r="N157" i="200"/>
  <c r="M157" i="200"/>
  <c r="H157" i="200"/>
  <c r="N156" i="200"/>
  <c r="M156" i="200"/>
  <c r="H156" i="200"/>
  <c r="N155" i="200"/>
  <c r="M155" i="200"/>
  <c r="H155" i="200"/>
  <c r="N154" i="200"/>
  <c r="M154" i="200"/>
  <c r="H154" i="200"/>
  <c r="N153" i="200"/>
  <c r="M153" i="200"/>
  <c r="H153" i="200"/>
  <c r="N152" i="200"/>
  <c r="M152" i="200"/>
  <c r="H152" i="200"/>
  <c r="N151" i="200"/>
  <c r="M151" i="200"/>
  <c r="H151" i="200"/>
  <c r="N150" i="200"/>
  <c r="M150" i="200"/>
  <c r="H150" i="200"/>
  <c r="N149" i="200"/>
  <c r="M149" i="200"/>
  <c r="H149" i="200"/>
  <c r="N148" i="200"/>
  <c r="M148" i="200"/>
  <c r="H148" i="200"/>
  <c r="N147" i="200"/>
  <c r="M147" i="200"/>
  <c r="H147" i="200"/>
  <c r="N146" i="200"/>
  <c r="M146" i="200"/>
  <c r="H146" i="200"/>
  <c r="N145" i="200"/>
  <c r="M145" i="200"/>
  <c r="H145" i="200"/>
  <c r="N144" i="200"/>
  <c r="M144" i="200"/>
  <c r="H144" i="200"/>
  <c r="N143" i="200"/>
  <c r="M143" i="200"/>
  <c r="H143" i="200"/>
  <c r="N142" i="200"/>
  <c r="M142" i="200"/>
  <c r="H142" i="200"/>
  <c r="N141" i="200"/>
  <c r="M141" i="200"/>
  <c r="H141" i="200"/>
  <c r="N140" i="200"/>
  <c r="M140" i="200"/>
  <c r="H140" i="200"/>
  <c r="N139" i="200"/>
  <c r="M139" i="200"/>
  <c r="H139" i="200"/>
  <c r="N138" i="200"/>
  <c r="M138" i="200"/>
  <c r="H138" i="200"/>
  <c r="N137" i="200"/>
  <c r="M137" i="200"/>
  <c r="H137" i="200"/>
  <c r="N136" i="200"/>
  <c r="M136" i="200"/>
  <c r="H136" i="200"/>
  <c r="N135" i="200"/>
  <c r="M135" i="200"/>
  <c r="H135" i="200"/>
  <c r="N134" i="200"/>
  <c r="M134" i="200"/>
  <c r="H134" i="200"/>
  <c r="N133" i="200"/>
  <c r="M133" i="200"/>
  <c r="H133" i="200"/>
  <c r="N132" i="200"/>
  <c r="M132" i="200"/>
  <c r="H132" i="200"/>
  <c r="N131" i="200"/>
  <c r="M131" i="200"/>
  <c r="H131" i="200"/>
  <c r="N130" i="200"/>
  <c r="M130" i="200"/>
  <c r="H130" i="200"/>
  <c r="N129" i="200"/>
  <c r="M129" i="200"/>
  <c r="H129" i="200"/>
  <c r="N128" i="200"/>
  <c r="M128" i="200"/>
  <c r="H128" i="200"/>
  <c r="N127" i="200"/>
  <c r="M127" i="200"/>
  <c r="H127" i="200"/>
  <c r="N126" i="200"/>
  <c r="M126" i="200"/>
  <c r="H126" i="200"/>
  <c r="N125" i="200"/>
  <c r="M125" i="200"/>
  <c r="H125" i="200"/>
  <c r="N124" i="200"/>
  <c r="M124" i="200"/>
  <c r="H124" i="200"/>
  <c r="V123" i="200"/>
  <c r="N123" i="200"/>
  <c r="M123" i="200"/>
  <c r="H123" i="200"/>
  <c r="V122" i="200"/>
  <c r="N122" i="200"/>
  <c r="M122" i="200"/>
  <c r="H122" i="200"/>
  <c r="N121" i="200"/>
  <c r="M121" i="200"/>
  <c r="H121" i="200"/>
  <c r="N120" i="200"/>
  <c r="M120" i="200"/>
  <c r="H120" i="200"/>
  <c r="V119" i="200"/>
  <c r="N119" i="200"/>
  <c r="M119" i="200"/>
  <c r="H119" i="200"/>
  <c r="V118" i="200"/>
  <c r="N118" i="200"/>
  <c r="M118" i="200"/>
  <c r="H118" i="200"/>
  <c r="V117" i="200"/>
  <c r="N117" i="200"/>
  <c r="M117" i="200"/>
  <c r="H117" i="200"/>
  <c r="V116" i="200"/>
  <c r="N116" i="200"/>
  <c r="M116" i="200"/>
  <c r="H116" i="200"/>
  <c r="N115" i="200"/>
  <c r="M115" i="200"/>
  <c r="H115" i="200"/>
  <c r="N114" i="200"/>
  <c r="M114" i="200"/>
  <c r="H114" i="200"/>
  <c r="N113" i="200"/>
  <c r="M113" i="200"/>
  <c r="H113" i="200"/>
  <c r="N112" i="200"/>
  <c r="M112" i="200"/>
  <c r="H112" i="200"/>
  <c r="N111" i="200"/>
  <c r="M111" i="200"/>
  <c r="H111" i="200"/>
  <c r="N110" i="200"/>
  <c r="M110" i="200"/>
  <c r="H110" i="200"/>
  <c r="P110" i="200" s="1"/>
  <c r="S110" i="200" s="1"/>
  <c r="T110" i="200" s="1"/>
  <c r="V109" i="200"/>
  <c r="N109" i="200"/>
  <c r="M109" i="200"/>
  <c r="H109" i="200"/>
  <c r="V108" i="200"/>
  <c r="N108" i="200"/>
  <c r="M108" i="200"/>
  <c r="H108" i="200"/>
  <c r="N107" i="200"/>
  <c r="M107" i="200"/>
  <c r="H107" i="200"/>
  <c r="N106" i="200"/>
  <c r="M106" i="200"/>
  <c r="H106" i="200"/>
  <c r="N105" i="200"/>
  <c r="M105" i="200"/>
  <c r="H105" i="200"/>
  <c r="N104" i="200"/>
  <c r="M104" i="200"/>
  <c r="H104" i="200"/>
  <c r="V103" i="200"/>
  <c r="N103" i="200"/>
  <c r="M103" i="200"/>
  <c r="H103" i="200"/>
  <c r="V102" i="200"/>
  <c r="N102" i="200"/>
  <c r="M102" i="200"/>
  <c r="H102" i="200"/>
  <c r="N101" i="200"/>
  <c r="M101" i="200"/>
  <c r="H101" i="200"/>
  <c r="N100" i="200"/>
  <c r="M100" i="200"/>
  <c r="H100" i="200"/>
  <c r="N99" i="200"/>
  <c r="M99" i="200"/>
  <c r="H99" i="200"/>
  <c r="N98" i="200"/>
  <c r="M98" i="200"/>
  <c r="H98" i="200"/>
  <c r="N97" i="200"/>
  <c r="M97" i="200"/>
  <c r="H97" i="200"/>
  <c r="N96" i="200"/>
  <c r="M96" i="200"/>
  <c r="H96" i="200"/>
  <c r="N95" i="200"/>
  <c r="M95" i="200"/>
  <c r="H95" i="200"/>
  <c r="N94" i="200"/>
  <c r="M94" i="200"/>
  <c r="H94" i="200"/>
  <c r="N93" i="200"/>
  <c r="M93" i="200"/>
  <c r="H93" i="200"/>
  <c r="N92" i="200"/>
  <c r="M92" i="200"/>
  <c r="H92" i="200"/>
  <c r="N91" i="200"/>
  <c r="M91" i="200"/>
  <c r="H91" i="200"/>
  <c r="N90" i="200"/>
  <c r="M90" i="200"/>
  <c r="H90" i="200"/>
  <c r="N89" i="200"/>
  <c r="M89" i="200"/>
  <c r="H89" i="200"/>
  <c r="N88" i="200"/>
  <c r="M88" i="200"/>
  <c r="H88" i="200"/>
  <c r="V87" i="200"/>
  <c r="N87" i="200"/>
  <c r="M87" i="200"/>
  <c r="H87" i="200"/>
  <c r="V86" i="200"/>
  <c r="N86" i="200"/>
  <c r="M86" i="200"/>
  <c r="H86" i="200"/>
  <c r="V85" i="200"/>
  <c r="N85" i="200"/>
  <c r="M85" i="200"/>
  <c r="H85" i="200"/>
  <c r="N84" i="200"/>
  <c r="M84" i="200"/>
  <c r="H84" i="200"/>
  <c r="N83" i="200"/>
  <c r="M83" i="200"/>
  <c r="H83" i="200"/>
  <c r="V82" i="200"/>
  <c r="N82" i="200"/>
  <c r="M82" i="200"/>
  <c r="H82" i="200"/>
  <c r="N81" i="200"/>
  <c r="M81" i="200"/>
  <c r="H81" i="200"/>
  <c r="V80" i="200"/>
  <c r="N80" i="200"/>
  <c r="M80" i="200"/>
  <c r="H80" i="200"/>
  <c r="V79" i="200"/>
  <c r="N79" i="200"/>
  <c r="M79" i="200"/>
  <c r="H79" i="200"/>
  <c r="V78" i="200"/>
  <c r="N78" i="200"/>
  <c r="M78" i="200"/>
  <c r="V77" i="200"/>
  <c r="N77" i="200"/>
  <c r="M77" i="200"/>
  <c r="H77" i="200"/>
  <c r="V76" i="200"/>
  <c r="N76" i="200"/>
  <c r="M76" i="200"/>
  <c r="H76" i="200"/>
  <c r="V75" i="200"/>
  <c r="N75" i="200"/>
  <c r="M75" i="200"/>
  <c r="H75" i="200"/>
  <c r="V74" i="200"/>
  <c r="N74" i="200"/>
  <c r="M74" i="200"/>
  <c r="H74" i="200"/>
  <c r="V73" i="200"/>
  <c r="N73" i="200"/>
  <c r="M73" i="200"/>
  <c r="H73" i="200"/>
  <c r="V72" i="200"/>
  <c r="N72" i="200"/>
  <c r="M72" i="200"/>
  <c r="H72" i="200"/>
  <c r="V71" i="200"/>
  <c r="N71" i="200"/>
  <c r="M71" i="200"/>
  <c r="H71" i="200"/>
  <c r="V70" i="200"/>
  <c r="N70" i="200"/>
  <c r="M70" i="200"/>
  <c r="H70" i="200"/>
  <c r="V69" i="200"/>
  <c r="N69" i="200"/>
  <c r="M69" i="200"/>
  <c r="H69" i="200"/>
  <c r="N68" i="200"/>
  <c r="M68" i="200"/>
  <c r="H68" i="200"/>
  <c r="N67" i="200"/>
  <c r="M67" i="200"/>
  <c r="H67" i="200"/>
  <c r="N66" i="200"/>
  <c r="M66" i="200"/>
  <c r="H66" i="200"/>
  <c r="N65" i="200"/>
  <c r="M65" i="200"/>
  <c r="H65" i="200"/>
  <c r="N64" i="200"/>
  <c r="M64" i="200"/>
  <c r="H64" i="200"/>
  <c r="N63" i="200"/>
  <c r="M63" i="200"/>
  <c r="H63" i="200"/>
  <c r="N62" i="200"/>
  <c r="M62" i="200"/>
  <c r="H62" i="200"/>
  <c r="N60" i="200"/>
  <c r="M60" i="200"/>
  <c r="H60" i="200"/>
  <c r="N59" i="200"/>
  <c r="M59" i="200"/>
  <c r="H59" i="200"/>
  <c r="V58" i="200"/>
  <c r="N58" i="200"/>
  <c r="M58" i="200"/>
  <c r="H58" i="200"/>
  <c r="V57" i="200"/>
  <c r="N57" i="200"/>
  <c r="M57" i="200"/>
  <c r="H57" i="200"/>
  <c r="N56" i="200"/>
  <c r="M56" i="200"/>
  <c r="H56" i="200"/>
  <c r="V55" i="200"/>
  <c r="N55" i="200"/>
  <c r="M55" i="200"/>
  <c r="H55" i="200"/>
  <c r="N54" i="200"/>
  <c r="M54" i="200"/>
  <c r="H54" i="200"/>
  <c r="V53" i="200"/>
  <c r="N53" i="200"/>
  <c r="M53" i="200"/>
  <c r="H53" i="200"/>
  <c r="V52" i="200"/>
  <c r="N52" i="200"/>
  <c r="M52" i="200"/>
  <c r="H52" i="200"/>
  <c r="V51" i="200"/>
  <c r="N51" i="200"/>
  <c r="M51" i="200"/>
  <c r="H51" i="200"/>
  <c r="V50" i="200"/>
  <c r="N50" i="200"/>
  <c r="M50" i="200"/>
  <c r="H50" i="200"/>
  <c r="V49" i="200"/>
  <c r="N49" i="200"/>
  <c r="M49" i="200"/>
  <c r="H49" i="200"/>
  <c r="V48" i="200"/>
  <c r="N48" i="200"/>
  <c r="M48" i="200"/>
  <c r="H48" i="200"/>
  <c r="V47" i="200"/>
  <c r="N47" i="200"/>
  <c r="M47" i="200"/>
  <c r="H47" i="200"/>
  <c r="V46" i="200"/>
  <c r="N46" i="200"/>
  <c r="M46" i="200"/>
  <c r="H46" i="200"/>
  <c r="V45" i="200"/>
  <c r="N45" i="200"/>
  <c r="M45" i="200"/>
  <c r="H45" i="200"/>
  <c r="V44" i="200"/>
  <c r="N44" i="200"/>
  <c r="M44" i="200"/>
  <c r="H44" i="200"/>
  <c r="V43" i="200"/>
  <c r="N43" i="200"/>
  <c r="M43" i="200"/>
  <c r="H43" i="200"/>
  <c r="V42" i="200"/>
  <c r="N42" i="200"/>
  <c r="M42" i="200"/>
  <c r="H42" i="200"/>
  <c r="V41" i="200"/>
  <c r="N41" i="200"/>
  <c r="M41" i="200"/>
  <c r="H41" i="200"/>
  <c r="V40" i="200"/>
  <c r="N40" i="200"/>
  <c r="M40" i="200"/>
  <c r="H40" i="200"/>
  <c r="V39" i="200"/>
  <c r="N39" i="200"/>
  <c r="M39" i="200"/>
  <c r="H39" i="200"/>
  <c r="V38" i="200"/>
  <c r="N38" i="200"/>
  <c r="M38" i="200"/>
  <c r="H38" i="200"/>
  <c r="V37" i="200"/>
  <c r="N37" i="200"/>
  <c r="M37" i="200"/>
  <c r="H37" i="200"/>
  <c r="V36" i="200"/>
  <c r="N36" i="200"/>
  <c r="M36" i="200"/>
  <c r="H36" i="200"/>
  <c r="V35" i="200"/>
  <c r="N35" i="200"/>
  <c r="M35" i="200"/>
  <c r="H35" i="200"/>
  <c r="V34" i="200"/>
  <c r="N34" i="200"/>
  <c r="M34" i="200"/>
  <c r="H34" i="200"/>
  <c r="V33" i="200"/>
  <c r="N33" i="200"/>
  <c r="M33" i="200"/>
  <c r="H33" i="200"/>
  <c r="V32" i="200"/>
  <c r="N32" i="200"/>
  <c r="M32" i="200"/>
  <c r="H32" i="200"/>
  <c r="V31" i="200"/>
  <c r="N31" i="200"/>
  <c r="M31" i="200"/>
  <c r="H31" i="200"/>
  <c r="V30" i="200"/>
  <c r="N30" i="200"/>
  <c r="M30" i="200"/>
  <c r="H30" i="200"/>
  <c r="V29" i="200"/>
  <c r="N29" i="200"/>
  <c r="M29" i="200"/>
  <c r="H29" i="200"/>
  <c r="V28" i="200"/>
  <c r="N28" i="200"/>
  <c r="M28" i="200"/>
  <c r="H28" i="200"/>
  <c r="V27" i="200"/>
  <c r="N27" i="200"/>
  <c r="M27" i="200"/>
  <c r="H27" i="200"/>
  <c r="V26" i="200"/>
  <c r="N26" i="200"/>
  <c r="M26" i="200"/>
  <c r="H26" i="200"/>
  <c r="V25" i="200"/>
  <c r="N25" i="200"/>
  <c r="M25" i="200"/>
  <c r="H25" i="200"/>
  <c r="N24" i="200"/>
  <c r="M24" i="200"/>
  <c r="H24" i="200"/>
  <c r="N23" i="200"/>
  <c r="M23" i="200"/>
  <c r="H23" i="200"/>
  <c r="N22" i="200"/>
  <c r="M22" i="200"/>
  <c r="H22" i="200"/>
  <c r="N21" i="200"/>
  <c r="M21" i="200"/>
  <c r="H21" i="200"/>
  <c r="N20" i="200"/>
  <c r="M20" i="200"/>
  <c r="H20" i="200"/>
  <c r="V19" i="200"/>
  <c r="N19" i="200"/>
  <c r="M19" i="200"/>
  <c r="H19" i="200"/>
  <c r="N18" i="200"/>
  <c r="M18" i="200"/>
  <c r="H18" i="200"/>
  <c r="V17" i="200"/>
  <c r="N17" i="200"/>
  <c r="M17" i="200"/>
  <c r="H17" i="200"/>
  <c r="N16" i="200"/>
  <c r="M16" i="200"/>
  <c r="H16" i="200"/>
  <c r="N15" i="200"/>
  <c r="M15" i="200"/>
  <c r="H15" i="200"/>
  <c r="N14" i="200"/>
  <c r="M14" i="200"/>
  <c r="H14" i="200"/>
  <c r="V13" i="200"/>
  <c r="N13" i="200"/>
  <c r="M13" i="200"/>
  <c r="H13" i="200"/>
  <c r="N12" i="200"/>
  <c r="M12" i="200"/>
  <c r="P12" i="200"/>
  <c r="S12" i="200" s="1"/>
  <c r="N11" i="200"/>
  <c r="M11" i="200"/>
  <c r="H11" i="200"/>
  <c r="F79" i="226"/>
  <c r="B59" i="226"/>
  <c r="D59" i="226" s="1"/>
  <c r="B58" i="226"/>
  <c r="D58" i="226" s="1"/>
  <c r="B57" i="226"/>
  <c r="C57" i="226" s="1"/>
  <c r="H57" i="226" s="1"/>
  <c r="B56" i="226"/>
  <c r="C56" i="226" s="1"/>
  <c r="H56" i="226" s="1"/>
  <c r="Q47" i="226"/>
  <c r="Q45" i="226"/>
  <c r="E50" i="225" s="1"/>
  <c r="G50" i="225" s="1"/>
  <c r="I50" i="225" s="1"/>
  <c r="K50" i="225" s="1"/>
  <c r="L50" i="225" s="1"/>
  <c r="K49" i="226"/>
  <c r="H49" i="226"/>
  <c r="Q43" i="226"/>
  <c r="O32" i="226"/>
  <c r="N32" i="226"/>
  <c r="L32" i="226"/>
  <c r="K32" i="226"/>
  <c r="I32" i="226"/>
  <c r="H32" i="226"/>
  <c r="F32" i="226"/>
  <c r="E32" i="226"/>
  <c r="O31" i="226"/>
  <c r="N31" i="226"/>
  <c r="N48" i="226" s="1"/>
  <c r="L31" i="226"/>
  <c r="K31" i="226"/>
  <c r="K48" i="226" s="1"/>
  <c r="I31" i="226"/>
  <c r="H31" i="226"/>
  <c r="H38" i="226" s="1"/>
  <c r="H39" i="226" s="1"/>
  <c r="F31" i="226"/>
  <c r="E31" i="226"/>
  <c r="E38" i="226" s="1"/>
  <c r="E39" i="226" s="1"/>
  <c r="R30" i="226"/>
  <c r="Q30" i="226"/>
  <c r="P30" i="226"/>
  <c r="M30" i="226"/>
  <c r="J30" i="226"/>
  <c r="G30" i="226"/>
  <c r="R29" i="226"/>
  <c r="Q29" i="226"/>
  <c r="P29" i="226"/>
  <c r="M29" i="226"/>
  <c r="J29" i="226"/>
  <c r="G29" i="226"/>
  <c r="R28" i="226"/>
  <c r="Q28" i="226"/>
  <c r="P28" i="226"/>
  <c r="M28" i="226"/>
  <c r="J28" i="226"/>
  <c r="G28" i="226"/>
  <c r="S28" i="226" s="1"/>
  <c r="R27" i="226"/>
  <c r="Q27" i="226"/>
  <c r="P27" i="226"/>
  <c r="M27" i="226"/>
  <c r="J27" i="226"/>
  <c r="G27" i="226"/>
  <c r="R26" i="226"/>
  <c r="Q26" i="226"/>
  <c r="P26" i="226"/>
  <c r="M26" i="226"/>
  <c r="J26" i="226"/>
  <c r="G26" i="226"/>
  <c r="O25" i="226"/>
  <c r="N25" i="226"/>
  <c r="N36" i="226" s="1"/>
  <c r="N37" i="226" s="1"/>
  <c r="L25" i="226"/>
  <c r="K25" i="226"/>
  <c r="K46" i="226" s="1"/>
  <c r="I25" i="226"/>
  <c r="H25" i="226"/>
  <c r="H46" i="226" s="1"/>
  <c r="F25" i="226"/>
  <c r="E25" i="226"/>
  <c r="E36" i="226" s="1"/>
  <c r="E37" i="226" s="1"/>
  <c r="R24" i="226"/>
  <c r="Q24" i="226"/>
  <c r="P24" i="226"/>
  <c r="M24" i="226"/>
  <c r="J24" i="226"/>
  <c r="G24" i="226"/>
  <c r="R23" i="226"/>
  <c r="Q23" i="226"/>
  <c r="P23" i="226"/>
  <c r="M23" i="226"/>
  <c r="J23" i="226"/>
  <c r="G23" i="226"/>
  <c r="R22" i="226"/>
  <c r="Q22" i="226"/>
  <c r="P22" i="226"/>
  <c r="M22" i="226"/>
  <c r="J22" i="226"/>
  <c r="G22" i="226"/>
  <c r="R21" i="226"/>
  <c r="Q21" i="226"/>
  <c r="F80" i="226" s="1"/>
  <c r="P21" i="226"/>
  <c r="M21" i="226"/>
  <c r="J21" i="226"/>
  <c r="G21" i="226"/>
  <c r="R20" i="226"/>
  <c r="Q20" i="226"/>
  <c r="P20" i="226"/>
  <c r="M20" i="226"/>
  <c r="J20" i="226"/>
  <c r="G20" i="226"/>
  <c r="N34" i="226"/>
  <c r="N35" i="226" s="1"/>
  <c r="E34" i="226"/>
  <c r="E35" i="226" s="1"/>
  <c r="R18" i="226"/>
  <c r="Q18" i="226"/>
  <c r="P18" i="226"/>
  <c r="M18" i="226"/>
  <c r="J18" i="226"/>
  <c r="G18" i="226"/>
  <c r="R17" i="226"/>
  <c r="Q17" i="226"/>
  <c r="P17" i="226"/>
  <c r="M17" i="226"/>
  <c r="J17" i="226"/>
  <c r="G17" i="226"/>
  <c r="R16" i="226"/>
  <c r="Q16" i="226"/>
  <c r="M16" i="226"/>
  <c r="G16" i="226"/>
  <c r="R14" i="226"/>
  <c r="Q14" i="226"/>
  <c r="P14" i="226"/>
  <c r="M14" i="226"/>
  <c r="J14" i="226"/>
  <c r="G14" i="226"/>
  <c r="R13" i="226"/>
  <c r="Q13" i="226"/>
  <c r="P13" i="226"/>
  <c r="M13" i="226"/>
  <c r="J13" i="226"/>
  <c r="G13" i="226"/>
  <c r="R12" i="226"/>
  <c r="Q12" i="226"/>
  <c r="P12" i="226"/>
  <c r="M12" i="226"/>
  <c r="J12" i="226"/>
  <c r="G12" i="226"/>
  <c r="J53" i="225"/>
  <c r="F53" i="225"/>
  <c r="L51" i="225"/>
  <c r="E51" i="225"/>
  <c r="G51" i="225" s="1"/>
  <c r="I51" i="225" s="1"/>
  <c r="K51" i="225" s="1"/>
  <c r="J47" i="225"/>
  <c r="E47" i="225"/>
  <c r="E46" i="225"/>
  <c r="B38" i="225"/>
  <c r="D19" i="225"/>
  <c r="D18" i="225"/>
  <c r="D17" i="225"/>
  <c r="D16" i="225"/>
  <c r="P15" i="200" l="1"/>
  <c r="S15" i="200" s="1"/>
  <c r="T15" i="200" s="1"/>
  <c r="U15" i="200" s="1"/>
  <c r="P83" i="200"/>
  <c r="S83" i="200" s="1"/>
  <c r="T83" i="200" s="1"/>
  <c r="U83" i="200" s="1"/>
  <c r="O90" i="200"/>
  <c r="O98" i="200"/>
  <c r="O124" i="200"/>
  <c r="O132" i="200"/>
  <c r="O140" i="200"/>
  <c r="O148" i="200"/>
  <c r="O156" i="200"/>
  <c r="O164" i="200"/>
  <c r="O172" i="200"/>
  <c r="O180" i="200"/>
  <c r="O188" i="200"/>
  <c r="O196" i="200"/>
  <c r="P20" i="200"/>
  <c r="S20" i="200" s="1"/>
  <c r="T20" i="200" s="1"/>
  <c r="P93" i="200"/>
  <c r="S93" i="200" s="1"/>
  <c r="O101" i="200"/>
  <c r="P113" i="200"/>
  <c r="S113" i="200" s="1"/>
  <c r="T113" i="200" s="1"/>
  <c r="U113" i="200" s="1"/>
  <c r="P127" i="200"/>
  <c r="S127" i="200" s="1"/>
  <c r="T127" i="200" s="1"/>
  <c r="U127" i="200" s="1"/>
  <c r="P135" i="200"/>
  <c r="S135" i="200" s="1"/>
  <c r="T135" i="200" s="1"/>
  <c r="U135" i="200" s="1"/>
  <c r="P143" i="200"/>
  <c r="S143" i="200" s="1"/>
  <c r="T143" i="200" s="1"/>
  <c r="U143" i="200" s="1"/>
  <c r="P151" i="200"/>
  <c r="S151" i="200" s="1"/>
  <c r="T151" i="200" s="1"/>
  <c r="U151" i="200" s="1"/>
  <c r="P159" i="200"/>
  <c r="S159" i="200" s="1"/>
  <c r="T159" i="200" s="1"/>
  <c r="U159" i="200" s="1"/>
  <c r="P167" i="200"/>
  <c r="S167" i="200" s="1"/>
  <c r="T167" i="200" s="1"/>
  <c r="U167" i="200" s="1"/>
  <c r="P175" i="200"/>
  <c r="S175" i="200" s="1"/>
  <c r="T175" i="200" s="1"/>
  <c r="U175" i="200" s="1"/>
  <c r="P183" i="200"/>
  <c r="S183" i="200" s="1"/>
  <c r="T183" i="200" s="1"/>
  <c r="U183" i="200" s="1"/>
  <c r="P191" i="200"/>
  <c r="S191" i="200" s="1"/>
  <c r="T191" i="200" s="1"/>
  <c r="U191" i="200" s="1"/>
  <c r="O95" i="200"/>
  <c r="O115" i="200"/>
  <c r="P129" i="200"/>
  <c r="S129" i="200" s="1"/>
  <c r="T129" i="200" s="1"/>
  <c r="U129" i="200" s="1"/>
  <c r="P137" i="200"/>
  <c r="S137" i="200" s="1"/>
  <c r="T137" i="200" s="1"/>
  <c r="U137" i="200" s="1"/>
  <c r="P161" i="200"/>
  <c r="S161" i="200" s="1"/>
  <c r="T161" i="200" s="1"/>
  <c r="U161" i="200" s="1"/>
  <c r="P177" i="200"/>
  <c r="S177" i="200" s="1"/>
  <c r="T177" i="200" s="1"/>
  <c r="U177" i="200" s="1"/>
  <c r="P193" i="200"/>
  <c r="S193" i="200" s="1"/>
  <c r="T193" i="200" s="1"/>
  <c r="U193" i="200" s="1"/>
  <c r="P138" i="200"/>
  <c r="S138" i="200" s="1"/>
  <c r="T138" i="200" s="1"/>
  <c r="U138" i="200" s="1"/>
  <c r="P154" i="200"/>
  <c r="S154" i="200" s="1"/>
  <c r="T154" i="200" s="1"/>
  <c r="U154" i="200" s="1"/>
  <c r="O170" i="200"/>
  <c r="P186" i="200"/>
  <c r="S186" i="200" s="1"/>
  <c r="T186" i="200" s="1"/>
  <c r="U186" i="200" s="1"/>
  <c r="P16" i="200"/>
  <c r="S16" i="200" s="1"/>
  <c r="T16" i="200" s="1"/>
  <c r="U16" i="200" s="1"/>
  <c r="P84" i="200"/>
  <c r="S84" i="200" s="1"/>
  <c r="T84" i="200" s="1"/>
  <c r="U84" i="200" s="1"/>
  <c r="O99" i="200"/>
  <c r="P125" i="200"/>
  <c r="S125" i="200" s="1"/>
  <c r="T125" i="200" s="1"/>
  <c r="U125" i="200" s="1"/>
  <c r="P133" i="200"/>
  <c r="S133" i="200" s="1"/>
  <c r="T133" i="200" s="1"/>
  <c r="U133" i="200" s="1"/>
  <c r="P141" i="200"/>
  <c r="S141" i="200" s="1"/>
  <c r="T141" i="200" s="1"/>
  <c r="U141" i="200" s="1"/>
  <c r="P149" i="200"/>
  <c r="S149" i="200" s="1"/>
  <c r="T149" i="200" s="1"/>
  <c r="U149" i="200" s="1"/>
  <c r="P157" i="200"/>
  <c r="S157" i="200" s="1"/>
  <c r="T157" i="200" s="1"/>
  <c r="U157" i="200" s="1"/>
  <c r="P165" i="200"/>
  <c r="S165" i="200" s="1"/>
  <c r="T165" i="200" s="1"/>
  <c r="U165" i="200" s="1"/>
  <c r="P173" i="200"/>
  <c r="S173" i="200" s="1"/>
  <c r="T173" i="200" s="1"/>
  <c r="U173" i="200" s="1"/>
  <c r="P181" i="200"/>
  <c r="S181" i="200" s="1"/>
  <c r="T181" i="200" s="1"/>
  <c r="U181" i="200" s="1"/>
  <c r="P189" i="200"/>
  <c r="S189" i="200" s="1"/>
  <c r="T189" i="200" s="1"/>
  <c r="U189" i="200" s="1"/>
  <c r="P197" i="200"/>
  <c r="S197" i="200" s="1"/>
  <c r="T197" i="200" s="1"/>
  <c r="U197" i="200" s="1"/>
  <c r="P22" i="200"/>
  <c r="S22" i="200" s="1"/>
  <c r="T22" i="200" s="1"/>
  <c r="P145" i="200"/>
  <c r="S145" i="200" s="1"/>
  <c r="T145" i="200" s="1"/>
  <c r="U145" i="200" s="1"/>
  <c r="P153" i="200"/>
  <c r="S153" i="200" s="1"/>
  <c r="T153" i="200" s="1"/>
  <c r="U153" i="200" s="1"/>
  <c r="P169" i="200"/>
  <c r="S169" i="200" s="1"/>
  <c r="T169" i="200" s="1"/>
  <c r="U169" i="200" s="1"/>
  <c r="P185" i="200"/>
  <c r="S185" i="200" s="1"/>
  <c r="T185" i="200" s="1"/>
  <c r="U185" i="200" s="1"/>
  <c r="O18" i="200"/>
  <c r="O96" i="200"/>
  <c r="P120" i="200"/>
  <c r="S120" i="200" s="1"/>
  <c r="T120" i="200" s="1"/>
  <c r="P130" i="200"/>
  <c r="S130" i="200" s="1"/>
  <c r="T130" i="200" s="1"/>
  <c r="U130" i="200" s="1"/>
  <c r="P146" i="200"/>
  <c r="S146" i="200" s="1"/>
  <c r="T146" i="200" s="1"/>
  <c r="U146" i="200" s="1"/>
  <c r="P162" i="200"/>
  <c r="S162" i="200" s="1"/>
  <c r="T162" i="200" s="1"/>
  <c r="U162" i="200" s="1"/>
  <c r="O178" i="200"/>
  <c r="P194" i="200"/>
  <c r="S194" i="200" s="1"/>
  <c r="T194" i="200" s="1"/>
  <c r="U194" i="200" s="1"/>
  <c r="P21" i="200"/>
  <c r="S21" i="200" s="1"/>
  <c r="P54" i="200"/>
  <c r="S54" i="200" s="1"/>
  <c r="T54" i="200" s="1"/>
  <c r="U54" i="200" s="1"/>
  <c r="P94" i="200"/>
  <c r="S94" i="200" s="1"/>
  <c r="T94" i="200" s="1"/>
  <c r="P104" i="200"/>
  <c r="S104" i="200" s="1"/>
  <c r="T104" i="200" s="1"/>
  <c r="U104" i="200" s="1"/>
  <c r="O114" i="200"/>
  <c r="O89" i="200"/>
  <c r="P97" i="200"/>
  <c r="S97" i="200" s="1"/>
  <c r="T97" i="200" s="1"/>
  <c r="P121" i="200"/>
  <c r="S121" i="200" s="1"/>
  <c r="T121" i="200" s="1"/>
  <c r="P131" i="200"/>
  <c r="S131" i="200" s="1"/>
  <c r="T131" i="200" s="1"/>
  <c r="U131" i="200" s="1"/>
  <c r="P139" i="200"/>
  <c r="S139" i="200" s="1"/>
  <c r="T139" i="200" s="1"/>
  <c r="U139" i="200" s="1"/>
  <c r="P147" i="200"/>
  <c r="S147" i="200" s="1"/>
  <c r="T147" i="200" s="1"/>
  <c r="U147" i="200" s="1"/>
  <c r="P155" i="200"/>
  <c r="S155" i="200" s="1"/>
  <c r="T155" i="200" s="1"/>
  <c r="U155" i="200" s="1"/>
  <c r="P163" i="200"/>
  <c r="S163" i="200" s="1"/>
  <c r="T163" i="200" s="1"/>
  <c r="U163" i="200" s="1"/>
  <c r="P171" i="200"/>
  <c r="S171" i="200" s="1"/>
  <c r="T171" i="200" s="1"/>
  <c r="U171" i="200" s="1"/>
  <c r="P179" i="200"/>
  <c r="S179" i="200" s="1"/>
  <c r="T179" i="200" s="1"/>
  <c r="U179" i="200" s="1"/>
  <c r="P187" i="200"/>
  <c r="S187" i="200" s="1"/>
  <c r="T187" i="200" s="1"/>
  <c r="U187" i="200" s="1"/>
  <c r="P195" i="200"/>
  <c r="S195" i="200" s="1"/>
  <c r="T195" i="200" s="1"/>
  <c r="U195" i="200" s="1"/>
  <c r="O68" i="200"/>
  <c r="O92" i="200"/>
  <c r="P126" i="200"/>
  <c r="S126" i="200" s="1"/>
  <c r="T126" i="200" s="1"/>
  <c r="U126" i="200" s="1"/>
  <c r="P142" i="200"/>
  <c r="S142" i="200" s="1"/>
  <c r="T142" i="200" s="1"/>
  <c r="U142" i="200" s="1"/>
  <c r="P158" i="200"/>
  <c r="S158" i="200" s="1"/>
  <c r="T158" i="200" s="1"/>
  <c r="U158" i="200" s="1"/>
  <c r="P166" i="200"/>
  <c r="S166" i="200" s="1"/>
  <c r="T166" i="200" s="1"/>
  <c r="U166" i="200" s="1"/>
  <c r="P174" i="200"/>
  <c r="S174" i="200" s="1"/>
  <c r="T174" i="200" s="1"/>
  <c r="U174" i="200" s="1"/>
  <c r="W67" i="200"/>
  <c r="T67" i="200" s="1"/>
  <c r="P30" i="200"/>
  <c r="S30" i="200" s="1"/>
  <c r="W30" i="200"/>
  <c r="T30" i="200" s="1"/>
  <c r="U30" i="200" s="1"/>
  <c r="P36" i="200"/>
  <c r="S36" i="200" s="1"/>
  <c r="W36" i="200"/>
  <c r="T36" i="200" s="1"/>
  <c r="P44" i="200"/>
  <c r="S44" i="200" s="1"/>
  <c r="W44" i="200"/>
  <c r="T44" i="200" s="1"/>
  <c r="U44" i="200" s="1"/>
  <c r="O109" i="200"/>
  <c r="W109" i="200"/>
  <c r="T109" i="200" s="1"/>
  <c r="P123" i="200"/>
  <c r="S123" i="200" s="1"/>
  <c r="W123" i="200"/>
  <c r="T123" i="200" s="1"/>
  <c r="U123" i="200" s="1"/>
  <c r="P19" i="200"/>
  <c r="S19" i="200" s="1"/>
  <c r="W19" i="200"/>
  <c r="T19" i="200" s="1"/>
  <c r="W65" i="200"/>
  <c r="T65" i="200" s="1"/>
  <c r="P70" i="200"/>
  <c r="S70" i="200" s="1"/>
  <c r="W70" i="200"/>
  <c r="T70" i="200" s="1"/>
  <c r="U70" i="200" s="1"/>
  <c r="W72" i="200"/>
  <c r="T72" i="200" s="1"/>
  <c r="W74" i="200"/>
  <c r="T74" i="200" s="1"/>
  <c r="P76" i="200"/>
  <c r="S76" i="200" s="1"/>
  <c r="W76" i="200"/>
  <c r="T76" i="200" s="1"/>
  <c r="O78" i="200"/>
  <c r="W78" i="200"/>
  <c r="T78" i="200" s="1"/>
  <c r="P80" i="200"/>
  <c r="S80" i="200" s="1"/>
  <c r="W80" i="200"/>
  <c r="T80" i="200" s="1"/>
  <c r="U80" i="200" s="1"/>
  <c r="W107" i="200"/>
  <c r="T107" i="200" s="1"/>
  <c r="W117" i="200"/>
  <c r="T117" i="200" s="1"/>
  <c r="W119" i="200"/>
  <c r="T119" i="200" s="1"/>
  <c r="P26" i="200"/>
  <c r="S26" i="200" s="1"/>
  <c r="W26" i="200"/>
  <c r="T26" i="200" s="1"/>
  <c r="U26" i="200" s="1"/>
  <c r="P32" i="200"/>
  <c r="S32" i="200" s="1"/>
  <c r="W32" i="200"/>
  <c r="T32" i="200" s="1"/>
  <c r="W48" i="200"/>
  <c r="T48" i="200" s="1"/>
  <c r="P55" i="200"/>
  <c r="S55" i="200" s="1"/>
  <c r="W55" i="200"/>
  <c r="T55" i="200" s="1"/>
  <c r="U55" i="200" s="1"/>
  <c r="O63" i="200"/>
  <c r="W63" i="200"/>
  <c r="T63" i="200" s="1"/>
  <c r="W25" i="200"/>
  <c r="T25" i="200" s="1"/>
  <c r="P27" i="200"/>
  <c r="S27" i="200" s="1"/>
  <c r="W27" i="200"/>
  <c r="T27" i="200" s="1"/>
  <c r="U27" i="200" s="1"/>
  <c r="O29" i="200"/>
  <c r="W29" i="200"/>
  <c r="T29" i="200" s="1"/>
  <c r="P31" i="200"/>
  <c r="S31" i="200" s="1"/>
  <c r="W31" i="200"/>
  <c r="T31" i="200" s="1"/>
  <c r="P33" i="200"/>
  <c r="S33" i="200" s="1"/>
  <c r="W33" i="200"/>
  <c r="T33" i="200" s="1"/>
  <c r="U33" i="200" s="1"/>
  <c r="P35" i="200"/>
  <c r="S35" i="200" s="1"/>
  <c r="W35" i="200"/>
  <c r="T35" i="200" s="1"/>
  <c r="U35" i="200" s="1"/>
  <c r="O37" i="200"/>
  <c r="W37" i="200"/>
  <c r="T37" i="200" s="1"/>
  <c r="P39" i="200"/>
  <c r="S39" i="200" s="1"/>
  <c r="W39" i="200"/>
  <c r="T39" i="200" s="1"/>
  <c r="P41" i="200"/>
  <c r="S41" i="200" s="1"/>
  <c r="W41" i="200"/>
  <c r="T41" i="200" s="1"/>
  <c r="U41" i="200" s="1"/>
  <c r="O43" i="200"/>
  <c r="W43" i="200"/>
  <c r="T43" i="200" s="1"/>
  <c r="W45" i="200"/>
  <c r="T45" i="200" s="1"/>
  <c r="W47" i="200"/>
  <c r="T47" i="200" s="1"/>
  <c r="W49" i="200"/>
  <c r="T49" i="200" s="1"/>
  <c r="O51" i="200"/>
  <c r="W51" i="200"/>
  <c r="T51" i="200" s="1"/>
  <c r="W53" i="200"/>
  <c r="T53" i="200" s="1"/>
  <c r="W66" i="200"/>
  <c r="T66" i="200" s="1"/>
  <c r="P103" i="200"/>
  <c r="S103" i="200" s="1"/>
  <c r="W103" i="200"/>
  <c r="T103" i="200" s="1"/>
  <c r="W108" i="200"/>
  <c r="T108" i="200" s="1"/>
  <c r="P122" i="200"/>
  <c r="S122" i="200" s="1"/>
  <c r="W122" i="200"/>
  <c r="T122" i="200" s="1"/>
  <c r="O56" i="200"/>
  <c r="W56" i="200"/>
  <c r="T56" i="200" s="1"/>
  <c r="P28" i="200"/>
  <c r="S28" i="200" s="1"/>
  <c r="W28" i="200"/>
  <c r="T28" i="200" s="1"/>
  <c r="P34" i="200"/>
  <c r="S34" i="200" s="1"/>
  <c r="W34" i="200"/>
  <c r="T34" i="200" s="1"/>
  <c r="U34" i="200" s="1"/>
  <c r="P38" i="200"/>
  <c r="S38" i="200" s="1"/>
  <c r="W38" i="200"/>
  <c r="T38" i="200" s="1"/>
  <c r="U38" i="200" s="1"/>
  <c r="O40" i="200"/>
  <c r="W40" i="200"/>
  <c r="T40" i="200" s="1"/>
  <c r="W42" i="200"/>
  <c r="T42" i="200" s="1"/>
  <c r="W46" i="200"/>
  <c r="T46" i="200" s="1"/>
  <c r="O50" i="200"/>
  <c r="W50" i="200"/>
  <c r="T50" i="200" s="1"/>
  <c r="P52" i="200"/>
  <c r="S52" i="200" s="1"/>
  <c r="W52" i="200"/>
  <c r="T52" i="200" s="1"/>
  <c r="U52" i="200" s="1"/>
  <c r="W82" i="200"/>
  <c r="T82" i="200" s="1"/>
  <c r="P13" i="200"/>
  <c r="S13" i="200" s="1"/>
  <c r="W13" i="200"/>
  <c r="T13" i="200" s="1"/>
  <c r="W60" i="200"/>
  <c r="T60" i="200" s="1"/>
  <c r="W69" i="200"/>
  <c r="T69" i="200" s="1"/>
  <c r="P71" i="200"/>
  <c r="S71" i="200" s="1"/>
  <c r="W71" i="200"/>
  <c r="T71" i="200" s="1"/>
  <c r="U71" i="200" s="1"/>
  <c r="P73" i="200"/>
  <c r="S73" i="200" s="1"/>
  <c r="W73" i="200"/>
  <c r="T73" i="200" s="1"/>
  <c r="P75" i="200"/>
  <c r="S75" i="200" s="1"/>
  <c r="W75" i="200"/>
  <c r="T75" i="200" s="1"/>
  <c r="U75" i="200" s="1"/>
  <c r="P77" i="200"/>
  <c r="S77" i="200" s="1"/>
  <c r="W77" i="200"/>
  <c r="T77" i="200" s="1"/>
  <c r="O79" i="200"/>
  <c r="W79" i="200"/>
  <c r="T79" i="200" s="1"/>
  <c r="W81" i="200"/>
  <c r="T81" i="200" s="1"/>
  <c r="W62" i="200"/>
  <c r="T62" i="200" s="1"/>
  <c r="P102" i="200"/>
  <c r="S102" i="200" s="1"/>
  <c r="W102" i="200"/>
  <c r="T102" i="200" s="1"/>
  <c r="P17" i="200"/>
  <c r="S17" i="200" s="1"/>
  <c r="W17" i="200"/>
  <c r="T17" i="200" s="1"/>
  <c r="U17" i="200" s="1"/>
  <c r="W57" i="200"/>
  <c r="T57" i="200" s="1"/>
  <c r="P85" i="200"/>
  <c r="S85" i="200" s="1"/>
  <c r="W85" i="200"/>
  <c r="T85" i="200" s="1"/>
  <c r="P87" i="200"/>
  <c r="S87" i="200" s="1"/>
  <c r="W87" i="200"/>
  <c r="T87" i="200" s="1"/>
  <c r="U87" i="200" s="1"/>
  <c r="W23" i="200"/>
  <c r="T23" i="200" s="1"/>
  <c r="W58" i="200"/>
  <c r="T58" i="200" s="1"/>
  <c r="W64" i="200"/>
  <c r="T64" i="200" s="1"/>
  <c r="W86" i="200"/>
  <c r="T86" i="200" s="1"/>
  <c r="W106" i="200"/>
  <c r="T106" i="200" s="1"/>
  <c r="O116" i="200"/>
  <c r="W116" i="200"/>
  <c r="T116" i="200" s="1"/>
  <c r="W118" i="200"/>
  <c r="T118" i="200" s="1"/>
  <c r="S29" i="226"/>
  <c r="I33" i="226"/>
  <c r="R19" i="226"/>
  <c r="P25" i="200"/>
  <c r="S25" i="200" s="1"/>
  <c r="S18" i="226"/>
  <c r="P31" i="226"/>
  <c r="P38" i="226" s="1"/>
  <c r="P39" i="226" s="1"/>
  <c r="Q31" i="226"/>
  <c r="Q38" i="226" s="1"/>
  <c r="Q39" i="226" s="1"/>
  <c r="M31" i="226"/>
  <c r="M38" i="226" s="1"/>
  <c r="M39" i="226" s="1"/>
  <c r="R25" i="226"/>
  <c r="R36" i="226" s="1"/>
  <c r="R37" i="226" s="1"/>
  <c r="K38" i="226"/>
  <c r="K39" i="226" s="1"/>
  <c r="P19" i="226"/>
  <c r="S17" i="226"/>
  <c r="U12" i="200"/>
  <c r="P25" i="226"/>
  <c r="P36" i="226" s="1"/>
  <c r="P37" i="226" s="1"/>
  <c r="I58" i="226"/>
  <c r="Q19" i="226"/>
  <c r="Q34" i="226" s="1"/>
  <c r="Q35" i="226" s="1"/>
  <c r="J56" i="225"/>
  <c r="M19" i="226"/>
  <c r="M34" i="226" s="1"/>
  <c r="M35" i="226" s="1"/>
  <c r="J19" i="226"/>
  <c r="J34" i="226" s="1"/>
  <c r="J35" i="226" s="1"/>
  <c r="G19" i="226"/>
  <c r="G34" i="226" s="1"/>
  <c r="G35" i="226" s="1"/>
  <c r="O66" i="200"/>
  <c r="P106" i="200"/>
  <c r="S106" i="200" s="1"/>
  <c r="P62" i="200"/>
  <c r="S62" i="200" s="1"/>
  <c r="P65" i="200"/>
  <c r="S65" i="200" s="1"/>
  <c r="O107" i="200"/>
  <c r="P119" i="200"/>
  <c r="S119" i="200" s="1"/>
  <c r="P23" i="200"/>
  <c r="S23" i="200" s="1"/>
  <c r="M222" i="200"/>
  <c r="I59" i="226"/>
  <c r="K33" i="226"/>
  <c r="K40" i="226" s="1"/>
  <c r="K41" i="226" s="1"/>
  <c r="S21" i="226"/>
  <c r="S27" i="226"/>
  <c r="G25" i="226"/>
  <c r="G36" i="226" s="1"/>
  <c r="G37" i="226" s="1"/>
  <c r="S24" i="226"/>
  <c r="G31" i="226"/>
  <c r="G38" i="226" s="1"/>
  <c r="G39" i="226" s="1"/>
  <c r="N46" i="226"/>
  <c r="S16" i="226"/>
  <c r="L33" i="226"/>
  <c r="Q32" i="226"/>
  <c r="J25" i="226"/>
  <c r="J36" i="226" s="1"/>
  <c r="J37" i="226" s="1"/>
  <c r="J31" i="226"/>
  <c r="J38" i="226" s="1"/>
  <c r="J39" i="226" s="1"/>
  <c r="F33" i="226"/>
  <c r="S23" i="226"/>
  <c r="S22" i="226"/>
  <c r="R31" i="226"/>
  <c r="R38" i="226" s="1"/>
  <c r="R39" i="226" s="1"/>
  <c r="Q25" i="226"/>
  <c r="Q36" i="226" s="1"/>
  <c r="Q37" i="226" s="1"/>
  <c r="O33" i="226"/>
  <c r="G32" i="226"/>
  <c r="S13" i="226"/>
  <c r="H33" i="226"/>
  <c r="H40" i="226" s="1"/>
  <c r="H41" i="226" s="1"/>
  <c r="M25" i="226"/>
  <c r="M36" i="226" s="1"/>
  <c r="M37" i="226" s="1"/>
  <c r="S30" i="226"/>
  <c r="H36" i="226"/>
  <c r="H37" i="226" s="1"/>
  <c r="E15" i="225"/>
  <c r="C38" i="225" s="1"/>
  <c r="N50" i="225" s="1"/>
  <c r="Q48" i="226"/>
  <c r="P34" i="226"/>
  <c r="P35" i="226" s="1"/>
  <c r="R34" i="226"/>
  <c r="R35" i="226" s="1"/>
  <c r="N33" i="226"/>
  <c r="N40" i="226" s="1"/>
  <c r="N41" i="226" s="1"/>
  <c r="S26" i="226"/>
  <c r="H34" i="226"/>
  <c r="H35" i="226" s="1"/>
  <c r="K36" i="226"/>
  <c r="K37" i="226" s="1"/>
  <c r="N38" i="226"/>
  <c r="N39" i="226" s="1"/>
  <c r="D56" i="226"/>
  <c r="I56" i="226" s="1"/>
  <c r="E59" i="226"/>
  <c r="J59" i="226" s="1"/>
  <c r="E33" i="226"/>
  <c r="E40" i="226" s="1"/>
  <c r="E41" i="226" s="1"/>
  <c r="S14" i="226"/>
  <c r="P32" i="226"/>
  <c r="N44" i="226"/>
  <c r="E48" i="226"/>
  <c r="E56" i="226"/>
  <c r="E58" i="226"/>
  <c r="J58" i="226" s="1"/>
  <c r="M32" i="226"/>
  <c r="S12" i="226"/>
  <c r="K34" i="226"/>
  <c r="K35" i="226" s="1"/>
  <c r="H48" i="226"/>
  <c r="C59" i="226"/>
  <c r="H59" i="226" s="1"/>
  <c r="E57" i="226"/>
  <c r="J57" i="226" s="1"/>
  <c r="D57" i="226"/>
  <c r="I57" i="226" s="1"/>
  <c r="J32" i="226"/>
  <c r="R32" i="226"/>
  <c r="E46" i="226"/>
  <c r="F81" i="226"/>
  <c r="K223" i="200"/>
  <c r="C58" i="226"/>
  <c r="H58" i="226" s="1"/>
  <c r="S20" i="226"/>
  <c r="L223" i="200"/>
  <c r="E44" i="226"/>
  <c r="E49" i="226"/>
  <c r="N49" i="226"/>
  <c r="E49" i="225"/>
  <c r="H44" i="226"/>
  <c r="K44" i="226"/>
  <c r="O133" i="200"/>
  <c r="O151" i="200"/>
  <c r="O32" i="200"/>
  <c r="O149" i="200"/>
  <c r="P196" i="200"/>
  <c r="S196" i="200" s="1"/>
  <c r="T196" i="200" s="1"/>
  <c r="P178" i="200"/>
  <c r="S178" i="200" s="1"/>
  <c r="T178" i="200" s="1"/>
  <c r="O76" i="200"/>
  <c r="O36" i="200"/>
  <c r="P68" i="200"/>
  <c r="S68" i="200" s="1"/>
  <c r="T68" i="200" s="1"/>
  <c r="P89" i="200"/>
  <c r="S89" i="200" s="1"/>
  <c r="T89" i="200" s="1"/>
  <c r="O39" i="200"/>
  <c r="P79" i="200"/>
  <c r="S79" i="200" s="1"/>
  <c r="O97" i="200"/>
  <c r="P99" i="200"/>
  <c r="S99" i="200" s="1"/>
  <c r="P132" i="200"/>
  <c r="S132" i="200" s="1"/>
  <c r="P170" i="200"/>
  <c r="S170" i="200" s="1"/>
  <c r="P180" i="200"/>
  <c r="S180" i="200" s="1"/>
  <c r="O162" i="200"/>
  <c r="P164" i="200"/>
  <c r="S164" i="200" s="1"/>
  <c r="T164" i="200" s="1"/>
  <c r="O135" i="200"/>
  <c r="O31" i="200"/>
  <c r="P95" i="200"/>
  <c r="S95" i="200" s="1"/>
  <c r="O154" i="200"/>
  <c r="O93" i="200"/>
  <c r="P124" i="200"/>
  <c r="S124" i="200" s="1"/>
  <c r="O197" i="200"/>
  <c r="P116" i="200"/>
  <c r="S116" i="200" s="1"/>
  <c r="O141" i="200"/>
  <c r="O143" i="200"/>
  <c r="O165" i="200"/>
  <c r="O167" i="200"/>
  <c r="O186" i="200"/>
  <c r="P188" i="200"/>
  <c r="S188" i="200" s="1"/>
  <c r="O17" i="200"/>
  <c r="O21" i="200"/>
  <c r="O157" i="200"/>
  <c r="O159" i="200"/>
  <c r="P172" i="200"/>
  <c r="S172" i="200" s="1"/>
  <c r="T172" i="200" s="1"/>
  <c r="O191" i="200"/>
  <c r="P78" i="200"/>
  <c r="S78" i="200" s="1"/>
  <c r="P101" i="200"/>
  <c r="S101" i="200" s="1"/>
  <c r="P92" i="200"/>
  <c r="S92" i="200" s="1"/>
  <c r="T92" i="200" s="1"/>
  <c r="O94" i="200"/>
  <c r="O121" i="200"/>
  <c r="O125" i="200"/>
  <c r="O127" i="200"/>
  <c r="O146" i="200"/>
  <c r="P156" i="200"/>
  <c r="S156" i="200" s="1"/>
  <c r="O189" i="200"/>
  <c r="O71" i="200"/>
  <c r="O35" i="200"/>
  <c r="P40" i="200"/>
  <c r="S40" i="200" s="1"/>
  <c r="P18" i="200"/>
  <c r="S18" i="200" s="1"/>
  <c r="T18" i="200" s="1"/>
  <c r="O20" i="200"/>
  <c r="O52" i="200"/>
  <c r="O84" i="200"/>
  <c r="P90" i="200"/>
  <c r="S90" i="200" s="1"/>
  <c r="P96" i="200"/>
  <c r="S96" i="200" s="1"/>
  <c r="T96" i="200" s="1"/>
  <c r="O138" i="200"/>
  <c r="P148" i="200"/>
  <c r="S148" i="200" s="1"/>
  <c r="O181" i="200"/>
  <c r="O183" i="200"/>
  <c r="P56" i="200"/>
  <c r="S56" i="200" s="1"/>
  <c r="P66" i="200"/>
  <c r="S66" i="200" s="1"/>
  <c r="O77" i="200"/>
  <c r="P98" i="200"/>
  <c r="S98" i="200" s="1"/>
  <c r="T98" i="200" s="1"/>
  <c r="O100" i="200"/>
  <c r="O130" i="200"/>
  <c r="P140" i="200"/>
  <c r="S140" i="200" s="1"/>
  <c r="T140" i="200" s="1"/>
  <c r="O173" i="200"/>
  <c r="O175" i="200"/>
  <c r="O194" i="200"/>
  <c r="P100" i="200"/>
  <c r="S100" i="200" s="1"/>
  <c r="T100" i="200" s="1"/>
  <c r="O83" i="200"/>
  <c r="P114" i="200"/>
  <c r="S114" i="200" s="1"/>
  <c r="O16" i="200"/>
  <c r="O48" i="200"/>
  <c r="O129" i="200"/>
  <c r="O137" i="200"/>
  <c r="O145" i="200"/>
  <c r="O153" i="200"/>
  <c r="O161" i="200"/>
  <c r="O169" i="200"/>
  <c r="O177" i="200"/>
  <c r="O185" i="200"/>
  <c r="O193" i="200"/>
  <c r="P49" i="200"/>
  <c r="S49" i="200" s="1"/>
  <c r="O19" i="200"/>
  <c r="O34" i="200"/>
  <c r="O44" i="200"/>
  <c r="P47" i="200"/>
  <c r="S47" i="200" s="1"/>
  <c r="P48" i="200"/>
  <c r="S48" i="200" s="1"/>
  <c r="O69" i="200"/>
  <c r="O88" i="200"/>
  <c r="O91" i="200"/>
  <c r="O103" i="200"/>
  <c r="O120" i="200"/>
  <c r="O123" i="200"/>
  <c r="O126" i="200"/>
  <c r="O134" i="200"/>
  <c r="O142" i="200"/>
  <c r="O150" i="200"/>
  <c r="O158" i="200"/>
  <c r="O166" i="200"/>
  <c r="O174" i="200"/>
  <c r="O182" i="200"/>
  <c r="O190" i="200"/>
  <c r="O198" i="200"/>
  <c r="O47" i="200"/>
  <c r="O73" i="200"/>
  <c r="O65" i="200"/>
  <c r="O13" i="200"/>
  <c r="O23" i="200"/>
  <c r="O28" i="200"/>
  <c r="P69" i="200"/>
  <c r="S69" i="200" s="1"/>
  <c r="O85" i="200"/>
  <c r="P88" i="200"/>
  <c r="S88" i="200" s="1"/>
  <c r="P91" i="200"/>
  <c r="S91" i="200" s="1"/>
  <c r="T91" i="200" s="1"/>
  <c r="O131" i="200"/>
  <c r="P134" i="200"/>
  <c r="S134" i="200" s="1"/>
  <c r="T134" i="200" s="1"/>
  <c r="O139" i="200"/>
  <c r="O147" i="200"/>
  <c r="P150" i="200"/>
  <c r="S150" i="200" s="1"/>
  <c r="T150" i="200" s="1"/>
  <c r="O155" i="200"/>
  <c r="O163" i="200"/>
  <c r="O171" i="200"/>
  <c r="O179" i="200"/>
  <c r="P182" i="200"/>
  <c r="S182" i="200" s="1"/>
  <c r="T182" i="200" s="1"/>
  <c r="O187" i="200"/>
  <c r="P190" i="200"/>
  <c r="S190" i="200" s="1"/>
  <c r="T190" i="200" s="1"/>
  <c r="O195" i="200"/>
  <c r="P198" i="200"/>
  <c r="S198" i="200" s="1"/>
  <c r="T198" i="200" s="1"/>
  <c r="O102" i="200"/>
  <c r="O119" i="200"/>
  <c r="O122" i="200"/>
  <c r="O128" i="200"/>
  <c r="O136" i="200"/>
  <c r="O144" i="200"/>
  <c r="O152" i="200"/>
  <c r="O160" i="200"/>
  <c r="O168" i="200"/>
  <c r="O176" i="200"/>
  <c r="O184" i="200"/>
  <c r="O192" i="200"/>
  <c r="O15" i="200"/>
  <c r="O22" i="200"/>
  <c r="O62" i="200"/>
  <c r="P37" i="200"/>
  <c r="S37" i="200" s="1"/>
  <c r="P67" i="200"/>
  <c r="S67" i="200" s="1"/>
  <c r="P105" i="200"/>
  <c r="S105" i="200" s="1"/>
  <c r="P128" i="200"/>
  <c r="S128" i="200" s="1"/>
  <c r="P136" i="200"/>
  <c r="S136" i="200" s="1"/>
  <c r="P144" i="200"/>
  <c r="S144" i="200" s="1"/>
  <c r="T144" i="200" s="1"/>
  <c r="P152" i="200"/>
  <c r="S152" i="200" s="1"/>
  <c r="T152" i="200" s="1"/>
  <c r="P160" i="200"/>
  <c r="S160" i="200" s="1"/>
  <c r="T160" i="200" s="1"/>
  <c r="P168" i="200"/>
  <c r="S168" i="200" s="1"/>
  <c r="T168" i="200" s="1"/>
  <c r="P176" i="200"/>
  <c r="S176" i="200" s="1"/>
  <c r="T176" i="200" s="1"/>
  <c r="P184" i="200"/>
  <c r="S184" i="200" s="1"/>
  <c r="P192" i="200"/>
  <c r="S192" i="200" s="1"/>
  <c r="O11" i="200"/>
  <c r="P108" i="200"/>
  <c r="S108" i="200" s="1"/>
  <c r="O108" i="200"/>
  <c r="O24" i="200"/>
  <c r="O58" i="200"/>
  <c r="P64" i="200"/>
  <c r="S64" i="200" s="1"/>
  <c r="O110" i="200"/>
  <c r="O112" i="200"/>
  <c r="P112" i="200"/>
  <c r="S112" i="200" s="1"/>
  <c r="P82" i="200"/>
  <c r="S82" i="200" s="1"/>
  <c r="P117" i="200"/>
  <c r="S117" i="200" s="1"/>
  <c r="O117" i="200"/>
  <c r="P86" i="200"/>
  <c r="S86" i="200" s="1"/>
  <c r="O86" i="200"/>
  <c r="P14" i="200"/>
  <c r="S14" i="200" s="1"/>
  <c r="P24" i="200"/>
  <c r="S24" i="200" s="1"/>
  <c r="O30" i="200"/>
  <c r="P50" i="200"/>
  <c r="S50" i="200" s="1"/>
  <c r="O57" i="200"/>
  <c r="P72" i="200"/>
  <c r="S72" i="200" s="1"/>
  <c r="O118" i="200"/>
  <c r="O12" i="200"/>
  <c r="P29" i="200"/>
  <c r="S29" i="200" s="1"/>
  <c r="O42" i="200"/>
  <c r="P45" i="200"/>
  <c r="S45" i="200" s="1"/>
  <c r="O45" i="200"/>
  <c r="P58" i="200"/>
  <c r="S58" i="200" s="1"/>
  <c r="P60" i="200"/>
  <c r="S60" i="200" s="1"/>
  <c r="O60" i="200"/>
  <c r="P63" i="200"/>
  <c r="S63" i="200" s="1"/>
  <c r="O64" i="200"/>
  <c r="O81" i="200"/>
  <c r="O113" i="200"/>
  <c r="O46" i="200"/>
  <c r="P53" i="200"/>
  <c r="S53" i="200" s="1"/>
  <c r="O53" i="200"/>
  <c r="O82" i="200"/>
  <c r="O25" i="200"/>
  <c r="O27" i="200"/>
  <c r="P42" i="200"/>
  <c r="S42" i="200" s="1"/>
  <c r="P46" i="200"/>
  <c r="S46" i="200" s="1"/>
  <c r="P51" i="200"/>
  <c r="S51" i="200" s="1"/>
  <c r="P81" i="200"/>
  <c r="S81" i="200" s="1"/>
  <c r="P111" i="200"/>
  <c r="S111" i="200" s="1"/>
  <c r="O111" i="200"/>
  <c r="P43" i="200"/>
  <c r="S43" i="200" s="1"/>
  <c r="P59" i="200"/>
  <c r="S59" i="200" s="1"/>
  <c r="T59" i="200" s="1"/>
  <c r="O59" i="200"/>
  <c r="O33" i="200"/>
  <c r="O54" i="200"/>
  <c r="P74" i="200"/>
  <c r="S74" i="200" s="1"/>
  <c r="O74" i="200"/>
  <c r="P11" i="200"/>
  <c r="O14" i="200"/>
  <c r="P107" i="200"/>
  <c r="S107" i="200" s="1"/>
  <c r="O26" i="200"/>
  <c r="O38" i="200"/>
  <c r="O55" i="200"/>
  <c r="P57" i="200"/>
  <c r="S57" i="200" s="1"/>
  <c r="O72" i="200"/>
  <c r="O75" i="200"/>
  <c r="O87" i="200"/>
  <c r="P118" i="200"/>
  <c r="S118" i="200" s="1"/>
  <c r="O41" i="200"/>
  <c r="O49" i="200"/>
  <c r="O67" i="200"/>
  <c r="O70" i="200"/>
  <c r="O80" i="200"/>
  <c r="O104" i="200"/>
  <c r="O105" i="200"/>
  <c r="O106" i="200"/>
  <c r="P109" i="200"/>
  <c r="S109" i="200" s="1"/>
  <c r="P115" i="200"/>
  <c r="S115" i="200" s="1"/>
  <c r="S11" i="200" l="1"/>
  <c r="U121" i="200"/>
  <c r="U150" i="200"/>
  <c r="U176" i="200"/>
  <c r="U190" i="200"/>
  <c r="U140" i="200"/>
  <c r="U172" i="200"/>
  <c r="U97" i="200"/>
  <c r="T111" i="200"/>
  <c r="U111" i="200" s="1"/>
  <c r="U20" i="200"/>
  <c r="T90" i="200"/>
  <c r="U90" i="200" s="1"/>
  <c r="U198" i="200"/>
  <c r="T105" i="200"/>
  <c r="U105" i="200" s="1"/>
  <c r="U18" i="200"/>
  <c r="U178" i="200"/>
  <c r="U94" i="200"/>
  <c r="U120" i="200"/>
  <c r="U22" i="200"/>
  <c r="T99" i="200"/>
  <c r="U99" i="200" s="1"/>
  <c r="T132" i="200"/>
  <c r="U132" i="200" s="1"/>
  <c r="U89" i="200"/>
  <c r="U68" i="200"/>
  <c r="U168" i="200"/>
  <c r="U160" i="200"/>
  <c r="U182" i="200"/>
  <c r="U134" i="200"/>
  <c r="U196" i="200"/>
  <c r="T136" i="200"/>
  <c r="U136" i="200" s="1"/>
  <c r="T24" i="200"/>
  <c r="U24" i="200" s="1"/>
  <c r="U49" i="200"/>
  <c r="U152" i="200"/>
  <c r="U98" i="200"/>
  <c r="U164" i="200"/>
  <c r="T192" i="200"/>
  <c r="U192" i="200" s="1"/>
  <c r="T128" i="200"/>
  <c r="U128" i="200" s="1"/>
  <c r="T14" i="200"/>
  <c r="U14" i="200" s="1"/>
  <c r="T170" i="200"/>
  <c r="U170" i="200" s="1"/>
  <c r="T115" i="200"/>
  <c r="U115" i="200" s="1"/>
  <c r="T101" i="200"/>
  <c r="U101" i="200" s="1"/>
  <c r="T188" i="200"/>
  <c r="U188" i="200" s="1"/>
  <c r="T156" i="200"/>
  <c r="U156" i="200" s="1"/>
  <c r="T124" i="200"/>
  <c r="U124" i="200" s="1"/>
  <c r="U59" i="200"/>
  <c r="U144" i="200"/>
  <c r="U91" i="200"/>
  <c r="U100" i="200"/>
  <c r="U96" i="200"/>
  <c r="U92" i="200"/>
  <c r="T112" i="200"/>
  <c r="U112" i="200" s="1"/>
  <c r="T184" i="200"/>
  <c r="U184" i="200" s="1"/>
  <c r="T114" i="200"/>
  <c r="U114" i="200" s="1"/>
  <c r="T21" i="200"/>
  <c r="U21" i="200" s="1"/>
  <c r="T88" i="200"/>
  <c r="U88" i="200" s="1"/>
  <c r="T95" i="200"/>
  <c r="U95" i="200" s="1"/>
  <c r="T93" i="200"/>
  <c r="U93" i="200" s="1"/>
  <c r="T180" i="200"/>
  <c r="U180" i="200" s="1"/>
  <c r="T148" i="200"/>
  <c r="U148" i="200" s="1"/>
  <c r="U60" i="200"/>
  <c r="U29" i="200"/>
  <c r="U73" i="200"/>
  <c r="U32" i="200"/>
  <c r="U13" i="200"/>
  <c r="U19" i="200"/>
  <c r="U78" i="200"/>
  <c r="U102" i="200"/>
  <c r="U63" i="200"/>
  <c r="U69" i="200"/>
  <c r="U25" i="200"/>
  <c r="U48" i="200"/>
  <c r="U47" i="200"/>
  <c r="U79" i="200"/>
  <c r="U65" i="200"/>
  <c r="U76" i="200"/>
  <c r="U36" i="200"/>
  <c r="U58" i="200"/>
  <c r="U74" i="200"/>
  <c r="U72" i="200"/>
  <c r="U45" i="200"/>
  <c r="U103" i="200"/>
  <c r="U50" i="200"/>
  <c r="U86" i="200"/>
  <c r="U56" i="200"/>
  <c r="U106" i="200"/>
  <c r="U77" i="200"/>
  <c r="U46" i="200"/>
  <c r="U43" i="200"/>
  <c r="U42" i="200"/>
  <c r="U62" i="200"/>
  <c r="U57" i="200"/>
  <c r="U31" i="200"/>
  <c r="U40" i="200"/>
  <c r="U37" i="200"/>
  <c r="U109" i="200"/>
  <c r="U85" i="200"/>
  <c r="U122" i="200"/>
  <c r="U119" i="200"/>
  <c r="U28" i="200"/>
  <c r="U51" i="200"/>
  <c r="U39" i="200"/>
  <c r="U117" i="200"/>
  <c r="U118" i="200"/>
  <c r="U82" i="200"/>
  <c r="P33" i="226"/>
  <c r="P40" i="226" s="1"/>
  <c r="P41" i="226" s="1"/>
  <c r="K50" i="226"/>
  <c r="S19" i="226"/>
  <c r="U108" i="200"/>
  <c r="U81" i="200"/>
  <c r="U67" i="200"/>
  <c r="U23" i="200"/>
  <c r="U66" i="200"/>
  <c r="U53" i="200"/>
  <c r="U107" i="200"/>
  <c r="U116" i="200"/>
  <c r="M33" i="226"/>
  <c r="M40" i="226" s="1"/>
  <c r="M41" i="226" s="1"/>
  <c r="Q46" i="226"/>
  <c r="Q33" i="226"/>
  <c r="Q40" i="226" s="1"/>
  <c r="Q41" i="226" s="1"/>
  <c r="H50" i="226"/>
  <c r="Q44" i="226"/>
  <c r="R33" i="226"/>
  <c r="G33" i="226"/>
  <c r="G40" i="226" s="1"/>
  <c r="G41" i="226" s="1"/>
  <c r="J33" i="226"/>
  <c r="J40" i="226" s="1"/>
  <c r="J41" i="226" s="1"/>
  <c r="E50" i="226"/>
  <c r="E62" i="226"/>
  <c r="J62" i="226" s="1"/>
  <c r="N51" i="225"/>
  <c r="D62" i="226"/>
  <c r="I62" i="226" s="1"/>
  <c r="J56" i="226"/>
  <c r="N50" i="226"/>
  <c r="R40" i="226"/>
  <c r="R41" i="226" s="1"/>
  <c r="S32" i="226"/>
  <c r="T32" i="226" s="1"/>
  <c r="T12" i="226"/>
  <c r="F57" i="226"/>
  <c r="K57" i="226" s="1"/>
  <c r="S31" i="226"/>
  <c r="T26" i="226"/>
  <c r="C62" i="226"/>
  <c r="H62" i="226" s="1"/>
  <c r="F59" i="226"/>
  <c r="K59" i="226" s="1"/>
  <c r="F58" i="226"/>
  <c r="K58" i="226" s="1"/>
  <c r="F56" i="226"/>
  <c r="K56" i="226" s="1"/>
  <c r="T20" i="226"/>
  <c r="S25" i="226"/>
  <c r="Q49" i="226"/>
  <c r="E53" i="225"/>
  <c r="G49" i="225"/>
  <c r="G53" i="225" s="1"/>
  <c r="U110" i="200" l="1"/>
  <c r="T11" i="200"/>
  <c r="U11" i="200" s="1"/>
  <c r="U222" i="200" s="1"/>
  <c r="U64" i="200"/>
  <c r="Q50" i="226"/>
  <c r="F62" i="226"/>
  <c r="K62" i="226" s="1"/>
  <c r="S33" i="226"/>
  <c r="S34" i="226"/>
  <c r="S35" i="226" s="1"/>
  <c r="S36" i="226"/>
  <c r="S37" i="226" s="1"/>
  <c r="T25" i="226"/>
  <c r="T31" i="226"/>
  <c r="S38" i="226"/>
  <c r="S39" i="226" s="1"/>
  <c r="I49" i="225"/>
  <c r="G56" i="225"/>
  <c r="T222" i="200" l="1"/>
  <c r="T33" i="226"/>
  <c r="S40" i="226"/>
  <c r="S41" i="226" s="1"/>
  <c r="K49" i="225"/>
  <c r="L49" i="225" s="1"/>
  <c r="T19" i="226"/>
  <c r="I53" i="225"/>
  <c r="J223" i="200"/>
  <c r="I56" i="225" l="1"/>
  <c r="M223" i="200"/>
  <c r="K53" i="225"/>
  <c r="N49" i="225"/>
  <c r="L53" i="225" l="1"/>
  <c r="N53" i="225" s="1"/>
</calcChain>
</file>

<file path=xl/sharedStrings.xml><?xml version="1.0" encoding="utf-8"?>
<sst xmlns="http://schemas.openxmlformats.org/spreadsheetml/2006/main" count="1525" uniqueCount="775">
  <si>
    <t>V6 SWP</t>
  </si>
  <si>
    <r>
      <rPr>
        <b/>
        <sz val="14"/>
        <color rgb="FF000000"/>
        <rFont val="微软雅黑"/>
        <family val="2"/>
        <charset val="134"/>
      </rPr>
      <t>该科目涉及</t>
    </r>
    <r>
      <rPr>
        <b/>
        <sz val="14"/>
        <color rgb="FF000000"/>
        <rFont val="Arial"/>
        <family val="2"/>
      </rPr>
      <t>OSP</t>
    </r>
    <r>
      <rPr>
        <b/>
        <sz val="14"/>
        <color rgb="FF000000"/>
        <rFont val="微软雅黑"/>
        <family val="2"/>
        <charset val="134"/>
      </rPr>
      <t>底稿可参考此链接</t>
    </r>
  </si>
  <si>
    <t>OSP K1 SWP 固定资产及在建工程盘点 202YMMDD XYZ公司.xlsx</t>
  </si>
  <si>
    <t>OSP K1 SWP 固定资产权属检查 202YMMDD XYZ公司.xlsx</t>
  </si>
  <si>
    <t>K.00</t>
  </si>
  <si>
    <t>K.00 Lead Sheet</t>
  </si>
  <si>
    <r>
      <rPr>
        <b/>
        <sz val="10"/>
        <rFont val="微软雅黑"/>
        <family val="2"/>
        <charset val="134"/>
      </rPr>
      <t>程序页</t>
    </r>
  </si>
  <si>
    <r>
      <rPr>
        <b/>
        <sz val="10"/>
        <rFont val="微软雅黑"/>
        <family val="2"/>
        <charset val="134"/>
      </rPr>
      <t>执行</t>
    </r>
  </si>
  <si>
    <r>
      <rPr>
        <b/>
        <sz val="10"/>
        <rFont val="微软雅黑"/>
        <family val="2"/>
        <charset val="134"/>
      </rPr>
      <t>不执行的原因</t>
    </r>
  </si>
  <si>
    <r>
      <rPr>
        <b/>
        <sz val="10"/>
        <rFont val="微软雅黑"/>
        <family val="2"/>
        <charset val="134"/>
      </rPr>
      <t>注意事项</t>
    </r>
  </si>
  <si>
    <r>
      <rPr>
        <sz val="10"/>
        <color theme="1"/>
        <rFont val="微软雅黑"/>
        <family val="2"/>
        <charset val="134"/>
      </rPr>
      <t>获取和编制固定资产两期变动的引导表，并与试算平衡表和上年底稿核对一致。对固定资产变动建立预期并说明理由，对不符合预期的变动以及异常变动进行调查和分析。</t>
    </r>
  </si>
  <si>
    <t>是</t>
  </si>
  <si>
    <t>K.01</t>
  </si>
  <si>
    <r>
      <rPr>
        <b/>
        <sz val="10"/>
        <rFont val="Arial"/>
        <family val="2"/>
      </rPr>
      <t>K.01 Agree SL to GL</t>
    </r>
    <r>
      <rPr>
        <b/>
        <sz val="10"/>
        <rFont val="微软雅黑"/>
        <family val="2"/>
        <charset val="134"/>
      </rPr>
      <t>（认定：</t>
    </r>
    <r>
      <rPr>
        <b/>
        <sz val="10"/>
        <rFont val="Arial"/>
        <family val="2"/>
      </rPr>
      <t>IS</t>
    </r>
    <r>
      <rPr>
        <b/>
        <sz val="10"/>
        <rFont val="微软雅黑"/>
        <family val="2"/>
        <charset val="134"/>
      </rPr>
      <t>：</t>
    </r>
    <r>
      <rPr>
        <b/>
        <sz val="10"/>
        <rFont val="Arial"/>
        <family val="2"/>
      </rPr>
      <t>E</t>
    </r>
    <r>
      <rPr>
        <b/>
        <sz val="10"/>
        <rFont val="微软雅黑"/>
        <family val="2"/>
        <charset val="134"/>
      </rPr>
      <t>、</t>
    </r>
    <r>
      <rPr>
        <b/>
        <sz val="10"/>
        <rFont val="Arial"/>
        <family val="2"/>
      </rPr>
      <t>V</t>
    </r>
    <r>
      <rPr>
        <b/>
        <sz val="10"/>
        <rFont val="微软雅黑"/>
        <family val="2"/>
        <charset val="134"/>
      </rPr>
      <t>、</t>
    </r>
    <r>
      <rPr>
        <b/>
        <sz val="10"/>
        <rFont val="Arial"/>
        <family val="2"/>
      </rPr>
      <t>C</t>
    </r>
    <r>
      <rPr>
        <b/>
        <sz val="10"/>
        <rFont val="微软雅黑"/>
        <family val="2"/>
        <charset val="134"/>
      </rPr>
      <t>、</t>
    </r>
    <r>
      <rPr>
        <b/>
        <sz val="10"/>
        <rFont val="Arial"/>
        <family val="2"/>
      </rPr>
      <t>M</t>
    </r>
    <r>
      <rPr>
        <b/>
        <sz val="10"/>
        <rFont val="微软雅黑"/>
        <family val="2"/>
        <charset val="134"/>
      </rPr>
      <t>）</t>
    </r>
  </si>
  <si>
    <r>
      <rPr>
        <sz val="10"/>
        <color theme="1"/>
        <rFont val="微软雅黑"/>
        <family val="2"/>
        <charset val="134"/>
      </rPr>
      <t>获取固定资产后推明细表，并将其与试算平衡表和固定资产清单核对一致。</t>
    </r>
  </si>
  <si>
    <t>K.01 Agree SL to GL</t>
  </si>
  <si>
    <t>K.02</t>
  </si>
  <si>
    <r>
      <rPr>
        <b/>
        <sz val="10"/>
        <color rgb="FF000000"/>
        <rFont val="Arial"/>
        <family val="2"/>
      </rPr>
      <t xml:space="preserve">K.02.1 </t>
    </r>
    <r>
      <rPr>
        <b/>
        <sz val="10"/>
        <color rgb="FF000000"/>
        <rFont val="微软雅黑"/>
        <family val="2"/>
        <charset val="134"/>
      </rPr>
      <t>新增测试</t>
    </r>
    <r>
      <rPr>
        <b/>
        <sz val="10"/>
        <color rgb="FF000000"/>
        <rFont val="Microsoft YaHei"/>
        <charset val="134"/>
      </rPr>
      <t>（认定：</t>
    </r>
    <r>
      <rPr>
        <b/>
        <sz val="10"/>
        <color rgb="FF000000"/>
        <rFont val="Arial"/>
        <family val="2"/>
      </rPr>
      <t>E</t>
    </r>
    <r>
      <rPr>
        <b/>
        <sz val="10"/>
        <color rgb="FF000000"/>
        <rFont val="Microsoft YaHei"/>
        <charset val="134"/>
      </rPr>
      <t>、</t>
    </r>
    <r>
      <rPr>
        <b/>
        <sz val="10"/>
        <color rgb="FF000000"/>
        <rFont val="Arial"/>
        <family val="2"/>
      </rPr>
      <t>V</t>
    </r>
    <r>
      <rPr>
        <b/>
        <sz val="10"/>
        <color rgb="FF000000"/>
        <rFont val="Microsoft YaHei"/>
        <charset val="134"/>
      </rPr>
      <t>、</t>
    </r>
    <r>
      <rPr>
        <b/>
        <sz val="10"/>
        <color rgb="FF000000"/>
        <rFont val="Arial"/>
        <family val="2"/>
      </rPr>
      <t>C</t>
    </r>
    <r>
      <rPr>
        <b/>
        <sz val="10"/>
        <color rgb="FF000000"/>
        <rFont val="Microsoft YaHei"/>
        <charset val="134"/>
      </rPr>
      <t>、</t>
    </r>
    <r>
      <rPr>
        <b/>
        <sz val="10"/>
        <color rgb="FF000000"/>
        <rFont val="Arial"/>
        <family val="2"/>
      </rPr>
      <t>P&amp;D</t>
    </r>
    <r>
      <rPr>
        <b/>
        <sz val="10"/>
        <color rgb="FF000000"/>
        <rFont val="Microsoft YaHei"/>
        <charset val="134"/>
      </rPr>
      <t>）</t>
    </r>
  </si>
  <si>
    <r>
      <rPr>
        <sz val="10"/>
        <color theme="1"/>
        <rFont val="微软雅黑"/>
        <family val="2"/>
        <charset val="134"/>
      </rPr>
      <t>获取当期按类别划分的所有固定资产新增清单，并将该清单与固定资产后推核对一致，调查超过</t>
    </r>
    <r>
      <rPr>
        <sz val="10"/>
        <color theme="1"/>
        <rFont val="Arial"/>
        <family val="2"/>
      </rPr>
      <t>SAD</t>
    </r>
    <r>
      <rPr>
        <sz val="10"/>
        <color theme="1"/>
        <rFont val="微软雅黑"/>
        <family val="2"/>
        <charset val="134"/>
      </rPr>
      <t>名义金额的差额。</t>
    </r>
  </si>
  <si>
    <r>
      <rPr>
        <b/>
        <u/>
        <sz val="10"/>
        <color theme="4"/>
        <rFont val="微软雅黑"/>
        <family val="2"/>
        <charset val="134"/>
      </rPr>
      <t>新增清单</t>
    </r>
  </si>
  <si>
    <r>
      <rPr>
        <sz val="10"/>
        <color theme="1"/>
        <rFont val="微软雅黑"/>
        <family val="2"/>
        <charset val="134"/>
      </rPr>
      <t>对本年新增资产执行关键性样本测试和代表性样本测试（如需要）。</t>
    </r>
  </si>
  <si>
    <r>
      <rPr>
        <b/>
        <u/>
        <sz val="10"/>
        <color theme="4"/>
        <rFont val="Arial"/>
        <family val="2"/>
      </rPr>
      <t xml:space="preserve">K.02.1 </t>
    </r>
    <r>
      <rPr>
        <b/>
        <u/>
        <sz val="10"/>
        <color theme="4"/>
        <rFont val="微软雅黑"/>
        <family val="2"/>
        <charset val="134"/>
      </rPr>
      <t>新增测试</t>
    </r>
  </si>
  <si>
    <t>K.02.1a 新增选样输出</t>
  </si>
  <si>
    <r>
      <rPr>
        <b/>
        <sz val="10"/>
        <color rgb="FF000000"/>
        <rFont val="Arial"/>
        <family val="2"/>
      </rPr>
      <t xml:space="preserve">K.02.2 </t>
    </r>
    <r>
      <rPr>
        <b/>
        <sz val="10"/>
        <color rgb="FF000000"/>
        <rFont val="微软雅黑"/>
        <family val="2"/>
        <charset val="134"/>
      </rPr>
      <t>处置测试（认定：E、V、R&amp;O）</t>
    </r>
  </si>
  <si>
    <r>
      <rPr>
        <sz val="10"/>
        <color theme="1"/>
        <rFont val="微软雅黑"/>
        <family val="2"/>
        <charset val="134"/>
      </rPr>
      <t>获取当期按类别划分的所有固定资产处置清单，包括记录的处置的损益，并将该清单与固定资产后推核对一致，我们调查超过</t>
    </r>
    <r>
      <rPr>
        <sz val="10"/>
        <color theme="1"/>
        <rFont val="Arial"/>
        <family val="2"/>
      </rPr>
      <t>SAD</t>
    </r>
    <r>
      <rPr>
        <sz val="10"/>
        <color theme="1"/>
        <rFont val="微软雅黑"/>
        <family val="2"/>
        <charset val="134"/>
      </rPr>
      <t>名义金额的差额。</t>
    </r>
  </si>
  <si>
    <r>
      <rPr>
        <b/>
        <u/>
        <sz val="10"/>
        <color theme="4"/>
        <rFont val="微软雅黑"/>
        <family val="2"/>
        <charset val="134"/>
      </rPr>
      <t>处置清单</t>
    </r>
  </si>
  <si>
    <t>对本年处置资产执行关键性样本测试和代表性样本测试（如需要）。</t>
  </si>
  <si>
    <r>
      <rPr>
        <b/>
        <u/>
        <sz val="10"/>
        <color theme="4"/>
        <rFont val="Arial"/>
        <family val="2"/>
      </rPr>
      <t xml:space="preserve">K.02.2 </t>
    </r>
    <r>
      <rPr>
        <b/>
        <u/>
        <sz val="11"/>
        <color theme="4"/>
        <rFont val="微软雅黑"/>
        <family val="2"/>
        <charset val="134"/>
      </rPr>
      <t>处置测试</t>
    </r>
  </si>
  <si>
    <t>K.02.2a 处置选样输出</t>
  </si>
  <si>
    <t>K.03</t>
  </si>
  <si>
    <r>
      <rPr>
        <b/>
        <sz val="10"/>
        <rFont val="Arial"/>
        <family val="2"/>
      </rPr>
      <t xml:space="preserve">K.03 </t>
    </r>
    <r>
      <rPr>
        <b/>
        <sz val="10"/>
        <rFont val="微软雅黑"/>
        <family val="2"/>
        <charset val="134"/>
      </rPr>
      <t>折旧测试（认定：</t>
    </r>
    <r>
      <rPr>
        <b/>
        <sz val="10"/>
        <rFont val="Arial"/>
        <family val="2"/>
      </rPr>
      <t>IS:V</t>
    </r>
    <r>
      <rPr>
        <b/>
        <sz val="10"/>
        <rFont val="微软雅黑"/>
        <family val="2"/>
        <charset val="134"/>
      </rPr>
      <t>、</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P&amp;D</t>
    </r>
    <r>
      <rPr>
        <b/>
        <sz val="10"/>
        <rFont val="微软雅黑"/>
        <family val="2"/>
        <charset val="134"/>
      </rPr>
      <t>）</t>
    </r>
  </si>
  <si>
    <r>
      <rPr>
        <sz val="10"/>
        <color rgb="FF000000"/>
        <rFont val="微软雅黑"/>
        <family val="2"/>
        <charset val="134"/>
      </rPr>
      <t>执行实质性分析程序</t>
    </r>
    <r>
      <rPr>
        <sz val="10"/>
        <color rgb="FF000000"/>
        <rFont val="Arial"/>
        <family val="2"/>
      </rPr>
      <t>(SAP)</t>
    </r>
    <r>
      <rPr>
        <sz val="10"/>
        <color rgb="FF000000"/>
        <rFont val="微软雅黑"/>
        <family val="2"/>
        <charset val="134"/>
      </rPr>
      <t>测试折旧费用，可参考264 GL 或K.03.1 SAP模板执行。如不执行，可直接执行K.03.2 折旧测试TOD。</t>
    </r>
  </si>
  <si>
    <t>K.03.1 SAP</t>
  </si>
  <si>
    <t>如选择执行详细测试，可使用该底稿记录。</t>
  </si>
  <si>
    <r>
      <rPr>
        <b/>
        <u/>
        <sz val="10"/>
        <color theme="4"/>
        <rFont val="Arial"/>
        <family val="2"/>
      </rPr>
      <t xml:space="preserve">K.03.2 </t>
    </r>
    <r>
      <rPr>
        <b/>
        <u/>
        <sz val="10"/>
        <color theme="4"/>
        <rFont val="微软雅黑"/>
        <family val="2"/>
        <charset val="134"/>
      </rPr>
      <t>折旧测试</t>
    </r>
    <r>
      <rPr>
        <b/>
        <u/>
        <sz val="10"/>
        <color theme="4"/>
        <rFont val="Arial"/>
        <family val="2"/>
      </rPr>
      <t>TOD</t>
    </r>
  </si>
  <si>
    <t>检查固定资产各项目的折旧政策是否符合有关规定，是否与上期一致，评价其合理性。若改变折旧政策，检查其依据是否充分。</t>
  </si>
  <si>
    <r>
      <rPr>
        <b/>
        <u/>
        <sz val="10"/>
        <color theme="4"/>
        <rFont val="Arial"/>
        <family val="2"/>
      </rPr>
      <t xml:space="preserve">K.03.3 </t>
    </r>
    <r>
      <rPr>
        <b/>
        <u/>
        <sz val="10"/>
        <color theme="4"/>
        <rFont val="微软雅黑"/>
        <family val="2"/>
        <charset val="134"/>
      </rPr>
      <t>折旧政策复核</t>
    </r>
  </si>
  <si>
    <t>K.04</t>
  </si>
  <si>
    <r>
      <rPr>
        <b/>
        <sz val="10"/>
        <color rgb="FF000000"/>
        <rFont val="Arial"/>
        <family val="2"/>
      </rPr>
      <t>K.04 固定资产的减值</t>
    </r>
    <r>
      <rPr>
        <b/>
        <sz val="10"/>
        <color rgb="FF000000"/>
        <rFont val="Microsoft YaHei"/>
        <charset val="134"/>
      </rPr>
      <t>（认定：BS：</t>
    </r>
    <r>
      <rPr>
        <b/>
        <sz val="10"/>
        <color rgb="FF000000"/>
        <rFont val="Arial"/>
        <family val="2"/>
      </rPr>
      <t>V  IS：M</t>
    </r>
    <r>
      <rPr>
        <b/>
        <sz val="10"/>
        <color rgb="FF000000"/>
        <rFont val="Microsoft YaHei"/>
        <charset val="134"/>
      </rPr>
      <t>）</t>
    </r>
  </si>
  <si>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</si>
  <si>
    <r>
      <rPr>
        <b/>
        <sz val="14"/>
        <color rgb="FFFFFFFF"/>
        <rFont val="微软雅黑"/>
        <family val="2"/>
        <charset val="134"/>
      </rPr>
      <t xml:space="preserve">                                                                                                                             标准工作底稿</t>
    </r>
    <r>
      <rPr>
        <b/>
        <sz val="14"/>
        <color rgb="FFFFFFFF"/>
        <rFont val="Arial"/>
        <family val="2"/>
      </rPr>
      <t xml:space="preserve">: K1 SWP </t>
    </r>
    <r>
      <rPr>
        <b/>
        <sz val="14"/>
        <color rgb="FFFFFFFF"/>
        <rFont val="微软雅黑"/>
        <family val="2"/>
        <charset val="134"/>
      </rPr>
      <t>不动产、厂房和设备及相关账户（</t>
    </r>
    <r>
      <rPr>
        <b/>
        <sz val="14"/>
        <color rgb="FFFFFFFF"/>
        <rFont val="Arial"/>
        <family val="2"/>
      </rPr>
      <t>PPE</t>
    </r>
    <r>
      <rPr>
        <b/>
        <sz val="14"/>
        <color rgb="FFFFFFFF"/>
        <rFont val="微软雅黑"/>
        <family val="2"/>
        <charset val="134"/>
      </rPr>
      <t>）</t>
    </r>
  </si>
  <si>
    <r>
      <rPr>
        <b/>
        <sz val="12"/>
        <rFont val="微软雅黑"/>
        <family val="2"/>
        <charset val="134"/>
      </rPr>
      <t>客户名称</t>
    </r>
  </si>
  <si>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•K.00 PPE</t>
    </r>
    <r>
      <rPr>
        <b/>
        <sz val="12"/>
        <color rgb="FF000000"/>
        <rFont val="微软雅黑"/>
        <family val="2"/>
        <charset val="134"/>
      </rPr>
      <t xml:space="preserve">引导表
</t>
    </r>
    <r>
      <rPr>
        <b/>
        <sz val="12"/>
        <color rgb="FF000000"/>
        <rFont val="Arial"/>
        <family val="2"/>
      </rPr>
      <t xml:space="preserve">•K.01 </t>
    </r>
    <r>
      <rPr>
        <b/>
        <sz val="12"/>
        <color rgb="FF000000"/>
        <rFont val="微软雅黑"/>
        <family val="2"/>
        <charset val="134"/>
      </rPr>
      <t xml:space="preserve">将明细账与总账核对一致
</t>
    </r>
    <r>
      <rPr>
        <b/>
        <sz val="12"/>
        <color rgb="FF000000"/>
        <rFont val="Arial"/>
        <family val="2"/>
      </rPr>
      <t xml:space="preserve">•K.02 </t>
    </r>
    <r>
      <rPr>
        <b/>
        <sz val="12"/>
        <color rgb="FF000000"/>
        <rFont val="微软雅黑"/>
        <family val="2"/>
        <charset val="134"/>
      </rPr>
      <t xml:space="preserve">增加和处置
</t>
    </r>
    <r>
      <rPr>
        <b/>
        <sz val="12"/>
        <color rgb="FF000000"/>
        <rFont val="Arial"/>
        <family val="2"/>
      </rPr>
      <t xml:space="preserve">•K.03 </t>
    </r>
    <r>
      <rPr>
        <b/>
        <sz val="12"/>
        <color rgb="FF000000"/>
        <rFont val="微软雅黑"/>
        <family val="2"/>
        <charset val="134"/>
      </rPr>
      <t xml:space="preserve">折旧、损耗和摊销
</t>
    </r>
    <r>
      <rPr>
        <b/>
        <sz val="12"/>
        <color rgb="FF000000"/>
        <rFont val="Arial"/>
        <family val="2"/>
      </rPr>
      <t xml:space="preserve">•K.04 </t>
    </r>
    <r>
      <rPr>
        <b/>
        <sz val="12"/>
        <color rgb="FF000000"/>
        <rFont val="微软雅黑"/>
        <family val="2"/>
        <charset val="134"/>
      </rPr>
      <t xml:space="preserve">固定资产减值
</t>
    </r>
    <r>
      <rPr>
        <b/>
        <sz val="12"/>
        <color rgb="FF000000"/>
        <rFont val="Arial"/>
        <family val="2"/>
      </rPr>
      <t>•</t>
    </r>
    <r>
      <rPr>
        <b/>
        <sz val="12"/>
        <color rgb="FF000000"/>
        <rFont val="微软雅黑"/>
        <family val="2"/>
        <charset val="134"/>
      </rPr>
      <t>账户结论</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</si>
  <si>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</si>
  <si>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</si>
  <si>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rFont val="Arial"/>
        <family val="2"/>
      </rPr>
      <t>TE</t>
    </r>
    <r>
      <rPr>
        <b/>
        <sz val="12"/>
        <rFont val="微软雅黑"/>
        <family val="2"/>
        <charset val="134"/>
      </rPr>
      <t>）</t>
    </r>
  </si>
  <si>
    <r>
      <rPr>
        <b/>
        <sz val="12"/>
        <rFont val="微软雅黑"/>
        <family val="2"/>
        <charset val="134"/>
      </rPr>
      <t>名义金额（</t>
    </r>
    <r>
      <rPr>
        <b/>
        <sz val="12"/>
        <rFont val="Arial"/>
        <family val="2"/>
      </rPr>
      <t>SAD</t>
    </r>
    <r>
      <rPr>
        <b/>
        <sz val="12"/>
        <rFont val="微软雅黑"/>
        <family val="2"/>
        <charset val="134"/>
      </rPr>
      <t>）</t>
    </r>
  </si>
  <si>
    <r>
      <rPr>
        <b/>
        <sz val="12"/>
        <rFont val="微软雅黑"/>
        <family val="2"/>
        <charset val="134"/>
      </rPr>
      <t>适用会计准则（</t>
    </r>
    <r>
      <rPr>
        <b/>
        <sz val="12"/>
        <rFont val="Arial"/>
        <family val="2"/>
      </rPr>
      <t>GAAP</t>
    </r>
    <r>
      <rPr>
        <b/>
        <sz val="12"/>
        <rFont val="微软雅黑"/>
        <family val="2"/>
        <charset val="134"/>
      </rPr>
      <t>）</t>
    </r>
  </si>
  <si>
    <t>PRC</t>
  </si>
  <si>
    <r>
      <rPr>
        <b/>
        <sz val="12"/>
        <rFont val="微软雅黑"/>
        <family val="2"/>
        <charset val="134"/>
      </rPr>
      <t>记账本位币</t>
    </r>
  </si>
  <si>
    <t>CNY</t>
  </si>
  <si>
    <r>
      <rPr>
        <b/>
        <sz val="12"/>
        <color rgb="FF000000"/>
        <rFont val="Arial"/>
        <family val="2"/>
      </rPr>
      <t xml:space="preserve">K.00 </t>
    </r>
    <r>
      <rPr>
        <b/>
        <sz val="12"/>
        <color rgb="FF000000"/>
        <rFont val="微软雅黑"/>
        <family val="2"/>
        <charset val="134"/>
      </rPr>
      <t>编制引导表并比较余额</t>
    </r>
  </si>
  <si>
    <t>返回汇总页</t>
  </si>
  <si>
    <t>Threshold(s)</t>
  </si>
  <si>
    <r>
      <rPr>
        <b/>
        <sz val="10"/>
        <rFont val="微软雅黑"/>
        <family val="2"/>
        <charset val="134"/>
      </rPr>
      <t>安永标记</t>
    </r>
  </si>
  <si>
    <r>
      <rPr>
        <b/>
        <sz val="10"/>
        <rFont val="微软雅黑"/>
        <family val="2"/>
        <charset val="134"/>
      </rPr>
      <t>认定</t>
    </r>
  </si>
  <si>
    <t>CRA</t>
  </si>
  <si>
    <r>
      <rPr>
        <b/>
        <sz val="10"/>
        <rFont val="微软雅黑"/>
        <family val="2"/>
        <charset val="134"/>
      </rPr>
      <t>各项认定</t>
    </r>
    <r>
      <rPr>
        <b/>
        <vertAlign val="superscript"/>
        <sz val="10"/>
        <color rgb="FFFF0000"/>
        <rFont val="Arial"/>
        <family val="2"/>
      </rPr>
      <t>1</t>
    </r>
  </si>
  <si>
    <r>
      <rPr>
        <b/>
        <sz val="10"/>
        <rFont val="微软雅黑"/>
        <family val="2"/>
        <charset val="134"/>
      </rPr>
      <t>所有相关认定</t>
    </r>
    <r>
      <rPr>
        <b/>
        <sz val="10"/>
        <rFont val="Arial"/>
        <family val="2"/>
      </rPr>
      <t xml:space="preserve"> </t>
    </r>
    <r>
      <rPr>
        <b/>
        <vertAlign val="superscript"/>
        <sz val="10"/>
        <color rgb="FFFF0000"/>
        <rFont val="Arial"/>
        <family val="2"/>
      </rPr>
      <t>2</t>
    </r>
  </si>
  <si>
    <t>TB</t>
  </si>
  <si>
    <r>
      <rPr>
        <sz val="10"/>
        <color rgb="FF000000"/>
        <rFont val="微软雅黑"/>
        <family val="2"/>
        <charset val="134"/>
      </rPr>
      <t>已与科目余额表核对无误</t>
    </r>
  </si>
  <si>
    <r>
      <rPr>
        <sz val="10"/>
        <color rgb="FF000000"/>
        <rFont val="微软雅黑"/>
        <family val="2"/>
        <charset val="134"/>
      </rPr>
      <t>完整性（</t>
    </r>
    <r>
      <rPr>
        <sz val="10"/>
        <color rgb="FF000000"/>
        <rFont val="Arial"/>
        <family val="2"/>
      </rPr>
      <t>C</t>
    </r>
    <r>
      <rPr>
        <sz val="10"/>
        <color rgb="FF000000"/>
        <rFont val="微软雅黑"/>
        <family val="2"/>
        <charset val="134"/>
      </rPr>
      <t>）</t>
    </r>
  </si>
  <si>
    <t>PY</t>
  </si>
  <si>
    <r>
      <rPr>
        <sz val="10"/>
        <color rgb="FF000000"/>
        <rFont val="微软雅黑"/>
        <family val="2"/>
        <charset val="134"/>
      </rPr>
      <t>与上年最终审定数核对一致</t>
    </r>
  </si>
  <si>
    <r>
      <rPr>
        <sz val="10"/>
        <color rgb="FF000000"/>
        <rFont val="微软雅黑"/>
        <family val="2"/>
        <charset val="134"/>
      </rPr>
      <t>存在性</t>
    </r>
    <r>
      <rPr>
        <sz val="10"/>
        <color rgb="FF000000"/>
        <rFont val="Arial"/>
        <family val="2"/>
      </rPr>
      <t>/</t>
    </r>
    <r>
      <rPr>
        <sz val="10"/>
        <color rgb="FF000000"/>
        <rFont val="微软雅黑"/>
        <family val="2"/>
        <charset val="134"/>
      </rPr>
      <t>发生</t>
    </r>
    <r>
      <rPr>
        <sz val="10"/>
        <color rgb="FF000000"/>
        <rFont val="Arial"/>
        <family val="2"/>
      </rPr>
      <t xml:space="preserve"> (E/O)</t>
    </r>
  </si>
  <si>
    <t>A3</t>
  </si>
  <si>
    <r>
      <rPr>
        <sz val="10"/>
        <rFont val="微软雅黑"/>
        <family val="2"/>
        <charset val="134"/>
      </rPr>
      <t>与未审数、审定数核对一致</t>
    </r>
  </si>
  <si>
    <r>
      <rPr>
        <sz val="10"/>
        <color rgb="FF000000"/>
        <rFont val="微软雅黑"/>
        <family val="2"/>
        <charset val="134"/>
      </rPr>
      <t>计价</t>
    </r>
    <r>
      <rPr>
        <sz val="10"/>
        <color rgb="FF000000"/>
        <rFont val="Arial"/>
        <family val="2"/>
      </rPr>
      <t>/</t>
    </r>
    <r>
      <rPr>
        <sz val="10"/>
        <color rgb="FF000000"/>
        <rFont val="微软雅黑"/>
        <family val="2"/>
        <charset val="134"/>
      </rPr>
      <t>计量（</t>
    </r>
    <r>
      <rPr>
        <sz val="10"/>
        <color rgb="FF000000"/>
        <rFont val="Arial"/>
        <family val="2"/>
      </rPr>
      <t>V/M</t>
    </r>
    <r>
      <rPr>
        <sz val="10"/>
        <color rgb="FF000000"/>
        <rFont val="微软雅黑"/>
        <family val="2"/>
        <charset val="134"/>
      </rPr>
      <t>）</t>
    </r>
  </si>
  <si>
    <t>A5</t>
  </si>
  <si>
    <r>
      <rPr>
        <sz val="10"/>
        <rFont val="微软雅黑"/>
        <family val="2"/>
        <charset val="134"/>
      </rPr>
      <t>与审计调整核对一致</t>
    </r>
  </si>
  <si>
    <r>
      <rPr>
        <sz val="10"/>
        <color rgb="FF000000"/>
        <rFont val="微软雅黑"/>
        <family val="2"/>
        <charset val="134"/>
      </rPr>
      <t>权利和义务（</t>
    </r>
    <r>
      <rPr>
        <sz val="10"/>
        <color rgb="FF000000"/>
        <rFont val="Arial"/>
        <family val="2"/>
      </rPr>
      <t>R&amp;O</t>
    </r>
    <r>
      <rPr>
        <sz val="10"/>
        <color rgb="FF000000"/>
        <rFont val="微软雅黑"/>
        <family val="2"/>
        <charset val="134"/>
      </rPr>
      <t>）</t>
    </r>
  </si>
  <si>
    <t>FS</t>
  </si>
  <si>
    <r>
      <rPr>
        <sz val="10"/>
        <color rgb="FF000000"/>
        <rFont val="微软雅黑"/>
        <family val="2"/>
        <charset val="134"/>
      </rPr>
      <t>与</t>
    </r>
    <r>
      <rPr>
        <sz val="10"/>
        <color rgb="FF000000"/>
        <rFont val="Arial"/>
        <family val="2"/>
      </rPr>
      <t>FS.0x</t>
    </r>
    <r>
      <rPr>
        <sz val="10"/>
        <color rgb="FF000000"/>
        <rFont val="微软雅黑"/>
        <family val="2"/>
        <charset val="134"/>
      </rPr>
      <t>与财务报表核对无误</t>
    </r>
  </si>
  <si>
    <r>
      <rPr>
        <sz val="10"/>
        <color rgb="FF000000"/>
        <rFont val="微软雅黑"/>
        <family val="2"/>
        <charset val="134"/>
      </rPr>
      <t>列报和披露（</t>
    </r>
    <r>
      <rPr>
        <sz val="10"/>
        <color rgb="FF000000"/>
        <rFont val="Arial"/>
        <family val="2"/>
      </rPr>
      <t>P&amp;D</t>
    </r>
    <r>
      <rPr>
        <sz val="10"/>
        <color rgb="FF000000"/>
        <rFont val="微软雅黑"/>
        <family val="2"/>
        <charset val="134"/>
      </rPr>
      <t>）</t>
    </r>
  </si>
  <si>
    <t>w</t>
  </si>
  <si>
    <r>
      <rPr>
        <sz val="10"/>
        <color rgb="FF000000"/>
        <rFont val="微软雅黑"/>
        <family val="2"/>
        <charset val="134"/>
      </rPr>
      <t>低于</t>
    </r>
    <r>
      <rPr>
        <sz val="10"/>
        <color rgb="FF000000"/>
        <rFont val="Arial"/>
        <family val="2"/>
      </rPr>
      <t>SAD</t>
    </r>
    <r>
      <rPr>
        <sz val="10"/>
        <color rgb="FF000000"/>
        <rFont val="微软雅黑"/>
        <family val="2"/>
        <charset val="134"/>
      </rPr>
      <t>的金额</t>
    </r>
    <r>
      <rPr>
        <sz val="10"/>
        <color rgb="FF000000"/>
        <rFont val="Arial"/>
        <family val="2"/>
      </rPr>
      <t>——</t>
    </r>
    <r>
      <rPr>
        <sz val="10"/>
        <color rgb="FF000000"/>
        <rFont val="微软雅黑"/>
        <family val="2"/>
        <charset val="134"/>
      </rPr>
      <t>放弃进一步调查</t>
    </r>
  </si>
  <si>
    <r>
      <rPr>
        <b/>
        <i/>
        <sz val="9"/>
        <color rgb="FFFF0000"/>
        <rFont val="Arial"/>
        <family val="2"/>
      </rP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</si>
  <si>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t>Rx</t>
  </si>
  <si>
    <r>
      <rPr>
        <sz val="10"/>
        <color rgb="FF000000"/>
        <rFont val="微软雅黑"/>
        <family val="2"/>
        <charset val="134"/>
      </rPr>
      <t>重新计算，无异常</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</si>
  <si>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</si>
  <si>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t>m</t>
  </si>
  <si>
    <r>
      <rPr>
        <sz val="10"/>
        <color rgb="FF000000"/>
        <rFont val="微软雅黑"/>
        <family val="2"/>
        <charset val="134"/>
      </rPr>
      <t>余额</t>
    </r>
    <r>
      <rPr>
        <sz val="10"/>
        <color rgb="FF000000"/>
        <rFont val="Arial"/>
        <family val="2"/>
      </rPr>
      <t>/</t>
    </r>
    <r>
      <rPr>
        <sz val="10"/>
        <color rgb="FF000000"/>
        <rFont val="微软雅黑"/>
        <family val="2"/>
        <charset val="134"/>
      </rPr>
      <t>活动不符合测试范围</t>
    </r>
    <r>
      <rPr>
        <sz val="10"/>
        <color rgb="FF000000"/>
        <rFont val="Arial"/>
        <family val="2"/>
      </rPr>
      <t>–</t>
    </r>
    <r>
      <rPr>
        <sz val="10"/>
        <color rgb="FF000000"/>
        <rFont val="微软雅黑"/>
        <family val="2"/>
        <charset val="134"/>
      </rPr>
      <t>无需进一步调查</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</si>
  <si>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</si>
  <si>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t>SL</t>
  </si>
  <si>
    <r>
      <rPr>
        <sz val="10"/>
        <color rgb="FF000000"/>
        <rFont val="微软雅黑"/>
        <family val="2"/>
        <charset val="134"/>
      </rPr>
      <t>已与明细账核对无误</t>
    </r>
  </si>
  <si>
    <r>
      <rPr>
        <b/>
        <i/>
        <sz val="9"/>
        <color rgb="FFFF0000"/>
        <rFont val="Arial"/>
        <family val="2"/>
      </rP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t>
    </r>
  </si>
  <si>
    <r>
      <rPr>
        <b/>
        <i/>
        <sz val="9"/>
        <color rgb="FFFF0000"/>
        <rFont val="Arial"/>
        <family val="2"/>
      </rPr>
      <t>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</si>
  <si>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在下文中描述我们对固定资产在此期间的相关账户余额和相关波动的预期，以及我们对这些预期的依据和理由。</t>
    </r>
  </si>
  <si>
    <r>
      <rPr>
        <b/>
        <sz val="10"/>
        <color theme="1"/>
        <rFont val="微软雅黑"/>
        <family val="2"/>
        <charset val="134"/>
      </rPr>
      <t>账户变更</t>
    </r>
  </si>
  <si>
    <r>
      <rPr>
        <b/>
        <sz val="10"/>
        <color theme="1"/>
        <rFont val="微软雅黑"/>
        <family val="2"/>
        <charset val="134"/>
      </rPr>
      <t>预期及额外考虑</t>
    </r>
  </si>
  <si>
    <t>直线法，我们预计本年较上年无变化。</t>
  </si>
  <si>
    <t>因为被审计单位折旧方法和使用寿命没有变化，将与往年一样正常计提折旧。因此，我们预计本年度累计折旧较上年增加系东风（武汉）电驱动系统有限公司转入新增。</t>
  </si>
  <si>
    <t>由于本年度被审计单位的折旧政策未发生变化，我们预计被审计单位固定资产的使用寿命也不会发生变化。</t>
  </si>
  <si>
    <r>
      <rPr>
        <b/>
        <sz val="10"/>
        <rFont val="微软雅黑"/>
        <family val="2"/>
        <charset val="134"/>
      </rPr>
      <t>波动范围</t>
    </r>
  </si>
  <si>
    <r>
      <rPr>
        <b/>
        <sz val="10"/>
        <rFont val="微软雅黑"/>
        <family val="2"/>
        <charset val="134"/>
      </rPr>
      <t>波动幅度</t>
    </r>
    <r>
      <rPr>
        <b/>
        <sz val="10"/>
        <rFont val="Arial"/>
        <family val="2"/>
      </rPr>
      <t xml:space="preserve"> (%):</t>
    </r>
  </si>
  <si>
    <r>
      <rPr>
        <b/>
        <sz val="10"/>
        <rFont val="微软雅黑"/>
        <family val="2"/>
        <charset val="134"/>
      </rPr>
      <t>我们获取或编制了与上期对比的重大账户（固定资产）引导表。我们将本期余额与试算平衡表核对一致，并将上期余额与上期审定数核对一致</t>
    </r>
    <r>
      <rPr>
        <b/>
        <sz val="10"/>
        <color rgb="FFFF0000"/>
        <rFont val="微软雅黑"/>
        <family val="2"/>
        <charset val="134"/>
      </rPr>
      <t>（如适用）</t>
    </r>
    <r>
      <rPr>
        <b/>
        <sz val="10"/>
        <rFont val="微软雅黑"/>
        <family val="2"/>
        <charset val="134"/>
      </rPr>
      <t>。</t>
    </r>
  </si>
  <si>
    <r>
      <rPr>
        <b/>
        <sz val="10"/>
        <rFont val="微软雅黑"/>
        <family val="2"/>
        <charset val="134"/>
      </rPr>
      <t>我们将期末余额与上期余额进行对比。调查超出测试阈值（金额和百分比）的波动，以及代表异常或预期外变动或未发生预期中变动的波动，并确定其对我们计划实质性程序的影响</t>
    </r>
    <r>
      <rPr>
        <b/>
        <sz val="10"/>
        <color rgb="FFFF0000"/>
        <rFont val="Arial"/>
        <family val="2"/>
      </rPr>
      <t xml:space="preserve"> (</t>
    </r>
    <r>
      <rPr>
        <b/>
        <sz val="10"/>
        <color rgb="FFFF0000"/>
        <rFont val="微软雅黑"/>
        <family val="2"/>
        <charset val="134"/>
      </rPr>
      <t>如有</t>
    </r>
    <r>
      <rPr>
        <b/>
        <sz val="10"/>
        <color rgb="FFFF0000"/>
        <rFont val="Arial"/>
        <family val="2"/>
      </rPr>
      <t>)</t>
    </r>
    <r>
      <rPr>
        <b/>
        <sz val="10"/>
        <rFont val="微软雅黑"/>
        <family val="2"/>
        <charset val="134"/>
      </rPr>
      <t>。</t>
    </r>
  </si>
  <si>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</si>
  <si>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</si>
  <si>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</si>
  <si>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</si>
  <si>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</si>
  <si>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</si>
  <si>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</si>
  <si>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</si>
  <si>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</si>
  <si>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</si>
  <si>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</si>
  <si>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</si>
  <si>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</si>
  <si>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</si>
  <si>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</si>
  <si>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</si>
  <si>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</si>
  <si>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b/>
        <sz val="10"/>
        <rFont val="微软雅黑"/>
        <family val="2"/>
        <charset val="134"/>
      </rPr>
      <t>原值</t>
    </r>
  </si>
  <si>
    <t>否</t>
  </si>
  <si>
    <r>
      <rPr>
        <b/>
        <sz val="10"/>
        <rFont val="微软雅黑"/>
        <family val="2"/>
        <charset val="134"/>
      </rPr>
      <t>累计折旧</t>
    </r>
  </si>
  <si>
    <r>
      <rPr>
        <b/>
        <sz val="10"/>
        <rFont val="微软雅黑"/>
        <family val="2"/>
        <charset val="134"/>
      </rPr>
      <t>减值准备</t>
    </r>
  </si>
  <si>
    <r>
      <rPr>
        <b/>
        <sz val="10"/>
        <color rgb="FF000000"/>
        <rFont val="微软雅黑"/>
        <family val="2"/>
        <charset val="134"/>
      </rPr>
      <t>净值</t>
    </r>
  </si>
  <si>
    <t>check with A3</t>
  </si>
  <si>
    <t>Diff</t>
  </si>
  <si>
    <t>波动说明</t>
  </si>
  <si>
    <r>
      <rPr>
        <b/>
        <sz val="14"/>
        <color theme="0"/>
        <rFont val="微软雅黑"/>
        <family val="2"/>
        <charset val="134"/>
      </rPr>
      <t>标准工作底稿</t>
    </r>
    <r>
      <rPr>
        <b/>
        <sz val="14"/>
        <color theme="0"/>
        <rFont val="Arial"/>
        <family val="2"/>
      </rPr>
      <t xml:space="preserve">: K1 SWP </t>
    </r>
    <r>
      <rPr>
        <b/>
        <sz val="14"/>
        <color theme="0"/>
        <rFont val="微软雅黑"/>
        <family val="2"/>
        <charset val="134"/>
      </rPr>
      <t>不动产、厂房和设备及相关账户（</t>
    </r>
    <r>
      <rPr>
        <b/>
        <sz val="14"/>
        <color theme="0"/>
        <rFont val="Arial"/>
        <family val="2"/>
      </rPr>
      <t>PPE</t>
    </r>
    <r>
      <rPr>
        <b/>
        <sz val="14"/>
        <color theme="0"/>
        <rFont val="微软雅黑"/>
        <family val="2"/>
        <charset val="134"/>
      </rPr>
      <t>）</t>
    </r>
  </si>
  <si>
    <r>
      <rPr>
        <b/>
        <sz val="12"/>
        <color rgb="FF000000"/>
        <rFont val="Arial"/>
        <family val="2"/>
      </rPr>
      <t xml:space="preserve">K.01 </t>
    </r>
    <r>
      <rPr>
        <b/>
        <sz val="12"/>
        <color rgb="FF000000"/>
        <rFont val="微软雅黑"/>
        <family val="2"/>
        <charset val="134"/>
      </rPr>
      <t>将明细账与总账核对一致</t>
    </r>
  </si>
  <si>
    <r>
      <rPr>
        <b/>
        <sz val="10"/>
        <rFont val="微软雅黑"/>
        <family val="2"/>
        <charset val="134"/>
      </rPr>
      <t>获取上期末至本期末（或中期，如适用）固定资产及相关新增、处置、转让和折旧的后推明细表。（原值、累计折旧、减值均为正数填列，本期减少以负数填列，账表调整、审计调整数据均直接链接至</t>
    </r>
    <r>
      <rPr>
        <b/>
        <sz val="10"/>
        <rFont val="Arial"/>
        <family val="2"/>
      </rPr>
      <t>K.00 Lead</t>
    </r>
    <r>
      <rPr>
        <b/>
        <sz val="10"/>
        <rFont val="微软雅黑"/>
        <family val="2"/>
        <charset val="134"/>
      </rPr>
      <t>。）</t>
    </r>
  </si>
  <si>
    <r>
      <rPr>
        <b/>
        <sz val="10"/>
        <rFont val="微软雅黑"/>
        <family val="2"/>
        <charset val="134"/>
      </rPr>
      <t>我们将期初固定资产余额与上期审定数核对一致，将期末固定资产余额与固定资产明细账和试算表核对一致。我们调查了大于</t>
    </r>
    <r>
      <rPr>
        <b/>
        <sz val="10"/>
        <rFont val="Arial"/>
        <family val="2"/>
      </rPr>
      <t>SAD</t>
    </r>
    <r>
      <rPr>
        <b/>
        <sz val="10"/>
        <rFont val="微软雅黑"/>
        <family val="2"/>
        <charset val="134"/>
      </rPr>
      <t>的差异。我们将利润表金额（如，折旧费用）与试算表核对一致</t>
    </r>
    <r>
      <rPr>
        <b/>
        <sz val="10"/>
        <color rgb="FFFF0000"/>
        <rFont val="微软雅黑"/>
        <family val="2"/>
        <charset val="134"/>
      </rPr>
      <t>（如适用）</t>
    </r>
    <r>
      <rPr>
        <b/>
        <sz val="10"/>
        <rFont val="微软雅黑"/>
        <family val="2"/>
        <charset val="134"/>
      </rPr>
      <t>。</t>
    </r>
  </si>
  <si>
    <r>
      <rPr>
        <b/>
        <sz val="10"/>
        <rFont val="微软雅黑"/>
        <family val="2"/>
        <charset val="134"/>
      </rPr>
      <t>我们选择了超过测试阈值的后推活动（如，新增、处置、固定资产转入、转移和折旧费用），以执行</t>
    </r>
    <r>
      <rPr>
        <b/>
        <sz val="10"/>
        <rFont val="Arial"/>
        <family val="2"/>
      </rPr>
      <t>K.02</t>
    </r>
    <r>
      <rPr>
        <b/>
        <sz val="10"/>
        <rFont val="微软雅黑"/>
        <family val="2"/>
        <charset val="134"/>
      </rPr>
      <t>和</t>
    </r>
    <r>
      <rPr>
        <b/>
        <sz val="10"/>
        <rFont val="Arial"/>
        <family val="2"/>
      </rPr>
      <t>K.03</t>
    </r>
    <r>
      <rPr>
        <b/>
        <sz val="10"/>
        <rFont val="微软雅黑"/>
        <family val="2"/>
        <charset val="134"/>
      </rPr>
      <t>的实质性程序。对于未包含在本程序表范围内的程序，我们交叉索引至完成该程序的单独程序表。我们评估了固定资产的转移和其他调整，以了解调整的性质，并确定是否需要执行额外程序。</t>
    </r>
  </si>
  <si>
    <t xml:space="preserve"> </t>
  </si>
  <si>
    <r>
      <rPr>
        <b/>
        <sz val="10"/>
        <color rgb="FFFF0000"/>
        <rFont val="微软雅黑"/>
        <family val="2"/>
        <charset val="134"/>
      </rPr>
      <t>表</t>
    </r>
    <r>
      <rPr>
        <b/>
        <sz val="10"/>
        <color rgb="FFFF0000"/>
        <rFont val="Arial"/>
        <family val="2"/>
      </rPr>
      <t>1</t>
    </r>
  </si>
  <si>
    <t>房屋建筑物</t>
  </si>
  <si>
    <t>机器设备</t>
  </si>
  <si>
    <t>运输设备</t>
  </si>
  <si>
    <t>电子产品及通讯设备</t>
  </si>
  <si>
    <r>
      <rPr>
        <sz val="10"/>
        <rFont val="微软雅黑"/>
        <family val="2"/>
        <charset val="134"/>
      </rPr>
      <t>账面数</t>
    </r>
  </si>
  <si>
    <r>
      <rPr>
        <sz val="10"/>
        <rFont val="微软雅黑"/>
        <family val="2"/>
        <charset val="134"/>
      </rPr>
      <t>账表调整</t>
    </r>
    <r>
      <rPr>
        <sz val="10"/>
        <rFont val="Arial"/>
        <family val="2"/>
      </rPr>
      <t>/</t>
    </r>
    <r>
      <rPr>
        <sz val="10"/>
        <rFont val="微软雅黑"/>
        <family val="2"/>
        <charset val="134"/>
      </rPr>
      <t>审计调整</t>
    </r>
  </si>
  <si>
    <r>
      <rPr>
        <sz val="10"/>
        <rFont val="微软雅黑"/>
        <family val="2"/>
        <charset val="134"/>
      </rPr>
      <t>审定数</t>
    </r>
  </si>
  <si>
    <t>CHECK</t>
  </si>
  <si>
    <r>
      <rPr>
        <b/>
        <sz val="10"/>
        <rFont val="微软雅黑"/>
        <family val="2"/>
        <charset val="134"/>
      </rPr>
      <t>年初余额</t>
    </r>
  </si>
  <si>
    <r>
      <rPr>
        <sz val="10"/>
        <rFont val="微软雅黑"/>
        <family val="2"/>
        <charset val="134"/>
      </rPr>
      <t>购置</t>
    </r>
  </si>
  <si>
    <t>K.02.1</t>
  </si>
  <si>
    <t>其他转入-内部划转</t>
  </si>
  <si>
    <t>J1.02</t>
  </si>
  <si>
    <r>
      <rPr>
        <sz val="10"/>
        <rFont val="微软雅黑"/>
        <family val="2"/>
        <charset val="134"/>
      </rPr>
      <t>处置或报废</t>
    </r>
  </si>
  <si>
    <t>K.02.2</t>
  </si>
  <si>
    <t>其他减少-内部划转</t>
  </si>
  <si>
    <t>[…]</t>
  </si>
  <si>
    <r>
      <rPr>
        <b/>
        <sz val="10"/>
        <rFont val="微软雅黑"/>
        <family val="2"/>
        <charset val="134"/>
      </rPr>
      <t>年末余额</t>
    </r>
  </si>
  <si>
    <r>
      <rPr>
        <sz val="10"/>
        <rFont val="微软雅黑"/>
        <family val="2"/>
        <charset val="134"/>
      </rPr>
      <t>计提</t>
    </r>
  </si>
  <si>
    <t>K.03.2</t>
  </si>
  <si>
    <r>
      <rPr>
        <b/>
        <sz val="10"/>
        <color rgb="FFFF0000"/>
        <rFont val="Arial"/>
        <family val="2"/>
      </rPr>
      <t xml:space="preserve">&lt;K.03 </t>
    </r>
    <r>
      <rPr>
        <b/>
        <sz val="10"/>
        <color rgb="FFFF0000"/>
        <rFont val="宋体"/>
        <family val="3"/>
        <charset val="134"/>
      </rPr>
      <t>折旧测试</t>
    </r>
    <r>
      <rPr>
        <b/>
        <sz val="10"/>
        <color rgb="FFFF0000"/>
        <rFont val="Arial"/>
        <family val="2"/>
      </rPr>
      <t>&gt;</t>
    </r>
  </si>
  <si>
    <t>内部划转增加</t>
  </si>
  <si>
    <t>内部划转减少</t>
  </si>
  <si>
    <r>
      <rPr>
        <b/>
        <sz val="10"/>
        <color rgb="FFFF0000"/>
        <rFont val="Arial"/>
        <family val="2"/>
      </rPr>
      <t xml:space="preserve">SWP </t>
    </r>
    <r>
      <rPr>
        <b/>
        <sz val="10"/>
        <color rgb="FFFF0000"/>
        <rFont val="微软雅黑"/>
        <family val="2"/>
        <charset val="134"/>
      </rPr>
      <t>减值</t>
    </r>
  </si>
  <si>
    <r>
      <rPr>
        <sz val="10"/>
        <rFont val="微软雅黑"/>
        <family val="2"/>
        <charset val="134"/>
      </rPr>
      <t>内部重分类</t>
    </r>
  </si>
  <si>
    <r>
      <rPr>
        <b/>
        <sz val="10"/>
        <rFont val="微软雅黑"/>
        <family val="2"/>
        <charset val="134"/>
      </rPr>
      <t>净值</t>
    </r>
    <r>
      <rPr>
        <b/>
        <sz val="10"/>
        <rFont val="Arial"/>
        <family val="2"/>
      </rPr>
      <t xml:space="preserve"> (NBV)</t>
    </r>
  </si>
  <si>
    <r>
      <rPr>
        <b/>
        <sz val="10"/>
        <rFont val="微软雅黑"/>
        <family val="2"/>
        <charset val="134"/>
      </rPr>
      <t>变动</t>
    </r>
  </si>
  <si>
    <r>
      <rPr>
        <sz val="10"/>
        <rFont val="微软雅黑"/>
        <family val="2"/>
        <charset val="134"/>
      </rPr>
      <t>原值变动金额</t>
    </r>
  </si>
  <si>
    <r>
      <rPr>
        <sz val="10"/>
        <rFont val="微软雅黑"/>
        <family val="2"/>
        <charset val="134"/>
      </rPr>
      <t>本年</t>
    </r>
    <r>
      <rPr>
        <sz val="10"/>
        <rFont val="Arial"/>
        <family val="2"/>
      </rPr>
      <t>VS</t>
    </r>
    <r>
      <rPr>
        <sz val="10"/>
        <rFont val="微软雅黑"/>
        <family val="2"/>
        <charset val="134"/>
      </rPr>
      <t>上年</t>
    </r>
  </si>
  <si>
    <r>
      <rPr>
        <sz val="10"/>
        <rFont val="微软雅黑"/>
        <family val="2"/>
        <charset val="134"/>
      </rPr>
      <t>原值变动比例</t>
    </r>
  </si>
  <si>
    <t>%</t>
  </si>
  <si>
    <r>
      <rPr>
        <sz val="10"/>
        <rFont val="微软雅黑"/>
        <family val="2"/>
        <charset val="134"/>
      </rPr>
      <t>累计折旧变动金额</t>
    </r>
  </si>
  <si>
    <r>
      <rPr>
        <sz val="10"/>
        <rFont val="微软雅黑"/>
        <family val="2"/>
        <charset val="134"/>
      </rPr>
      <t>累计折旧变动比例</t>
    </r>
  </si>
  <si>
    <r>
      <rPr>
        <sz val="10"/>
        <rFont val="微软雅黑"/>
        <family val="2"/>
        <charset val="134"/>
      </rPr>
      <t>减值准备变动金额</t>
    </r>
  </si>
  <si>
    <r>
      <rPr>
        <sz val="10"/>
        <rFont val="微软雅黑"/>
        <family val="2"/>
        <charset val="134"/>
      </rPr>
      <t>减值准备变动比例</t>
    </r>
  </si>
  <si>
    <r>
      <rPr>
        <sz val="10"/>
        <rFont val="微软雅黑"/>
        <family val="2"/>
        <charset val="134"/>
      </rPr>
      <t>净值变动金额</t>
    </r>
  </si>
  <si>
    <r>
      <rPr>
        <sz val="10"/>
        <rFont val="微软雅黑"/>
        <family val="2"/>
        <charset val="134"/>
      </rPr>
      <t>净值变动比例</t>
    </r>
  </si>
  <si>
    <r>
      <rPr>
        <b/>
        <sz val="10"/>
        <color rgb="FFFF0000"/>
        <rFont val="Arial"/>
        <family val="2"/>
      </rPr>
      <t>TB-</t>
    </r>
    <r>
      <rPr>
        <b/>
        <sz val="10"/>
        <color rgb="FFFF0000"/>
        <rFont val="微软雅黑"/>
        <family val="2"/>
        <charset val="134"/>
      </rPr>
      <t>原值</t>
    </r>
  </si>
  <si>
    <r>
      <rPr>
        <b/>
        <sz val="10"/>
        <color rgb="FFFF0000"/>
        <rFont val="微软雅黑"/>
        <family val="2"/>
        <charset val="134"/>
      </rPr>
      <t>差异</t>
    </r>
  </si>
  <si>
    <r>
      <rPr>
        <b/>
        <sz val="10"/>
        <color rgb="FFFF0000"/>
        <rFont val="Arial"/>
        <family val="2"/>
      </rPr>
      <t>TB-</t>
    </r>
    <r>
      <rPr>
        <b/>
        <sz val="10"/>
        <color rgb="FFFF0000"/>
        <rFont val="微软雅黑"/>
        <family val="2"/>
        <charset val="134"/>
      </rPr>
      <t>累计折旧</t>
    </r>
  </si>
  <si>
    <r>
      <rPr>
        <b/>
        <sz val="10"/>
        <color rgb="FFFF0000"/>
        <rFont val="Arial"/>
        <family val="2"/>
      </rPr>
      <t>TB-</t>
    </r>
    <r>
      <rPr>
        <b/>
        <sz val="10"/>
        <color rgb="FFFF0000"/>
        <rFont val="微软雅黑"/>
        <family val="2"/>
        <charset val="134"/>
      </rPr>
      <t>减值准备</t>
    </r>
  </si>
  <si>
    <r>
      <rPr>
        <b/>
        <sz val="10"/>
        <color rgb="FFFF0000"/>
        <rFont val="Arial"/>
        <family val="2"/>
      </rPr>
      <t>TB-</t>
    </r>
    <r>
      <rPr>
        <b/>
        <sz val="10"/>
        <color rgb="FFFF0000"/>
        <rFont val="微软雅黑"/>
        <family val="2"/>
        <charset val="134"/>
      </rPr>
      <t>净值</t>
    </r>
  </si>
  <si>
    <r>
      <rPr>
        <b/>
        <sz val="10"/>
        <rFont val="微软雅黑"/>
        <family val="2"/>
        <charset val="134"/>
      </rPr>
      <t>获取期末的固定资产明细清单，我们将固定资产明细清单的金额与表</t>
    </r>
    <r>
      <rPr>
        <b/>
        <sz val="10"/>
        <rFont val="Arial"/>
        <family val="2"/>
      </rPr>
      <t>1</t>
    </r>
    <r>
      <rPr>
        <b/>
        <sz val="10"/>
        <rFont val="微软雅黑"/>
        <family val="2"/>
        <charset val="134"/>
      </rPr>
      <t>金额进行核对，调查大于</t>
    </r>
    <r>
      <rPr>
        <b/>
        <sz val="10"/>
        <rFont val="Arial"/>
        <family val="2"/>
      </rPr>
      <t>SAD</t>
    </r>
    <r>
      <rPr>
        <b/>
        <sz val="10"/>
        <rFont val="微软雅黑"/>
        <family val="2"/>
        <charset val="134"/>
      </rPr>
      <t>的差异。</t>
    </r>
  </si>
  <si>
    <r>
      <rPr>
        <b/>
        <sz val="10"/>
        <color rgb="FFFF0000"/>
        <rFont val="微软雅黑"/>
        <family val="2"/>
        <charset val="134"/>
      </rPr>
      <t>表</t>
    </r>
    <r>
      <rPr>
        <b/>
        <sz val="10"/>
        <color rgb="FFFF0000"/>
        <rFont val="Arial"/>
        <family val="2"/>
      </rPr>
      <t>2</t>
    </r>
  </si>
  <si>
    <r>
      <rPr>
        <b/>
        <sz val="10"/>
        <color rgb="FFFF0000"/>
        <rFont val="微软雅黑"/>
        <family val="2"/>
        <charset val="134"/>
      </rPr>
      <t>表</t>
    </r>
    <r>
      <rPr>
        <b/>
        <sz val="10"/>
        <color rgb="FFFF0000"/>
        <rFont val="Arial"/>
        <family val="2"/>
      </rPr>
      <t>3</t>
    </r>
  </si>
  <si>
    <r>
      <rPr>
        <b/>
        <sz val="10"/>
        <color theme="1"/>
        <rFont val="微软雅黑"/>
        <family val="2"/>
        <charset val="134"/>
      </rPr>
      <t>汇总</t>
    </r>
  </si>
  <si>
    <r>
      <rPr>
        <b/>
        <sz val="10"/>
        <color rgb="FFFF0000"/>
        <rFont val="微软雅黑"/>
        <family val="2"/>
        <charset val="134"/>
      </rPr>
      <t>表</t>
    </r>
    <r>
      <rPr>
        <b/>
        <sz val="10"/>
        <color rgb="FFFF0000"/>
        <rFont val="Arial"/>
        <family val="2"/>
      </rPr>
      <t xml:space="preserve">2 check with </t>
    </r>
    <r>
      <rPr>
        <b/>
        <sz val="10"/>
        <color rgb="FFFF0000"/>
        <rFont val="微软雅黑"/>
        <family val="2"/>
        <charset val="134"/>
      </rPr>
      <t>表</t>
    </r>
    <r>
      <rPr>
        <b/>
        <sz val="10"/>
        <color rgb="FFFF0000"/>
        <rFont val="Arial"/>
        <family val="2"/>
      </rPr>
      <t>1</t>
    </r>
  </si>
  <si>
    <r>
      <rPr>
        <b/>
        <sz val="10"/>
        <color theme="1"/>
        <rFont val="微软雅黑"/>
        <family val="2"/>
        <charset val="134"/>
      </rPr>
      <t>固定资产类别</t>
    </r>
  </si>
  <si>
    <r>
      <rPr>
        <b/>
        <sz val="10"/>
        <color theme="1"/>
        <rFont val="微软雅黑"/>
        <family val="2"/>
        <charset val="134"/>
      </rPr>
      <t>原值</t>
    </r>
  </si>
  <si>
    <r>
      <rPr>
        <b/>
        <sz val="10"/>
        <color theme="1"/>
        <rFont val="微软雅黑"/>
        <family val="2"/>
        <charset val="134"/>
      </rPr>
      <t>累计折旧</t>
    </r>
  </si>
  <si>
    <r>
      <rPr>
        <b/>
        <sz val="10"/>
        <color theme="1"/>
        <rFont val="微软雅黑"/>
        <family val="2"/>
        <charset val="134"/>
      </rPr>
      <t>减值准备</t>
    </r>
  </si>
  <si>
    <r>
      <rPr>
        <b/>
        <sz val="10"/>
        <color theme="1"/>
        <rFont val="微软雅黑"/>
        <family val="2"/>
        <charset val="134"/>
      </rPr>
      <t>净值</t>
    </r>
  </si>
  <si>
    <r>
      <rPr>
        <b/>
        <sz val="10"/>
        <color theme="1"/>
        <rFont val="微软雅黑"/>
        <family val="2"/>
        <charset val="134"/>
      </rPr>
      <t>合计</t>
    </r>
  </si>
  <si>
    <r>
      <rPr>
        <b/>
        <sz val="10"/>
        <color rgb="FFFF0000"/>
        <rFont val="Arial"/>
        <family val="2"/>
      </rPr>
      <t>Notes</t>
    </r>
    <r>
      <rPr>
        <sz val="10"/>
        <color rgb="FF000000"/>
        <rFont val="Arial"/>
        <family val="2"/>
      </rPr>
      <t xml:space="preserve">  </t>
    </r>
    <r>
      <rPr>
        <sz val="10"/>
        <color rgb="FF000000"/>
        <rFont val="微软雅黑"/>
        <family val="2"/>
        <charset val="134"/>
      </rPr>
      <t>请在此记录固定资产明细账和总账的差异，并详细记录对差异进行的核查程序。</t>
    </r>
  </si>
  <si>
    <t>将固定资产本年折旧与利润表相关科目金额核对。复核本期折旧是否正确，与利润表科目核对是否相符。</t>
  </si>
  <si>
    <t>表4</t>
  </si>
  <si>
    <r>
      <rPr>
        <b/>
        <sz val="10"/>
        <rFont val="微软雅黑"/>
        <family val="2"/>
        <charset val="134"/>
      </rPr>
      <t>折旧费用与利润表科目核对</t>
    </r>
  </si>
  <si>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</si>
  <si>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科目编码</t>
    </r>
  </si>
  <si>
    <r>
      <rPr>
        <b/>
        <sz val="10"/>
        <rFont val="微软雅黑"/>
        <family val="2"/>
        <charset val="134"/>
      </rPr>
      <t>交叉索引</t>
    </r>
  </si>
  <si>
    <r>
      <rPr>
        <b/>
        <sz val="10"/>
        <rFont val="微软雅黑"/>
        <family val="2"/>
        <charset val="134"/>
      </rPr>
      <t>科目名称</t>
    </r>
  </si>
  <si>
    <r>
      <rPr>
        <b/>
        <sz val="10"/>
        <rFont val="微软雅黑"/>
        <family val="2"/>
        <charset val="134"/>
      </rPr>
      <t>金额</t>
    </r>
  </si>
  <si>
    <r>
      <rPr>
        <sz val="10"/>
        <color theme="1"/>
        <rFont val="微软雅黑"/>
        <family val="2"/>
        <charset val="134"/>
      </rPr>
      <t>制造费用</t>
    </r>
  </si>
  <si>
    <r>
      <rPr>
        <sz val="10"/>
        <rFont val="微软雅黑"/>
        <family val="2"/>
        <charset val="134"/>
      </rPr>
      <t>管理费用</t>
    </r>
  </si>
  <si>
    <r>
      <rPr>
        <sz val="10"/>
        <rFont val="微软雅黑"/>
        <family val="2"/>
        <charset val="134"/>
      </rPr>
      <t>研发费用</t>
    </r>
  </si>
  <si>
    <r>
      <rPr>
        <sz val="10"/>
        <rFont val="微软雅黑"/>
        <family val="2"/>
        <charset val="134"/>
      </rPr>
      <t>合计</t>
    </r>
  </si>
  <si>
    <t>K1</t>
  </si>
  <si>
    <r>
      <rPr>
        <sz val="10"/>
        <rFont val="微软雅黑"/>
        <family val="2"/>
        <charset val="134"/>
      </rPr>
      <t>累计折旧科目</t>
    </r>
    <r>
      <rPr>
        <sz val="10"/>
        <rFont val="Arial"/>
        <family val="2"/>
      </rPr>
      <t>-</t>
    </r>
    <r>
      <rPr>
        <sz val="10"/>
        <rFont val="微软雅黑"/>
        <family val="2"/>
        <charset val="134"/>
      </rPr>
      <t>本年计提</t>
    </r>
  </si>
  <si>
    <r>
      <rPr>
        <sz val="10"/>
        <rFont val="微软雅黑"/>
        <family val="2"/>
        <charset val="134"/>
      </rPr>
      <t>差异</t>
    </r>
  </si>
  <si>
    <t>7054f053-bac2-4036-a572-53d350c3c8de</t>
  </si>
  <si>
    <t>1.项目组可以自定义固定资产清单表格，也可直接使用系统导出的固定资产清单，但必须确保必需字段（固定资产类别、编号、名称、开始入账日期、使用寿命、残值率、原值、累计折旧、净值）完整。可参考链接：</t>
  </si>
  <si>
    <r>
      <rPr>
        <b/>
        <sz val="14"/>
        <color rgb="FFFF0000"/>
        <rFont val="Arial"/>
        <family val="2"/>
      </rPr>
      <t>2.获取期末的固定资产明细清单，将固定资产明细清单的金额与K.01 Agree SL to GL</t>
    </r>
    <r>
      <rPr>
        <sz val="14"/>
        <color rgb="FFFF0000"/>
        <rFont val="Arial"/>
        <family val="2"/>
      </rPr>
      <t xml:space="preserve"> </t>
    </r>
    <r>
      <rPr>
        <b/>
        <sz val="14"/>
        <color rgb="FFFF0000"/>
        <rFont val="Arial"/>
        <family val="2"/>
      </rPr>
      <t>表1的金额进行核对，核对结果详见K.01 Agree SL to GL 表2，并调查大于SAD的差异。</t>
    </r>
  </si>
  <si>
    <t>3.固定资产的类别：请使用被审计单位的台账，无需对资产的类别添加自己的重分类修改。</t>
  </si>
  <si>
    <t>4.如果折旧测试较难执行实质性分析程序或从实质性分析程序中获得的证据水平不足以得出审计结论，我们可在&lt;FA List&gt;中执行全量折旧测试，底稿形式可参考：</t>
  </si>
  <si>
    <t>固定资产明细清单</t>
  </si>
  <si>
    <r>
      <rPr>
        <sz val="10"/>
        <rFont val="Arial"/>
        <family val="2"/>
      </rPr>
      <t>AFS</t>
    </r>
    <r>
      <rPr>
        <sz val="10"/>
        <rFont val="宋体"/>
        <family val="3"/>
        <charset val="134"/>
      </rPr>
      <t>类别</t>
    </r>
  </si>
  <si>
    <r>
      <rPr>
        <sz val="10"/>
        <rFont val="微软雅黑"/>
        <family val="2"/>
        <charset val="134"/>
      </rPr>
      <t>固定资产类别</t>
    </r>
  </si>
  <si>
    <r>
      <rPr>
        <sz val="10"/>
        <rFont val="微软雅黑"/>
        <family val="2"/>
        <charset val="134"/>
      </rPr>
      <t>固定资产编号</t>
    </r>
  </si>
  <si>
    <r>
      <rPr>
        <sz val="10"/>
        <rFont val="微软雅黑"/>
        <family val="2"/>
        <charset val="134"/>
      </rPr>
      <t>固定资产名称</t>
    </r>
  </si>
  <si>
    <r>
      <rPr>
        <sz val="10"/>
        <rFont val="微软雅黑"/>
        <family val="2"/>
        <charset val="134"/>
      </rPr>
      <t>入账开始日期</t>
    </r>
  </si>
  <si>
    <r>
      <rPr>
        <sz val="10"/>
        <rFont val="Arail"/>
        <family val="1"/>
      </rPr>
      <t xml:space="preserve"> </t>
    </r>
    <r>
      <rPr>
        <sz val="10"/>
        <rFont val="微软雅黑"/>
        <family val="2"/>
        <charset val="134"/>
      </rPr>
      <t>使用寿命</t>
    </r>
    <r>
      <rPr>
        <sz val="10"/>
        <rFont val="Arail"/>
        <family val="1"/>
      </rPr>
      <t>(</t>
    </r>
    <r>
      <rPr>
        <sz val="10"/>
        <rFont val="微软雅黑"/>
        <family val="2"/>
        <charset val="134"/>
      </rPr>
      <t>年</t>
    </r>
    <r>
      <rPr>
        <sz val="10"/>
        <rFont val="Arail"/>
        <family val="1"/>
      </rPr>
      <t>)</t>
    </r>
  </si>
  <si>
    <r>
      <rPr>
        <sz val="10"/>
        <rFont val="Arail"/>
        <family val="1"/>
      </rPr>
      <t xml:space="preserve"> </t>
    </r>
    <r>
      <rPr>
        <sz val="10"/>
        <rFont val="微软雅黑"/>
        <family val="2"/>
        <charset val="134"/>
      </rPr>
      <t>使用寿命</t>
    </r>
    <r>
      <rPr>
        <sz val="10"/>
        <rFont val="Arail"/>
        <family val="1"/>
      </rPr>
      <t>(</t>
    </r>
    <r>
      <rPr>
        <sz val="10"/>
        <rFont val="微软雅黑"/>
        <family val="2"/>
        <charset val="134"/>
      </rPr>
      <t>月</t>
    </r>
    <r>
      <rPr>
        <sz val="10"/>
        <rFont val="Arail"/>
        <family val="1"/>
      </rPr>
      <t>)</t>
    </r>
  </si>
  <si>
    <r>
      <rPr>
        <sz val="10"/>
        <rFont val="Arail"/>
        <family val="1"/>
      </rPr>
      <t xml:space="preserve"> </t>
    </r>
    <r>
      <rPr>
        <sz val="10"/>
        <rFont val="微软雅黑"/>
        <family val="2"/>
        <charset val="134"/>
      </rPr>
      <t>残值率</t>
    </r>
    <r>
      <rPr>
        <sz val="10"/>
        <rFont val="Arail"/>
        <family val="1"/>
      </rPr>
      <t xml:space="preserve"> </t>
    </r>
  </si>
  <si>
    <r>
      <rPr>
        <sz val="10"/>
        <rFont val="微软雅黑"/>
        <family val="2"/>
        <charset val="134"/>
      </rPr>
      <t>原值</t>
    </r>
  </si>
  <si>
    <r>
      <rPr>
        <sz val="10"/>
        <rFont val="微软雅黑"/>
        <family val="2"/>
        <charset val="134"/>
      </rPr>
      <t>累计折旧</t>
    </r>
  </si>
  <si>
    <r>
      <rPr>
        <sz val="10"/>
        <rFont val="微软雅黑"/>
        <family val="2"/>
        <charset val="134"/>
      </rPr>
      <t>减值准备</t>
    </r>
  </si>
  <si>
    <r>
      <rPr>
        <sz val="10"/>
        <rFont val="微软雅黑"/>
        <family val="2"/>
        <charset val="134"/>
      </rPr>
      <t>净值</t>
    </r>
  </si>
  <si>
    <r>
      <rPr>
        <sz val="10"/>
        <rFont val="微软雅黑"/>
        <family val="2"/>
        <charset val="134"/>
      </rPr>
      <t>已提足折旧</t>
    </r>
  </si>
  <si>
    <t>提足折旧时间</t>
  </si>
  <si>
    <t>本期计提折旧</t>
  </si>
  <si>
    <t>本期应折旧月数</t>
  </si>
  <si>
    <t>本期应折旧金额</t>
  </si>
  <si>
    <t>差异</t>
  </si>
  <si>
    <t>固定资产-机械设备</t>
  </si>
  <si>
    <t>000010000000</t>
  </si>
  <si>
    <t>定子铁芯上料设备</t>
  </si>
  <si>
    <t>000010000001</t>
  </si>
  <si>
    <t>000010000002</t>
  </si>
  <si>
    <t>电机下线装置</t>
  </si>
  <si>
    <t>000010000003</t>
  </si>
  <si>
    <t>精密切割机</t>
  </si>
  <si>
    <t>000010000004</t>
  </si>
  <si>
    <t>定转子切割机</t>
  </si>
  <si>
    <t>000010000005</t>
  </si>
  <si>
    <t>定子上料机器人</t>
  </si>
  <si>
    <t>000010000006</t>
  </si>
  <si>
    <t>定子缓存设备</t>
  </si>
  <si>
    <t>000010000007</t>
  </si>
  <si>
    <t>充电桩老化房I/7927L23034/03</t>
  </si>
  <si>
    <t>000010000008</t>
  </si>
  <si>
    <t>控制器总成装配检测生产线(P33A 混线改造)工站</t>
  </si>
  <si>
    <t>000010000009</t>
  </si>
  <si>
    <t>充电桩装配工位-装配工位1</t>
  </si>
  <si>
    <t>000010000010</t>
  </si>
  <si>
    <t>充电桩装配工位-装配工位2</t>
  </si>
  <si>
    <t>000010000011</t>
  </si>
  <si>
    <t>充电桩装配工位-下线检查工位</t>
  </si>
  <si>
    <t>固定资产-工业炉窑</t>
  </si>
  <si>
    <t>000060000000</t>
  </si>
  <si>
    <t>干燥机</t>
  </si>
  <si>
    <t>000060000001</t>
  </si>
  <si>
    <t>滴漆机</t>
  </si>
  <si>
    <t>000060000002</t>
  </si>
  <si>
    <t>热套机</t>
  </si>
  <si>
    <t>固定资产-自动化控制及汽车生产专用设备</t>
  </si>
  <si>
    <t>000070000000</t>
  </si>
  <si>
    <t>水温传感器/AC连接器装配工站</t>
  </si>
  <si>
    <t>8</t>
  </si>
  <si>
    <t>000070000001</t>
  </si>
  <si>
    <t>PM模块搭载工站</t>
  </si>
  <si>
    <t>000070000002</t>
  </si>
  <si>
    <t>PM模块拧紧（自动）工站</t>
  </si>
  <si>
    <t>000070000003</t>
  </si>
  <si>
    <t>水道气密性氦检（自动）工站</t>
  </si>
  <si>
    <t>000070000004</t>
  </si>
  <si>
    <t>UVW分总成装配工站</t>
  </si>
  <si>
    <t>000070000005</t>
  </si>
  <si>
    <t>UVW装配工站</t>
  </si>
  <si>
    <t>000070000006</t>
  </si>
  <si>
    <t>电流传感器&amp;线束装配工站</t>
  </si>
  <si>
    <t>000070000007</t>
  </si>
  <si>
    <t>电容装配工站</t>
  </si>
  <si>
    <t>000070000008</t>
  </si>
  <si>
    <t>放电电阻装配/线束装配工站</t>
  </si>
  <si>
    <t>000070000009</t>
  </si>
  <si>
    <t>线束装配+AOI检查工站</t>
  </si>
  <si>
    <t>000070000010</t>
  </si>
  <si>
    <t>FIPG涂胶及检测（自动）工站</t>
  </si>
  <si>
    <t>000070000011</t>
  </si>
  <si>
    <t>上盖板安装工站</t>
  </si>
  <si>
    <t>000070000012</t>
  </si>
  <si>
    <t>干燥区域（8个产品）工站</t>
  </si>
  <si>
    <t>000070000013</t>
  </si>
  <si>
    <t>产品翻转（自动）工站</t>
  </si>
  <si>
    <t>000070000014</t>
  </si>
  <si>
    <t>总成气密性检测（自动）工站</t>
  </si>
  <si>
    <t>000070000015</t>
  </si>
  <si>
    <t>检测夹具装夹工站</t>
  </si>
  <si>
    <t>000070000016</t>
  </si>
  <si>
    <t>总成绝缘检测（自动）工站</t>
  </si>
  <si>
    <t>000070000017</t>
  </si>
  <si>
    <t>ROM烧录（自动）工站</t>
  </si>
  <si>
    <t>000070000018</t>
  </si>
  <si>
    <t>总成检测（GEN）（自动）工站</t>
  </si>
  <si>
    <t>000070000019</t>
  </si>
  <si>
    <t>总成检测（MTR）（自动）工站</t>
  </si>
  <si>
    <t>000070000020</t>
  </si>
  <si>
    <t>DTC擦写（自动）工站</t>
  </si>
  <si>
    <t>000070000021</t>
  </si>
  <si>
    <t>检测夹具拆解工站</t>
  </si>
  <si>
    <t>000070000022</t>
  </si>
  <si>
    <t>总成下线检查（工站）</t>
  </si>
  <si>
    <t>000070000023</t>
  </si>
  <si>
    <t>输送线系统</t>
  </si>
  <si>
    <t>000070000024</t>
  </si>
  <si>
    <t>桥架系统</t>
  </si>
  <si>
    <t>000070000025</t>
  </si>
  <si>
    <t>MES系统</t>
  </si>
  <si>
    <t>000070000026</t>
  </si>
  <si>
    <t>助力臂</t>
  </si>
  <si>
    <t>000070000027</t>
  </si>
  <si>
    <t>预插绝缘机</t>
  </si>
  <si>
    <t>000070000028</t>
  </si>
  <si>
    <t>恒温箱</t>
  </si>
  <si>
    <t>000070000029</t>
  </si>
  <si>
    <t>ROM写入设备</t>
  </si>
  <si>
    <t>000070000030</t>
  </si>
  <si>
    <t>控制器总成特性检测设备</t>
  </si>
  <si>
    <t>000070000031</t>
  </si>
  <si>
    <t>000070000032</t>
  </si>
  <si>
    <t>DTC确认设备</t>
  </si>
  <si>
    <t>000070000033</t>
  </si>
  <si>
    <t>000070000034</t>
  </si>
  <si>
    <t>插槽绝缘机</t>
  </si>
  <si>
    <t>000070000035</t>
  </si>
  <si>
    <t>绕线机</t>
  </si>
  <si>
    <t>000070000036</t>
  </si>
  <si>
    <t>嵌线机</t>
  </si>
  <si>
    <t>000070000037</t>
  </si>
  <si>
    <t>中间整形机</t>
  </si>
  <si>
    <t>000070000038</t>
  </si>
  <si>
    <t>组装台</t>
  </si>
  <si>
    <t>000070000039</t>
  </si>
  <si>
    <t>最终整形机</t>
  </si>
  <si>
    <t>000070000040</t>
  </si>
  <si>
    <t>绑线机</t>
  </si>
  <si>
    <t>000070000041</t>
  </si>
  <si>
    <t>接线片安装机</t>
  </si>
  <si>
    <t>000070000042</t>
  </si>
  <si>
    <t>自动涂胶、插磁钢机</t>
  </si>
  <si>
    <t>000070000043</t>
  </si>
  <si>
    <t>尺寸检查设备</t>
  </si>
  <si>
    <t>000070000044</t>
  </si>
  <si>
    <t>2#移载机</t>
  </si>
  <si>
    <t>000070000045</t>
  </si>
  <si>
    <t>转子铁芯压装机</t>
  </si>
  <si>
    <t>000070000046</t>
  </si>
  <si>
    <t>后端盖组装专机</t>
  </si>
  <si>
    <t>000070000047</t>
  </si>
  <si>
    <t>前端盖组装专机</t>
  </si>
  <si>
    <t>000070000048</t>
  </si>
  <si>
    <t>翻转装置</t>
  </si>
  <si>
    <t>000070000049</t>
  </si>
  <si>
    <t>后端盖拧紧机</t>
  </si>
  <si>
    <t>000070000050</t>
  </si>
  <si>
    <t>传感器盖拧紧机</t>
  </si>
  <si>
    <t>000070000051</t>
  </si>
  <si>
    <t>3#移载机</t>
  </si>
  <si>
    <t>000070000052</t>
  </si>
  <si>
    <t>定子组件线</t>
  </si>
  <si>
    <t>000070000053</t>
  </si>
  <si>
    <t>定子总成线</t>
  </si>
  <si>
    <t>000070000054</t>
  </si>
  <si>
    <t>KIT线</t>
  </si>
  <si>
    <t>000070000055</t>
  </si>
  <si>
    <t>总成装配线</t>
  </si>
  <si>
    <t>000070000056</t>
  </si>
  <si>
    <t>测试线</t>
  </si>
  <si>
    <t>000070000057</t>
  </si>
  <si>
    <t>总装拆解设备</t>
  </si>
  <si>
    <t>000070000058</t>
  </si>
  <si>
    <t>I/7927D21013-控制器车间检测设备用除湿机</t>
  </si>
  <si>
    <t>000070000059</t>
  </si>
  <si>
    <t>DDK螺钉枪</t>
  </si>
  <si>
    <t>000070000060</t>
  </si>
  <si>
    <t>S010定子铁芯自动上料机</t>
  </si>
  <si>
    <t>000070000061</t>
  </si>
  <si>
    <t>M010磁钢自动上料机</t>
  </si>
  <si>
    <t>000070000062</t>
  </si>
  <si>
    <t>M020转子压装自动上料机</t>
  </si>
  <si>
    <t>固定资产-运输设备</t>
  </si>
  <si>
    <t>000080000000</t>
  </si>
  <si>
    <t>电动托盘叉车</t>
  </si>
  <si>
    <t>000080000001</t>
  </si>
  <si>
    <t>蓄电池平衡重式叉车</t>
  </si>
  <si>
    <t>000080000002</t>
  </si>
  <si>
    <t>全电动堆垛车</t>
  </si>
  <si>
    <t>000080000003</t>
  </si>
  <si>
    <t>手动液压车</t>
  </si>
  <si>
    <t>000080000004</t>
  </si>
  <si>
    <t>转运台车</t>
  </si>
  <si>
    <t>000080000005</t>
  </si>
  <si>
    <t>辅材工具车</t>
  </si>
  <si>
    <t>000080000006</t>
  </si>
  <si>
    <t>线边工具车</t>
  </si>
  <si>
    <t>000080000007</t>
  </si>
  <si>
    <t>塑料托盘</t>
  </si>
  <si>
    <t>000080000008</t>
  </si>
  <si>
    <t>零件库中型高位货架</t>
  </si>
  <si>
    <t>000080000009</t>
  </si>
  <si>
    <t>承载网</t>
  </si>
  <si>
    <t>000080000010</t>
  </si>
  <si>
    <t>恒温库中型货架</t>
  </si>
  <si>
    <t>000080000011</t>
  </si>
  <si>
    <t>恒温库多功能折叠箱</t>
  </si>
  <si>
    <t>000080000012</t>
  </si>
  <si>
    <t>控制器周转吸塑托盘</t>
  </si>
  <si>
    <t>000080000013</t>
  </si>
  <si>
    <t>控制器成品运输吸塑托盘</t>
  </si>
  <si>
    <t>000080000014</t>
  </si>
  <si>
    <t>控制器成品可堆垛运输托架</t>
  </si>
  <si>
    <t>000080000015</t>
  </si>
  <si>
    <t>线边转件推车</t>
  </si>
  <si>
    <t>000080000016</t>
  </si>
  <si>
    <t>奇骏轿车I/7927J23001/01</t>
  </si>
  <si>
    <t>固定资产-检测设备</t>
  </si>
  <si>
    <t>000090000000</t>
  </si>
  <si>
    <t>基本特性试验台</t>
  </si>
  <si>
    <t>000090000001</t>
  </si>
  <si>
    <t>综合试验台</t>
  </si>
  <si>
    <t>000090000002</t>
  </si>
  <si>
    <t>电气性能试验台</t>
  </si>
  <si>
    <t>000090000003</t>
  </si>
  <si>
    <t>动平衡机</t>
  </si>
  <si>
    <t>000090000004</t>
  </si>
  <si>
    <t>充磁机</t>
  </si>
  <si>
    <t>000090000005</t>
  </si>
  <si>
    <t>电子天平</t>
  </si>
  <si>
    <t>000090000006</t>
  </si>
  <si>
    <t>清洁度检测仪</t>
  </si>
  <si>
    <t>000090000007</t>
  </si>
  <si>
    <t>扭矩扳手</t>
  </si>
  <si>
    <t>000090000008</t>
  </si>
  <si>
    <t>耐压测试仪</t>
  </si>
  <si>
    <t>000090000009</t>
  </si>
  <si>
    <t>粗糙度仪</t>
  </si>
  <si>
    <t>000090000010</t>
  </si>
  <si>
    <t>电机新增测试托盘及音震传感器</t>
  </si>
  <si>
    <t>000090000011</t>
  </si>
  <si>
    <t>控制器新增检测治具、线束改造及附件</t>
  </si>
  <si>
    <t>000090000012</t>
  </si>
  <si>
    <t>品质追溯系统升级改造</t>
  </si>
  <si>
    <t>固定资产-试验设备</t>
  </si>
  <si>
    <t>000100000000</t>
  </si>
  <si>
    <t>气密性检测仪</t>
  </si>
  <si>
    <t>000100000001</t>
  </si>
  <si>
    <t>推拉力计</t>
  </si>
  <si>
    <t>000100000002</t>
  </si>
  <si>
    <t>高温箱</t>
  </si>
  <si>
    <t>000100000003</t>
  </si>
  <si>
    <t>I/7927A21039/01-05-固有频率锤击试验套件（传感器）</t>
  </si>
  <si>
    <t>000100000004</t>
  </si>
  <si>
    <t>I/7927A21039/01-04-固有频率锤击试验力锤</t>
  </si>
  <si>
    <t>固定资产-电子产品及通讯设备</t>
  </si>
  <si>
    <t>000110000000</t>
  </si>
  <si>
    <t>台式电脑</t>
  </si>
  <si>
    <t>000110000001</t>
  </si>
  <si>
    <t>无线扫码枪</t>
  </si>
  <si>
    <t>000110000002</t>
  </si>
  <si>
    <t>标签打印机</t>
  </si>
  <si>
    <t>000110000003</t>
  </si>
  <si>
    <t>A4打印机</t>
  </si>
  <si>
    <t>000110000004</t>
  </si>
  <si>
    <t>笔记本</t>
  </si>
  <si>
    <t>000110000005</t>
  </si>
  <si>
    <t>000110000006</t>
  </si>
  <si>
    <t>000110000007</t>
  </si>
  <si>
    <t>000110000008</t>
  </si>
  <si>
    <t>000110000009</t>
  </si>
  <si>
    <t>000110000010</t>
  </si>
  <si>
    <t>000110000011</t>
  </si>
  <si>
    <t>000110000012</t>
  </si>
  <si>
    <t>000110000013</t>
  </si>
  <si>
    <t>000110000014</t>
  </si>
  <si>
    <t>000110000015</t>
  </si>
  <si>
    <t>000110000016</t>
  </si>
  <si>
    <t>000110000017</t>
  </si>
  <si>
    <t>000110000018</t>
  </si>
  <si>
    <t>000110000019</t>
  </si>
  <si>
    <t>000110000020</t>
  </si>
  <si>
    <t>000110000021</t>
  </si>
  <si>
    <t>000110000022</t>
  </si>
  <si>
    <t>000110000023</t>
  </si>
  <si>
    <t>000110000024</t>
  </si>
  <si>
    <t>000110000025</t>
  </si>
  <si>
    <t>000110000026</t>
  </si>
  <si>
    <t>000110000027</t>
  </si>
  <si>
    <t>000110000028</t>
  </si>
  <si>
    <t>000110000029</t>
  </si>
  <si>
    <t>000110000030</t>
  </si>
  <si>
    <t>000110000031</t>
  </si>
  <si>
    <t>000110000032</t>
  </si>
  <si>
    <t>000110000033</t>
  </si>
  <si>
    <t>000110000034</t>
  </si>
  <si>
    <t>000110000035</t>
  </si>
  <si>
    <t>000110000036</t>
  </si>
  <si>
    <t>000110000037</t>
  </si>
  <si>
    <t>000110000038</t>
  </si>
  <si>
    <t>000110000039</t>
  </si>
  <si>
    <t>000110000040</t>
  </si>
  <si>
    <t>000110000041</t>
  </si>
  <si>
    <t>000110000042</t>
  </si>
  <si>
    <t>000110000043</t>
  </si>
  <si>
    <t>000110000044</t>
  </si>
  <si>
    <t>000110000045</t>
  </si>
  <si>
    <t>打印机</t>
  </si>
  <si>
    <t>000110000046</t>
  </si>
  <si>
    <t>扫描仪</t>
  </si>
  <si>
    <t>000110000047</t>
  </si>
  <si>
    <t>000110000048</t>
  </si>
  <si>
    <t>激光打印机</t>
  </si>
  <si>
    <t>000110000049</t>
  </si>
  <si>
    <t>000110000050</t>
  </si>
  <si>
    <t>000110000051</t>
  </si>
  <si>
    <t>000110000052</t>
  </si>
  <si>
    <t>000110000053</t>
  </si>
  <si>
    <t>000110000054</t>
  </si>
  <si>
    <t>000110000055</t>
  </si>
  <si>
    <t>000110000056</t>
  </si>
  <si>
    <t>000110000057</t>
  </si>
  <si>
    <t>000110000058</t>
  </si>
  <si>
    <t>挂机空调</t>
  </si>
  <si>
    <t>000110000059</t>
  </si>
  <si>
    <t>柜机空调</t>
  </si>
  <si>
    <t>000110000060</t>
  </si>
  <si>
    <t>000110000061</t>
  </si>
  <si>
    <t>000110000062</t>
  </si>
  <si>
    <t>000110000063</t>
  </si>
  <si>
    <t>000110000064</t>
  </si>
  <si>
    <t>000110000065</t>
  </si>
  <si>
    <t>固定资产-其他设备用具-中央空调除外</t>
  </si>
  <si>
    <t>000180000000</t>
  </si>
  <si>
    <t>检验阵地空调I/7927A21050/01</t>
  </si>
  <si>
    <t>000180000001</t>
  </si>
  <si>
    <t>000180000002</t>
  </si>
  <si>
    <t>000180000003</t>
  </si>
  <si>
    <t>000180000004</t>
  </si>
  <si>
    <t>000180000005</t>
  </si>
  <si>
    <t>固定资产-厂房-辅助用房</t>
  </si>
  <si>
    <t>000190000000</t>
  </si>
  <si>
    <t>检验阵地</t>
  </si>
  <si>
    <t>35</t>
  </si>
  <si>
    <t>固定资产-非生产用房</t>
  </si>
  <si>
    <t>000210000000</t>
  </si>
  <si>
    <t>危化品废弃物仓库</t>
  </si>
  <si>
    <t>000210000001</t>
  </si>
  <si>
    <t>不合格品仓库I/7927D21014/01</t>
  </si>
  <si>
    <t>Check</t>
  </si>
  <si>
    <r>
      <rPr>
        <b/>
        <sz val="10"/>
        <rFont val="微软雅黑"/>
        <family val="2"/>
        <charset val="134"/>
      </rPr>
      <t>折旧方法</t>
    </r>
  </si>
  <si>
    <r>
      <rPr>
        <b/>
        <sz val="14"/>
        <color rgb="FF000000"/>
        <rFont val="微软雅黑"/>
        <family val="2"/>
        <charset val="134"/>
      </rPr>
      <t>获取当期按类别划分的所有固定资产新增清单，并将该清单与固定资产后推核对一致。调查超过</t>
    </r>
    <r>
      <rPr>
        <b/>
        <sz val="14"/>
        <color rgb="FF000000"/>
        <rFont val="Arial"/>
        <family val="2"/>
      </rPr>
      <t>SAD</t>
    </r>
    <r>
      <rPr>
        <b/>
        <sz val="14"/>
        <color rgb="FF000000"/>
        <rFont val="微软雅黑"/>
        <family val="2"/>
        <charset val="134"/>
      </rPr>
      <t>名义金额的差额（例如，新增清单和后推明细表之间未被解释的差额）。</t>
    </r>
    <r>
      <rPr>
        <b/>
        <sz val="14"/>
        <color rgb="FF000000"/>
        <rFont val="Arial"/>
        <family val="2"/>
      </rPr>
      <t xml:space="preserve"> </t>
    </r>
  </si>
  <si>
    <r>
      <rPr>
        <b/>
        <sz val="14"/>
        <color rgb="FFFF0000"/>
        <rFont val="微软雅黑"/>
        <family val="2"/>
        <charset val="134"/>
      </rPr>
      <t>注：项目组可以自定义固定资产新增清单表格，也可直接使用系统导出的固定资产新增清单，但必须确保必需字段（固定资产类别、编号、名称、入账开始日期、原值、新增方式）完整。</t>
    </r>
  </si>
  <si>
    <t>db9ce45c-b5c9-4e6d-be28-967b500f20b6</t>
  </si>
  <si>
    <t>{"Id":"2120100351","IsProject":false,"ProjectId":"2006602268","TempProjectName":"云端天风测试","TempType":2,"Upload":"上传","Download":"下载"}</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</si>
  <si>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</si>
  <si>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</si>
  <si>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</si>
  <si>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</si>
  <si>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</si>
  <si>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</si>
  <si>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</si>
  <si>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</si>
  <si>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</si>
  <si>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</si>
  <si>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</si>
  <si>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</si>
  <si>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</si>
  <si>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</si>
  <si>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</si>
  <si>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</si>
  <si>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</si>
  <si>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</si>
  <si>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</si>
  <si>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</si>
  <si>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</si>
  <si>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</si>
  <si>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</si>
  <si>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</si>
  <si>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</si>
  <si>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</si>
  <si>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</si>
  <si>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</si>
  <si>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</si>
  <si>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</si>
  <si>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</si>
  <si>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</si>
  <si>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</si>
  <si>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</si>
  <si>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</si>
  <si>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</si>
  <si>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</si>
  <si>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</si>
  <si>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</si>
  <si>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</si>
  <si>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</si>
  <si>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</si>
  <si>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</si>
  <si>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</si>
  <si>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</si>
  <si>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</si>
  <si>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</si>
  <si>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</si>
  <si>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</si>
  <si>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</si>
  <si>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</si>
  <si>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</si>
  <si>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</si>
  <si>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</si>
  <si>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</si>
  <si>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</si>
  <si>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</si>
  <si>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</si>
  <si>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</si>
  <si>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</si>
  <si>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</si>
  <si>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</si>
  <si>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</si>
  <si>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</si>
  <si>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</si>
  <si>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</si>
  <si>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</si>
  <si>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</si>
  <si>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</si>
  <si>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</si>
  <si>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</si>
  <si>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</si>
  <si>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</si>
  <si>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</si>
  <si>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</si>
  <si>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</si>
  <si>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</si>
  <si>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</si>
  <si>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</si>
  <si>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</si>
  <si>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</si>
  <si>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</si>
  <si>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</si>
  <si>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</si>
  <si>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</si>
  <si>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</si>
  <si>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</si>
  <si>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</si>
  <si>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</si>
  <si>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</si>
  <si>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</si>
  <si>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</si>
  <si>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</si>
  <si>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</si>
  <si>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</si>
  <si>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</si>
  <si>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</si>
  <si>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</si>
  <si>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</si>
  <si>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</si>
  <si>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</si>
  <si>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</si>
  <si>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</si>
  <si>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</si>
  <si>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</si>
  <si>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</si>
  <si>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</si>
  <si>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</si>
  <si>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</si>
  <si>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</si>
  <si>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</si>
  <si>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</si>
  <si>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</si>
  <si>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</si>
  <si>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</si>
  <si>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</si>
  <si>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</si>
  <si>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</si>
  <si>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</si>
  <si>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</si>
  <si>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</si>
  <si>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r>
      <rPr>
        <b/>
        <sz val="12"/>
        <color rgb="FF000000"/>
        <rFont val="Arial"/>
        <family val="2"/>
      </rPr>
      <t xml:space="preserve">K.03.3 </t>
    </r>
    <r>
      <rPr>
        <b/>
        <sz val="12"/>
        <color rgb="FF000000"/>
        <rFont val="微软雅黑"/>
        <family val="2"/>
        <charset val="134"/>
      </rPr>
      <t>折旧政策复核</t>
    </r>
  </si>
  <si>
    <t>折旧政策复核</t>
  </si>
  <si>
    <r>
      <rPr>
        <sz val="10"/>
        <rFont val="微软雅黑"/>
        <family val="2"/>
        <charset val="134"/>
      </rPr>
      <t>公司折旧政策</t>
    </r>
  </si>
  <si>
    <r>
      <rPr>
        <sz val="10"/>
        <rFont val="微软雅黑"/>
        <family val="2"/>
        <charset val="134"/>
      </rPr>
      <t>年限平均法</t>
    </r>
  </si>
  <si>
    <r>
      <rPr>
        <sz val="10"/>
        <rFont val="微软雅黑"/>
        <family val="2"/>
        <charset val="134"/>
      </rPr>
      <t>折旧政策</t>
    </r>
  </si>
  <si>
    <r>
      <rPr>
        <sz val="10"/>
        <rFont val="微软雅黑"/>
        <family val="2"/>
        <charset val="134"/>
      </rPr>
      <t>使用寿命</t>
    </r>
  </si>
  <si>
    <r>
      <rPr>
        <sz val="10"/>
        <rFont val="微软雅黑"/>
        <family val="2"/>
        <charset val="134"/>
      </rPr>
      <t>残值率</t>
    </r>
  </si>
  <si>
    <r>
      <rPr>
        <sz val="10"/>
        <rFont val="微软雅黑"/>
        <family val="2"/>
        <charset val="134"/>
      </rPr>
      <t>年折旧率</t>
    </r>
  </si>
  <si>
    <r>
      <rPr>
        <sz val="10"/>
        <rFont val="微软雅黑"/>
        <family val="2"/>
        <charset val="134"/>
      </rPr>
      <t>差异说明</t>
    </r>
  </si>
  <si>
    <t>我们参考了行业的通用标准，并结合资产的实际使用状况和报废历史，以判断管理层估计的合理性。本年固定资产所处的经济环境、技术环境以及其他环境未发生变化，我们认为固定资产给企业带来经济利益的预期消耗方式未发生改变，固定资产折旧方法、使用寿命、预计净残值均未发生变化，被审计单位的折旧政策合理。</t>
  </si>
  <si>
    <t>减值前折旧月数</t>
    <phoneticPr fontId="165" type="noConversion"/>
  </si>
  <si>
    <t>房屋建筑物</t>
    <phoneticPr fontId="165" type="noConversion"/>
  </si>
  <si>
    <t>运输设备</t>
    <phoneticPr fontId="165" type="noConversion"/>
  </si>
  <si>
    <t>机器设备</t>
    <phoneticPr fontId="165" type="noConversion"/>
  </si>
  <si>
    <t>明细账与总账核对一致，未见异常。</t>
    <phoneticPr fontId="165" type="noConversion"/>
  </si>
  <si>
    <r>
      <t>U.00</t>
    </r>
    <r>
      <rPr>
        <sz val="10"/>
        <rFont val="宋体"/>
        <family val="2"/>
        <charset val="134"/>
      </rPr>
      <t>管理费用</t>
    </r>
    <r>
      <rPr>
        <sz val="10"/>
        <rFont val="Arial"/>
        <family val="2"/>
      </rPr>
      <t>BKD</t>
    </r>
    <phoneticPr fontId="165" type="noConversion"/>
  </si>
  <si>
    <r>
      <t>U.other.</t>
    </r>
    <r>
      <rPr>
        <b/>
        <sz val="10"/>
        <rFont val="等线"/>
        <family val="2"/>
        <charset val="134"/>
      </rPr>
      <t>制造费用</t>
    </r>
    <phoneticPr fontId="165" type="noConversion"/>
  </si>
  <si>
    <t>本期折旧与利润表科目核对一致，未见异常。</t>
    <phoneticPr fontId="165" type="noConversion"/>
  </si>
  <si>
    <t>Moderate</t>
  </si>
  <si>
    <t>N/A</t>
  </si>
  <si>
    <t>在建工程转入</t>
    <phoneticPr fontId="165" type="noConversion"/>
  </si>
  <si>
    <t>NB1</t>
    <phoneticPr fontId="165" type="noConversion"/>
  </si>
  <si>
    <t>000010000012</t>
  </si>
  <si>
    <t>000010000013</t>
  </si>
  <si>
    <t>000010000014</t>
  </si>
  <si>
    <t>000010000015</t>
  </si>
  <si>
    <t>000010000016</t>
  </si>
  <si>
    <t>000010000017</t>
  </si>
  <si>
    <t>000010000018</t>
  </si>
  <si>
    <t>000010000019</t>
  </si>
  <si>
    <t>000010000020</t>
  </si>
  <si>
    <t>000010000021</t>
  </si>
  <si>
    <t>000010000022</t>
  </si>
  <si>
    <t>000010000023</t>
  </si>
  <si>
    <t>000010000024</t>
  </si>
  <si>
    <t>000010000025</t>
  </si>
  <si>
    <t>000010000026</t>
  </si>
  <si>
    <t>000010000027</t>
  </si>
  <si>
    <t>000010000028</t>
  </si>
  <si>
    <t>000010000029</t>
  </si>
  <si>
    <t>000090000013</t>
  </si>
  <si>
    <t>000090000014</t>
  </si>
  <si>
    <t>000090000015</t>
  </si>
  <si>
    <t>000090000016</t>
  </si>
  <si>
    <t>000090000017</t>
  </si>
  <si>
    <t>插纸机</t>
  </si>
  <si>
    <t>线成型机</t>
  </si>
  <si>
    <t>绕组压入机</t>
  </si>
  <si>
    <t>扩口机</t>
  </si>
  <si>
    <t>扩扭一体机</t>
  </si>
  <si>
    <t>翻转机</t>
  </si>
  <si>
    <t>端部切平机</t>
  </si>
  <si>
    <t>端部焊接机</t>
  </si>
  <si>
    <t>补焊机</t>
  </si>
  <si>
    <t>BUSBAR焊接机</t>
  </si>
  <si>
    <t>滴漆机(扁线设备)</t>
  </si>
  <si>
    <t>涂敷机</t>
  </si>
  <si>
    <t>三相线焊接机</t>
  </si>
  <si>
    <t>端子压接机</t>
  </si>
  <si>
    <t>综合电检</t>
  </si>
  <si>
    <t>清洁机</t>
  </si>
  <si>
    <t>激光打标机</t>
  </si>
  <si>
    <t>输送线</t>
  </si>
  <si>
    <t>充电桩功能测试设备</t>
  </si>
  <si>
    <t>充电桩老化测试设备</t>
  </si>
  <si>
    <t>老化设备1</t>
  </si>
  <si>
    <t>老化设备2</t>
  </si>
  <si>
    <t>测试设备</t>
  </si>
  <si>
    <t>在建工程转入</t>
    <phoneticPr fontId="165" type="noConversion"/>
  </si>
  <si>
    <t>合计</t>
    <phoneticPr fontId="165" type="noConversion"/>
  </si>
  <si>
    <t>被审计单位接收东风（武汉）电驱动系统有限公司资产，部分设备经评估可变现净值低于账面价值，以进行减值处理。</t>
    <phoneticPr fontId="165" type="noConversion"/>
  </si>
  <si>
    <t>被审计单位上期在建的部分设备，预计本期可达到预计可使用状态进行转固，因此，我们预计本期固定资产的原值将存在在建转入的新增变动。</t>
    <phoneticPr fontId="165" type="noConversion"/>
  </si>
  <si>
    <t>新增</t>
  </si>
  <si>
    <t>减少</t>
  </si>
  <si>
    <t>在建工程转入（如适用）</t>
  </si>
  <si>
    <t>转让、外汇和其他调整</t>
  </si>
  <si>
    <t>折旧方法</t>
  </si>
  <si>
    <t>折旧费用</t>
  </si>
  <si>
    <t>使用寿命变化</t>
  </si>
  <si>
    <t>被审计单位上年有需要安装的固定资产，预计本期有转固计划。</t>
    <phoneticPr fontId="165" type="noConversion"/>
  </si>
  <si>
    <t>被审计单位本期业务无重大变化，因此，我们预计本期固定资产的原值将不存在重大处置的变动。</t>
    <phoneticPr fontId="165" type="noConversion"/>
  </si>
  <si>
    <r>
      <rPr>
        <sz val="10"/>
        <rFont val="Arial"/>
        <family val="3"/>
      </rPr>
      <t>NB1:</t>
    </r>
    <r>
      <rPr>
        <sz val="10"/>
        <rFont val="等线"/>
        <family val="3"/>
        <charset val="134"/>
      </rPr>
      <t>本期累计折旧增加主要是资产正常计提折旧，本期减值准备增加主要因e-power项目机器设备经评估可变现净值低于账面价值，计提减值73,838K，各资产明细情况详见</t>
    </r>
    <r>
      <rPr>
        <sz val="10"/>
        <rFont val="Arial"/>
        <family val="2"/>
      </rPr>
      <t>FA list</t>
    </r>
    <phoneticPr fontId="165" type="noConversion"/>
  </si>
  <si>
    <r>
      <rPr>
        <sz val="10"/>
        <color rgb="FF000000"/>
        <rFont val="微软雅黑"/>
        <family val="2"/>
        <charset val="134"/>
      </rPr>
      <t>若在建工程为不重大账户未开底稿，则项目组需要在</t>
    </r>
    <r>
      <rPr>
        <sz val="10"/>
        <color rgb="FF000000"/>
        <rFont val="Arial"/>
        <family val="2"/>
      </rPr>
      <t>K1 SWP</t>
    </r>
    <r>
      <rPr>
        <sz val="10"/>
        <color rgb="FF000000"/>
        <rFont val="微软雅黑"/>
        <family val="2"/>
        <charset val="134"/>
      </rPr>
      <t>中核对在建工程转入与转出金额是否一致，并按照</t>
    </r>
    <r>
      <rPr>
        <sz val="10"/>
        <color rgb="FF000000"/>
        <rFont val="Arial"/>
        <family val="2"/>
      </rPr>
      <t>&lt;J.02.2 CIP transfer (ToD)&gt;</t>
    </r>
    <r>
      <rPr>
        <sz val="10"/>
        <color rgb="FF000000"/>
        <rFont val="Microsoft YaHei"/>
        <charset val="134"/>
      </rPr>
      <t>的测试属性执行该程序</t>
    </r>
    <r>
      <rPr>
        <sz val="10"/>
        <color rgb="FF000000"/>
        <rFont val="微软雅黑"/>
        <family val="2"/>
        <charset val="134"/>
      </rPr>
      <t>。</t>
    </r>
    <phoneticPr fontId="165" type="noConversion"/>
  </si>
  <si>
    <t>本期无处置</t>
  </si>
  <si>
    <t>本期无处置</t>
    <phoneticPr fontId="165" type="noConversion"/>
  </si>
  <si>
    <t>减值测试</t>
  </si>
  <si>
    <t>已在&lt;减值测试 20251231_电驱动&gt;中执行了相关减值测试</t>
    <phoneticPr fontId="165" type="noConversion"/>
  </si>
  <si>
    <r>
      <rPr>
        <sz val="10"/>
        <color theme="1"/>
        <rFont val="等线"/>
        <family val="2"/>
        <charset val="134"/>
      </rPr>
      <t>有限风险账户，</t>
    </r>
    <r>
      <rPr>
        <sz val="10"/>
        <color theme="1"/>
        <rFont val="宋体"/>
        <family val="2"/>
        <charset val="134"/>
      </rPr>
      <t>直接执行</t>
    </r>
    <r>
      <rPr>
        <sz val="10"/>
        <color theme="1"/>
        <rFont val="Arial"/>
        <family val="2"/>
      </rPr>
      <t>by item</t>
    </r>
    <r>
      <rPr>
        <sz val="10"/>
        <color theme="1"/>
        <rFont val="宋体"/>
        <family val="2"/>
        <charset val="134"/>
      </rPr>
      <t>折旧测试</t>
    </r>
    <phoneticPr fontId="165" type="noConversion"/>
  </si>
  <si>
    <r>
      <rPr>
        <sz val="10"/>
        <color theme="1"/>
        <rFont val="等线"/>
        <family val="2"/>
        <charset val="134"/>
      </rPr>
      <t>本年折旧在</t>
    </r>
    <r>
      <rPr>
        <sz val="10"/>
        <color theme="1"/>
        <rFont val="Arial"/>
        <family val="2"/>
      </rPr>
      <t>FA List</t>
    </r>
    <r>
      <rPr>
        <sz val="10"/>
        <color theme="1"/>
        <rFont val="等线"/>
        <family val="2"/>
        <charset val="134"/>
      </rPr>
      <t>中</t>
    </r>
    <r>
      <rPr>
        <sz val="10"/>
        <color theme="1"/>
        <rFont val="Arial"/>
        <family val="2"/>
      </rPr>
      <t>by item</t>
    </r>
    <r>
      <rPr>
        <sz val="10"/>
        <color theme="1"/>
        <rFont val="等线"/>
        <family val="2"/>
        <charset val="134"/>
      </rPr>
      <t>进行测试</t>
    </r>
    <phoneticPr fontId="165" type="noConversion"/>
  </si>
  <si>
    <r>
      <t xml:space="preserve">EY </t>
    </r>
    <r>
      <rPr>
        <sz val="10"/>
        <rFont val="宋体"/>
        <family val="2"/>
        <charset val="134"/>
      </rPr>
      <t>测算</t>
    </r>
    <phoneticPr fontId="165" type="noConversion"/>
  </si>
  <si>
    <t>打标刻印机</t>
    <phoneticPr fontId="165" type="noConversion"/>
  </si>
  <si>
    <t>减值时间</t>
    <phoneticPr fontId="165" type="noConversion"/>
  </si>
  <si>
    <t>减值后折旧月数</t>
    <phoneticPr fontId="165" type="noConversion"/>
  </si>
  <si>
    <t>否</t>
    <phoneticPr fontId="165" type="noConversion"/>
  </si>
  <si>
    <t>处置日期</t>
    <phoneticPr fontId="165" type="noConversion"/>
  </si>
  <si>
    <t>新增方式</t>
    <phoneticPr fontId="165" type="noConversion"/>
  </si>
  <si>
    <t>固定资产类别</t>
  </si>
  <si>
    <t>合计</t>
  </si>
  <si>
    <r>
      <rPr>
        <sz val="10"/>
        <rFont val="宋体"/>
        <family val="2"/>
        <charset val="134"/>
      </rPr>
      <t>经</t>
    </r>
    <r>
      <rPr>
        <sz val="10"/>
        <rFont val="等线"/>
        <family val="2"/>
        <charset val="134"/>
      </rPr>
      <t>执行</t>
    </r>
    <r>
      <rPr>
        <sz val="10"/>
        <rFont val="Arial"/>
        <family val="2"/>
      </rPr>
      <t>By item</t>
    </r>
    <r>
      <rPr>
        <sz val="10"/>
        <rFont val="宋体"/>
        <family val="2"/>
        <charset val="134"/>
      </rPr>
      <t>折旧测试，</t>
    </r>
    <r>
      <rPr>
        <sz val="10"/>
        <rFont val="等线"/>
        <family val="2"/>
        <charset val="134"/>
      </rPr>
      <t>合计差异小于</t>
    </r>
    <r>
      <rPr>
        <sz val="10"/>
        <rFont val="Arial"/>
        <family val="2"/>
      </rPr>
      <t>SAD</t>
    </r>
    <r>
      <rPr>
        <sz val="10"/>
        <rFont val="等线"/>
        <family val="2"/>
        <charset val="134"/>
      </rPr>
      <t>，且无单项差异大于</t>
    </r>
    <r>
      <rPr>
        <sz val="10"/>
        <rFont val="Arial"/>
        <family val="2"/>
      </rPr>
      <t>SAD.</t>
    </r>
    <phoneticPr fontId="165" type="noConversion"/>
  </si>
  <si>
    <r>
      <rPr>
        <sz val="10"/>
        <color theme="1"/>
        <rFont val="等线"/>
        <family val="2"/>
        <charset val="134"/>
      </rPr>
      <t>本年无购置新增，不再执行程序，在建工程转入已在在建工程底稿</t>
    </r>
    <r>
      <rPr>
        <sz val="10"/>
        <color theme="1"/>
        <rFont val="Arial"/>
        <family val="2"/>
      </rPr>
      <t>&lt;J.02.2 CIP transfer (ToD)&gt;</t>
    </r>
    <r>
      <rPr>
        <sz val="10"/>
        <color theme="1"/>
        <rFont val="等线"/>
        <family val="2"/>
        <charset val="134"/>
      </rPr>
      <t>执行测试</t>
    </r>
    <phoneticPr fontId="165" type="noConversion"/>
  </si>
  <si>
    <t>ABC7ZbPSwJBFMfvQv/DsHSURV0z62amJVmIK0SIh5F92uLsjszOJhJBlwgCb/06RUTQKaib4MG/xu3Yv5AbroaNULCwBXuZw/f75r15fHiPeR8Mq0sRhI7dAyFpmXfbIK0jKXcgq61uRzc1eZ+yVgm3gckFs21z9RCAR5EoQIpO0hS0cQ7TJsQTVLteoRyTnInrBFy3gYkF83ZeB+Ka0jRTZXsu0x42Ph/ovJ47pwM0K2kVAX9LXLA2GOCWRjvmvFWmnSy1TT7WEwlPzFLiiWueljO5znWwxlq1Nr0NBj0CTeiptmFg1q24rS5seBai8i6BSVtfO82US3uUg7BEidEmw0ZeJyTLqGWVobFLNfDKuFEn0Z+D3YQGtslfQTsprgLnutn8fJQvmFcVAeZ0KuQcEOcdORZDLk60gDFn9i8Rp5ICxEo6RBwc4jjKNBkAUouIU7RV9GWU42tx0cpWQtABgc5nENEtf/Z0QomJpnglhBvUX+v6ZfRw5/TPRr0rXwgrqwLAiXgIOLg1rcgKci5unZsn53L49nw9euw5931/5jktop3877SXIrUP</t>
  </si>
  <si>
    <t>六六六有限公司</t>
    <phoneticPr fontId="1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</si>
</sst>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8">
    <numFmt numFmtId="44" formatCode="_ &quot;¥&quot;* #,##0.00_ ;_ &quot;¥&quot;* \-#,##0.00_ ;_ &quot;¥&quot;* &quot;-&quot;??_ ;_ @_ "/>
    <numFmt numFmtId="176" formatCode="_(* #,##0_);_(* \(#,##0\);_(* &quot;-&quot;_);_(@_)"/>
    <numFmt numFmtId="177" formatCode="_(* #,##0.00_);_(* \(#,##0.00\);_(* &quot;-&quot;??_);_(@_)"/>
    <numFmt numFmtId="178" formatCode="_([$€-2]* #,##0.00_);_([$€-2]* \(#,##0.00\);_([$€-2]* &quot;-&quot;??_)"/>
    <numFmt numFmtId="179" formatCode="_-* #,##0.0000000000_-;\-* #,##0.0000000000_-;_-* &quot;-&quot;??_-;_-@_-"/>
    <numFmt numFmtId="180" formatCode="0.0%"/>
    <numFmt numFmtId="181" formatCode="\¥#,##0;\-\¥#,##0"/>
    <numFmt numFmtId="182" formatCode="#,##0;\-#,##0;&quot;-&quot;"/>
    <numFmt numFmtId="183" formatCode="&quot;$&quot;#,##0;[Red]&quot;$&quot;&quot;$&quot;&quot;$&quot;&quot;$&quot;&quot;$&quot;&quot;$&quot;&quot;$&quot;\-#,##0"/>
    <numFmt numFmtId="184" formatCode="_-* #,##0.00_-;\-* #,##0.00_-;_-* &quot;-&quot;??_-;_-@_-"/>
    <numFmt numFmtId="185" formatCode="* #,##0.00;[Red]\(#,##0.00\);&quot;-&quot;;\ @"/>
    <numFmt numFmtId="186" formatCode="#,##0;\(#,##0\)"/>
    <numFmt numFmtId="187" formatCode="#,##0.0_);\(#,##0.0\)"/>
    <numFmt numFmtId="188" formatCode="_-&quot;$&quot;* #,##0.00_-;\-&quot;$&quot;* #,##0.00_-;_-&quot;$&quot;* &quot;-&quot;??_-;_-@_-"/>
    <numFmt numFmtId="189" formatCode="_(&quot;$&quot;* #,##0.00_);_(&quot;$&quot;* \(#,##0.00\);_(&quot;$&quot;* &quot;-&quot;??_);_(@_)"/>
    <numFmt numFmtId="190" formatCode="&quot;$&quot;#,##0_);\(&quot;$&quot;#,##0\)"/>
    <numFmt numFmtId="191" formatCode="&quot;$&quot;#,##0.00_);\(&quot;$&quot;#,##0.00\)"/>
    <numFmt numFmtId="192" formatCode="\$#,##0.00;\(\$#,##0.00\)"/>
    <numFmt numFmtId="193" formatCode="\$#,##0;\(\$#,##0\)"/>
    <numFmt numFmtId="194" formatCode="_ [$€-2]* #,##0.00_ ;_ [$€-2]* \-#,##0.00_ ;_ [$€-2]* &quot;-&quot;??_ "/>
    <numFmt numFmtId="195" formatCode="[$-804]aaaa;@"/>
    <numFmt numFmtId="196" formatCode="_-* #,##0\ _k_r_-;\-* #,##0\ _k_r_-;_-* &quot;-&quot;\ _k_r_-;_-@_-"/>
    <numFmt numFmtId="197" formatCode="_-* #,##0.00\ _k_r_-;\-* #,##0.00\ _k_r_-;_-* &quot;-&quot;??\ _k_r_-;_-@_-"/>
    <numFmt numFmtId="198" formatCode="#,##0.00_);#,##0.00\)"/>
    <numFmt numFmtId="199" formatCode="0.00000&quot;  &quot;"/>
    <numFmt numFmtId="200" formatCode="_-* #,##0_-;\-* #,##0_-;_-* &quot;-&quot;_-;_-@_-"/>
    <numFmt numFmtId="201" formatCode="_([$€-2]* #,##0.00000_);_([$€-2]* \(#,##0.00000\);_([$€-2]* &quot;-&quot;??_)"/>
    <numFmt numFmtId="202" formatCode="_(\¥* #,##0.00_);_(\¥* \(#,##0.00\);_(\¥* &quot;-&quot;??_);_(@_)"/>
    <numFmt numFmtId="203" formatCode="_-&quot;$&quot;* #,##0_-;\-&quot;$&quot;* #,##0_-;_-&quot;$&quot;* &quot;-&quot;_-;_-@_-"/>
    <numFmt numFmtId="204" formatCode="&quot;\&quot;#,##0;[Red]&quot;\&quot;&quot;\&quot;\-#,##0"/>
    <numFmt numFmtId="205" formatCode="&quot;\&quot;#,##0.00;[Red]&quot;\&quot;&quot;\&quot;&quot;\&quot;&quot;\&quot;&quot;\&quot;&quot;\&quot;\-#,##0.00"/>
    <numFmt numFmtId="206" formatCode="&quot;\&quot;#,##0.00;[Red]&quot;\&quot;\-#,##0.00"/>
    <numFmt numFmtId="207" formatCode="&quot;\&quot;#,##0;[Red]&quot;\&quot;\-#,##0"/>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_(* #,##0_);_(* \(#,##0\);_(* &quot;-&quot;??_);_(@_)"/>
    <numFmt numFmtId="210" formatCode="#,##0;\(#,##0\);\-#,##0"/>
    <numFmt numFmtId="211" formatCode="0.00_);[Red]\(0.00\)"/>
    <numFmt numFmtId="212" formatCode="yyyy\/mm\/dd"/>
  </numFmts>
  <fonts count="179">
    <font>
      <sz val="11"/>
      <color theme="1"/>
      <name val="宋体"/>
      <charset val="134"/>
      <scheme val="minor"/>
    </font>
    <font>
      <sz val="12"/>
      <color theme="1"/>
      <name val="Arial"/>
      <family val="2"/>
    </font>
    <font>
      <sz val="10"/>
      <color theme="1"/>
      <name val="Arial"/>
      <family val="2"/>
    </font>
    <font>
      <sz val="10"/>
      <name val="Arial"/>
      <family val="2"/>
    </font>
    <font>
      <sz val="11"/>
      <color theme="1"/>
      <name val="Arial"/>
      <family val="2"/>
    </font>
    <font>
      <sz val="10"/>
      <color rgb="FF000000"/>
      <name val="Arial"/>
      <family val="2"/>
    </font>
    <font>
      <b/>
      <sz val="14"/>
      <color theme="0"/>
      <name val="Arial"/>
      <family val="2"/>
    </font>
    <font>
      <b/>
      <sz val="14"/>
      <color rgb="FFFFFFFF"/>
      <name val="Arial"/>
      <family val="2"/>
    </font>
    <font>
      <sz val="12"/>
      <color rgb="FF000000"/>
      <name val="Arial"/>
      <family val="2"/>
    </font>
    <font>
      <b/>
      <sz val="12"/>
      <color rgb="FF000000"/>
      <name val="Arial"/>
      <family val="2"/>
    </font>
    <font>
      <sz val="10"/>
      <color rgb="FFFFFFFF"/>
      <name val="Arial"/>
      <family val="2"/>
    </font>
    <font>
      <u/>
      <sz val="10"/>
      <color rgb="FFFF0000"/>
      <name val="Arial"/>
      <family val="2"/>
    </font>
    <font>
      <b/>
      <sz val="10"/>
      <name val="Arial"/>
      <family val="2"/>
    </font>
    <font>
      <b/>
      <sz val="10"/>
      <color rgb="FF000000"/>
      <name val="Arial"/>
      <family val="2"/>
    </font>
    <font>
      <b/>
      <sz val="10"/>
      <name val="微软雅黑"/>
      <family val="2"/>
      <charset val="134"/>
    </font>
    <font>
      <sz val="10"/>
      <name val="微软雅黑"/>
      <family val="2"/>
      <charset val="134"/>
    </font>
    <font>
      <b/>
      <sz val="10"/>
      <color rgb="FFFF0000"/>
      <name val="Arial"/>
      <family val="2"/>
    </font>
    <font>
      <sz val="10"/>
      <color theme="4" tint="-0.249977111117893"/>
      <name val="Arial"/>
      <family val="2"/>
    </font>
    <font>
      <sz val="10"/>
      <color theme="1"/>
      <name val="微软雅黑"/>
      <family val="2"/>
      <charset val="134"/>
    </font>
    <font>
      <sz val="11"/>
      <color theme="1"/>
      <name val="宋体"/>
      <family val="3"/>
      <charset val="134"/>
    </font>
    <font>
      <sz val="10"/>
      <color indexed="0"/>
      <name val="Arial"/>
      <family val="2"/>
    </font>
    <font>
      <sz val="10"/>
      <color indexed="0"/>
      <name val="微软雅黑"/>
      <family val="2"/>
      <charset val="134"/>
    </font>
    <font>
      <sz val="10"/>
      <color indexed="8"/>
      <name val="Arial"/>
      <family val="2"/>
    </font>
    <font>
      <b/>
      <sz val="10"/>
      <color indexed="8"/>
      <name val="Arial"/>
      <family val="2"/>
    </font>
    <font>
      <i/>
      <sz val="10"/>
      <name val="Arial"/>
      <family val="2"/>
    </font>
    <font>
      <b/>
      <sz val="10"/>
      <color theme="1"/>
      <name val="Arial"/>
      <family val="2"/>
    </font>
    <font>
      <sz val="10"/>
      <color theme="0"/>
      <name val="Arial"/>
      <family val="2"/>
    </font>
    <font>
      <b/>
      <sz val="14"/>
      <name val="Arial"/>
      <family val="2"/>
    </font>
    <font>
      <b/>
      <sz val="14"/>
      <color rgb="FFFF0000"/>
      <name val="微软雅黑"/>
      <family val="2"/>
      <charset val="134"/>
    </font>
    <font>
      <b/>
      <sz val="14"/>
      <color rgb="FFFF0000"/>
      <name val="Arial"/>
      <family val="2"/>
    </font>
    <font>
      <sz val="10"/>
      <color rgb="FFFF0000"/>
      <name val="Arial"/>
      <family val="2"/>
    </font>
    <font>
      <sz val="14"/>
      <color theme="1"/>
      <name val="Arial"/>
      <family val="2"/>
    </font>
    <font>
      <i/>
      <sz val="10"/>
      <color rgb="FF000000"/>
      <name val="Arial"/>
      <family val="2"/>
    </font>
    <font>
      <sz val="9"/>
      <color indexed="8"/>
      <name val="Arial"/>
      <family val="2"/>
    </font>
    <font>
      <b/>
      <sz val="11"/>
      <color rgb="FFFF0000"/>
      <name val="Arial"/>
      <family val="2"/>
    </font>
    <font>
      <b/>
      <sz val="9"/>
      <color rgb="FFFF0000"/>
      <name val="Arial"/>
      <family val="2"/>
    </font>
    <font>
      <b/>
      <sz val="14"/>
      <color rgb="FF000000"/>
      <name val="Arial"/>
      <family val="2"/>
    </font>
    <font>
      <b/>
      <sz val="10"/>
      <color theme="0"/>
      <name val="Arial"/>
      <family val="2"/>
    </font>
    <font>
      <b/>
      <sz val="10"/>
      <color indexed="10"/>
      <name val="Arial"/>
      <family val="2"/>
    </font>
    <font>
      <sz val="10"/>
      <name val="Arail"/>
      <family val="1"/>
    </font>
    <font>
      <sz val="10"/>
      <name val="Arail"/>
      <family val="1"/>
    </font>
    <font>
      <sz val="10"/>
      <name val="宋体"/>
      <family val="3"/>
      <charset val="134"/>
    </font>
    <font>
      <b/>
      <sz val="14"/>
      <color rgb="FFFFC000"/>
      <name val="Arial"/>
      <family val="2"/>
    </font>
    <font>
      <b/>
      <sz val="10"/>
      <color rgb="FF0000FF"/>
      <name val="Arial"/>
      <family val="2"/>
    </font>
    <font>
      <b/>
      <sz val="10"/>
      <color rgb="FFFFC000"/>
      <name val="Arial"/>
      <family val="2"/>
    </font>
    <font>
      <sz val="14"/>
      <color rgb="FFFFFFFF"/>
      <name val="Arial"/>
      <family val="2"/>
    </font>
    <font>
      <sz val="10"/>
      <color rgb="FF000000"/>
      <name val="微软雅黑"/>
      <family val="2"/>
      <charset val="134"/>
    </font>
    <font>
      <b/>
      <sz val="10"/>
      <color rgb="FFFF0000"/>
      <name val="微软雅黑"/>
      <family val="2"/>
      <charset val="134"/>
    </font>
    <font>
      <b/>
      <sz val="12"/>
      <name val="Arial"/>
      <family val="2"/>
    </font>
    <font>
      <b/>
      <strike/>
      <sz val="10"/>
      <color rgb="FF0000FF"/>
      <name val="Arial"/>
      <family val="2"/>
    </font>
    <font>
      <b/>
      <i/>
      <sz val="9"/>
      <color rgb="FFFF0000"/>
      <name val="Arial"/>
      <family val="2"/>
    </font>
    <font>
      <i/>
      <sz val="9"/>
      <color theme="4" tint="-0.249977111117893"/>
      <name val="Arial"/>
      <family val="2"/>
    </font>
    <font>
      <sz val="10"/>
      <name val="等线"/>
      <family val="3"/>
      <charset val="134"/>
    </font>
    <font>
      <b/>
      <i/>
      <sz val="10"/>
      <color rgb="FFFF0000"/>
      <name val="Arial"/>
      <family val="2"/>
    </font>
    <font>
      <sz val="14"/>
      <name val="Arial"/>
      <family val="2"/>
    </font>
    <font>
      <i/>
      <sz val="10"/>
      <color rgb="FFFF0000"/>
      <name val="Arial"/>
      <family val="2"/>
    </font>
    <font>
      <sz val="11"/>
      <color rgb="FF000000"/>
      <name val="Arial"/>
      <family val="2"/>
    </font>
    <font>
      <b/>
      <sz val="11"/>
      <color rgb="FF000000"/>
      <name val="Arial"/>
      <family val="2"/>
    </font>
    <font>
      <b/>
      <sz val="10"/>
      <color rgb="FF000000"/>
      <name val="微软雅黑"/>
      <family val="2"/>
      <charset val="134"/>
    </font>
    <font>
      <sz val="10"/>
      <color rgb="FF242424"/>
      <name val="Arial"/>
      <family val="2"/>
    </font>
    <font>
      <b/>
      <sz val="16"/>
      <color rgb="FFFF0000"/>
      <name val="Arial"/>
      <family val="2"/>
    </font>
    <font>
      <b/>
      <sz val="14"/>
      <color rgb="FF000000"/>
      <name val="微软雅黑"/>
      <family val="2"/>
      <charset val="134"/>
    </font>
    <font>
      <u/>
      <sz val="11"/>
      <color theme="4"/>
      <name val="Arial"/>
      <family val="2"/>
    </font>
    <font>
      <b/>
      <u/>
      <sz val="10"/>
      <color theme="4"/>
      <name val="Arial"/>
      <family val="2"/>
    </font>
    <font>
      <u/>
      <sz val="11"/>
      <color theme="10"/>
      <name val="宋体"/>
      <family val="3"/>
      <charset val="134"/>
      <scheme val="minor"/>
    </font>
    <font>
      <sz val="11"/>
      <color indexed="9"/>
      <name val="宋体"/>
      <family val="3"/>
      <charset val="134"/>
    </font>
    <font>
      <sz val="10"/>
      <name val="Helv"/>
      <family val="2"/>
    </font>
    <font>
      <sz val="12"/>
      <name val="宋体"/>
      <family val="3"/>
      <charset val="134"/>
    </font>
    <font>
      <sz val="13"/>
      <name val="Tms Rmn"/>
      <family val="1"/>
    </font>
    <font>
      <sz val="12"/>
      <color indexed="9"/>
      <name val="宋体"/>
      <family val="3"/>
      <charset val="134"/>
    </font>
    <font>
      <sz val="12"/>
      <color indexed="8"/>
      <name val="宋体"/>
      <family val="3"/>
      <charset val="134"/>
    </font>
    <font>
      <sz val="11"/>
      <color theme="0"/>
      <name val="宋体"/>
      <family val="3"/>
      <charset val="134"/>
      <scheme val="minor"/>
    </font>
    <font>
      <sz val="11"/>
      <color rgb="FF9C0006"/>
      <name val="宋体"/>
      <family val="3"/>
      <charset val="134"/>
      <scheme val="minor"/>
    </font>
    <font>
      <b/>
      <sz val="10"/>
      <name val="Helv"/>
      <family val="2"/>
    </font>
    <font>
      <sz val="11"/>
      <color theme="1"/>
      <name val="宋体"/>
      <family val="3"/>
      <charset val="134"/>
      <scheme val="minor"/>
    </font>
    <font>
      <b/>
      <sz val="11"/>
      <color theme="0"/>
      <name val="宋体"/>
      <family val="3"/>
      <charset val="134"/>
    </font>
    <font>
      <b/>
      <sz val="11"/>
      <color theme="0"/>
      <name val="宋体"/>
      <family val="3"/>
      <charset val="134"/>
      <scheme val="minor"/>
    </font>
    <font>
      <b/>
      <sz val="13"/>
      <name val="Tms Rmn"/>
      <family val="1"/>
    </font>
    <font>
      <sz val="11"/>
      <color indexed="8"/>
      <name val="宋体"/>
      <family val="3"/>
      <charset val="134"/>
    </font>
    <font>
      <sz val="10"/>
      <color theme="1"/>
      <name val="Times New Roman"/>
      <family val="1"/>
    </font>
    <font>
      <sz val="10"/>
      <name val="宋体"/>
      <family val="3"/>
      <charset val="134"/>
    </font>
    <font>
      <sz val="11"/>
      <color rgb="FF000000"/>
      <name val="Calibri"/>
      <family val="2"/>
    </font>
    <font>
      <sz val="11"/>
      <color theme="1"/>
      <name val="SimSun"/>
      <charset val="134"/>
    </font>
    <font>
      <sz val="12"/>
      <name val="Times New Roman"/>
      <family val="1"/>
    </font>
    <font>
      <sz val="10"/>
      <color theme="1"/>
      <name val="Tahoma"/>
      <family val="2"/>
    </font>
    <font>
      <sz val="10"/>
      <name val="Times New Roman"/>
      <family val="1"/>
    </font>
    <font>
      <b/>
      <sz val="11"/>
      <color rgb="FFFF0000"/>
      <name val="宋体"/>
      <family val="3"/>
      <charset val="134"/>
    </font>
    <font>
      <sz val="9"/>
      <name val="Times New Roman"/>
      <family val="1"/>
    </font>
    <font>
      <sz val="8"/>
      <name val="Arial"/>
      <family val="2"/>
    </font>
    <font>
      <sz val="11"/>
      <color rgb="FF006100"/>
      <name val="宋体"/>
      <family val="3"/>
      <charset val="134"/>
    </font>
    <font>
      <sz val="11"/>
      <color rgb="FF006100"/>
      <name val="宋体"/>
      <family val="3"/>
      <charset val="134"/>
      <scheme val="minor"/>
    </font>
    <font>
      <b/>
      <sz val="12"/>
      <name val="Helv"/>
      <family val="2"/>
    </font>
    <font>
      <b/>
      <sz val="10"/>
      <color theme="1"/>
      <name val="宋体"/>
      <family val="3"/>
      <charset val="134"/>
    </font>
    <font>
      <u/>
      <sz val="11"/>
      <color theme="10"/>
      <name val="宋体"/>
      <family val="3"/>
      <charset val="134"/>
      <scheme val="minor"/>
    </font>
    <font>
      <u/>
      <sz val="11"/>
      <color theme="10"/>
      <name val="宋体"/>
      <family val="3"/>
      <charset val="134"/>
    </font>
    <font>
      <u/>
      <sz val="10"/>
      <color theme="10"/>
      <name val="Arial"/>
      <family val="2"/>
    </font>
    <font>
      <u/>
      <sz val="12"/>
      <color theme="10"/>
      <name val="Arial"/>
      <family val="2"/>
    </font>
    <font>
      <u/>
      <sz val="10"/>
      <color indexed="12"/>
      <name val="宋体"/>
      <family val="3"/>
      <charset val="134"/>
    </font>
    <font>
      <u/>
      <sz val="10"/>
      <color theme="10"/>
      <name val="等线"/>
      <family val="3"/>
      <charset val="134"/>
    </font>
    <font>
      <b/>
      <sz val="11"/>
      <name val="Helv"/>
      <family val="2"/>
    </font>
    <font>
      <sz val="11"/>
      <color rgb="FF9C5700"/>
      <name val="宋体"/>
      <family val="3"/>
      <charset val="134"/>
      <scheme val="minor"/>
    </font>
    <font>
      <sz val="9"/>
      <color theme="1"/>
      <name val="Arial"/>
      <family val="2"/>
    </font>
    <font>
      <sz val="8"/>
      <name val="EYInterstate Light"/>
    </font>
    <font>
      <sz val="11"/>
      <color theme="1"/>
      <name val="宋体"/>
      <family val="3"/>
      <charset val="134"/>
    </font>
    <font>
      <sz val="12"/>
      <name val="Arial"/>
      <family val="2"/>
    </font>
    <font>
      <sz val="8"/>
      <name val="EYInterstate Light"/>
    </font>
    <font>
      <sz val="10"/>
      <name val="Tahoma"/>
      <family val="2"/>
    </font>
    <font>
      <sz val="10"/>
      <name val="SimSun"/>
      <charset val="134"/>
    </font>
    <font>
      <sz val="11"/>
      <color indexed="8"/>
      <name val="宋体"/>
      <family val="3"/>
      <charset val="134"/>
      <scheme val="minor"/>
    </font>
    <font>
      <sz val="10"/>
      <color theme="1"/>
      <name val="Times New Roman"/>
      <family val="1"/>
    </font>
    <font>
      <sz val="11"/>
      <color indexed="8"/>
      <name val="Calibri"/>
      <family val="2"/>
    </font>
    <font>
      <sz val="11"/>
      <color rgb="FF000000"/>
      <name val="宋体"/>
      <family val="3"/>
      <charset val="134"/>
      <scheme val="minor"/>
    </font>
    <font>
      <sz val="9"/>
      <color theme="1"/>
      <name val="Arial Unicode MS"/>
      <family val="2"/>
    </font>
    <font>
      <sz val="12"/>
      <color theme="1"/>
      <name val="宋体"/>
      <family val="3"/>
      <charset val="134"/>
    </font>
    <font>
      <sz val="10"/>
      <color theme="1"/>
      <name val="SimSun"/>
      <charset val="134"/>
    </font>
    <font>
      <strike/>
      <sz val="10"/>
      <name val="Arial"/>
      <family val="2"/>
    </font>
    <font>
      <sz val="10"/>
      <color indexed="8"/>
      <name val="MS Sans Serif"/>
      <family val="1"/>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9"/>
      <name val="Times New Roman"/>
      <family val="1"/>
    </font>
    <font>
      <sz val="11"/>
      <name val="明朝"/>
      <family val="1"/>
      <charset val="255"/>
    </font>
    <font>
      <sz val="10"/>
      <name val="Arial Narrow"/>
      <family val="2"/>
    </font>
    <font>
      <sz val="14"/>
      <name val="柧挬"/>
      <family val="2"/>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0"/>
      <name val="宋体"/>
      <family val="3"/>
      <charset val="134"/>
      <scheme val="minor"/>
    </font>
    <font>
      <sz val="10"/>
      <color theme="1"/>
      <name val="等线"/>
      <family val="3"/>
      <charset val="134"/>
    </font>
    <font>
      <sz val="12"/>
      <color rgb="FF000000"/>
      <name val="Calibri"/>
      <family val="2"/>
    </font>
    <font>
      <u/>
      <sz val="12"/>
      <color indexed="12"/>
      <name val="宋体"/>
      <family val="3"/>
      <charset val="134"/>
    </font>
    <font>
      <u/>
      <sz val="11"/>
      <color theme="10"/>
      <name val="SimSun"/>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1"/>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b/>
      <sz val="12"/>
      <color rgb="FF000000"/>
      <name val="微软雅黑"/>
      <family val="2"/>
      <charset val="134"/>
    </font>
    <font>
      <sz val="10"/>
      <color rgb="FF000000"/>
      <name val="Microsoft YaHei"/>
      <charset val="134"/>
    </font>
    <font>
      <b/>
      <sz val="12"/>
      <name val="微软雅黑"/>
      <family val="2"/>
      <charset val="134"/>
    </font>
    <font>
      <b/>
      <sz val="10"/>
      <color theme="1"/>
      <name val="微软雅黑"/>
      <family val="2"/>
      <charset val="134"/>
    </font>
    <font>
      <b/>
      <vertAlign val="superscript"/>
      <sz val="10"/>
      <color rgb="FFFF0000"/>
      <name val="Arial"/>
      <family val="2"/>
    </font>
    <font>
      <b/>
      <sz val="14"/>
      <color rgb="FFFFFFFF"/>
      <name val="微软雅黑"/>
      <family val="2"/>
      <charset val="134"/>
    </font>
    <font>
      <b/>
      <u/>
      <sz val="10"/>
      <color theme="4"/>
      <name val="微软雅黑"/>
      <family val="2"/>
      <charset val="134"/>
    </font>
    <font>
      <b/>
      <i/>
      <sz val="9"/>
      <color rgb="FFFF0000"/>
      <name val="微软雅黑"/>
      <family val="2"/>
      <charset val="134"/>
    </font>
    <font>
      <b/>
      <sz val="10"/>
      <color rgb="FFFF0000"/>
      <name val="宋体"/>
      <family val="3"/>
      <charset val="134"/>
    </font>
    <font>
      <b/>
      <sz val="10"/>
      <color rgb="FF000000"/>
      <name val="Microsoft YaHei"/>
      <charset val="134"/>
    </font>
    <font>
      <b/>
      <sz val="14"/>
      <color theme="0"/>
      <name val="微软雅黑"/>
      <family val="2"/>
      <charset val="134"/>
    </font>
    <font>
      <sz val="14"/>
      <color rgb="FFFF0000"/>
      <name val="Arial"/>
      <family val="2"/>
    </font>
    <font>
      <b/>
      <u/>
      <sz val="11"/>
      <color theme="4"/>
      <name val="微软雅黑"/>
      <family val="2"/>
      <charset val="134"/>
    </font>
    <font>
      <sz val="11"/>
      <color theme="1"/>
      <name val="宋体"/>
      <family val="3"/>
      <charset val="134"/>
      <scheme val="minor"/>
    </font>
    <font>
      <sz val="9"/>
      <name val="宋体"/>
      <family val="3"/>
      <charset val="134"/>
      <scheme val="minor"/>
    </font>
    <font>
      <sz val="10"/>
      <name val="宋体"/>
      <family val="2"/>
      <charset val="134"/>
    </font>
    <font>
      <sz val="10"/>
      <name val="Arial"/>
      <family val="2"/>
      <charset val="134"/>
    </font>
    <font>
      <b/>
      <sz val="10"/>
      <name val="等线"/>
      <family val="2"/>
      <charset val="134"/>
    </font>
    <font>
      <sz val="10"/>
      <name val="Arial"/>
      <family val="3"/>
      <charset val="134"/>
    </font>
    <font>
      <sz val="10"/>
      <name val="Arial"/>
      <family val="3"/>
    </font>
    <font>
      <sz val="11"/>
      <color theme="1"/>
      <name val="宋体"/>
      <family val="2"/>
      <charset val="134"/>
    </font>
    <font>
      <sz val="10"/>
      <color rgb="FF000000"/>
      <name val="Arial"/>
      <family val="2"/>
      <charset val="134"/>
    </font>
    <font>
      <sz val="10"/>
      <color theme="1"/>
      <name val="等线"/>
      <family val="2"/>
      <charset val="134"/>
    </font>
    <font>
      <sz val="10"/>
      <color theme="1"/>
      <name val="Arial"/>
      <family val="2"/>
      <charset val="134"/>
    </font>
    <font>
      <sz val="10"/>
      <color theme="1"/>
      <name val="宋体"/>
      <family val="2"/>
      <charset val="134"/>
    </font>
    <font>
      <sz val="11"/>
      <name val="微软雅黑"/>
      <family val="2"/>
      <charset val="134"/>
    </font>
    <font>
      <sz val="11"/>
      <color theme="1"/>
      <name val="微软雅黑"/>
      <family val="2"/>
      <charset val="134"/>
    </font>
    <font>
      <sz val="10"/>
      <name val="等线"/>
      <family val="2"/>
      <charset val="134"/>
    </font>
  </fonts>
  <fills count="64">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theme="0" tint="-4.9989318521683403E-2"/>
        <bgColor rgb="FF000000"/>
      </patternFill>
    </fill>
    <fill>
      <patternFill patternType="solid">
        <fgColor theme="0" tint="-0.34998626667073579"/>
        <bgColor indexed="64"/>
      </patternFill>
    </fill>
    <fill>
      <patternFill patternType="solid">
        <fgColor rgb="FF000099"/>
        <bgColor indexed="64"/>
      </patternFill>
    </fill>
    <fill>
      <patternFill patternType="solid">
        <fgColor theme="0"/>
        <bgColor indexed="64"/>
      </patternFill>
    </fill>
    <fill>
      <patternFill patternType="solid">
        <fgColor theme="0" tint="-0.3499252296517838"/>
        <bgColor indexed="64"/>
      </patternFill>
    </fill>
    <fill>
      <patternFill patternType="solid">
        <fgColor rgb="FF333399"/>
        <bgColor indexed="64"/>
      </patternFill>
    </fill>
    <fill>
      <patternFill patternType="solid">
        <fgColor theme="4" tint="0.79995117038483843"/>
        <bgColor indexed="64"/>
      </patternFill>
    </fill>
    <fill>
      <patternFill patternType="solid">
        <fgColor rgb="FF333399"/>
        <bgColor rgb="FF000000"/>
      </patternFill>
    </fill>
    <fill>
      <patternFill patternType="solid">
        <fgColor rgb="FFFFFFFF"/>
        <bgColor rgb="FF000000"/>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rgb="FF000000"/>
      </patternFill>
    </fill>
    <fill>
      <patternFill patternType="solid">
        <fgColor rgb="FFA6A6A6"/>
        <bgColor rgb="FF000000"/>
      </patternFill>
    </fill>
    <fill>
      <patternFill patternType="solid">
        <fgColor rgb="FFDCE6F1"/>
        <bgColor rgb="FF000000"/>
      </patternFill>
    </fill>
    <fill>
      <patternFill patternType="solid">
        <fgColor indexed="43"/>
        <bgColor indexed="64"/>
      </patternFill>
    </fill>
    <fill>
      <patternFill patternType="solid">
        <fgColor indexed="29"/>
        <bgColor indexed="64"/>
      </patternFill>
    </fill>
    <fill>
      <patternFill patternType="solid">
        <fgColor indexed="47"/>
        <bgColor indexed="64"/>
      </patternFill>
    </fill>
    <fill>
      <patternFill patternType="solid">
        <fgColor theme="4" tint="0.79931028168584251"/>
        <bgColor indexed="64"/>
      </patternFill>
    </fill>
    <fill>
      <patternFill patternType="solid">
        <fgColor theme="9" tint="0.79931028168584251"/>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6"/>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theme="9"/>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0"/>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8" tint="0.79998168889431442"/>
        <bgColor indexed="64"/>
      </patternFill>
    </fill>
  </fills>
  <borders count="63">
    <border>
      <left/>
      <right/>
      <top/>
      <bottom/>
      <diagonal/>
    </border>
    <border>
      <left style="thin">
        <color auto="1"/>
      </left>
      <right/>
      <top style="thin">
        <color auto="1"/>
      </top>
      <bottom style="thin">
        <color auto="1"/>
      </bottom>
      <diagonal/>
    </border>
    <border>
      <left/>
      <right/>
      <top style="thin">
        <color auto="1"/>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rgb="FF000000"/>
      </bottom>
      <diagonal/>
    </border>
    <border>
      <left/>
      <right style="thin">
        <color auto="1"/>
      </right>
      <top style="thin">
        <color rgb="FF000000"/>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double">
        <color auto="1"/>
      </bottom>
      <diagonal/>
    </border>
    <border>
      <left style="thin">
        <color rgb="FF000000"/>
      </left>
      <right/>
      <top style="thin">
        <color rgb="FF000000"/>
      </top>
      <bottom/>
      <diagonal/>
    </border>
    <border>
      <left/>
      <right/>
      <top style="thin">
        <color rgb="FF000000"/>
      </top>
      <bottom/>
      <diagonal/>
    </border>
    <border>
      <left style="medium">
        <color auto="1"/>
      </left>
      <right style="medium">
        <color auto="1"/>
      </right>
      <top style="thin">
        <color rgb="FF000000"/>
      </top>
      <bottom/>
      <diagonal/>
    </border>
    <border>
      <left style="thin">
        <color rgb="FF000000"/>
      </left>
      <right/>
      <top style="thin">
        <color auto="1"/>
      </top>
      <bottom/>
      <diagonal/>
    </border>
    <border>
      <left style="thin">
        <color rgb="FF000000"/>
      </left>
      <right/>
      <top/>
      <bottom/>
      <diagonal/>
    </border>
    <border>
      <left style="thin">
        <color rgb="FF000000"/>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auto="1"/>
      </top>
      <bottom style="thin">
        <color auto="1"/>
      </bottom>
      <diagonal/>
    </border>
    <border>
      <left style="thin">
        <color rgb="FF000000"/>
      </left>
      <right style="thin">
        <color rgb="FF000000"/>
      </right>
      <top/>
      <bottom style="thin">
        <color rgb="FF000000"/>
      </bottom>
      <diagonal/>
    </border>
    <border>
      <left/>
      <right/>
      <top style="thin">
        <color auto="1"/>
      </top>
      <bottom style="double">
        <color auto="1"/>
      </bottom>
      <diagonal/>
    </border>
    <border>
      <left style="medium">
        <color auto="1"/>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rgb="FF000000"/>
      </right>
      <top/>
      <bottom style="thin">
        <color auto="1"/>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right/>
      <top style="medium">
        <color auto="1"/>
      </top>
      <bottom style="medium">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16">
    <xf numFmtId="0" fontId="0" fillId="0" borderId="0"/>
    <xf numFmtId="177" fontId="164" fillId="0" borderId="0" applyFont="0" applyFill="0" applyBorder="0" applyAlignment="0" applyProtection="0">
      <alignment vertical="center"/>
    </xf>
    <xf numFmtId="9" fontId="164" fillId="0" borderId="0" applyFont="0" applyFill="0" applyBorder="0" applyAlignment="0" applyProtection="0"/>
    <xf numFmtId="0" fontId="64" fillId="0" borderId="0" applyNumberFormat="0" applyFill="0" applyBorder="0" applyAlignment="0" applyProtection="0"/>
    <xf numFmtId="178" fontId="66" fillId="0" borderId="0">
      <protection locked="0"/>
    </xf>
    <xf numFmtId="179" fontId="67" fillId="0" borderId="0" applyFont="0" applyFill="0" applyBorder="0" applyAlignment="0" applyProtection="0"/>
    <xf numFmtId="180" fontId="68" fillId="0" borderId="0" applyFont="0" applyFill="0" applyBorder="0" applyAlignment="0" applyProtection="0"/>
    <xf numFmtId="10" fontId="68" fillId="0" borderId="0" applyFont="0" applyFill="0" applyBorder="0" applyAlignment="0" applyProtection="0"/>
    <xf numFmtId="181" fontId="67" fillId="0" borderId="0" applyFont="0" applyFill="0" applyBorder="0" applyAlignment="0" applyProtection="0"/>
    <xf numFmtId="0" fontId="164" fillId="21" borderId="0" applyNumberFormat="0" applyBorder="0" applyProtection="0"/>
    <xf numFmtId="0" fontId="164" fillId="22" borderId="0" applyNumberFormat="0" applyBorder="0" applyProtection="0"/>
    <xf numFmtId="0" fontId="69" fillId="23" borderId="0" applyNumberFormat="0" applyBorder="0" applyAlignment="0" applyProtection="0"/>
    <xf numFmtId="0" fontId="70" fillId="24" borderId="0" applyNumberFormat="0" applyBorder="0" applyAlignment="0" applyProtection="0"/>
    <xf numFmtId="0" fontId="69" fillId="25" borderId="0" applyNumberFormat="0" applyBorder="0" applyAlignment="0" applyProtection="0"/>
    <xf numFmtId="0" fontId="71" fillId="26" borderId="0" applyNumberFormat="0" applyBorder="0" applyAlignment="0" applyProtection="0">
      <alignment vertical="center"/>
    </xf>
    <xf numFmtId="0" fontId="69" fillId="27" borderId="0" applyNumberFormat="0" applyBorder="0" applyAlignment="0" applyProtection="0"/>
    <xf numFmtId="0" fontId="70" fillId="28" borderId="0" applyNumberFormat="0" applyBorder="0" applyAlignment="0" applyProtection="0"/>
    <xf numFmtId="0" fontId="70" fillId="29" borderId="0" applyNumberFormat="0" applyBorder="0" applyAlignment="0" applyProtection="0"/>
    <xf numFmtId="0" fontId="69" fillId="30" borderId="0" applyNumberFormat="0" applyBorder="0" applyAlignment="0" applyProtection="0"/>
    <xf numFmtId="0" fontId="71" fillId="31" borderId="0" applyNumberFormat="0" applyBorder="0" applyProtection="0"/>
    <xf numFmtId="0" fontId="71" fillId="31" borderId="0" applyNumberFormat="0" applyBorder="0" applyAlignment="0" applyProtection="0">
      <alignment vertical="center"/>
    </xf>
    <xf numFmtId="0" fontId="70" fillId="32" borderId="0" applyNumberFormat="0" applyBorder="0" applyAlignment="0" applyProtection="0"/>
    <xf numFmtId="0" fontId="69" fillId="29" borderId="0" applyNumberFormat="0" applyBorder="0" applyAlignment="0" applyProtection="0"/>
    <xf numFmtId="0" fontId="71" fillId="33" borderId="0" applyNumberFormat="0" applyBorder="0" applyAlignment="0" applyProtection="0">
      <alignment vertical="center"/>
    </xf>
    <xf numFmtId="0" fontId="71" fillId="34" borderId="0" applyNumberFormat="0" applyBorder="0" applyAlignment="0" applyProtection="0">
      <alignment vertical="center"/>
    </xf>
    <xf numFmtId="0" fontId="69" fillId="35" borderId="0" applyNumberFormat="0" applyBorder="0" applyAlignment="0" applyProtection="0"/>
    <xf numFmtId="0" fontId="70" fillId="36" borderId="0" applyNumberFormat="0" applyBorder="0" applyAlignment="0" applyProtection="0"/>
    <xf numFmtId="0" fontId="71" fillId="37" borderId="0" applyNumberFormat="0" applyBorder="0" applyAlignment="0" applyProtection="0">
      <alignment vertical="center"/>
    </xf>
    <xf numFmtId="0" fontId="69" fillId="38" borderId="0" applyNumberFormat="0" applyBorder="0" applyAlignment="0" applyProtection="0"/>
    <xf numFmtId="0" fontId="70" fillId="20" borderId="0" applyNumberFormat="0" applyBorder="0" applyAlignment="0" applyProtection="0"/>
    <xf numFmtId="0" fontId="69" fillId="20" borderId="0" applyNumberFormat="0" applyBorder="0" applyAlignment="0" applyProtection="0"/>
    <xf numFmtId="0" fontId="71" fillId="39" borderId="0" applyNumberFormat="0" applyBorder="0" applyAlignment="0" applyProtection="0">
      <alignment vertical="center"/>
    </xf>
    <xf numFmtId="0" fontId="72" fillId="40" borderId="0" applyNumberFormat="0" applyBorder="0" applyProtection="0"/>
    <xf numFmtId="182" fontId="22" fillId="0" borderId="0" applyFill="0" applyBorder="0" applyAlignment="0"/>
    <xf numFmtId="0" fontId="73" fillId="0" borderId="0"/>
    <xf numFmtId="4" fontId="164" fillId="0" borderId="7">
      <alignment horizontal="right"/>
    </xf>
    <xf numFmtId="4" fontId="74" fillId="0" borderId="7">
      <alignment horizontal="right"/>
    </xf>
    <xf numFmtId="4" fontId="18" fillId="0" borderId="7">
      <alignment horizontal="right" vertical="center"/>
    </xf>
    <xf numFmtId="10" fontId="164" fillId="0" borderId="7" applyAlignment="0"/>
    <xf numFmtId="0" fontId="18" fillId="0" borderId="7">
      <alignment horizontal="right" vertical="center"/>
    </xf>
    <xf numFmtId="0" fontId="75" fillId="41" borderId="46" applyNumberFormat="0" applyAlignment="0" applyProtection="0"/>
    <xf numFmtId="0" fontId="76" fillId="42" borderId="45" applyNumberFormat="0" applyAlignment="0" applyProtection="0"/>
    <xf numFmtId="0" fontId="77" fillId="0" borderId="16" applyNumberFormat="0" applyFill="0" applyProtection="0">
      <alignment horizontal="center"/>
    </xf>
    <xf numFmtId="177" fontId="164" fillId="0" borderId="0" applyFont="0" applyFill="0" applyBorder="0" applyAlignment="0" applyProtection="0"/>
    <xf numFmtId="183" fontId="3" fillId="0" borderId="0"/>
    <xf numFmtId="176" fontId="164" fillId="0" borderId="0" applyFont="0" applyFill="0" applyBorder="0" applyAlignment="0" applyProtection="0"/>
    <xf numFmtId="176" fontId="74" fillId="0" borderId="0" applyFont="0" applyFill="0" applyBorder="0" applyAlignment="0" applyProtection="0"/>
    <xf numFmtId="176" fontId="164"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67" fillId="0" borderId="0" applyFont="0" applyFill="0" applyBorder="0" applyAlignment="0" applyProtection="0"/>
    <xf numFmtId="176" fontId="67" fillId="0" borderId="0" applyFont="0" applyFill="0" applyBorder="0" applyAlignment="0" applyProtection="0"/>
    <xf numFmtId="177" fontId="74" fillId="0" borderId="0" applyFont="0" applyFill="0" applyBorder="0" applyProtection="0"/>
    <xf numFmtId="184" fontId="3" fillId="0" borderId="0" applyFont="0" applyFill="0" applyBorder="0" applyAlignment="0" applyProtection="0"/>
    <xf numFmtId="177" fontId="79" fillId="0" borderId="0" applyFont="0" applyFill="0" applyBorder="0" applyAlignment="0" applyProtection="0"/>
    <xf numFmtId="185" fontId="80" fillId="0" borderId="0" applyFont="0" applyFill="0" applyBorder="0" applyProtection="0"/>
    <xf numFmtId="177" fontId="80" fillId="0" borderId="0" applyFont="0" applyFill="0" applyBorder="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164" fillId="0" borderId="0" applyFont="0" applyAlignment="0" applyProtection="0"/>
    <xf numFmtId="177" fontId="164" fillId="0" borderId="0" applyFont="0" applyAlignment="0" applyProtection="0"/>
    <xf numFmtId="177" fontId="81" fillId="0" borderId="0" applyFont="0" applyAlignment="0" applyProtection="0"/>
    <xf numFmtId="177" fontId="164" fillId="0" borderId="0" applyAlignment="0"/>
    <xf numFmtId="177" fontId="164" fillId="0" borderId="0" applyAlignment="0"/>
    <xf numFmtId="177" fontId="81" fillId="0" borderId="0" applyAlignment="0"/>
    <xf numFmtId="177" fontId="82" fillId="0" borderId="0" applyFont="0" applyFill="0" applyBorder="0" applyAlignment="0" applyProtection="0"/>
    <xf numFmtId="177" fontId="164" fillId="0" borderId="0" applyFont="0" applyFill="0" applyBorder="0" applyProtection="0"/>
    <xf numFmtId="177" fontId="164" fillId="0" borderId="0" applyFont="0" applyFill="0" applyBorder="0" applyProtection="0"/>
    <xf numFmtId="185" fontId="67" fillId="0" borderId="0" applyFont="0" applyFill="0" applyBorder="0" applyAlignment="0" applyProtection="0"/>
    <xf numFmtId="177" fontId="67"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7" fontId="67" fillId="0" borderId="0" applyFont="0" applyFill="0" applyBorder="0" applyAlignment="0" applyProtection="0"/>
    <xf numFmtId="177" fontId="164" fillId="0" borderId="0" applyFont="0" applyFill="0" applyBorder="0" applyAlignment="0" applyProtection="0"/>
    <xf numFmtId="177" fontId="164" fillId="0" borderId="0" applyFont="0" applyFill="0" applyBorder="0" applyAlignment="0" applyProtection="0"/>
    <xf numFmtId="177" fontId="164" fillId="0" borderId="0" applyFont="0" applyFill="0" applyBorder="0" applyAlignment="0" applyProtection="0"/>
    <xf numFmtId="177" fontId="83" fillId="0" borderId="0" applyFont="0" applyFill="0" applyBorder="0" applyProtection="0"/>
    <xf numFmtId="177" fontId="2" fillId="0" borderId="0" applyFont="0" applyFill="0" applyBorder="0" applyAlignment="0" applyProtection="0"/>
    <xf numFmtId="177" fontId="83" fillId="0" borderId="0" applyFont="0" applyFill="0" applyBorder="0" applyAlignment="0" applyProtection="0"/>
    <xf numFmtId="177" fontId="164" fillId="0" borderId="0" applyFont="0" applyFill="0" applyBorder="0" applyAlignment="0" applyProtection="0"/>
    <xf numFmtId="177" fontId="84" fillId="0" borderId="0" applyFont="0" applyFill="0" applyBorder="0" applyAlignment="0" applyProtection="0"/>
    <xf numFmtId="186" fontId="85" fillId="0" borderId="0"/>
    <xf numFmtId="37" fontId="68" fillId="0" borderId="0" applyFont="0" applyFill="0" applyBorder="0" applyAlignment="0" applyProtection="0"/>
    <xf numFmtId="187" fontId="68" fillId="0" borderId="0" applyFont="0" applyFill="0" applyBorder="0" applyAlignment="0" applyProtection="0"/>
    <xf numFmtId="39" fontId="68" fillId="0" borderId="0" applyFont="0" applyFill="0" applyBorder="0" applyAlignment="0" applyProtection="0"/>
    <xf numFmtId="0" fontId="86" fillId="0" borderId="0" applyAlignment="0"/>
    <xf numFmtId="188" fontId="85" fillId="0" borderId="0" applyFont="0" applyFill="0" applyBorder="0" applyAlignment="0" applyProtection="0"/>
    <xf numFmtId="189" fontId="3" fillId="0" borderId="0" applyFont="0" applyFill="0" applyBorder="0" applyAlignment="0" applyProtection="0"/>
    <xf numFmtId="189" fontId="164" fillId="0" borderId="0" applyFont="0" applyFill="0" applyBorder="0" applyAlignment="0" applyProtection="0"/>
    <xf numFmtId="189" fontId="2" fillId="0" borderId="0" applyFont="0" applyFill="0" applyBorder="0" applyAlignment="0" applyProtection="0"/>
    <xf numFmtId="189" fontId="84" fillId="0" borderId="0" applyFont="0" applyFill="0" applyBorder="0" applyAlignment="0" applyProtection="0"/>
    <xf numFmtId="189" fontId="22" fillId="0" borderId="0" applyFont="0" applyFill="0" applyBorder="0" applyAlignment="0" applyProtection="0">
      <alignment vertical="top"/>
    </xf>
    <xf numFmtId="190" fontId="68" fillId="0" borderId="0" applyFont="0" applyFill="0" applyBorder="0" applyAlignment="0" applyProtection="0"/>
    <xf numFmtId="191" fontId="68" fillId="0" borderId="0" applyFont="0" applyFill="0" applyBorder="0" applyAlignment="0" applyProtection="0"/>
    <xf numFmtId="192" fontId="85" fillId="0" borderId="0"/>
    <xf numFmtId="0" fontId="164" fillId="0" borderId="7" applyAlignment="0"/>
    <xf numFmtId="0" fontId="74" fillId="0" borderId="7" applyAlignment="0"/>
    <xf numFmtId="193" fontId="85" fillId="0" borderId="0"/>
    <xf numFmtId="0" fontId="87" fillId="0" borderId="0">
      <alignment horizontal="left"/>
    </xf>
    <xf numFmtId="0" fontId="88" fillId="43" borderId="7"/>
    <xf numFmtId="194" fontId="80" fillId="0" borderId="0" applyFont="0" applyFill="0" applyBorder="0" applyAlignment="0" applyProtection="0"/>
    <xf numFmtId="0" fontId="18" fillId="0" borderId="7" applyAlignment="0"/>
    <xf numFmtId="0" fontId="89" fillId="44" borderId="0" applyNumberFormat="0" applyBorder="0" applyAlignment="0" applyProtection="0"/>
    <xf numFmtId="0" fontId="90" fillId="45" borderId="0" applyNumberFormat="0" applyBorder="0" applyAlignment="0" applyProtection="0"/>
    <xf numFmtId="0" fontId="90" fillId="45" borderId="0" applyNumberFormat="0" applyBorder="0" applyProtection="0"/>
    <xf numFmtId="0" fontId="88" fillId="29" borderId="0" applyNumberFormat="0" applyBorder="0" applyAlignment="0" applyProtection="0"/>
    <xf numFmtId="0" fontId="91" fillId="0" borderId="0">
      <alignment horizontal="left"/>
    </xf>
    <xf numFmtId="0" fontId="48" fillId="0" borderId="47" applyNumberFormat="0" applyProtection="0"/>
    <xf numFmtId="0" fontId="48" fillId="0" borderId="5">
      <alignment horizontal="left" vertical="center"/>
    </xf>
    <xf numFmtId="0" fontId="92" fillId="46" borderId="7">
      <alignment horizontal="center" vertical="center"/>
    </xf>
    <xf numFmtId="0" fontId="64" fillId="0" borderId="0" applyNumberFormat="0" applyFill="0" applyBorder="0" applyAlignment="0" applyProtection="0"/>
    <xf numFmtId="0" fontId="93" fillId="0" borderId="0" applyNumberFormat="0" applyFill="0" applyBorder="0" applyAlignment="0" applyProtection="0"/>
    <xf numFmtId="0" fontId="94" fillId="0" borderId="0" applyNumberFormat="0" applyFill="0" applyBorder="0" applyAlignment="0" applyProtection="0"/>
    <xf numFmtId="0" fontId="93" fillId="0" borderId="0" applyNumberFormat="0" applyFill="0" applyBorder="0" applyProtection="0"/>
    <xf numFmtId="0" fontId="95" fillId="0" borderId="0" applyNumberFormat="0" applyFill="0" applyBorder="0" applyAlignment="0" applyProtection="0">
      <alignment vertical="top"/>
      <protection locked="0"/>
    </xf>
    <xf numFmtId="0" fontId="96" fillId="0" borderId="0" applyNumberFormat="0" applyFill="0" applyBorder="0" applyAlignment="0" applyProtection="0"/>
    <xf numFmtId="0" fontId="95" fillId="0" borderId="0" applyNumberFormat="0" applyFill="0" applyBorder="0" applyAlignment="0" applyProtection="0"/>
    <xf numFmtId="0" fontId="97" fillId="0" borderId="0" applyNumberFormat="0" applyFill="0" applyBorder="0">
      <protection locked="0"/>
    </xf>
    <xf numFmtId="0" fontId="98" fillId="0" borderId="0" applyNumberFormat="0" applyFill="0" applyBorder="0" applyProtection="0"/>
    <xf numFmtId="0" fontId="88" fillId="28" borderId="7" applyNumberFormat="0" applyBorder="0" applyAlignment="0" applyProtection="0"/>
    <xf numFmtId="0" fontId="99" fillId="0" borderId="48"/>
    <xf numFmtId="0" fontId="100" fillId="47" borderId="0" applyNumberFormat="0" applyBorder="0" applyProtection="0"/>
    <xf numFmtId="180" fontId="67" fillId="0" borderId="0"/>
    <xf numFmtId="0" fontId="164" fillId="0" borderId="0" applyAlignment="0"/>
    <xf numFmtId="0" fontId="3" fillId="0" borderId="0"/>
    <xf numFmtId="0" fontId="3" fillId="0" borderId="0"/>
    <xf numFmtId="0" fontId="74" fillId="0" borderId="0" applyAlignment="0"/>
    <xf numFmtId="0" fontId="164" fillId="0" borderId="0"/>
    <xf numFmtId="0" fontId="164" fillId="0" borderId="0"/>
    <xf numFmtId="0" fontId="164" fillId="0" borderId="0"/>
    <xf numFmtId="0" fontId="164" fillId="0" borderId="0"/>
    <xf numFmtId="0" fontId="164" fillId="0" borderId="0">
      <alignment vertical="center"/>
    </xf>
    <xf numFmtId="0" fontId="164" fillId="0" borderId="0"/>
    <xf numFmtId="0" fontId="4" fillId="0" borderId="0"/>
    <xf numFmtId="0" fontId="41" fillId="0" borderId="0"/>
    <xf numFmtId="0" fontId="80" fillId="0" borderId="0"/>
    <xf numFmtId="0" fontId="101" fillId="0" borderId="0"/>
    <xf numFmtId="0" fontId="164" fillId="0" borderId="0"/>
    <xf numFmtId="0" fontId="102" fillId="0" borderId="0">
      <alignment vertical="center"/>
    </xf>
    <xf numFmtId="0" fontId="103" fillId="0" borderId="0"/>
    <xf numFmtId="0" fontId="3" fillId="0" borderId="0"/>
    <xf numFmtId="0" fontId="102" fillId="0" borderId="0">
      <alignment vertical="center"/>
    </xf>
    <xf numFmtId="0" fontId="104" fillId="0" borderId="0"/>
    <xf numFmtId="0" fontId="3" fillId="0" borderId="0"/>
    <xf numFmtId="0" fontId="2" fillId="0" borderId="0"/>
    <xf numFmtId="0" fontId="105" fillId="0" borderId="0">
      <alignment vertical="center"/>
    </xf>
    <xf numFmtId="0" fontId="84" fillId="0" borderId="0"/>
    <xf numFmtId="0" fontId="81" fillId="0" borderId="0" applyAlignment="0"/>
    <xf numFmtId="0" fontId="106" fillId="0" borderId="0"/>
    <xf numFmtId="0" fontId="107" fillId="0" borderId="0"/>
    <xf numFmtId="0" fontId="164" fillId="0" borderId="0"/>
    <xf numFmtId="0" fontId="83" fillId="0" borderId="0"/>
    <xf numFmtId="0" fontId="108" fillId="0" borderId="0"/>
    <xf numFmtId="0" fontId="164" fillId="0" borderId="0"/>
    <xf numFmtId="195" fontId="109" fillId="0" borderId="0" applyAlignment="0">
      <protection locked="0"/>
    </xf>
    <xf numFmtId="0" fontId="110" fillId="0" borderId="0"/>
    <xf numFmtId="0" fontId="3" fillId="0" borderId="0">
      <alignment vertical="top"/>
    </xf>
    <xf numFmtId="0" fontId="2" fillId="0" borderId="0" applyAlignment="0"/>
    <xf numFmtId="0" fontId="111" fillId="0" borderId="0"/>
    <xf numFmtId="0" fontId="112" fillId="0" borderId="0"/>
    <xf numFmtId="0" fontId="113" fillId="0" borderId="0" applyAlignment="0"/>
    <xf numFmtId="0" fontId="81" fillId="0" borderId="0"/>
    <xf numFmtId="0" fontId="114" fillId="0" borderId="0"/>
    <xf numFmtId="195" fontId="164" fillId="0" borderId="0">
      <protection locked="0"/>
    </xf>
    <xf numFmtId="0" fontId="78" fillId="0" borderId="0" applyAlignment="0">
      <protection locked="0"/>
    </xf>
    <xf numFmtId="0" fontId="67" fillId="0" borderId="0"/>
    <xf numFmtId="0" fontId="79" fillId="0" borderId="0"/>
    <xf numFmtId="178" fontId="85" fillId="0" borderId="0">
      <protection locked="0"/>
    </xf>
    <xf numFmtId="9" fontId="164" fillId="0" borderId="0" applyAlignment="0"/>
    <xf numFmtId="9" fontId="81" fillId="0" borderId="0" applyAlignment="0"/>
    <xf numFmtId="177" fontId="110" fillId="0" borderId="0" applyAlignment="0"/>
    <xf numFmtId="177" fontId="110" fillId="0" borderId="0" applyAlignment="0"/>
    <xf numFmtId="0" fontId="115" fillId="0" borderId="0"/>
    <xf numFmtId="0" fontId="116" fillId="0" borderId="0"/>
    <xf numFmtId="10" fontId="3" fillId="0" borderId="0" applyFont="0" applyFill="0" applyBorder="0" applyAlignment="0" applyProtection="0"/>
    <xf numFmtId="180" fontId="164" fillId="0" borderId="0" applyFont="0" applyFill="0" applyBorder="0" applyAlignment="0" applyProtection="0"/>
    <xf numFmtId="180" fontId="74" fillId="0" borderId="0" applyFont="0" applyFill="0" applyBorder="0" applyAlignment="0" applyProtection="0"/>
    <xf numFmtId="9" fontId="3" fillId="0" borderId="0" applyFont="0" applyFill="0" applyBorder="0" applyAlignment="0" applyProtection="0"/>
    <xf numFmtId="9" fontId="67" fillId="0" borderId="0" applyFont="0" applyFill="0" applyBorder="0" applyAlignment="0" applyProtection="0"/>
    <xf numFmtId="9" fontId="74" fillId="0" borderId="0" applyFont="0" applyFill="0" applyBorder="0" applyAlignment="0" applyProtection="0"/>
    <xf numFmtId="9" fontId="164" fillId="0" borderId="0" applyFont="0" applyFill="0" applyBorder="0" applyProtection="0"/>
    <xf numFmtId="9" fontId="2" fillId="0" borderId="0" applyFont="0" applyFill="0" applyBorder="0" applyAlignment="0" applyProtection="0"/>
    <xf numFmtId="9" fontId="74" fillId="0" borderId="0" applyFont="0" applyFill="0" applyBorder="0" applyProtection="0"/>
    <xf numFmtId="0" fontId="88" fillId="29" borderId="7"/>
    <xf numFmtId="4" fontId="87" fillId="0" borderId="0">
      <alignment horizontal="right"/>
    </xf>
    <xf numFmtId="4" fontId="117" fillId="0" borderId="0">
      <alignment horizontal="right"/>
    </xf>
    <xf numFmtId="176" fontId="85" fillId="0" borderId="0" applyFont="0" applyFill="0" applyBorder="0" applyAlignment="0" applyProtection="0"/>
    <xf numFmtId="0" fontId="23" fillId="18" borderId="49" applyNumberFormat="0" applyProtection="0">
      <alignment vertical="center"/>
    </xf>
    <xf numFmtId="0" fontId="118" fillId="18" borderId="49" applyNumberFormat="0" applyProtection="0">
      <alignment vertical="center"/>
    </xf>
    <xf numFmtId="0" fontId="23" fillId="18" borderId="49" applyNumberFormat="0" applyProtection="0">
      <alignment horizontal="left" vertical="center" indent="1"/>
    </xf>
    <xf numFmtId="0" fontId="23" fillId="18" borderId="49" applyNumberFormat="0" applyProtection="0">
      <alignment horizontal="left" vertical="top" indent="1"/>
    </xf>
    <xf numFmtId="0" fontId="23" fillId="48" borderId="0" applyNumberFormat="0" applyProtection="0">
      <alignment horizontal="left" vertical="center" indent="1"/>
    </xf>
    <xf numFmtId="0" fontId="22" fillId="49" borderId="49" applyNumberFormat="0" applyProtection="0">
      <alignment horizontal="right" vertical="center"/>
    </xf>
    <xf numFmtId="0" fontId="22" fillId="19" borderId="49" applyNumberFormat="0" applyProtection="0">
      <alignment horizontal="right" vertical="center"/>
    </xf>
    <xf numFmtId="0" fontId="22" fillId="50" borderId="49" applyNumberFormat="0" applyProtection="0">
      <alignment horizontal="right" vertical="center"/>
    </xf>
    <xf numFmtId="0" fontId="22" fillId="51" borderId="49" applyNumberFormat="0" applyProtection="0">
      <alignment horizontal="right" vertical="center"/>
    </xf>
    <xf numFmtId="0" fontId="22" fillId="38" borderId="49" applyNumberFormat="0" applyProtection="0">
      <alignment horizontal="right" vertical="center"/>
    </xf>
    <xf numFmtId="0" fontId="22" fillId="52" borderId="49" applyNumberFormat="0" applyProtection="0">
      <alignment horizontal="right" vertical="center"/>
    </xf>
    <xf numFmtId="0" fontId="22" fillId="53" borderId="49" applyNumberFormat="0" applyProtection="0">
      <alignment horizontal="right" vertical="center"/>
    </xf>
    <xf numFmtId="0" fontId="22" fillId="54" borderId="49" applyNumberFormat="0" applyProtection="0">
      <alignment horizontal="right" vertical="center"/>
    </xf>
    <xf numFmtId="0" fontId="22" fillId="55" borderId="49" applyNumberFormat="0" applyProtection="0">
      <alignment horizontal="right" vertical="center"/>
    </xf>
    <xf numFmtId="0" fontId="23" fillId="56" borderId="50" applyNumberFormat="0" applyProtection="0">
      <alignment horizontal="left" vertical="center" indent="1"/>
    </xf>
    <xf numFmtId="0" fontId="22" fillId="57" borderId="0" applyNumberFormat="0" applyProtection="0">
      <alignment horizontal="left" vertical="center" indent="1"/>
    </xf>
    <xf numFmtId="0" fontId="119" fillId="23" borderId="0" applyNumberFormat="0" applyProtection="0">
      <alignment horizontal="left" vertical="center" indent="1"/>
    </xf>
    <xf numFmtId="0" fontId="22" fillId="48" borderId="49" applyNumberFormat="0" applyProtection="0">
      <alignment horizontal="right" vertical="center"/>
    </xf>
    <xf numFmtId="0" fontId="22" fillId="48" borderId="0" applyNumberFormat="0" applyProtection="0">
      <alignment horizontal="left" vertical="center" indent="1"/>
    </xf>
    <xf numFmtId="0" fontId="3" fillId="23" borderId="49" applyNumberFormat="0" applyProtection="0">
      <alignment horizontal="left" vertical="center" indent="1"/>
    </xf>
    <xf numFmtId="0" fontId="3" fillId="23" borderId="49" applyNumberFormat="0" applyProtection="0">
      <alignment horizontal="left" vertical="top" indent="1"/>
    </xf>
    <xf numFmtId="0" fontId="3" fillId="48" borderId="49" applyNumberFormat="0" applyProtection="0">
      <alignment horizontal="left" vertical="center" indent="1"/>
    </xf>
    <xf numFmtId="0" fontId="3" fillId="48" borderId="49" applyNumberFormat="0" applyProtection="0">
      <alignment horizontal="left" vertical="top" indent="1"/>
    </xf>
    <xf numFmtId="0" fontId="3" fillId="25" borderId="49" applyNumberFormat="0" applyProtection="0">
      <alignment horizontal="left" vertical="center" indent="1"/>
    </xf>
    <xf numFmtId="0" fontId="3" fillId="25" borderId="49" applyNumberFormat="0" applyProtection="0">
      <alignment horizontal="left" vertical="top" indent="1"/>
    </xf>
    <xf numFmtId="0" fontId="3" fillId="57" borderId="49" applyNumberFormat="0" applyProtection="0">
      <alignment horizontal="left" vertical="center" indent="1"/>
    </xf>
    <xf numFmtId="0" fontId="3" fillId="57" borderId="49" applyNumberFormat="0" applyProtection="0">
      <alignment horizontal="left" vertical="top" indent="1"/>
    </xf>
    <xf numFmtId="0" fontId="22" fillId="28" borderId="49" applyNumberFormat="0" applyProtection="0">
      <alignment vertical="center"/>
    </xf>
    <xf numFmtId="0" fontId="120" fillId="28" borderId="49" applyNumberFormat="0" applyProtection="0">
      <alignment vertical="center"/>
    </xf>
    <xf numFmtId="0" fontId="22" fillId="28" borderId="49" applyNumberFormat="0" applyProtection="0">
      <alignment horizontal="left" vertical="center" indent="1"/>
    </xf>
    <xf numFmtId="0" fontId="22" fillId="28" borderId="49" applyNumberFormat="0" applyProtection="0">
      <alignment horizontal="left" vertical="top" indent="1"/>
    </xf>
    <xf numFmtId="0" fontId="22" fillId="57" borderId="49" applyNumberFormat="0" applyProtection="0">
      <alignment horizontal="right" vertical="center"/>
    </xf>
    <xf numFmtId="0" fontId="120" fillId="57" borderId="49" applyNumberFormat="0" applyProtection="0">
      <alignment horizontal="right" vertical="center"/>
    </xf>
    <xf numFmtId="0" fontId="22" fillId="48" borderId="49" applyNumberFormat="0" applyProtection="0">
      <alignment horizontal="left" vertical="center" indent="1"/>
    </xf>
    <xf numFmtId="0" fontId="22" fillId="48" borderId="49" applyNumberFormat="0" applyProtection="0">
      <alignment horizontal="left" vertical="top" indent="1"/>
    </xf>
    <xf numFmtId="0" fontId="121" fillId="58" borderId="0" applyNumberFormat="0" applyProtection="0">
      <alignment horizontal="left" vertical="center" indent="1"/>
    </xf>
    <xf numFmtId="0" fontId="122" fillId="57" borderId="49" applyNumberFormat="0" applyProtection="0">
      <alignment horizontal="right" vertical="center"/>
    </xf>
    <xf numFmtId="0" fontId="123" fillId="0" borderId="0">
      <alignment horizontal="left"/>
    </xf>
    <xf numFmtId="177" fontId="88" fillId="0" borderId="51"/>
    <xf numFmtId="177" fontId="88" fillId="0" borderId="51"/>
    <xf numFmtId="0" fontId="22" fillId="0" borderId="0">
      <alignment vertical="top"/>
    </xf>
    <xf numFmtId="0" fontId="99" fillId="0" borderId="0"/>
    <xf numFmtId="0" fontId="124" fillId="0" borderId="0">
      <alignment horizontal="center"/>
    </xf>
    <xf numFmtId="196" fontId="3" fillId="0" borderId="0" applyFont="0" applyFill="0" applyBorder="0" applyAlignment="0" applyProtection="0"/>
    <xf numFmtId="197" fontId="3" fillId="0" borderId="0" applyFont="0" applyFill="0" applyBorder="0" applyAlignment="0" applyProtection="0"/>
    <xf numFmtId="198" fontId="67" fillId="0" borderId="0" applyFont="0" applyFill="0" applyBorder="0" applyAlignment="0" applyProtection="0"/>
    <xf numFmtId="199" fontId="67" fillId="0" borderId="0" applyFont="0" applyFill="0" applyBorder="0" applyAlignment="0" applyProtection="0"/>
    <xf numFmtId="9" fontId="125" fillId="0" borderId="0" applyFont="0" applyFill="0" applyBorder="0" applyAlignment="0" applyProtection="0"/>
    <xf numFmtId="0" fontId="126" fillId="0" borderId="0"/>
    <xf numFmtId="200" fontId="83" fillId="0" borderId="0" applyFont="0" applyFill="0" applyBorder="0" applyAlignment="0" applyProtection="0"/>
    <xf numFmtId="184" fontId="83" fillId="0" borderId="0" applyFont="0" applyFill="0" applyBorder="0" applyAlignment="0" applyProtection="0"/>
    <xf numFmtId="9" fontId="83" fillId="0" borderId="0" applyFont="0" applyFill="0" applyBorder="0" applyAlignment="0" applyProtection="0"/>
    <xf numFmtId="9" fontId="110" fillId="0" borderId="0" applyAlignment="0"/>
    <xf numFmtId="9" fontId="80" fillId="0" borderId="0" applyFont="0" applyFill="0" applyBorder="0" applyProtection="0"/>
    <xf numFmtId="0" fontId="127" fillId="0" borderId="0" applyFont="0" applyFill="0" applyBorder="0" applyAlignment="0" applyProtection="0"/>
    <xf numFmtId="0" fontId="128" fillId="0" borderId="0" applyNumberFormat="0" applyFill="0" applyBorder="0" applyProtection="0"/>
    <xf numFmtId="4" fontId="129" fillId="0" borderId="0">
      <alignment horizontal="right"/>
    </xf>
    <xf numFmtId="0" fontId="130" fillId="0" borderId="0" applyNumberFormat="0" applyFill="0" applyBorder="0" applyAlignment="0" applyProtection="0"/>
    <xf numFmtId="0" fontId="131" fillId="51" borderId="0" applyNumberFormat="0" applyBorder="0" applyProtection="0"/>
    <xf numFmtId="0" fontId="132" fillId="49" borderId="0" applyNumberFormat="0" applyBorder="0" applyProtection="0"/>
    <xf numFmtId="0" fontId="133" fillId="49" borderId="0" applyNumberFormat="0" applyBorder="0" applyAlignment="0" applyProtection="0"/>
    <xf numFmtId="0" fontId="65" fillId="43" borderId="0" applyNumberFormat="0" applyBorder="0" applyProtection="0"/>
    <xf numFmtId="0" fontId="164" fillId="0" borderId="0"/>
    <xf numFmtId="0" fontId="74" fillId="0" borderId="0">
      <alignment vertical="center"/>
    </xf>
    <xf numFmtId="0" fontId="164" fillId="0" borderId="0"/>
    <xf numFmtId="0" fontId="74" fillId="0" borderId="0"/>
    <xf numFmtId="0" fontId="164" fillId="0" borderId="0"/>
    <xf numFmtId="201" fontId="134" fillId="0" borderId="0"/>
    <xf numFmtId="0" fontId="110" fillId="0" borderId="0">
      <protection locked="0"/>
    </xf>
    <xf numFmtId="0" fontId="3" fillId="0" borderId="0">
      <protection locked="0"/>
    </xf>
    <xf numFmtId="0" fontId="67" fillId="0" borderId="0">
      <alignment vertical="top"/>
    </xf>
    <xf numFmtId="178" fontId="3" fillId="0" borderId="0"/>
    <xf numFmtId="0" fontId="135" fillId="0" borderId="0">
      <alignment vertical="center"/>
    </xf>
    <xf numFmtId="201" fontId="80" fillId="0" borderId="0"/>
    <xf numFmtId="0" fontId="113" fillId="0" borderId="0"/>
    <xf numFmtId="0" fontId="82" fillId="0" borderId="0"/>
    <xf numFmtId="0" fontId="164" fillId="0" borderId="0">
      <alignment vertical="center"/>
      <protection locked="0"/>
    </xf>
    <xf numFmtId="0" fontId="74" fillId="0" borderId="0">
      <alignment vertical="center"/>
      <protection locked="0"/>
    </xf>
    <xf numFmtId="0" fontId="136" fillId="0" borderId="0"/>
    <xf numFmtId="0" fontId="67" fillId="0" borderId="0">
      <alignment vertical="center"/>
    </xf>
    <xf numFmtId="0" fontId="137" fillId="0" borderId="0" applyNumberFormat="0" applyFill="0" applyBorder="0">
      <protection locked="0"/>
    </xf>
    <xf numFmtId="0" fontId="138" fillId="0" borderId="0" applyNumberFormat="0" applyFill="0" applyBorder="0" applyAlignment="0" applyProtection="0"/>
    <xf numFmtId="0" fontId="64" fillId="0" borderId="0" applyNumberFormat="0" applyFill="0" applyBorder="0" applyAlignment="0" applyProtection="0">
      <alignment vertical="center"/>
    </xf>
    <xf numFmtId="0" fontId="64" fillId="0" borderId="0" applyNumberFormat="0" applyFill="0" applyBorder="0" applyAlignment="0" applyProtection="0"/>
    <xf numFmtId="0" fontId="139" fillId="44" borderId="0" applyNumberFormat="0" applyBorder="0" applyProtection="0"/>
    <xf numFmtId="0" fontId="140" fillId="32" borderId="0" applyNumberFormat="0" applyBorder="0" applyProtection="0"/>
    <xf numFmtId="0" fontId="140" fillId="44" borderId="0" applyNumberFormat="0" applyBorder="0" applyProtection="0"/>
    <xf numFmtId="0" fontId="141" fillId="32" borderId="0" applyNumberFormat="0" applyBorder="0" applyAlignment="0" applyProtection="0"/>
    <xf numFmtId="0" fontId="142" fillId="59" borderId="0" applyNumberFormat="0" applyBorder="0" applyProtection="0"/>
    <xf numFmtId="4" fontId="143" fillId="0" borderId="0" applyFont="0" applyFill="0" applyBorder="0" applyAlignment="0" applyProtection="0"/>
    <xf numFmtId="202" fontId="74" fillId="0" borderId="0" applyFont="0" applyFill="0" applyBorder="0" applyProtection="0"/>
    <xf numFmtId="203" fontId="144" fillId="0" borderId="0" applyFont="0" applyFill="0" applyBorder="0" applyAlignment="0" applyProtection="0"/>
    <xf numFmtId="188" fontId="144"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206" fontId="145" fillId="0" borderId="0" applyFont="0" applyFill="0" applyBorder="0" applyAlignment="0" applyProtection="0"/>
    <xf numFmtId="207" fontId="145" fillId="0" borderId="0" applyFont="0" applyFill="0" applyBorder="0" applyAlignment="0" applyProtection="0"/>
    <xf numFmtId="203" fontId="83" fillId="0" borderId="0" applyFont="0" applyFill="0" applyBorder="0" applyAlignment="0" applyProtection="0"/>
    <xf numFmtId="188" fontId="83" fillId="0" borderId="0" applyFont="0" applyFill="0" applyBorder="0" applyAlignment="0" applyProtection="0"/>
    <xf numFmtId="0" fontId="85" fillId="0" borderId="0"/>
    <xf numFmtId="177" fontId="85" fillId="0" borderId="0" applyFont="0" applyFill="0" applyBorder="0" applyAlignment="0" applyProtection="0"/>
    <xf numFmtId="177" fontId="164" fillId="0" borderId="0" applyFont="0" applyFill="0" applyBorder="0" applyAlignment="0" applyProtection="0"/>
    <xf numFmtId="177" fontId="164" fillId="0" borderId="0" applyFont="0" applyFill="0" applyBorder="0" applyAlignment="0" applyProtection="0"/>
    <xf numFmtId="177" fontId="74" fillId="0" borderId="0" applyFont="0" applyFill="0" applyBorder="0" applyAlignment="0" applyProtection="0"/>
    <xf numFmtId="177" fontId="82" fillId="0" borderId="0" applyFont="0" applyFill="0" applyBorder="0" applyAlignment="0" applyProtection="0"/>
    <xf numFmtId="0" fontId="164" fillId="0" borderId="0" applyFont="0" applyFill="0" applyBorder="0" applyProtection="0"/>
    <xf numFmtId="177" fontId="110" fillId="0" borderId="0" applyFont="0" applyAlignment="0" applyProtection="0"/>
    <xf numFmtId="177" fontId="164" fillId="0" borderId="0" applyFont="0" applyProtection="0"/>
    <xf numFmtId="177" fontId="164" fillId="0" borderId="0" applyFont="0" applyProtection="0"/>
    <xf numFmtId="177" fontId="110" fillId="0" borderId="0" applyFont="0" applyAlignment="0" applyProtection="0"/>
    <xf numFmtId="0" fontId="74" fillId="0" borderId="0" applyFont="0" applyFill="0" applyBorder="0" applyProtection="0"/>
    <xf numFmtId="177" fontId="81" fillId="0" borderId="0" applyFont="0" applyProtection="0"/>
    <xf numFmtId="177" fontId="80" fillId="0" borderId="0" applyFont="0" applyFill="0" applyBorder="0" applyAlignment="0" applyProtection="0"/>
    <xf numFmtId="177" fontId="80" fillId="0" borderId="0" applyFont="0" applyFill="0" applyBorder="0" applyAlignment="0" applyProtection="0"/>
    <xf numFmtId="177" fontId="164" fillId="0" borderId="0" applyFont="0" applyFill="0" applyBorder="0" applyAlignment="0" applyProtection="0"/>
    <xf numFmtId="0" fontId="146" fillId="0" borderId="0"/>
    <xf numFmtId="0" fontId="147" fillId="60" borderId="0" applyNumberFormat="0" applyBorder="0" applyAlignment="0" applyProtection="0"/>
    <xf numFmtId="0" fontId="147" fillId="61" borderId="0" applyNumberFormat="0" applyBorder="0" applyAlignment="0" applyProtection="0"/>
    <xf numFmtId="0" fontId="147" fillId="62" borderId="0" applyNumberFormat="0" applyBorder="0" applyAlignment="0" applyProtection="0"/>
    <xf numFmtId="208" fontId="143" fillId="0" borderId="0" applyFont="0" applyFill="0" applyBorder="0" applyAlignment="0" applyProtection="0"/>
    <xf numFmtId="0" fontId="148" fillId="0" borderId="0"/>
    <xf numFmtId="40" fontId="127" fillId="0" borderId="0" applyFont="0" applyFill="0" applyBorder="0" applyAlignment="0" applyProtection="0"/>
    <xf numFmtId="38" fontId="127" fillId="0" borderId="0" applyFont="0" applyFill="0" applyBorder="0" applyAlignment="0" applyProtection="0"/>
    <xf numFmtId="0" fontId="3" fillId="0" borderId="7" applyNumberFormat="0"/>
    <xf numFmtId="38" fontId="149" fillId="0" borderId="0" applyFont="0" applyFill="0" applyBorder="0" applyAlignment="0" applyProtection="0"/>
    <xf numFmtId="40" fontId="149" fillId="0" borderId="0" applyFont="0" applyFill="0" applyBorder="0" applyAlignment="0" applyProtection="0"/>
    <xf numFmtId="0" fontId="149" fillId="0" borderId="0" applyFont="0" applyFill="0" applyBorder="0" applyAlignment="0" applyProtection="0"/>
    <xf numFmtId="0" fontId="150" fillId="0" borderId="0"/>
  </cellStyleXfs>
  <cellXfs count="586">
    <xf numFmtId="0" fontId="0" fillId="0" borderId="0" xfId="0"/>
    <xf numFmtId="0" fontId="1" fillId="0" borderId="0" xfId="0" applyFont="1"/>
    <xf numFmtId="0" fontId="2" fillId="0" borderId="0" xfId="263" applyFont="1" applyProtection="1">
      <protection locked="0"/>
    </xf>
    <xf numFmtId="0" fontId="3" fillId="0" borderId="0" xfId="0" applyFont="1" applyAlignment="1" applyProtection="1">
      <alignment vertical="center"/>
      <protection locked="0"/>
    </xf>
    <xf numFmtId="0" fontId="4" fillId="0" borderId="0" xfId="0" applyFont="1"/>
    <xf numFmtId="0" fontId="5" fillId="0" borderId="0" xfId="252" applyFont="1"/>
    <xf numFmtId="0" fontId="6" fillId="2" borderId="1" xfId="252" applyFont="1" applyFill="1" applyBorder="1" applyAlignment="1" applyProtection="1">
      <alignment horizontal="centerContinuous" vertical="center"/>
      <protection locked="0"/>
    </xf>
    <xf numFmtId="0" fontId="7" fillId="3" borderId="2" xfId="252" applyFont="1" applyFill="1" applyBorder="1" applyAlignment="1">
      <alignment horizontal="centerContinuous" vertical="center"/>
    </xf>
    <xf numFmtId="0" fontId="8" fillId="0" borderId="0" xfId="252" applyFont="1" applyAlignment="1">
      <alignment vertical="center"/>
    </xf>
    <xf numFmtId="0" fontId="9" fillId="4" borderId="3" xfId="252" applyFont="1" applyFill="1" applyBorder="1" applyAlignment="1">
      <alignment vertical="center"/>
    </xf>
    <xf numFmtId="0" fontId="9" fillId="4" borderId="4" xfId="252" applyFont="1" applyFill="1" applyBorder="1" applyAlignment="1">
      <alignment vertical="center"/>
    </xf>
    <xf numFmtId="0" fontId="10" fillId="0" borderId="0" xfId="252" applyFont="1"/>
    <xf numFmtId="0" fontId="3" fillId="0" borderId="0" xfId="252" applyFont="1"/>
    <xf numFmtId="0" fontId="11" fillId="5" borderId="0" xfId="3" applyFont="1" applyFill="1" applyAlignment="1">
      <alignment vertical="center"/>
    </xf>
    <xf numFmtId="0" fontId="12" fillId="0" borderId="0" xfId="252" applyFont="1" applyAlignment="1" applyProtection="1">
      <alignment vertical="center" wrapText="1"/>
      <protection locked="0"/>
    </xf>
    <xf numFmtId="0" fontId="13" fillId="0" borderId="0" xfId="252" applyFont="1" applyAlignment="1">
      <alignment vertical="center"/>
    </xf>
    <xf numFmtId="0" fontId="14" fillId="0" borderId="0" xfId="263" applyFont="1" applyAlignment="1" applyProtection="1">
      <alignment vertical="top"/>
      <protection locked="0"/>
    </xf>
    <xf numFmtId="0" fontId="15" fillId="0" borderId="0" xfId="263" applyFont="1" applyAlignment="1" applyProtection="1">
      <alignment vertical="top"/>
      <protection locked="0"/>
    </xf>
    <xf numFmtId="10" fontId="3" fillId="0" borderId="0" xfId="0" applyNumberFormat="1" applyFont="1" applyAlignment="1" applyProtection="1">
      <alignment vertical="center"/>
      <protection locked="0"/>
    </xf>
    <xf numFmtId="177" fontId="3" fillId="0" borderId="0" xfId="292" applyFont="1" applyFill="1" applyAlignment="1" applyProtection="1">
      <alignment vertical="center"/>
      <protection locked="0"/>
    </xf>
    <xf numFmtId="177" fontId="12" fillId="0" borderId="0" xfId="292" applyFont="1" applyFill="1" applyAlignment="1" applyProtection="1">
      <alignment vertical="center"/>
      <protection locked="0"/>
    </xf>
    <xf numFmtId="177" fontId="16" fillId="0" borderId="0" xfId="292" applyFont="1" applyFill="1" applyAlignment="1" applyProtection="1">
      <alignment horizontal="center" vertical="center"/>
      <protection locked="0"/>
    </xf>
    <xf numFmtId="0" fontId="16" fillId="0" borderId="0" xfId="0" applyFont="1" applyAlignment="1" applyProtection="1">
      <alignment vertical="center"/>
      <protection locked="0"/>
    </xf>
    <xf numFmtId="0" fontId="12" fillId="0" borderId="7" xfId="0" applyFont="1" applyBorder="1" applyAlignment="1" applyProtection="1">
      <alignment vertical="center"/>
      <protection locked="0"/>
    </xf>
    <xf numFmtId="0" fontId="12" fillId="0" borderId="7"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5" borderId="7" xfId="0" applyFont="1" applyFill="1" applyBorder="1" applyAlignment="1" applyProtection="1">
      <alignment horizontal="center" vertical="center"/>
      <protection locked="0"/>
    </xf>
    <xf numFmtId="0" fontId="3" fillId="0" borderId="7" xfId="0" applyFont="1" applyBorder="1" applyAlignment="1" applyProtection="1">
      <alignment horizontal="left" vertical="center"/>
      <protection locked="0"/>
    </xf>
    <xf numFmtId="10" fontId="3" fillId="0" borderId="7" xfId="0" applyNumberFormat="1" applyFont="1" applyBorder="1" applyAlignment="1" applyProtection="1">
      <alignment horizontal="right" vertical="center" shrinkToFit="1"/>
      <protection locked="0"/>
    </xf>
    <xf numFmtId="9" fontId="3" fillId="0" borderId="7" xfId="2" applyFont="1" applyBorder="1" applyAlignment="1" applyProtection="1">
      <alignment horizontal="center" vertical="center"/>
      <protection locked="0"/>
    </xf>
    <xf numFmtId="10" fontId="3" fillId="0" borderId="7" xfId="0" applyNumberFormat="1" applyFont="1" applyBorder="1" applyAlignment="1" applyProtection="1">
      <alignment horizontal="center" vertical="center"/>
      <protection locked="0"/>
    </xf>
    <xf numFmtId="0" fontId="16" fillId="0" borderId="0" xfId="0" applyFont="1" applyProtection="1">
      <protection locked="0"/>
    </xf>
    <xf numFmtId="0" fontId="17" fillId="0" borderId="0" xfId="263" applyFont="1" applyAlignment="1" applyProtection="1">
      <alignment vertical="top"/>
      <protection locked="0"/>
    </xf>
    <xf numFmtId="0" fontId="4" fillId="6" borderId="0" xfId="252" applyFont="1" applyFill="1"/>
    <xf numFmtId="0" fontId="19" fillId="0" borderId="0" xfId="0" applyFont="1"/>
    <xf numFmtId="0" fontId="7" fillId="3" borderId="8" xfId="252" applyFont="1" applyFill="1" applyBorder="1" applyAlignment="1">
      <alignment horizontal="centerContinuous" vertical="center"/>
    </xf>
    <xf numFmtId="0" fontId="9" fillId="4" borderId="9" xfId="252" applyFont="1" applyFill="1" applyBorder="1" applyAlignment="1">
      <alignment vertical="center"/>
    </xf>
    <xf numFmtId="0" fontId="1" fillId="6" borderId="0" xfId="252" applyFont="1" applyFill="1" applyAlignment="1">
      <alignment vertical="center"/>
    </xf>
    <xf numFmtId="0" fontId="4" fillId="0" borderId="0" xfId="252" applyFont="1"/>
    <xf numFmtId="0" fontId="3" fillId="0" borderId="7" xfId="150" applyFont="1" applyBorder="1" applyAlignment="1" applyProtection="1">
      <alignment horizontal="center" vertical="center"/>
      <protection locked="0"/>
    </xf>
    <xf numFmtId="177" fontId="20" fillId="0" borderId="7" xfId="150" applyNumberFormat="1" applyFont="1" applyBorder="1" applyAlignment="1" applyProtection="1">
      <alignment vertical="center"/>
      <protection locked="0"/>
    </xf>
    <xf numFmtId="0" fontId="20" fillId="7" borderId="7" xfId="150" applyFont="1" applyFill="1" applyBorder="1" applyAlignment="1" applyProtection="1">
      <alignment horizontal="center" vertical="center"/>
      <protection locked="0"/>
    </xf>
    <xf numFmtId="0" fontId="15" fillId="0" borderId="0" xfId="149" applyFont="1" applyAlignment="1" applyProtection="1">
      <alignment vertical="center"/>
      <protection locked="0"/>
    </xf>
    <xf numFmtId="0" fontId="21" fillId="0" borderId="0" xfId="149" applyFont="1" applyAlignment="1" applyProtection="1">
      <alignment vertical="center"/>
      <protection locked="0"/>
    </xf>
    <xf numFmtId="0" fontId="12" fillId="0" borderId="0" xfId="126" applyFont="1" applyAlignment="1" applyProtection="1">
      <alignment horizontal="center" vertical="center"/>
      <protection locked="0"/>
    </xf>
    <xf numFmtId="0" fontId="14" fillId="0" borderId="0" xfId="126" applyFont="1" applyAlignment="1" applyProtection="1">
      <alignment horizontal="center" vertical="center"/>
      <protection locked="0"/>
    </xf>
    <xf numFmtId="0" fontId="2" fillId="0" borderId="0" xfId="0" applyFont="1"/>
    <xf numFmtId="0" fontId="16"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10" fontId="3" fillId="0" borderId="0" xfId="0" applyNumberFormat="1" applyFont="1" applyAlignment="1">
      <alignment vertical="center"/>
    </xf>
    <xf numFmtId="0" fontId="5" fillId="0" borderId="0" xfId="0" applyFont="1" applyAlignment="1">
      <alignment vertical="center"/>
    </xf>
    <xf numFmtId="0" fontId="3" fillId="0" borderId="0" xfId="0" applyFont="1" applyAlignment="1">
      <alignment horizontal="left" vertical="center"/>
    </xf>
    <xf numFmtId="0" fontId="16" fillId="0" borderId="0" xfId="0" applyFont="1" applyAlignment="1">
      <alignment horizontal="center" vertical="center"/>
    </xf>
    <xf numFmtId="0" fontId="3" fillId="0" borderId="7" xfId="0" applyFont="1" applyBorder="1" applyAlignment="1">
      <alignment horizontal="center" vertical="center" shrinkToFit="1"/>
    </xf>
    <xf numFmtId="0" fontId="3" fillId="0" borderId="7" xfId="0" applyFont="1" applyBorder="1" applyAlignment="1">
      <alignment horizontal="left" vertical="center" shrinkToFit="1"/>
    </xf>
    <xf numFmtId="177" fontId="3" fillId="0" borderId="7" xfId="0" applyNumberFormat="1" applyFont="1" applyBorder="1" applyAlignment="1">
      <alignment horizontal="right" vertical="center" shrinkToFit="1"/>
    </xf>
    <xf numFmtId="177" fontId="3" fillId="0" borderId="0" xfId="0" applyNumberFormat="1" applyFont="1" applyAlignment="1">
      <alignment horizontal="right" vertical="center" shrinkToFit="1"/>
    </xf>
    <xf numFmtId="0" fontId="3" fillId="0" borderId="0" xfId="128" applyFont="1" applyAlignment="1">
      <alignment vertical="center"/>
    </xf>
    <xf numFmtId="0" fontId="29" fillId="10" borderId="0" xfId="0" applyFont="1" applyFill="1" applyAlignment="1">
      <alignment vertical="center"/>
    </xf>
    <xf numFmtId="0" fontId="30" fillId="0" borderId="0" xfId="0" applyFont="1" applyAlignment="1">
      <alignment vertical="center"/>
    </xf>
    <xf numFmtId="0" fontId="16" fillId="10" borderId="0" xfId="0" applyFont="1" applyFill="1" applyAlignment="1">
      <alignment vertical="center"/>
    </xf>
    <xf numFmtId="49" fontId="0" fillId="0" borderId="0" xfId="0" applyNumberFormat="1"/>
    <xf numFmtId="0" fontId="5" fillId="11" borderId="0" xfId="0" applyFont="1" applyFill="1" applyAlignment="1">
      <alignment vertical="center"/>
    </xf>
    <xf numFmtId="0" fontId="16" fillId="0" borderId="0" xfId="0" applyFont="1" applyAlignment="1">
      <alignment horizontal="left" vertical="center"/>
    </xf>
    <xf numFmtId="177" fontId="5" fillId="0" borderId="0" xfId="43" applyFont="1" applyAlignment="1">
      <alignment horizontal="right" vertical="center" shrinkToFit="1"/>
    </xf>
    <xf numFmtId="0" fontId="5" fillId="0" borderId="11" xfId="0" applyFont="1" applyBorder="1" applyAlignment="1">
      <alignment vertical="center"/>
    </xf>
    <xf numFmtId="0" fontId="3" fillId="0" borderId="7" xfId="0" applyFont="1" applyBorder="1" applyAlignment="1">
      <alignment horizontal="center" vertical="center"/>
    </xf>
    <xf numFmtId="0" fontId="12" fillId="0" borderId="0" xfId="0" applyFont="1" applyAlignment="1">
      <alignment vertical="center" wrapText="1"/>
    </xf>
    <xf numFmtId="0" fontId="16" fillId="7" borderId="0" xfId="0" applyFont="1" applyFill="1" applyAlignment="1">
      <alignment horizontal="center" vertical="center"/>
    </xf>
    <xf numFmtId="0" fontId="12" fillId="0" borderId="0" xfId="0" applyFont="1" applyAlignment="1">
      <alignment vertical="center"/>
    </xf>
    <xf numFmtId="177" fontId="3" fillId="0" borderId="0" xfId="43" applyFont="1" applyFill="1" applyBorder="1" applyAlignment="1">
      <alignment vertical="center"/>
    </xf>
    <xf numFmtId="177" fontId="3" fillId="0" borderId="7" xfId="43" applyFont="1" applyFill="1" applyBorder="1" applyAlignment="1">
      <alignment horizontal="right" vertical="center" shrinkToFit="1"/>
    </xf>
    <xf numFmtId="0" fontId="33" fillId="0" borderId="0" xfId="156" applyFont="1" applyAlignment="1">
      <alignment vertical="center"/>
    </xf>
    <xf numFmtId="0" fontId="34" fillId="0" borderId="0" xfId="0" applyFont="1"/>
    <xf numFmtId="0" fontId="12" fillId="7" borderId="0" xfId="128" applyFont="1" applyFill="1" applyAlignment="1">
      <alignment vertical="center"/>
    </xf>
    <xf numFmtId="0" fontId="3" fillId="7" borderId="0" xfId="128" applyFont="1" applyFill="1" applyAlignment="1">
      <alignment vertical="center"/>
    </xf>
    <xf numFmtId="0" fontId="35" fillId="0" borderId="0" xfId="156" applyFont="1" applyAlignment="1">
      <alignment vertical="center"/>
    </xf>
    <xf numFmtId="49" fontId="36" fillId="0" borderId="0" xfId="250" applyNumberFormat="1" applyFont="1" applyAlignment="1">
      <alignment vertical="top"/>
    </xf>
    <xf numFmtId="0" fontId="12" fillId="0" borderId="0" xfId="128" applyFont="1" applyAlignment="1">
      <alignment horizontal="left" shrinkToFit="1"/>
    </xf>
    <xf numFmtId="0" fontId="2" fillId="9" borderId="0" xfId="138" applyFont="1" applyFill="1" applyAlignment="1" applyProtection="1">
      <alignment vertical="center"/>
      <protection locked="0"/>
    </xf>
    <xf numFmtId="0" fontId="30" fillId="10" borderId="0" xfId="0" applyFont="1" applyFill="1" applyAlignment="1">
      <alignment vertical="center"/>
    </xf>
    <xf numFmtId="0" fontId="2" fillId="0" borderId="0" xfId="138" applyFont="1" applyAlignment="1" applyProtection="1">
      <alignment vertical="center"/>
      <protection locked="0"/>
    </xf>
    <xf numFmtId="0" fontId="13" fillId="0" borderId="0" xfId="0" applyFont="1" applyAlignment="1">
      <alignment vertical="center"/>
    </xf>
    <xf numFmtId="0" fontId="2" fillId="0" borderId="0" xfId="128" applyFont="1" applyAlignment="1">
      <alignment vertical="center"/>
    </xf>
    <xf numFmtId="0" fontId="37" fillId="0" borderId="0" xfId="128" applyFont="1" applyAlignment="1">
      <alignment vertical="center"/>
    </xf>
    <xf numFmtId="0" fontId="38" fillId="0" borderId="0" xfId="128" applyFont="1" applyAlignment="1">
      <alignment vertical="center"/>
    </xf>
    <xf numFmtId="0" fontId="3" fillId="0" borderId="0" xfId="139" applyFont="1" applyAlignment="1">
      <alignment horizontal="left" vertical="center"/>
    </xf>
    <xf numFmtId="0" fontId="12" fillId="0" borderId="0" xfId="139" applyFont="1" applyAlignment="1">
      <alignment horizontal="right" vertical="center"/>
    </xf>
    <xf numFmtId="177" fontId="12" fillId="0" borderId="0" xfId="43" applyFont="1" applyFill="1" applyBorder="1" applyAlignment="1">
      <alignment vertical="center" wrapText="1"/>
    </xf>
    <xf numFmtId="0" fontId="12" fillId="0" borderId="0" xfId="139" applyFont="1" applyAlignment="1">
      <alignment vertical="center" wrapText="1"/>
    </xf>
    <xf numFmtId="0" fontId="16" fillId="0" borderId="0" xfId="128" applyFont="1" applyAlignment="1">
      <alignment vertical="center"/>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horizontal="left" vertical="center"/>
    </xf>
    <xf numFmtId="0" fontId="29" fillId="0" borderId="0" xfId="0" applyFont="1" applyAlignment="1">
      <alignment horizontal="left" vertical="top" wrapText="1"/>
    </xf>
    <xf numFmtId="0" fontId="30" fillId="0" borderId="0" xfId="128" applyFont="1" applyAlignment="1">
      <alignment vertical="center"/>
    </xf>
    <xf numFmtId="49" fontId="16" fillId="0" borderId="0" xfId="0" applyNumberFormat="1" applyFont="1" applyAlignment="1">
      <alignment vertical="center"/>
    </xf>
    <xf numFmtId="0" fontId="4" fillId="9" borderId="0" xfId="0" applyFont="1" applyFill="1" applyAlignment="1" applyProtection="1">
      <alignment vertical="center"/>
      <protection locked="0"/>
    </xf>
    <xf numFmtId="0" fontId="14" fillId="0" borderId="0" xfId="267" applyFont="1" applyAlignment="1"/>
    <xf numFmtId="0" fontId="13" fillId="0" borderId="0" xfId="0" applyFont="1" applyAlignment="1" applyProtection="1">
      <alignment horizontal="center" vertical="center"/>
      <protection locked="0"/>
    </xf>
    <xf numFmtId="14" fontId="13" fillId="0" borderId="0" xfId="0" applyNumberFormat="1" applyFont="1" applyAlignment="1" applyProtection="1">
      <alignment horizontal="center" vertical="center"/>
      <protection locked="0"/>
    </xf>
    <xf numFmtId="0" fontId="41" fillId="0" borderId="0" xfId="0" applyFont="1" applyAlignment="1">
      <alignment vertical="center"/>
    </xf>
    <xf numFmtId="49" fontId="2" fillId="0" borderId="0" xfId="128" applyNumberFormat="1" applyFont="1" applyAlignment="1">
      <alignment vertical="center"/>
    </xf>
    <xf numFmtId="0" fontId="16" fillId="0" borderId="0" xfId="0" applyFont="1" applyAlignment="1">
      <alignment vertical="top"/>
    </xf>
    <xf numFmtId="0" fontId="16" fillId="0" borderId="0" xfId="0" applyFont="1" applyAlignment="1">
      <alignment horizontal="left" vertical="top" wrapText="1"/>
    </xf>
    <xf numFmtId="0" fontId="2" fillId="9" borderId="0" xfId="0" applyFont="1" applyFill="1" applyAlignment="1" applyProtection="1">
      <alignment vertical="center"/>
      <protection locked="0"/>
    </xf>
    <xf numFmtId="0" fontId="13" fillId="7" borderId="0" xfId="128" applyFont="1" applyFill="1" applyAlignment="1">
      <alignment horizontal="center" vertical="center"/>
    </xf>
    <xf numFmtId="14" fontId="13" fillId="7" borderId="0" xfId="128" applyNumberFormat="1" applyFont="1" applyFill="1" applyAlignment="1">
      <alignment horizontal="center" vertical="center"/>
    </xf>
    <xf numFmtId="49" fontId="41" fillId="0" borderId="0" xfId="0" applyNumberFormat="1" applyFont="1" applyAlignment="1">
      <alignment vertical="center"/>
    </xf>
    <xf numFmtId="14" fontId="41" fillId="0" borderId="0" xfId="0" applyNumberFormat="1" applyFont="1" applyAlignment="1">
      <alignment vertical="center"/>
    </xf>
    <xf numFmtId="49" fontId="3" fillId="0" borderId="0" xfId="1" applyNumberFormat="1" applyFont="1" applyAlignment="1">
      <alignment vertical="center"/>
    </xf>
    <xf numFmtId="211" fontId="3" fillId="0" borderId="0" xfId="0" applyNumberFormat="1" applyFont="1" applyAlignment="1">
      <alignment vertical="center"/>
    </xf>
    <xf numFmtId="177" fontId="3" fillId="0" borderId="0" xfId="1" applyFont="1" applyAlignment="1">
      <alignment vertical="center"/>
    </xf>
    <xf numFmtId="211" fontId="41" fillId="0" borderId="0" xfId="1" applyNumberFormat="1" applyFont="1" applyAlignment="1">
      <alignment vertical="center"/>
    </xf>
    <xf numFmtId="177" fontId="41" fillId="0" borderId="0" xfId="1" applyFont="1" applyAlignment="1">
      <alignment vertical="center"/>
    </xf>
    <xf numFmtId="177" fontId="3" fillId="0" borderId="0" xfId="0" applyNumberFormat="1" applyFont="1" applyAlignment="1">
      <alignment vertical="center"/>
    </xf>
    <xf numFmtId="0" fontId="2" fillId="0" borderId="0" xfId="0" applyFont="1" applyAlignment="1" applyProtection="1">
      <alignment vertical="center"/>
      <protection locked="0"/>
    </xf>
    <xf numFmtId="0" fontId="4" fillId="0" borderId="0" xfId="0" applyFont="1" applyAlignment="1" applyProtection="1">
      <alignment vertical="center"/>
      <protection locked="0"/>
    </xf>
    <xf numFmtId="0" fontId="3" fillId="0" borderId="0" xfId="0" applyFont="1" applyAlignment="1">
      <alignment horizontal="center" vertical="center"/>
    </xf>
    <xf numFmtId="177" fontId="2" fillId="0" borderId="0" xfId="43" applyFont="1" applyFill="1" applyBorder="1" applyAlignment="1">
      <alignment vertical="center"/>
    </xf>
    <xf numFmtId="0" fontId="2" fillId="0" borderId="0" xfId="0" applyFont="1" applyAlignment="1">
      <alignment vertical="center"/>
    </xf>
    <xf numFmtId="0" fontId="2" fillId="7" borderId="0" xfId="128" applyFont="1" applyFill="1" applyAlignment="1">
      <alignment vertical="center"/>
    </xf>
    <xf numFmtId="0" fontId="16" fillId="0" borderId="0" xfId="128" applyFont="1" applyAlignment="1" applyProtection="1">
      <alignment vertical="center"/>
      <protection locked="0"/>
    </xf>
    <xf numFmtId="0" fontId="2" fillId="0" borderId="0" xfId="128" applyFont="1" applyAlignment="1" applyProtection="1">
      <alignment vertical="center"/>
      <protection locked="0"/>
    </xf>
    <xf numFmtId="177" fontId="2" fillId="0" borderId="0" xfId="43" applyFont="1" applyAlignment="1" applyProtection="1">
      <alignment vertical="center"/>
      <protection locked="0"/>
    </xf>
    <xf numFmtId="177" fontId="2" fillId="0" borderId="0" xfId="128" applyNumberFormat="1" applyFont="1" applyAlignment="1" applyProtection="1">
      <alignment vertical="center"/>
      <protection locked="0"/>
    </xf>
    <xf numFmtId="0" fontId="6" fillId="2" borderId="1" xfId="0" applyFont="1" applyFill="1" applyBorder="1" applyAlignment="1" applyProtection="1">
      <alignment horizontal="centerContinuous" vertical="center"/>
      <protection locked="0"/>
    </xf>
    <xf numFmtId="0" fontId="6" fillId="2" borderId="5" xfId="0" applyFont="1" applyFill="1" applyBorder="1" applyAlignment="1" applyProtection="1">
      <alignment horizontal="centerContinuous" vertical="center"/>
      <protection locked="0"/>
    </xf>
    <xf numFmtId="0" fontId="42" fillId="2" borderId="5" xfId="0" applyFont="1" applyFill="1" applyBorder="1" applyAlignment="1" applyProtection="1">
      <alignment horizontal="centerContinuous" vertical="center"/>
      <protection locked="0"/>
    </xf>
    <xf numFmtId="0" fontId="9" fillId="14" borderId="15" xfId="0" applyFont="1" applyFill="1" applyBorder="1" applyAlignment="1" applyProtection="1">
      <alignment vertical="center"/>
      <protection locked="0"/>
    </xf>
    <xf numFmtId="0" fontId="9" fillId="14" borderId="16" xfId="0" applyFont="1" applyFill="1" applyBorder="1" applyAlignment="1" applyProtection="1">
      <alignment vertical="center"/>
      <protection locked="0"/>
    </xf>
    <xf numFmtId="0" fontId="9" fillId="14" borderId="16" xfId="0" applyFont="1" applyFill="1" applyBorder="1" applyAlignment="1" applyProtection="1">
      <alignment vertical="center" wrapText="1"/>
      <protection locked="0"/>
    </xf>
    <xf numFmtId="0" fontId="9" fillId="14" borderId="16" xfId="0" applyFont="1" applyFill="1" applyBorder="1" applyAlignment="1" applyProtection="1">
      <alignment horizontal="left" vertical="center" wrapText="1"/>
      <protection locked="0"/>
    </xf>
    <xf numFmtId="0" fontId="2" fillId="0" borderId="0" xfId="128" applyFont="1" applyAlignment="1">
      <alignment vertical="center" wrapText="1"/>
    </xf>
    <xf numFmtId="0" fontId="12" fillId="0" borderId="0" xfId="128" applyFont="1" applyAlignment="1">
      <alignment vertical="center"/>
    </xf>
    <xf numFmtId="0" fontId="12" fillId="0" borderId="0" xfId="0" applyFont="1" applyAlignment="1">
      <alignment horizontal="center" vertical="center"/>
    </xf>
    <xf numFmtId="0" fontId="12" fillId="0" borderId="10" xfId="0" applyFont="1" applyBorder="1" applyAlignment="1">
      <alignment vertical="center"/>
    </xf>
    <xf numFmtId="0" fontId="12" fillId="0" borderId="12" xfId="0" applyFont="1" applyBorder="1" applyAlignment="1">
      <alignment horizontal="left" vertical="center"/>
    </xf>
    <xf numFmtId="0" fontId="3" fillId="0" borderId="15" xfId="0" applyFont="1" applyBorder="1" applyAlignment="1">
      <alignment vertical="center"/>
    </xf>
    <xf numFmtId="0" fontId="3" fillId="0" borderId="17" xfId="0" applyFont="1" applyBorder="1" applyAlignment="1">
      <alignment horizontal="left"/>
    </xf>
    <xf numFmtId="0" fontId="3" fillId="0" borderId="7" xfId="0" applyFont="1" applyBorder="1" applyAlignment="1">
      <alignment horizontal="center" vertical="center" wrapText="1"/>
    </xf>
    <xf numFmtId="0" fontId="3" fillId="8" borderId="7" xfId="0" applyFont="1" applyFill="1" applyBorder="1" applyAlignment="1">
      <alignment horizontal="center" vertical="center"/>
    </xf>
    <xf numFmtId="0" fontId="3" fillId="0" borderId="19" xfId="0" applyFont="1" applyBorder="1" applyAlignment="1">
      <alignment vertical="center" wrapText="1"/>
    </xf>
    <xf numFmtId="212" fontId="12" fillId="0" borderId="7" xfId="0" applyNumberFormat="1" applyFont="1" applyBorder="1" applyAlignment="1">
      <alignment horizontal="left" vertical="center" wrapText="1"/>
    </xf>
    <xf numFmtId="0" fontId="43" fillId="0" borderId="7" xfId="0" applyFont="1" applyBorder="1" applyAlignment="1">
      <alignment horizontal="center" vertical="center" wrapText="1"/>
    </xf>
    <xf numFmtId="0" fontId="12" fillId="0" borderId="20" xfId="0" applyFont="1" applyBorder="1" applyAlignment="1">
      <alignment vertical="center" wrapText="1"/>
    </xf>
    <xf numFmtId="0" fontId="3" fillId="0" borderId="7" xfId="0" applyFont="1" applyBorder="1" applyAlignment="1">
      <alignment horizontal="left" vertical="center"/>
    </xf>
    <xf numFmtId="0" fontId="16" fillId="0" borderId="7" xfId="0" applyFont="1" applyBorder="1" applyAlignment="1">
      <alignment horizontal="center" vertical="center" wrapText="1"/>
    </xf>
    <xf numFmtId="0" fontId="41" fillId="0" borderId="7" xfId="0" applyFont="1" applyBorder="1" applyAlignment="1">
      <alignment horizontal="left" vertical="center"/>
    </xf>
    <xf numFmtId="0" fontId="16" fillId="0" borderId="7" xfId="0" applyFont="1" applyBorder="1" applyAlignment="1">
      <alignment horizontal="center" vertical="center"/>
    </xf>
    <xf numFmtId="0" fontId="12" fillId="0" borderId="20" xfId="0" applyFont="1" applyBorder="1" applyAlignment="1">
      <alignment horizontal="center" vertical="center" wrapText="1"/>
    </xf>
    <xf numFmtId="0" fontId="41" fillId="0" borderId="7" xfId="0" applyFont="1" applyBorder="1" applyAlignment="1">
      <alignment horizontal="left" vertical="center" wrapText="1"/>
    </xf>
    <xf numFmtId="0" fontId="12" fillId="0" borderId="18" xfId="0" applyFont="1" applyBorder="1" applyAlignment="1">
      <alignment vertical="center" wrapText="1"/>
    </xf>
    <xf numFmtId="0" fontId="12" fillId="0" borderId="7" xfId="0" applyFont="1" applyBorder="1" applyAlignment="1">
      <alignment horizontal="left" vertical="center" wrapText="1"/>
    </xf>
    <xf numFmtId="0" fontId="16" fillId="0" borderId="7" xfId="151" applyFont="1" applyBorder="1" applyAlignment="1" applyProtection="1">
      <alignment horizontal="center" vertical="center"/>
      <protection locked="0"/>
    </xf>
    <xf numFmtId="177" fontId="12" fillId="0" borderId="7" xfId="43" applyFont="1" applyFill="1" applyBorder="1" applyAlignment="1">
      <alignment horizontal="right" vertical="center" shrinkToFit="1"/>
    </xf>
    <xf numFmtId="0" fontId="12" fillId="0" borderId="19" xfId="0" applyFont="1" applyBorder="1" applyAlignment="1">
      <alignmen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xf>
    <xf numFmtId="0" fontId="12" fillId="0" borderId="19" xfId="0" applyFont="1" applyBorder="1" applyAlignment="1">
      <alignment horizontal="center" vertical="center" wrapText="1"/>
    </xf>
    <xf numFmtId="177" fontId="3" fillId="0" borderId="19" xfId="43" applyFont="1" applyFill="1" applyBorder="1" applyAlignment="1">
      <alignment horizontal="right" vertical="center" shrinkToFit="1"/>
    </xf>
    <xf numFmtId="0" fontId="12" fillId="0" borderId="6" xfId="0" applyFont="1" applyBorder="1" applyAlignment="1">
      <alignment horizontal="left" vertical="center" wrapText="1"/>
    </xf>
    <xf numFmtId="177" fontId="12" fillId="0" borderId="1" xfId="43" applyFont="1" applyFill="1" applyBorder="1" applyAlignment="1" applyProtection="1">
      <alignment horizontal="right" vertical="center" shrinkToFit="1"/>
    </xf>
    <xf numFmtId="177" fontId="12" fillId="0" borderId="7" xfId="43" applyFont="1" applyFill="1" applyBorder="1" applyAlignment="1" applyProtection="1">
      <alignment horizontal="right" vertical="center" shrinkToFit="1"/>
    </xf>
    <xf numFmtId="177" fontId="12" fillId="0" borderId="6" xfId="43" applyFont="1" applyFill="1" applyBorder="1" applyAlignment="1" applyProtection="1">
      <alignment horizontal="right" vertical="center" shrinkToFit="1"/>
    </xf>
    <xf numFmtId="10" fontId="3" fillId="0" borderId="7" xfId="2" applyNumberFormat="1" applyFont="1" applyFill="1" applyBorder="1" applyAlignment="1">
      <alignment vertical="center" shrinkToFit="1"/>
    </xf>
    <xf numFmtId="177" fontId="3" fillId="0" borderId="7" xfId="43" applyFont="1" applyFill="1" applyBorder="1" applyAlignment="1">
      <alignment vertical="center" shrinkToFit="1"/>
    </xf>
    <xf numFmtId="0" fontId="3" fillId="0" borderId="0" xfId="0" applyFont="1" applyAlignment="1">
      <alignment horizontal="center" vertical="center" wrapText="1"/>
    </xf>
    <xf numFmtId="0" fontId="3" fillId="0" borderId="0" xfId="0" applyFont="1" applyAlignment="1">
      <alignment horizontal="left" vertical="center" shrinkToFit="1"/>
    </xf>
    <xf numFmtId="0" fontId="3" fillId="0" borderId="0" xfId="0" applyFont="1" applyAlignment="1">
      <alignment horizontal="center" vertical="center" shrinkToFit="1"/>
    </xf>
    <xf numFmtId="10" fontId="3" fillId="0" borderId="0" xfId="2" applyNumberFormat="1" applyFont="1" applyFill="1" applyBorder="1" applyAlignment="1">
      <alignment vertical="center" shrinkToFit="1"/>
    </xf>
    <xf numFmtId="0" fontId="16" fillId="0" borderId="0" xfId="129" applyFont="1" applyAlignment="1">
      <alignment vertical="center"/>
    </xf>
    <xf numFmtId="177" fontId="16" fillId="0" borderId="0" xfId="291" applyFont="1" applyFill="1" applyBorder="1" applyAlignment="1" applyProtection="1">
      <alignment horizontal="left" vertical="center"/>
      <protection locked="0"/>
    </xf>
    <xf numFmtId="177" fontId="16" fillId="0" borderId="0" xfId="72" applyNumberFormat="1" applyFont="1" applyFill="1" applyBorder="1" applyAlignment="1" applyProtection="1">
      <alignment horizontal="right" vertical="center" shrinkToFit="1"/>
      <protection locked="0"/>
    </xf>
    <xf numFmtId="177" fontId="3" fillId="0" borderId="0" xfId="43" applyFont="1" applyFill="1" applyBorder="1" applyAlignment="1">
      <alignment horizontal="right" vertical="center" shrinkToFit="1"/>
    </xf>
    <xf numFmtId="177" fontId="3" fillId="0" borderId="0" xfId="72" applyNumberFormat="1" applyFont="1" applyFill="1" applyBorder="1" applyAlignment="1" applyProtection="1">
      <alignment horizontal="right" vertical="center" shrinkToFit="1"/>
      <protection locked="0"/>
    </xf>
    <xf numFmtId="177" fontId="16" fillId="0" borderId="0" xfId="290" applyFont="1" applyFill="1" applyBorder="1" applyAlignment="1">
      <alignment vertical="center"/>
    </xf>
    <xf numFmtId="177" fontId="2" fillId="0" borderId="0" xfId="75" applyFont="1" applyFill="1" applyBorder="1" applyAlignment="1" applyProtection="1">
      <alignment horizontal="right" vertical="center" shrinkToFit="1"/>
      <protection locked="0"/>
    </xf>
    <xf numFmtId="177" fontId="16" fillId="0" borderId="0" xfId="290" applyFont="1" applyFill="1" applyBorder="1" applyAlignment="1" applyProtection="1">
      <alignment horizontal="right" vertical="center" shrinkToFit="1"/>
      <protection locked="0"/>
    </xf>
    <xf numFmtId="177" fontId="3" fillId="0" borderId="0" xfId="290" applyFont="1" applyFill="1" applyBorder="1" applyAlignment="1" applyProtection="1">
      <alignment horizontal="right" vertical="center" shrinkToFit="1"/>
      <protection locked="0"/>
    </xf>
    <xf numFmtId="177" fontId="16" fillId="0" borderId="0" xfId="43" applyFont="1" applyFill="1" applyBorder="1" applyAlignment="1">
      <alignment vertical="center"/>
    </xf>
    <xf numFmtId="177" fontId="16" fillId="0" borderId="0" xfId="43" applyFont="1" applyFill="1" applyBorder="1" applyAlignment="1" applyProtection="1">
      <alignment horizontal="left" vertical="center"/>
      <protection locked="0"/>
    </xf>
    <xf numFmtId="177" fontId="2" fillId="0" borderId="0" xfId="74" applyFont="1" applyFill="1" applyBorder="1" applyAlignment="1" applyProtection="1">
      <alignment horizontal="right" vertical="center" shrinkToFit="1"/>
      <protection locked="0"/>
    </xf>
    <xf numFmtId="177" fontId="16" fillId="0" borderId="0" xfId="43" applyFont="1" applyFill="1" applyBorder="1" applyAlignment="1" applyProtection="1">
      <alignment horizontal="right" vertical="center" shrinkToFit="1"/>
      <protection locked="0"/>
    </xf>
    <xf numFmtId="177" fontId="3" fillId="0" borderId="0" xfId="43" applyFont="1" applyFill="1" applyBorder="1" applyAlignment="1" applyProtection="1">
      <alignment horizontal="right" vertical="center" shrinkToFit="1"/>
      <protection locked="0"/>
    </xf>
    <xf numFmtId="0" fontId="16" fillId="0" borderId="0" xfId="128" applyFont="1" applyAlignment="1">
      <alignment horizontal="left" vertical="center"/>
    </xf>
    <xf numFmtId="0" fontId="25" fillId="0" borderId="10" xfId="128" applyFont="1" applyBorder="1" applyAlignment="1">
      <alignment vertical="center"/>
    </xf>
    <xf numFmtId="0" fontId="25" fillId="0" borderId="11" xfId="128" applyFont="1" applyBorder="1" applyAlignment="1">
      <alignment vertical="center"/>
    </xf>
    <xf numFmtId="0" fontId="25" fillId="0" borderId="11" xfId="128" applyFont="1" applyBorder="1" applyAlignment="1">
      <alignment horizontal="center" vertical="center"/>
    </xf>
    <xf numFmtId="0" fontId="25" fillId="0" borderId="12" xfId="128" applyFont="1" applyBorder="1" applyAlignment="1">
      <alignment vertical="center"/>
    </xf>
    <xf numFmtId="0" fontId="25" fillId="0" borderId="7" xfId="128" applyFont="1" applyBorder="1" applyAlignment="1">
      <alignment horizontal="center" vertical="center"/>
    </xf>
    <xf numFmtId="0" fontId="25" fillId="0" borderId="7" xfId="0" applyFont="1" applyBorder="1" applyAlignment="1">
      <alignment horizontal="center" vertical="center"/>
    </xf>
    <xf numFmtId="0" fontId="2" fillId="0" borderId="0" xfId="0" applyFont="1" applyAlignment="1">
      <alignment horizontal="center" vertical="center"/>
    </xf>
    <xf numFmtId="0" fontId="5" fillId="0" borderId="7" xfId="43" applyNumberFormat="1" applyFont="1" applyFill="1" applyBorder="1" applyAlignment="1" applyProtection="1">
      <alignment vertical="center"/>
      <protection locked="0"/>
    </xf>
    <xf numFmtId="177" fontId="5" fillId="0" borderId="7" xfId="43" applyFont="1" applyFill="1" applyBorder="1" applyAlignment="1" applyProtection="1">
      <alignment horizontal="right" vertical="center" shrinkToFit="1"/>
      <protection locked="0"/>
    </xf>
    <xf numFmtId="177" fontId="2" fillId="0" borderId="7" xfId="43" applyFont="1" applyBorder="1" applyAlignment="1">
      <alignment horizontal="right" vertical="center" shrinkToFit="1"/>
    </xf>
    <xf numFmtId="177" fontId="2" fillId="0" borderId="7" xfId="43" applyFont="1" applyFill="1" applyBorder="1" applyAlignment="1">
      <alignment horizontal="right" vertical="center" shrinkToFit="1"/>
    </xf>
    <xf numFmtId="0" fontId="16" fillId="7" borderId="0" xfId="128" applyFont="1" applyFill="1" applyAlignment="1">
      <alignment vertical="center"/>
    </xf>
    <xf numFmtId="177" fontId="2" fillId="7" borderId="7" xfId="43" applyFont="1" applyFill="1" applyBorder="1" applyAlignment="1">
      <alignment horizontal="right" vertical="center" shrinkToFit="1"/>
    </xf>
    <xf numFmtId="0" fontId="16" fillId="0" borderId="0" xfId="128" applyFont="1" applyAlignment="1">
      <alignment horizontal="left" shrinkToFit="1"/>
    </xf>
    <xf numFmtId="0" fontId="25" fillId="0" borderId="7" xfId="128" applyFont="1" applyBorder="1" applyAlignment="1">
      <alignment vertical="center"/>
    </xf>
    <xf numFmtId="177" fontId="25" fillId="0" borderId="7" xfId="43" applyFont="1" applyBorder="1" applyAlignment="1">
      <alignment horizontal="right" vertical="center" shrinkToFit="1"/>
    </xf>
    <xf numFmtId="0" fontId="25" fillId="0" borderId="0" xfId="0" applyFont="1" applyAlignment="1">
      <alignment vertical="center"/>
    </xf>
    <xf numFmtId="0" fontId="16" fillId="0" borderId="0" xfId="151" applyFont="1" applyAlignment="1" applyProtection="1">
      <alignment horizontal="center" vertical="top"/>
      <protection locked="0"/>
    </xf>
    <xf numFmtId="0" fontId="3" fillId="0" borderId="0" xfId="43" applyNumberFormat="1" applyFont="1" applyFill="1" applyBorder="1" applyAlignment="1" applyProtection="1">
      <alignment horizontal="left" vertical="center"/>
      <protection locked="0"/>
    </xf>
    <xf numFmtId="177" fontId="3" fillId="0" borderId="0" xfId="43" applyFont="1" applyFill="1" applyBorder="1" applyAlignment="1" applyProtection="1">
      <alignment horizontal="right" vertical="center"/>
      <protection locked="0"/>
    </xf>
    <xf numFmtId="177" fontId="16" fillId="0" borderId="0" xfId="43" applyFont="1" applyFill="1" applyBorder="1" applyAlignment="1" applyProtection="1">
      <alignment horizontal="right" vertical="center"/>
      <protection locked="0"/>
    </xf>
    <xf numFmtId="0" fontId="44" fillId="2" borderId="5" xfId="0" applyFont="1" applyFill="1" applyBorder="1" applyAlignment="1" applyProtection="1">
      <alignment horizontal="centerContinuous" vertical="center"/>
      <protection locked="0"/>
    </xf>
    <xf numFmtId="0" fontId="2" fillId="2" borderId="5" xfId="0" applyFont="1" applyFill="1" applyBorder="1" applyAlignment="1" applyProtection="1">
      <alignment horizontal="centerContinuous" vertical="center"/>
      <protection locked="0"/>
    </xf>
    <xf numFmtId="0" fontId="3" fillId="2" borderId="5" xfId="0" applyFont="1" applyFill="1" applyBorder="1" applyAlignment="1" applyProtection="1">
      <alignment horizontal="centerContinuous" vertical="center"/>
      <protection locked="0"/>
    </xf>
    <xf numFmtId="0" fontId="13" fillId="14" borderId="16" xfId="0" applyFont="1" applyFill="1" applyBorder="1" applyAlignment="1" applyProtection="1">
      <alignment vertical="center" wrapText="1"/>
      <protection locked="0"/>
    </xf>
    <xf numFmtId="177" fontId="2" fillId="0" borderId="0" xfId="0" applyNumberFormat="1" applyFont="1" applyAlignment="1">
      <alignment vertical="center"/>
    </xf>
    <xf numFmtId="0" fontId="2" fillId="0" borderId="0" xfId="0" applyFont="1" applyAlignment="1">
      <alignment horizontal="left" vertical="center"/>
    </xf>
    <xf numFmtId="177" fontId="3" fillId="0" borderId="7" xfId="43" applyFont="1" applyFill="1" applyBorder="1" applyAlignment="1" applyProtection="1">
      <alignment horizontal="right" vertical="center" shrinkToFit="1"/>
    </xf>
    <xf numFmtId="0" fontId="10" fillId="0" borderId="0" xfId="128" applyFont="1" applyAlignment="1">
      <alignment vertical="center"/>
    </xf>
    <xf numFmtId="0" fontId="45" fillId="0" borderId="0" xfId="128" applyFont="1" applyAlignment="1">
      <alignment vertical="center"/>
    </xf>
    <xf numFmtId="0" fontId="38" fillId="0" borderId="0" xfId="267" applyFont="1" applyAlignment="1"/>
    <xf numFmtId="177" fontId="3" fillId="0" borderId="0" xfId="43" applyFont="1" applyBorder="1" applyAlignment="1">
      <alignment horizontal="right" vertical="center"/>
    </xf>
    <xf numFmtId="0" fontId="12" fillId="0" borderId="19" xfId="0" applyFont="1" applyBorder="1" applyAlignment="1">
      <alignment vertical="center"/>
    </xf>
    <xf numFmtId="0" fontId="25" fillId="0" borderId="0" xfId="128" applyFont="1" applyAlignment="1">
      <alignment vertical="center"/>
    </xf>
    <xf numFmtId="0" fontId="16" fillId="0" borderId="18" xfId="0" applyFont="1" applyBorder="1" applyAlignment="1">
      <alignment horizontal="center" vertical="top"/>
    </xf>
    <xf numFmtId="177" fontId="16" fillId="0" borderId="7" xfId="43" applyFont="1" applyFill="1" applyBorder="1" applyAlignment="1">
      <alignment horizontal="right" vertical="center"/>
    </xf>
    <xf numFmtId="177" fontId="16" fillId="0" borderId="7" xfId="0" applyNumberFormat="1" applyFont="1" applyBorder="1" applyAlignment="1">
      <alignment horizontal="right" vertical="center"/>
    </xf>
    <xf numFmtId="177" fontId="3" fillId="0" borderId="0" xfId="43" applyFont="1" applyFill="1" applyBorder="1" applyAlignment="1">
      <alignment vertical="center" shrinkToFit="1"/>
    </xf>
    <xf numFmtId="177" fontId="2" fillId="0" borderId="0" xfId="129" applyNumberFormat="1" applyFont="1" applyAlignment="1">
      <alignment horizontal="right" vertical="center"/>
    </xf>
    <xf numFmtId="0" fontId="2" fillId="0" borderId="0" xfId="129" applyFont="1" applyAlignment="1">
      <alignment vertical="center"/>
    </xf>
    <xf numFmtId="177" fontId="3" fillId="0" borderId="0" xfId="290" applyFont="1" applyFill="1" applyBorder="1" applyAlignment="1">
      <alignment horizontal="right" vertical="center"/>
    </xf>
    <xf numFmtId="177" fontId="3" fillId="0" borderId="0" xfId="290" applyFont="1" applyFill="1" applyBorder="1" applyAlignment="1">
      <alignment vertical="center"/>
    </xf>
    <xf numFmtId="177" fontId="2" fillId="0" borderId="0" xfId="290" applyFont="1" applyFill="1" applyBorder="1" applyAlignment="1">
      <alignment vertical="center"/>
    </xf>
    <xf numFmtId="177" fontId="16" fillId="0" borderId="0" xfId="43" applyFont="1" applyFill="1" applyAlignment="1" applyProtection="1">
      <alignment horizontal="right" vertical="center"/>
      <protection locked="0"/>
    </xf>
    <xf numFmtId="0" fontId="9" fillId="0" borderId="0" xfId="0" applyFont="1" applyAlignment="1" applyProtection="1">
      <alignment horizontal="left" vertical="center" wrapText="1"/>
      <protection locked="0"/>
    </xf>
    <xf numFmtId="210" fontId="24" fillId="0" borderId="0" xfId="173" applyNumberFormat="1" applyFont="1" applyAlignment="1" applyProtection="1">
      <alignment horizontal="left" vertical="center" wrapText="1"/>
      <protection locked="0"/>
    </xf>
    <xf numFmtId="0" fontId="14" fillId="0" borderId="0" xfId="0" applyFont="1" applyAlignment="1">
      <alignment horizontal="left" vertical="top"/>
    </xf>
    <xf numFmtId="0" fontId="46" fillId="0" borderId="0" xfId="0" applyFont="1" applyAlignment="1">
      <alignment vertical="center"/>
    </xf>
    <xf numFmtId="177" fontId="3" fillId="0" borderId="0" xfId="302" applyFont="1" applyAlignment="1">
      <alignment vertical="center"/>
    </xf>
    <xf numFmtId="0" fontId="47" fillId="0" borderId="0" xfId="128" applyFont="1" applyAlignment="1">
      <alignment horizontal="left" vertical="center"/>
    </xf>
    <xf numFmtId="0" fontId="12" fillId="0" borderId="11" xfId="0" applyFont="1" applyBorder="1" applyAlignment="1">
      <alignment vertical="center"/>
    </xf>
    <xf numFmtId="0" fontId="16" fillId="0" borderId="11"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12" fillId="0" borderId="13" xfId="0" applyFont="1" applyBorder="1" applyAlignment="1">
      <alignment vertical="center"/>
    </xf>
    <xf numFmtId="0" fontId="3" fillId="0" borderId="14" xfId="0" applyFont="1" applyBorder="1" applyAlignment="1">
      <alignment vertical="center"/>
    </xf>
    <xf numFmtId="0" fontId="3" fillId="0" borderId="13" xfId="0" applyFont="1" applyBorder="1" applyAlignment="1">
      <alignment horizontal="left" vertical="center"/>
    </xf>
    <xf numFmtId="0" fontId="16" fillId="0" borderId="0" xfId="0" applyFont="1" applyAlignment="1">
      <alignment horizontal="left" vertical="top"/>
    </xf>
    <xf numFmtId="0" fontId="3" fillId="0" borderId="13" xfId="0" applyFont="1" applyBorder="1" applyAlignment="1">
      <alignment vertical="center"/>
    </xf>
    <xf numFmtId="177" fontId="3" fillId="0" borderId="16" xfId="302" applyFont="1" applyBorder="1" applyAlignment="1">
      <alignment horizontal="right" vertical="center" shrinkToFit="1"/>
    </xf>
    <xf numFmtId="0" fontId="16" fillId="0" borderId="13" xfId="0" applyFont="1" applyBorder="1" applyAlignment="1">
      <alignment vertical="center"/>
    </xf>
    <xf numFmtId="177" fontId="3" fillId="0" borderId="0" xfId="302" applyFont="1" applyBorder="1" applyAlignment="1">
      <alignment horizontal="right" vertical="center" shrinkToFit="1"/>
    </xf>
    <xf numFmtId="177" fontId="3" fillId="0" borderId="21" xfId="302" applyFont="1" applyBorder="1" applyAlignment="1">
      <alignment horizontal="right" vertical="center" shrinkToFit="1"/>
    </xf>
    <xf numFmtId="0" fontId="3" fillId="0" borderId="16" xfId="0" applyFont="1" applyBorder="1" applyAlignment="1">
      <alignment vertical="center"/>
    </xf>
    <xf numFmtId="14" fontId="3" fillId="0" borderId="17" xfId="0" applyNumberFormat="1" applyFont="1" applyBorder="1" applyAlignment="1">
      <alignment vertical="center"/>
    </xf>
    <xf numFmtId="0" fontId="12" fillId="0" borderId="0" xfId="149" applyFont="1" applyAlignment="1">
      <alignment vertical="center"/>
    </xf>
    <xf numFmtId="177" fontId="3" fillId="0" borderId="0" xfId="302" applyFont="1" applyAlignment="1">
      <alignment horizontal="right" vertical="center" shrinkToFit="1"/>
    </xf>
    <xf numFmtId="0" fontId="2" fillId="0" borderId="0" xfId="128" applyFont="1" applyAlignment="1" applyProtection="1">
      <alignment horizontal="left" vertical="center"/>
      <protection locked="0"/>
    </xf>
    <xf numFmtId="0" fontId="2" fillId="7" borderId="0" xfId="0" applyFont="1" applyFill="1" applyAlignment="1">
      <alignment vertical="center"/>
    </xf>
    <xf numFmtId="0" fontId="2" fillId="7" borderId="0" xfId="0" applyFont="1" applyFill="1" applyAlignment="1">
      <alignment horizontal="left" vertical="center"/>
    </xf>
    <xf numFmtId="49" fontId="10" fillId="7" borderId="0" xfId="0" applyNumberFormat="1" applyFont="1" applyFill="1" applyAlignment="1">
      <alignment vertical="center"/>
    </xf>
    <xf numFmtId="177" fontId="3" fillId="0" borderId="0" xfId="302" applyFont="1" applyFill="1" applyAlignment="1">
      <alignment vertical="center"/>
    </xf>
    <xf numFmtId="0" fontId="35" fillId="0" borderId="0" xfId="0" applyFont="1" applyAlignment="1">
      <alignment horizontal="center" vertical="center"/>
    </xf>
    <xf numFmtId="0" fontId="12" fillId="0" borderId="0" xfId="126" applyFont="1" applyAlignment="1">
      <alignment horizontal="center" vertical="center"/>
    </xf>
    <xf numFmtId="10" fontId="2" fillId="7" borderId="0" xfId="0" applyNumberFormat="1" applyFont="1" applyFill="1" applyAlignment="1">
      <alignment vertical="center"/>
    </xf>
    <xf numFmtId="0" fontId="2" fillId="0" borderId="0" xfId="139" applyFont="1" applyProtection="1">
      <alignment vertical="center"/>
      <protection locked="0"/>
    </xf>
    <xf numFmtId="0" fontId="2" fillId="0" borderId="0" xfId="0" applyFont="1" applyAlignment="1" applyProtection="1">
      <alignment horizontal="left" vertical="center"/>
      <protection locked="0"/>
    </xf>
    <xf numFmtId="0" fontId="2" fillId="0" borderId="0" xfId="138" applyFont="1" applyAlignment="1" applyProtection="1">
      <alignment horizontal="left" vertical="center"/>
      <protection locked="0"/>
    </xf>
    <xf numFmtId="0" fontId="7" fillId="2" borderId="22" xfId="0" applyFont="1" applyFill="1" applyBorder="1" applyAlignment="1" applyProtection="1">
      <alignment horizontal="left" vertical="center"/>
      <protection locked="0"/>
    </xf>
    <xf numFmtId="0" fontId="31" fillId="2" borderId="23" xfId="0" applyFont="1" applyFill="1" applyBorder="1" applyAlignment="1" applyProtection="1">
      <alignment horizontal="centerContinuous" vertical="center"/>
      <protection locked="0"/>
    </xf>
    <xf numFmtId="0" fontId="42" fillId="3" borderId="24" xfId="0" applyFont="1" applyFill="1" applyBorder="1" applyAlignment="1" applyProtection="1">
      <alignment horizontal="centerContinuous" vertical="center"/>
      <protection locked="0"/>
    </xf>
    <xf numFmtId="0" fontId="48" fillId="14" borderId="25" xfId="0" applyFont="1" applyFill="1" applyBorder="1" applyAlignment="1">
      <alignment horizontal="left" vertical="center"/>
    </xf>
    <xf numFmtId="0" fontId="48" fillId="14" borderId="26" xfId="0" applyFont="1" applyFill="1" applyBorder="1" applyAlignment="1">
      <alignment horizontal="left" vertical="center"/>
    </xf>
    <xf numFmtId="14" fontId="48" fillId="14" borderId="20" xfId="144" applyNumberFormat="1" applyFont="1" applyFill="1" applyBorder="1" applyAlignment="1" applyProtection="1">
      <alignment horizontal="right" vertical="center"/>
      <protection locked="0"/>
    </xf>
    <xf numFmtId="177" fontId="48" fillId="14" borderId="20" xfId="43" applyFont="1" applyFill="1" applyBorder="1" applyAlignment="1" applyProtection="1">
      <alignment horizontal="right" vertical="center" shrinkToFit="1"/>
      <protection locked="0"/>
    </xf>
    <xf numFmtId="0" fontId="48" fillId="14" borderId="27" xfId="0" applyFont="1" applyFill="1" applyBorder="1" applyAlignment="1">
      <alignment horizontal="left" vertical="center"/>
    </xf>
    <xf numFmtId="0" fontId="48" fillId="14" borderId="20" xfId="58" applyNumberFormat="1" applyFont="1" applyFill="1" applyBorder="1" applyAlignment="1" applyProtection="1">
      <alignment horizontal="right" vertical="center"/>
      <protection locked="0"/>
    </xf>
    <xf numFmtId="0" fontId="48" fillId="14" borderId="20" xfId="144" applyFont="1" applyFill="1" applyBorder="1" applyAlignment="1" applyProtection="1">
      <alignment horizontal="right" vertical="center"/>
      <protection locked="0"/>
    </xf>
    <xf numFmtId="0" fontId="9" fillId="14" borderId="28" xfId="0" applyFont="1" applyFill="1" applyBorder="1" applyAlignment="1" applyProtection="1">
      <alignment vertical="center"/>
      <protection locked="0"/>
    </xf>
    <xf numFmtId="0" fontId="9" fillId="14" borderId="29" xfId="0" applyFont="1" applyFill="1" applyBorder="1" applyAlignment="1" applyProtection="1">
      <alignment vertical="center" wrapText="1"/>
      <protection locked="0"/>
    </xf>
    <xf numFmtId="0" fontId="12" fillId="5" borderId="1" xfId="0" applyFont="1" applyFill="1" applyBorder="1" applyAlignment="1">
      <alignment horizontal="center" vertical="center"/>
    </xf>
    <xf numFmtId="0" fontId="12" fillId="5" borderId="6" xfId="0" applyFont="1" applyFill="1" applyBorder="1" applyAlignment="1">
      <alignment horizontal="centerContinuous" vertical="center"/>
    </xf>
    <xf numFmtId="0" fontId="12" fillId="15" borderId="1" xfId="0" applyFont="1" applyFill="1" applyBorder="1" applyAlignment="1">
      <alignment horizontal="center" vertical="center"/>
    </xf>
    <xf numFmtId="0" fontId="12" fillId="5" borderId="7" xfId="0" applyFont="1" applyFill="1" applyBorder="1" applyAlignment="1">
      <alignment horizontal="center" vertical="center"/>
    </xf>
    <xf numFmtId="0" fontId="5" fillId="0" borderId="7" xfId="0" applyFont="1" applyBorder="1" applyAlignment="1">
      <alignment horizontal="center" vertical="center"/>
    </xf>
    <xf numFmtId="0" fontId="5" fillId="7" borderId="7" xfId="0" applyFont="1" applyFill="1" applyBorder="1" applyAlignment="1" applyProtection="1">
      <alignment horizontal="center" vertical="center"/>
      <protection locked="0"/>
    </xf>
    <xf numFmtId="177" fontId="5" fillId="7" borderId="18" xfId="43" applyFont="1" applyFill="1" applyBorder="1" applyAlignment="1" applyProtection="1">
      <alignment horizontal="right" vertical="center" shrinkToFit="1"/>
      <protection locked="0"/>
    </xf>
    <xf numFmtId="177" fontId="2" fillId="7" borderId="20" xfId="43" applyFont="1" applyFill="1" applyBorder="1" applyAlignment="1" applyProtection="1">
      <alignment horizontal="right" vertical="center" shrinkToFit="1"/>
      <protection locked="0"/>
    </xf>
    <xf numFmtId="0" fontId="43" fillId="0" borderId="7" xfId="0" applyFont="1" applyBorder="1" applyAlignment="1">
      <alignment horizontal="center" vertical="center"/>
    </xf>
    <xf numFmtId="0" fontId="5" fillId="12" borderId="1" xfId="0" applyFont="1" applyFill="1" applyBorder="1" applyAlignment="1" applyProtection="1">
      <alignment horizontal="center" vertical="center"/>
      <protection locked="0"/>
    </xf>
    <xf numFmtId="177" fontId="5" fillId="7" borderId="7" xfId="43" applyFont="1" applyFill="1" applyBorder="1" applyAlignment="1" applyProtection="1">
      <alignment horizontal="right" vertical="center" shrinkToFit="1"/>
      <protection locked="0"/>
    </xf>
    <xf numFmtId="209" fontId="2" fillId="7" borderId="20" xfId="43" applyNumberFormat="1" applyFont="1" applyFill="1" applyBorder="1" applyAlignment="1" applyProtection="1">
      <alignment vertical="top"/>
      <protection locked="0"/>
    </xf>
    <xf numFmtId="0" fontId="5" fillId="0" borderId="7" xfId="0" applyFont="1" applyBorder="1" applyAlignment="1">
      <alignment horizontal="center" vertical="center" wrapText="1"/>
    </xf>
    <xf numFmtId="209" fontId="2" fillId="7" borderId="18" xfId="43" applyNumberFormat="1" applyFont="1" applyFill="1" applyBorder="1" applyAlignment="1" applyProtection="1">
      <alignment vertical="top"/>
      <protection locked="0"/>
    </xf>
    <xf numFmtId="0" fontId="49" fillId="0" borderId="7" xfId="0" applyFont="1" applyBorder="1" applyAlignment="1">
      <alignment horizontal="center" vertical="center"/>
    </xf>
    <xf numFmtId="0" fontId="50" fillId="0" borderId="0" xfId="0" applyFont="1" applyAlignment="1">
      <alignment horizontal="left" vertical="center"/>
    </xf>
    <xf numFmtId="0" fontId="50"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16" fillId="0" borderId="30" xfId="0" applyFont="1" applyBorder="1" applyAlignment="1">
      <alignment horizontal="center" vertical="center"/>
    </xf>
    <xf numFmtId="0" fontId="32" fillId="0" borderId="0" xfId="0" applyFont="1" applyAlignment="1" applyProtection="1">
      <alignment horizontal="left" vertical="center" wrapText="1"/>
      <protection locked="0"/>
    </xf>
    <xf numFmtId="0" fontId="12" fillId="5" borderId="7" xfId="0" applyFont="1" applyFill="1" applyBorder="1" applyAlignment="1">
      <alignment horizontal="left" vertical="center"/>
    </xf>
    <xf numFmtId="0" fontId="5" fillId="0" borderId="0" xfId="0" applyFont="1" applyAlignment="1" applyProtection="1">
      <alignment horizontal="left" vertical="center"/>
      <protection locked="0"/>
    </xf>
    <xf numFmtId="0" fontId="53" fillId="0" borderId="0" xfId="0" applyFont="1" applyAlignment="1" applyProtection="1">
      <alignment vertical="center" wrapText="1"/>
      <protection locked="0"/>
    </xf>
    <xf numFmtId="0" fontId="16" fillId="0" borderId="0" xfId="0" applyFont="1" applyAlignment="1" applyProtection="1">
      <alignment horizontal="left" vertical="center" wrapText="1"/>
      <protection locked="0"/>
    </xf>
    <xf numFmtId="0" fontId="3" fillId="0" borderId="0" xfId="125" applyAlignment="1" applyProtection="1">
      <alignment vertical="center"/>
      <protection locked="0"/>
    </xf>
    <xf numFmtId="0" fontId="12" fillId="5" borderId="1" xfId="0" applyFont="1" applyFill="1" applyBorder="1" applyAlignment="1">
      <alignment horizontal="centerContinuous" vertical="center"/>
    </xf>
    <xf numFmtId="209" fontId="3" fillId="0" borderId="0" xfId="43" applyNumberFormat="1" applyFont="1" applyFill="1" applyBorder="1" applyAlignment="1" applyProtection="1">
      <alignment vertical="center" wrapText="1"/>
      <protection locked="0"/>
    </xf>
    <xf numFmtId="0" fontId="3" fillId="0" borderId="0" xfId="146" applyFont="1" applyAlignment="1" applyProtection="1">
      <alignment horizontal="center" vertical="center" wrapText="1"/>
      <protection locked="0"/>
    </xf>
    <xf numFmtId="0" fontId="12" fillId="5" borderId="7" xfId="144" applyFont="1" applyFill="1" applyBorder="1" applyAlignment="1">
      <alignment horizontal="left" vertical="center"/>
    </xf>
    <xf numFmtId="209" fontId="3" fillId="0" borderId="7" xfId="43" applyNumberFormat="1" applyFont="1" applyFill="1" applyBorder="1" applyAlignment="1" applyProtection="1">
      <alignment horizontal="center" vertical="center" wrapText="1"/>
      <protection locked="0"/>
    </xf>
    <xf numFmtId="9" fontId="3" fillId="0" borderId="0" xfId="146" applyNumberFormat="1" applyFont="1" applyAlignment="1" applyProtection="1">
      <alignment vertical="center" wrapText="1"/>
      <protection locked="0"/>
    </xf>
    <xf numFmtId="9" fontId="3" fillId="0" borderId="7" xfId="144" applyNumberFormat="1" applyBorder="1" applyAlignment="1" applyProtection="1">
      <alignment horizontal="right" vertical="center" wrapText="1"/>
      <protection locked="0"/>
    </xf>
    <xf numFmtId="9" fontId="3" fillId="0" borderId="0" xfId="146" applyNumberFormat="1" applyFont="1" applyAlignment="1" applyProtection="1">
      <alignment horizontal="left" vertical="center" wrapText="1"/>
      <protection locked="0"/>
    </xf>
    <xf numFmtId="17" fontId="54" fillId="0" borderId="0" xfId="0" applyNumberFormat="1" applyFont="1" applyAlignment="1">
      <alignment horizontal="center" vertical="center"/>
    </xf>
    <xf numFmtId="0" fontId="27" fillId="0" borderId="0" xfId="0" applyFont="1" applyAlignment="1">
      <alignment vertical="center"/>
    </xf>
    <xf numFmtId="0" fontId="27" fillId="0" borderId="0" xfId="142" applyFont="1" applyAlignment="1">
      <alignment vertical="center" wrapText="1"/>
    </xf>
    <xf numFmtId="0" fontId="31" fillId="0" borderId="0" xfId="0" applyFont="1" applyAlignment="1">
      <alignment vertical="center"/>
    </xf>
    <xf numFmtId="0" fontId="14" fillId="0" borderId="0" xfId="138" applyFont="1" applyAlignment="1">
      <alignment vertical="center"/>
    </xf>
    <xf numFmtId="0" fontId="4" fillId="0" borderId="0" xfId="138" applyFont="1" applyAlignment="1" applyProtection="1">
      <alignment vertical="center"/>
      <protection locked="0"/>
    </xf>
    <xf numFmtId="0" fontId="12" fillId="0" borderId="0" xfId="138" applyFont="1" applyAlignment="1">
      <alignment vertical="center"/>
    </xf>
    <xf numFmtId="0" fontId="5" fillId="0" borderId="0" xfId="0" applyFont="1"/>
    <xf numFmtId="0" fontId="55" fillId="0" borderId="0" xfId="0" applyFont="1" applyAlignment="1" applyProtection="1">
      <alignment vertical="center"/>
      <protection locked="0"/>
    </xf>
    <xf numFmtId="0" fontId="56" fillId="0" borderId="0" xfId="0" applyFont="1" applyAlignment="1">
      <alignment vertical="center"/>
    </xf>
    <xf numFmtId="0" fontId="12" fillId="16" borderId="31" xfId="0" applyFont="1" applyFill="1" applyBorder="1" applyAlignment="1">
      <alignment horizontal="center" vertical="center" wrapText="1"/>
    </xf>
    <xf numFmtId="0" fontId="14" fillId="16" borderId="33" xfId="0" applyFont="1" applyFill="1" applyBorder="1" applyAlignment="1">
      <alignment horizontal="center" vertical="center" wrapText="1"/>
    </xf>
    <xf numFmtId="0" fontId="13" fillId="16" borderId="7" xfId="0" applyFont="1" applyFill="1" applyBorder="1" applyAlignment="1">
      <alignment horizontal="center" vertical="center" wrapText="1"/>
    </xf>
    <xf numFmtId="0" fontId="12" fillId="16" borderId="7" xfId="0" applyFont="1" applyFill="1" applyBorder="1" applyAlignment="1">
      <alignment horizontal="center" vertical="center"/>
    </xf>
    <xf numFmtId="0" fontId="3" fillId="7" borderId="0" xfId="0" applyFont="1" applyFill="1" applyAlignment="1" applyProtection="1">
      <alignment horizontal="left" vertical="center"/>
      <protection locked="0"/>
    </xf>
    <xf numFmtId="0" fontId="12" fillId="0" borderId="0" xfId="0" applyFont="1" applyAlignment="1">
      <alignment horizontal="left" vertical="center"/>
    </xf>
    <xf numFmtId="177" fontId="5" fillId="0" borderId="0" xfId="0" applyNumberFormat="1" applyFont="1" applyAlignment="1">
      <alignment horizontal="right" vertical="center" shrinkToFit="1"/>
    </xf>
    <xf numFmtId="0" fontId="5" fillId="7" borderId="0" xfId="0" applyFont="1" applyFill="1" applyAlignment="1" applyProtection="1">
      <alignment horizontal="left" vertical="center"/>
      <protection locked="0"/>
    </xf>
    <xf numFmtId="0" fontId="13" fillId="0" borderId="0" xfId="0" applyFont="1" applyAlignment="1">
      <alignment horizontal="left" vertical="center"/>
    </xf>
    <xf numFmtId="0" fontId="16" fillId="0" borderId="0" xfId="0" applyFont="1" applyAlignment="1">
      <alignment horizontal="right" vertical="center"/>
    </xf>
    <xf numFmtId="177" fontId="5" fillId="0" borderId="0" xfId="0" applyNumberFormat="1" applyFont="1" applyAlignment="1">
      <alignment horizontal="right" vertical="center"/>
    </xf>
    <xf numFmtId="177" fontId="5" fillId="0" borderId="0" xfId="43" applyFont="1" applyAlignment="1">
      <alignment horizontal="right" vertical="center"/>
    </xf>
    <xf numFmtId="177" fontId="13" fillId="0" borderId="34" xfId="0" applyNumberFormat="1" applyFont="1" applyBorder="1" applyAlignment="1">
      <alignment horizontal="right" vertical="center" shrinkToFit="1"/>
    </xf>
    <xf numFmtId="177" fontId="13" fillId="0" borderId="0" xfId="0" applyNumberFormat="1" applyFont="1" applyAlignment="1">
      <alignment horizontal="right" vertical="center"/>
    </xf>
    <xf numFmtId="177" fontId="3" fillId="0" borderId="0" xfId="76" applyFont="1" applyFill="1" applyAlignment="1" applyProtection="1">
      <alignment horizontal="right" vertical="center" shrinkToFit="1"/>
      <protection locked="0"/>
    </xf>
    <xf numFmtId="177" fontId="5" fillId="0" borderId="0" xfId="43" applyFont="1" applyAlignment="1">
      <alignment horizontal="right"/>
    </xf>
    <xf numFmtId="0" fontId="47" fillId="0" borderId="0" xfId="0" applyFont="1" applyAlignment="1">
      <alignment horizontal="left" vertical="center"/>
    </xf>
    <xf numFmtId="210" fontId="12" fillId="0" borderId="0" xfId="173" applyNumberFormat="1" applyFont="1" applyAlignment="1" applyProtection="1">
      <alignment horizontal="right" vertical="center"/>
      <protection locked="0"/>
    </xf>
    <xf numFmtId="210" fontId="12" fillId="0" borderId="0" xfId="173" applyNumberFormat="1" applyFont="1" applyAlignment="1" applyProtection="1">
      <alignment vertical="center" wrapText="1"/>
      <protection locked="0"/>
    </xf>
    <xf numFmtId="0" fontId="44" fillId="3" borderId="24" xfId="0" applyFont="1" applyFill="1" applyBorder="1" applyAlignment="1" applyProtection="1">
      <alignment horizontal="centerContinuous" vertical="center"/>
      <protection locked="0"/>
    </xf>
    <xf numFmtId="0" fontId="42" fillId="3" borderId="35" xfId="0" applyFont="1" applyFill="1" applyBorder="1" applyAlignment="1" applyProtection="1">
      <alignment horizontal="centerContinuous" vertical="center"/>
      <protection locked="0"/>
    </xf>
    <xf numFmtId="0" fontId="13" fillId="14" borderId="29" xfId="0" applyFont="1" applyFill="1" applyBorder="1" applyAlignment="1" applyProtection="1">
      <alignment vertical="center" wrapText="1"/>
      <protection locked="0"/>
    </xf>
    <xf numFmtId="0" fontId="9" fillId="14" borderId="38" xfId="0" applyFont="1" applyFill="1" applyBorder="1" applyAlignment="1" applyProtection="1">
      <alignment vertical="center" wrapText="1"/>
      <protection locked="0"/>
    </xf>
    <xf numFmtId="0" fontId="12" fillId="15" borderId="5" xfId="0" applyFont="1" applyFill="1" applyBorder="1" applyAlignment="1">
      <alignment horizontal="center" vertical="center"/>
    </xf>
    <xf numFmtId="0" fontId="12" fillId="15" borderId="29" xfId="0" applyFont="1" applyFill="1" applyBorder="1" applyAlignment="1">
      <alignment horizontal="center" vertical="center"/>
    </xf>
    <xf numFmtId="0" fontId="12" fillId="15" borderId="6" xfId="0" applyFont="1" applyFill="1" applyBorder="1" applyAlignment="1">
      <alignment horizontal="center" vertical="center"/>
    </xf>
    <xf numFmtId="0" fontId="5" fillId="0" borderId="1"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3" fillId="0" borderId="1" xfId="0" applyFont="1" applyBorder="1" applyAlignment="1">
      <alignment vertical="center"/>
    </xf>
    <xf numFmtId="0" fontId="5" fillId="0" borderId="23" xfId="0" applyFont="1" applyBorder="1" applyAlignment="1">
      <alignment vertical="center"/>
    </xf>
    <xf numFmtId="0" fontId="5" fillId="0" borderId="29" xfId="0" applyFont="1" applyBorder="1" applyAlignment="1">
      <alignment vertical="center"/>
    </xf>
    <xf numFmtId="0" fontId="5" fillId="0" borderId="39" xfId="0" applyFont="1" applyBorder="1" applyAlignment="1">
      <alignment vertical="center"/>
    </xf>
    <xf numFmtId="0" fontId="5" fillId="0" borderId="40" xfId="0" applyFont="1" applyBorder="1" applyAlignment="1">
      <alignment vertical="center"/>
    </xf>
    <xf numFmtId="0" fontId="2" fillId="0" borderId="0" xfId="0" applyFont="1" applyAlignment="1" applyProtection="1">
      <alignment horizontal="center" vertical="center" wrapText="1"/>
      <protection locked="0"/>
    </xf>
    <xf numFmtId="0" fontId="2" fillId="7" borderId="0" xfId="0" applyFont="1" applyFill="1" applyAlignment="1" applyProtection="1">
      <alignment vertical="center"/>
      <protection locked="0"/>
    </xf>
    <xf numFmtId="0" fontId="30" fillId="0" borderId="0" xfId="0" applyFont="1" applyAlignment="1" applyProtection="1">
      <alignment vertical="center"/>
      <protection locked="0"/>
    </xf>
    <xf numFmtId="0" fontId="30" fillId="0" borderId="0" xfId="0" applyFont="1" applyAlignment="1" applyProtection="1">
      <alignment horizontal="left" vertical="center"/>
      <protection locked="0"/>
    </xf>
    <xf numFmtId="0" fontId="12" fillId="0" borderId="0" xfId="133" applyFont="1" applyAlignment="1">
      <alignment vertical="center"/>
    </xf>
    <xf numFmtId="0" fontId="43" fillId="0" borderId="0" xfId="0" applyFont="1" applyAlignment="1">
      <alignment horizontal="center" vertical="center"/>
    </xf>
    <xf numFmtId="0" fontId="57" fillId="0" borderId="0" xfId="0" applyFont="1" applyAlignment="1">
      <alignment vertical="center"/>
    </xf>
    <xf numFmtId="0" fontId="57" fillId="12" borderId="0" xfId="0" applyFont="1" applyFill="1" applyAlignment="1">
      <alignment vertical="center"/>
    </xf>
    <xf numFmtId="0" fontId="56" fillId="12" borderId="0" xfId="0" applyFont="1" applyFill="1" applyAlignment="1">
      <alignment vertical="center"/>
    </xf>
    <xf numFmtId="14" fontId="12" fillId="16" borderId="7" xfId="0" applyNumberFormat="1" applyFont="1" applyFill="1" applyBorder="1" applyAlignment="1">
      <alignment horizontal="center" vertical="center"/>
    </xf>
    <xf numFmtId="0" fontId="16" fillId="16" borderId="31" xfId="0" applyFont="1" applyFill="1" applyBorder="1" applyAlignment="1">
      <alignment vertical="center"/>
    </xf>
    <xf numFmtId="0" fontId="14" fillId="16" borderId="7" xfId="0" applyFont="1" applyFill="1" applyBorder="1" applyAlignment="1">
      <alignment horizontal="center" vertical="center"/>
    </xf>
    <xf numFmtId="0" fontId="16" fillId="16" borderId="33" xfId="0" applyFont="1" applyFill="1" applyBorder="1" applyAlignment="1">
      <alignment horizontal="center" vertical="center" wrapText="1"/>
    </xf>
    <xf numFmtId="10" fontId="5" fillId="0" borderId="0" xfId="2" applyNumberFormat="1" applyFont="1" applyAlignment="1">
      <alignment horizontal="center" vertical="center" wrapText="1"/>
    </xf>
    <xf numFmtId="0" fontId="3" fillId="0" borderId="0" xfId="252" applyFont="1" applyAlignment="1" applyProtection="1">
      <alignment horizontal="left" vertical="center"/>
      <protection locked="0"/>
    </xf>
    <xf numFmtId="0" fontId="3" fillId="0" borderId="0" xfId="138" applyFont="1" applyAlignment="1" applyProtection="1">
      <alignment horizontal="left" vertical="center"/>
      <protection locked="0"/>
    </xf>
    <xf numFmtId="177" fontId="3" fillId="0" borderId="0" xfId="76" applyFont="1" applyFill="1" applyAlignment="1" applyProtection="1">
      <alignment horizontal="right" vertical="center"/>
      <protection locked="0"/>
    </xf>
    <xf numFmtId="177" fontId="13" fillId="0" borderId="0" xfId="43" applyFont="1" applyAlignment="1">
      <alignment horizontal="right" vertical="center" wrapText="1"/>
    </xf>
    <xf numFmtId="0" fontId="59" fillId="0" borderId="0" xfId="252" applyFont="1" applyAlignment="1" applyProtection="1">
      <alignment horizontal="center" vertical="center"/>
      <protection locked="0"/>
    </xf>
    <xf numFmtId="0" fontId="59" fillId="0" borderId="0" xfId="138" applyFont="1" applyAlignment="1" applyProtection="1">
      <alignment horizontal="left" vertical="center"/>
      <protection locked="0"/>
    </xf>
    <xf numFmtId="10" fontId="13" fillId="0" borderId="34" xfId="2" applyNumberFormat="1" applyFont="1" applyFill="1" applyBorder="1" applyAlignment="1">
      <alignment horizontal="center" vertical="center"/>
    </xf>
    <xf numFmtId="10" fontId="5" fillId="0" borderId="0" xfId="2" applyNumberFormat="1" applyFont="1" applyFill="1" applyBorder="1" applyAlignment="1">
      <alignment horizontal="center" vertical="center"/>
    </xf>
    <xf numFmtId="0" fontId="13" fillId="0" borderId="0" xfId="0" applyFont="1" applyAlignment="1">
      <alignment horizontal="right" vertical="center"/>
    </xf>
    <xf numFmtId="0" fontId="3" fillId="0" borderId="0" xfId="0" applyFont="1" applyAlignment="1">
      <alignment horizontal="right" vertical="center"/>
    </xf>
    <xf numFmtId="0" fontId="26" fillId="0" borderId="0" xfId="133" applyFont="1" applyAlignment="1">
      <alignment vertical="center"/>
    </xf>
    <xf numFmtId="0" fontId="2" fillId="7" borderId="0" xfId="0" applyFont="1" applyFill="1" applyAlignment="1">
      <alignment horizontal="center" vertical="center"/>
    </xf>
    <xf numFmtId="0" fontId="2" fillId="9" borderId="0" xfId="138" applyFont="1" applyFill="1" applyAlignment="1" applyProtection="1">
      <alignment horizontal="left" vertical="center"/>
      <protection locked="0"/>
    </xf>
    <xf numFmtId="0" fontId="30" fillId="0" borderId="0" xfId="138" applyFont="1" applyAlignment="1" applyProtection="1">
      <alignment horizontal="left" vertical="center"/>
      <protection locked="0"/>
    </xf>
    <xf numFmtId="0" fontId="5" fillId="11" borderId="0" xfId="0" applyFont="1" applyFill="1" applyAlignment="1">
      <alignment horizontal="left" vertical="center"/>
    </xf>
    <xf numFmtId="0" fontId="2" fillId="0" borderId="0" xfId="0" applyFont="1" applyAlignment="1">
      <alignment horizontal="center"/>
    </xf>
    <xf numFmtId="0" fontId="60" fillId="0" borderId="0" xfId="0" applyFont="1"/>
    <xf numFmtId="0" fontId="2" fillId="0" borderId="0" xfId="253" applyFont="1"/>
    <xf numFmtId="0" fontId="2" fillId="0" borderId="0" xfId="253" applyFont="1" applyAlignment="1">
      <alignment horizontal="left" vertical="center"/>
    </xf>
    <xf numFmtId="0" fontId="36" fillId="0" borderId="0" xfId="0" applyFont="1"/>
    <xf numFmtId="0" fontId="61" fillId="0" borderId="0" xfId="0" applyFont="1" applyAlignment="1">
      <alignment vertical="center"/>
    </xf>
    <xf numFmtId="0" fontId="61" fillId="0" borderId="0" xfId="0" applyFont="1"/>
    <xf numFmtId="0" fontId="62" fillId="0" borderId="0" xfId="111" applyFont="1"/>
    <xf numFmtId="0" fontId="25" fillId="10" borderId="7" xfId="251" applyFont="1" applyFill="1" applyBorder="1" applyAlignment="1">
      <alignment horizontal="center" vertical="center"/>
    </xf>
    <xf numFmtId="0" fontId="12" fillId="10" borderId="7" xfId="154" applyFont="1" applyFill="1" applyBorder="1" applyAlignment="1">
      <alignment horizontal="center" vertical="center" wrapText="1"/>
    </xf>
    <xf numFmtId="0" fontId="12" fillId="17" borderId="7" xfId="0" applyFont="1" applyFill="1" applyBorder="1" applyAlignment="1" applyProtection="1">
      <alignment horizontal="center" vertical="center" wrapText="1"/>
      <protection locked="0"/>
    </xf>
    <xf numFmtId="0" fontId="2" fillId="0" borderId="7" xfId="0" applyFont="1" applyBorder="1" applyAlignment="1">
      <alignment horizontal="center" vertical="center"/>
    </xf>
    <xf numFmtId="0" fontId="2" fillId="0" borderId="7" xfId="254" applyFont="1" applyBorder="1" applyAlignment="1" applyProtection="1">
      <alignment horizontal="center" vertical="center"/>
      <protection locked="0"/>
    </xf>
    <xf numFmtId="0" fontId="2" fillId="0" borderId="30" xfId="0" applyFont="1" applyBorder="1" applyAlignment="1" applyProtection="1">
      <alignment horizontal="left" vertical="center"/>
      <protection locked="0"/>
    </xf>
    <xf numFmtId="0" fontId="2" fillId="0" borderId="19" xfId="254" applyFont="1" applyBorder="1" applyAlignment="1" applyProtection="1">
      <alignment horizontal="center" vertical="center"/>
      <protection locked="0"/>
    </xf>
    <xf numFmtId="0" fontId="22" fillId="0" borderId="7" xfId="156" applyFont="1" applyBorder="1" applyAlignment="1">
      <alignment horizontal="center" vertical="center"/>
    </xf>
    <xf numFmtId="0" fontId="25" fillId="10" borderId="19" xfId="251" applyFont="1" applyFill="1" applyBorder="1" applyAlignment="1">
      <alignment horizontal="center" vertical="center"/>
    </xf>
    <xf numFmtId="0" fontId="12" fillId="10" borderId="19" xfId="154" applyFont="1" applyFill="1" applyBorder="1" applyAlignment="1">
      <alignment horizontal="center" vertical="center" wrapText="1"/>
    </xf>
    <xf numFmtId="0" fontId="12" fillId="17" borderId="19" xfId="0" applyFont="1" applyFill="1" applyBorder="1" applyAlignment="1" applyProtection="1">
      <alignment horizontal="center" vertical="center" wrapText="1"/>
      <protection locked="0"/>
    </xf>
    <xf numFmtId="0" fontId="22" fillId="0" borderId="30" xfId="156" applyFont="1" applyBorder="1" applyAlignment="1">
      <alignment horizontal="center" vertical="center"/>
    </xf>
    <xf numFmtId="0" fontId="2" fillId="0" borderId="30" xfId="254" applyFont="1" applyBorder="1" applyAlignment="1" applyProtection="1">
      <alignment horizontal="center" vertical="center"/>
      <protection locked="0"/>
    </xf>
    <xf numFmtId="0" fontId="2" fillId="0" borderId="7" xfId="0" applyFont="1" applyBorder="1"/>
    <xf numFmtId="0" fontId="2" fillId="0" borderId="43" xfId="0" applyFont="1" applyBorder="1"/>
    <xf numFmtId="0" fontId="2" fillId="0" borderId="27" xfId="0" applyFont="1" applyBorder="1"/>
    <xf numFmtId="0" fontId="2" fillId="0" borderId="44" xfId="0" applyFont="1" applyBorder="1"/>
    <xf numFmtId="0" fontId="2" fillId="0" borderId="30" xfId="0" applyFont="1" applyBorder="1"/>
    <xf numFmtId="0" fontId="63" fillId="0" borderId="7" xfId="111" quotePrefix="1" applyFont="1" applyBorder="1" applyAlignment="1">
      <alignment horizontal="center" vertical="center"/>
    </xf>
    <xf numFmtId="0" fontId="63" fillId="0" borderId="7" xfId="3" quotePrefix="1" applyFont="1" applyBorder="1" applyAlignment="1">
      <alignment horizontal="center" vertical="center"/>
    </xf>
    <xf numFmtId="0" fontId="166" fillId="0" borderId="0" xfId="0" applyFont="1" applyAlignment="1">
      <alignment vertical="center"/>
    </xf>
    <xf numFmtId="0" fontId="3" fillId="0" borderId="0" xfId="0" applyFont="1" applyAlignment="1">
      <alignment horizontal="left" vertical="top"/>
    </xf>
    <xf numFmtId="177" fontId="12" fillId="0" borderId="0" xfId="0" applyNumberFormat="1" applyFont="1" applyAlignment="1">
      <alignment vertical="center"/>
    </xf>
    <xf numFmtId="0" fontId="41" fillId="0" borderId="52" xfId="0" applyFont="1" applyBorder="1" applyAlignment="1">
      <alignment horizontal="left" vertical="center"/>
    </xf>
    <xf numFmtId="0" fontId="16" fillId="0" borderId="52" xfId="0" applyFont="1" applyBorder="1" applyAlignment="1">
      <alignment horizontal="center" vertical="center"/>
    </xf>
    <xf numFmtId="177" fontId="3" fillId="0" borderId="52" xfId="43" applyFont="1" applyFill="1" applyBorder="1" applyAlignment="1">
      <alignment horizontal="right" vertical="center" shrinkToFit="1"/>
    </xf>
    <xf numFmtId="177" fontId="16" fillId="0" borderId="52" xfId="0" applyNumberFormat="1" applyFont="1" applyBorder="1" applyAlignment="1">
      <alignment horizontal="right" vertical="center"/>
    </xf>
    <xf numFmtId="0" fontId="2" fillId="0" borderId="0" xfId="252" applyFont="1" applyAlignment="1" applyProtection="1">
      <alignment horizontal="left" vertical="center"/>
      <protection locked="0"/>
    </xf>
    <xf numFmtId="0" fontId="2" fillId="0" borderId="0" xfId="0" applyFont="1" applyAlignment="1">
      <alignment horizontal="left" vertical="center" wrapText="1"/>
    </xf>
    <xf numFmtId="177" fontId="3" fillId="0" borderId="52" xfId="302" applyFont="1" applyFill="1" applyBorder="1" applyAlignment="1" applyProtection="1">
      <alignment horizontal="left" vertical="center"/>
      <protection locked="0"/>
    </xf>
    <xf numFmtId="4" fontId="3" fillId="0" borderId="0" xfId="0" applyNumberFormat="1" applyFont="1" applyAlignment="1">
      <alignment vertical="center"/>
    </xf>
    <xf numFmtId="0" fontId="3" fillId="0" borderId="52" xfId="0" applyFont="1" applyBorder="1" applyAlignment="1">
      <alignment horizontal="right" vertical="center"/>
    </xf>
    <xf numFmtId="0" fontId="3" fillId="0" borderId="52" xfId="0" applyFont="1" applyBorder="1" applyAlignment="1" applyProtection="1">
      <alignment horizontal="left" vertical="center" shrinkToFit="1"/>
      <protection locked="0"/>
    </xf>
    <xf numFmtId="9" fontId="3" fillId="0" borderId="52" xfId="2" applyFont="1" applyBorder="1" applyAlignment="1" applyProtection="1">
      <alignment horizontal="left" vertical="center"/>
      <protection locked="0"/>
    </xf>
    <xf numFmtId="177" fontId="3" fillId="0" borderId="52" xfId="1" applyFont="1" applyBorder="1" applyAlignment="1">
      <alignment vertical="center"/>
    </xf>
    <xf numFmtId="49" fontId="3" fillId="0" borderId="52" xfId="0" applyNumberFormat="1" applyFont="1" applyBorder="1" applyAlignment="1" applyProtection="1">
      <alignment horizontal="left" vertical="center"/>
      <protection locked="0"/>
    </xf>
    <xf numFmtId="49" fontId="3" fillId="0" borderId="52" xfId="0" applyNumberFormat="1" applyFont="1" applyBorder="1" applyAlignment="1" applyProtection="1">
      <alignment horizontal="left" vertical="center" shrinkToFit="1"/>
      <protection locked="0"/>
    </xf>
    <xf numFmtId="14" fontId="3" fillId="0" borderId="52" xfId="0" applyNumberFormat="1" applyFont="1" applyBorder="1" applyAlignment="1" applyProtection="1">
      <alignment horizontal="right" vertical="center" shrinkToFit="1"/>
      <protection locked="0"/>
    </xf>
    <xf numFmtId="177" fontId="3" fillId="0" borderId="52" xfId="1" applyFont="1" applyBorder="1" applyAlignment="1" applyProtection="1">
      <alignment horizontal="left" vertical="center"/>
      <protection locked="0"/>
    </xf>
    <xf numFmtId="0" fontId="3" fillId="0" borderId="52" xfId="0" applyFont="1" applyBorder="1" applyAlignment="1">
      <alignment vertical="center"/>
    </xf>
    <xf numFmtId="14" fontId="3" fillId="0" borderId="52" xfId="0" applyNumberFormat="1" applyFont="1" applyBorder="1" applyAlignment="1">
      <alignment vertical="center"/>
    </xf>
    <xf numFmtId="0" fontId="39" fillId="0" borderId="53" xfId="0" applyFont="1" applyBorder="1" applyAlignment="1" applyProtection="1">
      <alignment horizontal="center" vertical="center"/>
      <protection locked="0"/>
    </xf>
    <xf numFmtId="0" fontId="40" fillId="0" borderId="54" xfId="0" applyFont="1" applyBorder="1" applyAlignment="1" applyProtection="1">
      <alignment horizontal="center" vertical="center"/>
      <protection locked="0"/>
    </xf>
    <xf numFmtId="0" fontId="40" fillId="0" borderId="54" xfId="0" applyFont="1" applyBorder="1" applyAlignment="1" applyProtection="1">
      <alignment horizontal="center" vertical="center" wrapText="1"/>
      <protection locked="0"/>
    </xf>
    <xf numFmtId="0" fontId="3" fillId="0" borderId="54" xfId="0" applyFont="1" applyBorder="1" applyAlignment="1" applyProtection="1">
      <alignment horizontal="center" vertical="center"/>
      <protection locked="0"/>
    </xf>
    <xf numFmtId="0" fontId="3" fillId="0" borderId="54" xfId="0" applyFont="1" applyBorder="1" applyAlignment="1" applyProtection="1">
      <alignment horizontal="center" vertical="center" wrapText="1"/>
      <protection locked="0"/>
    </xf>
    <xf numFmtId="0" fontId="40" fillId="13" borderId="55" xfId="0" applyFont="1" applyFill="1" applyBorder="1" applyAlignment="1" applyProtection="1">
      <alignment horizontal="center" vertical="center" wrapText="1"/>
      <protection locked="0"/>
    </xf>
    <xf numFmtId="49" fontId="3" fillId="0" borderId="56" xfId="0" applyNumberFormat="1" applyFont="1" applyBorder="1" applyAlignment="1" applyProtection="1">
      <alignment horizontal="left" vertical="center" wrapText="1"/>
      <protection locked="0"/>
    </xf>
    <xf numFmtId="177" fontId="2" fillId="0" borderId="57" xfId="128" applyNumberFormat="1" applyFont="1" applyBorder="1" applyAlignment="1">
      <alignment horizontal="center" vertical="center"/>
    </xf>
    <xf numFmtId="0" fontId="3" fillId="0" borderId="56" xfId="0" applyFont="1" applyBorder="1" applyAlignment="1">
      <alignment vertical="center"/>
    </xf>
    <xf numFmtId="0" fontId="166" fillId="0" borderId="56" xfId="0" applyFont="1" applyBorder="1" applyAlignment="1">
      <alignment vertical="center"/>
    </xf>
    <xf numFmtId="0" fontId="166" fillId="0" borderId="58" xfId="0" applyFont="1" applyBorder="1" applyAlignment="1">
      <alignment vertical="center"/>
    </xf>
    <xf numFmtId="0" fontId="3" fillId="0" borderId="59" xfId="0" applyFont="1" applyBorder="1" applyAlignment="1">
      <alignment vertical="center"/>
    </xf>
    <xf numFmtId="14" fontId="3" fillId="0" borderId="59" xfId="0" applyNumberFormat="1" applyFont="1" applyBorder="1" applyAlignment="1">
      <alignment vertical="center"/>
    </xf>
    <xf numFmtId="0" fontId="3" fillId="0" borderId="59" xfId="0" applyFont="1" applyBorder="1" applyAlignment="1">
      <alignment horizontal="right" vertical="center"/>
    </xf>
    <xf numFmtId="0" fontId="3" fillId="0" borderId="59" xfId="0" applyFont="1" applyBorder="1" applyAlignment="1" applyProtection="1">
      <alignment horizontal="left" vertical="center" shrinkToFit="1"/>
      <protection locked="0"/>
    </xf>
    <xf numFmtId="9" fontId="3" fillId="0" borderId="59" xfId="2" applyFont="1" applyBorder="1" applyAlignment="1" applyProtection="1">
      <alignment horizontal="left" vertical="center"/>
      <protection locked="0"/>
    </xf>
    <xf numFmtId="177" fontId="3" fillId="0" borderId="59" xfId="1" applyFont="1" applyBorder="1" applyAlignment="1">
      <alignment vertical="center"/>
    </xf>
    <xf numFmtId="177" fontId="3" fillId="0" borderId="59" xfId="302" applyFont="1" applyFill="1" applyBorder="1" applyAlignment="1" applyProtection="1">
      <alignment horizontal="left" vertical="center"/>
      <protection locked="0"/>
    </xf>
    <xf numFmtId="177" fontId="2" fillId="0" borderId="60" xfId="128" applyNumberFormat="1" applyFont="1" applyBorder="1" applyAlignment="1">
      <alignment horizontal="center" vertical="center"/>
    </xf>
    <xf numFmtId="177" fontId="2" fillId="0" borderId="0" xfId="1" applyFont="1" applyAlignment="1">
      <alignment vertical="center"/>
    </xf>
    <xf numFmtId="177" fontId="2" fillId="0" borderId="0" xfId="128" applyNumberFormat="1" applyFont="1" applyAlignment="1">
      <alignment vertical="center"/>
    </xf>
    <xf numFmtId="0" fontId="171" fillId="0" borderId="0" xfId="0" applyFont="1"/>
    <xf numFmtId="177" fontId="4" fillId="0" borderId="0" xfId="0" applyNumberFormat="1" applyFont="1"/>
    <xf numFmtId="0" fontId="40" fillId="0" borderId="61" xfId="0" applyFont="1" applyBorder="1" applyAlignment="1" applyProtection="1">
      <alignment horizontal="center" vertical="center"/>
      <protection locked="0"/>
    </xf>
    <xf numFmtId="0" fontId="40" fillId="0" borderId="61" xfId="0" applyFont="1" applyBorder="1" applyAlignment="1" applyProtection="1">
      <alignment horizontal="center" vertical="center" wrapText="1"/>
      <protection locked="0"/>
    </xf>
    <xf numFmtId="0" fontId="3" fillId="0" borderId="61" xfId="0" applyFont="1" applyBorder="1" applyAlignment="1" applyProtection="1">
      <alignment horizontal="center" vertical="center"/>
      <protection locked="0"/>
    </xf>
    <xf numFmtId="0" fontId="3" fillId="0" borderId="62" xfId="0" applyFont="1" applyBorder="1" applyAlignment="1" applyProtection="1">
      <alignment horizontal="center" vertical="center" wrapText="1"/>
      <protection locked="0"/>
    </xf>
    <xf numFmtId="177" fontId="4" fillId="0" borderId="57" xfId="0" applyNumberFormat="1" applyFont="1" applyBorder="1"/>
    <xf numFmtId="177" fontId="4" fillId="0" borderId="60" xfId="0" applyNumberFormat="1" applyFont="1" applyBorder="1"/>
    <xf numFmtId="177" fontId="3" fillId="0" borderId="14" xfId="1" applyFont="1" applyBorder="1" applyAlignment="1">
      <alignment vertical="center"/>
    </xf>
    <xf numFmtId="0" fontId="3" fillId="0" borderId="52" xfId="0" applyFont="1" applyBorder="1" applyAlignment="1" applyProtection="1">
      <alignment horizontal="right" vertical="center" shrinkToFit="1"/>
      <protection locked="0"/>
    </xf>
    <xf numFmtId="0" fontId="154" fillId="0" borderId="7" xfId="0" applyFont="1" applyBorder="1" applyAlignment="1" applyProtection="1">
      <alignment horizontal="left" vertical="center"/>
      <protection locked="0"/>
    </xf>
    <xf numFmtId="0" fontId="154" fillId="0" borderId="7" xfId="0" applyFont="1" applyBorder="1" applyAlignment="1" applyProtection="1">
      <alignment horizontal="left" vertical="center" wrapText="1"/>
      <protection locked="0"/>
    </xf>
    <xf numFmtId="0" fontId="174" fillId="0" borderId="7" xfId="0" applyFont="1" applyBorder="1" applyAlignment="1" applyProtection="1">
      <alignment horizontal="left" vertical="center"/>
      <protection locked="0"/>
    </xf>
    <xf numFmtId="0" fontId="175" fillId="0" borderId="7" xfId="0" applyFont="1" applyBorder="1" applyAlignment="1" applyProtection="1">
      <alignment horizontal="left" vertical="center"/>
      <protection locked="0"/>
    </xf>
    <xf numFmtId="0" fontId="174" fillId="0" borderId="30" xfId="0" applyFont="1" applyBorder="1" applyAlignment="1" applyProtection="1">
      <alignment horizontal="left" vertical="center" wrapText="1"/>
      <protection locked="0"/>
    </xf>
    <xf numFmtId="0" fontId="64" fillId="0" borderId="7" xfId="3" quotePrefix="1" applyBorder="1" applyAlignment="1">
      <alignment horizontal="center" vertical="center"/>
    </xf>
    <xf numFmtId="0" fontId="176" fillId="0" borderId="30" xfId="3" applyFont="1" applyBorder="1" applyAlignment="1" applyProtection="1">
      <alignment horizontal="left" vertical="center" wrapText="1"/>
      <protection locked="0"/>
    </xf>
    <xf numFmtId="177" fontId="4" fillId="0" borderId="0" xfId="1" applyFont="1" applyAlignment="1"/>
    <xf numFmtId="0" fontId="174" fillId="0" borderId="30" xfId="0" applyFont="1" applyBorder="1" applyAlignment="1" applyProtection="1">
      <alignment horizontal="left" vertical="center"/>
      <protection locked="0"/>
    </xf>
    <xf numFmtId="44" fontId="3" fillId="0" borderId="0" xfId="0" applyNumberFormat="1" applyFont="1" applyAlignment="1">
      <alignment vertical="center"/>
    </xf>
    <xf numFmtId="177" fontId="3" fillId="0" borderId="0" xfId="1" applyFont="1" applyFill="1" applyAlignment="1">
      <alignment vertical="center"/>
    </xf>
    <xf numFmtId="49" fontId="15" fillId="0" borderId="52" xfId="0" applyNumberFormat="1" applyFont="1" applyBorder="1" applyAlignment="1" applyProtection="1">
      <alignment horizontal="left" vertical="center" shrinkToFit="1"/>
      <protection locked="0"/>
    </xf>
    <xf numFmtId="44" fontId="2" fillId="0" borderId="0" xfId="128" applyNumberFormat="1" applyFont="1" applyAlignment="1">
      <alignment vertical="center"/>
    </xf>
    <xf numFmtId="0" fontId="175" fillId="0" borderId="0" xfId="128" applyFont="1" applyAlignment="1">
      <alignment vertical="center"/>
    </xf>
    <xf numFmtId="14" fontId="5" fillId="7" borderId="0" xfId="128" applyNumberFormat="1" applyFont="1" applyFill="1" applyAlignment="1">
      <alignment vertical="center"/>
    </xf>
    <xf numFmtId="0" fontId="18" fillId="0" borderId="7" xfId="254" applyFont="1" applyBorder="1" applyAlignment="1" applyProtection="1">
      <alignment horizontal="center" vertical="center"/>
      <protection locked="0"/>
    </xf>
    <xf numFmtId="0" fontId="15" fillId="0" borderId="56" xfId="0" applyFont="1" applyBorder="1" applyAlignment="1">
      <alignment vertical="center"/>
    </xf>
    <xf numFmtId="0" fontId="15" fillId="0" borderId="52" xfId="0" applyFont="1" applyBorder="1" applyAlignment="1">
      <alignment vertical="center"/>
    </xf>
    <xf numFmtId="0" fontId="15" fillId="0" borderId="58" xfId="0" applyFont="1" applyBorder="1" applyAlignment="1">
      <alignment vertical="center"/>
    </xf>
    <xf numFmtId="0" fontId="15" fillId="0" borderId="59" xfId="0" applyFont="1" applyBorder="1" applyAlignment="1">
      <alignment vertical="center"/>
    </xf>
    <xf numFmtId="0" fontId="15" fillId="0" borderId="0" xfId="0" applyFont="1" applyAlignment="1" applyProtection="1">
      <alignment horizontal="center" vertical="center"/>
      <protection locked="0"/>
    </xf>
    <xf numFmtId="0" fontId="177" fillId="0" borderId="0" xfId="0" applyFont="1"/>
    <xf numFmtId="0" fontId="14" fillId="0" borderId="7" xfId="0" applyFont="1" applyBorder="1" applyAlignment="1">
      <alignment horizontal="center" vertical="center"/>
    </xf>
    <xf numFmtId="0" fontId="14" fillId="0" borderId="1"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53" fillId="14" borderId="19" xfId="144" applyFont="1" applyFill="1" applyBorder="1" applyAlignment="1" applyProtection="1">
      <alignment horizontal="right" vertical="center"/>
      <protection locked="0"/>
    </xf>
    <xf numFmtId="0" fontId="12" fillId="10" borderId="7" xfId="0" applyFont="1" applyFill="1" applyBorder="1" applyAlignment="1">
      <alignment horizontal="left" vertical="center"/>
    </xf>
    <xf numFmtId="0" fontId="2" fillId="0" borderId="7" xfId="0" applyFont="1" applyBorder="1" applyAlignment="1">
      <alignment horizontal="left" vertical="center" wrapText="1"/>
    </xf>
    <xf numFmtId="0" fontId="2" fillId="0" borderId="7" xfId="128" applyFont="1" applyBorder="1" applyAlignment="1">
      <alignment horizontal="left" vertical="center" wrapText="1"/>
    </xf>
    <xf numFmtId="0" fontId="13" fillId="10" borderId="7" xfId="0" applyFont="1" applyFill="1" applyBorder="1" applyAlignment="1">
      <alignment horizontal="left" vertical="center"/>
    </xf>
    <xf numFmtId="0" fontId="2" fillId="0" borderId="1" xfId="128" applyFont="1" applyBorder="1" applyAlignment="1">
      <alignment horizontal="left" vertical="center" wrapText="1"/>
    </xf>
    <xf numFmtId="0" fontId="2" fillId="0" borderId="5" xfId="128" applyFont="1" applyBorder="1" applyAlignment="1">
      <alignment horizontal="left" vertical="center" wrapText="1"/>
    </xf>
    <xf numFmtId="0" fontId="2" fillId="0" borderId="6" xfId="128" applyFont="1" applyBorder="1" applyAlignment="1">
      <alignment horizontal="left" vertical="center" wrapText="1"/>
    </xf>
    <xf numFmtId="0" fontId="5" fillId="0" borderId="19" xfId="0" applyFont="1" applyBorder="1" applyAlignment="1">
      <alignment vertical="center" wrapText="1"/>
    </xf>
    <xf numFmtId="0" fontId="3" fillId="0" borderId="19" xfId="0" applyFont="1" applyBorder="1" applyAlignment="1">
      <alignment vertical="center" wrapText="1"/>
    </xf>
    <xf numFmtId="0" fontId="5" fillId="0" borderId="7" xfId="141" applyFont="1" applyBorder="1" applyAlignment="1">
      <alignment horizontal="left" vertical="center" wrapText="1"/>
    </xf>
    <xf numFmtId="0" fontId="3" fillId="0" borderId="7" xfId="141" applyBorder="1" applyAlignment="1">
      <alignment horizontal="left" vertical="center" wrapText="1"/>
    </xf>
    <xf numFmtId="0" fontId="46" fillId="0" borderId="1" xfId="0" applyFont="1" applyBorder="1" applyAlignment="1">
      <alignment horizontal="left" vertical="center" wrapText="1"/>
    </xf>
    <xf numFmtId="0" fontId="46" fillId="0" borderId="5" xfId="0" applyFont="1" applyBorder="1" applyAlignment="1">
      <alignment horizontal="left" vertical="center" wrapText="1"/>
    </xf>
    <xf numFmtId="0" fontId="46" fillId="0" borderId="6" xfId="0" applyFont="1" applyBorder="1" applyAlignment="1">
      <alignment horizontal="left" vertical="center" wrapText="1"/>
    </xf>
    <xf numFmtId="0" fontId="5" fillId="0" borderId="19" xfId="0" applyFont="1" applyBorder="1" applyAlignment="1">
      <alignment horizontal="center" vertical="center"/>
    </xf>
    <xf numFmtId="0" fontId="5" fillId="0" borderId="18" xfId="0" applyFont="1" applyBorder="1" applyAlignment="1">
      <alignment horizontal="center" vertical="center"/>
    </xf>
    <xf numFmtId="0" fontId="18" fillId="0" borderId="10" xfId="128" applyFont="1" applyBorder="1" applyAlignment="1">
      <alignment horizontal="left" vertical="center" wrapText="1"/>
    </xf>
    <xf numFmtId="0" fontId="2" fillId="0" borderId="11" xfId="128" applyFont="1" applyBorder="1" applyAlignment="1">
      <alignment horizontal="left" vertical="center" wrapText="1"/>
    </xf>
    <xf numFmtId="0" fontId="2" fillId="0" borderId="12" xfId="128" applyFont="1" applyBorder="1" applyAlignment="1">
      <alignment horizontal="left" vertical="center" wrapText="1"/>
    </xf>
    <xf numFmtId="0" fontId="2" fillId="0" borderId="15" xfId="128" applyFont="1" applyBorder="1" applyAlignment="1">
      <alignment horizontal="left" vertical="center" wrapText="1"/>
    </xf>
    <xf numFmtId="0" fontId="2" fillId="0" borderId="16" xfId="128" applyFont="1" applyBorder="1" applyAlignment="1">
      <alignment horizontal="left" vertical="center" wrapText="1"/>
    </xf>
    <xf numFmtId="0" fontId="2" fillId="0" borderId="17" xfId="128" applyFont="1" applyBorder="1" applyAlignment="1">
      <alignment horizontal="left" vertical="center" wrapText="1"/>
    </xf>
    <xf numFmtId="0" fontId="2" fillId="0" borderId="10" xfId="128" applyFont="1" applyBorder="1" applyAlignment="1">
      <alignment horizontal="left" vertical="center" wrapText="1"/>
    </xf>
    <xf numFmtId="0" fontId="2" fillId="0" borderId="19" xfId="254" applyFont="1" applyBorder="1" applyAlignment="1" applyProtection="1">
      <alignment horizontal="center" vertical="center"/>
      <protection locked="0"/>
    </xf>
    <xf numFmtId="0" fontId="2" fillId="0" borderId="18" xfId="254" applyFont="1" applyBorder="1" applyAlignment="1" applyProtection="1">
      <alignment horizontal="center" vertical="center"/>
      <protection locked="0"/>
    </xf>
    <xf numFmtId="0" fontId="174" fillId="0" borderId="19" xfId="0" applyFont="1" applyBorder="1" applyAlignment="1" applyProtection="1">
      <alignment horizontal="left" vertical="center" wrapText="1"/>
      <protection locked="0"/>
    </xf>
    <xf numFmtId="0" fontId="2" fillId="0" borderId="18" xfId="0" applyFont="1" applyBorder="1" applyAlignment="1" applyProtection="1">
      <alignment horizontal="left" vertical="center" wrapText="1"/>
      <protection locked="0"/>
    </xf>
    <xf numFmtId="0" fontId="2" fillId="0" borderId="19" xfId="0" applyFont="1" applyBorder="1" applyAlignment="1" applyProtection="1">
      <alignment horizontal="left" vertical="center"/>
      <protection locked="0"/>
    </xf>
    <xf numFmtId="0" fontId="2" fillId="0" borderId="18" xfId="0" applyFont="1" applyBorder="1" applyAlignment="1" applyProtection="1">
      <alignment horizontal="left" vertical="center"/>
      <protection locked="0"/>
    </xf>
    <xf numFmtId="0" fontId="172"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18" xfId="0" applyFont="1" applyBorder="1" applyAlignment="1">
      <alignment horizontal="left" vertical="center" wrapText="1"/>
    </xf>
    <xf numFmtId="0" fontId="2" fillId="0" borderId="19" xfId="0" applyFont="1" applyBorder="1" applyAlignment="1">
      <alignment horizontal="center"/>
    </xf>
    <xf numFmtId="0" fontId="2" fillId="0" borderId="18" xfId="0" applyFont="1" applyBorder="1" applyAlignment="1">
      <alignment horizontal="center"/>
    </xf>
    <xf numFmtId="0" fontId="169" fillId="0" borderId="7" xfId="0" applyFont="1" applyBorder="1" applyAlignment="1">
      <alignment horizontal="left" vertical="center" wrapText="1"/>
    </xf>
    <xf numFmtId="0" fontId="3" fillId="0" borderId="7" xfId="0" applyFont="1" applyBorder="1" applyAlignment="1">
      <alignment horizontal="left" vertical="center" wrapText="1"/>
    </xf>
    <xf numFmtId="0" fontId="15" fillId="0" borderId="7" xfId="0" applyFont="1" applyBorder="1" applyAlignment="1" applyProtection="1">
      <alignment horizontal="left" vertical="center" wrapText="1"/>
      <protection locked="0"/>
    </xf>
    <xf numFmtId="0" fontId="5" fillId="0" borderId="0" xfId="0" applyFont="1" applyAlignment="1">
      <alignment vertical="center"/>
    </xf>
    <xf numFmtId="0" fontId="13" fillId="16" borderId="1" xfId="0" applyFont="1" applyFill="1" applyBorder="1" applyAlignment="1">
      <alignment horizontal="center" vertical="center"/>
    </xf>
    <xf numFmtId="0" fontId="13" fillId="16" borderId="5" xfId="0" applyFont="1" applyFill="1" applyBorder="1" applyAlignment="1">
      <alignment horizontal="center" vertical="center"/>
    </xf>
    <xf numFmtId="0" fontId="13" fillId="16" borderId="6" xfId="0" applyFont="1" applyFill="1" applyBorder="1" applyAlignment="1">
      <alignment horizontal="center" vertical="center"/>
    </xf>
    <xf numFmtId="14" fontId="12" fillId="16" borderId="32" xfId="0" applyNumberFormat="1" applyFont="1" applyFill="1" applyBorder="1" applyAlignment="1">
      <alignment horizontal="center" vertical="center"/>
    </xf>
    <xf numFmtId="14" fontId="12" fillId="16" borderId="5" xfId="0" applyNumberFormat="1" applyFont="1" applyFill="1" applyBorder="1" applyAlignment="1">
      <alignment horizontal="center" vertical="center"/>
    </xf>
    <xf numFmtId="14" fontId="12" fillId="16" borderId="6" xfId="0" applyNumberFormat="1" applyFont="1" applyFill="1" applyBorder="1" applyAlignment="1">
      <alignment horizontal="center" vertical="center"/>
    </xf>
    <xf numFmtId="0" fontId="25" fillId="5" borderId="7" xfId="0" applyFont="1" applyFill="1" applyBorder="1" applyAlignment="1" applyProtection="1">
      <alignment horizontal="center" vertical="center"/>
      <protection locked="0"/>
    </xf>
    <xf numFmtId="0" fontId="58" fillId="16" borderId="31" xfId="0" applyFont="1" applyFill="1" applyBorder="1" applyAlignment="1">
      <alignment horizontal="center" vertical="center" wrapText="1"/>
    </xf>
    <xf numFmtId="0" fontId="58" fillId="16" borderId="42" xfId="0" applyFont="1" applyFill="1" applyBorder="1" applyAlignment="1">
      <alignment horizontal="center" vertical="center" wrapText="1"/>
    </xf>
    <xf numFmtId="0" fontId="9" fillId="14" borderId="22" xfId="0" applyFont="1" applyFill="1" applyBorder="1" applyAlignment="1">
      <alignment horizontal="left" vertical="center" wrapText="1" indent="16"/>
    </xf>
    <xf numFmtId="0" fontId="9" fillId="14" borderId="23" xfId="0" applyFont="1" applyFill="1" applyBorder="1" applyAlignment="1">
      <alignment horizontal="left" vertical="center" wrapText="1" indent="16"/>
    </xf>
    <xf numFmtId="0" fontId="9" fillId="14" borderId="36" xfId="0" applyFont="1" applyFill="1" applyBorder="1" applyAlignment="1">
      <alignment horizontal="left" vertical="center" wrapText="1" indent="16"/>
    </xf>
    <xf numFmtId="0" fontId="9" fillId="14" borderId="26" xfId="0" applyFont="1" applyFill="1" applyBorder="1" applyAlignment="1">
      <alignment horizontal="left" vertical="center" wrapText="1" indent="16"/>
    </xf>
    <xf numFmtId="0" fontId="9" fillId="14" borderId="0" xfId="0" applyFont="1" applyFill="1" applyAlignment="1">
      <alignment horizontal="left" vertical="center" wrapText="1" indent="16"/>
    </xf>
    <xf numFmtId="0" fontId="9" fillId="14" borderId="37" xfId="0" applyFont="1" applyFill="1" applyBorder="1" applyAlignment="1">
      <alignment horizontal="left" vertical="center" wrapText="1" indent="16"/>
    </xf>
    <xf numFmtId="0" fontId="14" fillId="16" borderId="1" xfId="0" applyFont="1" applyFill="1" applyBorder="1" applyAlignment="1">
      <alignment horizontal="center" vertical="center"/>
    </xf>
    <xf numFmtId="0" fontId="14" fillId="16" borderId="41" xfId="0" applyFont="1" applyFill="1" applyBorder="1" applyAlignment="1">
      <alignment horizontal="center" vertical="center"/>
    </xf>
    <xf numFmtId="0" fontId="50" fillId="0" borderId="11" xfId="0" applyFont="1" applyBorder="1" applyAlignment="1">
      <alignment horizontal="left" vertical="center" wrapText="1"/>
    </xf>
    <xf numFmtId="0" fontId="50" fillId="0" borderId="0" xfId="0" applyFont="1" applyAlignment="1">
      <alignment horizontal="left" vertical="center" wrapText="1"/>
    </xf>
    <xf numFmtId="0" fontId="51" fillId="0" borderId="0" xfId="0" applyFont="1" applyAlignment="1">
      <alignment horizontal="left" vertical="center" wrapText="1"/>
    </xf>
    <xf numFmtId="0" fontId="16" fillId="0" borderId="1"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8" xfId="0" applyFont="1" applyBorder="1" applyAlignment="1">
      <alignment horizontal="center" vertical="center" wrapText="1"/>
    </xf>
    <xf numFmtId="0" fontId="166" fillId="0" borderId="10" xfId="173" applyFont="1" applyBorder="1" applyAlignment="1" applyProtection="1">
      <alignment horizontal="left" vertical="center" wrapText="1"/>
      <protection locked="0"/>
    </xf>
    <xf numFmtId="0" fontId="3" fillId="0" borderId="11" xfId="173" applyFont="1" applyBorder="1" applyAlignment="1" applyProtection="1">
      <alignment horizontal="left" vertical="center" wrapText="1"/>
      <protection locked="0"/>
    </xf>
    <xf numFmtId="0" fontId="3" fillId="0" borderId="12" xfId="173" applyFont="1" applyBorder="1" applyAlignment="1" applyProtection="1">
      <alignment horizontal="left" vertical="center" wrapText="1"/>
      <protection locked="0"/>
    </xf>
    <xf numFmtId="0" fontId="3" fillId="0" borderId="13" xfId="173" applyFont="1" applyBorder="1" applyAlignment="1" applyProtection="1">
      <alignment horizontal="left" vertical="center" wrapText="1"/>
      <protection locked="0"/>
    </xf>
    <xf numFmtId="0" fontId="3" fillId="0" borderId="0" xfId="173" applyFont="1" applyAlignment="1" applyProtection="1">
      <alignment horizontal="left" vertical="center" wrapText="1"/>
      <protection locked="0"/>
    </xf>
    <xf numFmtId="0" fontId="3" fillId="0" borderId="14" xfId="173" applyFont="1" applyBorder="1" applyAlignment="1" applyProtection="1">
      <alignment horizontal="left" vertical="center" wrapText="1"/>
      <protection locked="0"/>
    </xf>
    <xf numFmtId="0" fontId="3" fillId="0" borderId="15" xfId="173" applyFont="1" applyBorder="1" applyAlignment="1" applyProtection="1">
      <alignment horizontal="left" vertical="center" wrapText="1"/>
      <protection locked="0"/>
    </xf>
    <xf numFmtId="0" fontId="3" fillId="0" borderId="16" xfId="173" applyFont="1" applyBorder="1" applyAlignment="1" applyProtection="1">
      <alignment horizontal="left" vertical="center" wrapText="1"/>
      <protection locked="0"/>
    </xf>
    <xf numFmtId="0" fontId="3" fillId="0" borderId="17" xfId="173" applyFont="1" applyBorder="1" applyAlignment="1" applyProtection="1">
      <alignment horizontal="left" vertical="center" wrapText="1"/>
      <protection locked="0"/>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15" fillId="0" borderId="13" xfId="0" applyFont="1" applyBorder="1" applyAlignment="1">
      <alignment horizontal="left" vertical="center" wrapText="1"/>
    </xf>
    <xf numFmtId="0" fontId="15" fillId="0" borderId="0" xfId="0" applyFont="1" applyAlignment="1">
      <alignment horizontal="left" vertical="center" wrapText="1"/>
    </xf>
    <xf numFmtId="0" fontId="15" fillId="0" borderId="14" xfId="0" applyFont="1" applyBorder="1" applyAlignment="1">
      <alignment horizontal="left" vertical="center" wrapText="1"/>
    </xf>
    <xf numFmtId="0" fontId="15" fillId="0" borderId="15" xfId="0" applyFont="1" applyBorder="1" applyAlignment="1">
      <alignment horizontal="left" vertical="center" wrapText="1"/>
    </xf>
    <xf numFmtId="0" fontId="15" fillId="0" borderId="16" xfId="0" applyFont="1" applyBorder="1" applyAlignment="1">
      <alignment horizontal="left" vertical="center" wrapText="1"/>
    </xf>
    <xf numFmtId="0" fontId="15" fillId="0" borderId="17" xfId="0" applyFont="1" applyBorder="1" applyAlignment="1">
      <alignment horizontal="left" vertical="center" wrapText="1"/>
    </xf>
    <xf numFmtId="0" fontId="167" fillId="0" borderId="10" xfId="173" applyFont="1" applyBorder="1" applyAlignment="1" applyProtection="1">
      <alignment horizontal="left" vertical="center" wrapText="1"/>
      <protection locked="0"/>
    </xf>
    <xf numFmtId="49" fontId="3" fillId="63" borderId="0" xfId="0" applyNumberFormat="1" applyFont="1" applyFill="1" applyAlignment="1">
      <alignment horizontal="center" vertical="center"/>
    </xf>
    <xf numFmtId="0" fontId="18" fillId="0" borderId="1" xfId="263" applyFont="1" applyBorder="1" applyAlignment="1" applyProtection="1">
      <alignment horizontal="left" vertical="center" wrapText="1"/>
      <protection locked="0"/>
    </xf>
    <xf numFmtId="0" fontId="18" fillId="0" borderId="5" xfId="263" applyFont="1" applyBorder="1" applyAlignment="1" applyProtection="1">
      <alignment horizontal="left" vertical="center" wrapText="1"/>
      <protection locked="0"/>
    </xf>
    <xf numFmtId="0" fontId="18" fillId="0" borderId="6" xfId="263"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14" fontId="3" fillId="0" borderId="7" xfId="0" applyNumberFormat="1"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166" fillId="0" borderId="13" xfId="0" applyFont="1" applyBorder="1" applyAlignment="1">
      <alignment horizontal="left" vertical="center"/>
    </xf>
  </cellXfs>
  <cellStyles count="316">
    <cellStyle name="?鹎%U龡&amp;H?_x0008__x001c__x001c_?_x0007__x0001__x0001_" xfId="4" xr:uid="{00000000-0005-0000-0000-000031000000}"/>
    <cellStyle name="0%" xfId="5" xr:uid="{00000000-0005-0000-0000-000032000000}"/>
    <cellStyle name="0.0%" xfId="6" xr:uid="{00000000-0005-0000-0000-000033000000}"/>
    <cellStyle name="0.00%" xfId="7" xr:uid="{00000000-0005-0000-0000-000034000000}"/>
    <cellStyle name="00" xfId="8" xr:uid="{00000000-0005-0000-0000-000035000000}"/>
    <cellStyle name="20% - Accent1 2" xfId="9" xr:uid="{00000000-0005-0000-0000-000036000000}"/>
    <cellStyle name="20% - Accent6 2" xfId="10" xr:uid="{00000000-0005-0000-0000-000037000000}"/>
    <cellStyle name="Accent1" xfId="11" xr:uid="{00000000-0005-0000-0000-000038000000}"/>
    <cellStyle name="Accent1 - 20%" xfId="12" xr:uid="{00000000-0005-0000-0000-000039000000}"/>
    <cellStyle name="Accent1 - 60%" xfId="13" xr:uid="{00000000-0005-0000-0000-00003A000000}"/>
    <cellStyle name="Accent1_RESULTS" xfId="14" xr:uid="{00000000-0005-0000-0000-00003B000000}"/>
    <cellStyle name="Accent2" xfId="15" xr:uid="{00000000-0005-0000-0000-00003C000000}"/>
    <cellStyle name="Accent2 - 20%" xfId="16" xr:uid="{00000000-0005-0000-0000-00003D000000}"/>
    <cellStyle name="Accent2 - 40%" xfId="17" xr:uid="{00000000-0005-0000-0000-00003E000000}"/>
    <cellStyle name="Accent2 - 60%" xfId="18" xr:uid="{00000000-0005-0000-0000-00003F000000}"/>
    <cellStyle name="Accent2 2" xfId="19" xr:uid="{00000000-0005-0000-0000-000040000000}"/>
    <cellStyle name="Accent2_RESULTS" xfId="20" xr:uid="{00000000-0005-0000-0000-000041000000}"/>
    <cellStyle name="Accent3 - 40%" xfId="21" xr:uid="{00000000-0005-0000-0000-000042000000}"/>
    <cellStyle name="Accent3 - 60%" xfId="22" xr:uid="{00000000-0005-0000-0000-000043000000}"/>
    <cellStyle name="Accent3_RESULTS" xfId="23" xr:uid="{00000000-0005-0000-0000-000044000000}"/>
    <cellStyle name="Accent4_RESULTS" xfId="24" xr:uid="{00000000-0005-0000-0000-000045000000}"/>
    <cellStyle name="Accent5" xfId="25" xr:uid="{00000000-0005-0000-0000-000046000000}"/>
    <cellStyle name="Accent5 - 20%" xfId="26" xr:uid="{00000000-0005-0000-0000-000047000000}"/>
    <cellStyle name="Accent5_RESULTS" xfId="27" xr:uid="{00000000-0005-0000-0000-000048000000}"/>
    <cellStyle name="Accent6" xfId="28" xr:uid="{00000000-0005-0000-0000-000049000000}"/>
    <cellStyle name="Accent6 - 40%" xfId="29" xr:uid="{00000000-0005-0000-0000-00004A000000}"/>
    <cellStyle name="Accent6 - 60%" xfId="30" xr:uid="{00000000-0005-0000-0000-00004B000000}"/>
    <cellStyle name="Accent6_RESULTS" xfId="31" xr:uid="{00000000-0005-0000-0000-00004C000000}"/>
    <cellStyle name="Bad 2" xfId="32" xr:uid="{00000000-0005-0000-0000-00004D000000}"/>
    <cellStyle name="Calc Currency (0)" xfId="33" xr:uid="{00000000-0005-0000-0000-00004E000000}"/>
    <cellStyle name="category" xfId="34" xr:uid="{00000000-0005-0000-0000-00004F000000}"/>
    <cellStyle name="cellStyleNum" xfId="35" xr:uid="{00000000-0005-0000-0000-000050000000}"/>
    <cellStyle name="cellStyleNum 2 10" xfId="36" xr:uid="{00000000-0005-0000-0000-000051000000}"/>
    <cellStyle name="cellStyleNum 2 2" xfId="37" xr:uid="{00000000-0005-0000-0000-000052000000}"/>
    <cellStyle name="cellStylePer" xfId="38" xr:uid="{00000000-0005-0000-0000-000053000000}"/>
    <cellStyle name="cellStylePer 2" xfId="39" xr:uid="{00000000-0005-0000-0000-000054000000}"/>
    <cellStyle name="Check Cell 2" xfId="40" xr:uid="{00000000-0005-0000-0000-000055000000}"/>
    <cellStyle name="Check Cell 2 2" xfId="41" xr:uid="{00000000-0005-0000-0000-000056000000}"/>
    <cellStyle name="Col Heads" xfId="42" xr:uid="{00000000-0005-0000-0000-000057000000}"/>
    <cellStyle name="Comma" xfId="43" xr:uid="{00000000-0005-0000-0000-000058000000}"/>
    <cellStyle name="Comma  - Style1" xfId="44" xr:uid="{00000000-0005-0000-0000-000059000000}"/>
    <cellStyle name="Comma [0] 2" xfId="45" xr:uid="{00000000-0005-0000-0000-00005A000000}"/>
    <cellStyle name="Comma [0] 2 10" xfId="46" xr:uid="{00000000-0005-0000-0000-00005B000000}"/>
    <cellStyle name="Comma [0] 2 11" xfId="47" xr:uid="{00000000-0005-0000-0000-00005C000000}"/>
    <cellStyle name="Comma [0] 2 2 3 2 2" xfId="48" xr:uid="{00000000-0005-0000-0000-00005D000000}"/>
    <cellStyle name="Comma [0] 2 7" xfId="49" xr:uid="{00000000-0005-0000-0000-00005E000000}"/>
    <cellStyle name="Comma [0] 3 2" xfId="50" xr:uid="{00000000-0005-0000-0000-00005F000000}"/>
    <cellStyle name="Comma [0] 3 2 2" xfId="51" xr:uid="{00000000-0005-0000-0000-000060000000}"/>
    <cellStyle name="Comma 10 4 3" xfId="52" xr:uid="{00000000-0005-0000-0000-000061000000}"/>
    <cellStyle name="Comma 12 2" xfId="53" xr:uid="{00000000-0005-0000-0000-000062000000}"/>
    <cellStyle name="Comma 12 6" xfId="54" xr:uid="{00000000-0005-0000-0000-000063000000}"/>
    <cellStyle name="Comma 13 6" xfId="55" xr:uid="{00000000-0005-0000-0000-000064000000}"/>
    <cellStyle name="Comma 14 6" xfId="56" xr:uid="{00000000-0005-0000-0000-000065000000}"/>
    <cellStyle name="Comma 16 7" xfId="57" xr:uid="{00000000-0005-0000-0000-000066000000}"/>
    <cellStyle name="Comma 2" xfId="58" xr:uid="{00000000-0005-0000-0000-000067000000}"/>
    <cellStyle name="Comma 2 2" xfId="59" xr:uid="{00000000-0005-0000-0000-000068000000}"/>
    <cellStyle name="Comma 2 2 2 2 2" xfId="60" xr:uid="{00000000-0005-0000-0000-000069000000}"/>
    <cellStyle name="Comma 2 2 2 2 2 2 2" xfId="61" xr:uid="{00000000-0005-0000-0000-00006A000000}"/>
    <cellStyle name="Comma 2 2 2 2_1" xfId="62" xr:uid="{00000000-0005-0000-0000-00006B000000}"/>
    <cellStyle name="Comma 2 3 2 2 2" xfId="63" xr:uid="{00000000-0005-0000-0000-00006C000000}"/>
    <cellStyle name="Comma 2 3 2 2 2 2" xfId="64" xr:uid="{00000000-0005-0000-0000-00006D000000}"/>
    <cellStyle name="Comma 2 3 2_1" xfId="65" xr:uid="{00000000-0005-0000-0000-00006E000000}"/>
    <cellStyle name="Comma 2 4 10" xfId="66" xr:uid="{00000000-0005-0000-0000-00006F000000}"/>
    <cellStyle name="Comma 2 5 4" xfId="67" xr:uid="{00000000-0005-0000-0000-000070000000}"/>
    <cellStyle name="Comma 2 5 4 2" xfId="68" xr:uid="{00000000-0005-0000-0000-000071000000}"/>
    <cellStyle name="Comma 2 6 4" xfId="69" xr:uid="{00000000-0005-0000-0000-000072000000}"/>
    <cellStyle name="Comma 2 7 4" xfId="70" xr:uid="{00000000-0005-0000-0000-000073000000}"/>
    <cellStyle name="Comma 3" xfId="71" xr:uid="{00000000-0005-0000-0000-000074000000}"/>
    <cellStyle name="Comma 3 3 6" xfId="72" xr:uid="{00000000-0005-0000-0000-000075000000}"/>
    <cellStyle name="Comma 39" xfId="73" xr:uid="{00000000-0005-0000-0000-000076000000}"/>
    <cellStyle name="Comma 4 4" xfId="74" xr:uid="{00000000-0005-0000-0000-000077000000}"/>
    <cellStyle name="Comma 4 4 4" xfId="75" xr:uid="{00000000-0005-0000-0000-000078000000}"/>
    <cellStyle name="Comma 42" xfId="76" xr:uid="{00000000-0005-0000-0000-000079000000}"/>
    <cellStyle name="Comma 5 3 3 3" xfId="77" xr:uid="{00000000-0005-0000-0000-00007A000000}"/>
    <cellStyle name="Comma 5 6" xfId="78" xr:uid="{00000000-0005-0000-0000-00007B000000}"/>
    <cellStyle name="Comma 58" xfId="79" xr:uid="{00000000-0005-0000-0000-00007C000000}"/>
    <cellStyle name="Comma 6" xfId="80" xr:uid="{00000000-0005-0000-0000-00007D000000}"/>
    <cellStyle name="Comma 6 6" xfId="81" xr:uid="{00000000-0005-0000-0000-00007E000000}"/>
    <cellStyle name="comma zerodec" xfId="82" xr:uid="{00000000-0005-0000-0000-00007F000000}"/>
    <cellStyle name="Comma,0" xfId="83" xr:uid="{00000000-0005-0000-0000-000080000000}"/>
    <cellStyle name="Comma,1" xfId="84" xr:uid="{00000000-0005-0000-0000-000081000000}"/>
    <cellStyle name="Comma,2" xfId="85" xr:uid="{00000000-0005-0000-0000-000082000000}"/>
    <cellStyle name="consultationStyle" xfId="86" xr:uid="{00000000-0005-0000-0000-000083000000}"/>
    <cellStyle name="Currency 2" xfId="87" xr:uid="{00000000-0005-0000-0000-000084000000}"/>
    <cellStyle name="Currency 2 2" xfId="88" xr:uid="{00000000-0005-0000-0000-000085000000}"/>
    <cellStyle name="Currency 4" xfId="89" xr:uid="{00000000-0005-0000-0000-000086000000}"/>
    <cellStyle name="Currency 4 2" xfId="90" xr:uid="{00000000-0005-0000-0000-000087000000}"/>
    <cellStyle name="Currency 6" xfId="91" xr:uid="{00000000-0005-0000-0000-000088000000}"/>
    <cellStyle name="Currency 9" xfId="92" xr:uid="{00000000-0005-0000-0000-000089000000}"/>
    <cellStyle name="Currency,0" xfId="93" xr:uid="{00000000-0005-0000-0000-00008A000000}"/>
    <cellStyle name="Currency,2" xfId="94" xr:uid="{00000000-0005-0000-0000-00008B000000}"/>
    <cellStyle name="Currency1" xfId="95" xr:uid="{00000000-0005-0000-0000-00008C000000}"/>
    <cellStyle name="dataStyle" xfId="96" xr:uid="{00000000-0005-0000-0000-00008D000000}"/>
    <cellStyle name="dataStyle 2 2 3" xfId="97" xr:uid="{00000000-0005-0000-0000-00008E000000}"/>
    <cellStyle name="Dollar (zero dec)" xfId="98" xr:uid="{00000000-0005-0000-0000-00008F000000}"/>
    <cellStyle name="entry" xfId="99" xr:uid="{00000000-0005-0000-0000-000090000000}"/>
    <cellStyle name="entry box" xfId="100" xr:uid="{00000000-0005-0000-0000-000091000000}"/>
    <cellStyle name="Euro" xfId="101" xr:uid="{00000000-0005-0000-0000-000092000000}"/>
    <cellStyle name="evenStyle" xfId="102" xr:uid="{00000000-0005-0000-0000-000093000000}"/>
    <cellStyle name="Good 2" xfId="103" xr:uid="{00000000-0005-0000-0000-000094000000}"/>
    <cellStyle name="Good 2 2" xfId="104" xr:uid="{00000000-0005-0000-0000-000095000000}"/>
    <cellStyle name="Good 3" xfId="105" xr:uid="{00000000-0005-0000-0000-000096000000}"/>
    <cellStyle name="Grey" xfId="106" xr:uid="{00000000-0005-0000-0000-000097000000}"/>
    <cellStyle name="HEADER" xfId="107" xr:uid="{00000000-0005-0000-0000-000098000000}"/>
    <cellStyle name="Header1" xfId="108" xr:uid="{00000000-0005-0000-0000-000099000000}"/>
    <cellStyle name="Header2" xfId="109" xr:uid="{00000000-0005-0000-0000-00009A000000}"/>
    <cellStyle name="headStyle" xfId="110" xr:uid="{00000000-0005-0000-0000-00009B000000}"/>
    <cellStyle name="Hyperlink" xfId="111" xr:uid="{00000000-0005-0000-0000-00009C000000}"/>
    <cellStyle name="Hyperlink 2" xfId="112" xr:uid="{00000000-0005-0000-0000-00009D000000}"/>
    <cellStyle name="Hyperlink 2 2" xfId="113" xr:uid="{00000000-0005-0000-0000-00009E000000}"/>
    <cellStyle name="Hyperlink 2 2 3" xfId="114" xr:uid="{00000000-0005-0000-0000-00009F000000}"/>
    <cellStyle name="Hyperlink 2 2 5" xfId="115" xr:uid="{00000000-0005-0000-0000-0000A0000000}"/>
    <cellStyle name="Hyperlink 2 4" xfId="116" xr:uid="{00000000-0005-0000-0000-0000A1000000}"/>
    <cellStyle name="Hyperlink 3" xfId="117" xr:uid="{00000000-0005-0000-0000-0000A2000000}"/>
    <cellStyle name="Hyperlink 3 2 2" xfId="118" xr:uid="{00000000-0005-0000-0000-0000A3000000}"/>
    <cellStyle name="Hyperlink 5" xfId="119" xr:uid="{00000000-0005-0000-0000-0000A4000000}"/>
    <cellStyle name="Input [yellow]" xfId="120" xr:uid="{00000000-0005-0000-0000-0000A5000000}"/>
    <cellStyle name="Model" xfId="121" xr:uid="{00000000-0005-0000-0000-0000A6000000}"/>
    <cellStyle name="Neutral 2" xfId="122" xr:uid="{00000000-0005-0000-0000-0000A7000000}"/>
    <cellStyle name="Normal - Style1" xfId="123" xr:uid="{00000000-0005-0000-0000-0000A8000000}"/>
    <cellStyle name="Normal 10" xfId="124" xr:uid="{00000000-0005-0000-0000-0000A9000000}"/>
    <cellStyle name="Normal 10 10" xfId="125" xr:uid="{00000000-0005-0000-0000-0000AA000000}"/>
    <cellStyle name="Normal 10 2 2 2" xfId="126" xr:uid="{00000000-0005-0000-0000-0000AB000000}"/>
    <cellStyle name="Normal 10 2 3" xfId="127" xr:uid="{00000000-0005-0000-0000-0000AC000000}"/>
    <cellStyle name="Normal 103" xfId="128" xr:uid="{00000000-0005-0000-0000-0000AD000000}"/>
    <cellStyle name="Normal 103 2" xfId="129" xr:uid="{00000000-0005-0000-0000-0000AE000000}"/>
    <cellStyle name="Normal 111 2" xfId="130" xr:uid="{00000000-0005-0000-0000-0000AF000000}"/>
    <cellStyle name="Normal 118" xfId="131" xr:uid="{00000000-0005-0000-0000-0000B0000000}"/>
    <cellStyle name="Normal 12" xfId="132" xr:uid="{00000000-0005-0000-0000-0000B1000000}"/>
    <cellStyle name="Normal 121 2" xfId="133" xr:uid="{00000000-0005-0000-0000-0000B2000000}"/>
    <cellStyle name="Normal 124" xfId="134" xr:uid="{00000000-0005-0000-0000-0000B3000000}"/>
    <cellStyle name="Normal 13" xfId="135" xr:uid="{00000000-0005-0000-0000-0000B4000000}"/>
    <cellStyle name="Normal 13 3" xfId="136" xr:uid="{00000000-0005-0000-0000-0000B5000000}"/>
    <cellStyle name="Normal 17" xfId="137" xr:uid="{00000000-0005-0000-0000-0000B6000000}"/>
    <cellStyle name="Normal 19" xfId="138" xr:uid="{00000000-0005-0000-0000-0000B7000000}"/>
    <cellStyle name="Normal 2" xfId="139" xr:uid="{00000000-0005-0000-0000-0000B8000000}"/>
    <cellStyle name="Normal 2 12" xfId="140" xr:uid="{00000000-0005-0000-0000-0000B9000000}"/>
    <cellStyle name="Normal 2 2" xfId="141" xr:uid="{00000000-0005-0000-0000-0000BA000000}"/>
    <cellStyle name="Normal 2 2 2" xfId="142" xr:uid="{00000000-0005-0000-0000-0000BB000000}"/>
    <cellStyle name="Normal 2 2 2 3" xfId="143" xr:uid="{00000000-0005-0000-0000-0000BC000000}"/>
    <cellStyle name="Normal 2 2 3" xfId="144" xr:uid="{00000000-0005-0000-0000-0000BD000000}"/>
    <cellStyle name="Normal 2 2 3 3" xfId="145" xr:uid="{00000000-0005-0000-0000-0000BE000000}"/>
    <cellStyle name="Normal 2 2 4" xfId="146" xr:uid="{00000000-0005-0000-0000-0000BF000000}"/>
    <cellStyle name="Normal 2 2 5" xfId="147" xr:uid="{00000000-0005-0000-0000-0000C0000000}"/>
    <cellStyle name="Normal 2 2_2" xfId="148" xr:uid="{00000000-0005-0000-0000-0000C1000000}"/>
    <cellStyle name="Normal 2 24" xfId="149" xr:uid="{00000000-0005-0000-0000-0000C2000000}"/>
    <cellStyle name="Normal 2 24 2" xfId="150" xr:uid="{00000000-0005-0000-0000-0000C3000000}"/>
    <cellStyle name="Normal 2 3" xfId="151" xr:uid="{00000000-0005-0000-0000-0000C4000000}"/>
    <cellStyle name="Normal 2 3 4 2" xfId="152" xr:uid="{00000000-0005-0000-0000-0000C5000000}"/>
    <cellStyle name="Normal 2 3 6" xfId="153" xr:uid="{00000000-0005-0000-0000-0000C6000000}"/>
    <cellStyle name="Normal 2 3 6 2" xfId="154" xr:uid="{00000000-0005-0000-0000-0000C7000000}"/>
    <cellStyle name="Normal 2 4 3" xfId="155" xr:uid="{00000000-0005-0000-0000-0000C8000000}"/>
    <cellStyle name="Normal 3 2 2 2 2" xfId="156" xr:uid="{00000000-0005-0000-0000-0000C9000000}"/>
    <cellStyle name="Normal 3 2 6" xfId="157" xr:uid="{00000000-0005-0000-0000-0000CA000000}"/>
    <cellStyle name="Normal 3 3 2" xfId="158" xr:uid="{00000000-0005-0000-0000-0000CB000000}"/>
    <cellStyle name="Normal 3 4 2" xfId="159" xr:uid="{00000000-0005-0000-0000-0000CC000000}"/>
    <cellStyle name="Normal 31" xfId="160" xr:uid="{00000000-0005-0000-0000-0000CD000000}"/>
    <cellStyle name="Normal 4 2 2" xfId="161" xr:uid="{00000000-0005-0000-0000-0000CE000000}"/>
    <cellStyle name="Normal 4 3 4" xfId="162" xr:uid="{00000000-0005-0000-0000-0000CF000000}"/>
    <cellStyle name="Normal 4 4 5" xfId="163" xr:uid="{00000000-0005-0000-0000-0000D0000000}"/>
    <cellStyle name="Normal 5 2 2" xfId="164" xr:uid="{00000000-0005-0000-0000-0000D1000000}"/>
    <cellStyle name="Normal 5 3" xfId="165" xr:uid="{00000000-0005-0000-0000-0000D2000000}"/>
    <cellStyle name="Normal 5 4" xfId="166" xr:uid="{00000000-0005-0000-0000-0000D3000000}"/>
    <cellStyle name="Normal 55" xfId="167" xr:uid="{00000000-0005-0000-0000-0000D4000000}"/>
    <cellStyle name="Normal 56" xfId="168" xr:uid="{00000000-0005-0000-0000-0000D5000000}"/>
    <cellStyle name="Normal 6 2 2" xfId="169" xr:uid="{00000000-0005-0000-0000-0000D6000000}"/>
    <cellStyle name="Normal 6_3" xfId="170" xr:uid="{00000000-0005-0000-0000-0000D7000000}"/>
    <cellStyle name="Normal 7 6" xfId="171" xr:uid="{00000000-0005-0000-0000-0000D8000000}"/>
    <cellStyle name="Normal 7 6 2" xfId="172" xr:uid="{00000000-0005-0000-0000-0000D9000000}"/>
    <cellStyle name="Normal_Sheet2" xfId="173" xr:uid="{00000000-0005-0000-0000-0000DA000000}"/>
    <cellStyle name="Normalny_Arkusz1" xfId="174" xr:uid="{00000000-0005-0000-0000-0000DB000000}"/>
    <cellStyle name="Percent [2]" xfId="175" xr:uid="{00000000-0005-0000-0000-0000DC000000}"/>
    <cellStyle name="Percent 2 2" xfId="176" xr:uid="{00000000-0005-0000-0000-0000DD000000}"/>
    <cellStyle name="Percent 2 2 5" xfId="177" xr:uid="{00000000-0005-0000-0000-0000DE000000}"/>
    <cellStyle name="Percent 2 3" xfId="178" xr:uid="{00000000-0005-0000-0000-0000DF000000}"/>
    <cellStyle name="Percent 2 3 3" xfId="179" xr:uid="{00000000-0005-0000-0000-0000E0000000}"/>
    <cellStyle name="Percent 2 3 5" xfId="180" xr:uid="{00000000-0005-0000-0000-0000E1000000}"/>
    <cellStyle name="Percent 2 4" xfId="181" xr:uid="{00000000-0005-0000-0000-0000E2000000}"/>
    <cellStyle name="Percent 3 3" xfId="182" xr:uid="{00000000-0005-0000-0000-0000E3000000}"/>
    <cellStyle name="Percent 4 4" xfId="183" xr:uid="{00000000-0005-0000-0000-0000E4000000}"/>
    <cellStyle name="Prefilled" xfId="184" xr:uid="{00000000-0005-0000-0000-0000E5000000}"/>
    <cellStyle name="price" xfId="185" xr:uid="{00000000-0005-0000-0000-0000E6000000}"/>
    <cellStyle name="revised" xfId="186" xr:uid="{00000000-0005-0000-0000-0000E7000000}"/>
    <cellStyle name="row_def_array" xfId="187" xr:uid="{00000000-0005-0000-0000-0000E8000000}"/>
    <cellStyle name="SAPBEXaggData" xfId="188" xr:uid="{00000000-0005-0000-0000-0000E9000000}"/>
    <cellStyle name="SAPBEXaggDataEmph" xfId="189" xr:uid="{00000000-0005-0000-0000-0000EA000000}"/>
    <cellStyle name="SAPBEXaggItem" xfId="190" xr:uid="{00000000-0005-0000-0000-0000EB000000}"/>
    <cellStyle name="SAPBEXaggItemX" xfId="191" xr:uid="{00000000-0005-0000-0000-0000EC000000}"/>
    <cellStyle name="SAPBEXchaText" xfId="192" xr:uid="{00000000-0005-0000-0000-0000ED000000}"/>
    <cellStyle name="SAPBEXexcBad7" xfId="193" xr:uid="{00000000-0005-0000-0000-0000EE000000}"/>
    <cellStyle name="SAPBEXexcBad8" xfId="194" xr:uid="{00000000-0005-0000-0000-0000EF000000}"/>
    <cellStyle name="SAPBEXexcBad9" xfId="195" xr:uid="{00000000-0005-0000-0000-0000F0000000}"/>
    <cellStyle name="SAPBEXexcCritical4" xfId="196" xr:uid="{00000000-0005-0000-0000-0000F1000000}"/>
    <cellStyle name="SAPBEXexcCritical5" xfId="197" xr:uid="{00000000-0005-0000-0000-0000F2000000}"/>
    <cellStyle name="SAPBEXexcCritical6" xfId="198" xr:uid="{00000000-0005-0000-0000-0000F3000000}"/>
    <cellStyle name="SAPBEXexcGood1" xfId="199" xr:uid="{00000000-0005-0000-0000-0000F4000000}"/>
    <cellStyle name="SAPBEXexcGood2" xfId="200" xr:uid="{00000000-0005-0000-0000-0000F5000000}"/>
    <cellStyle name="SAPBEXexcGood3" xfId="201" xr:uid="{00000000-0005-0000-0000-0000F6000000}"/>
    <cellStyle name="SAPBEXfilterDrill" xfId="202" xr:uid="{00000000-0005-0000-0000-0000F7000000}"/>
    <cellStyle name="SAPBEXfilterItem" xfId="203" xr:uid="{00000000-0005-0000-0000-0000F8000000}"/>
    <cellStyle name="SAPBEXfilterText" xfId="204" xr:uid="{00000000-0005-0000-0000-0000F9000000}"/>
    <cellStyle name="SAPBEXformats" xfId="205" xr:uid="{00000000-0005-0000-0000-0000FA000000}"/>
    <cellStyle name="SAPBEXheaderText" xfId="206" xr:uid="{00000000-0005-0000-0000-0000FB000000}"/>
    <cellStyle name="SAPBEXHLevel0" xfId="207" xr:uid="{00000000-0005-0000-0000-0000FC000000}"/>
    <cellStyle name="SAPBEXHLevel0X" xfId="208" xr:uid="{00000000-0005-0000-0000-0000FD000000}"/>
    <cellStyle name="SAPBEXHLevel1" xfId="209" xr:uid="{00000000-0005-0000-0000-0000FE000000}"/>
    <cellStyle name="SAPBEXHLevel1X" xfId="210" xr:uid="{00000000-0005-0000-0000-0000FF000000}"/>
    <cellStyle name="SAPBEXHLevel2" xfId="211" xr:uid="{00000000-0005-0000-0000-000000010000}"/>
    <cellStyle name="SAPBEXHLevel2X" xfId="212" xr:uid="{00000000-0005-0000-0000-000001010000}"/>
    <cellStyle name="SAPBEXHLevel3" xfId="213" xr:uid="{00000000-0005-0000-0000-000002010000}"/>
    <cellStyle name="SAPBEXHLevel3X" xfId="214" xr:uid="{00000000-0005-0000-0000-000003010000}"/>
    <cellStyle name="SAPBEXresData" xfId="215" xr:uid="{00000000-0005-0000-0000-000004010000}"/>
    <cellStyle name="SAPBEXresDataEmph" xfId="216" xr:uid="{00000000-0005-0000-0000-000005010000}"/>
    <cellStyle name="SAPBEXresItem" xfId="217" xr:uid="{00000000-0005-0000-0000-000006010000}"/>
    <cellStyle name="SAPBEXresItemX" xfId="218" xr:uid="{00000000-0005-0000-0000-000007010000}"/>
    <cellStyle name="SAPBEXstdData" xfId="219" xr:uid="{00000000-0005-0000-0000-000008010000}"/>
    <cellStyle name="SAPBEXstdDataEmph" xfId="220" xr:uid="{00000000-0005-0000-0000-000009010000}"/>
    <cellStyle name="SAPBEXstdItem" xfId="221" xr:uid="{00000000-0005-0000-0000-00000A010000}"/>
    <cellStyle name="SAPBEXstdItemX" xfId="222" xr:uid="{00000000-0005-0000-0000-00000B010000}"/>
    <cellStyle name="SAPBEXtitle" xfId="223" xr:uid="{00000000-0005-0000-0000-00000C010000}"/>
    <cellStyle name="SAPBEXundefined" xfId="224" xr:uid="{00000000-0005-0000-0000-00000D010000}"/>
    <cellStyle name="section" xfId="225" xr:uid="{00000000-0005-0000-0000-00000E010000}"/>
    <cellStyle name="SOR" xfId="226" xr:uid="{00000000-0005-0000-0000-00000F010000}"/>
    <cellStyle name="SOR 2" xfId="227" xr:uid="{00000000-0005-0000-0000-000010010000}"/>
    <cellStyle name="Style 1 5 4" xfId="228" xr:uid="{00000000-0005-0000-0000-000011010000}"/>
    <cellStyle name="subhead" xfId="229" xr:uid="{00000000-0005-0000-0000-000012010000}"/>
    <cellStyle name="title" xfId="230" xr:uid="{00000000-0005-0000-0000-000013010000}"/>
    <cellStyle name="Tusental (0)_pldt" xfId="231" xr:uid="{00000000-0005-0000-0000-000014010000}"/>
    <cellStyle name="Tusental_pldt" xfId="232" xr:uid="{00000000-0005-0000-0000-000015010000}"/>
    <cellStyle name="Valuta (0)_pldt" xfId="233" xr:uid="{00000000-0005-0000-0000-000016010000}"/>
    <cellStyle name="Valuta_pldt" xfId="234" xr:uid="{00000000-0005-0000-0000-000017010000}"/>
    <cellStyle name="パーセント_laroux" xfId="235" xr:uid="{00000000-0005-0000-0000-000018010000}"/>
    <cellStyle name="_laroux" xfId="236" xr:uid="{00000000-0005-0000-0000-000019010000}"/>
    <cellStyle name="だ[0]_PLDT" xfId="237" xr:uid="{00000000-0005-0000-0000-00001A010000}"/>
    <cellStyle name="だ_PLDT" xfId="238" xr:uid="{00000000-0005-0000-0000-00001B010000}"/>
    <cellStyle name="だ_laroux" xfId="239" xr:uid="{00000000-0005-0000-0000-00001C010000}"/>
    <cellStyle name="百分比" xfId="2" builtinId="5"/>
    <cellStyle name="百分比 2 2" xfId="240" xr:uid="{00000000-0005-0000-0000-00001D010000}"/>
    <cellStyle name="百分比 3 2 2" xfId="241" xr:uid="{00000000-0005-0000-0000-00001E010000}"/>
    <cellStyle name="捠壿 [0.00]_PRODUCT DETAIL Q1" xfId="242" xr:uid="{00000000-0005-0000-0000-00001F010000}"/>
    <cellStyle name="标题 5" xfId="243" xr:uid="{00000000-0005-0000-0000-000020010000}"/>
    <cellStyle name="標準_１１月価格表" xfId="244" xr:uid="{00000000-0005-0000-0000-000021010000}"/>
    <cellStyle name="表标题" xfId="245" xr:uid="{00000000-0005-0000-0000-000022010000}"/>
    <cellStyle name="差_10存货" xfId="246" xr:uid="{00000000-0005-0000-0000-000023010000}"/>
    <cellStyle name="差_19-无形资产（空白模板）" xfId="247" xr:uid="{00000000-0005-0000-0000-000024010000}"/>
    <cellStyle name="差_3-2 进一步审计程序-采购与付款循环" xfId="248" xr:uid="{00000000-0005-0000-0000-000025010000}"/>
    <cellStyle name="差_dxn底稿目录" xfId="249" xr:uid="{00000000-0005-0000-0000-000026010000}"/>
    <cellStyle name="常规" xfId="0" builtinId="0"/>
    <cellStyle name="常规 10 2" xfId="250" xr:uid="{00000000-0005-0000-0000-000027010000}"/>
    <cellStyle name="常规 10 5" xfId="251" xr:uid="{00000000-0005-0000-0000-000028010000}"/>
    <cellStyle name="常规 11" xfId="252" xr:uid="{00000000-0005-0000-0000-000029010000}"/>
    <cellStyle name="常规 14" xfId="253" xr:uid="{00000000-0005-0000-0000-00002A010000}"/>
    <cellStyle name="常规 15" xfId="254" xr:uid="{00000000-0005-0000-0000-00002B010000}"/>
    <cellStyle name="常规 2- " xfId="255" xr:uid="{00000000-0005-0000-0000-00002C010000}"/>
    <cellStyle name="常规 2 2 2 2 4" xfId="256" xr:uid="{00000000-0005-0000-0000-00002D010000}"/>
    <cellStyle name="常规 2 2 3" xfId="257" xr:uid="{00000000-0005-0000-0000-00002E010000}"/>
    <cellStyle name="常规 2 3 2" xfId="258" xr:uid="{00000000-0005-0000-0000-00002F010000}"/>
    <cellStyle name="常规 2 3 4" xfId="259" xr:uid="{00000000-0005-0000-0000-000030010000}"/>
    <cellStyle name="常规 2 4" xfId="260" xr:uid="{00000000-0005-0000-0000-000031010000}"/>
    <cellStyle name="常规 2 4 3" xfId="261" xr:uid="{00000000-0005-0000-0000-000032010000}"/>
    <cellStyle name="常规 2 6" xfId="262" xr:uid="{00000000-0005-0000-0000-000033010000}"/>
    <cellStyle name="常规 2 9" xfId="263" xr:uid="{00000000-0005-0000-0000-000034010000}"/>
    <cellStyle name="常规 3" xfId="264" xr:uid="{00000000-0005-0000-0000-000035010000}"/>
    <cellStyle name="常规 3 2 2 3" xfId="265" xr:uid="{00000000-0005-0000-0000-000036010000}"/>
    <cellStyle name="常规 3_1" xfId="266" xr:uid="{00000000-0005-0000-0000-000037010000}"/>
    <cellStyle name="常规_Book1" xfId="267" xr:uid="{00000000-0005-0000-0000-000038010000}"/>
    <cellStyle name="超级链接_综合类底稿表格" xfId="268" xr:uid="{00000000-0005-0000-0000-000039010000}"/>
    <cellStyle name="超链接" xfId="3" builtinId="8"/>
    <cellStyle name="超链接 2 6" xfId="269" xr:uid="{00000000-0005-0000-0000-00003A010000}"/>
    <cellStyle name="超链接 3 3" xfId="270" xr:uid="{00000000-0005-0000-0000-00003B010000}"/>
    <cellStyle name="超链接 5" xfId="271" xr:uid="{00000000-0005-0000-0000-00003C010000}"/>
    <cellStyle name="好_10存货" xfId="272" xr:uid="{00000000-0005-0000-0000-00003D010000}"/>
    <cellStyle name="好_19-无形资产（空白模板）" xfId="273" xr:uid="{00000000-0005-0000-0000-00003E010000}"/>
    <cellStyle name="好_1财务费用" xfId="274" xr:uid="{00000000-0005-0000-0000-00003F010000}"/>
    <cellStyle name="好_3-2 进一步审计程序-采购与付款循环" xfId="275" xr:uid="{00000000-0005-0000-0000-000040010000}"/>
    <cellStyle name="好_大信底稿目录" xfId="276" xr:uid="{00000000-0005-0000-0000-000041010000}"/>
    <cellStyle name="桁区切り [0.00]_１１月価格表" xfId="277" xr:uid="{00000000-0005-0000-0000-000042010000}"/>
    <cellStyle name="货币 2" xfId="278" xr:uid="{00000000-0005-0000-0000-000043010000}"/>
    <cellStyle name="貨幣 [0]_SGV" xfId="279" xr:uid="{00000000-0005-0000-0000-000044010000}"/>
    <cellStyle name="貨幣_SGV" xfId="280" xr:uid="{00000000-0005-0000-0000-000045010000}"/>
    <cellStyle name="霓付 [0]_1202" xfId="281" xr:uid="{00000000-0005-0000-0000-000046010000}"/>
    <cellStyle name="霓付_1202" xfId="282" xr:uid="{00000000-0005-0000-0000-000047010000}"/>
    <cellStyle name="烹拳 [0]_1202" xfId="283" xr:uid="{00000000-0005-0000-0000-000048010000}"/>
    <cellStyle name="烹拳_1202" xfId="284" xr:uid="{00000000-0005-0000-0000-000049010000}"/>
    <cellStyle name="砯刽 [0]_PLDT" xfId="285" xr:uid="{00000000-0005-0000-0000-00004A010000}"/>
    <cellStyle name="砯刽_PLDT" xfId="286" xr:uid="{00000000-0005-0000-0000-00004B010000}"/>
    <cellStyle name="普通_ 白土" xfId="287" xr:uid="{00000000-0005-0000-0000-00004C010000}"/>
    <cellStyle name="千分位_ 白土" xfId="288" xr:uid="{00000000-0005-0000-0000-00004D010000}"/>
    <cellStyle name="千位分隔" xfId="1" builtinId="3"/>
    <cellStyle name="千位分隔 10" xfId="289" xr:uid="{00000000-0005-0000-0000-00004E010000}"/>
    <cellStyle name="千位分隔 10 3" xfId="290" xr:uid="{00000000-0005-0000-0000-00004F010000}"/>
    <cellStyle name="千位分隔 13" xfId="291" xr:uid="{00000000-0005-0000-0000-000050010000}"/>
    <cellStyle name="千位分隔 15" xfId="292" xr:uid="{00000000-0005-0000-0000-000051010000}"/>
    <cellStyle name="千位分隔 2 2" xfId="293" xr:uid="{00000000-0005-0000-0000-000052010000}"/>
    <cellStyle name="千位分隔 2 2 2" xfId="294" xr:uid="{00000000-0005-0000-0000-000053010000}"/>
    <cellStyle name="千位分隔 2 2 2 2" xfId="295" xr:uid="{00000000-0005-0000-0000-000054010000}"/>
    <cellStyle name="千位分隔 2 2 2 2 2" xfId="296" xr:uid="{00000000-0005-0000-0000-000055010000}"/>
    <cellStyle name="千位分隔 2 2 2 2 3" xfId="297" xr:uid="{00000000-0005-0000-0000-000056010000}"/>
    <cellStyle name="千位分隔 2 2 5 3" xfId="298" xr:uid="{00000000-0005-0000-0000-000057010000}"/>
    <cellStyle name="千位分隔 2_1" xfId="299" xr:uid="{00000000-0005-0000-0000-000058010000}"/>
    <cellStyle name="千位分隔 3" xfId="300" xr:uid="{00000000-0005-0000-0000-000059010000}"/>
    <cellStyle name="千位分隔 3 2 2 2" xfId="301" xr:uid="{00000000-0005-0000-0000-00005A010000}"/>
    <cellStyle name="千位分隔 6" xfId="302" xr:uid="{00000000-0005-0000-0000-00005B010000}"/>
    <cellStyle name="钎霖_(沥焊何巩)岿喊牢盔拌裙" xfId="303" xr:uid="{00000000-0005-0000-0000-00005C010000}"/>
    <cellStyle name="强调 1" xfId="304" xr:uid="{00000000-0005-0000-0000-00005D010000}"/>
    <cellStyle name="强调 2" xfId="305" xr:uid="{00000000-0005-0000-0000-00005E010000}"/>
    <cellStyle name="强调 3" xfId="306" xr:uid="{00000000-0005-0000-0000-00005F010000}"/>
    <cellStyle name="通貨_１１月価格表" xfId="307" xr:uid="{00000000-0005-0000-0000-000060010000}"/>
    <cellStyle name="昗弨_BOOKSHIP" xfId="308" xr:uid="{00000000-0005-0000-0000-000061010000}"/>
    <cellStyle name="寘嬫愗傝 [0.00]_PRODUCT DETAIL Q1" xfId="309" xr:uid="{00000000-0005-0000-0000-000062010000}"/>
    <cellStyle name="寘嬫愗傝_PRODUCT DETAIL Q1" xfId="310" xr:uid="{00000000-0005-0000-0000-000063010000}"/>
    <cellStyle name="资产" xfId="311" xr:uid="{00000000-0005-0000-0000-000064010000}"/>
    <cellStyle name="콤마 [0]_BOILER-CO1" xfId="312" xr:uid="{00000000-0005-0000-0000-000065010000}"/>
    <cellStyle name="콤마_BOILER-CO1" xfId="313" xr:uid="{00000000-0005-0000-0000-000066010000}"/>
    <cellStyle name="통화 [0]_BOILER-CO1" xfId="314" xr:uid="{00000000-0005-0000-0000-000067010000}"/>
    <cellStyle name="표준_0N-HANDLING " xfId="315" xr:uid="{00000000-0005-0000-0000-000068010000}"/>
  </cellStyles>
  <dxfs count="57">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patternType="solid">
          <bgColor theme="0" tint="-0.149876400036622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patternType="solid">
          <bgColor theme="0" tint="-0.1490218817712943"/>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BE2F6BDA-1813-4070-AA6E-3C1804DC7053}">
      <tableStyleElement type="wholeTable" dxfId="56"/>
      <tableStyleElement type="totalRow" dxfId="55"/>
      <tableStyleElement type="firstRowStripe" dxfId="54"/>
      <tableStyleElement type="secondRowStripe" dxfId="53"/>
      <tableStyleElement type="firstColumnStripe" dxfId="52"/>
      <tableStyleElement type="secondColumnStripe" dxfId="51"/>
    </tableStyle>
    <tableStyle name="MySqlDefault" table="0" count="0" xr9:uid="{938DA596-F188-4F48-8807-72D49D3A8C1E}"/>
    <tableStyle name="Table Style 1 2" pivot="0" count="6" xr9:uid="{8F9B64DC-7759-4CAE-9321-4BCAEF3E6648}">
      <tableStyleElement type="wholeTable" dxfId="50"/>
      <tableStyleElement type="totalRow" dxfId="49"/>
      <tableStyleElement type="firstRowStripe" dxfId="48"/>
      <tableStyleElement type="secondRowStripe" dxfId="47"/>
      <tableStyleElement type="firstColumnStripe" dxfId="46"/>
      <tableStyleElement type="secondColumnStripe" dxfId="45"/>
    </tableStyle>
  </tableStyles>
  <colors>
    <mruColors>
      <color rgb="FFFFFFCC"/>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7"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2,untested%20population%20is%20needed."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E6%89%A7%E8%A1%8C%E8%AF%A6%E7%BB%86%E6%B5%8B%E8%AF%95%EF%BC%9B" TargetMode="External"/><Relationship Id="rId4"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K1_%E5%9B%BA%E5%AE%9A%E8%B5%84%E4%BA%A7%0A%E5%87%8F%E5%80%BC%EF%BC%88%E5%8C%85%E5%90%AB%E9%95%BF%E6%9C%9F%E8%B5%84%E4%BA%A7%E5%87%8F%E5%80%BC%E5%92%8C%E5%95%86%E8%AA%89%E5%87%8F%E5%80%BC%EF%BC%89%E6%A0%87%E5%87%86%E5%BA%95%E7%A8%BF"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E6%97%A0%E4%BB%B7%E5%80%BC%E5%B7%A5%E4%BD%9C%E3%80%82" TargetMode="External"/><Relationship Id="rId1" Type="http://schemas.openxmlformats.org/officeDocument/2006/relationships/image" Target="../media/image2.jpeg"/><Relationship Id="rId4"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4,%E5%AE%9E%E9%99%85%E4%BD%BF%E7%94%A8%E9%83%A8%E9%97%A8%E7%AD%89%E3%80%82"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5,%E5%8F%82%E8%80%83%E4%B8%8B%E6%96%B9%E9%93%BE%E6%8E%A5%EF%BC%9A"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xdr:col>
      <xdr:colOff>1228725</xdr:colOff>
      <xdr:row>11</xdr:row>
      <xdr:rowOff>142875</xdr:rowOff>
    </xdr:from>
    <xdr:to>
      <xdr:col>4</xdr:col>
      <xdr:colOff>1419225</xdr:colOff>
      <xdr:row>11</xdr:row>
      <xdr:rowOff>342900</xdr:rowOff>
    </xdr:to>
    <xdr:pic>
      <xdr:nvPicPr>
        <xdr:cNvPr id="7" name="图片 16">
          <a:hlinkClick xmlns:r="http://schemas.openxmlformats.org/officeDocument/2006/relationships" r:id="rId1"/>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4867275" y="3985260"/>
          <a:ext cx="98425" cy="200025"/>
        </a:xfrm>
        <a:prstGeom prst="rect">
          <a:avLst/>
        </a:prstGeom>
      </xdr:spPr>
    </xdr:pic>
    <xdr:clientData/>
  </xdr:twoCellAnchor>
  <xdr:twoCellAnchor>
    <xdr:from>
      <xdr:col>4</xdr:col>
      <xdr:colOff>1209675</xdr:colOff>
      <xdr:row>15</xdr:row>
      <xdr:rowOff>133350</xdr:rowOff>
    </xdr:from>
    <xdr:to>
      <xdr:col>4</xdr:col>
      <xdr:colOff>1409700</xdr:colOff>
      <xdr:row>15</xdr:row>
      <xdr:rowOff>333375</xdr:rowOff>
    </xdr:to>
    <xdr:pic>
      <xdr:nvPicPr>
        <xdr:cNvPr id="14" name="图片 16">
          <a:hlinkClick xmlns:r="http://schemas.openxmlformats.org/officeDocument/2006/relationships" r:id="rId1"/>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xfrm>
          <a:off x="4848225" y="5509260"/>
          <a:ext cx="117475" cy="200025"/>
        </a:xfrm>
        <a:prstGeom prst="rect">
          <a:avLst/>
        </a:prstGeom>
      </xdr:spPr>
    </xdr:pic>
    <xdr:clientData/>
  </xdr:twoCellAnchor>
  <xdr:twoCellAnchor>
    <xdr:from>
      <xdr:col>6</xdr:col>
      <xdr:colOff>671286</xdr:colOff>
      <xdr:row>4</xdr:row>
      <xdr:rowOff>9071</xdr:rowOff>
    </xdr:from>
    <xdr:to>
      <xdr:col>6</xdr:col>
      <xdr:colOff>901004</xdr:colOff>
      <xdr:row>4</xdr:row>
      <xdr:rowOff>187778</xdr:rowOff>
    </xdr:to>
    <xdr:pic>
      <xdr:nvPicPr>
        <xdr:cNvPr id="21" name="图片 16">
          <a:hlinkClick xmlns:r="http://schemas.openxmlformats.org/officeDocument/2006/relationships" r:id="rId3"/>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stretch>
          <a:fillRect/>
        </a:stretch>
      </xdr:blipFill>
      <xdr:spPr>
        <a:xfrm>
          <a:off x="7427595" y="815340"/>
          <a:ext cx="229235" cy="178435"/>
        </a:xfrm>
        <a:prstGeom prst="rect">
          <a:avLst/>
        </a:prstGeom>
      </xdr:spPr>
    </xdr:pic>
    <xdr:clientData/>
  </xdr:twoCellAnchor>
  <xdr:twoCellAnchor>
    <xdr:from>
      <xdr:col>1</xdr:col>
      <xdr:colOff>695722</xdr:colOff>
      <xdr:row>4</xdr:row>
      <xdr:rowOff>22679</xdr:rowOff>
    </xdr:from>
    <xdr:to>
      <xdr:col>1</xdr:col>
      <xdr:colOff>920749</xdr:colOff>
      <xdr:row>5</xdr:row>
      <xdr:rowOff>13467</xdr:rowOff>
    </xdr:to>
    <xdr:pic>
      <xdr:nvPicPr>
        <xdr:cNvPr id="18" name="图片 16">
          <a:hlinkClick xmlns:r="http://schemas.openxmlformats.org/officeDocument/2006/relationships" r:id="rId4"/>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a:stretch>
          <a:fillRect/>
        </a:stretch>
      </xdr:blipFill>
      <xdr:spPr>
        <a:xfrm>
          <a:off x="879475" y="828675"/>
          <a:ext cx="219075" cy="181610"/>
        </a:xfrm>
        <a:prstGeom prst="rect">
          <a:avLst/>
        </a:prstGeom>
      </xdr:spPr>
    </xdr:pic>
    <xdr:clientData/>
  </xdr:twoCellAnchor>
  <xdr:twoCellAnchor>
    <xdr:from>
      <xdr:col>4</xdr:col>
      <xdr:colOff>1197429</xdr:colOff>
      <xdr:row>15</xdr:row>
      <xdr:rowOff>353786</xdr:rowOff>
    </xdr:from>
    <xdr:to>
      <xdr:col>4</xdr:col>
      <xdr:colOff>1415148</xdr:colOff>
      <xdr:row>17</xdr:row>
      <xdr:rowOff>2</xdr:rowOff>
    </xdr:to>
    <xdr:pic>
      <xdr:nvPicPr>
        <xdr:cNvPr id="5" name="图片 16">
          <a:hlinkClick xmlns:r="http://schemas.openxmlformats.org/officeDocument/2006/relationships" r:id="rId5"/>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4835525" y="5729605"/>
          <a:ext cx="130175" cy="208280"/>
        </a:xfrm>
        <a:prstGeom prst="rect">
          <a:avLst/>
        </a:prstGeom>
      </xdr:spPr>
    </xdr:pic>
    <xdr:clientData/>
  </xdr:twoCellAnchor>
  <xdr:oneCellAnchor>
    <xdr:from>
      <xdr:col>8</xdr:col>
      <xdr:colOff>1306285</xdr:colOff>
      <xdr:row>3</xdr:row>
      <xdr:rowOff>117929</xdr:rowOff>
    </xdr:from>
    <xdr:ext cx="205343" cy="199303"/>
    <xdr:pic>
      <xdr:nvPicPr>
        <xdr:cNvPr id="23" name="图片 9">
          <a:hlinkClick xmlns:r="http://schemas.openxmlformats.org/officeDocument/2006/relationships" r:id="rId6"/>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
        <a:stretch>
          <a:fillRect/>
        </a:stretch>
      </xdr:blipFill>
      <xdr:spPr>
        <a:xfrm>
          <a:off x="10119995" y="796925"/>
          <a:ext cx="205105" cy="199390"/>
        </a:xfrm>
        <a:prstGeom prst="rect">
          <a:avLst/>
        </a:prstGeom>
      </xdr:spPr>
    </xdr:pic>
    <xdr:clientData/>
  </xdr:oneCellAnchor>
  <xdr:oneCellAnchor>
    <xdr:from>
      <xdr:col>4</xdr:col>
      <xdr:colOff>1217521</xdr:colOff>
      <xdr:row>17</xdr:row>
      <xdr:rowOff>232833</xdr:rowOff>
    </xdr:from>
    <xdr:ext cx="211230" cy="190501"/>
    <xdr:pic>
      <xdr:nvPicPr>
        <xdr:cNvPr id="2" name="Picture 1">
          <a:hlinkClick xmlns:r="http://schemas.openxmlformats.org/officeDocument/2006/relationships" r:id="rId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4855845" y="6170295"/>
          <a:ext cx="211455" cy="1905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61633</xdr:colOff>
      <xdr:row>0</xdr:row>
      <xdr:rowOff>15128</xdr:rowOff>
    </xdr:from>
    <xdr:to>
      <xdr:col>1</xdr:col>
      <xdr:colOff>552684</xdr:colOff>
      <xdr:row>0</xdr:row>
      <xdr:rowOff>532834</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245745" y="14605"/>
          <a:ext cx="490855" cy="5181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1</xdr:col>
      <xdr:colOff>716376</xdr:colOff>
      <xdr:row>0</xdr:row>
      <xdr:rowOff>585107</xdr:rowOff>
    </xdr:to>
    <xdr:pic>
      <xdr:nvPicPr>
        <xdr:cNvPr id="4" name="Picture 5">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03200" y="0"/>
          <a:ext cx="697230" cy="584835"/>
        </a:xfrm>
        <a:prstGeom prst="rect">
          <a:avLst/>
        </a:prstGeom>
      </xdr:spPr>
    </xdr:pic>
    <xdr:clientData/>
  </xdr:twoCellAnchor>
  <xdr:twoCellAnchor>
    <xdr:from>
      <xdr:col>1</xdr:col>
      <xdr:colOff>314326</xdr:colOff>
      <xdr:row>8</xdr:row>
      <xdr:rowOff>77562</xdr:rowOff>
    </xdr:from>
    <xdr:to>
      <xdr:col>1</xdr:col>
      <xdr:colOff>622533</xdr:colOff>
      <xdr:row>8</xdr:row>
      <xdr:rowOff>367394</xdr:rowOff>
    </xdr:to>
    <xdr:pic>
      <xdr:nvPicPr>
        <xdr:cNvPr id="7" name="图片 3">
          <a:hlinkClick xmlns:r="http://schemas.openxmlformats.org/officeDocument/2006/relationships" r:id="rId2"/>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stretch>
          <a:fillRect/>
        </a:stretch>
      </xdr:blipFill>
      <xdr:spPr>
        <a:xfrm>
          <a:off x="498475" y="2181225"/>
          <a:ext cx="307975" cy="289560"/>
        </a:xfrm>
        <a:prstGeom prst="rect">
          <a:avLst/>
        </a:prstGeom>
      </xdr:spPr>
    </xdr:pic>
    <xdr:clientData/>
  </xdr:twoCellAnchor>
  <xdr:twoCellAnchor>
    <xdr:from>
      <xdr:col>4</xdr:col>
      <xdr:colOff>579504</xdr:colOff>
      <xdr:row>72</xdr:row>
      <xdr:rowOff>179294</xdr:rowOff>
    </xdr:from>
    <xdr:to>
      <xdr:col>4</xdr:col>
      <xdr:colOff>852519</xdr:colOff>
      <xdr:row>74</xdr:row>
      <xdr:rowOff>22411</xdr:rowOff>
    </xdr:to>
    <xdr:pic>
      <xdr:nvPicPr>
        <xdr:cNvPr id="9" name="图片 19">
          <a:hlinkClick xmlns:r="http://schemas.openxmlformats.org/officeDocument/2006/relationships" r:id="rId4"/>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4452620" y="14197330"/>
          <a:ext cx="273050" cy="211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812801</xdr:colOff>
      <xdr:row>1</xdr:row>
      <xdr:rowOff>13608</xdr:rowOff>
    </xdr:from>
    <xdr:to>
      <xdr:col>16</xdr:col>
      <xdr:colOff>1091376</xdr:colOff>
      <xdr:row>2</xdr:row>
      <xdr:rowOff>31750</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17418050" y="140335"/>
          <a:ext cx="27813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117024</xdr:colOff>
      <xdr:row>0</xdr:row>
      <xdr:rowOff>82096</xdr:rowOff>
    </xdr:from>
    <xdr:to>
      <xdr:col>13</xdr:col>
      <xdr:colOff>368464</xdr:colOff>
      <xdr:row>1</xdr:row>
      <xdr:rowOff>205468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tretch>
          <a:fillRect/>
        </a:stretch>
      </xdr:blipFill>
      <xdr:spPr>
        <a:xfrm>
          <a:off x="12543790" y="81915"/>
          <a:ext cx="251460" cy="2501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136072</xdr:colOff>
      <xdr:row>0</xdr:row>
      <xdr:rowOff>68036</xdr:rowOff>
    </xdr:from>
    <xdr:to>
      <xdr:col>1</xdr:col>
      <xdr:colOff>627123</xdr:colOff>
      <xdr:row>0</xdr:row>
      <xdr:rowOff>585742</xdr:rowOff>
    </xdr:to>
    <xdr:pic>
      <xdr:nvPicPr>
        <xdr:cNvPr id="2" name="Picture 4">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320040" y="67945"/>
          <a:ext cx="490855" cy="517525"/>
        </a:xfrm>
        <a:prstGeom prst="rect">
          <a:avLst/>
        </a:prstGeom>
      </xdr:spPr>
    </xdr:pic>
    <xdr:clientData/>
  </xdr:twoCellAnchor>
  <xdr:oneCellAnchor>
    <xdr:from>
      <xdr:col>5</xdr:col>
      <xdr:colOff>904119</xdr:colOff>
      <xdr:row>5</xdr:row>
      <xdr:rowOff>145899</xdr:rowOff>
    </xdr:from>
    <xdr:ext cx="243417" cy="219529"/>
    <xdr:pic>
      <xdr:nvPicPr>
        <xdr:cNvPr id="3" name="Picture 1">
          <a:hlinkClick xmlns:r="http://schemas.openxmlformats.org/officeDocument/2006/relationships" r:id="rId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3"/>
        <a:stretch>
          <a:fillRect/>
        </a:stretch>
      </xdr:blipFill>
      <xdr:spPr>
        <a:xfrm>
          <a:off x="7412355" y="1696720"/>
          <a:ext cx="243840" cy="21971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TEC/Shared%20Documents/2.%20&#24180;&#23457;/A3-2025.12.31/A3A5_%20&#19996;&#39118;&#30005;&#39537;&#21160;&#31995;&#32479;&#26377;&#38480;&#20844;&#21496;&#27494;&#27721;&#20998;&#20844;&#21496;_20251231.xlsx" TargetMode="External"/><Relationship Id="rId1" Type="http://schemas.openxmlformats.org/officeDocument/2006/relationships/externalLinkPath" Target="https://eychinamanaged.sharepoint.cn/sites/DFTEC/Shared%20Documents/2.%20&#24180;&#23457;/A3-2025.12.31/A3A5_%20&#19996;&#39118;&#30005;&#39537;&#21160;&#31995;&#32479;&#26377;&#38480;&#20844;&#21496;&#27494;&#27721;&#20998;&#20844;&#21496;_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control List"/>
      <sheetName val="调整check"/>
      <sheetName val="A3_合并审定报表汇总"/>
      <sheetName val="A5_合并审计调整明细"/>
      <sheetName val="资产负债表"/>
      <sheetName val="利润表"/>
      <sheetName val="A4_TBVSFS"/>
      <sheetName val="A5_Adj_sum"/>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row r="53">
          <cell r="E53">
            <v>27480329.489999998</v>
          </cell>
          <cell r="DJ53">
            <v>27480329.489999998</v>
          </cell>
        </row>
      </sheetData>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Relationship Id="rId2"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Relationship Id="rId1"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Relationship Id="rId5" Type="http://schemas.openxmlformats.org/officeDocument/2006/relationships/drawing" Target="../drawings/drawing1.xml"/><Relationship Id="rId4" Type="http://schemas.openxmlformats.org/officeDocument/2006/relationships/hyperlink" Target="https://eycanvascore-cn.ey.com.cn/dashboard?category=documents&amp;engagementId=1800277782&amp;filterdocumentid=2cbbf9f2-9e07-455e-b7c9-6451f4461500&amp;view=evidences&amp;viewtype=documen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showGridLines="0" zoomScale="70" zoomScaleNormal="70" workbookViewId="0">
      <selection activeCell="J12" sqref="J12"/>
    </sheetView>
  </sheetViews>
  <sheetFormatPr defaultColWidth="8.88671875" defaultRowHeight="13.2"/>
  <cols>
    <col min="1" max="1" width="2.6640625" style="46" customWidth="1"/>
    <col min="2" max="2" width="13.109375" style="386" customWidth="1"/>
    <col min="3" max="3" width="15.33203125" style="121" customWidth="1"/>
    <col min="4" max="4" width="21" style="46" customWidth="1"/>
    <col min="5" max="5" width="19" style="46" customWidth="1"/>
    <col min="6" max="6" width="25.6640625" style="46" customWidth="1"/>
    <col min="7" max="7" width="13.88671875" style="46" customWidth="1"/>
    <col min="8" max="8" width="15.88671875" style="213" customWidth="1"/>
    <col min="9" max="9" width="36.109375" style="46" customWidth="1"/>
    <col min="10" max="16384" width="8.88671875" style="46"/>
  </cols>
  <sheetData>
    <row r="1" spans="1:9" ht="21">
      <c r="A1" s="387" t="s">
        <v>0</v>
      </c>
      <c r="G1" s="388"/>
      <c r="H1" s="389"/>
    </row>
    <row r="2" spans="1:9" ht="19.5" customHeight="1">
      <c r="B2" s="390" t="s">
        <v>1</v>
      </c>
      <c r="C2" s="391"/>
      <c r="D2" s="392"/>
      <c r="E2" s="318"/>
      <c r="F2" s="393" t="s">
        <v>2</v>
      </c>
      <c r="G2" s="388"/>
      <c r="H2" s="389"/>
    </row>
    <row r="3" spans="1:9" ht="13.8">
      <c r="B3" s="318"/>
      <c r="C3" s="51"/>
      <c r="D3" s="318"/>
      <c r="E3" s="318"/>
      <c r="F3" s="393" t="s">
        <v>3</v>
      </c>
      <c r="G3" s="388"/>
      <c r="H3" s="389"/>
    </row>
    <row r="4" spans="1:9" ht="10.050000000000001" customHeight="1">
      <c r="G4" s="388"/>
      <c r="H4" s="389"/>
    </row>
    <row r="5" spans="1:9" ht="15" customHeight="1">
      <c r="B5" s="394" t="s">
        <v>4</v>
      </c>
      <c r="C5" s="493" t="s">
        <v>5</v>
      </c>
      <c r="D5" s="493"/>
      <c r="E5" s="493"/>
      <c r="F5" s="395" t="s">
        <v>6</v>
      </c>
      <c r="G5" s="396" t="s">
        <v>7</v>
      </c>
      <c r="H5" s="395" t="s">
        <v>8</v>
      </c>
      <c r="I5" s="395" t="s">
        <v>9</v>
      </c>
    </row>
    <row r="6" spans="1:9" ht="63" customHeight="1">
      <c r="B6" s="397">
        <v>1</v>
      </c>
      <c r="C6" s="494" t="s">
        <v>10</v>
      </c>
      <c r="D6" s="494"/>
      <c r="E6" s="494"/>
      <c r="F6" s="412" t="s">
        <v>5</v>
      </c>
      <c r="G6" s="398" t="s">
        <v>11</v>
      </c>
      <c r="H6" s="399"/>
      <c r="I6" s="407"/>
    </row>
    <row r="7" spans="1:9" ht="15" customHeight="1">
      <c r="B7" s="394" t="s">
        <v>12</v>
      </c>
      <c r="C7" s="493" t="s">
        <v>13</v>
      </c>
      <c r="D7" s="493"/>
      <c r="E7" s="493"/>
      <c r="F7" s="395" t="s">
        <v>6</v>
      </c>
      <c r="G7" s="396" t="s">
        <v>7</v>
      </c>
      <c r="H7" s="395" t="s">
        <v>8</v>
      </c>
      <c r="I7" s="395" t="s">
        <v>9</v>
      </c>
    </row>
    <row r="8" spans="1:9" ht="47.1" customHeight="1">
      <c r="B8" s="397">
        <v>1</v>
      </c>
      <c r="C8" s="495" t="s">
        <v>14</v>
      </c>
      <c r="D8" s="495"/>
      <c r="E8" s="495"/>
      <c r="F8" s="412" t="s">
        <v>15</v>
      </c>
      <c r="G8" s="398" t="s">
        <v>11</v>
      </c>
      <c r="H8" s="399"/>
      <c r="I8" s="407"/>
    </row>
    <row r="9" spans="1:9" ht="15" customHeight="1">
      <c r="B9" s="394" t="s">
        <v>16</v>
      </c>
      <c r="C9" s="496" t="s">
        <v>17</v>
      </c>
      <c r="D9" s="493"/>
      <c r="E9" s="493"/>
      <c r="F9" s="395" t="s">
        <v>6</v>
      </c>
      <c r="G9" s="396" t="s">
        <v>7</v>
      </c>
      <c r="H9" s="395" t="s">
        <v>8</v>
      </c>
      <c r="I9" s="395" t="s">
        <v>9</v>
      </c>
    </row>
    <row r="10" spans="1:9" ht="54.75" customHeight="1">
      <c r="B10" s="281">
        <v>1</v>
      </c>
      <c r="C10" s="497" t="s">
        <v>18</v>
      </c>
      <c r="D10" s="498"/>
      <c r="E10" s="499"/>
      <c r="F10" s="412" t="s">
        <v>19</v>
      </c>
      <c r="G10" s="400" t="s">
        <v>11</v>
      </c>
      <c r="H10" s="468"/>
      <c r="I10" s="522" t="s">
        <v>755</v>
      </c>
    </row>
    <row r="11" spans="1:9" ht="29.1" customHeight="1">
      <c r="B11" s="507">
        <v>2</v>
      </c>
      <c r="C11" s="515" t="s">
        <v>20</v>
      </c>
      <c r="D11" s="510"/>
      <c r="E11" s="511"/>
      <c r="F11" s="413" t="s">
        <v>21</v>
      </c>
      <c r="G11" s="516" t="s">
        <v>115</v>
      </c>
      <c r="H11" s="518" t="s">
        <v>772</v>
      </c>
      <c r="I11" s="523"/>
    </row>
    <row r="12" spans="1:9" ht="30" customHeight="1">
      <c r="B12" s="508"/>
      <c r="C12" s="512"/>
      <c r="D12" s="513"/>
      <c r="E12" s="514"/>
      <c r="F12" s="412" t="s">
        <v>22</v>
      </c>
      <c r="G12" s="517"/>
      <c r="H12" s="519"/>
      <c r="I12" s="524"/>
    </row>
    <row r="13" spans="1:9" ht="15" customHeight="1">
      <c r="B13" s="394" t="s">
        <v>16</v>
      </c>
      <c r="C13" s="496" t="s">
        <v>23</v>
      </c>
      <c r="D13" s="493"/>
      <c r="E13" s="493"/>
      <c r="F13" s="395" t="s">
        <v>6</v>
      </c>
      <c r="G13" s="396" t="s">
        <v>7</v>
      </c>
      <c r="H13" s="395" t="s">
        <v>8</v>
      </c>
      <c r="I13" s="395" t="s">
        <v>9</v>
      </c>
    </row>
    <row r="14" spans="1:9" ht="54" customHeight="1">
      <c r="B14" s="281">
        <v>1</v>
      </c>
      <c r="C14" s="495" t="s">
        <v>24</v>
      </c>
      <c r="D14" s="495"/>
      <c r="E14" s="495"/>
      <c r="F14" s="412" t="s">
        <v>25</v>
      </c>
      <c r="G14" s="400" t="s">
        <v>115</v>
      </c>
      <c r="H14" s="469" t="s">
        <v>757</v>
      </c>
      <c r="I14" s="407"/>
    </row>
    <row r="15" spans="1:9" ht="21.75" customHeight="1">
      <c r="B15" s="507">
        <v>2</v>
      </c>
      <c r="C15" s="509" t="s">
        <v>26</v>
      </c>
      <c r="D15" s="510"/>
      <c r="E15" s="511"/>
      <c r="F15" s="412" t="s">
        <v>27</v>
      </c>
      <c r="G15" s="516" t="s">
        <v>115</v>
      </c>
      <c r="H15" s="520" t="s">
        <v>756</v>
      </c>
      <c r="I15" s="525"/>
    </row>
    <row r="16" spans="1:9" ht="28.5" customHeight="1">
      <c r="B16" s="508"/>
      <c r="C16" s="512"/>
      <c r="D16" s="513"/>
      <c r="E16" s="514"/>
      <c r="F16" s="412" t="s">
        <v>28</v>
      </c>
      <c r="G16" s="517"/>
      <c r="H16" s="521"/>
      <c r="I16" s="526"/>
    </row>
    <row r="17" spans="2:9" ht="15.75" customHeight="1">
      <c r="B17" s="394" t="s">
        <v>29</v>
      </c>
      <c r="C17" s="493" t="s">
        <v>30</v>
      </c>
      <c r="D17" s="493"/>
      <c r="E17" s="493"/>
      <c r="F17" s="395" t="s">
        <v>6</v>
      </c>
      <c r="G17" s="396" t="s">
        <v>7</v>
      </c>
      <c r="H17" s="395" t="s">
        <v>8</v>
      </c>
      <c r="I17" s="395" t="s">
        <v>9</v>
      </c>
    </row>
    <row r="18" spans="2:9" ht="39" customHeight="1">
      <c r="B18" s="401">
        <v>1</v>
      </c>
      <c r="C18" s="500" t="s">
        <v>31</v>
      </c>
      <c r="D18" s="501"/>
      <c r="E18" s="501"/>
      <c r="F18" s="412" t="s">
        <v>32</v>
      </c>
      <c r="G18" s="481" t="s">
        <v>766</v>
      </c>
      <c r="H18" s="470" t="s">
        <v>760</v>
      </c>
      <c r="I18" s="408"/>
    </row>
    <row r="19" spans="2:9" ht="23.25" customHeight="1">
      <c r="B19" s="401">
        <v>2</v>
      </c>
      <c r="C19" s="502" t="s">
        <v>33</v>
      </c>
      <c r="D19" s="503"/>
      <c r="E19" s="503"/>
      <c r="F19" s="412" t="s">
        <v>34</v>
      </c>
      <c r="G19" s="398" t="s">
        <v>11</v>
      </c>
      <c r="H19" s="470" t="s">
        <v>761</v>
      </c>
      <c r="I19" s="409"/>
    </row>
    <row r="20" spans="2:9" ht="43.5" customHeight="1">
      <c r="B20" s="401">
        <v>3</v>
      </c>
      <c r="C20" s="504" t="s">
        <v>35</v>
      </c>
      <c r="D20" s="505"/>
      <c r="E20" s="506"/>
      <c r="F20" s="412" t="s">
        <v>36</v>
      </c>
      <c r="G20" s="398" t="s">
        <v>11</v>
      </c>
      <c r="H20" s="474"/>
      <c r="I20" s="410"/>
    </row>
    <row r="21" spans="2:9" ht="15" customHeight="1">
      <c r="B21" s="402" t="s">
        <v>37</v>
      </c>
      <c r="C21" s="496" t="s">
        <v>38</v>
      </c>
      <c r="D21" s="493"/>
      <c r="E21" s="493"/>
      <c r="F21" s="403" t="s">
        <v>6</v>
      </c>
      <c r="G21" s="404" t="s">
        <v>7</v>
      </c>
      <c r="H21" s="403" t="s">
        <v>8</v>
      </c>
      <c r="I21" s="403" t="s">
        <v>9</v>
      </c>
    </row>
    <row r="22" spans="2:9" ht="127.5" customHeight="1">
      <c r="B22" s="405">
        <v>1</v>
      </c>
      <c r="C22" s="504" t="s">
        <v>39</v>
      </c>
      <c r="D22" s="505"/>
      <c r="E22" s="506"/>
      <c r="F22" s="471" t="s">
        <v>758</v>
      </c>
      <c r="G22" s="406" t="s">
        <v>115</v>
      </c>
      <c r="H22" s="472" t="s">
        <v>759</v>
      </c>
      <c r="I22" s="411"/>
    </row>
  </sheetData>
  <mergeCells count="24">
    <mergeCell ref="G11:G12"/>
    <mergeCell ref="G15:G16"/>
    <mergeCell ref="H11:H12"/>
    <mergeCell ref="H15:H16"/>
    <mergeCell ref="I10:I12"/>
    <mergeCell ref="I15:I16"/>
    <mergeCell ref="C19:E19"/>
    <mergeCell ref="C20:E20"/>
    <mergeCell ref="C21:E21"/>
    <mergeCell ref="C22:E22"/>
    <mergeCell ref="B11:B12"/>
    <mergeCell ref="B15:B16"/>
    <mergeCell ref="C15:E16"/>
    <mergeCell ref="C11:E12"/>
    <mergeCell ref="C10:E10"/>
    <mergeCell ref="C13:E13"/>
    <mergeCell ref="C14:E14"/>
    <mergeCell ref="C17:E17"/>
    <mergeCell ref="C18:E18"/>
    <mergeCell ref="C5:E5"/>
    <mergeCell ref="C6:E6"/>
    <mergeCell ref="C7:E7"/>
    <mergeCell ref="C8:E8"/>
    <mergeCell ref="C9:E9"/>
  </mergeCells>
  <phoneticPr fontId="165" type="noConversion"/>
  <conditionalFormatting sqref="F22:G22">
    <cfRule type="containsBlanks" dxfId="44" priority="1">
      <formula>LEN(TRIM(F22))=0</formula>
    </cfRule>
  </conditionalFormatting>
  <conditionalFormatting sqref="G6 G8 G10:G11 G14:G15 G18:G20">
    <cfRule type="containsBlanks" dxfId="43" priority="22">
      <formula>LEN(TRIM(G6))=0</formula>
    </cfRule>
  </conditionalFormatting>
  <conditionalFormatting sqref="H6 H8 H10:H11 H14:H15 H18:H20">
    <cfRule type="expression" dxfId="42" priority="55">
      <formula>SUMPRODUCT((G6="否")*(LEN(H6)=0))</formula>
    </cfRule>
  </conditionalFormatting>
  <conditionalFormatting sqref="H22">
    <cfRule type="expression" dxfId="41" priority="4">
      <formula>SUMPRODUCT((G22="否")*(LEN(H22)=0))</formula>
    </cfRule>
  </conditionalFormatting>
  <dataValidations count="1">
    <dataValidation type="list" allowBlank="1" showInputMessage="1" sqref="G6 G8 G22 G10:G11 G14:G15 G18:G20" xr:uid="{00000000-0002-0000-0000-000000000000}">
      <formula1>"是,否"</formula1>
    </dataValidation>
  </dataValidations>
  <hyperlinks>
    <hyperlink ref="F6" location="'K.00 Lead Sheet'!A1" display="K.00 Lead Sheet" xr:uid="{00000000-0004-0000-0000-000000000000}"/>
    <hyperlink ref="F8" location="'K.01 Agree SL to GL'!A1" display="K.01 Agree SL to GL" xr:uid="{00000000-0004-0000-0000-000001000000}"/>
    <hyperlink ref="F19" location="'K.03.2 折旧测试TOD'!A1" display="K.03.2 折旧测试TOD" xr:uid="{00000000-0004-0000-0000-000002000000}"/>
    <hyperlink ref="F18" location="'K.03.1 SAP'!A1" display="K.03.1 SAP" xr:uid="{00000000-0004-0000-0000-000003000000}"/>
    <hyperlink ref="F10" location="新增清单!A1" display="新增清单" xr:uid="{00000000-0004-0000-0000-000004000000}"/>
    <hyperlink ref="F14" location="处置清单!A1" display="处置清单" xr:uid="{00000000-0004-0000-0000-000005000000}"/>
    <hyperlink ref="F15" location="'K.02.2 处置测试'!A1" display="K.02.2 处置测试" xr:uid="{00000000-0004-0000-0000-000006000000}"/>
    <hyperlink ref="F11" location="'K.02.1 新增测试 '!A1" display="K.02.1 新增测试" xr:uid="{00000000-0004-0000-0000-000007000000}"/>
    <hyperlink ref="F12" location="'K.02.1a 新增选样输出'!A1" display="K.02.1a 新增选样输出" xr:uid="{00000000-0004-0000-0000-000008000000}"/>
    <hyperlink ref="F16" location="'K.02.2a 处置选样输出'!A1" display="K.02.2a 处置选样输出" xr:uid="{00000000-0004-0000-0000-000009000000}"/>
    <hyperlink ref="F20" location="'K.03.3 折旧政策复核'!A1" display="K.03.3 折旧政策复核" xr:uid="{00000000-0004-0000-0000-00000A000000}"/>
    <hyperlink ref="C22:E22" r:id="rId1" display="1.使用在审计过程中所获得的信息来确定管理层是否已识别适当的减值迹象；可使用PSP Canvas form K.04：识别减值迹象，也可使用 &lt;SWP减值迹象识别&gt; 对减值迹象进行评估，并根据指引要求获取相关支持性文件。_x000a_2.如有减值迹象的，评价管理层假设、未来现金流等减值评估的合理性，核实并测算减值金额。_x000a_3.检查是否存在转回固定资产减值准备的情况，确定减值准备在以后会计期间没有转回。" xr:uid="{00000000-0004-0000-0000-00000B000000}"/>
    <hyperlink ref="F2" r:id="rId2" xr:uid="{00000000-0004-0000-0000-00000C000000}"/>
    <hyperlink ref="F3" r:id="rId3" xr:uid="{00000000-0004-0000-0000-00000D000000}"/>
    <hyperlink ref="F22" r:id="rId4" location="engagementOverview" xr:uid="{C1914C11-11DA-4F4A-A41E-ADA7696F3658}"/>
  </hyperlinks>
  <pageMargins left="0.7" right="0.7" top="0.75" bottom="0.75" header="0.3" footer="0.3"/>
  <pageSetup paperSize="9" orientation="portrait" horizontalDpi="30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64"/>
  <sheetViews>
    <sheetView showGridLines="0" topLeftCell="A6" zoomScale="70" zoomScaleNormal="85" workbookViewId="0">
      <selection activeCell="G21" sqref="G21"/>
    </sheetView>
  </sheetViews>
  <sheetFormatPr defaultColWidth="8.88671875" defaultRowHeight="12.75" customHeight="1"/>
  <cols>
    <col min="1" max="1" width="2.6640625" style="47" customWidth="1"/>
    <col min="2" max="2" width="24.109375" style="48" customWidth="1"/>
    <col min="3" max="3" width="21.44140625" style="48" customWidth="1"/>
    <col min="4" max="4" width="13.33203125" style="48" customWidth="1"/>
    <col min="5" max="10" width="14.109375" style="48" customWidth="1"/>
    <col min="11" max="12" width="17.109375" style="48" customWidth="1"/>
    <col min="13" max="13" width="14.109375" style="48" customWidth="1"/>
    <col min="14" max="14" width="19.33203125" style="48" customWidth="1"/>
    <col min="15" max="15" width="19.88671875" style="48" customWidth="1"/>
    <col min="16" max="16" width="2.6640625" style="48" customWidth="1"/>
    <col min="17" max="17" width="1.6640625" style="48" customWidth="1"/>
    <col min="18" max="30" width="13.88671875" style="48" customWidth="1"/>
    <col min="31" max="16384" width="8.88671875" style="48"/>
  </cols>
  <sheetData>
    <row r="1" spans="2:17" s="117" customFormat="1" ht="50.1" customHeight="1">
      <c r="B1" s="265" t="s">
        <v>40</v>
      </c>
      <c r="C1" s="266"/>
      <c r="D1" s="267"/>
      <c r="E1" s="267"/>
      <c r="F1" s="267"/>
      <c r="G1" s="267"/>
      <c r="H1" s="267"/>
      <c r="I1" s="267"/>
      <c r="J1" s="340"/>
      <c r="K1" s="267"/>
      <c r="L1" s="267"/>
      <c r="M1" s="267"/>
      <c r="N1" s="267"/>
      <c r="O1" s="341"/>
      <c r="Q1" s="63"/>
    </row>
    <row r="2" spans="2:17" s="117" customFormat="1" ht="21.75" customHeight="1">
      <c r="B2" s="268" t="s">
        <v>41</v>
      </c>
      <c r="C2" s="492" t="s">
        <v>774</v>
      </c>
      <c r="D2" s="540" t="s">
        <v>42</v>
      </c>
      <c r="E2" s="541"/>
      <c r="F2" s="541"/>
      <c r="G2" s="541"/>
      <c r="H2" s="541"/>
      <c r="I2" s="541"/>
      <c r="J2" s="541"/>
      <c r="K2" s="541"/>
      <c r="L2" s="541"/>
      <c r="M2" s="541"/>
      <c r="N2" s="541"/>
      <c r="O2" s="542"/>
      <c r="Q2" s="63"/>
    </row>
    <row r="3" spans="2:17" s="117" customFormat="1" ht="21.75" customHeight="1">
      <c r="B3" s="269" t="s">
        <v>43</v>
      </c>
      <c r="C3" s="270">
        <v>46022</v>
      </c>
      <c r="D3" s="543"/>
      <c r="E3" s="544"/>
      <c r="F3" s="544"/>
      <c r="G3" s="544"/>
      <c r="H3" s="544"/>
      <c r="I3" s="544"/>
      <c r="J3" s="544"/>
      <c r="K3" s="544"/>
      <c r="L3" s="544"/>
      <c r="M3" s="544"/>
      <c r="N3" s="544"/>
      <c r="O3" s="545"/>
      <c r="Q3" s="63"/>
    </row>
    <row r="4" spans="2:17" s="117" customFormat="1" ht="21.75" customHeight="1">
      <c r="B4" s="269" t="s">
        <v>44</v>
      </c>
      <c r="C4" s="270">
        <v>45670</v>
      </c>
      <c r="D4" s="543"/>
      <c r="E4" s="544"/>
      <c r="F4" s="544"/>
      <c r="G4" s="544"/>
      <c r="H4" s="544"/>
      <c r="I4" s="544"/>
      <c r="J4" s="544"/>
      <c r="K4" s="544"/>
      <c r="L4" s="544"/>
      <c r="M4" s="544"/>
      <c r="N4" s="544"/>
      <c r="O4" s="545"/>
      <c r="Q4" s="63"/>
    </row>
    <row r="5" spans="2:17" s="117" customFormat="1" ht="21.75" customHeight="1">
      <c r="B5" s="269" t="s">
        <v>45</v>
      </c>
      <c r="C5" s="271">
        <v>2408000</v>
      </c>
      <c r="D5" s="543"/>
      <c r="E5" s="544"/>
      <c r="F5" s="544"/>
      <c r="G5" s="544"/>
      <c r="H5" s="544"/>
      <c r="I5" s="544"/>
      <c r="J5" s="544"/>
      <c r="K5" s="544"/>
      <c r="L5" s="544"/>
      <c r="M5" s="544"/>
      <c r="N5" s="544"/>
      <c r="O5" s="545"/>
      <c r="Q5" s="63"/>
    </row>
    <row r="6" spans="2:17" s="117" customFormat="1" ht="21.75" customHeight="1">
      <c r="B6" s="269" t="s">
        <v>46</v>
      </c>
      <c r="C6" s="271">
        <v>161000</v>
      </c>
      <c r="D6" s="543"/>
      <c r="E6" s="544"/>
      <c r="F6" s="544"/>
      <c r="G6" s="544"/>
      <c r="H6" s="544"/>
      <c r="I6" s="544"/>
      <c r="J6" s="544"/>
      <c r="K6" s="544"/>
      <c r="L6" s="544"/>
      <c r="M6" s="544"/>
      <c r="N6" s="544"/>
      <c r="O6" s="545"/>
      <c r="Q6" s="63"/>
    </row>
    <row r="7" spans="2:17" s="117" customFormat="1" ht="21.75" customHeight="1">
      <c r="B7" s="272" t="s">
        <v>47</v>
      </c>
      <c r="C7" s="273" t="s">
        <v>48</v>
      </c>
      <c r="D7" s="543"/>
      <c r="E7" s="544"/>
      <c r="F7" s="544"/>
      <c r="G7" s="544"/>
      <c r="H7" s="544"/>
      <c r="I7" s="544"/>
      <c r="J7" s="544"/>
      <c r="K7" s="544"/>
      <c r="L7" s="544"/>
      <c r="M7" s="544"/>
      <c r="N7" s="544"/>
      <c r="O7" s="545"/>
      <c r="Q7" s="63"/>
    </row>
    <row r="8" spans="2:17" s="117" customFormat="1" ht="21.75" customHeight="1">
      <c r="B8" s="269" t="s">
        <v>49</v>
      </c>
      <c r="C8" s="274" t="s">
        <v>50</v>
      </c>
      <c r="D8" s="543"/>
      <c r="E8" s="544"/>
      <c r="F8" s="544"/>
      <c r="G8" s="544"/>
      <c r="H8" s="544"/>
      <c r="I8" s="544"/>
      <c r="J8" s="544"/>
      <c r="K8" s="544"/>
      <c r="L8" s="544"/>
      <c r="M8" s="544"/>
      <c r="N8" s="544"/>
      <c r="O8" s="545"/>
      <c r="Q8" s="63"/>
    </row>
    <row r="9" spans="2:17" s="118" customFormat="1" ht="30" customHeight="1">
      <c r="B9" s="275" t="s">
        <v>51</v>
      </c>
      <c r="C9" s="276"/>
      <c r="D9" s="276"/>
      <c r="E9" s="276"/>
      <c r="F9" s="276"/>
      <c r="G9" s="276"/>
      <c r="H9" s="276"/>
      <c r="I9" s="276"/>
      <c r="J9" s="342"/>
      <c r="K9" s="276"/>
      <c r="L9" s="276"/>
      <c r="M9" s="276"/>
      <c r="N9" s="276"/>
      <c r="O9" s="343"/>
      <c r="Q9" s="63"/>
    </row>
    <row r="10" spans="2:17" s="117" customFormat="1" ht="15" customHeight="1">
      <c r="Q10" s="63"/>
    </row>
    <row r="11" spans="2:17" s="117" customFormat="1" ht="15" customHeight="1">
      <c r="B11" s="13" t="s">
        <v>52</v>
      </c>
      <c r="Q11" s="63"/>
    </row>
    <row r="12" spans="2:17" s="117" customFormat="1" ht="15" customHeight="1">
      <c r="Q12" s="63"/>
    </row>
    <row r="13" spans="2:17" s="117" customFormat="1" ht="15" customHeight="1">
      <c r="D13" s="277" t="s">
        <v>53</v>
      </c>
      <c r="E13" s="278"/>
      <c r="H13" s="279"/>
      <c r="I13" s="344"/>
      <c r="J13" s="345" t="s">
        <v>54</v>
      </c>
      <c r="K13" s="344"/>
      <c r="L13" s="346"/>
      <c r="Q13" s="63"/>
    </row>
    <row r="14" spans="2:17" s="117" customFormat="1" ht="15" customHeight="1">
      <c r="B14" s="280" t="s">
        <v>55</v>
      </c>
      <c r="C14" s="280" t="s">
        <v>56</v>
      </c>
      <c r="D14" s="280" t="s">
        <v>57</v>
      </c>
      <c r="E14" s="280" t="s">
        <v>58</v>
      </c>
      <c r="H14" s="150" t="s">
        <v>59</v>
      </c>
      <c r="I14" s="347" t="s">
        <v>60</v>
      </c>
      <c r="J14" s="348"/>
      <c r="K14" s="348"/>
      <c r="L14" s="349"/>
      <c r="Q14" s="63"/>
    </row>
    <row r="15" spans="2:17" s="117" customFormat="1" ht="15" customHeight="1">
      <c r="B15" s="281" t="s">
        <v>61</v>
      </c>
      <c r="C15" s="282" t="s">
        <v>692</v>
      </c>
      <c r="D15" s="283" t="str">
        <f>IF(C15="Minimal",$C$5*100%,IF(C15="Low",$C$5*75%,IF(C15="Moderate",$C$5*50%,IF(C15="High",$C$5*25%,IF(C15="N/A","-",)))))</f>
        <v>-</v>
      </c>
      <c r="E15" s="284">
        <f>MIN($D$15:$D$19)</f>
        <v>1204000</v>
      </c>
      <c r="H15" s="285" t="s">
        <v>62</v>
      </c>
      <c r="I15" s="347" t="s">
        <v>63</v>
      </c>
      <c r="J15" s="66"/>
      <c r="K15" s="350"/>
      <c r="L15" s="351"/>
      <c r="Q15" s="63"/>
    </row>
    <row r="16" spans="2:17" s="117" customFormat="1" ht="15" customHeight="1">
      <c r="B16" s="286" t="s">
        <v>64</v>
      </c>
      <c r="C16" s="282" t="s">
        <v>691</v>
      </c>
      <c r="D16" s="287">
        <f>IF(C16="Minimal",$C$5*100%,IF(C16="Low",$C$5*75%,IF(C16="Moderate",$C$5*50%,IF(C16="High",$C$5*25%,IF(C16="N/A","-",)))))</f>
        <v>1204000</v>
      </c>
      <c r="E16" s="288"/>
      <c r="H16" s="150" t="s">
        <v>65</v>
      </c>
      <c r="I16" s="352" t="s">
        <v>66</v>
      </c>
      <c r="J16" s="353"/>
      <c r="K16" s="350"/>
      <c r="L16" s="351"/>
      <c r="Q16" s="63"/>
    </row>
    <row r="17" spans="2:17" s="117" customFormat="1" ht="15" customHeight="1">
      <c r="B17" s="281" t="s">
        <v>67</v>
      </c>
      <c r="C17" s="282" t="s">
        <v>691</v>
      </c>
      <c r="D17" s="287">
        <f>IF(C17="Minimal",$C$5*100%,IF(C17="Low",$C$5*75%,IF(C17="Moderate",$C$5*50%,IF(C17="High",$C$5*25%,IF(C17="N/A","-",)))))</f>
        <v>1204000</v>
      </c>
      <c r="E17" s="288"/>
      <c r="H17" s="150" t="s">
        <v>68</v>
      </c>
      <c r="I17" s="352" t="s">
        <v>69</v>
      </c>
      <c r="J17" s="354"/>
      <c r="K17" s="350"/>
      <c r="L17" s="351"/>
      <c r="Q17" s="63"/>
    </row>
    <row r="18" spans="2:17" s="117" customFormat="1" ht="15" customHeight="1">
      <c r="B18" s="281" t="s">
        <v>70</v>
      </c>
      <c r="C18" s="282" t="s">
        <v>692</v>
      </c>
      <c r="D18" s="287" t="str">
        <f>IF(C18="Minimal",$C$5*100%,IF(C18="Low",$C$5*75%,IF(C18="Moderate",$C$5*50%,IF(C18="High",$C$5*25%,IF(C18="N/A","-",)))))</f>
        <v>-</v>
      </c>
      <c r="E18" s="288"/>
      <c r="H18" s="150" t="s">
        <v>71</v>
      </c>
      <c r="I18" s="347" t="s">
        <v>72</v>
      </c>
      <c r="J18" s="348"/>
      <c r="K18" s="350"/>
      <c r="L18" s="351"/>
      <c r="Q18" s="63"/>
    </row>
    <row r="19" spans="2:17" s="117" customFormat="1" ht="15">
      <c r="B19" s="289" t="s">
        <v>73</v>
      </c>
      <c r="C19" s="282" t="s">
        <v>692</v>
      </c>
      <c r="D19" s="287" t="str">
        <f>IF(C19="Minimal",$C$5*100%,IF(C19="Low",$C$5*75%,IF(C19="Moderate",$C$5*50%,IF(C19="High",$C$5*25%,IF(C19="N/A","-",)))))</f>
        <v>-</v>
      </c>
      <c r="E19" s="290"/>
      <c r="H19" s="291" t="s">
        <v>74</v>
      </c>
      <c r="I19" s="347" t="s">
        <v>75</v>
      </c>
      <c r="J19" s="350"/>
      <c r="K19" s="350"/>
      <c r="L19" s="351"/>
      <c r="Q19" s="63"/>
    </row>
    <row r="20" spans="2:17" s="117" customFormat="1" ht="13.5" customHeight="1">
      <c r="B20" s="548" t="s">
        <v>76</v>
      </c>
      <c r="C20" s="548"/>
      <c r="D20" s="548"/>
      <c r="E20" s="548"/>
      <c r="H20" s="150" t="s">
        <v>77</v>
      </c>
      <c r="I20" s="347" t="s">
        <v>78</v>
      </c>
      <c r="J20" s="350"/>
      <c r="K20" s="350"/>
      <c r="L20" s="351"/>
      <c r="Q20" s="63"/>
    </row>
    <row r="21" spans="2:17" s="117" customFormat="1" ht="16.5" customHeight="1">
      <c r="B21" s="292" t="s">
        <v>79</v>
      </c>
      <c r="C21" s="293"/>
      <c r="D21" s="293"/>
      <c r="E21" s="293"/>
      <c r="F21" s="294"/>
      <c r="G21" s="294"/>
      <c r="H21" s="291" t="s">
        <v>80</v>
      </c>
      <c r="I21" s="347" t="s">
        <v>81</v>
      </c>
      <c r="J21" s="350"/>
      <c r="K21" s="350"/>
      <c r="L21" s="351"/>
      <c r="Q21" s="63"/>
    </row>
    <row r="22" spans="2:17" s="117" customFormat="1" ht="15" customHeight="1">
      <c r="B22" s="292" t="s">
        <v>82</v>
      </c>
      <c r="C22" s="293"/>
      <c r="D22" s="293"/>
      <c r="E22" s="293"/>
      <c r="F22" s="295"/>
      <c r="G22" s="294"/>
      <c r="H22" s="296" t="s">
        <v>83</v>
      </c>
      <c r="I22" s="347" t="s">
        <v>84</v>
      </c>
      <c r="J22" s="355"/>
      <c r="K22" s="355"/>
      <c r="L22" s="356"/>
      <c r="Q22" s="63"/>
    </row>
    <row r="23" spans="2:17" s="117" customFormat="1" ht="16.5" customHeight="1">
      <c r="B23" s="549" t="s">
        <v>85</v>
      </c>
      <c r="C23" s="549"/>
      <c r="D23" s="549"/>
      <c r="E23" s="549"/>
      <c r="F23" s="295"/>
      <c r="G23" s="294"/>
      <c r="Q23" s="63"/>
    </row>
    <row r="24" spans="2:17" s="117" customFormat="1" ht="13.05" customHeight="1">
      <c r="B24" s="292" t="s">
        <v>86</v>
      </c>
      <c r="C24" s="293"/>
      <c r="D24" s="293"/>
      <c r="E24" s="293"/>
      <c r="F24" s="295"/>
      <c r="G24" s="294"/>
      <c r="H24" s="53"/>
      <c r="I24" s="51"/>
      <c r="J24" s="51"/>
      <c r="K24" s="51"/>
      <c r="L24" s="51"/>
      <c r="Q24" s="63"/>
    </row>
    <row r="25" spans="2:17" s="117" customFormat="1" ht="13.2">
      <c r="F25" s="550"/>
      <c r="G25" s="550"/>
      <c r="H25" s="550"/>
      <c r="I25" s="550"/>
      <c r="Q25" s="63"/>
    </row>
    <row r="26" spans="2:17" s="262" customFormat="1" ht="15" customHeight="1">
      <c r="B26" s="70" t="s">
        <v>87</v>
      </c>
      <c r="C26" s="297"/>
      <c r="D26" s="297"/>
      <c r="E26" s="297"/>
      <c r="F26" s="297"/>
      <c r="G26" s="297"/>
      <c r="H26" s="100"/>
      <c r="I26" s="357"/>
      <c r="J26" s="357"/>
      <c r="K26" s="297"/>
      <c r="M26" s="117"/>
      <c r="Q26" s="63"/>
    </row>
    <row r="27" spans="2:17" s="117" customFormat="1" ht="15" customHeight="1">
      <c r="B27" s="298" t="s">
        <v>88</v>
      </c>
      <c r="C27" s="537" t="s">
        <v>89</v>
      </c>
      <c r="D27" s="537"/>
      <c r="E27" s="537"/>
      <c r="F27" s="537"/>
      <c r="Q27" s="63"/>
    </row>
    <row r="28" spans="2:17" s="117" customFormat="1" ht="48.6" customHeight="1">
      <c r="B28" s="466" t="s">
        <v>745</v>
      </c>
      <c r="C28" s="529" t="s">
        <v>744</v>
      </c>
      <c r="D28" s="529"/>
      <c r="E28" s="529"/>
      <c r="F28" s="529"/>
      <c r="Q28" s="63"/>
    </row>
    <row r="29" spans="2:17" s="117" customFormat="1" ht="34.35" customHeight="1">
      <c r="B29" s="466" t="s">
        <v>746</v>
      </c>
      <c r="C29" s="529" t="s">
        <v>753</v>
      </c>
      <c r="D29" s="529"/>
      <c r="E29" s="529"/>
      <c r="F29" s="529"/>
      <c r="Q29" s="63"/>
    </row>
    <row r="30" spans="2:17" s="117" customFormat="1" ht="27.6" customHeight="1">
      <c r="B30" s="466" t="s">
        <v>747</v>
      </c>
      <c r="C30" s="529" t="s">
        <v>752</v>
      </c>
      <c r="D30" s="529"/>
      <c r="E30" s="529"/>
      <c r="F30" s="529"/>
      <c r="Q30" s="63"/>
    </row>
    <row r="31" spans="2:17" s="117" customFormat="1" ht="27.6" customHeight="1">
      <c r="B31" s="467" t="s">
        <v>748</v>
      </c>
      <c r="C31" s="529" t="s">
        <v>743</v>
      </c>
      <c r="D31" s="529"/>
      <c r="E31" s="529"/>
      <c r="F31" s="529"/>
      <c r="Q31" s="63"/>
    </row>
    <row r="32" spans="2:17" s="117" customFormat="1" ht="27.6" customHeight="1">
      <c r="B32" s="466" t="s">
        <v>749</v>
      </c>
      <c r="C32" s="529" t="s">
        <v>90</v>
      </c>
      <c r="D32" s="529"/>
      <c r="E32" s="529"/>
      <c r="F32" s="529"/>
      <c r="Q32" s="63"/>
    </row>
    <row r="33" spans="1:38" s="117" customFormat="1" ht="27.6" customHeight="1">
      <c r="B33" s="466" t="s">
        <v>750</v>
      </c>
      <c r="C33" s="529" t="s">
        <v>91</v>
      </c>
      <c r="D33" s="529"/>
      <c r="E33" s="529"/>
      <c r="F33" s="529"/>
      <c r="Q33" s="63"/>
    </row>
    <row r="34" spans="1:38" s="117" customFormat="1" ht="27.6" customHeight="1">
      <c r="B34" s="466" t="s">
        <v>751</v>
      </c>
      <c r="C34" s="529" t="s">
        <v>92</v>
      </c>
      <c r="D34" s="529"/>
      <c r="E34" s="529"/>
      <c r="F34" s="529"/>
      <c r="Q34" s="63"/>
    </row>
    <row r="35" spans="1:38" s="117" customFormat="1" ht="15" customHeight="1">
      <c r="B35" s="299"/>
      <c r="C35" s="300"/>
      <c r="D35" s="300"/>
      <c r="E35" s="300"/>
      <c r="F35" s="300"/>
      <c r="Q35" s="63"/>
    </row>
    <row r="36" spans="1:38" s="117" customFormat="1" ht="15" customHeight="1">
      <c r="D36" s="300"/>
      <c r="E36" s="300"/>
      <c r="F36" s="300"/>
      <c r="G36" s="301"/>
      <c r="H36" s="302"/>
      <c r="L36" s="358"/>
      <c r="N36" s="359"/>
      <c r="Q36" s="63"/>
    </row>
    <row r="37" spans="1:38" s="117" customFormat="1" ht="15" customHeight="1">
      <c r="B37" s="303" t="s">
        <v>93</v>
      </c>
      <c r="C37" s="278"/>
      <c r="D37" s="304"/>
      <c r="E37" s="305"/>
      <c r="F37" s="305"/>
      <c r="G37" s="305"/>
      <c r="H37" s="305"/>
      <c r="I37" s="305"/>
      <c r="J37" s="305"/>
      <c r="K37" s="305"/>
      <c r="N37" s="359"/>
      <c r="Q37" s="63"/>
    </row>
    <row r="38" spans="1:38" s="117" customFormat="1" ht="15" customHeight="1">
      <c r="B38" s="306" t="str">
        <f>"波动幅度 ("&amp;C8&amp;"):"</f>
        <v>波动幅度 (CNY):</v>
      </c>
      <c r="C38" s="307">
        <f>$E$15</f>
        <v>1204000</v>
      </c>
      <c r="D38" s="308"/>
      <c r="N38" s="359"/>
      <c r="Q38" s="63"/>
    </row>
    <row r="39" spans="1:38" s="263" customFormat="1" ht="15" customHeight="1">
      <c r="B39" s="306" t="s">
        <v>94</v>
      </c>
      <c r="C39" s="309">
        <v>0.1</v>
      </c>
      <c r="D39" s="310"/>
      <c r="M39" s="117"/>
      <c r="N39" s="360"/>
      <c r="Q39" s="63"/>
    </row>
    <row r="40" spans="1:38" s="255" customFormat="1" ht="17.399999999999999">
      <c r="B40" s="311"/>
      <c r="C40" s="311"/>
      <c r="D40" s="312"/>
      <c r="E40" s="312"/>
      <c r="F40" s="313"/>
      <c r="G40" s="313"/>
      <c r="H40" s="314"/>
      <c r="O40" s="69"/>
      <c r="Q40" s="63"/>
      <c r="S40" s="69"/>
      <c r="T40" s="382"/>
      <c r="AK40" s="69"/>
      <c r="AL40" s="382"/>
    </row>
    <row r="41" spans="1:38" s="264" customFormat="1" ht="15" customHeight="1">
      <c r="B41" s="315" t="s">
        <v>95</v>
      </c>
      <c r="C41" s="316"/>
      <c r="D41" s="316"/>
      <c r="Q41" s="383"/>
      <c r="R41" s="384"/>
    </row>
    <row r="42" spans="1:38" s="264" customFormat="1" ht="15" customHeight="1">
      <c r="B42" s="317" t="s">
        <v>96</v>
      </c>
      <c r="C42" s="316"/>
      <c r="D42" s="316"/>
      <c r="Q42" s="383"/>
      <c r="R42" s="384"/>
    </row>
    <row r="43" spans="1:38" s="3" customFormat="1" ht="13.2">
      <c r="B43" s="318"/>
      <c r="C43" s="319"/>
      <c r="D43" s="319"/>
      <c r="E43" s="319"/>
      <c r="F43" s="53"/>
      <c r="G43" s="319"/>
      <c r="I43" s="255"/>
      <c r="J43" s="255"/>
      <c r="K43" s="361"/>
      <c r="L43" s="361"/>
      <c r="M43" s="361"/>
      <c r="N43" s="361"/>
      <c r="O43" s="361"/>
      <c r="Q43" s="63"/>
    </row>
    <row r="44" spans="1:38" s="117" customFormat="1" ht="15" customHeight="1">
      <c r="A44" s="530"/>
      <c r="B44" s="530"/>
      <c r="C44" s="320"/>
      <c r="D44" s="320"/>
      <c r="K44" s="320"/>
      <c r="L44" s="320"/>
      <c r="M44" s="320"/>
      <c r="N44" s="320"/>
      <c r="O44" s="320"/>
      <c r="Q44" s="63"/>
    </row>
    <row r="45" spans="1:38" s="117" customFormat="1" ht="15" customHeight="1">
      <c r="A45" s="51"/>
      <c r="B45" s="83"/>
      <c r="C45" s="83"/>
      <c r="D45" s="53"/>
      <c r="E45" s="53" t="s">
        <v>97</v>
      </c>
      <c r="F45" s="53"/>
      <c r="G45" s="53"/>
      <c r="H45" s="53"/>
      <c r="I45" s="51"/>
      <c r="J45" s="362" t="s">
        <v>98</v>
      </c>
      <c r="K45" s="363"/>
      <c r="L45" s="363"/>
      <c r="M45" s="363"/>
      <c r="N45" s="364"/>
      <c r="O45" s="364"/>
      <c r="Q45" s="63"/>
    </row>
    <row r="46" spans="1:38" s="82" customFormat="1" ht="15" customHeight="1">
      <c r="B46" s="51"/>
      <c r="C46" s="51"/>
      <c r="D46" s="51"/>
      <c r="E46" s="531" t="str">
        <f>"货币/单位: "&amp;C8</f>
        <v>货币/单位: CNY</v>
      </c>
      <c r="F46" s="532"/>
      <c r="G46" s="532"/>
      <c r="H46" s="532"/>
      <c r="I46" s="532"/>
      <c r="J46" s="533"/>
      <c r="K46" s="362"/>
      <c r="L46" s="362"/>
      <c r="M46" s="320"/>
      <c r="N46" s="320"/>
      <c r="O46" s="365"/>
      <c r="Q46" s="80"/>
    </row>
    <row r="47" spans="1:38" s="117" customFormat="1" ht="15" customHeight="1">
      <c r="A47" s="51"/>
      <c r="B47" s="321"/>
      <c r="C47" s="321"/>
      <c r="D47" s="321"/>
      <c r="E47" s="534">
        <f>$C$3</f>
        <v>46022</v>
      </c>
      <c r="F47" s="535"/>
      <c r="G47" s="535"/>
      <c r="H47" s="535"/>
      <c r="I47" s="536"/>
      <c r="J47" s="366">
        <f>DATE(YEAR($C$3)-1,12,31)</f>
        <v>45657</v>
      </c>
      <c r="K47" s="546" t="s">
        <v>99</v>
      </c>
      <c r="L47" s="547"/>
      <c r="M47" s="367"/>
      <c r="N47" s="538" t="s">
        <v>100</v>
      </c>
      <c r="O47" s="538" t="s">
        <v>101</v>
      </c>
      <c r="Q47" s="63"/>
    </row>
    <row r="48" spans="1:38" s="117" customFormat="1" ht="15" customHeight="1">
      <c r="A48" s="51"/>
      <c r="B48" s="322" t="s">
        <v>102</v>
      </c>
      <c r="C48" s="322" t="s">
        <v>103</v>
      </c>
      <c r="D48" s="322" t="s">
        <v>104</v>
      </c>
      <c r="E48" s="323" t="s">
        <v>105</v>
      </c>
      <c r="F48" s="324" t="s">
        <v>106</v>
      </c>
      <c r="G48" s="324" t="s">
        <v>107</v>
      </c>
      <c r="H48" s="324" t="s">
        <v>108</v>
      </c>
      <c r="I48" s="323" t="s">
        <v>109</v>
      </c>
      <c r="J48" s="323" t="s">
        <v>110</v>
      </c>
      <c r="K48" s="368" t="s">
        <v>111</v>
      </c>
      <c r="L48" s="324" t="s">
        <v>112</v>
      </c>
      <c r="M48" s="369" t="s">
        <v>113</v>
      </c>
      <c r="N48" s="539"/>
      <c r="O48" s="539"/>
      <c r="Q48" s="63"/>
    </row>
    <row r="49" spans="1:17" s="263" customFormat="1" ht="15" customHeight="1">
      <c r="A49" s="51"/>
      <c r="B49" s="325">
        <v>1501</v>
      </c>
      <c r="C49" s="326" t="s">
        <v>114</v>
      </c>
      <c r="D49" s="64" t="s">
        <v>12</v>
      </c>
      <c r="E49" s="327">
        <f>'K.01 Agree SL to GL'!Q43</f>
        <v>187994737.75999999</v>
      </c>
      <c r="F49" s="327"/>
      <c r="G49" s="65">
        <f>E49+F49</f>
        <v>187994737.75999999</v>
      </c>
      <c r="H49" s="327"/>
      <c r="I49" s="65">
        <f>G49+H49</f>
        <v>187994737.75999999</v>
      </c>
      <c r="J49" s="335">
        <v>177492266.92999998</v>
      </c>
      <c r="K49" s="65">
        <f>I49-J49</f>
        <v>10502470.830000013</v>
      </c>
      <c r="L49" s="370">
        <f>IF(J49&lt;&gt;0,K49/J49,1)</f>
        <v>5.9171427643898503E-2</v>
      </c>
      <c r="M49" s="421"/>
      <c r="N49" s="371" t="str">
        <f>IF(AND(ABS(K49)&gt;=$C$38,ABS(L49)&gt;=$C$39),"是","否")</f>
        <v>否</v>
      </c>
      <c r="O49" s="372" t="s">
        <v>115</v>
      </c>
      <c r="Q49" s="385"/>
    </row>
    <row r="50" spans="1:17" s="117" customFormat="1" ht="15" customHeight="1">
      <c r="A50" s="51"/>
      <c r="B50" s="325">
        <v>1502</v>
      </c>
      <c r="C50" s="326" t="s">
        <v>116</v>
      </c>
      <c r="D50" s="64" t="s">
        <v>12</v>
      </c>
      <c r="E50" s="327">
        <f>'K.01 Agree SL to GL'!Q45</f>
        <v>86478973.729999989</v>
      </c>
      <c r="F50" s="327"/>
      <c r="G50" s="65">
        <f>E50+F50</f>
        <v>86478973.729999989</v>
      </c>
      <c r="H50" s="327"/>
      <c r="I50" s="65">
        <f>G50+H50</f>
        <v>86478973.729999989</v>
      </c>
      <c r="J50" s="335">
        <v>67883812.849999994</v>
      </c>
      <c r="K50" s="65">
        <f>I50-J50</f>
        <v>18595160.879999995</v>
      </c>
      <c r="L50" s="370">
        <f>IF(J50&lt;&gt;0,K50/J50,1)</f>
        <v>0.27392628815781078</v>
      </c>
      <c r="M50" s="421" t="s">
        <v>694</v>
      </c>
      <c r="N50" s="371" t="str">
        <f>IF(AND(ABS(K50)&gt;=$C$38,ABS(L50)&gt;=$C$39),"是","否")</f>
        <v>是</v>
      </c>
      <c r="O50" s="372" t="s">
        <v>115</v>
      </c>
      <c r="Q50" s="63"/>
    </row>
    <row r="51" spans="1:17" s="117" customFormat="1" ht="15" customHeight="1">
      <c r="A51" s="51"/>
      <c r="B51" s="325">
        <v>5506</v>
      </c>
      <c r="C51" s="326" t="s">
        <v>117</v>
      </c>
      <c r="D51" s="64" t="s">
        <v>12</v>
      </c>
      <c r="E51" s="327">
        <f>'K.01 Agree SL to GL'!Q47</f>
        <v>74035434.539999992</v>
      </c>
      <c r="F51" s="327"/>
      <c r="G51" s="65">
        <f>E51+F51</f>
        <v>74035434.539999992</v>
      </c>
      <c r="H51" s="327"/>
      <c r="I51" s="65">
        <f>G51+H51</f>
        <v>74035434.539999992</v>
      </c>
      <c r="J51" s="335">
        <v>0</v>
      </c>
      <c r="K51" s="65">
        <f>I51-J51</f>
        <v>74035434.539999992</v>
      </c>
      <c r="L51" s="370">
        <f t="shared" ref="L51" si="0">IF(J51&lt;&gt;0,K51/J51,1)</f>
        <v>1</v>
      </c>
      <c r="M51" s="421" t="s">
        <v>694</v>
      </c>
      <c r="N51" s="371" t="str">
        <f>IF(AND(ABS(K51)&gt;=$C$38,ABS(L51)&gt;=$C$39),"是","否")</f>
        <v>是</v>
      </c>
      <c r="O51" s="372" t="s">
        <v>115</v>
      </c>
      <c r="Q51" s="63"/>
    </row>
    <row r="52" spans="1:17" s="117" customFormat="1" ht="15" customHeight="1">
      <c r="A52" s="51"/>
      <c r="B52" s="328"/>
      <c r="C52" s="329"/>
      <c r="D52" s="330"/>
      <c r="E52" s="331"/>
      <c r="F52" s="331"/>
      <c r="G52" s="332"/>
      <c r="H52" s="331"/>
      <c r="I52" s="332"/>
      <c r="J52" s="373"/>
      <c r="K52" s="374"/>
      <c r="L52" s="370"/>
      <c r="M52" s="422"/>
      <c r="N52" s="375"/>
      <c r="O52" s="376"/>
      <c r="Q52" s="63"/>
    </row>
    <row r="53" spans="1:17" s="117" customFormat="1" ht="15" customHeight="1">
      <c r="A53" s="51"/>
      <c r="B53" s="51"/>
      <c r="C53" s="329" t="s">
        <v>118</v>
      </c>
      <c r="D53" s="83"/>
      <c r="E53" s="333">
        <f>E49-E50-E51</f>
        <v>27480329.49000001</v>
      </c>
      <c r="F53" s="333">
        <f t="shared" ref="F53" si="1">F49-F50-F51</f>
        <v>0</v>
      </c>
      <c r="G53" s="333">
        <f>G49-G50-G51</f>
        <v>27480329.49000001</v>
      </c>
      <c r="H53" s="333"/>
      <c r="I53" s="333">
        <f t="shared" ref="I53:K53" si="2">I49-I50-I51</f>
        <v>27480329.49000001</v>
      </c>
      <c r="J53" s="333">
        <f t="shared" si="2"/>
        <v>109608454.07999998</v>
      </c>
      <c r="K53" s="333">
        <f t="shared" si="2"/>
        <v>-82128124.589999974</v>
      </c>
      <c r="L53" s="377">
        <f>IF(J53&lt;&gt;0,K53/J53,1)</f>
        <v>-0.74928640568233063</v>
      </c>
      <c r="M53" s="421" t="s">
        <v>694</v>
      </c>
      <c r="N53" s="371" t="str">
        <f>IF(AND(ABS(K53)&gt;=$C$38,ABS(L53)&gt;=$C$39),"是","否")</f>
        <v>是</v>
      </c>
      <c r="O53" s="372" t="s">
        <v>115</v>
      </c>
      <c r="Q53" s="63"/>
    </row>
    <row r="54" spans="1:17" s="117" customFormat="1" ht="15" customHeight="1">
      <c r="A54" s="51"/>
      <c r="B54" s="51"/>
      <c r="C54" s="329"/>
      <c r="D54" s="83"/>
      <c r="E54" s="334"/>
      <c r="F54" s="334"/>
      <c r="G54" s="334"/>
      <c r="H54" s="334"/>
      <c r="I54" s="334"/>
      <c r="J54" s="334"/>
      <c r="K54" s="334"/>
      <c r="L54" s="378"/>
      <c r="M54" s="64"/>
      <c r="N54" s="375"/>
      <c r="O54" s="376"/>
      <c r="Q54" s="63"/>
    </row>
    <row r="55" spans="1:17" s="117" customFormat="1" ht="15" customHeight="1">
      <c r="A55" s="51"/>
      <c r="B55" s="51"/>
      <c r="C55" s="47" t="s">
        <v>119</v>
      </c>
      <c r="D55" s="83"/>
      <c r="E55"/>
      <c r="F55" s="334"/>
      <c r="G55" s="335">
        <f>[1]A3_合并审定报表汇总!$E$53</f>
        <v>27480329.489999998</v>
      </c>
      <c r="H55" s="334"/>
      <c r="I55" s="335">
        <f>[1]A3_合并审定报表汇总!$DJ$53</f>
        <v>27480329.489999998</v>
      </c>
      <c r="J55" s="335">
        <v>109608454.08</v>
      </c>
      <c r="K55" s="379"/>
      <c r="L55" s="379"/>
      <c r="M55" s="64"/>
      <c r="N55" s="51"/>
      <c r="O55" s="51"/>
      <c r="Q55" s="63"/>
    </row>
    <row r="56" spans="1:17" s="117" customFormat="1" ht="15" customHeight="1">
      <c r="A56" s="51"/>
      <c r="B56" s="51"/>
      <c r="C56" s="47" t="s">
        <v>120</v>
      </c>
      <c r="D56" s="52"/>
      <c r="E56"/>
      <c r="F56" s="331"/>
      <c r="G56" s="65">
        <f>G53-G55</f>
        <v>0</v>
      </c>
      <c r="H56" s="331"/>
      <c r="I56" s="65">
        <f>I53-I55</f>
        <v>0</v>
      </c>
      <c r="J56" s="65">
        <f>J53-J55</f>
        <v>0</v>
      </c>
      <c r="K56" s="380"/>
      <c r="L56" s="52"/>
      <c r="M56" s="52"/>
      <c r="N56" s="52"/>
      <c r="O56" s="52"/>
      <c r="Q56" s="385"/>
    </row>
    <row r="57" spans="1:17" s="117" customFormat="1" ht="15" customHeight="1">
      <c r="A57" s="51"/>
      <c r="B57" s="51"/>
      <c r="C57" s="47"/>
      <c r="D57" s="52"/>
      <c r="E57"/>
      <c r="F57" s="331"/>
      <c r="G57" s="336"/>
      <c r="H57" s="331"/>
      <c r="I57" s="336"/>
      <c r="J57" s="336"/>
      <c r="K57" s="380"/>
      <c r="L57" s="52"/>
      <c r="M57" s="52"/>
      <c r="N57" s="52"/>
      <c r="O57" s="52"/>
      <c r="Q57" s="385"/>
    </row>
    <row r="58" spans="1:17" s="3" customFormat="1" ht="12.75" customHeight="1">
      <c r="B58" s="337" t="s">
        <v>121</v>
      </c>
      <c r="C58" s="68"/>
      <c r="D58" s="53"/>
      <c r="E58" s="53"/>
      <c r="F58" s="53"/>
      <c r="G58" s="48"/>
      <c r="H58" s="255"/>
      <c r="I58" s="361"/>
      <c r="J58" s="361"/>
      <c r="K58" s="361"/>
      <c r="L58" s="361"/>
      <c r="M58" s="361"/>
      <c r="N58" s="361"/>
      <c r="O58" s="381"/>
      <c r="Q58" s="385"/>
    </row>
    <row r="59" spans="1:17" s="3" customFormat="1" ht="12.75" customHeight="1">
      <c r="B59" s="527" t="s">
        <v>754</v>
      </c>
      <c r="C59" s="528"/>
      <c r="D59" s="528"/>
      <c r="E59" s="528"/>
      <c r="F59" s="528"/>
      <c r="G59" s="53"/>
      <c r="H59" s="48"/>
      <c r="I59" s="255"/>
      <c r="J59" s="255"/>
      <c r="K59" s="361"/>
      <c r="L59" s="361"/>
      <c r="M59" s="361"/>
      <c r="N59" s="361"/>
      <c r="O59" s="361"/>
      <c r="Q59" s="385"/>
    </row>
    <row r="60" spans="1:17" s="3" customFormat="1" ht="12.75" customHeight="1">
      <c r="B60" s="528"/>
      <c r="C60" s="528"/>
      <c r="D60" s="528"/>
      <c r="E60" s="528"/>
      <c r="F60" s="528"/>
      <c r="G60" s="53"/>
      <c r="H60" s="48"/>
      <c r="I60" s="255"/>
      <c r="J60" s="255"/>
      <c r="K60" s="361"/>
      <c r="L60" s="361"/>
      <c r="M60" s="361"/>
      <c r="N60" s="361"/>
      <c r="O60" s="361"/>
      <c r="Q60" s="385"/>
    </row>
    <row r="61" spans="1:17" s="3" customFormat="1" ht="12.75" customHeight="1">
      <c r="B61" s="528"/>
      <c r="C61" s="528"/>
      <c r="D61" s="528"/>
      <c r="E61" s="528"/>
      <c r="F61" s="528"/>
      <c r="G61" s="53"/>
      <c r="H61" s="48"/>
      <c r="I61" s="255"/>
      <c r="J61" s="255"/>
      <c r="K61" s="361"/>
      <c r="L61" s="361"/>
      <c r="M61" s="361"/>
      <c r="N61" s="361"/>
      <c r="O61" s="361"/>
      <c r="Q61" s="385"/>
    </row>
    <row r="62" spans="1:17" s="3" customFormat="1" ht="12.75" customHeight="1">
      <c r="B62" s="232"/>
      <c r="C62" s="232"/>
      <c r="D62" s="232"/>
      <c r="E62" s="232"/>
      <c r="F62" s="232"/>
      <c r="G62" s="53"/>
      <c r="H62" s="48"/>
      <c r="I62" s="255"/>
      <c r="J62" s="255"/>
      <c r="K62" s="361"/>
      <c r="L62" s="361"/>
      <c r="M62" s="361"/>
      <c r="N62" s="361"/>
      <c r="O62" s="361"/>
      <c r="Q62" s="385"/>
    </row>
    <row r="63" spans="1:17" s="3" customFormat="1" ht="15" customHeight="1">
      <c r="B63" s="338"/>
      <c r="C63" s="339"/>
      <c r="D63" s="53"/>
      <c r="E63" s="53"/>
      <c r="F63" s="53"/>
      <c r="G63" s="53"/>
      <c r="H63" s="48"/>
      <c r="I63" s="255"/>
      <c r="J63" s="255"/>
      <c r="K63" s="361"/>
      <c r="L63" s="361"/>
      <c r="M63" s="361"/>
      <c r="N63" s="361"/>
      <c r="O63" s="361"/>
      <c r="Q63" s="385"/>
    </row>
    <row r="64" spans="1:17" ht="7.5" customHeight="1">
      <c r="A64" s="385"/>
      <c r="B64" s="385"/>
      <c r="C64" s="385"/>
      <c r="D64" s="385"/>
      <c r="E64" s="385"/>
      <c r="F64" s="385"/>
      <c r="G64" s="385"/>
      <c r="H64" s="385"/>
      <c r="I64" s="385"/>
      <c r="J64" s="385"/>
      <c r="K64" s="385"/>
      <c r="L64" s="385"/>
      <c r="M64" s="385"/>
      <c r="N64" s="385"/>
      <c r="O64" s="385"/>
      <c r="P64" s="385"/>
      <c r="Q64" s="385"/>
    </row>
  </sheetData>
  <mergeCells count="19">
    <mergeCell ref="C27:F27"/>
    <mergeCell ref="C28:F28"/>
    <mergeCell ref="N47:N48"/>
    <mergeCell ref="O47:O48"/>
    <mergeCell ref="D2:O8"/>
    <mergeCell ref="K47:L47"/>
    <mergeCell ref="C29:F29"/>
    <mergeCell ref="C30:F30"/>
    <mergeCell ref="C31:F31"/>
    <mergeCell ref="C32:F32"/>
    <mergeCell ref="C33:F33"/>
    <mergeCell ref="B20:E20"/>
    <mergeCell ref="B23:E23"/>
    <mergeCell ref="F25:I25"/>
    <mergeCell ref="B59:F61"/>
    <mergeCell ref="C34:F34"/>
    <mergeCell ref="A44:B44"/>
    <mergeCell ref="E46:J46"/>
    <mergeCell ref="E47:I47"/>
  </mergeCells>
  <phoneticPr fontId="165" type="noConversion"/>
  <conditionalFormatting sqref="B49:B51">
    <cfRule type="containsBlanks" dxfId="40" priority="28">
      <formula>LEN(TRIM(B49))=0</formula>
    </cfRule>
  </conditionalFormatting>
  <conditionalFormatting sqref="C2:C8">
    <cfRule type="containsBlanks" dxfId="39" priority="27">
      <formula>LEN(TRIM(C2))=0</formula>
    </cfRule>
  </conditionalFormatting>
  <conditionalFormatting sqref="C15:C19">
    <cfRule type="containsBlanks" dxfId="38" priority="26">
      <formula>LEN(TRIM(C15))=0</formula>
    </cfRule>
  </conditionalFormatting>
  <conditionalFormatting sqref="C28:C34">
    <cfRule type="containsBlanks" dxfId="37" priority="1">
      <formula>LEN(TRIM(C28))=0</formula>
    </cfRule>
  </conditionalFormatting>
  <conditionalFormatting sqref="C39">
    <cfRule type="containsBlanks" dxfId="36" priority="3">
      <formula>LEN(TRIM(C39))=0</formula>
    </cfRule>
  </conditionalFormatting>
  <conditionalFormatting sqref="G55">
    <cfRule type="containsBlanks" dxfId="35" priority="7">
      <formula>LEN(TRIM(G55))=0</formula>
    </cfRule>
  </conditionalFormatting>
  <conditionalFormatting sqref="I55:J55">
    <cfRule type="containsBlanks" dxfId="34" priority="5">
      <formula>LEN(TRIM(I55))=0</formula>
    </cfRule>
  </conditionalFormatting>
  <conditionalFormatting sqref="J49:J51">
    <cfRule type="containsBlanks" dxfId="33" priority="4">
      <formula>LEN(TRIM(J49))=0</formula>
    </cfRule>
  </conditionalFormatting>
  <conditionalFormatting sqref="O49:O51 O53">
    <cfRule type="containsBlanks" dxfId="32" priority="30">
      <formula>LEN(TRIM(O49))=0</formula>
    </cfRule>
  </conditionalFormatting>
  <dataValidations count="2">
    <dataValidation type="list" allowBlank="1" showInputMessage="1" sqref="C15:C19" xr:uid="{00000000-0002-0000-0100-000000000000}">
      <formula1>"Minimal,Low,Moderate,High,N/A"</formula1>
    </dataValidation>
    <dataValidation type="list" allowBlank="1" showInputMessage="1" sqref="O49:O54" xr:uid="{00000000-0002-0000-0100-000001000000}">
      <formula1>"是,否"</formula1>
    </dataValidation>
  </dataValidations>
  <hyperlinks>
    <hyperlink ref="B11" location="'汇总 '!A1" display="返回汇总页" xr:uid="{00000000-0004-0000-0100-000000000000}"/>
  </hyperlink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O191"/>
  <sheetViews>
    <sheetView showGridLines="0" tabSelected="1" topLeftCell="B53" zoomScale="70" zoomScaleNormal="70" zoomScaleSheetLayoutView="80" workbookViewId="0">
      <pane xSplit="2" topLeftCell="D1" activePane="topRight" state="frozen"/>
      <selection activeCell="B1" sqref="B1"/>
      <selection pane="topRight" activeCell="J17" sqref="J17"/>
    </sheetView>
  </sheetViews>
  <sheetFormatPr defaultColWidth="9.109375" defaultRowHeight="12.75" customHeight="1"/>
  <cols>
    <col min="1" max="1" width="2.6640625" style="123" customWidth="1"/>
    <col min="2" max="2" width="17.6640625" style="124" customWidth="1"/>
    <col min="3" max="3" width="18.88671875" style="124" customWidth="1"/>
    <col min="4" max="4" width="16.109375" style="124" customWidth="1"/>
    <col min="5" max="5" width="20.109375" style="124" customWidth="1"/>
    <col min="6" max="6" width="17.44140625" style="124" customWidth="1"/>
    <col min="7" max="7" width="19.88671875" style="125" customWidth="1"/>
    <col min="8" max="8" width="11.88671875" style="124" customWidth="1"/>
    <col min="9" max="9" width="15.88671875" style="124" customWidth="1"/>
    <col min="10" max="10" width="17.109375" style="124" customWidth="1"/>
    <col min="11" max="11" width="11.109375" style="124" customWidth="1"/>
    <col min="12" max="12" width="16.44140625" style="126" customWidth="1"/>
    <col min="13" max="13" width="16.88671875" style="124" customWidth="1"/>
    <col min="14" max="14" width="13.44140625" style="124" customWidth="1"/>
    <col min="15" max="15" width="14.33203125" style="124" customWidth="1"/>
    <col min="16" max="16" width="16.88671875" style="124" customWidth="1"/>
    <col min="17" max="17" width="15.6640625" style="124" customWidth="1"/>
    <col min="18" max="18" width="13.33203125" style="124" customWidth="1"/>
    <col min="19" max="20" width="16.88671875" style="124" customWidth="1"/>
    <col min="21" max="21" width="17" style="124" customWidth="1"/>
    <col min="22" max="22" width="2.6640625" style="124" customWidth="1"/>
    <col min="23" max="23" width="1.6640625" style="124" customWidth="1"/>
    <col min="24" max="16384" width="9.109375" style="124"/>
  </cols>
  <sheetData>
    <row r="1" spans="1:23" s="117" customFormat="1" ht="50.1" customHeight="1">
      <c r="B1" s="127" t="s">
        <v>122</v>
      </c>
      <c r="C1" s="128"/>
      <c r="D1" s="129"/>
      <c r="E1" s="129"/>
      <c r="F1" s="129"/>
      <c r="G1" s="129"/>
      <c r="H1" s="129"/>
      <c r="I1" s="129"/>
      <c r="J1" s="208"/>
      <c r="K1" s="129"/>
      <c r="L1" s="209"/>
      <c r="M1" s="209"/>
      <c r="N1" s="210"/>
      <c r="O1" s="210"/>
      <c r="P1" s="210"/>
      <c r="Q1" s="210"/>
      <c r="R1" s="210"/>
      <c r="S1" s="210"/>
      <c r="T1" s="210"/>
      <c r="U1" s="210"/>
      <c r="W1" s="106"/>
    </row>
    <row r="2" spans="1:23" s="118" customFormat="1" ht="30" customHeight="1">
      <c r="A2" s="117"/>
      <c r="B2" s="130" t="s">
        <v>123</v>
      </c>
      <c r="C2" s="131"/>
      <c r="D2" s="132"/>
      <c r="E2" s="133"/>
      <c r="F2" s="132"/>
      <c r="G2" s="133"/>
      <c r="H2" s="132"/>
      <c r="I2" s="133"/>
      <c r="J2" s="211"/>
      <c r="K2" s="133"/>
      <c r="L2" s="132"/>
      <c r="M2" s="133"/>
      <c r="N2" s="132"/>
      <c r="O2" s="133"/>
      <c r="P2" s="132"/>
      <c r="Q2" s="133"/>
      <c r="R2" s="132"/>
      <c r="S2" s="133"/>
      <c r="T2" s="132"/>
      <c r="U2" s="132"/>
      <c r="V2" s="231"/>
      <c r="W2" s="98"/>
    </row>
    <row r="3" spans="1:23" s="84" customFormat="1" ht="13.8">
      <c r="A3" s="91"/>
      <c r="C3" s="134"/>
      <c r="D3" s="134"/>
      <c r="E3" s="134"/>
      <c r="F3" s="134"/>
      <c r="G3" s="134"/>
      <c r="H3" s="121"/>
      <c r="I3" s="121"/>
      <c r="J3" s="121"/>
      <c r="K3" s="121"/>
      <c r="L3" s="212"/>
      <c r="M3" s="121"/>
      <c r="N3" s="121"/>
      <c r="O3" s="213"/>
      <c r="W3" s="98"/>
    </row>
    <row r="4" spans="1:23" s="84" customFormat="1" ht="13.8">
      <c r="A4" s="91"/>
      <c r="B4" s="13" t="s">
        <v>52</v>
      </c>
      <c r="C4" s="134"/>
      <c r="D4" s="134"/>
      <c r="E4" s="134"/>
      <c r="F4" s="134"/>
      <c r="G4" s="134"/>
      <c r="H4" s="121"/>
      <c r="I4" s="121"/>
      <c r="J4" s="121"/>
      <c r="K4" s="121"/>
      <c r="L4" s="212"/>
      <c r="M4" s="121"/>
      <c r="N4" s="121"/>
      <c r="O4" s="213"/>
      <c r="W4" s="98"/>
    </row>
    <row r="5" spans="1:23" s="84" customFormat="1" ht="13.8">
      <c r="A5" s="91"/>
      <c r="D5" s="121"/>
      <c r="E5" s="121"/>
      <c r="F5" s="121"/>
      <c r="G5" s="121"/>
      <c r="H5" s="121"/>
      <c r="I5" s="121"/>
      <c r="J5" s="121"/>
      <c r="K5" s="121"/>
      <c r="L5" s="212"/>
      <c r="M5" s="121"/>
      <c r="N5" s="121"/>
      <c r="O5" s="213"/>
      <c r="W5" s="98"/>
    </row>
    <row r="6" spans="1:23" s="84" customFormat="1" ht="15.6">
      <c r="A6" s="91"/>
      <c r="B6" s="135" t="s">
        <v>124</v>
      </c>
      <c r="C6" s="121"/>
      <c r="D6" s="121"/>
      <c r="E6" s="121"/>
      <c r="F6" s="121"/>
      <c r="G6" s="121"/>
      <c r="H6" s="121"/>
      <c r="I6" s="121"/>
      <c r="J6" s="121"/>
      <c r="K6" s="212"/>
      <c r="L6" s="121"/>
      <c r="M6" s="121"/>
      <c r="N6" s="213"/>
      <c r="Q6" s="455"/>
      <c r="W6" s="98"/>
    </row>
    <row r="7" spans="1:23" s="84" customFormat="1" ht="15.6">
      <c r="A7" s="91"/>
      <c r="B7" s="135" t="s">
        <v>125</v>
      </c>
      <c r="C7" s="121"/>
      <c r="D7" s="121"/>
      <c r="E7" s="121"/>
      <c r="F7" s="121"/>
      <c r="G7" s="121"/>
      <c r="H7" s="121"/>
      <c r="I7" s="121"/>
      <c r="J7" s="121"/>
      <c r="K7" s="212"/>
      <c r="L7" s="121"/>
      <c r="M7" s="121"/>
      <c r="N7" s="213"/>
      <c r="Q7" s="454"/>
      <c r="W7" s="98"/>
    </row>
    <row r="8" spans="1:23" s="84" customFormat="1" ht="15.6">
      <c r="A8" s="91"/>
      <c r="B8" s="135" t="s">
        <v>126</v>
      </c>
      <c r="C8" s="121"/>
      <c r="D8" s="121"/>
      <c r="E8" s="121"/>
      <c r="F8" s="121"/>
      <c r="G8" s="121"/>
      <c r="H8" s="121"/>
      <c r="I8" s="121"/>
      <c r="J8" s="121"/>
      <c r="K8" s="212"/>
      <c r="L8" s="121"/>
      <c r="M8" s="121"/>
      <c r="N8" s="213"/>
      <c r="Q8" s="455"/>
      <c r="U8" s="84" t="s">
        <v>127</v>
      </c>
      <c r="W8" s="98"/>
    </row>
    <row r="9" spans="1:23" s="48" customFormat="1" ht="31.5" customHeight="1">
      <c r="A9" s="47"/>
      <c r="B9" s="91" t="s">
        <v>128</v>
      </c>
      <c r="C9" s="136"/>
      <c r="D9" s="136"/>
      <c r="E9" s="53"/>
      <c r="F9" s="53"/>
      <c r="G9" s="53"/>
      <c r="H9" s="53"/>
      <c r="I9" s="53"/>
      <c r="J9" s="136"/>
      <c r="K9" s="136"/>
      <c r="M9" s="53"/>
      <c r="N9" s="53"/>
      <c r="O9" s="136"/>
      <c r="P9" s="136"/>
      <c r="Q9" s="136"/>
      <c r="R9" s="136"/>
      <c r="S9" s="136"/>
      <c r="T9" s="53"/>
      <c r="V9" s="84"/>
      <c r="W9" s="98"/>
    </row>
    <row r="10" spans="1:23" s="70" customFormat="1" ht="15.6">
      <c r="A10" s="47"/>
      <c r="B10" s="137"/>
      <c r="C10" s="138"/>
      <c r="D10" s="488" t="s">
        <v>769</v>
      </c>
      <c r="E10" s="489"/>
      <c r="F10" s="490" t="s">
        <v>129</v>
      </c>
      <c r="G10" s="491"/>
      <c r="H10" s="489"/>
      <c r="I10" s="490" t="s">
        <v>130</v>
      </c>
      <c r="J10" s="491"/>
      <c r="K10" s="489"/>
      <c r="L10" s="490" t="s">
        <v>131</v>
      </c>
      <c r="M10" s="491"/>
      <c r="N10" s="489"/>
      <c r="O10" s="490" t="s">
        <v>132</v>
      </c>
      <c r="P10" s="491"/>
      <c r="Q10" s="489"/>
      <c r="R10" s="490" t="s">
        <v>770</v>
      </c>
      <c r="S10" s="491"/>
      <c r="T10" s="219"/>
      <c r="U10" s="220"/>
      <c r="W10" s="98"/>
    </row>
    <row r="11" spans="1:23" s="119" customFormat="1" ht="15">
      <c r="A11" s="53"/>
      <c r="B11" s="139"/>
      <c r="C11" s="140"/>
      <c r="D11" s="67"/>
      <c r="E11" s="141" t="s">
        <v>133</v>
      </c>
      <c r="F11" s="142" t="s">
        <v>134</v>
      </c>
      <c r="G11" s="141" t="s">
        <v>135</v>
      </c>
      <c r="H11" s="141" t="s">
        <v>133</v>
      </c>
      <c r="I11" s="142" t="s">
        <v>134</v>
      </c>
      <c r="J11" s="141" t="s">
        <v>135</v>
      </c>
      <c r="K11" s="141" t="s">
        <v>133</v>
      </c>
      <c r="L11" s="142" t="s">
        <v>134</v>
      </c>
      <c r="M11" s="141" t="s">
        <v>135</v>
      </c>
      <c r="N11" s="141" t="s">
        <v>133</v>
      </c>
      <c r="O11" s="142" t="s">
        <v>134</v>
      </c>
      <c r="P11" s="141" t="s">
        <v>135</v>
      </c>
      <c r="Q11" s="141" t="s">
        <v>133</v>
      </c>
      <c r="R11" s="142" t="s">
        <v>134</v>
      </c>
      <c r="S11" s="141" t="s">
        <v>135</v>
      </c>
      <c r="T11" s="221" t="s">
        <v>136</v>
      </c>
      <c r="U11" s="84"/>
      <c r="W11" s="98"/>
    </row>
    <row r="12" spans="1:23" s="48" customFormat="1" ht="15.6">
      <c r="A12" s="47"/>
      <c r="B12" s="143"/>
      <c r="C12" s="144" t="s">
        <v>137</v>
      </c>
      <c r="D12" s="145" t="s">
        <v>62</v>
      </c>
      <c r="E12" s="72">
        <v>322612.2</v>
      </c>
      <c r="F12" s="72"/>
      <c r="G12" s="72">
        <f t="shared" ref="G12:G18" si="0">SUM(E12:F12)</f>
        <v>322612.2</v>
      </c>
      <c r="H12" s="72">
        <v>176035102.97</v>
      </c>
      <c r="I12" s="72"/>
      <c r="J12" s="72">
        <f>SUM(H12:I12)</f>
        <v>176035102.97</v>
      </c>
      <c r="K12" s="72">
        <v>844044.29</v>
      </c>
      <c r="L12" s="72"/>
      <c r="M12" s="72">
        <f t="shared" ref="M12:M18" si="1">SUM(K12:L12)</f>
        <v>844044.29</v>
      </c>
      <c r="N12" s="72">
        <v>290507.46999999997</v>
      </c>
      <c r="O12" s="72"/>
      <c r="P12" s="72">
        <f t="shared" ref="P12:P18" si="2">SUM(N12:O12)</f>
        <v>290507.46999999997</v>
      </c>
      <c r="Q12" s="72">
        <f>SUM(E12,H12,K12,N12)</f>
        <v>177492266.92999998</v>
      </c>
      <c r="R12" s="72">
        <f>SUM(F12,I12,L12,O12)</f>
        <v>0</v>
      </c>
      <c r="S12" s="72">
        <f>SUM(G12,J12,M12,P12)</f>
        <v>177492266.92999998</v>
      </c>
      <c r="T12" s="222">
        <f>S12-'K.00 Lead Sheet'!J49</f>
        <v>0</v>
      </c>
      <c r="U12" s="84"/>
      <c r="W12" s="98"/>
    </row>
    <row r="13" spans="1:23" s="48" customFormat="1" ht="15">
      <c r="A13" s="47"/>
      <c r="B13" s="146"/>
      <c r="C13" s="147" t="s">
        <v>138</v>
      </c>
      <c r="D13" s="148" t="s">
        <v>139</v>
      </c>
      <c r="E13" s="72">
        <v>0</v>
      </c>
      <c r="F13" s="72"/>
      <c r="G13" s="72">
        <f t="shared" si="0"/>
        <v>0</v>
      </c>
      <c r="H13" s="72">
        <v>0</v>
      </c>
      <c r="I13" s="72"/>
      <c r="J13" s="72">
        <f t="shared" ref="J13:J18" si="3">SUM(H13:I13)</f>
        <v>0</v>
      </c>
      <c r="K13" s="72">
        <v>0</v>
      </c>
      <c r="L13" s="72"/>
      <c r="M13" s="72">
        <f t="shared" si="1"/>
        <v>0</v>
      </c>
      <c r="N13" s="72">
        <v>0</v>
      </c>
      <c r="O13" s="72"/>
      <c r="P13" s="72">
        <f t="shared" si="2"/>
        <v>0</v>
      </c>
      <c r="Q13" s="72">
        <f t="shared" ref="Q13:Q30" si="4">SUM(E13,H13,K13,N13)</f>
        <v>0</v>
      </c>
      <c r="R13" s="72">
        <f t="shared" ref="R13:R18" si="5">SUM(F13,I13,L13,O13)</f>
        <v>0</v>
      </c>
      <c r="S13" s="72">
        <f t="shared" ref="S13:S18" si="6">SUM(G13,J13,M13,P13)</f>
        <v>0</v>
      </c>
      <c r="T13" s="223"/>
      <c r="U13" s="84"/>
      <c r="W13" s="98"/>
    </row>
    <row r="14" spans="1:23" s="48" customFormat="1" ht="13.8">
      <c r="A14" s="47"/>
      <c r="B14" s="146"/>
      <c r="C14" s="149" t="s">
        <v>140</v>
      </c>
      <c r="D14" s="150" t="s">
        <v>141</v>
      </c>
      <c r="E14" s="72">
        <v>0</v>
      </c>
      <c r="F14" s="72"/>
      <c r="G14" s="72">
        <f t="shared" si="0"/>
        <v>0</v>
      </c>
      <c r="H14" s="72">
        <v>0</v>
      </c>
      <c r="I14" s="72"/>
      <c r="J14" s="72">
        <f t="shared" si="3"/>
        <v>0</v>
      </c>
      <c r="K14" s="72">
        <v>0</v>
      </c>
      <c r="L14" s="72"/>
      <c r="M14" s="72">
        <f t="shared" si="1"/>
        <v>0</v>
      </c>
      <c r="N14" s="72">
        <v>0</v>
      </c>
      <c r="O14" s="72"/>
      <c r="P14" s="72">
        <f t="shared" si="2"/>
        <v>0</v>
      </c>
      <c r="Q14" s="72">
        <f t="shared" si="4"/>
        <v>0</v>
      </c>
      <c r="R14" s="72">
        <f t="shared" si="5"/>
        <v>0</v>
      </c>
      <c r="S14" s="72">
        <f t="shared" si="6"/>
        <v>0</v>
      </c>
      <c r="T14" s="223"/>
      <c r="U14" s="84"/>
      <c r="W14" s="98"/>
    </row>
    <row r="15" spans="1:23" s="48" customFormat="1" ht="13.8">
      <c r="A15" s="47"/>
      <c r="B15" s="146"/>
      <c r="C15" s="417" t="s">
        <v>693</v>
      </c>
      <c r="D15" s="418"/>
      <c r="E15" s="419">
        <v>0</v>
      </c>
      <c r="F15" s="419"/>
      <c r="G15" s="72">
        <f t="shared" si="0"/>
        <v>0</v>
      </c>
      <c r="H15" s="419">
        <v>10508233.16</v>
      </c>
      <c r="I15" s="419"/>
      <c r="J15" s="72">
        <f t="shared" si="3"/>
        <v>10508233.16</v>
      </c>
      <c r="K15" s="419">
        <v>0</v>
      </c>
      <c r="L15" s="419"/>
      <c r="M15" s="72">
        <f t="shared" si="1"/>
        <v>0</v>
      </c>
      <c r="N15" s="419">
        <v>28926</v>
      </c>
      <c r="O15" s="419"/>
      <c r="P15" s="72">
        <f t="shared" si="2"/>
        <v>28926</v>
      </c>
      <c r="Q15" s="72">
        <f>SUM(E15,H15,K15,N15)</f>
        <v>10537159.16</v>
      </c>
      <c r="R15" s="72">
        <f t="shared" si="5"/>
        <v>0</v>
      </c>
      <c r="S15" s="72">
        <f t="shared" si="6"/>
        <v>10537159.16</v>
      </c>
      <c r="T15" s="420"/>
      <c r="U15" s="84"/>
      <c r="W15" s="98"/>
    </row>
    <row r="16" spans="1:23" s="48" customFormat="1" ht="16.350000000000001" customHeight="1">
      <c r="A16" s="47"/>
      <c r="B16" s="151" t="s">
        <v>114</v>
      </c>
      <c r="C16" s="147" t="s">
        <v>142</v>
      </c>
      <c r="D16" s="148" t="s">
        <v>143</v>
      </c>
      <c r="E16" s="72">
        <v>0</v>
      </c>
      <c r="F16" s="72"/>
      <c r="G16" s="72">
        <f t="shared" si="0"/>
        <v>0</v>
      </c>
      <c r="H16" s="72">
        <v>0</v>
      </c>
      <c r="I16" s="72"/>
      <c r="J16" s="72">
        <f t="shared" si="3"/>
        <v>0</v>
      </c>
      <c r="K16" s="72">
        <v>0</v>
      </c>
      <c r="L16" s="72"/>
      <c r="M16" s="72">
        <f t="shared" si="1"/>
        <v>0</v>
      </c>
      <c r="N16" s="72">
        <v>0</v>
      </c>
      <c r="O16" s="72"/>
      <c r="P16" s="72">
        <f t="shared" si="2"/>
        <v>0</v>
      </c>
      <c r="Q16" s="72">
        <f t="shared" si="4"/>
        <v>0</v>
      </c>
      <c r="R16" s="72">
        <f t="shared" si="5"/>
        <v>0</v>
      </c>
      <c r="S16" s="72">
        <f t="shared" si="6"/>
        <v>0</v>
      </c>
      <c r="T16" s="223"/>
      <c r="U16" s="84"/>
      <c r="W16" s="98"/>
    </row>
    <row r="17" spans="1:23" s="48" customFormat="1" ht="13.8">
      <c r="A17" s="47"/>
      <c r="B17" s="146"/>
      <c r="C17" s="152" t="s">
        <v>144</v>
      </c>
      <c r="D17" s="150"/>
      <c r="E17" s="72">
        <v>0</v>
      </c>
      <c r="F17" s="72"/>
      <c r="G17" s="72">
        <f t="shared" si="0"/>
        <v>0</v>
      </c>
      <c r="H17" s="72">
        <v>0</v>
      </c>
      <c r="I17" s="72"/>
      <c r="J17" s="72">
        <f t="shared" si="3"/>
        <v>0</v>
      </c>
      <c r="K17" s="72">
        <v>-34688.33</v>
      </c>
      <c r="L17" s="72"/>
      <c r="M17" s="72">
        <f t="shared" si="1"/>
        <v>-34688.33</v>
      </c>
      <c r="N17" s="72">
        <v>0</v>
      </c>
      <c r="O17" s="72"/>
      <c r="P17" s="72">
        <f t="shared" si="2"/>
        <v>0</v>
      </c>
      <c r="Q17" s="72">
        <f t="shared" si="4"/>
        <v>-34688.33</v>
      </c>
      <c r="R17" s="72">
        <f t="shared" si="5"/>
        <v>0</v>
      </c>
      <c r="S17" s="72">
        <f t="shared" si="6"/>
        <v>-34688.33</v>
      </c>
      <c r="T17" s="223"/>
      <c r="U17" s="84"/>
      <c r="W17" s="98"/>
    </row>
    <row r="18" spans="1:23" s="48" customFormat="1" ht="17.25" customHeight="1">
      <c r="A18" s="47"/>
      <c r="B18" s="146"/>
      <c r="C18" s="147" t="s">
        <v>145</v>
      </c>
      <c r="D18" s="148"/>
      <c r="E18" s="72">
        <v>0</v>
      </c>
      <c r="F18" s="72"/>
      <c r="G18" s="72">
        <f t="shared" si="0"/>
        <v>0</v>
      </c>
      <c r="H18" s="72">
        <v>0</v>
      </c>
      <c r="I18" s="72"/>
      <c r="J18" s="72">
        <f t="shared" si="3"/>
        <v>0</v>
      </c>
      <c r="K18" s="72">
        <v>0</v>
      </c>
      <c r="L18" s="72"/>
      <c r="M18" s="72">
        <f t="shared" si="1"/>
        <v>0</v>
      </c>
      <c r="N18" s="72">
        <v>0</v>
      </c>
      <c r="O18" s="72"/>
      <c r="P18" s="72">
        <f t="shared" si="2"/>
        <v>0</v>
      </c>
      <c r="Q18" s="72">
        <f t="shared" si="4"/>
        <v>0</v>
      </c>
      <c r="R18" s="72">
        <f t="shared" si="5"/>
        <v>0</v>
      </c>
      <c r="S18" s="72">
        <f t="shared" si="6"/>
        <v>0</v>
      </c>
      <c r="T18" s="223"/>
      <c r="U18" s="84"/>
      <c r="W18" s="98"/>
    </row>
    <row r="19" spans="1:23" s="48" customFormat="1" ht="15.6">
      <c r="A19" s="47"/>
      <c r="B19" s="153"/>
      <c r="C19" s="154" t="s">
        <v>146</v>
      </c>
      <c r="D19" s="155" t="s">
        <v>77</v>
      </c>
      <c r="E19" s="156">
        <f t="shared" ref="E19:G19" si="7">E12+E13+E14+E15+E16+E17+E18</f>
        <v>322612.2</v>
      </c>
      <c r="F19" s="156">
        <f t="shared" si="7"/>
        <v>0</v>
      </c>
      <c r="G19" s="156">
        <f t="shared" si="7"/>
        <v>322612.2</v>
      </c>
      <c r="H19" s="156">
        <f>H12+H13+H14+H15+H16+H17+H18</f>
        <v>186543336.13</v>
      </c>
      <c r="I19" s="156">
        <f t="shared" ref="I19" si="8">I12+I13+I14+I15+I16+I17+I18</f>
        <v>0</v>
      </c>
      <c r="J19" s="156">
        <f>J12+J13+J14+J15+J16+J17+J18</f>
        <v>186543336.13</v>
      </c>
      <c r="K19" s="156">
        <f t="shared" ref="K19:S19" si="9">K12+K13+K14+K15+K16+K17+K18</f>
        <v>809355.96000000008</v>
      </c>
      <c r="L19" s="156">
        <f t="shared" si="9"/>
        <v>0</v>
      </c>
      <c r="M19" s="156">
        <f t="shared" si="9"/>
        <v>809355.96000000008</v>
      </c>
      <c r="N19" s="156">
        <f t="shared" si="9"/>
        <v>319433.46999999997</v>
      </c>
      <c r="O19" s="156">
        <f t="shared" si="9"/>
        <v>0</v>
      </c>
      <c r="P19" s="156">
        <f t="shared" si="9"/>
        <v>319433.46999999997</v>
      </c>
      <c r="Q19" s="156">
        <f t="shared" si="9"/>
        <v>187994737.75999996</v>
      </c>
      <c r="R19" s="156">
        <f>R12+R13+R14+R15+R16+R17+R18</f>
        <v>0</v>
      </c>
      <c r="S19" s="156">
        <f t="shared" si="9"/>
        <v>187994737.75999996</v>
      </c>
      <c r="T19" s="222">
        <f>S19-'K.00 Lead Sheet'!I49</f>
        <v>0</v>
      </c>
      <c r="U19" s="84"/>
      <c r="W19" s="98"/>
    </row>
    <row r="20" spans="1:23" s="48" customFormat="1" ht="15.6">
      <c r="A20" s="47"/>
      <c r="B20" s="157"/>
      <c r="C20" s="154" t="s">
        <v>137</v>
      </c>
      <c r="D20" s="145" t="s">
        <v>62</v>
      </c>
      <c r="E20" s="72">
        <v>25718.05</v>
      </c>
      <c r="F20" s="72"/>
      <c r="G20" s="72">
        <f t="shared" ref="G20:G24" si="10">SUM(E20:F20)</f>
        <v>25718.05</v>
      </c>
      <c r="H20" s="72">
        <v>67548901.890000001</v>
      </c>
      <c r="I20" s="72"/>
      <c r="J20" s="72">
        <f>SUM(H20:I20)</f>
        <v>67548901.890000001</v>
      </c>
      <c r="K20" s="72">
        <v>214550.28</v>
      </c>
      <c r="L20" s="72"/>
      <c r="M20" s="72">
        <f>SUM(K20:L20)</f>
        <v>214550.28</v>
      </c>
      <c r="N20" s="72">
        <v>94642.63</v>
      </c>
      <c r="O20" s="72"/>
      <c r="P20" s="72">
        <f>SUM(N20:O20)</f>
        <v>94642.63</v>
      </c>
      <c r="Q20" s="72">
        <f t="shared" si="4"/>
        <v>67883812.849999994</v>
      </c>
      <c r="R20" s="72">
        <f>SUM(F20,I20,L20,O20)</f>
        <v>0</v>
      </c>
      <c r="S20" s="72">
        <f>SUM(G20,J20,M20,P20)</f>
        <v>67883812.849999994</v>
      </c>
      <c r="T20" s="222">
        <f>S20-'K.00 Lead Sheet'!J50</f>
        <v>0</v>
      </c>
      <c r="U20" s="84"/>
      <c r="W20" s="98"/>
    </row>
    <row r="21" spans="1:23" s="48" customFormat="1" ht="15">
      <c r="A21" s="47"/>
      <c r="B21" s="146"/>
      <c r="C21" s="147" t="s">
        <v>147</v>
      </c>
      <c r="D21" s="148" t="s">
        <v>148</v>
      </c>
      <c r="E21" s="72">
        <v>9048.27</v>
      </c>
      <c r="F21" s="72"/>
      <c r="G21" s="72">
        <f t="shared" si="10"/>
        <v>9048.27</v>
      </c>
      <c r="H21" s="72">
        <v>18482396.579999998</v>
      </c>
      <c r="I21" s="72"/>
      <c r="J21" s="72">
        <f>SUM(H21:I21)</f>
        <v>18482396.579999998</v>
      </c>
      <c r="K21" s="72">
        <v>96563.03</v>
      </c>
      <c r="L21" s="72"/>
      <c r="M21" s="72">
        <f>SUM(K21:L21)</f>
        <v>96563.03</v>
      </c>
      <c r="N21" s="72">
        <v>41841.33</v>
      </c>
      <c r="O21" s="72"/>
      <c r="P21" s="72">
        <f>SUM(N21:O21)</f>
        <v>41841.33</v>
      </c>
      <c r="Q21" s="72">
        <f t="shared" si="4"/>
        <v>18629849.209999997</v>
      </c>
      <c r="R21" s="72">
        <f t="shared" ref="R21:R24" si="11">SUM(F21,I21,L21,O21)</f>
        <v>0</v>
      </c>
      <c r="S21" s="72">
        <f t="shared" ref="S21:S24" si="12">SUM(G21,J21,M21,P21)</f>
        <v>18629849.209999997</v>
      </c>
      <c r="T21" s="223" t="s">
        <v>149</v>
      </c>
      <c r="U21" s="84"/>
      <c r="W21" s="98"/>
    </row>
    <row r="22" spans="1:23" s="48" customFormat="1" ht="15.6">
      <c r="A22" s="47"/>
      <c r="B22" s="151" t="s">
        <v>116</v>
      </c>
      <c r="C22" s="147" t="s">
        <v>142</v>
      </c>
      <c r="D22" s="148" t="s">
        <v>143</v>
      </c>
      <c r="E22" s="72">
        <v>0</v>
      </c>
      <c r="F22" s="72"/>
      <c r="G22" s="72">
        <f t="shared" si="10"/>
        <v>0</v>
      </c>
      <c r="H22" s="72">
        <v>0</v>
      </c>
      <c r="I22" s="72"/>
      <c r="J22" s="72">
        <f>SUM(H22:I22)</f>
        <v>0</v>
      </c>
      <c r="K22" s="72">
        <v>0</v>
      </c>
      <c r="L22" s="72"/>
      <c r="M22" s="72">
        <f>SUM(K22:L22)</f>
        <v>0</v>
      </c>
      <c r="N22" s="72">
        <v>0</v>
      </c>
      <c r="O22" s="72"/>
      <c r="P22" s="72">
        <f>SUM(N22:O22)</f>
        <v>0</v>
      </c>
      <c r="Q22" s="72">
        <f t="shared" si="4"/>
        <v>0</v>
      </c>
      <c r="R22" s="72">
        <f t="shared" si="11"/>
        <v>0</v>
      </c>
      <c r="S22" s="72">
        <f t="shared" si="12"/>
        <v>0</v>
      </c>
      <c r="T22" s="223"/>
      <c r="U22" s="84"/>
      <c r="W22" s="98"/>
    </row>
    <row r="23" spans="1:23" s="48" customFormat="1" ht="13.8">
      <c r="A23" s="47"/>
      <c r="B23" s="146"/>
      <c r="C23" s="149" t="s">
        <v>150</v>
      </c>
      <c r="D23" s="150"/>
      <c r="E23" s="72">
        <v>0</v>
      </c>
      <c r="F23" s="72"/>
      <c r="G23" s="72">
        <f t="shared" si="10"/>
        <v>0</v>
      </c>
      <c r="H23" s="72">
        <v>0</v>
      </c>
      <c r="I23" s="72"/>
      <c r="J23" s="72">
        <f>SUM(H23:I23)</f>
        <v>0</v>
      </c>
      <c r="K23" s="72">
        <v>0</v>
      </c>
      <c r="L23" s="72"/>
      <c r="M23" s="72">
        <f>SUM(K23:L23)</f>
        <v>0</v>
      </c>
      <c r="N23" s="72">
        <v>0</v>
      </c>
      <c r="O23" s="72"/>
      <c r="P23" s="72">
        <f>SUM(N23:O23)</f>
        <v>0</v>
      </c>
      <c r="Q23" s="72">
        <f t="shared" si="4"/>
        <v>0</v>
      </c>
      <c r="R23" s="72">
        <f t="shared" si="11"/>
        <v>0</v>
      </c>
      <c r="S23" s="72">
        <f t="shared" si="12"/>
        <v>0</v>
      </c>
      <c r="T23" s="223"/>
      <c r="U23" s="84"/>
      <c r="W23" s="98"/>
    </row>
    <row r="24" spans="1:23" s="48" customFormat="1" ht="13.8">
      <c r="A24" s="47"/>
      <c r="B24" s="146"/>
      <c r="C24" s="149" t="s">
        <v>151</v>
      </c>
      <c r="D24" s="67"/>
      <c r="E24" s="72">
        <v>0</v>
      </c>
      <c r="F24" s="72"/>
      <c r="G24" s="72">
        <f t="shared" si="10"/>
        <v>0</v>
      </c>
      <c r="H24" s="72">
        <v>0</v>
      </c>
      <c r="I24" s="72"/>
      <c r="J24" s="72">
        <f>SUM(H24:I24)</f>
        <v>0</v>
      </c>
      <c r="K24" s="72">
        <v>-34688.33</v>
      </c>
      <c r="L24" s="72"/>
      <c r="M24" s="72">
        <f>SUM(K24:L24)</f>
        <v>-34688.33</v>
      </c>
      <c r="N24" s="72">
        <v>0</v>
      </c>
      <c r="O24" s="72"/>
      <c r="P24" s="72">
        <f>SUM(N24:O24)</f>
        <v>0</v>
      </c>
      <c r="Q24" s="72">
        <f t="shared" si="4"/>
        <v>-34688.33</v>
      </c>
      <c r="R24" s="72">
        <f t="shared" si="11"/>
        <v>0</v>
      </c>
      <c r="S24" s="72">
        <f t="shared" si="12"/>
        <v>-34688.33</v>
      </c>
      <c r="T24" s="223"/>
      <c r="U24" s="84"/>
      <c r="W24" s="98"/>
    </row>
    <row r="25" spans="1:23" s="48" customFormat="1" ht="15.6">
      <c r="A25" s="47"/>
      <c r="B25" s="153"/>
      <c r="C25" s="154" t="s">
        <v>146</v>
      </c>
      <c r="D25" s="155" t="s">
        <v>77</v>
      </c>
      <c r="E25" s="156">
        <f t="shared" ref="E25:S25" si="13">E20+E21+E22+E23+E24</f>
        <v>34766.32</v>
      </c>
      <c r="F25" s="156">
        <f t="shared" si="13"/>
        <v>0</v>
      </c>
      <c r="G25" s="156">
        <f t="shared" si="13"/>
        <v>34766.32</v>
      </c>
      <c r="H25" s="156">
        <f t="shared" si="13"/>
        <v>86031298.469999999</v>
      </c>
      <c r="I25" s="156">
        <f t="shared" si="13"/>
        <v>0</v>
      </c>
      <c r="J25" s="156">
        <f t="shared" si="13"/>
        <v>86031298.469999999</v>
      </c>
      <c r="K25" s="156">
        <f t="shared" si="13"/>
        <v>276424.98</v>
      </c>
      <c r="L25" s="156">
        <f t="shared" si="13"/>
        <v>0</v>
      </c>
      <c r="M25" s="156">
        <f t="shared" si="13"/>
        <v>276424.98</v>
      </c>
      <c r="N25" s="156">
        <f t="shared" si="13"/>
        <v>136483.96000000002</v>
      </c>
      <c r="O25" s="156">
        <f t="shared" si="13"/>
        <v>0</v>
      </c>
      <c r="P25" s="156">
        <f t="shared" si="13"/>
        <v>136483.96000000002</v>
      </c>
      <c r="Q25" s="156">
        <f t="shared" si="4"/>
        <v>86478973.729999989</v>
      </c>
      <c r="R25" s="156">
        <f>R20+R21+R22+R23+R24</f>
        <v>0</v>
      </c>
      <c r="S25" s="156">
        <f t="shared" si="13"/>
        <v>86478973.729999989</v>
      </c>
      <c r="T25" s="222">
        <f>S25-'K.00 Lead Sheet'!I50</f>
        <v>0</v>
      </c>
      <c r="U25" s="84"/>
      <c r="W25" s="98"/>
    </row>
    <row r="26" spans="1:23" s="48" customFormat="1" ht="15.6">
      <c r="A26" s="47"/>
      <c r="B26" s="157"/>
      <c r="C26" s="154" t="s">
        <v>137</v>
      </c>
      <c r="D26" s="145" t="s">
        <v>62</v>
      </c>
      <c r="E26" s="72">
        <v>0</v>
      </c>
      <c r="F26" s="72"/>
      <c r="G26" s="72">
        <f t="shared" ref="G26:G30" si="14">SUM(E26:F26)</f>
        <v>0</v>
      </c>
      <c r="H26" s="72">
        <v>0</v>
      </c>
      <c r="I26" s="72"/>
      <c r="J26" s="72">
        <f>SUM(H26:I26)</f>
        <v>0</v>
      </c>
      <c r="K26" s="72">
        <v>0</v>
      </c>
      <c r="L26" s="72"/>
      <c r="M26" s="72">
        <f>SUM(K26:L26)</f>
        <v>0</v>
      </c>
      <c r="N26" s="72">
        <v>0</v>
      </c>
      <c r="O26" s="72"/>
      <c r="P26" s="72">
        <f>SUM(N26:O26)</f>
        <v>0</v>
      </c>
      <c r="Q26" s="72">
        <f t="shared" si="4"/>
        <v>0</v>
      </c>
      <c r="R26" s="72">
        <f>SUM(F26,I26,L26,O26)</f>
        <v>0</v>
      </c>
      <c r="S26" s="72">
        <f>SUM(G26,J26,M26,P26)</f>
        <v>0</v>
      </c>
      <c r="T26" s="222">
        <f>S26-'K.00 Lead Sheet'!J51</f>
        <v>0</v>
      </c>
      <c r="U26" s="84"/>
      <c r="W26" s="98"/>
    </row>
    <row r="27" spans="1:23" s="48" customFormat="1" ht="15.6">
      <c r="A27" s="47"/>
      <c r="B27" s="146"/>
      <c r="C27" s="147" t="s">
        <v>147</v>
      </c>
      <c r="D27" s="148" t="s">
        <v>152</v>
      </c>
      <c r="E27" s="72">
        <v>0</v>
      </c>
      <c r="F27" s="72"/>
      <c r="G27" s="72">
        <f t="shared" si="14"/>
        <v>0</v>
      </c>
      <c r="H27" s="72">
        <v>73838868.439999998</v>
      </c>
      <c r="I27" s="72"/>
      <c r="J27" s="72">
        <f>SUM(H27:I27)</f>
        <v>73838868.439999998</v>
      </c>
      <c r="K27" s="72">
        <v>196566.1</v>
      </c>
      <c r="L27" s="72"/>
      <c r="M27" s="72">
        <f>SUM(K27:L27)</f>
        <v>196566.1</v>
      </c>
      <c r="N27" s="214">
        <v>0</v>
      </c>
      <c r="O27" s="72"/>
      <c r="P27" s="72">
        <f>SUM(N27:O27)</f>
        <v>0</v>
      </c>
      <c r="Q27" s="72">
        <f t="shared" si="4"/>
        <v>74035434.539999992</v>
      </c>
      <c r="R27" s="72">
        <f t="shared" ref="R27:R30" si="15">SUM(F27,I27,L27,O27)</f>
        <v>0</v>
      </c>
      <c r="S27" s="72">
        <f t="shared" ref="S27:S30" si="16">SUM(G27,J27,M27,P27)</f>
        <v>74035434.539999992</v>
      </c>
      <c r="T27" s="223"/>
      <c r="U27" s="84"/>
      <c r="W27" s="98"/>
    </row>
    <row r="28" spans="1:23" s="48" customFormat="1" ht="15.6">
      <c r="A28" s="47"/>
      <c r="B28" s="151" t="s">
        <v>117</v>
      </c>
      <c r="C28" s="147" t="s">
        <v>142</v>
      </c>
      <c r="D28" s="148" t="s">
        <v>143</v>
      </c>
      <c r="E28" s="72">
        <v>0</v>
      </c>
      <c r="F28" s="72"/>
      <c r="G28" s="72">
        <f t="shared" si="14"/>
        <v>0</v>
      </c>
      <c r="H28" s="72">
        <v>0</v>
      </c>
      <c r="I28" s="72"/>
      <c r="J28" s="72">
        <f>SUM(H28:I28)</f>
        <v>0</v>
      </c>
      <c r="K28" s="72">
        <v>0</v>
      </c>
      <c r="L28" s="72"/>
      <c r="M28" s="72">
        <f>SUM(K28:L28)</f>
        <v>0</v>
      </c>
      <c r="N28" s="214">
        <v>0</v>
      </c>
      <c r="O28" s="72"/>
      <c r="P28" s="72">
        <f>SUM(N28:O28)</f>
        <v>0</v>
      </c>
      <c r="Q28" s="72">
        <f t="shared" si="4"/>
        <v>0</v>
      </c>
      <c r="R28" s="72">
        <f t="shared" si="15"/>
        <v>0</v>
      </c>
      <c r="S28" s="72">
        <f t="shared" si="16"/>
        <v>0</v>
      </c>
      <c r="T28" s="223"/>
      <c r="U28" s="84"/>
      <c r="W28" s="98"/>
    </row>
    <row r="29" spans="1:23" s="48" customFormat="1" ht="15">
      <c r="A29" s="47"/>
      <c r="B29" s="146"/>
      <c r="C29" s="158" t="s">
        <v>153</v>
      </c>
      <c r="D29" s="67"/>
      <c r="E29" s="72">
        <v>0</v>
      </c>
      <c r="F29" s="72"/>
      <c r="G29" s="72">
        <f t="shared" si="14"/>
        <v>0</v>
      </c>
      <c r="H29" s="72">
        <v>0</v>
      </c>
      <c r="I29" s="72"/>
      <c r="J29" s="72">
        <f>SUM(H29:I29)</f>
        <v>0</v>
      </c>
      <c r="K29" s="72">
        <v>0</v>
      </c>
      <c r="L29" s="72"/>
      <c r="M29" s="72">
        <f>SUM(K29:L29)</f>
        <v>0</v>
      </c>
      <c r="N29" s="214">
        <v>0</v>
      </c>
      <c r="O29" s="72"/>
      <c r="P29" s="72">
        <f>SUM(N29:O29)</f>
        <v>0</v>
      </c>
      <c r="Q29" s="72">
        <f t="shared" si="4"/>
        <v>0</v>
      </c>
      <c r="R29" s="72">
        <f t="shared" si="15"/>
        <v>0</v>
      </c>
      <c r="S29" s="72">
        <f t="shared" si="16"/>
        <v>0</v>
      </c>
      <c r="T29" s="223"/>
      <c r="U29" s="84"/>
      <c r="W29" s="98"/>
    </row>
    <row r="30" spans="1:23" s="48" customFormat="1" ht="13.5" customHeight="1">
      <c r="A30" s="47"/>
      <c r="B30" s="146"/>
      <c r="C30" s="159" t="s">
        <v>145</v>
      </c>
      <c r="D30" s="67"/>
      <c r="E30" s="72">
        <v>0</v>
      </c>
      <c r="F30" s="72"/>
      <c r="G30" s="72">
        <f t="shared" si="14"/>
        <v>0</v>
      </c>
      <c r="H30" s="72">
        <v>0</v>
      </c>
      <c r="I30" s="72"/>
      <c r="J30" s="72">
        <f>SUM(H30:I30)</f>
        <v>0</v>
      </c>
      <c r="K30" s="72">
        <v>0</v>
      </c>
      <c r="L30" s="72"/>
      <c r="M30" s="72">
        <f>SUM(K30:L30)</f>
        <v>0</v>
      </c>
      <c r="N30" s="214">
        <v>0</v>
      </c>
      <c r="O30" s="72"/>
      <c r="P30" s="72">
        <f>SUM(N30:O30)</f>
        <v>0</v>
      </c>
      <c r="Q30" s="72">
        <f t="shared" si="4"/>
        <v>0</v>
      </c>
      <c r="R30" s="72">
        <f t="shared" si="15"/>
        <v>0</v>
      </c>
      <c r="S30" s="72">
        <f t="shared" si="16"/>
        <v>0</v>
      </c>
      <c r="T30" s="223"/>
      <c r="U30" s="84"/>
      <c r="W30" s="98"/>
    </row>
    <row r="31" spans="1:23" s="48" customFormat="1" ht="15.6">
      <c r="A31" s="47"/>
      <c r="B31" s="153"/>
      <c r="C31" s="154" t="s">
        <v>146</v>
      </c>
      <c r="D31" s="155" t="s">
        <v>77</v>
      </c>
      <c r="E31" s="156">
        <f>E26+E27+E28+E29+E30</f>
        <v>0</v>
      </c>
      <c r="F31" s="156">
        <f>F26+F27+F28+F29+F30</f>
        <v>0</v>
      </c>
      <c r="G31" s="156">
        <f t="shared" ref="G31:L31" si="17">G26+G27+G28+G29+G30</f>
        <v>0</v>
      </c>
      <c r="H31" s="156">
        <f t="shared" si="17"/>
        <v>73838868.439999998</v>
      </c>
      <c r="I31" s="156">
        <f t="shared" si="17"/>
        <v>0</v>
      </c>
      <c r="J31" s="156">
        <f t="shared" si="17"/>
        <v>73838868.439999998</v>
      </c>
      <c r="K31" s="156">
        <f t="shared" si="17"/>
        <v>196566.1</v>
      </c>
      <c r="L31" s="156">
        <f t="shared" si="17"/>
        <v>0</v>
      </c>
      <c r="M31" s="156">
        <f t="shared" ref="M31:S31" si="18">M26+M27+M28+M29+M30</f>
        <v>196566.1</v>
      </c>
      <c r="N31" s="156">
        <f t="shared" si="18"/>
        <v>0</v>
      </c>
      <c r="O31" s="156">
        <f t="shared" si="18"/>
        <v>0</v>
      </c>
      <c r="P31" s="156">
        <f t="shared" si="18"/>
        <v>0</v>
      </c>
      <c r="Q31" s="156">
        <f t="shared" si="18"/>
        <v>74035434.539999992</v>
      </c>
      <c r="R31" s="156">
        <f t="shared" si="18"/>
        <v>0</v>
      </c>
      <c r="S31" s="156">
        <f t="shared" si="18"/>
        <v>74035434.539999992</v>
      </c>
      <c r="T31" s="222">
        <f>S31-'K.00 Lead Sheet'!I51</f>
        <v>0</v>
      </c>
      <c r="U31" s="84"/>
      <c r="W31" s="98"/>
    </row>
    <row r="32" spans="1:23" s="48" customFormat="1" ht="15.6">
      <c r="A32" s="47"/>
      <c r="B32" s="160" t="s">
        <v>154</v>
      </c>
      <c r="C32" s="154" t="s">
        <v>137</v>
      </c>
      <c r="D32" s="155" t="s">
        <v>77</v>
      </c>
      <c r="E32" s="72">
        <f t="shared" ref="E32:S32" si="19">E12-E20-E26</f>
        <v>296894.15000000002</v>
      </c>
      <c r="F32" s="161">
        <f t="shared" si="19"/>
        <v>0</v>
      </c>
      <c r="G32" s="72">
        <f t="shared" si="19"/>
        <v>296894.15000000002</v>
      </c>
      <c r="H32" s="72">
        <f t="shared" si="19"/>
        <v>108486201.08</v>
      </c>
      <c r="I32" s="72">
        <f t="shared" si="19"/>
        <v>0</v>
      </c>
      <c r="J32" s="72">
        <f t="shared" si="19"/>
        <v>108486201.08</v>
      </c>
      <c r="K32" s="72">
        <f t="shared" si="19"/>
        <v>629494.01</v>
      </c>
      <c r="L32" s="72">
        <f t="shared" si="19"/>
        <v>0</v>
      </c>
      <c r="M32" s="72">
        <f t="shared" si="19"/>
        <v>629494.01</v>
      </c>
      <c r="N32" s="72">
        <f t="shared" si="19"/>
        <v>195864.83999999997</v>
      </c>
      <c r="O32" s="72">
        <f t="shared" si="19"/>
        <v>0</v>
      </c>
      <c r="P32" s="72">
        <f t="shared" si="19"/>
        <v>195864.83999999997</v>
      </c>
      <c r="Q32" s="72">
        <f t="shared" si="19"/>
        <v>109608454.07999998</v>
      </c>
      <c r="R32" s="72">
        <f t="shared" si="19"/>
        <v>0</v>
      </c>
      <c r="S32" s="72">
        <f t="shared" si="19"/>
        <v>109608454.07999998</v>
      </c>
      <c r="T32" s="222">
        <f>S32-'K.00 Lead Sheet'!J55</f>
        <v>0</v>
      </c>
      <c r="U32" s="84"/>
      <c r="W32" s="98"/>
    </row>
    <row r="33" spans="1:93" s="48" customFormat="1" ht="15.6">
      <c r="A33" s="47"/>
      <c r="B33" s="153"/>
      <c r="C33" s="162" t="s">
        <v>146</v>
      </c>
      <c r="D33" s="155" t="s">
        <v>77</v>
      </c>
      <c r="E33" s="163">
        <f t="shared" ref="E33:S33" si="20">E19-E25-E31</f>
        <v>287845.88</v>
      </c>
      <c r="F33" s="164">
        <f t="shared" si="20"/>
        <v>0</v>
      </c>
      <c r="G33" s="165">
        <f t="shared" si="20"/>
        <v>287845.88</v>
      </c>
      <c r="H33" s="164">
        <f t="shared" si="20"/>
        <v>26673169.219999999</v>
      </c>
      <c r="I33" s="164">
        <f t="shared" si="20"/>
        <v>0</v>
      </c>
      <c r="J33" s="164">
        <f t="shared" si="20"/>
        <v>26673169.219999999</v>
      </c>
      <c r="K33" s="164">
        <f t="shared" si="20"/>
        <v>336364.88000000012</v>
      </c>
      <c r="L33" s="164">
        <f t="shared" si="20"/>
        <v>0</v>
      </c>
      <c r="M33" s="164">
        <f t="shared" si="20"/>
        <v>336364.88000000012</v>
      </c>
      <c r="N33" s="164">
        <f t="shared" si="20"/>
        <v>182949.50999999995</v>
      </c>
      <c r="O33" s="164">
        <f t="shared" si="20"/>
        <v>0</v>
      </c>
      <c r="P33" s="164">
        <f t="shared" si="20"/>
        <v>182949.50999999995</v>
      </c>
      <c r="Q33" s="164">
        <f t="shared" si="20"/>
        <v>27480329.48999998</v>
      </c>
      <c r="R33" s="164">
        <f t="shared" si="20"/>
        <v>0</v>
      </c>
      <c r="S33" s="164">
        <f t="shared" si="20"/>
        <v>27480329.48999998</v>
      </c>
      <c r="T33" s="222">
        <f>S33-'K.00 Lead Sheet'!I55</f>
        <v>0</v>
      </c>
      <c r="U33" s="84"/>
      <c r="W33" s="98"/>
    </row>
    <row r="34" spans="1:93" s="48" customFormat="1" ht="15">
      <c r="A34" s="47"/>
      <c r="B34" s="554" t="s">
        <v>155</v>
      </c>
      <c r="C34" s="55" t="s">
        <v>156</v>
      </c>
      <c r="D34" s="54" t="s">
        <v>157</v>
      </c>
      <c r="E34" s="72">
        <f>E19-E12</f>
        <v>0</v>
      </c>
      <c r="F34" s="72"/>
      <c r="G34" s="72">
        <f>G19-G12</f>
        <v>0</v>
      </c>
      <c r="H34" s="72">
        <f>H19-H12</f>
        <v>10508233.159999996</v>
      </c>
      <c r="I34" s="72"/>
      <c r="J34" s="72">
        <f>J19-J12</f>
        <v>10508233.159999996</v>
      </c>
      <c r="K34" s="72">
        <f>K19-K12</f>
        <v>-34688.329999999958</v>
      </c>
      <c r="L34" s="72"/>
      <c r="M34" s="72">
        <f>M19-M12</f>
        <v>-34688.329999999958</v>
      </c>
      <c r="N34" s="72">
        <f>N19-N12</f>
        <v>28926</v>
      </c>
      <c r="O34" s="72"/>
      <c r="P34" s="72">
        <f>P19-P12</f>
        <v>28926</v>
      </c>
      <c r="Q34" s="72">
        <f>Q19-Q12</f>
        <v>10502470.829999983</v>
      </c>
      <c r="R34" s="72">
        <f>R19-R12</f>
        <v>0</v>
      </c>
      <c r="S34" s="72">
        <f>S19-S12</f>
        <v>10502470.829999983</v>
      </c>
      <c r="T34" s="72"/>
      <c r="U34" s="84"/>
      <c r="W34" s="98"/>
    </row>
    <row r="35" spans="1:93" s="48" customFormat="1" ht="15">
      <c r="A35" s="47"/>
      <c r="B35" s="555"/>
      <c r="C35" s="55" t="s">
        <v>158</v>
      </c>
      <c r="D35" s="54" t="s">
        <v>159</v>
      </c>
      <c r="E35" s="166">
        <f>IFERROR(E34/E12,1)</f>
        <v>0</v>
      </c>
      <c r="F35" s="166"/>
      <c r="G35" s="166">
        <f>IFERROR(G34/G12,1)</f>
        <v>0</v>
      </c>
      <c r="H35" s="166">
        <f>IFERROR(H34/H12,1)</f>
        <v>5.9693964344093436E-2</v>
      </c>
      <c r="I35" s="166"/>
      <c r="J35" s="166">
        <f>IFERROR(J34/J12,1)</f>
        <v>5.9693964344093436E-2</v>
      </c>
      <c r="K35" s="166">
        <f>IFERROR(K34/K12,1)</f>
        <v>-4.1097760403070741E-2</v>
      </c>
      <c r="L35" s="166"/>
      <c r="M35" s="166">
        <f>IFERROR(M34/M12,1)</f>
        <v>-4.1097760403070741E-2</v>
      </c>
      <c r="N35" s="166">
        <f>IFERROR(N34/N12,1)</f>
        <v>9.9570589355241032E-2</v>
      </c>
      <c r="O35" s="166"/>
      <c r="P35" s="166">
        <f>IFERROR(P34/P12,1)</f>
        <v>9.9570589355241032E-2</v>
      </c>
      <c r="Q35" s="166">
        <f>IFERROR(Q34/Q12,1)</f>
        <v>5.9171427643898336E-2</v>
      </c>
      <c r="R35" s="166">
        <f>IFERROR(R34/R12,1)</f>
        <v>1</v>
      </c>
      <c r="S35" s="166">
        <f>IFERROR(S34/S12,1)</f>
        <v>5.9171427643898336E-2</v>
      </c>
      <c r="T35" s="167"/>
      <c r="U35" s="84"/>
      <c r="W35" s="98"/>
    </row>
    <row r="36" spans="1:93" s="48" customFormat="1" ht="15">
      <c r="A36" s="47"/>
      <c r="B36" s="555"/>
      <c r="C36" s="55" t="s">
        <v>160</v>
      </c>
      <c r="D36" s="54" t="s">
        <v>157</v>
      </c>
      <c r="E36" s="167">
        <f>E25-E20</f>
        <v>9048.27</v>
      </c>
      <c r="F36" s="167"/>
      <c r="G36" s="167">
        <f>G25-G20</f>
        <v>9048.27</v>
      </c>
      <c r="H36" s="167">
        <f>H25-H20</f>
        <v>18482396.579999998</v>
      </c>
      <c r="I36" s="167"/>
      <c r="J36" s="167">
        <f>J25-J20</f>
        <v>18482396.579999998</v>
      </c>
      <c r="K36" s="167">
        <f>K25-K20</f>
        <v>61874.699999999983</v>
      </c>
      <c r="L36" s="167"/>
      <c r="M36" s="167">
        <f>M25-M20</f>
        <v>61874.699999999983</v>
      </c>
      <c r="N36" s="167">
        <f>N25-N20</f>
        <v>41841.330000000016</v>
      </c>
      <c r="O36" s="167"/>
      <c r="P36" s="167">
        <f>P25-P20</f>
        <v>41841.330000000016</v>
      </c>
      <c r="Q36" s="167">
        <f>Q25-Q20</f>
        <v>18595160.879999995</v>
      </c>
      <c r="R36" s="167">
        <f>R25-R20</f>
        <v>0</v>
      </c>
      <c r="S36" s="167">
        <f>S25-S20</f>
        <v>18595160.879999995</v>
      </c>
      <c r="T36" s="167"/>
      <c r="U36" s="84"/>
      <c r="W36" s="98"/>
    </row>
    <row r="37" spans="1:93" s="48" customFormat="1" ht="15">
      <c r="A37" s="47"/>
      <c r="B37" s="555"/>
      <c r="C37" s="55" t="s">
        <v>161</v>
      </c>
      <c r="D37" s="54" t="s">
        <v>159</v>
      </c>
      <c r="E37" s="166">
        <f>IFERROR(E36/E20,1)</f>
        <v>0.35182566329873377</v>
      </c>
      <c r="F37" s="166"/>
      <c r="G37" s="166">
        <f>IFERROR(G36/G20,1)</f>
        <v>0.35182566329873377</v>
      </c>
      <c r="H37" s="166">
        <f>IFERROR(H36/H20,1)</f>
        <v>0.27361505609813841</v>
      </c>
      <c r="I37" s="166"/>
      <c r="J37" s="166">
        <f>IFERROR(J36/J20,1)</f>
        <v>0.27361505609813841</v>
      </c>
      <c r="K37" s="166">
        <f>IFERROR(K36/K20,1)</f>
        <v>0.28839253903560502</v>
      </c>
      <c r="L37" s="166"/>
      <c r="M37" s="166">
        <f>IFERROR(M36/M20,1)</f>
        <v>0.28839253903560502</v>
      </c>
      <c r="N37" s="166">
        <f>IFERROR(N36/N20,1)</f>
        <v>0.44209813273363191</v>
      </c>
      <c r="O37" s="166"/>
      <c r="P37" s="166">
        <f>IFERROR(P36/P20,1)</f>
        <v>0.44209813273363191</v>
      </c>
      <c r="Q37" s="166">
        <f>IFERROR(Q36/Q20,1)</f>
        <v>0.27392628815781078</v>
      </c>
      <c r="R37" s="166">
        <f>IFERROR(R36/R20,1)</f>
        <v>1</v>
      </c>
      <c r="S37" s="166">
        <f>IFERROR(S36/S20,1)</f>
        <v>0.27392628815781078</v>
      </c>
      <c r="T37" s="167"/>
      <c r="U37" s="84"/>
      <c r="W37" s="98"/>
    </row>
    <row r="38" spans="1:93" s="48" customFormat="1" ht="15">
      <c r="A38" s="47"/>
      <c r="B38" s="555"/>
      <c r="C38" s="55" t="s">
        <v>162</v>
      </c>
      <c r="D38" s="54" t="s">
        <v>157</v>
      </c>
      <c r="E38" s="167">
        <f>E31-E26</f>
        <v>0</v>
      </c>
      <c r="F38" s="167"/>
      <c r="G38" s="167">
        <f>G31-G26</f>
        <v>0</v>
      </c>
      <c r="H38" s="167">
        <f>H31-H26</f>
        <v>73838868.439999998</v>
      </c>
      <c r="I38" s="167"/>
      <c r="J38" s="167">
        <f>J31-J26</f>
        <v>73838868.439999998</v>
      </c>
      <c r="K38" s="167">
        <f>K31-K26</f>
        <v>196566.1</v>
      </c>
      <c r="L38" s="167"/>
      <c r="M38" s="167">
        <f>M31-M26</f>
        <v>196566.1</v>
      </c>
      <c r="N38" s="167">
        <f>N31-N26</f>
        <v>0</v>
      </c>
      <c r="O38" s="167"/>
      <c r="P38" s="167">
        <f>P31-P26</f>
        <v>0</v>
      </c>
      <c r="Q38" s="167">
        <f>Q31-Q26</f>
        <v>74035434.539999992</v>
      </c>
      <c r="R38" s="167">
        <f>R31-R26</f>
        <v>0</v>
      </c>
      <c r="S38" s="167">
        <f>S31-S26</f>
        <v>74035434.539999992</v>
      </c>
      <c r="T38" s="167"/>
      <c r="U38" s="84"/>
      <c r="W38" s="98"/>
    </row>
    <row r="39" spans="1:93" s="48" customFormat="1" ht="15">
      <c r="A39" s="47"/>
      <c r="B39" s="555"/>
      <c r="C39" s="55" t="s">
        <v>163</v>
      </c>
      <c r="D39" s="54" t="s">
        <v>159</v>
      </c>
      <c r="E39" s="166">
        <f>IFERROR(E38/E26,1)</f>
        <v>1</v>
      </c>
      <c r="F39" s="166"/>
      <c r="G39" s="166">
        <f>IFERROR(G38/G26,1)</f>
        <v>1</v>
      </c>
      <c r="H39" s="166">
        <f>IFERROR(H38/H26,1)</f>
        <v>1</v>
      </c>
      <c r="I39" s="166"/>
      <c r="J39" s="166">
        <f>IFERROR(J38/J26,1)</f>
        <v>1</v>
      </c>
      <c r="K39" s="166">
        <f>IFERROR(K38/K26,1)</f>
        <v>1</v>
      </c>
      <c r="L39" s="166"/>
      <c r="M39" s="166">
        <f>IFERROR(M38/M26,1)</f>
        <v>1</v>
      </c>
      <c r="N39" s="166">
        <f>IFERROR(N38/N26,1)</f>
        <v>1</v>
      </c>
      <c r="O39" s="166"/>
      <c r="P39" s="166">
        <f>IFERROR(P38/P26,1)</f>
        <v>1</v>
      </c>
      <c r="Q39" s="166">
        <f>IFERROR(Q38/Q26,1)</f>
        <v>1</v>
      </c>
      <c r="R39" s="166">
        <f>IFERROR(R38/R26,1)</f>
        <v>1</v>
      </c>
      <c r="S39" s="166">
        <f>IFERROR(S38/S26,1)</f>
        <v>1</v>
      </c>
      <c r="T39" s="167"/>
      <c r="U39" s="84"/>
      <c r="W39" s="98"/>
    </row>
    <row r="40" spans="1:93" s="48" customFormat="1" ht="14.85" customHeight="1">
      <c r="A40" s="47"/>
      <c r="B40" s="555"/>
      <c r="C40" s="55" t="s">
        <v>164</v>
      </c>
      <c r="D40" s="54" t="s">
        <v>157</v>
      </c>
      <c r="E40" s="167">
        <f>E33-E32</f>
        <v>-9048.2700000000186</v>
      </c>
      <c r="F40" s="167"/>
      <c r="G40" s="167">
        <f>G33-G32</f>
        <v>-9048.2700000000186</v>
      </c>
      <c r="H40" s="167">
        <f>H33-H32</f>
        <v>-81813031.859999999</v>
      </c>
      <c r="I40" s="167"/>
      <c r="J40" s="167">
        <f>J33-J32</f>
        <v>-81813031.859999999</v>
      </c>
      <c r="K40" s="167">
        <f>K33-K32</f>
        <v>-293129.12999999989</v>
      </c>
      <c r="L40" s="167"/>
      <c r="M40" s="167">
        <f>M33-M32</f>
        <v>-293129.12999999989</v>
      </c>
      <c r="N40" s="167">
        <f>N33-N32</f>
        <v>-12915.330000000016</v>
      </c>
      <c r="O40" s="167"/>
      <c r="P40" s="167">
        <f>P33-P32</f>
        <v>-12915.330000000016</v>
      </c>
      <c r="Q40" s="167">
        <f>Q33-Q32</f>
        <v>-82128124.590000004</v>
      </c>
      <c r="R40" s="167">
        <f>R33-R32</f>
        <v>0</v>
      </c>
      <c r="S40" s="167">
        <f>S33-S32</f>
        <v>-82128124.590000004</v>
      </c>
      <c r="T40" s="167"/>
      <c r="U40" s="84"/>
      <c r="W40" s="98"/>
    </row>
    <row r="41" spans="1:93" s="48" customFormat="1" ht="14.85" customHeight="1">
      <c r="A41" s="47"/>
      <c r="B41" s="556"/>
      <c r="C41" s="55" t="s">
        <v>165</v>
      </c>
      <c r="D41" s="54" t="s">
        <v>159</v>
      </c>
      <c r="E41" s="166">
        <f>IFERROR(E40/E32,1)</f>
        <v>-3.0476417268578779E-2</v>
      </c>
      <c r="F41" s="166"/>
      <c r="G41" s="166">
        <f>IFERROR(G40/G32,1)</f>
        <v>-3.0476417268578779E-2</v>
      </c>
      <c r="H41" s="166">
        <f>IFERROR(H40/H32,1)</f>
        <v>-0.75413306987926843</v>
      </c>
      <c r="I41" s="166"/>
      <c r="J41" s="166">
        <f>IFERROR(J40/J32,1)</f>
        <v>-0.75413306987926843</v>
      </c>
      <c r="K41" s="166">
        <f>IFERROR(K40/K32,1)</f>
        <v>-0.46565833088705622</v>
      </c>
      <c r="L41" s="166"/>
      <c r="M41" s="166">
        <f>IFERROR(M40/M32,1)</f>
        <v>-0.46565833088705622</v>
      </c>
      <c r="N41" s="166">
        <f>IFERROR(N40/N32,1)</f>
        <v>-6.5940012510668167E-2</v>
      </c>
      <c r="O41" s="166"/>
      <c r="P41" s="166">
        <f>IFERROR(P40/P32,1)</f>
        <v>-6.5940012510668167E-2</v>
      </c>
      <c r="Q41" s="166">
        <f>IFERROR(Q40/Q32,1)</f>
        <v>-0.74928640568233085</v>
      </c>
      <c r="R41" s="166">
        <f>IFERROR(R40/R32,1)</f>
        <v>1</v>
      </c>
      <c r="S41" s="166">
        <f>IFERROR(S40/S32,1)</f>
        <v>-0.74928640568233085</v>
      </c>
      <c r="T41" s="167"/>
      <c r="U41" s="84"/>
      <c r="W41" s="98"/>
    </row>
    <row r="42" spans="1:93" s="48" customFormat="1" ht="14.85" customHeight="1">
      <c r="A42" s="47"/>
      <c r="B42" s="168"/>
      <c r="C42" s="169"/>
      <c r="D42" s="170"/>
      <c r="E42" s="171"/>
      <c r="F42" s="171"/>
      <c r="G42" s="171"/>
      <c r="H42" s="171"/>
      <c r="I42" s="171"/>
      <c r="J42" s="171"/>
      <c r="K42" s="171"/>
      <c r="L42" s="171"/>
      <c r="M42" s="171"/>
      <c r="N42" s="171"/>
      <c r="O42" s="171"/>
      <c r="P42" s="171"/>
      <c r="Q42" s="171"/>
      <c r="R42" s="171"/>
      <c r="S42" s="171"/>
      <c r="T42" s="224"/>
      <c r="U42" s="84"/>
      <c r="W42" s="98"/>
    </row>
    <row r="43" spans="1:93" s="48" customFormat="1" ht="15.6">
      <c r="A43" s="172"/>
      <c r="B43" s="173" t="s">
        <v>166</v>
      </c>
      <c r="C43" s="174"/>
      <c r="D43" s="174"/>
      <c r="E43" s="175">
        <v>322612.2</v>
      </c>
      <c r="F43" s="176"/>
      <c r="G43" s="176"/>
      <c r="H43" s="175">
        <v>186543336.13</v>
      </c>
      <c r="I43" s="176"/>
      <c r="J43" s="174"/>
      <c r="K43" s="175">
        <v>809355.96000000008</v>
      </c>
      <c r="L43" s="174"/>
      <c r="M43" s="176"/>
      <c r="N43" s="175">
        <v>319433.46999999997</v>
      </c>
      <c r="O43" s="176"/>
      <c r="P43" s="176"/>
      <c r="Q43" s="175">
        <f>SUM(E43,H43,K43,N43)</f>
        <v>187994737.75999999</v>
      </c>
      <c r="R43" s="225"/>
      <c r="S43" s="226"/>
      <c r="T43" s="226"/>
      <c r="U43" s="84"/>
      <c r="V43" s="226"/>
      <c r="W43" s="98"/>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row>
    <row r="44" spans="1:93" s="84" customFormat="1" ht="15.6">
      <c r="A44" s="177"/>
      <c r="B44" s="173" t="s">
        <v>167</v>
      </c>
      <c r="C44" s="178"/>
      <c r="D44" s="179"/>
      <c r="E44" s="180">
        <f>E19-E43</f>
        <v>0</v>
      </c>
      <c r="F44" s="180"/>
      <c r="G44" s="180"/>
      <c r="H44" s="180">
        <f>H19-H43</f>
        <v>0</v>
      </c>
      <c r="I44" s="180"/>
      <c r="J44" s="180"/>
      <c r="K44" s="180">
        <f>K19-K43</f>
        <v>0</v>
      </c>
      <c r="L44" s="180"/>
      <c r="M44" s="180"/>
      <c r="N44" s="180">
        <f>N19-N43</f>
        <v>0</v>
      </c>
      <c r="O44" s="180"/>
      <c r="P44" s="180"/>
      <c r="Q44" s="180">
        <f>Q19-Q43</f>
        <v>0</v>
      </c>
      <c r="R44" s="227"/>
      <c r="S44" s="228"/>
      <c r="T44" s="228"/>
      <c r="V44" s="229"/>
      <c r="W44" s="98"/>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c r="AZ44" s="229"/>
      <c r="BA44" s="229"/>
      <c r="BB44" s="229"/>
      <c r="BC44" s="229"/>
      <c r="BD44" s="229"/>
      <c r="BE44" s="229"/>
      <c r="BF44" s="229"/>
      <c r="BG44" s="229"/>
      <c r="BH44" s="229"/>
      <c r="BI44" s="229"/>
      <c r="BJ44" s="229"/>
      <c r="BK44" s="229"/>
      <c r="BL44" s="229"/>
      <c r="BM44" s="229"/>
      <c r="BN44" s="229"/>
      <c r="BO44" s="229"/>
      <c r="BP44" s="229"/>
      <c r="BQ44" s="229"/>
      <c r="BR44" s="229"/>
      <c r="BS44" s="229"/>
      <c r="BT44" s="229"/>
      <c r="BU44" s="229"/>
      <c r="BV44" s="229"/>
      <c r="BW44" s="229"/>
      <c r="BX44" s="229"/>
      <c r="BY44" s="229"/>
      <c r="BZ44" s="229"/>
      <c r="CA44" s="229"/>
      <c r="CB44" s="229"/>
      <c r="CC44" s="229"/>
      <c r="CD44" s="229"/>
      <c r="CE44" s="229"/>
      <c r="CF44" s="229"/>
      <c r="CG44" s="229"/>
      <c r="CH44" s="229"/>
      <c r="CI44" s="229"/>
      <c r="CJ44" s="229"/>
      <c r="CK44" s="229"/>
      <c r="CL44" s="229"/>
      <c r="CM44" s="229"/>
      <c r="CN44" s="229"/>
      <c r="CO44" s="229"/>
    </row>
    <row r="45" spans="1:93" s="120" customFormat="1" ht="15.6">
      <c r="A45" s="177"/>
      <c r="B45" s="173" t="s">
        <v>168</v>
      </c>
      <c r="C45" s="178"/>
      <c r="D45" s="179"/>
      <c r="E45" s="175">
        <v>34766.32</v>
      </c>
      <c r="F45" s="176"/>
      <c r="G45" s="176"/>
      <c r="H45" s="175">
        <v>86031298.469999999</v>
      </c>
      <c r="I45" s="176"/>
      <c r="J45" s="174"/>
      <c r="K45" s="175">
        <v>276424.98</v>
      </c>
      <c r="L45" s="174"/>
      <c r="M45" s="176"/>
      <c r="N45" s="175">
        <v>136483.96000000002</v>
      </c>
      <c r="O45" s="176"/>
      <c r="P45" s="176"/>
      <c r="Q45" s="175">
        <f>SUM(E45,H45,K45,N45)</f>
        <v>86478973.729999989</v>
      </c>
      <c r="R45" s="227"/>
      <c r="S45" s="228"/>
      <c r="T45" s="228"/>
      <c r="U45" s="84"/>
      <c r="V45" s="229"/>
      <c r="W45" s="98"/>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c r="AZ45" s="229"/>
      <c r="BA45" s="229"/>
      <c r="BB45" s="229"/>
      <c r="BC45" s="229"/>
      <c r="BD45" s="229"/>
      <c r="BE45" s="229"/>
      <c r="BF45" s="229"/>
      <c r="BG45" s="229"/>
      <c r="BH45" s="229"/>
      <c r="BI45" s="229"/>
      <c r="BJ45" s="229"/>
      <c r="BK45" s="229"/>
      <c r="BL45" s="229"/>
      <c r="BM45" s="229"/>
      <c r="BN45" s="229"/>
      <c r="BO45" s="229"/>
      <c r="BP45" s="229"/>
      <c r="BQ45" s="229"/>
      <c r="BR45" s="229"/>
      <c r="BS45" s="229"/>
      <c r="BT45" s="229"/>
      <c r="BU45" s="229"/>
      <c r="BV45" s="229"/>
      <c r="BW45" s="229"/>
      <c r="BX45" s="229"/>
      <c r="BY45" s="229"/>
      <c r="BZ45" s="229"/>
      <c r="CA45" s="229"/>
      <c r="CB45" s="229"/>
      <c r="CC45" s="229"/>
      <c r="CD45" s="229"/>
      <c r="CE45" s="229"/>
      <c r="CF45" s="229"/>
      <c r="CG45" s="229"/>
      <c r="CH45" s="229"/>
      <c r="CI45" s="229"/>
      <c r="CJ45" s="229"/>
      <c r="CK45" s="229"/>
      <c r="CL45" s="229"/>
      <c r="CM45" s="229"/>
      <c r="CN45" s="229"/>
      <c r="CO45" s="229"/>
    </row>
    <row r="46" spans="1:93" s="120" customFormat="1" ht="15.6">
      <c r="A46" s="177"/>
      <c r="B46" s="173" t="s">
        <v>167</v>
      </c>
      <c r="C46" s="178"/>
      <c r="D46" s="179"/>
      <c r="E46" s="180">
        <f>E25-E45</f>
        <v>0</v>
      </c>
      <c r="F46" s="180"/>
      <c r="G46" s="180"/>
      <c r="H46" s="180">
        <f>H25-H45</f>
        <v>0</v>
      </c>
      <c r="I46" s="180"/>
      <c r="J46" s="180"/>
      <c r="K46" s="180">
        <f>K25-K45</f>
        <v>0</v>
      </c>
      <c r="L46" s="180"/>
      <c r="M46" s="180"/>
      <c r="N46" s="180">
        <f>N25-N45</f>
        <v>0</v>
      </c>
      <c r="O46" s="180"/>
      <c r="P46" s="180"/>
      <c r="Q46" s="180">
        <f>Q25-Q45</f>
        <v>0</v>
      </c>
      <c r="R46" s="227"/>
      <c r="S46" s="228"/>
      <c r="T46" s="228"/>
      <c r="U46" s="84"/>
      <c r="V46" s="229"/>
      <c r="W46" s="98"/>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29"/>
      <c r="BN46" s="229"/>
      <c r="BO46" s="229"/>
      <c r="BP46" s="229"/>
      <c r="BQ46" s="229"/>
      <c r="BR46" s="229"/>
      <c r="BS46" s="229"/>
      <c r="BT46" s="229"/>
      <c r="BU46" s="229"/>
      <c r="BV46" s="229"/>
      <c r="BW46" s="229"/>
      <c r="BX46" s="229"/>
      <c r="BY46" s="229"/>
      <c r="BZ46" s="229"/>
      <c r="CA46" s="229"/>
      <c r="CB46" s="229"/>
      <c r="CC46" s="229"/>
      <c r="CD46" s="229"/>
      <c r="CE46" s="229"/>
      <c r="CF46" s="229"/>
      <c r="CG46" s="229"/>
      <c r="CH46" s="229"/>
      <c r="CI46" s="229"/>
      <c r="CJ46" s="229"/>
      <c r="CK46" s="229"/>
      <c r="CL46" s="229"/>
      <c r="CM46" s="229"/>
      <c r="CN46" s="229"/>
      <c r="CO46" s="229"/>
    </row>
    <row r="47" spans="1:93" s="120" customFormat="1" ht="15.6">
      <c r="A47" s="177"/>
      <c r="B47" s="173" t="s">
        <v>169</v>
      </c>
      <c r="C47" s="178"/>
      <c r="D47" s="179"/>
      <c r="E47" s="175">
        <v>0</v>
      </c>
      <c r="F47" s="176"/>
      <c r="G47" s="176"/>
      <c r="H47" s="175">
        <v>73838868.439999998</v>
      </c>
      <c r="I47" s="176"/>
      <c r="J47" s="174"/>
      <c r="K47" s="175">
        <v>196566.1</v>
      </c>
      <c r="L47" s="174"/>
      <c r="M47" s="176"/>
      <c r="N47" s="175">
        <v>0</v>
      </c>
      <c r="O47" s="176"/>
      <c r="P47" s="176"/>
      <c r="Q47" s="175">
        <f>SUM(E47,H47,K47,N47)</f>
        <v>74035434.539999992</v>
      </c>
      <c r="R47" s="227"/>
      <c r="S47" s="228"/>
      <c r="T47" s="228"/>
      <c r="U47" s="84"/>
      <c r="V47" s="229"/>
      <c r="W47" s="98"/>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c r="BB47" s="229"/>
      <c r="BC47" s="229"/>
      <c r="BD47" s="229"/>
      <c r="BE47" s="229"/>
      <c r="BF47" s="229"/>
      <c r="BG47" s="229"/>
      <c r="BH47" s="229"/>
      <c r="BI47" s="229"/>
      <c r="BJ47" s="229"/>
      <c r="BK47" s="229"/>
      <c r="BL47" s="229"/>
      <c r="BM47" s="229"/>
      <c r="BN47" s="229"/>
      <c r="BO47" s="229"/>
      <c r="BP47" s="229"/>
      <c r="BQ47" s="229"/>
      <c r="BR47" s="229"/>
      <c r="BS47" s="229"/>
      <c r="BT47" s="229"/>
      <c r="BU47" s="229"/>
      <c r="BV47" s="229"/>
      <c r="BW47" s="229"/>
      <c r="BX47" s="229"/>
      <c r="BY47" s="229"/>
      <c r="BZ47" s="229"/>
      <c r="CA47" s="229"/>
      <c r="CB47" s="229"/>
      <c r="CC47" s="229"/>
      <c r="CD47" s="229"/>
      <c r="CE47" s="229"/>
      <c r="CF47" s="229"/>
      <c r="CG47" s="229"/>
      <c r="CH47" s="229"/>
      <c r="CI47" s="229"/>
      <c r="CJ47" s="229"/>
      <c r="CK47" s="229"/>
      <c r="CL47" s="229"/>
      <c r="CM47" s="229"/>
      <c r="CN47" s="229"/>
      <c r="CO47" s="229"/>
    </row>
    <row r="48" spans="1:93" s="120" customFormat="1" ht="15.6">
      <c r="A48" s="177"/>
      <c r="B48" s="173" t="s">
        <v>167</v>
      </c>
      <c r="C48" s="178"/>
      <c r="D48" s="179"/>
      <c r="E48" s="180">
        <f>E31-E47</f>
        <v>0</v>
      </c>
      <c r="F48" s="180"/>
      <c r="G48" s="180"/>
      <c r="H48" s="180">
        <f>H31-H47</f>
        <v>0</v>
      </c>
      <c r="I48" s="180"/>
      <c r="J48" s="180"/>
      <c r="K48" s="180">
        <f>K31-K47</f>
        <v>0</v>
      </c>
      <c r="L48" s="180"/>
      <c r="M48" s="180"/>
      <c r="N48" s="180">
        <f>N31-N47</f>
        <v>0</v>
      </c>
      <c r="O48" s="180"/>
      <c r="P48" s="180"/>
      <c r="Q48" s="180">
        <f>Q31-Q47</f>
        <v>0</v>
      </c>
      <c r="R48" s="227"/>
      <c r="S48" s="228"/>
      <c r="T48" s="228"/>
      <c r="U48" s="84"/>
      <c r="V48" s="229"/>
      <c r="W48" s="98"/>
      <c r="X48" s="229"/>
      <c r="Y48" s="229"/>
      <c r="Z48" s="229"/>
      <c r="AA48" s="229"/>
      <c r="AB48" s="229"/>
      <c r="AC48" s="229"/>
      <c r="AD48" s="229"/>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c r="BB48" s="229"/>
      <c r="BC48" s="229"/>
      <c r="BD48" s="229"/>
      <c r="BE48" s="229"/>
      <c r="BF48" s="229"/>
      <c r="BG48" s="229"/>
      <c r="BH48" s="229"/>
      <c r="BI48" s="229"/>
      <c r="BJ48" s="229"/>
      <c r="BK48" s="229"/>
      <c r="BL48" s="229"/>
      <c r="BM48" s="229"/>
      <c r="BN48" s="229"/>
      <c r="BO48" s="229"/>
      <c r="BP48" s="229"/>
      <c r="BQ48" s="229"/>
      <c r="BR48" s="229"/>
      <c r="BS48" s="229"/>
      <c r="BT48" s="229"/>
      <c r="BU48" s="229"/>
      <c r="BV48" s="229"/>
      <c r="BW48" s="229"/>
      <c r="BX48" s="229"/>
      <c r="BY48" s="229"/>
      <c r="BZ48" s="229"/>
      <c r="CA48" s="229"/>
      <c r="CB48" s="229"/>
      <c r="CC48" s="229"/>
      <c r="CD48" s="229"/>
      <c r="CE48" s="229"/>
      <c r="CF48" s="229"/>
      <c r="CG48" s="229"/>
      <c r="CH48" s="229"/>
      <c r="CI48" s="229"/>
      <c r="CJ48" s="229"/>
      <c r="CK48" s="229"/>
      <c r="CL48" s="229"/>
      <c r="CM48" s="229"/>
      <c r="CN48" s="229"/>
      <c r="CO48" s="229"/>
    </row>
    <row r="49" spans="1:93" s="120" customFormat="1" ht="15.6">
      <c r="A49" s="177"/>
      <c r="B49" s="173" t="s">
        <v>170</v>
      </c>
      <c r="C49" s="178"/>
      <c r="D49" s="179"/>
      <c r="E49" s="175">
        <f>E43-E45</f>
        <v>287845.88</v>
      </c>
      <c r="F49" s="176"/>
      <c r="G49" s="176"/>
      <c r="H49" s="175">
        <f>H43-H45-H47</f>
        <v>26673169.219999999</v>
      </c>
      <c r="I49" s="176"/>
      <c r="J49" s="174"/>
      <c r="K49" s="175">
        <f>K43-K45-K47</f>
        <v>336364.88000000012</v>
      </c>
      <c r="L49" s="174"/>
      <c r="M49" s="176"/>
      <c r="N49" s="175">
        <f>N43-N45-N47</f>
        <v>182949.50999999995</v>
      </c>
      <c r="O49" s="176"/>
      <c r="P49" s="176"/>
      <c r="Q49" s="175">
        <f>SUM(E49,H49,K49,N49)</f>
        <v>27480329.489999998</v>
      </c>
      <c r="R49" s="227"/>
      <c r="S49" s="228"/>
      <c r="T49" s="228"/>
      <c r="U49" s="84"/>
      <c r="V49" s="229"/>
      <c r="W49" s="98"/>
      <c r="X49" s="229"/>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29"/>
      <c r="CA49" s="229"/>
      <c r="CB49" s="229"/>
      <c r="CC49" s="229"/>
      <c r="CD49" s="229"/>
      <c r="CE49" s="229"/>
      <c r="CF49" s="229"/>
      <c r="CG49" s="229"/>
      <c r="CH49" s="229"/>
      <c r="CI49" s="229"/>
      <c r="CJ49" s="229"/>
      <c r="CK49" s="229"/>
      <c r="CL49" s="229"/>
      <c r="CM49" s="229"/>
      <c r="CN49" s="229"/>
      <c r="CO49" s="229"/>
    </row>
    <row r="50" spans="1:93" s="120" customFormat="1" ht="15.6">
      <c r="A50" s="177"/>
      <c r="B50" s="173" t="s">
        <v>167</v>
      </c>
      <c r="C50" s="178"/>
      <c r="D50" s="179"/>
      <c r="E50" s="180">
        <f>E33-E49</f>
        <v>0</v>
      </c>
      <c r="F50" s="180"/>
      <c r="G50" s="180"/>
      <c r="H50" s="180">
        <f>H33-H49</f>
        <v>0</v>
      </c>
      <c r="I50" s="180"/>
      <c r="J50" s="180"/>
      <c r="K50" s="180">
        <f>K33-K49</f>
        <v>0</v>
      </c>
      <c r="L50" s="180"/>
      <c r="M50" s="180"/>
      <c r="N50" s="180">
        <f>N33-N49</f>
        <v>0</v>
      </c>
      <c r="O50" s="180"/>
      <c r="P50" s="180"/>
      <c r="Q50" s="180">
        <f>Q33-Q49</f>
        <v>0</v>
      </c>
      <c r="R50" s="227"/>
      <c r="S50" s="228"/>
      <c r="T50" s="228"/>
      <c r="U50" s="84"/>
      <c r="V50" s="229"/>
      <c r="W50" s="98"/>
      <c r="X50" s="229"/>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29"/>
      <c r="BU50" s="229"/>
      <c r="BV50" s="229"/>
      <c r="BW50" s="229"/>
      <c r="BX50" s="229"/>
      <c r="BY50" s="229"/>
      <c r="BZ50" s="229"/>
      <c r="CA50" s="229"/>
      <c r="CB50" s="229"/>
      <c r="CC50" s="229"/>
      <c r="CD50" s="229"/>
      <c r="CE50" s="229"/>
      <c r="CF50" s="229"/>
      <c r="CG50" s="229"/>
      <c r="CH50" s="229"/>
      <c r="CI50" s="229"/>
      <c r="CJ50" s="229"/>
      <c r="CK50" s="229"/>
      <c r="CL50" s="229"/>
      <c r="CM50" s="229"/>
      <c r="CN50" s="229"/>
      <c r="CO50" s="229"/>
    </row>
    <row r="51" spans="1:93" s="120" customFormat="1" ht="13.8">
      <c r="A51" s="181"/>
      <c r="B51" s="182"/>
      <c r="C51" s="183"/>
      <c r="D51" s="184"/>
      <c r="E51" s="185"/>
      <c r="F51" s="185"/>
      <c r="G51" s="185"/>
      <c r="H51" s="185"/>
      <c r="I51" s="185"/>
      <c r="J51" s="185"/>
      <c r="K51" s="185"/>
      <c r="L51" s="185"/>
      <c r="M51" s="185"/>
      <c r="N51" s="185"/>
      <c r="O51" s="185"/>
      <c r="P51" s="185"/>
      <c r="Q51" s="71"/>
      <c r="R51" s="71"/>
      <c r="S51" s="71"/>
      <c r="T51" s="71"/>
      <c r="U51" s="84"/>
      <c r="W51" s="98"/>
    </row>
    <row r="52" spans="1:93" s="120" customFormat="1" ht="15.6">
      <c r="A52" s="181"/>
      <c r="B52" s="135" t="s">
        <v>171</v>
      </c>
      <c r="C52" s="183"/>
      <c r="D52" s="184"/>
      <c r="E52" s="185"/>
      <c r="F52" s="185"/>
      <c r="G52" s="185"/>
      <c r="H52" s="185"/>
      <c r="I52" s="185"/>
      <c r="J52" s="185"/>
      <c r="K52" s="185"/>
      <c r="L52" s="185"/>
      <c r="M52" s="185"/>
      <c r="N52" s="185"/>
      <c r="O52" s="185"/>
      <c r="P52" s="185"/>
      <c r="Q52" s="185"/>
      <c r="R52" s="185"/>
      <c r="S52" s="185"/>
      <c r="T52" s="185"/>
      <c r="U52" s="71"/>
      <c r="V52" s="84"/>
      <c r="W52" s="98"/>
    </row>
    <row r="53" spans="1:93" s="120" customFormat="1" ht="15.6">
      <c r="A53" s="181"/>
      <c r="B53" s="91" t="s">
        <v>172</v>
      </c>
      <c r="C53" s="183"/>
      <c r="D53" s="184"/>
      <c r="E53" s="185"/>
      <c r="F53" s="185"/>
      <c r="H53" s="186" t="s">
        <v>173</v>
      </c>
      <c r="I53" s="185"/>
      <c r="J53" s="185"/>
      <c r="K53" s="185"/>
      <c r="L53" s="185"/>
      <c r="M53" s="185"/>
      <c r="N53" s="185"/>
      <c r="O53" s="185"/>
      <c r="P53" s="185"/>
      <c r="Q53" s="185"/>
      <c r="R53" s="185"/>
      <c r="S53" s="185"/>
      <c r="T53" s="185"/>
      <c r="U53" s="71"/>
      <c r="V53" s="84"/>
      <c r="W53" s="98"/>
    </row>
    <row r="54" spans="1:93" s="84" customFormat="1" ht="15.6" customHeight="1">
      <c r="A54" s="91"/>
      <c r="B54" s="187"/>
      <c r="C54" s="188"/>
      <c r="D54" s="189" t="s">
        <v>174</v>
      </c>
      <c r="E54" s="188"/>
      <c r="F54" s="190"/>
      <c r="H54" s="551" t="s">
        <v>175</v>
      </c>
      <c r="I54" s="552"/>
      <c r="J54" s="552"/>
      <c r="K54" s="553"/>
      <c r="M54" s="215"/>
      <c r="W54" s="98"/>
    </row>
    <row r="55" spans="1:93" s="84" customFormat="1" ht="15.6">
      <c r="A55" s="91"/>
      <c r="B55" s="191" t="s">
        <v>176</v>
      </c>
      <c r="C55" s="192" t="s">
        <v>177</v>
      </c>
      <c r="D55" s="192" t="s">
        <v>178</v>
      </c>
      <c r="E55" s="192" t="s">
        <v>179</v>
      </c>
      <c r="F55" s="192" t="s">
        <v>180</v>
      </c>
      <c r="G55" s="193"/>
      <c r="H55" s="192" t="s">
        <v>177</v>
      </c>
      <c r="I55" s="192" t="s">
        <v>178</v>
      </c>
      <c r="J55" s="192" t="s">
        <v>179</v>
      </c>
      <c r="K55" s="192" t="s">
        <v>180</v>
      </c>
      <c r="M55" s="215"/>
      <c r="W55" s="98"/>
    </row>
    <row r="56" spans="1:93" s="84" customFormat="1" ht="15.75" customHeight="1">
      <c r="A56" s="91"/>
      <c r="B56" s="194" t="str">
        <f>F10</f>
        <v>房屋建筑物</v>
      </c>
      <c r="C56" s="195">
        <f>SUMIF('FA list'!B:B,'K.01 Agree SL to GL'!B56,'FA list'!J:J)</f>
        <v>322612.2</v>
      </c>
      <c r="D56" s="195">
        <f>SUMIF('FA list'!B:B,'K.01 Agree SL to GL'!B56,'FA list'!K:K)</f>
        <v>34766.32</v>
      </c>
      <c r="E56" s="195">
        <f>SUMIF('FA list'!B:B,'K.01 Agree SL to GL'!B56,'FA list'!L:L)</f>
        <v>0</v>
      </c>
      <c r="F56" s="195">
        <f>C56-D56-E56</f>
        <v>287845.88</v>
      </c>
      <c r="H56" s="196">
        <f>C56-E19</f>
        <v>0</v>
      </c>
      <c r="I56" s="196">
        <f>D56-E25</f>
        <v>0</v>
      </c>
      <c r="J56" s="196">
        <f>E56-E31</f>
        <v>0</v>
      </c>
      <c r="K56" s="196">
        <f>F56-E33</f>
        <v>0</v>
      </c>
      <c r="M56" s="215"/>
      <c r="W56" s="98"/>
    </row>
    <row r="57" spans="1:93" s="84" customFormat="1" ht="15.75" customHeight="1">
      <c r="A57" s="91"/>
      <c r="B57" s="194" t="str">
        <f>I10</f>
        <v>机器设备</v>
      </c>
      <c r="C57" s="195">
        <f>SUMIF('FA list'!B:B,'K.01 Agree SL to GL'!B57,'FA list'!J:J)</f>
        <v>186543336.12999997</v>
      </c>
      <c r="D57" s="195">
        <f>SUMIF('FA list'!B:B,'K.01 Agree SL to GL'!B57,'FA list'!K:K)</f>
        <v>86031298.470000044</v>
      </c>
      <c r="E57" s="195">
        <f>SUMIF('FA list'!B:B,'K.01 Agree SL to GL'!B57,'FA list'!L:L)</f>
        <v>73838868.440000013</v>
      </c>
      <c r="F57" s="195">
        <f t="shared" ref="F57:F59" si="21">C57-D57-E57</f>
        <v>26673169.219999909</v>
      </c>
      <c r="H57" s="196">
        <f>C57-H19</f>
        <v>0</v>
      </c>
      <c r="I57" s="196">
        <f>D57-H25</f>
        <v>0</v>
      </c>
      <c r="J57" s="196">
        <f>E57-H31</f>
        <v>0</v>
      </c>
      <c r="K57" s="196">
        <f>F57-H33</f>
        <v>-8.9406967163085938E-8</v>
      </c>
      <c r="M57" s="215"/>
      <c r="W57" s="98"/>
    </row>
    <row r="58" spans="1:93" s="84" customFormat="1" ht="15.75" customHeight="1">
      <c r="A58" s="91"/>
      <c r="B58" s="194" t="str">
        <f>L10</f>
        <v>运输设备</v>
      </c>
      <c r="C58" s="195">
        <f>SUMIF('FA list'!B:B,'K.01 Agree SL to GL'!B58,'FA list'!J:J)</f>
        <v>809355.96000000008</v>
      </c>
      <c r="D58" s="195">
        <f>SUMIF('FA list'!B:B,'K.01 Agree SL to GL'!B58,'FA list'!K:K)</f>
        <v>276424.98000000004</v>
      </c>
      <c r="E58" s="195">
        <f>SUMIF('FA list'!B:B,'K.01 Agree SL to GL'!B58,'FA list'!L:L)</f>
        <v>196566.09999999998</v>
      </c>
      <c r="F58" s="195">
        <f t="shared" si="21"/>
        <v>336364.88</v>
      </c>
      <c r="H58" s="197">
        <f>C58-K19</f>
        <v>0</v>
      </c>
      <c r="I58" s="197">
        <f>D58-K25</f>
        <v>0</v>
      </c>
      <c r="J58" s="197">
        <f>E58-K31</f>
        <v>0</v>
      </c>
      <c r="K58" s="197">
        <f>F58-K33</f>
        <v>0</v>
      </c>
      <c r="M58" s="215"/>
      <c r="W58" s="98"/>
    </row>
    <row r="59" spans="1:93" s="84" customFormat="1" ht="15.75" customHeight="1">
      <c r="A59" s="91"/>
      <c r="B59" s="194" t="str">
        <f>O10</f>
        <v>电子产品及通讯设备</v>
      </c>
      <c r="C59" s="195">
        <f>SUMIF('FA list'!B:B,'K.01 Agree SL to GL'!B59,'FA list'!J:J)</f>
        <v>319433.47000000009</v>
      </c>
      <c r="D59" s="195">
        <f>SUMIF('FA list'!B:B,'K.01 Agree SL to GL'!B59,'FA list'!K:K)</f>
        <v>136483.96000000002</v>
      </c>
      <c r="E59" s="195">
        <f>SUMIF('FA list'!B:B,'K.01 Agree SL to GL'!B59,'FA list'!L:L)</f>
        <v>0</v>
      </c>
      <c r="F59" s="195">
        <f t="shared" si="21"/>
        <v>182949.51000000007</v>
      </c>
      <c r="H59" s="196">
        <f>C59-N19</f>
        <v>0</v>
      </c>
      <c r="I59" s="196">
        <f>D59-N25</f>
        <v>0</v>
      </c>
      <c r="J59" s="196">
        <f>E59-N31</f>
        <v>0</v>
      </c>
      <c r="K59" s="196">
        <f>F59-N33</f>
        <v>0</v>
      </c>
      <c r="M59" s="215"/>
      <c r="W59" s="98"/>
    </row>
    <row r="60" spans="1:93" s="84" customFormat="1" ht="15.75" customHeight="1">
      <c r="A60" s="198"/>
      <c r="B60" s="194"/>
      <c r="C60" s="195"/>
      <c r="D60" s="195"/>
      <c r="E60" s="195"/>
      <c r="F60" s="195"/>
      <c r="G60" s="121"/>
      <c r="H60" s="199"/>
      <c r="I60" s="199"/>
      <c r="J60" s="199"/>
      <c r="K60" s="199"/>
      <c r="M60" s="216"/>
      <c r="W60" s="98"/>
    </row>
    <row r="61" spans="1:93" s="121" customFormat="1" ht="15.75" customHeight="1">
      <c r="A61" s="47"/>
      <c r="B61" s="194"/>
      <c r="C61" s="195"/>
      <c r="D61" s="195"/>
      <c r="E61" s="195"/>
      <c r="F61" s="195"/>
      <c r="H61" s="199"/>
      <c r="I61" s="199"/>
      <c r="J61" s="199"/>
      <c r="K61" s="199"/>
      <c r="M61" s="216"/>
      <c r="V61" s="84"/>
      <c r="W61" s="98"/>
    </row>
    <row r="62" spans="1:93" s="84" customFormat="1" ht="15.6" customHeight="1">
      <c r="A62" s="200"/>
      <c r="B62" s="201" t="s">
        <v>181</v>
      </c>
      <c r="C62" s="202">
        <f>SUM(C56:C61)</f>
        <v>187994737.75999996</v>
      </c>
      <c r="D62" s="202">
        <f>SUM(D56:D61)</f>
        <v>86478973.730000034</v>
      </c>
      <c r="E62" s="202">
        <f>SUM(E56:E61)</f>
        <v>74035434.540000007</v>
      </c>
      <c r="F62" s="202">
        <f>SUM(F56:F61)</f>
        <v>27480329.489999909</v>
      </c>
      <c r="G62" s="203"/>
      <c r="H62" s="56">
        <f>C62-Q19</f>
        <v>0</v>
      </c>
      <c r="I62" s="196">
        <f>D62-Q25</f>
        <v>0</v>
      </c>
      <c r="J62" s="196">
        <f>E62-Q31</f>
        <v>0</v>
      </c>
      <c r="K62" s="196">
        <f>F62-Q33</f>
        <v>-7.0780515670776367E-8</v>
      </c>
      <c r="M62" s="216"/>
      <c r="W62" s="98"/>
    </row>
    <row r="63" spans="1:93" s="122" customFormat="1" ht="13.8">
      <c r="A63" s="198"/>
      <c r="C63" s="204" t="s">
        <v>77</v>
      </c>
      <c r="D63" s="204" t="s">
        <v>77</v>
      </c>
      <c r="E63" s="204" t="s">
        <v>77</v>
      </c>
      <c r="F63" s="204" t="s">
        <v>77</v>
      </c>
      <c r="L63" s="217"/>
      <c r="M63" s="217"/>
      <c r="N63" s="217"/>
      <c r="V63" s="84"/>
      <c r="W63" s="98"/>
    </row>
    <row r="64" spans="1:93" s="122" customFormat="1" ht="13.8">
      <c r="A64" s="198"/>
      <c r="C64" s="204"/>
      <c r="D64" s="204"/>
      <c r="E64" s="204"/>
      <c r="F64" s="204"/>
      <c r="L64" s="217"/>
      <c r="M64" s="217"/>
      <c r="N64" s="217"/>
      <c r="V64" s="84"/>
      <c r="W64" s="98"/>
    </row>
    <row r="65" spans="1:23" s="120" customFormat="1" ht="15">
      <c r="A65" s="181"/>
      <c r="B65" s="205" t="s">
        <v>182</v>
      </c>
      <c r="C65" s="206"/>
      <c r="D65" s="207"/>
      <c r="E65" s="207"/>
      <c r="F65" s="207"/>
      <c r="G65" s="207"/>
      <c r="H65" s="207"/>
      <c r="I65" s="207"/>
      <c r="J65" s="207"/>
      <c r="K65" s="218"/>
      <c r="L65" s="207"/>
      <c r="M65" s="218"/>
      <c r="N65" s="218"/>
      <c r="O65" s="207"/>
      <c r="P65" s="207"/>
      <c r="Q65" s="207"/>
      <c r="R65" s="207"/>
      <c r="S65" s="218"/>
      <c r="T65" s="230"/>
      <c r="V65" s="84"/>
      <c r="W65" s="98"/>
    </row>
    <row r="66" spans="1:23" s="84" customFormat="1" ht="13.8">
      <c r="A66" s="91"/>
      <c r="B66" s="557" t="s">
        <v>687</v>
      </c>
      <c r="C66" s="558"/>
      <c r="D66" s="558"/>
      <c r="E66" s="558"/>
      <c r="F66" s="559"/>
      <c r="G66" s="124"/>
      <c r="H66" s="124"/>
      <c r="I66" s="124"/>
      <c r="J66" s="124"/>
      <c r="K66" s="126"/>
      <c r="L66" s="124"/>
      <c r="M66" s="124"/>
      <c r="N66" s="124"/>
      <c r="O66" s="124"/>
      <c r="W66" s="98"/>
    </row>
    <row r="67" spans="1:23" s="84" customFormat="1" ht="13.8">
      <c r="A67" s="91"/>
      <c r="B67" s="560"/>
      <c r="C67" s="561"/>
      <c r="D67" s="561"/>
      <c r="E67" s="561"/>
      <c r="F67" s="562"/>
      <c r="G67" s="124"/>
      <c r="H67" s="124"/>
      <c r="I67" s="124"/>
      <c r="J67" s="124"/>
      <c r="K67" s="126"/>
      <c r="L67" s="124"/>
      <c r="M67" s="124"/>
      <c r="N67" s="124"/>
      <c r="O67" s="124"/>
      <c r="W67" s="98"/>
    </row>
    <row r="68" spans="1:23" s="84" customFormat="1" ht="13.8">
      <c r="A68" s="91"/>
      <c r="B68" s="560"/>
      <c r="C68" s="561"/>
      <c r="D68" s="561"/>
      <c r="E68" s="561"/>
      <c r="F68" s="562"/>
      <c r="G68" s="124"/>
      <c r="H68" s="124"/>
      <c r="I68" s="124"/>
      <c r="J68" s="124"/>
      <c r="K68" s="126"/>
      <c r="L68" s="124"/>
      <c r="M68" s="124"/>
      <c r="N68" s="124"/>
      <c r="O68" s="124"/>
      <c r="W68" s="98"/>
    </row>
    <row r="69" spans="1:23" s="84" customFormat="1" ht="13.8">
      <c r="A69" s="91"/>
      <c r="B69" s="563"/>
      <c r="C69" s="564"/>
      <c r="D69" s="564"/>
      <c r="E69" s="564"/>
      <c r="F69" s="565"/>
      <c r="G69" s="124"/>
      <c r="H69" s="124"/>
      <c r="I69" s="124"/>
      <c r="J69" s="124"/>
      <c r="K69" s="126"/>
      <c r="L69" s="124"/>
      <c r="M69" s="124"/>
      <c r="N69" s="124"/>
      <c r="O69" s="124"/>
      <c r="W69" s="98"/>
    </row>
    <row r="70" spans="1:23" s="84" customFormat="1" ht="13.8">
      <c r="A70" s="91"/>
      <c r="B70" s="232"/>
      <c r="C70" s="232"/>
      <c r="D70" s="232"/>
      <c r="E70" s="232"/>
      <c r="F70" s="232"/>
      <c r="G70" s="124"/>
      <c r="H70" s="124"/>
      <c r="I70" s="124"/>
      <c r="J70" s="124"/>
      <c r="K70" s="126"/>
      <c r="L70" s="124"/>
      <c r="M70" s="124"/>
      <c r="N70" s="124"/>
      <c r="O70" s="124"/>
      <c r="W70" s="98"/>
    </row>
    <row r="71" spans="1:23" s="48" customFormat="1" ht="15.6">
      <c r="A71" s="47"/>
      <c r="B71" s="233" t="s">
        <v>183</v>
      </c>
      <c r="D71" s="234"/>
      <c r="E71" s="234"/>
      <c r="F71" s="234"/>
      <c r="G71" s="235"/>
      <c r="I71" s="258"/>
      <c r="J71" s="235"/>
      <c r="K71" s="235"/>
      <c r="M71" s="235"/>
      <c r="W71" s="98"/>
    </row>
    <row r="72" spans="1:23" s="48" customFormat="1" ht="15.6">
      <c r="A72" s="47"/>
      <c r="B72" s="236" t="s">
        <v>184</v>
      </c>
      <c r="G72" s="49"/>
      <c r="J72" s="50"/>
      <c r="W72" s="98"/>
    </row>
    <row r="73" spans="1:23" s="48" customFormat="1" ht="15.6">
      <c r="A73" s="91"/>
      <c r="B73" s="137" t="s">
        <v>185</v>
      </c>
      <c r="C73" s="237"/>
      <c r="D73" s="237"/>
      <c r="E73" s="238"/>
      <c r="F73" s="239"/>
      <c r="G73" s="240"/>
      <c r="I73" s="124"/>
      <c r="J73" s="124"/>
      <c r="K73" s="124"/>
      <c r="L73" s="84"/>
      <c r="M73" s="126"/>
      <c r="N73" s="124"/>
      <c r="P73" s="84"/>
      <c r="Q73" s="84"/>
      <c r="R73" s="84"/>
      <c r="S73" s="84"/>
      <c r="T73" s="84"/>
      <c r="W73" s="98"/>
    </row>
    <row r="74" spans="1:23" s="48" customFormat="1" ht="15.6">
      <c r="A74" s="91"/>
      <c r="B74" s="241" t="s">
        <v>186</v>
      </c>
      <c r="C74" s="136" t="s">
        <v>187</v>
      </c>
      <c r="D74" s="70" t="s">
        <v>188</v>
      </c>
      <c r="E74" s="70" t="s">
        <v>189</v>
      </c>
      <c r="F74" s="136" t="s">
        <v>190</v>
      </c>
      <c r="G74" s="242"/>
      <c r="I74" s="124"/>
      <c r="J74" s="124"/>
      <c r="K74" s="124"/>
      <c r="L74" s="84"/>
      <c r="M74" s="126"/>
      <c r="N74" s="124"/>
      <c r="P74" s="84"/>
      <c r="Q74" s="84"/>
      <c r="R74" s="84"/>
      <c r="S74" s="84"/>
      <c r="T74" s="84"/>
      <c r="W74" s="98"/>
    </row>
    <row r="75" spans="1:23" s="48" customFormat="1" ht="12.75" customHeight="1">
      <c r="A75" s="91"/>
      <c r="B75" s="585" t="s">
        <v>774</v>
      </c>
      <c r="C75" s="52">
        <v>5500</v>
      </c>
      <c r="D75" s="415" t="s">
        <v>689</v>
      </c>
      <c r="E75" s="121" t="s">
        <v>191</v>
      </c>
      <c r="F75" s="57">
        <v>18575162.25</v>
      </c>
      <c r="G75" s="242"/>
      <c r="I75" s="124"/>
      <c r="J75" s="124"/>
      <c r="K75" s="124"/>
      <c r="L75" s="84"/>
      <c r="M75" s="126"/>
      <c r="N75" s="124"/>
      <c r="P75" s="84"/>
      <c r="Q75" s="84"/>
      <c r="R75" s="84"/>
      <c r="S75" s="84"/>
      <c r="T75" s="84"/>
      <c r="W75" s="98"/>
    </row>
    <row r="76" spans="1:23" s="48" customFormat="1" ht="12.75" customHeight="1">
      <c r="A76" s="91"/>
      <c r="B76" s="585" t="s">
        <v>774</v>
      </c>
      <c r="C76" s="52">
        <v>5500</v>
      </c>
      <c r="D76" s="415" t="s">
        <v>688</v>
      </c>
      <c r="E76" s="48" t="s">
        <v>192</v>
      </c>
      <c r="F76" s="57">
        <v>54686.96</v>
      </c>
      <c r="G76" s="464"/>
      <c r="I76" s="124"/>
      <c r="J76" s="124"/>
      <c r="K76" s="124"/>
      <c r="L76" s="84"/>
      <c r="M76" s="126"/>
      <c r="N76" s="124"/>
      <c r="P76" s="84"/>
      <c r="Q76" s="84"/>
      <c r="R76" s="84"/>
      <c r="S76" s="84"/>
      <c r="T76" s="84"/>
      <c r="W76" s="98"/>
    </row>
    <row r="77" spans="1:23" s="48" customFormat="1" ht="12.75" customHeight="1">
      <c r="A77" s="91"/>
      <c r="B77" s="243"/>
      <c r="C77" s="52"/>
      <c r="D77" s="244"/>
      <c r="E77" s="48" t="s">
        <v>193</v>
      </c>
      <c r="F77" s="57"/>
      <c r="G77" s="242"/>
      <c r="I77" s="124"/>
      <c r="J77" s="124"/>
      <c r="K77" s="124"/>
      <c r="L77" s="84"/>
      <c r="M77" s="126"/>
      <c r="N77" s="124"/>
      <c r="P77" s="84"/>
      <c r="Q77" s="84"/>
      <c r="R77" s="84"/>
      <c r="S77" s="84"/>
      <c r="T77" s="84"/>
      <c r="W77" s="98"/>
    </row>
    <row r="78" spans="1:23" s="48" customFormat="1" ht="12.75" customHeight="1">
      <c r="A78" s="91"/>
      <c r="B78" s="243"/>
      <c r="C78" s="52"/>
      <c r="D78" s="52"/>
      <c r="E78" s="48" t="s">
        <v>145</v>
      </c>
      <c r="F78" s="57"/>
      <c r="G78" s="242"/>
      <c r="I78" s="124"/>
      <c r="J78" s="124"/>
      <c r="K78" s="124"/>
      <c r="L78" s="84"/>
      <c r="M78" s="126"/>
      <c r="N78" s="124"/>
      <c r="P78" s="84"/>
      <c r="Q78" s="84"/>
      <c r="R78" s="84"/>
      <c r="S78" s="84"/>
      <c r="T78" s="84"/>
      <c r="W78" s="98"/>
    </row>
    <row r="79" spans="1:23" s="48" customFormat="1" ht="12.75" customHeight="1">
      <c r="A79" s="91"/>
      <c r="B79" s="245"/>
      <c r="E79" s="48" t="s">
        <v>194</v>
      </c>
      <c r="F79" s="246">
        <f>SUM(F75:F78)</f>
        <v>18629849.210000001</v>
      </c>
      <c r="G79" s="242"/>
      <c r="I79" s="124"/>
      <c r="J79" s="124"/>
      <c r="K79" s="124"/>
      <c r="L79" s="84"/>
      <c r="M79" s="126"/>
      <c r="N79" s="124"/>
      <c r="P79" s="84"/>
      <c r="Q79" s="84"/>
      <c r="R79" s="84"/>
      <c r="S79" s="84"/>
      <c r="T79" s="84"/>
      <c r="W79" s="98"/>
    </row>
    <row r="80" spans="1:23" s="48" customFormat="1" ht="12.75" customHeight="1">
      <c r="A80" s="91"/>
      <c r="B80" s="247" t="s">
        <v>195</v>
      </c>
      <c r="C80" s="47"/>
      <c r="D80" s="91" t="s">
        <v>59</v>
      </c>
      <c r="E80" s="48" t="s">
        <v>196</v>
      </c>
      <c r="F80" s="248">
        <f>Q21</f>
        <v>18629849.209999997</v>
      </c>
      <c r="G80" s="242"/>
      <c r="I80" s="124"/>
      <c r="J80" s="124"/>
      <c r="K80" s="124"/>
      <c r="L80" s="84"/>
      <c r="M80" s="126"/>
      <c r="N80" s="124"/>
      <c r="P80" s="84"/>
      <c r="Q80" s="84"/>
      <c r="R80" s="84"/>
      <c r="S80" s="84"/>
      <c r="T80" s="84"/>
      <c r="W80" s="98"/>
    </row>
    <row r="81" spans="1:23" s="48" customFormat="1" ht="12.75" customHeight="1">
      <c r="A81" s="91"/>
      <c r="B81" s="245"/>
      <c r="E81" s="48" t="s">
        <v>197</v>
      </c>
      <c r="F81" s="249">
        <f>F79-F80</f>
        <v>0</v>
      </c>
      <c r="G81" s="242"/>
      <c r="I81" s="124"/>
      <c r="J81" s="124"/>
      <c r="K81" s="124"/>
      <c r="L81" s="84"/>
      <c r="M81" s="126"/>
      <c r="N81" s="124"/>
      <c r="P81" s="84"/>
      <c r="Q81" s="84"/>
      <c r="R81" s="84"/>
      <c r="S81" s="84"/>
      <c r="T81" s="84"/>
      <c r="W81" s="98"/>
    </row>
    <row r="82" spans="1:23" s="48" customFormat="1" ht="12.75" customHeight="1">
      <c r="A82" s="91"/>
      <c r="B82" s="139"/>
      <c r="C82" s="250"/>
      <c r="D82" s="250"/>
      <c r="E82" s="250"/>
      <c r="F82" s="250"/>
      <c r="G82" s="251"/>
      <c r="I82" s="124"/>
      <c r="J82" s="124"/>
      <c r="K82" s="124"/>
      <c r="L82" s="84"/>
      <c r="M82" s="126"/>
      <c r="N82" s="124"/>
      <c r="P82" s="84"/>
      <c r="Q82" s="84"/>
      <c r="R82" s="84"/>
      <c r="S82" s="84"/>
      <c r="T82" s="84"/>
      <c r="W82" s="98"/>
    </row>
    <row r="83" spans="1:23" s="48" customFormat="1" ht="12.75" customHeight="1">
      <c r="A83" s="47"/>
      <c r="F83" s="49"/>
      <c r="I83" s="50"/>
      <c r="W83" s="98"/>
    </row>
    <row r="84" spans="1:23" s="48" customFormat="1" ht="12.75" customHeight="1">
      <c r="A84" s="47"/>
      <c r="B84" s="64" t="s">
        <v>113</v>
      </c>
      <c r="C84" s="252"/>
      <c r="D84" s="253"/>
      <c r="E84" s="253"/>
      <c r="F84" s="253"/>
      <c r="G84" s="253"/>
      <c r="H84" s="253"/>
      <c r="I84" s="253"/>
      <c r="J84" s="259"/>
      <c r="K84" s="253"/>
      <c r="N84" s="260"/>
      <c r="W84" s="98"/>
    </row>
    <row r="85" spans="1:23" s="48" customFormat="1" ht="12.75" customHeight="1">
      <c r="A85" s="47"/>
      <c r="B85" s="566" t="s">
        <v>690</v>
      </c>
      <c r="C85" s="567"/>
      <c r="D85" s="567"/>
      <c r="E85" s="567"/>
      <c r="F85" s="567"/>
      <c r="G85" s="568"/>
      <c r="H85" s="253"/>
      <c r="I85" s="47"/>
      <c r="W85" s="98"/>
    </row>
    <row r="86" spans="1:23" s="48" customFormat="1" ht="12.75" customHeight="1">
      <c r="B86" s="569"/>
      <c r="C86" s="570"/>
      <c r="D86" s="570"/>
      <c r="E86" s="570"/>
      <c r="F86" s="570"/>
      <c r="G86" s="571"/>
      <c r="H86" s="253"/>
      <c r="I86" s="47"/>
      <c r="J86" s="253"/>
      <c r="K86" s="253"/>
      <c r="W86" s="98"/>
    </row>
    <row r="87" spans="1:23" s="48" customFormat="1" ht="12.75" customHeight="1">
      <c r="B87" s="572"/>
      <c r="C87" s="573"/>
      <c r="D87" s="573"/>
      <c r="E87" s="573"/>
      <c r="F87" s="573"/>
      <c r="G87" s="574"/>
      <c r="I87" s="50"/>
      <c r="W87" s="98"/>
    </row>
    <row r="88" spans="1:23" s="84" customFormat="1" ht="15" customHeight="1">
      <c r="A88" s="91"/>
      <c r="B88" s="124"/>
      <c r="C88" s="124"/>
      <c r="D88" s="124"/>
      <c r="E88" s="124"/>
      <c r="F88" s="125"/>
      <c r="G88" s="124"/>
      <c r="H88" s="124"/>
      <c r="I88" s="124"/>
      <c r="J88" s="124"/>
      <c r="K88" s="126"/>
      <c r="L88" s="124"/>
      <c r="M88" s="124"/>
      <c r="N88" s="124"/>
      <c r="O88" s="124"/>
      <c r="W88" s="98"/>
    </row>
    <row r="89" spans="1:23" ht="7.5" customHeight="1">
      <c r="A89" s="98"/>
      <c r="B89" s="98"/>
      <c r="C89" s="98"/>
      <c r="D89" s="98"/>
      <c r="E89" s="98"/>
      <c r="F89" s="98"/>
      <c r="G89" s="98"/>
      <c r="H89" s="98"/>
      <c r="I89" s="98"/>
      <c r="J89" s="106"/>
      <c r="K89" s="98"/>
      <c r="L89" s="98"/>
      <c r="M89" s="98"/>
      <c r="N89" s="98"/>
      <c r="O89" s="98"/>
      <c r="P89" s="98"/>
      <c r="Q89" s="98"/>
      <c r="R89" s="98"/>
      <c r="S89" s="98"/>
      <c r="T89" s="98"/>
      <c r="U89" s="98"/>
      <c r="V89" s="98"/>
      <c r="W89" s="98"/>
    </row>
    <row r="90" spans="1:23" ht="22.5" customHeight="1"/>
    <row r="93" spans="1:23" ht="12.75" customHeight="1">
      <c r="F93" s="254"/>
    </row>
    <row r="99" spans="1:16" ht="12.75" customHeight="1">
      <c r="B99" s="255"/>
      <c r="C99" s="255"/>
      <c r="D99" s="255"/>
      <c r="E99" s="256"/>
      <c r="F99" s="255"/>
      <c r="G99" s="255"/>
      <c r="H99" s="255"/>
      <c r="I99" s="255"/>
      <c r="J99" s="261"/>
      <c r="K99" s="255"/>
      <c r="L99" s="255"/>
      <c r="M99" s="255"/>
    </row>
    <row r="100" spans="1:16" ht="12.75" customHeight="1">
      <c r="B100" s="255"/>
      <c r="C100" s="255"/>
      <c r="D100" s="255"/>
      <c r="E100" s="256"/>
      <c r="F100" s="255"/>
      <c r="G100" s="255"/>
      <c r="H100" s="255"/>
      <c r="I100" s="255"/>
      <c r="J100" s="261"/>
      <c r="K100" s="255"/>
      <c r="L100" s="255"/>
      <c r="M100" s="255"/>
    </row>
    <row r="101" spans="1:16" ht="12.75" customHeight="1">
      <c r="B101" s="255"/>
      <c r="C101" s="255"/>
      <c r="D101" s="255"/>
      <c r="E101" s="256"/>
      <c r="F101" s="255"/>
      <c r="G101" s="255"/>
      <c r="H101" s="255"/>
      <c r="I101" s="255"/>
      <c r="J101" s="261"/>
      <c r="K101" s="255"/>
      <c r="L101" s="255"/>
      <c r="M101" s="255"/>
    </row>
    <row r="102" spans="1:16" ht="12.75" customHeight="1">
      <c r="B102" s="255"/>
      <c r="C102" s="255"/>
      <c r="D102" s="255"/>
      <c r="E102" s="256"/>
      <c r="F102" s="255"/>
      <c r="G102" s="255"/>
      <c r="H102" s="255"/>
      <c r="I102" s="255"/>
      <c r="J102" s="261"/>
      <c r="K102" s="255"/>
      <c r="L102" s="255"/>
      <c r="M102" s="255"/>
    </row>
    <row r="103" spans="1:16" ht="12.75" customHeight="1">
      <c r="B103" s="255"/>
      <c r="C103" s="255"/>
      <c r="D103" s="255"/>
      <c r="E103" s="256"/>
      <c r="F103" s="255"/>
      <c r="G103" s="255"/>
      <c r="H103" s="255"/>
      <c r="I103" s="255"/>
      <c r="J103" s="261"/>
      <c r="K103" s="255"/>
      <c r="L103" s="255"/>
      <c r="M103" s="255"/>
    </row>
    <row r="104" spans="1:16" ht="12.75" customHeight="1">
      <c r="B104" s="255"/>
      <c r="C104" s="255"/>
      <c r="D104" s="255"/>
      <c r="E104" s="256"/>
      <c r="F104" s="255"/>
      <c r="G104" s="255"/>
      <c r="H104" s="255"/>
      <c r="I104" s="255"/>
      <c r="J104" s="261"/>
      <c r="K104" s="255"/>
      <c r="L104" s="255"/>
      <c r="M104" s="255"/>
    </row>
    <row r="105" spans="1:16" ht="12.75" customHeight="1">
      <c r="B105" s="255"/>
      <c r="C105" s="255"/>
      <c r="D105" s="255"/>
      <c r="E105" s="256"/>
      <c r="F105" s="255"/>
      <c r="G105" s="255"/>
      <c r="H105" s="255"/>
      <c r="I105" s="255"/>
      <c r="J105" s="261"/>
      <c r="K105" s="255"/>
      <c r="L105" s="255"/>
      <c r="M105" s="255"/>
    </row>
    <row r="106" spans="1:16" ht="12.75" customHeight="1">
      <c r="B106" s="255"/>
      <c r="C106" s="255"/>
      <c r="D106" s="255"/>
      <c r="E106" s="256"/>
      <c r="F106" s="255"/>
      <c r="G106" s="255"/>
      <c r="H106" s="255"/>
      <c r="I106" s="255"/>
      <c r="J106" s="261"/>
      <c r="K106" s="255"/>
      <c r="L106" s="255"/>
      <c r="M106" s="255"/>
    </row>
    <row r="107" spans="1:16" ht="12.75" customHeight="1">
      <c r="B107" s="255"/>
      <c r="C107" s="255"/>
      <c r="D107" s="255"/>
      <c r="E107" s="256"/>
      <c r="F107" s="255"/>
      <c r="G107" s="255"/>
      <c r="H107" s="255"/>
      <c r="I107" s="255"/>
      <c r="J107" s="261"/>
      <c r="K107" s="255"/>
      <c r="L107" s="255"/>
      <c r="M107" s="255"/>
    </row>
    <row r="108" spans="1:16" ht="12.75" customHeight="1">
      <c r="B108" s="255"/>
      <c r="C108" s="255"/>
      <c r="D108" s="255"/>
      <c r="E108" s="256"/>
      <c r="F108" s="255"/>
      <c r="G108" s="255"/>
      <c r="H108" s="255"/>
      <c r="I108" s="255"/>
      <c r="J108" s="261"/>
      <c r="K108" s="255"/>
      <c r="L108" s="255"/>
      <c r="M108" s="255"/>
    </row>
    <row r="109" spans="1:16" s="84" customFormat="1" ht="12.75" customHeight="1">
      <c r="A109" s="91"/>
      <c r="B109" s="257"/>
      <c r="C109" s="255"/>
      <c r="D109" s="255"/>
      <c r="E109" s="255"/>
      <c r="F109" s="256"/>
      <c r="G109" s="255"/>
      <c r="H109" s="255"/>
      <c r="I109" s="255"/>
      <c r="J109" s="255"/>
      <c r="K109" s="261"/>
      <c r="L109" s="255"/>
      <c r="M109" s="255"/>
      <c r="N109" s="255"/>
      <c r="P109" s="124"/>
    </row>
    <row r="119" spans="1:16" s="84" customFormat="1" ht="12.75" customHeight="1">
      <c r="A119" s="91"/>
      <c r="C119" s="124"/>
      <c r="D119" s="124"/>
      <c r="E119" s="124"/>
      <c r="F119" s="124"/>
      <c r="G119" s="125"/>
      <c r="H119" s="124"/>
      <c r="I119" s="124"/>
      <c r="J119" s="124"/>
      <c r="K119" s="124"/>
      <c r="L119" s="126"/>
      <c r="M119" s="124"/>
      <c r="N119" s="124"/>
      <c r="O119" s="124"/>
      <c r="P119" s="124"/>
    </row>
    <row r="120" spans="1:16" s="84" customFormat="1" ht="12.75" customHeight="1">
      <c r="A120" s="91"/>
      <c r="C120" s="124"/>
      <c r="D120" s="124"/>
      <c r="E120" s="124"/>
      <c r="F120" s="124"/>
      <c r="G120" s="125"/>
      <c r="H120" s="124"/>
      <c r="I120" s="124"/>
      <c r="J120" s="124"/>
      <c r="K120" s="124"/>
      <c r="L120" s="126"/>
      <c r="M120" s="124"/>
      <c r="N120" s="124"/>
      <c r="O120" s="124"/>
      <c r="P120" s="124"/>
    </row>
    <row r="121" spans="1:16" s="84" customFormat="1" ht="12.75" customHeight="1">
      <c r="A121" s="91"/>
      <c r="C121" s="124"/>
      <c r="D121" s="124"/>
      <c r="E121" s="124"/>
      <c r="F121" s="124"/>
      <c r="G121" s="125"/>
      <c r="H121" s="124"/>
      <c r="I121" s="124"/>
      <c r="J121" s="124"/>
      <c r="K121" s="124"/>
      <c r="L121" s="126"/>
      <c r="M121" s="124"/>
      <c r="N121" s="124"/>
      <c r="O121" s="124"/>
      <c r="P121" s="124"/>
    </row>
    <row r="122" spans="1:16" s="84" customFormat="1" ht="12.75" customHeight="1">
      <c r="A122" s="91"/>
      <c r="C122" s="124"/>
      <c r="D122" s="124"/>
      <c r="E122" s="124"/>
      <c r="F122" s="124"/>
      <c r="G122" s="125"/>
      <c r="H122" s="124"/>
      <c r="I122" s="124"/>
      <c r="J122" s="124"/>
      <c r="K122" s="124"/>
      <c r="L122" s="126"/>
      <c r="M122" s="124"/>
      <c r="N122" s="124"/>
      <c r="O122" s="124"/>
      <c r="P122" s="124"/>
    </row>
    <row r="123" spans="1:16" s="84" customFormat="1" ht="12.75" customHeight="1">
      <c r="A123" s="91"/>
      <c r="C123" s="124"/>
      <c r="D123" s="124"/>
      <c r="E123" s="124"/>
      <c r="F123" s="124"/>
      <c r="G123" s="125"/>
      <c r="H123" s="124"/>
      <c r="I123" s="124"/>
      <c r="J123" s="124"/>
      <c r="K123" s="124"/>
      <c r="L123" s="126"/>
      <c r="M123" s="124"/>
      <c r="N123" s="124"/>
      <c r="O123" s="124"/>
      <c r="P123" s="124"/>
    </row>
    <row r="124" spans="1:16" s="84" customFormat="1" ht="12.75" customHeight="1">
      <c r="A124" s="91"/>
      <c r="C124" s="124"/>
      <c r="D124" s="124"/>
      <c r="E124" s="124"/>
      <c r="F124" s="124"/>
      <c r="G124" s="125"/>
      <c r="H124" s="124"/>
      <c r="I124" s="124"/>
      <c r="J124" s="124"/>
      <c r="K124" s="124"/>
      <c r="L124" s="126"/>
      <c r="M124" s="124"/>
      <c r="N124" s="124"/>
      <c r="O124" s="124"/>
      <c r="P124" s="124"/>
    </row>
    <row r="125" spans="1:16" s="84" customFormat="1" ht="12.75" customHeight="1">
      <c r="A125" s="91"/>
      <c r="C125" s="124"/>
      <c r="D125" s="124"/>
      <c r="E125" s="124"/>
      <c r="F125" s="124"/>
      <c r="G125" s="125"/>
      <c r="H125" s="124"/>
      <c r="I125" s="124"/>
      <c r="J125" s="124"/>
      <c r="K125" s="124"/>
      <c r="L125" s="126"/>
      <c r="M125" s="124"/>
      <c r="N125" s="124"/>
      <c r="O125" s="124"/>
      <c r="P125" s="124"/>
    </row>
    <row r="126" spans="1:16" s="84" customFormat="1" ht="12.75" customHeight="1">
      <c r="A126" s="91"/>
      <c r="C126" s="124"/>
      <c r="D126" s="124"/>
      <c r="E126" s="124"/>
      <c r="F126" s="124"/>
      <c r="G126" s="125"/>
      <c r="H126" s="124"/>
      <c r="I126" s="124"/>
      <c r="J126" s="124"/>
      <c r="K126" s="124"/>
      <c r="L126" s="126"/>
      <c r="M126" s="124"/>
      <c r="N126" s="124"/>
      <c r="O126" s="124"/>
      <c r="P126" s="124"/>
    </row>
    <row r="127" spans="1:16" s="84" customFormat="1" ht="12.75" customHeight="1">
      <c r="A127" s="91"/>
      <c r="C127" s="124"/>
      <c r="D127" s="124"/>
      <c r="E127" s="124"/>
      <c r="F127" s="124"/>
      <c r="G127" s="125"/>
      <c r="H127" s="124"/>
      <c r="I127" s="124"/>
      <c r="J127" s="124"/>
      <c r="K127" s="124"/>
      <c r="L127" s="126"/>
      <c r="M127" s="124"/>
      <c r="N127" s="124"/>
      <c r="O127" s="124"/>
      <c r="P127" s="124"/>
    </row>
    <row r="128" spans="1:16" s="84" customFormat="1" ht="12.75" customHeight="1">
      <c r="A128" s="91"/>
      <c r="C128" s="124"/>
      <c r="D128" s="124"/>
      <c r="E128" s="124"/>
      <c r="F128" s="124"/>
      <c r="G128" s="125"/>
      <c r="H128" s="124"/>
      <c r="I128" s="124"/>
      <c r="J128" s="124"/>
      <c r="K128" s="124"/>
      <c r="L128" s="126"/>
      <c r="M128" s="124"/>
      <c r="N128" s="124"/>
      <c r="O128" s="124"/>
      <c r="P128" s="124"/>
    </row>
    <row r="129" spans="1:16" s="84" customFormat="1" ht="12.75" customHeight="1">
      <c r="A129" s="91"/>
      <c r="C129" s="124"/>
      <c r="D129" s="124"/>
      <c r="E129" s="124"/>
      <c r="F129" s="124"/>
      <c r="G129" s="125"/>
      <c r="H129" s="124"/>
      <c r="I129" s="124"/>
      <c r="J129" s="124"/>
      <c r="K129" s="124"/>
      <c r="L129" s="126"/>
      <c r="M129" s="124"/>
      <c r="N129" s="124"/>
      <c r="O129" s="124"/>
      <c r="P129" s="124"/>
    </row>
    <row r="130" spans="1:16" s="84" customFormat="1" ht="12.75" customHeight="1">
      <c r="A130" s="91"/>
      <c r="C130" s="124"/>
      <c r="D130" s="124"/>
      <c r="E130" s="124"/>
      <c r="F130" s="124"/>
      <c r="G130" s="125"/>
      <c r="H130" s="124"/>
      <c r="I130" s="124"/>
      <c r="J130" s="124"/>
      <c r="K130" s="124"/>
      <c r="L130" s="126"/>
      <c r="M130" s="124"/>
      <c r="N130" s="124"/>
      <c r="O130" s="124"/>
      <c r="P130" s="124"/>
    </row>
    <row r="131" spans="1:16" s="84" customFormat="1" ht="12.75" customHeight="1">
      <c r="A131" s="91"/>
      <c r="C131" s="124"/>
      <c r="D131" s="124"/>
      <c r="E131" s="124"/>
      <c r="F131" s="124"/>
      <c r="G131" s="125"/>
      <c r="H131" s="124"/>
      <c r="I131" s="124"/>
      <c r="J131" s="124"/>
      <c r="K131" s="124"/>
      <c r="L131" s="126"/>
      <c r="M131" s="124"/>
      <c r="N131" s="124"/>
      <c r="O131" s="124"/>
      <c r="P131" s="124"/>
    </row>
    <row r="132" spans="1:16" s="84" customFormat="1" ht="12.75" customHeight="1">
      <c r="A132" s="91"/>
      <c r="C132" s="124"/>
      <c r="D132" s="124"/>
      <c r="E132" s="124"/>
      <c r="F132" s="124"/>
      <c r="G132" s="125"/>
      <c r="H132" s="124"/>
      <c r="I132" s="124"/>
      <c r="J132" s="124"/>
      <c r="K132" s="124"/>
      <c r="L132" s="126"/>
      <c r="M132" s="124"/>
      <c r="N132" s="124"/>
      <c r="O132" s="124"/>
      <c r="P132" s="124"/>
    </row>
    <row r="133" spans="1:16" s="84" customFormat="1" ht="12.75" customHeight="1">
      <c r="A133" s="91"/>
      <c r="C133" s="124"/>
      <c r="D133" s="124"/>
      <c r="E133" s="124"/>
      <c r="F133" s="124"/>
      <c r="G133" s="125"/>
      <c r="H133" s="124"/>
      <c r="I133" s="124"/>
      <c r="J133" s="124"/>
      <c r="K133" s="124"/>
      <c r="L133" s="126"/>
      <c r="M133" s="124"/>
      <c r="N133" s="124"/>
      <c r="O133" s="124"/>
      <c r="P133" s="124"/>
    </row>
    <row r="134" spans="1:16" s="84" customFormat="1" ht="12.75" customHeight="1">
      <c r="A134" s="91"/>
      <c r="C134" s="124"/>
      <c r="D134" s="124"/>
      <c r="E134" s="124"/>
      <c r="F134" s="124"/>
      <c r="G134" s="125"/>
      <c r="H134" s="124"/>
      <c r="I134" s="124"/>
      <c r="J134" s="124"/>
      <c r="K134" s="124"/>
      <c r="L134" s="126"/>
      <c r="M134" s="124"/>
      <c r="N134" s="124"/>
      <c r="O134" s="124"/>
      <c r="P134" s="124"/>
    </row>
    <row r="135" spans="1:16" s="84" customFormat="1" ht="12.75" customHeight="1">
      <c r="A135" s="91"/>
      <c r="C135" s="124"/>
      <c r="D135" s="124"/>
      <c r="E135" s="124"/>
      <c r="F135" s="124"/>
      <c r="G135" s="125"/>
      <c r="H135" s="124"/>
      <c r="I135" s="124"/>
      <c r="J135" s="124"/>
      <c r="K135" s="124"/>
      <c r="L135" s="126"/>
      <c r="M135" s="124"/>
      <c r="N135" s="124"/>
      <c r="O135" s="124"/>
      <c r="P135" s="124"/>
    </row>
    <row r="136" spans="1:16" s="84" customFormat="1" ht="12.75" customHeight="1">
      <c r="A136" s="91"/>
      <c r="C136" s="124"/>
      <c r="D136" s="124"/>
      <c r="E136" s="124"/>
      <c r="F136" s="124"/>
      <c r="G136" s="125"/>
      <c r="H136" s="124"/>
      <c r="I136" s="124"/>
      <c r="J136" s="124"/>
      <c r="K136" s="124"/>
      <c r="L136" s="126"/>
      <c r="M136" s="124"/>
      <c r="N136" s="124"/>
      <c r="O136" s="124"/>
      <c r="P136" s="124"/>
    </row>
    <row r="137" spans="1:16" s="84" customFormat="1" ht="12.75" customHeight="1">
      <c r="A137" s="91"/>
      <c r="C137" s="124"/>
      <c r="D137" s="124"/>
      <c r="E137" s="124"/>
      <c r="F137" s="124"/>
      <c r="G137" s="125"/>
      <c r="H137" s="124"/>
      <c r="I137" s="124"/>
      <c r="J137" s="124"/>
      <c r="K137" s="124"/>
      <c r="L137" s="126"/>
      <c r="M137" s="124"/>
      <c r="N137" s="124"/>
      <c r="O137" s="124"/>
      <c r="P137" s="124"/>
    </row>
    <row r="138" spans="1:16" s="84" customFormat="1" ht="12.75" customHeight="1">
      <c r="A138" s="91"/>
      <c r="C138" s="124"/>
      <c r="D138" s="124"/>
      <c r="E138" s="124"/>
      <c r="F138" s="124"/>
      <c r="G138" s="125"/>
      <c r="H138" s="124"/>
      <c r="I138" s="124"/>
      <c r="J138" s="124"/>
      <c r="K138" s="124"/>
      <c r="L138" s="126"/>
      <c r="M138" s="124"/>
      <c r="N138" s="124"/>
      <c r="O138" s="124"/>
      <c r="P138" s="124"/>
    </row>
    <row r="139" spans="1:16" s="84" customFormat="1" ht="12.75" customHeight="1">
      <c r="A139" s="91"/>
      <c r="C139" s="124"/>
      <c r="D139" s="124"/>
      <c r="E139" s="124"/>
      <c r="F139" s="124"/>
      <c r="G139" s="125"/>
      <c r="H139" s="124"/>
      <c r="I139" s="124"/>
      <c r="J139" s="124"/>
      <c r="K139" s="124"/>
      <c r="L139" s="126"/>
      <c r="M139" s="124"/>
      <c r="N139" s="124"/>
      <c r="O139" s="124"/>
      <c r="P139" s="124"/>
    </row>
    <row r="140" spans="1:16" s="84" customFormat="1" ht="12.75" customHeight="1">
      <c r="A140" s="91"/>
      <c r="C140" s="124"/>
      <c r="D140" s="124"/>
      <c r="E140" s="124"/>
      <c r="F140" s="124"/>
      <c r="G140" s="125"/>
      <c r="H140" s="124"/>
      <c r="I140" s="124"/>
      <c r="J140" s="124"/>
      <c r="K140" s="124"/>
      <c r="L140" s="126"/>
      <c r="M140" s="124"/>
      <c r="N140" s="124"/>
      <c r="O140" s="124"/>
      <c r="P140" s="124"/>
    </row>
    <row r="141" spans="1:16" s="84" customFormat="1" ht="12.75" customHeight="1">
      <c r="A141" s="91"/>
      <c r="C141" s="124"/>
      <c r="D141" s="124"/>
      <c r="E141" s="124"/>
      <c r="F141" s="124"/>
      <c r="G141" s="125"/>
      <c r="H141" s="124"/>
      <c r="I141" s="124"/>
      <c r="J141" s="124"/>
      <c r="K141" s="124"/>
      <c r="L141" s="126"/>
      <c r="M141" s="124"/>
      <c r="N141" s="124"/>
      <c r="O141" s="124"/>
      <c r="P141" s="124"/>
    </row>
    <row r="142" spans="1:16" s="84" customFormat="1" ht="12.75" customHeight="1">
      <c r="A142" s="91"/>
      <c r="C142" s="124"/>
      <c r="D142" s="124"/>
      <c r="E142" s="124"/>
      <c r="F142" s="124"/>
      <c r="G142" s="125"/>
      <c r="H142" s="124"/>
      <c r="I142" s="124"/>
      <c r="J142" s="124"/>
      <c r="K142" s="124"/>
      <c r="L142" s="126"/>
      <c r="M142" s="124"/>
      <c r="N142" s="124"/>
      <c r="O142" s="124"/>
      <c r="P142" s="124"/>
    </row>
    <row r="143" spans="1:16" s="84" customFormat="1" ht="12.75" customHeight="1">
      <c r="A143" s="91"/>
      <c r="C143" s="124"/>
      <c r="D143" s="124"/>
      <c r="E143" s="124"/>
      <c r="F143" s="124"/>
      <c r="G143" s="125"/>
      <c r="H143" s="124"/>
      <c r="I143" s="124"/>
      <c r="J143" s="124"/>
      <c r="K143" s="124"/>
      <c r="L143" s="126"/>
      <c r="M143" s="124"/>
      <c r="N143" s="124"/>
      <c r="O143" s="124"/>
      <c r="P143" s="124"/>
    </row>
    <row r="144" spans="1:16" s="84" customFormat="1" ht="12.75" customHeight="1">
      <c r="A144" s="91"/>
      <c r="C144" s="124"/>
      <c r="D144" s="124"/>
      <c r="E144" s="124"/>
      <c r="F144" s="124"/>
      <c r="G144" s="125"/>
      <c r="H144" s="124"/>
      <c r="I144" s="124"/>
      <c r="J144" s="124"/>
      <c r="K144" s="124"/>
      <c r="L144" s="126"/>
      <c r="M144" s="124"/>
      <c r="N144" s="124"/>
      <c r="O144" s="124"/>
      <c r="P144" s="124"/>
    </row>
    <row r="145" spans="1:16" s="84" customFormat="1" ht="12.75" customHeight="1">
      <c r="A145" s="91"/>
      <c r="C145" s="124"/>
      <c r="D145" s="124"/>
      <c r="E145" s="124"/>
      <c r="F145" s="124"/>
      <c r="G145" s="125"/>
      <c r="H145" s="124"/>
      <c r="I145" s="124"/>
      <c r="J145" s="124"/>
      <c r="K145" s="124"/>
      <c r="L145" s="126"/>
      <c r="M145" s="124"/>
      <c r="N145" s="124"/>
      <c r="O145" s="124"/>
      <c r="P145" s="124"/>
    </row>
    <row r="146" spans="1:16" s="84" customFormat="1" ht="12.75" customHeight="1">
      <c r="A146" s="91"/>
      <c r="C146" s="124"/>
      <c r="D146" s="124"/>
      <c r="E146" s="124"/>
      <c r="F146" s="124"/>
      <c r="G146" s="125"/>
      <c r="H146" s="124"/>
      <c r="I146" s="124"/>
      <c r="J146" s="124"/>
      <c r="K146" s="124"/>
      <c r="L146" s="126"/>
      <c r="M146" s="124"/>
      <c r="N146" s="124"/>
      <c r="O146" s="124"/>
      <c r="P146" s="124"/>
    </row>
    <row r="147" spans="1:16" s="84" customFormat="1" ht="12.75" customHeight="1">
      <c r="A147" s="91"/>
      <c r="C147" s="124"/>
      <c r="D147" s="124"/>
      <c r="E147" s="124"/>
      <c r="F147" s="124"/>
      <c r="G147" s="125"/>
      <c r="H147" s="124"/>
      <c r="I147" s="124"/>
      <c r="J147" s="124"/>
      <c r="K147" s="124"/>
      <c r="L147" s="126"/>
      <c r="M147" s="124"/>
      <c r="N147" s="124"/>
      <c r="O147" s="124"/>
      <c r="P147" s="124"/>
    </row>
    <row r="148" spans="1:16" s="84" customFormat="1" ht="12.75" customHeight="1">
      <c r="A148" s="91"/>
      <c r="C148" s="124"/>
      <c r="D148" s="124"/>
      <c r="E148" s="124"/>
      <c r="F148" s="124"/>
      <c r="G148" s="125"/>
      <c r="H148" s="124"/>
      <c r="I148" s="124"/>
      <c r="J148" s="124"/>
      <c r="K148" s="124"/>
      <c r="L148" s="126"/>
      <c r="M148" s="124"/>
      <c r="N148" s="124"/>
      <c r="O148" s="124"/>
      <c r="P148" s="124"/>
    </row>
    <row r="149" spans="1:16" s="84" customFormat="1" ht="12.75" customHeight="1">
      <c r="A149" s="91"/>
      <c r="C149" s="124"/>
      <c r="D149" s="124"/>
      <c r="E149" s="124"/>
      <c r="F149" s="124"/>
      <c r="G149" s="125"/>
      <c r="H149" s="124"/>
      <c r="I149" s="124"/>
      <c r="J149" s="124"/>
      <c r="K149" s="124"/>
      <c r="L149" s="126"/>
      <c r="M149" s="124"/>
      <c r="N149" s="124"/>
      <c r="O149" s="124"/>
      <c r="P149" s="124"/>
    </row>
    <row r="150" spans="1:16" s="84" customFormat="1" ht="12.75" customHeight="1">
      <c r="A150" s="91"/>
      <c r="C150" s="124"/>
      <c r="D150" s="124"/>
      <c r="E150" s="124"/>
      <c r="F150" s="124"/>
      <c r="G150" s="125"/>
      <c r="H150" s="124"/>
      <c r="I150" s="124"/>
      <c r="J150" s="124"/>
      <c r="K150" s="124"/>
      <c r="L150" s="126"/>
      <c r="M150" s="124"/>
      <c r="N150" s="124"/>
      <c r="O150" s="124"/>
      <c r="P150" s="124"/>
    </row>
    <row r="151" spans="1:16" s="84" customFormat="1" ht="12.75" customHeight="1">
      <c r="A151" s="91"/>
      <c r="C151" s="124"/>
      <c r="D151" s="124"/>
      <c r="E151" s="124"/>
      <c r="F151" s="124"/>
      <c r="G151" s="125"/>
      <c r="H151" s="124"/>
      <c r="I151" s="124"/>
      <c r="J151" s="124"/>
      <c r="K151" s="124"/>
      <c r="L151" s="126"/>
      <c r="M151" s="124"/>
      <c r="N151" s="124"/>
      <c r="O151" s="124"/>
      <c r="P151" s="124"/>
    </row>
    <row r="152" spans="1:16" s="84" customFormat="1" ht="12.75" customHeight="1">
      <c r="A152" s="91"/>
      <c r="C152" s="124"/>
      <c r="D152" s="124"/>
      <c r="E152" s="124"/>
      <c r="F152" s="124"/>
      <c r="G152" s="125"/>
      <c r="H152" s="124"/>
      <c r="I152" s="124"/>
      <c r="J152" s="124"/>
      <c r="K152" s="124"/>
      <c r="L152" s="126"/>
      <c r="M152" s="124"/>
      <c r="N152" s="124"/>
      <c r="O152" s="124"/>
      <c r="P152" s="124"/>
    </row>
    <row r="153" spans="1:16" s="84" customFormat="1" ht="12.75" customHeight="1">
      <c r="A153" s="91"/>
      <c r="C153" s="124"/>
      <c r="D153" s="124"/>
      <c r="E153" s="124"/>
      <c r="F153" s="124"/>
      <c r="G153" s="125"/>
      <c r="H153" s="124"/>
      <c r="I153" s="124"/>
      <c r="J153" s="124"/>
      <c r="K153" s="124"/>
      <c r="L153" s="126"/>
      <c r="M153" s="124"/>
      <c r="N153" s="124"/>
      <c r="O153" s="124"/>
      <c r="P153" s="124"/>
    </row>
    <row r="154" spans="1:16" s="84" customFormat="1" ht="12.75" customHeight="1">
      <c r="A154" s="91"/>
      <c r="C154" s="124"/>
      <c r="D154" s="124"/>
      <c r="E154" s="124"/>
      <c r="F154" s="124"/>
      <c r="G154" s="125"/>
      <c r="H154" s="124"/>
      <c r="I154" s="124"/>
      <c r="J154" s="124"/>
      <c r="K154" s="124"/>
      <c r="L154" s="126"/>
      <c r="M154" s="124"/>
      <c r="N154" s="124"/>
      <c r="O154" s="124"/>
      <c r="P154" s="124"/>
    </row>
    <row r="155" spans="1:16" s="84" customFormat="1" ht="12.75" customHeight="1">
      <c r="A155" s="91"/>
      <c r="C155" s="124"/>
      <c r="D155" s="124"/>
      <c r="E155" s="124"/>
      <c r="F155" s="124"/>
      <c r="G155" s="125"/>
      <c r="H155" s="124"/>
      <c r="I155" s="124"/>
      <c r="J155" s="124"/>
      <c r="K155" s="124"/>
      <c r="L155" s="126"/>
      <c r="M155" s="124"/>
      <c r="N155" s="124"/>
      <c r="O155" s="124"/>
      <c r="P155" s="124"/>
    </row>
    <row r="156" spans="1:16" s="84" customFormat="1" ht="12.75" customHeight="1">
      <c r="A156" s="91"/>
      <c r="C156" s="124"/>
      <c r="D156" s="124"/>
      <c r="E156" s="124"/>
      <c r="F156" s="124"/>
      <c r="G156" s="125"/>
      <c r="H156" s="124"/>
      <c r="I156" s="124"/>
      <c r="J156" s="124"/>
      <c r="K156" s="124"/>
      <c r="L156" s="126"/>
      <c r="M156" s="124"/>
      <c r="N156" s="124"/>
      <c r="O156" s="124"/>
      <c r="P156" s="124"/>
    </row>
    <row r="157" spans="1:16" s="84" customFormat="1" ht="12.75" customHeight="1">
      <c r="A157" s="91"/>
      <c r="C157" s="124"/>
      <c r="D157" s="124"/>
      <c r="E157" s="124"/>
      <c r="F157" s="124"/>
      <c r="G157" s="125"/>
      <c r="H157" s="124"/>
      <c r="I157" s="124"/>
      <c r="J157" s="124"/>
      <c r="K157" s="124"/>
      <c r="L157" s="126"/>
      <c r="M157" s="124"/>
      <c r="N157" s="124"/>
      <c r="O157" s="124"/>
      <c r="P157" s="124"/>
    </row>
    <row r="158" spans="1:16" s="84" customFormat="1" ht="12.75" customHeight="1">
      <c r="A158" s="91"/>
      <c r="C158" s="124"/>
      <c r="D158" s="124"/>
      <c r="E158" s="124"/>
      <c r="F158" s="124"/>
      <c r="G158" s="125"/>
      <c r="H158" s="124"/>
      <c r="I158" s="124"/>
      <c r="J158" s="124"/>
      <c r="K158" s="124"/>
      <c r="L158" s="126"/>
      <c r="M158" s="124"/>
      <c r="N158" s="124"/>
      <c r="O158" s="124"/>
      <c r="P158" s="124"/>
    </row>
    <row r="159" spans="1:16" s="84" customFormat="1" ht="12.75" customHeight="1">
      <c r="A159" s="91"/>
      <c r="C159" s="124"/>
      <c r="D159" s="124"/>
      <c r="E159" s="124"/>
      <c r="F159" s="124"/>
      <c r="G159" s="125"/>
      <c r="H159" s="124"/>
      <c r="I159" s="124"/>
      <c r="J159" s="124"/>
      <c r="K159" s="124"/>
      <c r="L159" s="126"/>
      <c r="M159" s="124"/>
      <c r="N159" s="124"/>
      <c r="O159" s="124"/>
      <c r="P159" s="124"/>
    </row>
    <row r="160" spans="1:16" s="84" customFormat="1" ht="12.75" customHeight="1">
      <c r="A160" s="91"/>
      <c r="C160" s="124"/>
      <c r="D160" s="124"/>
      <c r="E160" s="124"/>
      <c r="F160" s="124"/>
      <c r="G160" s="125"/>
      <c r="H160" s="124"/>
      <c r="I160" s="124"/>
      <c r="J160" s="124"/>
      <c r="K160" s="124"/>
      <c r="L160" s="126"/>
      <c r="M160" s="124"/>
      <c r="N160" s="124"/>
      <c r="O160" s="124"/>
      <c r="P160" s="124"/>
    </row>
    <row r="161" spans="1:16" s="84" customFormat="1" ht="12.75" customHeight="1">
      <c r="A161" s="91"/>
      <c r="C161" s="124"/>
      <c r="D161" s="124"/>
      <c r="E161" s="124"/>
      <c r="F161" s="124"/>
      <c r="G161" s="125"/>
      <c r="H161" s="124"/>
      <c r="I161" s="124"/>
      <c r="J161" s="124"/>
      <c r="K161" s="124"/>
      <c r="L161" s="126"/>
      <c r="M161" s="124"/>
      <c r="N161" s="124"/>
      <c r="O161" s="124"/>
      <c r="P161" s="124"/>
    </row>
    <row r="162" spans="1:16" s="84" customFormat="1" ht="12.75" customHeight="1">
      <c r="A162" s="91"/>
      <c r="C162" s="124"/>
      <c r="D162" s="124"/>
      <c r="E162" s="124"/>
      <c r="F162" s="124"/>
      <c r="G162" s="125"/>
      <c r="H162" s="124"/>
      <c r="I162" s="124"/>
      <c r="J162" s="124"/>
      <c r="K162" s="124"/>
      <c r="L162" s="126"/>
      <c r="M162" s="124"/>
      <c r="N162" s="124"/>
      <c r="O162" s="124"/>
      <c r="P162" s="124"/>
    </row>
    <row r="163" spans="1:16" s="84" customFormat="1" ht="12.75" customHeight="1">
      <c r="A163" s="91"/>
      <c r="C163" s="124"/>
      <c r="D163" s="124"/>
      <c r="E163" s="124"/>
      <c r="F163" s="124"/>
      <c r="G163" s="125"/>
      <c r="H163" s="124"/>
      <c r="I163" s="124"/>
      <c r="J163" s="124"/>
      <c r="K163" s="124"/>
      <c r="L163" s="126"/>
      <c r="M163" s="124"/>
      <c r="N163" s="124"/>
      <c r="O163" s="124"/>
      <c r="P163" s="124"/>
    </row>
    <row r="164" spans="1:16" s="84" customFormat="1" ht="12.75" customHeight="1">
      <c r="A164" s="91"/>
      <c r="C164" s="124"/>
      <c r="D164" s="124"/>
      <c r="E164" s="124"/>
      <c r="F164" s="124"/>
      <c r="G164" s="125"/>
      <c r="H164" s="124"/>
      <c r="I164" s="124"/>
      <c r="J164" s="124"/>
      <c r="K164" s="124"/>
      <c r="L164" s="126"/>
      <c r="M164" s="124"/>
      <c r="N164" s="124"/>
      <c r="O164" s="124"/>
      <c r="P164" s="124"/>
    </row>
    <row r="165" spans="1:16" s="84" customFormat="1" ht="12.75" customHeight="1">
      <c r="A165" s="91"/>
      <c r="C165" s="124"/>
      <c r="D165" s="124"/>
      <c r="E165" s="124"/>
      <c r="F165" s="124"/>
      <c r="G165" s="125"/>
      <c r="H165" s="124"/>
      <c r="I165" s="124"/>
      <c r="J165" s="124"/>
      <c r="K165" s="124"/>
      <c r="L165" s="126"/>
      <c r="M165" s="124"/>
      <c r="N165" s="124"/>
      <c r="O165" s="124"/>
      <c r="P165" s="124"/>
    </row>
    <row r="166" spans="1:16" s="84" customFormat="1" ht="12.75" customHeight="1">
      <c r="A166" s="91"/>
      <c r="C166" s="124"/>
      <c r="D166" s="124"/>
      <c r="E166" s="124"/>
      <c r="F166" s="124"/>
      <c r="G166" s="125"/>
      <c r="H166" s="124"/>
      <c r="I166" s="124"/>
      <c r="J166" s="124"/>
      <c r="K166" s="124"/>
      <c r="L166" s="126"/>
      <c r="M166" s="124"/>
      <c r="N166" s="124"/>
      <c r="O166" s="124"/>
      <c r="P166" s="124"/>
    </row>
    <row r="167" spans="1:16" s="84" customFormat="1" ht="12.75" customHeight="1">
      <c r="A167" s="91"/>
      <c r="C167" s="124"/>
      <c r="D167" s="124"/>
      <c r="E167" s="124"/>
      <c r="F167" s="124"/>
      <c r="G167" s="125"/>
      <c r="H167" s="124"/>
      <c r="I167" s="124"/>
      <c r="J167" s="124"/>
      <c r="K167" s="124"/>
      <c r="L167" s="126"/>
      <c r="M167" s="124"/>
      <c r="N167" s="124"/>
      <c r="O167" s="124"/>
      <c r="P167" s="124"/>
    </row>
    <row r="168" spans="1:16" s="84" customFormat="1" ht="12.75" customHeight="1">
      <c r="A168" s="91"/>
      <c r="C168" s="124"/>
      <c r="D168" s="124"/>
      <c r="E168" s="124"/>
      <c r="F168" s="124"/>
      <c r="G168" s="125"/>
      <c r="H168" s="124"/>
      <c r="I168" s="124"/>
      <c r="J168" s="124"/>
      <c r="K168" s="124"/>
      <c r="L168" s="126"/>
      <c r="M168" s="124"/>
      <c r="N168" s="124"/>
      <c r="O168" s="124"/>
      <c r="P168" s="124"/>
    </row>
    <row r="169" spans="1:16" s="84" customFormat="1" ht="12.75" customHeight="1">
      <c r="A169" s="91"/>
      <c r="C169" s="124"/>
      <c r="D169" s="124"/>
      <c r="E169" s="124"/>
      <c r="F169" s="124"/>
      <c r="G169" s="125"/>
      <c r="H169" s="124"/>
      <c r="I169" s="124"/>
      <c r="J169" s="124"/>
      <c r="K169" s="124"/>
      <c r="L169" s="126"/>
      <c r="M169" s="124"/>
      <c r="N169" s="124"/>
      <c r="O169" s="124"/>
      <c r="P169" s="124"/>
    </row>
    <row r="170" spans="1:16" s="84" customFormat="1" ht="12.75" customHeight="1">
      <c r="A170" s="91"/>
      <c r="C170" s="124"/>
      <c r="D170" s="124"/>
      <c r="E170" s="124"/>
      <c r="F170" s="124"/>
      <c r="G170" s="125"/>
      <c r="H170" s="124"/>
      <c r="I170" s="124"/>
      <c r="J170" s="124"/>
      <c r="K170" s="124"/>
      <c r="L170" s="126"/>
      <c r="M170" s="124"/>
      <c r="N170" s="124"/>
      <c r="O170" s="124"/>
      <c r="P170" s="124"/>
    </row>
    <row r="171" spans="1:16" s="84" customFormat="1" ht="12.75" customHeight="1">
      <c r="A171" s="91"/>
      <c r="C171" s="124"/>
      <c r="D171" s="124"/>
      <c r="E171" s="124"/>
      <c r="F171" s="124"/>
      <c r="G171" s="125"/>
      <c r="H171" s="124"/>
      <c r="I171" s="124"/>
      <c r="J171" s="124"/>
      <c r="K171" s="124"/>
      <c r="L171" s="126"/>
      <c r="M171" s="124"/>
      <c r="N171" s="124"/>
      <c r="O171" s="124"/>
      <c r="P171" s="124"/>
    </row>
    <row r="172" spans="1:16" s="84" customFormat="1" ht="12.75" customHeight="1">
      <c r="A172" s="91"/>
      <c r="C172" s="124"/>
      <c r="D172" s="124"/>
      <c r="E172" s="124"/>
      <c r="F172" s="124"/>
      <c r="G172" s="125"/>
      <c r="H172" s="124"/>
      <c r="I172" s="124"/>
      <c r="J172" s="124"/>
      <c r="K172" s="124"/>
      <c r="L172" s="126"/>
      <c r="M172" s="124"/>
      <c r="N172" s="124"/>
      <c r="O172" s="124"/>
      <c r="P172" s="124"/>
    </row>
    <row r="173" spans="1:16" s="84" customFormat="1" ht="12.75" customHeight="1">
      <c r="A173" s="91"/>
      <c r="C173" s="124"/>
      <c r="D173" s="124"/>
      <c r="E173" s="124"/>
      <c r="F173" s="124"/>
      <c r="G173" s="125"/>
      <c r="H173" s="124"/>
      <c r="I173" s="124"/>
      <c r="J173" s="124"/>
      <c r="K173" s="124"/>
      <c r="L173" s="126"/>
      <c r="M173" s="124"/>
      <c r="N173" s="124"/>
      <c r="O173" s="124"/>
      <c r="P173" s="124"/>
    </row>
    <row r="174" spans="1:16" s="84" customFormat="1" ht="12.75" customHeight="1">
      <c r="A174" s="91"/>
      <c r="C174" s="124"/>
      <c r="D174" s="124"/>
      <c r="E174" s="124"/>
      <c r="F174" s="124"/>
      <c r="G174" s="125"/>
      <c r="H174" s="124"/>
      <c r="I174" s="124"/>
      <c r="J174" s="124"/>
      <c r="K174" s="124"/>
      <c r="L174" s="126"/>
      <c r="M174" s="124"/>
      <c r="N174" s="124"/>
      <c r="O174" s="124"/>
      <c r="P174" s="124"/>
    </row>
    <row r="175" spans="1:16" s="84" customFormat="1" ht="12.75" customHeight="1">
      <c r="A175" s="91"/>
      <c r="C175" s="124"/>
      <c r="D175" s="124"/>
      <c r="E175" s="124"/>
      <c r="F175" s="124"/>
      <c r="G175" s="125"/>
      <c r="H175" s="124"/>
      <c r="I175" s="124"/>
      <c r="J175" s="124"/>
      <c r="K175" s="124"/>
      <c r="L175" s="126"/>
      <c r="M175" s="124"/>
      <c r="N175" s="124"/>
      <c r="O175" s="124"/>
      <c r="P175" s="124"/>
    </row>
    <row r="176" spans="1:16" s="84" customFormat="1" ht="12.75" customHeight="1">
      <c r="A176" s="91"/>
      <c r="C176" s="124"/>
      <c r="D176" s="124"/>
      <c r="E176" s="124"/>
      <c r="F176" s="124"/>
      <c r="G176" s="125"/>
      <c r="H176" s="124"/>
      <c r="I176" s="124"/>
      <c r="J176" s="124"/>
      <c r="K176" s="124"/>
      <c r="L176" s="126"/>
      <c r="M176" s="124"/>
      <c r="N176" s="124"/>
      <c r="O176" s="124"/>
      <c r="P176" s="124"/>
    </row>
    <row r="177" spans="1:19" s="84" customFormat="1" ht="12.75" customHeight="1">
      <c r="A177" s="91"/>
      <c r="C177" s="124"/>
      <c r="D177" s="124"/>
      <c r="E177" s="124"/>
      <c r="F177" s="124"/>
      <c r="G177" s="125"/>
      <c r="H177" s="124"/>
      <c r="I177" s="124"/>
      <c r="J177" s="124"/>
      <c r="K177" s="124"/>
      <c r="L177" s="126"/>
      <c r="M177" s="124"/>
      <c r="N177" s="124"/>
      <c r="O177" s="124"/>
      <c r="P177" s="124"/>
    </row>
    <row r="178" spans="1:19" s="84" customFormat="1" ht="12.75" customHeight="1">
      <c r="A178" s="91"/>
      <c r="C178" s="124"/>
      <c r="D178" s="124"/>
      <c r="E178" s="124"/>
      <c r="F178" s="124"/>
      <c r="G178" s="125"/>
      <c r="H178" s="124"/>
      <c r="I178" s="124"/>
      <c r="J178" s="124"/>
      <c r="K178" s="124"/>
      <c r="L178" s="126"/>
      <c r="M178" s="124"/>
      <c r="N178" s="124"/>
      <c r="O178" s="124"/>
      <c r="P178" s="124"/>
      <c r="Q178" s="124"/>
      <c r="R178" s="124"/>
      <c r="S178" s="124"/>
    </row>
    <row r="179" spans="1:19" s="84" customFormat="1" ht="12.75" customHeight="1">
      <c r="A179" s="91"/>
      <c r="C179" s="124"/>
      <c r="D179" s="124"/>
      <c r="E179" s="124"/>
      <c r="F179" s="124"/>
      <c r="G179" s="125"/>
      <c r="H179" s="124"/>
      <c r="I179" s="124"/>
      <c r="J179" s="124"/>
      <c r="K179" s="124"/>
      <c r="L179" s="126"/>
      <c r="M179" s="124"/>
      <c r="N179" s="124"/>
      <c r="O179" s="124"/>
      <c r="P179" s="124"/>
      <c r="Q179" s="124"/>
      <c r="R179" s="124"/>
      <c r="S179" s="124"/>
    </row>
    <row r="180" spans="1:19" s="84" customFormat="1" ht="12.75" customHeight="1">
      <c r="A180" s="91"/>
      <c r="C180" s="124"/>
      <c r="D180" s="124"/>
      <c r="E180" s="124"/>
      <c r="F180" s="124"/>
      <c r="G180" s="125"/>
      <c r="H180" s="124"/>
      <c r="I180" s="124"/>
      <c r="J180" s="124"/>
      <c r="K180" s="124"/>
      <c r="L180" s="126"/>
      <c r="M180" s="124"/>
      <c r="N180" s="124"/>
      <c r="O180" s="124"/>
      <c r="P180" s="124"/>
      <c r="Q180" s="124"/>
      <c r="R180" s="124"/>
      <c r="S180" s="124"/>
    </row>
    <row r="181" spans="1:19" s="84" customFormat="1" ht="12.75" customHeight="1">
      <c r="A181" s="91"/>
      <c r="B181" s="124"/>
      <c r="C181" s="124"/>
      <c r="D181" s="124"/>
      <c r="E181" s="124"/>
      <c r="F181" s="124"/>
      <c r="G181" s="125"/>
      <c r="H181" s="124"/>
      <c r="I181" s="124"/>
      <c r="J181" s="124"/>
      <c r="K181" s="124"/>
      <c r="L181" s="126"/>
      <c r="M181" s="124"/>
      <c r="N181" s="124"/>
      <c r="O181" s="124"/>
      <c r="P181" s="124"/>
      <c r="Q181" s="124"/>
      <c r="R181" s="124"/>
      <c r="S181" s="124"/>
    </row>
    <row r="182" spans="1:19" s="84" customFormat="1" ht="12.75" customHeight="1">
      <c r="A182" s="91"/>
      <c r="B182" s="124"/>
      <c r="C182" s="124"/>
      <c r="D182" s="124"/>
      <c r="E182" s="124"/>
      <c r="F182" s="124"/>
      <c r="G182" s="125"/>
      <c r="H182" s="124"/>
      <c r="I182" s="124"/>
      <c r="J182" s="124"/>
      <c r="K182" s="124"/>
      <c r="L182" s="126"/>
      <c r="M182" s="124"/>
      <c r="N182" s="124"/>
      <c r="O182" s="124"/>
      <c r="P182" s="124"/>
      <c r="Q182" s="124"/>
      <c r="R182" s="124"/>
      <c r="S182" s="124"/>
    </row>
    <row r="183" spans="1:19" s="84" customFormat="1" ht="12.75" customHeight="1">
      <c r="A183" s="91"/>
      <c r="B183" s="124"/>
      <c r="C183" s="124"/>
      <c r="D183" s="124"/>
      <c r="E183" s="124"/>
      <c r="F183" s="124"/>
      <c r="G183" s="125"/>
      <c r="H183" s="124"/>
      <c r="I183" s="124"/>
      <c r="J183" s="124"/>
      <c r="K183" s="124"/>
      <c r="L183" s="126"/>
      <c r="M183" s="124"/>
      <c r="N183" s="124"/>
      <c r="O183" s="124"/>
      <c r="P183" s="124"/>
      <c r="Q183" s="124"/>
      <c r="R183" s="124"/>
      <c r="S183" s="124"/>
    </row>
    <row r="184" spans="1:19" s="84" customFormat="1" ht="12.75" customHeight="1">
      <c r="A184" s="91"/>
      <c r="B184" s="124"/>
      <c r="C184" s="124"/>
      <c r="D184" s="124"/>
      <c r="E184" s="124"/>
      <c r="F184" s="124"/>
      <c r="G184" s="125"/>
      <c r="H184" s="124"/>
      <c r="I184" s="124"/>
      <c r="J184" s="124"/>
      <c r="K184" s="124"/>
      <c r="L184" s="126"/>
      <c r="M184" s="124"/>
      <c r="N184" s="124"/>
      <c r="O184" s="124"/>
      <c r="P184" s="124"/>
      <c r="Q184" s="124"/>
      <c r="R184" s="124"/>
      <c r="S184" s="124"/>
    </row>
    <row r="185" spans="1:19" s="84" customFormat="1" ht="12.75" customHeight="1">
      <c r="A185" s="91"/>
      <c r="B185" s="124"/>
      <c r="C185" s="124"/>
      <c r="D185" s="124"/>
      <c r="E185" s="124"/>
      <c r="F185" s="124"/>
      <c r="G185" s="125"/>
      <c r="H185" s="124"/>
      <c r="I185" s="124"/>
      <c r="J185" s="124"/>
      <c r="K185" s="124"/>
      <c r="L185" s="126"/>
      <c r="M185" s="124"/>
      <c r="N185" s="124"/>
      <c r="O185" s="124"/>
      <c r="P185" s="124"/>
      <c r="Q185" s="124"/>
      <c r="R185" s="124"/>
      <c r="S185" s="124"/>
    </row>
    <row r="186" spans="1:19" s="84" customFormat="1" ht="12.75" customHeight="1">
      <c r="A186" s="91"/>
      <c r="B186" s="124"/>
      <c r="C186" s="124"/>
      <c r="D186" s="124"/>
      <c r="E186" s="124"/>
      <c r="F186" s="124"/>
      <c r="G186" s="125"/>
      <c r="H186" s="124"/>
      <c r="I186" s="124"/>
      <c r="J186" s="124"/>
      <c r="K186" s="124"/>
      <c r="L186" s="126"/>
      <c r="M186" s="124"/>
      <c r="N186" s="124"/>
      <c r="O186" s="124"/>
      <c r="P186" s="124"/>
      <c r="Q186" s="124"/>
      <c r="R186" s="124"/>
      <c r="S186" s="124"/>
    </row>
    <row r="187" spans="1:19" s="84" customFormat="1" ht="12.75" customHeight="1">
      <c r="A187" s="91"/>
      <c r="B187" s="124"/>
      <c r="C187" s="124"/>
      <c r="D187" s="124"/>
      <c r="E187" s="124"/>
      <c r="F187" s="124"/>
      <c r="G187" s="125"/>
      <c r="H187" s="124"/>
      <c r="I187" s="124"/>
      <c r="J187" s="124"/>
      <c r="K187" s="124"/>
      <c r="L187" s="126"/>
      <c r="M187" s="124"/>
      <c r="N187" s="124"/>
      <c r="O187" s="124"/>
      <c r="P187" s="124"/>
      <c r="Q187" s="124"/>
      <c r="R187" s="124"/>
      <c r="S187" s="124"/>
    </row>
    <row r="188" spans="1:19" s="84" customFormat="1" ht="12.75" customHeight="1">
      <c r="A188" s="91"/>
      <c r="B188" s="124"/>
      <c r="C188" s="124"/>
      <c r="D188" s="124"/>
      <c r="E188" s="124"/>
      <c r="F188" s="124"/>
      <c r="G188" s="125"/>
      <c r="H188" s="124"/>
      <c r="I188" s="124"/>
      <c r="J188" s="124"/>
      <c r="K188" s="124"/>
      <c r="L188" s="126"/>
      <c r="M188" s="124"/>
      <c r="N188" s="124"/>
      <c r="O188" s="124"/>
      <c r="P188" s="124"/>
      <c r="Q188" s="124"/>
      <c r="R188" s="124"/>
      <c r="S188" s="124"/>
    </row>
    <row r="189" spans="1:19" s="84" customFormat="1" ht="12.75" customHeight="1">
      <c r="A189" s="91"/>
      <c r="B189" s="124"/>
      <c r="C189" s="124"/>
      <c r="D189" s="124"/>
      <c r="E189" s="124"/>
      <c r="F189" s="124"/>
      <c r="G189" s="125"/>
      <c r="H189" s="124"/>
      <c r="I189" s="124"/>
      <c r="J189" s="124"/>
      <c r="K189" s="124"/>
      <c r="L189" s="126"/>
      <c r="M189" s="124"/>
      <c r="N189" s="124"/>
      <c r="O189" s="124"/>
      <c r="P189" s="124"/>
      <c r="Q189" s="124"/>
      <c r="R189" s="124"/>
      <c r="S189" s="124"/>
    </row>
    <row r="190" spans="1:19" s="84" customFormat="1" ht="12.75" customHeight="1">
      <c r="A190" s="91"/>
      <c r="B190" s="124"/>
      <c r="C190" s="124"/>
      <c r="D190" s="124"/>
      <c r="E190" s="124"/>
      <c r="F190" s="124"/>
      <c r="G190" s="125"/>
      <c r="H190" s="124"/>
      <c r="I190" s="124"/>
      <c r="J190" s="124"/>
      <c r="K190" s="124"/>
      <c r="L190" s="126"/>
      <c r="M190" s="124"/>
      <c r="N190" s="124"/>
      <c r="O190" s="124"/>
      <c r="P190" s="124"/>
      <c r="Q190" s="124"/>
      <c r="R190" s="124"/>
      <c r="S190" s="124"/>
    </row>
    <row r="191" spans="1:19" s="84" customFormat="1" ht="12.75" customHeight="1">
      <c r="A191" s="91"/>
      <c r="B191" s="124"/>
      <c r="C191" s="124"/>
      <c r="D191" s="124"/>
      <c r="E191" s="124"/>
      <c r="F191" s="124"/>
      <c r="G191" s="125"/>
      <c r="H191" s="124"/>
      <c r="I191" s="124"/>
      <c r="J191" s="124"/>
      <c r="K191" s="124"/>
      <c r="L191" s="126"/>
      <c r="M191" s="124"/>
      <c r="N191" s="124"/>
      <c r="O191" s="124"/>
      <c r="P191" s="124"/>
      <c r="Q191" s="124"/>
      <c r="R191" s="124"/>
      <c r="S191" s="124"/>
    </row>
  </sheetData>
  <mergeCells count="4">
    <mergeCell ref="H54:K54"/>
    <mergeCell ref="B34:B41"/>
    <mergeCell ref="B66:F69"/>
    <mergeCell ref="B85:G87"/>
  </mergeCells>
  <phoneticPr fontId="165" type="noConversion"/>
  <conditionalFormatting sqref="B56:F61 B66 D75:D77 F75:F77 B75:C78">
    <cfRule type="containsBlanks" dxfId="31" priority="4">
      <formula>LEN(TRIM(B56))=0</formula>
    </cfRule>
  </conditionalFormatting>
  <conditionalFormatting sqref="D78:F78 B85">
    <cfRule type="containsBlanks" dxfId="30" priority="2">
      <formula>LEN(TRIM(B78))=0</formula>
    </cfRule>
  </conditionalFormatting>
  <conditionalFormatting sqref="E12:E18 H12:H18 K12:K18 N12:N18 E20:E24 H20:H24 K20:K24 N20:N24 E26:E30 H26:H30 K26:K30 N26:N30">
    <cfRule type="containsBlanks" dxfId="29" priority="45">
      <formula>LEN(TRIM(E12))=0</formula>
    </cfRule>
  </conditionalFormatting>
  <conditionalFormatting sqref="E43">
    <cfRule type="containsBlanks" dxfId="28" priority="43">
      <formula>LEN(TRIM(E43))=0</formula>
    </cfRule>
  </conditionalFormatting>
  <conditionalFormatting sqref="E45">
    <cfRule type="containsBlanks" dxfId="27" priority="40">
      <formula>LEN(TRIM(E45))=0</formula>
    </cfRule>
  </conditionalFormatting>
  <conditionalFormatting sqref="E47">
    <cfRule type="containsBlanks" dxfId="26" priority="39">
      <formula>LEN(TRIM(E47))=0</formula>
    </cfRule>
  </conditionalFormatting>
  <conditionalFormatting sqref="E49">
    <cfRule type="containsBlanks" dxfId="25" priority="38">
      <formula>LEN(TRIM(E49))=0</formula>
    </cfRule>
  </conditionalFormatting>
  <conditionalFormatting sqref="F10 I10 L10 O10">
    <cfRule type="containsBlanks" dxfId="24" priority="44">
      <formula>LEN(TRIM(F10))=0</formula>
    </cfRule>
  </conditionalFormatting>
  <conditionalFormatting sqref="H43">
    <cfRule type="containsBlanks" dxfId="23" priority="37">
      <formula>LEN(TRIM(H43))=0</formula>
    </cfRule>
  </conditionalFormatting>
  <conditionalFormatting sqref="H45">
    <cfRule type="containsBlanks" dxfId="22" priority="36">
      <formula>LEN(TRIM(H45))=0</formula>
    </cfRule>
  </conditionalFormatting>
  <conditionalFormatting sqref="H47">
    <cfRule type="containsBlanks" dxfId="21" priority="35">
      <formula>LEN(TRIM(H47))=0</formula>
    </cfRule>
  </conditionalFormatting>
  <conditionalFormatting sqref="H49">
    <cfRule type="containsBlanks" dxfId="20" priority="34">
      <formula>LEN(TRIM(H49))=0</formula>
    </cfRule>
  </conditionalFormatting>
  <conditionalFormatting sqref="K43">
    <cfRule type="containsBlanks" dxfId="19" priority="33">
      <formula>LEN(TRIM(K43))=0</formula>
    </cfRule>
  </conditionalFormatting>
  <conditionalFormatting sqref="K45">
    <cfRule type="containsBlanks" dxfId="18" priority="32">
      <formula>LEN(TRIM(K45))=0</formula>
    </cfRule>
  </conditionalFormatting>
  <conditionalFormatting sqref="K47">
    <cfRule type="containsBlanks" dxfId="17" priority="31">
      <formula>LEN(TRIM(K47))=0</formula>
    </cfRule>
  </conditionalFormatting>
  <conditionalFormatting sqref="K49">
    <cfRule type="containsBlanks" dxfId="16" priority="30">
      <formula>LEN(TRIM(K49))=0</formula>
    </cfRule>
  </conditionalFormatting>
  <conditionalFormatting sqref="N43">
    <cfRule type="containsBlanks" dxfId="15" priority="29">
      <formula>LEN(TRIM(N43))=0</formula>
    </cfRule>
  </conditionalFormatting>
  <conditionalFormatting sqref="N45">
    <cfRule type="containsBlanks" dxfId="14" priority="28">
      <formula>LEN(TRIM(N45))=0</formula>
    </cfRule>
  </conditionalFormatting>
  <conditionalFormatting sqref="N47">
    <cfRule type="containsBlanks" dxfId="13" priority="27">
      <formula>LEN(TRIM(N47))=0</formula>
    </cfRule>
  </conditionalFormatting>
  <conditionalFormatting sqref="N49">
    <cfRule type="containsBlanks" dxfId="12" priority="26">
      <formula>LEN(TRIM(N49))=0</formula>
    </cfRule>
  </conditionalFormatting>
  <conditionalFormatting sqref="Q43">
    <cfRule type="containsBlanks" dxfId="11" priority="13">
      <formula>LEN(TRIM(Q43))=0</formula>
    </cfRule>
  </conditionalFormatting>
  <conditionalFormatting sqref="Q45">
    <cfRule type="containsBlanks" dxfId="10" priority="9">
      <formula>LEN(TRIM(Q45))=0</formula>
    </cfRule>
  </conditionalFormatting>
  <conditionalFormatting sqref="Q47">
    <cfRule type="containsBlanks" dxfId="9" priority="8">
      <formula>LEN(TRIM(Q47))=0</formula>
    </cfRule>
  </conditionalFormatting>
  <conditionalFormatting sqref="Q49">
    <cfRule type="containsBlanks" dxfId="8" priority="7">
      <formula>LEN(TRIM(Q49))=0</formula>
    </cfRule>
  </conditionalFormatting>
  <hyperlinks>
    <hyperlink ref="B4" location="'汇总 '!A1" display="返回汇总页" xr:uid="{00000000-0004-0000-0200-000000000000}"/>
  </hyperlink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30"/>
  <sheetViews>
    <sheetView showGridLines="0" topLeftCell="F5" zoomScale="70" zoomScaleNormal="70" zoomScaleSheetLayoutView="70" workbookViewId="0">
      <selection activeCell="E19" sqref="E19:Y25"/>
    </sheetView>
  </sheetViews>
  <sheetFormatPr defaultColWidth="8.109375" defaultRowHeight="12.75" customHeight="1"/>
  <cols>
    <col min="1" max="1" width="2.6640625" style="47" customWidth="1"/>
    <col min="2" max="2" width="9.109375" style="48" customWidth="1"/>
    <col min="3" max="3" width="30.109375" style="48" customWidth="1"/>
    <col min="4" max="4" width="16.88671875" style="48" customWidth="1"/>
    <col min="5" max="5" width="28.88671875" style="48" customWidth="1"/>
    <col min="6" max="6" width="14.44140625" style="48" customWidth="1"/>
    <col min="7" max="7" width="17.88671875" style="48" customWidth="1"/>
    <col min="8" max="8" width="14" style="48" customWidth="1"/>
    <col min="9" max="9" width="13.88671875" style="48" customWidth="1"/>
    <col min="10" max="10" width="15.6640625" style="48" customWidth="1"/>
    <col min="11" max="12" width="15.88671875" style="48" bestFit="1" customWidth="1"/>
    <col min="13" max="13" width="15.109375" style="48" customWidth="1"/>
    <col min="14" max="14" width="15.44140625" style="48" customWidth="1"/>
    <col min="15" max="15" width="10.6640625" style="48" customWidth="1"/>
    <col min="16" max="17" width="16.109375" style="48" customWidth="1"/>
    <col min="18" max="18" width="13" style="48" customWidth="1"/>
    <col min="19" max="19" width="12.33203125" style="48" customWidth="1"/>
    <col min="20" max="20" width="14.6640625" style="48" customWidth="1"/>
    <col min="21" max="21" width="16.88671875" style="48" customWidth="1"/>
    <col min="22" max="22" width="13.109375" style="48" customWidth="1"/>
    <col min="23" max="23" width="14.44140625" style="48" customWidth="1"/>
    <col min="24" max="24" width="11.33203125" style="48" customWidth="1"/>
    <col min="25" max="25" width="14.88671875" style="48" bestFit="1" customWidth="1"/>
    <col min="26" max="16384" width="8.109375" style="48"/>
  </cols>
  <sheetData>
    <row r="1" spans="1:35" s="84" customFormat="1" ht="10.050000000000001" customHeight="1">
      <c r="A1" s="85" t="s">
        <v>198</v>
      </c>
      <c r="B1" s="86"/>
      <c r="C1" s="87"/>
      <c r="D1" s="87"/>
      <c r="E1" s="88"/>
      <c r="F1" s="89"/>
      <c r="G1" s="90"/>
      <c r="H1" s="90"/>
      <c r="I1" s="90"/>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row>
    <row r="2" spans="1:35" s="84" customFormat="1" ht="20.100000000000001" customHeight="1">
      <c r="A2" s="91"/>
      <c r="B2" s="92" t="s">
        <v>199</v>
      </c>
      <c r="D2" s="93"/>
      <c r="E2" s="93"/>
      <c r="F2" s="93"/>
      <c r="G2" s="93"/>
      <c r="H2" s="93"/>
      <c r="I2" s="93"/>
      <c r="J2" s="104"/>
      <c r="K2" s="93"/>
      <c r="L2" s="93"/>
      <c r="M2" s="93"/>
      <c r="W2" s="13" t="s">
        <v>52</v>
      </c>
    </row>
    <row r="3" spans="1:35" s="84" customFormat="1" ht="20.100000000000001" customHeight="1">
      <c r="A3" s="91"/>
      <c r="B3" s="94" t="s">
        <v>200</v>
      </c>
      <c r="D3" s="95"/>
      <c r="E3" s="95"/>
      <c r="F3" s="95"/>
      <c r="G3" s="95"/>
      <c r="H3" s="95"/>
      <c r="I3" s="95"/>
      <c r="J3" s="105"/>
      <c r="K3" s="95"/>
      <c r="L3" s="95"/>
      <c r="M3" s="95"/>
      <c r="N3" s="479"/>
      <c r="O3" s="454"/>
    </row>
    <row r="4" spans="1:35" s="84" customFormat="1" ht="20.100000000000001" customHeight="1">
      <c r="A4" s="91"/>
      <c r="B4" s="92" t="s">
        <v>201</v>
      </c>
      <c r="C4" s="96"/>
      <c r="D4" s="93"/>
      <c r="E4" s="93"/>
      <c r="F4" s="93"/>
      <c r="G4" s="93"/>
      <c r="H4" s="93"/>
      <c r="I4" s="93"/>
      <c r="J4" s="104"/>
      <c r="K4" s="93"/>
      <c r="L4" s="93"/>
      <c r="M4" s="93"/>
    </row>
    <row r="5" spans="1:35" s="84" customFormat="1" ht="20.100000000000001" customHeight="1">
      <c r="A5" s="91"/>
      <c r="B5" s="92" t="s">
        <v>202</v>
      </c>
      <c r="D5" s="93"/>
      <c r="E5" s="93"/>
      <c r="F5" s="93"/>
      <c r="G5" s="93"/>
      <c r="H5" s="93"/>
      <c r="I5" s="93"/>
      <c r="J5" s="104"/>
      <c r="K5" s="93"/>
      <c r="L5" s="93"/>
      <c r="M5" s="93"/>
      <c r="N5" s="478"/>
      <c r="Q5" s="478"/>
      <c r="U5" s="478"/>
    </row>
    <row r="6" spans="1:35" ht="15" customHeight="1">
      <c r="A6" s="97"/>
    </row>
    <row r="7" spans="1:35" ht="7.5" customHeight="1">
      <c r="A7" s="98"/>
      <c r="B7" s="98"/>
      <c r="C7" s="98"/>
      <c r="D7" s="98"/>
      <c r="E7" s="98"/>
      <c r="F7" s="98"/>
      <c r="G7" s="98"/>
      <c r="H7" s="98"/>
      <c r="I7" s="98"/>
      <c r="J7" s="106"/>
      <c r="K7" s="98"/>
      <c r="L7" s="98"/>
      <c r="M7" s="98"/>
      <c r="N7" s="98"/>
      <c r="O7" s="98"/>
      <c r="P7" s="98"/>
      <c r="Q7" s="98"/>
      <c r="R7" s="98"/>
      <c r="S7" s="98"/>
      <c r="T7" s="103"/>
      <c r="U7" s="103"/>
    </row>
    <row r="8" spans="1:35" ht="13.2">
      <c r="A8" s="97"/>
    </row>
    <row r="9" spans="1:35" ht="16.2" thickBot="1">
      <c r="A9" s="97"/>
      <c r="C9" s="99" t="s">
        <v>203</v>
      </c>
      <c r="D9" s="100"/>
      <c r="E9" s="100"/>
      <c r="F9" s="101"/>
      <c r="G9" s="101"/>
      <c r="H9" s="101"/>
      <c r="I9" s="100"/>
      <c r="J9" s="100"/>
      <c r="K9" s="107"/>
      <c r="L9" s="107"/>
      <c r="M9" s="108">
        <v>46022</v>
      </c>
      <c r="N9" s="480"/>
      <c r="O9" s="576" t="s">
        <v>762</v>
      </c>
      <c r="P9" s="576"/>
      <c r="Q9" s="576"/>
      <c r="R9" s="576"/>
      <c r="S9" s="576"/>
      <c r="T9" s="576"/>
      <c r="U9" s="576"/>
      <c r="V9" s="576"/>
      <c r="W9" s="576"/>
      <c r="Y9" s="49">
        <v>45901</v>
      </c>
      <c r="Z9" s="414" t="s">
        <v>764</v>
      </c>
    </row>
    <row r="10" spans="1:35" ht="15">
      <c r="A10" s="97"/>
      <c r="B10" s="48" t="s">
        <v>204</v>
      </c>
      <c r="C10" s="435" t="s">
        <v>205</v>
      </c>
      <c r="D10" s="436" t="s">
        <v>206</v>
      </c>
      <c r="E10" s="436" t="s">
        <v>207</v>
      </c>
      <c r="F10" s="436" t="s">
        <v>208</v>
      </c>
      <c r="G10" s="436" t="s">
        <v>209</v>
      </c>
      <c r="H10" s="436" t="s">
        <v>210</v>
      </c>
      <c r="I10" s="437" t="s">
        <v>211</v>
      </c>
      <c r="J10" s="438" t="s">
        <v>212</v>
      </c>
      <c r="K10" s="438" t="s">
        <v>213</v>
      </c>
      <c r="L10" s="438" t="s">
        <v>214</v>
      </c>
      <c r="M10" s="439" t="s">
        <v>215</v>
      </c>
      <c r="N10" s="440" t="s">
        <v>216</v>
      </c>
      <c r="O10" s="109" t="s">
        <v>217</v>
      </c>
      <c r="P10" s="110" t="s">
        <v>217</v>
      </c>
      <c r="Q10" s="102" t="s">
        <v>218</v>
      </c>
      <c r="R10" s="102" t="s">
        <v>767</v>
      </c>
      <c r="S10" s="114" t="s">
        <v>219</v>
      </c>
      <c r="T10" s="115" t="s">
        <v>220</v>
      </c>
      <c r="U10" s="115" t="s">
        <v>221</v>
      </c>
      <c r="V10" s="414" t="s">
        <v>683</v>
      </c>
      <c r="W10" s="414" t="s">
        <v>765</v>
      </c>
    </row>
    <row r="11" spans="1:35" ht="12.75" customHeight="1">
      <c r="A11" s="97"/>
      <c r="B11" s="414" t="s">
        <v>686</v>
      </c>
      <c r="C11" s="441" t="s">
        <v>222</v>
      </c>
      <c r="D11" s="429" t="s">
        <v>223</v>
      </c>
      <c r="E11" s="430" t="s">
        <v>224</v>
      </c>
      <c r="F11" s="431">
        <v>44561</v>
      </c>
      <c r="G11" s="465">
        <v>12</v>
      </c>
      <c r="H11" s="426">
        <f t="shared" ref="H11:H74" si="0">G11*12</f>
        <v>144</v>
      </c>
      <c r="I11" s="427">
        <v>0</v>
      </c>
      <c r="J11" s="432">
        <v>155238.93</v>
      </c>
      <c r="K11" s="432">
        <v>43466.9</v>
      </c>
      <c r="L11" s="432">
        <v>0</v>
      </c>
      <c r="M11" s="423">
        <f t="shared" ref="M11:M74" si="1">J11-K11-L11</f>
        <v>111772.03</v>
      </c>
      <c r="N11" s="442" t="str">
        <f t="shared" ref="N11:N74" si="2">IF(ROUND(J11*(1-I11),0)=ROUND(K11,0),"是","否")</f>
        <v>否</v>
      </c>
      <c r="O11" s="111">
        <f t="shared" ref="O11:O74" si="3">IFERROR(YEAR(EOMONTH(F11,H11)),"")</f>
        <v>2033</v>
      </c>
      <c r="P11" s="49">
        <f t="shared" ref="P11:P74" si="4">IFERROR(EOMONTH(F11,H11),"")</f>
        <v>48944</v>
      </c>
      <c r="Q11" s="113">
        <v>13971.5</v>
      </c>
      <c r="R11" s="49"/>
      <c r="S11" s="112">
        <f t="shared" ref="S11:S74" si="5">IFERROR(IF(OR(AND(R11&lt;&gt;"",YEAR(R11)&lt;YEAR($M$9)),AND(P11&lt;&gt;"",YEAR(P11)&lt;YEAR($M$9))),0,IF(YEAR(F11)&gt;YEAR($M$9),0,IF(OR((IF(YEAR(F11)&lt;YEAR($M$9),1,IF(MONTH(F11)=12,99,MONTH(F11)+1))&gt;12),(IF(YEAR(F11)&lt;YEAR($M$9),1,IF(MONTH(F11)=12,99,MONTH(F11)+1))&gt;MIN(MONTH($M$9),IF(AND(R11&lt;&gt;"",YEAR(R11)=YEAR($M$9)),MONTH(R11),99),IF(AND(P11&lt;&gt;"",YEAR(P11)=YEAR($M$9)),MONTH(P11),99)))),0,MIN(MONTH($M$9),IF(AND(R11&lt;&gt;"",YEAR(R11)=YEAR($M$9)),MONTH(R11),99),IF(AND(P11&lt;&gt;"",YEAR(P11)=YEAR($M$9)),MONTH(P11),99))-IF(YEAR(F11)&lt;YEAR($M$9),1,IF(MONTH(F11)=12,99,MONTH(F11)+1))+1))),0)</f>
        <v>12</v>
      </c>
      <c r="T11" s="113">
        <f>(J11*(1-I11))/H11*S11</f>
        <v>12936.577499999999</v>
      </c>
      <c r="U11" s="113">
        <f t="shared" ref="U11:U74" si="6">T11-Q11</f>
        <v>-1034.9225000000006</v>
      </c>
      <c r="Y11" s="113"/>
      <c r="Z11" s="116"/>
    </row>
    <row r="12" spans="1:35" ht="15">
      <c r="A12" s="97"/>
      <c r="B12" s="414" t="s">
        <v>686</v>
      </c>
      <c r="C12" s="441" t="s">
        <v>222</v>
      </c>
      <c r="D12" s="429" t="s">
        <v>225</v>
      </c>
      <c r="E12" s="477" t="s">
        <v>763</v>
      </c>
      <c r="F12" s="431">
        <v>44561</v>
      </c>
      <c r="G12" s="465">
        <v>12</v>
      </c>
      <c r="H12" s="426">
        <f>G12*12</f>
        <v>144</v>
      </c>
      <c r="I12" s="427">
        <v>0</v>
      </c>
      <c r="J12" s="432">
        <v>245938.05</v>
      </c>
      <c r="K12" s="432">
        <v>63355.88</v>
      </c>
      <c r="L12" s="432">
        <v>181723.6</v>
      </c>
      <c r="M12" s="423">
        <f t="shared" si="1"/>
        <v>858.56999999997788</v>
      </c>
      <c r="N12" s="442" t="str">
        <f t="shared" si="2"/>
        <v>否</v>
      </c>
      <c r="O12" s="111">
        <f t="shared" si="3"/>
        <v>2033</v>
      </c>
      <c r="P12" s="49">
        <f t="shared" si="4"/>
        <v>48944</v>
      </c>
      <c r="Q12" s="113">
        <v>16627.650000000001</v>
      </c>
      <c r="R12" s="49"/>
      <c r="S12" s="112">
        <f t="shared" si="5"/>
        <v>12</v>
      </c>
      <c r="T12" s="476">
        <f>J12*(1-I12)/H12*9+(J12-(J12*(1-I12)/H12)*V12-L12)/W12*3</f>
        <v>15043.129499999999</v>
      </c>
      <c r="U12" s="476">
        <f t="shared" si="6"/>
        <v>-1584.5205000000024</v>
      </c>
      <c r="V12" s="48">
        <f>DATEDIF(F12,$Y$9,"M")</f>
        <v>44</v>
      </c>
      <c r="W12" s="48">
        <f>H12-V12</f>
        <v>100</v>
      </c>
    </row>
    <row r="13" spans="1:35" ht="13.2">
      <c r="A13" s="97"/>
      <c r="B13" s="414" t="s">
        <v>686</v>
      </c>
      <c r="C13" s="443" t="s">
        <v>222</v>
      </c>
      <c r="D13" s="433" t="s">
        <v>226</v>
      </c>
      <c r="E13" s="433" t="s">
        <v>227</v>
      </c>
      <c r="F13" s="434">
        <v>44561</v>
      </c>
      <c r="G13" s="425">
        <v>12</v>
      </c>
      <c r="H13" s="426">
        <f t="shared" si="0"/>
        <v>144</v>
      </c>
      <c r="I13" s="427">
        <v>0</v>
      </c>
      <c r="J13" s="428">
        <v>183646.02</v>
      </c>
      <c r="K13" s="428">
        <v>47308.88</v>
      </c>
      <c r="L13" s="428">
        <v>135696.01999999999</v>
      </c>
      <c r="M13" s="423">
        <f t="shared" si="1"/>
        <v>641.11999999999534</v>
      </c>
      <c r="N13" s="442" t="str">
        <f t="shared" si="2"/>
        <v>否</v>
      </c>
      <c r="O13" s="111">
        <f t="shared" si="3"/>
        <v>2033</v>
      </c>
      <c r="P13" s="49">
        <f t="shared" si="4"/>
        <v>48944</v>
      </c>
      <c r="Q13" s="113">
        <v>12416.14</v>
      </c>
      <c r="S13" s="112">
        <f t="shared" si="5"/>
        <v>12</v>
      </c>
      <c r="T13" s="476">
        <f>J13*(1-I13)/H13*9+(J13-(J13*(1-I13)/H13)*V13-L13)/W13*3</f>
        <v>11063.334374999999</v>
      </c>
      <c r="U13" s="476">
        <f t="shared" si="6"/>
        <v>-1352.8056250000009</v>
      </c>
      <c r="V13" s="48">
        <f>DATEDIF(F13,$M$9,"M")</f>
        <v>48</v>
      </c>
      <c r="W13" s="48">
        <f>H13-V13</f>
        <v>96</v>
      </c>
    </row>
    <row r="14" spans="1:35" ht="13.2">
      <c r="A14" s="97"/>
      <c r="B14" s="414" t="s">
        <v>686</v>
      </c>
      <c r="C14" s="443" t="s">
        <v>222</v>
      </c>
      <c r="D14" s="433" t="s">
        <v>228</v>
      </c>
      <c r="E14" s="433" t="s">
        <v>229</v>
      </c>
      <c r="F14" s="434">
        <v>44561</v>
      </c>
      <c r="G14" s="425">
        <v>12</v>
      </c>
      <c r="H14" s="426">
        <f t="shared" si="0"/>
        <v>144</v>
      </c>
      <c r="I14" s="427">
        <v>0</v>
      </c>
      <c r="J14" s="428">
        <v>4247.79</v>
      </c>
      <c r="K14" s="428">
        <v>1415.92</v>
      </c>
      <c r="L14" s="428">
        <v>0</v>
      </c>
      <c r="M14" s="423">
        <f t="shared" si="1"/>
        <v>2831.87</v>
      </c>
      <c r="N14" s="442" t="str">
        <f t="shared" si="2"/>
        <v>否</v>
      </c>
      <c r="O14" s="111">
        <f t="shared" si="3"/>
        <v>2033</v>
      </c>
      <c r="P14" s="49">
        <f t="shared" si="4"/>
        <v>48944</v>
      </c>
      <c r="Q14" s="113">
        <v>353.98</v>
      </c>
      <c r="S14" s="112">
        <f t="shared" si="5"/>
        <v>12</v>
      </c>
      <c r="T14" s="113">
        <f>(J14*(1-I14))/H14*S14</f>
        <v>353.98250000000002</v>
      </c>
      <c r="U14" s="113">
        <f t="shared" si="6"/>
        <v>2.4999999999977263E-3</v>
      </c>
    </row>
    <row r="15" spans="1:35" ht="13.2">
      <c r="A15" s="97"/>
      <c r="B15" s="414" t="s">
        <v>686</v>
      </c>
      <c r="C15" s="443" t="s">
        <v>222</v>
      </c>
      <c r="D15" s="433" t="s">
        <v>230</v>
      </c>
      <c r="E15" s="433" t="s">
        <v>231</v>
      </c>
      <c r="F15" s="434">
        <v>44561</v>
      </c>
      <c r="G15" s="425">
        <v>12</v>
      </c>
      <c r="H15" s="426">
        <f t="shared" si="0"/>
        <v>144</v>
      </c>
      <c r="I15" s="427">
        <v>0</v>
      </c>
      <c r="J15" s="428">
        <v>33628.32</v>
      </c>
      <c r="K15" s="428">
        <v>11209.44</v>
      </c>
      <c r="L15" s="428">
        <v>0</v>
      </c>
      <c r="M15" s="423">
        <f t="shared" si="1"/>
        <v>22418.879999999997</v>
      </c>
      <c r="N15" s="442" t="str">
        <f t="shared" si="2"/>
        <v>否</v>
      </c>
      <c r="O15" s="111">
        <f t="shared" si="3"/>
        <v>2033</v>
      </c>
      <c r="P15" s="49">
        <f t="shared" si="4"/>
        <v>48944</v>
      </c>
      <c r="Q15" s="113">
        <v>2802.36</v>
      </c>
      <c r="S15" s="112">
        <f t="shared" si="5"/>
        <v>12</v>
      </c>
      <c r="T15" s="113">
        <f>(J15*(1-I15))/H15*S15</f>
        <v>2802.36</v>
      </c>
      <c r="U15" s="113">
        <f t="shared" si="6"/>
        <v>0</v>
      </c>
    </row>
    <row r="16" spans="1:35" ht="13.2">
      <c r="A16" s="97"/>
      <c r="B16" s="414" t="s">
        <v>686</v>
      </c>
      <c r="C16" s="443" t="s">
        <v>222</v>
      </c>
      <c r="D16" s="433" t="s">
        <v>232</v>
      </c>
      <c r="E16" s="433" t="s">
        <v>233</v>
      </c>
      <c r="F16" s="434">
        <v>45272</v>
      </c>
      <c r="G16" s="425">
        <v>12</v>
      </c>
      <c r="H16" s="426">
        <f t="shared" si="0"/>
        <v>144</v>
      </c>
      <c r="I16" s="427">
        <v>0</v>
      </c>
      <c r="J16" s="428">
        <v>171681.41</v>
      </c>
      <c r="K16" s="428">
        <v>28613.56</v>
      </c>
      <c r="L16" s="428">
        <v>0</v>
      </c>
      <c r="M16" s="423">
        <f t="shared" si="1"/>
        <v>143067.85</v>
      </c>
      <c r="N16" s="442" t="str">
        <f t="shared" si="2"/>
        <v>否</v>
      </c>
      <c r="O16" s="111">
        <f t="shared" si="3"/>
        <v>2035</v>
      </c>
      <c r="P16" s="49">
        <f t="shared" si="4"/>
        <v>49674</v>
      </c>
      <c r="Q16" s="113">
        <v>14306.78</v>
      </c>
      <c r="S16" s="112">
        <f t="shared" si="5"/>
        <v>12</v>
      </c>
      <c r="T16" s="113">
        <f>(J16*(1-I16))/H16*S16</f>
        <v>14306.784166666668</v>
      </c>
      <c r="U16" s="113">
        <f t="shared" si="6"/>
        <v>4.1666666675155284E-3</v>
      </c>
    </row>
    <row r="17" spans="1:26" ht="13.2">
      <c r="A17" s="97"/>
      <c r="B17" s="414" t="s">
        <v>686</v>
      </c>
      <c r="C17" s="443" t="s">
        <v>222</v>
      </c>
      <c r="D17" s="433" t="s">
        <v>234</v>
      </c>
      <c r="E17" s="433" t="s">
        <v>235</v>
      </c>
      <c r="F17" s="434">
        <v>45272</v>
      </c>
      <c r="G17" s="425">
        <v>12</v>
      </c>
      <c r="H17" s="426">
        <f t="shared" si="0"/>
        <v>144</v>
      </c>
      <c r="I17" s="427">
        <v>0</v>
      </c>
      <c r="J17" s="428">
        <v>137168.14000000001</v>
      </c>
      <c r="K17" s="428">
        <v>20017.63</v>
      </c>
      <c r="L17" s="428">
        <v>116592.95</v>
      </c>
      <c r="M17" s="423">
        <f t="shared" si="1"/>
        <v>557.56000000001222</v>
      </c>
      <c r="N17" s="442" t="str">
        <f t="shared" si="2"/>
        <v>否</v>
      </c>
      <c r="O17" s="111">
        <f t="shared" si="3"/>
        <v>2035</v>
      </c>
      <c r="P17" s="49">
        <f t="shared" si="4"/>
        <v>49674</v>
      </c>
      <c r="Q17" s="113">
        <v>8586.9500000000007</v>
      </c>
      <c r="S17" s="112">
        <f t="shared" si="5"/>
        <v>12</v>
      </c>
      <c r="T17" s="476">
        <f>J17*(1-I17)/H17*9+(J17-(J17*(1-I17)/H17)*V17-L17)/W17*3</f>
        <v>8515.8545833333337</v>
      </c>
      <c r="U17" s="476">
        <f t="shared" si="6"/>
        <v>-71.095416666667006</v>
      </c>
      <c r="V17" s="48">
        <f>DATEDIF(F17,$M$9,"M")</f>
        <v>24</v>
      </c>
      <c r="W17" s="48">
        <f>H17-V17</f>
        <v>120</v>
      </c>
    </row>
    <row r="18" spans="1:26" ht="13.2">
      <c r="A18" s="97"/>
      <c r="B18" s="414" t="s">
        <v>686</v>
      </c>
      <c r="C18" s="443" t="s">
        <v>222</v>
      </c>
      <c r="D18" s="433" t="s">
        <v>236</v>
      </c>
      <c r="E18" s="433" t="s">
        <v>237</v>
      </c>
      <c r="F18" s="434">
        <v>45643</v>
      </c>
      <c r="G18" s="425">
        <v>12</v>
      </c>
      <c r="H18" s="426">
        <f t="shared" si="0"/>
        <v>144</v>
      </c>
      <c r="I18" s="427">
        <v>0</v>
      </c>
      <c r="J18" s="428">
        <v>252293.58</v>
      </c>
      <c r="K18" s="428">
        <v>21024.47</v>
      </c>
      <c r="L18" s="428">
        <v>0</v>
      </c>
      <c r="M18" s="423">
        <f t="shared" si="1"/>
        <v>231269.11</v>
      </c>
      <c r="N18" s="442" t="str">
        <f t="shared" si="2"/>
        <v>否</v>
      </c>
      <c r="O18" s="111">
        <f t="shared" si="3"/>
        <v>2036</v>
      </c>
      <c r="P18" s="49">
        <f t="shared" si="4"/>
        <v>50040</v>
      </c>
      <c r="Q18" s="113">
        <v>21024.47</v>
      </c>
      <c r="S18" s="112">
        <f t="shared" si="5"/>
        <v>12</v>
      </c>
      <c r="T18" s="113">
        <f>(J18*(1-I18))/H18*S18</f>
        <v>21024.465</v>
      </c>
      <c r="U18" s="113">
        <f t="shared" si="6"/>
        <v>-5.0000000010186341E-3</v>
      </c>
    </row>
    <row r="19" spans="1:26" ht="13.2">
      <c r="A19" s="97"/>
      <c r="B19" s="414" t="s">
        <v>686</v>
      </c>
      <c r="C19" s="443" t="s">
        <v>222</v>
      </c>
      <c r="D19" s="433" t="s">
        <v>238</v>
      </c>
      <c r="E19" s="433" t="s">
        <v>239</v>
      </c>
      <c r="F19" s="434">
        <v>45644</v>
      </c>
      <c r="G19" s="425">
        <v>12</v>
      </c>
      <c r="H19" s="426">
        <f t="shared" si="0"/>
        <v>144</v>
      </c>
      <c r="I19" s="427">
        <v>0</v>
      </c>
      <c r="J19" s="428">
        <v>157522.12</v>
      </c>
      <c r="K19" s="428">
        <v>9861.17</v>
      </c>
      <c r="L19" s="428">
        <v>146954.98000000001</v>
      </c>
      <c r="M19" s="423">
        <f t="shared" si="1"/>
        <v>705.96999999997206</v>
      </c>
      <c r="N19" s="442" t="str">
        <f t="shared" si="2"/>
        <v>否</v>
      </c>
      <c r="O19" s="111">
        <f t="shared" si="3"/>
        <v>2036</v>
      </c>
      <c r="P19" s="49">
        <f t="shared" si="4"/>
        <v>50040</v>
      </c>
      <c r="Q19" s="113">
        <v>9861.17</v>
      </c>
      <c r="S19" s="112">
        <f t="shared" si="5"/>
        <v>12</v>
      </c>
      <c r="T19" s="476">
        <f>J19*(1-I19)/H19*9+(J19-(J19*(1-I19)/H19)*V19-L19)/W19*3</f>
        <v>9786.9574242424242</v>
      </c>
      <c r="U19" s="476">
        <f t="shared" si="6"/>
        <v>-74.212575757575905</v>
      </c>
      <c r="V19" s="48">
        <f>DATEDIF(F19,$M$9,"M")</f>
        <v>12</v>
      </c>
      <c r="W19" s="48">
        <f>H19-V19</f>
        <v>132</v>
      </c>
    </row>
    <row r="20" spans="1:26" ht="13.2">
      <c r="A20" s="97"/>
      <c r="B20" s="414" t="s">
        <v>686</v>
      </c>
      <c r="C20" s="443" t="s">
        <v>222</v>
      </c>
      <c r="D20" s="433" t="s">
        <v>240</v>
      </c>
      <c r="E20" s="433" t="s">
        <v>241</v>
      </c>
      <c r="F20" s="434">
        <v>45645</v>
      </c>
      <c r="G20" s="425">
        <v>12</v>
      </c>
      <c r="H20" s="426">
        <f t="shared" si="0"/>
        <v>144</v>
      </c>
      <c r="I20" s="427">
        <v>0</v>
      </c>
      <c r="J20" s="428">
        <v>53976.9</v>
      </c>
      <c r="K20" s="428">
        <v>4498.08</v>
      </c>
      <c r="L20" s="428">
        <v>0</v>
      </c>
      <c r="M20" s="423">
        <f t="shared" si="1"/>
        <v>49478.82</v>
      </c>
      <c r="N20" s="442" t="str">
        <f t="shared" si="2"/>
        <v>否</v>
      </c>
      <c r="O20" s="111">
        <f t="shared" si="3"/>
        <v>2036</v>
      </c>
      <c r="P20" s="49">
        <f t="shared" si="4"/>
        <v>50040</v>
      </c>
      <c r="Q20" s="113">
        <v>4498.08</v>
      </c>
      <c r="S20" s="112">
        <f t="shared" si="5"/>
        <v>12</v>
      </c>
      <c r="T20" s="113">
        <f>(J20*(1-I20))/H20*S20</f>
        <v>4498.0749999999998</v>
      </c>
      <c r="U20" s="113">
        <f t="shared" si="6"/>
        <v>-5.0000000001091394E-3</v>
      </c>
    </row>
    <row r="21" spans="1:26" ht="13.2">
      <c r="A21" s="97"/>
      <c r="B21" s="414" t="s">
        <v>686</v>
      </c>
      <c r="C21" s="443" t="s">
        <v>222</v>
      </c>
      <c r="D21" s="433" t="s">
        <v>242</v>
      </c>
      <c r="E21" s="433" t="s">
        <v>243</v>
      </c>
      <c r="F21" s="434">
        <v>45645</v>
      </c>
      <c r="G21" s="425">
        <v>12</v>
      </c>
      <c r="H21" s="426">
        <f t="shared" si="0"/>
        <v>144</v>
      </c>
      <c r="I21" s="427">
        <v>0</v>
      </c>
      <c r="J21" s="428">
        <v>53976.9</v>
      </c>
      <c r="K21" s="428">
        <v>4498.08</v>
      </c>
      <c r="L21" s="428">
        <v>0</v>
      </c>
      <c r="M21" s="423">
        <f t="shared" si="1"/>
        <v>49478.82</v>
      </c>
      <c r="N21" s="442" t="str">
        <f t="shared" si="2"/>
        <v>否</v>
      </c>
      <c r="O21" s="111">
        <f t="shared" si="3"/>
        <v>2036</v>
      </c>
      <c r="P21" s="49">
        <f t="shared" si="4"/>
        <v>50040</v>
      </c>
      <c r="Q21" s="113">
        <v>4498.08</v>
      </c>
      <c r="S21" s="112">
        <f t="shared" si="5"/>
        <v>12</v>
      </c>
      <c r="T21" s="113">
        <f>(J21*(1-I21))/H21*S21</f>
        <v>4498.0749999999998</v>
      </c>
      <c r="U21" s="113">
        <f t="shared" si="6"/>
        <v>-5.0000000001091394E-3</v>
      </c>
      <c r="Y21" s="113"/>
      <c r="Z21" s="116"/>
    </row>
    <row r="22" spans="1:26" ht="13.2">
      <c r="A22" s="97"/>
      <c r="B22" s="414" t="s">
        <v>686</v>
      </c>
      <c r="C22" s="443" t="s">
        <v>222</v>
      </c>
      <c r="D22" s="433" t="s">
        <v>244</v>
      </c>
      <c r="E22" s="433" t="s">
        <v>245</v>
      </c>
      <c r="F22" s="434">
        <v>45645</v>
      </c>
      <c r="G22" s="425">
        <v>12</v>
      </c>
      <c r="H22" s="426">
        <f t="shared" si="0"/>
        <v>144</v>
      </c>
      <c r="I22" s="427">
        <v>0</v>
      </c>
      <c r="J22" s="428">
        <v>53993.1</v>
      </c>
      <c r="K22" s="428">
        <v>4499.43</v>
      </c>
      <c r="L22" s="428">
        <v>0</v>
      </c>
      <c r="M22" s="423">
        <f t="shared" si="1"/>
        <v>49493.67</v>
      </c>
      <c r="N22" s="442" t="str">
        <f t="shared" si="2"/>
        <v>否</v>
      </c>
      <c r="O22" s="111">
        <f t="shared" si="3"/>
        <v>2036</v>
      </c>
      <c r="P22" s="49">
        <f t="shared" si="4"/>
        <v>50040</v>
      </c>
      <c r="Q22" s="113">
        <v>4499.43</v>
      </c>
      <c r="S22" s="112">
        <f t="shared" si="5"/>
        <v>12</v>
      </c>
      <c r="T22" s="113">
        <f>(J22*(1-I22))/H22*S22</f>
        <v>4499.4250000000002</v>
      </c>
      <c r="U22" s="113">
        <f t="shared" si="6"/>
        <v>-5.0000000001091394E-3</v>
      </c>
      <c r="Y22" s="113"/>
      <c r="Z22" s="116"/>
    </row>
    <row r="23" spans="1:26" ht="13.2">
      <c r="A23" s="97"/>
      <c r="B23" s="414" t="s">
        <v>686</v>
      </c>
      <c r="C23" s="443" t="s">
        <v>246</v>
      </c>
      <c r="D23" s="433" t="s">
        <v>247</v>
      </c>
      <c r="E23" s="433" t="s">
        <v>248</v>
      </c>
      <c r="F23" s="434">
        <v>44561</v>
      </c>
      <c r="G23" s="425">
        <v>10</v>
      </c>
      <c r="H23" s="426">
        <f t="shared" si="0"/>
        <v>120</v>
      </c>
      <c r="I23" s="427">
        <v>0</v>
      </c>
      <c r="J23" s="428">
        <v>3852019.21</v>
      </c>
      <c r="K23" s="428">
        <v>1445107.2</v>
      </c>
      <c r="L23" s="428">
        <v>2392512.0099999998</v>
      </c>
      <c r="M23" s="423">
        <f t="shared" si="1"/>
        <v>14400</v>
      </c>
      <c r="N23" s="442" t="str">
        <f t="shared" si="2"/>
        <v>否</v>
      </c>
      <c r="O23" s="111">
        <f t="shared" si="3"/>
        <v>2031</v>
      </c>
      <c r="P23" s="49">
        <f t="shared" si="4"/>
        <v>48213</v>
      </c>
      <c r="Q23" s="113">
        <v>289501.44</v>
      </c>
      <c r="S23" s="112">
        <f t="shared" si="5"/>
        <v>12</v>
      </c>
      <c r="T23" s="476">
        <f>J23*(1-I23)/H23*9+(J23-(J23*(1-I23)/H23)*V23-L23)/W23*3</f>
        <v>285513.92058333335</v>
      </c>
      <c r="U23" s="476">
        <f t="shared" si="6"/>
        <v>-3987.5194166666479</v>
      </c>
      <c r="V23" s="48">
        <f>DATEDIF(F23,$M$9,"M")</f>
        <v>48</v>
      </c>
      <c r="W23" s="48">
        <f>H23-V23</f>
        <v>72</v>
      </c>
      <c r="Y23" s="113"/>
      <c r="Z23" s="116"/>
    </row>
    <row r="24" spans="1:26" ht="13.2">
      <c r="A24" s="97"/>
      <c r="B24" s="414" t="s">
        <v>686</v>
      </c>
      <c r="C24" s="443" t="s">
        <v>246</v>
      </c>
      <c r="D24" s="433" t="s">
        <v>249</v>
      </c>
      <c r="E24" s="433" t="s">
        <v>250</v>
      </c>
      <c r="F24" s="434">
        <v>44561</v>
      </c>
      <c r="G24" s="425">
        <v>10</v>
      </c>
      <c r="H24" s="426">
        <f t="shared" si="0"/>
        <v>120</v>
      </c>
      <c r="I24" s="427">
        <v>0</v>
      </c>
      <c r="J24" s="428">
        <v>15345836.289999999</v>
      </c>
      <c r="K24" s="428">
        <v>6138334.5199999996</v>
      </c>
      <c r="L24" s="428">
        <v>0</v>
      </c>
      <c r="M24" s="423">
        <f t="shared" si="1"/>
        <v>9207501.7699999996</v>
      </c>
      <c r="N24" s="442" t="str">
        <f t="shared" si="2"/>
        <v>否</v>
      </c>
      <c r="O24" s="111">
        <f t="shared" si="3"/>
        <v>2031</v>
      </c>
      <c r="P24" s="49">
        <f t="shared" si="4"/>
        <v>48213</v>
      </c>
      <c r="Q24" s="113">
        <v>1534583.63</v>
      </c>
      <c r="S24" s="112">
        <f t="shared" si="5"/>
        <v>12</v>
      </c>
      <c r="T24" s="113">
        <f>(J24*(1-I24))/H24*S24</f>
        <v>1534583.629</v>
      </c>
      <c r="U24" s="113">
        <f t="shared" si="6"/>
        <v>-9.9999993108212948E-4</v>
      </c>
      <c r="Y24" s="113"/>
      <c r="Z24" s="116"/>
    </row>
    <row r="25" spans="1:26" ht="12.75" customHeight="1">
      <c r="B25" s="414" t="s">
        <v>686</v>
      </c>
      <c r="C25" s="443" t="s">
        <v>246</v>
      </c>
      <c r="D25" s="433" t="s">
        <v>251</v>
      </c>
      <c r="E25" s="433" t="s">
        <v>252</v>
      </c>
      <c r="F25" s="434">
        <v>44561</v>
      </c>
      <c r="G25" s="425">
        <v>10</v>
      </c>
      <c r="H25" s="426">
        <f t="shared" si="0"/>
        <v>120</v>
      </c>
      <c r="I25" s="427">
        <v>0</v>
      </c>
      <c r="J25" s="428">
        <v>6609253.9699999997</v>
      </c>
      <c r="K25" s="428">
        <v>2479263.36</v>
      </c>
      <c r="L25" s="428">
        <v>4110955.99</v>
      </c>
      <c r="M25" s="423">
        <f t="shared" si="1"/>
        <v>19034.619999999646</v>
      </c>
      <c r="N25" s="442" t="str">
        <f t="shared" si="2"/>
        <v>否</v>
      </c>
      <c r="O25" s="111">
        <f t="shared" si="3"/>
        <v>2031</v>
      </c>
      <c r="P25" s="49">
        <f t="shared" si="4"/>
        <v>48213</v>
      </c>
      <c r="Q25" s="113">
        <v>496487.16</v>
      </c>
      <c r="S25" s="112">
        <f t="shared" si="5"/>
        <v>12</v>
      </c>
      <c r="T25" s="476">
        <f t="shared" ref="T25:T53" si="7">J25*(1-I25)/H25*9+(J25-(J25*(1-I25)/H25)*V25-L25)/W25*3</f>
        <v>489635.5640833333</v>
      </c>
      <c r="U25" s="476">
        <f t="shared" si="6"/>
        <v>-6851.5959166666726</v>
      </c>
      <c r="V25" s="48">
        <f t="shared" ref="V25:V53" si="8">DATEDIF(F25,$M$9,"M")</f>
        <v>48</v>
      </c>
      <c r="W25" s="48">
        <f t="shared" ref="W25:W53" si="9">H25-V25</f>
        <v>72</v>
      </c>
      <c r="Y25" s="113"/>
      <c r="Z25" s="116"/>
    </row>
    <row r="26" spans="1:26" ht="12.75" customHeight="1">
      <c r="B26" s="414" t="s">
        <v>686</v>
      </c>
      <c r="C26" s="443" t="s">
        <v>253</v>
      </c>
      <c r="D26" s="433" t="s">
        <v>254</v>
      </c>
      <c r="E26" s="433" t="s">
        <v>255</v>
      </c>
      <c r="F26" s="434">
        <v>44561</v>
      </c>
      <c r="G26" s="425">
        <v>8</v>
      </c>
      <c r="H26" s="426">
        <f t="shared" si="0"/>
        <v>96</v>
      </c>
      <c r="I26" s="427">
        <v>0</v>
      </c>
      <c r="J26" s="428">
        <v>450566.28</v>
      </c>
      <c r="K26" s="428">
        <v>211269.21</v>
      </c>
      <c r="L26" s="428">
        <v>238236.91</v>
      </c>
      <c r="M26" s="423">
        <f t="shared" si="1"/>
        <v>1060.1600000000326</v>
      </c>
      <c r="N26" s="442" t="str">
        <f t="shared" si="2"/>
        <v>否</v>
      </c>
      <c r="O26" s="111">
        <f t="shared" si="3"/>
        <v>2029</v>
      </c>
      <c r="P26" s="49">
        <f t="shared" si="4"/>
        <v>47483</v>
      </c>
      <c r="Q26" s="113">
        <v>42306.85</v>
      </c>
      <c r="S26" s="112">
        <f t="shared" si="5"/>
        <v>12</v>
      </c>
      <c r="T26" s="476">
        <f t="shared" si="7"/>
        <v>41430.978125000001</v>
      </c>
      <c r="U26" s="476">
        <f t="shared" si="6"/>
        <v>-875.87187499999709</v>
      </c>
      <c r="V26" s="48">
        <f t="shared" si="8"/>
        <v>48</v>
      </c>
      <c r="W26" s="48">
        <f t="shared" si="9"/>
        <v>48</v>
      </c>
      <c r="Y26" s="113"/>
      <c r="Z26" s="116"/>
    </row>
    <row r="27" spans="1:26" ht="12.75" customHeight="1">
      <c r="B27" s="414" t="s">
        <v>686</v>
      </c>
      <c r="C27" s="443" t="s">
        <v>253</v>
      </c>
      <c r="D27" s="433" t="s">
        <v>257</v>
      </c>
      <c r="E27" s="433" t="s">
        <v>258</v>
      </c>
      <c r="F27" s="434">
        <v>44561</v>
      </c>
      <c r="G27" s="425">
        <v>8</v>
      </c>
      <c r="H27" s="426">
        <f t="shared" si="0"/>
        <v>96</v>
      </c>
      <c r="I27" s="427">
        <v>0</v>
      </c>
      <c r="J27" s="428">
        <v>335844.18</v>
      </c>
      <c r="K27" s="428">
        <v>157476.34</v>
      </c>
      <c r="L27" s="428">
        <v>177577.60000000001</v>
      </c>
      <c r="M27" s="423">
        <f t="shared" si="1"/>
        <v>790.23999999999069</v>
      </c>
      <c r="N27" s="442" t="str">
        <f t="shared" si="2"/>
        <v>否</v>
      </c>
      <c r="O27" s="111">
        <f t="shared" si="3"/>
        <v>2029</v>
      </c>
      <c r="P27" s="49">
        <f t="shared" si="4"/>
        <v>47483</v>
      </c>
      <c r="Q27" s="113">
        <v>31534.78</v>
      </c>
      <c r="S27" s="112">
        <f t="shared" si="5"/>
        <v>12</v>
      </c>
      <c r="T27" s="476">
        <f t="shared" si="7"/>
        <v>30881.922500000001</v>
      </c>
      <c r="U27" s="476">
        <f t="shared" si="6"/>
        <v>-652.85749999999825</v>
      </c>
      <c r="V27" s="48">
        <f t="shared" si="8"/>
        <v>48</v>
      </c>
      <c r="W27" s="48">
        <f t="shared" si="9"/>
        <v>48</v>
      </c>
      <c r="Y27" s="113"/>
      <c r="Z27" s="116"/>
    </row>
    <row r="28" spans="1:26" ht="12.75" customHeight="1">
      <c r="B28" s="414" t="s">
        <v>686</v>
      </c>
      <c r="C28" s="443" t="s">
        <v>253</v>
      </c>
      <c r="D28" s="433" t="s">
        <v>259</v>
      </c>
      <c r="E28" s="433" t="s">
        <v>260</v>
      </c>
      <c r="F28" s="434">
        <v>44561</v>
      </c>
      <c r="G28" s="425">
        <v>8</v>
      </c>
      <c r="H28" s="426">
        <f t="shared" si="0"/>
        <v>96</v>
      </c>
      <c r="I28" s="427">
        <v>0</v>
      </c>
      <c r="J28" s="428">
        <v>787491.08</v>
      </c>
      <c r="K28" s="428">
        <v>369252.26</v>
      </c>
      <c r="L28" s="428">
        <v>416385.91</v>
      </c>
      <c r="M28" s="423">
        <f t="shared" si="1"/>
        <v>1852.9099999999744</v>
      </c>
      <c r="N28" s="442" t="str">
        <f t="shared" si="2"/>
        <v>否</v>
      </c>
      <c r="O28" s="111">
        <f t="shared" si="3"/>
        <v>2029</v>
      </c>
      <c r="P28" s="49">
        <f t="shared" si="4"/>
        <v>47483</v>
      </c>
      <c r="Q28" s="113">
        <v>73943.100000000006</v>
      </c>
      <c r="S28" s="112">
        <f t="shared" si="5"/>
        <v>12</v>
      </c>
      <c r="T28" s="476">
        <f t="shared" si="7"/>
        <v>72412.265625</v>
      </c>
      <c r="U28" s="476">
        <f t="shared" si="6"/>
        <v>-1530.8343750000058</v>
      </c>
      <c r="V28" s="48">
        <f t="shared" si="8"/>
        <v>48</v>
      </c>
      <c r="W28" s="48">
        <f t="shared" si="9"/>
        <v>48</v>
      </c>
      <c r="Y28" s="113"/>
      <c r="Z28" s="116"/>
    </row>
    <row r="29" spans="1:26" ht="12.75" customHeight="1">
      <c r="B29" s="414" t="s">
        <v>686</v>
      </c>
      <c r="C29" s="443" t="s">
        <v>253</v>
      </c>
      <c r="D29" s="433" t="s">
        <v>261</v>
      </c>
      <c r="E29" s="433" t="s">
        <v>262</v>
      </c>
      <c r="F29" s="434">
        <v>44561</v>
      </c>
      <c r="G29" s="425">
        <v>8</v>
      </c>
      <c r="H29" s="426">
        <f t="shared" si="0"/>
        <v>96</v>
      </c>
      <c r="I29" s="427">
        <v>0</v>
      </c>
      <c r="J29" s="428">
        <v>802846.83</v>
      </c>
      <c r="K29" s="428">
        <v>376452.52</v>
      </c>
      <c r="L29" s="428">
        <v>424505.25</v>
      </c>
      <c r="M29" s="423">
        <f t="shared" si="1"/>
        <v>1889.0599999999395</v>
      </c>
      <c r="N29" s="442" t="str">
        <f t="shared" si="2"/>
        <v>否</v>
      </c>
      <c r="O29" s="111">
        <f t="shared" si="3"/>
        <v>2029</v>
      </c>
      <c r="P29" s="49">
        <f t="shared" si="4"/>
        <v>47483</v>
      </c>
      <c r="Q29" s="113">
        <v>75384.960000000006</v>
      </c>
      <c r="S29" s="112">
        <f t="shared" si="5"/>
        <v>12</v>
      </c>
      <c r="T29" s="476">
        <f t="shared" si="7"/>
        <v>73824.275624999995</v>
      </c>
      <c r="U29" s="476">
        <f t="shared" si="6"/>
        <v>-1560.6843750000116</v>
      </c>
      <c r="V29" s="48">
        <f t="shared" si="8"/>
        <v>48</v>
      </c>
      <c r="W29" s="48">
        <f t="shared" si="9"/>
        <v>48</v>
      </c>
      <c r="Y29" s="113"/>
      <c r="Z29" s="116"/>
    </row>
    <row r="30" spans="1:26" ht="12.75" customHeight="1">
      <c r="B30" s="414" t="s">
        <v>686</v>
      </c>
      <c r="C30" s="443" t="s">
        <v>253</v>
      </c>
      <c r="D30" s="433" t="s">
        <v>263</v>
      </c>
      <c r="E30" s="433" t="s">
        <v>264</v>
      </c>
      <c r="F30" s="434">
        <v>44561</v>
      </c>
      <c r="G30" s="425">
        <v>8</v>
      </c>
      <c r="H30" s="426">
        <f t="shared" si="0"/>
        <v>96</v>
      </c>
      <c r="I30" s="427">
        <v>0</v>
      </c>
      <c r="J30" s="428">
        <v>464169.84</v>
      </c>
      <c r="K30" s="428">
        <v>217647.87</v>
      </c>
      <c r="L30" s="428">
        <v>245429.82</v>
      </c>
      <c r="M30" s="423">
        <f t="shared" si="1"/>
        <v>1092.1500000000233</v>
      </c>
      <c r="N30" s="442" t="str">
        <f t="shared" si="2"/>
        <v>否</v>
      </c>
      <c r="O30" s="111">
        <f t="shared" si="3"/>
        <v>2029</v>
      </c>
      <c r="P30" s="49">
        <f t="shared" si="4"/>
        <v>47483</v>
      </c>
      <c r="Q30" s="113">
        <v>43584.18</v>
      </c>
      <c r="S30" s="112">
        <f t="shared" si="5"/>
        <v>12</v>
      </c>
      <c r="T30" s="476">
        <f t="shared" si="7"/>
        <v>42681.866250000006</v>
      </c>
      <c r="U30" s="476">
        <f t="shared" si="6"/>
        <v>-902.31374999999389</v>
      </c>
      <c r="V30" s="48">
        <f t="shared" si="8"/>
        <v>48</v>
      </c>
      <c r="W30" s="48">
        <f t="shared" si="9"/>
        <v>48</v>
      </c>
      <c r="Y30" s="113"/>
      <c r="Z30" s="116"/>
    </row>
    <row r="31" spans="1:26" ht="12.75" customHeight="1">
      <c r="B31" s="414" t="s">
        <v>686</v>
      </c>
      <c r="C31" s="443" t="s">
        <v>253</v>
      </c>
      <c r="D31" s="433" t="s">
        <v>265</v>
      </c>
      <c r="E31" s="433" t="s">
        <v>266</v>
      </c>
      <c r="F31" s="434">
        <v>44561</v>
      </c>
      <c r="G31" s="425">
        <v>8</v>
      </c>
      <c r="H31" s="426">
        <f t="shared" si="0"/>
        <v>96</v>
      </c>
      <c r="I31" s="427">
        <v>0</v>
      </c>
      <c r="J31" s="428">
        <v>349089.31</v>
      </c>
      <c r="K31" s="428">
        <v>163686.95000000001</v>
      </c>
      <c r="L31" s="428">
        <v>184580.96</v>
      </c>
      <c r="M31" s="423">
        <f t="shared" si="1"/>
        <v>821.39999999999418</v>
      </c>
      <c r="N31" s="442" t="str">
        <f t="shared" si="2"/>
        <v>否</v>
      </c>
      <c r="O31" s="111">
        <f t="shared" si="3"/>
        <v>2029</v>
      </c>
      <c r="P31" s="49">
        <f t="shared" si="4"/>
        <v>47483</v>
      </c>
      <c r="Q31" s="113">
        <v>32778.46</v>
      </c>
      <c r="S31" s="112">
        <f t="shared" si="5"/>
        <v>12</v>
      </c>
      <c r="T31" s="476">
        <f t="shared" si="7"/>
        <v>32099.853749999998</v>
      </c>
      <c r="U31" s="476">
        <f t="shared" si="6"/>
        <v>-678.60625000000073</v>
      </c>
      <c r="V31" s="48">
        <f t="shared" si="8"/>
        <v>48</v>
      </c>
      <c r="W31" s="48">
        <f t="shared" si="9"/>
        <v>48</v>
      </c>
      <c r="Y31" s="113"/>
      <c r="Z31" s="116"/>
    </row>
    <row r="32" spans="1:26" ht="12.75" customHeight="1">
      <c r="B32" s="414" t="s">
        <v>686</v>
      </c>
      <c r="C32" s="443" t="s">
        <v>253</v>
      </c>
      <c r="D32" s="433" t="s">
        <v>267</v>
      </c>
      <c r="E32" s="433" t="s">
        <v>268</v>
      </c>
      <c r="F32" s="434">
        <v>44561</v>
      </c>
      <c r="G32" s="425">
        <v>8</v>
      </c>
      <c r="H32" s="426">
        <f t="shared" si="0"/>
        <v>96</v>
      </c>
      <c r="I32" s="427">
        <v>0</v>
      </c>
      <c r="J32" s="428">
        <v>411165.42</v>
      </c>
      <c r="K32" s="428">
        <v>192794.27</v>
      </c>
      <c r="L32" s="428">
        <v>217403.68</v>
      </c>
      <c r="M32" s="423">
        <f t="shared" si="1"/>
        <v>967.47000000000116</v>
      </c>
      <c r="N32" s="442" t="str">
        <f t="shared" si="2"/>
        <v>否</v>
      </c>
      <c r="O32" s="111">
        <f t="shared" si="3"/>
        <v>2029</v>
      </c>
      <c r="P32" s="49">
        <f t="shared" si="4"/>
        <v>47483</v>
      </c>
      <c r="Q32" s="113">
        <v>38607.230000000003</v>
      </c>
      <c r="S32" s="112">
        <f t="shared" si="5"/>
        <v>12</v>
      </c>
      <c r="T32" s="476">
        <f t="shared" si="7"/>
        <v>37807.947499999995</v>
      </c>
      <c r="U32" s="476">
        <f t="shared" si="6"/>
        <v>-799.28250000000844</v>
      </c>
      <c r="V32" s="48">
        <f t="shared" si="8"/>
        <v>48</v>
      </c>
      <c r="W32" s="48">
        <f t="shared" si="9"/>
        <v>48</v>
      </c>
      <c r="Y32" s="113"/>
      <c r="Z32" s="116"/>
    </row>
    <row r="33" spans="2:26" ht="12.75" customHeight="1">
      <c r="B33" s="414" t="s">
        <v>686</v>
      </c>
      <c r="C33" s="443" t="s">
        <v>253</v>
      </c>
      <c r="D33" s="433" t="s">
        <v>269</v>
      </c>
      <c r="E33" s="433" t="s">
        <v>270</v>
      </c>
      <c r="F33" s="434">
        <v>44561</v>
      </c>
      <c r="G33" s="425">
        <v>8</v>
      </c>
      <c r="H33" s="426">
        <f t="shared" si="0"/>
        <v>96</v>
      </c>
      <c r="I33" s="427">
        <v>0</v>
      </c>
      <c r="J33" s="428">
        <v>446106.12</v>
      </c>
      <c r="K33" s="428">
        <v>209177.85</v>
      </c>
      <c r="L33" s="428">
        <v>235878.6</v>
      </c>
      <c r="M33" s="423">
        <f t="shared" si="1"/>
        <v>1049.6699999999837</v>
      </c>
      <c r="N33" s="442" t="str">
        <f t="shared" si="2"/>
        <v>否</v>
      </c>
      <c r="O33" s="111">
        <f t="shared" si="3"/>
        <v>2029</v>
      </c>
      <c r="P33" s="49">
        <f t="shared" si="4"/>
        <v>47483</v>
      </c>
      <c r="Q33" s="113">
        <v>41888.050000000003</v>
      </c>
      <c r="S33" s="112">
        <f t="shared" si="5"/>
        <v>12</v>
      </c>
      <c r="T33" s="476">
        <f t="shared" si="7"/>
        <v>41020.852500000001</v>
      </c>
      <c r="U33" s="476">
        <f t="shared" si="6"/>
        <v>-867.19750000000204</v>
      </c>
      <c r="V33" s="48">
        <f t="shared" si="8"/>
        <v>48</v>
      </c>
      <c r="W33" s="48">
        <f t="shared" si="9"/>
        <v>48</v>
      </c>
      <c r="Y33" s="113"/>
      <c r="Z33" s="116"/>
    </row>
    <row r="34" spans="2:26" ht="12.75" customHeight="1">
      <c r="B34" s="414" t="s">
        <v>686</v>
      </c>
      <c r="C34" s="443" t="s">
        <v>253</v>
      </c>
      <c r="D34" s="433" t="s">
        <v>271</v>
      </c>
      <c r="E34" s="433" t="s">
        <v>272</v>
      </c>
      <c r="F34" s="434">
        <v>44561</v>
      </c>
      <c r="G34" s="425">
        <v>8</v>
      </c>
      <c r="H34" s="426">
        <f t="shared" si="0"/>
        <v>96</v>
      </c>
      <c r="I34" s="427">
        <v>0</v>
      </c>
      <c r="J34" s="428">
        <v>399067.19</v>
      </c>
      <c r="K34" s="428">
        <v>187121.44</v>
      </c>
      <c r="L34" s="428">
        <v>211006.77</v>
      </c>
      <c r="M34" s="423">
        <f t="shared" si="1"/>
        <v>938.98000000001048</v>
      </c>
      <c r="N34" s="442" t="str">
        <f t="shared" si="2"/>
        <v>否</v>
      </c>
      <c r="O34" s="111">
        <f t="shared" si="3"/>
        <v>2029</v>
      </c>
      <c r="P34" s="49">
        <f t="shared" si="4"/>
        <v>47483</v>
      </c>
      <c r="Q34" s="113">
        <v>37471.24</v>
      </c>
      <c r="S34" s="112">
        <f t="shared" si="5"/>
        <v>12</v>
      </c>
      <c r="T34" s="476">
        <f t="shared" si="7"/>
        <v>36695.475625000006</v>
      </c>
      <c r="U34" s="476">
        <f t="shared" si="6"/>
        <v>-775.76437499999156</v>
      </c>
      <c r="V34" s="48">
        <f t="shared" si="8"/>
        <v>48</v>
      </c>
      <c r="W34" s="48">
        <f t="shared" si="9"/>
        <v>48</v>
      </c>
      <c r="Y34" s="113"/>
      <c r="Z34" s="116"/>
    </row>
    <row r="35" spans="2:26" ht="12.75" customHeight="1">
      <c r="B35" s="414" t="s">
        <v>686</v>
      </c>
      <c r="C35" s="443" t="s">
        <v>253</v>
      </c>
      <c r="D35" s="433" t="s">
        <v>273</v>
      </c>
      <c r="E35" s="433" t="s">
        <v>274</v>
      </c>
      <c r="F35" s="434">
        <v>44561</v>
      </c>
      <c r="G35" s="425">
        <v>8</v>
      </c>
      <c r="H35" s="426">
        <f t="shared" si="0"/>
        <v>96</v>
      </c>
      <c r="I35" s="427">
        <v>0</v>
      </c>
      <c r="J35" s="428">
        <v>309233.56</v>
      </c>
      <c r="K35" s="428">
        <v>144998.71</v>
      </c>
      <c r="L35" s="428">
        <v>163507.26</v>
      </c>
      <c r="M35" s="423">
        <f t="shared" si="1"/>
        <v>727.58999999999651</v>
      </c>
      <c r="N35" s="442" t="str">
        <f t="shared" si="2"/>
        <v>否</v>
      </c>
      <c r="O35" s="111">
        <f t="shared" si="3"/>
        <v>2029</v>
      </c>
      <c r="P35" s="49">
        <f t="shared" si="4"/>
        <v>47483</v>
      </c>
      <c r="Q35" s="113">
        <v>29036.12</v>
      </c>
      <c r="S35" s="112">
        <f t="shared" si="5"/>
        <v>12</v>
      </c>
      <c r="T35" s="476">
        <f t="shared" si="7"/>
        <v>28434.991249999999</v>
      </c>
      <c r="U35" s="476">
        <f t="shared" si="6"/>
        <v>-601.12874999999985</v>
      </c>
      <c r="V35" s="48">
        <f t="shared" si="8"/>
        <v>48</v>
      </c>
      <c r="W35" s="48">
        <f t="shared" si="9"/>
        <v>48</v>
      </c>
      <c r="Y35" s="113"/>
      <c r="Z35" s="116"/>
    </row>
    <row r="36" spans="2:26" ht="12.75" customHeight="1">
      <c r="B36" s="414" t="s">
        <v>686</v>
      </c>
      <c r="C36" s="443" t="s">
        <v>253</v>
      </c>
      <c r="D36" s="433" t="s">
        <v>275</v>
      </c>
      <c r="E36" s="433" t="s">
        <v>276</v>
      </c>
      <c r="F36" s="434">
        <v>44561</v>
      </c>
      <c r="G36" s="425">
        <v>8</v>
      </c>
      <c r="H36" s="426">
        <f t="shared" si="0"/>
        <v>96</v>
      </c>
      <c r="I36" s="427">
        <v>0</v>
      </c>
      <c r="J36" s="428">
        <v>1215741.52</v>
      </c>
      <c r="K36" s="428">
        <v>570057.62</v>
      </c>
      <c r="L36" s="428">
        <v>642823.35</v>
      </c>
      <c r="M36" s="423">
        <f t="shared" si="1"/>
        <v>2860.5500000000466</v>
      </c>
      <c r="N36" s="442" t="str">
        <f t="shared" si="2"/>
        <v>否</v>
      </c>
      <c r="O36" s="111">
        <f t="shared" si="3"/>
        <v>2029</v>
      </c>
      <c r="P36" s="49">
        <f t="shared" si="4"/>
        <v>47483</v>
      </c>
      <c r="Q36" s="113">
        <v>114154.55</v>
      </c>
      <c r="S36" s="112">
        <f t="shared" si="5"/>
        <v>12</v>
      </c>
      <c r="T36" s="476">
        <f t="shared" si="7"/>
        <v>111791.230625</v>
      </c>
      <c r="U36" s="476">
        <f t="shared" si="6"/>
        <v>-2363.3193750000064</v>
      </c>
      <c r="V36" s="48">
        <f t="shared" si="8"/>
        <v>48</v>
      </c>
      <c r="W36" s="48">
        <f t="shared" si="9"/>
        <v>48</v>
      </c>
      <c r="Y36" s="113"/>
      <c r="Z36" s="116"/>
    </row>
    <row r="37" spans="2:26" ht="12.75" customHeight="1">
      <c r="B37" s="414" t="s">
        <v>686</v>
      </c>
      <c r="C37" s="443" t="s">
        <v>253</v>
      </c>
      <c r="D37" s="433" t="s">
        <v>277</v>
      </c>
      <c r="E37" s="433" t="s">
        <v>278</v>
      </c>
      <c r="F37" s="434">
        <v>44561</v>
      </c>
      <c r="G37" s="425">
        <v>8</v>
      </c>
      <c r="H37" s="426">
        <f t="shared" si="0"/>
        <v>96</v>
      </c>
      <c r="I37" s="427">
        <v>0</v>
      </c>
      <c r="J37" s="428">
        <v>342100.81</v>
      </c>
      <c r="K37" s="428">
        <v>160410.06</v>
      </c>
      <c r="L37" s="428">
        <v>180885.81</v>
      </c>
      <c r="M37" s="423">
        <f t="shared" si="1"/>
        <v>804.94000000000233</v>
      </c>
      <c r="N37" s="442" t="str">
        <f t="shared" si="2"/>
        <v>否</v>
      </c>
      <c r="O37" s="111">
        <f t="shared" si="3"/>
        <v>2029</v>
      </c>
      <c r="P37" s="49">
        <f t="shared" si="4"/>
        <v>47483</v>
      </c>
      <c r="Q37" s="113">
        <v>32122.26</v>
      </c>
      <c r="S37" s="112">
        <f t="shared" si="5"/>
        <v>12</v>
      </c>
      <c r="T37" s="476">
        <f t="shared" si="7"/>
        <v>31457.238124999996</v>
      </c>
      <c r="U37" s="476">
        <f t="shared" si="6"/>
        <v>-665.02187500000218</v>
      </c>
      <c r="V37" s="48">
        <f t="shared" si="8"/>
        <v>48</v>
      </c>
      <c r="W37" s="48">
        <f t="shared" si="9"/>
        <v>48</v>
      </c>
      <c r="Y37" s="113"/>
      <c r="Z37" s="116"/>
    </row>
    <row r="38" spans="2:26" ht="12.75" customHeight="1">
      <c r="B38" s="414" t="s">
        <v>686</v>
      </c>
      <c r="C38" s="443" t="s">
        <v>253</v>
      </c>
      <c r="D38" s="433" t="s">
        <v>279</v>
      </c>
      <c r="E38" s="433" t="s">
        <v>280</v>
      </c>
      <c r="F38" s="434">
        <v>44561</v>
      </c>
      <c r="G38" s="425">
        <v>8</v>
      </c>
      <c r="H38" s="426">
        <f t="shared" si="0"/>
        <v>96</v>
      </c>
      <c r="I38" s="427">
        <v>0</v>
      </c>
      <c r="J38" s="428">
        <v>179682.23</v>
      </c>
      <c r="K38" s="428">
        <v>84252.47</v>
      </c>
      <c r="L38" s="428">
        <v>95006.97</v>
      </c>
      <c r="M38" s="423">
        <f t="shared" si="1"/>
        <v>422.79000000000815</v>
      </c>
      <c r="N38" s="442" t="str">
        <f t="shared" si="2"/>
        <v>否</v>
      </c>
      <c r="O38" s="111">
        <f t="shared" si="3"/>
        <v>2029</v>
      </c>
      <c r="P38" s="49">
        <f t="shared" si="4"/>
        <v>47483</v>
      </c>
      <c r="Q38" s="113">
        <v>16871.63</v>
      </c>
      <c r="S38" s="112">
        <f t="shared" si="5"/>
        <v>12</v>
      </c>
      <c r="T38" s="476">
        <f t="shared" si="7"/>
        <v>16522.343125000003</v>
      </c>
      <c r="U38" s="476">
        <f t="shared" si="6"/>
        <v>-349.28687499999796</v>
      </c>
      <c r="V38" s="48">
        <f t="shared" si="8"/>
        <v>48</v>
      </c>
      <c r="W38" s="48">
        <f t="shared" si="9"/>
        <v>48</v>
      </c>
      <c r="Y38" s="113"/>
      <c r="Z38" s="116"/>
    </row>
    <row r="39" spans="2:26" ht="12.75" customHeight="1">
      <c r="B39" s="414" t="s">
        <v>686</v>
      </c>
      <c r="C39" s="443" t="s">
        <v>253</v>
      </c>
      <c r="D39" s="433" t="s">
        <v>281</v>
      </c>
      <c r="E39" s="433" t="s">
        <v>282</v>
      </c>
      <c r="F39" s="434">
        <v>44561</v>
      </c>
      <c r="G39" s="425">
        <v>8</v>
      </c>
      <c r="H39" s="426">
        <f t="shared" si="0"/>
        <v>96</v>
      </c>
      <c r="I39" s="427">
        <v>0</v>
      </c>
      <c r="J39" s="428">
        <v>323910.55</v>
      </c>
      <c r="K39" s="428">
        <v>151880.70000000001</v>
      </c>
      <c r="L39" s="428">
        <v>171267.69</v>
      </c>
      <c r="M39" s="423">
        <f t="shared" si="1"/>
        <v>762.15999999997439</v>
      </c>
      <c r="N39" s="442" t="str">
        <f t="shared" si="2"/>
        <v>否</v>
      </c>
      <c r="O39" s="111">
        <f t="shared" si="3"/>
        <v>2029</v>
      </c>
      <c r="P39" s="49">
        <f t="shared" si="4"/>
        <v>47483</v>
      </c>
      <c r="Q39" s="113">
        <v>30414.240000000002</v>
      </c>
      <c r="S39" s="112">
        <f t="shared" si="5"/>
        <v>12</v>
      </c>
      <c r="T39" s="476">
        <f t="shared" si="7"/>
        <v>29784.588125000002</v>
      </c>
      <c r="U39" s="476">
        <f t="shared" si="6"/>
        <v>-629.65187499999956</v>
      </c>
      <c r="V39" s="48">
        <f t="shared" si="8"/>
        <v>48</v>
      </c>
      <c r="W39" s="48">
        <f t="shared" si="9"/>
        <v>48</v>
      </c>
      <c r="Y39" s="113"/>
      <c r="Z39" s="116"/>
    </row>
    <row r="40" spans="2:26" ht="12.75" customHeight="1">
      <c r="B40" s="414" t="s">
        <v>686</v>
      </c>
      <c r="C40" s="443" t="s">
        <v>253</v>
      </c>
      <c r="D40" s="433" t="s">
        <v>283</v>
      </c>
      <c r="E40" s="433" t="s">
        <v>284</v>
      </c>
      <c r="F40" s="434">
        <v>44561</v>
      </c>
      <c r="G40" s="425">
        <v>8</v>
      </c>
      <c r="H40" s="426">
        <f t="shared" si="0"/>
        <v>96</v>
      </c>
      <c r="I40" s="427">
        <v>0</v>
      </c>
      <c r="J40" s="428">
        <v>386783.12</v>
      </c>
      <c r="K40" s="428">
        <v>181361.47</v>
      </c>
      <c r="L40" s="428">
        <v>204511.58</v>
      </c>
      <c r="M40" s="423">
        <f t="shared" si="1"/>
        <v>910.07000000000698</v>
      </c>
      <c r="N40" s="442" t="str">
        <f t="shared" si="2"/>
        <v>否</v>
      </c>
      <c r="O40" s="111">
        <f t="shared" si="3"/>
        <v>2029</v>
      </c>
      <c r="P40" s="49">
        <f t="shared" si="4"/>
        <v>47483</v>
      </c>
      <c r="Q40" s="113">
        <v>36317.800000000003</v>
      </c>
      <c r="S40" s="112">
        <f t="shared" si="5"/>
        <v>12</v>
      </c>
      <c r="T40" s="476">
        <f t="shared" si="7"/>
        <v>35565.916249999995</v>
      </c>
      <c r="U40" s="476">
        <f t="shared" si="6"/>
        <v>-751.88375000000815</v>
      </c>
      <c r="V40" s="48">
        <f t="shared" si="8"/>
        <v>48</v>
      </c>
      <c r="W40" s="48">
        <f t="shared" si="9"/>
        <v>48</v>
      </c>
      <c r="Y40" s="113"/>
      <c r="Z40" s="116"/>
    </row>
    <row r="41" spans="2:26" ht="12.75" customHeight="1">
      <c r="B41" s="414" t="s">
        <v>686</v>
      </c>
      <c r="C41" s="443" t="s">
        <v>253</v>
      </c>
      <c r="D41" s="433" t="s">
        <v>285</v>
      </c>
      <c r="E41" s="433" t="s">
        <v>286</v>
      </c>
      <c r="F41" s="434">
        <v>44561</v>
      </c>
      <c r="G41" s="425">
        <v>8</v>
      </c>
      <c r="H41" s="426">
        <f t="shared" si="0"/>
        <v>96</v>
      </c>
      <c r="I41" s="427">
        <v>0</v>
      </c>
      <c r="J41" s="428">
        <v>399687.54</v>
      </c>
      <c r="K41" s="428">
        <v>187412.31</v>
      </c>
      <c r="L41" s="428">
        <v>211334.8</v>
      </c>
      <c r="M41" s="423">
        <f t="shared" si="1"/>
        <v>940.42999999999302</v>
      </c>
      <c r="N41" s="442" t="str">
        <f t="shared" si="2"/>
        <v>否</v>
      </c>
      <c r="O41" s="111">
        <f t="shared" si="3"/>
        <v>2029</v>
      </c>
      <c r="P41" s="49">
        <f t="shared" si="4"/>
        <v>47483</v>
      </c>
      <c r="Q41" s="113">
        <v>37529.49</v>
      </c>
      <c r="S41" s="112">
        <f t="shared" si="5"/>
        <v>12</v>
      </c>
      <c r="T41" s="476">
        <f t="shared" si="7"/>
        <v>36752.517499999994</v>
      </c>
      <c r="U41" s="476">
        <f t="shared" si="6"/>
        <v>-776.97250000000349</v>
      </c>
      <c r="V41" s="48">
        <f t="shared" si="8"/>
        <v>48</v>
      </c>
      <c r="W41" s="48">
        <f t="shared" si="9"/>
        <v>48</v>
      </c>
      <c r="Y41" s="113"/>
      <c r="Z41" s="116"/>
    </row>
    <row r="42" spans="2:26" ht="12.75" customHeight="1">
      <c r="B42" s="414" t="s">
        <v>686</v>
      </c>
      <c r="C42" s="443" t="s">
        <v>253</v>
      </c>
      <c r="D42" s="433" t="s">
        <v>287</v>
      </c>
      <c r="E42" s="433" t="s">
        <v>288</v>
      </c>
      <c r="F42" s="434">
        <v>44561</v>
      </c>
      <c r="G42" s="425">
        <v>8</v>
      </c>
      <c r="H42" s="426">
        <f t="shared" si="0"/>
        <v>96</v>
      </c>
      <c r="I42" s="427">
        <v>0</v>
      </c>
      <c r="J42" s="428">
        <v>403386.65</v>
      </c>
      <c r="K42" s="428">
        <v>189146.81</v>
      </c>
      <c r="L42" s="428">
        <v>213290.71</v>
      </c>
      <c r="M42" s="423">
        <f t="shared" si="1"/>
        <v>949.13000000003376</v>
      </c>
      <c r="N42" s="442" t="str">
        <f t="shared" si="2"/>
        <v>否</v>
      </c>
      <c r="O42" s="111">
        <f t="shared" si="3"/>
        <v>2029</v>
      </c>
      <c r="P42" s="49">
        <f t="shared" si="4"/>
        <v>47483</v>
      </c>
      <c r="Q42" s="113">
        <v>37876.82</v>
      </c>
      <c r="S42" s="112">
        <f t="shared" si="5"/>
        <v>12</v>
      </c>
      <c r="T42" s="476">
        <f t="shared" si="7"/>
        <v>37092.661875000005</v>
      </c>
      <c r="U42" s="476">
        <f t="shared" si="6"/>
        <v>-784.15812499999447</v>
      </c>
      <c r="V42" s="48">
        <f t="shared" si="8"/>
        <v>48</v>
      </c>
      <c r="W42" s="48">
        <f t="shared" si="9"/>
        <v>48</v>
      </c>
      <c r="Y42" s="113"/>
      <c r="Z42" s="116"/>
    </row>
    <row r="43" spans="2:26" ht="12.75" customHeight="1">
      <c r="B43" s="414" t="s">
        <v>686</v>
      </c>
      <c r="C43" s="443" t="s">
        <v>253</v>
      </c>
      <c r="D43" s="433" t="s">
        <v>289</v>
      </c>
      <c r="E43" s="433" t="s">
        <v>290</v>
      </c>
      <c r="F43" s="434">
        <v>44561</v>
      </c>
      <c r="G43" s="425">
        <v>8</v>
      </c>
      <c r="H43" s="426">
        <f t="shared" si="0"/>
        <v>96</v>
      </c>
      <c r="I43" s="427">
        <v>0</v>
      </c>
      <c r="J43" s="428">
        <v>247838.87</v>
      </c>
      <c r="K43" s="428">
        <v>116210.92</v>
      </c>
      <c r="L43" s="428">
        <v>131044.82</v>
      </c>
      <c r="M43" s="423">
        <f t="shared" si="1"/>
        <v>583.13000000000466</v>
      </c>
      <c r="N43" s="442" t="str">
        <f t="shared" si="2"/>
        <v>否</v>
      </c>
      <c r="O43" s="111">
        <f t="shared" si="3"/>
        <v>2029</v>
      </c>
      <c r="P43" s="49">
        <f t="shared" si="4"/>
        <v>47483</v>
      </c>
      <c r="Q43" s="113">
        <v>23271.34</v>
      </c>
      <c r="S43" s="112">
        <f t="shared" si="5"/>
        <v>12</v>
      </c>
      <c r="T43" s="476">
        <f t="shared" si="7"/>
        <v>22789.557499999999</v>
      </c>
      <c r="U43" s="476">
        <f t="shared" si="6"/>
        <v>-481.78250000000116</v>
      </c>
      <c r="V43" s="48">
        <f t="shared" si="8"/>
        <v>48</v>
      </c>
      <c r="W43" s="48">
        <f t="shared" si="9"/>
        <v>48</v>
      </c>
      <c r="Y43" s="113"/>
      <c r="Z43" s="116"/>
    </row>
    <row r="44" spans="2:26" ht="12.75" customHeight="1">
      <c r="B44" s="414" t="s">
        <v>686</v>
      </c>
      <c r="C44" s="443" t="s">
        <v>253</v>
      </c>
      <c r="D44" s="433" t="s">
        <v>291</v>
      </c>
      <c r="E44" s="433" t="s">
        <v>292</v>
      </c>
      <c r="F44" s="434">
        <v>44561</v>
      </c>
      <c r="G44" s="425">
        <v>8</v>
      </c>
      <c r="H44" s="426">
        <f t="shared" si="0"/>
        <v>96</v>
      </c>
      <c r="I44" s="427">
        <v>0</v>
      </c>
      <c r="J44" s="428">
        <v>247838.87</v>
      </c>
      <c r="K44" s="428">
        <v>116210.92</v>
      </c>
      <c r="L44" s="428">
        <v>131044.82</v>
      </c>
      <c r="M44" s="423">
        <f t="shared" si="1"/>
        <v>583.13000000000466</v>
      </c>
      <c r="N44" s="442" t="str">
        <f t="shared" si="2"/>
        <v>否</v>
      </c>
      <c r="O44" s="111">
        <f t="shared" si="3"/>
        <v>2029</v>
      </c>
      <c r="P44" s="49">
        <f t="shared" si="4"/>
        <v>47483</v>
      </c>
      <c r="Q44" s="113">
        <v>23271.34</v>
      </c>
      <c r="S44" s="112">
        <f t="shared" si="5"/>
        <v>12</v>
      </c>
      <c r="T44" s="476">
        <f t="shared" si="7"/>
        <v>22789.557499999999</v>
      </c>
      <c r="U44" s="476">
        <f t="shared" si="6"/>
        <v>-481.78250000000116</v>
      </c>
      <c r="V44" s="48">
        <f t="shared" si="8"/>
        <v>48</v>
      </c>
      <c r="W44" s="48">
        <f t="shared" si="9"/>
        <v>48</v>
      </c>
      <c r="Y44" s="113"/>
      <c r="Z44" s="116"/>
    </row>
    <row r="45" spans="2:26" ht="12.75" customHeight="1">
      <c r="B45" s="414" t="s">
        <v>686</v>
      </c>
      <c r="C45" s="443" t="s">
        <v>253</v>
      </c>
      <c r="D45" s="433" t="s">
        <v>293</v>
      </c>
      <c r="E45" s="433" t="s">
        <v>294</v>
      </c>
      <c r="F45" s="434">
        <v>44561</v>
      </c>
      <c r="G45" s="425">
        <v>8</v>
      </c>
      <c r="H45" s="426">
        <f t="shared" si="0"/>
        <v>96</v>
      </c>
      <c r="I45" s="427">
        <v>0</v>
      </c>
      <c r="J45" s="428">
        <v>247838.87</v>
      </c>
      <c r="K45" s="428">
        <v>116210.92</v>
      </c>
      <c r="L45" s="428">
        <v>131044.82</v>
      </c>
      <c r="M45" s="423">
        <f t="shared" si="1"/>
        <v>583.13000000000466</v>
      </c>
      <c r="N45" s="442" t="str">
        <f t="shared" si="2"/>
        <v>否</v>
      </c>
      <c r="O45" s="111">
        <f t="shared" si="3"/>
        <v>2029</v>
      </c>
      <c r="P45" s="49">
        <f t="shared" si="4"/>
        <v>47483</v>
      </c>
      <c r="Q45" s="113">
        <v>23271.34</v>
      </c>
      <c r="S45" s="112">
        <f t="shared" si="5"/>
        <v>12</v>
      </c>
      <c r="T45" s="476">
        <f t="shared" si="7"/>
        <v>22789.557499999999</v>
      </c>
      <c r="U45" s="476">
        <f t="shared" si="6"/>
        <v>-481.78250000000116</v>
      </c>
      <c r="V45" s="48">
        <f t="shared" si="8"/>
        <v>48</v>
      </c>
      <c r="W45" s="48">
        <f t="shared" si="9"/>
        <v>48</v>
      </c>
      <c r="Y45" s="113"/>
      <c r="Z45" s="116"/>
    </row>
    <row r="46" spans="2:26" ht="12.75" customHeight="1">
      <c r="B46" s="414" t="s">
        <v>686</v>
      </c>
      <c r="C46" s="443" t="s">
        <v>253</v>
      </c>
      <c r="D46" s="433" t="s">
        <v>295</v>
      </c>
      <c r="E46" s="433" t="s">
        <v>296</v>
      </c>
      <c r="F46" s="434">
        <v>44561</v>
      </c>
      <c r="G46" s="425">
        <v>8</v>
      </c>
      <c r="H46" s="426">
        <f t="shared" si="0"/>
        <v>96</v>
      </c>
      <c r="I46" s="427">
        <v>0</v>
      </c>
      <c r="J46" s="428">
        <v>247838.87</v>
      </c>
      <c r="K46" s="428">
        <v>116210.92</v>
      </c>
      <c r="L46" s="428">
        <v>131044.82</v>
      </c>
      <c r="M46" s="423">
        <f t="shared" si="1"/>
        <v>583.13000000000466</v>
      </c>
      <c r="N46" s="442" t="str">
        <f t="shared" si="2"/>
        <v>否</v>
      </c>
      <c r="O46" s="111">
        <f t="shared" si="3"/>
        <v>2029</v>
      </c>
      <c r="P46" s="49">
        <f t="shared" si="4"/>
        <v>47483</v>
      </c>
      <c r="Q46" s="113">
        <v>23271.34</v>
      </c>
      <c r="S46" s="112">
        <f t="shared" si="5"/>
        <v>12</v>
      </c>
      <c r="T46" s="476">
        <f t="shared" si="7"/>
        <v>22789.557499999999</v>
      </c>
      <c r="U46" s="476">
        <f t="shared" si="6"/>
        <v>-481.78250000000116</v>
      </c>
      <c r="V46" s="48">
        <f t="shared" si="8"/>
        <v>48</v>
      </c>
      <c r="W46" s="48">
        <f t="shared" si="9"/>
        <v>48</v>
      </c>
      <c r="Y46" s="113"/>
      <c r="Z46" s="116"/>
    </row>
    <row r="47" spans="2:26" ht="12.75" customHeight="1">
      <c r="B47" s="414" t="s">
        <v>686</v>
      </c>
      <c r="C47" s="443" t="s">
        <v>253</v>
      </c>
      <c r="D47" s="433" t="s">
        <v>297</v>
      </c>
      <c r="E47" s="433" t="s">
        <v>298</v>
      </c>
      <c r="F47" s="434">
        <v>44561</v>
      </c>
      <c r="G47" s="425">
        <v>8</v>
      </c>
      <c r="H47" s="426">
        <f t="shared" si="0"/>
        <v>96</v>
      </c>
      <c r="I47" s="427">
        <v>0</v>
      </c>
      <c r="J47" s="428">
        <v>444274.27</v>
      </c>
      <c r="K47" s="428">
        <v>208318.9</v>
      </c>
      <c r="L47" s="428">
        <v>234910</v>
      </c>
      <c r="M47" s="423">
        <f t="shared" si="1"/>
        <v>1045.3700000000244</v>
      </c>
      <c r="N47" s="442" t="str">
        <f t="shared" si="2"/>
        <v>否</v>
      </c>
      <c r="O47" s="111">
        <f t="shared" si="3"/>
        <v>2029</v>
      </c>
      <c r="P47" s="49">
        <f t="shared" si="4"/>
        <v>47483</v>
      </c>
      <c r="Q47" s="113">
        <v>41716.050000000003</v>
      </c>
      <c r="S47" s="112">
        <f t="shared" si="5"/>
        <v>12</v>
      </c>
      <c r="T47" s="476">
        <f t="shared" si="7"/>
        <v>40852.408750000002</v>
      </c>
      <c r="U47" s="476">
        <f t="shared" si="6"/>
        <v>-863.64125000000058</v>
      </c>
      <c r="V47" s="48">
        <f t="shared" si="8"/>
        <v>48</v>
      </c>
      <c r="W47" s="48">
        <f t="shared" si="9"/>
        <v>48</v>
      </c>
      <c r="Y47" s="113"/>
      <c r="Z47" s="116"/>
    </row>
    <row r="48" spans="2:26" ht="12.75" customHeight="1">
      <c r="B48" s="414" t="s">
        <v>686</v>
      </c>
      <c r="C48" s="443" t="s">
        <v>253</v>
      </c>
      <c r="D48" s="433" t="s">
        <v>299</v>
      </c>
      <c r="E48" s="433" t="s">
        <v>300</v>
      </c>
      <c r="F48" s="434">
        <v>44561</v>
      </c>
      <c r="G48" s="425">
        <v>8</v>
      </c>
      <c r="H48" s="426">
        <f t="shared" si="0"/>
        <v>96</v>
      </c>
      <c r="I48" s="427">
        <v>0</v>
      </c>
      <c r="J48" s="428">
        <v>431435.39</v>
      </c>
      <c r="K48" s="428">
        <v>202298.79</v>
      </c>
      <c r="L48" s="428">
        <v>228121.46</v>
      </c>
      <c r="M48" s="423">
        <f t="shared" si="1"/>
        <v>1015.140000000014</v>
      </c>
      <c r="N48" s="442" t="str">
        <f t="shared" si="2"/>
        <v>否</v>
      </c>
      <c r="O48" s="111">
        <f t="shared" si="3"/>
        <v>2029</v>
      </c>
      <c r="P48" s="49">
        <f t="shared" si="4"/>
        <v>47483</v>
      </c>
      <c r="Q48" s="113">
        <v>40510.519999999997</v>
      </c>
      <c r="S48" s="112">
        <f t="shared" si="5"/>
        <v>12</v>
      </c>
      <c r="T48" s="476">
        <f t="shared" si="7"/>
        <v>39671.832499999997</v>
      </c>
      <c r="U48" s="476">
        <f t="shared" si="6"/>
        <v>-838.6875</v>
      </c>
      <c r="V48" s="48">
        <f t="shared" si="8"/>
        <v>48</v>
      </c>
      <c r="W48" s="48">
        <f t="shared" si="9"/>
        <v>48</v>
      </c>
      <c r="Y48" s="113"/>
      <c r="Z48" s="116"/>
    </row>
    <row r="49" spans="2:26" ht="12.75" customHeight="1">
      <c r="B49" s="414" t="s">
        <v>686</v>
      </c>
      <c r="C49" s="443" t="s">
        <v>253</v>
      </c>
      <c r="D49" s="433" t="s">
        <v>301</v>
      </c>
      <c r="E49" s="433" t="s">
        <v>302</v>
      </c>
      <c r="F49" s="434">
        <v>44561</v>
      </c>
      <c r="G49" s="425">
        <v>8</v>
      </c>
      <c r="H49" s="426">
        <f t="shared" si="0"/>
        <v>96</v>
      </c>
      <c r="I49" s="427">
        <v>0</v>
      </c>
      <c r="J49" s="428">
        <v>680882.23</v>
      </c>
      <c r="K49" s="428">
        <v>319263.68</v>
      </c>
      <c r="L49" s="428">
        <v>360016.44</v>
      </c>
      <c r="M49" s="423">
        <f t="shared" si="1"/>
        <v>1602.109999999986</v>
      </c>
      <c r="N49" s="442" t="str">
        <f t="shared" si="2"/>
        <v>否</v>
      </c>
      <c r="O49" s="111">
        <f t="shared" si="3"/>
        <v>2029</v>
      </c>
      <c r="P49" s="49">
        <f t="shared" si="4"/>
        <v>47483</v>
      </c>
      <c r="Q49" s="113">
        <v>63932.84</v>
      </c>
      <c r="S49" s="112">
        <f t="shared" si="5"/>
        <v>12</v>
      </c>
      <c r="T49" s="476">
        <f t="shared" si="7"/>
        <v>62609.251250000001</v>
      </c>
      <c r="U49" s="476">
        <f t="shared" si="6"/>
        <v>-1323.5887499999953</v>
      </c>
      <c r="V49" s="48">
        <f t="shared" si="8"/>
        <v>48</v>
      </c>
      <c r="W49" s="48">
        <f t="shared" si="9"/>
        <v>48</v>
      </c>
      <c r="Y49" s="113"/>
      <c r="Z49" s="116"/>
    </row>
    <row r="50" spans="2:26" ht="12.75" customHeight="1">
      <c r="B50" s="414" t="s">
        <v>686</v>
      </c>
      <c r="C50" s="443" t="s">
        <v>253</v>
      </c>
      <c r="D50" s="433" t="s">
        <v>303</v>
      </c>
      <c r="E50" s="433" t="s">
        <v>304</v>
      </c>
      <c r="F50" s="434">
        <v>44561</v>
      </c>
      <c r="G50" s="425">
        <v>8</v>
      </c>
      <c r="H50" s="426">
        <f t="shared" si="0"/>
        <v>96</v>
      </c>
      <c r="I50" s="427">
        <v>0</v>
      </c>
      <c r="J50" s="428">
        <v>235174.27</v>
      </c>
      <c r="K50" s="428">
        <v>110272.52</v>
      </c>
      <c r="L50" s="428">
        <v>124348.4</v>
      </c>
      <c r="M50" s="423">
        <f t="shared" si="1"/>
        <v>553.34999999999127</v>
      </c>
      <c r="N50" s="442" t="str">
        <f t="shared" si="2"/>
        <v>否</v>
      </c>
      <c r="O50" s="111">
        <f t="shared" si="3"/>
        <v>2029</v>
      </c>
      <c r="P50" s="49">
        <f t="shared" si="4"/>
        <v>47483</v>
      </c>
      <c r="Q50" s="113">
        <v>22082.17</v>
      </c>
      <c r="S50" s="112">
        <f t="shared" si="5"/>
        <v>12</v>
      </c>
      <c r="T50" s="476">
        <f t="shared" si="7"/>
        <v>21625.008750000001</v>
      </c>
      <c r="U50" s="476">
        <f t="shared" si="6"/>
        <v>-457.16124999999738</v>
      </c>
      <c r="V50" s="48">
        <f t="shared" si="8"/>
        <v>48</v>
      </c>
      <c r="W50" s="48">
        <f t="shared" si="9"/>
        <v>48</v>
      </c>
      <c r="Y50" s="113"/>
      <c r="Z50" s="116"/>
    </row>
    <row r="51" spans="2:26" ht="12.75" customHeight="1">
      <c r="B51" s="414" t="s">
        <v>686</v>
      </c>
      <c r="C51" s="443" t="s">
        <v>253</v>
      </c>
      <c r="D51" s="433" t="s">
        <v>305</v>
      </c>
      <c r="E51" s="433" t="s">
        <v>306</v>
      </c>
      <c r="F51" s="434">
        <v>44561</v>
      </c>
      <c r="G51" s="425">
        <v>8</v>
      </c>
      <c r="H51" s="426">
        <f t="shared" si="0"/>
        <v>96</v>
      </c>
      <c r="I51" s="427">
        <v>0</v>
      </c>
      <c r="J51" s="428">
        <v>300413.2</v>
      </c>
      <c r="K51" s="428">
        <v>140818.67000000001</v>
      </c>
      <c r="L51" s="428">
        <v>159594.53</v>
      </c>
      <c r="M51" s="423">
        <f t="shared" si="1"/>
        <v>0</v>
      </c>
      <c r="N51" s="442" t="str">
        <f t="shared" si="2"/>
        <v>否</v>
      </c>
      <c r="O51" s="111">
        <f t="shared" si="3"/>
        <v>2029</v>
      </c>
      <c r="P51" s="49">
        <f t="shared" si="4"/>
        <v>47483</v>
      </c>
      <c r="Q51" s="113">
        <v>28163.72</v>
      </c>
      <c r="S51" s="112">
        <f t="shared" si="5"/>
        <v>12</v>
      </c>
      <c r="T51" s="476">
        <f t="shared" si="7"/>
        <v>27576.991875000003</v>
      </c>
      <c r="U51" s="476">
        <f t="shared" si="6"/>
        <v>-586.72812499999782</v>
      </c>
      <c r="V51" s="48">
        <f t="shared" si="8"/>
        <v>48</v>
      </c>
      <c r="W51" s="48">
        <f t="shared" si="9"/>
        <v>48</v>
      </c>
      <c r="Y51" s="113"/>
      <c r="Z51" s="116"/>
    </row>
    <row r="52" spans="2:26" ht="12.75" customHeight="1">
      <c r="B52" s="414" t="s">
        <v>686</v>
      </c>
      <c r="C52" s="443" t="s">
        <v>253</v>
      </c>
      <c r="D52" s="433" t="s">
        <v>307</v>
      </c>
      <c r="E52" s="433" t="s">
        <v>308</v>
      </c>
      <c r="F52" s="434">
        <v>44561</v>
      </c>
      <c r="G52" s="425">
        <v>8</v>
      </c>
      <c r="H52" s="426">
        <f t="shared" si="0"/>
        <v>96</v>
      </c>
      <c r="I52" s="427">
        <v>0</v>
      </c>
      <c r="J52" s="428">
        <v>151592.93</v>
      </c>
      <c r="K52" s="428">
        <v>71081.490000000005</v>
      </c>
      <c r="L52" s="428">
        <v>80154.77</v>
      </c>
      <c r="M52" s="423">
        <f t="shared" si="1"/>
        <v>356.6699999999837</v>
      </c>
      <c r="N52" s="442" t="str">
        <f t="shared" si="2"/>
        <v>否</v>
      </c>
      <c r="O52" s="111">
        <f t="shared" si="3"/>
        <v>2029</v>
      </c>
      <c r="P52" s="49">
        <f t="shared" si="4"/>
        <v>47483</v>
      </c>
      <c r="Q52" s="113">
        <v>14234.13</v>
      </c>
      <c r="S52" s="112">
        <f t="shared" si="5"/>
        <v>12</v>
      </c>
      <c r="T52" s="476">
        <f t="shared" si="7"/>
        <v>13939.443124999998</v>
      </c>
      <c r="U52" s="476">
        <f t="shared" si="6"/>
        <v>-294.68687500000124</v>
      </c>
      <c r="V52" s="48">
        <f t="shared" si="8"/>
        <v>48</v>
      </c>
      <c r="W52" s="48">
        <f t="shared" si="9"/>
        <v>48</v>
      </c>
      <c r="Y52" s="113"/>
      <c r="Z52" s="116"/>
    </row>
    <row r="53" spans="2:26" ht="12.75" customHeight="1">
      <c r="B53" s="414" t="s">
        <v>686</v>
      </c>
      <c r="C53" s="443" t="s">
        <v>253</v>
      </c>
      <c r="D53" s="433" t="s">
        <v>309</v>
      </c>
      <c r="E53" s="433" t="s">
        <v>310</v>
      </c>
      <c r="F53" s="434">
        <v>44561</v>
      </c>
      <c r="G53" s="425">
        <v>8</v>
      </c>
      <c r="H53" s="426">
        <f t="shared" si="0"/>
        <v>96</v>
      </c>
      <c r="I53" s="427">
        <v>0</v>
      </c>
      <c r="J53" s="428">
        <v>1892219.96</v>
      </c>
      <c r="K53" s="428">
        <v>888372.23</v>
      </c>
      <c r="L53" s="428">
        <v>981541.87</v>
      </c>
      <c r="M53" s="423">
        <f t="shared" si="1"/>
        <v>22305.859999999986</v>
      </c>
      <c r="N53" s="442" t="str">
        <f t="shared" si="2"/>
        <v>否</v>
      </c>
      <c r="O53" s="111">
        <f t="shared" si="3"/>
        <v>2029</v>
      </c>
      <c r="P53" s="49">
        <f t="shared" si="4"/>
        <v>47483</v>
      </c>
      <c r="Q53" s="113">
        <v>178789.74</v>
      </c>
      <c r="S53" s="112">
        <f t="shared" si="5"/>
        <v>12</v>
      </c>
      <c r="T53" s="476">
        <f t="shared" si="7"/>
        <v>175181.12812499999</v>
      </c>
      <c r="U53" s="476">
        <f t="shared" si="6"/>
        <v>-3608.6118750000023</v>
      </c>
      <c r="V53" s="48">
        <f t="shared" si="8"/>
        <v>48</v>
      </c>
      <c r="W53" s="48">
        <f t="shared" si="9"/>
        <v>48</v>
      </c>
      <c r="Y53" s="113"/>
      <c r="Z53" s="116"/>
    </row>
    <row r="54" spans="2:26" ht="12.75" customHeight="1">
      <c r="B54" s="414" t="s">
        <v>686</v>
      </c>
      <c r="C54" s="443" t="s">
        <v>253</v>
      </c>
      <c r="D54" s="433" t="s">
        <v>311</v>
      </c>
      <c r="E54" s="433" t="s">
        <v>312</v>
      </c>
      <c r="F54" s="434">
        <v>44561</v>
      </c>
      <c r="G54" s="425">
        <v>8</v>
      </c>
      <c r="H54" s="426">
        <f t="shared" si="0"/>
        <v>96</v>
      </c>
      <c r="I54" s="427">
        <v>0</v>
      </c>
      <c r="J54" s="428">
        <v>88000</v>
      </c>
      <c r="K54" s="428">
        <v>44000</v>
      </c>
      <c r="L54" s="428">
        <v>0</v>
      </c>
      <c r="M54" s="423">
        <f t="shared" si="1"/>
        <v>44000</v>
      </c>
      <c r="N54" s="442" t="str">
        <f t="shared" si="2"/>
        <v>否</v>
      </c>
      <c r="O54" s="111">
        <f t="shared" si="3"/>
        <v>2029</v>
      </c>
      <c r="P54" s="49">
        <f t="shared" si="4"/>
        <v>47483</v>
      </c>
      <c r="Q54" s="113">
        <v>11000</v>
      </c>
      <c r="S54" s="112">
        <f t="shared" si="5"/>
        <v>12</v>
      </c>
      <c r="T54" s="113">
        <f>(J54*(1-I54))/H54*S54</f>
        <v>11000</v>
      </c>
      <c r="U54" s="113">
        <f t="shared" si="6"/>
        <v>0</v>
      </c>
      <c r="Y54" s="113"/>
      <c r="Z54" s="116"/>
    </row>
    <row r="55" spans="2:26" ht="12.75" customHeight="1">
      <c r="B55" s="414" t="s">
        <v>686</v>
      </c>
      <c r="C55" s="443" t="s">
        <v>253</v>
      </c>
      <c r="D55" s="433" t="s">
        <v>313</v>
      </c>
      <c r="E55" s="433" t="s">
        <v>314</v>
      </c>
      <c r="F55" s="434">
        <v>44579</v>
      </c>
      <c r="G55" s="425">
        <v>8</v>
      </c>
      <c r="H55" s="426">
        <f t="shared" si="0"/>
        <v>96</v>
      </c>
      <c r="I55" s="427">
        <v>0</v>
      </c>
      <c r="J55" s="428">
        <v>499643.74</v>
      </c>
      <c r="K55" s="428">
        <v>229076.95</v>
      </c>
      <c r="L55" s="428">
        <v>269365.23</v>
      </c>
      <c r="M55" s="423">
        <f t="shared" si="1"/>
        <v>1201.5599999999977</v>
      </c>
      <c r="N55" s="442" t="str">
        <f t="shared" si="2"/>
        <v>否</v>
      </c>
      <c r="O55" s="111">
        <f t="shared" si="3"/>
        <v>2030</v>
      </c>
      <c r="P55" s="49">
        <f t="shared" si="4"/>
        <v>47514</v>
      </c>
      <c r="Q55" s="113">
        <v>46915.16</v>
      </c>
      <c r="S55" s="112">
        <f t="shared" si="5"/>
        <v>12</v>
      </c>
      <c r="T55" s="476">
        <f>J55*(1-I55)/H55*9+(J55-(J55*(1-I55)/H55)*V55-L55)/W55*3</f>
        <v>45963.718724489794</v>
      </c>
      <c r="U55" s="476">
        <f t="shared" si="6"/>
        <v>-951.44127551020938</v>
      </c>
      <c r="V55" s="48">
        <f>DATEDIF(F55,$M$9,"M")</f>
        <v>47</v>
      </c>
      <c r="W55" s="48">
        <f>H55-V55</f>
        <v>49</v>
      </c>
      <c r="Y55" s="113"/>
      <c r="Z55" s="116"/>
    </row>
    <row r="56" spans="2:26" ht="12.75" customHeight="1">
      <c r="B56" s="414" t="s">
        <v>686</v>
      </c>
      <c r="C56" s="443" t="s">
        <v>253</v>
      </c>
      <c r="D56" s="433" t="s">
        <v>315</v>
      </c>
      <c r="E56" s="433" t="s">
        <v>316</v>
      </c>
      <c r="F56" s="434">
        <v>44579</v>
      </c>
      <c r="G56" s="425">
        <v>8</v>
      </c>
      <c r="H56" s="426">
        <f t="shared" si="0"/>
        <v>96</v>
      </c>
      <c r="I56" s="427">
        <v>0</v>
      </c>
      <c r="J56" s="428">
        <v>8048608.9299999997</v>
      </c>
      <c r="K56" s="428">
        <v>3690130.81</v>
      </c>
      <c r="L56" s="428">
        <v>4339122.43</v>
      </c>
      <c r="M56" s="423">
        <f t="shared" si="1"/>
        <v>19355.689999999478</v>
      </c>
      <c r="N56" s="442" t="str">
        <f t="shared" si="2"/>
        <v>否</v>
      </c>
      <c r="O56" s="111">
        <f t="shared" si="3"/>
        <v>2030</v>
      </c>
      <c r="P56" s="49">
        <f t="shared" si="4"/>
        <v>47514</v>
      </c>
      <c r="Q56" s="113">
        <v>755742.13</v>
      </c>
      <c r="S56" s="112">
        <f t="shared" si="5"/>
        <v>12</v>
      </c>
      <c r="T56" s="476">
        <f>J56*(1-I56)/H56*9+(J56-(J56*(1-I56)/H56)*V56-L56)/W56*3</f>
        <v>740415.5593112245</v>
      </c>
      <c r="U56" s="476">
        <f t="shared" si="6"/>
        <v>-15326.570688775508</v>
      </c>
      <c r="V56" s="48">
        <f>DATEDIF(F56,$M$9,"M")</f>
        <v>47</v>
      </c>
      <c r="W56" s="48">
        <f>H56-V56</f>
        <v>49</v>
      </c>
      <c r="Y56" s="113"/>
      <c r="Z56" s="116"/>
    </row>
    <row r="57" spans="2:26" ht="12.75" customHeight="1">
      <c r="B57" s="414" t="s">
        <v>686</v>
      </c>
      <c r="C57" s="443" t="s">
        <v>253</v>
      </c>
      <c r="D57" s="433" t="s">
        <v>317</v>
      </c>
      <c r="E57" s="433" t="s">
        <v>316</v>
      </c>
      <c r="F57" s="434">
        <v>44579</v>
      </c>
      <c r="G57" s="425">
        <v>8</v>
      </c>
      <c r="H57" s="426">
        <f t="shared" si="0"/>
        <v>96</v>
      </c>
      <c r="I57" s="427">
        <v>0</v>
      </c>
      <c r="J57" s="428">
        <v>8048608.9299999997</v>
      </c>
      <c r="K57" s="428">
        <v>3690130.81</v>
      </c>
      <c r="L57" s="428">
        <v>4339122.43</v>
      </c>
      <c r="M57" s="423">
        <f t="shared" si="1"/>
        <v>19355.689999999478</v>
      </c>
      <c r="N57" s="442" t="str">
        <f t="shared" si="2"/>
        <v>否</v>
      </c>
      <c r="O57" s="111">
        <f t="shared" si="3"/>
        <v>2030</v>
      </c>
      <c r="P57" s="49">
        <f t="shared" si="4"/>
        <v>47514</v>
      </c>
      <c r="Q57" s="113">
        <v>755742.13</v>
      </c>
      <c r="S57" s="112">
        <f t="shared" si="5"/>
        <v>12</v>
      </c>
      <c r="T57" s="476">
        <f>J57*(1-I57)/H57*9+(J57-(J57*(1-I57)/H57)*V57-L57)/W57*3</f>
        <v>740415.5593112245</v>
      </c>
      <c r="U57" s="476">
        <f t="shared" si="6"/>
        <v>-15326.570688775508</v>
      </c>
      <c r="V57" s="48">
        <f>DATEDIF(F57,$M$9,"M")</f>
        <v>47</v>
      </c>
      <c r="W57" s="48">
        <f>H57-V57</f>
        <v>49</v>
      </c>
      <c r="Y57" s="113"/>
      <c r="Z57" s="116"/>
    </row>
    <row r="58" spans="2:26" ht="12.75" customHeight="1">
      <c r="B58" s="414" t="s">
        <v>686</v>
      </c>
      <c r="C58" s="443" t="s">
        <v>253</v>
      </c>
      <c r="D58" s="433" t="s">
        <v>318</v>
      </c>
      <c r="E58" s="433" t="s">
        <v>319</v>
      </c>
      <c r="F58" s="434">
        <v>44579</v>
      </c>
      <c r="G58" s="425">
        <v>8</v>
      </c>
      <c r="H58" s="426">
        <f t="shared" si="0"/>
        <v>96</v>
      </c>
      <c r="I58" s="427">
        <v>0</v>
      </c>
      <c r="J58" s="428">
        <v>499643.74</v>
      </c>
      <c r="K58" s="428">
        <v>229076.95</v>
      </c>
      <c r="L58" s="428">
        <v>269365.23</v>
      </c>
      <c r="M58" s="423">
        <f t="shared" si="1"/>
        <v>1201.5599999999977</v>
      </c>
      <c r="N58" s="442" t="str">
        <f t="shared" si="2"/>
        <v>否</v>
      </c>
      <c r="O58" s="111">
        <f t="shared" si="3"/>
        <v>2030</v>
      </c>
      <c r="P58" s="49">
        <f t="shared" si="4"/>
        <v>47514</v>
      </c>
      <c r="Q58" s="113">
        <v>46915.16</v>
      </c>
      <c r="S58" s="112">
        <f t="shared" si="5"/>
        <v>12</v>
      </c>
      <c r="T58" s="476">
        <f>J58*(1-I58)/H58*9+(J58-(J58*(1-I58)/H58)*V58-L58)/W58*3</f>
        <v>45963.718724489794</v>
      </c>
      <c r="U58" s="476">
        <f t="shared" si="6"/>
        <v>-951.44127551020938</v>
      </c>
      <c r="V58" s="48">
        <f>DATEDIF(F58,$M$9,"M")</f>
        <v>47</v>
      </c>
      <c r="W58" s="48">
        <f>H58-V58</f>
        <v>49</v>
      </c>
      <c r="Y58" s="113"/>
      <c r="Z58" s="116"/>
    </row>
    <row r="59" spans="2:26" ht="12.75" customHeight="1">
      <c r="B59" s="414" t="s">
        <v>686</v>
      </c>
      <c r="C59" s="443" t="s">
        <v>253</v>
      </c>
      <c r="D59" s="433" t="s">
        <v>320</v>
      </c>
      <c r="E59" s="433" t="s">
        <v>308</v>
      </c>
      <c r="F59" s="434">
        <v>44579</v>
      </c>
      <c r="G59" s="425">
        <v>8</v>
      </c>
      <c r="H59" s="426">
        <f t="shared" si="0"/>
        <v>96</v>
      </c>
      <c r="I59" s="427">
        <v>0</v>
      </c>
      <c r="J59" s="428">
        <v>43274.34</v>
      </c>
      <c r="K59" s="428">
        <v>21186.39</v>
      </c>
      <c r="L59" s="428">
        <v>0</v>
      </c>
      <c r="M59" s="423">
        <f t="shared" si="1"/>
        <v>22087.949999999997</v>
      </c>
      <c r="N59" s="442" t="str">
        <f t="shared" si="2"/>
        <v>否</v>
      </c>
      <c r="O59" s="111">
        <f t="shared" si="3"/>
        <v>2030</v>
      </c>
      <c r="P59" s="49">
        <f t="shared" si="4"/>
        <v>47514</v>
      </c>
      <c r="Q59" s="113">
        <v>5409.29</v>
      </c>
      <c r="S59" s="112">
        <f t="shared" si="5"/>
        <v>12</v>
      </c>
      <c r="T59" s="113">
        <f>(J59*(1-I59))/H59*S59</f>
        <v>5409.2924999999996</v>
      </c>
      <c r="U59" s="113">
        <f t="shared" si="6"/>
        <v>2.4999999995998223E-3</v>
      </c>
      <c r="Y59" s="113"/>
      <c r="Z59" s="116"/>
    </row>
    <row r="60" spans="2:26" ht="12.75" customHeight="1">
      <c r="B60" s="414" t="s">
        <v>686</v>
      </c>
      <c r="C60" s="443" t="s">
        <v>253</v>
      </c>
      <c r="D60" s="433" t="s">
        <v>321</v>
      </c>
      <c r="E60" s="433" t="s">
        <v>322</v>
      </c>
      <c r="F60" s="434">
        <v>44561</v>
      </c>
      <c r="G60" s="425">
        <v>8</v>
      </c>
      <c r="H60" s="426">
        <f t="shared" si="0"/>
        <v>96</v>
      </c>
      <c r="I60" s="427">
        <v>0</v>
      </c>
      <c r="J60" s="428">
        <v>2568012.7999999998</v>
      </c>
      <c r="K60" s="428">
        <v>1203967.77</v>
      </c>
      <c r="L60" s="428">
        <v>1360656.77</v>
      </c>
      <c r="M60" s="423">
        <f t="shared" si="1"/>
        <v>3388.2599999997765</v>
      </c>
      <c r="N60" s="442" t="str">
        <f t="shared" si="2"/>
        <v>否</v>
      </c>
      <c r="O60" s="111">
        <f t="shared" si="3"/>
        <v>2029</v>
      </c>
      <c r="P60" s="49">
        <f t="shared" si="4"/>
        <v>47483</v>
      </c>
      <c r="Q60" s="113">
        <v>240962.97</v>
      </c>
      <c r="S60" s="112">
        <f t="shared" si="5"/>
        <v>12</v>
      </c>
      <c r="T60" s="476">
        <f t="shared" ref="T60:T67" si="10">J60*(1-I60)/H60*9+(J60-(J60*(1-I60)/H60)*V60-L60)/W60*3</f>
        <v>252968.76149999999</v>
      </c>
      <c r="U60" s="476">
        <f t="shared" si="6"/>
        <v>12005.791499999992</v>
      </c>
      <c r="V60" s="48">
        <v>36</v>
      </c>
      <c r="W60" s="48">
        <f t="shared" ref="W60:W67" si="11">H60-V60</f>
        <v>60</v>
      </c>
      <c r="Y60" s="113"/>
      <c r="Z60" s="116"/>
    </row>
    <row r="61" spans="2:26" ht="12.75" customHeight="1">
      <c r="B61" s="414" t="s">
        <v>686</v>
      </c>
      <c r="C61" s="443" t="s">
        <v>253</v>
      </c>
      <c r="D61" s="433" t="s">
        <v>323</v>
      </c>
      <c r="E61" s="433" t="s">
        <v>324</v>
      </c>
      <c r="F61" s="434">
        <v>44561</v>
      </c>
      <c r="G61" s="425">
        <v>8</v>
      </c>
      <c r="H61" s="426">
        <f t="shared" si="0"/>
        <v>96</v>
      </c>
      <c r="I61" s="427">
        <v>0</v>
      </c>
      <c r="J61" s="428">
        <v>19412149.41</v>
      </c>
      <c r="K61" s="428">
        <v>9099539.1699999999</v>
      </c>
      <c r="L61" s="428">
        <v>10311104.359999999</v>
      </c>
      <c r="M61" s="423">
        <f t="shared" si="1"/>
        <v>1505.8800000008196</v>
      </c>
      <c r="N61" s="442" t="str">
        <f t="shared" si="2"/>
        <v>否</v>
      </c>
      <c r="O61" s="111">
        <f t="shared" si="3"/>
        <v>2029</v>
      </c>
      <c r="P61" s="49">
        <f t="shared" si="4"/>
        <v>47483</v>
      </c>
      <c r="Q61" s="113">
        <v>1833188.0899999999</v>
      </c>
      <c r="S61" s="112">
        <f t="shared" si="5"/>
        <v>12</v>
      </c>
      <c r="T61" s="476">
        <f t="shared" si="10"/>
        <v>1874138.0855357144</v>
      </c>
      <c r="U61" s="476">
        <f t="shared" si="6"/>
        <v>40949.995535714552</v>
      </c>
      <c r="V61" s="48">
        <v>40</v>
      </c>
      <c r="W61" s="48">
        <f t="shared" si="11"/>
        <v>56</v>
      </c>
      <c r="Y61" s="113"/>
      <c r="Z61" s="116"/>
    </row>
    <row r="62" spans="2:26" ht="12.75" customHeight="1">
      <c r="B62" s="414" t="s">
        <v>686</v>
      </c>
      <c r="C62" s="443" t="s">
        <v>253</v>
      </c>
      <c r="D62" s="433" t="s">
        <v>325</v>
      </c>
      <c r="E62" s="433" t="s">
        <v>326</v>
      </c>
      <c r="F62" s="434">
        <v>44561</v>
      </c>
      <c r="G62" s="425">
        <v>8</v>
      </c>
      <c r="H62" s="426">
        <f t="shared" si="0"/>
        <v>96</v>
      </c>
      <c r="I62" s="427">
        <v>0</v>
      </c>
      <c r="J62" s="428">
        <v>10474789.060000001</v>
      </c>
      <c r="K62" s="428">
        <v>4911597.78</v>
      </c>
      <c r="L62" s="428">
        <v>5538544.71</v>
      </c>
      <c r="M62" s="423">
        <f t="shared" si="1"/>
        <v>24646.570000000298</v>
      </c>
      <c r="N62" s="442" t="str">
        <f t="shared" si="2"/>
        <v>否</v>
      </c>
      <c r="O62" s="111">
        <f t="shared" si="3"/>
        <v>2029</v>
      </c>
      <c r="P62" s="49">
        <f t="shared" si="4"/>
        <v>47483</v>
      </c>
      <c r="Q62" s="113">
        <v>983551.89</v>
      </c>
      <c r="S62" s="112">
        <f t="shared" si="5"/>
        <v>12</v>
      </c>
      <c r="T62" s="476">
        <f t="shared" si="10"/>
        <v>1012640.8801785714</v>
      </c>
      <c r="U62" s="476">
        <f t="shared" si="6"/>
        <v>29088.990178571432</v>
      </c>
      <c r="V62" s="48">
        <v>40</v>
      </c>
      <c r="W62" s="48">
        <f t="shared" si="11"/>
        <v>56</v>
      </c>
      <c r="Y62" s="113"/>
      <c r="Z62" s="116"/>
    </row>
    <row r="63" spans="2:26" ht="12.75" customHeight="1">
      <c r="B63" s="414" t="s">
        <v>686</v>
      </c>
      <c r="C63" s="443" t="s">
        <v>253</v>
      </c>
      <c r="D63" s="433" t="s">
        <v>327</v>
      </c>
      <c r="E63" s="433" t="s">
        <v>328</v>
      </c>
      <c r="F63" s="434">
        <v>44561</v>
      </c>
      <c r="G63" s="425">
        <v>8</v>
      </c>
      <c r="H63" s="426">
        <f t="shared" si="0"/>
        <v>96</v>
      </c>
      <c r="I63" s="427">
        <v>0</v>
      </c>
      <c r="J63" s="428">
        <v>3243805.65</v>
      </c>
      <c r="K63" s="428">
        <v>1520569.2</v>
      </c>
      <c r="L63" s="428">
        <v>1722671.75</v>
      </c>
      <c r="M63" s="423">
        <f t="shared" si="1"/>
        <v>564.69999999995343</v>
      </c>
      <c r="N63" s="442" t="str">
        <f t="shared" si="2"/>
        <v>否</v>
      </c>
      <c r="O63" s="111">
        <f t="shared" si="3"/>
        <v>2029</v>
      </c>
      <c r="P63" s="49">
        <f t="shared" si="4"/>
        <v>47483</v>
      </c>
      <c r="Q63" s="113">
        <v>304142.07</v>
      </c>
      <c r="S63" s="112">
        <f t="shared" si="5"/>
        <v>12</v>
      </c>
      <c r="T63" s="476">
        <f t="shared" si="10"/>
        <v>297808.72187500005</v>
      </c>
      <c r="U63" s="476">
        <f t="shared" si="6"/>
        <v>-6333.3481249999604</v>
      </c>
      <c r="V63" s="48">
        <f>DATEDIF(F63,$M$9,"M")</f>
        <v>48</v>
      </c>
      <c r="W63" s="48">
        <f t="shared" si="11"/>
        <v>48</v>
      </c>
      <c r="Y63" s="113"/>
      <c r="Z63" s="116"/>
    </row>
    <row r="64" spans="2:26" ht="12.75" customHeight="1">
      <c r="B64" s="414" t="s">
        <v>686</v>
      </c>
      <c r="C64" s="443" t="s">
        <v>253</v>
      </c>
      <c r="D64" s="433" t="s">
        <v>329</v>
      </c>
      <c r="E64" s="433" t="s">
        <v>330</v>
      </c>
      <c r="F64" s="434">
        <v>44561</v>
      </c>
      <c r="G64" s="425">
        <v>8</v>
      </c>
      <c r="H64" s="426">
        <f t="shared" si="0"/>
        <v>96</v>
      </c>
      <c r="I64" s="427">
        <v>0</v>
      </c>
      <c r="J64" s="428">
        <v>3684152.26</v>
      </c>
      <c r="K64" s="428">
        <v>1727534.61</v>
      </c>
      <c r="L64" s="428">
        <v>1947205.88</v>
      </c>
      <c r="M64" s="423">
        <f t="shared" si="1"/>
        <v>9411.7699999997858</v>
      </c>
      <c r="N64" s="442" t="str">
        <f t="shared" si="2"/>
        <v>否</v>
      </c>
      <c r="O64" s="111">
        <f t="shared" si="3"/>
        <v>2029</v>
      </c>
      <c r="P64" s="49">
        <f t="shared" si="4"/>
        <v>47483</v>
      </c>
      <c r="Q64" s="113">
        <v>345977.52</v>
      </c>
      <c r="S64" s="112">
        <f t="shared" si="5"/>
        <v>12</v>
      </c>
      <c r="T64" s="476">
        <f t="shared" si="10"/>
        <v>338818.66499999998</v>
      </c>
      <c r="U64" s="476">
        <f t="shared" si="6"/>
        <v>-7158.8550000000396</v>
      </c>
      <c r="V64" s="48">
        <f>DATEDIF(F64,$M$9,"M")</f>
        <v>48</v>
      </c>
      <c r="W64" s="48">
        <f t="shared" si="11"/>
        <v>48</v>
      </c>
      <c r="Y64" s="113"/>
      <c r="Z64" s="116"/>
    </row>
    <row r="65" spans="2:26" ht="12.75" customHeight="1">
      <c r="B65" s="414" t="s">
        <v>686</v>
      </c>
      <c r="C65" s="443" t="s">
        <v>253</v>
      </c>
      <c r="D65" s="433" t="s">
        <v>331</v>
      </c>
      <c r="E65" s="433" t="s">
        <v>332</v>
      </c>
      <c r="F65" s="434">
        <v>44561</v>
      </c>
      <c r="G65" s="425">
        <v>8</v>
      </c>
      <c r="H65" s="426">
        <f t="shared" si="0"/>
        <v>96</v>
      </c>
      <c r="I65" s="427">
        <v>0</v>
      </c>
      <c r="J65" s="428">
        <v>2973488.51</v>
      </c>
      <c r="K65" s="428">
        <v>1394175.68</v>
      </c>
      <c r="L65" s="428">
        <v>1573665.77</v>
      </c>
      <c r="M65" s="423">
        <f t="shared" si="1"/>
        <v>5647.059999999823</v>
      </c>
      <c r="N65" s="442" t="str">
        <f t="shared" si="2"/>
        <v>否</v>
      </c>
      <c r="O65" s="111">
        <f t="shared" si="3"/>
        <v>2029</v>
      </c>
      <c r="P65" s="49">
        <f t="shared" si="4"/>
        <v>47483</v>
      </c>
      <c r="Q65" s="113">
        <v>279117.49</v>
      </c>
      <c r="S65" s="112">
        <f t="shared" si="5"/>
        <v>12</v>
      </c>
      <c r="T65" s="476">
        <f t="shared" si="10"/>
        <v>273331.953125</v>
      </c>
      <c r="U65" s="476">
        <f t="shared" si="6"/>
        <v>-5785.5368749999907</v>
      </c>
      <c r="V65" s="48">
        <f>DATEDIF(F65,$M$9,"M")</f>
        <v>48</v>
      </c>
      <c r="W65" s="48">
        <f t="shared" si="11"/>
        <v>48</v>
      </c>
      <c r="Y65" s="113"/>
      <c r="Z65" s="116"/>
    </row>
    <row r="66" spans="2:26" ht="12.75" customHeight="1">
      <c r="B66" s="414" t="s">
        <v>686</v>
      </c>
      <c r="C66" s="443" t="s">
        <v>253</v>
      </c>
      <c r="D66" s="433" t="s">
        <v>333</v>
      </c>
      <c r="E66" s="433" t="s">
        <v>334</v>
      </c>
      <c r="F66" s="434">
        <v>44561</v>
      </c>
      <c r="G66" s="425">
        <v>8</v>
      </c>
      <c r="H66" s="426">
        <f t="shared" si="0"/>
        <v>96</v>
      </c>
      <c r="I66" s="427">
        <v>0</v>
      </c>
      <c r="J66" s="428">
        <v>2838329.94</v>
      </c>
      <c r="K66" s="428">
        <v>1330702.45</v>
      </c>
      <c r="L66" s="428">
        <v>1503862.77</v>
      </c>
      <c r="M66" s="423">
        <f t="shared" si="1"/>
        <v>3764.7199999999721</v>
      </c>
      <c r="N66" s="442" t="str">
        <f t="shared" si="2"/>
        <v>否</v>
      </c>
      <c r="O66" s="111">
        <f t="shared" si="3"/>
        <v>2029</v>
      </c>
      <c r="P66" s="49">
        <f t="shared" si="4"/>
        <v>47483</v>
      </c>
      <c r="Q66" s="113">
        <v>266328.73</v>
      </c>
      <c r="S66" s="112">
        <f t="shared" si="5"/>
        <v>12</v>
      </c>
      <c r="T66" s="476">
        <f t="shared" si="10"/>
        <v>260799.81937500002</v>
      </c>
      <c r="U66" s="476">
        <f t="shared" si="6"/>
        <v>-5528.9106249999604</v>
      </c>
      <c r="V66" s="48">
        <f>DATEDIF(F66,$M$9,"M")</f>
        <v>48</v>
      </c>
      <c r="W66" s="48">
        <f t="shared" si="11"/>
        <v>48</v>
      </c>
      <c r="Y66" s="113"/>
      <c r="Z66" s="116"/>
    </row>
    <row r="67" spans="2:26" ht="12.75" customHeight="1">
      <c r="B67" s="414" t="s">
        <v>686</v>
      </c>
      <c r="C67" s="443" t="s">
        <v>253</v>
      </c>
      <c r="D67" s="433" t="s">
        <v>335</v>
      </c>
      <c r="E67" s="433" t="s">
        <v>336</v>
      </c>
      <c r="F67" s="434">
        <v>44561</v>
      </c>
      <c r="G67" s="425">
        <v>8</v>
      </c>
      <c r="H67" s="426">
        <f t="shared" si="0"/>
        <v>96</v>
      </c>
      <c r="I67" s="427">
        <v>0</v>
      </c>
      <c r="J67" s="428">
        <v>3383694.77</v>
      </c>
      <c r="K67" s="428">
        <v>1586165.75</v>
      </c>
      <c r="L67" s="428">
        <v>1796587.84</v>
      </c>
      <c r="M67" s="423">
        <f t="shared" si="1"/>
        <v>941.17999999993481</v>
      </c>
      <c r="N67" s="442" t="str">
        <f t="shared" si="2"/>
        <v>否</v>
      </c>
      <c r="O67" s="111">
        <f t="shared" si="3"/>
        <v>2029</v>
      </c>
      <c r="P67" s="49">
        <f t="shared" si="4"/>
        <v>47483</v>
      </c>
      <c r="Q67" s="113">
        <v>317280.2</v>
      </c>
      <c r="S67" s="112">
        <f t="shared" si="5"/>
        <v>12</v>
      </c>
      <c r="T67" s="476">
        <f t="shared" si="10"/>
        <v>310675.10624999995</v>
      </c>
      <c r="U67" s="476">
        <f t="shared" si="6"/>
        <v>-6605.0937500000582</v>
      </c>
      <c r="V67" s="48">
        <f>DATEDIF(F67,$M$9,"M")</f>
        <v>48</v>
      </c>
      <c r="W67" s="48">
        <f t="shared" si="11"/>
        <v>48</v>
      </c>
      <c r="Y67" s="113"/>
      <c r="Z67" s="116"/>
    </row>
    <row r="68" spans="2:26" ht="12.75" customHeight="1">
      <c r="B68" s="414" t="s">
        <v>686</v>
      </c>
      <c r="C68" s="443" t="s">
        <v>253</v>
      </c>
      <c r="D68" s="433" t="s">
        <v>337</v>
      </c>
      <c r="E68" s="433" t="s">
        <v>338</v>
      </c>
      <c r="F68" s="434">
        <v>44561</v>
      </c>
      <c r="G68" s="425">
        <v>8</v>
      </c>
      <c r="H68" s="426">
        <f t="shared" si="0"/>
        <v>96</v>
      </c>
      <c r="I68" s="427">
        <v>0</v>
      </c>
      <c r="J68" s="428">
        <v>9224572.3000000007</v>
      </c>
      <c r="K68" s="428">
        <v>4612286.16</v>
      </c>
      <c r="L68" s="428">
        <v>0</v>
      </c>
      <c r="M68" s="423">
        <f t="shared" si="1"/>
        <v>4612286.1400000006</v>
      </c>
      <c r="N68" s="442" t="str">
        <f t="shared" si="2"/>
        <v>否</v>
      </c>
      <c r="O68" s="111">
        <f t="shared" si="3"/>
        <v>2029</v>
      </c>
      <c r="P68" s="49">
        <f t="shared" si="4"/>
        <v>47483</v>
      </c>
      <c r="Q68" s="113">
        <v>1153071.54</v>
      </c>
      <c r="S68" s="112">
        <f t="shared" si="5"/>
        <v>12</v>
      </c>
      <c r="T68" s="113">
        <f>(J68*(1-I68))/H68*S68</f>
        <v>1153071.5375000001</v>
      </c>
      <c r="U68" s="113">
        <f t="shared" si="6"/>
        <v>-2.4999999441206455E-3</v>
      </c>
      <c r="Y68" s="113"/>
      <c r="Z68" s="116"/>
    </row>
    <row r="69" spans="2:26" ht="12.75" customHeight="1">
      <c r="B69" s="414" t="s">
        <v>686</v>
      </c>
      <c r="C69" s="443" t="s">
        <v>253</v>
      </c>
      <c r="D69" s="433" t="s">
        <v>339</v>
      </c>
      <c r="E69" s="433" t="s">
        <v>340</v>
      </c>
      <c r="F69" s="434">
        <v>44561</v>
      </c>
      <c r="G69" s="425">
        <v>8</v>
      </c>
      <c r="H69" s="426">
        <f t="shared" si="0"/>
        <v>96</v>
      </c>
      <c r="I69" s="427">
        <v>0</v>
      </c>
      <c r="J69" s="428">
        <v>67743.37</v>
      </c>
      <c r="K69" s="428">
        <v>26967.5</v>
      </c>
      <c r="L69" s="428">
        <v>40595.21</v>
      </c>
      <c r="M69" s="423">
        <f t="shared" si="1"/>
        <v>180.65999999999622</v>
      </c>
      <c r="N69" s="442" t="str">
        <f t="shared" si="2"/>
        <v>否</v>
      </c>
      <c r="O69" s="111">
        <f t="shared" si="3"/>
        <v>2029</v>
      </c>
      <c r="P69" s="49">
        <f t="shared" si="4"/>
        <v>47483</v>
      </c>
      <c r="Q69" s="113">
        <v>7209.02</v>
      </c>
      <c r="S69" s="112">
        <f t="shared" si="5"/>
        <v>12</v>
      </c>
      <c r="T69" s="476">
        <f t="shared" ref="T69:T82" si="12">J69*(1-I69)/H69*9+(J69-(J69*(1-I69)/H69)*V69-L69)/W69*3</f>
        <v>5930.7206249999999</v>
      </c>
      <c r="U69" s="476">
        <f t="shared" si="6"/>
        <v>-1278.2993750000005</v>
      </c>
      <c r="V69" s="48">
        <f t="shared" ref="V69:V82" si="13">DATEDIF(F69,$M$9,"M")</f>
        <v>48</v>
      </c>
      <c r="W69" s="48">
        <f t="shared" ref="W69:W82" si="14">H69-V69</f>
        <v>48</v>
      </c>
      <c r="Y69" s="113"/>
      <c r="Z69" s="116"/>
    </row>
    <row r="70" spans="2:26" ht="12.75" customHeight="1">
      <c r="B70" s="414" t="s">
        <v>686</v>
      </c>
      <c r="C70" s="443" t="s">
        <v>253</v>
      </c>
      <c r="D70" s="433" t="s">
        <v>341</v>
      </c>
      <c r="E70" s="433" t="s">
        <v>342</v>
      </c>
      <c r="F70" s="434">
        <v>44561</v>
      </c>
      <c r="G70" s="425">
        <v>8</v>
      </c>
      <c r="H70" s="426">
        <f t="shared" si="0"/>
        <v>96</v>
      </c>
      <c r="I70" s="427">
        <v>0</v>
      </c>
      <c r="J70" s="428">
        <v>70601.77</v>
      </c>
      <c r="K70" s="428">
        <v>28105.39</v>
      </c>
      <c r="L70" s="428">
        <v>42308.08</v>
      </c>
      <c r="M70" s="423">
        <f t="shared" si="1"/>
        <v>188.30000000000291</v>
      </c>
      <c r="N70" s="442" t="str">
        <f t="shared" si="2"/>
        <v>否</v>
      </c>
      <c r="O70" s="111">
        <f t="shared" si="3"/>
        <v>2029</v>
      </c>
      <c r="P70" s="49">
        <f t="shared" si="4"/>
        <v>47483</v>
      </c>
      <c r="Q70" s="113">
        <v>7513.21</v>
      </c>
      <c r="S70" s="112">
        <f t="shared" si="5"/>
        <v>12</v>
      </c>
      <c r="T70" s="476">
        <f t="shared" si="12"/>
        <v>6180.9662500000013</v>
      </c>
      <c r="U70" s="476">
        <f t="shared" si="6"/>
        <v>-1332.2437499999987</v>
      </c>
      <c r="V70" s="48">
        <f t="shared" si="13"/>
        <v>48</v>
      </c>
      <c r="W70" s="48">
        <f t="shared" si="14"/>
        <v>48</v>
      </c>
      <c r="Y70" s="113"/>
      <c r="Z70" s="116"/>
    </row>
    <row r="71" spans="2:26" ht="12.75" customHeight="1">
      <c r="B71" s="414" t="s">
        <v>686</v>
      </c>
      <c r="C71" s="443" t="s">
        <v>253</v>
      </c>
      <c r="D71" s="433" t="s">
        <v>343</v>
      </c>
      <c r="E71" s="433" t="s">
        <v>344</v>
      </c>
      <c r="F71" s="434">
        <v>44561</v>
      </c>
      <c r="G71" s="425">
        <v>8</v>
      </c>
      <c r="H71" s="426">
        <f t="shared" si="0"/>
        <v>96</v>
      </c>
      <c r="I71" s="427">
        <v>0</v>
      </c>
      <c r="J71" s="428">
        <v>385247.78</v>
      </c>
      <c r="K71" s="428">
        <v>153360.72</v>
      </c>
      <c r="L71" s="428">
        <v>230859.75</v>
      </c>
      <c r="M71" s="423">
        <f t="shared" si="1"/>
        <v>1027.3100000000268</v>
      </c>
      <c r="N71" s="442" t="str">
        <f t="shared" si="2"/>
        <v>否</v>
      </c>
      <c r="O71" s="111">
        <f t="shared" si="3"/>
        <v>2029</v>
      </c>
      <c r="P71" s="49">
        <f t="shared" si="4"/>
        <v>47483</v>
      </c>
      <c r="Q71" s="113">
        <v>40996.79</v>
      </c>
      <c r="S71" s="112">
        <f t="shared" si="5"/>
        <v>12</v>
      </c>
      <c r="T71" s="476">
        <f t="shared" si="12"/>
        <v>33727.238125000003</v>
      </c>
      <c r="U71" s="476">
        <f t="shared" si="6"/>
        <v>-7269.5518749999974</v>
      </c>
      <c r="V71" s="48">
        <f t="shared" si="13"/>
        <v>48</v>
      </c>
      <c r="W71" s="48">
        <f t="shared" si="14"/>
        <v>48</v>
      </c>
      <c r="Y71" s="113"/>
      <c r="Z71" s="116"/>
    </row>
    <row r="72" spans="2:26" ht="12.75" customHeight="1">
      <c r="B72" s="414" t="s">
        <v>686</v>
      </c>
      <c r="C72" s="443" t="s">
        <v>253</v>
      </c>
      <c r="D72" s="433" t="s">
        <v>345</v>
      </c>
      <c r="E72" s="433" t="s">
        <v>346</v>
      </c>
      <c r="F72" s="434">
        <v>44561</v>
      </c>
      <c r="G72" s="425">
        <v>8</v>
      </c>
      <c r="H72" s="426">
        <f t="shared" si="0"/>
        <v>96</v>
      </c>
      <c r="I72" s="427">
        <v>0</v>
      </c>
      <c r="J72" s="428">
        <v>307194.7</v>
      </c>
      <c r="K72" s="428">
        <v>122289.09</v>
      </c>
      <c r="L72" s="428">
        <v>184086.44</v>
      </c>
      <c r="M72" s="423">
        <f t="shared" si="1"/>
        <v>819.17000000001281</v>
      </c>
      <c r="N72" s="442" t="str">
        <f t="shared" si="2"/>
        <v>否</v>
      </c>
      <c r="O72" s="111">
        <f t="shared" si="3"/>
        <v>2029</v>
      </c>
      <c r="P72" s="49">
        <f t="shared" si="4"/>
        <v>47483</v>
      </c>
      <c r="Q72" s="113">
        <v>32690.639999999999</v>
      </c>
      <c r="S72" s="112">
        <f t="shared" si="5"/>
        <v>12</v>
      </c>
      <c r="T72" s="476">
        <f t="shared" si="12"/>
        <v>26893.935000000005</v>
      </c>
      <c r="U72" s="476">
        <f t="shared" si="6"/>
        <v>-5796.7049999999945</v>
      </c>
      <c r="V72" s="48">
        <f t="shared" si="13"/>
        <v>48</v>
      </c>
      <c r="W72" s="48">
        <f t="shared" si="14"/>
        <v>48</v>
      </c>
      <c r="Y72" s="113"/>
      <c r="Z72" s="116"/>
    </row>
    <row r="73" spans="2:26" ht="12.75" customHeight="1">
      <c r="B73" s="414" t="s">
        <v>686</v>
      </c>
      <c r="C73" s="443" t="s">
        <v>253</v>
      </c>
      <c r="D73" s="433" t="s">
        <v>347</v>
      </c>
      <c r="E73" s="433" t="s">
        <v>348</v>
      </c>
      <c r="F73" s="434">
        <v>44561</v>
      </c>
      <c r="G73" s="425">
        <v>8</v>
      </c>
      <c r="H73" s="426">
        <f t="shared" si="0"/>
        <v>96</v>
      </c>
      <c r="I73" s="427">
        <v>0</v>
      </c>
      <c r="J73" s="428">
        <v>179920.35</v>
      </c>
      <c r="K73" s="428">
        <v>71623.31</v>
      </c>
      <c r="L73" s="428">
        <v>107817.26</v>
      </c>
      <c r="M73" s="423">
        <f t="shared" si="1"/>
        <v>479.78000000001339</v>
      </c>
      <c r="N73" s="442" t="str">
        <f t="shared" si="2"/>
        <v>否</v>
      </c>
      <c r="O73" s="111">
        <f t="shared" si="3"/>
        <v>2029</v>
      </c>
      <c r="P73" s="49">
        <f t="shared" si="4"/>
        <v>47483</v>
      </c>
      <c r="Q73" s="113">
        <v>19146.53</v>
      </c>
      <c r="S73" s="112">
        <f t="shared" si="5"/>
        <v>12</v>
      </c>
      <c r="T73" s="476">
        <f t="shared" si="12"/>
        <v>15751.465000000002</v>
      </c>
      <c r="U73" s="476">
        <f t="shared" si="6"/>
        <v>-3395.0649999999969</v>
      </c>
      <c r="V73" s="48">
        <f t="shared" si="13"/>
        <v>48</v>
      </c>
      <c r="W73" s="48">
        <f t="shared" si="14"/>
        <v>48</v>
      </c>
      <c r="Y73" s="113"/>
      <c r="Z73" s="116"/>
    </row>
    <row r="74" spans="2:26" ht="12.75" customHeight="1">
      <c r="B74" s="414" t="s">
        <v>686</v>
      </c>
      <c r="C74" s="443" t="s">
        <v>253</v>
      </c>
      <c r="D74" s="433" t="s">
        <v>349</v>
      </c>
      <c r="E74" s="433" t="s">
        <v>350</v>
      </c>
      <c r="F74" s="434">
        <v>44561</v>
      </c>
      <c r="G74" s="425">
        <v>8</v>
      </c>
      <c r="H74" s="426">
        <f t="shared" si="0"/>
        <v>96</v>
      </c>
      <c r="I74" s="427">
        <v>0</v>
      </c>
      <c r="J74" s="428">
        <v>69646.02</v>
      </c>
      <c r="K74" s="428">
        <v>27724.92</v>
      </c>
      <c r="L74" s="428">
        <v>41735.379999999997</v>
      </c>
      <c r="M74" s="423">
        <f t="shared" si="1"/>
        <v>185.72000000000844</v>
      </c>
      <c r="N74" s="442" t="str">
        <f t="shared" si="2"/>
        <v>否</v>
      </c>
      <c r="O74" s="111">
        <f t="shared" si="3"/>
        <v>2029</v>
      </c>
      <c r="P74" s="49">
        <f t="shared" si="4"/>
        <v>47483</v>
      </c>
      <c r="Q74" s="113">
        <v>7411.5</v>
      </c>
      <c r="S74" s="112">
        <f t="shared" si="5"/>
        <v>12</v>
      </c>
      <c r="T74" s="476">
        <f t="shared" si="12"/>
        <v>6097.2912500000002</v>
      </c>
      <c r="U74" s="476">
        <f t="shared" si="6"/>
        <v>-1314.2087499999998</v>
      </c>
      <c r="V74" s="48">
        <f t="shared" si="13"/>
        <v>48</v>
      </c>
      <c r="W74" s="48">
        <f t="shared" si="14"/>
        <v>48</v>
      </c>
      <c r="Y74" s="113"/>
      <c r="Z74" s="116"/>
    </row>
    <row r="75" spans="2:26" ht="12.75" customHeight="1">
      <c r="B75" s="414" t="s">
        <v>686</v>
      </c>
      <c r="C75" s="443" t="s">
        <v>253</v>
      </c>
      <c r="D75" s="433" t="s">
        <v>351</v>
      </c>
      <c r="E75" s="433" t="s">
        <v>352</v>
      </c>
      <c r="F75" s="434">
        <v>44561</v>
      </c>
      <c r="G75" s="425">
        <v>8</v>
      </c>
      <c r="H75" s="426">
        <f t="shared" ref="H75:H138" si="15">G75*12</f>
        <v>96</v>
      </c>
      <c r="I75" s="427">
        <v>0</v>
      </c>
      <c r="J75" s="428">
        <v>222557.51</v>
      </c>
      <c r="K75" s="428">
        <v>88596.43</v>
      </c>
      <c r="L75" s="428">
        <v>133367.57</v>
      </c>
      <c r="M75" s="423">
        <f t="shared" ref="M75:M138" si="16">J75-K75-L75</f>
        <v>593.51000000000931</v>
      </c>
      <c r="N75" s="442" t="str">
        <f t="shared" ref="N75:N138" si="17">IF(ROUND(J75*(1-I75),0)=ROUND(K75,0),"是","否")</f>
        <v>否</v>
      </c>
      <c r="O75" s="111">
        <f t="shared" ref="O75:O138" si="18">IFERROR(YEAR(EOMONTH(F75,H75)),"")</f>
        <v>2029</v>
      </c>
      <c r="P75" s="49">
        <f t="shared" ref="P75:P138" si="19">IFERROR(EOMONTH(F75,H75),"")</f>
        <v>47483</v>
      </c>
      <c r="Q75" s="113">
        <v>23683.83</v>
      </c>
      <c r="S75" s="112">
        <f t="shared" ref="S75:S138" si="20">IFERROR(IF(OR(AND(R75&lt;&gt;"",YEAR(R75)&lt;YEAR($M$9)),AND(P75&lt;&gt;"",YEAR(P75)&lt;YEAR($M$9))),0,IF(YEAR(F75)&gt;YEAR($M$9),0,IF(OR((IF(YEAR(F75)&lt;YEAR($M$9),1,IF(MONTH(F75)=12,99,MONTH(F75)+1))&gt;12),(IF(YEAR(F75)&lt;YEAR($M$9),1,IF(MONTH(F75)=12,99,MONTH(F75)+1))&gt;MIN(MONTH($M$9),IF(AND(R75&lt;&gt;"",YEAR(R75)=YEAR($M$9)),MONTH(R75),99),IF(AND(P75&lt;&gt;"",YEAR(P75)=YEAR($M$9)),MONTH(P75),99)))),0,MIN(MONTH($M$9),IF(AND(R75&lt;&gt;"",YEAR(R75)=YEAR($M$9)),MONTH(R75),99),IF(AND(P75&lt;&gt;"",YEAR(P75)=YEAR($M$9)),MONTH(P75),99))-IF(YEAR(F75)&lt;YEAR($M$9),1,IF(MONTH(F75)=12,99,MONTH(F75)+1))+1))),0)</f>
        <v>12</v>
      </c>
      <c r="T75" s="476">
        <f t="shared" si="12"/>
        <v>19484.215625000001</v>
      </c>
      <c r="U75" s="476">
        <f t="shared" ref="U75:U138" si="21">T75-Q75</f>
        <v>-4199.614375000001</v>
      </c>
      <c r="V75" s="48">
        <f t="shared" si="13"/>
        <v>48</v>
      </c>
      <c r="W75" s="48">
        <f t="shared" si="14"/>
        <v>48</v>
      </c>
      <c r="Y75" s="113"/>
      <c r="Z75" s="116"/>
    </row>
    <row r="76" spans="2:26" ht="12.75" customHeight="1">
      <c r="B76" s="414" t="s">
        <v>686</v>
      </c>
      <c r="C76" s="443" t="s">
        <v>253</v>
      </c>
      <c r="D76" s="433" t="s">
        <v>353</v>
      </c>
      <c r="E76" s="433" t="s">
        <v>354</v>
      </c>
      <c r="F76" s="434">
        <v>44561</v>
      </c>
      <c r="G76" s="425">
        <v>8</v>
      </c>
      <c r="H76" s="426">
        <f t="shared" si="15"/>
        <v>96</v>
      </c>
      <c r="I76" s="427">
        <v>0</v>
      </c>
      <c r="J76" s="428">
        <v>249601.77</v>
      </c>
      <c r="K76" s="428">
        <v>99362.3</v>
      </c>
      <c r="L76" s="428">
        <v>149573.85999999999</v>
      </c>
      <c r="M76" s="423">
        <f t="shared" si="16"/>
        <v>665.60999999998603</v>
      </c>
      <c r="N76" s="442" t="str">
        <f t="shared" si="17"/>
        <v>否</v>
      </c>
      <c r="O76" s="111">
        <f t="shared" si="18"/>
        <v>2029</v>
      </c>
      <c r="P76" s="49">
        <f t="shared" si="19"/>
        <v>47483</v>
      </c>
      <c r="Q76" s="113">
        <v>26561.79</v>
      </c>
      <c r="S76" s="112">
        <f t="shared" si="20"/>
        <v>12</v>
      </c>
      <c r="T76" s="476">
        <f t="shared" si="12"/>
        <v>21851.855</v>
      </c>
      <c r="U76" s="476">
        <f t="shared" si="21"/>
        <v>-4709.9350000000013</v>
      </c>
      <c r="V76" s="48">
        <f t="shared" si="13"/>
        <v>48</v>
      </c>
      <c r="W76" s="48">
        <f t="shared" si="14"/>
        <v>48</v>
      </c>
      <c r="Y76" s="113"/>
      <c r="Z76" s="116"/>
    </row>
    <row r="77" spans="2:26" ht="12.75" customHeight="1">
      <c r="B77" s="414" t="s">
        <v>686</v>
      </c>
      <c r="C77" s="443" t="s">
        <v>253</v>
      </c>
      <c r="D77" s="433" t="s">
        <v>355</v>
      </c>
      <c r="E77" s="433" t="s">
        <v>356</v>
      </c>
      <c r="F77" s="434">
        <v>44561</v>
      </c>
      <c r="G77" s="425">
        <v>8</v>
      </c>
      <c r="H77" s="426">
        <f t="shared" si="15"/>
        <v>96</v>
      </c>
      <c r="I77" s="427">
        <v>0</v>
      </c>
      <c r="J77" s="428">
        <v>211982.3</v>
      </c>
      <c r="K77" s="428">
        <v>84386.62</v>
      </c>
      <c r="L77" s="428">
        <v>127030.43</v>
      </c>
      <c r="M77" s="423">
        <f t="shared" si="16"/>
        <v>565.25</v>
      </c>
      <c r="N77" s="442" t="str">
        <f t="shared" si="17"/>
        <v>否</v>
      </c>
      <c r="O77" s="111">
        <f t="shared" si="18"/>
        <v>2029</v>
      </c>
      <c r="P77" s="49">
        <f t="shared" si="19"/>
        <v>47483</v>
      </c>
      <c r="Q77" s="113">
        <v>22558.45</v>
      </c>
      <c r="S77" s="112">
        <f t="shared" si="20"/>
        <v>12</v>
      </c>
      <c r="T77" s="476">
        <f t="shared" si="12"/>
        <v>18558.385624999995</v>
      </c>
      <c r="U77" s="476">
        <f t="shared" si="21"/>
        <v>-4000.0643750000054</v>
      </c>
      <c r="V77" s="48">
        <f t="shared" si="13"/>
        <v>48</v>
      </c>
      <c r="W77" s="48">
        <f t="shared" si="14"/>
        <v>48</v>
      </c>
      <c r="Y77" s="113"/>
      <c r="Z77" s="116"/>
    </row>
    <row r="78" spans="2:26" ht="12.75" customHeight="1">
      <c r="B78" s="414" t="s">
        <v>686</v>
      </c>
      <c r="C78" s="443" t="s">
        <v>253</v>
      </c>
      <c r="D78" s="433" t="s">
        <v>357</v>
      </c>
      <c r="E78" s="433" t="s">
        <v>358</v>
      </c>
      <c r="F78" s="434">
        <v>45657</v>
      </c>
      <c r="G78" s="425">
        <v>6</v>
      </c>
      <c r="H78" s="426">
        <f t="shared" si="15"/>
        <v>72</v>
      </c>
      <c r="I78" s="427">
        <v>0</v>
      </c>
      <c r="J78" s="428">
        <v>2608304.4300000002</v>
      </c>
      <c r="K78" s="428">
        <v>1435147.06</v>
      </c>
      <c r="L78" s="428">
        <v>1168520.3899999999</v>
      </c>
      <c r="M78" s="423">
        <f t="shared" si="16"/>
        <v>4636.9800000002142</v>
      </c>
      <c r="N78" s="442" t="str">
        <f t="shared" si="17"/>
        <v>否</v>
      </c>
      <c r="O78" s="111">
        <f t="shared" si="18"/>
        <v>2030</v>
      </c>
      <c r="P78" s="49">
        <f t="shared" si="19"/>
        <v>47848</v>
      </c>
      <c r="Q78" s="113">
        <v>391825.29</v>
      </c>
      <c r="S78" s="112">
        <f t="shared" si="20"/>
        <v>12</v>
      </c>
      <c r="T78" s="476">
        <f t="shared" si="12"/>
        <v>376291.38550000003</v>
      </c>
      <c r="U78" s="476">
        <f t="shared" si="21"/>
        <v>-15533.904499999946</v>
      </c>
      <c r="V78" s="48">
        <f t="shared" si="13"/>
        <v>12</v>
      </c>
      <c r="W78" s="48">
        <f t="shared" si="14"/>
        <v>60</v>
      </c>
      <c r="Y78" s="113"/>
      <c r="Z78" s="116"/>
    </row>
    <row r="79" spans="2:26" ht="12.75" customHeight="1">
      <c r="B79" s="414" t="s">
        <v>686</v>
      </c>
      <c r="C79" s="443" t="s">
        <v>253</v>
      </c>
      <c r="D79" s="433" t="s">
        <v>359</v>
      </c>
      <c r="E79" s="433" t="s">
        <v>360</v>
      </c>
      <c r="F79" s="434">
        <v>45657</v>
      </c>
      <c r="G79" s="425">
        <v>8</v>
      </c>
      <c r="H79" s="426">
        <f t="shared" si="15"/>
        <v>96</v>
      </c>
      <c r="I79" s="427">
        <v>0</v>
      </c>
      <c r="J79" s="428">
        <v>1284200.8799999999</v>
      </c>
      <c r="K79" s="428">
        <v>511218.97</v>
      </c>
      <c r="L79" s="428">
        <v>769557.39</v>
      </c>
      <c r="M79" s="423">
        <f t="shared" si="16"/>
        <v>3424.5199999999022</v>
      </c>
      <c r="N79" s="442" t="str">
        <f t="shared" si="17"/>
        <v>否</v>
      </c>
      <c r="O79" s="111">
        <f t="shared" si="18"/>
        <v>2032</v>
      </c>
      <c r="P79" s="49">
        <f t="shared" si="19"/>
        <v>48579</v>
      </c>
      <c r="Q79" s="113">
        <v>136660.37</v>
      </c>
      <c r="S79" s="112">
        <f t="shared" si="20"/>
        <v>12</v>
      </c>
      <c r="T79" s="476">
        <f t="shared" si="12"/>
        <v>133040.91749999998</v>
      </c>
      <c r="U79" s="476">
        <f t="shared" si="21"/>
        <v>-3619.452500000014</v>
      </c>
      <c r="V79" s="48">
        <f t="shared" si="13"/>
        <v>12</v>
      </c>
      <c r="W79" s="48">
        <f t="shared" si="14"/>
        <v>84</v>
      </c>
      <c r="Y79" s="113"/>
      <c r="Z79" s="116"/>
    </row>
    <row r="80" spans="2:26" ht="12.75" customHeight="1">
      <c r="B80" s="414" t="s">
        <v>686</v>
      </c>
      <c r="C80" s="443" t="s">
        <v>253</v>
      </c>
      <c r="D80" s="433" t="s">
        <v>361</v>
      </c>
      <c r="E80" s="433" t="s">
        <v>362</v>
      </c>
      <c r="F80" s="434">
        <v>45657</v>
      </c>
      <c r="G80" s="425">
        <v>8</v>
      </c>
      <c r="H80" s="426">
        <f t="shared" si="15"/>
        <v>96</v>
      </c>
      <c r="I80" s="427">
        <v>0</v>
      </c>
      <c r="J80" s="428">
        <v>2314286.73</v>
      </c>
      <c r="K80" s="428">
        <v>921278.97</v>
      </c>
      <c r="L80" s="428">
        <v>1386836.32</v>
      </c>
      <c r="M80" s="423">
        <f t="shared" si="16"/>
        <v>6171.4399999999441</v>
      </c>
      <c r="N80" s="442" t="str">
        <f t="shared" si="17"/>
        <v>否</v>
      </c>
      <c r="O80" s="111">
        <f t="shared" si="18"/>
        <v>2032</v>
      </c>
      <c r="P80" s="49">
        <f t="shared" si="19"/>
        <v>48579</v>
      </c>
      <c r="Q80" s="113">
        <v>246278.67</v>
      </c>
      <c r="S80" s="112">
        <f t="shared" si="20"/>
        <v>12</v>
      </c>
      <c r="T80" s="476">
        <f t="shared" si="12"/>
        <v>239755.97267857144</v>
      </c>
      <c r="U80" s="476">
        <f t="shared" si="21"/>
        <v>-6522.6973214285681</v>
      </c>
      <c r="V80" s="48">
        <f t="shared" si="13"/>
        <v>12</v>
      </c>
      <c r="W80" s="48">
        <f t="shared" si="14"/>
        <v>84</v>
      </c>
      <c r="Y80" s="113"/>
      <c r="Z80" s="116"/>
    </row>
    <row r="81" spans="2:26" ht="12.75" customHeight="1">
      <c r="B81" s="414" t="s">
        <v>686</v>
      </c>
      <c r="C81" s="443" t="s">
        <v>253</v>
      </c>
      <c r="D81" s="433" t="s">
        <v>363</v>
      </c>
      <c r="E81" s="433" t="s">
        <v>364</v>
      </c>
      <c r="F81" s="434">
        <v>45657</v>
      </c>
      <c r="G81" s="425">
        <v>8</v>
      </c>
      <c r="H81" s="426">
        <f t="shared" si="15"/>
        <v>96</v>
      </c>
      <c r="I81" s="427">
        <v>0</v>
      </c>
      <c r="J81" s="428">
        <v>3905744.27</v>
      </c>
      <c r="K81" s="428">
        <v>1554811.7</v>
      </c>
      <c r="L81" s="428">
        <v>2340517.21</v>
      </c>
      <c r="M81" s="423">
        <f t="shared" si="16"/>
        <v>10415.360000000335</v>
      </c>
      <c r="N81" s="442" t="str">
        <f t="shared" si="17"/>
        <v>否</v>
      </c>
      <c r="O81" s="111">
        <f t="shared" si="18"/>
        <v>2032</v>
      </c>
      <c r="P81" s="49">
        <f t="shared" si="19"/>
        <v>48579</v>
      </c>
      <c r="Q81" s="113">
        <v>415636.29</v>
      </c>
      <c r="S81" s="112">
        <f t="shared" si="20"/>
        <v>12</v>
      </c>
      <c r="T81" s="476">
        <f t="shared" si="12"/>
        <v>404628.1333928571</v>
      </c>
      <c r="U81" s="476">
        <f t="shared" si="21"/>
        <v>-11008.156607142882</v>
      </c>
      <c r="V81" s="48">
        <f t="shared" si="13"/>
        <v>12</v>
      </c>
      <c r="W81" s="48">
        <f t="shared" si="14"/>
        <v>84</v>
      </c>
      <c r="Y81" s="113"/>
      <c r="Z81" s="116"/>
    </row>
    <row r="82" spans="2:26" ht="12.75" customHeight="1">
      <c r="B82" s="414" t="s">
        <v>686</v>
      </c>
      <c r="C82" s="443" t="s">
        <v>253</v>
      </c>
      <c r="D82" s="433" t="s">
        <v>365</v>
      </c>
      <c r="E82" s="433" t="s">
        <v>366</v>
      </c>
      <c r="F82" s="434">
        <v>45657</v>
      </c>
      <c r="G82" s="425">
        <v>8</v>
      </c>
      <c r="H82" s="426">
        <f t="shared" si="15"/>
        <v>96</v>
      </c>
      <c r="I82" s="427">
        <v>0</v>
      </c>
      <c r="J82" s="428">
        <v>2608941.6</v>
      </c>
      <c r="K82" s="428">
        <v>1038576.17</v>
      </c>
      <c r="L82" s="428">
        <v>1563408.23</v>
      </c>
      <c r="M82" s="423">
        <f t="shared" si="16"/>
        <v>6957.2000000001863</v>
      </c>
      <c r="N82" s="442" t="str">
        <f t="shared" si="17"/>
        <v>否</v>
      </c>
      <c r="O82" s="111">
        <f t="shared" si="18"/>
        <v>2032</v>
      </c>
      <c r="P82" s="49">
        <f t="shared" si="19"/>
        <v>48579</v>
      </c>
      <c r="Q82" s="113">
        <v>277634.87</v>
      </c>
      <c r="S82" s="112">
        <f t="shared" si="20"/>
        <v>12</v>
      </c>
      <c r="T82" s="476">
        <f t="shared" si="12"/>
        <v>270281.6917857143</v>
      </c>
      <c r="U82" s="476">
        <f t="shared" si="21"/>
        <v>-7353.1782142856973</v>
      </c>
      <c r="V82" s="48">
        <f t="shared" si="13"/>
        <v>12</v>
      </c>
      <c r="W82" s="48">
        <f t="shared" si="14"/>
        <v>84</v>
      </c>
      <c r="Y82" s="113"/>
      <c r="Z82" s="116"/>
    </row>
    <row r="83" spans="2:26" ht="12.75" customHeight="1">
      <c r="B83" s="414" t="s">
        <v>686</v>
      </c>
      <c r="C83" s="443" t="s">
        <v>253</v>
      </c>
      <c r="D83" s="433" t="s">
        <v>367</v>
      </c>
      <c r="E83" s="433" t="s">
        <v>368</v>
      </c>
      <c r="F83" s="434">
        <v>44561</v>
      </c>
      <c r="G83" s="425">
        <v>8</v>
      </c>
      <c r="H83" s="426">
        <f t="shared" si="15"/>
        <v>96</v>
      </c>
      <c r="I83" s="427">
        <v>0</v>
      </c>
      <c r="J83" s="428">
        <v>143362.84</v>
      </c>
      <c r="K83" s="428">
        <v>71681.42</v>
      </c>
      <c r="L83" s="428">
        <v>0</v>
      </c>
      <c r="M83" s="423">
        <f t="shared" si="16"/>
        <v>71681.42</v>
      </c>
      <c r="N83" s="442" t="str">
        <f t="shared" si="17"/>
        <v>否</v>
      </c>
      <c r="O83" s="111">
        <f t="shared" si="18"/>
        <v>2029</v>
      </c>
      <c r="P83" s="49">
        <f t="shared" si="19"/>
        <v>47483</v>
      </c>
      <c r="Q83" s="113">
        <v>17920.349999999999</v>
      </c>
      <c r="S83" s="112">
        <f t="shared" si="20"/>
        <v>12</v>
      </c>
      <c r="T83" s="113">
        <f>(J83*(1-I83))/H83*S83</f>
        <v>17920.355</v>
      </c>
      <c r="U83" s="113">
        <f t="shared" si="21"/>
        <v>5.0000000010186341E-3</v>
      </c>
      <c r="Y83" s="113"/>
      <c r="Z83" s="116"/>
    </row>
    <row r="84" spans="2:26" ht="12.75" customHeight="1">
      <c r="B84" s="414" t="s">
        <v>686</v>
      </c>
      <c r="C84" s="443" t="s">
        <v>253</v>
      </c>
      <c r="D84" s="433" t="s">
        <v>369</v>
      </c>
      <c r="E84" s="433" t="s">
        <v>370</v>
      </c>
      <c r="F84" s="434">
        <v>44917</v>
      </c>
      <c r="G84" s="425">
        <v>8</v>
      </c>
      <c r="H84" s="426">
        <f t="shared" si="15"/>
        <v>96</v>
      </c>
      <c r="I84" s="427">
        <v>0</v>
      </c>
      <c r="J84" s="428">
        <v>18584.07</v>
      </c>
      <c r="K84" s="428">
        <v>6969.03</v>
      </c>
      <c r="L84" s="428">
        <v>0</v>
      </c>
      <c r="M84" s="423">
        <f t="shared" si="16"/>
        <v>11615.04</v>
      </c>
      <c r="N84" s="442" t="str">
        <f t="shared" si="17"/>
        <v>否</v>
      </c>
      <c r="O84" s="111">
        <f t="shared" si="18"/>
        <v>2030</v>
      </c>
      <c r="P84" s="49">
        <f t="shared" si="19"/>
        <v>47848</v>
      </c>
      <c r="Q84" s="113">
        <v>2323.0100000000002</v>
      </c>
      <c r="S84" s="112">
        <f t="shared" si="20"/>
        <v>12</v>
      </c>
      <c r="T84" s="113">
        <f>(J84*(1-I84))/H84*S84</f>
        <v>2323.00875</v>
      </c>
      <c r="U84" s="113">
        <f t="shared" si="21"/>
        <v>-1.2500000002546585E-3</v>
      </c>
      <c r="Y84" s="113"/>
      <c r="Z84" s="116"/>
    </row>
    <row r="85" spans="2:26" ht="12.75" customHeight="1">
      <c r="B85" s="414" t="s">
        <v>686</v>
      </c>
      <c r="C85" s="443" t="s">
        <v>253</v>
      </c>
      <c r="D85" s="433" t="s">
        <v>371</v>
      </c>
      <c r="E85" s="433" t="s">
        <v>372</v>
      </c>
      <c r="F85" s="434">
        <v>45285</v>
      </c>
      <c r="G85" s="425">
        <v>8</v>
      </c>
      <c r="H85" s="426">
        <f t="shared" si="15"/>
        <v>96</v>
      </c>
      <c r="I85" s="427">
        <v>0</v>
      </c>
      <c r="J85" s="428">
        <v>55752.21</v>
      </c>
      <c r="K85" s="428">
        <v>12204.16</v>
      </c>
      <c r="L85" s="428">
        <v>43347.35</v>
      </c>
      <c r="M85" s="423">
        <f t="shared" si="16"/>
        <v>200.70000000000437</v>
      </c>
      <c r="N85" s="442" t="str">
        <f t="shared" si="17"/>
        <v>否</v>
      </c>
      <c r="O85" s="111">
        <f t="shared" si="18"/>
        <v>2031</v>
      </c>
      <c r="P85" s="49">
        <f t="shared" si="19"/>
        <v>48213</v>
      </c>
      <c r="Q85" s="113">
        <v>5235.13</v>
      </c>
      <c r="S85" s="112">
        <f t="shared" si="20"/>
        <v>12</v>
      </c>
      <c r="T85" s="476">
        <f>J85*(1-I85)/H85*9+(J85-(J85*(1-I85)/H85)*V85-L85)/W85*3</f>
        <v>5162.8866666666672</v>
      </c>
      <c r="U85" s="476">
        <f t="shared" si="21"/>
        <v>-72.243333333332885</v>
      </c>
      <c r="V85" s="48">
        <f>DATEDIF(F85,$M$9,"M")</f>
        <v>24</v>
      </c>
      <c r="W85" s="48">
        <f>H85-V85</f>
        <v>72</v>
      </c>
      <c r="Y85" s="113"/>
      <c r="Z85" s="116"/>
    </row>
    <row r="86" spans="2:26" ht="12.75" customHeight="1">
      <c r="B86" s="414" t="s">
        <v>686</v>
      </c>
      <c r="C86" s="443" t="s">
        <v>253</v>
      </c>
      <c r="D86" s="433" t="s">
        <v>373</v>
      </c>
      <c r="E86" s="433" t="s">
        <v>374</v>
      </c>
      <c r="F86" s="434">
        <v>45643</v>
      </c>
      <c r="G86" s="425">
        <v>8</v>
      </c>
      <c r="H86" s="426">
        <f t="shared" si="15"/>
        <v>96</v>
      </c>
      <c r="I86" s="427">
        <v>0</v>
      </c>
      <c r="J86" s="428">
        <v>312477.88</v>
      </c>
      <c r="K86" s="428">
        <v>29343.63</v>
      </c>
      <c r="L86" s="428">
        <v>281767.15000000002</v>
      </c>
      <c r="M86" s="423">
        <f t="shared" si="16"/>
        <v>1367.0999999999767</v>
      </c>
      <c r="N86" s="442" t="str">
        <f t="shared" si="17"/>
        <v>否</v>
      </c>
      <c r="O86" s="111">
        <f t="shared" si="18"/>
        <v>2032</v>
      </c>
      <c r="P86" s="49">
        <f t="shared" si="19"/>
        <v>48579</v>
      </c>
      <c r="Q86" s="113">
        <v>29343.63</v>
      </c>
      <c r="S86" s="112">
        <f t="shared" si="20"/>
        <v>12</v>
      </c>
      <c r="T86" s="476">
        <f>J86*(1-I86)/H86*9+(J86-(J86*(1-I86)/H86)*V86-L86)/W86*3</f>
        <v>28996.622500000001</v>
      </c>
      <c r="U86" s="476">
        <f t="shared" si="21"/>
        <v>-347.00749999999971</v>
      </c>
      <c r="V86" s="48">
        <f>DATEDIF(F86,$M$9,"M")</f>
        <v>12</v>
      </c>
      <c r="W86" s="48">
        <f>H86-V86</f>
        <v>84</v>
      </c>
      <c r="Y86" s="113"/>
      <c r="Z86" s="116"/>
    </row>
    <row r="87" spans="2:26" ht="12.75" customHeight="1">
      <c r="B87" s="414" t="s">
        <v>686</v>
      </c>
      <c r="C87" s="443" t="s">
        <v>253</v>
      </c>
      <c r="D87" s="433" t="s">
        <v>375</v>
      </c>
      <c r="E87" s="433" t="s">
        <v>376</v>
      </c>
      <c r="F87" s="434">
        <v>45643</v>
      </c>
      <c r="G87" s="425">
        <v>8</v>
      </c>
      <c r="H87" s="426">
        <f t="shared" si="15"/>
        <v>96</v>
      </c>
      <c r="I87" s="427">
        <v>0</v>
      </c>
      <c r="J87" s="428">
        <v>312477.88</v>
      </c>
      <c r="K87" s="428">
        <v>29341.94</v>
      </c>
      <c r="L87" s="428">
        <v>281815.98</v>
      </c>
      <c r="M87" s="423">
        <f t="shared" si="16"/>
        <v>1319.960000000021</v>
      </c>
      <c r="N87" s="442" t="str">
        <f t="shared" si="17"/>
        <v>否</v>
      </c>
      <c r="O87" s="111">
        <f t="shared" si="18"/>
        <v>2032</v>
      </c>
      <c r="P87" s="49">
        <f t="shared" si="19"/>
        <v>48579</v>
      </c>
      <c r="Q87" s="113">
        <v>29341.94</v>
      </c>
      <c r="S87" s="112">
        <f t="shared" si="20"/>
        <v>12</v>
      </c>
      <c r="T87" s="476">
        <f>J87*(1-I87)/H87*9+(J87-(J87*(1-I87)/H87)*V87-L87)/W87*3</f>
        <v>28994.878571428573</v>
      </c>
      <c r="U87" s="476">
        <f t="shared" si="21"/>
        <v>-347.06142857142549</v>
      </c>
      <c r="V87" s="48">
        <f>DATEDIF(F87,$M$9,"M")</f>
        <v>12</v>
      </c>
      <c r="W87" s="48">
        <f>H87-V87</f>
        <v>84</v>
      </c>
      <c r="Y87" s="113"/>
      <c r="Z87" s="116"/>
    </row>
    <row r="88" spans="2:26" ht="12.75" customHeight="1">
      <c r="B88" s="414" t="s">
        <v>686</v>
      </c>
      <c r="C88" s="443" t="s">
        <v>253</v>
      </c>
      <c r="D88" s="433" t="s">
        <v>377</v>
      </c>
      <c r="E88" s="433" t="s">
        <v>378</v>
      </c>
      <c r="F88" s="434">
        <v>45643</v>
      </c>
      <c r="G88" s="425">
        <v>8</v>
      </c>
      <c r="H88" s="426">
        <f t="shared" si="15"/>
        <v>96</v>
      </c>
      <c r="I88" s="427">
        <v>0</v>
      </c>
      <c r="J88" s="428">
        <v>321946.89</v>
      </c>
      <c r="K88" s="428">
        <v>40243.360000000001</v>
      </c>
      <c r="L88" s="428">
        <v>0</v>
      </c>
      <c r="M88" s="423">
        <f t="shared" si="16"/>
        <v>281703.53000000003</v>
      </c>
      <c r="N88" s="442" t="str">
        <f t="shared" si="17"/>
        <v>否</v>
      </c>
      <c r="O88" s="111">
        <f t="shared" si="18"/>
        <v>2032</v>
      </c>
      <c r="P88" s="49">
        <f t="shared" si="19"/>
        <v>48579</v>
      </c>
      <c r="Q88" s="113">
        <v>40243.360000000001</v>
      </c>
      <c r="S88" s="112">
        <f t="shared" si="20"/>
        <v>12</v>
      </c>
      <c r="T88" s="113">
        <f t="shared" ref="T88:T101" si="22">(J88*(1-I88))/H88*S88</f>
        <v>40243.361250000002</v>
      </c>
      <c r="U88" s="113">
        <f t="shared" si="21"/>
        <v>1.2500000011641532E-3</v>
      </c>
      <c r="Y88" s="113"/>
      <c r="Z88" s="116"/>
    </row>
    <row r="89" spans="2:26" ht="12.75" customHeight="1">
      <c r="B89" s="414" t="s">
        <v>685</v>
      </c>
      <c r="C89" s="443" t="s">
        <v>379</v>
      </c>
      <c r="D89" s="433" t="s">
        <v>380</v>
      </c>
      <c r="E89" s="433" t="s">
        <v>381</v>
      </c>
      <c r="F89" s="434">
        <v>44579</v>
      </c>
      <c r="G89" s="425">
        <v>8</v>
      </c>
      <c r="H89" s="426">
        <f t="shared" si="15"/>
        <v>96</v>
      </c>
      <c r="I89" s="427">
        <v>0</v>
      </c>
      <c r="J89" s="428">
        <v>15752.21</v>
      </c>
      <c r="K89" s="428">
        <v>7712.02</v>
      </c>
      <c r="L89" s="428">
        <v>0</v>
      </c>
      <c r="M89" s="423">
        <f t="shared" si="16"/>
        <v>8040.1899999999987</v>
      </c>
      <c r="N89" s="442" t="str">
        <f t="shared" si="17"/>
        <v>否</v>
      </c>
      <c r="O89" s="111">
        <f t="shared" si="18"/>
        <v>2030</v>
      </c>
      <c r="P89" s="49">
        <f t="shared" si="19"/>
        <v>47514</v>
      </c>
      <c r="Q89" s="113">
        <v>1969.02</v>
      </c>
      <c r="S89" s="112">
        <f t="shared" si="20"/>
        <v>12</v>
      </c>
      <c r="T89" s="113">
        <f t="shared" si="22"/>
        <v>1969.0262499999999</v>
      </c>
      <c r="U89" s="113">
        <f t="shared" si="21"/>
        <v>6.2499999999090505E-3</v>
      </c>
      <c r="Y89" s="113"/>
      <c r="Z89" s="116"/>
    </row>
    <row r="90" spans="2:26" ht="12.75" customHeight="1">
      <c r="B90" s="414" t="s">
        <v>685</v>
      </c>
      <c r="C90" s="443" t="s">
        <v>379</v>
      </c>
      <c r="D90" s="433" t="s">
        <v>382</v>
      </c>
      <c r="E90" s="433" t="s">
        <v>383</v>
      </c>
      <c r="F90" s="434">
        <v>44579</v>
      </c>
      <c r="G90" s="425">
        <v>8</v>
      </c>
      <c r="H90" s="426">
        <f t="shared" si="15"/>
        <v>96</v>
      </c>
      <c r="I90" s="427">
        <v>0</v>
      </c>
      <c r="J90" s="428">
        <v>115929.2</v>
      </c>
      <c r="K90" s="428">
        <v>56757</v>
      </c>
      <c r="L90" s="428">
        <v>0</v>
      </c>
      <c r="M90" s="423">
        <f t="shared" si="16"/>
        <v>59172.2</v>
      </c>
      <c r="N90" s="442" t="str">
        <f t="shared" si="17"/>
        <v>否</v>
      </c>
      <c r="O90" s="111">
        <f t="shared" si="18"/>
        <v>2030</v>
      </c>
      <c r="P90" s="49">
        <f t="shared" si="19"/>
        <v>47514</v>
      </c>
      <c r="Q90" s="113">
        <v>14491.15</v>
      </c>
      <c r="S90" s="112">
        <f t="shared" si="20"/>
        <v>12</v>
      </c>
      <c r="T90" s="113">
        <f t="shared" si="22"/>
        <v>14491.15</v>
      </c>
      <c r="U90" s="113">
        <f t="shared" si="21"/>
        <v>0</v>
      </c>
      <c r="Y90" s="113"/>
      <c r="Z90" s="116"/>
    </row>
    <row r="91" spans="2:26" ht="12.75" customHeight="1">
      <c r="B91" s="414" t="s">
        <v>685</v>
      </c>
      <c r="C91" s="443" t="s">
        <v>379</v>
      </c>
      <c r="D91" s="433" t="s">
        <v>384</v>
      </c>
      <c r="E91" s="433" t="s">
        <v>385</v>
      </c>
      <c r="F91" s="434">
        <v>44579</v>
      </c>
      <c r="G91" s="425">
        <v>8</v>
      </c>
      <c r="H91" s="426">
        <f t="shared" si="15"/>
        <v>96</v>
      </c>
      <c r="I91" s="427">
        <v>0</v>
      </c>
      <c r="J91" s="428">
        <v>55221.24</v>
      </c>
      <c r="K91" s="428">
        <v>27035.4</v>
      </c>
      <c r="L91" s="428">
        <v>0</v>
      </c>
      <c r="M91" s="423">
        <f t="shared" si="16"/>
        <v>28185.839999999997</v>
      </c>
      <c r="N91" s="442" t="str">
        <f t="shared" si="17"/>
        <v>否</v>
      </c>
      <c r="O91" s="111">
        <f t="shared" si="18"/>
        <v>2030</v>
      </c>
      <c r="P91" s="49">
        <f t="shared" si="19"/>
        <v>47514</v>
      </c>
      <c r="Q91" s="113">
        <v>6902.66</v>
      </c>
      <c r="S91" s="112">
        <f t="shared" si="20"/>
        <v>12</v>
      </c>
      <c r="T91" s="113">
        <f t="shared" si="22"/>
        <v>6902.6549999999988</v>
      </c>
      <c r="U91" s="113">
        <f t="shared" si="21"/>
        <v>-5.0000000010186341E-3</v>
      </c>
      <c r="Y91" s="113"/>
      <c r="Z91" s="116"/>
    </row>
    <row r="92" spans="2:26" ht="12.75" customHeight="1">
      <c r="B92" s="414" t="s">
        <v>685</v>
      </c>
      <c r="C92" s="443" t="s">
        <v>379</v>
      </c>
      <c r="D92" s="433" t="s">
        <v>386</v>
      </c>
      <c r="E92" s="433" t="s">
        <v>387</v>
      </c>
      <c r="F92" s="434">
        <v>44579</v>
      </c>
      <c r="G92" s="425">
        <v>8</v>
      </c>
      <c r="H92" s="426">
        <f t="shared" si="15"/>
        <v>96</v>
      </c>
      <c r="I92" s="427">
        <v>0</v>
      </c>
      <c r="J92" s="428">
        <v>2212.39</v>
      </c>
      <c r="K92" s="428">
        <v>1083.1500000000001</v>
      </c>
      <c r="L92" s="428">
        <v>0</v>
      </c>
      <c r="M92" s="423">
        <f t="shared" si="16"/>
        <v>1129.2399999999998</v>
      </c>
      <c r="N92" s="442" t="str">
        <f t="shared" si="17"/>
        <v>否</v>
      </c>
      <c r="O92" s="111">
        <f t="shared" si="18"/>
        <v>2030</v>
      </c>
      <c r="P92" s="49">
        <f t="shared" si="19"/>
        <v>47514</v>
      </c>
      <c r="Q92" s="113">
        <v>276.55</v>
      </c>
      <c r="S92" s="112">
        <f t="shared" si="20"/>
        <v>12</v>
      </c>
      <c r="T92" s="113">
        <f t="shared" si="22"/>
        <v>276.54874999999998</v>
      </c>
      <c r="U92" s="113">
        <f t="shared" si="21"/>
        <v>-1.2500000000272848E-3</v>
      </c>
      <c r="Y92" s="113"/>
      <c r="Z92" s="116"/>
    </row>
    <row r="93" spans="2:26" ht="12.75" customHeight="1">
      <c r="B93" s="414" t="s">
        <v>685</v>
      </c>
      <c r="C93" s="443" t="s">
        <v>379</v>
      </c>
      <c r="D93" s="433" t="s">
        <v>388</v>
      </c>
      <c r="E93" s="433" t="s">
        <v>389</v>
      </c>
      <c r="F93" s="434">
        <v>44579</v>
      </c>
      <c r="G93" s="425">
        <v>8</v>
      </c>
      <c r="H93" s="426">
        <f t="shared" si="15"/>
        <v>96</v>
      </c>
      <c r="I93" s="427">
        <v>0</v>
      </c>
      <c r="J93" s="428">
        <v>6106.19</v>
      </c>
      <c r="K93" s="428">
        <v>2989.48</v>
      </c>
      <c r="L93" s="428">
        <v>0</v>
      </c>
      <c r="M93" s="423">
        <f t="shared" si="16"/>
        <v>3116.7099999999996</v>
      </c>
      <c r="N93" s="442" t="str">
        <f t="shared" si="17"/>
        <v>否</v>
      </c>
      <c r="O93" s="111">
        <f t="shared" si="18"/>
        <v>2030</v>
      </c>
      <c r="P93" s="49">
        <f t="shared" si="19"/>
        <v>47514</v>
      </c>
      <c r="Q93" s="113">
        <v>763.27</v>
      </c>
      <c r="S93" s="112">
        <f t="shared" si="20"/>
        <v>12</v>
      </c>
      <c r="T93" s="113">
        <f t="shared" si="22"/>
        <v>763.27374999999995</v>
      </c>
      <c r="U93" s="113">
        <f t="shared" si="21"/>
        <v>3.7499999999681677E-3</v>
      </c>
      <c r="Y93" s="113"/>
      <c r="Z93" s="116"/>
    </row>
    <row r="94" spans="2:26" ht="12.75" customHeight="1">
      <c r="B94" s="414" t="s">
        <v>685</v>
      </c>
      <c r="C94" s="443" t="s">
        <v>379</v>
      </c>
      <c r="D94" s="433" t="s">
        <v>390</v>
      </c>
      <c r="E94" s="433" t="s">
        <v>391</v>
      </c>
      <c r="F94" s="434">
        <v>44579</v>
      </c>
      <c r="G94" s="425">
        <v>8</v>
      </c>
      <c r="H94" s="426">
        <f t="shared" si="15"/>
        <v>96</v>
      </c>
      <c r="I94" s="427">
        <v>0</v>
      </c>
      <c r="J94" s="428">
        <v>4424.78</v>
      </c>
      <c r="K94" s="428">
        <v>2166.31</v>
      </c>
      <c r="L94" s="428">
        <v>0</v>
      </c>
      <c r="M94" s="423">
        <f t="shared" si="16"/>
        <v>2258.4699999999998</v>
      </c>
      <c r="N94" s="442" t="str">
        <f t="shared" si="17"/>
        <v>否</v>
      </c>
      <c r="O94" s="111">
        <f t="shared" si="18"/>
        <v>2030</v>
      </c>
      <c r="P94" s="49">
        <f t="shared" si="19"/>
        <v>47514</v>
      </c>
      <c r="Q94" s="113">
        <v>553.1</v>
      </c>
      <c r="S94" s="112">
        <f t="shared" si="20"/>
        <v>12</v>
      </c>
      <c r="T94" s="113">
        <f t="shared" si="22"/>
        <v>553.09749999999997</v>
      </c>
      <c r="U94" s="113">
        <f t="shared" si="21"/>
        <v>-2.5000000000545697E-3</v>
      </c>
      <c r="Y94" s="113"/>
      <c r="Z94" s="116"/>
    </row>
    <row r="95" spans="2:26" ht="12.75" customHeight="1">
      <c r="B95" s="414" t="s">
        <v>685</v>
      </c>
      <c r="C95" s="443" t="s">
        <v>379</v>
      </c>
      <c r="D95" s="433" t="s">
        <v>392</v>
      </c>
      <c r="E95" s="433" t="s">
        <v>393</v>
      </c>
      <c r="F95" s="434">
        <v>44579</v>
      </c>
      <c r="G95" s="425">
        <v>8</v>
      </c>
      <c r="H95" s="426">
        <f t="shared" si="15"/>
        <v>96</v>
      </c>
      <c r="I95" s="427">
        <v>0</v>
      </c>
      <c r="J95" s="428">
        <v>4721.28</v>
      </c>
      <c r="K95" s="428">
        <v>2311.46</v>
      </c>
      <c r="L95" s="428">
        <v>0</v>
      </c>
      <c r="M95" s="423">
        <f t="shared" si="16"/>
        <v>2409.8199999999997</v>
      </c>
      <c r="N95" s="442" t="str">
        <f t="shared" si="17"/>
        <v>否</v>
      </c>
      <c r="O95" s="111">
        <f t="shared" si="18"/>
        <v>2030</v>
      </c>
      <c r="P95" s="49">
        <f t="shared" si="19"/>
        <v>47514</v>
      </c>
      <c r="Q95" s="113">
        <v>590.16</v>
      </c>
      <c r="S95" s="112">
        <f t="shared" si="20"/>
        <v>12</v>
      </c>
      <c r="T95" s="113">
        <f t="shared" si="22"/>
        <v>590.16</v>
      </c>
      <c r="U95" s="113">
        <f t="shared" si="21"/>
        <v>0</v>
      </c>
      <c r="Y95" s="113"/>
      <c r="Z95" s="116"/>
    </row>
    <row r="96" spans="2:26" ht="12.75" customHeight="1">
      <c r="B96" s="414" t="s">
        <v>685</v>
      </c>
      <c r="C96" s="443" t="s">
        <v>379</v>
      </c>
      <c r="D96" s="433" t="s">
        <v>394</v>
      </c>
      <c r="E96" s="433" t="s">
        <v>395</v>
      </c>
      <c r="F96" s="434">
        <v>44945</v>
      </c>
      <c r="G96" s="425">
        <v>8</v>
      </c>
      <c r="H96" s="426">
        <f t="shared" si="15"/>
        <v>96</v>
      </c>
      <c r="I96" s="427">
        <v>0</v>
      </c>
      <c r="J96" s="428">
        <v>34513.269999999997</v>
      </c>
      <c r="K96" s="428">
        <v>12582.97</v>
      </c>
      <c r="L96" s="428">
        <v>0</v>
      </c>
      <c r="M96" s="423">
        <f t="shared" si="16"/>
        <v>21930.299999999996</v>
      </c>
      <c r="N96" s="442" t="str">
        <f t="shared" si="17"/>
        <v>否</v>
      </c>
      <c r="O96" s="111">
        <f t="shared" si="18"/>
        <v>2031</v>
      </c>
      <c r="P96" s="49">
        <f t="shared" si="19"/>
        <v>47879</v>
      </c>
      <c r="Q96" s="113">
        <v>4314.16</v>
      </c>
      <c r="S96" s="112">
        <f t="shared" si="20"/>
        <v>12</v>
      </c>
      <c r="T96" s="113">
        <f t="shared" si="22"/>
        <v>4314.1587499999996</v>
      </c>
      <c r="U96" s="113">
        <f t="shared" si="21"/>
        <v>-1.2500000002546585E-3</v>
      </c>
      <c r="Y96" s="113"/>
      <c r="Z96" s="116"/>
    </row>
    <row r="97" spans="2:26" ht="12.75" customHeight="1">
      <c r="B97" s="414" t="s">
        <v>685</v>
      </c>
      <c r="C97" s="443" t="s">
        <v>379</v>
      </c>
      <c r="D97" s="433" t="s">
        <v>396</v>
      </c>
      <c r="E97" s="433" t="s">
        <v>397</v>
      </c>
      <c r="F97" s="434">
        <v>44945</v>
      </c>
      <c r="G97" s="425">
        <v>8</v>
      </c>
      <c r="H97" s="426">
        <f t="shared" si="15"/>
        <v>96</v>
      </c>
      <c r="I97" s="427">
        <v>0</v>
      </c>
      <c r="J97" s="428">
        <v>62442.48</v>
      </c>
      <c r="K97" s="428">
        <v>22765.49</v>
      </c>
      <c r="L97" s="428">
        <v>0</v>
      </c>
      <c r="M97" s="423">
        <f t="shared" si="16"/>
        <v>39676.990000000005</v>
      </c>
      <c r="N97" s="442" t="str">
        <f t="shared" si="17"/>
        <v>否</v>
      </c>
      <c r="O97" s="111">
        <f t="shared" si="18"/>
        <v>2031</v>
      </c>
      <c r="P97" s="49">
        <f t="shared" si="19"/>
        <v>47879</v>
      </c>
      <c r="Q97" s="113">
        <v>7805.31</v>
      </c>
      <c r="S97" s="112">
        <f t="shared" si="20"/>
        <v>12</v>
      </c>
      <c r="T97" s="113">
        <f t="shared" si="22"/>
        <v>7805.3099999999995</v>
      </c>
      <c r="U97" s="113">
        <f t="shared" si="21"/>
        <v>0</v>
      </c>
      <c r="Y97" s="113"/>
      <c r="Z97" s="116"/>
    </row>
    <row r="98" spans="2:26" ht="12.75" customHeight="1">
      <c r="B98" s="414" t="s">
        <v>685</v>
      </c>
      <c r="C98" s="443" t="s">
        <v>379</v>
      </c>
      <c r="D98" s="433" t="s">
        <v>398</v>
      </c>
      <c r="E98" s="433" t="s">
        <v>399</v>
      </c>
      <c r="F98" s="434">
        <v>44945</v>
      </c>
      <c r="G98" s="425">
        <v>8</v>
      </c>
      <c r="H98" s="426">
        <f t="shared" si="15"/>
        <v>96</v>
      </c>
      <c r="I98" s="427">
        <v>0</v>
      </c>
      <c r="J98" s="428">
        <v>27610.62</v>
      </c>
      <c r="K98" s="428">
        <v>10066.379999999999</v>
      </c>
      <c r="L98" s="428">
        <v>0</v>
      </c>
      <c r="M98" s="423">
        <f t="shared" si="16"/>
        <v>17544.239999999998</v>
      </c>
      <c r="N98" s="442" t="str">
        <f t="shared" si="17"/>
        <v>否</v>
      </c>
      <c r="O98" s="111">
        <f t="shared" si="18"/>
        <v>2031</v>
      </c>
      <c r="P98" s="49">
        <f t="shared" si="19"/>
        <v>47879</v>
      </c>
      <c r="Q98" s="113">
        <v>3451.33</v>
      </c>
      <c r="S98" s="112">
        <f t="shared" si="20"/>
        <v>12</v>
      </c>
      <c r="T98" s="113">
        <f t="shared" si="22"/>
        <v>3451.3274999999994</v>
      </c>
      <c r="U98" s="113">
        <f t="shared" si="21"/>
        <v>-2.500000000509317E-3</v>
      </c>
      <c r="Y98" s="113"/>
      <c r="Z98" s="116"/>
    </row>
    <row r="99" spans="2:26" ht="12.75" customHeight="1">
      <c r="B99" s="414" t="s">
        <v>685</v>
      </c>
      <c r="C99" s="443" t="s">
        <v>379</v>
      </c>
      <c r="D99" s="433" t="s">
        <v>400</v>
      </c>
      <c r="E99" s="433" t="s">
        <v>401</v>
      </c>
      <c r="F99" s="434">
        <v>44945</v>
      </c>
      <c r="G99" s="425">
        <v>8</v>
      </c>
      <c r="H99" s="426">
        <f t="shared" si="15"/>
        <v>96</v>
      </c>
      <c r="I99" s="427">
        <v>0</v>
      </c>
      <c r="J99" s="428">
        <v>8035.4</v>
      </c>
      <c r="K99" s="428">
        <v>2929.57</v>
      </c>
      <c r="L99" s="428">
        <v>0</v>
      </c>
      <c r="M99" s="423">
        <f t="shared" si="16"/>
        <v>5105.83</v>
      </c>
      <c r="N99" s="442" t="str">
        <f t="shared" si="17"/>
        <v>否</v>
      </c>
      <c r="O99" s="111">
        <f t="shared" si="18"/>
        <v>2031</v>
      </c>
      <c r="P99" s="49">
        <f t="shared" si="19"/>
        <v>47879</v>
      </c>
      <c r="Q99" s="113">
        <v>1004.42</v>
      </c>
      <c r="S99" s="112">
        <f t="shared" si="20"/>
        <v>12</v>
      </c>
      <c r="T99" s="113">
        <f t="shared" si="22"/>
        <v>1004.425</v>
      </c>
      <c r="U99" s="113">
        <f t="shared" si="21"/>
        <v>4.9999999999954525E-3</v>
      </c>
      <c r="Y99" s="113"/>
      <c r="Z99" s="116"/>
    </row>
    <row r="100" spans="2:26" ht="12.75" customHeight="1">
      <c r="B100" s="414" t="s">
        <v>685</v>
      </c>
      <c r="C100" s="443" t="s">
        <v>379</v>
      </c>
      <c r="D100" s="433" t="s">
        <v>402</v>
      </c>
      <c r="E100" s="433" t="s">
        <v>403</v>
      </c>
      <c r="F100" s="434">
        <v>44945</v>
      </c>
      <c r="G100" s="425">
        <v>8</v>
      </c>
      <c r="H100" s="426">
        <f t="shared" si="15"/>
        <v>96</v>
      </c>
      <c r="I100" s="427">
        <v>0</v>
      </c>
      <c r="J100" s="428">
        <v>28539.82</v>
      </c>
      <c r="K100" s="428">
        <v>10405.15</v>
      </c>
      <c r="L100" s="428">
        <v>0</v>
      </c>
      <c r="M100" s="423">
        <f t="shared" si="16"/>
        <v>18134.669999999998</v>
      </c>
      <c r="N100" s="442" t="str">
        <f t="shared" si="17"/>
        <v>否</v>
      </c>
      <c r="O100" s="111">
        <f t="shared" si="18"/>
        <v>2031</v>
      </c>
      <c r="P100" s="49">
        <f t="shared" si="19"/>
        <v>47879</v>
      </c>
      <c r="Q100" s="113">
        <v>3567.48</v>
      </c>
      <c r="S100" s="112">
        <f t="shared" si="20"/>
        <v>12</v>
      </c>
      <c r="T100" s="113">
        <f t="shared" si="22"/>
        <v>3567.4775</v>
      </c>
      <c r="U100" s="113">
        <f t="shared" si="21"/>
        <v>-2.5000000000545697E-3</v>
      </c>
      <c r="Y100" s="113"/>
      <c r="Z100" s="116"/>
    </row>
    <row r="101" spans="2:26" ht="12.75" customHeight="1">
      <c r="B101" s="414" t="s">
        <v>685</v>
      </c>
      <c r="C101" s="443" t="s">
        <v>379</v>
      </c>
      <c r="D101" s="433" t="s">
        <v>404</v>
      </c>
      <c r="E101" s="433" t="s">
        <v>405</v>
      </c>
      <c r="F101" s="434">
        <v>44945</v>
      </c>
      <c r="G101" s="425">
        <v>8</v>
      </c>
      <c r="H101" s="426">
        <f t="shared" si="15"/>
        <v>96</v>
      </c>
      <c r="I101" s="427">
        <v>0</v>
      </c>
      <c r="J101" s="428">
        <v>23079.65</v>
      </c>
      <c r="K101" s="428">
        <v>8414.4599999999991</v>
      </c>
      <c r="L101" s="428">
        <v>0</v>
      </c>
      <c r="M101" s="423">
        <f t="shared" si="16"/>
        <v>14665.190000000002</v>
      </c>
      <c r="N101" s="442" t="str">
        <f t="shared" si="17"/>
        <v>否</v>
      </c>
      <c r="O101" s="111">
        <f t="shared" si="18"/>
        <v>2031</v>
      </c>
      <c r="P101" s="49">
        <f t="shared" si="19"/>
        <v>47879</v>
      </c>
      <c r="Q101" s="113">
        <v>2884.96</v>
      </c>
      <c r="S101" s="112">
        <f t="shared" si="20"/>
        <v>12</v>
      </c>
      <c r="T101" s="113">
        <f t="shared" si="22"/>
        <v>2884.9562500000002</v>
      </c>
      <c r="U101" s="113">
        <f t="shared" si="21"/>
        <v>-3.7499999998544808E-3</v>
      </c>
      <c r="Y101" s="113"/>
      <c r="Z101" s="116"/>
    </row>
    <row r="102" spans="2:26" ht="12.75" customHeight="1">
      <c r="B102" s="414" t="s">
        <v>685</v>
      </c>
      <c r="C102" s="443" t="s">
        <v>379</v>
      </c>
      <c r="D102" s="433" t="s">
        <v>406</v>
      </c>
      <c r="E102" s="433" t="s">
        <v>407</v>
      </c>
      <c r="F102" s="434">
        <v>44945</v>
      </c>
      <c r="G102" s="425">
        <v>8</v>
      </c>
      <c r="H102" s="426">
        <f t="shared" si="15"/>
        <v>96</v>
      </c>
      <c r="I102" s="427">
        <v>0</v>
      </c>
      <c r="J102" s="428">
        <v>104977.88</v>
      </c>
      <c r="K102" s="428">
        <v>35008.26</v>
      </c>
      <c r="L102" s="428">
        <v>69651.73</v>
      </c>
      <c r="M102" s="423">
        <f t="shared" si="16"/>
        <v>317.88999999999942</v>
      </c>
      <c r="N102" s="442" t="str">
        <f t="shared" si="17"/>
        <v>否</v>
      </c>
      <c r="O102" s="111">
        <f t="shared" si="18"/>
        <v>2031</v>
      </c>
      <c r="P102" s="49">
        <f t="shared" si="19"/>
        <v>47879</v>
      </c>
      <c r="Q102" s="113">
        <v>9857.31</v>
      </c>
      <c r="S102" s="112">
        <f t="shared" si="20"/>
        <v>12</v>
      </c>
      <c r="T102" s="476">
        <f>J102*(1-I102)/H102*9+(J102-(J102*(1-I102)/H102)*V102-L102)/W102*3</f>
        <v>9696.740081967213</v>
      </c>
      <c r="U102" s="476">
        <f t="shared" si="21"/>
        <v>-160.56991803278652</v>
      </c>
      <c r="V102" s="48">
        <f>DATEDIF(F102,$M$9,"M")</f>
        <v>35</v>
      </c>
      <c r="W102" s="48">
        <f>H102-V102</f>
        <v>61</v>
      </c>
      <c r="Y102" s="113"/>
      <c r="Z102" s="116"/>
    </row>
    <row r="103" spans="2:26" ht="12.75" customHeight="1">
      <c r="B103" s="414" t="s">
        <v>685</v>
      </c>
      <c r="C103" s="443" t="s">
        <v>379</v>
      </c>
      <c r="D103" s="433" t="s">
        <v>408</v>
      </c>
      <c r="E103" s="433" t="s">
        <v>409</v>
      </c>
      <c r="F103" s="434">
        <v>44945</v>
      </c>
      <c r="G103" s="425">
        <v>8</v>
      </c>
      <c r="H103" s="426">
        <f t="shared" si="15"/>
        <v>96</v>
      </c>
      <c r="I103" s="427">
        <v>0</v>
      </c>
      <c r="J103" s="428">
        <v>191283.19</v>
      </c>
      <c r="K103" s="428">
        <v>63789.56</v>
      </c>
      <c r="L103" s="428">
        <v>126914.37</v>
      </c>
      <c r="M103" s="423">
        <f t="shared" si="16"/>
        <v>579.26000000000931</v>
      </c>
      <c r="N103" s="442" t="str">
        <f t="shared" si="17"/>
        <v>否</v>
      </c>
      <c r="O103" s="111">
        <f t="shared" si="18"/>
        <v>2031</v>
      </c>
      <c r="P103" s="49">
        <f t="shared" si="19"/>
        <v>47879</v>
      </c>
      <c r="Q103" s="113">
        <v>17961.29</v>
      </c>
      <c r="S103" s="112">
        <f t="shared" si="20"/>
        <v>12</v>
      </c>
      <c r="T103" s="476">
        <f>J103*(1-I103)/H103*9+(J103-(J103*(1-I103)/H103)*V103-L103)/W103*3</f>
        <v>17668.708422131145</v>
      </c>
      <c r="U103" s="476">
        <f t="shared" si="21"/>
        <v>-292.58157786885567</v>
      </c>
      <c r="V103" s="48">
        <f>DATEDIF(F103,$M$9,"M")</f>
        <v>35</v>
      </c>
      <c r="W103" s="48">
        <f>H103-V103</f>
        <v>61</v>
      </c>
      <c r="Y103" s="113"/>
      <c r="Z103" s="116"/>
    </row>
    <row r="104" spans="2:26" ht="12.75" customHeight="1">
      <c r="B104" s="414" t="s">
        <v>685</v>
      </c>
      <c r="C104" s="443" t="s">
        <v>379</v>
      </c>
      <c r="D104" s="433" t="s">
        <v>410</v>
      </c>
      <c r="E104" s="433" t="s">
        <v>411</v>
      </c>
      <c r="F104" s="434">
        <v>44945</v>
      </c>
      <c r="G104" s="425">
        <v>8</v>
      </c>
      <c r="H104" s="426">
        <f t="shared" si="15"/>
        <v>96</v>
      </c>
      <c r="I104" s="427">
        <v>0</v>
      </c>
      <c r="J104" s="428">
        <v>619.47</v>
      </c>
      <c r="K104" s="428">
        <v>225.84</v>
      </c>
      <c r="L104" s="428">
        <v>0</v>
      </c>
      <c r="M104" s="423">
        <f t="shared" si="16"/>
        <v>393.63</v>
      </c>
      <c r="N104" s="442" t="str">
        <f t="shared" si="17"/>
        <v>否</v>
      </c>
      <c r="O104" s="111">
        <f t="shared" si="18"/>
        <v>2031</v>
      </c>
      <c r="P104" s="49">
        <f t="shared" si="19"/>
        <v>47879</v>
      </c>
      <c r="Q104" s="113">
        <v>77.430000000000007</v>
      </c>
      <c r="S104" s="112">
        <f t="shared" si="20"/>
        <v>12</v>
      </c>
      <c r="T104" s="113">
        <f>(J104*(1-I104))/H104*S104</f>
        <v>77.433750000000003</v>
      </c>
      <c r="U104" s="113">
        <f t="shared" si="21"/>
        <v>3.7499999999965894E-3</v>
      </c>
      <c r="Y104" s="113"/>
      <c r="Z104" s="116"/>
    </row>
    <row r="105" spans="2:26" ht="12.75" customHeight="1">
      <c r="B105" s="414" t="s">
        <v>685</v>
      </c>
      <c r="C105" s="443" t="s">
        <v>379</v>
      </c>
      <c r="D105" s="433" t="s">
        <v>412</v>
      </c>
      <c r="E105" s="433" t="s">
        <v>413</v>
      </c>
      <c r="F105" s="434">
        <v>45196</v>
      </c>
      <c r="G105" s="425">
        <v>6</v>
      </c>
      <c r="H105" s="426">
        <f t="shared" si="15"/>
        <v>72</v>
      </c>
      <c r="I105" s="427">
        <v>0</v>
      </c>
      <c r="J105" s="428">
        <v>123886.89</v>
      </c>
      <c r="K105" s="428">
        <v>10182.48</v>
      </c>
      <c r="L105" s="428">
        <v>0</v>
      </c>
      <c r="M105" s="423">
        <f t="shared" si="16"/>
        <v>113704.41</v>
      </c>
      <c r="N105" s="442" t="str">
        <f t="shared" si="17"/>
        <v>否</v>
      </c>
      <c r="O105" s="111">
        <f t="shared" si="18"/>
        <v>2029</v>
      </c>
      <c r="P105" s="49">
        <f t="shared" si="19"/>
        <v>47391</v>
      </c>
      <c r="Q105" s="113">
        <v>10182.48</v>
      </c>
      <c r="S105" s="112">
        <f t="shared" si="20"/>
        <v>12</v>
      </c>
      <c r="T105" s="113">
        <f>(J105*(1-I105))/H105*S105</f>
        <v>20647.814999999999</v>
      </c>
      <c r="U105" s="113">
        <f t="shared" si="21"/>
        <v>10465.334999999999</v>
      </c>
      <c r="Y105" s="113"/>
      <c r="Z105" s="116"/>
    </row>
    <row r="106" spans="2:26" ht="12.75" customHeight="1">
      <c r="B106" s="414" t="s">
        <v>686</v>
      </c>
      <c r="C106" s="443" t="s">
        <v>414</v>
      </c>
      <c r="D106" s="433" t="s">
        <v>415</v>
      </c>
      <c r="E106" s="433" t="s">
        <v>416</v>
      </c>
      <c r="F106" s="434">
        <v>44561</v>
      </c>
      <c r="G106" s="425">
        <v>6</v>
      </c>
      <c r="H106" s="426">
        <f t="shared" si="15"/>
        <v>72</v>
      </c>
      <c r="I106" s="427">
        <v>0</v>
      </c>
      <c r="J106" s="428">
        <v>4169641.84</v>
      </c>
      <c r="K106" s="428">
        <v>2607026.16</v>
      </c>
      <c r="L106" s="428">
        <v>1554615.69</v>
      </c>
      <c r="M106" s="423">
        <f t="shared" si="16"/>
        <v>7999.9899999997579</v>
      </c>
      <c r="N106" s="442" t="str">
        <f t="shared" si="17"/>
        <v>否</v>
      </c>
      <c r="O106" s="111">
        <f t="shared" si="18"/>
        <v>2027</v>
      </c>
      <c r="P106" s="49">
        <f t="shared" si="19"/>
        <v>46752</v>
      </c>
      <c r="Q106" s="113">
        <v>522205.23</v>
      </c>
      <c r="S106" s="112">
        <f t="shared" si="20"/>
        <v>12</v>
      </c>
      <c r="T106" s="476">
        <f>J106*(1-I106)/H106*9+(J106-(J106*(1-I106)/H106)*V106-L106)/W106*3</f>
        <v>500613.34541666665</v>
      </c>
      <c r="U106" s="476">
        <f t="shared" si="21"/>
        <v>-21591.884583333333</v>
      </c>
      <c r="V106" s="48">
        <f>DATEDIF(F106,$M$9,"M")</f>
        <v>48</v>
      </c>
      <c r="W106" s="48">
        <f>H106-V106</f>
        <v>24</v>
      </c>
      <c r="Y106" s="113"/>
      <c r="Z106" s="116"/>
    </row>
    <row r="107" spans="2:26" ht="12.75" customHeight="1">
      <c r="B107" s="414" t="s">
        <v>686</v>
      </c>
      <c r="C107" s="443" t="s">
        <v>414</v>
      </c>
      <c r="D107" s="433" t="s">
        <v>417</v>
      </c>
      <c r="E107" s="433" t="s">
        <v>418</v>
      </c>
      <c r="F107" s="434">
        <v>44561</v>
      </c>
      <c r="G107" s="425">
        <v>6</v>
      </c>
      <c r="H107" s="426">
        <f t="shared" si="15"/>
        <v>72</v>
      </c>
      <c r="I107" s="427">
        <v>0</v>
      </c>
      <c r="J107" s="428">
        <v>26008139.77</v>
      </c>
      <c r="K107" s="428">
        <v>16565709.66</v>
      </c>
      <c r="L107" s="428">
        <v>9421096.7699999996</v>
      </c>
      <c r="M107" s="423">
        <f t="shared" si="16"/>
        <v>21333.339999999851</v>
      </c>
      <c r="N107" s="442" t="str">
        <f t="shared" si="17"/>
        <v>否</v>
      </c>
      <c r="O107" s="111">
        <f t="shared" si="18"/>
        <v>2027</v>
      </c>
      <c r="P107" s="49">
        <f t="shared" si="19"/>
        <v>46752</v>
      </c>
      <c r="Q107" s="113">
        <v>3151032.26</v>
      </c>
      <c r="S107" s="112">
        <f t="shared" si="20"/>
        <v>12</v>
      </c>
      <c r="T107" s="476">
        <f>J107*(1-I107)/H107*9+(J107-(J107*(1-I107)/H107)*V107-L107)/W107*3</f>
        <v>3157052.8654166665</v>
      </c>
      <c r="U107" s="476">
        <f t="shared" si="21"/>
        <v>6020.6054166667163</v>
      </c>
      <c r="V107" s="48">
        <f>DATEDIF(F107,$M$9,"M")</f>
        <v>48</v>
      </c>
      <c r="W107" s="48">
        <f>H107-V107</f>
        <v>24</v>
      </c>
      <c r="Y107" s="113"/>
      <c r="Z107" s="116"/>
    </row>
    <row r="108" spans="2:26" ht="12.75" customHeight="1">
      <c r="B108" s="414" t="s">
        <v>686</v>
      </c>
      <c r="C108" s="443" t="s">
        <v>414</v>
      </c>
      <c r="D108" s="433" t="s">
        <v>419</v>
      </c>
      <c r="E108" s="433" t="s">
        <v>420</v>
      </c>
      <c r="F108" s="434">
        <v>44703</v>
      </c>
      <c r="G108" s="425">
        <v>6</v>
      </c>
      <c r="H108" s="426">
        <f t="shared" si="15"/>
        <v>72</v>
      </c>
      <c r="I108" s="427">
        <v>0</v>
      </c>
      <c r="J108" s="428">
        <v>3378964.21</v>
      </c>
      <c r="K108" s="428">
        <v>2112185.96</v>
      </c>
      <c r="L108" s="428">
        <v>1264111.58</v>
      </c>
      <c r="M108" s="423">
        <f t="shared" si="16"/>
        <v>2666.6699999999255</v>
      </c>
      <c r="N108" s="442" t="str">
        <f t="shared" si="17"/>
        <v>否</v>
      </c>
      <c r="O108" s="111">
        <f t="shared" si="18"/>
        <v>2028</v>
      </c>
      <c r="P108" s="49">
        <f t="shared" si="19"/>
        <v>46904</v>
      </c>
      <c r="Q108" s="113">
        <v>422703.86</v>
      </c>
      <c r="S108" s="112">
        <f t="shared" si="20"/>
        <v>12</v>
      </c>
      <c r="T108" s="476">
        <f>J108*(1-I108)/H108*9+(J108-(J108*(1-I108)/H108)*V108-L108)/W108*3</f>
        <v>432390.53821839078</v>
      </c>
      <c r="U108" s="476">
        <f t="shared" si="21"/>
        <v>9686.6782183907926</v>
      </c>
      <c r="V108" s="48">
        <f>DATEDIF(F108,$M$9,"M")</f>
        <v>43</v>
      </c>
      <c r="W108" s="48">
        <f>H108-V108</f>
        <v>29</v>
      </c>
      <c r="Y108" s="113"/>
      <c r="Z108" s="116"/>
    </row>
    <row r="109" spans="2:26" ht="12.75" customHeight="1">
      <c r="B109" s="414" t="s">
        <v>686</v>
      </c>
      <c r="C109" s="443" t="s">
        <v>414</v>
      </c>
      <c r="D109" s="433" t="s">
        <v>421</v>
      </c>
      <c r="E109" s="433" t="s">
        <v>422</v>
      </c>
      <c r="F109" s="434">
        <v>44712</v>
      </c>
      <c r="G109" s="425">
        <v>6</v>
      </c>
      <c r="H109" s="426">
        <f t="shared" si="15"/>
        <v>72</v>
      </c>
      <c r="I109" s="427">
        <v>0</v>
      </c>
      <c r="J109" s="428">
        <v>4933287.75</v>
      </c>
      <c r="K109" s="428">
        <v>3084371.52</v>
      </c>
      <c r="L109" s="428">
        <v>1840382.88</v>
      </c>
      <c r="M109" s="423">
        <f t="shared" si="16"/>
        <v>8533.3500000000931</v>
      </c>
      <c r="N109" s="442" t="str">
        <f t="shared" si="17"/>
        <v>否</v>
      </c>
      <c r="O109" s="111">
        <f t="shared" si="18"/>
        <v>2028</v>
      </c>
      <c r="P109" s="49">
        <f t="shared" si="19"/>
        <v>46904</v>
      </c>
      <c r="Q109" s="113">
        <v>617727.64</v>
      </c>
      <c r="S109" s="112">
        <f t="shared" si="20"/>
        <v>12</v>
      </c>
      <c r="T109" s="476">
        <f>J109*(1-I109)/H109*9+(J109-(J109*(1-I109)/H109)*V109-L109)/W109*3</f>
        <v>631830.18913793098</v>
      </c>
      <c r="U109" s="476">
        <f t="shared" si="21"/>
        <v>14102.549137930968</v>
      </c>
      <c r="V109" s="48">
        <f>DATEDIF(F109,$M$9,"M")</f>
        <v>43</v>
      </c>
      <c r="W109" s="48">
        <f>H109-V109</f>
        <v>29</v>
      </c>
      <c r="Y109" s="113"/>
      <c r="Z109" s="116"/>
    </row>
    <row r="110" spans="2:26" ht="12.75" customHeight="1">
      <c r="B110" s="414" t="s">
        <v>686</v>
      </c>
      <c r="C110" s="443" t="s">
        <v>414</v>
      </c>
      <c r="D110" s="433" t="s">
        <v>423</v>
      </c>
      <c r="E110" s="433" t="s">
        <v>424</v>
      </c>
      <c r="F110" s="434">
        <v>44561</v>
      </c>
      <c r="G110" s="425">
        <v>6</v>
      </c>
      <c r="H110" s="426">
        <f t="shared" si="15"/>
        <v>72</v>
      </c>
      <c r="I110" s="427">
        <v>0</v>
      </c>
      <c r="J110" s="428">
        <v>2362831.86</v>
      </c>
      <c r="K110" s="428">
        <v>1417699.12</v>
      </c>
      <c r="L110" s="428">
        <v>0</v>
      </c>
      <c r="M110" s="423">
        <f t="shared" si="16"/>
        <v>945132.73999999976</v>
      </c>
      <c r="N110" s="442" t="str">
        <f t="shared" si="17"/>
        <v>否</v>
      </c>
      <c r="O110" s="111">
        <f t="shared" si="18"/>
        <v>2027</v>
      </c>
      <c r="P110" s="49">
        <f>IFERROR(EOMONTH(F110,H110),"")</f>
        <v>46752</v>
      </c>
      <c r="Q110" s="113">
        <v>472566.37</v>
      </c>
      <c r="S110" s="112">
        <f t="shared" si="20"/>
        <v>12</v>
      </c>
      <c r="T110" s="113">
        <f t="shared" ref="T110:T115" si="23">(J110*(1-I110))/H110*S110</f>
        <v>393805.30999999994</v>
      </c>
      <c r="U110" s="476">
        <f t="shared" si="21"/>
        <v>-78761.060000000056</v>
      </c>
      <c r="Y110" s="113"/>
      <c r="Z110" s="116"/>
    </row>
    <row r="111" spans="2:26" ht="12.75" customHeight="1">
      <c r="B111" s="414" t="s">
        <v>686</v>
      </c>
      <c r="C111" s="443" t="s">
        <v>414</v>
      </c>
      <c r="D111" s="433" t="s">
        <v>425</v>
      </c>
      <c r="E111" s="433" t="s">
        <v>426</v>
      </c>
      <c r="F111" s="434">
        <v>44561</v>
      </c>
      <c r="G111" s="425">
        <v>6</v>
      </c>
      <c r="H111" s="426">
        <f t="shared" si="15"/>
        <v>72</v>
      </c>
      <c r="I111" s="427">
        <v>0</v>
      </c>
      <c r="J111" s="428">
        <v>7256.64</v>
      </c>
      <c r="K111" s="428">
        <v>4837.76</v>
      </c>
      <c r="L111" s="428">
        <v>0</v>
      </c>
      <c r="M111" s="423">
        <f t="shared" si="16"/>
        <v>2418.88</v>
      </c>
      <c r="N111" s="442" t="str">
        <f t="shared" si="17"/>
        <v>否</v>
      </c>
      <c r="O111" s="111">
        <f t="shared" si="18"/>
        <v>2027</v>
      </c>
      <c r="P111" s="49">
        <f t="shared" si="19"/>
        <v>46752</v>
      </c>
      <c r="Q111" s="113">
        <v>1209.44</v>
      </c>
      <c r="S111" s="112">
        <f t="shared" si="20"/>
        <v>12</v>
      </c>
      <c r="T111" s="113">
        <f t="shared" si="23"/>
        <v>1209.44</v>
      </c>
      <c r="U111" s="113">
        <f t="shared" si="21"/>
        <v>0</v>
      </c>
      <c r="Y111" s="113"/>
      <c r="Z111" s="116"/>
    </row>
    <row r="112" spans="2:26" ht="12.75" customHeight="1">
      <c r="B112" s="414" t="s">
        <v>686</v>
      </c>
      <c r="C112" s="443" t="s">
        <v>414</v>
      </c>
      <c r="D112" s="433" t="s">
        <v>427</v>
      </c>
      <c r="E112" s="433" t="s">
        <v>428</v>
      </c>
      <c r="F112" s="434">
        <v>44561</v>
      </c>
      <c r="G112" s="425">
        <v>6</v>
      </c>
      <c r="H112" s="426">
        <f t="shared" si="15"/>
        <v>72</v>
      </c>
      <c r="I112" s="427">
        <v>0</v>
      </c>
      <c r="J112" s="428">
        <v>3982.3</v>
      </c>
      <c r="K112" s="428">
        <v>2654.87</v>
      </c>
      <c r="L112" s="428">
        <v>0</v>
      </c>
      <c r="M112" s="423">
        <f t="shared" si="16"/>
        <v>1327.4300000000003</v>
      </c>
      <c r="N112" s="442" t="str">
        <f t="shared" si="17"/>
        <v>否</v>
      </c>
      <c r="O112" s="111">
        <f t="shared" si="18"/>
        <v>2027</v>
      </c>
      <c r="P112" s="49">
        <f t="shared" si="19"/>
        <v>46752</v>
      </c>
      <c r="Q112" s="113">
        <v>663.71</v>
      </c>
      <c r="S112" s="112">
        <f t="shared" si="20"/>
        <v>12</v>
      </c>
      <c r="T112" s="113">
        <f t="shared" si="23"/>
        <v>663.7166666666667</v>
      </c>
      <c r="U112" s="113">
        <f t="shared" si="21"/>
        <v>6.6666666666606034E-3</v>
      </c>
      <c r="Y112" s="113"/>
      <c r="Z112" s="116"/>
    </row>
    <row r="113" spans="2:26" ht="12.75" customHeight="1">
      <c r="B113" s="414" t="s">
        <v>686</v>
      </c>
      <c r="C113" s="443" t="s">
        <v>414</v>
      </c>
      <c r="D113" s="433" t="s">
        <v>429</v>
      </c>
      <c r="E113" s="433" t="s">
        <v>430</v>
      </c>
      <c r="F113" s="434">
        <v>44561</v>
      </c>
      <c r="G113" s="425">
        <v>6</v>
      </c>
      <c r="H113" s="426">
        <f t="shared" si="15"/>
        <v>72</v>
      </c>
      <c r="I113" s="427">
        <v>0</v>
      </c>
      <c r="J113" s="428">
        <v>7522.13</v>
      </c>
      <c r="K113" s="428">
        <v>5014.76</v>
      </c>
      <c r="L113" s="428">
        <v>0</v>
      </c>
      <c r="M113" s="423">
        <f t="shared" si="16"/>
        <v>2507.37</v>
      </c>
      <c r="N113" s="442" t="str">
        <f t="shared" si="17"/>
        <v>否</v>
      </c>
      <c r="O113" s="111">
        <f t="shared" si="18"/>
        <v>2027</v>
      </c>
      <c r="P113" s="49">
        <f t="shared" si="19"/>
        <v>46752</v>
      </c>
      <c r="Q113" s="113">
        <v>1253.69</v>
      </c>
      <c r="S113" s="112">
        <f t="shared" si="20"/>
        <v>12</v>
      </c>
      <c r="T113" s="113">
        <f t="shared" si="23"/>
        <v>1253.6883333333333</v>
      </c>
      <c r="U113" s="113">
        <f t="shared" si="21"/>
        <v>-1.6666666667788377E-3</v>
      </c>
      <c r="Y113" s="113"/>
      <c r="Z113" s="116"/>
    </row>
    <row r="114" spans="2:26" ht="12.75" customHeight="1">
      <c r="B114" s="414" t="s">
        <v>686</v>
      </c>
      <c r="C114" s="443" t="s">
        <v>414</v>
      </c>
      <c r="D114" s="433" t="s">
        <v>431</v>
      </c>
      <c r="E114" s="433" t="s">
        <v>432</v>
      </c>
      <c r="F114" s="434">
        <v>44561</v>
      </c>
      <c r="G114" s="425">
        <v>6</v>
      </c>
      <c r="H114" s="426">
        <f t="shared" si="15"/>
        <v>72</v>
      </c>
      <c r="I114" s="427">
        <v>0</v>
      </c>
      <c r="J114" s="428">
        <v>7964.6</v>
      </c>
      <c r="K114" s="428">
        <v>5309.73</v>
      </c>
      <c r="L114" s="428">
        <v>0</v>
      </c>
      <c r="M114" s="423">
        <f t="shared" si="16"/>
        <v>2654.8700000000008</v>
      </c>
      <c r="N114" s="442" t="str">
        <f t="shared" si="17"/>
        <v>否</v>
      </c>
      <c r="O114" s="111">
        <f t="shared" si="18"/>
        <v>2027</v>
      </c>
      <c r="P114" s="49">
        <f t="shared" si="19"/>
        <v>46752</v>
      </c>
      <c r="Q114" s="113">
        <v>1327.43</v>
      </c>
      <c r="S114" s="112">
        <f t="shared" si="20"/>
        <v>12</v>
      </c>
      <c r="T114" s="113">
        <f t="shared" si="23"/>
        <v>1327.4333333333334</v>
      </c>
      <c r="U114" s="113">
        <f t="shared" si="21"/>
        <v>3.3333333333303017E-3</v>
      </c>
      <c r="Y114" s="113"/>
      <c r="Z114" s="116"/>
    </row>
    <row r="115" spans="2:26" ht="12.75" customHeight="1">
      <c r="B115" s="414" t="s">
        <v>686</v>
      </c>
      <c r="C115" s="443" t="s">
        <v>414</v>
      </c>
      <c r="D115" s="433" t="s">
        <v>433</v>
      </c>
      <c r="E115" s="433" t="s">
        <v>434</v>
      </c>
      <c r="F115" s="434">
        <v>44561</v>
      </c>
      <c r="G115" s="425">
        <v>6</v>
      </c>
      <c r="H115" s="426">
        <f t="shared" si="15"/>
        <v>72</v>
      </c>
      <c r="I115" s="427">
        <v>0</v>
      </c>
      <c r="J115" s="428">
        <v>10176.99</v>
      </c>
      <c r="K115" s="428">
        <v>6784.66</v>
      </c>
      <c r="L115" s="428">
        <v>0</v>
      </c>
      <c r="M115" s="423">
        <f t="shared" si="16"/>
        <v>3392.33</v>
      </c>
      <c r="N115" s="442" t="str">
        <f t="shared" si="17"/>
        <v>否</v>
      </c>
      <c r="O115" s="111">
        <f t="shared" si="18"/>
        <v>2027</v>
      </c>
      <c r="P115" s="49">
        <f t="shared" si="19"/>
        <v>46752</v>
      </c>
      <c r="Q115" s="113">
        <v>1696.16</v>
      </c>
      <c r="S115" s="112">
        <f t="shared" si="20"/>
        <v>12</v>
      </c>
      <c r="T115" s="113">
        <f t="shared" si="23"/>
        <v>1696.165</v>
      </c>
      <c r="U115" s="113">
        <f t="shared" si="21"/>
        <v>4.9999999998817657E-3</v>
      </c>
      <c r="Y115" s="113"/>
      <c r="Z115" s="116"/>
    </row>
    <row r="116" spans="2:26" ht="12.75" customHeight="1">
      <c r="B116" s="414" t="s">
        <v>686</v>
      </c>
      <c r="C116" s="443" t="s">
        <v>414</v>
      </c>
      <c r="D116" s="433" t="s">
        <v>435</v>
      </c>
      <c r="E116" s="433" t="s">
        <v>436</v>
      </c>
      <c r="F116" s="434">
        <v>45285</v>
      </c>
      <c r="G116" s="425">
        <v>6</v>
      </c>
      <c r="H116" s="426">
        <f t="shared" si="15"/>
        <v>72</v>
      </c>
      <c r="I116" s="427">
        <v>0</v>
      </c>
      <c r="J116" s="428">
        <v>513274.34</v>
      </c>
      <c r="K116" s="428">
        <v>149805.65</v>
      </c>
      <c r="L116" s="428">
        <v>361858.42</v>
      </c>
      <c r="M116" s="423">
        <f t="shared" si="16"/>
        <v>1610.2700000000768</v>
      </c>
      <c r="N116" s="442" t="str">
        <f t="shared" si="17"/>
        <v>否</v>
      </c>
      <c r="O116" s="111">
        <f t="shared" si="18"/>
        <v>2029</v>
      </c>
      <c r="P116" s="49">
        <f t="shared" si="19"/>
        <v>47483</v>
      </c>
      <c r="Q116" s="113">
        <v>64259.93</v>
      </c>
      <c r="S116" s="112">
        <f t="shared" si="20"/>
        <v>12</v>
      </c>
      <c r="T116" s="476">
        <f>J116*(1-I116)/H116*9+(J116-(J116*(1-I116)/H116)*V116-L116)/W116*3</f>
        <v>62929.572083333347</v>
      </c>
      <c r="U116" s="476">
        <f t="shared" si="21"/>
        <v>-1330.3579166666532</v>
      </c>
      <c r="V116" s="48">
        <f>DATEDIF(F116,$M$9,"M")</f>
        <v>24</v>
      </c>
      <c r="W116" s="48">
        <f>H116-V116</f>
        <v>48</v>
      </c>
      <c r="Y116" s="113"/>
      <c r="Z116" s="116"/>
    </row>
    <row r="117" spans="2:26" ht="12.75" customHeight="1">
      <c r="B117" s="414" t="s">
        <v>686</v>
      </c>
      <c r="C117" s="443" t="s">
        <v>414</v>
      </c>
      <c r="D117" s="433" t="s">
        <v>437</v>
      </c>
      <c r="E117" s="433" t="s">
        <v>438</v>
      </c>
      <c r="F117" s="434">
        <v>45285</v>
      </c>
      <c r="G117" s="425">
        <v>6</v>
      </c>
      <c r="H117" s="426">
        <f t="shared" si="15"/>
        <v>72</v>
      </c>
      <c r="I117" s="427">
        <v>0</v>
      </c>
      <c r="J117" s="428">
        <v>451000</v>
      </c>
      <c r="K117" s="428">
        <v>131630.1</v>
      </c>
      <c r="L117" s="428">
        <v>317955.03999999998</v>
      </c>
      <c r="M117" s="423">
        <f t="shared" si="16"/>
        <v>1414.8600000000442</v>
      </c>
      <c r="N117" s="442" t="str">
        <f t="shared" si="17"/>
        <v>否</v>
      </c>
      <c r="O117" s="111">
        <f t="shared" si="18"/>
        <v>2029</v>
      </c>
      <c r="P117" s="49">
        <f t="shared" si="19"/>
        <v>47483</v>
      </c>
      <c r="Q117" s="113">
        <v>56463.43</v>
      </c>
      <c r="S117" s="112">
        <f t="shared" si="20"/>
        <v>12</v>
      </c>
      <c r="T117" s="476">
        <f>J117*(1-I117)/H117*9+(J117-(J117*(1-I117)/H117)*V117-L117)/W117*3</f>
        <v>55294.476666666669</v>
      </c>
      <c r="U117" s="476">
        <f t="shared" si="21"/>
        <v>-1168.9533333333311</v>
      </c>
      <c r="V117" s="48">
        <f>DATEDIF(F117,$M$9,"M")</f>
        <v>24</v>
      </c>
      <c r="W117" s="48">
        <f>H117-V117</f>
        <v>48</v>
      </c>
      <c r="Y117" s="113"/>
      <c r="Z117" s="116"/>
    </row>
    <row r="118" spans="2:26" ht="12.75" customHeight="1">
      <c r="B118" s="414" t="s">
        <v>686</v>
      </c>
      <c r="C118" s="443" t="s">
        <v>414</v>
      </c>
      <c r="D118" s="433" t="s">
        <v>439</v>
      </c>
      <c r="E118" s="433" t="s">
        <v>440</v>
      </c>
      <c r="F118" s="434">
        <v>45285</v>
      </c>
      <c r="G118" s="425">
        <v>6</v>
      </c>
      <c r="H118" s="426">
        <f t="shared" si="15"/>
        <v>72</v>
      </c>
      <c r="I118" s="427">
        <v>0</v>
      </c>
      <c r="J118" s="428">
        <v>280530.96999999997</v>
      </c>
      <c r="K118" s="428">
        <v>81876.539999999994</v>
      </c>
      <c r="L118" s="428">
        <v>197774.31</v>
      </c>
      <c r="M118" s="423">
        <f t="shared" si="16"/>
        <v>880.11999999999534</v>
      </c>
      <c r="N118" s="442" t="str">
        <f t="shared" si="17"/>
        <v>否</v>
      </c>
      <c r="O118" s="111">
        <f t="shared" si="18"/>
        <v>2029</v>
      </c>
      <c r="P118" s="49">
        <f t="shared" si="19"/>
        <v>47483</v>
      </c>
      <c r="Q118" s="113">
        <v>35121.379999999997</v>
      </c>
      <c r="S118" s="112">
        <f t="shared" si="20"/>
        <v>12</v>
      </c>
      <c r="T118" s="476">
        <f>J118*(1-I118)/H118*9+(J118-(J118*(1-I118)/H118)*V118-L118)/W118*3</f>
        <v>34394.267291666663</v>
      </c>
      <c r="U118" s="476">
        <f t="shared" si="21"/>
        <v>-727.11270833333401</v>
      </c>
      <c r="V118" s="48">
        <f>DATEDIF(F118,$M$9,"M")</f>
        <v>24</v>
      </c>
      <c r="W118" s="48">
        <f>H118-V118</f>
        <v>48</v>
      </c>
      <c r="Y118" s="113"/>
      <c r="Z118" s="116"/>
    </row>
    <row r="119" spans="2:26" ht="12.75" customHeight="1">
      <c r="B119" s="414" t="s">
        <v>686</v>
      </c>
      <c r="C119" s="443" t="s">
        <v>441</v>
      </c>
      <c r="D119" s="433" t="s">
        <v>442</v>
      </c>
      <c r="E119" s="433" t="s">
        <v>443</v>
      </c>
      <c r="F119" s="434">
        <v>44712</v>
      </c>
      <c r="G119" s="425">
        <v>6</v>
      </c>
      <c r="H119" s="426">
        <f t="shared" si="15"/>
        <v>72</v>
      </c>
      <c r="I119" s="427">
        <v>0</v>
      </c>
      <c r="J119" s="428">
        <v>2669381.73</v>
      </c>
      <c r="K119" s="428">
        <v>1669252.48</v>
      </c>
      <c r="L119" s="428">
        <v>993018.13</v>
      </c>
      <c r="M119" s="423">
        <f t="shared" si="16"/>
        <v>7111.1199999999953</v>
      </c>
      <c r="N119" s="442" t="str">
        <f t="shared" si="17"/>
        <v>否</v>
      </c>
      <c r="O119" s="111">
        <f t="shared" si="18"/>
        <v>2028</v>
      </c>
      <c r="P119" s="49">
        <f t="shared" si="19"/>
        <v>46904</v>
      </c>
      <c r="Q119" s="113">
        <v>334561.61</v>
      </c>
      <c r="S119" s="112">
        <f t="shared" si="20"/>
        <v>12</v>
      </c>
      <c r="T119" s="476">
        <f>J119*(1-I119)/H119*9+(J119-(J119*(1-I119)/H119)*V119-L119)/W119*3</f>
        <v>342170.9415517241</v>
      </c>
      <c r="U119" s="476">
        <f t="shared" si="21"/>
        <v>7609.3315517241135</v>
      </c>
      <c r="V119" s="48">
        <f>DATEDIF(F119,$M$9,"M")</f>
        <v>43</v>
      </c>
      <c r="W119" s="48">
        <f>H119-V119</f>
        <v>29</v>
      </c>
      <c r="Y119" s="113"/>
      <c r="Z119" s="116"/>
    </row>
    <row r="120" spans="2:26" ht="12.75" customHeight="1">
      <c r="B120" s="414" t="s">
        <v>686</v>
      </c>
      <c r="C120" s="443" t="s">
        <v>441</v>
      </c>
      <c r="D120" s="433" t="s">
        <v>444</v>
      </c>
      <c r="E120" s="433" t="s">
        <v>445</v>
      </c>
      <c r="F120" s="434">
        <v>44561</v>
      </c>
      <c r="G120" s="425">
        <v>6</v>
      </c>
      <c r="H120" s="426">
        <f t="shared" si="15"/>
        <v>72</v>
      </c>
      <c r="I120" s="427">
        <v>0</v>
      </c>
      <c r="J120" s="428">
        <v>12831.86</v>
      </c>
      <c r="K120" s="428">
        <v>8554.57</v>
      </c>
      <c r="L120" s="428">
        <v>0</v>
      </c>
      <c r="M120" s="423">
        <f t="shared" si="16"/>
        <v>4277.2900000000009</v>
      </c>
      <c r="N120" s="442" t="str">
        <f t="shared" si="17"/>
        <v>否</v>
      </c>
      <c r="O120" s="111">
        <f t="shared" si="18"/>
        <v>2027</v>
      </c>
      <c r="P120" s="49">
        <f t="shared" si="19"/>
        <v>46752</v>
      </c>
      <c r="Q120" s="113">
        <v>2138.64</v>
      </c>
      <c r="S120" s="112">
        <f t="shared" si="20"/>
        <v>12</v>
      </c>
      <c r="T120" s="113">
        <f>(J120*(1-I120))/H120*S120</f>
        <v>2138.6433333333334</v>
      </c>
      <c r="U120" s="113">
        <f t="shared" si="21"/>
        <v>3.3333333335576754E-3</v>
      </c>
      <c r="Y120" s="113"/>
      <c r="Z120" s="116"/>
    </row>
    <row r="121" spans="2:26" ht="12.75" customHeight="1">
      <c r="B121" s="414" t="s">
        <v>686</v>
      </c>
      <c r="C121" s="443" t="s">
        <v>441</v>
      </c>
      <c r="D121" s="433" t="s">
        <v>446</v>
      </c>
      <c r="E121" s="433" t="s">
        <v>447</v>
      </c>
      <c r="F121" s="434">
        <v>44561</v>
      </c>
      <c r="G121" s="425">
        <v>6</v>
      </c>
      <c r="H121" s="426">
        <f t="shared" si="15"/>
        <v>72</v>
      </c>
      <c r="I121" s="427">
        <v>0</v>
      </c>
      <c r="J121" s="428">
        <v>46017.7</v>
      </c>
      <c r="K121" s="428">
        <v>30678.47</v>
      </c>
      <c r="L121" s="428">
        <v>0</v>
      </c>
      <c r="M121" s="423">
        <f t="shared" si="16"/>
        <v>15339.229999999996</v>
      </c>
      <c r="N121" s="442" t="str">
        <f t="shared" si="17"/>
        <v>否</v>
      </c>
      <c r="O121" s="111">
        <f t="shared" si="18"/>
        <v>2027</v>
      </c>
      <c r="P121" s="49">
        <f t="shared" si="19"/>
        <v>46752</v>
      </c>
      <c r="Q121" s="113">
        <v>7669.61</v>
      </c>
      <c r="S121" s="112">
        <f t="shared" si="20"/>
        <v>12</v>
      </c>
      <c r="T121" s="113">
        <f>(J121*(1-I121))/H121*S121</f>
        <v>7669.6166666666668</v>
      </c>
      <c r="U121" s="113">
        <f t="shared" si="21"/>
        <v>6.6666666671153507E-3</v>
      </c>
      <c r="Y121" s="113"/>
      <c r="Z121" s="116"/>
    </row>
    <row r="122" spans="2:26" ht="12.75" customHeight="1">
      <c r="B122" s="414" t="s">
        <v>686</v>
      </c>
      <c r="C122" s="443" t="s">
        <v>441</v>
      </c>
      <c r="D122" s="433" t="s">
        <v>448</v>
      </c>
      <c r="E122" s="433" t="s">
        <v>449</v>
      </c>
      <c r="F122" s="434">
        <v>44917</v>
      </c>
      <c r="G122" s="425">
        <v>6</v>
      </c>
      <c r="H122" s="426">
        <f t="shared" si="15"/>
        <v>72</v>
      </c>
      <c r="I122" s="427">
        <v>0</v>
      </c>
      <c r="J122" s="428">
        <v>10592.92</v>
      </c>
      <c r="K122" s="428">
        <v>4857.13</v>
      </c>
      <c r="L122" s="428">
        <v>5711.36</v>
      </c>
      <c r="M122" s="423">
        <f t="shared" si="16"/>
        <v>24.430000000000291</v>
      </c>
      <c r="N122" s="442" t="str">
        <f t="shared" si="17"/>
        <v>否</v>
      </c>
      <c r="O122" s="111">
        <f t="shared" si="18"/>
        <v>2028</v>
      </c>
      <c r="P122" s="49">
        <f t="shared" si="19"/>
        <v>47118</v>
      </c>
      <c r="Q122" s="113">
        <v>1326.15</v>
      </c>
      <c r="S122" s="112">
        <f t="shared" si="20"/>
        <v>12</v>
      </c>
      <c r="T122" s="476">
        <f>J122*(1-I122)/H122*9+(J122-(J122*(1-I122)/H122)*V122-L122)/W122*3</f>
        <v>1289.54</v>
      </c>
      <c r="U122" s="476">
        <f t="shared" si="21"/>
        <v>-36.610000000000127</v>
      </c>
      <c r="V122" s="48">
        <f>DATEDIF(F122,$M$9,"M")</f>
        <v>36</v>
      </c>
      <c r="W122" s="48">
        <f>H122-V122</f>
        <v>36</v>
      </c>
      <c r="Y122" s="113"/>
      <c r="Z122" s="116"/>
    </row>
    <row r="123" spans="2:26" ht="12.75" customHeight="1">
      <c r="B123" s="414" t="s">
        <v>686</v>
      </c>
      <c r="C123" s="443" t="s">
        <v>441</v>
      </c>
      <c r="D123" s="433" t="s">
        <v>450</v>
      </c>
      <c r="E123" s="433" t="s">
        <v>451</v>
      </c>
      <c r="F123" s="434">
        <v>44917</v>
      </c>
      <c r="G123" s="425">
        <v>6</v>
      </c>
      <c r="H123" s="426">
        <f t="shared" si="15"/>
        <v>72</v>
      </c>
      <c r="I123" s="427">
        <v>0</v>
      </c>
      <c r="J123" s="428">
        <v>12962.83</v>
      </c>
      <c r="K123" s="428">
        <v>5943.78</v>
      </c>
      <c r="L123" s="428">
        <v>6989.12</v>
      </c>
      <c r="M123" s="423">
        <f t="shared" si="16"/>
        <v>29.930000000000291</v>
      </c>
      <c r="N123" s="442" t="str">
        <f t="shared" si="17"/>
        <v>否</v>
      </c>
      <c r="O123" s="111">
        <f t="shared" si="18"/>
        <v>2028</v>
      </c>
      <c r="P123" s="49">
        <f t="shared" si="19"/>
        <v>47118</v>
      </c>
      <c r="Q123" s="113">
        <v>1622.84</v>
      </c>
      <c r="S123" s="112">
        <f t="shared" si="20"/>
        <v>12</v>
      </c>
      <c r="T123" s="476">
        <f>J123*(1-I123)/H123*9+(J123-(J123*(1-I123)/H123)*V123-L123)/W123*3</f>
        <v>1578.0450000000001</v>
      </c>
      <c r="U123" s="476">
        <f t="shared" si="21"/>
        <v>-44.794999999999845</v>
      </c>
      <c r="V123" s="48">
        <f>DATEDIF(F123,$M$9,"M")</f>
        <v>36</v>
      </c>
      <c r="W123" s="48">
        <f>H123-V123</f>
        <v>36</v>
      </c>
      <c r="Y123" s="113"/>
      <c r="Z123" s="116"/>
    </row>
    <row r="124" spans="2:26" ht="12.75" customHeight="1">
      <c r="B124" s="48" t="s">
        <v>132</v>
      </c>
      <c r="C124" s="443" t="s">
        <v>452</v>
      </c>
      <c r="D124" s="433" t="s">
        <v>453</v>
      </c>
      <c r="E124" s="433" t="s">
        <v>454</v>
      </c>
      <c r="F124" s="434">
        <v>44579</v>
      </c>
      <c r="G124" s="425">
        <v>8</v>
      </c>
      <c r="H124" s="426">
        <f t="shared" si="15"/>
        <v>96</v>
      </c>
      <c r="I124" s="427">
        <v>0</v>
      </c>
      <c r="J124" s="428">
        <v>10592.92</v>
      </c>
      <c r="K124" s="428">
        <v>5186.12</v>
      </c>
      <c r="L124" s="428">
        <v>0</v>
      </c>
      <c r="M124" s="423">
        <f t="shared" si="16"/>
        <v>5406.8</v>
      </c>
      <c r="N124" s="442" t="str">
        <f t="shared" si="17"/>
        <v>否</v>
      </c>
      <c r="O124" s="111">
        <f t="shared" si="18"/>
        <v>2030</v>
      </c>
      <c r="P124" s="49">
        <f t="shared" si="19"/>
        <v>47514</v>
      </c>
      <c r="Q124" s="113">
        <v>1324.12</v>
      </c>
      <c r="S124" s="112">
        <f t="shared" si="20"/>
        <v>12</v>
      </c>
      <c r="T124" s="113">
        <f t="shared" ref="T124:T155" si="24">(J124*(1-I124))/H124*S124</f>
        <v>1324.115</v>
      </c>
      <c r="U124" s="113">
        <f t="shared" si="21"/>
        <v>-4.9999999998817657E-3</v>
      </c>
      <c r="Y124" s="113"/>
      <c r="Z124" s="116"/>
    </row>
    <row r="125" spans="2:26" ht="12.75" customHeight="1">
      <c r="B125" s="48" t="s">
        <v>132</v>
      </c>
      <c r="C125" s="443" t="s">
        <v>452</v>
      </c>
      <c r="D125" s="433" t="s">
        <v>455</v>
      </c>
      <c r="E125" s="433" t="s">
        <v>456</v>
      </c>
      <c r="F125" s="434">
        <v>44579</v>
      </c>
      <c r="G125" s="425">
        <v>8</v>
      </c>
      <c r="H125" s="426">
        <f t="shared" si="15"/>
        <v>96</v>
      </c>
      <c r="I125" s="427">
        <v>0</v>
      </c>
      <c r="J125" s="428">
        <v>37964.6</v>
      </c>
      <c r="K125" s="428">
        <v>18586.84</v>
      </c>
      <c r="L125" s="428">
        <v>0</v>
      </c>
      <c r="M125" s="423">
        <f t="shared" si="16"/>
        <v>19377.759999999998</v>
      </c>
      <c r="N125" s="442" t="str">
        <f t="shared" si="17"/>
        <v>否</v>
      </c>
      <c r="O125" s="111">
        <f t="shared" si="18"/>
        <v>2030</v>
      </c>
      <c r="P125" s="49">
        <f t="shared" si="19"/>
        <v>47514</v>
      </c>
      <c r="Q125" s="113">
        <v>4745.58</v>
      </c>
      <c r="S125" s="112">
        <f t="shared" si="20"/>
        <v>12</v>
      </c>
      <c r="T125" s="113">
        <f t="shared" si="24"/>
        <v>4745.5749999999998</v>
      </c>
      <c r="U125" s="113">
        <f t="shared" si="21"/>
        <v>-5.0000000001091394E-3</v>
      </c>
      <c r="Y125" s="113"/>
      <c r="Z125" s="116"/>
    </row>
    <row r="126" spans="2:26" ht="12.75" customHeight="1">
      <c r="B126" s="48" t="s">
        <v>132</v>
      </c>
      <c r="C126" s="443" t="s">
        <v>452</v>
      </c>
      <c r="D126" s="433" t="s">
        <v>457</v>
      </c>
      <c r="E126" s="433" t="s">
        <v>458</v>
      </c>
      <c r="F126" s="434">
        <v>44579</v>
      </c>
      <c r="G126" s="425">
        <v>8</v>
      </c>
      <c r="H126" s="426">
        <f t="shared" si="15"/>
        <v>96</v>
      </c>
      <c r="I126" s="427">
        <v>0</v>
      </c>
      <c r="J126" s="428">
        <v>5123.8900000000003</v>
      </c>
      <c r="K126" s="428">
        <v>2508.58</v>
      </c>
      <c r="L126" s="428">
        <v>0</v>
      </c>
      <c r="M126" s="423">
        <f t="shared" si="16"/>
        <v>2615.3100000000004</v>
      </c>
      <c r="N126" s="442" t="str">
        <f t="shared" si="17"/>
        <v>否</v>
      </c>
      <c r="O126" s="111">
        <f t="shared" si="18"/>
        <v>2030</v>
      </c>
      <c r="P126" s="49">
        <f t="shared" si="19"/>
        <v>47514</v>
      </c>
      <c r="Q126" s="113">
        <v>640.49</v>
      </c>
      <c r="S126" s="112">
        <f t="shared" si="20"/>
        <v>12</v>
      </c>
      <c r="T126" s="113">
        <f t="shared" si="24"/>
        <v>640.48625000000004</v>
      </c>
      <c r="U126" s="113">
        <f t="shared" si="21"/>
        <v>-3.7499999999681677E-3</v>
      </c>
      <c r="Y126" s="113"/>
      <c r="Z126" s="116"/>
    </row>
    <row r="127" spans="2:26" ht="12.75" customHeight="1">
      <c r="B127" s="48" t="s">
        <v>132</v>
      </c>
      <c r="C127" s="443" t="s">
        <v>452</v>
      </c>
      <c r="D127" s="433" t="s">
        <v>459</v>
      </c>
      <c r="E127" s="433" t="s">
        <v>460</v>
      </c>
      <c r="F127" s="434">
        <v>44579</v>
      </c>
      <c r="G127" s="425">
        <v>8</v>
      </c>
      <c r="H127" s="426">
        <f t="shared" si="15"/>
        <v>96</v>
      </c>
      <c r="I127" s="427">
        <v>0</v>
      </c>
      <c r="J127" s="428">
        <v>4300.88</v>
      </c>
      <c r="K127" s="428">
        <v>2105.64</v>
      </c>
      <c r="L127" s="428">
        <v>0</v>
      </c>
      <c r="M127" s="423">
        <f t="shared" si="16"/>
        <v>2195.2400000000002</v>
      </c>
      <c r="N127" s="442" t="str">
        <f t="shared" si="17"/>
        <v>否</v>
      </c>
      <c r="O127" s="111">
        <f t="shared" si="18"/>
        <v>2030</v>
      </c>
      <c r="P127" s="49">
        <f t="shared" si="19"/>
        <v>47514</v>
      </c>
      <c r="Q127" s="113">
        <v>537.61</v>
      </c>
      <c r="S127" s="112">
        <f t="shared" si="20"/>
        <v>12</v>
      </c>
      <c r="T127" s="113">
        <f t="shared" si="24"/>
        <v>537.61</v>
      </c>
      <c r="U127" s="113">
        <f t="shared" si="21"/>
        <v>0</v>
      </c>
      <c r="Y127" s="113"/>
      <c r="Z127" s="116"/>
    </row>
    <row r="128" spans="2:26" ht="12.75" customHeight="1">
      <c r="B128" s="48" t="s">
        <v>132</v>
      </c>
      <c r="C128" s="443" t="s">
        <v>452</v>
      </c>
      <c r="D128" s="433" t="s">
        <v>461</v>
      </c>
      <c r="E128" s="433" t="s">
        <v>462</v>
      </c>
      <c r="F128" s="434">
        <v>44561</v>
      </c>
      <c r="G128" s="425">
        <v>8</v>
      </c>
      <c r="H128" s="426">
        <f t="shared" si="15"/>
        <v>96</v>
      </c>
      <c r="I128" s="427">
        <v>0</v>
      </c>
      <c r="J128" s="428">
        <v>4424.78</v>
      </c>
      <c r="K128" s="428">
        <v>2212.4</v>
      </c>
      <c r="L128" s="428">
        <v>0</v>
      </c>
      <c r="M128" s="423">
        <f t="shared" si="16"/>
        <v>2212.3799999999997</v>
      </c>
      <c r="N128" s="442" t="str">
        <f t="shared" si="17"/>
        <v>否</v>
      </c>
      <c r="O128" s="111">
        <f t="shared" si="18"/>
        <v>2029</v>
      </c>
      <c r="P128" s="49">
        <f t="shared" si="19"/>
        <v>47483</v>
      </c>
      <c r="Q128" s="113">
        <v>553.1</v>
      </c>
      <c r="S128" s="112">
        <f t="shared" si="20"/>
        <v>12</v>
      </c>
      <c r="T128" s="113">
        <f t="shared" si="24"/>
        <v>553.09749999999997</v>
      </c>
      <c r="U128" s="113">
        <f t="shared" si="21"/>
        <v>-2.5000000000545697E-3</v>
      </c>
      <c r="Y128" s="113"/>
      <c r="Z128" s="116"/>
    </row>
    <row r="129" spans="2:26" ht="12.75" customHeight="1">
      <c r="B129" s="48" t="s">
        <v>132</v>
      </c>
      <c r="C129" s="443" t="s">
        <v>452</v>
      </c>
      <c r="D129" s="433" t="s">
        <v>463</v>
      </c>
      <c r="E129" s="433" t="s">
        <v>462</v>
      </c>
      <c r="F129" s="434">
        <v>44561</v>
      </c>
      <c r="G129" s="425">
        <v>8</v>
      </c>
      <c r="H129" s="426">
        <f t="shared" si="15"/>
        <v>96</v>
      </c>
      <c r="I129" s="427">
        <v>0</v>
      </c>
      <c r="J129" s="428">
        <v>4424.78</v>
      </c>
      <c r="K129" s="428">
        <v>2212.4</v>
      </c>
      <c r="L129" s="428">
        <v>0</v>
      </c>
      <c r="M129" s="423">
        <f t="shared" si="16"/>
        <v>2212.3799999999997</v>
      </c>
      <c r="N129" s="442" t="str">
        <f t="shared" si="17"/>
        <v>否</v>
      </c>
      <c r="O129" s="111">
        <f t="shared" si="18"/>
        <v>2029</v>
      </c>
      <c r="P129" s="49">
        <f t="shared" si="19"/>
        <v>47483</v>
      </c>
      <c r="Q129" s="113">
        <v>553.1</v>
      </c>
      <c r="S129" s="112">
        <f t="shared" si="20"/>
        <v>12</v>
      </c>
      <c r="T129" s="113">
        <f t="shared" si="24"/>
        <v>553.09749999999997</v>
      </c>
      <c r="U129" s="113">
        <f t="shared" si="21"/>
        <v>-2.5000000000545697E-3</v>
      </c>
      <c r="Y129" s="113"/>
      <c r="Z129" s="116"/>
    </row>
    <row r="130" spans="2:26" ht="12.75" customHeight="1">
      <c r="B130" s="48" t="s">
        <v>132</v>
      </c>
      <c r="C130" s="443" t="s">
        <v>452</v>
      </c>
      <c r="D130" s="433" t="s">
        <v>464</v>
      </c>
      <c r="E130" s="433" t="s">
        <v>462</v>
      </c>
      <c r="F130" s="434">
        <v>44561</v>
      </c>
      <c r="G130" s="425">
        <v>8</v>
      </c>
      <c r="H130" s="426">
        <f t="shared" si="15"/>
        <v>96</v>
      </c>
      <c r="I130" s="427">
        <v>0</v>
      </c>
      <c r="J130" s="428">
        <v>4424.78</v>
      </c>
      <c r="K130" s="428">
        <v>2212.4</v>
      </c>
      <c r="L130" s="428">
        <v>0</v>
      </c>
      <c r="M130" s="423">
        <f t="shared" si="16"/>
        <v>2212.3799999999997</v>
      </c>
      <c r="N130" s="442" t="str">
        <f t="shared" si="17"/>
        <v>否</v>
      </c>
      <c r="O130" s="111">
        <f t="shared" si="18"/>
        <v>2029</v>
      </c>
      <c r="P130" s="49">
        <f t="shared" si="19"/>
        <v>47483</v>
      </c>
      <c r="Q130" s="113">
        <v>553.1</v>
      </c>
      <c r="S130" s="112">
        <f t="shared" si="20"/>
        <v>12</v>
      </c>
      <c r="T130" s="113">
        <f t="shared" si="24"/>
        <v>553.09749999999997</v>
      </c>
      <c r="U130" s="113">
        <f t="shared" si="21"/>
        <v>-2.5000000000545697E-3</v>
      </c>
      <c r="Y130" s="113"/>
      <c r="Z130" s="116"/>
    </row>
    <row r="131" spans="2:26" ht="12.75" customHeight="1">
      <c r="B131" s="48" t="s">
        <v>132</v>
      </c>
      <c r="C131" s="443" t="s">
        <v>452</v>
      </c>
      <c r="D131" s="433" t="s">
        <v>465</v>
      </c>
      <c r="E131" s="433" t="s">
        <v>462</v>
      </c>
      <c r="F131" s="434">
        <v>44561</v>
      </c>
      <c r="G131" s="425">
        <v>8</v>
      </c>
      <c r="H131" s="426">
        <f t="shared" si="15"/>
        <v>96</v>
      </c>
      <c r="I131" s="427">
        <v>0</v>
      </c>
      <c r="J131" s="428">
        <v>4424.78</v>
      </c>
      <c r="K131" s="428">
        <v>2212.4</v>
      </c>
      <c r="L131" s="428">
        <v>0</v>
      </c>
      <c r="M131" s="423">
        <f t="shared" si="16"/>
        <v>2212.3799999999997</v>
      </c>
      <c r="N131" s="442" t="str">
        <f t="shared" si="17"/>
        <v>否</v>
      </c>
      <c r="O131" s="111">
        <f t="shared" si="18"/>
        <v>2029</v>
      </c>
      <c r="P131" s="49">
        <f t="shared" si="19"/>
        <v>47483</v>
      </c>
      <c r="Q131" s="113">
        <v>553.1</v>
      </c>
      <c r="S131" s="112">
        <f t="shared" si="20"/>
        <v>12</v>
      </c>
      <c r="T131" s="113">
        <f t="shared" si="24"/>
        <v>553.09749999999997</v>
      </c>
      <c r="U131" s="113">
        <f t="shared" si="21"/>
        <v>-2.5000000000545697E-3</v>
      </c>
      <c r="Y131" s="113"/>
      <c r="Z131" s="116"/>
    </row>
    <row r="132" spans="2:26" ht="12.75" customHeight="1">
      <c r="B132" s="48" t="s">
        <v>132</v>
      </c>
      <c r="C132" s="443" t="s">
        <v>452</v>
      </c>
      <c r="D132" s="433" t="s">
        <v>466</v>
      </c>
      <c r="E132" s="433" t="s">
        <v>462</v>
      </c>
      <c r="F132" s="434">
        <v>44561</v>
      </c>
      <c r="G132" s="425">
        <v>8</v>
      </c>
      <c r="H132" s="426">
        <f t="shared" si="15"/>
        <v>96</v>
      </c>
      <c r="I132" s="427">
        <v>0</v>
      </c>
      <c r="J132" s="428">
        <v>4424.78</v>
      </c>
      <c r="K132" s="428">
        <v>2212.4</v>
      </c>
      <c r="L132" s="428">
        <v>0</v>
      </c>
      <c r="M132" s="423">
        <f t="shared" si="16"/>
        <v>2212.3799999999997</v>
      </c>
      <c r="N132" s="442" t="str">
        <f t="shared" si="17"/>
        <v>否</v>
      </c>
      <c r="O132" s="111">
        <f t="shared" si="18"/>
        <v>2029</v>
      </c>
      <c r="P132" s="49">
        <f t="shared" si="19"/>
        <v>47483</v>
      </c>
      <c r="Q132" s="113">
        <v>553.1</v>
      </c>
      <c r="S132" s="112">
        <f t="shared" si="20"/>
        <v>12</v>
      </c>
      <c r="T132" s="113">
        <f t="shared" si="24"/>
        <v>553.09749999999997</v>
      </c>
      <c r="U132" s="113">
        <f t="shared" si="21"/>
        <v>-2.5000000000545697E-3</v>
      </c>
      <c r="Y132" s="113"/>
      <c r="Z132" s="116"/>
    </row>
    <row r="133" spans="2:26" ht="12.75" customHeight="1">
      <c r="B133" s="48" t="s">
        <v>132</v>
      </c>
      <c r="C133" s="443" t="s">
        <v>452</v>
      </c>
      <c r="D133" s="433" t="s">
        <v>467</v>
      </c>
      <c r="E133" s="433" t="s">
        <v>462</v>
      </c>
      <c r="F133" s="434">
        <v>44561</v>
      </c>
      <c r="G133" s="425">
        <v>8</v>
      </c>
      <c r="H133" s="426">
        <f t="shared" si="15"/>
        <v>96</v>
      </c>
      <c r="I133" s="427">
        <v>0</v>
      </c>
      <c r="J133" s="428">
        <v>4424.78</v>
      </c>
      <c r="K133" s="428">
        <v>2212.4</v>
      </c>
      <c r="L133" s="428">
        <v>0</v>
      </c>
      <c r="M133" s="423">
        <f t="shared" si="16"/>
        <v>2212.3799999999997</v>
      </c>
      <c r="N133" s="442" t="str">
        <f t="shared" si="17"/>
        <v>否</v>
      </c>
      <c r="O133" s="111">
        <f t="shared" si="18"/>
        <v>2029</v>
      </c>
      <c r="P133" s="49">
        <f t="shared" si="19"/>
        <v>47483</v>
      </c>
      <c r="Q133" s="113">
        <v>553.1</v>
      </c>
      <c r="S133" s="112">
        <f t="shared" si="20"/>
        <v>12</v>
      </c>
      <c r="T133" s="113">
        <f t="shared" si="24"/>
        <v>553.09749999999997</v>
      </c>
      <c r="U133" s="113">
        <f t="shared" si="21"/>
        <v>-2.5000000000545697E-3</v>
      </c>
      <c r="Y133" s="113"/>
      <c r="Z133" s="116"/>
    </row>
    <row r="134" spans="2:26" ht="12.75" customHeight="1">
      <c r="B134" s="48" t="s">
        <v>132</v>
      </c>
      <c r="C134" s="443" t="s">
        <v>452</v>
      </c>
      <c r="D134" s="433" t="s">
        <v>468</v>
      </c>
      <c r="E134" s="433" t="s">
        <v>462</v>
      </c>
      <c r="F134" s="434">
        <v>44561</v>
      </c>
      <c r="G134" s="425">
        <v>8</v>
      </c>
      <c r="H134" s="426">
        <f t="shared" si="15"/>
        <v>96</v>
      </c>
      <c r="I134" s="427">
        <v>0</v>
      </c>
      <c r="J134" s="428">
        <v>4424.78</v>
      </c>
      <c r="K134" s="428">
        <v>2212.4</v>
      </c>
      <c r="L134" s="428">
        <v>0</v>
      </c>
      <c r="M134" s="423">
        <f t="shared" si="16"/>
        <v>2212.3799999999997</v>
      </c>
      <c r="N134" s="442" t="str">
        <f t="shared" si="17"/>
        <v>否</v>
      </c>
      <c r="O134" s="111">
        <f t="shared" si="18"/>
        <v>2029</v>
      </c>
      <c r="P134" s="49">
        <f t="shared" si="19"/>
        <v>47483</v>
      </c>
      <c r="Q134" s="113">
        <v>553.1</v>
      </c>
      <c r="S134" s="112">
        <f t="shared" si="20"/>
        <v>12</v>
      </c>
      <c r="T134" s="113">
        <f t="shared" si="24"/>
        <v>553.09749999999997</v>
      </c>
      <c r="U134" s="113">
        <f t="shared" si="21"/>
        <v>-2.5000000000545697E-3</v>
      </c>
      <c r="Y134" s="113"/>
      <c r="Z134" s="116"/>
    </row>
    <row r="135" spans="2:26" ht="12.75" customHeight="1">
      <c r="B135" s="48" t="s">
        <v>132</v>
      </c>
      <c r="C135" s="443" t="s">
        <v>452</v>
      </c>
      <c r="D135" s="433" t="s">
        <v>469</v>
      </c>
      <c r="E135" s="433" t="s">
        <v>462</v>
      </c>
      <c r="F135" s="434">
        <v>44561</v>
      </c>
      <c r="G135" s="425">
        <v>8</v>
      </c>
      <c r="H135" s="426">
        <f t="shared" si="15"/>
        <v>96</v>
      </c>
      <c r="I135" s="427">
        <v>0</v>
      </c>
      <c r="J135" s="428">
        <v>4424.78</v>
      </c>
      <c r="K135" s="428">
        <v>2212.4</v>
      </c>
      <c r="L135" s="428">
        <v>0</v>
      </c>
      <c r="M135" s="423">
        <f t="shared" si="16"/>
        <v>2212.3799999999997</v>
      </c>
      <c r="N135" s="442" t="str">
        <f t="shared" si="17"/>
        <v>否</v>
      </c>
      <c r="O135" s="111">
        <f t="shared" si="18"/>
        <v>2029</v>
      </c>
      <c r="P135" s="49">
        <f t="shared" si="19"/>
        <v>47483</v>
      </c>
      <c r="Q135" s="113">
        <v>553.1</v>
      </c>
      <c r="S135" s="112">
        <f t="shared" si="20"/>
        <v>12</v>
      </c>
      <c r="T135" s="113">
        <f t="shared" si="24"/>
        <v>553.09749999999997</v>
      </c>
      <c r="U135" s="113">
        <f t="shared" si="21"/>
        <v>-2.5000000000545697E-3</v>
      </c>
      <c r="Y135" s="113"/>
      <c r="Z135" s="116"/>
    </row>
    <row r="136" spans="2:26" ht="12.75" customHeight="1">
      <c r="B136" s="48" t="s">
        <v>132</v>
      </c>
      <c r="C136" s="443" t="s">
        <v>452</v>
      </c>
      <c r="D136" s="433" t="s">
        <v>470</v>
      </c>
      <c r="E136" s="433" t="s">
        <v>462</v>
      </c>
      <c r="F136" s="434">
        <v>44561</v>
      </c>
      <c r="G136" s="425">
        <v>8</v>
      </c>
      <c r="H136" s="426">
        <f t="shared" si="15"/>
        <v>96</v>
      </c>
      <c r="I136" s="427">
        <v>0</v>
      </c>
      <c r="J136" s="428">
        <v>4424.78</v>
      </c>
      <c r="K136" s="428">
        <v>2212.4</v>
      </c>
      <c r="L136" s="428">
        <v>0</v>
      </c>
      <c r="M136" s="423">
        <f t="shared" si="16"/>
        <v>2212.3799999999997</v>
      </c>
      <c r="N136" s="442" t="str">
        <f t="shared" si="17"/>
        <v>否</v>
      </c>
      <c r="O136" s="111">
        <f t="shared" si="18"/>
        <v>2029</v>
      </c>
      <c r="P136" s="49">
        <f t="shared" si="19"/>
        <v>47483</v>
      </c>
      <c r="Q136" s="113">
        <v>553.1</v>
      </c>
      <c r="S136" s="112">
        <f t="shared" si="20"/>
        <v>12</v>
      </c>
      <c r="T136" s="113">
        <f t="shared" si="24"/>
        <v>553.09749999999997</v>
      </c>
      <c r="U136" s="113">
        <f t="shared" si="21"/>
        <v>-2.5000000000545697E-3</v>
      </c>
      <c r="Y136" s="113"/>
      <c r="Z136" s="116"/>
    </row>
    <row r="137" spans="2:26" ht="12.75" customHeight="1">
      <c r="B137" s="48" t="s">
        <v>132</v>
      </c>
      <c r="C137" s="443" t="s">
        <v>452</v>
      </c>
      <c r="D137" s="433" t="s">
        <v>471</v>
      </c>
      <c r="E137" s="433" t="s">
        <v>462</v>
      </c>
      <c r="F137" s="434">
        <v>44561</v>
      </c>
      <c r="G137" s="425">
        <v>8</v>
      </c>
      <c r="H137" s="426">
        <f t="shared" si="15"/>
        <v>96</v>
      </c>
      <c r="I137" s="427">
        <v>0</v>
      </c>
      <c r="J137" s="428">
        <v>4424.78</v>
      </c>
      <c r="K137" s="428">
        <v>2212.4</v>
      </c>
      <c r="L137" s="428">
        <v>0</v>
      </c>
      <c r="M137" s="423">
        <f t="shared" si="16"/>
        <v>2212.3799999999997</v>
      </c>
      <c r="N137" s="442" t="str">
        <f t="shared" si="17"/>
        <v>否</v>
      </c>
      <c r="O137" s="111">
        <f t="shared" si="18"/>
        <v>2029</v>
      </c>
      <c r="P137" s="49">
        <f t="shared" si="19"/>
        <v>47483</v>
      </c>
      <c r="Q137" s="113">
        <v>553.1</v>
      </c>
      <c r="S137" s="112">
        <f t="shared" si="20"/>
        <v>12</v>
      </c>
      <c r="T137" s="113">
        <f t="shared" si="24"/>
        <v>553.09749999999997</v>
      </c>
      <c r="U137" s="113">
        <f t="shared" si="21"/>
        <v>-2.5000000000545697E-3</v>
      </c>
      <c r="Y137" s="113"/>
      <c r="Z137" s="116"/>
    </row>
    <row r="138" spans="2:26" ht="12.75" customHeight="1">
      <c r="B138" s="48" t="s">
        <v>132</v>
      </c>
      <c r="C138" s="443" t="s">
        <v>452</v>
      </c>
      <c r="D138" s="433" t="s">
        <v>472</v>
      </c>
      <c r="E138" s="433" t="s">
        <v>462</v>
      </c>
      <c r="F138" s="434">
        <v>44561</v>
      </c>
      <c r="G138" s="425">
        <v>8</v>
      </c>
      <c r="H138" s="426">
        <f t="shared" si="15"/>
        <v>96</v>
      </c>
      <c r="I138" s="427">
        <v>0</v>
      </c>
      <c r="J138" s="428">
        <v>4424.78</v>
      </c>
      <c r="K138" s="428">
        <v>2212.4</v>
      </c>
      <c r="L138" s="428">
        <v>0</v>
      </c>
      <c r="M138" s="423">
        <f t="shared" si="16"/>
        <v>2212.3799999999997</v>
      </c>
      <c r="N138" s="442" t="str">
        <f t="shared" si="17"/>
        <v>否</v>
      </c>
      <c r="O138" s="111">
        <f t="shared" si="18"/>
        <v>2029</v>
      </c>
      <c r="P138" s="49">
        <f t="shared" si="19"/>
        <v>47483</v>
      </c>
      <c r="Q138" s="113">
        <v>553.1</v>
      </c>
      <c r="S138" s="112">
        <f t="shared" si="20"/>
        <v>12</v>
      </c>
      <c r="T138" s="113">
        <f t="shared" si="24"/>
        <v>553.09749999999997</v>
      </c>
      <c r="U138" s="113">
        <f t="shared" si="21"/>
        <v>-2.5000000000545697E-3</v>
      </c>
      <c r="Y138" s="113"/>
      <c r="Z138" s="116"/>
    </row>
    <row r="139" spans="2:26" ht="12.75" customHeight="1">
      <c r="B139" s="48" t="s">
        <v>132</v>
      </c>
      <c r="C139" s="443" t="s">
        <v>452</v>
      </c>
      <c r="D139" s="433" t="s">
        <v>473</v>
      </c>
      <c r="E139" s="433" t="s">
        <v>462</v>
      </c>
      <c r="F139" s="434">
        <v>44561</v>
      </c>
      <c r="G139" s="425">
        <v>8</v>
      </c>
      <c r="H139" s="426">
        <f t="shared" ref="H139:H202" si="25">G139*12</f>
        <v>96</v>
      </c>
      <c r="I139" s="427">
        <v>0</v>
      </c>
      <c r="J139" s="428">
        <v>4424.78</v>
      </c>
      <c r="K139" s="428">
        <v>2212.4</v>
      </c>
      <c r="L139" s="428">
        <v>0</v>
      </c>
      <c r="M139" s="423">
        <f t="shared" ref="M139:M202" si="26">J139-K139-L139</f>
        <v>2212.3799999999997</v>
      </c>
      <c r="N139" s="442" t="str">
        <f t="shared" ref="N139:N202" si="27">IF(ROUND(J139*(1-I139),0)=ROUND(K139,0),"是","否")</f>
        <v>否</v>
      </c>
      <c r="O139" s="111">
        <f t="shared" ref="O139:O202" si="28">IFERROR(YEAR(EOMONTH(F139,H139)),"")</f>
        <v>2029</v>
      </c>
      <c r="P139" s="49">
        <f t="shared" ref="P139:P202" si="29">IFERROR(EOMONTH(F139,H139),"")</f>
        <v>47483</v>
      </c>
      <c r="Q139" s="113">
        <v>553.1</v>
      </c>
      <c r="S139" s="112">
        <f t="shared" ref="S139:S202" si="30">IFERROR(IF(OR(AND(R139&lt;&gt;"",YEAR(R139)&lt;YEAR($M$9)),AND(P139&lt;&gt;"",YEAR(P139)&lt;YEAR($M$9))),0,IF(YEAR(F139)&gt;YEAR($M$9),0,IF(OR((IF(YEAR(F139)&lt;YEAR($M$9),1,IF(MONTH(F139)=12,99,MONTH(F139)+1))&gt;12),(IF(YEAR(F139)&lt;YEAR($M$9),1,IF(MONTH(F139)=12,99,MONTH(F139)+1))&gt;MIN(MONTH($M$9),IF(AND(R139&lt;&gt;"",YEAR(R139)=YEAR($M$9)),MONTH(R139),99),IF(AND(P139&lt;&gt;"",YEAR(P139)=YEAR($M$9)),MONTH(P139),99)))),0,MIN(MONTH($M$9),IF(AND(R139&lt;&gt;"",YEAR(R139)=YEAR($M$9)),MONTH(R139),99),IF(AND(P139&lt;&gt;"",YEAR(P139)=YEAR($M$9)),MONTH(P139),99))-IF(YEAR(F139)&lt;YEAR($M$9),1,IF(MONTH(F139)=12,99,MONTH(F139)+1))+1))),0)</f>
        <v>12</v>
      </c>
      <c r="T139" s="113">
        <f t="shared" si="24"/>
        <v>553.09749999999997</v>
      </c>
      <c r="U139" s="113">
        <f t="shared" ref="U139:U202" si="31">T139-Q139</f>
        <v>-2.5000000000545697E-3</v>
      </c>
      <c r="Y139" s="113"/>
      <c r="Z139" s="116"/>
    </row>
    <row r="140" spans="2:26" ht="12.75" customHeight="1">
      <c r="B140" s="48" t="s">
        <v>132</v>
      </c>
      <c r="C140" s="443" t="s">
        <v>452</v>
      </c>
      <c r="D140" s="433" t="s">
        <v>474</v>
      </c>
      <c r="E140" s="433" t="s">
        <v>462</v>
      </c>
      <c r="F140" s="434">
        <v>44561</v>
      </c>
      <c r="G140" s="425">
        <v>8</v>
      </c>
      <c r="H140" s="426">
        <f t="shared" si="25"/>
        <v>96</v>
      </c>
      <c r="I140" s="427">
        <v>0</v>
      </c>
      <c r="J140" s="428">
        <v>4424.78</v>
      </c>
      <c r="K140" s="428">
        <v>2212.4</v>
      </c>
      <c r="L140" s="428">
        <v>0</v>
      </c>
      <c r="M140" s="423">
        <f t="shared" si="26"/>
        <v>2212.3799999999997</v>
      </c>
      <c r="N140" s="442" t="str">
        <f t="shared" si="27"/>
        <v>否</v>
      </c>
      <c r="O140" s="111">
        <f t="shared" si="28"/>
        <v>2029</v>
      </c>
      <c r="P140" s="49">
        <f t="shared" si="29"/>
        <v>47483</v>
      </c>
      <c r="Q140" s="113">
        <v>553.1</v>
      </c>
      <c r="S140" s="112">
        <f t="shared" si="30"/>
        <v>12</v>
      </c>
      <c r="T140" s="113">
        <f t="shared" si="24"/>
        <v>553.09749999999997</v>
      </c>
      <c r="U140" s="113">
        <f t="shared" si="31"/>
        <v>-2.5000000000545697E-3</v>
      </c>
      <c r="Y140" s="113"/>
      <c r="Z140" s="116"/>
    </row>
    <row r="141" spans="2:26" ht="12.75" customHeight="1">
      <c r="B141" s="48" t="s">
        <v>132</v>
      </c>
      <c r="C141" s="443" t="s">
        <v>452</v>
      </c>
      <c r="D141" s="433" t="s">
        <v>475</v>
      </c>
      <c r="E141" s="433" t="s">
        <v>462</v>
      </c>
      <c r="F141" s="434">
        <v>44561</v>
      </c>
      <c r="G141" s="425">
        <v>8</v>
      </c>
      <c r="H141" s="426">
        <f t="shared" si="25"/>
        <v>96</v>
      </c>
      <c r="I141" s="427">
        <v>0</v>
      </c>
      <c r="J141" s="428">
        <v>4424.78</v>
      </c>
      <c r="K141" s="428">
        <v>2212.4</v>
      </c>
      <c r="L141" s="428">
        <v>0</v>
      </c>
      <c r="M141" s="423">
        <f t="shared" si="26"/>
        <v>2212.3799999999997</v>
      </c>
      <c r="N141" s="442" t="str">
        <f t="shared" si="27"/>
        <v>否</v>
      </c>
      <c r="O141" s="111">
        <f t="shared" si="28"/>
        <v>2029</v>
      </c>
      <c r="P141" s="49">
        <f t="shared" si="29"/>
        <v>47483</v>
      </c>
      <c r="Q141" s="113">
        <v>553.1</v>
      </c>
      <c r="S141" s="112">
        <f t="shared" si="30"/>
        <v>12</v>
      </c>
      <c r="T141" s="113">
        <f t="shared" si="24"/>
        <v>553.09749999999997</v>
      </c>
      <c r="U141" s="113">
        <f t="shared" si="31"/>
        <v>-2.5000000000545697E-3</v>
      </c>
      <c r="Y141" s="113"/>
      <c r="Z141" s="116"/>
    </row>
    <row r="142" spans="2:26" ht="12.75" customHeight="1">
      <c r="B142" s="48" t="s">
        <v>132</v>
      </c>
      <c r="C142" s="443" t="s">
        <v>452</v>
      </c>
      <c r="D142" s="433" t="s">
        <v>476</v>
      </c>
      <c r="E142" s="433" t="s">
        <v>462</v>
      </c>
      <c r="F142" s="434">
        <v>44561</v>
      </c>
      <c r="G142" s="425">
        <v>8</v>
      </c>
      <c r="H142" s="426">
        <f t="shared" si="25"/>
        <v>96</v>
      </c>
      <c r="I142" s="427">
        <v>0</v>
      </c>
      <c r="J142" s="428">
        <v>4424.78</v>
      </c>
      <c r="K142" s="428">
        <v>2212.4</v>
      </c>
      <c r="L142" s="428">
        <v>0</v>
      </c>
      <c r="M142" s="423">
        <f t="shared" si="26"/>
        <v>2212.3799999999997</v>
      </c>
      <c r="N142" s="442" t="str">
        <f t="shared" si="27"/>
        <v>否</v>
      </c>
      <c r="O142" s="111">
        <f t="shared" si="28"/>
        <v>2029</v>
      </c>
      <c r="P142" s="49">
        <f t="shared" si="29"/>
        <v>47483</v>
      </c>
      <c r="Q142" s="113">
        <v>553.1</v>
      </c>
      <c r="S142" s="112">
        <f t="shared" si="30"/>
        <v>12</v>
      </c>
      <c r="T142" s="113">
        <f t="shared" si="24"/>
        <v>553.09749999999997</v>
      </c>
      <c r="U142" s="113">
        <f t="shared" si="31"/>
        <v>-2.5000000000545697E-3</v>
      </c>
      <c r="Y142" s="113"/>
      <c r="Z142" s="116"/>
    </row>
    <row r="143" spans="2:26" ht="12.75" customHeight="1">
      <c r="B143" s="48" t="s">
        <v>132</v>
      </c>
      <c r="C143" s="443" t="s">
        <v>452</v>
      </c>
      <c r="D143" s="433" t="s">
        <v>477</v>
      </c>
      <c r="E143" s="433" t="s">
        <v>462</v>
      </c>
      <c r="F143" s="434">
        <v>44561</v>
      </c>
      <c r="G143" s="425">
        <v>8</v>
      </c>
      <c r="H143" s="426">
        <f t="shared" si="25"/>
        <v>96</v>
      </c>
      <c r="I143" s="427">
        <v>0</v>
      </c>
      <c r="J143" s="428">
        <v>4424.78</v>
      </c>
      <c r="K143" s="428">
        <v>2212.4</v>
      </c>
      <c r="L143" s="428">
        <v>0</v>
      </c>
      <c r="M143" s="423">
        <f t="shared" si="26"/>
        <v>2212.3799999999997</v>
      </c>
      <c r="N143" s="442" t="str">
        <f t="shared" si="27"/>
        <v>否</v>
      </c>
      <c r="O143" s="111">
        <f t="shared" si="28"/>
        <v>2029</v>
      </c>
      <c r="P143" s="49">
        <f t="shared" si="29"/>
        <v>47483</v>
      </c>
      <c r="Q143" s="113">
        <v>553.1</v>
      </c>
      <c r="S143" s="112">
        <f t="shared" si="30"/>
        <v>12</v>
      </c>
      <c r="T143" s="113">
        <f t="shared" si="24"/>
        <v>553.09749999999997</v>
      </c>
      <c r="U143" s="113">
        <f t="shared" si="31"/>
        <v>-2.5000000000545697E-3</v>
      </c>
      <c r="Y143" s="113"/>
      <c r="Z143" s="116"/>
    </row>
    <row r="144" spans="2:26" ht="12.75" customHeight="1">
      <c r="B144" s="48" t="s">
        <v>132</v>
      </c>
      <c r="C144" s="443" t="s">
        <v>452</v>
      </c>
      <c r="D144" s="433" t="s">
        <v>478</v>
      </c>
      <c r="E144" s="433" t="s">
        <v>462</v>
      </c>
      <c r="F144" s="434">
        <v>44561</v>
      </c>
      <c r="G144" s="425">
        <v>8</v>
      </c>
      <c r="H144" s="426">
        <f t="shared" si="25"/>
        <v>96</v>
      </c>
      <c r="I144" s="427">
        <v>0</v>
      </c>
      <c r="J144" s="428">
        <v>4424.78</v>
      </c>
      <c r="K144" s="428">
        <v>2212.4</v>
      </c>
      <c r="L144" s="428">
        <v>0</v>
      </c>
      <c r="M144" s="423">
        <f t="shared" si="26"/>
        <v>2212.3799999999997</v>
      </c>
      <c r="N144" s="442" t="str">
        <f t="shared" si="27"/>
        <v>否</v>
      </c>
      <c r="O144" s="111">
        <f t="shared" si="28"/>
        <v>2029</v>
      </c>
      <c r="P144" s="49">
        <f t="shared" si="29"/>
        <v>47483</v>
      </c>
      <c r="Q144" s="113">
        <v>553.1</v>
      </c>
      <c r="S144" s="112">
        <f t="shared" si="30"/>
        <v>12</v>
      </c>
      <c r="T144" s="113">
        <f t="shared" si="24"/>
        <v>553.09749999999997</v>
      </c>
      <c r="U144" s="113">
        <f t="shared" si="31"/>
        <v>-2.5000000000545697E-3</v>
      </c>
      <c r="Y144" s="113"/>
      <c r="Z144" s="116"/>
    </row>
    <row r="145" spans="2:26" ht="12.75" customHeight="1">
      <c r="B145" s="48" t="s">
        <v>132</v>
      </c>
      <c r="C145" s="443" t="s">
        <v>452</v>
      </c>
      <c r="D145" s="433" t="s">
        <v>479</v>
      </c>
      <c r="E145" s="433" t="s">
        <v>462</v>
      </c>
      <c r="F145" s="434">
        <v>44561</v>
      </c>
      <c r="G145" s="425">
        <v>8</v>
      </c>
      <c r="H145" s="426">
        <f t="shared" si="25"/>
        <v>96</v>
      </c>
      <c r="I145" s="427">
        <v>0</v>
      </c>
      <c r="J145" s="428">
        <v>4424.78</v>
      </c>
      <c r="K145" s="428">
        <v>2212.4</v>
      </c>
      <c r="L145" s="428">
        <v>0</v>
      </c>
      <c r="M145" s="423">
        <f t="shared" si="26"/>
        <v>2212.3799999999997</v>
      </c>
      <c r="N145" s="442" t="str">
        <f t="shared" si="27"/>
        <v>否</v>
      </c>
      <c r="O145" s="111">
        <f t="shared" si="28"/>
        <v>2029</v>
      </c>
      <c r="P145" s="49">
        <f t="shared" si="29"/>
        <v>47483</v>
      </c>
      <c r="Q145" s="113">
        <v>553.1</v>
      </c>
      <c r="S145" s="112">
        <f t="shared" si="30"/>
        <v>12</v>
      </c>
      <c r="T145" s="113">
        <f t="shared" si="24"/>
        <v>553.09749999999997</v>
      </c>
      <c r="U145" s="113">
        <f t="shared" si="31"/>
        <v>-2.5000000000545697E-3</v>
      </c>
      <c r="Y145" s="113"/>
      <c r="Z145" s="116"/>
    </row>
    <row r="146" spans="2:26" ht="12.75" customHeight="1">
      <c r="B146" s="48" t="s">
        <v>132</v>
      </c>
      <c r="C146" s="443" t="s">
        <v>452</v>
      </c>
      <c r="D146" s="433" t="s">
        <v>480</v>
      </c>
      <c r="E146" s="433" t="s">
        <v>462</v>
      </c>
      <c r="F146" s="434">
        <v>44561</v>
      </c>
      <c r="G146" s="425">
        <v>8</v>
      </c>
      <c r="H146" s="426">
        <f t="shared" si="25"/>
        <v>96</v>
      </c>
      <c r="I146" s="427">
        <v>0</v>
      </c>
      <c r="J146" s="428">
        <v>4424.78</v>
      </c>
      <c r="K146" s="428">
        <v>2212.4</v>
      </c>
      <c r="L146" s="428">
        <v>0</v>
      </c>
      <c r="M146" s="423">
        <f t="shared" si="26"/>
        <v>2212.3799999999997</v>
      </c>
      <c r="N146" s="442" t="str">
        <f t="shared" si="27"/>
        <v>否</v>
      </c>
      <c r="O146" s="111">
        <f t="shared" si="28"/>
        <v>2029</v>
      </c>
      <c r="P146" s="49">
        <f t="shared" si="29"/>
        <v>47483</v>
      </c>
      <c r="Q146" s="113">
        <v>553.1</v>
      </c>
      <c r="S146" s="112">
        <f t="shared" si="30"/>
        <v>12</v>
      </c>
      <c r="T146" s="113">
        <f t="shared" si="24"/>
        <v>553.09749999999997</v>
      </c>
      <c r="U146" s="113">
        <f t="shared" si="31"/>
        <v>-2.5000000000545697E-3</v>
      </c>
      <c r="Y146" s="113"/>
      <c r="Z146" s="116"/>
    </row>
    <row r="147" spans="2:26" ht="12.75" customHeight="1">
      <c r="B147" s="48" t="s">
        <v>132</v>
      </c>
      <c r="C147" s="443" t="s">
        <v>452</v>
      </c>
      <c r="D147" s="433" t="s">
        <v>481</v>
      </c>
      <c r="E147" s="433" t="s">
        <v>462</v>
      </c>
      <c r="F147" s="434">
        <v>44561</v>
      </c>
      <c r="G147" s="425">
        <v>8</v>
      </c>
      <c r="H147" s="426">
        <f t="shared" si="25"/>
        <v>96</v>
      </c>
      <c r="I147" s="427">
        <v>0</v>
      </c>
      <c r="J147" s="428">
        <v>4424.78</v>
      </c>
      <c r="K147" s="428">
        <v>2212.4</v>
      </c>
      <c r="L147" s="428">
        <v>0</v>
      </c>
      <c r="M147" s="423">
        <f t="shared" si="26"/>
        <v>2212.3799999999997</v>
      </c>
      <c r="N147" s="442" t="str">
        <f t="shared" si="27"/>
        <v>否</v>
      </c>
      <c r="O147" s="111">
        <f t="shared" si="28"/>
        <v>2029</v>
      </c>
      <c r="P147" s="49">
        <f t="shared" si="29"/>
        <v>47483</v>
      </c>
      <c r="Q147" s="113">
        <v>553.1</v>
      </c>
      <c r="S147" s="112">
        <f t="shared" si="30"/>
        <v>12</v>
      </c>
      <c r="T147" s="113">
        <f t="shared" si="24"/>
        <v>553.09749999999997</v>
      </c>
      <c r="U147" s="113">
        <f t="shared" si="31"/>
        <v>-2.5000000000545697E-3</v>
      </c>
      <c r="Y147" s="113"/>
      <c r="Z147" s="116"/>
    </row>
    <row r="148" spans="2:26" ht="12.75" customHeight="1">
      <c r="B148" s="48" t="s">
        <v>132</v>
      </c>
      <c r="C148" s="443" t="s">
        <v>452</v>
      </c>
      <c r="D148" s="433" t="s">
        <v>482</v>
      </c>
      <c r="E148" s="433" t="s">
        <v>462</v>
      </c>
      <c r="F148" s="434">
        <v>44561</v>
      </c>
      <c r="G148" s="425">
        <v>8</v>
      </c>
      <c r="H148" s="426">
        <f t="shared" si="25"/>
        <v>96</v>
      </c>
      <c r="I148" s="427">
        <v>0</v>
      </c>
      <c r="J148" s="428">
        <v>5309.73</v>
      </c>
      <c r="K148" s="428">
        <v>2654.87</v>
      </c>
      <c r="L148" s="428">
        <v>0</v>
      </c>
      <c r="M148" s="423">
        <f t="shared" si="26"/>
        <v>2654.8599999999997</v>
      </c>
      <c r="N148" s="442" t="str">
        <f t="shared" si="27"/>
        <v>否</v>
      </c>
      <c r="O148" s="111">
        <f t="shared" si="28"/>
        <v>2029</v>
      </c>
      <c r="P148" s="49">
        <f t="shared" si="29"/>
        <v>47483</v>
      </c>
      <c r="Q148" s="113">
        <v>663.71</v>
      </c>
      <c r="S148" s="112">
        <f t="shared" si="30"/>
        <v>12</v>
      </c>
      <c r="T148" s="113">
        <f t="shared" si="24"/>
        <v>663.71624999999995</v>
      </c>
      <c r="U148" s="113">
        <f t="shared" si="31"/>
        <v>6.2499999999090505E-3</v>
      </c>
      <c r="Y148" s="113"/>
      <c r="Z148" s="116"/>
    </row>
    <row r="149" spans="2:26" ht="12.75" customHeight="1">
      <c r="B149" s="48" t="s">
        <v>132</v>
      </c>
      <c r="C149" s="443" t="s">
        <v>452</v>
      </c>
      <c r="D149" s="433" t="s">
        <v>483</v>
      </c>
      <c r="E149" s="433" t="s">
        <v>462</v>
      </c>
      <c r="F149" s="434">
        <v>44561</v>
      </c>
      <c r="G149" s="425">
        <v>8</v>
      </c>
      <c r="H149" s="426">
        <f t="shared" si="25"/>
        <v>96</v>
      </c>
      <c r="I149" s="427">
        <v>0</v>
      </c>
      <c r="J149" s="428">
        <v>5309.73</v>
      </c>
      <c r="K149" s="428">
        <v>2654.87</v>
      </c>
      <c r="L149" s="428">
        <v>0</v>
      </c>
      <c r="M149" s="423">
        <f t="shared" si="26"/>
        <v>2654.8599999999997</v>
      </c>
      <c r="N149" s="442" t="str">
        <f t="shared" si="27"/>
        <v>否</v>
      </c>
      <c r="O149" s="111">
        <f t="shared" si="28"/>
        <v>2029</v>
      </c>
      <c r="P149" s="49">
        <f t="shared" si="29"/>
        <v>47483</v>
      </c>
      <c r="Q149" s="113">
        <v>663.71</v>
      </c>
      <c r="S149" s="112">
        <f t="shared" si="30"/>
        <v>12</v>
      </c>
      <c r="T149" s="113">
        <f t="shared" si="24"/>
        <v>663.71624999999995</v>
      </c>
      <c r="U149" s="113">
        <f t="shared" si="31"/>
        <v>6.2499999999090505E-3</v>
      </c>
      <c r="Y149" s="113"/>
      <c r="Z149" s="116"/>
    </row>
    <row r="150" spans="2:26" ht="12.75" customHeight="1">
      <c r="B150" s="48" t="s">
        <v>132</v>
      </c>
      <c r="C150" s="443" t="s">
        <v>452</v>
      </c>
      <c r="D150" s="433" t="s">
        <v>484</v>
      </c>
      <c r="E150" s="433" t="s">
        <v>462</v>
      </c>
      <c r="F150" s="434">
        <v>44561</v>
      </c>
      <c r="G150" s="425">
        <v>8</v>
      </c>
      <c r="H150" s="426">
        <f t="shared" si="25"/>
        <v>96</v>
      </c>
      <c r="I150" s="427">
        <v>0</v>
      </c>
      <c r="J150" s="428">
        <v>5309.73</v>
      </c>
      <c r="K150" s="428">
        <v>2654.87</v>
      </c>
      <c r="L150" s="428">
        <v>0</v>
      </c>
      <c r="M150" s="423">
        <f t="shared" si="26"/>
        <v>2654.8599999999997</v>
      </c>
      <c r="N150" s="442" t="str">
        <f t="shared" si="27"/>
        <v>否</v>
      </c>
      <c r="O150" s="111">
        <f t="shared" si="28"/>
        <v>2029</v>
      </c>
      <c r="P150" s="49">
        <f t="shared" si="29"/>
        <v>47483</v>
      </c>
      <c r="Q150" s="113">
        <v>663.71</v>
      </c>
      <c r="S150" s="112">
        <f t="shared" si="30"/>
        <v>12</v>
      </c>
      <c r="T150" s="113">
        <f t="shared" si="24"/>
        <v>663.71624999999995</v>
      </c>
      <c r="U150" s="113">
        <f t="shared" si="31"/>
        <v>6.2499999999090505E-3</v>
      </c>
      <c r="Y150" s="113"/>
      <c r="Z150" s="116"/>
    </row>
    <row r="151" spans="2:26" ht="12.75" customHeight="1">
      <c r="B151" s="48" t="s">
        <v>132</v>
      </c>
      <c r="C151" s="443" t="s">
        <v>452</v>
      </c>
      <c r="D151" s="433" t="s">
        <v>485</v>
      </c>
      <c r="E151" s="433" t="s">
        <v>462</v>
      </c>
      <c r="F151" s="434">
        <v>44561</v>
      </c>
      <c r="G151" s="425">
        <v>8</v>
      </c>
      <c r="H151" s="426">
        <f t="shared" si="25"/>
        <v>96</v>
      </c>
      <c r="I151" s="427">
        <v>0</v>
      </c>
      <c r="J151" s="428">
        <v>5309.73</v>
      </c>
      <c r="K151" s="428">
        <v>2654.87</v>
      </c>
      <c r="L151" s="428">
        <v>0</v>
      </c>
      <c r="M151" s="423">
        <f t="shared" si="26"/>
        <v>2654.8599999999997</v>
      </c>
      <c r="N151" s="442" t="str">
        <f t="shared" si="27"/>
        <v>否</v>
      </c>
      <c r="O151" s="111">
        <f t="shared" si="28"/>
        <v>2029</v>
      </c>
      <c r="P151" s="49">
        <f t="shared" si="29"/>
        <v>47483</v>
      </c>
      <c r="Q151" s="113">
        <v>663.71</v>
      </c>
      <c r="S151" s="112">
        <f t="shared" si="30"/>
        <v>12</v>
      </c>
      <c r="T151" s="113">
        <f t="shared" si="24"/>
        <v>663.71624999999995</v>
      </c>
      <c r="U151" s="113">
        <f t="shared" si="31"/>
        <v>6.2499999999090505E-3</v>
      </c>
      <c r="Y151" s="113"/>
      <c r="Z151" s="116"/>
    </row>
    <row r="152" spans="2:26" ht="12.75" customHeight="1">
      <c r="B152" s="48" t="s">
        <v>132</v>
      </c>
      <c r="C152" s="443" t="s">
        <v>452</v>
      </c>
      <c r="D152" s="433" t="s">
        <v>486</v>
      </c>
      <c r="E152" s="433" t="s">
        <v>462</v>
      </c>
      <c r="F152" s="434">
        <v>44561</v>
      </c>
      <c r="G152" s="425">
        <v>8</v>
      </c>
      <c r="H152" s="426">
        <f t="shared" si="25"/>
        <v>96</v>
      </c>
      <c r="I152" s="427">
        <v>0</v>
      </c>
      <c r="J152" s="428">
        <v>5309.73</v>
      </c>
      <c r="K152" s="428">
        <v>2654.87</v>
      </c>
      <c r="L152" s="428">
        <v>0</v>
      </c>
      <c r="M152" s="423">
        <f t="shared" si="26"/>
        <v>2654.8599999999997</v>
      </c>
      <c r="N152" s="442" t="str">
        <f t="shared" si="27"/>
        <v>否</v>
      </c>
      <c r="O152" s="111">
        <f t="shared" si="28"/>
        <v>2029</v>
      </c>
      <c r="P152" s="49">
        <f t="shared" si="29"/>
        <v>47483</v>
      </c>
      <c r="Q152" s="113">
        <v>663.71</v>
      </c>
      <c r="S152" s="112">
        <f t="shared" si="30"/>
        <v>12</v>
      </c>
      <c r="T152" s="113">
        <f t="shared" si="24"/>
        <v>663.71624999999995</v>
      </c>
      <c r="U152" s="113">
        <f t="shared" si="31"/>
        <v>6.2499999999090505E-3</v>
      </c>
      <c r="Y152" s="113"/>
      <c r="Z152" s="116"/>
    </row>
    <row r="153" spans="2:26" ht="12.75" customHeight="1">
      <c r="B153" s="48" t="s">
        <v>132</v>
      </c>
      <c r="C153" s="443" t="s">
        <v>452</v>
      </c>
      <c r="D153" s="433" t="s">
        <v>487</v>
      </c>
      <c r="E153" s="433" t="s">
        <v>462</v>
      </c>
      <c r="F153" s="434">
        <v>44561</v>
      </c>
      <c r="G153" s="425">
        <v>8</v>
      </c>
      <c r="H153" s="426">
        <f t="shared" si="25"/>
        <v>96</v>
      </c>
      <c r="I153" s="427">
        <v>0</v>
      </c>
      <c r="J153" s="428">
        <v>5309.73</v>
      </c>
      <c r="K153" s="428">
        <v>2654.87</v>
      </c>
      <c r="L153" s="428">
        <v>0</v>
      </c>
      <c r="M153" s="423">
        <f t="shared" si="26"/>
        <v>2654.8599999999997</v>
      </c>
      <c r="N153" s="442" t="str">
        <f t="shared" si="27"/>
        <v>否</v>
      </c>
      <c r="O153" s="111">
        <f t="shared" si="28"/>
        <v>2029</v>
      </c>
      <c r="P153" s="49">
        <f t="shared" si="29"/>
        <v>47483</v>
      </c>
      <c r="Q153" s="113">
        <v>663.71</v>
      </c>
      <c r="S153" s="112">
        <f t="shared" si="30"/>
        <v>12</v>
      </c>
      <c r="T153" s="113">
        <f t="shared" si="24"/>
        <v>663.71624999999995</v>
      </c>
      <c r="U153" s="113">
        <f t="shared" si="31"/>
        <v>6.2499999999090505E-3</v>
      </c>
      <c r="Y153" s="113"/>
      <c r="Z153" s="116"/>
    </row>
    <row r="154" spans="2:26" ht="12.75" customHeight="1">
      <c r="B154" s="48" t="s">
        <v>132</v>
      </c>
      <c r="C154" s="443" t="s">
        <v>452</v>
      </c>
      <c r="D154" s="433" t="s">
        <v>488</v>
      </c>
      <c r="E154" s="433" t="s">
        <v>462</v>
      </c>
      <c r="F154" s="434">
        <v>44561</v>
      </c>
      <c r="G154" s="425">
        <v>8</v>
      </c>
      <c r="H154" s="426">
        <f t="shared" si="25"/>
        <v>96</v>
      </c>
      <c r="I154" s="427">
        <v>0</v>
      </c>
      <c r="J154" s="428">
        <v>12389.38</v>
      </c>
      <c r="K154" s="428">
        <v>6194.68</v>
      </c>
      <c r="L154" s="428">
        <v>0</v>
      </c>
      <c r="M154" s="423">
        <f t="shared" si="26"/>
        <v>6194.6999999999989</v>
      </c>
      <c r="N154" s="442" t="str">
        <f t="shared" si="27"/>
        <v>否</v>
      </c>
      <c r="O154" s="111">
        <f t="shared" si="28"/>
        <v>2029</v>
      </c>
      <c r="P154" s="49">
        <f t="shared" si="29"/>
        <v>47483</v>
      </c>
      <c r="Q154" s="113">
        <v>1548.67</v>
      </c>
      <c r="S154" s="112">
        <f t="shared" si="30"/>
        <v>12</v>
      </c>
      <c r="T154" s="113">
        <f t="shared" si="24"/>
        <v>1548.6724999999999</v>
      </c>
      <c r="U154" s="113">
        <f t="shared" si="31"/>
        <v>2.499999999827196E-3</v>
      </c>
      <c r="Y154" s="113"/>
      <c r="Z154" s="116"/>
    </row>
    <row r="155" spans="2:26" ht="12.75" customHeight="1">
      <c r="B155" s="48" t="s">
        <v>132</v>
      </c>
      <c r="C155" s="443" t="s">
        <v>452</v>
      </c>
      <c r="D155" s="433" t="s">
        <v>489</v>
      </c>
      <c r="E155" s="433" t="s">
        <v>462</v>
      </c>
      <c r="F155" s="434">
        <v>44945</v>
      </c>
      <c r="G155" s="425">
        <v>8</v>
      </c>
      <c r="H155" s="426">
        <f t="shared" si="25"/>
        <v>96</v>
      </c>
      <c r="I155" s="427">
        <v>0</v>
      </c>
      <c r="J155" s="428">
        <v>3627.43</v>
      </c>
      <c r="K155" s="428">
        <v>1322.5</v>
      </c>
      <c r="L155" s="428">
        <v>0</v>
      </c>
      <c r="M155" s="423">
        <f t="shared" si="26"/>
        <v>2304.9299999999998</v>
      </c>
      <c r="N155" s="442" t="str">
        <f t="shared" si="27"/>
        <v>否</v>
      </c>
      <c r="O155" s="111">
        <f t="shared" si="28"/>
        <v>2031</v>
      </c>
      <c r="P155" s="49">
        <f t="shared" si="29"/>
        <v>47879</v>
      </c>
      <c r="Q155" s="113">
        <v>453.43</v>
      </c>
      <c r="S155" s="112">
        <f t="shared" si="30"/>
        <v>12</v>
      </c>
      <c r="T155" s="113">
        <f t="shared" si="24"/>
        <v>453.42874999999992</v>
      </c>
      <c r="U155" s="113">
        <f t="shared" si="31"/>
        <v>-1.2500000000841283E-3</v>
      </c>
      <c r="Y155" s="113"/>
      <c r="Z155" s="116"/>
    </row>
    <row r="156" spans="2:26" ht="12.75" customHeight="1">
      <c r="B156" s="48" t="s">
        <v>132</v>
      </c>
      <c r="C156" s="443" t="s">
        <v>452</v>
      </c>
      <c r="D156" s="433" t="s">
        <v>490</v>
      </c>
      <c r="E156" s="433" t="s">
        <v>462</v>
      </c>
      <c r="F156" s="434">
        <v>44945</v>
      </c>
      <c r="G156" s="425">
        <v>8</v>
      </c>
      <c r="H156" s="426">
        <f t="shared" si="25"/>
        <v>96</v>
      </c>
      <c r="I156" s="427">
        <v>0</v>
      </c>
      <c r="J156" s="428">
        <v>3627.43</v>
      </c>
      <c r="K156" s="428">
        <v>1322.5</v>
      </c>
      <c r="L156" s="428">
        <v>0</v>
      </c>
      <c r="M156" s="423">
        <f t="shared" si="26"/>
        <v>2304.9299999999998</v>
      </c>
      <c r="N156" s="442" t="str">
        <f t="shared" si="27"/>
        <v>否</v>
      </c>
      <c r="O156" s="111">
        <f t="shared" si="28"/>
        <v>2031</v>
      </c>
      <c r="P156" s="49">
        <f t="shared" si="29"/>
        <v>47879</v>
      </c>
      <c r="Q156" s="113">
        <v>453.43</v>
      </c>
      <c r="S156" s="112">
        <f t="shared" si="30"/>
        <v>12</v>
      </c>
      <c r="T156" s="113">
        <f t="shared" ref="T156:T187" si="32">(J156*(1-I156))/H156*S156</f>
        <v>453.42874999999992</v>
      </c>
      <c r="U156" s="113">
        <f t="shared" si="31"/>
        <v>-1.2500000000841283E-3</v>
      </c>
      <c r="Y156" s="113"/>
      <c r="Z156" s="116"/>
    </row>
    <row r="157" spans="2:26" ht="12.75" customHeight="1">
      <c r="B157" s="48" t="s">
        <v>132</v>
      </c>
      <c r="C157" s="443" t="s">
        <v>452</v>
      </c>
      <c r="D157" s="433" t="s">
        <v>491</v>
      </c>
      <c r="E157" s="433" t="s">
        <v>462</v>
      </c>
      <c r="F157" s="434">
        <v>44945</v>
      </c>
      <c r="G157" s="425">
        <v>8</v>
      </c>
      <c r="H157" s="426">
        <f t="shared" si="25"/>
        <v>96</v>
      </c>
      <c r="I157" s="427">
        <v>0</v>
      </c>
      <c r="J157" s="428">
        <v>3627.43</v>
      </c>
      <c r="K157" s="428">
        <v>1322.5</v>
      </c>
      <c r="L157" s="428">
        <v>0</v>
      </c>
      <c r="M157" s="423">
        <f t="shared" si="26"/>
        <v>2304.9299999999998</v>
      </c>
      <c r="N157" s="442" t="str">
        <f t="shared" si="27"/>
        <v>否</v>
      </c>
      <c r="O157" s="111">
        <f t="shared" si="28"/>
        <v>2031</v>
      </c>
      <c r="P157" s="49">
        <f t="shared" si="29"/>
        <v>47879</v>
      </c>
      <c r="Q157" s="113">
        <v>453.43</v>
      </c>
      <c r="S157" s="112">
        <f t="shared" si="30"/>
        <v>12</v>
      </c>
      <c r="T157" s="113">
        <f t="shared" si="32"/>
        <v>453.42874999999992</v>
      </c>
      <c r="U157" s="113">
        <f t="shared" si="31"/>
        <v>-1.2500000000841283E-3</v>
      </c>
      <c r="Y157" s="113"/>
      <c r="Z157" s="116"/>
    </row>
    <row r="158" spans="2:26" ht="12.75" customHeight="1">
      <c r="B158" s="48" t="s">
        <v>132</v>
      </c>
      <c r="C158" s="443" t="s">
        <v>452</v>
      </c>
      <c r="D158" s="433" t="s">
        <v>492</v>
      </c>
      <c r="E158" s="433" t="s">
        <v>462</v>
      </c>
      <c r="F158" s="434">
        <v>44945</v>
      </c>
      <c r="G158" s="425">
        <v>8</v>
      </c>
      <c r="H158" s="426">
        <f t="shared" si="25"/>
        <v>96</v>
      </c>
      <c r="I158" s="427">
        <v>0</v>
      </c>
      <c r="J158" s="428">
        <v>3627.43</v>
      </c>
      <c r="K158" s="428">
        <v>1322.5</v>
      </c>
      <c r="L158" s="428">
        <v>0</v>
      </c>
      <c r="M158" s="423">
        <f t="shared" si="26"/>
        <v>2304.9299999999998</v>
      </c>
      <c r="N158" s="442" t="str">
        <f t="shared" si="27"/>
        <v>否</v>
      </c>
      <c r="O158" s="111">
        <f t="shared" si="28"/>
        <v>2031</v>
      </c>
      <c r="P158" s="49">
        <f t="shared" si="29"/>
        <v>47879</v>
      </c>
      <c r="Q158" s="113">
        <v>453.43</v>
      </c>
      <c r="S158" s="112">
        <f t="shared" si="30"/>
        <v>12</v>
      </c>
      <c r="T158" s="113">
        <f t="shared" si="32"/>
        <v>453.42874999999992</v>
      </c>
      <c r="U158" s="113">
        <f t="shared" si="31"/>
        <v>-1.2500000000841283E-3</v>
      </c>
      <c r="Y158" s="113"/>
      <c r="Z158" s="116"/>
    </row>
    <row r="159" spans="2:26" ht="12.75" customHeight="1">
      <c r="B159" s="48" t="s">
        <v>132</v>
      </c>
      <c r="C159" s="443" t="s">
        <v>452</v>
      </c>
      <c r="D159" s="433" t="s">
        <v>493</v>
      </c>
      <c r="E159" s="433" t="s">
        <v>462</v>
      </c>
      <c r="F159" s="434">
        <v>44945</v>
      </c>
      <c r="G159" s="425">
        <v>8</v>
      </c>
      <c r="H159" s="426">
        <f t="shared" si="25"/>
        <v>96</v>
      </c>
      <c r="I159" s="427">
        <v>0</v>
      </c>
      <c r="J159" s="428">
        <v>3627.43</v>
      </c>
      <c r="K159" s="428">
        <v>1322.5</v>
      </c>
      <c r="L159" s="428">
        <v>0</v>
      </c>
      <c r="M159" s="423">
        <f t="shared" si="26"/>
        <v>2304.9299999999998</v>
      </c>
      <c r="N159" s="442" t="str">
        <f t="shared" si="27"/>
        <v>否</v>
      </c>
      <c r="O159" s="111">
        <f t="shared" si="28"/>
        <v>2031</v>
      </c>
      <c r="P159" s="49">
        <f t="shared" si="29"/>
        <v>47879</v>
      </c>
      <c r="Q159" s="113">
        <v>453.43</v>
      </c>
      <c r="S159" s="112">
        <f t="shared" si="30"/>
        <v>12</v>
      </c>
      <c r="T159" s="113">
        <f t="shared" si="32"/>
        <v>453.42874999999992</v>
      </c>
      <c r="U159" s="113">
        <f t="shared" si="31"/>
        <v>-1.2500000000841283E-3</v>
      </c>
      <c r="Y159" s="113"/>
      <c r="Z159" s="116"/>
    </row>
    <row r="160" spans="2:26" ht="12.75" customHeight="1">
      <c r="B160" s="48" t="s">
        <v>132</v>
      </c>
      <c r="C160" s="443" t="s">
        <v>452</v>
      </c>
      <c r="D160" s="433" t="s">
        <v>494</v>
      </c>
      <c r="E160" s="433" t="s">
        <v>462</v>
      </c>
      <c r="F160" s="434">
        <v>44945</v>
      </c>
      <c r="G160" s="425">
        <v>8</v>
      </c>
      <c r="H160" s="426">
        <f t="shared" si="25"/>
        <v>96</v>
      </c>
      <c r="I160" s="427">
        <v>0</v>
      </c>
      <c r="J160" s="428">
        <v>3627.43</v>
      </c>
      <c r="K160" s="428">
        <v>1322.5</v>
      </c>
      <c r="L160" s="428">
        <v>0</v>
      </c>
      <c r="M160" s="423">
        <f t="shared" si="26"/>
        <v>2304.9299999999998</v>
      </c>
      <c r="N160" s="442" t="str">
        <f t="shared" si="27"/>
        <v>否</v>
      </c>
      <c r="O160" s="111">
        <f t="shared" si="28"/>
        <v>2031</v>
      </c>
      <c r="P160" s="49">
        <f t="shared" si="29"/>
        <v>47879</v>
      </c>
      <c r="Q160" s="113">
        <v>453.43</v>
      </c>
      <c r="S160" s="112">
        <f t="shared" si="30"/>
        <v>12</v>
      </c>
      <c r="T160" s="113">
        <f t="shared" si="32"/>
        <v>453.42874999999992</v>
      </c>
      <c r="U160" s="113">
        <f t="shared" si="31"/>
        <v>-1.2500000000841283E-3</v>
      </c>
      <c r="Y160" s="113"/>
      <c r="Z160" s="116"/>
    </row>
    <row r="161" spans="2:26" ht="12.75" customHeight="1">
      <c r="B161" s="48" t="s">
        <v>132</v>
      </c>
      <c r="C161" s="443" t="s">
        <v>452</v>
      </c>
      <c r="D161" s="433" t="s">
        <v>495</v>
      </c>
      <c r="E161" s="433" t="s">
        <v>462</v>
      </c>
      <c r="F161" s="434">
        <v>44945</v>
      </c>
      <c r="G161" s="425">
        <v>8</v>
      </c>
      <c r="H161" s="426">
        <f t="shared" si="25"/>
        <v>96</v>
      </c>
      <c r="I161" s="427">
        <v>0</v>
      </c>
      <c r="J161" s="428">
        <v>3627.43</v>
      </c>
      <c r="K161" s="428">
        <v>1322.5</v>
      </c>
      <c r="L161" s="428">
        <v>0</v>
      </c>
      <c r="M161" s="423">
        <f t="shared" si="26"/>
        <v>2304.9299999999998</v>
      </c>
      <c r="N161" s="442" t="str">
        <f t="shared" si="27"/>
        <v>否</v>
      </c>
      <c r="O161" s="111">
        <f t="shared" si="28"/>
        <v>2031</v>
      </c>
      <c r="P161" s="49">
        <f t="shared" si="29"/>
        <v>47879</v>
      </c>
      <c r="Q161" s="113">
        <v>453.43</v>
      </c>
      <c r="S161" s="112">
        <f t="shared" si="30"/>
        <v>12</v>
      </c>
      <c r="T161" s="113">
        <f t="shared" si="32"/>
        <v>453.42874999999992</v>
      </c>
      <c r="U161" s="113">
        <f t="shared" si="31"/>
        <v>-1.2500000000841283E-3</v>
      </c>
      <c r="Y161" s="113"/>
      <c r="Z161" s="116"/>
    </row>
    <row r="162" spans="2:26" ht="12.75" customHeight="1">
      <c r="B162" s="48" t="s">
        <v>132</v>
      </c>
      <c r="C162" s="443" t="s">
        <v>452</v>
      </c>
      <c r="D162" s="433" t="s">
        <v>496</v>
      </c>
      <c r="E162" s="433" t="s">
        <v>462</v>
      </c>
      <c r="F162" s="434">
        <v>44945</v>
      </c>
      <c r="G162" s="425">
        <v>8</v>
      </c>
      <c r="H162" s="426">
        <f t="shared" si="25"/>
        <v>96</v>
      </c>
      <c r="I162" s="427">
        <v>0</v>
      </c>
      <c r="J162" s="428">
        <v>3627.43</v>
      </c>
      <c r="K162" s="428">
        <v>1322.5</v>
      </c>
      <c r="L162" s="428">
        <v>0</v>
      </c>
      <c r="M162" s="423">
        <f t="shared" si="26"/>
        <v>2304.9299999999998</v>
      </c>
      <c r="N162" s="442" t="str">
        <f t="shared" si="27"/>
        <v>否</v>
      </c>
      <c r="O162" s="111">
        <f t="shared" si="28"/>
        <v>2031</v>
      </c>
      <c r="P162" s="49">
        <f t="shared" si="29"/>
        <v>47879</v>
      </c>
      <c r="Q162" s="113">
        <v>453.43</v>
      </c>
      <c r="S162" s="112">
        <f t="shared" si="30"/>
        <v>12</v>
      </c>
      <c r="T162" s="113">
        <f t="shared" si="32"/>
        <v>453.42874999999992</v>
      </c>
      <c r="U162" s="113">
        <f t="shared" si="31"/>
        <v>-1.2500000000841283E-3</v>
      </c>
      <c r="Y162" s="113"/>
      <c r="Z162" s="116"/>
    </row>
    <row r="163" spans="2:26" ht="12.75" customHeight="1">
      <c r="B163" s="48" t="s">
        <v>132</v>
      </c>
      <c r="C163" s="443" t="s">
        <v>452</v>
      </c>
      <c r="D163" s="433" t="s">
        <v>497</v>
      </c>
      <c r="E163" s="433" t="s">
        <v>462</v>
      </c>
      <c r="F163" s="434">
        <v>44945</v>
      </c>
      <c r="G163" s="425">
        <v>8</v>
      </c>
      <c r="H163" s="426">
        <f t="shared" si="25"/>
        <v>96</v>
      </c>
      <c r="I163" s="427">
        <v>0</v>
      </c>
      <c r="J163" s="428">
        <v>3627.43</v>
      </c>
      <c r="K163" s="428">
        <v>1322.5</v>
      </c>
      <c r="L163" s="428">
        <v>0</v>
      </c>
      <c r="M163" s="423">
        <f t="shared" si="26"/>
        <v>2304.9299999999998</v>
      </c>
      <c r="N163" s="442" t="str">
        <f t="shared" si="27"/>
        <v>否</v>
      </c>
      <c r="O163" s="111">
        <f t="shared" si="28"/>
        <v>2031</v>
      </c>
      <c r="P163" s="49">
        <f t="shared" si="29"/>
        <v>47879</v>
      </c>
      <c r="Q163" s="113">
        <v>453.43</v>
      </c>
      <c r="S163" s="112">
        <f t="shared" si="30"/>
        <v>12</v>
      </c>
      <c r="T163" s="113">
        <f t="shared" si="32"/>
        <v>453.42874999999992</v>
      </c>
      <c r="U163" s="113">
        <f t="shared" si="31"/>
        <v>-1.2500000000841283E-3</v>
      </c>
      <c r="Y163" s="113"/>
      <c r="Z163" s="116"/>
    </row>
    <row r="164" spans="2:26" ht="12.75" customHeight="1">
      <c r="B164" s="48" t="s">
        <v>132</v>
      </c>
      <c r="C164" s="443" t="s">
        <v>452</v>
      </c>
      <c r="D164" s="433" t="s">
        <v>498</v>
      </c>
      <c r="E164" s="433" t="s">
        <v>462</v>
      </c>
      <c r="F164" s="434">
        <v>44945</v>
      </c>
      <c r="G164" s="425">
        <v>8</v>
      </c>
      <c r="H164" s="426">
        <f t="shared" si="25"/>
        <v>96</v>
      </c>
      <c r="I164" s="427">
        <v>0</v>
      </c>
      <c r="J164" s="428">
        <v>3627.43</v>
      </c>
      <c r="K164" s="428">
        <v>1322.5</v>
      </c>
      <c r="L164" s="428">
        <v>0</v>
      </c>
      <c r="M164" s="423">
        <f t="shared" si="26"/>
        <v>2304.9299999999998</v>
      </c>
      <c r="N164" s="442" t="str">
        <f t="shared" si="27"/>
        <v>否</v>
      </c>
      <c r="O164" s="111">
        <f t="shared" si="28"/>
        <v>2031</v>
      </c>
      <c r="P164" s="49">
        <f t="shared" si="29"/>
        <v>47879</v>
      </c>
      <c r="Q164" s="113">
        <v>453.43</v>
      </c>
      <c r="S164" s="112">
        <f t="shared" si="30"/>
        <v>12</v>
      </c>
      <c r="T164" s="113">
        <f t="shared" si="32"/>
        <v>453.42874999999992</v>
      </c>
      <c r="U164" s="113">
        <f t="shared" si="31"/>
        <v>-1.2500000000841283E-3</v>
      </c>
      <c r="Y164" s="113"/>
      <c r="Z164" s="116"/>
    </row>
    <row r="165" spans="2:26" ht="12.75" customHeight="1">
      <c r="B165" s="48" t="s">
        <v>132</v>
      </c>
      <c r="C165" s="443" t="s">
        <v>452</v>
      </c>
      <c r="D165" s="433" t="s">
        <v>499</v>
      </c>
      <c r="E165" s="433" t="s">
        <v>462</v>
      </c>
      <c r="F165" s="434">
        <v>44945</v>
      </c>
      <c r="G165" s="425">
        <v>8</v>
      </c>
      <c r="H165" s="426">
        <f t="shared" si="25"/>
        <v>96</v>
      </c>
      <c r="I165" s="427">
        <v>0</v>
      </c>
      <c r="J165" s="428">
        <v>5468.11</v>
      </c>
      <c r="K165" s="428">
        <v>1993.58</v>
      </c>
      <c r="L165" s="428">
        <v>0</v>
      </c>
      <c r="M165" s="423">
        <f t="shared" si="26"/>
        <v>3474.5299999999997</v>
      </c>
      <c r="N165" s="442" t="str">
        <f t="shared" si="27"/>
        <v>否</v>
      </c>
      <c r="O165" s="111">
        <f t="shared" si="28"/>
        <v>2031</v>
      </c>
      <c r="P165" s="49">
        <f t="shared" si="29"/>
        <v>47879</v>
      </c>
      <c r="Q165" s="113">
        <v>683.52</v>
      </c>
      <c r="S165" s="112">
        <f t="shared" si="30"/>
        <v>12</v>
      </c>
      <c r="T165" s="113">
        <f t="shared" si="32"/>
        <v>683.51374999999996</v>
      </c>
      <c r="U165" s="113">
        <f t="shared" si="31"/>
        <v>-6.2500000000227374E-3</v>
      </c>
      <c r="Y165" s="113"/>
      <c r="Z165" s="116"/>
    </row>
    <row r="166" spans="2:26" ht="12.75" customHeight="1">
      <c r="B166" s="48" t="s">
        <v>132</v>
      </c>
      <c r="C166" s="443" t="s">
        <v>452</v>
      </c>
      <c r="D166" s="433" t="s">
        <v>500</v>
      </c>
      <c r="E166" s="433" t="s">
        <v>462</v>
      </c>
      <c r="F166" s="434">
        <v>44945</v>
      </c>
      <c r="G166" s="425">
        <v>8</v>
      </c>
      <c r="H166" s="426">
        <f t="shared" si="25"/>
        <v>96</v>
      </c>
      <c r="I166" s="427">
        <v>0</v>
      </c>
      <c r="J166" s="428">
        <v>5468.11</v>
      </c>
      <c r="K166" s="428">
        <v>1993.58</v>
      </c>
      <c r="L166" s="428">
        <v>0</v>
      </c>
      <c r="M166" s="423">
        <f t="shared" si="26"/>
        <v>3474.5299999999997</v>
      </c>
      <c r="N166" s="442" t="str">
        <f t="shared" si="27"/>
        <v>否</v>
      </c>
      <c r="O166" s="111">
        <f t="shared" si="28"/>
        <v>2031</v>
      </c>
      <c r="P166" s="49">
        <f t="shared" si="29"/>
        <v>47879</v>
      </c>
      <c r="Q166" s="113">
        <v>683.52</v>
      </c>
      <c r="S166" s="112">
        <f t="shared" si="30"/>
        <v>12</v>
      </c>
      <c r="T166" s="113">
        <f t="shared" si="32"/>
        <v>683.51374999999996</v>
      </c>
      <c r="U166" s="113">
        <f t="shared" si="31"/>
        <v>-6.2500000000227374E-3</v>
      </c>
      <c r="Y166" s="113"/>
      <c r="Z166" s="116"/>
    </row>
    <row r="167" spans="2:26" ht="12.75" customHeight="1">
      <c r="B167" s="48" t="s">
        <v>132</v>
      </c>
      <c r="C167" s="443" t="s">
        <v>452</v>
      </c>
      <c r="D167" s="433" t="s">
        <v>501</v>
      </c>
      <c r="E167" s="433" t="s">
        <v>462</v>
      </c>
      <c r="F167" s="434">
        <v>44945</v>
      </c>
      <c r="G167" s="425">
        <v>8</v>
      </c>
      <c r="H167" s="426">
        <f t="shared" si="25"/>
        <v>96</v>
      </c>
      <c r="I167" s="427">
        <v>0</v>
      </c>
      <c r="J167" s="428">
        <v>5468.11</v>
      </c>
      <c r="K167" s="428">
        <v>1993.58</v>
      </c>
      <c r="L167" s="428">
        <v>0</v>
      </c>
      <c r="M167" s="423">
        <f t="shared" si="26"/>
        <v>3474.5299999999997</v>
      </c>
      <c r="N167" s="442" t="str">
        <f t="shared" si="27"/>
        <v>否</v>
      </c>
      <c r="O167" s="111">
        <f t="shared" si="28"/>
        <v>2031</v>
      </c>
      <c r="P167" s="49">
        <f t="shared" si="29"/>
        <v>47879</v>
      </c>
      <c r="Q167" s="113">
        <v>683.52</v>
      </c>
      <c r="S167" s="112">
        <f t="shared" si="30"/>
        <v>12</v>
      </c>
      <c r="T167" s="113">
        <f t="shared" si="32"/>
        <v>683.51374999999996</v>
      </c>
      <c r="U167" s="113">
        <f t="shared" si="31"/>
        <v>-6.2500000000227374E-3</v>
      </c>
      <c r="Y167" s="113"/>
      <c r="Z167" s="116"/>
    </row>
    <row r="168" spans="2:26" ht="12.75" customHeight="1">
      <c r="B168" s="48" t="s">
        <v>132</v>
      </c>
      <c r="C168" s="443" t="s">
        <v>452</v>
      </c>
      <c r="D168" s="433" t="s">
        <v>502</v>
      </c>
      <c r="E168" s="433" t="s">
        <v>462</v>
      </c>
      <c r="F168" s="434">
        <v>44945</v>
      </c>
      <c r="G168" s="425">
        <v>8</v>
      </c>
      <c r="H168" s="426">
        <f t="shared" si="25"/>
        <v>96</v>
      </c>
      <c r="I168" s="427">
        <v>0</v>
      </c>
      <c r="J168" s="428">
        <v>5468.11</v>
      </c>
      <c r="K168" s="428">
        <v>1993.58</v>
      </c>
      <c r="L168" s="428">
        <v>0</v>
      </c>
      <c r="M168" s="423">
        <f t="shared" si="26"/>
        <v>3474.5299999999997</v>
      </c>
      <c r="N168" s="442" t="str">
        <f t="shared" si="27"/>
        <v>否</v>
      </c>
      <c r="O168" s="111">
        <f t="shared" si="28"/>
        <v>2031</v>
      </c>
      <c r="P168" s="49">
        <f t="shared" si="29"/>
        <v>47879</v>
      </c>
      <c r="Q168" s="113">
        <v>683.52</v>
      </c>
      <c r="S168" s="112">
        <f t="shared" si="30"/>
        <v>12</v>
      </c>
      <c r="T168" s="113">
        <f t="shared" si="32"/>
        <v>683.51374999999996</v>
      </c>
      <c r="U168" s="113">
        <f t="shared" si="31"/>
        <v>-6.2500000000227374E-3</v>
      </c>
      <c r="Y168" s="113"/>
      <c r="Z168" s="116"/>
    </row>
    <row r="169" spans="2:26" ht="12.75" customHeight="1">
      <c r="B169" s="48" t="s">
        <v>132</v>
      </c>
      <c r="C169" s="443" t="s">
        <v>452</v>
      </c>
      <c r="D169" s="433" t="s">
        <v>503</v>
      </c>
      <c r="E169" s="433" t="s">
        <v>504</v>
      </c>
      <c r="F169" s="434">
        <v>44945</v>
      </c>
      <c r="G169" s="425">
        <v>8</v>
      </c>
      <c r="H169" s="426">
        <f t="shared" si="25"/>
        <v>96</v>
      </c>
      <c r="I169" s="427">
        <v>0</v>
      </c>
      <c r="J169" s="428">
        <v>6724.78</v>
      </c>
      <c r="K169" s="428">
        <v>2451.75</v>
      </c>
      <c r="L169" s="428">
        <v>0</v>
      </c>
      <c r="M169" s="423">
        <f t="shared" si="26"/>
        <v>4273.03</v>
      </c>
      <c r="N169" s="442" t="str">
        <f t="shared" si="27"/>
        <v>否</v>
      </c>
      <c r="O169" s="111">
        <f t="shared" si="28"/>
        <v>2031</v>
      </c>
      <c r="P169" s="49">
        <f t="shared" si="29"/>
        <v>47879</v>
      </c>
      <c r="Q169" s="113">
        <v>840.6</v>
      </c>
      <c r="S169" s="112">
        <f t="shared" si="30"/>
        <v>12</v>
      </c>
      <c r="T169" s="113">
        <f t="shared" si="32"/>
        <v>840.59749999999997</v>
      </c>
      <c r="U169" s="113">
        <f t="shared" si="31"/>
        <v>-2.5000000000545697E-3</v>
      </c>
      <c r="Y169" s="113"/>
      <c r="Z169" s="116"/>
    </row>
    <row r="170" spans="2:26" ht="12.75" customHeight="1">
      <c r="B170" s="48" t="s">
        <v>132</v>
      </c>
      <c r="C170" s="443" t="s">
        <v>452</v>
      </c>
      <c r="D170" s="433" t="s">
        <v>505</v>
      </c>
      <c r="E170" s="433" t="s">
        <v>506</v>
      </c>
      <c r="F170" s="434">
        <v>44945</v>
      </c>
      <c r="G170" s="425">
        <v>8</v>
      </c>
      <c r="H170" s="426">
        <f t="shared" si="25"/>
        <v>96</v>
      </c>
      <c r="I170" s="427">
        <v>0</v>
      </c>
      <c r="J170" s="428">
        <v>2915.9</v>
      </c>
      <c r="K170" s="428">
        <v>1063.0899999999999</v>
      </c>
      <c r="L170" s="428">
        <v>0</v>
      </c>
      <c r="M170" s="423">
        <f t="shared" si="26"/>
        <v>1852.8100000000002</v>
      </c>
      <c r="N170" s="442" t="str">
        <f t="shared" si="27"/>
        <v>否</v>
      </c>
      <c r="O170" s="111">
        <f t="shared" si="28"/>
        <v>2031</v>
      </c>
      <c r="P170" s="49">
        <f t="shared" si="29"/>
        <v>47879</v>
      </c>
      <c r="Q170" s="113">
        <v>364.49</v>
      </c>
      <c r="S170" s="112">
        <f t="shared" si="30"/>
        <v>12</v>
      </c>
      <c r="T170" s="113">
        <f t="shared" si="32"/>
        <v>364.48750000000001</v>
      </c>
      <c r="U170" s="113">
        <f t="shared" si="31"/>
        <v>-2.4999999999977263E-3</v>
      </c>
      <c r="Y170" s="113"/>
      <c r="Z170" s="116"/>
    </row>
    <row r="171" spans="2:26" ht="12.75" customHeight="1">
      <c r="B171" s="48" t="s">
        <v>132</v>
      </c>
      <c r="C171" s="443" t="s">
        <v>452</v>
      </c>
      <c r="D171" s="433" t="s">
        <v>507</v>
      </c>
      <c r="E171" s="433" t="s">
        <v>506</v>
      </c>
      <c r="F171" s="434">
        <v>44945</v>
      </c>
      <c r="G171" s="425">
        <v>8</v>
      </c>
      <c r="H171" s="426">
        <f t="shared" si="25"/>
        <v>96</v>
      </c>
      <c r="I171" s="427">
        <v>0</v>
      </c>
      <c r="J171" s="428">
        <v>2915.9</v>
      </c>
      <c r="K171" s="428">
        <v>1063.0899999999999</v>
      </c>
      <c r="L171" s="428">
        <v>0</v>
      </c>
      <c r="M171" s="423">
        <f t="shared" si="26"/>
        <v>1852.8100000000002</v>
      </c>
      <c r="N171" s="442" t="str">
        <f t="shared" si="27"/>
        <v>否</v>
      </c>
      <c r="O171" s="111">
        <f t="shared" si="28"/>
        <v>2031</v>
      </c>
      <c r="P171" s="49">
        <f t="shared" si="29"/>
        <v>47879</v>
      </c>
      <c r="Q171" s="113">
        <v>364.49</v>
      </c>
      <c r="S171" s="112">
        <f t="shared" si="30"/>
        <v>12</v>
      </c>
      <c r="T171" s="113">
        <f t="shared" si="32"/>
        <v>364.48750000000001</v>
      </c>
      <c r="U171" s="113">
        <f t="shared" si="31"/>
        <v>-2.4999999999977263E-3</v>
      </c>
      <c r="Y171" s="113"/>
      <c r="Z171" s="116"/>
    </row>
    <row r="172" spans="2:26" ht="12.75" customHeight="1">
      <c r="B172" s="48" t="s">
        <v>132</v>
      </c>
      <c r="C172" s="443" t="s">
        <v>452</v>
      </c>
      <c r="D172" s="433" t="s">
        <v>508</v>
      </c>
      <c r="E172" s="433" t="s">
        <v>509</v>
      </c>
      <c r="F172" s="434">
        <v>45229</v>
      </c>
      <c r="G172" s="425">
        <v>5</v>
      </c>
      <c r="H172" s="426">
        <f t="shared" si="25"/>
        <v>60</v>
      </c>
      <c r="I172" s="427">
        <v>0</v>
      </c>
      <c r="J172" s="428">
        <v>884.96</v>
      </c>
      <c r="K172" s="428">
        <v>383.48</v>
      </c>
      <c r="L172" s="428">
        <v>0</v>
      </c>
      <c r="M172" s="423">
        <f t="shared" si="26"/>
        <v>501.48</v>
      </c>
      <c r="N172" s="442" t="str">
        <f t="shared" si="27"/>
        <v>否</v>
      </c>
      <c r="O172" s="111">
        <f t="shared" si="28"/>
        <v>2028</v>
      </c>
      <c r="P172" s="49">
        <f t="shared" si="29"/>
        <v>47057</v>
      </c>
      <c r="Q172" s="113">
        <v>176.99</v>
      </c>
      <c r="S172" s="112">
        <f t="shared" si="30"/>
        <v>12</v>
      </c>
      <c r="T172" s="113">
        <f t="shared" si="32"/>
        <v>176.99200000000002</v>
      </c>
      <c r="U172" s="113">
        <f t="shared" si="31"/>
        <v>2.0000000000095497E-3</v>
      </c>
      <c r="Y172" s="113"/>
      <c r="Z172" s="116"/>
    </row>
    <row r="173" spans="2:26" ht="12.75" customHeight="1">
      <c r="B173" s="48" t="s">
        <v>132</v>
      </c>
      <c r="C173" s="443" t="s">
        <v>452</v>
      </c>
      <c r="D173" s="433" t="s">
        <v>510</v>
      </c>
      <c r="E173" s="433" t="s">
        <v>509</v>
      </c>
      <c r="F173" s="434">
        <v>45229</v>
      </c>
      <c r="G173" s="425">
        <v>5</v>
      </c>
      <c r="H173" s="426">
        <f t="shared" si="25"/>
        <v>60</v>
      </c>
      <c r="I173" s="427">
        <v>0</v>
      </c>
      <c r="J173" s="428">
        <v>884.96</v>
      </c>
      <c r="K173" s="428">
        <v>383.48</v>
      </c>
      <c r="L173" s="428">
        <v>0</v>
      </c>
      <c r="M173" s="423">
        <f t="shared" si="26"/>
        <v>501.48</v>
      </c>
      <c r="N173" s="442" t="str">
        <f t="shared" si="27"/>
        <v>否</v>
      </c>
      <c r="O173" s="111">
        <f t="shared" si="28"/>
        <v>2028</v>
      </c>
      <c r="P173" s="49">
        <f t="shared" si="29"/>
        <v>47057</v>
      </c>
      <c r="Q173" s="113">
        <v>176.99</v>
      </c>
      <c r="S173" s="112">
        <f t="shared" si="30"/>
        <v>12</v>
      </c>
      <c r="T173" s="113">
        <f t="shared" si="32"/>
        <v>176.99200000000002</v>
      </c>
      <c r="U173" s="113">
        <f t="shared" si="31"/>
        <v>2.0000000000095497E-3</v>
      </c>
      <c r="Y173" s="113"/>
      <c r="Z173" s="116"/>
    </row>
    <row r="174" spans="2:26" ht="12.75" customHeight="1">
      <c r="B174" s="48" t="s">
        <v>132</v>
      </c>
      <c r="C174" s="443" t="s">
        <v>452</v>
      </c>
      <c r="D174" s="433" t="s">
        <v>511</v>
      </c>
      <c r="E174" s="433" t="s">
        <v>509</v>
      </c>
      <c r="F174" s="434">
        <v>45229</v>
      </c>
      <c r="G174" s="425">
        <v>5</v>
      </c>
      <c r="H174" s="426">
        <f t="shared" si="25"/>
        <v>60</v>
      </c>
      <c r="I174" s="427">
        <v>0</v>
      </c>
      <c r="J174" s="428">
        <v>884.96</v>
      </c>
      <c r="K174" s="428">
        <v>383.48</v>
      </c>
      <c r="L174" s="428">
        <v>0</v>
      </c>
      <c r="M174" s="423">
        <f t="shared" si="26"/>
        <v>501.48</v>
      </c>
      <c r="N174" s="442" t="str">
        <f t="shared" si="27"/>
        <v>否</v>
      </c>
      <c r="O174" s="111">
        <f t="shared" si="28"/>
        <v>2028</v>
      </c>
      <c r="P174" s="49">
        <f t="shared" si="29"/>
        <v>47057</v>
      </c>
      <c r="Q174" s="113">
        <v>176.99</v>
      </c>
      <c r="S174" s="112">
        <f t="shared" si="30"/>
        <v>12</v>
      </c>
      <c r="T174" s="113">
        <f t="shared" si="32"/>
        <v>176.99200000000002</v>
      </c>
      <c r="U174" s="113">
        <f t="shared" si="31"/>
        <v>2.0000000000095497E-3</v>
      </c>
      <c r="Y174" s="113"/>
      <c r="Z174" s="116"/>
    </row>
    <row r="175" spans="2:26" ht="12.75" customHeight="1">
      <c r="B175" s="48" t="s">
        <v>132</v>
      </c>
      <c r="C175" s="443" t="s">
        <v>452</v>
      </c>
      <c r="D175" s="433" t="s">
        <v>512</v>
      </c>
      <c r="E175" s="433" t="s">
        <v>509</v>
      </c>
      <c r="F175" s="434">
        <v>45229</v>
      </c>
      <c r="G175" s="425">
        <v>5</v>
      </c>
      <c r="H175" s="426">
        <f t="shared" si="25"/>
        <v>60</v>
      </c>
      <c r="I175" s="427">
        <v>0</v>
      </c>
      <c r="J175" s="428">
        <v>884.96</v>
      </c>
      <c r="K175" s="428">
        <v>383.48</v>
      </c>
      <c r="L175" s="428">
        <v>0</v>
      </c>
      <c r="M175" s="423">
        <f t="shared" si="26"/>
        <v>501.48</v>
      </c>
      <c r="N175" s="442" t="str">
        <f t="shared" si="27"/>
        <v>否</v>
      </c>
      <c r="O175" s="111">
        <f t="shared" si="28"/>
        <v>2028</v>
      </c>
      <c r="P175" s="49">
        <f t="shared" si="29"/>
        <v>47057</v>
      </c>
      <c r="Q175" s="113">
        <v>176.99</v>
      </c>
      <c r="S175" s="112">
        <f t="shared" si="30"/>
        <v>12</v>
      </c>
      <c r="T175" s="113">
        <f t="shared" si="32"/>
        <v>176.99200000000002</v>
      </c>
      <c r="U175" s="113">
        <f t="shared" si="31"/>
        <v>2.0000000000095497E-3</v>
      </c>
      <c r="Y175" s="113"/>
      <c r="Z175" s="116"/>
    </row>
    <row r="176" spans="2:26" ht="12.75" customHeight="1">
      <c r="B176" s="48" t="s">
        <v>132</v>
      </c>
      <c r="C176" s="443" t="s">
        <v>452</v>
      </c>
      <c r="D176" s="433" t="s">
        <v>513</v>
      </c>
      <c r="E176" s="433" t="s">
        <v>509</v>
      </c>
      <c r="F176" s="434">
        <v>45229</v>
      </c>
      <c r="G176" s="425">
        <v>5</v>
      </c>
      <c r="H176" s="426">
        <f t="shared" si="25"/>
        <v>60</v>
      </c>
      <c r="I176" s="427">
        <v>0</v>
      </c>
      <c r="J176" s="428">
        <v>3451.33</v>
      </c>
      <c r="K176" s="428">
        <v>1495.58</v>
      </c>
      <c r="L176" s="428">
        <v>0</v>
      </c>
      <c r="M176" s="423">
        <f t="shared" si="26"/>
        <v>1955.75</v>
      </c>
      <c r="N176" s="442" t="str">
        <f t="shared" si="27"/>
        <v>否</v>
      </c>
      <c r="O176" s="111">
        <f t="shared" si="28"/>
        <v>2028</v>
      </c>
      <c r="P176" s="49">
        <f t="shared" si="29"/>
        <v>47057</v>
      </c>
      <c r="Q176" s="113">
        <v>690.27</v>
      </c>
      <c r="S176" s="112">
        <f t="shared" si="30"/>
        <v>12</v>
      </c>
      <c r="T176" s="113">
        <f t="shared" si="32"/>
        <v>690.26599999999996</v>
      </c>
      <c r="U176" s="113">
        <f t="shared" si="31"/>
        <v>-4.0000000000190994E-3</v>
      </c>
      <c r="Y176" s="113"/>
      <c r="Z176" s="116"/>
    </row>
    <row r="177" spans="2:26" ht="12.75" customHeight="1">
      <c r="B177" s="48" t="s">
        <v>132</v>
      </c>
      <c r="C177" s="443" t="s">
        <v>452</v>
      </c>
      <c r="D177" s="433" t="s">
        <v>514</v>
      </c>
      <c r="E177" s="433" t="s">
        <v>509</v>
      </c>
      <c r="F177" s="434">
        <v>45229</v>
      </c>
      <c r="G177" s="425">
        <v>5</v>
      </c>
      <c r="H177" s="426">
        <f t="shared" si="25"/>
        <v>60</v>
      </c>
      <c r="I177" s="427">
        <v>0</v>
      </c>
      <c r="J177" s="428">
        <v>884.96</v>
      </c>
      <c r="K177" s="428">
        <v>383.48</v>
      </c>
      <c r="L177" s="428">
        <v>0</v>
      </c>
      <c r="M177" s="423">
        <f t="shared" si="26"/>
        <v>501.48</v>
      </c>
      <c r="N177" s="442" t="str">
        <f t="shared" si="27"/>
        <v>否</v>
      </c>
      <c r="O177" s="111">
        <f t="shared" si="28"/>
        <v>2028</v>
      </c>
      <c r="P177" s="49">
        <f t="shared" si="29"/>
        <v>47057</v>
      </c>
      <c r="Q177" s="113">
        <v>176.99</v>
      </c>
      <c r="S177" s="112">
        <f t="shared" si="30"/>
        <v>12</v>
      </c>
      <c r="T177" s="113">
        <f t="shared" si="32"/>
        <v>176.99200000000002</v>
      </c>
      <c r="U177" s="113">
        <f t="shared" si="31"/>
        <v>2.0000000000095497E-3</v>
      </c>
      <c r="Y177" s="113"/>
      <c r="Z177" s="116"/>
    </row>
    <row r="178" spans="2:26" ht="12.75" customHeight="1">
      <c r="B178" s="48" t="s">
        <v>132</v>
      </c>
      <c r="C178" s="443" t="s">
        <v>452</v>
      </c>
      <c r="D178" s="433" t="s">
        <v>515</v>
      </c>
      <c r="E178" s="433" t="s">
        <v>509</v>
      </c>
      <c r="F178" s="434">
        <v>45229</v>
      </c>
      <c r="G178" s="425">
        <v>5</v>
      </c>
      <c r="H178" s="426">
        <f t="shared" si="25"/>
        <v>60</v>
      </c>
      <c r="I178" s="427">
        <v>0</v>
      </c>
      <c r="J178" s="428">
        <v>884.96</v>
      </c>
      <c r="K178" s="428">
        <v>383.48</v>
      </c>
      <c r="L178" s="428">
        <v>0</v>
      </c>
      <c r="M178" s="423">
        <f t="shared" si="26"/>
        <v>501.48</v>
      </c>
      <c r="N178" s="442" t="str">
        <f t="shared" si="27"/>
        <v>否</v>
      </c>
      <c r="O178" s="111">
        <f t="shared" si="28"/>
        <v>2028</v>
      </c>
      <c r="P178" s="49">
        <f t="shared" si="29"/>
        <v>47057</v>
      </c>
      <c r="Q178" s="113">
        <v>176.99</v>
      </c>
      <c r="S178" s="112">
        <f t="shared" si="30"/>
        <v>12</v>
      </c>
      <c r="T178" s="113">
        <f t="shared" si="32"/>
        <v>176.99200000000002</v>
      </c>
      <c r="U178" s="113">
        <f t="shared" si="31"/>
        <v>2.0000000000095497E-3</v>
      </c>
      <c r="Y178" s="113"/>
      <c r="Z178" s="116"/>
    </row>
    <row r="179" spans="2:26" ht="12.75" customHeight="1">
      <c r="B179" s="48" t="s">
        <v>132</v>
      </c>
      <c r="C179" s="443" t="s">
        <v>452</v>
      </c>
      <c r="D179" s="433" t="s">
        <v>516</v>
      </c>
      <c r="E179" s="433" t="s">
        <v>509</v>
      </c>
      <c r="F179" s="434">
        <v>45229</v>
      </c>
      <c r="G179" s="425">
        <v>5</v>
      </c>
      <c r="H179" s="426">
        <f t="shared" si="25"/>
        <v>60</v>
      </c>
      <c r="I179" s="427">
        <v>0</v>
      </c>
      <c r="J179" s="428">
        <v>884.93</v>
      </c>
      <c r="K179" s="428">
        <v>383.47</v>
      </c>
      <c r="L179" s="428">
        <v>0</v>
      </c>
      <c r="M179" s="423">
        <f t="shared" si="26"/>
        <v>501.45999999999992</v>
      </c>
      <c r="N179" s="442" t="str">
        <f t="shared" si="27"/>
        <v>否</v>
      </c>
      <c r="O179" s="111">
        <f t="shared" si="28"/>
        <v>2028</v>
      </c>
      <c r="P179" s="49">
        <f t="shared" si="29"/>
        <v>47057</v>
      </c>
      <c r="Q179" s="113">
        <v>176.98</v>
      </c>
      <c r="S179" s="112">
        <f t="shared" si="30"/>
        <v>12</v>
      </c>
      <c r="T179" s="113">
        <f t="shared" si="32"/>
        <v>176.98599999999999</v>
      </c>
      <c r="U179" s="113">
        <f t="shared" si="31"/>
        <v>6.0000000000002274E-3</v>
      </c>
      <c r="Y179" s="113"/>
      <c r="Z179" s="116"/>
    </row>
    <row r="180" spans="2:26" ht="12.75" customHeight="1">
      <c r="B180" s="48" t="s">
        <v>132</v>
      </c>
      <c r="C180" s="443" t="s">
        <v>452</v>
      </c>
      <c r="D180" s="433" t="s">
        <v>517</v>
      </c>
      <c r="E180" s="433" t="s">
        <v>509</v>
      </c>
      <c r="F180" s="434">
        <v>45229</v>
      </c>
      <c r="G180" s="425">
        <v>5</v>
      </c>
      <c r="H180" s="426">
        <f t="shared" si="25"/>
        <v>60</v>
      </c>
      <c r="I180" s="427">
        <v>0</v>
      </c>
      <c r="J180" s="428">
        <v>2433.63</v>
      </c>
      <c r="K180" s="428">
        <v>1054.58</v>
      </c>
      <c r="L180" s="428">
        <v>0</v>
      </c>
      <c r="M180" s="423">
        <f t="shared" si="26"/>
        <v>1379.0500000000002</v>
      </c>
      <c r="N180" s="442" t="str">
        <f t="shared" si="27"/>
        <v>否</v>
      </c>
      <c r="O180" s="111">
        <f t="shared" si="28"/>
        <v>2028</v>
      </c>
      <c r="P180" s="49">
        <f t="shared" si="29"/>
        <v>47057</v>
      </c>
      <c r="Q180" s="113">
        <v>486.73</v>
      </c>
      <c r="S180" s="112">
        <f t="shared" si="30"/>
        <v>12</v>
      </c>
      <c r="T180" s="113">
        <f t="shared" si="32"/>
        <v>486.72600000000006</v>
      </c>
      <c r="U180" s="113">
        <f t="shared" si="31"/>
        <v>-3.999999999962256E-3</v>
      </c>
      <c r="Y180" s="113"/>
      <c r="Z180" s="116"/>
    </row>
    <row r="181" spans="2:26" ht="12.75" customHeight="1">
      <c r="B181" s="48" t="s">
        <v>132</v>
      </c>
      <c r="C181" s="443" t="s">
        <v>452</v>
      </c>
      <c r="D181" s="433" t="s">
        <v>518</v>
      </c>
      <c r="E181" s="433" t="s">
        <v>509</v>
      </c>
      <c r="F181" s="434">
        <v>45229</v>
      </c>
      <c r="G181" s="425">
        <v>5</v>
      </c>
      <c r="H181" s="426">
        <f t="shared" si="25"/>
        <v>60</v>
      </c>
      <c r="I181" s="427">
        <v>0</v>
      </c>
      <c r="J181" s="428">
        <v>2433.63</v>
      </c>
      <c r="K181" s="428">
        <v>1054.58</v>
      </c>
      <c r="L181" s="428">
        <v>0</v>
      </c>
      <c r="M181" s="423">
        <f t="shared" si="26"/>
        <v>1379.0500000000002</v>
      </c>
      <c r="N181" s="442" t="str">
        <f t="shared" si="27"/>
        <v>否</v>
      </c>
      <c r="O181" s="111">
        <f t="shared" si="28"/>
        <v>2028</v>
      </c>
      <c r="P181" s="49">
        <f t="shared" si="29"/>
        <v>47057</v>
      </c>
      <c r="Q181" s="113">
        <v>486.73</v>
      </c>
      <c r="S181" s="112">
        <f t="shared" si="30"/>
        <v>12</v>
      </c>
      <c r="T181" s="113">
        <f t="shared" si="32"/>
        <v>486.72600000000006</v>
      </c>
      <c r="U181" s="113">
        <f t="shared" si="31"/>
        <v>-3.999999999962256E-3</v>
      </c>
      <c r="Y181" s="113"/>
      <c r="Z181" s="116"/>
    </row>
    <row r="182" spans="2:26" ht="12.75" customHeight="1">
      <c r="B182" s="48" t="s">
        <v>132</v>
      </c>
      <c r="C182" s="443" t="s">
        <v>452</v>
      </c>
      <c r="D182" s="433" t="s">
        <v>519</v>
      </c>
      <c r="E182" s="433" t="s">
        <v>520</v>
      </c>
      <c r="F182" s="434">
        <v>45229</v>
      </c>
      <c r="G182" s="425">
        <v>5</v>
      </c>
      <c r="H182" s="426">
        <f t="shared" si="25"/>
        <v>60</v>
      </c>
      <c r="I182" s="427">
        <v>0</v>
      </c>
      <c r="J182" s="428">
        <v>2529.8200000000002</v>
      </c>
      <c r="K182" s="428">
        <v>1096.25</v>
      </c>
      <c r="L182" s="428">
        <v>0</v>
      </c>
      <c r="M182" s="423">
        <f t="shared" si="26"/>
        <v>1433.5700000000002</v>
      </c>
      <c r="N182" s="442" t="str">
        <f t="shared" si="27"/>
        <v>否</v>
      </c>
      <c r="O182" s="111">
        <f t="shared" si="28"/>
        <v>2028</v>
      </c>
      <c r="P182" s="49">
        <f t="shared" si="29"/>
        <v>47057</v>
      </c>
      <c r="Q182" s="113">
        <v>505.96</v>
      </c>
      <c r="S182" s="112">
        <f t="shared" si="30"/>
        <v>12</v>
      </c>
      <c r="T182" s="113">
        <f t="shared" si="32"/>
        <v>505.96400000000006</v>
      </c>
      <c r="U182" s="113">
        <f t="shared" si="31"/>
        <v>4.0000000000759428E-3</v>
      </c>
      <c r="Y182" s="113"/>
      <c r="Z182" s="116"/>
    </row>
    <row r="183" spans="2:26" ht="12.75" customHeight="1">
      <c r="B183" s="48" t="s">
        <v>132</v>
      </c>
      <c r="C183" s="443" t="s">
        <v>452</v>
      </c>
      <c r="D183" s="433" t="s">
        <v>521</v>
      </c>
      <c r="E183" s="433" t="s">
        <v>522</v>
      </c>
      <c r="F183" s="434">
        <v>45229</v>
      </c>
      <c r="G183" s="425">
        <v>5</v>
      </c>
      <c r="H183" s="426">
        <f t="shared" si="25"/>
        <v>60</v>
      </c>
      <c r="I183" s="427">
        <v>0</v>
      </c>
      <c r="J183" s="428">
        <v>6017.7</v>
      </c>
      <c r="K183" s="428">
        <v>2607.67</v>
      </c>
      <c r="L183" s="428">
        <v>0</v>
      </c>
      <c r="M183" s="423">
        <f t="shared" si="26"/>
        <v>3410.0299999999997</v>
      </c>
      <c r="N183" s="442" t="str">
        <f t="shared" si="27"/>
        <v>否</v>
      </c>
      <c r="O183" s="111">
        <f t="shared" si="28"/>
        <v>2028</v>
      </c>
      <c r="P183" s="49">
        <f t="shared" si="29"/>
        <v>47057</v>
      </c>
      <c r="Q183" s="113">
        <v>1203.54</v>
      </c>
      <c r="S183" s="112">
        <f t="shared" si="30"/>
        <v>12</v>
      </c>
      <c r="T183" s="113">
        <f t="shared" si="32"/>
        <v>1203.54</v>
      </c>
      <c r="U183" s="113">
        <f t="shared" si="31"/>
        <v>0</v>
      </c>
      <c r="Y183" s="113"/>
      <c r="Z183" s="116"/>
    </row>
    <row r="184" spans="2:26" ht="12.75" customHeight="1">
      <c r="B184" s="48" t="s">
        <v>132</v>
      </c>
      <c r="C184" s="443" t="s">
        <v>452</v>
      </c>
      <c r="D184" s="433" t="s">
        <v>523</v>
      </c>
      <c r="E184" s="433" t="s">
        <v>522</v>
      </c>
      <c r="F184" s="434">
        <v>45229</v>
      </c>
      <c r="G184" s="425">
        <v>5</v>
      </c>
      <c r="H184" s="426">
        <f t="shared" si="25"/>
        <v>60</v>
      </c>
      <c r="I184" s="427">
        <v>0</v>
      </c>
      <c r="J184" s="428">
        <v>6017.7</v>
      </c>
      <c r="K184" s="428">
        <v>2607.67</v>
      </c>
      <c r="L184" s="428">
        <v>0</v>
      </c>
      <c r="M184" s="423">
        <f t="shared" si="26"/>
        <v>3410.0299999999997</v>
      </c>
      <c r="N184" s="442" t="str">
        <f t="shared" si="27"/>
        <v>否</v>
      </c>
      <c r="O184" s="111">
        <f t="shared" si="28"/>
        <v>2028</v>
      </c>
      <c r="P184" s="49">
        <f t="shared" si="29"/>
        <v>47057</v>
      </c>
      <c r="Q184" s="113">
        <v>1203.54</v>
      </c>
      <c r="S184" s="112">
        <f t="shared" si="30"/>
        <v>12</v>
      </c>
      <c r="T184" s="113">
        <f t="shared" si="32"/>
        <v>1203.54</v>
      </c>
      <c r="U184" s="113">
        <f t="shared" si="31"/>
        <v>0</v>
      </c>
      <c r="Y184" s="113"/>
      <c r="Z184" s="116"/>
    </row>
    <row r="185" spans="2:26" ht="12.75" customHeight="1">
      <c r="B185" s="48" t="s">
        <v>132</v>
      </c>
      <c r="C185" s="443" t="s">
        <v>452</v>
      </c>
      <c r="D185" s="433" t="s">
        <v>524</v>
      </c>
      <c r="E185" s="433" t="s">
        <v>462</v>
      </c>
      <c r="F185" s="434">
        <v>45672</v>
      </c>
      <c r="G185" s="425">
        <v>8</v>
      </c>
      <c r="H185" s="426">
        <f t="shared" si="25"/>
        <v>96</v>
      </c>
      <c r="I185" s="427">
        <v>0</v>
      </c>
      <c r="J185" s="428">
        <v>5163</v>
      </c>
      <c r="K185" s="428">
        <v>624.1</v>
      </c>
      <c r="L185" s="428">
        <v>0</v>
      </c>
      <c r="M185" s="423">
        <f t="shared" si="26"/>
        <v>4538.8999999999996</v>
      </c>
      <c r="N185" s="442" t="str">
        <f t="shared" si="27"/>
        <v>否</v>
      </c>
      <c r="O185" s="111">
        <f t="shared" si="28"/>
        <v>2033</v>
      </c>
      <c r="P185" s="49">
        <f t="shared" si="29"/>
        <v>48610</v>
      </c>
      <c r="Q185" s="113">
        <v>624.1</v>
      </c>
      <c r="S185" s="112">
        <f t="shared" si="30"/>
        <v>11</v>
      </c>
      <c r="T185" s="113">
        <f t="shared" si="32"/>
        <v>591.59375</v>
      </c>
      <c r="U185" s="113">
        <f t="shared" si="31"/>
        <v>-32.506250000000023</v>
      </c>
      <c r="X185" s="414" t="s">
        <v>693</v>
      </c>
      <c r="Z185" s="116"/>
    </row>
    <row r="186" spans="2:26" ht="12.75" customHeight="1">
      <c r="B186" s="48" t="s">
        <v>132</v>
      </c>
      <c r="C186" s="443" t="s">
        <v>452</v>
      </c>
      <c r="D186" s="433" t="s">
        <v>525</v>
      </c>
      <c r="E186" s="433" t="s">
        <v>462</v>
      </c>
      <c r="F186" s="434">
        <v>45672</v>
      </c>
      <c r="G186" s="425">
        <v>8</v>
      </c>
      <c r="H186" s="426">
        <f t="shared" si="25"/>
        <v>96</v>
      </c>
      <c r="I186" s="427">
        <v>0</v>
      </c>
      <c r="J186" s="428">
        <v>5163</v>
      </c>
      <c r="K186" s="428">
        <v>591.59</v>
      </c>
      <c r="L186" s="428">
        <v>0</v>
      </c>
      <c r="M186" s="423">
        <f t="shared" si="26"/>
        <v>4571.41</v>
      </c>
      <c r="N186" s="442" t="str">
        <f t="shared" si="27"/>
        <v>否</v>
      </c>
      <c r="O186" s="111">
        <f t="shared" si="28"/>
        <v>2033</v>
      </c>
      <c r="P186" s="49">
        <f t="shared" si="29"/>
        <v>48610</v>
      </c>
      <c r="Q186" s="113">
        <v>591.59</v>
      </c>
      <c r="S186" s="112">
        <f t="shared" si="30"/>
        <v>11</v>
      </c>
      <c r="T186" s="113">
        <f t="shared" si="32"/>
        <v>591.59375</v>
      </c>
      <c r="U186" s="113">
        <f t="shared" si="31"/>
        <v>3.7499999999681677E-3</v>
      </c>
      <c r="X186" s="414" t="s">
        <v>693</v>
      </c>
      <c r="Z186" s="116"/>
    </row>
    <row r="187" spans="2:26" ht="12.75" customHeight="1">
      <c r="B187" s="48" t="s">
        <v>132</v>
      </c>
      <c r="C187" s="443" t="s">
        <v>452</v>
      </c>
      <c r="D187" s="433" t="s">
        <v>526</v>
      </c>
      <c r="E187" s="433" t="s">
        <v>462</v>
      </c>
      <c r="F187" s="434">
        <v>45672</v>
      </c>
      <c r="G187" s="425">
        <v>8</v>
      </c>
      <c r="H187" s="426">
        <f t="shared" si="25"/>
        <v>96</v>
      </c>
      <c r="I187" s="427">
        <v>0</v>
      </c>
      <c r="J187" s="428">
        <v>6200</v>
      </c>
      <c r="K187" s="428">
        <v>710.42</v>
      </c>
      <c r="L187" s="428">
        <v>0</v>
      </c>
      <c r="M187" s="423">
        <f t="shared" si="26"/>
        <v>5489.58</v>
      </c>
      <c r="N187" s="442" t="str">
        <f t="shared" si="27"/>
        <v>否</v>
      </c>
      <c r="O187" s="111">
        <f t="shared" si="28"/>
        <v>2033</v>
      </c>
      <c r="P187" s="49">
        <f t="shared" si="29"/>
        <v>48610</v>
      </c>
      <c r="Q187" s="113">
        <v>710.42</v>
      </c>
      <c r="S187" s="112">
        <f t="shared" si="30"/>
        <v>11</v>
      </c>
      <c r="T187" s="113">
        <f t="shared" si="32"/>
        <v>710.41666666666663</v>
      </c>
      <c r="U187" s="113">
        <f t="shared" si="31"/>
        <v>-3.3333333333303017E-3</v>
      </c>
      <c r="X187" s="414" t="s">
        <v>693</v>
      </c>
      <c r="Z187" s="116"/>
    </row>
    <row r="188" spans="2:26" ht="12.75" customHeight="1">
      <c r="B188" s="48" t="s">
        <v>132</v>
      </c>
      <c r="C188" s="443" t="s">
        <v>452</v>
      </c>
      <c r="D188" s="433" t="s">
        <v>527</v>
      </c>
      <c r="E188" s="433" t="s">
        <v>462</v>
      </c>
      <c r="F188" s="434">
        <v>45672</v>
      </c>
      <c r="G188" s="425">
        <v>8</v>
      </c>
      <c r="H188" s="426">
        <f t="shared" si="25"/>
        <v>96</v>
      </c>
      <c r="I188" s="427">
        <v>0</v>
      </c>
      <c r="J188" s="428">
        <v>6200</v>
      </c>
      <c r="K188" s="428">
        <v>710.42</v>
      </c>
      <c r="L188" s="428">
        <v>0</v>
      </c>
      <c r="M188" s="423">
        <f t="shared" si="26"/>
        <v>5489.58</v>
      </c>
      <c r="N188" s="442" t="str">
        <f t="shared" si="27"/>
        <v>否</v>
      </c>
      <c r="O188" s="111">
        <f t="shared" si="28"/>
        <v>2033</v>
      </c>
      <c r="P188" s="49">
        <f t="shared" si="29"/>
        <v>48610</v>
      </c>
      <c r="Q188" s="113">
        <v>710.42</v>
      </c>
      <c r="S188" s="112">
        <f t="shared" si="30"/>
        <v>11</v>
      </c>
      <c r="T188" s="113">
        <f t="shared" ref="T188:T219" si="33">(J188*(1-I188))/H188*S188</f>
        <v>710.41666666666663</v>
      </c>
      <c r="U188" s="113">
        <f t="shared" si="31"/>
        <v>-3.3333333333303017E-3</v>
      </c>
      <c r="X188" s="414" t="s">
        <v>693</v>
      </c>
      <c r="Z188" s="116"/>
    </row>
    <row r="189" spans="2:26" ht="12.75" customHeight="1">
      <c r="B189" s="48" t="s">
        <v>132</v>
      </c>
      <c r="C189" s="443" t="s">
        <v>452</v>
      </c>
      <c r="D189" s="433" t="s">
        <v>528</v>
      </c>
      <c r="E189" s="433" t="s">
        <v>462</v>
      </c>
      <c r="F189" s="434">
        <v>45672</v>
      </c>
      <c r="G189" s="425">
        <v>8</v>
      </c>
      <c r="H189" s="426">
        <f t="shared" si="25"/>
        <v>96</v>
      </c>
      <c r="I189" s="427">
        <v>0</v>
      </c>
      <c r="J189" s="428">
        <v>6200</v>
      </c>
      <c r="K189" s="428">
        <v>710.42</v>
      </c>
      <c r="L189" s="428">
        <v>0</v>
      </c>
      <c r="M189" s="423">
        <f t="shared" si="26"/>
        <v>5489.58</v>
      </c>
      <c r="N189" s="442" t="str">
        <f t="shared" si="27"/>
        <v>否</v>
      </c>
      <c r="O189" s="111">
        <f t="shared" si="28"/>
        <v>2033</v>
      </c>
      <c r="P189" s="49">
        <f t="shared" si="29"/>
        <v>48610</v>
      </c>
      <c r="Q189" s="113">
        <v>710.42</v>
      </c>
      <c r="S189" s="112">
        <f t="shared" si="30"/>
        <v>11</v>
      </c>
      <c r="T189" s="113">
        <f t="shared" si="33"/>
        <v>710.41666666666663</v>
      </c>
      <c r="U189" s="113">
        <f t="shared" si="31"/>
        <v>-3.3333333333303017E-3</v>
      </c>
      <c r="X189" s="414" t="s">
        <v>693</v>
      </c>
      <c r="Z189" s="116"/>
    </row>
    <row r="190" spans="2:26" ht="12.75" customHeight="1">
      <c r="B190" s="414" t="s">
        <v>686</v>
      </c>
      <c r="C190" s="443" t="s">
        <v>529</v>
      </c>
      <c r="D190" s="433" t="s">
        <v>530</v>
      </c>
      <c r="E190" s="433" t="s">
        <v>531</v>
      </c>
      <c r="F190" s="434">
        <v>44944</v>
      </c>
      <c r="G190" s="425">
        <v>8</v>
      </c>
      <c r="H190" s="426">
        <f t="shared" si="25"/>
        <v>96</v>
      </c>
      <c r="I190" s="427">
        <v>0</v>
      </c>
      <c r="J190" s="428">
        <v>3792.03</v>
      </c>
      <c r="K190" s="428">
        <v>1382.5</v>
      </c>
      <c r="L190" s="428">
        <v>0</v>
      </c>
      <c r="M190" s="423">
        <f t="shared" si="26"/>
        <v>2409.5300000000002</v>
      </c>
      <c r="N190" s="442" t="str">
        <f t="shared" si="27"/>
        <v>否</v>
      </c>
      <c r="O190" s="111">
        <f t="shared" si="28"/>
        <v>2031</v>
      </c>
      <c r="P190" s="49">
        <f t="shared" si="29"/>
        <v>47879</v>
      </c>
      <c r="Q190" s="113">
        <v>474</v>
      </c>
      <c r="S190" s="112">
        <f t="shared" si="30"/>
        <v>12</v>
      </c>
      <c r="T190" s="113">
        <f t="shared" si="33"/>
        <v>474.00374999999997</v>
      </c>
      <c r="U190" s="113">
        <f t="shared" si="31"/>
        <v>3.7499999999681677E-3</v>
      </c>
      <c r="Y190" s="113"/>
      <c r="Z190" s="116"/>
    </row>
    <row r="191" spans="2:26" ht="12.75" customHeight="1">
      <c r="B191" s="414" t="s">
        <v>686</v>
      </c>
      <c r="C191" s="443" t="s">
        <v>529</v>
      </c>
      <c r="D191" s="433" t="s">
        <v>532</v>
      </c>
      <c r="E191" s="433" t="s">
        <v>531</v>
      </c>
      <c r="F191" s="434">
        <v>44944</v>
      </c>
      <c r="G191" s="425">
        <v>8</v>
      </c>
      <c r="H191" s="426">
        <f t="shared" si="25"/>
        <v>96</v>
      </c>
      <c r="I191" s="427">
        <v>0</v>
      </c>
      <c r="J191" s="428">
        <v>3792.03</v>
      </c>
      <c r="K191" s="428">
        <v>1382.5</v>
      </c>
      <c r="L191" s="428">
        <v>0</v>
      </c>
      <c r="M191" s="423">
        <f t="shared" si="26"/>
        <v>2409.5300000000002</v>
      </c>
      <c r="N191" s="442" t="str">
        <f t="shared" si="27"/>
        <v>否</v>
      </c>
      <c r="O191" s="111">
        <f t="shared" si="28"/>
        <v>2031</v>
      </c>
      <c r="P191" s="49">
        <f t="shared" si="29"/>
        <v>47879</v>
      </c>
      <c r="Q191" s="113">
        <v>474</v>
      </c>
      <c r="S191" s="112">
        <f t="shared" si="30"/>
        <v>12</v>
      </c>
      <c r="T191" s="113">
        <f t="shared" si="33"/>
        <v>474.00374999999997</v>
      </c>
      <c r="U191" s="113">
        <f t="shared" si="31"/>
        <v>3.7499999999681677E-3</v>
      </c>
      <c r="Y191" s="113"/>
      <c r="Z191" s="116"/>
    </row>
    <row r="192" spans="2:26" ht="12.75" customHeight="1">
      <c r="B192" s="414" t="s">
        <v>686</v>
      </c>
      <c r="C192" s="443" t="s">
        <v>529</v>
      </c>
      <c r="D192" s="433" t="s">
        <v>533</v>
      </c>
      <c r="E192" s="433" t="s">
        <v>531</v>
      </c>
      <c r="F192" s="434">
        <v>44944</v>
      </c>
      <c r="G192" s="425">
        <v>8</v>
      </c>
      <c r="H192" s="426">
        <f t="shared" si="25"/>
        <v>96</v>
      </c>
      <c r="I192" s="427">
        <v>0</v>
      </c>
      <c r="J192" s="428">
        <v>3792.03</v>
      </c>
      <c r="K192" s="428">
        <v>1382.5</v>
      </c>
      <c r="L192" s="428">
        <v>0</v>
      </c>
      <c r="M192" s="423">
        <f t="shared" si="26"/>
        <v>2409.5300000000002</v>
      </c>
      <c r="N192" s="442" t="str">
        <f t="shared" si="27"/>
        <v>否</v>
      </c>
      <c r="O192" s="111">
        <f t="shared" si="28"/>
        <v>2031</v>
      </c>
      <c r="P192" s="49">
        <f t="shared" si="29"/>
        <v>47879</v>
      </c>
      <c r="Q192" s="113">
        <v>474</v>
      </c>
      <c r="S192" s="112">
        <f t="shared" si="30"/>
        <v>12</v>
      </c>
      <c r="T192" s="113">
        <f t="shared" si="33"/>
        <v>474.00374999999997</v>
      </c>
      <c r="U192" s="113">
        <f t="shared" si="31"/>
        <v>3.7499999999681677E-3</v>
      </c>
      <c r="Y192" s="113"/>
      <c r="Z192" s="116"/>
    </row>
    <row r="193" spans="2:26" ht="12.75" customHeight="1">
      <c r="B193" s="414" t="s">
        <v>686</v>
      </c>
      <c r="C193" s="443" t="s">
        <v>529</v>
      </c>
      <c r="D193" s="433" t="s">
        <v>534</v>
      </c>
      <c r="E193" s="433" t="s">
        <v>531</v>
      </c>
      <c r="F193" s="434">
        <v>44944</v>
      </c>
      <c r="G193" s="425">
        <v>8</v>
      </c>
      <c r="H193" s="426">
        <f t="shared" si="25"/>
        <v>96</v>
      </c>
      <c r="I193" s="427">
        <v>0</v>
      </c>
      <c r="J193" s="428">
        <v>3792.04</v>
      </c>
      <c r="K193" s="428">
        <v>1382.51</v>
      </c>
      <c r="L193" s="428">
        <v>0</v>
      </c>
      <c r="M193" s="423">
        <f t="shared" si="26"/>
        <v>2409.5299999999997</v>
      </c>
      <c r="N193" s="442" t="str">
        <f t="shared" si="27"/>
        <v>否</v>
      </c>
      <c r="O193" s="111">
        <f t="shared" si="28"/>
        <v>2031</v>
      </c>
      <c r="P193" s="49">
        <f t="shared" si="29"/>
        <v>47879</v>
      </c>
      <c r="Q193" s="113">
        <v>474</v>
      </c>
      <c r="S193" s="112">
        <f t="shared" si="30"/>
        <v>12</v>
      </c>
      <c r="T193" s="113">
        <f t="shared" si="33"/>
        <v>474.005</v>
      </c>
      <c r="U193" s="113">
        <f t="shared" si="31"/>
        <v>4.9999999999954525E-3</v>
      </c>
      <c r="Y193" s="113"/>
      <c r="Z193" s="116"/>
    </row>
    <row r="194" spans="2:26" ht="12.75" customHeight="1">
      <c r="B194" s="414" t="s">
        <v>686</v>
      </c>
      <c r="C194" s="443" t="s">
        <v>529</v>
      </c>
      <c r="D194" s="433" t="s">
        <v>535</v>
      </c>
      <c r="E194" s="433" t="s">
        <v>531</v>
      </c>
      <c r="F194" s="434">
        <v>44944</v>
      </c>
      <c r="G194" s="425">
        <v>8</v>
      </c>
      <c r="H194" s="426">
        <f t="shared" si="25"/>
        <v>96</v>
      </c>
      <c r="I194" s="427">
        <v>0</v>
      </c>
      <c r="J194" s="428">
        <v>3792.04</v>
      </c>
      <c r="K194" s="428">
        <v>1382.51</v>
      </c>
      <c r="L194" s="428">
        <v>0</v>
      </c>
      <c r="M194" s="423">
        <f t="shared" si="26"/>
        <v>2409.5299999999997</v>
      </c>
      <c r="N194" s="442" t="str">
        <f t="shared" si="27"/>
        <v>否</v>
      </c>
      <c r="O194" s="111">
        <f t="shared" si="28"/>
        <v>2031</v>
      </c>
      <c r="P194" s="49">
        <f t="shared" si="29"/>
        <v>47879</v>
      </c>
      <c r="Q194" s="113">
        <v>474</v>
      </c>
      <c r="S194" s="112">
        <f t="shared" si="30"/>
        <v>12</v>
      </c>
      <c r="T194" s="113">
        <f t="shared" si="33"/>
        <v>474.005</v>
      </c>
      <c r="U194" s="113">
        <f t="shared" si="31"/>
        <v>4.9999999999954525E-3</v>
      </c>
      <c r="Y194" s="113"/>
      <c r="Z194" s="116"/>
    </row>
    <row r="195" spans="2:26" ht="12.75" customHeight="1">
      <c r="B195" s="414" t="s">
        <v>686</v>
      </c>
      <c r="C195" s="443" t="s">
        <v>529</v>
      </c>
      <c r="D195" s="433" t="s">
        <v>536</v>
      </c>
      <c r="E195" s="433" t="s">
        <v>531</v>
      </c>
      <c r="F195" s="434">
        <v>44944</v>
      </c>
      <c r="G195" s="425">
        <v>8</v>
      </c>
      <c r="H195" s="426">
        <f t="shared" si="25"/>
        <v>96</v>
      </c>
      <c r="I195" s="427">
        <v>0</v>
      </c>
      <c r="J195" s="428">
        <v>3792.04</v>
      </c>
      <c r="K195" s="428">
        <v>1382.51</v>
      </c>
      <c r="L195" s="428">
        <v>0</v>
      </c>
      <c r="M195" s="423">
        <f t="shared" si="26"/>
        <v>2409.5299999999997</v>
      </c>
      <c r="N195" s="442" t="str">
        <f t="shared" si="27"/>
        <v>否</v>
      </c>
      <c r="O195" s="111">
        <f t="shared" si="28"/>
        <v>2031</v>
      </c>
      <c r="P195" s="49">
        <f t="shared" si="29"/>
        <v>47879</v>
      </c>
      <c r="Q195" s="113">
        <v>474</v>
      </c>
      <c r="S195" s="112">
        <f t="shared" si="30"/>
        <v>12</v>
      </c>
      <c r="T195" s="113">
        <f t="shared" si="33"/>
        <v>474.005</v>
      </c>
      <c r="U195" s="113">
        <f t="shared" si="31"/>
        <v>4.9999999999954525E-3</v>
      </c>
      <c r="Y195" s="113"/>
      <c r="Z195" s="116"/>
    </row>
    <row r="196" spans="2:26" ht="12.75" customHeight="1">
      <c r="B196" s="414" t="s">
        <v>684</v>
      </c>
      <c r="C196" s="443" t="s">
        <v>537</v>
      </c>
      <c r="D196" s="433" t="s">
        <v>538</v>
      </c>
      <c r="E196" s="433" t="s">
        <v>539</v>
      </c>
      <c r="F196" s="434">
        <v>44561</v>
      </c>
      <c r="G196" s="425">
        <v>35</v>
      </c>
      <c r="H196" s="426">
        <f t="shared" si="25"/>
        <v>420</v>
      </c>
      <c r="I196" s="427">
        <v>0</v>
      </c>
      <c r="J196" s="428">
        <v>275229.37</v>
      </c>
      <c r="K196" s="428">
        <v>31454.799999999999</v>
      </c>
      <c r="L196" s="428">
        <v>0</v>
      </c>
      <c r="M196" s="423">
        <f t="shared" si="26"/>
        <v>243774.57</v>
      </c>
      <c r="N196" s="442" t="str">
        <f t="shared" si="27"/>
        <v>否</v>
      </c>
      <c r="O196" s="111">
        <f t="shared" si="28"/>
        <v>2056</v>
      </c>
      <c r="P196" s="49">
        <f t="shared" si="29"/>
        <v>57345</v>
      </c>
      <c r="Q196" s="113">
        <v>7863.7</v>
      </c>
      <c r="S196" s="112">
        <f t="shared" si="30"/>
        <v>12</v>
      </c>
      <c r="T196" s="113">
        <f t="shared" si="33"/>
        <v>7863.6962857142853</v>
      </c>
      <c r="U196" s="113">
        <f t="shared" si="31"/>
        <v>-3.7142857145227026E-3</v>
      </c>
      <c r="Y196" s="113"/>
      <c r="Z196" s="116"/>
    </row>
    <row r="197" spans="2:26" ht="12.75" customHeight="1">
      <c r="B197" s="414" t="s">
        <v>684</v>
      </c>
      <c r="C197" s="443" t="s">
        <v>541</v>
      </c>
      <c r="D197" s="433" t="s">
        <v>542</v>
      </c>
      <c r="E197" s="433" t="s">
        <v>543</v>
      </c>
      <c r="F197" s="434">
        <v>44926</v>
      </c>
      <c r="G197" s="425">
        <v>40</v>
      </c>
      <c r="H197" s="426">
        <f t="shared" si="25"/>
        <v>480</v>
      </c>
      <c r="I197" s="427">
        <v>0</v>
      </c>
      <c r="J197" s="428">
        <v>34466.019999999997</v>
      </c>
      <c r="K197" s="428">
        <v>2584.9499999999998</v>
      </c>
      <c r="L197" s="428">
        <v>0</v>
      </c>
      <c r="M197" s="423">
        <f t="shared" si="26"/>
        <v>31881.069999999996</v>
      </c>
      <c r="N197" s="442" t="str">
        <f t="shared" si="27"/>
        <v>否</v>
      </c>
      <c r="O197" s="111">
        <f t="shared" si="28"/>
        <v>2062</v>
      </c>
      <c r="P197" s="49">
        <f t="shared" si="29"/>
        <v>59536</v>
      </c>
      <c r="Q197" s="113">
        <v>861.65</v>
      </c>
      <c r="S197" s="112">
        <f t="shared" si="30"/>
        <v>12</v>
      </c>
      <c r="T197" s="113">
        <f t="shared" si="33"/>
        <v>861.65049999999985</v>
      </c>
      <c r="U197" s="113">
        <f t="shared" si="31"/>
        <v>4.9999999987448973E-4</v>
      </c>
      <c r="Y197" s="113"/>
      <c r="Z197" s="116"/>
    </row>
    <row r="198" spans="2:26" ht="12.75" customHeight="1">
      <c r="B198" s="414" t="s">
        <v>684</v>
      </c>
      <c r="C198" s="443" t="s">
        <v>541</v>
      </c>
      <c r="D198" s="433" t="s">
        <v>544</v>
      </c>
      <c r="E198" s="433" t="s">
        <v>545</v>
      </c>
      <c r="F198" s="434">
        <v>45196</v>
      </c>
      <c r="G198" s="425">
        <v>40</v>
      </c>
      <c r="H198" s="426">
        <f t="shared" si="25"/>
        <v>480</v>
      </c>
      <c r="I198" s="427">
        <v>0</v>
      </c>
      <c r="J198" s="428">
        <v>12916.81</v>
      </c>
      <c r="K198" s="428">
        <v>726.57</v>
      </c>
      <c r="L198" s="428">
        <v>0</v>
      </c>
      <c r="M198" s="423">
        <f t="shared" si="26"/>
        <v>12190.24</v>
      </c>
      <c r="N198" s="442" t="str">
        <f t="shared" si="27"/>
        <v>否</v>
      </c>
      <c r="O198" s="111">
        <f t="shared" si="28"/>
        <v>2063</v>
      </c>
      <c r="P198" s="49">
        <f t="shared" si="29"/>
        <v>59809</v>
      </c>
      <c r="Q198" s="113">
        <v>322.92</v>
      </c>
      <c r="S198" s="112">
        <f t="shared" si="30"/>
        <v>12</v>
      </c>
      <c r="T198" s="113">
        <f t="shared" si="33"/>
        <v>322.92024999999995</v>
      </c>
      <c r="U198" s="113">
        <f t="shared" si="31"/>
        <v>2.4999999993724487E-4</v>
      </c>
      <c r="Y198" s="113"/>
      <c r="Z198" s="116"/>
    </row>
    <row r="199" spans="2:26" ht="12.75" customHeight="1">
      <c r="B199" s="414" t="s">
        <v>686</v>
      </c>
      <c r="C199" s="444" t="s">
        <v>222</v>
      </c>
      <c r="D199" s="433" t="s">
        <v>695</v>
      </c>
      <c r="E199" s="433" t="s">
        <v>718</v>
      </c>
      <c r="F199" s="434">
        <v>46013</v>
      </c>
      <c r="G199" s="425">
        <v>12</v>
      </c>
      <c r="H199" s="426">
        <f t="shared" si="25"/>
        <v>144</v>
      </c>
      <c r="I199" s="427">
        <v>0</v>
      </c>
      <c r="J199" s="428">
        <v>355386.52</v>
      </c>
      <c r="K199" s="428">
        <v>0</v>
      </c>
      <c r="L199" s="428">
        <v>0</v>
      </c>
      <c r="M199" s="423">
        <f t="shared" si="26"/>
        <v>355386.52</v>
      </c>
      <c r="N199" s="442" t="str">
        <f t="shared" si="27"/>
        <v>否</v>
      </c>
      <c r="O199" s="111">
        <f t="shared" si="28"/>
        <v>2037</v>
      </c>
      <c r="P199" s="49">
        <f t="shared" si="29"/>
        <v>50405</v>
      </c>
      <c r="Q199" s="113">
        <v>0</v>
      </c>
      <c r="S199" s="112">
        <f t="shared" si="30"/>
        <v>0</v>
      </c>
      <c r="T199" s="113">
        <f t="shared" si="33"/>
        <v>0</v>
      </c>
      <c r="U199" s="113">
        <f t="shared" si="31"/>
        <v>0</v>
      </c>
      <c r="V199" s="414"/>
      <c r="X199" s="414" t="s">
        <v>693</v>
      </c>
      <c r="Z199" s="116"/>
    </row>
    <row r="200" spans="2:26" ht="12.75" customHeight="1">
      <c r="B200" s="414" t="s">
        <v>686</v>
      </c>
      <c r="C200" s="444" t="s">
        <v>222</v>
      </c>
      <c r="D200" s="433" t="s">
        <v>696</v>
      </c>
      <c r="E200" s="433" t="s">
        <v>719</v>
      </c>
      <c r="F200" s="434">
        <v>46013</v>
      </c>
      <c r="G200" s="425">
        <v>12</v>
      </c>
      <c r="H200" s="426">
        <f t="shared" si="25"/>
        <v>144</v>
      </c>
      <c r="I200" s="427">
        <v>0</v>
      </c>
      <c r="J200" s="428">
        <v>1074800</v>
      </c>
      <c r="K200" s="428">
        <v>0</v>
      </c>
      <c r="L200" s="428">
        <v>0</v>
      </c>
      <c r="M200" s="423">
        <f t="shared" si="26"/>
        <v>1074800</v>
      </c>
      <c r="N200" s="442" t="str">
        <f t="shared" si="27"/>
        <v>否</v>
      </c>
      <c r="O200" s="111">
        <f t="shared" si="28"/>
        <v>2037</v>
      </c>
      <c r="P200" s="49">
        <f t="shared" si="29"/>
        <v>50405</v>
      </c>
      <c r="Q200" s="113">
        <v>0</v>
      </c>
      <c r="S200" s="112">
        <f t="shared" si="30"/>
        <v>0</v>
      </c>
      <c r="T200" s="113">
        <f t="shared" si="33"/>
        <v>0</v>
      </c>
      <c r="U200" s="113">
        <f t="shared" si="31"/>
        <v>0</v>
      </c>
      <c r="V200" s="414"/>
      <c r="X200" s="414" t="s">
        <v>693</v>
      </c>
      <c r="Z200" s="116"/>
    </row>
    <row r="201" spans="2:26" ht="12.75" customHeight="1">
      <c r="B201" s="414" t="s">
        <v>686</v>
      </c>
      <c r="C201" s="444" t="s">
        <v>222</v>
      </c>
      <c r="D201" s="433" t="s">
        <v>697</v>
      </c>
      <c r="E201" s="433" t="s">
        <v>720</v>
      </c>
      <c r="F201" s="434">
        <v>46013</v>
      </c>
      <c r="G201" s="425">
        <v>12</v>
      </c>
      <c r="H201" s="426">
        <f t="shared" si="25"/>
        <v>144</v>
      </c>
      <c r="I201" s="427">
        <v>0</v>
      </c>
      <c r="J201" s="428">
        <v>243900</v>
      </c>
      <c r="K201" s="428">
        <v>0</v>
      </c>
      <c r="L201" s="428">
        <v>0</v>
      </c>
      <c r="M201" s="423">
        <f t="shared" si="26"/>
        <v>243900</v>
      </c>
      <c r="N201" s="442" t="str">
        <f t="shared" si="27"/>
        <v>否</v>
      </c>
      <c r="O201" s="111">
        <f t="shared" si="28"/>
        <v>2037</v>
      </c>
      <c r="P201" s="49">
        <f t="shared" si="29"/>
        <v>50405</v>
      </c>
      <c r="Q201" s="113">
        <v>0</v>
      </c>
      <c r="S201" s="112">
        <f t="shared" si="30"/>
        <v>0</v>
      </c>
      <c r="T201" s="113">
        <f t="shared" si="33"/>
        <v>0</v>
      </c>
      <c r="U201" s="113">
        <f t="shared" si="31"/>
        <v>0</v>
      </c>
      <c r="V201" s="414"/>
      <c r="X201" s="414" t="s">
        <v>693</v>
      </c>
      <c r="Z201" s="116"/>
    </row>
    <row r="202" spans="2:26" ht="12.75" customHeight="1">
      <c r="B202" s="414" t="s">
        <v>686</v>
      </c>
      <c r="C202" s="444" t="s">
        <v>222</v>
      </c>
      <c r="D202" s="433" t="s">
        <v>698</v>
      </c>
      <c r="E202" s="433" t="s">
        <v>721</v>
      </c>
      <c r="F202" s="434">
        <v>46013</v>
      </c>
      <c r="G202" s="425">
        <v>12</v>
      </c>
      <c r="H202" s="426">
        <f t="shared" si="25"/>
        <v>144</v>
      </c>
      <c r="I202" s="427">
        <v>0</v>
      </c>
      <c r="J202" s="428">
        <v>355000</v>
      </c>
      <c r="K202" s="428">
        <v>0</v>
      </c>
      <c r="L202" s="428">
        <v>0</v>
      </c>
      <c r="M202" s="423">
        <f t="shared" si="26"/>
        <v>355000</v>
      </c>
      <c r="N202" s="442" t="str">
        <f t="shared" si="27"/>
        <v>否</v>
      </c>
      <c r="O202" s="111">
        <f t="shared" si="28"/>
        <v>2037</v>
      </c>
      <c r="P202" s="49">
        <f t="shared" si="29"/>
        <v>50405</v>
      </c>
      <c r="Q202" s="113">
        <v>0</v>
      </c>
      <c r="S202" s="112">
        <f t="shared" si="30"/>
        <v>0</v>
      </c>
      <c r="T202" s="113">
        <f t="shared" si="33"/>
        <v>0</v>
      </c>
      <c r="U202" s="113">
        <f t="shared" si="31"/>
        <v>0</v>
      </c>
      <c r="V202" s="414"/>
      <c r="X202" s="414" t="s">
        <v>693</v>
      </c>
      <c r="Z202" s="116"/>
    </row>
    <row r="203" spans="2:26" ht="12.75" customHeight="1">
      <c r="B203" s="414" t="s">
        <v>686</v>
      </c>
      <c r="C203" s="444" t="s">
        <v>222</v>
      </c>
      <c r="D203" s="433" t="s">
        <v>699</v>
      </c>
      <c r="E203" s="433" t="s">
        <v>722</v>
      </c>
      <c r="F203" s="434">
        <v>46013</v>
      </c>
      <c r="G203" s="425">
        <v>12</v>
      </c>
      <c r="H203" s="426">
        <f t="shared" ref="H203:H221" si="34">G203*12</f>
        <v>144</v>
      </c>
      <c r="I203" s="427">
        <v>0</v>
      </c>
      <c r="J203" s="428">
        <v>701900</v>
      </c>
      <c r="K203" s="428">
        <v>0</v>
      </c>
      <c r="L203" s="428">
        <v>0</v>
      </c>
      <c r="M203" s="423">
        <f t="shared" ref="M203:M221" si="35">J203-K203-L203</f>
        <v>701900</v>
      </c>
      <c r="N203" s="442" t="str">
        <f t="shared" ref="N203:N221" si="36">IF(ROUND(J203*(1-I203),0)=ROUND(K203,0),"是","否")</f>
        <v>否</v>
      </c>
      <c r="O203" s="111">
        <f t="shared" ref="O203:O221" si="37">IFERROR(YEAR(EOMONTH(F203,H203)),"")</f>
        <v>2037</v>
      </c>
      <c r="P203" s="49">
        <f t="shared" ref="P203:P221" si="38">IFERROR(EOMONTH(F203,H203),"")</f>
        <v>50405</v>
      </c>
      <c r="Q203" s="113">
        <v>0</v>
      </c>
      <c r="S203" s="112">
        <f t="shared" ref="S203:S221" si="39">IFERROR(IF(OR(AND(R203&lt;&gt;"",YEAR(R203)&lt;YEAR($M$9)),AND(P203&lt;&gt;"",YEAR(P203)&lt;YEAR($M$9))),0,IF(YEAR(F203)&gt;YEAR($M$9),0,IF(OR((IF(YEAR(F203)&lt;YEAR($M$9),1,IF(MONTH(F203)=12,99,MONTH(F203)+1))&gt;12),(IF(YEAR(F203)&lt;YEAR($M$9),1,IF(MONTH(F203)=12,99,MONTH(F203)+1))&gt;MIN(MONTH($M$9),IF(AND(R203&lt;&gt;"",YEAR(R203)=YEAR($M$9)),MONTH(R203),99),IF(AND(P203&lt;&gt;"",YEAR(P203)=YEAR($M$9)),MONTH(P203),99)))),0,MIN(MONTH($M$9),IF(AND(R203&lt;&gt;"",YEAR(R203)=YEAR($M$9)),MONTH(R203),99),IF(AND(P203&lt;&gt;"",YEAR(P203)=YEAR($M$9)),MONTH(P203),99))-IF(YEAR(F203)&lt;YEAR($M$9),1,IF(MONTH(F203)=12,99,MONTH(F203)+1))+1))),0)</f>
        <v>0</v>
      </c>
      <c r="T203" s="113">
        <f t="shared" si="33"/>
        <v>0</v>
      </c>
      <c r="U203" s="113">
        <f t="shared" ref="U203:U221" si="40">T203-Q203</f>
        <v>0</v>
      </c>
      <c r="V203" s="414"/>
      <c r="X203" s="414" t="s">
        <v>693</v>
      </c>
      <c r="Z203" s="116"/>
    </row>
    <row r="204" spans="2:26" ht="12.75" customHeight="1">
      <c r="B204" s="414" t="s">
        <v>686</v>
      </c>
      <c r="C204" s="444" t="s">
        <v>222</v>
      </c>
      <c r="D204" s="433" t="s">
        <v>700</v>
      </c>
      <c r="E204" s="433" t="s">
        <v>723</v>
      </c>
      <c r="F204" s="434">
        <v>46013</v>
      </c>
      <c r="G204" s="425">
        <v>12</v>
      </c>
      <c r="H204" s="426">
        <f t="shared" si="34"/>
        <v>144</v>
      </c>
      <c r="I204" s="427">
        <v>0</v>
      </c>
      <c r="J204" s="428">
        <v>155000</v>
      </c>
      <c r="K204" s="428">
        <v>0</v>
      </c>
      <c r="L204" s="428">
        <v>0</v>
      </c>
      <c r="M204" s="423">
        <f t="shared" si="35"/>
        <v>155000</v>
      </c>
      <c r="N204" s="442" t="str">
        <f t="shared" si="36"/>
        <v>否</v>
      </c>
      <c r="O204" s="111">
        <f t="shared" si="37"/>
        <v>2037</v>
      </c>
      <c r="P204" s="49">
        <f t="shared" si="38"/>
        <v>50405</v>
      </c>
      <c r="Q204" s="113">
        <v>0</v>
      </c>
      <c r="S204" s="112">
        <f t="shared" si="39"/>
        <v>0</v>
      </c>
      <c r="T204" s="113">
        <f t="shared" si="33"/>
        <v>0</v>
      </c>
      <c r="U204" s="113">
        <f t="shared" si="40"/>
        <v>0</v>
      </c>
      <c r="V204" s="414"/>
      <c r="X204" s="414" t="s">
        <v>693</v>
      </c>
      <c r="Z204" s="116"/>
    </row>
    <row r="205" spans="2:26" ht="12.75" customHeight="1">
      <c r="B205" s="414" t="s">
        <v>686</v>
      </c>
      <c r="C205" s="444" t="s">
        <v>222</v>
      </c>
      <c r="D205" s="433" t="s">
        <v>701</v>
      </c>
      <c r="E205" s="433" t="s">
        <v>724</v>
      </c>
      <c r="F205" s="434">
        <v>46013</v>
      </c>
      <c r="G205" s="425">
        <v>12</v>
      </c>
      <c r="H205" s="426">
        <f t="shared" si="34"/>
        <v>144</v>
      </c>
      <c r="I205" s="427">
        <v>0</v>
      </c>
      <c r="J205" s="428">
        <v>340200</v>
      </c>
      <c r="K205" s="428">
        <v>0</v>
      </c>
      <c r="L205" s="428">
        <v>0</v>
      </c>
      <c r="M205" s="423">
        <f t="shared" si="35"/>
        <v>340200</v>
      </c>
      <c r="N205" s="442" t="str">
        <f t="shared" si="36"/>
        <v>否</v>
      </c>
      <c r="O205" s="111">
        <f t="shared" si="37"/>
        <v>2037</v>
      </c>
      <c r="P205" s="49">
        <f t="shared" si="38"/>
        <v>50405</v>
      </c>
      <c r="Q205" s="113">
        <v>0</v>
      </c>
      <c r="S205" s="112">
        <f t="shared" si="39"/>
        <v>0</v>
      </c>
      <c r="T205" s="113">
        <f t="shared" si="33"/>
        <v>0</v>
      </c>
      <c r="U205" s="113">
        <f t="shared" si="40"/>
        <v>0</v>
      </c>
      <c r="V205" s="414"/>
      <c r="X205" s="414" t="s">
        <v>693</v>
      </c>
      <c r="Z205" s="116"/>
    </row>
    <row r="206" spans="2:26" ht="12.75" customHeight="1">
      <c r="B206" s="414" t="s">
        <v>686</v>
      </c>
      <c r="C206" s="444" t="s">
        <v>222</v>
      </c>
      <c r="D206" s="433" t="s">
        <v>702</v>
      </c>
      <c r="E206" s="433" t="s">
        <v>725</v>
      </c>
      <c r="F206" s="434">
        <v>46013</v>
      </c>
      <c r="G206" s="425">
        <v>12</v>
      </c>
      <c r="H206" s="426">
        <f t="shared" si="34"/>
        <v>144</v>
      </c>
      <c r="I206" s="427">
        <v>0</v>
      </c>
      <c r="J206" s="428">
        <v>446250</v>
      </c>
      <c r="K206" s="428">
        <v>0</v>
      </c>
      <c r="L206" s="428">
        <v>0</v>
      </c>
      <c r="M206" s="423">
        <f t="shared" si="35"/>
        <v>446250</v>
      </c>
      <c r="N206" s="442" t="str">
        <f t="shared" si="36"/>
        <v>否</v>
      </c>
      <c r="O206" s="111">
        <f t="shared" si="37"/>
        <v>2037</v>
      </c>
      <c r="P206" s="49">
        <f t="shared" si="38"/>
        <v>50405</v>
      </c>
      <c r="Q206" s="113">
        <v>0</v>
      </c>
      <c r="S206" s="112">
        <f t="shared" si="39"/>
        <v>0</v>
      </c>
      <c r="T206" s="113">
        <f t="shared" si="33"/>
        <v>0</v>
      </c>
      <c r="U206" s="113">
        <f t="shared" si="40"/>
        <v>0</v>
      </c>
      <c r="V206" s="414"/>
      <c r="X206" s="414" t="s">
        <v>693</v>
      </c>
      <c r="Z206" s="116"/>
    </row>
    <row r="207" spans="2:26" ht="12.75" customHeight="1">
      <c r="B207" s="414" t="s">
        <v>686</v>
      </c>
      <c r="C207" s="444" t="s">
        <v>222</v>
      </c>
      <c r="D207" s="433" t="s">
        <v>703</v>
      </c>
      <c r="E207" s="433" t="s">
        <v>726</v>
      </c>
      <c r="F207" s="434">
        <v>46013</v>
      </c>
      <c r="G207" s="425">
        <v>12</v>
      </c>
      <c r="H207" s="426">
        <f t="shared" si="34"/>
        <v>144</v>
      </c>
      <c r="I207" s="427">
        <v>0</v>
      </c>
      <c r="J207" s="428">
        <v>305000</v>
      </c>
      <c r="K207" s="428">
        <v>0</v>
      </c>
      <c r="L207" s="428">
        <v>0</v>
      </c>
      <c r="M207" s="423">
        <f t="shared" si="35"/>
        <v>305000</v>
      </c>
      <c r="N207" s="442" t="str">
        <f t="shared" si="36"/>
        <v>否</v>
      </c>
      <c r="O207" s="111">
        <f t="shared" si="37"/>
        <v>2037</v>
      </c>
      <c r="P207" s="49">
        <f t="shared" si="38"/>
        <v>50405</v>
      </c>
      <c r="Q207" s="113">
        <v>0</v>
      </c>
      <c r="S207" s="112">
        <f t="shared" si="39"/>
        <v>0</v>
      </c>
      <c r="T207" s="113">
        <f t="shared" si="33"/>
        <v>0</v>
      </c>
      <c r="U207" s="113">
        <f t="shared" si="40"/>
        <v>0</v>
      </c>
      <c r="V207" s="414"/>
      <c r="X207" s="414" t="s">
        <v>693</v>
      </c>
      <c r="Z207" s="116"/>
    </row>
    <row r="208" spans="2:26" ht="12.75" customHeight="1">
      <c r="B208" s="414" t="s">
        <v>686</v>
      </c>
      <c r="C208" s="444" t="s">
        <v>222</v>
      </c>
      <c r="D208" s="433" t="s">
        <v>704</v>
      </c>
      <c r="E208" s="433" t="s">
        <v>727</v>
      </c>
      <c r="F208" s="434">
        <v>46013</v>
      </c>
      <c r="G208" s="425">
        <v>12</v>
      </c>
      <c r="H208" s="426">
        <f t="shared" si="34"/>
        <v>144</v>
      </c>
      <c r="I208" s="427">
        <v>0</v>
      </c>
      <c r="J208" s="428">
        <v>377000</v>
      </c>
      <c r="K208" s="428">
        <v>0</v>
      </c>
      <c r="L208" s="428">
        <v>0</v>
      </c>
      <c r="M208" s="423">
        <f t="shared" si="35"/>
        <v>377000</v>
      </c>
      <c r="N208" s="442" t="str">
        <f t="shared" si="36"/>
        <v>否</v>
      </c>
      <c r="O208" s="111">
        <f t="shared" si="37"/>
        <v>2037</v>
      </c>
      <c r="P208" s="49">
        <f t="shared" si="38"/>
        <v>50405</v>
      </c>
      <c r="Q208" s="113">
        <v>0</v>
      </c>
      <c r="S208" s="112">
        <f t="shared" si="39"/>
        <v>0</v>
      </c>
      <c r="T208" s="113">
        <f t="shared" si="33"/>
        <v>0</v>
      </c>
      <c r="U208" s="113">
        <f t="shared" si="40"/>
        <v>0</v>
      </c>
      <c r="V208" s="414"/>
      <c r="X208" s="414" t="s">
        <v>693</v>
      </c>
      <c r="Z208" s="116"/>
    </row>
    <row r="209" spans="1:26" ht="12.75" customHeight="1">
      <c r="B209" s="414" t="s">
        <v>686</v>
      </c>
      <c r="C209" s="444" t="s">
        <v>222</v>
      </c>
      <c r="D209" s="433" t="s">
        <v>705</v>
      </c>
      <c r="E209" s="433" t="s">
        <v>728</v>
      </c>
      <c r="F209" s="434">
        <v>46013</v>
      </c>
      <c r="G209" s="425">
        <v>12</v>
      </c>
      <c r="H209" s="426">
        <f t="shared" si="34"/>
        <v>144</v>
      </c>
      <c r="I209" s="427">
        <v>0</v>
      </c>
      <c r="J209" s="428">
        <v>2007067</v>
      </c>
      <c r="K209" s="428">
        <v>0</v>
      </c>
      <c r="L209" s="428">
        <v>0</v>
      </c>
      <c r="M209" s="423">
        <f t="shared" si="35"/>
        <v>2007067</v>
      </c>
      <c r="N209" s="442" t="str">
        <f t="shared" si="36"/>
        <v>否</v>
      </c>
      <c r="O209" s="111">
        <f t="shared" si="37"/>
        <v>2037</v>
      </c>
      <c r="P209" s="49">
        <f t="shared" si="38"/>
        <v>50405</v>
      </c>
      <c r="Q209" s="113">
        <v>0</v>
      </c>
      <c r="S209" s="112">
        <f t="shared" si="39"/>
        <v>0</v>
      </c>
      <c r="T209" s="113">
        <f t="shared" si="33"/>
        <v>0</v>
      </c>
      <c r="U209" s="113">
        <f t="shared" si="40"/>
        <v>0</v>
      </c>
      <c r="V209" s="414"/>
      <c r="X209" s="414" t="s">
        <v>693</v>
      </c>
      <c r="Z209" s="116"/>
    </row>
    <row r="210" spans="1:26" ht="12.75" customHeight="1">
      <c r="B210" s="414" t="s">
        <v>686</v>
      </c>
      <c r="C210" s="444" t="s">
        <v>222</v>
      </c>
      <c r="D210" s="433" t="s">
        <v>706</v>
      </c>
      <c r="E210" s="433" t="s">
        <v>729</v>
      </c>
      <c r="F210" s="434">
        <v>46013</v>
      </c>
      <c r="G210" s="425">
        <v>12</v>
      </c>
      <c r="H210" s="426">
        <f t="shared" si="34"/>
        <v>144</v>
      </c>
      <c r="I210" s="427">
        <v>0</v>
      </c>
      <c r="J210" s="428">
        <v>987600</v>
      </c>
      <c r="K210" s="428">
        <v>0</v>
      </c>
      <c r="L210" s="428">
        <v>0</v>
      </c>
      <c r="M210" s="423">
        <f t="shared" si="35"/>
        <v>987600</v>
      </c>
      <c r="N210" s="442" t="str">
        <f t="shared" si="36"/>
        <v>否</v>
      </c>
      <c r="O210" s="111">
        <f t="shared" si="37"/>
        <v>2037</v>
      </c>
      <c r="P210" s="49">
        <f t="shared" si="38"/>
        <v>50405</v>
      </c>
      <c r="Q210" s="113">
        <v>0</v>
      </c>
      <c r="S210" s="112">
        <f t="shared" si="39"/>
        <v>0</v>
      </c>
      <c r="T210" s="113">
        <f t="shared" si="33"/>
        <v>0</v>
      </c>
      <c r="U210" s="113">
        <f t="shared" si="40"/>
        <v>0</v>
      </c>
      <c r="V210" s="414"/>
      <c r="X210" s="414" t="s">
        <v>693</v>
      </c>
      <c r="Z210" s="116"/>
    </row>
    <row r="211" spans="1:26" ht="12.75" customHeight="1">
      <c r="B211" s="414" t="s">
        <v>686</v>
      </c>
      <c r="C211" s="444" t="s">
        <v>222</v>
      </c>
      <c r="D211" s="433" t="s">
        <v>707</v>
      </c>
      <c r="E211" s="433" t="s">
        <v>730</v>
      </c>
      <c r="F211" s="434">
        <v>46013</v>
      </c>
      <c r="G211" s="425">
        <v>12</v>
      </c>
      <c r="H211" s="426">
        <f t="shared" si="34"/>
        <v>144</v>
      </c>
      <c r="I211" s="427">
        <v>0</v>
      </c>
      <c r="J211" s="428">
        <v>302850</v>
      </c>
      <c r="K211" s="428">
        <v>0</v>
      </c>
      <c r="L211" s="428">
        <v>0</v>
      </c>
      <c r="M211" s="423">
        <f t="shared" si="35"/>
        <v>302850</v>
      </c>
      <c r="N211" s="442" t="str">
        <f t="shared" si="36"/>
        <v>否</v>
      </c>
      <c r="O211" s="111">
        <f t="shared" si="37"/>
        <v>2037</v>
      </c>
      <c r="P211" s="49">
        <f t="shared" si="38"/>
        <v>50405</v>
      </c>
      <c r="Q211" s="113">
        <v>0</v>
      </c>
      <c r="S211" s="112">
        <f t="shared" si="39"/>
        <v>0</v>
      </c>
      <c r="T211" s="113">
        <f t="shared" si="33"/>
        <v>0</v>
      </c>
      <c r="U211" s="113">
        <f t="shared" si="40"/>
        <v>0</v>
      </c>
      <c r="V211" s="414"/>
      <c r="X211" s="414" t="s">
        <v>693</v>
      </c>
      <c r="Z211" s="116"/>
    </row>
    <row r="212" spans="1:26" ht="12.75" customHeight="1">
      <c r="B212" s="414" t="s">
        <v>686</v>
      </c>
      <c r="C212" s="444" t="s">
        <v>222</v>
      </c>
      <c r="D212" s="433" t="s">
        <v>708</v>
      </c>
      <c r="E212" s="433" t="s">
        <v>731</v>
      </c>
      <c r="F212" s="434">
        <v>46013</v>
      </c>
      <c r="G212" s="425">
        <v>12</v>
      </c>
      <c r="H212" s="426">
        <f t="shared" si="34"/>
        <v>144</v>
      </c>
      <c r="I212" s="427">
        <v>0</v>
      </c>
      <c r="J212" s="428">
        <v>173800</v>
      </c>
      <c r="K212" s="428">
        <v>0</v>
      </c>
      <c r="L212" s="428">
        <v>0</v>
      </c>
      <c r="M212" s="423">
        <f t="shared" si="35"/>
        <v>173800</v>
      </c>
      <c r="N212" s="442" t="str">
        <f t="shared" si="36"/>
        <v>否</v>
      </c>
      <c r="O212" s="111">
        <f t="shared" si="37"/>
        <v>2037</v>
      </c>
      <c r="P212" s="49">
        <f t="shared" si="38"/>
        <v>50405</v>
      </c>
      <c r="Q212" s="113">
        <v>0</v>
      </c>
      <c r="S212" s="112">
        <f t="shared" si="39"/>
        <v>0</v>
      </c>
      <c r="T212" s="113">
        <f t="shared" si="33"/>
        <v>0</v>
      </c>
      <c r="U212" s="113">
        <f t="shared" si="40"/>
        <v>0</v>
      </c>
      <c r="V212" s="414"/>
      <c r="X212" s="414" t="s">
        <v>693</v>
      </c>
      <c r="Z212" s="116"/>
    </row>
    <row r="213" spans="1:26" ht="12.75" customHeight="1">
      <c r="B213" s="414" t="s">
        <v>686</v>
      </c>
      <c r="C213" s="444" t="s">
        <v>222</v>
      </c>
      <c r="D213" s="433" t="s">
        <v>709</v>
      </c>
      <c r="E213" s="433" t="s">
        <v>732</v>
      </c>
      <c r="F213" s="434">
        <v>46013</v>
      </c>
      <c r="G213" s="425">
        <v>12</v>
      </c>
      <c r="H213" s="426">
        <f t="shared" si="34"/>
        <v>144</v>
      </c>
      <c r="I213" s="427">
        <v>0</v>
      </c>
      <c r="J213" s="428">
        <v>579600</v>
      </c>
      <c r="K213" s="428">
        <v>0</v>
      </c>
      <c r="L213" s="428">
        <v>0</v>
      </c>
      <c r="M213" s="423">
        <f t="shared" si="35"/>
        <v>579600</v>
      </c>
      <c r="N213" s="442" t="str">
        <f t="shared" si="36"/>
        <v>否</v>
      </c>
      <c r="O213" s="111">
        <f t="shared" si="37"/>
        <v>2037</v>
      </c>
      <c r="P213" s="49">
        <f t="shared" si="38"/>
        <v>50405</v>
      </c>
      <c r="Q213" s="113">
        <v>0</v>
      </c>
      <c r="S213" s="112">
        <f t="shared" si="39"/>
        <v>0</v>
      </c>
      <c r="T213" s="113">
        <f t="shared" si="33"/>
        <v>0</v>
      </c>
      <c r="U213" s="113">
        <f t="shared" si="40"/>
        <v>0</v>
      </c>
      <c r="V213" s="414"/>
      <c r="X213" s="414" t="s">
        <v>693</v>
      </c>
      <c r="Z213" s="116"/>
    </row>
    <row r="214" spans="1:26" ht="12.75" customHeight="1">
      <c r="B214" s="414" t="s">
        <v>686</v>
      </c>
      <c r="C214" s="444" t="s">
        <v>222</v>
      </c>
      <c r="D214" s="433" t="s">
        <v>710</v>
      </c>
      <c r="E214" s="433" t="s">
        <v>733</v>
      </c>
      <c r="F214" s="434">
        <v>46013</v>
      </c>
      <c r="G214" s="425">
        <v>12</v>
      </c>
      <c r="H214" s="426">
        <f t="shared" si="34"/>
        <v>144</v>
      </c>
      <c r="I214" s="427">
        <v>0</v>
      </c>
      <c r="J214" s="428">
        <v>121800</v>
      </c>
      <c r="K214" s="428">
        <v>0</v>
      </c>
      <c r="L214" s="428">
        <v>0</v>
      </c>
      <c r="M214" s="423">
        <f t="shared" si="35"/>
        <v>121800</v>
      </c>
      <c r="N214" s="442" t="str">
        <f t="shared" si="36"/>
        <v>否</v>
      </c>
      <c r="O214" s="111">
        <f t="shared" si="37"/>
        <v>2037</v>
      </c>
      <c r="P214" s="49">
        <f t="shared" si="38"/>
        <v>50405</v>
      </c>
      <c r="Q214" s="113">
        <v>0</v>
      </c>
      <c r="S214" s="112">
        <f t="shared" si="39"/>
        <v>0</v>
      </c>
      <c r="T214" s="113">
        <f t="shared" si="33"/>
        <v>0</v>
      </c>
      <c r="U214" s="113">
        <f t="shared" si="40"/>
        <v>0</v>
      </c>
      <c r="V214" s="414"/>
      <c r="X214" s="414" t="s">
        <v>693</v>
      </c>
      <c r="Z214" s="116"/>
    </row>
    <row r="215" spans="1:26" ht="12.75" customHeight="1">
      <c r="B215" s="414" t="s">
        <v>686</v>
      </c>
      <c r="C215" s="444" t="s">
        <v>222</v>
      </c>
      <c r="D215" s="433" t="s">
        <v>711</v>
      </c>
      <c r="E215" s="433" t="s">
        <v>734</v>
      </c>
      <c r="F215" s="434">
        <v>46013</v>
      </c>
      <c r="G215" s="425">
        <v>12</v>
      </c>
      <c r="H215" s="426">
        <f t="shared" si="34"/>
        <v>144</v>
      </c>
      <c r="I215" s="427">
        <v>0</v>
      </c>
      <c r="J215" s="428">
        <v>155000</v>
      </c>
      <c r="K215" s="428">
        <v>0</v>
      </c>
      <c r="L215" s="428">
        <v>0</v>
      </c>
      <c r="M215" s="423">
        <f t="shared" si="35"/>
        <v>155000</v>
      </c>
      <c r="N215" s="442" t="str">
        <f t="shared" si="36"/>
        <v>否</v>
      </c>
      <c r="O215" s="111">
        <f t="shared" si="37"/>
        <v>2037</v>
      </c>
      <c r="P215" s="49">
        <f t="shared" si="38"/>
        <v>50405</v>
      </c>
      <c r="Q215" s="113">
        <v>0</v>
      </c>
      <c r="S215" s="112">
        <f t="shared" si="39"/>
        <v>0</v>
      </c>
      <c r="T215" s="113">
        <f t="shared" si="33"/>
        <v>0</v>
      </c>
      <c r="U215" s="113">
        <f t="shared" si="40"/>
        <v>0</v>
      </c>
      <c r="V215" s="414"/>
      <c r="X215" s="414" t="s">
        <v>693</v>
      </c>
      <c r="Z215" s="116"/>
    </row>
    <row r="216" spans="1:26" ht="12.75" customHeight="1">
      <c r="B216" s="414" t="s">
        <v>686</v>
      </c>
      <c r="C216" s="444" t="s">
        <v>222</v>
      </c>
      <c r="D216" s="433" t="s">
        <v>712</v>
      </c>
      <c r="E216" s="433" t="s">
        <v>735</v>
      </c>
      <c r="F216" s="434">
        <v>46013</v>
      </c>
      <c r="G216" s="425">
        <v>12</v>
      </c>
      <c r="H216" s="426">
        <f t="shared" si="34"/>
        <v>144</v>
      </c>
      <c r="I216" s="427">
        <v>0</v>
      </c>
      <c r="J216" s="428">
        <v>1319000</v>
      </c>
      <c r="K216" s="428">
        <v>0</v>
      </c>
      <c r="L216" s="428">
        <v>0</v>
      </c>
      <c r="M216" s="423">
        <f t="shared" si="35"/>
        <v>1319000</v>
      </c>
      <c r="N216" s="442" t="str">
        <f t="shared" si="36"/>
        <v>否</v>
      </c>
      <c r="O216" s="111">
        <f t="shared" si="37"/>
        <v>2037</v>
      </c>
      <c r="P216" s="49">
        <f t="shared" si="38"/>
        <v>50405</v>
      </c>
      <c r="Q216" s="113">
        <v>0</v>
      </c>
      <c r="S216" s="112">
        <f t="shared" si="39"/>
        <v>0</v>
      </c>
      <c r="T216" s="113">
        <f t="shared" si="33"/>
        <v>0</v>
      </c>
      <c r="U216" s="113">
        <f t="shared" si="40"/>
        <v>0</v>
      </c>
      <c r="V216" s="414"/>
      <c r="X216" s="414" t="s">
        <v>693</v>
      </c>
      <c r="Z216" s="116"/>
    </row>
    <row r="217" spans="1:26" ht="12.75" customHeight="1">
      <c r="B217" s="414" t="s">
        <v>686</v>
      </c>
      <c r="C217" s="444" t="s">
        <v>414</v>
      </c>
      <c r="D217" s="433" t="s">
        <v>713</v>
      </c>
      <c r="E217" s="433" t="s">
        <v>736</v>
      </c>
      <c r="F217" s="434">
        <v>45987</v>
      </c>
      <c r="G217" s="425">
        <v>6</v>
      </c>
      <c r="H217" s="426">
        <f t="shared" si="34"/>
        <v>72</v>
      </c>
      <c r="I217" s="427">
        <v>0</v>
      </c>
      <c r="J217" s="428">
        <v>130973.45</v>
      </c>
      <c r="K217" s="428">
        <v>1819.08</v>
      </c>
      <c r="L217" s="428">
        <v>0</v>
      </c>
      <c r="M217" s="423">
        <f t="shared" si="35"/>
        <v>129154.37</v>
      </c>
      <c r="N217" s="442" t="str">
        <f t="shared" si="36"/>
        <v>否</v>
      </c>
      <c r="O217" s="111">
        <f t="shared" si="37"/>
        <v>2031</v>
      </c>
      <c r="P217" s="49">
        <f t="shared" si="38"/>
        <v>48182</v>
      </c>
      <c r="Q217" s="113">
        <v>1819.08</v>
      </c>
      <c r="S217" s="112">
        <f t="shared" si="39"/>
        <v>1</v>
      </c>
      <c r="T217" s="113">
        <f t="shared" si="33"/>
        <v>1819.0756944444445</v>
      </c>
      <c r="U217" s="113">
        <f t="shared" si="40"/>
        <v>-4.3055555554474267E-3</v>
      </c>
      <c r="V217" s="414"/>
      <c r="X217" s="414" t="s">
        <v>693</v>
      </c>
      <c r="Z217" s="116"/>
    </row>
    <row r="218" spans="1:26" ht="12.75" customHeight="1">
      <c r="B218" s="414" t="s">
        <v>686</v>
      </c>
      <c r="C218" s="444" t="s">
        <v>414</v>
      </c>
      <c r="D218" s="433" t="s">
        <v>714</v>
      </c>
      <c r="E218" s="433" t="s">
        <v>737</v>
      </c>
      <c r="F218" s="434">
        <v>45987</v>
      </c>
      <c r="G218" s="425">
        <v>6</v>
      </c>
      <c r="H218" s="426">
        <f t="shared" si="34"/>
        <v>72</v>
      </c>
      <c r="I218" s="427">
        <v>0</v>
      </c>
      <c r="J218" s="428">
        <v>106194.69</v>
      </c>
      <c r="K218" s="428">
        <v>1474.93</v>
      </c>
      <c r="L218" s="428">
        <v>0</v>
      </c>
      <c r="M218" s="423">
        <f t="shared" si="35"/>
        <v>104719.76000000001</v>
      </c>
      <c r="N218" s="442" t="str">
        <f t="shared" si="36"/>
        <v>否</v>
      </c>
      <c r="O218" s="111">
        <f t="shared" si="37"/>
        <v>2031</v>
      </c>
      <c r="P218" s="49">
        <f t="shared" si="38"/>
        <v>48182</v>
      </c>
      <c r="Q218" s="113">
        <v>1474.93</v>
      </c>
      <c r="S218" s="112">
        <f t="shared" si="39"/>
        <v>1</v>
      </c>
      <c r="T218" s="113">
        <f t="shared" si="33"/>
        <v>1474.92625</v>
      </c>
      <c r="U218" s="113">
        <f t="shared" si="40"/>
        <v>-3.7500000000818545E-3</v>
      </c>
      <c r="V218" s="414"/>
      <c r="X218" s="414" t="s">
        <v>693</v>
      </c>
      <c r="Z218" s="116"/>
    </row>
    <row r="219" spans="1:26" ht="12.75" customHeight="1">
      <c r="B219" s="414" t="s">
        <v>686</v>
      </c>
      <c r="C219" s="444" t="s">
        <v>414</v>
      </c>
      <c r="D219" s="433" t="s">
        <v>715</v>
      </c>
      <c r="E219" s="433" t="s">
        <v>738</v>
      </c>
      <c r="F219" s="434">
        <v>46013</v>
      </c>
      <c r="G219" s="425">
        <v>6</v>
      </c>
      <c r="H219" s="426">
        <f t="shared" si="34"/>
        <v>72</v>
      </c>
      <c r="I219" s="427">
        <v>0</v>
      </c>
      <c r="J219" s="428">
        <v>84070.79</v>
      </c>
      <c r="K219" s="428">
        <v>0</v>
      </c>
      <c r="L219" s="428">
        <v>0</v>
      </c>
      <c r="M219" s="423">
        <f t="shared" si="35"/>
        <v>84070.79</v>
      </c>
      <c r="N219" s="442" t="str">
        <f t="shared" si="36"/>
        <v>否</v>
      </c>
      <c r="O219" s="111">
        <f t="shared" si="37"/>
        <v>2031</v>
      </c>
      <c r="P219" s="49">
        <f t="shared" si="38"/>
        <v>48213</v>
      </c>
      <c r="Q219" s="113">
        <v>0</v>
      </c>
      <c r="S219" s="112">
        <f t="shared" si="39"/>
        <v>0</v>
      </c>
      <c r="T219" s="113">
        <f t="shared" si="33"/>
        <v>0</v>
      </c>
      <c r="U219" s="113">
        <f t="shared" si="40"/>
        <v>0</v>
      </c>
      <c r="V219" s="414"/>
      <c r="X219" s="414" t="s">
        <v>693</v>
      </c>
      <c r="Z219" s="116"/>
    </row>
    <row r="220" spans="1:26" ht="12.75" customHeight="1">
      <c r="B220" s="414" t="s">
        <v>686</v>
      </c>
      <c r="C220" s="444" t="s">
        <v>414</v>
      </c>
      <c r="D220" s="433" t="s">
        <v>716</v>
      </c>
      <c r="E220" s="433" t="s">
        <v>739</v>
      </c>
      <c r="F220" s="434">
        <v>46013</v>
      </c>
      <c r="G220" s="425">
        <v>6</v>
      </c>
      <c r="H220" s="426">
        <f t="shared" si="34"/>
        <v>72</v>
      </c>
      <c r="I220" s="427">
        <v>0</v>
      </c>
      <c r="J220" s="428">
        <v>84070.8</v>
      </c>
      <c r="K220" s="428">
        <v>0</v>
      </c>
      <c r="L220" s="428">
        <v>0</v>
      </c>
      <c r="M220" s="423">
        <f t="shared" si="35"/>
        <v>84070.8</v>
      </c>
      <c r="N220" s="442" t="str">
        <f t="shared" si="36"/>
        <v>否</v>
      </c>
      <c r="O220" s="111">
        <f t="shared" si="37"/>
        <v>2031</v>
      </c>
      <c r="P220" s="49">
        <f t="shared" si="38"/>
        <v>48213</v>
      </c>
      <c r="Q220" s="113">
        <v>0</v>
      </c>
      <c r="S220" s="112">
        <f t="shared" si="39"/>
        <v>0</v>
      </c>
      <c r="T220" s="113">
        <f t="shared" ref="T220:T221" si="41">(J220*(1-I220))/H220*S220</f>
        <v>0</v>
      </c>
      <c r="U220" s="113">
        <f t="shared" si="40"/>
        <v>0</v>
      </c>
      <c r="V220" s="414"/>
      <c r="X220" s="414" t="s">
        <v>693</v>
      </c>
      <c r="Z220" s="116"/>
    </row>
    <row r="221" spans="1:26" ht="12.75" customHeight="1" thickBot="1">
      <c r="B221" s="414" t="s">
        <v>686</v>
      </c>
      <c r="C221" s="445" t="s">
        <v>414</v>
      </c>
      <c r="D221" s="446" t="s">
        <v>717</v>
      </c>
      <c r="E221" s="446" t="s">
        <v>740</v>
      </c>
      <c r="F221" s="447">
        <v>46013</v>
      </c>
      <c r="G221" s="448">
        <v>6</v>
      </c>
      <c r="H221" s="449">
        <f t="shared" si="34"/>
        <v>72</v>
      </c>
      <c r="I221" s="450">
        <v>0</v>
      </c>
      <c r="J221" s="451">
        <v>101769.91</v>
      </c>
      <c r="K221" s="451">
        <v>0</v>
      </c>
      <c r="L221" s="451">
        <v>0</v>
      </c>
      <c r="M221" s="452">
        <f t="shared" si="35"/>
        <v>101769.91</v>
      </c>
      <c r="N221" s="453" t="str">
        <f t="shared" si="36"/>
        <v>否</v>
      </c>
      <c r="O221" s="111">
        <f t="shared" si="37"/>
        <v>2031</v>
      </c>
      <c r="P221" s="49">
        <f t="shared" si="38"/>
        <v>48213</v>
      </c>
      <c r="Q221" s="113">
        <v>0</v>
      </c>
      <c r="S221" s="112">
        <f t="shared" si="39"/>
        <v>0</v>
      </c>
      <c r="T221" s="113">
        <f t="shared" si="41"/>
        <v>0</v>
      </c>
      <c r="U221" s="113">
        <f t="shared" si="40"/>
        <v>0</v>
      </c>
      <c r="V221" s="414"/>
      <c r="X221" s="414" t="s">
        <v>693</v>
      </c>
      <c r="Z221" s="116"/>
    </row>
    <row r="222" spans="1:26" s="70" customFormat="1" ht="12.75" customHeight="1">
      <c r="A222" s="47"/>
      <c r="J222" s="416">
        <f>SUM(J11:J221)</f>
        <v>187994737.76000005</v>
      </c>
      <c r="K222" s="416">
        <f>SUM(K11:K221)</f>
        <v>86478973.730000228</v>
      </c>
      <c r="L222" s="416">
        <f>SUM(L11:L221)</f>
        <v>74035434.540000007</v>
      </c>
      <c r="M222" s="416">
        <f>SUM(M11:M221)</f>
        <v>27480329.490000006</v>
      </c>
      <c r="N222" s="416"/>
      <c r="O222" s="111"/>
      <c r="P222" s="416"/>
      <c r="Q222" s="416">
        <f>SUM(Q11:Q198)</f>
        <v>18629849.21000002</v>
      </c>
      <c r="R222" s="416"/>
      <c r="S222" s="416"/>
      <c r="T222" s="416">
        <f t="shared" ref="T222" si="42">SUM(T11:T198)</f>
        <v>18473143.127128046</v>
      </c>
      <c r="U222" s="416">
        <f>SUM(U11:U198)</f>
        <v>-156706.08287194622</v>
      </c>
      <c r="V222" s="416"/>
      <c r="X222" s="48"/>
      <c r="Z222" s="116"/>
    </row>
    <row r="223" spans="1:26" ht="12.75" customHeight="1">
      <c r="I223" s="48" t="s">
        <v>546</v>
      </c>
      <c r="J223" s="116">
        <f>J222-'K.00 Lead Sheet'!I49</f>
        <v>0</v>
      </c>
      <c r="K223" s="116">
        <f>K222-'K.00 Lead Sheet'!I50</f>
        <v>2.384185791015625E-7</v>
      </c>
      <c r="L223" s="116">
        <f>L222-'K.00 Lead Sheet'!I51</f>
        <v>0</v>
      </c>
      <c r="M223" s="116">
        <f>M222-'K.00 Lead Sheet'!I53</f>
        <v>0</v>
      </c>
      <c r="O223" s="111"/>
      <c r="Z223" s="116"/>
    </row>
    <row r="225" spans="3:21" ht="12.75" customHeight="1">
      <c r="I225" s="424"/>
      <c r="K225" s="424"/>
      <c r="Q225" s="113"/>
    </row>
    <row r="226" spans="3:21" ht="12.75" customHeight="1">
      <c r="I226" s="424"/>
      <c r="K226" s="116"/>
      <c r="U226" s="475"/>
    </row>
    <row r="227" spans="3:21" ht="12.75" customHeight="1">
      <c r="C227" s="575" t="s">
        <v>771</v>
      </c>
      <c r="D227" s="558"/>
      <c r="E227" s="558"/>
      <c r="F227" s="558"/>
      <c r="G227" s="559"/>
      <c r="Q227" s="116"/>
    </row>
    <row r="228" spans="3:21" ht="12.75" customHeight="1">
      <c r="C228" s="560"/>
      <c r="D228" s="561"/>
      <c r="E228" s="561"/>
      <c r="F228" s="561"/>
      <c r="G228" s="562"/>
    </row>
    <row r="229" spans="3:21" ht="12.75" customHeight="1">
      <c r="C229" s="560"/>
      <c r="D229" s="561"/>
      <c r="E229" s="561"/>
      <c r="F229" s="561"/>
      <c r="G229" s="562"/>
    </row>
    <row r="230" spans="3:21" ht="12.75" customHeight="1">
      <c r="C230" s="563"/>
      <c r="D230" s="564"/>
      <c r="E230" s="564"/>
      <c r="F230" s="564"/>
      <c r="G230" s="565"/>
    </row>
  </sheetData>
  <autoFilter ref="A10:AI223" xr:uid="{00000000-0001-0000-0300-000000000000}"/>
  <mergeCells count="2">
    <mergeCell ref="C227:G230"/>
    <mergeCell ref="O9:W9"/>
  </mergeCells>
  <phoneticPr fontId="165" type="noConversion"/>
  <conditionalFormatting sqref="C227">
    <cfRule type="containsBlanks" dxfId="7" priority="1">
      <formula>LEN(TRIM(C227))=0</formula>
    </cfRule>
  </conditionalFormatting>
  <conditionalFormatting sqref="C11:N12 H13:I221 M13:N221">
    <cfRule type="containsBlanks" dxfId="6" priority="2">
      <formula>LEN(TRIM(C11))=0</formula>
    </cfRule>
  </conditionalFormatting>
  <conditionalFormatting sqref="D10:D12">
    <cfRule type="duplicateValues" dxfId="5" priority="3"/>
  </conditionalFormatting>
  <hyperlinks>
    <hyperlink ref="W2" location="'汇总 '!A1" display="返回汇总页" xr:uid="{00000000-0004-0000-0300-000000000000}"/>
  </hyperlink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7"/>
  <sheetViews>
    <sheetView showGridLines="0" zoomScale="70" zoomScaleNormal="70" workbookViewId="0">
      <selection activeCell="K22" sqref="A22:K28"/>
    </sheetView>
  </sheetViews>
  <sheetFormatPr defaultColWidth="8.88671875" defaultRowHeight="13.8"/>
  <cols>
    <col min="1" max="1" width="2.6640625" style="74" customWidth="1"/>
    <col min="2" max="2" width="32.44140625" style="4" customWidth="1"/>
    <col min="3" max="3" width="17" style="4" customWidth="1"/>
    <col min="4" max="4" width="14.44140625" style="4" customWidth="1"/>
    <col min="5" max="5" width="19.88671875" style="4" customWidth="1"/>
    <col min="6" max="6" width="17.88671875" style="4" customWidth="1"/>
    <col min="7" max="8" width="13.33203125" style="4" customWidth="1"/>
    <col min="9" max="9" width="17.109375" style="4" customWidth="1"/>
    <col min="10" max="10" width="14.33203125" style="46" customWidth="1"/>
    <col min="11" max="11" width="13.44140625" style="4" customWidth="1"/>
    <col min="12" max="12" width="17.109375" style="4" customWidth="1"/>
    <col min="13" max="13" width="13.44140625" style="4" customWidth="1"/>
    <col min="14" max="14" width="17.109375" style="4" customWidth="1"/>
    <col min="15" max="17" width="8.88671875" style="4" customWidth="1"/>
    <col min="18" max="18" width="2.6640625" style="4" customWidth="1"/>
    <col min="19" max="19" width="1.6640625" style="4" customWidth="1"/>
    <col min="20" max="16384" width="8.88671875" style="4"/>
  </cols>
  <sheetData>
    <row r="1" spans="1:21" s="58" customFormat="1" ht="10.050000000000001" customHeight="1">
      <c r="A1" s="75"/>
      <c r="B1" s="76"/>
      <c r="C1" s="76"/>
      <c r="D1" s="76"/>
      <c r="E1" s="76"/>
      <c r="F1" s="76"/>
      <c r="G1" s="76"/>
      <c r="H1" s="76"/>
      <c r="I1" s="76"/>
      <c r="J1" s="76"/>
      <c r="S1" s="80"/>
    </row>
    <row r="2" spans="1:21" s="73" customFormat="1" ht="20.399999999999999">
      <c r="A2" s="77"/>
      <c r="B2" s="78" t="s">
        <v>548</v>
      </c>
      <c r="C2" s="78"/>
      <c r="D2" s="78"/>
      <c r="E2" s="78"/>
      <c r="F2" s="78"/>
      <c r="G2" s="78"/>
      <c r="H2" s="78"/>
      <c r="I2" s="78"/>
      <c r="J2" s="78"/>
      <c r="K2" s="78"/>
      <c r="L2" s="78"/>
      <c r="M2" s="78"/>
      <c r="N2" s="78"/>
      <c r="O2" s="78"/>
      <c r="S2" s="80"/>
      <c r="U2" s="13" t="s">
        <v>52</v>
      </c>
    </row>
    <row r="3" spans="1:21" s="58" customFormat="1" ht="13.2">
      <c r="A3" s="79"/>
      <c r="S3" s="80"/>
    </row>
    <row r="4" spans="1:21" s="60" customFormat="1" ht="20.399999999999999">
      <c r="A4" s="47"/>
      <c r="B4" s="59" t="s">
        <v>549</v>
      </c>
      <c r="C4" s="59"/>
      <c r="D4" s="59"/>
      <c r="E4" s="59"/>
      <c r="F4" s="59"/>
      <c r="G4" s="59"/>
      <c r="H4" s="59"/>
      <c r="I4" s="59"/>
      <c r="J4" s="61"/>
      <c r="K4" s="59"/>
      <c r="L4" s="59"/>
      <c r="M4" s="59"/>
      <c r="N4" s="81"/>
      <c r="O4" s="81"/>
      <c r="P4" s="81"/>
      <c r="Q4" s="81"/>
      <c r="S4" s="80"/>
    </row>
    <row r="5" spans="1:21" ht="15" customHeight="1">
      <c r="S5" s="80"/>
    </row>
    <row r="6" spans="1:21" ht="7.5" customHeight="1" thickBot="1">
      <c r="A6" s="80"/>
      <c r="B6" s="80"/>
      <c r="C6" s="80"/>
      <c r="D6" s="80"/>
      <c r="E6" s="80"/>
      <c r="F6" s="80"/>
      <c r="G6" s="80"/>
      <c r="H6" s="80"/>
      <c r="I6" s="80"/>
      <c r="J6" s="80"/>
      <c r="K6" s="80"/>
      <c r="L6" s="80"/>
      <c r="M6" s="80"/>
      <c r="N6" s="80"/>
      <c r="O6" s="80"/>
      <c r="P6" s="80"/>
      <c r="Q6" s="80"/>
      <c r="R6" s="80"/>
      <c r="S6" s="80"/>
    </row>
    <row r="7" spans="1:21" ht="15">
      <c r="B7" s="435" t="s">
        <v>205</v>
      </c>
      <c r="C7" s="458" t="s">
        <v>206</v>
      </c>
      <c r="D7" s="458" t="s">
        <v>207</v>
      </c>
      <c r="E7" s="458" t="s">
        <v>208</v>
      </c>
      <c r="F7" s="458" t="s">
        <v>209</v>
      </c>
      <c r="G7" s="458" t="s">
        <v>210</v>
      </c>
      <c r="H7" s="459" t="s">
        <v>211</v>
      </c>
      <c r="I7" s="460" t="s">
        <v>212</v>
      </c>
      <c r="J7" s="460" t="s">
        <v>213</v>
      </c>
      <c r="K7" s="460" t="s">
        <v>214</v>
      </c>
      <c r="L7" s="461" t="s">
        <v>215</v>
      </c>
      <c r="M7" s="486" t="s">
        <v>768</v>
      </c>
    </row>
    <row r="8" spans="1:21" ht="15.6">
      <c r="B8" s="482" t="s">
        <v>222</v>
      </c>
      <c r="C8" s="483" t="s">
        <v>695</v>
      </c>
      <c r="D8" s="483" t="s">
        <v>718</v>
      </c>
      <c r="E8" s="434">
        <v>46013</v>
      </c>
      <c r="F8" s="425">
        <v>12</v>
      </c>
      <c r="G8" s="426">
        <f t="shared" ref="G8:G35" si="0">F8*12</f>
        <v>144</v>
      </c>
      <c r="H8" s="427">
        <v>0</v>
      </c>
      <c r="I8" s="428">
        <v>355386.52</v>
      </c>
      <c r="J8" s="428">
        <v>0</v>
      </c>
      <c r="K8" s="428">
        <v>0</v>
      </c>
      <c r="L8" s="462">
        <f>I8-J8-K8</f>
        <v>355386.52</v>
      </c>
      <c r="M8" s="487" t="s">
        <v>741</v>
      </c>
    </row>
    <row r="9" spans="1:21" ht="15.6">
      <c r="B9" s="482" t="s">
        <v>222</v>
      </c>
      <c r="C9" s="483" t="s">
        <v>696</v>
      </c>
      <c r="D9" s="483" t="s">
        <v>719</v>
      </c>
      <c r="E9" s="434">
        <v>46013</v>
      </c>
      <c r="F9" s="425">
        <v>12</v>
      </c>
      <c r="G9" s="426">
        <f t="shared" si="0"/>
        <v>144</v>
      </c>
      <c r="H9" s="427">
        <v>0</v>
      </c>
      <c r="I9" s="428">
        <v>1074800</v>
      </c>
      <c r="J9" s="428">
        <v>0</v>
      </c>
      <c r="K9" s="428">
        <v>0</v>
      </c>
      <c r="L9" s="462">
        <f t="shared" ref="L9:L35" si="1">I9-J9-K9</f>
        <v>1074800</v>
      </c>
      <c r="M9" s="487" t="s">
        <v>741</v>
      </c>
    </row>
    <row r="10" spans="1:21" ht="15.6">
      <c r="B10" s="482" t="s">
        <v>222</v>
      </c>
      <c r="C10" s="483" t="s">
        <v>697</v>
      </c>
      <c r="D10" s="483" t="s">
        <v>720</v>
      </c>
      <c r="E10" s="434">
        <v>46013</v>
      </c>
      <c r="F10" s="425">
        <v>12</v>
      </c>
      <c r="G10" s="426">
        <f t="shared" si="0"/>
        <v>144</v>
      </c>
      <c r="H10" s="427">
        <v>0</v>
      </c>
      <c r="I10" s="428">
        <v>243900</v>
      </c>
      <c r="J10" s="428">
        <v>0</v>
      </c>
      <c r="K10" s="428">
        <v>0</v>
      </c>
      <c r="L10" s="462">
        <f t="shared" si="1"/>
        <v>243900</v>
      </c>
      <c r="M10" s="487" t="s">
        <v>741</v>
      </c>
    </row>
    <row r="11" spans="1:21" ht="15.6">
      <c r="B11" s="482" t="s">
        <v>222</v>
      </c>
      <c r="C11" s="483" t="s">
        <v>698</v>
      </c>
      <c r="D11" s="483" t="s">
        <v>721</v>
      </c>
      <c r="E11" s="434">
        <v>46013</v>
      </c>
      <c r="F11" s="425">
        <v>12</v>
      </c>
      <c r="G11" s="426">
        <f t="shared" si="0"/>
        <v>144</v>
      </c>
      <c r="H11" s="427">
        <v>0</v>
      </c>
      <c r="I11" s="428">
        <v>355000</v>
      </c>
      <c r="J11" s="428">
        <v>0</v>
      </c>
      <c r="K11" s="428">
        <v>0</v>
      </c>
      <c r="L11" s="462">
        <f t="shared" si="1"/>
        <v>355000</v>
      </c>
      <c r="M11" s="487" t="s">
        <v>741</v>
      </c>
    </row>
    <row r="12" spans="1:21" ht="15.6">
      <c r="B12" s="482" t="s">
        <v>222</v>
      </c>
      <c r="C12" s="483" t="s">
        <v>699</v>
      </c>
      <c r="D12" s="483" t="s">
        <v>722</v>
      </c>
      <c r="E12" s="434">
        <v>46013</v>
      </c>
      <c r="F12" s="425">
        <v>12</v>
      </c>
      <c r="G12" s="426">
        <f t="shared" si="0"/>
        <v>144</v>
      </c>
      <c r="H12" s="427">
        <v>0</v>
      </c>
      <c r="I12" s="428">
        <v>701900</v>
      </c>
      <c r="J12" s="428">
        <v>0</v>
      </c>
      <c r="K12" s="428">
        <v>0</v>
      </c>
      <c r="L12" s="462">
        <f t="shared" si="1"/>
        <v>701900</v>
      </c>
      <c r="M12" s="487" t="s">
        <v>741</v>
      </c>
    </row>
    <row r="13" spans="1:21" ht="15.6">
      <c r="B13" s="482" t="s">
        <v>222</v>
      </c>
      <c r="C13" s="483" t="s">
        <v>700</v>
      </c>
      <c r="D13" s="483" t="s">
        <v>723</v>
      </c>
      <c r="E13" s="434">
        <v>46013</v>
      </c>
      <c r="F13" s="425">
        <v>12</v>
      </c>
      <c r="G13" s="426">
        <f t="shared" si="0"/>
        <v>144</v>
      </c>
      <c r="H13" s="427">
        <v>0</v>
      </c>
      <c r="I13" s="428">
        <v>155000</v>
      </c>
      <c r="J13" s="428">
        <v>0</v>
      </c>
      <c r="K13" s="428">
        <v>0</v>
      </c>
      <c r="L13" s="462">
        <f t="shared" si="1"/>
        <v>155000</v>
      </c>
      <c r="M13" s="487" t="s">
        <v>741</v>
      </c>
    </row>
    <row r="14" spans="1:21" ht="15.6">
      <c r="B14" s="482" t="s">
        <v>222</v>
      </c>
      <c r="C14" s="483" t="s">
        <v>701</v>
      </c>
      <c r="D14" s="483" t="s">
        <v>724</v>
      </c>
      <c r="E14" s="434">
        <v>46013</v>
      </c>
      <c r="F14" s="425">
        <v>12</v>
      </c>
      <c r="G14" s="426">
        <f t="shared" si="0"/>
        <v>144</v>
      </c>
      <c r="H14" s="427">
        <v>0</v>
      </c>
      <c r="I14" s="428">
        <v>340200</v>
      </c>
      <c r="J14" s="428">
        <v>0</v>
      </c>
      <c r="K14" s="428">
        <v>0</v>
      </c>
      <c r="L14" s="462">
        <f t="shared" si="1"/>
        <v>340200</v>
      </c>
      <c r="M14" s="487" t="s">
        <v>741</v>
      </c>
    </row>
    <row r="15" spans="1:21" ht="15.6">
      <c r="B15" s="482" t="s">
        <v>222</v>
      </c>
      <c r="C15" s="483" t="s">
        <v>702</v>
      </c>
      <c r="D15" s="483" t="s">
        <v>725</v>
      </c>
      <c r="E15" s="434">
        <v>46013</v>
      </c>
      <c r="F15" s="425">
        <v>12</v>
      </c>
      <c r="G15" s="426">
        <f t="shared" si="0"/>
        <v>144</v>
      </c>
      <c r="H15" s="427">
        <v>0</v>
      </c>
      <c r="I15" s="428">
        <v>446250</v>
      </c>
      <c r="J15" s="428">
        <v>0</v>
      </c>
      <c r="K15" s="428">
        <v>0</v>
      </c>
      <c r="L15" s="462">
        <f t="shared" si="1"/>
        <v>446250</v>
      </c>
      <c r="M15" s="487" t="s">
        <v>741</v>
      </c>
    </row>
    <row r="16" spans="1:21" ht="15.6">
      <c r="B16" s="482" t="s">
        <v>222</v>
      </c>
      <c r="C16" s="483" t="s">
        <v>703</v>
      </c>
      <c r="D16" s="483" t="s">
        <v>726</v>
      </c>
      <c r="E16" s="434">
        <v>46013</v>
      </c>
      <c r="F16" s="425">
        <v>12</v>
      </c>
      <c r="G16" s="426">
        <f t="shared" si="0"/>
        <v>144</v>
      </c>
      <c r="H16" s="427">
        <v>0</v>
      </c>
      <c r="I16" s="428">
        <v>305000</v>
      </c>
      <c r="J16" s="428">
        <v>0</v>
      </c>
      <c r="K16" s="428">
        <v>0</v>
      </c>
      <c r="L16" s="462">
        <f t="shared" si="1"/>
        <v>305000</v>
      </c>
      <c r="M16" s="487" t="s">
        <v>741</v>
      </c>
    </row>
    <row r="17" spans="2:13" ht="15.6">
      <c r="B17" s="482" t="s">
        <v>222</v>
      </c>
      <c r="C17" s="483" t="s">
        <v>704</v>
      </c>
      <c r="D17" s="483" t="s">
        <v>727</v>
      </c>
      <c r="E17" s="434">
        <v>46013</v>
      </c>
      <c r="F17" s="425">
        <v>12</v>
      </c>
      <c r="G17" s="426">
        <f t="shared" si="0"/>
        <v>144</v>
      </c>
      <c r="H17" s="427">
        <v>0</v>
      </c>
      <c r="I17" s="428">
        <v>377000</v>
      </c>
      <c r="J17" s="428">
        <v>0</v>
      </c>
      <c r="K17" s="428">
        <v>0</v>
      </c>
      <c r="L17" s="462">
        <f t="shared" si="1"/>
        <v>377000</v>
      </c>
      <c r="M17" s="487" t="s">
        <v>741</v>
      </c>
    </row>
    <row r="18" spans="2:13" ht="15.6">
      <c r="B18" s="482" t="s">
        <v>222</v>
      </c>
      <c r="C18" s="483" t="s">
        <v>705</v>
      </c>
      <c r="D18" s="483" t="s">
        <v>728</v>
      </c>
      <c r="E18" s="434">
        <v>46013</v>
      </c>
      <c r="F18" s="425">
        <v>12</v>
      </c>
      <c r="G18" s="426">
        <f t="shared" si="0"/>
        <v>144</v>
      </c>
      <c r="H18" s="427">
        <v>0</v>
      </c>
      <c r="I18" s="428">
        <v>2007067</v>
      </c>
      <c r="J18" s="428">
        <v>0</v>
      </c>
      <c r="K18" s="428">
        <v>0</v>
      </c>
      <c r="L18" s="462">
        <f t="shared" si="1"/>
        <v>2007067</v>
      </c>
      <c r="M18" s="487" t="s">
        <v>741</v>
      </c>
    </row>
    <row r="19" spans="2:13" ht="15.6">
      <c r="B19" s="482" t="s">
        <v>222</v>
      </c>
      <c r="C19" s="483" t="s">
        <v>706</v>
      </c>
      <c r="D19" s="483" t="s">
        <v>729</v>
      </c>
      <c r="E19" s="434">
        <v>46013</v>
      </c>
      <c r="F19" s="425">
        <v>12</v>
      </c>
      <c r="G19" s="426">
        <f t="shared" si="0"/>
        <v>144</v>
      </c>
      <c r="H19" s="427">
        <v>0</v>
      </c>
      <c r="I19" s="428">
        <v>987600</v>
      </c>
      <c r="J19" s="428">
        <v>0</v>
      </c>
      <c r="K19" s="428">
        <v>0</v>
      </c>
      <c r="L19" s="462">
        <f t="shared" si="1"/>
        <v>987600</v>
      </c>
      <c r="M19" s="487" t="s">
        <v>741</v>
      </c>
    </row>
    <row r="20" spans="2:13" ht="15.6">
      <c r="B20" s="482" t="s">
        <v>222</v>
      </c>
      <c r="C20" s="483" t="s">
        <v>707</v>
      </c>
      <c r="D20" s="483" t="s">
        <v>730</v>
      </c>
      <c r="E20" s="434">
        <v>46013</v>
      </c>
      <c r="F20" s="425">
        <v>12</v>
      </c>
      <c r="G20" s="426">
        <f t="shared" si="0"/>
        <v>144</v>
      </c>
      <c r="H20" s="427">
        <v>0</v>
      </c>
      <c r="I20" s="428">
        <v>302850</v>
      </c>
      <c r="J20" s="428">
        <v>0</v>
      </c>
      <c r="K20" s="428">
        <v>0</v>
      </c>
      <c r="L20" s="462">
        <f t="shared" si="1"/>
        <v>302850</v>
      </c>
      <c r="M20" s="487" t="s">
        <v>741</v>
      </c>
    </row>
    <row r="21" spans="2:13" ht="15.6">
      <c r="B21" s="482" t="s">
        <v>222</v>
      </c>
      <c r="C21" s="483" t="s">
        <v>708</v>
      </c>
      <c r="D21" s="483" t="s">
        <v>731</v>
      </c>
      <c r="E21" s="434">
        <v>46013</v>
      </c>
      <c r="F21" s="425">
        <v>12</v>
      </c>
      <c r="G21" s="426">
        <f t="shared" si="0"/>
        <v>144</v>
      </c>
      <c r="H21" s="427">
        <v>0</v>
      </c>
      <c r="I21" s="428">
        <v>173800</v>
      </c>
      <c r="J21" s="428">
        <v>0</v>
      </c>
      <c r="K21" s="428">
        <v>0</v>
      </c>
      <c r="L21" s="462">
        <f t="shared" si="1"/>
        <v>173800</v>
      </c>
      <c r="M21" s="487" t="s">
        <v>741</v>
      </c>
    </row>
    <row r="22" spans="2:13" ht="15.6">
      <c r="B22" s="482" t="s">
        <v>222</v>
      </c>
      <c r="C22" s="483" t="s">
        <v>709</v>
      </c>
      <c r="D22" s="483" t="s">
        <v>732</v>
      </c>
      <c r="E22" s="434">
        <v>46013</v>
      </c>
      <c r="F22" s="425">
        <v>12</v>
      </c>
      <c r="G22" s="426">
        <f t="shared" si="0"/>
        <v>144</v>
      </c>
      <c r="H22" s="427">
        <v>0</v>
      </c>
      <c r="I22" s="428">
        <v>579600</v>
      </c>
      <c r="J22" s="428">
        <v>0</v>
      </c>
      <c r="K22" s="428">
        <v>0</v>
      </c>
      <c r="L22" s="462">
        <f t="shared" si="1"/>
        <v>579600</v>
      </c>
      <c r="M22" s="487" t="s">
        <v>741</v>
      </c>
    </row>
    <row r="23" spans="2:13" ht="15.6">
      <c r="B23" s="482" t="s">
        <v>222</v>
      </c>
      <c r="C23" s="483" t="s">
        <v>710</v>
      </c>
      <c r="D23" s="483" t="s">
        <v>733</v>
      </c>
      <c r="E23" s="434">
        <v>46013</v>
      </c>
      <c r="F23" s="425">
        <v>12</v>
      </c>
      <c r="G23" s="426">
        <f t="shared" si="0"/>
        <v>144</v>
      </c>
      <c r="H23" s="427">
        <v>0</v>
      </c>
      <c r="I23" s="428">
        <v>121800</v>
      </c>
      <c r="J23" s="428">
        <v>0</v>
      </c>
      <c r="K23" s="428">
        <v>0</v>
      </c>
      <c r="L23" s="462">
        <f t="shared" si="1"/>
        <v>121800</v>
      </c>
      <c r="M23" s="487" t="s">
        <v>741</v>
      </c>
    </row>
    <row r="24" spans="2:13" ht="15.6">
      <c r="B24" s="482" t="s">
        <v>222</v>
      </c>
      <c r="C24" s="483" t="s">
        <v>711</v>
      </c>
      <c r="D24" s="483" t="s">
        <v>734</v>
      </c>
      <c r="E24" s="434">
        <v>46013</v>
      </c>
      <c r="F24" s="425">
        <v>12</v>
      </c>
      <c r="G24" s="426">
        <f t="shared" si="0"/>
        <v>144</v>
      </c>
      <c r="H24" s="427">
        <v>0</v>
      </c>
      <c r="I24" s="428">
        <v>155000</v>
      </c>
      <c r="J24" s="428">
        <v>0</v>
      </c>
      <c r="K24" s="428">
        <v>0</v>
      </c>
      <c r="L24" s="462">
        <f t="shared" si="1"/>
        <v>155000</v>
      </c>
      <c r="M24" s="487" t="s">
        <v>741</v>
      </c>
    </row>
    <row r="25" spans="2:13" ht="15.6">
      <c r="B25" s="482" t="s">
        <v>222</v>
      </c>
      <c r="C25" s="483" t="s">
        <v>712</v>
      </c>
      <c r="D25" s="483" t="s">
        <v>735</v>
      </c>
      <c r="E25" s="434">
        <v>46013</v>
      </c>
      <c r="F25" s="425">
        <v>12</v>
      </c>
      <c r="G25" s="426">
        <f t="shared" si="0"/>
        <v>144</v>
      </c>
      <c r="H25" s="427">
        <v>0</v>
      </c>
      <c r="I25" s="428">
        <v>1319000</v>
      </c>
      <c r="J25" s="428">
        <v>0</v>
      </c>
      <c r="K25" s="428">
        <v>0</v>
      </c>
      <c r="L25" s="462">
        <f t="shared" si="1"/>
        <v>1319000</v>
      </c>
      <c r="M25" s="487" t="s">
        <v>741</v>
      </c>
    </row>
    <row r="26" spans="2:13" ht="15.6">
      <c r="B26" s="482" t="s">
        <v>414</v>
      </c>
      <c r="C26" s="483" t="s">
        <v>713</v>
      </c>
      <c r="D26" s="483" t="s">
        <v>736</v>
      </c>
      <c r="E26" s="434">
        <v>45987</v>
      </c>
      <c r="F26" s="425">
        <v>6</v>
      </c>
      <c r="G26" s="426">
        <f t="shared" si="0"/>
        <v>72</v>
      </c>
      <c r="H26" s="427">
        <v>0</v>
      </c>
      <c r="I26" s="428">
        <v>130973.45</v>
      </c>
      <c r="J26" s="428">
        <v>1819.08</v>
      </c>
      <c r="K26" s="428">
        <v>0</v>
      </c>
      <c r="L26" s="462">
        <f t="shared" si="1"/>
        <v>129154.37</v>
      </c>
      <c r="M26" s="487" t="s">
        <v>741</v>
      </c>
    </row>
    <row r="27" spans="2:13" ht="15.6">
      <c r="B27" s="482" t="s">
        <v>414</v>
      </c>
      <c r="C27" s="483" t="s">
        <v>714</v>
      </c>
      <c r="D27" s="483" t="s">
        <v>737</v>
      </c>
      <c r="E27" s="434">
        <v>45987</v>
      </c>
      <c r="F27" s="425">
        <v>6</v>
      </c>
      <c r="G27" s="426">
        <f t="shared" si="0"/>
        <v>72</v>
      </c>
      <c r="H27" s="427">
        <v>0</v>
      </c>
      <c r="I27" s="428">
        <v>106194.69</v>
      </c>
      <c r="J27" s="428">
        <v>1474.93</v>
      </c>
      <c r="K27" s="428">
        <v>0</v>
      </c>
      <c r="L27" s="462">
        <f t="shared" si="1"/>
        <v>104719.76000000001</v>
      </c>
      <c r="M27" s="487" t="s">
        <v>741</v>
      </c>
    </row>
    <row r="28" spans="2:13" ht="15.6">
      <c r="B28" s="482" t="s">
        <v>414</v>
      </c>
      <c r="C28" s="483" t="s">
        <v>715</v>
      </c>
      <c r="D28" s="483" t="s">
        <v>738</v>
      </c>
      <c r="E28" s="434">
        <v>46013</v>
      </c>
      <c r="F28" s="425">
        <v>6</v>
      </c>
      <c r="G28" s="426">
        <f t="shared" si="0"/>
        <v>72</v>
      </c>
      <c r="H28" s="427">
        <v>0</v>
      </c>
      <c r="I28" s="428">
        <v>84070.79</v>
      </c>
      <c r="J28" s="428">
        <v>0</v>
      </c>
      <c r="K28" s="428">
        <v>0</v>
      </c>
      <c r="L28" s="462">
        <f t="shared" si="1"/>
        <v>84070.79</v>
      </c>
      <c r="M28" s="487" t="s">
        <v>741</v>
      </c>
    </row>
    <row r="29" spans="2:13" ht="15.6">
      <c r="B29" s="482" t="s">
        <v>414</v>
      </c>
      <c r="C29" s="483" t="s">
        <v>716</v>
      </c>
      <c r="D29" s="483" t="s">
        <v>739</v>
      </c>
      <c r="E29" s="434">
        <v>46013</v>
      </c>
      <c r="F29" s="425">
        <v>6</v>
      </c>
      <c r="G29" s="426">
        <f t="shared" si="0"/>
        <v>72</v>
      </c>
      <c r="H29" s="427">
        <v>0</v>
      </c>
      <c r="I29" s="428">
        <v>84070.8</v>
      </c>
      <c r="J29" s="428">
        <v>0</v>
      </c>
      <c r="K29" s="428">
        <v>0</v>
      </c>
      <c r="L29" s="462">
        <f t="shared" si="1"/>
        <v>84070.8</v>
      </c>
      <c r="M29" s="487" t="s">
        <v>741</v>
      </c>
    </row>
    <row r="30" spans="2:13" ht="15.6">
      <c r="B30" s="482" t="s">
        <v>414</v>
      </c>
      <c r="C30" s="483" t="s">
        <v>717</v>
      </c>
      <c r="D30" s="483" t="s">
        <v>740</v>
      </c>
      <c r="E30" s="434">
        <v>46013</v>
      </c>
      <c r="F30" s="425">
        <v>6</v>
      </c>
      <c r="G30" s="426">
        <f t="shared" si="0"/>
        <v>72</v>
      </c>
      <c r="H30" s="427">
        <v>0</v>
      </c>
      <c r="I30" s="428">
        <v>101769.91</v>
      </c>
      <c r="J30" s="428">
        <v>0</v>
      </c>
      <c r="K30" s="428">
        <v>0</v>
      </c>
      <c r="L30" s="462">
        <f t="shared" si="1"/>
        <v>101769.91</v>
      </c>
      <c r="M30" s="487" t="s">
        <v>741</v>
      </c>
    </row>
    <row r="31" spans="2:13" ht="15.6">
      <c r="B31" s="482" t="s">
        <v>452</v>
      </c>
      <c r="C31" s="483" t="s">
        <v>524</v>
      </c>
      <c r="D31" s="483" t="s">
        <v>462</v>
      </c>
      <c r="E31" s="434">
        <v>45672</v>
      </c>
      <c r="F31" s="425" t="s">
        <v>256</v>
      </c>
      <c r="G31" s="426">
        <f t="shared" si="0"/>
        <v>96</v>
      </c>
      <c r="H31" s="427">
        <v>0</v>
      </c>
      <c r="I31" s="428">
        <v>5163</v>
      </c>
      <c r="J31" s="428">
        <v>624.1</v>
      </c>
      <c r="K31" s="428">
        <v>0</v>
      </c>
      <c r="L31" s="462">
        <f t="shared" si="1"/>
        <v>4538.8999999999996</v>
      </c>
      <c r="M31" s="487" t="s">
        <v>693</v>
      </c>
    </row>
    <row r="32" spans="2:13" ht="15.6">
      <c r="B32" s="482" t="s">
        <v>452</v>
      </c>
      <c r="C32" s="483" t="s">
        <v>525</v>
      </c>
      <c r="D32" s="483" t="s">
        <v>462</v>
      </c>
      <c r="E32" s="434">
        <v>45672</v>
      </c>
      <c r="F32" s="425" t="s">
        <v>256</v>
      </c>
      <c r="G32" s="426">
        <f t="shared" si="0"/>
        <v>96</v>
      </c>
      <c r="H32" s="427">
        <v>0</v>
      </c>
      <c r="I32" s="428">
        <v>5163</v>
      </c>
      <c r="J32" s="428">
        <v>591.59</v>
      </c>
      <c r="K32" s="428">
        <v>0</v>
      </c>
      <c r="L32" s="462">
        <f t="shared" si="1"/>
        <v>4571.41</v>
      </c>
      <c r="M32" s="487" t="s">
        <v>693</v>
      </c>
    </row>
    <row r="33" spans="2:13" ht="15.6">
      <c r="B33" s="482" t="s">
        <v>452</v>
      </c>
      <c r="C33" s="483" t="s">
        <v>526</v>
      </c>
      <c r="D33" s="483" t="s">
        <v>462</v>
      </c>
      <c r="E33" s="434">
        <v>45672</v>
      </c>
      <c r="F33" s="425" t="s">
        <v>256</v>
      </c>
      <c r="G33" s="426">
        <f t="shared" si="0"/>
        <v>96</v>
      </c>
      <c r="H33" s="427">
        <v>0</v>
      </c>
      <c r="I33" s="428">
        <v>6200</v>
      </c>
      <c r="J33" s="428">
        <v>710.42</v>
      </c>
      <c r="K33" s="428">
        <v>0</v>
      </c>
      <c r="L33" s="462">
        <f t="shared" si="1"/>
        <v>5489.58</v>
      </c>
      <c r="M33" s="487" t="s">
        <v>693</v>
      </c>
    </row>
    <row r="34" spans="2:13" ht="15.6">
      <c r="B34" s="482" t="s">
        <v>452</v>
      </c>
      <c r="C34" s="483" t="s">
        <v>527</v>
      </c>
      <c r="D34" s="483" t="s">
        <v>462</v>
      </c>
      <c r="E34" s="434">
        <v>45672</v>
      </c>
      <c r="F34" s="425" t="s">
        <v>256</v>
      </c>
      <c r="G34" s="426">
        <f t="shared" si="0"/>
        <v>96</v>
      </c>
      <c r="H34" s="427">
        <v>0</v>
      </c>
      <c r="I34" s="428">
        <v>6200</v>
      </c>
      <c r="J34" s="428">
        <v>710.42</v>
      </c>
      <c r="K34" s="428">
        <v>0</v>
      </c>
      <c r="L34" s="462">
        <f t="shared" si="1"/>
        <v>5489.58</v>
      </c>
      <c r="M34" s="487" t="s">
        <v>693</v>
      </c>
    </row>
    <row r="35" spans="2:13" ht="16.2" thickBot="1">
      <c r="B35" s="484" t="s">
        <v>452</v>
      </c>
      <c r="C35" s="485" t="s">
        <v>528</v>
      </c>
      <c r="D35" s="485" t="s">
        <v>462</v>
      </c>
      <c r="E35" s="447">
        <v>45672</v>
      </c>
      <c r="F35" s="448" t="s">
        <v>256</v>
      </c>
      <c r="G35" s="449">
        <f t="shared" si="0"/>
        <v>96</v>
      </c>
      <c r="H35" s="450">
        <v>0</v>
      </c>
      <c r="I35" s="451">
        <v>6200</v>
      </c>
      <c r="J35" s="451">
        <v>710.42</v>
      </c>
      <c r="K35" s="451">
        <v>0</v>
      </c>
      <c r="L35" s="463">
        <f t="shared" si="1"/>
        <v>5489.58</v>
      </c>
      <c r="M35" s="487" t="s">
        <v>693</v>
      </c>
    </row>
    <row r="36" spans="2:13" ht="14.4">
      <c r="H36" s="456" t="s">
        <v>742</v>
      </c>
      <c r="I36" s="457">
        <f>SUM(I8:I35)</f>
        <v>10537159.159999998</v>
      </c>
    </row>
    <row r="37" spans="2:13">
      <c r="I37" s="473">
        <f>I36-'K.01 Agree SL to GL'!Q15</f>
        <v>0</v>
      </c>
    </row>
  </sheetData>
  <phoneticPr fontId="165" type="noConversion"/>
  <conditionalFormatting sqref="C7">
    <cfRule type="duplicateValues" dxfId="4" priority="2"/>
  </conditionalFormatting>
  <conditionalFormatting sqref="G8:H35">
    <cfRule type="containsBlanks" dxfId="3" priority="1">
      <formula>LEN(TRIM(G8))=0</formula>
    </cfRule>
  </conditionalFormatting>
  <hyperlinks>
    <hyperlink ref="U2" location="'汇总 '!A1" display="返回汇总页" xr:uid="{00000000-0004-0000-0600-000000000000}"/>
  </hyperlinks>
  <pageMargins left="0.7" right="0.7" top="0.75" bottom="0.75" header="0.3" footer="0.3"/>
  <pageSetup paperSize="9" orientation="portrait" horizont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H73"/>
  <sheetViews>
    <sheetView workbookViewId="0"/>
  </sheetViews>
  <sheetFormatPr defaultColWidth="9" defaultRowHeight="14.4"/>
  <cols>
    <col min="1" max="1" width="0.109375" customWidth="1"/>
  </cols>
  <sheetData>
    <row r="1" spans="1:86">
      <c r="A1" t="s">
        <v>550</v>
      </c>
    </row>
    <row r="3" spans="1:86">
      <c r="A3" t="s">
        <v>551</v>
      </c>
    </row>
    <row r="4" spans="1:86">
      <c r="A4" t="b">
        <v>1</v>
      </c>
    </row>
    <row r="6" spans="1:86">
      <c r="E6" t="s">
        <v>773</v>
      </c>
      <c r="Y6" t="s">
        <v>552</v>
      </c>
      <c r="Z6" t="s">
        <v>553</v>
      </c>
      <c r="AA6" t="s">
        <v>554</v>
      </c>
      <c r="AB6" t="s">
        <v>555</v>
      </c>
      <c r="AC6" t="s">
        <v>556</v>
      </c>
      <c r="AD6" t="s">
        <v>557</v>
      </c>
      <c r="AE6" t="s">
        <v>558</v>
      </c>
      <c r="AF6" t="s">
        <v>559</v>
      </c>
      <c r="AG6" t="s">
        <v>560</v>
      </c>
      <c r="AH6" t="s">
        <v>561</v>
      </c>
      <c r="AI6" t="s">
        <v>562</v>
      </c>
      <c r="AJ6" t="s">
        <v>563</v>
      </c>
      <c r="AK6" t="s">
        <v>564</v>
      </c>
      <c r="AL6" t="s">
        <v>565</v>
      </c>
      <c r="AM6" t="s">
        <v>566</v>
      </c>
      <c r="AN6" t="s">
        <v>567</v>
      </c>
      <c r="AO6" t="s">
        <v>568</v>
      </c>
      <c r="AP6" t="s">
        <v>569</v>
      </c>
      <c r="AQ6" t="s">
        <v>570</v>
      </c>
      <c r="AR6" t="s">
        <v>571</v>
      </c>
      <c r="AS6" t="s">
        <v>572</v>
      </c>
      <c r="AT6" t="s">
        <v>573</v>
      </c>
      <c r="AU6" t="s">
        <v>574</v>
      </c>
      <c r="AV6" t="s">
        <v>575</v>
      </c>
      <c r="AW6" t="s">
        <v>576</v>
      </c>
      <c r="AX6" t="s">
        <v>577</v>
      </c>
      <c r="AY6" t="s">
        <v>578</v>
      </c>
      <c r="AZ6" t="s">
        <v>579</v>
      </c>
      <c r="BA6" t="s">
        <v>580</v>
      </c>
      <c r="BB6" t="s">
        <v>581</v>
      </c>
      <c r="BC6" t="s">
        <v>582</v>
      </c>
      <c r="BD6" t="s">
        <v>583</v>
      </c>
      <c r="BE6" t="s">
        <v>584</v>
      </c>
      <c r="BF6" t="s">
        <v>585</v>
      </c>
      <c r="BG6" t="s">
        <v>586</v>
      </c>
      <c r="BH6" t="s">
        <v>587</v>
      </c>
      <c r="BI6" t="s">
        <v>588</v>
      </c>
      <c r="BJ6" t="s">
        <v>589</v>
      </c>
      <c r="BK6" t="s">
        <v>590</v>
      </c>
      <c r="BL6" t="s">
        <v>591</v>
      </c>
      <c r="BM6" t="s">
        <v>592</v>
      </c>
      <c r="BN6" t="s">
        <v>593</v>
      </c>
      <c r="BO6" t="s">
        <v>594</v>
      </c>
      <c r="BP6" t="s">
        <v>595</v>
      </c>
      <c r="BQ6" t="s">
        <v>596</v>
      </c>
      <c r="BR6" t="s">
        <v>597</v>
      </c>
      <c r="BS6" t="s">
        <v>598</v>
      </c>
      <c r="BT6" t="s">
        <v>599</v>
      </c>
      <c r="BU6" t="s">
        <v>600</v>
      </c>
      <c r="BV6" t="s">
        <v>601</v>
      </c>
      <c r="BW6" t="s">
        <v>602</v>
      </c>
      <c r="BX6" t="s">
        <v>603</v>
      </c>
      <c r="BY6" t="s">
        <v>604</v>
      </c>
      <c r="BZ6" t="s">
        <v>605</v>
      </c>
      <c r="CA6" t="s">
        <v>606</v>
      </c>
      <c r="CB6" t="s">
        <v>607</v>
      </c>
      <c r="CC6" t="s">
        <v>608</v>
      </c>
      <c r="CD6" t="s">
        <v>609</v>
      </c>
      <c r="CE6" t="s">
        <v>610</v>
      </c>
      <c r="CF6" t="s">
        <v>611</v>
      </c>
      <c r="CG6" t="s">
        <v>612</v>
      </c>
      <c r="CH6" t="s">
        <v>613</v>
      </c>
    </row>
    <row r="7" spans="1:86">
      <c r="A7" t="s">
        <v>614</v>
      </c>
    </row>
    <row r="10" spans="1:86">
      <c r="F10" t="e">
        <f>#REF!</f>
        <v>#REF!</v>
      </c>
      <c r="G10" t="s">
        <v>615</v>
      </c>
      <c r="H10" t="e">
        <f>#REF!</f>
        <v>#REF!</v>
      </c>
      <c r="I10" t="s">
        <v>616</v>
      </c>
    </row>
    <row r="11" spans="1:86">
      <c r="A11" s="62">
        <v>73</v>
      </c>
      <c r="F11" t="e">
        <f>#REF!</f>
        <v>#REF!</v>
      </c>
      <c r="G11" t="s">
        <v>617</v>
      </c>
      <c r="H11" t="e">
        <f>#REF!</f>
        <v>#REF!</v>
      </c>
      <c r="I11" t="s">
        <v>618</v>
      </c>
    </row>
    <row r="12" spans="1:86">
      <c r="A12" s="62">
        <v>18</v>
      </c>
      <c r="F12" t="e">
        <f>#REF!</f>
        <v>#REF!</v>
      </c>
      <c r="G12" t="s">
        <v>619</v>
      </c>
      <c r="H12" t="e">
        <f>#REF!</f>
        <v>#REF!</v>
      </c>
      <c r="I12" t="s">
        <v>620</v>
      </c>
    </row>
    <row r="13" spans="1:86">
      <c r="F13" t="e">
        <f>#REF!</f>
        <v>#REF!</v>
      </c>
      <c r="G13" t="s">
        <v>621</v>
      </c>
      <c r="H13" t="e">
        <f>#REF!</f>
        <v>#REF!</v>
      </c>
      <c r="I13" t="s">
        <v>622</v>
      </c>
    </row>
    <row r="14" spans="1:86">
      <c r="F14" t="e">
        <f>#REF!</f>
        <v>#REF!</v>
      </c>
      <c r="G14" t="s">
        <v>623</v>
      </c>
      <c r="H14" t="e">
        <f>#REF!</f>
        <v>#REF!</v>
      </c>
      <c r="I14" t="s">
        <v>624</v>
      </c>
    </row>
    <row r="15" spans="1:86">
      <c r="A15" s="62">
        <v>26</v>
      </c>
      <c r="F15" t="e">
        <f>#REF!</f>
        <v>#REF!</v>
      </c>
      <c r="G15" t="s">
        <v>625</v>
      </c>
      <c r="H15" t="e">
        <f>#REF!</f>
        <v>#REF!</v>
      </c>
      <c r="I15" t="s">
        <v>626</v>
      </c>
      <c r="R15" t="e">
        <f>#REF!</f>
        <v>#REF!</v>
      </c>
      <c r="S15" t="s">
        <v>627</v>
      </c>
    </row>
    <row r="16" spans="1:86">
      <c r="F16" t="e">
        <f>#REF!</f>
        <v>#REF!</v>
      </c>
      <c r="G16" t="s">
        <v>628</v>
      </c>
      <c r="H16" t="e">
        <f>#REF!</f>
        <v>#REF!</v>
      </c>
      <c r="I16" t="s">
        <v>629</v>
      </c>
      <c r="R16" t="e">
        <f>#REF!</f>
        <v>#REF!</v>
      </c>
      <c r="S16" t="s">
        <v>630</v>
      </c>
    </row>
    <row r="17" spans="6:19">
      <c r="F17" t="e">
        <f>#REF!</f>
        <v>#REF!</v>
      </c>
      <c r="G17" t="s">
        <v>631</v>
      </c>
      <c r="H17" t="e">
        <f>#REF!</f>
        <v>#REF!</v>
      </c>
      <c r="I17" t="s">
        <v>632</v>
      </c>
      <c r="R17" t="e">
        <f>#REF!</f>
        <v>#REF!</v>
      </c>
      <c r="S17" t="s">
        <v>633</v>
      </c>
    </row>
    <row r="18" spans="6:19">
      <c r="F18" t="e">
        <f>#REF!</f>
        <v>#REF!</v>
      </c>
      <c r="G18" t="s">
        <v>634</v>
      </c>
      <c r="R18" t="e">
        <f>#REF!</f>
        <v>#REF!</v>
      </c>
      <c r="S18" t="s">
        <v>635</v>
      </c>
    </row>
    <row r="19" spans="6:19">
      <c r="F19" t="e">
        <f>#REF!</f>
        <v>#REF!</v>
      </c>
      <c r="G19" t="s">
        <v>636</v>
      </c>
      <c r="R19" t="e">
        <f>#REF!</f>
        <v>#REF!</v>
      </c>
      <c r="S19" t="s">
        <v>637</v>
      </c>
    </row>
    <row r="20" spans="6:19">
      <c r="F20" t="e">
        <f>#REF!</f>
        <v>#REF!</v>
      </c>
      <c r="G20" t="s">
        <v>638</v>
      </c>
      <c r="R20" s="62" t="e">
        <f>#REF!</f>
        <v>#REF!</v>
      </c>
      <c r="S20" t="s">
        <v>639</v>
      </c>
    </row>
    <row r="21" spans="6:19">
      <c r="F21" t="e">
        <f>#REF!</f>
        <v>#REF!</v>
      </c>
      <c r="G21" t="s">
        <v>640</v>
      </c>
      <c r="R21" t="e">
        <f>#REF!</f>
        <v>#REF!</v>
      </c>
      <c r="S21" t="s">
        <v>641</v>
      </c>
    </row>
    <row r="22" spans="6:19">
      <c r="F22" t="e">
        <f>#REF!</f>
        <v>#REF!</v>
      </c>
      <c r="G22" t="s">
        <v>642</v>
      </c>
      <c r="R22" t="e">
        <f>#REF!</f>
        <v>#REF!</v>
      </c>
      <c r="S22" t="s">
        <v>643</v>
      </c>
    </row>
    <row r="23" spans="6:19">
      <c r="F23" t="e">
        <f>#REF!</f>
        <v>#REF!</v>
      </c>
      <c r="G23" t="s">
        <v>644</v>
      </c>
      <c r="R23" t="e">
        <f>#REF!</f>
        <v>#REF!</v>
      </c>
      <c r="S23" t="s">
        <v>645</v>
      </c>
    </row>
    <row r="24" spans="6:19">
      <c r="F24" t="e">
        <f>#REF!</f>
        <v>#REF!</v>
      </c>
      <c r="G24" t="s">
        <v>646</v>
      </c>
      <c r="R24" t="e">
        <f>#REF!</f>
        <v>#REF!</v>
      </c>
      <c r="S24" t="s">
        <v>647</v>
      </c>
    </row>
    <row r="25" spans="6:19">
      <c r="F25" t="e">
        <f>#REF!</f>
        <v>#REF!</v>
      </c>
      <c r="G25" t="s">
        <v>648</v>
      </c>
      <c r="R25" t="e">
        <f>'FA list'!#REF!</f>
        <v>#REF!</v>
      </c>
      <c r="S25" t="s">
        <v>649</v>
      </c>
    </row>
    <row r="26" spans="6:19">
      <c r="F26" t="e">
        <f>#REF!</f>
        <v>#REF!</v>
      </c>
      <c r="G26" t="s">
        <v>650</v>
      </c>
      <c r="R26" t="e">
        <f>'FA list'!#REF!</f>
        <v>#REF!</v>
      </c>
      <c r="S26" t="s">
        <v>651</v>
      </c>
    </row>
    <row r="27" spans="6:19">
      <c r="F27" t="e">
        <f>#REF!</f>
        <v>#REF!</v>
      </c>
      <c r="G27" t="s">
        <v>652</v>
      </c>
    </row>
    <row r="28" spans="6:19">
      <c r="F28" t="e">
        <f>#REF!</f>
        <v>#REF!</v>
      </c>
      <c r="G28" t="s">
        <v>653</v>
      </c>
    </row>
    <row r="29" spans="6:19">
      <c r="F29" t="e">
        <f>#REF!</f>
        <v>#REF!</v>
      </c>
      <c r="G29" t="s">
        <v>654</v>
      </c>
    </row>
    <row r="30" spans="6:19">
      <c r="F30" t="e">
        <f>#REF!</f>
        <v>#REF!</v>
      </c>
      <c r="G30" t="s">
        <v>655</v>
      </c>
    </row>
    <row r="31" spans="6:19">
      <c r="F31" t="e">
        <f>#REF!</f>
        <v>#REF!</v>
      </c>
      <c r="G31" t="s">
        <v>656</v>
      </c>
    </row>
    <row r="32" spans="6:19">
      <c r="F32" t="e">
        <f>#REF!</f>
        <v>#REF!</v>
      </c>
      <c r="G32" t="s">
        <v>657</v>
      </c>
    </row>
    <row r="33" spans="6:7">
      <c r="F33" t="e">
        <f>#REF!</f>
        <v>#REF!</v>
      </c>
      <c r="G33" t="s">
        <v>658</v>
      </c>
    </row>
    <row r="34" spans="6:7">
      <c r="F34" t="e">
        <f>#REF!</f>
        <v>#REF!</v>
      </c>
      <c r="G34" t="s">
        <v>659</v>
      </c>
    </row>
    <row r="35" spans="6:7">
      <c r="F35" t="e">
        <f>#REF!</f>
        <v>#REF!</v>
      </c>
      <c r="G35" t="s">
        <v>660</v>
      </c>
    </row>
    <row r="36" spans="6:7">
      <c r="F36" t="e">
        <f>#REF!</f>
        <v>#REF!</v>
      </c>
      <c r="G36" t="s">
        <v>661</v>
      </c>
    </row>
    <row r="37" spans="6:7">
      <c r="F37" t="e">
        <f>#REF!</f>
        <v>#REF!</v>
      </c>
      <c r="G37" t="s">
        <v>662</v>
      </c>
    </row>
    <row r="38" spans="6:7">
      <c r="F38" t="e">
        <f>#REF!</f>
        <v>#REF!</v>
      </c>
      <c r="G38" t="s">
        <v>663</v>
      </c>
    </row>
    <row r="39" spans="6:7">
      <c r="F39" t="e">
        <f>#REF!</f>
        <v>#REF!</v>
      </c>
      <c r="G39" t="s">
        <v>664</v>
      </c>
    </row>
    <row r="40" spans="6:7">
      <c r="F40" t="e">
        <f>#REF!</f>
        <v>#REF!</v>
      </c>
      <c r="G40" t="s">
        <v>665</v>
      </c>
    </row>
    <row r="41" spans="6:7">
      <c r="F41" t="e">
        <f>#REF!</f>
        <v>#REF!</v>
      </c>
      <c r="G41" t="s">
        <v>666</v>
      </c>
    </row>
    <row r="42" spans="6:7">
      <c r="F42" t="e">
        <f>#REF!</f>
        <v>#REF!</v>
      </c>
      <c r="G42" t="s">
        <v>667</v>
      </c>
    </row>
    <row r="68" spans="6:7">
      <c r="F68" t="e">
        <f>'FA list'!#REF!</f>
        <v>#REF!</v>
      </c>
      <c r="G68" t="s">
        <v>668</v>
      </c>
    </row>
    <row r="69" spans="6:7">
      <c r="F69" t="e">
        <f>'FA list'!#REF!</f>
        <v>#REF!</v>
      </c>
      <c r="G69" t="s">
        <v>669</v>
      </c>
    </row>
    <row r="70" spans="6:7">
      <c r="F70" t="e">
        <f>'FA list'!#REF!</f>
        <v>#REF!</v>
      </c>
      <c r="G70" t="s">
        <v>670</v>
      </c>
    </row>
    <row r="71" spans="6:7">
      <c r="F71" t="e">
        <f>'FA list'!#REF!</f>
        <v>#REF!</v>
      </c>
      <c r="G71" t="s">
        <v>671</v>
      </c>
    </row>
    <row r="73" spans="6:7">
      <c r="F73" t="e">
        <f>#REF!</f>
        <v>#REF!</v>
      </c>
      <c r="G73" t="s">
        <v>672</v>
      </c>
    </row>
  </sheetData>
  <phoneticPr fontId="165" type="noConversion"/>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28"/>
  <sheetViews>
    <sheetView showGridLines="0" topLeftCell="A15" zoomScale="85" zoomScaleNormal="85" workbookViewId="0">
      <selection activeCell="E18" sqref="E18"/>
    </sheetView>
  </sheetViews>
  <sheetFormatPr defaultColWidth="9" defaultRowHeight="13.8"/>
  <cols>
    <col min="1" max="1" width="2.6640625" style="4" customWidth="1"/>
    <col min="2" max="9" width="22.6640625" style="4" customWidth="1"/>
    <col min="10" max="10" width="7.6640625" style="4" customWidth="1"/>
    <col min="11" max="11" width="8.88671875" style="4" customWidth="1"/>
    <col min="12" max="12" width="2.6640625" style="4" customWidth="1"/>
    <col min="13" max="13" width="1.6640625" style="4" customWidth="1"/>
    <col min="14" max="16384" width="9" style="4"/>
  </cols>
  <sheetData>
    <row r="1" spans="1:24" ht="50.1" customHeight="1">
      <c r="A1" s="5"/>
      <c r="B1" s="6" t="s">
        <v>122</v>
      </c>
      <c r="C1" s="7"/>
      <c r="D1" s="7"/>
      <c r="E1" s="7"/>
      <c r="F1" s="7"/>
      <c r="G1" s="7"/>
      <c r="H1" s="7"/>
      <c r="I1" s="7"/>
      <c r="J1" s="7"/>
      <c r="K1" s="35"/>
      <c r="M1" s="33"/>
    </row>
    <row r="2" spans="1:24" s="1" customFormat="1" ht="30" customHeight="1">
      <c r="A2" s="8"/>
      <c r="B2" s="9" t="s">
        <v>673</v>
      </c>
      <c r="C2" s="10"/>
      <c r="D2" s="10"/>
      <c r="E2" s="10"/>
      <c r="F2" s="10"/>
      <c r="G2" s="10"/>
      <c r="H2" s="10"/>
      <c r="I2" s="10"/>
      <c r="J2" s="10"/>
      <c r="K2" s="36"/>
      <c r="M2" s="37"/>
    </row>
    <row r="3" spans="1:24">
      <c r="A3" s="5"/>
      <c r="B3" s="11"/>
      <c r="C3" s="11"/>
      <c r="D3" s="5"/>
      <c r="E3" s="11"/>
      <c r="F3" s="12"/>
      <c r="G3" s="12"/>
      <c r="H3" s="11"/>
      <c r="I3" s="5"/>
      <c r="J3" s="38"/>
      <c r="M3" s="33"/>
    </row>
    <row r="4" spans="1:24">
      <c r="A4" s="5"/>
      <c r="B4" s="13" t="s">
        <v>52</v>
      </c>
      <c r="C4" s="14"/>
      <c r="D4" s="5"/>
      <c r="E4" s="11"/>
      <c r="F4" s="12"/>
      <c r="G4" s="12"/>
      <c r="H4" s="11"/>
      <c r="I4" s="5"/>
      <c r="J4" s="38"/>
      <c r="M4" s="33"/>
    </row>
    <row r="5" spans="1:24">
      <c r="A5" s="5"/>
      <c r="B5" s="15"/>
      <c r="C5" s="14"/>
      <c r="D5" s="5"/>
      <c r="E5" s="11"/>
      <c r="F5" s="12"/>
      <c r="G5" s="12"/>
      <c r="H5" s="11"/>
      <c r="I5" s="5"/>
      <c r="J5" s="38"/>
      <c r="M5" s="33"/>
    </row>
    <row r="6" spans="1:24" s="2" customFormat="1" ht="15.6">
      <c r="B6" s="16" t="s">
        <v>674</v>
      </c>
      <c r="M6" s="33"/>
      <c r="X6" s="44"/>
    </row>
    <row r="7" spans="1:24" s="3" customFormat="1" ht="15">
      <c r="B7" s="17" t="s">
        <v>35</v>
      </c>
      <c r="H7" s="18"/>
      <c r="M7" s="33"/>
      <c r="X7" s="44"/>
    </row>
    <row r="8" spans="1:24" s="3" customFormat="1">
      <c r="A8" s="19"/>
      <c r="B8" s="20"/>
      <c r="C8" s="21"/>
      <c r="D8" s="21"/>
      <c r="E8" s="21"/>
      <c r="F8" s="21"/>
      <c r="G8" s="21"/>
      <c r="H8" s="21"/>
      <c r="I8" s="19"/>
      <c r="J8" s="19"/>
      <c r="K8" s="19"/>
      <c r="L8" s="19"/>
      <c r="M8" s="33"/>
      <c r="X8" s="44"/>
    </row>
    <row r="9" spans="1:24" s="3" customFormat="1" ht="15.6">
      <c r="B9" s="22" t="s">
        <v>128</v>
      </c>
      <c r="C9" s="580" t="s">
        <v>675</v>
      </c>
      <c r="D9" s="581"/>
      <c r="E9" s="581"/>
      <c r="F9" s="581"/>
      <c r="G9" s="581"/>
      <c r="H9" s="582"/>
      <c r="M9" s="33"/>
      <c r="X9" s="44"/>
    </row>
    <row r="10" spans="1:24" s="3" customFormat="1" ht="14.1" customHeight="1">
      <c r="B10" s="23"/>
      <c r="C10" s="583">
        <f>'K.00 Lead Sheet'!C3</f>
        <v>46022</v>
      </c>
      <c r="D10" s="583"/>
      <c r="E10" s="583"/>
      <c r="F10" s="583">
        <f>C10-365</f>
        <v>45657</v>
      </c>
      <c r="G10" s="583"/>
      <c r="H10" s="583"/>
      <c r="I10" s="583" t="s">
        <v>197</v>
      </c>
      <c r="J10" s="583"/>
      <c r="K10" s="583"/>
      <c r="L10" s="19"/>
      <c r="M10" s="33"/>
      <c r="X10" s="44"/>
    </row>
    <row r="11" spans="1:24" s="3" customFormat="1" ht="14.1" customHeight="1">
      <c r="B11" s="24" t="s">
        <v>547</v>
      </c>
      <c r="C11" s="584" t="s">
        <v>676</v>
      </c>
      <c r="D11" s="584"/>
      <c r="E11" s="584"/>
      <c r="F11" s="584" t="s">
        <v>676</v>
      </c>
      <c r="G11" s="584"/>
      <c r="H11" s="584"/>
      <c r="I11" s="584" t="b">
        <f>C11=F11</f>
        <v>1</v>
      </c>
      <c r="J11" s="584"/>
      <c r="K11" s="584"/>
      <c r="L11" s="19"/>
      <c r="M11" s="33"/>
      <c r="X11" s="44"/>
    </row>
    <row r="12" spans="1:24" s="3" customFormat="1" ht="14.1" customHeight="1">
      <c r="B12" s="25" t="s">
        <v>677</v>
      </c>
      <c r="C12" s="26" t="s">
        <v>678</v>
      </c>
      <c r="D12" s="26" t="s">
        <v>679</v>
      </c>
      <c r="E12" s="26" t="s">
        <v>680</v>
      </c>
      <c r="F12" s="26" t="s">
        <v>678</v>
      </c>
      <c r="G12" s="26" t="s">
        <v>679</v>
      </c>
      <c r="H12" s="26" t="s">
        <v>680</v>
      </c>
      <c r="I12" s="39" t="s">
        <v>678</v>
      </c>
      <c r="J12" s="39" t="s">
        <v>679</v>
      </c>
      <c r="K12" s="39" t="s">
        <v>681</v>
      </c>
      <c r="L12" s="19"/>
      <c r="M12" s="33"/>
      <c r="X12" s="44"/>
    </row>
    <row r="13" spans="1:24" s="3" customFormat="1" ht="14.1" customHeight="1">
      <c r="B13" s="27" t="s">
        <v>129</v>
      </c>
      <c r="C13" s="27" t="s">
        <v>540</v>
      </c>
      <c r="D13" s="28">
        <v>0</v>
      </c>
      <c r="E13" s="29">
        <f t="shared" ref="E13:E21" si="0">(1-D13)/C13</f>
        <v>2.8571428571428571E-2</v>
      </c>
      <c r="F13" s="27" t="s">
        <v>540</v>
      </c>
      <c r="G13" s="28">
        <v>0</v>
      </c>
      <c r="H13" s="29">
        <f t="shared" ref="H13:H21" si="1">(1-G13)/F13</f>
        <v>2.8571428571428571E-2</v>
      </c>
      <c r="I13" s="40" t="b">
        <f t="shared" ref="I13:J21" si="2">C13=F13</f>
        <v>1</v>
      </c>
      <c r="J13" s="40" t="b">
        <f t="shared" si="2"/>
        <v>1</v>
      </c>
      <c r="K13" s="41"/>
      <c r="L13" s="19"/>
      <c r="M13" s="33"/>
      <c r="X13" s="44"/>
    </row>
    <row r="14" spans="1:24" s="3" customFormat="1" ht="14.1" customHeight="1">
      <c r="B14" s="27" t="s">
        <v>129</v>
      </c>
      <c r="C14" s="27">
        <v>40</v>
      </c>
      <c r="D14" s="28">
        <v>0</v>
      </c>
      <c r="E14" s="29">
        <f t="shared" si="0"/>
        <v>2.5000000000000001E-2</v>
      </c>
      <c r="F14" s="27">
        <v>40</v>
      </c>
      <c r="G14" s="28">
        <v>0</v>
      </c>
      <c r="H14" s="29">
        <f t="shared" si="1"/>
        <v>2.5000000000000001E-2</v>
      </c>
      <c r="I14" s="40" t="b">
        <f t="shared" ref="I14:I15" si="3">C14=F14</f>
        <v>1</v>
      </c>
      <c r="J14" s="40" t="b">
        <f t="shared" si="2"/>
        <v>1</v>
      </c>
      <c r="K14" s="41"/>
      <c r="L14" s="19"/>
      <c r="M14" s="33"/>
      <c r="X14" s="44"/>
    </row>
    <row r="15" spans="1:24" s="3" customFormat="1">
      <c r="B15" s="27" t="s">
        <v>130</v>
      </c>
      <c r="C15" s="27">
        <v>6</v>
      </c>
      <c r="D15" s="28">
        <v>0</v>
      </c>
      <c r="E15" s="29">
        <f t="shared" si="0"/>
        <v>0.16666666666666666</v>
      </c>
      <c r="F15" s="27">
        <v>6</v>
      </c>
      <c r="G15" s="28">
        <v>0</v>
      </c>
      <c r="H15" s="29">
        <f t="shared" si="1"/>
        <v>0.16666666666666666</v>
      </c>
      <c r="I15" s="40" t="b">
        <f t="shared" si="3"/>
        <v>1</v>
      </c>
      <c r="J15" s="40" t="b">
        <f t="shared" si="2"/>
        <v>1</v>
      </c>
      <c r="K15" s="41"/>
      <c r="L15" s="19"/>
      <c r="M15" s="33"/>
      <c r="X15" s="44"/>
    </row>
    <row r="16" spans="1:24" s="3" customFormat="1">
      <c r="B16" s="27" t="s">
        <v>130</v>
      </c>
      <c r="C16" s="27">
        <v>8</v>
      </c>
      <c r="D16" s="28">
        <v>0</v>
      </c>
      <c r="E16" s="29">
        <f t="shared" si="0"/>
        <v>0.125</v>
      </c>
      <c r="F16" s="27">
        <v>8</v>
      </c>
      <c r="G16" s="28">
        <v>0</v>
      </c>
      <c r="H16" s="29">
        <f t="shared" ref="H16:H18" si="4">(1-G16)/F16</f>
        <v>0.125</v>
      </c>
      <c r="I16" s="40" t="b">
        <f t="shared" ref="I16:I18" si="5">C16=F16</f>
        <v>1</v>
      </c>
      <c r="J16" s="40" t="b">
        <f t="shared" si="2"/>
        <v>1</v>
      </c>
      <c r="K16" s="41"/>
      <c r="L16" s="19"/>
      <c r="M16" s="33"/>
      <c r="X16" s="44"/>
    </row>
    <row r="17" spans="1:24" s="3" customFormat="1">
      <c r="B17" s="27" t="s">
        <v>130</v>
      </c>
      <c r="C17" s="27">
        <v>10</v>
      </c>
      <c r="D17" s="28">
        <v>0</v>
      </c>
      <c r="E17" s="29">
        <f t="shared" si="0"/>
        <v>0.1</v>
      </c>
      <c r="F17" s="27">
        <v>10</v>
      </c>
      <c r="G17" s="28">
        <v>0</v>
      </c>
      <c r="H17" s="29">
        <f t="shared" si="4"/>
        <v>0.1</v>
      </c>
      <c r="I17" s="40" t="b">
        <f t="shared" si="5"/>
        <v>1</v>
      </c>
      <c r="J17" s="40" t="b">
        <f t="shared" si="2"/>
        <v>1</v>
      </c>
      <c r="K17" s="41"/>
      <c r="L17" s="19"/>
      <c r="M17" s="33"/>
      <c r="X17" s="44"/>
    </row>
    <row r="18" spans="1:24" s="3" customFormat="1">
      <c r="B18" s="27" t="s">
        <v>130</v>
      </c>
      <c r="C18" s="27">
        <v>12</v>
      </c>
      <c r="D18" s="28">
        <v>0</v>
      </c>
      <c r="E18" s="29">
        <f t="shared" si="0"/>
        <v>8.3333333333333329E-2</v>
      </c>
      <c r="F18" s="27">
        <v>12</v>
      </c>
      <c r="G18" s="28">
        <v>0</v>
      </c>
      <c r="H18" s="29">
        <f t="shared" si="4"/>
        <v>8.3333333333333329E-2</v>
      </c>
      <c r="I18" s="40" t="b">
        <f t="shared" si="5"/>
        <v>1</v>
      </c>
      <c r="J18" s="40" t="b">
        <f t="shared" si="2"/>
        <v>1</v>
      </c>
      <c r="K18" s="41"/>
      <c r="L18" s="19"/>
      <c r="M18" s="33"/>
      <c r="X18" s="44"/>
    </row>
    <row r="19" spans="1:24" s="3" customFormat="1">
      <c r="B19" s="27" t="s">
        <v>131</v>
      </c>
      <c r="C19" s="27">
        <v>8</v>
      </c>
      <c r="D19" s="28">
        <v>0</v>
      </c>
      <c r="E19" s="29">
        <f t="shared" si="0"/>
        <v>0.125</v>
      </c>
      <c r="F19" s="27">
        <v>8</v>
      </c>
      <c r="G19" s="28">
        <v>0</v>
      </c>
      <c r="H19" s="29">
        <f t="shared" si="1"/>
        <v>0.125</v>
      </c>
      <c r="I19" s="40" t="b">
        <f t="shared" si="2"/>
        <v>1</v>
      </c>
      <c r="J19" s="40" t="b">
        <f t="shared" si="2"/>
        <v>1</v>
      </c>
      <c r="K19" s="41"/>
      <c r="L19" s="19"/>
      <c r="M19" s="33"/>
      <c r="X19" s="44"/>
    </row>
    <row r="20" spans="1:24" s="3" customFormat="1">
      <c r="B20" s="27" t="s">
        <v>132</v>
      </c>
      <c r="C20" s="27">
        <v>5</v>
      </c>
      <c r="D20" s="28">
        <v>0</v>
      </c>
      <c r="E20" s="30">
        <f t="shared" si="0"/>
        <v>0.2</v>
      </c>
      <c r="F20" s="27">
        <v>5</v>
      </c>
      <c r="G20" s="28">
        <v>0</v>
      </c>
      <c r="H20" s="30">
        <f t="shared" si="1"/>
        <v>0.2</v>
      </c>
      <c r="I20" s="40" t="b">
        <f t="shared" si="2"/>
        <v>1</v>
      </c>
      <c r="J20" s="40" t="b">
        <f t="shared" si="2"/>
        <v>1</v>
      </c>
      <c r="K20" s="41"/>
      <c r="L20" s="19"/>
      <c r="M20" s="33"/>
      <c r="X20" s="44"/>
    </row>
    <row r="21" spans="1:24" s="3" customFormat="1">
      <c r="B21" s="27" t="s">
        <v>132</v>
      </c>
      <c r="C21" s="27">
        <v>8</v>
      </c>
      <c r="D21" s="28">
        <v>0</v>
      </c>
      <c r="E21" s="30">
        <f t="shared" si="0"/>
        <v>0.125</v>
      </c>
      <c r="F21" s="27">
        <v>8</v>
      </c>
      <c r="G21" s="28">
        <v>0</v>
      </c>
      <c r="H21" s="30">
        <f t="shared" si="1"/>
        <v>0.125</v>
      </c>
      <c r="I21" s="40" t="b">
        <f t="shared" si="2"/>
        <v>1</v>
      </c>
      <c r="J21" s="40" t="b">
        <f t="shared" si="2"/>
        <v>1</v>
      </c>
      <c r="K21" s="41"/>
      <c r="L21" s="19"/>
      <c r="M21" s="33"/>
      <c r="X21" s="44"/>
    </row>
    <row r="22" spans="1:24" s="2" customFormat="1" ht="15">
      <c r="I22" s="42"/>
      <c r="J22" s="42"/>
      <c r="K22" s="42"/>
      <c r="M22" s="33"/>
      <c r="X22" s="44"/>
    </row>
    <row r="23" spans="1:24" s="2" customFormat="1" ht="15">
      <c r="B23" s="31" t="s">
        <v>113</v>
      </c>
      <c r="C23" s="32"/>
      <c r="D23" s="32"/>
      <c r="I23" s="42"/>
      <c r="J23" s="42"/>
      <c r="K23" s="42"/>
      <c r="M23" s="33"/>
      <c r="X23" s="44"/>
    </row>
    <row r="24" spans="1:24" s="2" customFormat="1" ht="65.55" customHeight="1">
      <c r="B24" s="577" t="s">
        <v>682</v>
      </c>
      <c r="C24" s="578"/>
      <c r="D24" s="578"/>
      <c r="E24" s="578"/>
      <c r="F24" s="578"/>
      <c r="G24" s="578"/>
      <c r="H24" s="579"/>
      <c r="I24" s="42"/>
      <c r="J24" s="42"/>
      <c r="K24" s="42"/>
      <c r="L24" s="43"/>
      <c r="M24" s="33"/>
      <c r="N24" s="42"/>
      <c r="O24" s="42"/>
      <c r="P24" s="42"/>
      <c r="Q24" s="42"/>
      <c r="R24" s="45"/>
      <c r="S24" s="44"/>
      <c r="T24" s="44"/>
      <c r="X24" s="44"/>
    </row>
    <row r="25" spans="1:24" ht="15" customHeight="1">
      <c r="A25" s="5"/>
      <c r="B25" s="5"/>
      <c r="C25" s="5"/>
      <c r="D25" s="5"/>
      <c r="E25" s="5"/>
      <c r="F25" s="5"/>
      <c r="G25" s="5"/>
      <c r="H25" s="5"/>
      <c r="I25" s="5"/>
      <c r="M25" s="33"/>
    </row>
    <row r="26" spans="1:24" ht="7.5" customHeight="1">
      <c r="A26" s="33"/>
      <c r="B26" s="33"/>
      <c r="C26" s="33"/>
      <c r="D26" s="33"/>
      <c r="E26" s="33"/>
      <c r="F26" s="33"/>
      <c r="G26" s="33"/>
      <c r="H26" s="33"/>
      <c r="I26" s="33"/>
      <c r="J26" s="33"/>
      <c r="K26" s="33"/>
      <c r="L26" s="33"/>
      <c r="M26" s="33"/>
    </row>
    <row r="28" spans="1:24" ht="14.4">
      <c r="B28" s="34"/>
    </row>
  </sheetData>
  <mergeCells count="8">
    <mergeCell ref="B24:H24"/>
    <mergeCell ref="C9:H9"/>
    <mergeCell ref="C10:E10"/>
    <mergeCell ref="F10:H10"/>
    <mergeCell ref="I10:K10"/>
    <mergeCell ref="C11:E11"/>
    <mergeCell ref="F11:H11"/>
    <mergeCell ref="I11:K11"/>
  </mergeCells>
  <phoneticPr fontId="165" type="noConversion"/>
  <conditionalFormatting sqref="B13:D21 I13:J21 B24">
    <cfRule type="containsBlanks" dxfId="2" priority="3">
      <formula>LEN(TRIM(B13))=0</formula>
    </cfRule>
  </conditionalFormatting>
  <conditionalFormatting sqref="C11:K11">
    <cfRule type="containsBlanks" dxfId="1" priority="7">
      <formula>LEN(TRIM(C11))=0</formula>
    </cfRule>
  </conditionalFormatting>
  <conditionalFormatting sqref="F13:G21">
    <cfRule type="containsBlanks" dxfId="0" priority="1">
      <formula>LEN(TRIM(F13))=0</formula>
    </cfRule>
  </conditionalFormatting>
  <hyperlinks>
    <hyperlink ref="B4" location="'汇总 '!A1" display="返回汇总页" xr:uid="{00000000-0004-0000-0D00-000000000000}"/>
  </hyperlinks>
  <pageMargins left="0.7" right="0.7" top="0.75" bottom="0.75" header="0.3" footer="0.3"/>
  <drawing r:id="rId1"/>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4E9DA6-74DD-488C-9C89-98AE865032CA}">
  <ds:schemaRefs/>
</ds:datastoreItem>
</file>

<file path=customXml/itemProps2.xml><?xml version="1.0" encoding="utf-8"?>
<ds:datastoreItem xmlns:ds="http://schemas.openxmlformats.org/officeDocument/2006/customXml" ds:itemID="{D47EC8FE-5A08-4D1B-B742-4724F4AA77F5}">
  <ds:schemaRefs/>
</ds:datastoreItem>
</file>

<file path=customXml/itemProps3.xml><?xml version="1.0" encoding="utf-8"?>
<ds:datastoreItem xmlns:ds="http://schemas.openxmlformats.org/officeDocument/2006/customXml" ds:itemID="{634E35E6-5B3F-4278-A13E-A6A53437F8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汇总 </vt:lpstr>
      <vt:lpstr>K.00 Lead Sheet</vt:lpstr>
      <vt:lpstr>K.01 Agree SL to GL</vt:lpstr>
      <vt:lpstr>FA list</vt:lpstr>
      <vt:lpstr>新增清单</vt:lpstr>
      <vt:lpstr>K.03.3 折旧政策复核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creator>Jyothi Prakash A</dc:creator>
  <cp:keywords>Final Audit.V6.K1.0922</cp:keywords>
  <dc:description>8C639849-B002-4EB7-A119-1A38F8B535F1</dc:description>
  <cp:lastModifiedBy>Dana D Li</cp:lastModifiedBy>
  <dcterms:created xsi:type="dcterms:W3CDTF">2006-09-16T00:00:00Z</dcterms:created>
  <dcterms:modified xsi:type="dcterms:W3CDTF">2026-05-13T12:18:49Z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2E75BF7EB27E47C0B9FE51DE234B552F_12</vt:lpwstr>
  </property>
  <property fmtid="{D5CDD505-2E9C-101B-9397-08002B2CF9AE}" pid="4" name="KSOProductBuildVer">
    <vt:lpwstr>2052-12.1.0.23125</vt:lpwstr>
  </property>
</Properties>
</file>
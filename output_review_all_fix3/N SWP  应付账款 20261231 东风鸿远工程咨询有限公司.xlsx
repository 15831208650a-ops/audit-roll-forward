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824" firstSheet="0" activeTab="0" autoFilterDateGrouping="1"/>
  </bookViews>
  <sheets>
    <sheet name="汇总" sheetId="1" state="visible" r:id="rId1"/>
    <sheet name="N.00 Lead sheet" sheetId="2" state="visible" r:id="rId2"/>
    <sheet name="N.01 明细账与总账核对" sheetId="3" state="visible" r:id="rId3"/>
    <sheet name="N.01.01明细账" sheetId="4" state="visible" r:id="rId4"/>
    <sheet name="N.02 异常项复核" sheetId="5" state="visible" r:id="rId5"/>
    <sheet name="N.03 截止测试" sheetId="6" state="visible" r:id="rId6"/>
    <sheet name="N.04 寻找未入账负债" sheetId="7" state="visible" r:id="rId7"/>
    <sheet name="SkywindSettingSheet" sheetId="8" state="veryHidden" r:id="rId8"/>
    <sheet name="DS_INTERNAL_SETTINGS_STORAGE" sheetId="9" state="veryHidden" r:id="rId9"/>
    <sheet name="DS_INTERNAL_DOCGROUP_STORAGE" sheetId="10" state="veryHidden" r:id="rId10"/>
    <sheet name="DS_INTERNAL_DOCUMENT_STORAGE" sheetId="11" state="veryHidden" r:id="rId11"/>
    <sheet name="DS_INTERNAL_SNIP_STORAGE" sheetId="12" state="veryHidden" r:id="rId12"/>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 hidden="1">#REF!</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ew" hidden="1">{#N/A,#N/A,FALSE,"Jan"}</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feedback"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adas" localSheetId="3" hidden="1">{"M1Print",#N/A,TRUE,"M1";"M2Print",#N/A,TRUE,"M2";"M1sPrint",#N/A,TRUE,"M1s";"M2aPrint",#N/A,TRUE,"M2a";"M4Print",#N/A,TRUE,"M4";"M5Print",#N/A,TRUE,"M5";"M6Print",#N/A,TRUE,"M6";"M6_1Print",#N/A,TRUE,"M6_1";"M6_2Print",#N/A,TRUE,"M6_2";"M7_1Print",#N/A,TRUE,"M7_1";"M7_2Print",#N/A,TRUE,"M7_2"}</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hdg" localSheetId="3" hidden="1">{#N/A,#N/A,FALSE,"Jan"}</definedName>
    <definedName name="ExpenseUpload" localSheetId="3" hidden="1">{#N/A,#N/A,TRUE,"CPRD";#N/A,#N/A,TRUE,"BCCPDR";#N/A,#N/A,TRUE,"EWRD";#N/A,#N/A,TRUE,"5100";#N/A,#N/A,TRUE,"5110"}</definedName>
    <definedName name="feedback"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osit._.By._.Day." localSheetId="3" hidden="1">{#N/A,#N/A,FALSE,"Deposits by day"}</definedName>
    <definedName name="wrn.Deptartment._.Expenses." localSheetId="3" hidden="1">{#N/A,#N/A,TRUE,"CPRD";#N/A,#N/A,TRUE,"BCCPDR";#N/A,#N/A,TRUE,"EWRD";#N/A,#N/A,TRUE,"5100";#N/A,#N/A,TRUE,"5110"}</definedName>
    <definedName name="wrn.jan." localSheetId="3" hidden="1">{#N/A,#N/A,FALSE,"Jan"}</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ytd." localSheetId="3" hidden="1">{#N/A,#N/A,FALSE,"YTD"}</definedName>
    <definedName name="wrnn.all." localSheetId="3" hidden="1">{#N/A,#N/A,FALSE,"SUM";#N/A,#N/A,FALSE,"SK_TOT";#N/A,#N/A,FALSE,"YM";#N/A,#N/A,FALSE,"TSMC";#N/A,#N/A,FALSE,"ICW";#N/A,#N/A,FALSE,"Sheet1"}</definedName>
    <definedName name="xzxsfd" localSheetId="3" hidden="1">{"M1Print",#N/A,FALSE,"M1"}</definedName>
    <definedName name="苛" localSheetId="3"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123Graph_A" localSheetId="6" hidden="1">#REF!</definedName>
    <definedName name="__123Graph_AGraph1" localSheetId="6" hidden="1">#REF!</definedName>
    <definedName name="__123Graph_B" localSheetId="6" hidden="1">#REF!</definedName>
    <definedName name="__123Graph_BGraph1" localSheetId="6" hidden="1">#REF!</definedName>
    <definedName name="__123Graph_D" localSheetId="6" hidden="1">#REF!</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_Fill" localSheetId="6" hidden="1">#REF!</definedName>
    <definedName name="_Key1" localSheetId="6" hidden="1">#REF!</definedName>
    <definedName name="_Key2" localSheetId="6" hidden="1">#REF!</definedName>
    <definedName name="_Sort" localSheetId="6" hidden="1">#REF!</definedName>
    <definedName name="adas" localSheetId="6" hidden="1">{"M1Print",#N/A,TRUE,"M1";"M2Print",#N/A,TRUE,"M2";"M1sPrint",#N/A,TRUE,"M1s";"M2aPrint",#N/A,TRUE,"M2a";"M4Print",#N/A,TRUE,"M4";"M5Print",#N/A,TRUE,"M5";"M6Print",#N/A,TRUE,"M6";"M6_1Print",#N/A,TRUE,"M6_1";"M6_2Print",#N/A,TRUE,"M6_2";"M7_1Print",#N/A,TRUE,"M7_1";"M7_2Print",#N/A,TRUE,"M7_2"}</definedName>
    <definedName name="AS2TickmarkLS" localSheetId="6" hidden="1">#REF!</definedName>
    <definedName name="ass" localSheetId="6" hidden="1">{#N/A,#N/A,TRUE,"CPRD";#N/A,#N/A,TRUE,"BCCPDR";#N/A,#N/A,TRUE,"EWRD";#N/A,#N/A,TRUE,"5100";#N/A,#N/A,TRUE,"5110"}</definedName>
    <definedName name="BNE_MESSAGES_HIDDEN" localSheetId="6" hidden="1">#REF!</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feedback"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LotusGraphChart1" localSheetId="6" hidden="1">#REF!</definedName>
    <definedName name="lotusgraphchart1b" localSheetId="6" hidden="1">#REF!</definedName>
    <definedName name="lotusgraphchart1x" localSheetId="6" hidden="1">#REF!</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Sheet1_BNE_MESSAGES" localSheetId="6" hidden="1">#REF!</definedName>
    <definedName name="Sheet1_BNE_MESSAGES_HIDDEN" localSheetId="6" hidden="1">#REF!</definedName>
    <definedName name="Sheet1_BNE_MESSAGES_LAMP" localSheetId="6" hidden="1">#REF!</definedName>
    <definedName name="Sheet1_BNE_UPLOAD" localSheetId="6" hidden="1">#REF!</definedName>
    <definedName name="Sheet1_GL_INTERFACE_ACCOUNTING_DATE" localSheetId="6" hidden="1">#REF!</definedName>
    <definedName name="Sheet1_GL_INTERFACE_ACTUAL_FLAG" localSheetId="6" hidden="1">#REF!</definedName>
    <definedName name="Sheet1_GL_INTERFACE_CURRENCY_CODE" localSheetId="6" hidden="1">#REF!</definedName>
    <definedName name="Sheet1_GL_INTERFACE_DATABASE" localSheetId="6" hidden="1">#REF!</definedName>
    <definedName name="Sheet1_GL_INTERFACE_ENTERED_CR" localSheetId="6" hidden="1">#REF!</definedName>
    <definedName name="Sheet1_GL_INTERFACE_ENTERED_DR" localSheetId="6" hidden="1">#REF!</definedName>
    <definedName name="Sheet1_GL_INTERFACE_REFERENCE1" localSheetId="6" hidden="1">#REF!</definedName>
    <definedName name="Sheet1_GL_INTERFACE_REFERENCE10" localSheetId="6" hidden="1">#REF!</definedName>
    <definedName name="Sheet1_GL_INTERFACE_REFERENCE4" localSheetId="6" hidden="1">#REF!</definedName>
    <definedName name="Sheet1_GL_INTERFACE_REFERENCE5" localSheetId="6" hidden="1">#REF!</definedName>
    <definedName name="Sheet1_GL_INTERFACE_REFERENCE6" localSheetId="6" hidden="1">#REF!</definedName>
    <definedName name="Sheet1_GL_INTERFACE_REFERENCE7" localSheetId="6" hidden="1">#REF!</definedName>
    <definedName name="Sheet1_GL_INTERFACE_REFERENCE8" localSheetId="6" hidden="1">#REF!</definedName>
    <definedName name="Sheet1_GL_INTERFACE_SEGMENT1" localSheetId="6" hidden="1">#REF!</definedName>
    <definedName name="Sheet1_GL_INTERFACE_SEGMENT2" localSheetId="6" hidden="1">#REF!</definedName>
    <definedName name="Sheet1_GL_INTERFACE_SEGMENT3" localSheetId="6" hidden="1">#REF!</definedName>
    <definedName name="Sheet1_GL_INTERFACE_SEGMENT4" localSheetId="6" hidden="1">#REF!</definedName>
    <definedName name="Sheet1_GL_INTERFACE_SEGMENT5" localSheetId="6" hidden="1">#REF!</definedName>
    <definedName name="Sheet1_GL_INTERFACE_SEGMENT6" localSheetId="6" hidden="1">#REF!</definedName>
    <definedName name="Sheet1_GL_INTERFACE_SET_OF_BOOKS_ID" localSheetId="6" hidden="1">#REF!</definedName>
    <definedName name="Sheet1_GL_INTERFACE_USER_JE_CATEGORY_NAME" localSheetId="6" hidden="1">#REF!</definedName>
    <definedName name="Sheet1_GL_INTERFACE_USER_JE_SOURCE_NAME" localSheetId="6" hidden="1">#REF!</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REF_COLUMN_1" localSheetId="6" hidden="1">#REF!</definedName>
    <definedName name="XREF_COLUMN_10" localSheetId="6" hidden="1">#REF!</definedName>
    <definedName name="XREF_COLUMN_11" localSheetId="6" hidden="1">#REF!</definedName>
    <definedName name="XREF_COLUMN_12" localSheetId="6" hidden="1">#REF!</definedName>
    <definedName name="XREF_COLUMN_19" localSheetId="6" hidden="1">#REF!</definedName>
    <definedName name="XREF_COLUMN_2" localSheetId="6" hidden="1">#REF!</definedName>
    <definedName name="XREF_COLUMN_20" localSheetId="6" hidden="1">#REF!</definedName>
    <definedName name="XREF_COLUMN_21" localSheetId="6" hidden="1">#REF!</definedName>
    <definedName name="XREF_COLUMN_3" localSheetId="6" hidden="1">#REF!</definedName>
    <definedName name="XREF_COLUMN_4" localSheetId="6" hidden="1">#REF!</definedName>
    <definedName name="XREF_COLUMN_5" localSheetId="6" hidden="1">#REF!</definedName>
    <definedName name="XREF_COLUMN_6" localSheetId="6" hidden="1">#REF!</definedName>
    <definedName name="XREF_COLUMN_7" localSheetId="6" hidden="1">#REF!</definedName>
    <definedName name="XRefActiveRow" localSheetId="6" hidden="1">#REF!</definedName>
    <definedName name="XRefCopy1" localSheetId="6" hidden="1">#REF!</definedName>
    <definedName name="XRefCopy10" localSheetId="6" hidden="1">#REF!</definedName>
    <definedName name="XRefCopy10Row" localSheetId="6" hidden="1">#REF!</definedName>
    <definedName name="XRefCopy11" localSheetId="6" hidden="1">#REF!</definedName>
    <definedName name="XRefCopy11Row" localSheetId="6" hidden="1">#REF!</definedName>
    <definedName name="XRefCopy12" localSheetId="6" hidden="1">#REF!</definedName>
    <definedName name="XRefCopy13" localSheetId="6" hidden="1">#REF!</definedName>
    <definedName name="XRefCopy13Row" localSheetId="6" hidden="1">#REF!</definedName>
    <definedName name="XRefCopy14" localSheetId="6" hidden="1">#REF!</definedName>
    <definedName name="XRefCopy15" localSheetId="6" hidden="1">#REF!</definedName>
    <definedName name="XRefCopy16Row" localSheetId="6" hidden="1">#REF!</definedName>
    <definedName name="XRefCopy1Row" localSheetId="6" hidden="1">#REF!</definedName>
    <definedName name="XRefCopy2" localSheetId="6" hidden="1">#REF!</definedName>
    <definedName name="XRefCopy2Row" localSheetId="6" hidden="1">#REF!</definedName>
    <definedName name="XRefCopy3" localSheetId="6" hidden="1">#REF!</definedName>
    <definedName name="XRefCopy3Row" localSheetId="6" hidden="1">#REF!</definedName>
    <definedName name="XRefCopy4" localSheetId="6" hidden="1">#REF!</definedName>
    <definedName name="XRefCopy46" localSheetId="6" hidden="1">#REF!</definedName>
    <definedName name="XRefCopy47" localSheetId="6" hidden="1">#REF!</definedName>
    <definedName name="XRefCopy47Row" localSheetId="6" hidden="1">#REF!</definedName>
    <definedName name="XRefCopy48" localSheetId="6" hidden="1">#REF!</definedName>
    <definedName name="XRefCopy48Row" localSheetId="6" hidden="1">#REF!</definedName>
    <definedName name="XRefCopy49" localSheetId="6" hidden="1">#REF!</definedName>
    <definedName name="XRefCopy49Row" localSheetId="6" hidden="1">#REF!</definedName>
    <definedName name="XRefCopy4Row" localSheetId="6" hidden="1">#REF!</definedName>
    <definedName name="XRefCopy5" localSheetId="6" hidden="1">#REF!</definedName>
    <definedName name="XRefCopy50" localSheetId="6" hidden="1">#REF!</definedName>
    <definedName name="XRefCopy50Row" localSheetId="6" hidden="1">#REF!</definedName>
    <definedName name="XRefCopy51" localSheetId="6" hidden="1">#REF!</definedName>
    <definedName name="XRefCopy52" localSheetId="6" hidden="1">#REF!</definedName>
    <definedName name="XRefCopy52Row" localSheetId="6" hidden="1">#REF!</definedName>
    <definedName name="XRefCopy53" localSheetId="6" hidden="1">#REF!</definedName>
    <definedName name="XRefCopy53Row" localSheetId="6" hidden="1">#REF!</definedName>
    <definedName name="XRefCopy54" localSheetId="6" hidden="1">#REF!</definedName>
    <definedName name="XRefCopy54Row" localSheetId="6" hidden="1">#REF!</definedName>
    <definedName name="XRefCopy55" localSheetId="6" hidden="1">#REF!</definedName>
    <definedName name="XRefCopy55Row" localSheetId="6" hidden="1">#REF!</definedName>
    <definedName name="XRefCopy56" localSheetId="6" hidden="1">#REF!</definedName>
    <definedName name="XRefCopy56Row" localSheetId="6" hidden="1">#REF!</definedName>
    <definedName name="XRefCopy57" localSheetId="6" hidden="1">#REF!</definedName>
    <definedName name="XRefCopy57Row" localSheetId="6" hidden="1">#REF!</definedName>
    <definedName name="XRefCopy5Row" localSheetId="6" hidden="1">#REF!</definedName>
    <definedName name="XRefCopy6" localSheetId="6" hidden="1">#REF!</definedName>
    <definedName name="XRefCopy6Row" localSheetId="6" hidden="1">#REF!</definedName>
    <definedName name="XRefCopy7" localSheetId="6" hidden="1">#REF!</definedName>
    <definedName name="XRefCopy7Row" localSheetId="6" hidden="1">#REF!</definedName>
    <definedName name="XRefCopy8" localSheetId="6" hidden="1">#REF!</definedName>
    <definedName name="XRefCopy8Row" localSheetId="6" hidden="1">#REF!</definedName>
    <definedName name="XRefCopy9" localSheetId="6" hidden="1">#REF!</definedName>
    <definedName name="XRefCopy9Row" localSheetId="6" hidden="1">#REF!</definedName>
    <definedName name="XRefPaste1" localSheetId="6" hidden="1">#REF!</definedName>
    <definedName name="XRefPaste10" localSheetId="6" hidden="1">#REF!</definedName>
    <definedName name="XRefPaste11" localSheetId="6" hidden="1">#REF!</definedName>
    <definedName name="XRefPaste1Row" localSheetId="6" hidden="1">#REF!</definedName>
    <definedName name="XRefPaste2" localSheetId="6" hidden="1">#REF!</definedName>
    <definedName name="XRefPaste24" localSheetId="6" hidden="1">#REF!</definedName>
    <definedName name="XRefPaste24Row" localSheetId="6" hidden="1">#REF!</definedName>
    <definedName name="XRefPaste25" localSheetId="6" hidden="1">#REF!</definedName>
    <definedName name="XRefPaste25Row" localSheetId="6" hidden="1">#REF!</definedName>
    <definedName name="XRefPaste26" localSheetId="6" hidden="1">#REF!</definedName>
    <definedName name="XRefPaste26Row" localSheetId="6" hidden="1">#REF!</definedName>
    <definedName name="XRefPaste27" localSheetId="6" hidden="1">#REF!</definedName>
    <definedName name="XRefPaste27Row" localSheetId="6" hidden="1">#REF!</definedName>
    <definedName name="XRefPaste28" localSheetId="6" hidden="1">#REF!</definedName>
    <definedName name="XRefPaste28Row" localSheetId="6" hidden="1">#REF!</definedName>
    <definedName name="XRefPaste29" localSheetId="6" hidden="1">#REF!</definedName>
    <definedName name="XRefPaste29Row" localSheetId="6" hidden="1">#REF!</definedName>
    <definedName name="XRefPaste2Row" localSheetId="6" hidden="1">#REF!</definedName>
    <definedName name="XRefPaste3" localSheetId="6" hidden="1">#REF!</definedName>
    <definedName name="XRefPaste3Row" localSheetId="6" hidden="1">#REF!</definedName>
    <definedName name="XRefPaste4" localSheetId="6" hidden="1">#REF!</definedName>
    <definedName name="XRefPaste4Row" localSheetId="6" hidden="1">#REF!</definedName>
    <definedName name="XRefPaste5" localSheetId="6" hidden="1">#REF!</definedName>
    <definedName name="XRefPaste6" localSheetId="6" hidden="1">#REF!</definedName>
    <definedName name="XRefPaste6Row" localSheetId="6" hidden="1">#REF!</definedName>
    <definedName name="XRefPaste7" localSheetId="6" hidden="1">#REF!</definedName>
    <definedName name="XRefPaste8" localSheetId="6" hidden="1">#REF!</definedName>
    <definedName name="XRefPaste9" localSheetId="6" hidden="1">#REF!</definedName>
    <definedName name="xzxsfd" localSheetId="6" hidden="1">{"M1Print",#N/A,FALSE,"M1"}</definedName>
    <definedName name="Z_1711050D_B2D8_42FB_A40D_E4BD90297684_.wvu.Cols" localSheetId="6" hidden="1">#REF!,#REF!,#REF!,#REF!,#REF!</definedName>
    <definedName name="Z_E738B51C_56AE_4F9F_8D8A_36AD6137B90D_.wvu.Cols" localSheetId="6" hidden="1">#REF!</definedName>
    <definedName name="Z_E738B51C_56AE_4F9F_8D8A_36AD6137B90D_.wvu.PrintArea" localSheetId="6" hidden="1">#REF!</definedName>
    <definedName name="Z_E738B51C_56AE_4F9F_8D8A_36AD6137B90D_.wvu.PrintTitles" localSheetId="6" hidden="1">#REF!,#REF!</definedName>
    <definedName name="Z_E738B51C_56AE_4F9F_8D8A_36AD6137B90D_.wvu.Rows" localSheetId="6" hidden="1">#REF!</definedName>
    <definedName name="苛" localSheetId="6" hidden="1">{"M1sPrint",#N/A,FALSE,"M1s"}</definedName>
  </definedNames>
  <calcPr calcId="191028" calcMode="auto" fullCalcOnLoad="1" forceFullCalc="1"/>
</workbook>
</file>

<file path=xl/styles.xml><?xml version="1.0" encoding="utf-8"?>
<styleSheet xmlns="http://schemas.openxmlformats.org/spreadsheetml/2006/main">
  <numFmts count="8">
    <numFmt numFmtId="164" formatCode="_(&quot;$&quot;* #,##0_);_(&quot;$&quot;* \(#,##0\);_(&quot;$&quot;* &quot;-&quot;??_);_(@_)"/>
    <numFmt numFmtId="165" formatCode="_(* #,##0_);_(* \(#,##0\);_(* &quot;-&quot;??_);_(@_)"/>
    <numFmt numFmtId="166" formatCode="_ * #,##0.00_ ;_ * \-#,##0.00_ ;_ * &quot;-&quot;??_ ;_ @_ "/>
    <numFmt numFmtId="167" formatCode="#,##0;\(#,##0\);\-#,##0"/>
    <numFmt numFmtId="168" formatCode="0.0%"/>
    <numFmt numFmtId="169" formatCode="_([$€-2]* #,##0.00000_);_([$€-2]* \(#,##0.00000\);_([$€-2]* &quot;-&quot;??_)"/>
    <numFmt numFmtId="170" formatCode="_(&quot;$&quot;* #,##0.00_);_(&quot;$&quot;* \(#,##0.00\);_(&quot;$&quot;* &quot;-&quot;??_);_(@_)"/>
    <numFmt numFmtId="171" formatCode="yyyy/mm/dd"/>
  </numFmts>
  <fonts count="121">
    <font>
      <name val="等线"/>
      <charset val="134"/>
      <color theme="1"/>
      <sz val="11"/>
      <scheme val="minor"/>
    </font>
    <font>
      <name val="等线"/>
      <charset val="134"/>
      <family val="2"/>
      <color theme="1"/>
      <sz val="11"/>
      <scheme val="minor"/>
    </font>
    <font>
      <name val="等线"/>
      <charset val="134"/>
      <family val="2"/>
      <color theme="1"/>
      <sz val="11"/>
      <scheme val="minor"/>
    </font>
    <font>
      <name val="Arial"/>
      <family val="2"/>
      <color theme="1"/>
      <sz val="11"/>
    </font>
    <font>
      <name val="Arial"/>
      <family val="2"/>
      <color rgb="FF000000"/>
      <sz val="10"/>
    </font>
    <font>
      <name val="Arial"/>
      <family val="2"/>
      <sz val="10"/>
    </font>
    <font>
      <name val="Arial"/>
      <family val="2"/>
      <color theme="1"/>
      <sz val="10"/>
    </font>
    <font>
      <name val="Arial"/>
      <family val="2"/>
      <b val="1"/>
      <color rgb="FF000000"/>
      <sz val="10"/>
    </font>
    <font>
      <name val="等线"/>
      <charset val="134"/>
      <family val="3"/>
      <color theme="10"/>
      <sz val="11"/>
      <u val="single"/>
      <scheme val="minor"/>
    </font>
    <font>
      <name val="宋体"/>
      <charset val="134"/>
      <family val="3"/>
      <sz val="12"/>
    </font>
    <font>
      <name val="等线"/>
      <charset val="134"/>
      <family val="3"/>
      <b val="1"/>
      <color theme="0"/>
      <sz val="11"/>
      <scheme val="minor"/>
    </font>
    <font>
      <name val="Calibri"/>
      <family val="2"/>
      <color rgb="FF000000"/>
      <sz val="11"/>
    </font>
    <font>
      <name val="等线"/>
      <charset val="134"/>
      <family val="3"/>
      <color rgb="FF006100"/>
      <sz val="11"/>
      <scheme val="minor"/>
    </font>
    <font>
      <name val="EYInterstate Light"/>
      <sz val="8"/>
    </font>
    <font>
      <name val="宋体"/>
      <charset val="134"/>
      <family val="3"/>
      <sz val="10"/>
    </font>
    <font>
      <name val="Arial"/>
      <family val="2"/>
      <strike val="1"/>
      <sz val="10"/>
    </font>
    <font>
      <name val="等线"/>
      <charset val="134"/>
      <family val="3"/>
      <sz val="10"/>
      <scheme val="minor"/>
    </font>
    <font>
      <name val="Calibri"/>
      <family val="2"/>
      <color indexed="8"/>
      <sz val="11"/>
    </font>
    <font>
      <name val="楷体"/>
      <charset val="134"/>
      <family val="3"/>
      <sz val="12"/>
    </font>
    <font>
      <name val="微软雅黑"/>
      <charset val="134"/>
      <family val="2"/>
      <color rgb="FF000000"/>
      <sz val="10"/>
    </font>
    <font>
      <name val="微软雅黑"/>
      <charset val="134"/>
      <family val="2"/>
      <color theme="1"/>
      <sz val="10"/>
    </font>
    <font>
      <name val="微软雅黑"/>
      <charset val="134"/>
      <family val="2"/>
      <b val="1"/>
      <color rgb="FFFF0000"/>
      <sz val="10"/>
    </font>
    <font>
      <name val="微软雅黑"/>
      <charset val="134"/>
      <family val="2"/>
      <b val="1"/>
      <color theme="1"/>
      <sz val="10"/>
    </font>
    <font>
      <name val="微软雅黑"/>
      <charset val="134"/>
      <family val="2"/>
      <b val="1"/>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宋体"/>
      <charset val="134"/>
      <family val="3"/>
      <color indexed="12"/>
      <sz val="10"/>
      <u val="single"/>
    </font>
    <font>
      <name val="等线"/>
      <charset val="134"/>
      <family val="2"/>
      <sz val="9"/>
      <scheme val="minor"/>
    </font>
    <font>
      <name val="Arial"/>
      <family val="2"/>
      <b val="1"/>
      <color rgb="FFFF0000"/>
      <sz val="10"/>
    </font>
    <font>
      <name val="Arial"/>
      <family val="2"/>
      <color rgb="FFFF0000"/>
      <sz val="10"/>
    </font>
    <font>
      <name val="Arial"/>
      <family val="2"/>
      <b val="1"/>
      <sz val="10"/>
    </font>
    <font>
      <name val="Arial"/>
      <family val="2"/>
      <color theme="10"/>
      <sz val="11"/>
      <u val="single"/>
    </font>
    <font>
      <name val="Arial"/>
      <family val="2"/>
      <color theme="1"/>
      <sz val="14"/>
    </font>
    <font>
      <name val="Arial"/>
      <family val="2"/>
      <b val="1"/>
      <color indexed="10"/>
      <sz val="10"/>
    </font>
    <font>
      <name val="Arial"/>
      <family val="2"/>
      <b val="1"/>
      <color theme="1"/>
      <sz val="10"/>
    </font>
    <font>
      <name val="等线"/>
      <family val="2"/>
      <color theme="1"/>
      <sz val="11"/>
      <scheme val="minor"/>
    </font>
    <font>
      <name val="Arial"/>
      <charset val="134"/>
      <family val="2"/>
      <b val="1"/>
      <color theme="1"/>
      <sz val="10"/>
    </font>
    <font>
      <name val="Arial"/>
      <family val="2"/>
      <b val="1"/>
      <color theme="0"/>
      <sz val="14"/>
    </font>
    <font>
      <name val="等线"/>
      <charset val="128"/>
      <family val="3"/>
      <sz val="6"/>
      <scheme val="minor"/>
    </font>
    <font>
      <name val="Arial"/>
      <family val="2"/>
      <b val="1"/>
      <color rgb="FFFFC000"/>
      <sz val="14"/>
    </font>
    <font>
      <name val="Arial"/>
      <family val="2"/>
      <b val="1"/>
      <color rgb="FF000000"/>
      <sz val="12"/>
    </font>
    <font>
      <name val="EYInterstate Light"/>
      <family val="2"/>
      <sz val="8"/>
    </font>
    <font>
      <name val="Arial"/>
      <family val="2"/>
      <b val="1"/>
      <i val="1"/>
      <color rgb="FFFF0000"/>
      <sz val="10"/>
    </font>
    <font>
      <name val="EYInterstate Light"/>
      <b val="1"/>
      <i val="1"/>
      <color theme="0"/>
      <sz val="10"/>
    </font>
    <font>
      <name val="SimSun"/>
      <charset val="134"/>
      <family val="3"/>
      <color theme="1"/>
      <sz val="11"/>
    </font>
    <font>
      <name val="SimSun"/>
      <charset val="134"/>
      <family val="3"/>
      <color theme="10"/>
      <sz val="11"/>
      <u val="single"/>
    </font>
    <font>
      <name val="SimSun"/>
      <charset val="134"/>
      <family val="3"/>
      <color theme="1"/>
      <sz val="11"/>
    </font>
    <font>
      <name val="等线"/>
      <family val="2"/>
      <sz val="8"/>
      <scheme val="minor"/>
    </font>
    <font>
      <name val="Arial"/>
      <family val="2"/>
      <b val="1"/>
      <color indexed="8"/>
      <sz val="12"/>
    </font>
    <font>
      <name val="Arial"/>
      <family val="2"/>
      <b val="1"/>
      <color indexed="8"/>
      <sz val="18"/>
    </font>
    <font>
      <name val="等线"/>
      <family val="2"/>
      <color theme="10"/>
      <sz val="11"/>
      <u val="single"/>
      <scheme val="minor"/>
    </font>
    <font>
      <name val="Arial"/>
      <family val="2"/>
      <b val="1"/>
      <strike val="1"/>
      <color rgb="FFFF0000"/>
      <sz val="10"/>
    </font>
    <font>
      <name val="Arial"/>
      <family val="2"/>
      <b val="1"/>
      <color rgb="FFFFFFFF"/>
      <sz val="14"/>
    </font>
    <font>
      <name val="Arial"/>
      <family val="2"/>
      <color rgb="FFFFFFFF"/>
      <sz val="10"/>
    </font>
    <font>
      <name val="Arial"/>
      <family val="2"/>
      <color theme="10"/>
      <sz val="10"/>
      <u val="single"/>
    </font>
    <font>
      <name val="等线"/>
      <charset val="134"/>
      <family val="3"/>
      <color rgb="FFFF0000"/>
      <sz val="11"/>
      <u val="single"/>
      <scheme val="minor"/>
    </font>
    <font>
      <name val="Arial"/>
      <family val="2"/>
      <color rgb="FFFF0000"/>
      <sz val="11"/>
      <u val="single"/>
    </font>
    <font>
      <name val="Arial"/>
      <family val="2"/>
      <i val="1"/>
      <sz val="10"/>
    </font>
    <font>
      <name val="微软雅黑"/>
      <charset val="134"/>
      <family val="2"/>
      <b val="1"/>
      <color rgb="FFFF0000"/>
      <sz val="14"/>
    </font>
    <font>
      <name val="Arial"/>
      <family val="2"/>
      <b val="1"/>
      <color rgb="FF000000"/>
      <sz val="14"/>
    </font>
    <font>
      <name val="Arial"/>
      <family val="2"/>
      <b val="1"/>
      <color theme="4"/>
      <sz val="10"/>
      <u val="single"/>
    </font>
    <font>
      <name val="微软雅黑"/>
      <charset val="134"/>
      <family val="2"/>
      <color rgb="FFFF0000"/>
      <sz val="11"/>
      <u val="single"/>
    </font>
    <font>
      <name val="微软雅黑"/>
      <family val="2"/>
      <color rgb="FF000000"/>
      <sz val="10"/>
    </font>
    <font>
      <name val="微软雅黑"/>
      <family val="2"/>
      <sz val="10"/>
    </font>
    <font>
      <name val="Arial"/>
      <family val="2"/>
      <b val="1"/>
      <sz val="14"/>
    </font>
    <font>
      <name val="微软雅黑"/>
      <charset val="134"/>
      <family val="2"/>
      <color theme="1"/>
      <sz val="10"/>
    </font>
    <font>
      <name val="微软雅黑"/>
      <family val="2"/>
      <color theme="1"/>
      <sz val="10"/>
    </font>
    <font>
      <name val="微软雅黑"/>
      <family val="2"/>
      <b val="1"/>
      <color rgb="FFFF0000"/>
      <sz val="10"/>
    </font>
    <font>
      <name val="微软雅黑"/>
      <family val="2"/>
      <b val="1"/>
      <color theme="1"/>
      <sz val="10"/>
    </font>
    <font>
      <name val="微软雅黑"/>
      <family val="2"/>
      <color rgb="FFFF0000"/>
      <sz val="10"/>
    </font>
    <font>
      <name val="微软雅黑"/>
      <charset val="134"/>
      <family val="2"/>
      <b val="1"/>
      <color rgb="FF000000"/>
      <sz val="14"/>
    </font>
    <font>
      <name val="微软雅黑"/>
      <family val="2"/>
      <b val="1"/>
      <color rgb="FF000000"/>
      <sz val="14"/>
    </font>
    <font>
      <name val="微软雅黑"/>
      <family val="2"/>
      <b val="1"/>
      <color rgb="FF000000"/>
      <sz val="10"/>
    </font>
    <font>
      <name val="微软雅黑"/>
      <family val="2"/>
      <b val="1"/>
      <sz val="10"/>
    </font>
    <font>
      <name val="微软雅黑"/>
      <family val="2"/>
      <b val="1"/>
      <color theme="4"/>
      <sz val="10"/>
      <u val="single"/>
    </font>
    <font>
      <name val="微软雅黑"/>
      <charset val="134"/>
      <family val="2"/>
      <b val="1"/>
      <color theme="0"/>
      <sz val="14"/>
    </font>
    <font>
      <name val="微软雅黑"/>
      <family val="2"/>
      <color theme="1"/>
      <sz val="14"/>
    </font>
    <font>
      <name val="微软雅黑"/>
      <family val="2"/>
      <b val="1"/>
      <color rgb="FFFFC000"/>
      <sz val="14"/>
    </font>
    <font>
      <name val="微软雅黑"/>
      <family val="2"/>
      <b val="1"/>
      <color rgb="FF000000"/>
      <sz val="12"/>
    </font>
    <font>
      <name val="微软雅黑"/>
      <family val="2"/>
      <color theme="1"/>
      <sz val="11"/>
    </font>
    <font>
      <name val="微软雅黑"/>
      <family val="2"/>
      <color rgb="FFFF0000"/>
      <sz val="11"/>
      <u val="single"/>
    </font>
    <font>
      <name val="微软雅黑"/>
      <family val="2"/>
      <b val="1"/>
      <color indexed="10"/>
      <sz val="10"/>
    </font>
    <font>
      <name val="微软雅黑"/>
      <family val="2"/>
      <b val="1"/>
      <i val="1"/>
      <color rgb="FFFF0000"/>
      <sz val="10"/>
    </font>
    <font>
      <name val="微软雅黑"/>
      <family val="2"/>
      <i val="1"/>
      <sz val="10"/>
    </font>
    <font>
      <name val="微软雅黑"/>
      <family val="2"/>
      <b val="1"/>
      <color theme="0"/>
      <sz val="14"/>
    </font>
    <font>
      <name val="微软雅黑"/>
      <family val="2"/>
      <b val="1"/>
      <color indexed="8"/>
      <sz val="12"/>
    </font>
    <font>
      <name val="微软雅黑"/>
      <family val="2"/>
      <b val="1"/>
      <color rgb="FFFFFFFF"/>
      <sz val="14"/>
    </font>
    <font>
      <name val="微软雅黑"/>
      <family val="2"/>
      <b val="1"/>
      <i val="1"/>
      <sz val="10"/>
    </font>
    <font>
      <name val="微软雅黑"/>
      <family val="2"/>
      <b val="1"/>
      <color indexed="8"/>
      <sz val="18"/>
    </font>
    <font>
      <name val="微软雅黑"/>
      <family val="2"/>
      <color rgb="FF2E2E38"/>
      <sz val="7"/>
    </font>
    <font>
      <name val="Arial"/>
      <family val="2"/>
      <color theme="1"/>
      <sz val="10"/>
    </font>
    <font>
      <name val="Arial"/>
      <family val="2"/>
      <color rgb="FF000000"/>
      <sz val="12"/>
    </font>
    <font>
      <name val="Arial"/>
      <family val="2"/>
      <color theme="1"/>
      <sz val="12"/>
    </font>
    <font>
      <name val="Arial"/>
      <family val="2"/>
      <color theme="1"/>
      <sz val="11"/>
    </font>
    <font>
      <name val="Arial"/>
      <family val="2"/>
      <color indexed="10"/>
      <sz val="10"/>
    </font>
    <font>
      <name val="Arial"/>
      <family val="2"/>
      <color rgb="FF242424"/>
      <sz val="10"/>
    </font>
    <font>
      <name val="Arial"/>
      <family val="2"/>
      <b val="1"/>
      <sz val="12"/>
    </font>
    <font>
      <name val="Arial"/>
      <family val="2"/>
      <b val="1"/>
      <color rgb="FFFF0000"/>
      <sz val="12"/>
    </font>
    <font>
      <name val="Arial"/>
      <family val="2"/>
      <b val="1"/>
      <color rgb="FFFF0000"/>
      <sz val="10"/>
      <vertAlign val="superscript"/>
    </font>
    <font>
      <name val="Arial"/>
      <family val="2"/>
      <b val="1"/>
      <color rgb="FF0000FF"/>
      <sz val="10"/>
    </font>
    <font>
      <name val="Arial"/>
      <family val="2"/>
      <b val="1"/>
      <strike val="1"/>
      <color rgb="FF0000FF"/>
      <sz val="10"/>
    </font>
    <font>
      <name val="Arial"/>
      <family val="2"/>
      <b val="1"/>
      <color indexed="10"/>
      <sz val="10"/>
    </font>
    <font>
      <name val="Arial"/>
      <family val="2"/>
      <i val="1"/>
      <color rgb="FF000000"/>
      <sz val="10"/>
    </font>
    <font>
      <name val="Arial"/>
      <family val="2"/>
      <b val="1"/>
      <i val="1"/>
      <color theme="1"/>
      <sz val="10"/>
    </font>
    <font>
      <name val="微软雅黑"/>
      <charset val="134"/>
      <family val="2"/>
      <b val="1"/>
      <color indexed="8"/>
      <sz val="12"/>
    </font>
    <font>
      <name val="微软雅黑"/>
      <charset val="134"/>
      <family val="2"/>
      <b val="1"/>
      <color rgb="FF000000"/>
      <sz val="12"/>
    </font>
    <font>
      <name val="微软雅黑"/>
      <charset val="134"/>
      <family val="2"/>
      <color theme="1"/>
      <sz val="14"/>
    </font>
    <font>
      <name val="微软雅黑"/>
      <charset val="134"/>
      <family val="2"/>
      <b val="1"/>
      <color rgb="FFFFC000"/>
      <sz val="14"/>
    </font>
    <font>
      <name val="微软雅黑"/>
      <charset val="134"/>
      <family val="2"/>
      <b val="1"/>
      <color indexed="8"/>
      <sz val="18"/>
    </font>
    <font>
      <name val="Arial"/>
      <family val="2"/>
      <b val="1"/>
      <i val="1"/>
      <color rgb="FFFF0000"/>
      <sz val="9"/>
    </font>
    <font>
      <name val="Arial"/>
      <family val="2"/>
      <color theme="1"/>
      <sz val="10"/>
    </font>
    <font>
      <name val="Arial"/>
      <family val="2"/>
      <b val="1"/>
      <color indexed="10"/>
      <sz val="10"/>
    </font>
    <font>
      <name val="Arial"/>
      <family val="2"/>
      <sz val="10"/>
    </font>
    <font>
      <name val="Arial"/>
      <family val="2"/>
      <i val="1"/>
      <color theme="1"/>
      <sz val="10"/>
    </font>
    <font>
      <name val="Arial"/>
      <family val="2"/>
      <color rgb="FFFF0000"/>
      <sz val="10"/>
      <u val="single"/>
    </font>
    <font>
      <name val="微软雅黑"/>
      <charset val="134"/>
      <family val="2"/>
      <b val="1"/>
      <color rgb="FF000000"/>
      <sz val="10"/>
    </font>
    <font>
      <name val="等线"/>
      <charset val="134"/>
      <family val="3"/>
      <color theme="10"/>
      <sz val="11"/>
      <u val="single"/>
      <scheme val="minor"/>
    </font>
    <font>
      <name val="微软雅黑"/>
      <charset val="134"/>
      <family val="2"/>
      <sz val="10"/>
    </font>
    <font>
      <name val="等线"/>
      <charset val="134"/>
      <family val="3"/>
      <color theme="10"/>
      <sz val="11"/>
      <u val="single"/>
      <scheme val="minor"/>
    </font>
    <font>
      <name val="Arial"/>
      <family val="2"/>
      <b val="1"/>
      <color rgb="FFFF0000"/>
      <sz val="16"/>
    </font>
  </fonts>
  <fills count="19">
    <fill>
      <patternFill/>
    </fill>
    <fill>
      <patternFill patternType="gray125"/>
    </fill>
    <fill>
      <patternFill patternType="solid">
        <fgColor theme="0"/>
        <bgColor indexed="64"/>
      </patternFill>
    </fill>
    <fill>
      <patternFill patternType="solid">
        <fgColor rgb="FFFFFFFF"/>
        <bgColor indexed="64"/>
      </patternFill>
    </fill>
    <fill>
      <patternFill patternType="solid">
        <fgColor indexed="65"/>
        <bgColor indexed="64"/>
      </patternFill>
    </fill>
    <fill>
      <patternFill patternType="solid">
        <fgColor theme="0" tint="-0.3499862666707358"/>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4"/>
        <bgColor indexed="64"/>
      </patternFill>
    </fill>
    <fill>
      <patternFill patternType="solid">
        <fgColor rgb="FFD9E1F2"/>
        <bgColor rgb="FF000000"/>
      </patternFill>
    </fill>
    <fill>
      <patternFill patternType="solid">
        <fgColor theme="1"/>
        <bgColor indexed="64"/>
      </patternFill>
    </fill>
    <fill>
      <patternFill patternType="solid">
        <fgColor rgb="FF000000"/>
        <bgColor rgb="FF000000"/>
      </patternFill>
    </fill>
    <fill>
      <patternFill patternType="solid">
        <fgColor rgb="FF333399"/>
        <bgColor rgb="FF000000"/>
      </patternFill>
    </fill>
    <fill>
      <patternFill patternType="solid">
        <fgColor theme="0" tint="-0.0499893185216834"/>
        <bgColor indexed="64"/>
      </patternFill>
    </fill>
    <fill>
      <patternFill patternType="solid">
        <fgColor rgb="FF333399"/>
        <bgColor indexed="64"/>
      </patternFill>
    </fill>
    <fill>
      <patternFill patternType="solid">
        <fgColor rgb="FF000099"/>
        <bgColor rgb="FF000000"/>
      </patternFill>
    </fill>
    <fill>
      <patternFill patternType="solid">
        <fgColor theme="0" tint="-0.3499862666707358"/>
        <bgColor rgb="FF000000"/>
      </patternFill>
    </fill>
    <fill>
      <patternFill patternType="solid">
        <fgColor rgb="FFFFFFFF"/>
        <bgColor rgb="FF000000"/>
      </patternFill>
    </fill>
    <fill>
      <patternFill patternType="solid">
        <fgColor rgb="FFFFFFCC"/>
        <bgColor indexed="64"/>
      </patternFill>
    </fill>
  </fills>
  <borders count="83">
    <border>
      <left/>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style="double">
        <color auto="1"/>
      </bottom>
      <diagonal/>
    </border>
    <border>
      <left style="medium">
        <color auto="1"/>
      </left>
      <right style="medium">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top/>
      <bottom style="thin">
        <color auto="1"/>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top style="thin">
        <color auto="1"/>
      </top>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auto="1"/>
      </right>
      <top style="thin">
        <color rgb="FF000000"/>
      </top>
      <bottom/>
      <diagonal/>
    </border>
    <border>
      <left style="thin">
        <color auto="1"/>
      </left>
      <right style="thin">
        <color auto="1"/>
      </right>
      <top style="thin">
        <color rgb="FF000000"/>
      </top>
      <bottom/>
      <diagonal/>
    </border>
    <border>
      <left/>
      <right style="thin">
        <color auto="1"/>
      </right>
      <top style="thin">
        <color rgb="FF000000"/>
      </top>
      <bottom/>
      <diagonal/>
    </border>
    <border>
      <left style="thin">
        <color rgb="FF000000"/>
      </left>
      <right style="thin">
        <color auto="1"/>
      </right>
      <top/>
      <bottom style="thin">
        <color auto="1"/>
      </bottom>
      <diagonal/>
    </border>
    <border>
      <left style="thin">
        <color auto="1"/>
      </left>
      <right/>
      <top style="thin">
        <color rgb="FF000000"/>
      </top>
      <bottom/>
      <diagonal/>
    </border>
    <border>
      <left style="thin">
        <color auto="1"/>
      </left>
      <right style="thin">
        <color auto="1"/>
      </right>
      <top/>
      <bottom style="thin">
        <color rgb="FF000000"/>
      </bottom>
      <diagonal/>
    </border>
    <border>
      <left/>
      <right style="thin">
        <color rgb="FF000000"/>
      </right>
      <top style="thin">
        <color auto="1"/>
      </top>
      <bottom style="thin">
        <color auto="1"/>
      </bottom>
      <diagonal/>
    </border>
    <border>
      <left/>
      <right style="thin">
        <color rgb="FF000000"/>
      </right>
      <top style="thin">
        <color auto="1"/>
      </top>
      <bottom style="thin">
        <color rgb="FF000000"/>
      </bottom>
      <diagonal/>
    </border>
    <border>
      <left style="thin">
        <color rgb="FF000000"/>
      </left>
      <right/>
      <top style="thin">
        <color auto="1"/>
      </top>
      <bottom style="thin">
        <color rgb="FF000000"/>
      </bottom>
      <diagonal/>
    </border>
    <border>
      <left style="medium">
        <color indexed="64"/>
      </left>
      <right style="medium">
        <color indexed="64"/>
      </right>
      <top style="thin">
        <color rgb="FF000000"/>
      </top>
      <bottom/>
      <diagonal/>
    </border>
    <border>
      <left style="medium">
        <color auto="1"/>
      </left>
      <right style="thin">
        <color rgb="FF000000"/>
      </right>
      <top style="thin">
        <color rgb="FF000000"/>
      </top>
      <bottom/>
      <diagonal/>
    </border>
    <border>
      <left style="thin">
        <color rgb="FF000000"/>
      </left>
      <right/>
      <top style="thin">
        <color auto="1"/>
      </top>
      <bottom/>
      <diagonal/>
    </border>
    <border>
      <left style="thin">
        <color rgb="FF000000"/>
      </left>
      <right/>
      <top/>
      <bottom style="thin">
        <color auto="1"/>
      </bottom>
      <diagonal/>
    </border>
    <border>
      <left/>
      <right style="thin">
        <color rgb="FF000000"/>
      </right>
      <top/>
      <bottom style="thin">
        <color auto="1"/>
      </bottom>
      <diagonal/>
    </border>
    <border>
      <left style="thin">
        <color rgb="FF000000"/>
      </left>
      <right style="thin">
        <color rgb="FF000000"/>
      </right>
      <top/>
      <bottom style="thin">
        <color auto="1"/>
      </bottom>
      <diagonal/>
    </border>
    <border>
      <left style="thin">
        <color rgb="FF000000"/>
      </left>
      <right/>
      <top style="thin">
        <color rgb="FF000000"/>
      </top>
      <bottom style="thin">
        <color indexed="64"/>
      </bottom>
      <diagonal/>
    </border>
    <border>
      <left style="thin">
        <color rgb="FF000000"/>
      </left>
      <right/>
      <top style="thin">
        <color auto="1"/>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rgb="FF000000"/>
      </right>
      <top style="thin">
        <color auto="1"/>
      </top>
      <bottom/>
      <diagonal/>
    </border>
    <border>
      <left style="thin">
        <color auto="1"/>
      </left>
      <right style="thin">
        <color rgb="FF000000"/>
      </right>
      <top/>
      <bottom style="thin">
        <color auto="1"/>
      </bottom>
      <diagonal/>
    </border>
    <border>
      <left style="medium">
        <color auto="1"/>
      </left>
      <right style="medium">
        <color auto="1"/>
      </right>
      <top style="thin">
        <color rgb="FF000000"/>
      </top>
      <bottom style="thin">
        <color auto="1"/>
      </bottom>
      <diagonal/>
    </border>
    <border>
      <left style="medium">
        <color indexed="64"/>
      </left>
      <right/>
      <top style="thin">
        <color rgb="FF000000"/>
      </top>
      <bottom style="thin">
        <color indexed="64"/>
      </bottom>
      <diagonal/>
    </border>
    <border>
      <left style="medium">
        <color indexed="64"/>
      </left>
      <right style="thin">
        <color rgb="FF000000"/>
      </right>
      <top style="thin">
        <color rgb="FF000000"/>
      </top>
      <bottom style="thin">
        <color indexed="64"/>
      </bottom>
      <diagonal/>
    </border>
    <border>
      <left style="thin">
        <color auto="1"/>
      </left>
      <right style="thin">
        <color rgb="FF000000"/>
      </right>
      <top/>
      <bottom/>
      <diagonal/>
    </border>
    <border>
      <left style="thin">
        <color indexed="64"/>
      </left>
      <right style="thin">
        <color indexed="64"/>
      </right>
      <top style="thin">
        <color rgb="FF000000"/>
      </top>
      <bottom style="thin">
        <color indexed="64"/>
      </bottom>
      <diagonal/>
    </border>
    <border>
      <left/>
      <right style="thin">
        <color indexed="64"/>
      </right>
      <top style="thin">
        <color rgb="FF000000"/>
      </top>
      <bottom/>
      <diagonal/>
    </border>
    <border>
      <left style="thin">
        <color auto="1"/>
      </left>
      <right style="thin">
        <color auto="1"/>
      </right>
      <top style="thin">
        <color rgb="FF000000"/>
      </top>
      <bottom style="thin">
        <color auto="1"/>
      </bottom>
      <diagonal/>
    </border>
    <border>
      <left/>
      <right style="thin">
        <color auto="1"/>
      </right>
      <top style="thin">
        <color rgb="FF000000"/>
      </top>
      <bottom style="thin">
        <color auto="1"/>
      </bottom>
      <diagonal/>
    </border>
    <border>
      <left style="thin">
        <color auto="1"/>
      </left>
      <right/>
      <top style="thin">
        <color rgb="FF000000"/>
      </top>
      <bottom style="thin">
        <color auto="1"/>
      </bottom>
      <diagonal/>
    </border>
    <border>
      <left style="thin">
        <color indexed="64"/>
      </left>
      <right style="thin">
        <color indexed="64"/>
      </right>
      <top style="thin">
        <color indexed="64"/>
      </top>
      <bottom style="thin">
        <color rgb="FF000000"/>
      </bottom>
      <diagonal/>
    </border>
    <border>
      <left/>
      <right/>
      <top style="thin">
        <color indexed="64"/>
      </top>
      <bottom/>
      <diagonal/>
    </border>
    <border>
      <left/>
      <right style="thin">
        <color indexed="64"/>
      </right>
      <top style="thin">
        <color indexed="64"/>
      </top>
      <bottom/>
      <diagonal/>
    </border>
    <border>
      <left style="thin">
        <color rgb="FF000000"/>
      </left>
      <right style="thin">
        <color auto="1"/>
      </right>
      <top style="thin">
        <color rgb="FF000000"/>
      </top>
      <bottom style="thin">
        <color auto="1"/>
      </bottom>
      <diagonal/>
    </border>
    <border>
      <left style="thin">
        <color rgb="FF000000"/>
      </left>
      <right style="thin">
        <color auto="1"/>
      </right>
      <top/>
      <bottom/>
      <diagonal/>
    </border>
    <border>
      <left/>
      <right style="thin">
        <color rgb="FF000000"/>
      </right>
      <top style="thin">
        <color auto="1"/>
      </top>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rgb="FF000000"/>
      </top>
      <bottom style="thin">
        <color auto="1"/>
      </bottom>
      <diagonal/>
    </border>
  </borders>
  <cellStyleXfs count="337">
    <xf numFmtId="0" fontId="0" fillId="0" borderId="0" applyAlignment="1">
      <alignment vertical="center"/>
    </xf>
    <xf numFmtId="0" fontId="24" fillId="0" borderId="0"/>
    <xf numFmtId="43" fontId="24" fillId="0" borderId="0"/>
    <xf numFmtId="41" fontId="9" fillId="0" borderId="0"/>
    <xf numFmtId="0" fontId="10" fillId="6" borderId="11"/>
    <xf numFmtId="9" fontId="24" fillId="0" borderId="0"/>
    <xf numFmtId="41" fontId="24" fillId="0" borderId="0"/>
    <xf numFmtId="41" fontId="24" fillId="0" borderId="0"/>
    <xf numFmtId="41" fontId="24" fillId="0" borderId="0"/>
    <xf numFmtId="41" fontId="24" fillId="0" borderId="0"/>
    <xf numFmtId="41" fontId="24" fillId="0" borderId="0"/>
    <xf numFmtId="41" fontId="24" fillId="0" borderId="0"/>
    <xf numFmtId="0" fontId="24" fillId="0" borderId="0"/>
    <xf numFmtId="0" fontId="24" fillId="0" borderId="0"/>
    <xf numFmtId="41" fontId="9" fillId="0" borderId="0"/>
    <xf numFmtId="0" fontId="119" fillId="0" borderId="0"/>
    <xf numFmtId="0" fontId="119" fillId="0" borderId="0"/>
    <xf numFmtId="4" fontId="24" fillId="0" borderId="5" applyAlignment="1">
      <alignment horizontal="right"/>
    </xf>
    <xf numFmtId="0" fontId="24" fillId="0" borderId="0"/>
    <xf numFmtId="0" fontId="10" fillId="6" borderId="11"/>
    <xf numFmtId="43" fontId="24" fillId="0" borderId="0"/>
    <xf numFmtId="41" fontId="24" fillId="0" borderId="0"/>
    <xf numFmtId="41" fontId="24" fillId="0" borderId="0"/>
    <xf numFmtId="41" fontId="24" fillId="0" borderId="0"/>
    <xf numFmtId="0"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11" fillId="0" borderId="0"/>
    <xf numFmtId="43" fontId="24" fillId="0" borderId="0"/>
    <xf numFmtId="43" fontId="24" fillId="0" borderId="0"/>
    <xf numFmtId="43" fontId="9" fillId="0" borderId="0"/>
    <xf numFmtId="0" fontId="24" fillId="0" borderId="5"/>
    <xf numFmtId="0" fontId="24" fillId="0" borderId="5"/>
    <xf numFmtId="0" fontId="12" fillId="7" borderId="0"/>
    <xf numFmtId="0" fontId="12" fillId="7" borderId="0"/>
    <xf numFmtId="0" fontId="119" fillId="0" borderId="0"/>
    <xf numFmtId="0" fontId="119" fillId="0" borderId="0"/>
    <xf numFmtId="0" fontId="24" fillId="0" borderId="0"/>
    <xf numFmtId="0" fontId="113"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applyProtection="1">
      <protection locked="0" hidden="0"/>
    </xf>
    <xf numFmtId="0" fontId="24" fillId="0" borderId="0" applyProtection="1">
      <protection locked="0" hidden="0"/>
    </xf>
    <xf numFmtId="0" fontId="24" fillId="0" borderId="0"/>
    <xf numFmtId="0" fontId="24" fillId="0" borderId="0"/>
    <xf numFmtId="0" fontId="113" fillId="0" borderId="0"/>
    <xf numFmtId="0" fontId="13" fillId="0" borderId="0" applyAlignment="1">
      <alignment vertical="center"/>
    </xf>
    <xf numFmtId="0" fontId="13" fillId="0" borderId="0" applyAlignment="1">
      <alignment vertical="center"/>
    </xf>
    <xf numFmtId="0" fontId="13" fillId="0" borderId="0" applyAlignment="1">
      <alignment vertical="center"/>
    </xf>
    <xf numFmtId="0" fontId="1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4" fillId="0" borderId="0"/>
    <xf numFmtId="0" fontId="111" fillId="0" borderId="0"/>
    <xf numFmtId="0" fontId="9" fillId="0" borderId="0"/>
    <xf numFmtId="0" fontId="24" fillId="0" borderId="0"/>
    <xf numFmtId="0" fontId="24" fillId="0" borderId="0"/>
    <xf numFmtId="0" fontId="14" fillId="0" borderId="0"/>
    <xf numFmtId="0" fontId="24" fillId="0" borderId="0" applyAlignment="1">
      <alignment vertical="center"/>
    </xf>
    <xf numFmtId="9" fontId="9" fillId="0" borderId="0"/>
    <xf numFmtId="0" fontId="113" fillId="0" borderId="0"/>
    <xf numFmtId="0" fontId="15" fillId="0" borderId="0"/>
    <xf numFmtId="168" fontId="24" fillId="0" borderId="0"/>
    <xf numFmtId="168" fontId="24" fillId="0" borderId="0"/>
    <xf numFmtId="9" fontId="24" fillId="0" borderId="0"/>
    <xf numFmtId="9" fontId="24" fillId="0" borderId="0"/>
    <xf numFmtId="9" fontId="113" fillId="0" borderId="0"/>
    <xf numFmtId="9" fontId="24" fillId="0" borderId="0"/>
    <xf numFmtId="9" fontId="24" fillId="0" borderId="0"/>
    <xf numFmtId="169" fontId="14" fillId="0" borderId="0"/>
    <xf numFmtId="169" fontId="16" fillId="0" borderId="0"/>
    <xf numFmtId="169" fontId="16" fillId="0" borderId="0"/>
    <xf numFmtId="0" fontId="113" fillId="0" borderId="0" applyProtection="1">
      <protection locked="0" hidden="0"/>
    </xf>
    <xf numFmtId="0" fontId="17" fillId="0" borderId="0" applyProtection="1">
      <protection locked="0" hidden="0"/>
    </xf>
    <xf numFmtId="0" fontId="24" fillId="0" borderId="0"/>
    <xf numFmtId="0" fontId="17" fillId="0" borderId="0" applyProtection="1">
      <protection locked="0" hidden="0"/>
    </xf>
    <xf numFmtId="0" fontId="17" fillId="0" borderId="0" applyProtection="1">
      <protection locked="0" hidden="0"/>
    </xf>
    <xf numFmtId="0" fontId="9" fillId="0" borderId="0"/>
    <xf numFmtId="0" fontId="17" fillId="0" borderId="0" applyProtection="1">
      <protection locked="0" hidden="0"/>
    </xf>
    <xf numFmtId="0" fontId="113" fillId="0" borderId="0" applyProtection="1">
      <protection locked="0" hidden="0"/>
    </xf>
    <xf numFmtId="0" fontId="14" fillId="0" borderId="0"/>
    <xf numFmtId="0" fontId="24" fillId="0" borderId="0"/>
    <xf numFmtId="0" fontId="24" fillId="0" borderId="0"/>
    <xf numFmtId="0" fontId="119" fillId="0" borderId="0"/>
    <xf numFmtId="0" fontId="18"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14" fillId="0" borderId="0"/>
    <xf numFmtId="0" fontId="14" fillId="0" borderId="0"/>
    <xf numFmtId="0" fontId="26" fillId="0" borderId="0" applyAlignment="1">
      <alignment vertical="center"/>
    </xf>
    <xf numFmtId="0" fontId="27" fillId="0" borderId="0" applyProtection="1">
      <protection locked="0" hidden="0"/>
    </xf>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4" fillId="0" borderId="0" applyAlignment="1">
      <alignment vertical="center"/>
    </xf>
    <xf numFmtId="0" fontId="24" fillId="0" borderId="0" applyAlignment="1">
      <alignment vertical="center"/>
    </xf>
    <xf numFmtId="0" fontId="24" fillId="0" borderId="0" applyAlignment="1">
      <alignment vertical="center"/>
    </xf>
    <xf numFmtId="0" fontId="24" fillId="0" borderId="0"/>
    <xf numFmtId="0" fontId="24" fillId="0" borderId="0"/>
    <xf numFmtId="0" fontId="26" fillId="0" borderId="0"/>
    <xf numFmtId="0" fontId="24" fillId="0" borderId="0"/>
    <xf numFmtId="0" fontId="24" fillId="0" borderId="0" applyAlignment="1">
      <alignment vertical="center"/>
    </xf>
    <xf numFmtId="0" fontId="26" fillId="0" borderId="0" applyAlignment="1">
      <alignment vertical="center"/>
    </xf>
    <xf numFmtId="0" fontId="24" fillId="0" borderId="0"/>
    <xf numFmtId="0" fontId="24" fillId="0" borderId="0" applyAlignment="1">
      <alignment vertical="center"/>
    </xf>
    <xf numFmtId="0" fontId="13" fillId="0" borderId="0" applyAlignment="1">
      <alignment vertical="center"/>
    </xf>
    <xf numFmtId="0" fontId="26" fillId="0" borderId="0" applyAlignment="1">
      <alignment vertical="center"/>
    </xf>
    <xf numFmtId="0" fontId="113" fillId="0" borderId="0"/>
    <xf numFmtId="0" fontId="13" fillId="0" borderId="0" applyAlignment="1">
      <alignment vertical="center"/>
    </xf>
    <xf numFmtId="0" fontId="119" fillId="0" borderId="0"/>
    <xf numFmtId="0" fontId="24" fillId="0" borderId="0" applyAlignment="1">
      <alignment vertical="center"/>
    </xf>
    <xf numFmtId="9" fontId="24" fillId="0" borderId="0"/>
    <xf numFmtId="0" fontId="24" fillId="0" borderId="0" applyAlignment="1">
      <alignment vertical="center"/>
    </xf>
    <xf numFmtId="0" fontId="24" fillId="0" borderId="0"/>
    <xf numFmtId="0" fontId="119" fillId="0" borderId="0" applyAlignment="1">
      <alignment vertical="center"/>
    </xf>
    <xf numFmtId="0" fontId="26" fillId="0" borderId="0"/>
    <xf numFmtId="0" fontId="26" fillId="0" borderId="0" applyAlignment="1">
      <alignment vertical="center"/>
    </xf>
    <xf numFmtId="0" fontId="36" fillId="0" borderId="0"/>
    <xf numFmtId="0" fontId="26" fillId="0" borderId="0"/>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6" fillId="0" borderId="0" applyAlignment="1">
      <alignment vertical="center"/>
    </xf>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6" fillId="0" borderId="0" applyAlignment="1">
      <alignment vertical="center"/>
    </xf>
    <xf numFmtId="0" fontId="26" fillId="0" borderId="0" applyAlignment="1">
      <alignment vertical="center"/>
    </xf>
    <xf numFmtId="0" fontId="26" fillId="0" borderId="0"/>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36" fillId="0" borderId="0"/>
    <xf numFmtId="0" fontId="42" fillId="0" borderId="0" applyAlignment="1">
      <alignment vertical="center"/>
    </xf>
    <xf numFmtId="0" fontId="94" fillId="0" borderId="0"/>
    <xf numFmtId="43" fontId="36" fillId="0" borderId="0"/>
    <xf numFmtId="0" fontId="47" fillId="0" borderId="0"/>
    <xf numFmtId="0" fontId="46" fillId="0" borderId="0"/>
    <xf numFmtId="0" fontId="47" fillId="0" borderId="0"/>
    <xf numFmtId="43" fontId="47" fillId="0" borderId="0"/>
    <xf numFmtId="38" fontId="47" fillId="0" borderId="0" applyAlignment="1">
      <alignment vertical="center"/>
    </xf>
    <xf numFmtId="170" fontId="47" fillId="0" borderId="0"/>
    <xf numFmtId="0" fontId="51" fillId="0" borderId="0"/>
    <xf numFmtId="38" fontId="36" fillId="0" borderId="0" applyAlignment="1">
      <alignment vertical="center"/>
    </xf>
    <xf numFmtId="170" fontId="36" fillId="0" borderId="0"/>
    <xf numFmtId="0" fontId="36" fillId="0" borderId="0"/>
    <xf numFmtId="41" fontId="9" fillId="0" borderId="0"/>
    <xf numFmtId="43" fontId="24" fillId="0" borderId="0"/>
    <xf numFmtId="43" fontId="24" fillId="0" borderId="0"/>
    <xf numFmtId="43" fontId="24" fillId="0" borderId="0"/>
    <xf numFmtId="0" fontId="55" fillId="0" borderId="0"/>
    <xf numFmtId="0" fontId="26" fillId="0" borderId="0" applyAlignment="1">
      <alignment vertical="center"/>
    </xf>
    <xf numFmtId="0" fontId="14" fillId="0" borderId="0"/>
    <xf numFmtId="0" fontId="42" fillId="0" borderId="0" applyAlignment="1">
      <alignment vertical="center"/>
    </xf>
    <xf numFmtId="0" fontId="26" fillId="0" borderId="0"/>
    <xf numFmtId="0" fontId="26" fillId="0" borderId="0"/>
    <xf numFmtId="0" fontId="17" fillId="0" borderId="0"/>
    <xf numFmtId="9" fontId="24" fillId="0" borderId="0"/>
    <xf numFmtId="9" fontId="24" fillId="0" borderId="0"/>
    <xf numFmtId="0" fontId="9" fillId="0" borderId="0"/>
    <xf numFmtId="0" fontId="26" fillId="0" borderId="0" applyAlignment="1">
      <alignment vertical="center"/>
    </xf>
    <xf numFmtId="0" fontId="26" fillId="0" borderId="0" applyAlignment="1">
      <alignment vertical="center"/>
    </xf>
    <xf numFmtId="0" fontId="26" fillId="0" borderId="0" applyAlignment="1">
      <alignment vertical="center"/>
    </xf>
    <xf numFmtId="0" fontId="26" fillId="0" borderId="0"/>
    <xf numFmtId="43" fontId="113" fillId="0" borderId="0"/>
    <xf numFmtId="43" fontId="26" fillId="0" borderId="0"/>
    <xf numFmtId="0" fontId="36" fillId="0" borderId="0"/>
    <xf numFmtId="43" fontId="36" fillId="0" borderId="0" applyAlignment="1">
      <alignment vertical="center"/>
    </xf>
    <xf numFmtId="0" fontId="119" fillId="0" borderId="0" applyAlignment="1">
      <alignment vertical="center"/>
    </xf>
    <xf numFmtId="0" fontId="119" fillId="0" borderId="0" applyAlignment="1">
      <alignment vertical="center"/>
    </xf>
  </cellStyleXfs>
  <cellXfs count="785">
    <xf numFmtId="0" fontId="0" fillId="0" borderId="0" applyAlignment="1" pivotButton="0" quotePrefix="0" xfId="0">
      <alignment vertical="center"/>
    </xf>
    <xf numFmtId="49" fontId="0" fillId="0" borderId="0" applyAlignment="1" pivotButton="0" quotePrefix="0" xfId="0">
      <alignment vertical="center"/>
    </xf>
    <xf numFmtId="0" fontId="6" fillId="0" borderId="0" applyAlignment="1" pivotButton="0" quotePrefix="0" xfId="0">
      <alignment vertical="center"/>
    </xf>
    <xf numFmtId="0" fontId="5" fillId="0" borderId="0" applyAlignment="1" pivotButton="0" quotePrefix="0" xfId="0">
      <alignment vertical="center"/>
    </xf>
    <xf numFmtId="0" fontId="5" fillId="0" borderId="0" applyAlignment="1" pivotButton="0" quotePrefix="0" xfId="0">
      <alignment horizontal="left" vertical="center"/>
    </xf>
    <xf numFmtId="0" fontId="6" fillId="2" borderId="0" applyAlignment="1" pivotButton="0" quotePrefix="0" xfId="164">
      <alignment vertical="center"/>
    </xf>
    <xf numFmtId="0" fontId="6" fillId="0" borderId="0" applyAlignment="1" applyProtection="1" pivotButton="0" quotePrefix="0" xfId="100">
      <alignment vertical="center"/>
      <protection locked="0" hidden="0"/>
    </xf>
    <xf numFmtId="0" fontId="5" fillId="0" borderId="0" applyAlignment="1" applyProtection="1" pivotButton="0" quotePrefix="0" xfId="100">
      <alignment vertical="center"/>
      <protection locked="0" hidden="0"/>
    </xf>
    <xf numFmtId="9" fontId="6" fillId="0" borderId="0" applyAlignment="1" applyProtection="1" pivotButton="0" quotePrefix="0" xfId="165">
      <alignment vertical="center"/>
      <protection locked="0" hidden="0"/>
    </xf>
    <xf numFmtId="0" fontId="29" fillId="2" borderId="0" applyAlignment="1" pivotButton="0" quotePrefix="0" xfId="164">
      <alignment vertical="center"/>
    </xf>
    <xf numFmtId="0" fontId="6" fillId="0" borderId="0" applyAlignment="1" applyProtection="1" pivotButton="0" quotePrefix="0" xfId="171">
      <alignment vertical="center"/>
      <protection locked="0" hidden="0"/>
    </xf>
    <xf numFmtId="0" fontId="6" fillId="0" borderId="0" applyAlignment="1" applyProtection="1" pivotButton="0" quotePrefix="0" xfId="171">
      <alignment horizontal="center" vertical="center" wrapText="1"/>
      <protection locked="0" hidden="0"/>
    </xf>
    <xf numFmtId="0" fontId="4" fillId="0" borderId="0" applyAlignment="1" applyProtection="1" pivotButton="0" quotePrefix="0" xfId="171">
      <alignment horizontal="left" vertical="center"/>
      <protection locked="0" hidden="0"/>
    </xf>
    <xf numFmtId="0" fontId="29" fillId="0" borderId="0" applyAlignment="1" applyProtection="1" pivotButton="0" quotePrefix="0" xfId="171">
      <alignment horizontal="center" vertical="center"/>
      <protection locked="0" hidden="0"/>
    </xf>
    <xf numFmtId="0" fontId="33" fillId="10" borderId="8" applyAlignment="1" applyProtection="1" pivotButton="0" quotePrefix="0" xfId="171">
      <alignment horizontal="centerContinuous" vertical="center"/>
      <protection locked="0" hidden="0"/>
    </xf>
    <xf numFmtId="0" fontId="40" fillId="11" borderId="10" applyAlignment="1" applyProtection="1" pivotButton="0" quotePrefix="0" xfId="171">
      <alignment horizontal="centerContinuous" vertical="center"/>
      <protection locked="0" hidden="0"/>
    </xf>
    <xf numFmtId="0" fontId="40" fillId="11" borderId="3" applyAlignment="1" applyProtection="1" pivotButton="0" quotePrefix="0" xfId="171">
      <alignment horizontal="centerContinuous" vertical="center"/>
      <protection locked="0" hidden="0"/>
    </xf>
    <xf numFmtId="0" fontId="6" fillId="14" borderId="0" applyAlignment="1" applyProtection="1" pivotButton="0" quotePrefix="0" xfId="171">
      <alignment vertical="center"/>
      <protection locked="0" hidden="0"/>
    </xf>
    <xf numFmtId="0" fontId="49" fillId="13" borderId="7" applyAlignment="1" applyProtection="1" pivotButton="0" quotePrefix="0" xfId="171">
      <alignment vertical="center"/>
      <protection locked="0" hidden="0"/>
    </xf>
    <xf numFmtId="0" fontId="49" fillId="13" borderId="8" applyAlignment="1" applyProtection="1" pivotButton="0" quotePrefix="0" xfId="171">
      <alignment vertical="center"/>
      <protection locked="0" hidden="0"/>
    </xf>
    <xf numFmtId="0" fontId="49" fillId="13" borderId="4" applyAlignment="1" applyProtection="1" pivotButton="0" quotePrefix="0" xfId="171">
      <alignment vertical="center"/>
      <protection locked="0" hidden="0"/>
    </xf>
    <xf numFmtId="0" fontId="50" fillId="0" borderId="0" applyAlignment="1" applyProtection="1" pivotButton="0" quotePrefix="0" xfId="171">
      <alignment vertical="center" wrapText="1"/>
      <protection locked="0" hidden="0"/>
    </xf>
    <xf numFmtId="0" fontId="35" fillId="0" borderId="0" applyAlignment="1" applyProtection="1" pivotButton="0" quotePrefix="0" xfId="171">
      <alignment vertical="center"/>
      <protection locked="0" hidden="0"/>
    </xf>
    <xf numFmtId="0" fontId="52" fillId="0" borderId="0" applyAlignment="1" applyProtection="1" pivotButton="0" quotePrefix="0" xfId="171">
      <alignment horizontal="center" vertical="center"/>
      <protection locked="0" hidden="0"/>
    </xf>
    <xf numFmtId="0" fontId="29" fillId="0" borderId="5" applyAlignment="1" applyProtection="1" pivotButton="0" quotePrefix="0" xfId="302">
      <alignment vertical="center"/>
      <protection locked="0" hidden="0"/>
    </xf>
    <xf numFmtId="164" fontId="4" fillId="0" borderId="0" applyAlignment="1" applyProtection="1" pivotButton="0" quotePrefix="0" xfId="311">
      <alignment horizontal="center" vertical="center"/>
      <protection locked="0" hidden="0"/>
    </xf>
    <xf numFmtId="0" fontId="3" fillId="0" borderId="0" applyAlignment="1" applyProtection="1" pivotButton="0" quotePrefix="0" xfId="171">
      <alignment horizontal="center" vertical="center"/>
      <protection locked="0" hidden="0"/>
    </xf>
    <xf numFmtId="165" fontId="35" fillId="0" borderId="0" applyAlignment="1" applyProtection="1" pivotButton="0" quotePrefix="0" xfId="171">
      <alignment vertical="center"/>
      <protection locked="0" hidden="0"/>
    </xf>
    <xf numFmtId="165" fontId="29" fillId="0" borderId="0" applyAlignment="1" applyProtection="1" pivotButton="0" quotePrefix="0" xfId="171">
      <alignment horizontal="center" vertical="center"/>
      <protection locked="0" hidden="0"/>
    </xf>
    <xf numFmtId="0" fontId="6" fillId="0" borderId="0" applyAlignment="1" applyProtection="1" pivotButton="0" quotePrefix="0" xfId="312">
      <alignment vertical="center"/>
      <protection locked="0" hidden="0"/>
    </xf>
    <xf numFmtId="0" fontId="4" fillId="0" borderId="0" pivotButton="0" quotePrefix="0" xfId="312"/>
    <xf numFmtId="0" fontId="4" fillId="15" borderId="0" pivotButton="0" quotePrefix="0" xfId="312"/>
    <xf numFmtId="0" fontId="4" fillId="0" borderId="0" applyAlignment="1" pivotButton="0" quotePrefix="0" xfId="312">
      <alignment vertical="center"/>
    </xf>
    <xf numFmtId="0" fontId="41" fillId="13" borderId="26" applyAlignment="1" pivotButton="0" quotePrefix="0" xfId="312">
      <alignment vertical="center"/>
    </xf>
    <xf numFmtId="0" fontId="41" fillId="13" borderId="27" applyAlignment="1" pivotButton="0" quotePrefix="0" xfId="312">
      <alignment vertical="center"/>
    </xf>
    <xf numFmtId="0" fontId="4" fillId="15" borderId="0" applyAlignment="1" pivotButton="0" quotePrefix="0" xfId="312">
      <alignment vertical="center"/>
    </xf>
    <xf numFmtId="0" fontId="54" fillId="0" borderId="0" pivotButton="0" quotePrefix="0" xfId="312"/>
    <xf numFmtId="0" fontId="5" fillId="0" borderId="0" pivotButton="0" quotePrefix="0" xfId="312"/>
    <xf numFmtId="0" fontId="49" fillId="0" borderId="0" applyAlignment="1" applyProtection="1" pivotButton="0" quotePrefix="0" xfId="171">
      <alignment vertical="center"/>
      <protection locked="0" hidden="0"/>
    </xf>
    <xf numFmtId="0" fontId="5" fillId="0" borderId="0" applyAlignment="1" applyProtection="1" pivotButton="0" quotePrefix="0" xfId="58">
      <alignment horizontal="left" vertical="top" wrapText="1"/>
      <protection locked="0" hidden="0"/>
    </xf>
    <xf numFmtId="0" fontId="4" fillId="0" borderId="0" applyAlignment="1" pivotButton="0" quotePrefix="0" xfId="150">
      <alignment vertical="center"/>
    </xf>
    <xf numFmtId="0" fontId="6" fillId="0" borderId="0" applyAlignment="1" pivotButton="0" quotePrefix="0" xfId="150">
      <alignment horizontal="center" vertical="center"/>
    </xf>
    <xf numFmtId="0" fontId="6" fillId="0" borderId="0" applyAlignment="1" pivotButton="0" quotePrefix="0" xfId="150">
      <alignment vertical="center"/>
    </xf>
    <xf numFmtId="0" fontId="35" fillId="0" borderId="0" applyAlignment="1" pivotButton="0" quotePrefix="0" xfId="150">
      <alignment horizontal="center" vertical="center"/>
    </xf>
    <xf numFmtId="0" fontId="30" fillId="0" borderId="0" applyAlignment="1" pivotButton="0" quotePrefix="0" xfId="150">
      <alignment vertical="center"/>
    </xf>
    <xf numFmtId="0" fontId="6" fillId="0" borderId="0" applyAlignment="1" pivotButton="0" quotePrefix="0" xfId="150">
      <alignment horizontal="left" vertical="center"/>
    </xf>
    <xf numFmtId="0" fontId="57" fillId="5" borderId="0" applyAlignment="1" applyProtection="1" pivotButton="0" quotePrefix="0" xfId="335">
      <alignment vertical="center"/>
      <protection locked="0" hidden="0"/>
    </xf>
    <xf numFmtId="0" fontId="6" fillId="5" borderId="4" applyAlignment="1" applyProtection="1" pivotButton="0" quotePrefix="0" xfId="171">
      <alignment vertical="center"/>
      <protection locked="0" hidden="0"/>
    </xf>
    <xf numFmtId="0" fontId="5" fillId="0" borderId="5" applyAlignment="1" pivotButton="0" quotePrefix="0" xfId="2">
      <alignment horizontal="left" vertical="center" shrinkToFit="1"/>
    </xf>
    <xf numFmtId="0" fontId="6" fillId="14" borderId="18" applyAlignment="1" applyProtection="1" pivotButton="0" quotePrefix="0" xfId="171">
      <alignment vertical="center"/>
      <protection locked="0" hidden="0"/>
    </xf>
    <xf numFmtId="0" fontId="29" fillId="0" borderId="0" applyAlignment="1" applyProtection="1" pivotButton="0" quotePrefix="0" xfId="0">
      <alignment horizontal="center" vertical="center"/>
      <protection locked="0" hidden="0"/>
    </xf>
    <xf numFmtId="0" fontId="56" fillId="0" borderId="0" applyAlignment="1" applyProtection="1" pivotButton="0" quotePrefix="0" xfId="335">
      <alignment vertical="center"/>
      <protection locked="0" hidden="0"/>
    </xf>
    <xf numFmtId="0" fontId="59" fillId="0" borderId="0" pivotButton="0" quotePrefix="0" xfId="0"/>
    <xf numFmtId="0" fontId="6" fillId="0" borderId="13" applyAlignment="1" applyProtection="1" pivotButton="0" quotePrefix="0" xfId="0">
      <alignment horizontal="left" vertical="center"/>
      <protection locked="0" hidden="0"/>
    </xf>
    <xf numFmtId="0" fontId="6" fillId="0" borderId="0" applyAlignment="1" pivotButton="0" quotePrefix="0" xfId="333">
      <alignment vertical="center"/>
    </xf>
    <xf numFmtId="166" fontId="6" fillId="0" borderId="5" applyAlignment="1" pivotButton="0" quotePrefix="0" xfId="334">
      <alignment vertical="center" shrinkToFit="1"/>
    </xf>
    <xf numFmtId="166" fontId="6" fillId="0" borderId="5" applyAlignment="1" pivotButton="0" quotePrefix="0" xfId="333">
      <alignment vertical="center" shrinkToFit="1"/>
    </xf>
    <xf numFmtId="0" fontId="5" fillId="0" borderId="4" applyAlignment="1" pivotButton="0" quotePrefix="0" xfId="2">
      <alignment horizontal="left" vertical="center" shrinkToFit="1"/>
    </xf>
    <xf numFmtId="0" fontId="5" fillId="0" borderId="24" applyAlignment="1" pivotButton="0" quotePrefix="0" xfId="2">
      <alignment horizontal="left" vertical="center" shrinkToFit="1"/>
    </xf>
    <xf numFmtId="0" fontId="35" fillId="8" borderId="13" applyAlignment="1" pivotButton="0" quotePrefix="0" xfId="150">
      <alignment horizontal="center" vertical="center"/>
    </xf>
    <xf numFmtId="0" fontId="31" fillId="8" borderId="13" applyAlignment="1" pivotButton="0" quotePrefix="0" xfId="169">
      <alignment horizontal="center" vertical="center" wrapText="1"/>
    </xf>
    <xf numFmtId="0" fontId="5" fillId="0" borderId="13" applyAlignment="1" pivotButton="0" quotePrefix="0" xfId="150">
      <alignment horizontal="center" vertical="center"/>
    </xf>
    <xf numFmtId="0" fontId="6" fillId="0" borderId="13" applyAlignment="1" pivotButton="0" quotePrefix="0" xfId="150">
      <alignment horizontal="center" vertical="center"/>
    </xf>
    <xf numFmtId="0" fontId="5" fillId="0" borderId="13" applyAlignment="1" pivotButton="0" quotePrefix="0" xfId="150">
      <alignment horizontal="center" vertical="center" wrapText="1"/>
    </xf>
    <xf numFmtId="0" fontId="30" fillId="0" borderId="13" applyAlignment="1" pivotButton="0" quotePrefix="0" xfId="150">
      <alignment horizontal="center" vertical="center" wrapText="1"/>
    </xf>
    <xf numFmtId="0" fontId="61" fillId="0" borderId="13" applyAlignment="1" pivotButton="0" quotePrefix="1" xfId="335">
      <alignment horizontal="center" vertical="center" wrapText="1"/>
    </xf>
    <xf numFmtId="0" fontId="65" fillId="0" borderId="0" applyAlignment="1" pivotButton="0" quotePrefix="0" xfId="0">
      <alignment vertical="center"/>
    </xf>
    <xf numFmtId="0" fontId="67" fillId="0" borderId="0" applyAlignment="1" pivotButton="0" quotePrefix="0" xfId="0">
      <alignment vertical="center"/>
    </xf>
    <xf numFmtId="0" fontId="69" fillId="0" borderId="0" applyAlignment="1" pivotButton="0" quotePrefix="0" xfId="0">
      <alignment vertical="center"/>
    </xf>
    <xf numFmtId="0" fontId="32" fillId="0" borderId="0" applyAlignment="1" pivotButton="0" quotePrefix="0" xfId="335">
      <alignment vertical="center"/>
    </xf>
    <xf numFmtId="0" fontId="66" fillId="0" borderId="0" applyAlignment="1" applyProtection="1" pivotButton="0" quotePrefix="0" xfId="171">
      <alignment vertical="center"/>
      <protection locked="0" hidden="0"/>
    </xf>
    <xf numFmtId="0" fontId="81" fillId="5" borderId="0" applyAlignment="1" applyProtection="1" pivotButton="0" quotePrefix="0" xfId="335">
      <alignment vertical="center"/>
      <protection locked="0" hidden="0"/>
    </xf>
    <xf numFmtId="0" fontId="67" fillId="0" borderId="0" applyAlignment="1" applyProtection="1" pivotButton="0" quotePrefix="0" xfId="0">
      <alignment vertical="center"/>
      <protection locked="0" hidden="0"/>
    </xf>
    <xf numFmtId="0" fontId="67" fillId="2" borderId="0" applyAlignment="1" pivotButton="0" quotePrefix="0" xfId="0">
      <alignment vertical="center"/>
    </xf>
    <xf numFmtId="0" fontId="82" fillId="2" borderId="0" applyAlignment="1" pivotButton="0" quotePrefix="0" xfId="0">
      <alignment vertical="center"/>
    </xf>
    <xf numFmtId="0" fontId="67" fillId="0" borderId="0" applyAlignment="1" pivotButton="0" quotePrefix="0" xfId="0">
      <alignment vertical="center" shrinkToFit="1"/>
    </xf>
    <xf numFmtId="0" fontId="64" fillId="0" borderId="0" applyAlignment="1" pivotButton="0" quotePrefix="0" xfId="0">
      <alignment horizontal="left" vertical="center"/>
    </xf>
    <xf numFmtId="0" fontId="76" fillId="10" borderId="7" applyAlignment="1" applyProtection="1" pivotButton="0" quotePrefix="0" xfId="171">
      <alignment horizontal="centerContinuous" vertical="center"/>
      <protection locked="0" hidden="0"/>
    </xf>
    <xf numFmtId="0" fontId="77" fillId="10" borderId="8" applyAlignment="1" applyProtection="1" pivotButton="0" quotePrefix="0" xfId="171">
      <alignment horizontal="centerContinuous" vertical="center"/>
      <protection locked="0" hidden="0"/>
    </xf>
    <xf numFmtId="0" fontId="78" fillId="11" borderId="10" applyAlignment="1" applyProtection="1" pivotButton="0" quotePrefix="0" xfId="171">
      <alignment horizontal="centerContinuous" vertical="center"/>
      <protection locked="0" hidden="0"/>
    </xf>
    <xf numFmtId="0" fontId="78" fillId="11" borderId="3" applyAlignment="1" applyProtection="1" pivotButton="0" quotePrefix="0" xfId="171">
      <alignment horizontal="centerContinuous" vertical="center"/>
      <protection locked="0" hidden="0"/>
    </xf>
    <xf numFmtId="0" fontId="67" fillId="14" borderId="0" applyAlignment="1" applyProtection="1" pivotButton="0" quotePrefix="0" xfId="171">
      <alignment vertical="center"/>
      <protection locked="0" hidden="0"/>
    </xf>
    <xf numFmtId="0" fontId="86" fillId="13" borderId="7" applyAlignment="1" applyProtection="1" pivotButton="0" quotePrefix="0" xfId="171">
      <alignment vertical="center"/>
      <protection locked="0" hidden="0"/>
    </xf>
    <xf numFmtId="0" fontId="86" fillId="13" borderId="8" applyAlignment="1" applyProtection="1" pivotButton="0" quotePrefix="0" xfId="171">
      <alignment vertical="center"/>
      <protection locked="0" hidden="0"/>
    </xf>
    <xf numFmtId="0" fontId="86" fillId="13" borderId="4" applyAlignment="1" applyProtection="1" pivotButton="0" quotePrefix="0" xfId="171">
      <alignment vertical="center"/>
      <protection locked="0" hidden="0"/>
    </xf>
    <xf numFmtId="0" fontId="38" fillId="10" borderId="7" applyAlignment="1" applyProtection="1" pivotButton="0" quotePrefix="0" xfId="171">
      <alignment horizontal="centerContinuous" vertical="center"/>
      <protection locked="0" hidden="0"/>
    </xf>
    <xf numFmtId="0" fontId="35" fillId="5" borderId="7" applyAlignment="1" pivotButton="0" quotePrefix="0" xfId="171">
      <alignment vertical="center"/>
    </xf>
    <xf numFmtId="0" fontId="35" fillId="0" borderId="0" applyAlignment="1" applyProtection="1" pivotButton="0" quotePrefix="0" xfId="171">
      <alignment horizontal="center" vertical="center"/>
      <protection locked="0" hidden="0"/>
    </xf>
    <xf numFmtId="0" fontId="6" fillId="0" borderId="2" applyAlignment="1" applyProtection="1" pivotButton="0" quotePrefix="0" xfId="301">
      <alignment horizontal="center" vertical="center"/>
      <protection locked="0" hidden="0"/>
    </xf>
    <xf numFmtId="0" fontId="6" fillId="0" borderId="50" applyAlignment="1" applyProtection="1" pivotButton="0" quotePrefix="0" xfId="301">
      <alignment horizontal="center" vertical="center"/>
      <protection locked="0" hidden="0"/>
    </xf>
    <xf numFmtId="0" fontId="30" fillId="0" borderId="5" applyAlignment="1" pivotButton="0" quotePrefix="0" xfId="333">
      <alignment vertical="center"/>
    </xf>
    <xf numFmtId="0" fontId="6" fillId="2" borderId="5" applyAlignment="1" pivotButton="0" quotePrefix="0" xfId="333">
      <alignment vertical="center"/>
    </xf>
    <xf numFmtId="0" fontId="3" fillId="0" borderId="0" pivotButton="0" quotePrefix="0" xfId="312"/>
    <xf numFmtId="0" fontId="41" fillId="13" borderId="25" applyAlignment="1" pivotButton="0" quotePrefix="0" xfId="312">
      <alignment vertical="center"/>
    </xf>
    <xf numFmtId="0" fontId="3" fillId="0" borderId="0" applyAlignment="1" pivotButton="0" quotePrefix="0" xfId="312">
      <alignment vertical="center"/>
    </xf>
    <xf numFmtId="0" fontId="89" fillId="0" borderId="0" applyAlignment="1" applyProtection="1" pivotButton="0" quotePrefix="0" xfId="171">
      <alignment vertical="center" wrapText="1"/>
      <protection locked="0" hidden="0"/>
    </xf>
    <xf numFmtId="0" fontId="67" fillId="0" borderId="0" applyAlignment="1" pivotButton="0" quotePrefix="0" xfId="100">
      <alignment vertical="center"/>
    </xf>
    <xf numFmtId="9" fontId="67" fillId="0" borderId="0" applyAlignment="1" pivotButton="0" quotePrefix="0" xfId="5">
      <alignment vertical="center"/>
    </xf>
    <xf numFmtId="0" fontId="82" fillId="2" borderId="0" applyAlignment="1" pivotButton="0" quotePrefix="0" xfId="65">
      <alignment vertical="center"/>
    </xf>
    <xf numFmtId="0" fontId="74" fillId="0" borderId="0" applyAlignment="1" pivotButton="0" quotePrefix="0" xfId="0">
      <alignment vertical="center"/>
    </xf>
    <xf numFmtId="41" fontId="67" fillId="2" borderId="0" applyAlignment="1" pivotButton="0" quotePrefix="0" xfId="7">
      <alignment vertical="center"/>
    </xf>
    <xf numFmtId="0" fontId="67" fillId="2" borderId="0" applyAlignment="1" pivotButton="0" quotePrefix="0" xfId="65">
      <alignment vertical="center"/>
    </xf>
    <xf numFmtId="0" fontId="67" fillId="0" borderId="0" applyAlignment="1" applyProtection="1" pivotButton="0" quotePrefix="0" xfId="100">
      <alignment vertical="center"/>
      <protection locked="0" hidden="0"/>
    </xf>
    <xf numFmtId="9" fontId="67" fillId="0" borderId="0" applyAlignment="1" applyProtection="1" pivotButton="0" quotePrefix="0" xfId="87">
      <alignment vertical="center"/>
      <protection locked="0" hidden="0"/>
    </xf>
    <xf numFmtId="0" fontId="64" fillId="0" borderId="0" applyAlignment="1" applyProtection="1" pivotButton="0" quotePrefix="0" xfId="100">
      <alignment vertical="center"/>
      <protection locked="0" hidden="0"/>
    </xf>
    <xf numFmtId="0" fontId="82" fillId="0" borderId="0" applyAlignment="1" pivotButton="0" quotePrefix="0" xfId="65">
      <alignment vertical="center"/>
    </xf>
    <xf numFmtId="0" fontId="67" fillId="0" borderId="0" applyAlignment="1" pivotButton="0" quotePrefix="0" xfId="65">
      <alignment vertical="center"/>
    </xf>
    <xf numFmtId="9" fontId="67" fillId="0" borderId="0" applyAlignment="1" applyProtection="1" pivotButton="0" quotePrefix="0" xfId="87">
      <alignment vertical="center"/>
      <protection locked="0" hidden="0"/>
    </xf>
    <xf numFmtId="0" fontId="68" fillId="17" borderId="0" applyAlignment="1" pivotButton="0" quotePrefix="0" xfId="0">
      <alignment vertical="center"/>
    </xf>
    <xf numFmtId="0" fontId="63" fillId="17" borderId="0" applyAlignment="1" pivotButton="0" quotePrefix="0" xfId="0">
      <alignment vertical="center"/>
    </xf>
    <xf numFmtId="0" fontId="63" fillId="0" borderId="0" applyAlignment="1" pivotButton="0" quotePrefix="0" xfId="0">
      <alignment vertical="center"/>
    </xf>
    <xf numFmtId="0" fontId="67" fillId="0" borderId="0" applyAlignment="1" pivotButton="0" quotePrefix="0" xfId="164">
      <alignment vertical="center"/>
    </xf>
    <xf numFmtId="0" fontId="67" fillId="2" borderId="0" applyAlignment="1" pivotButton="0" quotePrefix="0" xfId="164">
      <alignment vertical="center"/>
    </xf>
    <xf numFmtId="0" fontId="82" fillId="2" borderId="0" applyAlignment="1" pivotButton="0" quotePrefix="0" xfId="164">
      <alignment vertical="center"/>
    </xf>
    <xf numFmtId="9" fontId="67" fillId="0" borderId="0" applyAlignment="1" pivotButton="0" quotePrefix="0" xfId="165">
      <alignment vertical="center"/>
    </xf>
    <xf numFmtId="41" fontId="67" fillId="0" borderId="0" applyAlignment="1" pivotButton="0" quotePrefix="0" xfId="7">
      <alignment vertical="center"/>
    </xf>
    <xf numFmtId="0" fontId="73" fillId="17" borderId="0" applyAlignment="1" pivotButton="0" quotePrefix="0" xfId="0">
      <alignment vertical="center"/>
    </xf>
    <xf numFmtId="0" fontId="73" fillId="0" borderId="0" applyAlignment="1" pivotButton="0" quotePrefix="0" xfId="0">
      <alignment vertical="center"/>
    </xf>
    <xf numFmtId="0" fontId="67" fillId="0" borderId="0" applyAlignment="1" applyProtection="1" pivotButton="0" quotePrefix="0" xfId="0">
      <alignment horizontal="center" vertical="center"/>
      <protection locked="0" hidden="0"/>
    </xf>
    <xf numFmtId="43" fontId="64" fillId="2" borderId="0" applyAlignment="1" pivotButton="0" quotePrefix="0" xfId="111">
      <alignment vertical="center"/>
    </xf>
    <xf numFmtId="0" fontId="74" fillId="5" borderId="36" applyAlignment="1" pivotButton="0" quotePrefix="0" xfId="0">
      <alignment horizontal="center" vertical="center"/>
    </xf>
    <xf numFmtId="14" fontId="88" fillId="5" borderId="35" applyAlignment="1" pivotButton="0" quotePrefix="0" xfId="0">
      <alignment vertical="center"/>
    </xf>
    <xf numFmtId="0" fontId="64" fillId="0" borderId="5" applyAlignment="1" pivotButton="0" quotePrefix="0" xfId="0">
      <alignment horizontal="left" vertical="center" wrapText="1" shrinkToFit="1"/>
    </xf>
    <xf numFmtId="0" fontId="64" fillId="0" borderId="36" applyAlignment="1" pivotButton="0" quotePrefix="0" xfId="0">
      <alignment horizontal="left" vertical="center" wrapText="1" shrinkToFit="1"/>
    </xf>
    <xf numFmtId="14" fontId="88" fillId="0" borderId="0" applyAlignment="1" pivotButton="0" quotePrefix="0" xfId="0">
      <alignment horizontal="center" vertical="center"/>
    </xf>
    <xf numFmtId="14" fontId="64" fillId="0" borderId="0" applyAlignment="1" pivotButton="0" quotePrefix="0" xfId="0">
      <alignment vertical="center"/>
    </xf>
    <xf numFmtId="9" fontId="64" fillId="0" borderId="0" applyAlignment="1" pivotButton="0" quotePrefix="0" xfId="0">
      <alignment vertical="center"/>
    </xf>
    <xf numFmtId="43" fontId="64" fillId="0" borderId="0" applyAlignment="1" pivotButton="0" quotePrefix="0" xfId="111">
      <alignment vertical="center"/>
    </xf>
    <xf numFmtId="0" fontId="64" fillId="0" borderId="0" applyAlignment="1" pivotButton="0" quotePrefix="0" xfId="100">
      <alignment vertical="center"/>
    </xf>
    <xf numFmtId="0" fontId="80" fillId="3" borderId="0" applyAlignment="1" pivotButton="0" quotePrefix="0" xfId="0">
      <alignment vertical="center" wrapText="1"/>
    </xf>
    <xf numFmtId="0" fontId="90" fillId="3" borderId="0" applyAlignment="1" pivotButton="0" quotePrefix="0" xfId="0">
      <alignment vertical="center" wrapText="1"/>
    </xf>
    <xf numFmtId="0" fontId="30" fillId="0" borderId="13" applyAlignment="1" pivotButton="0" quotePrefix="0" xfId="0">
      <alignment vertical="center" wrapText="1"/>
    </xf>
    <xf numFmtId="0" fontId="91" fillId="0" borderId="0" applyAlignment="1" applyProtection="1" pivotButton="0" quotePrefix="0" xfId="171">
      <alignment vertical="center"/>
      <protection locked="0" hidden="0"/>
    </xf>
    <xf numFmtId="0" fontId="92" fillId="0" borderId="0" applyAlignment="1" pivotButton="0" quotePrefix="0" xfId="171">
      <alignment vertical="center"/>
    </xf>
    <xf numFmtId="0" fontId="92" fillId="12" borderId="18" applyAlignment="1" pivotButton="0" quotePrefix="0" xfId="171">
      <alignment vertical="center"/>
    </xf>
    <xf numFmtId="0" fontId="93" fillId="0" borderId="0" applyAlignment="1" applyProtection="1" pivotButton="0" quotePrefix="0" xfId="171">
      <alignment vertical="center"/>
      <protection locked="0" hidden="0"/>
    </xf>
    <xf numFmtId="0" fontId="94" fillId="0" borderId="0" applyAlignment="1" applyProtection="1" pivotButton="0" quotePrefix="0" xfId="171">
      <alignment vertical="center"/>
      <protection locked="0" hidden="0"/>
    </xf>
    <xf numFmtId="0" fontId="91" fillId="0" borderId="0" applyAlignment="1" applyProtection="1" pivotButton="0" quotePrefix="0" xfId="300">
      <alignment vertical="center"/>
      <protection locked="0" hidden="0"/>
    </xf>
    <xf numFmtId="0" fontId="91" fillId="2" borderId="0" applyAlignment="1" pivotButton="0" quotePrefix="0" xfId="0">
      <alignment vertical="center"/>
    </xf>
    <xf numFmtId="0" fontId="91" fillId="0" borderId="0" applyAlignment="1" applyProtection="1" pivotButton="0" quotePrefix="0" xfId="171">
      <alignment horizontal="left" vertical="center"/>
      <protection locked="0" hidden="0"/>
    </xf>
    <xf numFmtId="0" fontId="91" fillId="0" borderId="0" applyAlignment="1" applyProtection="1" pivotButton="0" quotePrefix="0" xfId="171">
      <alignment horizontal="left" vertical="center" wrapText="1"/>
      <protection locked="0" hidden="0"/>
    </xf>
    <xf numFmtId="0" fontId="96" fillId="0" borderId="0" applyAlignment="1" applyProtection="1" pivotButton="0" quotePrefix="0" xfId="0">
      <alignment horizontal="center" vertical="center"/>
      <protection locked="0" hidden="0"/>
    </xf>
    <xf numFmtId="0" fontId="91" fillId="2" borderId="0" applyAlignment="1" pivotButton="0" quotePrefix="0" xfId="171">
      <alignment vertical="center"/>
    </xf>
    <xf numFmtId="0" fontId="91" fillId="0" borderId="0" applyAlignment="1" applyProtection="1" pivotButton="0" quotePrefix="0" xfId="312">
      <alignment vertical="center"/>
      <protection locked="0" hidden="0"/>
    </xf>
    <xf numFmtId="43" fontId="95" fillId="0" borderId="0" applyAlignment="1" pivotButton="0" quotePrefix="0" xfId="80">
      <alignment horizontal="left" shrinkToFit="1"/>
    </xf>
    <xf numFmtId="0" fontId="97" fillId="0" borderId="56" applyAlignment="1" pivotButton="0" quotePrefix="0" xfId="171">
      <alignment horizontal="left" vertical="center"/>
    </xf>
    <xf numFmtId="0" fontId="97" fillId="0" borderId="33" applyAlignment="1" pivotButton="0" quotePrefix="0" xfId="171">
      <alignment horizontal="left" vertical="center"/>
    </xf>
    <xf numFmtId="14" fontId="97" fillId="13" borderId="12" applyAlignment="1" applyProtection="1" pivotButton="0" quotePrefix="0" xfId="161">
      <alignment horizontal="right" vertical="center"/>
      <protection locked="0" hidden="0"/>
    </xf>
    <xf numFmtId="0" fontId="97" fillId="0" borderId="57" applyAlignment="1" pivotButton="0" quotePrefix="0" xfId="171">
      <alignment horizontal="left" vertical="center"/>
    </xf>
    <xf numFmtId="0" fontId="100" fillId="0" borderId="5" applyAlignment="1" pivotButton="0" quotePrefix="0" xfId="0">
      <alignment horizontal="center" vertical="center"/>
    </xf>
    <xf numFmtId="0" fontId="101" fillId="0" borderId="5" applyAlignment="1" pivotButton="0" quotePrefix="0" xfId="0">
      <alignment horizontal="center" vertical="center"/>
    </xf>
    <xf numFmtId="0" fontId="102" fillId="2" borderId="0" applyAlignment="1" pivotButton="0" quotePrefix="0" xfId="0">
      <alignment vertical="center"/>
    </xf>
    <xf numFmtId="0" fontId="103" fillId="0" borderId="0" applyAlignment="1" applyProtection="1" pivotButton="0" quotePrefix="0" xfId="171">
      <alignment horizontal="left" vertical="center" wrapText="1"/>
      <protection locked="0" hidden="0"/>
    </xf>
    <xf numFmtId="0" fontId="100" fillId="0" borderId="0" applyAlignment="1" applyProtection="1" pivotButton="0" quotePrefix="0" xfId="0">
      <alignment horizontal="center" vertical="center"/>
      <protection locked="0" hidden="0"/>
    </xf>
    <xf numFmtId="0" fontId="104" fillId="0" borderId="0" applyAlignment="1" applyProtection="1" pivotButton="0" quotePrefix="0" xfId="301">
      <alignment horizontal="right" vertical="center"/>
      <protection locked="0" hidden="0"/>
    </xf>
    <xf numFmtId="43" fontId="100" fillId="0" borderId="0" applyAlignment="1" pivotButton="0" quotePrefix="0" xfId="105">
      <alignment horizontal="center" shrinkToFit="1"/>
    </xf>
    <xf numFmtId="0" fontId="20" fillId="0" borderId="0" applyAlignment="1" applyProtection="1" pivotButton="0" quotePrefix="0" xfId="171">
      <alignment vertical="center"/>
      <protection locked="0" hidden="0"/>
    </xf>
    <xf numFmtId="0" fontId="31" fillId="0" borderId="0" applyAlignment="1" pivotButton="0" quotePrefix="0" xfId="100">
      <alignment horizontal="left" vertical="center"/>
    </xf>
    <xf numFmtId="0" fontId="68" fillId="0" borderId="0" applyAlignment="1" pivotButton="0" quotePrefix="0" xfId="0">
      <alignment vertical="center"/>
    </xf>
    <xf numFmtId="0" fontId="74" fillId="5" borderId="16" applyAlignment="1" applyProtection="1" pivotButton="0" quotePrefix="0" xfId="0">
      <alignment vertical="center"/>
      <protection locked="0" hidden="0"/>
    </xf>
    <xf numFmtId="0" fontId="74" fillId="5" borderId="17" applyAlignment="1" applyProtection="1" pivotButton="0" quotePrefix="0" xfId="0">
      <alignment vertical="center"/>
      <protection locked="0" hidden="0"/>
    </xf>
    <xf numFmtId="0" fontId="74" fillId="5" borderId="20" applyAlignment="1" applyProtection="1" pivotButton="0" quotePrefix="0" xfId="0">
      <alignment vertical="center"/>
      <protection locked="0" hidden="0"/>
    </xf>
    <xf numFmtId="0" fontId="74" fillId="5" borderId="5" applyAlignment="1" pivotButton="0" quotePrefix="0" xfId="0">
      <alignment horizontal="center" vertical="center"/>
    </xf>
    <xf numFmtId="0" fontId="6" fillId="0" borderId="17" applyAlignment="1" pivotButton="0" quotePrefix="0" xfId="0">
      <alignment vertical="center"/>
    </xf>
    <xf numFmtId="0" fontId="6" fillId="2" borderId="0" applyAlignment="1" pivotButton="0" quotePrefix="0" xfId="0">
      <alignment vertical="center"/>
    </xf>
    <xf numFmtId="0" fontId="6" fillId="0" borderId="1" applyAlignment="1" pivotButton="0" quotePrefix="0" xfId="0">
      <alignment vertical="center"/>
    </xf>
    <xf numFmtId="0" fontId="6" fillId="0" borderId="21" applyAlignment="1" pivotButton="0" quotePrefix="0" xfId="0">
      <alignment vertical="center"/>
    </xf>
    <xf numFmtId="0" fontId="20" fillId="14" borderId="18" applyAlignment="1" applyProtection="1" pivotButton="0" quotePrefix="0" xfId="171">
      <alignment vertical="center"/>
      <protection locked="0" hidden="0"/>
    </xf>
    <xf numFmtId="0" fontId="109" fillId="0" borderId="0" applyAlignment="1" applyProtection="1" pivotButton="0" quotePrefix="0" xfId="171">
      <alignment vertical="center" wrapText="1"/>
      <protection locked="0" hidden="0"/>
    </xf>
    <xf numFmtId="0" fontId="4" fillId="0" borderId="0" applyAlignment="1" pivotButton="0" quotePrefix="0" xfId="0">
      <alignment vertical="center"/>
    </xf>
    <xf numFmtId="0" fontId="73" fillId="5" borderId="43" applyAlignment="1" pivotButton="0" quotePrefix="0" xfId="0">
      <alignment vertical="center"/>
    </xf>
    <xf numFmtId="14" fontId="97" fillId="13" borderId="12" applyAlignment="1" pivotButton="0" quotePrefix="0" xfId="173">
      <alignment horizontal="right" vertical="center" shrinkToFit="1"/>
    </xf>
    <xf numFmtId="0" fontId="97" fillId="13" borderId="6" applyAlignment="1" pivotButton="0" quotePrefix="0" xfId="173">
      <alignment horizontal="right" vertical="center" shrinkToFit="1"/>
    </xf>
    <xf numFmtId="166" fontId="97" fillId="13" borderId="12" applyAlignment="1" pivotButton="0" quotePrefix="0" xfId="173">
      <alignment horizontal="right" vertical="center" shrinkToFit="1"/>
    </xf>
    <xf numFmtId="0" fontId="97" fillId="13" borderId="12" applyAlignment="1" pivotButton="0" quotePrefix="0" xfId="173">
      <alignment horizontal="right" vertical="center" shrinkToFit="1"/>
    </xf>
    <xf numFmtId="0" fontId="97" fillId="13" borderId="2" applyAlignment="1" pivotButton="0" quotePrefix="0" xfId="173">
      <alignment horizontal="right" vertical="center" shrinkToFit="1"/>
    </xf>
    <xf numFmtId="0" fontId="110" fillId="0" borderId="0" applyAlignment="1" pivotButton="0" quotePrefix="0" xfId="0">
      <alignment vertical="center"/>
    </xf>
    <xf numFmtId="0" fontId="64" fillId="0" borderId="35" applyAlignment="1" pivotButton="0" quotePrefix="0" xfId="0">
      <alignment horizontal="left" vertical="center" wrapText="1" shrinkToFit="1"/>
    </xf>
    <xf numFmtId="0" fontId="68" fillId="5" borderId="34" applyAlignment="1" pivotButton="0" quotePrefix="0" xfId="0">
      <alignment horizontal="center" vertical="center" wrapText="1"/>
    </xf>
    <xf numFmtId="12" fontId="4" fillId="5" borderId="5" applyAlignment="1" pivotButton="0" quotePrefix="0" xfId="333">
      <alignment horizontal="left" vertical="center" wrapText="1"/>
    </xf>
    <xf numFmtId="12" fontId="4" fillId="5" borderId="5" applyAlignment="1" pivotButton="0" quotePrefix="0" xfId="333">
      <alignment horizontal="center" vertical="center" wrapText="1"/>
    </xf>
    <xf numFmtId="14" fontId="31" fillId="5" borderId="63" applyAlignment="1" applyProtection="1" pivotButton="0" quotePrefix="0" xfId="0">
      <alignment horizontal="center" vertical="center"/>
      <protection locked="0" hidden="0"/>
    </xf>
    <xf numFmtId="0" fontId="31" fillId="5" borderId="62" applyAlignment="1" pivotButton="0" quotePrefix="0" xfId="0">
      <alignment horizontal="center" vertical="center" wrapText="1"/>
    </xf>
    <xf numFmtId="0" fontId="31" fillId="5" borderId="63" applyAlignment="1" pivotButton="0" quotePrefix="0" xfId="0">
      <alignment horizontal="center" vertical="center" wrapText="1"/>
    </xf>
    <xf numFmtId="0" fontId="31" fillId="5" borderId="16" applyAlignment="1" applyProtection="1" pivotButton="0" quotePrefix="0" xfId="0">
      <alignment horizontal="centerContinuous" vertical="center"/>
      <protection locked="0" hidden="0"/>
    </xf>
    <xf numFmtId="0" fontId="31" fillId="5" borderId="17" applyAlignment="1" applyProtection="1" pivotButton="0" quotePrefix="0" xfId="0">
      <alignment horizontal="centerContinuous" vertical="center"/>
      <protection locked="0" hidden="0"/>
    </xf>
    <xf numFmtId="0" fontId="31" fillId="5" borderId="20" applyAlignment="1" applyProtection="1" pivotButton="0" quotePrefix="0" xfId="0">
      <alignment horizontal="centerContinuous" vertical="center"/>
      <protection locked="0" hidden="0"/>
    </xf>
    <xf numFmtId="0" fontId="29" fillId="0" borderId="5" applyAlignment="1" applyProtection="1" pivotButton="0" quotePrefix="0" xfId="302">
      <alignment horizontal="left" vertical="center"/>
      <protection locked="0" hidden="0"/>
    </xf>
    <xf numFmtId="0" fontId="29" fillId="0" borderId="5" applyAlignment="1" applyProtection="1" pivotButton="0" quotePrefix="0" xfId="302">
      <alignment horizontal="center" vertical="center"/>
      <protection locked="0" hidden="0"/>
    </xf>
    <xf numFmtId="0" fontId="74" fillId="5" borderId="35" applyAlignment="1" pivotButton="0" quotePrefix="0" xfId="0">
      <alignment horizontal="center" vertical="center"/>
    </xf>
    <xf numFmtId="0" fontId="74" fillId="5" borderId="5" applyAlignment="1" pivotButton="0" quotePrefix="0" xfId="0">
      <alignment horizontal="center" vertical="center" wrapText="1"/>
    </xf>
    <xf numFmtId="0" fontId="73" fillId="5" borderId="5" applyAlignment="1" pivotButton="0" quotePrefix="0" xfId="0">
      <alignment horizontal="center" vertical="center" wrapText="1"/>
    </xf>
    <xf numFmtId="14" fontId="69" fillId="5" borderId="5" applyAlignment="1" pivotButton="0" quotePrefix="0" xfId="0">
      <alignment horizontal="center" vertical="center" wrapText="1"/>
    </xf>
    <xf numFmtId="0" fontId="111" fillId="0" borderId="0" applyAlignment="1" applyProtection="1" pivotButton="0" quotePrefix="0" xfId="171">
      <alignment vertical="center"/>
      <protection locked="0" hidden="0"/>
    </xf>
    <xf numFmtId="0" fontId="112" fillId="0" borderId="0" applyAlignment="1" pivotButton="0" quotePrefix="0" xfId="0">
      <alignment vertical="center"/>
    </xf>
    <xf numFmtId="0" fontId="111" fillId="0" borderId="0" applyAlignment="1" pivotButton="0" quotePrefix="0" xfId="0">
      <alignment vertical="center"/>
    </xf>
    <xf numFmtId="0" fontId="111" fillId="0" borderId="0" applyAlignment="1" pivotButton="0" quotePrefix="0" xfId="100">
      <alignment vertical="center"/>
    </xf>
    <xf numFmtId="9" fontId="111" fillId="0" borderId="0" applyAlignment="1" pivotButton="0" quotePrefix="0" xfId="85">
      <alignment vertical="center"/>
    </xf>
    <xf numFmtId="0" fontId="113" fillId="0" borderId="0" applyAlignment="1" pivotButton="0" quotePrefix="0" xfId="100">
      <alignment vertical="center"/>
    </xf>
    <xf numFmtId="0" fontId="111" fillId="0" borderId="0" applyAlignment="1" pivotButton="0" quotePrefix="0" xfId="0">
      <alignment horizontal="right" vertical="center"/>
    </xf>
    <xf numFmtId="0" fontId="111" fillId="0" borderId="0" applyAlignment="1" pivotButton="0" quotePrefix="0" xfId="100">
      <alignment horizontal="center" vertical="center"/>
    </xf>
    <xf numFmtId="0" fontId="115" fillId="5" borderId="0" applyAlignment="1" applyProtection="1" pivotButton="0" quotePrefix="0" xfId="335">
      <alignment vertical="center"/>
      <protection locked="0" hidden="0"/>
    </xf>
    <xf numFmtId="166" fontId="64" fillId="0" borderId="5" applyAlignment="1" pivotButton="0" quotePrefix="0" xfId="0">
      <alignment horizontal="right" vertical="center" wrapText="1" shrinkToFit="1"/>
    </xf>
    <xf numFmtId="0" fontId="76" fillId="10" borderId="60" applyAlignment="1" applyProtection="1" pivotButton="0" quotePrefix="0" xfId="171">
      <alignment horizontal="centerContinuous" vertical="center"/>
      <protection locked="0" hidden="0"/>
    </xf>
    <xf numFmtId="0" fontId="76" fillId="10" borderId="26" applyAlignment="1" applyProtection="1" pivotButton="0" quotePrefix="0" xfId="171">
      <alignment horizontal="centerContinuous" vertical="center"/>
      <protection locked="0" hidden="0"/>
    </xf>
    <xf numFmtId="0" fontId="107" fillId="10" borderId="26" applyAlignment="1" applyProtection="1" pivotButton="0" quotePrefix="0" xfId="171">
      <alignment horizontal="centerContinuous" vertical="center"/>
      <protection locked="0" hidden="0"/>
    </xf>
    <xf numFmtId="0" fontId="108" fillId="11" borderId="66" applyAlignment="1" applyProtection="1" pivotButton="0" quotePrefix="0" xfId="171">
      <alignment horizontal="centerContinuous" vertical="center"/>
      <protection locked="0" hidden="0"/>
    </xf>
    <xf numFmtId="0" fontId="108" fillId="11" borderId="68" applyAlignment="1" applyProtection="1" pivotButton="0" quotePrefix="0" xfId="171">
      <alignment horizontal="centerContinuous" vertical="center"/>
      <protection locked="0" hidden="0"/>
    </xf>
    <xf numFmtId="0" fontId="105" fillId="13" borderId="53" applyAlignment="1" applyProtection="1" pivotButton="0" quotePrefix="0" xfId="171">
      <alignment vertical="center"/>
      <protection locked="0" hidden="0"/>
    </xf>
    <xf numFmtId="0" fontId="105" fillId="13" borderId="23" applyAlignment="1" applyProtection="1" pivotButton="0" quotePrefix="0" xfId="171">
      <alignment vertical="center"/>
      <protection locked="0" hidden="0"/>
    </xf>
    <xf numFmtId="0" fontId="105" fillId="13" borderId="52" applyAlignment="1" applyProtection="1" pivotButton="0" quotePrefix="0" xfId="171">
      <alignment vertical="center"/>
      <protection locked="0" hidden="0"/>
    </xf>
    <xf numFmtId="0" fontId="5" fillId="0" borderId="2" applyAlignment="1" pivotButton="0" quotePrefix="0" xfId="2">
      <alignment horizontal="left" vertical="center" shrinkToFit="1"/>
    </xf>
    <xf numFmtId="0" fontId="37" fillId="5" borderId="0" applyAlignment="1" applyProtection="1" pivotButton="0" quotePrefix="0" xfId="171">
      <alignment vertical="center"/>
      <protection locked="0" hidden="0"/>
    </xf>
    <xf numFmtId="0" fontId="6" fillId="5" borderId="0" applyAlignment="1" applyProtection="1" pivotButton="0" quotePrefix="0" xfId="171">
      <alignment vertical="center"/>
      <protection locked="0" hidden="0"/>
    </xf>
    <xf numFmtId="0" fontId="38" fillId="10" borderId="39" applyAlignment="1" applyProtection="1" pivotButton="0" quotePrefix="0" xfId="171">
      <alignment horizontal="centerContinuous" vertical="center"/>
      <protection locked="0" hidden="0"/>
    </xf>
    <xf numFmtId="0" fontId="33" fillId="10" borderId="28" applyAlignment="1" applyProtection="1" pivotButton="0" quotePrefix="0" xfId="171">
      <alignment horizontal="centerContinuous" vertical="center"/>
      <protection locked="0" hidden="0"/>
    </xf>
    <xf numFmtId="0" fontId="40" fillId="11" borderId="54" applyAlignment="1" applyProtection="1" pivotButton="0" quotePrefix="0" xfId="171">
      <alignment horizontal="centerContinuous" vertical="center"/>
      <protection locked="0" hidden="0"/>
    </xf>
    <xf numFmtId="0" fontId="40" fillId="11" borderId="55" applyAlignment="1" applyProtection="1" pivotButton="0" quotePrefix="0" xfId="171">
      <alignment horizontal="centerContinuous" vertical="center"/>
      <protection locked="0" hidden="0"/>
    </xf>
    <xf numFmtId="0" fontId="4" fillId="0" borderId="0" applyAlignment="1" pivotButton="0" quotePrefix="0" xfId="171">
      <alignment vertical="center"/>
    </xf>
    <xf numFmtId="0" fontId="4" fillId="12" borderId="18" applyAlignment="1" pivotButton="0" quotePrefix="0" xfId="171">
      <alignment vertical="center"/>
    </xf>
    <xf numFmtId="0" fontId="41" fillId="13" borderId="53" applyAlignment="1" applyProtection="1" pivotButton="0" quotePrefix="0" xfId="171">
      <alignment vertical="center"/>
      <protection locked="0" hidden="0"/>
    </xf>
    <xf numFmtId="0" fontId="41" fillId="13" borderId="23" applyAlignment="1" applyProtection="1" pivotButton="0" quotePrefix="0" xfId="171">
      <alignment vertical="center" wrapText="1"/>
      <protection locked="0" hidden="0"/>
    </xf>
    <xf numFmtId="0" fontId="41" fillId="13" borderId="52" applyAlignment="1" applyProtection="1" pivotButton="0" quotePrefix="0" xfId="171">
      <alignment vertical="center" wrapText="1"/>
      <protection locked="0" hidden="0"/>
    </xf>
    <xf numFmtId="0" fontId="6" fillId="0" borderId="0" applyAlignment="1" applyProtection="1" pivotButton="0" quotePrefix="0" xfId="0">
      <alignment vertical="center"/>
      <protection locked="0" hidden="0"/>
    </xf>
    <xf numFmtId="0" fontId="31" fillId="5" borderId="7" applyAlignment="1" pivotButton="0" quotePrefix="0" xfId="0">
      <alignment horizontal="centerContinuous" vertical="center"/>
    </xf>
    <xf numFmtId="0" fontId="31" fillId="5" borderId="4" applyAlignment="1" pivotButton="0" quotePrefix="0" xfId="0">
      <alignment horizontal="centerContinuous" vertical="center"/>
    </xf>
    <xf numFmtId="0" fontId="29" fillId="0" borderId="5" applyAlignment="1" pivotButton="0" quotePrefix="0" xfId="0">
      <alignment horizontal="center" vertical="center"/>
    </xf>
    <xf numFmtId="0" fontId="6" fillId="0" borderId="7" applyAlignment="1" pivotButton="0" quotePrefix="0" xfId="0">
      <alignment vertical="center"/>
    </xf>
    <xf numFmtId="0" fontId="5" fillId="0" borderId="5" applyAlignment="1" pivotButton="0" quotePrefix="0" xfId="173">
      <alignment horizontal="left" vertical="center" shrinkToFit="1"/>
    </xf>
    <xf numFmtId="165" fontId="4" fillId="2" borderId="7" applyAlignment="1" applyProtection="1" pivotButton="0" quotePrefix="0" xfId="173">
      <alignment horizontal="right" vertical="center"/>
      <protection locked="0" hidden="0"/>
    </xf>
    <xf numFmtId="165" fontId="6" fillId="2" borderId="15" applyAlignment="1" applyProtection="1" pivotButton="0" quotePrefix="0" xfId="173">
      <alignment vertical="center"/>
      <protection locked="0" hidden="0"/>
    </xf>
    <xf numFmtId="0" fontId="6" fillId="0" borderId="8" applyAlignment="1" pivotButton="0" quotePrefix="0" xfId="0">
      <alignment vertical="center"/>
    </xf>
    <xf numFmtId="0" fontId="6" fillId="0" borderId="4" applyAlignment="1" pivotButton="0" quotePrefix="0" xfId="0">
      <alignment vertical="center"/>
    </xf>
    <xf numFmtId="165" fontId="6" fillId="2" borderId="31" applyAlignment="1" applyProtection="1" pivotButton="0" quotePrefix="0" xfId="173">
      <alignment vertical="center"/>
      <protection locked="0" hidden="0"/>
    </xf>
    <xf numFmtId="0" fontId="5" fillId="0" borderId="7" applyAlignment="1" pivotButton="0" quotePrefix="0" xfId="167">
      <alignment vertical="center"/>
    </xf>
    <xf numFmtId="0" fontId="6" fillId="0" borderId="28" applyAlignment="1" pivotButton="0" quotePrefix="0" xfId="0">
      <alignment vertical="center"/>
    </xf>
    <xf numFmtId="0" fontId="6" fillId="0" borderId="29" applyAlignment="1" pivotButton="0" quotePrefix="0" xfId="0">
      <alignment vertical="center"/>
    </xf>
    <xf numFmtId="0" fontId="29" fillId="0" borderId="5" applyAlignment="1" applyProtection="1" pivotButton="0" quotePrefix="0" xfId="0">
      <alignment horizontal="center" vertical="center"/>
      <protection locked="0" hidden="0"/>
    </xf>
    <xf numFmtId="0" fontId="6" fillId="0" borderId="1" applyAlignment="1" applyProtection="1" pivotButton="0" quotePrefix="0" xfId="0">
      <alignment vertical="center"/>
      <protection locked="0" hidden="0"/>
    </xf>
    <xf numFmtId="0" fontId="6" fillId="0" borderId="8" applyAlignment="1" applyProtection="1" pivotButton="0" quotePrefix="0" xfId="0">
      <alignment vertical="center"/>
      <protection locked="0" hidden="0"/>
    </xf>
    <xf numFmtId="0" fontId="6" fillId="0" borderId="4" applyAlignment="1" applyProtection="1" pivotButton="0" quotePrefix="0" xfId="0">
      <alignment vertical="center"/>
      <protection locked="0" hidden="0"/>
    </xf>
    <xf numFmtId="0" fontId="5" fillId="0" borderId="30" applyAlignment="1" pivotButton="0" quotePrefix="0" xfId="173">
      <alignment horizontal="left" vertical="center" shrinkToFit="1"/>
    </xf>
    <xf numFmtId="165" fontId="6" fillId="2" borderId="32" applyAlignment="1" applyProtection="1" pivotButton="0" quotePrefix="0" xfId="173">
      <alignment vertical="center"/>
      <protection locked="0" hidden="0"/>
    </xf>
    <xf numFmtId="0" fontId="6" fillId="0" borderId="0" applyAlignment="1" applyProtection="1" pivotButton="0" quotePrefix="0" xfId="300">
      <alignment vertical="center"/>
      <protection locked="0" hidden="0"/>
    </xf>
    <xf numFmtId="0" fontId="29" fillId="0" borderId="34" applyAlignment="1" pivotButton="0" quotePrefix="0" xfId="0">
      <alignment horizontal="center" vertical="center"/>
    </xf>
    <xf numFmtId="0" fontId="4" fillId="0" borderId="61" applyAlignment="1" pivotButton="0" quotePrefix="0" xfId="0">
      <alignment vertical="center"/>
    </xf>
    <xf numFmtId="0" fontId="6" fillId="0" borderId="21" applyAlignment="1" applyProtection="1" pivotButton="0" quotePrefix="0" xfId="0">
      <alignment vertical="center"/>
      <protection locked="0" hidden="0"/>
    </xf>
    <xf numFmtId="0" fontId="29" fillId="0" borderId="0" applyAlignment="1" pivotButton="0" quotePrefix="0" xfId="0">
      <alignment horizontal="center" vertical="center"/>
    </xf>
    <xf numFmtId="0" fontId="31" fillId="0" borderId="0" applyAlignment="1" pivotButton="0" quotePrefix="0" xfId="171">
      <alignment vertical="center"/>
    </xf>
    <xf numFmtId="0" fontId="43" fillId="0" borderId="0" applyAlignment="1" applyProtection="1" pivotButton="0" quotePrefix="0" xfId="171">
      <alignment vertical="center" wrapText="1"/>
      <protection locked="0" hidden="0"/>
    </xf>
    <xf numFmtId="0" fontId="31" fillId="5" borderId="7" applyAlignment="1" pivotButton="0" quotePrefix="0" xfId="171">
      <alignment horizontal="centerContinuous" vertical="center"/>
    </xf>
    <xf numFmtId="0" fontId="31" fillId="5" borderId="4" applyAlignment="1" pivotButton="0" quotePrefix="0" xfId="171">
      <alignment horizontal="centerContinuous" vertical="center"/>
    </xf>
    <xf numFmtId="165" fontId="5" fillId="0" borderId="0" applyAlignment="1" applyProtection="1" pivotButton="0" quotePrefix="0" xfId="173">
      <alignment vertical="center" wrapText="1"/>
      <protection locked="0" hidden="0"/>
    </xf>
    <xf numFmtId="0" fontId="5" fillId="0" borderId="0" applyAlignment="1" applyProtection="1" pivotButton="0" quotePrefix="0" xfId="162">
      <alignment horizontal="center" vertical="center" wrapText="1"/>
      <protection locked="0" hidden="0"/>
    </xf>
    <xf numFmtId="0" fontId="30" fillId="0" borderId="0" applyAlignment="1" applyProtection="1" pivotButton="0" quotePrefix="0" xfId="171">
      <alignment vertical="center"/>
      <protection locked="0" hidden="0"/>
    </xf>
    <xf numFmtId="0" fontId="31" fillId="5" borderId="5" applyAlignment="1" pivotButton="0" quotePrefix="0" xfId="161">
      <alignment horizontal="left" vertical="center"/>
    </xf>
    <xf numFmtId="165" fontId="5" fillId="2" borderId="5" applyAlignment="1" applyProtection="1" pivotButton="0" quotePrefix="0" xfId="173">
      <alignment horizontal="right" vertical="center" wrapText="1"/>
      <protection locked="0" hidden="0"/>
    </xf>
    <xf numFmtId="9" fontId="5" fillId="0" borderId="0" applyAlignment="1" applyProtection="1" pivotButton="0" quotePrefix="0" xfId="162">
      <alignment vertical="center" wrapText="1"/>
      <protection locked="0" hidden="0"/>
    </xf>
    <xf numFmtId="9" fontId="5" fillId="0" borderId="5" applyAlignment="1" pivotButton="0" quotePrefix="0" xfId="173">
      <alignment horizontal="right" vertical="center" shrinkToFit="1"/>
    </xf>
    <xf numFmtId="9" fontId="5" fillId="0" borderId="0" applyAlignment="1" applyProtection="1" pivotButton="0" quotePrefix="0" xfId="162">
      <alignment horizontal="left" vertical="center" wrapText="1"/>
      <protection locked="0" hidden="0"/>
    </xf>
    <xf numFmtId="0" fontId="6" fillId="0" borderId="0" applyAlignment="1" applyProtection="1" pivotButton="0" quotePrefix="0" xfId="171">
      <alignment horizontal="left" vertical="center"/>
      <protection locked="0" hidden="0"/>
    </xf>
    <xf numFmtId="0" fontId="30" fillId="0" borderId="0" applyAlignment="1" applyProtection="1" pivotButton="0" quotePrefix="0" xfId="171">
      <alignment horizontal="left" vertical="center"/>
      <protection locked="0" hidden="0"/>
    </xf>
    <xf numFmtId="0" fontId="31" fillId="0" borderId="0" applyAlignment="1" pivotButton="0" quotePrefix="0" xfId="161">
      <alignment horizontal="left" vertical="center"/>
    </xf>
    <xf numFmtId="9" fontId="5" fillId="0" borderId="0" applyAlignment="1" applyProtection="1" pivotButton="0" quotePrefix="0" xfId="161">
      <alignment horizontal="right" vertical="center" wrapText="1"/>
      <protection locked="0" hidden="0"/>
    </xf>
    <xf numFmtId="0" fontId="29" fillId="0" borderId="0" applyAlignment="1" applyProtection="1" pivotButton="0" quotePrefix="0" xfId="171">
      <alignment horizontal="left" vertical="center"/>
      <protection locked="0" hidden="0"/>
    </xf>
    <xf numFmtId="0" fontId="30" fillId="0" borderId="0" applyAlignment="1" applyProtection="1" pivotButton="0" quotePrefix="0" xfId="171">
      <alignment horizontal="left" vertical="center" wrapText="1"/>
      <protection locked="0" hidden="0"/>
    </xf>
    <xf numFmtId="0" fontId="6" fillId="0" borderId="0" applyAlignment="1" applyProtection="1" pivotButton="0" quotePrefix="0" xfId="171">
      <alignment horizontal="left" vertical="center" wrapText="1"/>
      <protection locked="0" hidden="0"/>
    </xf>
    <xf numFmtId="0" fontId="4" fillId="0" borderId="0" applyAlignment="1" pivotButton="0" quotePrefix="0" xfId="171">
      <alignment vertical="center" wrapText="1"/>
    </xf>
    <xf numFmtId="0" fontId="5" fillId="0" borderId="0" applyAlignment="1" pivotButton="0" quotePrefix="0" xfId="173">
      <alignment horizontal="left" vertical="center" shrinkToFit="1"/>
    </xf>
    <xf numFmtId="0" fontId="29" fillId="0" borderId="0" applyAlignment="1" applyProtection="1" pivotButton="0" quotePrefix="0" xfId="0">
      <alignment horizontal="left" vertical="center"/>
      <protection locked="0" hidden="0"/>
    </xf>
    <xf numFmtId="10" fontId="5" fillId="0" borderId="0" applyAlignment="1" applyProtection="1" pivotButton="0" quotePrefix="0" xfId="5">
      <alignment horizontal="center"/>
      <protection locked="0" hidden="0"/>
    </xf>
    <xf numFmtId="0" fontId="29" fillId="0" borderId="0" applyAlignment="1" applyProtection="1" pivotButton="0" quotePrefix="0" xfId="301">
      <alignment horizontal="left" vertical="center"/>
      <protection locked="0" hidden="0"/>
    </xf>
    <xf numFmtId="0" fontId="4" fillId="0" borderId="0" applyAlignment="1" pivotButton="0" quotePrefix="0" xfId="0">
      <alignment horizontal="center" vertical="center"/>
    </xf>
    <xf numFmtId="0" fontId="6" fillId="0" borderId="0" applyAlignment="1" applyProtection="1" pivotButton="0" quotePrefix="0" xfId="301">
      <alignment horizontal="left" vertical="center"/>
      <protection locked="0" hidden="0"/>
    </xf>
    <xf numFmtId="0" fontId="5" fillId="0" borderId="0" applyAlignment="1" applyProtection="1" pivotButton="0" quotePrefix="0" xfId="301">
      <alignment horizontal="right" vertical="center"/>
      <protection locked="0" hidden="0"/>
    </xf>
    <xf numFmtId="165" fontId="6" fillId="0" borderId="0" applyAlignment="1" applyProtection="1" pivotButton="0" quotePrefix="0" xfId="302">
      <alignment horizontal="right" vertical="center"/>
      <protection locked="0" hidden="0"/>
    </xf>
    <xf numFmtId="165" fontId="6" fillId="0" borderId="0" applyAlignment="1" applyProtection="1" pivotButton="0" quotePrefix="0" xfId="302">
      <alignment vertical="center"/>
      <protection locked="0" hidden="0"/>
    </xf>
    <xf numFmtId="10" fontId="6" fillId="0" borderId="0" applyAlignment="1" applyProtection="1" pivotButton="0" quotePrefix="0" xfId="5">
      <alignment horizontal="center"/>
      <protection locked="0" hidden="0"/>
    </xf>
    <xf numFmtId="0" fontId="30" fillId="0" borderId="0" applyAlignment="1" applyProtection="1" pivotButton="0" quotePrefix="0" xfId="301">
      <alignment vertical="center"/>
      <protection locked="0" hidden="0"/>
    </xf>
    <xf numFmtId="9" fontId="6" fillId="0" borderId="0" applyAlignment="1" applyProtection="1" pivotButton="0" quotePrefix="0" xfId="301">
      <alignment horizontal="center" vertical="center"/>
      <protection locked="0" hidden="0"/>
    </xf>
    <xf numFmtId="0" fontId="35" fillId="0" borderId="0" applyAlignment="1" pivotButton="0" quotePrefix="0" xfId="0">
      <alignment horizontal="right" vertical="center"/>
    </xf>
    <xf numFmtId="0" fontId="35" fillId="0" borderId="0" applyAlignment="1" pivotButton="0" quotePrefix="0" xfId="0">
      <alignment horizontal="left" vertical="center"/>
    </xf>
    <xf numFmtId="10" fontId="6" fillId="0" borderId="9" applyAlignment="1" applyProtection="1" pivotButton="0" quotePrefix="0" xfId="5">
      <alignment horizontal="center"/>
      <protection locked="0" hidden="0"/>
    </xf>
    <xf numFmtId="43" fontId="34" fillId="0" borderId="0" applyAlignment="1" pivotButton="0" quotePrefix="0" xfId="100">
      <alignment horizontal="center" vertical="center" shrinkToFit="1"/>
    </xf>
    <xf numFmtId="43" fontId="5" fillId="0" borderId="0" applyAlignment="1" pivotButton="0" quotePrefix="0" xfId="56">
      <alignment horizontal="right" vertical="center" shrinkToFit="1"/>
    </xf>
    <xf numFmtId="43" fontId="6" fillId="0" borderId="0" applyAlignment="1" pivotButton="0" quotePrefix="0" xfId="33">
      <alignment horizontal="right" vertical="center" shrinkToFit="1"/>
    </xf>
    <xf numFmtId="0" fontId="29" fillId="0" borderId="0" applyAlignment="1" applyProtection="1" pivotButton="0" quotePrefix="0" xfId="171">
      <alignment horizontal="right" vertical="center"/>
      <protection locked="0" hidden="0"/>
    </xf>
    <xf numFmtId="0" fontId="6" fillId="2" borderId="0" applyAlignment="1" pivotButton="0" quotePrefix="0" xfId="171">
      <alignment vertical="center"/>
    </xf>
    <xf numFmtId="0" fontId="29" fillId="2" borderId="0" applyAlignment="1" pivotButton="0" quotePrefix="0" xfId="171">
      <alignment horizontal="center" vertical="center"/>
    </xf>
    <xf numFmtId="0" fontId="6" fillId="2" borderId="0" applyAlignment="1" pivotButton="0" quotePrefix="0" xfId="171">
      <alignment horizontal="center" vertical="center"/>
    </xf>
    <xf numFmtId="167" fontId="31" fillId="0" borderId="0" applyAlignment="1" pivotButton="0" quotePrefix="0" xfId="81">
      <alignment vertical="center" wrapText="1"/>
    </xf>
    <xf numFmtId="0" fontId="29" fillId="0" borderId="0" applyAlignment="1" applyProtection="1" pivotButton="0" quotePrefix="0" xfId="8">
      <alignment horizontal="left" vertical="center"/>
      <protection locked="0" hidden="0"/>
    </xf>
    <xf numFmtId="0" fontId="29" fillId="2" borderId="0" applyAlignment="1" pivotButton="0" quotePrefix="0" xfId="0">
      <alignment horizontal="right" vertical="center"/>
    </xf>
    <xf numFmtId="0" fontId="30" fillId="2" borderId="0" applyAlignment="1" pivotButton="0" quotePrefix="0" xfId="0">
      <alignment vertical="center"/>
    </xf>
    <xf numFmtId="41" fontId="30" fillId="2" borderId="0" applyAlignment="1" pivotButton="0" quotePrefix="0" xfId="0">
      <alignment vertical="center"/>
    </xf>
    <xf numFmtId="0" fontId="34" fillId="2" borderId="0" applyAlignment="1" pivotButton="0" quotePrefix="0" xfId="0">
      <alignment vertical="center"/>
    </xf>
    <xf numFmtId="0" fontId="30" fillId="0" borderId="0" applyAlignment="1" pivotButton="0" quotePrefix="0" xfId="0">
      <alignment vertical="top"/>
    </xf>
    <xf numFmtId="0" fontId="31" fillId="5" borderId="0" applyAlignment="1" pivotButton="0" quotePrefix="0" xfId="0">
      <alignment vertical="center"/>
    </xf>
    <xf numFmtId="0" fontId="6" fillId="0" borderId="0" applyAlignment="1" pivotButton="0" quotePrefix="0" xfId="0">
      <alignment vertical="center" shrinkToFit="1"/>
    </xf>
    <xf numFmtId="0" fontId="31" fillId="5" borderId="39" applyAlignment="1" pivotButton="0" quotePrefix="0" xfId="0">
      <alignment vertical="center"/>
    </xf>
    <xf numFmtId="0" fontId="31" fillId="5" borderId="28" applyAlignment="1" pivotButton="0" quotePrefix="0" xfId="0">
      <alignment vertical="center"/>
    </xf>
    <xf numFmtId="14" fontId="31" fillId="5" borderId="28" applyAlignment="1" pivotButton="0" quotePrefix="0" xfId="0">
      <alignment horizontal="center" vertical="center"/>
    </xf>
    <xf numFmtId="0" fontId="31" fillId="5" borderId="40" applyAlignment="1" pivotButton="0" quotePrefix="0" xfId="0">
      <alignment horizontal="center" vertical="center"/>
    </xf>
    <xf numFmtId="0" fontId="5" fillId="0" borderId="33" applyAlignment="1" pivotButton="0" quotePrefix="0" xfId="80">
      <alignment shrinkToFit="1"/>
    </xf>
    <xf numFmtId="0" fontId="5" fillId="0" borderId="0" applyAlignment="1" pivotButton="0" quotePrefix="0" xfId="80">
      <alignment shrinkToFit="1"/>
    </xf>
    <xf numFmtId="9" fontId="6" fillId="0" borderId="41" applyAlignment="1" pivotButton="0" quotePrefix="0" xfId="80">
      <alignment horizontal="center" shrinkToFit="1"/>
    </xf>
    <xf numFmtId="43" fontId="31" fillId="0" borderId="33" applyAlignment="1" pivotButton="0" quotePrefix="0" xfId="105">
      <alignment vertical="top" shrinkToFit="1"/>
    </xf>
    <xf numFmtId="43" fontId="31" fillId="0" borderId="0" applyAlignment="1" pivotButton="0" quotePrefix="0" xfId="105">
      <alignment vertical="top" shrinkToFit="1"/>
    </xf>
    <xf numFmtId="43" fontId="29" fillId="0" borderId="0" applyAlignment="1" pivotButton="0" quotePrefix="0" xfId="140">
      <alignment vertical="top" shrinkToFit="1"/>
    </xf>
    <xf numFmtId="43" fontId="5" fillId="0" borderId="0" applyAlignment="1" pivotButton="0" quotePrefix="0" xfId="0">
      <alignment horizontal="center" shrinkToFit="1"/>
    </xf>
    <xf numFmtId="10" fontId="6" fillId="2" borderId="41" applyAlignment="1" pivotButton="0" quotePrefix="0" xfId="5">
      <alignment horizontal="center" shrinkToFit="1"/>
    </xf>
    <xf numFmtId="165" fontId="5" fillId="0" borderId="0" pivotButton="0" quotePrefix="0" xfId="2"/>
    <xf numFmtId="10" fontId="5" fillId="2" borderId="41" applyAlignment="1" pivotButton="0" quotePrefix="0" xfId="5">
      <alignment horizontal="center" shrinkToFit="1"/>
    </xf>
    <xf numFmtId="0" fontId="5" fillId="0" borderId="33" applyAlignment="1" pivotButton="0" quotePrefix="0" xfId="0">
      <alignment vertical="center"/>
    </xf>
    <xf numFmtId="41" fontId="5" fillId="4" borderId="0" applyAlignment="1" pivotButton="0" quotePrefix="0" xfId="0">
      <alignment vertical="center"/>
    </xf>
    <xf numFmtId="41" fontId="5" fillId="0" borderId="41" applyAlignment="1" pivotButton="0" quotePrefix="0" xfId="0">
      <alignment vertical="center"/>
    </xf>
    <xf numFmtId="0" fontId="31" fillId="0" borderId="33" applyAlignment="1" pivotButton="0" quotePrefix="0" xfId="0">
      <alignment horizontal="left" vertical="center"/>
    </xf>
    <xf numFmtId="0" fontId="31" fillId="0" borderId="0" applyAlignment="1" pivotButton="0" quotePrefix="0" xfId="0">
      <alignment horizontal="left" vertical="center"/>
    </xf>
    <xf numFmtId="0" fontId="5" fillId="0" borderId="41" applyAlignment="1" pivotButton="0" quotePrefix="0" xfId="0">
      <alignment horizontal="left" vertical="center"/>
    </xf>
    <xf numFmtId="0" fontId="31" fillId="0" borderId="0" applyAlignment="1" applyProtection="1" pivotButton="0" quotePrefix="0" xfId="100">
      <alignment horizontal="left" vertical="center"/>
      <protection locked="0" hidden="0"/>
    </xf>
    <xf numFmtId="0" fontId="29" fillId="0" borderId="0" applyAlignment="1" applyProtection="1" pivotButton="0" quotePrefix="0" xfId="100">
      <alignment horizontal="left" vertical="center"/>
      <protection locked="0" hidden="0"/>
    </xf>
    <xf numFmtId="0" fontId="5" fillId="0" borderId="0" applyAlignment="1" applyProtection="1" pivotButton="0" quotePrefix="0" xfId="100">
      <alignment horizontal="center" vertical="center"/>
      <protection locked="0" hidden="0"/>
    </xf>
    <xf numFmtId="0" fontId="5" fillId="0" borderId="0" applyAlignment="1" applyProtection="1" pivotButton="0" quotePrefix="0" xfId="0">
      <alignment horizontal="left" vertical="center"/>
      <protection locked="0" hidden="0"/>
    </xf>
    <xf numFmtId="43" fontId="5" fillId="0" borderId="0" applyAlignment="1" applyProtection="1" pivotButton="0" quotePrefix="0" xfId="2">
      <alignment horizontal="left" vertical="center" shrinkToFit="1"/>
      <protection locked="0" hidden="0"/>
    </xf>
    <xf numFmtId="0" fontId="29" fillId="0" borderId="0" applyAlignment="1" applyProtection="1" pivotButton="0" quotePrefix="0" xfId="100">
      <alignment horizontal="center" vertical="center"/>
      <protection locked="0" hidden="0"/>
    </xf>
    <xf numFmtId="0" fontId="31" fillId="0" borderId="0" applyAlignment="1" applyProtection="1" pivotButton="0" quotePrefix="0" xfId="100">
      <alignment horizontal="center" vertical="center"/>
      <protection locked="0" hidden="0"/>
    </xf>
    <xf numFmtId="0" fontId="4" fillId="0" borderId="39" applyAlignment="1" applyProtection="1" pivotButton="0" quotePrefix="0" xfId="100">
      <alignment horizontal="left" vertical="center"/>
      <protection locked="0" hidden="0"/>
    </xf>
    <xf numFmtId="0" fontId="5" fillId="0" borderId="28" applyAlignment="1" applyProtection="1" pivotButton="0" quotePrefix="0" xfId="100">
      <alignment horizontal="left" vertical="center"/>
      <protection locked="0" hidden="0"/>
    </xf>
    <xf numFmtId="0" fontId="4" fillId="0" borderId="33" applyAlignment="1" applyProtection="1" pivotButton="0" quotePrefix="0" xfId="100">
      <alignment horizontal="left" vertical="center"/>
      <protection locked="0" hidden="0"/>
    </xf>
    <xf numFmtId="0" fontId="4" fillId="0" borderId="42" applyAlignment="1" applyProtection="1" pivotButton="0" quotePrefix="0" xfId="100">
      <alignment horizontal="left" vertical="center"/>
      <protection locked="0" hidden="0"/>
    </xf>
    <xf numFmtId="0" fontId="4" fillId="12" borderId="0" applyAlignment="1" pivotButton="0" quotePrefix="0" xfId="171">
      <alignment vertical="center"/>
    </xf>
    <xf numFmtId="0" fontId="38" fillId="10" borderId="60" applyAlignment="1" applyProtection="1" pivotButton="0" quotePrefix="0" xfId="171">
      <alignment horizontal="centerContinuous" vertical="center"/>
      <protection locked="0" hidden="0"/>
    </xf>
    <xf numFmtId="0" fontId="33" fillId="10" borderId="26" applyAlignment="1" applyProtection="1" pivotButton="0" quotePrefix="0" xfId="171">
      <alignment horizontal="centerContinuous" vertical="center"/>
      <protection locked="0" hidden="0"/>
    </xf>
    <xf numFmtId="0" fontId="40" fillId="11" borderId="66" applyAlignment="1" applyProtection="1" pivotButton="0" quotePrefix="0" xfId="171">
      <alignment horizontal="centerContinuous" vertical="center"/>
      <protection locked="0" hidden="0"/>
    </xf>
    <xf numFmtId="0" fontId="40" fillId="11" borderId="67" applyAlignment="1" applyProtection="1" pivotButton="0" quotePrefix="0" xfId="171">
      <alignment horizontal="centerContinuous" vertical="center"/>
      <protection locked="0" hidden="0"/>
    </xf>
    <xf numFmtId="0" fontId="40" fillId="11" borderId="68" applyAlignment="1" applyProtection="1" pivotButton="0" quotePrefix="0" xfId="171">
      <alignment horizontal="centerContinuous" vertical="center"/>
      <protection locked="0" hidden="0"/>
    </xf>
    <xf numFmtId="0" fontId="49" fillId="13" borderId="53" applyAlignment="1" applyProtection="1" pivotButton="0" quotePrefix="0" xfId="171">
      <alignment vertical="center"/>
      <protection locked="0" hidden="0"/>
    </xf>
    <xf numFmtId="0" fontId="49" fillId="13" borderId="23" applyAlignment="1" applyProtection="1" pivotButton="0" quotePrefix="0" xfId="171">
      <alignment vertical="center"/>
      <protection locked="0" hidden="0"/>
    </xf>
    <xf numFmtId="0" fontId="49" fillId="13" borderId="52" applyAlignment="1" applyProtection="1" pivotButton="0" quotePrefix="0" xfId="171">
      <alignment vertical="center"/>
      <protection locked="0" hidden="0"/>
    </xf>
    <xf numFmtId="0" fontId="32" fillId="0" borderId="0" applyAlignment="1" applyProtection="1" pivotButton="0" quotePrefix="0" xfId="309">
      <alignment horizontal="right" vertical="center"/>
      <protection locked="0" hidden="0"/>
    </xf>
    <xf numFmtId="0" fontId="55" fillId="0" borderId="0" applyAlignment="1" applyProtection="1" pivotButton="0" quotePrefix="0" xfId="309">
      <alignment horizontal="right" vertical="center"/>
      <protection locked="0" hidden="0"/>
    </xf>
    <xf numFmtId="0" fontId="34" fillId="0" borderId="0" applyAlignment="1" pivotButton="0" quotePrefix="0" xfId="0">
      <alignment vertical="center"/>
    </xf>
    <xf numFmtId="0" fontId="35" fillId="0" borderId="0" applyAlignment="1" pivotButton="0" quotePrefix="0" xfId="0">
      <alignment vertical="center"/>
    </xf>
    <xf numFmtId="0" fontId="6" fillId="0" borderId="0" applyAlignment="1" pivotButton="0" quotePrefix="0" xfId="78">
      <alignment vertical="center"/>
    </xf>
    <xf numFmtId="0" fontId="6" fillId="0" borderId="0" applyAlignment="1" pivotButton="0" quotePrefix="0" xfId="56">
      <alignment horizontal="left" vertical="top" wrapText="1"/>
    </xf>
    <xf numFmtId="0" fontId="6" fillId="0" borderId="0" applyAlignment="1" pivotButton="0" quotePrefix="0" xfId="100">
      <alignment vertical="center"/>
    </xf>
    <xf numFmtId="9" fontId="6" fillId="0" borderId="0" applyAlignment="1" pivotButton="0" quotePrefix="0" xfId="85">
      <alignment vertical="center"/>
    </xf>
    <xf numFmtId="0" fontId="34" fillId="0" borderId="0" applyAlignment="1" pivotButton="0" quotePrefix="0" xfId="100">
      <alignment vertical="center"/>
    </xf>
    <xf numFmtId="43" fontId="6" fillId="0" borderId="0" applyAlignment="1" pivotButton="0" quotePrefix="0" xfId="2">
      <alignment horizontal="left" vertical="top" wrapText="1"/>
    </xf>
    <xf numFmtId="9" fontId="6" fillId="0" borderId="0" applyAlignment="1" pivotButton="0" quotePrefix="0" xfId="85">
      <alignment vertical="center"/>
    </xf>
    <xf numFmtId="0" fontId="5" fillId="0" borderId="0" applyAlignment="1" pivotButton="0" quotePrefix="0" xfId="100">
      <alignment vertical="center"/>
    </xf>
    <xf numFmtId="43" fontId="6" fillId="0" borderId="0" applyAlignment="1" pivotButton="0" quotePrefix="0" xfId="2">
      <alignment horizontal="left" vertical="top" wrapText="1"/>
    </xf>
    <xf numFmtId="0" fontId="35" fillId="5" borderId="43" applyAlignment="1" pivotButton="0" quotePrefix="0" xfId="0">
      <alignment vertical="center"/>
    </xf>
    <xf numFmtId="0" fontId="6" fillId="5" borderId="43" applyAlignment="1" applyProtection="1" pivotButton="0" quotePrefix="0" xfId="0">
      <alignment vertical="center"/>
      <protection locked="0" hidden="0"/>
    </xf>
    <xf numFmtId="43" fontId="6" fillId="5" borderId="43" applyAlignment="1" pivotButton="0" quotePrefix="0" xfId="2">
      <alignment horizontal="left" vertical="top" wrapText="1"/>
    </xf>
    <xf numFmtId="0" fontId="6" fillId="0" borderId="16" applyAlignment="1" pivotButton="0" quotePrefix="0" xfId="0">
      <alignment vertical="center"/>
    </xf>
    <xf numFmtId="0" fontId="30" fillId="0" borderId="17" applyAlignment="1" pivotButton="0" quotePrefix="0" xfId="0">
      <alignment vertical="center"/>
    </xf>
    <xf numFmtId="0" fontId="35" fillId="0" borderId="20" applyAlignment="1" pivotButton="0" quotePrefix="0" xfId="0">
      <alignment vertical="center"/>
    </xf>
    <xf numFmtId="0" fontId="6" fillId="0" borderId="19" applyAlignment="1" pivotButton="0" quotePrefix="0" xfId="0">
      <alignment vertical="center"/>
    </xf>
    <xf numFmtId="0" fontId="6" fillId="0" borderId="0" applyAlignment="1" pivotButton="0" quotePrefix="0" xfId="0">
      <alignment horizontal="right" vertical="center"/>
    </xf>
    <xf numFmtId="0" fontId="6" fillId="0" borderId="18" applyAlignment="1" pivotButton="0" quotePrefix="0" xfId="0">
      <alignment vertical="center"/>
    </xf>
    <xf numFmtId="0" fontId="6" fillId="2" borderId="14" applyAlignment="1" pivotButton="0" quotePrefix="0" xfId="0">
      <alignment vertical="center"/>
    </xf>
    <xf numFmtId="0" fontId="6" fillId="2" borderId="1" applyAlignment="1" pivotButton="0" quotePrefix="0" xfId="0">
      <alignment horizontal="right" vertical="center"/>
    </xf>
    <xf numFmtId="0" fontId="6" fillId="2" borderId="1" applyAlignment="1" pivotButton="0" quotePrefix="0" xfId="0">
      <alignment vertical="center"/>
    </xf>
    <xf numFmtId="0" fontId="6" fillId="5" borderId="43" applyAlignment="1" pivotButton="0" quotePrefix="0" xfId="0">
      <alignment vertical="center"/>
    </xf>
    <xf numFmtId="0" fontId="6" fillId="5" borderId="43" applyAlignment="1" pivotButton="0" quotePrefix="0" xfId="100">
      <alignment vertical="center"/>
    </xf>
    <xf numFmtId="0" fontId="34" fillId="0" borderId="0" applyAlignment="1" pivotButton="0" quotePrefix="0" xfId="100">
      <alignment horizontal="center" vertical="center"/>
    </xf>
    <xf numFmtId="43" fontId="6" fillId="0" borderId="0" applyAlignment="1" pivotButton="0" quotePrefix="0" xfId="2">
      <alignment horizontal="center" vertical="center" wrapText="1"/>
    </xf>
    <xf numFmtId="0" fontId="6" fillId="0" borderId="0" applyAlignment="1" pivotButton="0" quotePrefix="0" xfId="0">
      <alignment horizontal="center" vertical="center"/>
    </xf>
    <xf numFmtId="0" fontId="6" fillId="0" borderId="0" applyAlignment="1" pivotButton="0" quotePrefix="0" xfId="100">
      <alignment horizontal="center" vertical="center"/>
    </xf>
    <xf numFmtId="9" fontId="6" fillId="0" borderId="0" applyAlignment="1" pivotButton="0" quotePrefix="0" xfId="85">
      <alignment horizontal="center" vertical="center"/>
    </xf>
    <xf numFmtId="0" fontId="5" fillId="0" borderId="0" applyAlignment="1" pivotButton="0" quotePrefix="0" xfId="100">
      <alignment horizontal="center" vertical="center"/>
    </xf>
    <xf numFmtId="0" fontId="7" fillId="5" borderId="5" applyAlignment="1" pivotButton="0" quotePrefix="0" xfId="0">
      <alignment horizontal="center" vertical="center"/>
    </xf>
    <xf numFmtId="0" fontId="7" fillId="5" borderId="14" applyAlignment="1" pivotButton="0" quotePrefix="0" xfId="0">
      <alignment horizontal="center" vertical="center" wrapText="1"/>
    </xf>
    <xf numFmtId="0" fontId="6" fillId="0" borderId="35" applyAlignment="1" pivotButton="0" quotePrefix="0" xfId="0">
      <alignment horizontal="left" vertical="center"/>
    </xf>
    <xf numFmtId="0" fontId="6" fillId="0" borderId="7" applyAlignment="1" pivotButton="0" quotePrefix="0" xfId="0">
      <alignment horizontal="left" vertical="center"/>
    </xf>
    <xf numFmtId="14" fontId="6" fillId="0" borderId="7" applyAlignment="1" pivotButton="0" quotePrefix="0" xfId="0">
      <alignment horizontal="left" vertical="center"/>
    </xf>
    <xf numFmtId="166" fontId="6" fillId="0" borderId="7" applyAlignment="1" pivotButton="0" quotePrefix="0" xfId="0">
      <alignment horizontal="right" vertical="center"/>
    </xf>
    <xf numFmtId="0" fontId="6" fillId="0" borderId="8" applyAlignment="1" pivotButton="0" quotePrefix="0" xfId="0">
      <alignment horizontal="left" vertical="center"/>
    </xf>
    <xf numFmtId="0" fontId="6" fillId="0" borderId="36" applyAlignment="1" pivotButton="0" quotePrefix="0" xfId="0">
      <alignment horizontal="left" vertical="center"/>
    </xf>
    <xf numFmtId="43" fontId="6" fillId="0" borderId="0" applyAlignment="1" pivotButton="0" quotePrefix="0" xfId="2">
      <alignment horizontal="left" vertical="center" wrapText="1"/>
    </xf>
    <xf numFmtId="0" fontId="6" fillId="0" borderId="37" applyAlignment="1" pivotButton="0" quotePrefix="0" xfId="0">
      <alignment horizontal="left" vertical="center"/>
    </xf>
    <xf numFmtId="0" fontId="6" fillId="0" borderId="22" applyAlignment="1" pivotButton="0" quotePrefix="0" xfId="0">
      <alignment horizontal="left" vertical="center"/>
    </xf>
    <xf numFmtId="0" fontId="6" fillId="0" borderId="23" applyAlignment="1" pivotButton="0" quotePrefix="0" xfId="0">
      <alignment horizontal="left" vertical="center"/>
    </xf>
    <xf numFmtId="0" fontId="6" fillId="0" borderId="38" applyAlignment="1" pivotButton="0" quotePrefix="0" xfId="0">
      <alignment horizontal="left" vertical="center"/>
    </xf>
    <xf numFmtId="0" fontId="6" fillId="0" borderId="0" pivotButton="0" quotePrefix="0" xfId="0"/>
    <xf numFmtId="0" fontId="35" fillId="0" borderId="0" applyAlignment="1" pivotButton="0" quotePrefix="0" xfId="100">
      <alignment horizontal="left" vertical="center"/>
    </xf>
    <xf numFmtId="41" fontId="5" fillId="0" borderId="0" applyAlignment="1" pivotButton="0" quotePrefix="0" xfId="0">
      <alignment vertical="center"/>
    </xf>
    <xf numFmtId="0" fontId="31" fillId="0" borderId="0" applyAlignment="1" pivotButton="0" quotePrefix="0" xfId="0">
      <alignment vertical="center"/>
    </xf>
    <xf numFmtId="41" fontId="31" fillId="0" borderId="0" applyAlignment="1" pivotButton="0" quotePrefix="0" xfId="0">
      <alignment vertical="center"/>
    </xf>
    <xf numFmtId="9" fontId="6" fillId="0" borderId="0" applyAlignment="1" pivotButton="0" quotePrefix="0" xfId="85">
      <alignment vertical="center"/>
    </xf>
    <xf numFmtId="0" fontId="31" fillId="16" borderId="5" applyAlignment="1" pivotButton="0" quotePrefix="0" xfId="0">
      <alignment horizontal="center" vertical="center" wrapText="1"/>
    </xf>
    <xf numFmtId="0" fontId="7" fillId="16" borderId="5" applyAlignment="1" pivotButton="0" quotePrefix="0" xfId="0">
      <alignment horizontal="center" vertical="center" wrapText="1"/>
    </xf>
    <xf numFmtId="0" fontId="6" fillId="0" borderId="5" applyAlignment="1" pivotButton="0" quotePrefix="0" xfId="0">
      <alignment horizontal="left" vertical="center"/>
    </xf>
    <xf numFmtId="14" fontId="6" fillId="0" borderId="5" applyAlignment="1" pivotButton="0" quotePrefix="0" xfId="0">
      <alignment horizontal="left" vertical="center"/>
    </xf>
    <xf numFmtId="166" fontId="6" fillId="0" borderId="5" applyAlignment="1" pivotButton="0" quotePrefix="0" xfId="0">
      <alignment horizontal="left" vertical="center"/>
    </xf>
    <xf numFmtId="0" fontId="6" fillId="0" borderId="13" applyAlignment="1" pivotButton="0" quotePrefix="0" xfId="0">
      <alignment horizontal="left" vertical="center"/>
    </xf>
    <xf numFmtId="0" fontId="6" fillId="0" borderId="30" applyAlignment="1" pivotButton="0" quotePrefix="0" xfId="0">
      <alignment horizontal="left" vertical="center"/>
    </xf>
    <xf numFmtId="14" fontId="6" fillId="0" borderId="30" applyAlignment="1" pivotButton="0" quotePrefix="0" xfId="0">
      <alignment horizontal="left" vertical="center"/>
    </xf>
    <xf numFmtId="166" fontId="6" fillId="0" borderId="30" applyAlignment="1" pivotButton="0" quotePrefix="0" xfId="0">
      <alignment horizontal="left" vertical="center"/>
    </xf>
    <xf numFmtId="0" fontId="34" fillId="0" borderId="0" applyAlignment="1" pivotButton="0" quotePrefix="0" xfId="0">
      <alignment horizontal="right" vertical="center"/>
    </xf>
    <xf numFmtId="0" fontId="29" fillId="0" borderId="0" applyAlignment="1" pivotButton="0" quotePrefix="0" xfId="0">
      <alignment horizontal="left" vertical="center"/>
    </xf>
    <xf numFmtId="0" fontId="30" fillId="0" borderId="0" applyAlignment="1" pivotButton="0" quotePrefix="0" xfId="0">
      <alignment vertical="center"/>
    </xf>
    <xf numFmtId="0" fontId="5" fillId="0" borderId="0" pivotButton="0" quotePrefix="0" xfId="0"/>
    <xf numFmtId="0" fontId="21" fillId="0" borderId="0" applyAlignment="1" pivotButton="0" quotePrefix="0" xfId="0">
      <alignment vertical="center"/>
    </xf>
    <xf numFmtId="0" fontId="31" fillId="5" borderId="5" applyAlignment="1" pivotButton="0" quotePrefix="0" xfId="0">
      <alignment horizontal="center" vertical="center"/>
    </xf>
    <xf numFmtId="0" fontId="31" fillId="5" borderId="6" applyAlignment="1" pivotButton="0" quotePrefix="0" xfId="0">
      <alignment horizontal="center" vertical="center"/>
    </xf>
    <xf numFmtId="0" fontId="4" fillId="0" borderId="5" applyAlignment="1" pivotButton="0" quotePrefix="0" xfId="0">
      <alignment horizontal="center" vertical="center"/>
    </xf>
    <xf numFmtId="0" fontId="4" fillId="0" borderId="5" applyAlignment="1" pivotButton="0" quotePrefix="0" xfId="0">
      <alignment horizontal="center" vertical="center" wrapText="1"/>
    </xf>
    <xf numFmtId="0" fontId="84" fillId="0" borderId="0" applyAlignment="1" pivotButton="0" quotePrefix="0" xfId="0">
      <alignment horizontal="center" vertical="center" wrapText="1" shrinkToFit="1"/>
    </xf>
    <xf numFmtId="43" fontId="5" fillId="0" borderId="0" applyAlignment="1" pivotButton="0" quotePrefix="0" xfId="173">
      <alignment horizontal="right" vertical="center" shrinkToFit="1"/>
    </xf>
    <xf numFmtId="43" fontId="5" fillId="0" borderId="0" applyAlignment="1" pivotButton="0" quotePrefix="0" xfId="0">
      <alignment horizontal="right" vertical="center"/>
    </xf>
    <xf numFmtId="43" fontId="5" fillId="0" borderId="0" applyAlignment="1" applyProtection="1" pivotButton="0" quotePrefix="0" xfId="302">
      <alignment vertical="center"/>
      <protection locked="0" hidden="0"/>
    </xf>
    <xf numFmtId="43" fontId="6" fillId="0" borderId="0" applyAlignment="1" applyProtection="1" pivotButton="0" quotePrefix="0" xfId="302">
      <alignment vertical="center"/>
      <protection locked="0" hidden="0"/>
    </xf>
    <xf numFmtId="43" fontId="35" fillId="0" borderId="9" applyAlignment="1" applyProtection="1" pivotButton="0" quotePrefix="0" xfId="302">
      <alignment horizontal="right" vertical="center"/>
      <protection locked="0" hidden="0"/>
    </xf>
    <xf numFmtId="43" fontId="5" fillId="0" borderId="0" applyAlignment="1" pivotButton="0" quotePrefix="0" xfId="2">
      <alignment vertical="center"/>
    </xf>
    <xf numFmtId="43" fontId="5" fillId="0" borderId="1" applyAlignment="1" pivotButton="0" quotePrefix="0" xfId="0">
      <alignment horizontal="right" vertical="center"/>
    </xf>
    <xf numFmtId="43" fontId="5" fillId="0" borderId="0" applyAlignment="1" pivotButton="0" quotePrefix="0" xfId="80">
      <alignment horizontal="right" shrinkToFit="1"/>
    </xf>
    <xf numFmtId="0" fontId="6" fillId="0" borderId="28" applyAlignment="1" pivotButton="0" quotePrefix="0" xfId="0">
      <alignment horizontal="left" vertical="center"/>
    </xf>
    <xf numFmtId="0" fontId="6" fillId="0" borderId="40" applyAlignment="1" pivotButton="0" quotePrefix="0" xfId="0">
      <alignment horizontal="left" vertical="center"/>
    </xf>
    <xf numFmtId="0" fontId="5" fillId="0" borderId="0" applyAlignment="1" applyProtection="1" pivotButton="0" quotePrefix="0" xfId="100">
      <alignment horizontal="left" vertical="center"/>
      <protection locked="0" hidden="0"/>
    </xf>
    <xf numFmtId="0" fontId="6" fillId="0" borderId="0" applyAlignment="1" pivotButton="0" quotePrefix="0" xfId="0">
      <alignment horizontal="left" vertical="center"/>
    </xf>
    <xf numFmtId="0" fontId="6" fillId="0" borderId="41" applyAlignment="1" pivotButton="0" quotePrefix="0" xfId="0">
      <alignment horizontal="left" vertical="center"/>
    </xf>
    <xf numFmtId="0" fontId="5" fillId="0" borderId="43" applyAlignment="1" applyProtection="1" pivotButton="0" quotePrefix="0" xfId="100">
      <alignment horizontal="left" vertical="center"/>
      <protection locked="0" hidden="0"/>
    </xf>
    <xf numFmtId="0" fontId="5" fillId="0" borderId="44" applyAlignment="1" applyProtection="1" pivotButton="0" quotePrefix="0" xfId="100">
      <alignment horizontal="left" vertical="center"/>
      <protection locked="0" hidden="0"/>
    </xf>
    <xf numFmtId="0" fontId="5" fillId="0" borderId="30" applyAlignment="1" pivotButton="0" quotePrefix="0" xfId="2">
      <alignment horizontal="left" vertical="center" shrinkToFit="1"/>
    </xf>
    <xf numFmtId="43" fontId="6" fillId="0" borderId="5" applyAlignment="1" pivotButton="0" quotePrefix="0" xfId="333">
      <alignment horizontal="right" vertical="center" shrinkToFit="1"/>
    </xf>
    <xf numFmtId="43" fontId="5" fillId="0" borderId="5" applyAlignment="1" applyProtection="1" pivotButton="0" quotePrefix="0" xfId="302">
      <alignment horizontal="right" vertical="center" shrinkToFit="1"/>
      <protection locked="0" hidden="0"/>
    </xf>
    <xf numFmtId="43" fontId="5" fillId="0" borderId="5" applyAlignment="1" applyProtection="1" pivotButton="0" quotePrefix="0" xfId="302">
      <alignment horizontal="right" vertical="center" shrinkToFit="1"/>
      <protection locked="0" hidden="0"/>
    </xf>
    <xf numFmtId="43" fontId="31" fillId="0" borderId="4" applyAlignment="1" pivotButton="0" quotePrefix="0" xfId="0">
      <alignment horizontal="right" vertical="center" shrinkToFit="1"/>
    </xf>
    <xf numFmtId="43" fontId="5" fillId="0" borderId="4" applyAlignment="1" pivotButton="0" quotePrefix="0" xfId="0">
      <alignment horizontal="right" vertical="center" shrinkToFit="1"/>
    </xf>
    <xf numFmtId="43" fontId="5" fillId="0" borderId="24" applyAlignment="1" pivotButton="0" quotePrefix="0" xfId="0">
      <alignment horizontal="right" vertical="center" shrinkToFit="1"/>
    </xf>
    <xf numFmtId="43" fontId="35" fillId="0" borderId="9" applyAlignment="1" applyProtection="1" pivotButton="0" quotePrefix="0" xfId="171">
      <alignment horizontal="right" vertical="center" shrinkToFit="1"/>
      <protection locked="0" hidden="0"/>
    </xf>
    <xf numFmtId="43" fontId="6" fillId="0" borderId="7" applyAlignment="1" applyProtection="1" pivotButton="0" quotePrefix="0" xfId="171">
      <alignment vertical="center"/>
      <protection locked="0" hidden="0"/>
    </xf>
    <xf numFmtId="43" fontId="6" fillId="0" borderId="17" applyAlignment="1" pivotButton="0" quotePrefix="0" xfId="0">
      <alignment horizontal="right"/>
    </xf>
    <xf numFmtId="43" fontId="6" fillId="0" borderId="5" applyAlignment="1" pivotButton="0" quotePrefix="0" xfId="0">
      <alignment horizontal="right" vertical="center"/>
    </xf>
    <xf numFmtId="43" fontId="6" fillId="0" borderId="30" applyAlignment="1" pivotButton="0" quotePrefix="0" xfId="0">
      <alignment horizontal="right" vertical="center"/>
    </xf>
    <xf numFmtId="0" fontId="6" fillId="0" borderId="58" applyAlignment="1" pivotButton="0" quotePrefix="0" xfId="0">
      <alignment horizontal="left" vertical="center"/>
    </xf>
    <xf numFmtId="0" fontId="6" fillId="0" borderId="51" applyAlignment="1" pivotButton="0" quotePrefix="0" xfId="0">
      <alignment horizontal="left" vertical="center"/>
    </xf>
    <xf numFmtId="43" fontId="6" fillId="0" borderId="30" applyAlignment="1" pivotButton="0" quotePrefix="0" xfId="0">
      <alignment horizontal="left" vertical="center"/>
    </xf>
    <xf numFmtId="14" fontId="64" fillId="0" borderId="5" applyAlignment="1" pivotButton="0" quotePrefix="0" xfId="2">
      <alignment horizontal="left" shrinkToFit="1"/>
    </xf>
    <xf numFmtId="14" fontId="64" fillId="0" borderId="5" applyAlignment="1" pivotButton="0" quotePrefix="0" xfId="0">
      <alignment horizontal="left" vertical="center" shrinkToFit="1"/>
    </xf>
    <xf numFmtId="0" fontId="67" fillId="0" borderId="5" applyAlignment="1" pivotButton="0" quotePrefix="0" xfId="164">
      <alignment horizontal="left" vertical="center"/>
    </xf>
    <xf numFmtId="0" fontId="60" fillId="0" borderId="0" applyAlignment="1" pivotButton="0" quotePrefix="0" xfId="0">
      <alignment vertical="center"/>
    </xf>
    <xf numFmtId="0" fontId="55" fillId="0" borderId="0" applyAlignment="1" pivotButton="0" quotePrefix="0" xfId="336">
      <alignment vertical="center"/>
    </xf>
    <xf numFmtId="0" fontId="61" fillId="0" borderId="13" applyAlignment="1" pivotButton="0" quotePrefix="1" xfId="335">
      <alignment horizontal="center" vertical="center"/>
    </xf>
    <xf numFmtId="0" fontId="110" fillId="0" borderId="0" applyAlignment="1" pivotButton="0" quotePrefix="0" xfId="0">
      <alignment vertical="center" wrapText="1"/>
    </xf>
    <xf numFmtId="0" fontId="31" fillId="5" borderId="13" applyAlignment="1" pivotButton="0" quotePrefix="0" xfId="0">
      <alignment horizontal="center" vertical="center" wrapText="1"/>
    </xf>
    <xf numFmtId="0" fontId="31" fillId="5" borderId="2" applyAlignment="1" pivotButton="0" quotePrefix="0" xfId="171">
      <alignment horizontal="center" vertical="center" wrapText="1"/>
    </xf>
    <xf numFmtId="0" fontId="31" fillId="5" borderId="14" applyAlignment="1" pivotButton="0" quotePrefix="0" xfId="0">
      <alignment horizontal="center" vertical="center" wrapText="1"/>
    </xf>
    <xf numFmtId="0" fontId="35" fillId="5" borderId="5" applyAlignment="1" pivotButton="0" quotePrefix="0" xfId="0">
      <alignment horizontal="center" vertical="center"/>
    </xf>
    <xf numFmtId="0" fontId="120" fillId="0" borderId="0" applyAlignment="1" pivotButton="0" quotePrefix="0" xfId="150">
      <alignment vertical="center"/>
    </xf>
    <xf numFmtId="0" fontId="29" fillId="0" borderId="2" applyAlignment="1" applyProtection="1" pivotButton="0" quotePrefix="0" xfId="301">
      <alignment horizontal="left" vertical="center"/>
      <protection locked="0" hidden="0"/>
    </xf>
    <xf numFmtId="0" fontId="61" fillId="0" borderId="13" applyAlignment="1" pivotButton="0" quotePrefix="1" xfId="335">
      <alignment horizontal="center" vertical="center"/>
    </xf>
    <xf numFmtId="0" fontId="61" fillId="0" borderId="13" applyAlignment="1" pivotButton="0" quotePrefix="0" xfId="335">
      <alignment horizontal="center" vertical="center"/>
    </xf>
    <xf numFmtId="0" fontId="7" fillId="8" borderId="13" applyAlignment="1" pivotButton="0" quotePrefix="0" xfId="150">
      <alignment horizontal="left" vertical="center"/>
    </xf>
    <xf numFmtId="0" fontId="31" fillId="8" borderId="13" applyAlignment="1" pivotButton="0" quotePrefix="0" xfId="150">
      <alignment horizontal="left" vertical="center"/>
    </xf>
    <xf numFmtId="0" fontId="6" fillId="0" borderId="13" applyAlignment="1" pivotButton="0" quotePrefix="0" xfId="150">
      <alignment vertical="center" wrapText="1"/>
    </xf>
    <xf numFmtId="0" fontId="6" fillId="0" borderId="13" applyAlignment="1" pivotButton="0" quotePrefix="0" xfId="150">
      <alignment horizontal="left" vertical="center" wrapText="1"/>
    </xf>
    <xf numFmtId="0" fontId="31" fillId="8" borderId="13" applyAlignment="1" pivotButton="0" quotePrefix="0" xfId="150">
      <alignment horizontal="left" vertical="center" wrapText="1"/>
    </xf>
    <xf numFmtId="0" fontId="5" fillId="0" borderId="13" applyAlignment="1" pivotButton="0" quotePrefix="0" xfId="148">
      <alignment horizontal="left" vertical="center" wrapText="1"/>
    </xf>
    <xf numFmtId="0" fontId="31" fillId="9" borderId="13" applyAlignment="1" pivotButton="0" quotePrefix="0" xfId="150">
      <alignment horizontal="left" vertical="center" wrapText="1"/>
    </xf>
    <xf numFmtId="0" fontId="4" fillId="0" borderId="13" applyAlignment="1" pivotButton="0" quotePrefix="0" xfId="150">
      <alignment horizontal="left" vertical="center" wrapText="1"/>
    </xf>
    <xf numFmtId="0" fontId="4" fillId="0" borderId="13" applyAlignment="1" pivotButton="0" quotePrefix="0" xfId="148">
      <alignment horizontal="left" vertical="center" wrapText="1"/>
    </xf>
    <xf numFmtId="0" fontId="31" fillId="0" borderId="13" applyAlignment="1" pivotButton="0" quotePrefix="0" xfId="148">
      <alignment horizontal="left" vertical="center" wrapText="1"/>
    </xf>
    <xf numFmtId="0" fontId="7" fillId="8" borderId="13" applyAlignment="1" pivotButton="0" quotePrefix="0" xfId="150">
      <alignment horizontal="left" vertical="center" wrapText="1"/>
    </xf>
    <xf numFmtId="0" fontId="29" fillId="5" borderId="13" applyAlignment="1" pivotButton="0" quotePrefix="0" xfId="0">
      <alignment horizontal="center" vertical="center" wrapText="1"/>
    </xf>
    <xf numFmtId="0" fontId="41" fillId="13" borderId="19" applyAlignment="1" pivotButton="0" quotePrefix="0" xfId="171">
      <alignment horizontal="left" vertical="center" wrapText="1" indent="16"/>
    </xf>
    <xf numFmtId="0" fontId="41" fillId="13" borderId="0" applyAlignment="1" pivotButton="0" quotePrefix="0" xfId="171">
      <alignment horizontal="left" vertical="center" wrapText="1" indent="16"/>
    </xf>
    <xf numFmtId="0" fontId="41" fillId="13" borderId="41" applyAlignment="1" pivotButton="0" quotePrefix="0" xfId="171">
      <alignment horizontal="left" vertical="center" wrapText="1" indent="16"/>
    </xf>
    <xf numFmtId="0" fontId="41" fillId="13" borderId="14" applyAlignment="1" pivotButton="0" quotePrefix="0" xfId="171">
      <alignment horizontal="left" vertical="center" wrapText="1" indent="16"/>
    </xf>
    <xf numFmtId="0" fontId="41" fillId="13" borderId="1" applyAlignment="1" pivotButton="0" quotePrefix="0" xfId="171">
      <alignment horizontal="left" vertical="center" wrapText="1" indent="16"/>
    </xf>
    <xf numFmtId="0" fontId="41" fillId="13" borderId="58" applyAlignment="1" pivotButton="0" quotePrefix="0" xfId="171">
      <alignment horizontal="left" vertical="center" wrapText="1" indent="16"/>
    </xf>
    <xf numFmtId="0" fontId="5" fillId="0" borderId="39" applyAlignment="1" applyProtection="1" pivotButton="0" quotePrefix="0" xfId="171">
      <alignment horizontal="left" vertical="center" wrapText="1"/>
      <protection locked="0" hidden="0"/>
    </xf>
    <xf numFmtId="0" fontId="5" fillId="0" borderId="28" applyAlignment="1" applyProtection="1" pivotButton="0" quotePrefix="0" xfId="171">
      <alignment horizontal="left" vertical="center" wrapText="1"/>
      <protection locked="0" hidden="0"/>
    </xf>
    <xf numFmtId="0" fontId="5" fillId="0" borderId="40" applyAlignment="1" applyProtection="1" pivotButton="0" quotePrefix="0" xfId="171">
      <alignment horizontal="left" vertical="center" wrapText="1"/>
      <protection locked="0" hidden="0"/>
    </xf>
    <xf numFmtId="0" fontId="5" fillId="0" borderId="33" applyAlignment="1" applyProtection="1" pivotButton="0" quotePrefix="0" xfId="171">
      <alignment horizontal="left" vertical="center" wrapText="1"/>
      <protection locked="0" hidden="0"/>
    </xf>
    <xf numFmtId="0" fontId="5" fillId="0" borderId="0" applyAlignment="1" applyProtection="1" pivotButton="0" quotePrefix="0" xfId="171">
      <alignment horizontal="left" vertical="center" wrapText="1"/>
      <protection locked="0" hidden="0"/>
    </xf>
    <xf numFmtId="0" fontId="5" fillId="0" borderId="41" applyAlignment="1" applyProtection="1" pivotButton="0" quotePrefix="0" xfId="171">
      <alignment horizontal="left" vertical="center" wrapText="1"/>
      <protection locked="0" hidden="0"/>
    </xf>
    <xf numFmtId="0" fontId="5" fillId="0" borderId="42" applyAlignment="1" applyProtection="1" pivotButton="0" quotePrefix="0" xfId="171">
      <alignment horizontal="left" vertical="center" wrapText="1"/>
      <protection locked="0" hidden="0"/>
    </xf>
    <xf numFmtId="0" fontId="5" fillId="0" borderId="43" applyAlignment="1" applyProtection="1" pivotButton="0" quotePrefix="0" xfId="171">
      <alignment horizontal="left" vertical="center" wrapText="1"/>
      <protection locked="0" hidden="0"/>
    </xf>
    <xf numFmtId="0" fontId="5" fillId="0" borderId="44" applyAlignment="1" applyProtection="1" pivotButton="0" quotePrefix="0" xfId="171">
      <alignment horizontal="left" vertical="center" wrapText="1"/>
      <protection locked="0" hidden="0"/>
    </xf>
    <xf numFmtId="0" fontId="58" fillId="0" borderId="39" applyAlignment="1" pivotButton="0" quotePrefix="0" xfId="0">
      <alignment horizontal="left" vertical="center" wrapText="1"/>
    </xf>
    <xf numFmtId="0" fontId="58" fillId="0" borderId="28" applyAlignment="1" pivotButton="0" quotePrefix="0" xfId="0">
      <alignment horizontal="left" vertical="center" wrapText="1"/>
    </xf>
    <xf numFmtId="0" fontId="58" fillId="0" borderId="40" applyAlignment="1" pivotButton="0" quotePrefix="0" xfId="0">
      <alignment horizontal="left" vertical="center" wrapText="1"/>
    </xf>
    <xf numFmtId="0" fontId="58" fillId="0" borderId="33" applyAlignment="1" pivotButton="0" quotePrefix="0" xfId="0">
      <alignment horizontal="left" vertical="center" wrapText="1"/>
    </xf>
    <xf numFmtId="0" fontId="58" fillId="0" borderId="0" applyAlignment="1" pivotButton="0" quotePrefix="0" xfId="0">
      <alignment horizontal="left" vertical="center" wrapText="1"/>
    </xf>
    <xf numFmtId="0" fontId="58" fillId="0" borderId="41" applyAlignment="1" pivotButton="0" quotePrefix="0" xfId="0">
      <alignment horizontal="left" vertical="center" wrapText="1"/>
    </xf>
    <xf numFmtId="0" fontId="58" fillId="0" borderId="42" applyAlignment="1" pivotButton="0" quotePrefix="0" xfId="0">
      <alignment horizontal="left" vertical="center" wrapText="1"/>
    </xf>
    <xf numFmtId="0" fontId="58" fillId="0" borderId="43" applyAlignment="1" pivotButton="0" quotePrefix="0" xfId="0">
      <alignment horizontal="left" vertical="center" wrapText="1"/>
    </xf>
    <xf numFmtId="0" fontId="58" fillId="0" borderId="44" applyAlignment="1" pivotButton="0" quotePrefix="0" xfId="0">
      <alignment horizontal="left" vertical="center" wrapText="1"/>
    </xf>
    <xf numFmtId="0" fontId="31" fillId="16" borderId="7" applyAlignment="1" pivotButton="0" quotePrefix="0" xfId="0">
      <alignment horizontal="center" vertical="center"/>
    </xf>
    <xf numFmtId="0" fontId="31" fillId="16" borderId="8" applyAlignment="1" pivotButton="0" quotePrefix="0" xfId="0">
      <alignment horizontal="center" vertical="center"/>
    </xf>
    <xf numFmtId="0" fontId="31" fillId="16" borderId="4" applyAlignment="1" pivotButton="0" quotePrefix="0" xfId="0">
      <alignment horizontal="center" vertical="center"/>
    </xf>
    <xf numFmtId="0" fontId="43" fillId="0" borderId="42" applyAlignment="1" pivotButton="0" quotePrefix="0" xfId="0">
      <alignment horizontal="left" vertical="top" wrapText="1"/>
    </xf>
    <xf numFmtId="0" fontId="43" fillId="0" borderId="43" applyAlignment="1" pivotButton="0" quotePrefix="0" xfId="0">
      <alignment horizontal="left" vertical="top" wrapText="1"/>
    </xf>
    <xf numFmtId="0" fontId="43" fillId="0" borderId="44" applyAlignment="1" pivotButton="0" quotePrefix="0" xfId="0">
      <alignment horizontal="left" vertical="top" wrapText="1"/>
    </xf>
    <xf numFmtId="0" fontId="7" fillId="5" borderId="13" applyAlignment="1" pivotButton="0" quotePrefix="0" xfId="0">
      <alignment horizontal="center" vertical="center" wrapText="1"/>
    </xf>
    <xf numFmtId="0" fontId="110" fillId="0" borderId="0" applyAlignment="1" pivotButton="0" quotePrefix="0" xfId="0">
      <alignment vertical="center" wrapText="1"/>
    </xf>
    <xf numFmtId="0" fontId="23" fillId="5" borderId="13" applyAlignment="1" pivotButton="0" quotePrefix="0" xfId="0">
      <alignment horizontal="center" vertical="center" wrapText="1"/>
    </xf>
    <xf numFmtId="0" fontId="31" fillId="5" borderId="13" applyAlignment="1" pivotButton="0" quotePrefix="0" xfId="0">
      <alignment horizontal="center" vertical="center" wrapText="1"/>
    </xf>
    <xf numFmtId="14" fontId="31" fillId="5" borderId="62" applyAlignment="1" pivotButton="0" quotePrefix="0" xfId="0">
      <alignment horizontal="center" vertical="center"/>
    </xf>
    <xf numFmtId="14" fontId="31" fillId="5" borderId="13" applyAlignment="1" pivotButton="0" quotePrefix="0" xfId="0">
      <alignment horizontal="center" vertical="center"/>
    </xf>
    <xf numFmtId="0" fontId="43" fillId="0" borderId="16" applyAlignment="1" pivotButton="0" quotePrefix="0" xfId="2">
      <alignment horizontal="left" vertical="center" wrapText="1" shrinkToFit="1"/>
    </xf>
    <xf numFmtId="0" fontId="5" fillId="0" borderId="17" applyAlignment="1" pivotButton="0" quotePrefix="0" xfId="2">
      <alignment horizontal="left" vertical="center" wrapText="1" shrinkToFit="1"/>
    </xf>
    <xf numFmtId="0" fontId="5" fillId="0" borderId="20" applyAlignment="1" pivotButton="0" quotePrefix="0" xfId="2">
      <alignment horizontal="left" vertical="center" wrapText="1" shrinkToFit="1"/>
    </xf>
    <xf numFmtId="0" fontId="5" fillId="0" borderId="19" applyAlignment="1" pivotButton="0" quotePrefix="0" xfId="2">
      <alignment horizontal="left" vertical="center" wrapText="1" shrinkToFit="1"/>
    </xf>
    <xf numFmtId="0" fontId="5" fillId="0" borderId="0" applyAlignment="1" pivotButton="0" quotePrefix="0" xfId="2">
      <alignment horizontal="left" vertical="center" wrapText="1" shrinkToFit="1"/>
    </xf>
    <xf numFmtId="0" fontId="5" fillId="0" borderId="18" applyAlignment="1" pivotButton="0" quotePrefix="0" xfId="2">
      <alignment horizontal="left" vertical="center" wrapText="1" shrinkToFit="1"/>
    </xf>
    <xf numFmtId="0" fontId="5" fillId="0" borderId="14" applyAlignment="1" pivotButton="0" quotePrefix="0" xfId="2">
      <alignment horizontal="left" vertical="center" wrapText="1" shrinkToFit="1"/>
    </xf>
    <xf numFmtId="0" fontId="5" fillId="0" borderId="1" applyAlignment="1" pivotButton="0" quotePrefix="0" xfId="2">
      <alignment horizontal="left" vertical="center" wrapText="1" shrinkToFit="1"/>
    </xf>
    <xf numFmtId="0" fontId="5" fillId="0" borderId="21" applyAlignment="1" pivotButton="0" quotePrefix="0" xfId="2">
      <alignment horizontal="left" vertical="center" wrapText="1" shrinkToFit="1"/>
    </xf>
    <xf numFmtId="0" fontId="31" fillId="5" borderId="64" applyAlignment="1" pivotButton="0" quotePrefix="0" xfId="0">
      <alignment horizontal="center" vertical="center" wrapText="1"/>
    </xf>
    <xf numFmtId="0" fontId="31" fillId="5" borderId="65" applyAlignment="1" pivotButton="0" quotePrefix="0" xfId="0">
      <alignment horizontal="center" vertical="center" wrapText="1"/>
    </xf>
    <xf numFmtId="0" fontId="31" fillId="5" borderId="15" applyAlignment="1" pivotButton="0" quotePrefix="0" xfId="0">
      <alignment horizontal="center" vertical="center" wrapText="1"/>
    </xf>
    <xf numFmtId="0" fontId="31" fillId="5" borderId="32" applyAlignment="1" pivotButton="0" quotePrefix="0" xfId="0">
      <alignment horizontal="center" vertical="center" wrapText="1"/>
    </xf>
    <xf numFmtId="0" fontId="29" fillId="5" borderId="7" applyAlignment="1" pivotButton="0" quotePrefix="0" xfId="333">
      <alignment horizontal="center" vertical="center"/>
    </xf>
    <xf numFmtId="0" fontId="29" fillId="5" borderId="4" applyAlignment="1" pivotButton="0" quotePrefix="0" xfId="333">
      <alignment horizontal="center" vertical="center"/>
    </xf>
    <xf numFmtId="0" fontId="31" fillId="5" borderId="25" applyAlignment="1" applyProtection="1" pivotButton="0" quotePrefix="0" xfId="171">
      <alignment horizontal="center" vertical="center"/>
      <protection locked="0" hidden="0"/>
    </xf>
    <xf numFmtId="0" fontId="31" fillId="5" borderId="27" applyAlignment="1" applyProtection="1" pivotButton="0" quotePrefix="0" xfId="171">
      <alignment horizontal="center" vertical="center"/>
      <protection locked="0" hidden="0"/>
    </xf>
    <xf numFmtId="0" fontId="31" fillId="5" borderId="46" applyAlignment="1" pivotButton="0" quotePrefix="0" xfId="171">
      <alignment horizontal="center" vertical="center" wrapText="1"/>
    </xf>
    <xf numFmtId="0" fontId="31" fillId="5" borderId="2" applyAlignment="1" pivotButton="0" quotePrefix="0" xfId="171">
      <alignment horizontal="center" vertical="center" wrapText="1"/>
    </xf>
    <xf numFmtId="0" fontId="31" fillId="5" borderId="15" applyAlignment="1" pivotButton="0" quotePrefix="0" xfId="171">
      <alignment horizontal="center" vertical="center" wrapText="1"/>
    </xf>
    <xf numFmtId="0" fontId="31" fillId="5" borderId="32" applyAlignment="1" pivotButton="0" quotePrefix="0" xfId="171">
      <alignment horizontal="center" vertical="center" wrapText="1"/>
    </xf>
    <xf numFmtId="0" fontId="58" fillId="0" borderId="16" applyAlignment="1" pivotButton="0" quotePrefix="0" xfId="2">
      <alignment horizontal="left" vertical="center" wrapText="1" shrinkToFit="1"/>
    </xf>
    <xf numFmtId="0" fontId="58" fillId="0" borderId="17" applyAlignment="1" pivotButton="0" quotePrefix="0" xfId="2">
      <alignment horizontal="left" vertical="center" wrapText="1" shrinkToFit="1"/>
    </xf>
    <xf numFmtId="0" fontId="58" fillId="0" borderId="20" applyAlignment="1" pivotButton="0" quotePrefix="0" xfId="2">
      <alignment horizontal="left" vertical="center" wrapText="1" shrinkToFit="1"/>
    </xf>
    <xf numFmtId="0" fontId="58" fillId="0" borderId="19" applyAlignment="1" pivotButton="0" quotePrefix="0" xfId="2">
      <alignment horizontal="left" vertical="center" wrapText="1" shrinkToFit="1"/>
    </xf>
    <xf numFmtId="0" fontId="58" fillId="0" borderId="0" applyAlignment="1" pivotButton="0" quotePrefix="0" xfId="2">
      <alignment horizontal="left" vertical="center" wrapText="1" shrinkToFit="1"/>
    </xf>
    <xf numFmtId="0" fontId="58" fillId="0" borderId="18" applyAlignment="1" pivotButton="0" quotePrefix="0" xfId="2">
      <alignment horizontal="left" vertical="center" wrapText="1" shrinkToFit="1"/>
    </xf>
    <xf numFmtId="0" fontId="58" fillId="0" borderId="14" applyAlignment="1" pivotButton="0" quotePrefix="0" xfId="2">
      <alignment horizontal="left" vertical="center" wrapText="1" shrinkToFit="1"/>
    </xf>
    <xf numFmtId="0" fontId="58" fillId="0" borderId="1" applyAlignment="1" pivotButton="0" quotePrefix="0" xfId="2">
      <alignment horizontal="left" vertical="center" wrapText="1" shrinkToFit="1"/>
    </xf>
    <xf numFmtId="0" fontId="58" fillId="0" borderId="21" applyAlignment="1" pivotButton="0" quotePrefix="0" xfId="2">
      <alignment horizontal="left" vertical="center" wrapText="1" shrinkToFit="1"/>
    </xf>
    <xf numFmtId="0" fontId="31" fillId="5" borderId="47" applyAlignment="1" pivotButton="0" quotePrefix="0" xfId="171">
      <alignment horizontal="center" vertical="center" wrapText="1"/>
    </xf>
    <xf numFmtId="0" fontId="31" fillId="5" borderId="21" applyAlignment="1" pivotButton="0" quotePrefix="0" xfId="171">
      <alignment horizontal="center" vertical="center" wrapText="1"/>
    </xf>
    <xf numFmtId="0" fontId="31" fillId="5" borderId="49" applyAlignment="1" pivotButton="0" quotePrefix="0" xfId="171">
      <alignment horizontal="center" vertical="center"/>
    </xf>
    <xf numFmtId="0" fontId="31" fillId="5" borderId="14" applyAlignment="1" pivotButton="0" quotePrefix="0" xfId="171">
      <alignment horizontal="center" vertical="center"/>
    </xf>
    <xf numFmtId="0" fontId="31" fillId="5" borderId="49" applyAlignment="1" pivotButton="0" quotePrefix="0" xfId="171">
      <alignment horizontal="center" vertical="center" wrapText="1"/>
    </xf>
    <xf numFmtId="0" fontId="31" fillId="5" borderId="14" applyAlignment="1" pivotButton="0" quotePrefix="0" xfId="171">
      <alignment horizontal="center" vertical="center" wrapText="1"/>
    </xf>
    <xf numFmtId="0" fontId="53" fillId="11" borderId="22" applyAlignment="1" pivotButton="0" quotePrefix="0" xfId="312">
      <alignment horizontal="center" vertical="center"/>
    </xf>
    <xf numFmtId="0" fontId="53" fillId="11" borderId="23" applyAlignment="1" pivotButton="0" quotePrefix="0" xfId="312">
      <alignment horizontal="center" vertical="center"/>
    </xf>
    <xf numFmtId="0" fontId="53" fillId="11" borderId="24" applyAlignment="1" pivotButton="0" quotePrefix="0" xfId="312">
      <alignment horizontal="center" vertical="center"/>
    </xf>
    <xf numFmtId="0" fontId="0" fillId="18" borderId="16" applyAlignment="1" pivotButton="0" quotePrefix="0" xfId="0">
      <alignment horizontal="center" vertical="center"/>
    </xf>
    <xf numFmtId="0" fontId="0" fillId="18" borderId="17" applyAlignment="1" pivotButton="0" quotePrefix="0" xfId="0">
      <alignment horizontal="center" vertical="center"/>
    </xf>
    <xf numFmtId="0" fontId="0" fillId="18" borderId="20" applyAlignment="1" pivotButton="0" quotePrefix="0" xfId="0">
      <alignment horizontal="center" vertical="center"/>
    </xf>
    <xf numFmtId="0" fontId="0" fillId="18" borderId="19" applyAlignment="1" pivotButton="0" quotePrefix="0" xfId="0">
      <alignment horizontal="center" vertical="center"/>
    </xf>
    <xf numFmtId="0" fontId="0" fillId="18" borderId="0" applyAlignment="1" pivotButton="0" quotePrefix="0" xfId="0">
      <alignment horizontal="center" vertical="center"/>
    </xf>
    <xf numFmtId="0" fontId="0" fillId="18" borderId="18" applyAlignment="1" pivotButton="0" quotePrefix="0" xfId="0">
      <alignment horizontal="center" vertical="center"/>
    </xf>
    <xf numFmtId="0" fontId="0" fillId="18" borderId="14" applyAlignment="1" pivotButton="0" quotePrefix="0" xfId="0">
      <alignment horizontal="center" vertical="center"/>
    </xf>
    <xf numFmtId="0" fontId="0" fillId="18" borderId="1" applyAlignment="1" pivotButton="0" quotePrefix="0" xfId="0">
      <alignment horizontal="center" vertical="center"/>
    </xf>
    <xf numFmtId="0" fontId="0" fillId="18" borderId="21" applyAlignment="1" pivotButton="0" quotePrefix="0" xfId="0">
      <alignment horizontal="center" vertical="center"/>
    </xf>
    <xf numFmtId="0" fontId="31" fillId="5" borderId="13" applyAlignment="1" pivotButton="0" quotePrefix="0" xfId="100">
      <alignment horizontal="center" vertical="center"/>
    </xf>
    <xf numFmtId="0" fontId="29" fillId="5" borderId="13" applyAlignment="1" pivotButton="0" quotePrefix="0" xfId="0">
      <alignment horizontal="center" vertical="center"/>
    </xf>
    <xf numFmtId="0" fontId="35" fillId="5" borderId="40" applyAlignment="1" pivotButton="0" quotePrefix="0" xfId="0">
      <alignment horizontal="center" vertical="center" wrapText="1"/>
    </xf>
    <xf numFmtId="0" fontId="35" fillId="5" borderId="44" applyAlignment="1" pivotButton="0" quotePrefix="0" xfId="0">
      <alignment horizontal="center" vertical="center" wrapText="1"/>
    </xf>
    <xf numFmtId="0" fontId="35" fillId="5" borderId="15" applyAlignment="1" pivotButton="0" quotePrefix="0" xfId="0">
      <alignment horizontal="center" vertical="center" wrapText="1"/>
    </xf>
    <xf numFmtId="0" fontId="35" fillId="5" borderId="32" applyAlignment="1" pivotButton="0" quotePrefix="0" xfId="0">
      <alignment horizontal="center" vertical="center" wrapText="1"/>
    </xf>
    <xf numFmtId="0" fontId="114" fillId="0" borderId="16" applyAlignment="1" pivotButton="0" quotePrefix="0" xfId="0">
      <alignment horizontal="left" vertical="center" wrapText="1"/>
    </xf>
    <xf numFmtId="0" fontId="114" fillId="0" borderId="17" applyAlignment="1" pivotButton="0" quotePrefix="0" xfId="0">
      <alignment horizontal="left" vertical="center" wrapText="1"/>
    </xf>
    <xf numFmtId="0" fontId="114" fillId="0" borderId="20" applyAlignment="1" pivotButton="0" quotePrefix="0" xfId="0">
      <alignment horizontal="left" vertical="center" wrapText="1"/>
    </xf>
    <xf numFmtId="0" fontId="114" fillId="0" borderId="19" applyAlignment="1" pivotButton="0" quotePrefix="0" xfId="0">
      <alignment horizontal="left" vertical="center" wrapText="1"/>
    </xf>
    <xf numFmtId="0" fontId="114" fillId="0" borderId="0" applyAlignment="1" pivotButton="0" quotePrefix="0" xfId="0">
      <alignment horizontal="left" vertical="center" wrapText="1"/>
    </xf>
    <xf numFmtId="0" fontId="114" fillId="0" borderId="18" applyAlignment="1" pivotButton="0" quotePrefix="0" xfId="0">
      <alignment horizontal="left" vertical="center" wrapText="1"/>
    </xf>
    <xf numFmtId="0" fontId="114" fillId="0" borderId="14" applyAlignment="1" pivotButton="0" quotePrefix="0" xfId="0">
      <alignment horizontal="left" vertical="center" wrapText="1"/>
    </xf>
    <xf numFmtId="0" fontId="114" fillId="0" borderId="1" applyAlignment="1" pivotButton="0" quotePrefix="0" xfId="0">
      <alignment horizontal="left" vertical="center" wrapText="1"/>
    </xf>
    <xf numFmtId="0" fontId="114" fillId="0" borderId="21" applyAlignment="1" pivotButton="0" quotePrefix="0" xfId="0">
      <alignment horizontal="left" vertical="center" wrapText="1"/>
    </xf>
    <xf numFmtId="0" fontId="35" fillId="5" borderId="5" applyAlignment="1" pivotButton="0" quotePrefix="0" xfId="0">
      <alignment horizontal="center" vertical="center"/>
    </xf>
    <xf numFmtId="0" fontId="35" fillId="5" borderId="16" applyAlignment="1" pivotButton="0" quotePrefix="0" xfId="0">
      <alignment horizontal="center" vertical="center"/>
    </xf>
    <xf numFmtId="0" fontId="35" fillId="5" borderId="17" applyAlignment="1" pivotButton="0" quotePrefix="0" xfId="0">
      <alignment horizontal="center" vertical="center"/>
    </xf>
    <xf numFmtId="0" fontId="7" fillId="16" borderId="7" applyAlignment="1" pivotButton="0" quotePrefix="0" xfId="0">
      <alignment horizontal="center" vertical="center" wrapText="1"/>
    </xf>
    <xf numFmtId="0" fontId="7" fillId="16" borderId="8" applyAlignment="1" pivotButton="0" quotePrefix="0" xfId="0">
      <alignment horizontal="center" vertical="center" wrapText="1"/>
    </xf>
    <xf numFmtId="0" fontId="7" fillId="16" borderId="51" applyAlignment="1" pivotButton="0" quotePrefix="0" xfId="0">
      <alignment horizontal="center" vertical="center" wrapText="1"/>
    </xf>
    <xf numFmtId="0" fontId="35" fillId="5" borderId="6" applyAlignment="1" pivotButton="0" quotePrefix="0" xfId="0">
      <alignment horizontal="center" vertical="center"/>
    </xf>
    <xf numFmtId="0" fontId="35" fillId="5" borderId="2" applyAlignment="1" pivotButton="0" quotePrefix="0" xfId="0">
      <alignment horizontal="center" vertical="center"/>
    </xf>
    <xf numFmtId="0" fontId="31" fillId="5" borderId="63" applyAlignment="1" applyProtection="1" pivotButton="0" quotePrefix="0" xfId="0">
      <alignment horizontal="left" vertical="center"/>
      <protection locked="0" hidden="0"/>
    </xf>
    <xf numFmtId="0" fontId="31" fillId="5" borderId="29" applyAlignment="1" applyProtection="1" pivotButton="0" quotePrefix="0" xfId="0">
      <alignment horizontal="left" vertical="center"/>
      <protection locked="0" hidden="0"/>
    </xf>
    <xf numFmtId="0" fontId="31" fillId="5" borderId="62" applyAlignment="1" applyProtection="1" pivotButton="0" quotePrefix="0" xfId="0">
      <alignment horizontal="left" vertical="center"/>
      <protection locked="0" hidden="0"/>
    </xf>
    <xf numFmtId="0" fontId="29" fillId="5" borderId="13" applyAlignment="1" pivotButton="0" quotePrefix="0" xfId="100">
      <alignment horizontal="center" vertical="center"/>
    </xf>
    <xf numFmtId="0" fontId="31" fillId="5" borderId="21" applyAlignment="1" pivotButton="0" quotePrefix="0" xfId="0">
      <alignment horizontal="center" vertical="center" wrapText="1"/>
    </xf>
    <xf numFmtId="0" fontId="31" fillId="5" borderId="5" applyAlignment="1" pivotButton="0" quotePrefix="0" xfId="0">
      <alignment horizontal="center" vertical="center" wrapText="1"/>
    </xf>
    <xf numFmtId="0" fontId="31" fillId="5" borderId="2" applyAlignment="1" pivotButton="0" quotePrefix="0" xfId="100">
      <alignment horizontal="center" vertical="center"/>
    </xf>
    <xf numFmtId="0" fontId="31" fillId="5" borderId="5" applyAlignment="1" pivotButton="0" quotePrefix="0" xfId="100">
      <alignment horizontal="center" vertical="center"/>
    </xf>
    <xf numFmtId="0" fontId="31" fillId="5" borderId="14" applyAlignment="1" pivotButton="0" quotePrefix="0" xfId="0">
      <alignment horizontal="center" vertical="center" wrapText="1"/>
    </xf>
    <xf numFmtId="0" fontId="31" fillId="5" borderId="7" applyAlignment="1" pivotButton="0" quotePrefix="0" xfId="0">
      <alignment horizontal="center" vertical="center" wrapText="1"/>
    </xf>
    <xf numFmtId="0" fontId="5" fillId="0" borderId="33" applyAlignment="1" applyProtection="1" pivotButton="0" quotePrefix="0" xfId="0">
      <alignment horizontal="left" vertical="center" wrapText="1"/>
      <protection locked="0" hidden="0"/>
    </xf>
    <xf numFmtId="0" fontId="5" fillId="0" borderId="0" applyAlignment="1" applyProtection="1" pivotButton="0" quotePrefix="0" xfId="0">
      <alignment horizontal="left" vertical="center" wrapText="1"/>
      <protection locked="0" hidden="0"/>
    </xf>
    <xf numFmtId="0" fontId="5" fillId="0" borderId="41" applyAlignment="1" applyProtection="1" pivotButton="0" quotePrefix="0" xfId="0">
      <alignment horizontal="left" vertical="center" wrapText="1"/>
      <protection locked="0" hidden="0"/>
    </xf>
    <xf numFmtId="0" fontId="6" fillId="0" borderId="42" applyAlignment="1" applyProtection="1" pivotButton="0" quotePrefix="0" xfId="0">
      <alignment horizontal="left" vertical="center" wrapText="1"/>
      <protection locked="0" hidden="0"/>
    </xf>
    <xf numFmtId="0" fontId="5" fillId="0" borderId="43" applyAlignment="1" applyProtection="1" pivotButton="0" quotePrefix="0" xfId="0">
      <alignment horizontal="left" vertical="center" wrapText="1"/>
      <protection locked="0" hidden="0"/>
    </xf>
    <xf numFmtId="0" fontId="5" fillId="0" borderId="44" applyAlignment="1" applyProtection="1" pivotButton="0" quotePrefix="0" xfId="0">
      <alignment horizontal="left" vertical="center" wrapText="1"/>
      <protection locked="0" hidden="0"/>
    </xf>
    <xf numFmtId="0" fontId="6" fillId="0" borderId="33" applyAlignment="1" applyProtection="1" pivotButton="0" quotePrefix="0" xfId="0">
      <alignment horizontal="left" vertical="center"/>
      <protection locked="0" hidden="0"/>
    </xf>
    <xf numFmtId="0" fontId="6" fillId="0" borderId="0" applyAlignment="1" applyProtection="1" pivotButton="0" quotePrefix="0" xfId="0">
      <alignment horizontal="left" vertical="center"/>
      <protection locked="0" hidden="0"/>
    </xf>
    <xf numFmtId="0" fontId="6" fillId="0" borderId="41" applyAlignment="1" applyProtection="1" pivotButton="0" quotePrefix="0" xfId="0">
      <alignment horizontal="left" vertical="center"/>
      <protection locked="0" hidden="0"/>
    </xf>
    <xf numFmtId="0" fontId="31" fillId="5" borderId="45" applyAlignment="1" pivotButton="0" quotePrefix="0" xfId="100">
      <alignment horizontal="center" vertical="center"/>
    </xf>
    <xf numFmtId="0" fontId="31" fillId="5" borderId="48" applyAlignment="1" pivotButton="0" quotePrefix="0" xfId="100">
      <alignment horizontal="center" vertical="center"/>
    </xf>
    <xf numFmtId="0" fontId="31" fillId="5" borderId="46" applyAlignment="1" pivotButton="0" quotePrefix="0" xfId="100">
      <alignment horizontal="center" vertical="center"/>
    </xf>
    <xf numFmtId="0" fontId="6" fillId="0" borderId="0" applyAlignment="1" pivotButton="0" quotePrefix="0" xfId="0">
      <alignment horizontal="left" vertical="center" wrapText="1"/>
    </xf>
    <xf numFmtId="0" fontId="84" fillId="0" borderId="16" applyAlignment="1" pivotButton="0" quotePrefix="0" xfId="0">
      <alignment horizontal="left" vertical="center" wrapText="1" shrinkToFit="1"/>
    </xf>
    <xf numFmtId="0" fontId="84" fillId="0" borderId="17" applyAlignment="1" pivotButton="0" quotePrefix="0" xfId="0">
      <alignment horizontal="left" vertical="center" wrapText="1" shrinkToFit="1"/>
    </xf>
    <xf numFmtId="0" fontId="84" fillId="0" borderId="20" applyAlignment="1" pivotButton="0" quotePrefix="0" xfId="0">
      <alignment horizontal="left" vertical="center" wrapText="1" shrinkToFit="1"/>
    </xf>
    <xf numFmtId="0" fontId="84" fillId="0" borderId="19" applyAlignment="1" pivotButton="0" quotePrefix="0" xfId="0">
      <alignment horizontal="left" vertical="center" wrapText="1" shrinkToFit="1"/>
    </xf>
    <xf numFmtId="0" fontId="84" fillId="0" borderId="0" applyAlignment="1" pivotButton="0" quotePrefix="0" xfId="0">
      <alignment horizontal="left" vertical="center" wrapText="1" shrinkToFit="1"/>
    </xf>
    <xf numFmtId="0" fontId="84" fillId="0" borderId="18" applyAlignment="1" pivotButton="0" quotePrefix="0" xfId="0">
      <alignment horizontal="left" vertical="center" wrapText="1" shrinkToFit="1"/>
    </xf>
    <xf numFmtId="0" fontId="84" fillId="0" borderId="14" applyAlignment="1" pivotButton="0" quotePrefix="0" xfId="0">
      <alignment horizontal="left" vertical="center" wrapText="1" shrinkToFit="1"/>
    </xf>
    <xf numFmtId="0" fontId="84" fillId="0" borderId="1" applyAlignment="1" pivotButton="0" quotePrefix="0" xfId="0">
      <alignment horizontal="left" vertical="center" wrapText="1" shrinkToFit="1"/>
    </xf>
    <xf numFmtId="0" fontId="84" fillId="0" borderId="21" applyAlignment="1" pivotButton="0" quotePrefix="0" xfId="0">
      <alignment horizontal="left" vertical="center" wrapText="1" shrinkToFit="1"/>
    </xf>
    <xf numFmtId="0" fontId="118" fillId="0" borderId="16" applyAlignment="1" pivotButton="0" quotePrefix="0" xfId="0">
      <alignment horizontal="left" vertical="center" wrapText="1" shrinkToFit="1"/>
    </xf>
    <xf numFmtId="0" fontId="118" fillId="0" borderId="17" applyAlignment="1" pivotButton="0" quotePrefix="0" xfId="0">
      <alignment horizontal="left" vertical="center" wrapText="1" shrinkToFit="1"/>
    </xf>
    <xf numFmtId="0" fontId="118" fillId="0" borderId="20" applyAlignment="1" pivotButton="0" quotePrefix="0" xfId="0">
      <alignment horizontal="left" vertical="center" wrapText="1" shrinkToFit="1"/>
    </xf>
    <xf numFmtId="0" fontId="118" fillId="0" borderId="19" applyAlignment="1" pivotButton="0" quotePrefix="0" xfId="0">
      <alignment horizontal="left" vertical="center" wrapText="1" shrinkToFit="1"/>
    </xf>
    <xf numFmtId="0" fontId="118" fillId="0" borderId="0" applyAlignment="1" pivotButton="0" quotePrefix="0" xfId="0">
      <alignment horizontal="left" vertical="center" wrapText="1" shrinkToFit="1"/>
    </xf>
    <xf numFmtId="0" fontId="118" fillId="0" borderId="18" applyAlignment="1" pivotButton="0" quotePrefix="0" xfId="0">
      <alignment horizontal="left" vertical="center" wrapText="1" shrinkToFit="1"/>
    </xf>
    <xf numFmtId="0" fontId="118" fillId="0" borderId="14" applyAlignment="1" pivotButton="0" quotePrefix="0" xfId="0">
      <alignment horizontal="left" vertical="center" wrapText="1" shrinkToFit="1"/>
    </xf>
    <xf numFmtId="0" fontId="118" fillId="0" borderId="1" applyAlignment="1" pivotButton="0" quotePrefix="0" xfId="0">
      <alignment horizontal="left" vertical="center" wrapText="1" shrinkToFit="1"/>
    </xf>
    <xf numFmtId="0" fontId="118" fillId="0" borderId="21" applyAlignment="1" pivotButton="0" quotePrefix="0" xfId="0">
      <alignment horizontal="left" vertical="center" wrapText="1" shrinkToFit="1"/>
    </xf>
    <xf numFmtId="0" fontId="73" fillId="5" borderId="60" applyAlignment="1" pivotButton="0" quotePrefix="0" xfId="0">
      <alignment horizontal="center" vertical="center" wrapText="1"/>
    </xf>
    <xf numFmtId="0" fontId="73" fillId="5" borderId="26" applyAlignment="1" pivotButton="0" quotePrefix="0" xfId="0">
      <alignment horizontal="center" vertical="center" wrapText="1"/>
    </xf>
    <xf numFmtId="0" fontId="73" fillId="5" borderId="27" applyAlignment="1" pivotButton="0" quotePrefix="0" xfId="0">
      <alignment horizontal="center" vertical="center" wrapText="1"/>
    </xf>
    <xf numFmtId="0" fontId="73" fillId="5" borderId="25" applyAlignment="1" pivotButton="0" quotePrefix="0" xfId="0">
      <alignment horizontal="center" vertical="center" wrapText="1"/>
    </xf>
    <xf numFmtId="0" fontId="69" fillId="5" borderId="27" applyAlignment="1" pivotButton="0" quotePrefix="0" xfId="0">
      <alignment horizontal="center" vertical="center" wrapText="1"/>
    </xf>
    <xf numFmtId="0" fontId="74" fillId="5" borderId="7" applyAlignment="1" pivotButton="0" quotePrefix="0" xfId="0">
      <alignment horizontal="center" vertical="center"/>
    </xf>
    <xf numFmtId="0" fontId="74" fillId="5" borderId="8" applyAlignment="1" pivotButton="0" quotePrefix="0" xfId="0">
      <alignment horizontal="center" vertical="center"/>
    </xf>
    <xf numFmtId="0" fontId="74" fillId="5" borderId="4" applyAlignment="1" pivotButton="0" quotePrefix="0" xfId="0">
      <alignment horizontal="center" vertical="center"/>
    </xf>
    <xf numFmtId="14" fontId="88" fillId="5" borderId="7" applyAlignment="1" applyProtection="1" pivotButton="0" quotePrefix="0" xfId="0">
      <alignment horizontal="center" vertical="center"/>
      <protection locked="0" hidden="0"/>
    </xf>
    <xf numFmtId="14" fontId="88" fillId="5" borderId="8" applyAlignment="1" applyProtection="1" pivotButton="0" quotePrefix="0" xfId="0">
      <alignment horizontal="center" vertical="center"/>
      <protection locked="0" hidden="0"/>
    </xf>
    <xf numFmtId="14" fontId="88" fillId="5" borderId="51" applyAlignment="1" applyProtection="1" pivotButton="0" quotePrefix="0" xfId="0">
      <alignment horizontal="center" vertical="center"/>
      <protection locked="0" hidden="0"/>
    </xf>
    <xf numFmtId="0" fontId="69" fillId="5" borderId="15" applyAlignment="1" pivotButton="0" quotePrefix="0" xfId="0">
      <alignment horizontal="center" vertical="center" wrapText="1"/>
    </xf>
    <xf numFmtId="0" fontId="69" fillId="5" borderId="59" applyAlignment="1" pivotButton="0" quotePrefix="0" xfId="0">
      <alignment horizontal="center" vertical="center" wrapText="1"/>
    </xf>
    <xf numFmtId="0" fontId="63" fillId="0" borderId="7" applyAlignment="1" applyProtection="1" pivotButton="0" quotePrefix="0" xfId="0">
      <alignment horizontal="left" vertical="center" wrapText="1"/>
      <protection locked="0" hidden="0"/>
    </xf>
    <xf numFmtId="0" fontId="63" fillId="0" borderId="8" applyAlignment="1" applyProtection="1" pivotButton="0" quotePrefix="0" xfId="0">
      <alignment horizontal="left" vertical="center" wrapText="1"/>
      <protection locked="0" hidden="0"/>
    </xf>
    <xf numFmtId="0" fontId="63" fillId="0" borderId="4" applyAlignment="1" applyProtection="1" pivotButton="0" quotePrefix="0" xfId="0">
      <alignment horizontal="left" vertical="center" wrapText="1"/>
      <protection locked="0" hidden="0"/>
    </xf>
    <xf numFmtId="0" fontId="67" fillId="0" borderId="7" applyAlignment="1" pivotButton="0" quotePrefix="0" xfId="164">
      <alignment horizontal="left" vertical="center"/>
    </xf>
    <xf numFmtId="0" fontId="67" fillId="0" borderId="8" applyAlignment="1" pivotButton="0" quotePrefix="0" xfId="164">
      <alignment horizontal="left" vertical="center"/>
    </xf>
    <xf numFmtId="0" fontId="67" fillId="0" borderId="4" applyAlignment="1" pivotButton="0" quotePrefix="0" xfId="164">
      <alignment horizontal="left" vertical="center"/>
    </xf>
    <xf numFmtId="0" fontId="0" fillId="0" borderId="0" pivotButton="0" quotePrefix="0" xfId="0"/>
    <xf numFmtId="0" fontId="0" fillId="0" borderId="29" pivotButton="0" quotePrefix="0" xfId="0"/>
    <xf numFmtId="0" fontId="0" fillId="0" borderId="62" pivotButton="0" quotePrefix="0" xfId="0"/>
    <xf numFmtId="0" fontId="0" fillId="0" borderId="32" pivotButton="0" quotePrefix="0" xfId="0"/>
    <xf numFmtId="0" fontId="41" fillId="13" borderId="65" applyAlignment="1" pivotButton="0" quotePrefix="0" xfId="171">
      <alignment horizontal="left" vertical="center" wrapText="1" indent="16"/>
    </xf>
    <xf numFmtId="0" fontId="0" fillId="0" borderId="41" pivotButton="0" quotePrefix="0" xfId="0"/>
    <xf numFmtId="171" fontId="97" fillId="13" borderId="12" applyAlignment="1" applyProtection="1" pivotButton="0" quotePrefix="0" xfId="161">
      <alignment horizontal="right" vertical="center"/>
      <protection locked="0" hidden="0"/>
    </xf>
    <xf numFmtId="0" fontId="0" fillId="0" borderId="19" pivotButton="0" quotePrefix="0" xfId="0"/>
    <xf numFmtId="171" fontId="97" fillId="13" borderId="12" applyAlignment="1" pivotButton="0" quotePrefix="0" xfId="173">
      <alignment horizontal="right" vertical="center" shrinkToFit="1"/>
    </xf>
    <xf numFmtId="166" fontId="97" fillId="13" borderId="12" applyAlignment="1" pivotButton="0" quotePrefix="0" xfId="173">
      <alignment horizontal="right" vertical="center" shrinkToFit="1"/>
    </xf>
    <xf numFmtId="0" fontId="0" fillId="0" borderId="14" pivotButton="0" quotePrefix="0" xfId="0"/>
    <xf numFmtId="0" fontId="0" fillId="0" borderId="1" pivotButton="0" quotePrefix="0" xfId="0"/>
    <xf numFmtId="0" fontId="0" fillId="0" borderId="58" pivotButton="0" quotePrefix="0" xfId="0"/>
    <xf numFmtId="0" fontId="31" fillId="16" borderId="5" applyAlignment="1" pivotButton="0" quotePrefix="0" xfId="0">
      <alignment horizontal="center" vertical="center"/>
    </xf>
    <xf numFmtId="0" fontId="0" fillId="0" borderId="8" pivotButton="0" quotePrefix="0" xfId="0"/>
    <xf numFmtId="0" fontId="0" fillId="0" borderId="4" pivotButton="0" quotePrefix="0" xfId="0"/>
    <xf numFmtId="165" fontId="4" fillId="2" borderId="7" applyAlignment="1" applyProtection="1" pivotButton="0" quotePrefix="0" xfId="173">
      <alignment horizontal="right" vertical="center"/>
      <protection locked="0" hidden="0"/>
    </xf>
    <xf numFmtId="165" fontId="6" fillId="2" borderId="15" applyAlignment="1" applyProtection="1" pivotButton="0" quotePrefix="0" xfId="173">
      <alignment vertical="center"/>
      <protection locked="0" hidden="0"/>
    </xf>
    <xf numFmtId="165" fontId="6" fillId="2" borderId="31" applyAlignment="1" applyProtection="1" pivotButton="0" quotePrefix="0" xfId="173">
      <alignment vertical="center"/>
      <protection locked="0" hidden="0"/>
    </xf>
    <xf numFmtId="165" fontId="6" fillId="2" borderId="32" applyAlignment="1" applyProtection="1" pivotButton="0" quotePrefix="0" xfId="173">
      <alignment vertical="center"/>
      <protection locked="0" hidden="0"/>
    </xf>
    <xf numFmtId="0" fontId="5" fillId="0" borderId="13" applyAlignment="1" applyProtection="1" pivotButton="0" quotePrefix="0" xfId="171">
      <alignment horizontal="left" vertical="center" wrapText="1"/>
      <protection locked="0" hidden="0"/>
    </xf>
    <xf numFmtId="0" fontId="0" fillId="0" borderId="28" applyProtection="1" pivotButton="0" quotePrefix="0" xfId="0">
      <protection locked="0" hidden="0"/>
    </xf>
    <xf numFmtId="0" fontId="0" fillId="0" borderId="40" applyProtection="1" pivotButton="0" quotePrefix="0" xfId="0">
      <protection locked="0" hidden="0"/>
    </xf>
    <xf numFmtId="0" fontId="0" fillId="0" borderId="33" applyProtection="1" pivotButton="0" quotePrefix="0" xfId="0">
      <protection locked="0" hidden="0"/>
    </xf>
    <xf numFmtId="0" fontId="0" fillId="0" borderId="0"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43" applyProtection="1" pivotButton="0" quotePrefix="0" xfId="0">
      <protection locked="0" hidden="0"/>
    </xf>
    <xf numFmtId="0" fontId="0" fillId="0" borderId="44" applyProtection="1" pivotButton="0" quotePrefix="0" xfId="0">
      <protection locked="0" hidden="0"/>
    </xf>
    <xf numFmtId="165" fontId="5" fillId="0" borderId="0" applyAlignment="1" applyProtection="1" pivotButton="0" quotePrefix="0" xfId="173">
      <alignment vertical="center" wrapText="1"/>
      <protection locked="0" hidden="0"/>
    </xf>
    <xf numFmtId="165" fontId="5" fillId="2" borderId="5" applyAlignment="1" applyProtection="1" pivotButton="0" quotePrefix="0" xfId="173">
      <alignment horizontal="right" vertical="center" wrapText="1"/>
      <protection locked="0" hidden="0"/>
    </xf>
    <xf numFmtId="0" fontId="31" fillId="5" borderId="36" applyAlignment="1" pivotButton="0" quotePrefix="0" xfId="0">
      <alignment horizontal="center" vertical="center" wrapText="1"/>
    </xf>
    <xf numFmtId="171" fontId="31" fillId="5" borderId="63" applyAlignment="1" applyProtection="1" pivotButton="0" quotePrefix="0" xfId="0">
      <alignment horizontal="center" vertical="center"/>
      <protection locked="0" hidden="0"/>
    </xf>
    <xf numFmtId="0" fontId="0" fillId="0" borderId="65" pivotButton="0" quotePrefix="0" xfId="0"/>
    <xf numFmtId="43" fontId="5" fillId="0" borderId="0" applyAlignment="1" pivotButton="0" quotePrefix="0" xfId="173">
      <alignment horizontal="right" vertical="center" shrinkToFit="1"/>
    </xf>
    <xf numFmtId="43" fontId="5" fillId="0" borderId="0" applyAlignment="1" pivotButton="0" quotePrefix="0" xfId="0">
      <alignment horizontal="right" vertical="center"/>
    </xf>
    <xf numFmtId="43" fontId="5" fillId="0" borderId="0" applyAlignment="1" applyProtection="1" pivotButton="0" quotePrefix="0" xfId="302">
      <alignment vertical="center"/>
      <protection locked="0" hidden="0"/>
    </xf>
    <xf numFmtId="43" fontId="6" fillId="0" borderId="0" applyAlignment="1" applyProtection="1" pivotButton="0" quotePrefix="0" xfId="302">
      <alignment vertical="center"/>
      <protection locked="0" hidden="0"/>
    </xf>
    <xf numFmtId="171" fontId="4" fillId="0" borderId="0" applyAlignment="1" pivotButton="0" quotePrefix="0" xfId="0">
      <alignment horizontal="center" vertical="center"/>
    </xf>
    <xf numFmtId="165" fontId="6" fillId="0" borderId="0" applyAlignment="1" applyProtection="1" pivotButton="0" quotePrefix="0" xfId="302">
      <alignment horizontal="right" vertical="center"/>
      <protection locked="0" hidden="0"/>
    </xf>
    <xf numFmtId="165" fontId="6" fillId="0" borderId="0" applyAlignment="1" applyProtection="1" pivotButton="0" quotePrefix="0" xfId="302">
      <alignment vertical="center"/>
      <protection locked="0" hidden="0"/>
    </xf>
    <xf numFmtId="0" fontId="111" fillId="0" borderId="0" applyAlignment="1" applyProtection="1" pivotButton="0" quotePrefix="0" xfId="171">
      <alignment horizontal="left" vertical="center"/>
      <protection locked="0" hidden="0"/>
    </xf>
    <xf numFmtId="0" fontId="111" fillId="0" borderId="0" applyAlignment="1" applyProtection="1" pivotButton="0" quotePrefix="0" xfId="301">
      <alignment horizontal="left" vertical="center"/>
      <protection locked="0" hidden="0"/>
    </xf>
    <xf numFmtId="0" fontId="113" fillId="0" borderId="0" applyAlignment="1" applyProtection="1" pivotButton="0" quotePrefix="0" xfId="301">
      <alignment horizontal="right" vertical="center"/>
      <protection locked="0" hidden="0"/>
    </xf>
    <xf numFmtId="165" fontId="111" fillId="0" borderId="0" applyAlignment="1" applyProtection="1" pivotButton="0" quotePrefix="0" xfId="302">
      <alignment horizontal="right" vertical="center"/>
      <protection locked="0" hidden="0"/>
    </xf>
    <xf numFmtId="165" fontId="111" fillId="0" borderId="0" applyAlignment="1" applyProtection="1" pivotButton="0" quotePrefix="0" xfId="302">
      <alignment vertical="center"/>
      <protection locked="0" hidden="0"/>
    </xf>
    <xf numFmtId="10" fontId="111" fillId="0" borderId="0" applyAlignment="1" applyProtection="1" pivotButton="0" quotePrefix="0" xfId="5">
      <alignment horizontal="center"/>
      <protection locked="0" hidden="0"/>
    </xf>
    <xf numFmtId="9" fontId="111" fillId="0" borderId="0" applyAlignment="1" applyProtection="1" pivotButton="0" quotePrefix="0" xfId="301">
      <alignment horizontal="center" vertical="center"/>
      <protection locked="0" hidden="0"/>
    </xf>
    <xf numFmtId="43" fontId="35" fillId="0" borderId="9" applyAlignment="1" applyProtection="1" pivotButton="0" quotePrefix="0" xfId="302">
      <alignment horizontal="right" vertical="center"/>
      <protection locked="0" hidden="0"/>
    </xf>
    <xf numFmtId="43" fontId="34" fillId="0" borderId="0" applyAlignment="1" pivotButton="0" quotePrefix="0" xfId="100">
      <alignment horizontal="center" vertical="center" shrinkToFit="1"/>
    </xf>
    <xf numFmtId="43" fontId="5" fillId="0" borderId="0" applyAlignment="1" pivotButton="0" quotePrefix="0" xfId="56">
      <alignment horizontal="right" vertical="center" shrinkToFit="1"/>
    </xf>
    <xf numFmtId="43" fontId="6" fillId="0" borderId="0" applyAlignment="1" pivotButton="0" quotePrefix="0" xfId="33">
      <alignment horizontal="right" vertical="center" shrinkToFit="1"/>
    </xf>
    <xf numFmtId="167" fontId="31" fillId="0" borderId="0" applyAlignment="1" pivotButton="0" quotePrefix="0" xfId="81">
      <alignment vertical="center" wrapText="1"/>
    </xf>
    <xf numFmtId="0" fontId="43" fillId="0" borderId="5" applyAlignment="1" pivotButton="0" quotePrefix="0" xfId="2">
      <alignment horizontal="left" vertical="center" wrapText="1" shrinkToFit="1"/>
    </xf>
    <xf numFmtId="0" fontId="0" fillId="0" borderId="17" pivotButton="0" quotePrefix="0" xfId="0"/>
    <xf numFmtId="0" fontId="0" fillId="0" borderId="20" pivotButton="0" quotePrefix="0" xfId="0"/>
    <xf numFmtId="0" fontId="0" fillId="0" borderId="18" pivotButton="0" quotePrefix="0" xfId="0"/>
    <xf numFmtId="0" fontId="0" fillId="0" borderId="21" pivotButton="0" quotePrefix="0" xfId="0"/>
    <xf numFmtId="0" fontId="58" fillId="0" borderId="13" applyAlignment="1" pivotButton="0" quotePrefix="0" xfId="0">
      <alignment horizontal="left" vertical="center" wrapText="1"/>
    </xf>
    <xf numFmtId="0" fontId="0" fillId="0" borderId="28" pivotButton="0" quotePrefix="0" xfId="0"/>
    <xf numFmtId="0" fontId="0" fillId="0" borderId="40" pivotButton="0" quotePrefix="0" xfId="0"/>
    <xf numFmtId="0" fontId="0" fillId="0" borderId="33" pivotButton="0" quotePrefix="0" xfId="0"/>
    <xf numFmtId="0" fontId="0" fillId="0" borderId="42" pivotButton="0" quotePrefix="0" xfId="0"/>
    <xf numFmtId="0" fontId="0" fillId="0" borderId="43" pivotButton="0" quotePrefix="0" xfId="0"/>
    <xf numFmtId="0" fontId="0" fillId="0" borderId="44" pivotButton="0" quotePrefix="0" xfId="0"/>
    <xf numFmtId="41" fontId="30" fillId="2" borderId="0" applyAlignment="1" pivotButton="0" quotePrefix="0" xfId="0">
      <alignment vertical="center"/>
    </xf>
    <xf numFmtId="43" fontId="95" fillId="0" borderId="0" applyAlignment="1" pivotButton="0" quotePrefix="0" xfId="80">
      <alignment horizontal="left" shrinkToFit="1"/>
    </xf>
    <xf numFmtId="43" fontId="100" fillId="0" borderId="0" applyAlignment="1" pivotButton="0" quotePrefix="0" xfId="105">
      <alignment horizontal="center" shrinkToFit="1"/>
    </xf>
    <xf numFmtId="43" fontId="31" fillId="0" borderId="33" applyAlignment="1" pivotButton="0" quotePrefix="0" xfId="105">
      <alignment vertical="top" shrinkToFit="1"/>
    </xf>
    <xf numFmtId="43" fontId="31" fillId="0" borderId="0" applyAlignment="1" pivotButton="0" quotePrefix="0" xfId="105">
      <alignment vertical="top" shrinkToFit="1"/>
    </xf>
    <xf numFmtId="43" fontId="5" fillId="0" borderId="0" applyAlignment="1" pivotButton="0" quotePrefix="0" xfId="2">
      <alignment vertical="center"/>
    </xf>
    <xf numFmtId="43" fontId="29" fillId="0" borderId="0" applyAlignment="1" pivotButton="0" quotePrefix="0" xfId="140">
      <alignment vertical="top" shrinkToFit="1"/>
    </xf>
    <xf numFmtId="43" fontId="5" fillId="0" borderId="1" applyAlignment="1" pivotButton="0" quotePrefix="0" xfId="0">
      <alignment horizontal="right" vertical="center"/>
    </xf>
    <xf numFmtId="43" fontId="5" fillId="0" borderId="0" applyAlignment="1" pivotButton="0" quotePrefix="0" xfId="0">
      <alignment horizontal="center" shrinkToFit="1"/>
    </xf>
    <xf numFmtId="165" fontId="5" fillId="0" borderId="0" pivotButton="0" quotePrefix="0" xfId="2"/>
    <xf numFmtId="43" fontId="5" fillId="0" borderId="0" applyAlignment="1" pivotButton="0" quotePrefix="0" xfId="80">
      <alignment horizontal="right" shrinkToFit="1"/>
    </xf>
    <xf numFmtId="41" fontId="5" fillId="4" borderId="0" applyAlignment="1" pivotButton="0" quotePrefix="0" xfId="0">
      <alignment vertical="center"/>
    </xf>
    <xf numFmtId="41" fontId="5" fillId="0" borderId="41" applyAlignment="1" pivotButton="0" quotePrefix="0" xfId="0">
      <alignment vertical="center"/>
    </xf>
    <xf numFmtId="0" fontId="43" fillId="0" borderId="32" applyAlignment="1" pivotButton="0" quotePrefix="0" xfId="0">
      <alignment horizontal="left" vertical="top" wrapText="1"/>
    </xf>
    <xf numFmtId="43" fontId="5" fillId="0" borderId="0" applyAlignment="1" applyProtection="1" pivotButton="0" quotePrefix="0" xfId="2">
      <alignment horizontal="left" vertical="center" shrinkToFit="1"/>
      <protection locked="0" hidden="0"/>
    </xf>
    <xf numFmtId="43" fontId="6" fillId="0" borderId="7" applyAlignment="1" applyProtection="1" pivotButton="0" quotePrefix="0" xfId="171">
      <alignment vertical="center"/>
      <protection locked="0" hidden="0"/>
    </xf>
    <xf numFmtId="0" fontId="31" fillId="5" borderId="13" applyAlignment="1" pivotButton="0" quotePrefix="0" xfId="171">
      <alignment horizontal="center" vertical="center" wrapText="1"/>
    </xf>
    <xf numFmtId="0" fontId="31" fillId="5" borderId="73" applyAlignment="1" pivotButton="0" quotePrefix="0" xfId="171">
      <alignment horizontal="center" vertical="center" wrapText="1"/>
    </xf>
    <xf numFmtId="0" fontId="31" fillId="5" borderId="74" applyAlignment="1" pivotButton="0" quotePrefix="0" xfId="171">
      <alignment horizontal="center" vertical="center"/>
    </xf>
    <xf numFmtId="0" fontId="31" fillId="5" borderId="74" applyAlignment="1" pivotButton="0" quotePrefix="0" xfId="171">
      <alignment horizontal="center" vertical="center" wrapText="1"/>
    </xf>
    <xf numFmtId="0" fontId="31" fillId="5" borderId="72" applyAlignment="1" pivotButton="0" quotePrefix="0" xfId="171">
      <alignment horizontal="center" vertical="center" wrapText="1"/>
    </xf>
    <xf numFmtId="0" fontId="31" fillId="5" borderId="70" applyAlignment="1" applyProtection="1" pivotButton="0" quotePrefix="0" xfId="171">
      <alignment horizontal="center" vertical="center"/>
      <protection locked="0" hidden="0"/>
    </xf>
    <xf numFmtId="0" fontId="0" fillId="0" borderId="27" applyProtection="1" pivotButton="0" quotePrefix="0" xfId="0">
      <protection locked="0" hidden="0"/>
    </xf>
    <xf numFmtId="0" fontId="0" fillId="0" borderId="2" pivotButton="0" quotePrefix="0" xfId="0"/>
    <xf numFmtId="43" fontId="5" fillId="0" borderId="5" applyAlignment="1" applyProtection="1" pivotButton="0" quotePrefix="0" xfId="302">
      <alignment horizontal="right" vertical="center" shrinkToFit="1"/>
      <protection locked="0" hidden="0"/>
    </xf>
    <xf numFmtId="43" fontId="31" fillId="0" borderId="4" applyAlignment="1" pivotButton="0" quotePrefix="0" xfId="0">
      <alignment horizontal="right" vertical="center" shrinkToFit="1"/>
    </xf>
    <xf numFmtId="43" fontId="5" fillId="0" borderId="4" applyAlignment="1" pivotButton="0" quotePrefix="0" xfId="0">
      <alignment horizontal="right" vertical="center" shrinkToFit="1"/>
    </xf>
    <xf numFmtId="43" fontId="5" fillId="0" borderId="24" applyAlignment="1" pivotButton="0" quotePrefix="0" xfId="0">
      <alignment horizontal="right" vertical="center" shrinkToFit="1"/>
    </xf>
    <xf numFmtId="43" fontId="35" fillId="0" borderId="9" applyAlignment="1" applyProtection="1" pivotButton="0" quotePrefix="0" xfId="171">
      <alignment horizontal="right" vertical="center" shrinkToFit="1"/>
      <protection locked="0" hidden="0"/>
    </xf>
    <xf numFmtId="165" fontId="29" fillId="0" borderId="0" applyAlignment="1" applyProtection="1" pivotButton="0" quotePrefix="0" xfId="171">
      <alignment horizontal="center" vertical="center"/>
      <protection locked="0" hidden="0"/>
    </xf>
    <xf numFmtId="165" fontId="35" fillId="0" borderId="0" applyAlignment="1" applyProtection="1" pivotButton="0" quotePrefix="0" xfId="171">
      <alignment vertical="center"/>
      <protection locked="0" hidden="0"/>
    </xf>
    <xf numFmtId="164" fontId="4" fillId="0" borderId="0" applyAlignment="1" applyProtection="1" pivotButton="0" quotePrefix="0" xfId="311">
      <alignment horizontal="center" vertical="center"/>
      <protection locked="0" hidden="0"/>
    </xf>
    <xf numFmtId="0" fontId="58" fillId="0" borderId="5" applyAlignment="1" pivotButton="0" quotePrefix="0" xfId="2">
      <alignment horizontal="left" vertical="center" wrapText="1" shrinkToFit="1"/>
    </xf>
    <xf numFmtId="0" fontId="29" fillId="5" borderId="5" applyAlignment="1" pivotButton="0" quotePrefix="0" xfId="333">
      <alignment horizontal="center" vertical="center"/>
    </xf>
    <xf numFmtId="166" fontId="6" fillId="0" borderId="5" applyAlignment="1" pivotButton="0" quotePrefix="0" xfId="334">
      <alignment vertical="center" shrinkToFit="1"/>
    </xf>
    <xf numFmtId="43" fontId="6" fillId="0" borderId="5" applyAlignment="1" pivotButton="0" quotePrefix="0" xfId="333">
      <alignment horizontal="right" vertical="center" shrinkToFit="1"/>
    </xf>
    <xf numFmtId="166" fontId="6" fillId="0" borderId="5" applyAlignment="1" pivotButton="0" quotePrefix="0" xfId="333">
      <alignment vertical="center" shrinkToFit="1"/>
    </xf>
    <xf numFmtId="0" fontId="53" fillId="11" borderId="75" applyAlignment="1" pivotButton="0" quotePrefix="0" xfId="312">
      <alignment horizontal="center" vertical="center"/>
    </xf>
    <xf numFmtId="0" fontId="0" fillId="0" borderId="23" pivotButton="0" quotePrefix="0" xfId="0"/>
    <xf numFmtId="0" fontId="0" fillId="0" borderId="24" pivotButton="0" quotePrefix="0" xfId="0"/>
    <xf numFmtId="0" fontId="0" fillId="18" borderId="5" applyAlignment="1" pivotButton="0" quotePrefix="0" xfId="0">
      <alignment horizontal="center" vertical="center"/>
    </xf>
    <xf numFmtId="0" fontId="31" fillId="5" borderId="13" applyAlignment="1" applyProtection="1" pivotButton="0" quotePrefix="0" xfId="0">
      <alignment horizontal="left" vertical="center"/>
      <protection locked="0" hidden="0"/>
    </xf>
    <xf numFmtId="0" fontId="0" fillId="0" borderId="29" applyProtection="1" pivotButton="0" quotePrefix="0" xfId="0">
      <protection locked="0" hidden="0"/>
    </xf>
    <xf numFmtId="0" fontId="0" fillId="0" borderId="62" applyProtection="1" pivotButton="0" quotePrefix="0" xfId="0">
      <protection locked="0" hidden="0"/>
    </xf>
    <xf numFmtId="43" fontId="6" fillId="0" borderId="0" applyAlignment="1" pivotButton="0" quotePrefix="0" xfId="2">
      <alignment horizontal="left" vertical="top" wrapText="1"/>
    </xf>
    <xf numFmtId="0" fontId="5" fillId="0" borderId="31" applyAlignment="1" applyProtection="1" pivotButton="0" quotePrefix="0" xfId="0">
      <alignment horizontal="left" vertical="center" wrapText="1"/>
      <protection locked="0" hidden="0"/>
    </xf>
    <xf numFmtId="0" fontId="6" fillId="0" borderId="31" applyAlignment="1" applyProtection="1" pivotButton="0" quotePrefix="0" xfId="0">
      <alignment horizontal="left" vertical="center"/>
      <protection locked="0" hidden="0"/>
    </xf>
    <xf numFmtId="0" fontId="6" fillId="0" borderId="32" applyAlignment="1" applyProtection="1" pivotButton="0" quotePrefix="0" xfId="0">
      <alignment horizontal="left" vertical="center" wrapText="1"/>
      <protection locked="0" hidden="0"/>
    </xf>
    <xf numFmtId="43" fontId="6" fillId="5" borderId="43" applyAlignment="1" pivotButton="0" quotePrefix="0" xfId="2">
      <alignment horizontal="left" vertical="top" wrapText="1"/>
    </xf>
    <xf numFmtId="43" fontId="6" fillId="0" borderId="17" applyAlignment="1" pivotButton="0" quotePrefix="0" xfId="0">
      <alignment horizontal="right"/>
    </xf>
    <xf numFmtId="0" fontId="31" fillId="5" borderId="78" applyAlignment="1" pivotButton="0" quotePrefix="0" xfId="100">
      <alignment horizontal="center" vertical="center"/>
    </xf>
    <xf numFmtId="0" fontId="31" fillId="5" borderId="72" applyAlignment="1" pivotButton="0" quotePrefix="0" xfId="100">
      <alignment horizontal="center" vertical="center"/>
    </xf>
    <xf numFmtId="43" fontId="6" fillId="0" borderId="0" applyAlignment="1" pivotButton="0" quotePrefix="0" xfId="2">
      <alignment horizontal="center" vertical="center" wrapText="1"/>
    </xf>
    <xf numFmtId="0" fontId="0" fillId="0" borderId="48" pivotButton="0" quotePrefix="0" xfId="0"/>
    <xf numFmtId="43" fontId="6" fillId="0" borderId="5" applyAlignment="1" pivotButton="0" quotePrefix="0" xfId="0">
      <alignment horizontal="right" vertical="center"/>
    </xf>
    <xf numFmtId="166" fontId="6" fillId="0" borderId="7" applyAlignment="1" pivotButton="0" quotePrefix="0" xfId="0">
      <alignment horizontal="right" vertical="center"/>
    </xf>
    <xf numFmtId="43" fontId="6" fillId="0" borderId="0" applyAlignment="1" pivotButton="0" quotePrefix="0" xfId="2">
      <alignment horizontal="left" vertical="center" wrapText="1"/>
    </xf>
    <xf numFmtId="43" fontId="6" fillId="0" borderId="30" applyAlignment="1" pivotButton="0" quotePrefix="0" xfId="0">
      <alignment horizontal="right" vertical="center"/>
    </xf>
    <xf numFmtId="41" fontId="5" fillId="0" borderId="0" applyAlignment="1" pivotButton="0" quotePrefix="0" xfId="0">
      <alignment vertical="center"/>
    </xf>
    <xf numFmtId="41" fontId="31" fillId="0" borderId="0" applyAlignment="1" pivotButton="0" quotePrefix="0" xfId="0">
      <alignment vertical="center"/>
    </xf>
    <xf numFmtId="0" fontId="7" fillId="16" borderId="36" applyAlignment="1" pivotButton="0" quotePrefix="0" xfId="0">
      <alignment horizontal="center" vertical="center" wrapText="1"/>
    </xf>
    <xf numFmtId="0" fontId="0" fillId="0" borderId="51" pivotButton="0" quotePrefix="0" xfId="0"/>
    <xf numFmtId="0" fontId="35" fillId="5" borderId="62" applyAlignment="1" pivotButton="0" quotePrefix="0" xfId="0">
      <alignment horizontal="center" vertical="center" wrapText="1"/>
    </xf>
    <xf numFmtId="0" fontId="35" fillId="5" borderId="13" applyAlignment="1" pivotButton="0" quotePrefix="0" xfId="0">
      <alignment horizontal="center" vertical="center" wrapText="1"/>
    </xf>
    <xf numFmtId="166" fontId="6" fillId="0" borderId="5" applyAlignment="1" pivotButton="0" quotePrefix="0" xfId="0">
      <alignment horizontal="left" vertical="center"/>
    </xf>
    <xf numFmtId="166" fontId="6" fillId="0" borderId="30" applyAlignment="1" pivotButton="0" quotePrefix="0" xfId="0">
      <alignment horizontal="left" vertical="center"/>
    </xf>
    <xf numFmtId="43" fontId="6" fillId="0" borderId="30" applyAlignment="1" pivotButton="0" quotePrefix="0" xfId="0">
      <alignment horizontal="left" vertical="center"/>
    </xf>
    <xf numFmtId="0" fontId="114" fillId="0" borderId="5" applyAlignment="1" pivotButton="0" quotePrefix="0" xfId="0">
      <alignment horizontal="left" vertical="center" wrapText="1"/>
    </xf>
    <xf numFmtId="41" fontId="67" fillId="2" borderId="0" applyAlignment="1" pivotButton="0" quotePrefix="0" xfId="7">
      <alignment vertical="center"/>
    </xf>
    <xf numFmtId="0" fontId="118" fillId="0" borderId="5" applyAlignment="1" pivotButton="0" quotePrefix="0" xfId="0">
      <alignment horizontal="left" vertical="center" wrapText="1" shrinkToFit="1"/>
    </xf>
    <xf numFmtId="41" fontId="67" fillId="0" borderId="0" applyAlignment="1" pivotButton="0" quotePrefix="0" xfId="7">
      <alignment vertical="center"/>
    </xf>
    <xf numFmtId="0" fontId="63" fillId="0" borderId="5" applyAlignment="1" applyProtection="1" pivotButton="0" quotePrefix="0" xfId="0">
      <alignment horizontal="left" vertical="center" wrapText="1"/>
      <protection locked="0" hidden="0"/>
    </xf>
    <xf numFmtId="0" fontId="0" fillId="0" borderId="8" applyProtection="1" pivotButton="0" quotePrefix="0" xfId="0">
      <protection locked="0" hidden="0"/>
    </xf>
    <xf numFmtId="0" fontId="0" fillId="0" borderId="4" applyProtection="1" pivotButton="0" quotePrefix="0" xfId="0">
      <protection locked="0" hidden="0"/>
    </xf>
    <xf numFmtId="43" fontId="64" fillId="2" borderId="0" applyAlignment="1" pivotButton="0" quotePrefix="0" xfId="111">
      <alignment vertical="center"/>
    </xf>
    <xf numFmtId="0" fontId="0" fillId="0" borderId="26" pivotButton="0" quotePrefix="0" xfId="0"/>
    <xf numFmtId="0" fontId="73" fillId="5" borderId="81" applyAlignment="1" pivotButton="0" quotePrefix="0" xfId="0">
      <alignment horizontal="center" vertical="center" wrapText="1"/>
    </xf>
    <xf numFmtId="0" fontId="0" fillId="0" borderId="27" pivotButton="0" quotePrefix="0" xfId="0"/>
    <xf numFmtId="0" fontId="73" fillId="5" borderId="70" applyAlignment="1" pivotButton="0" quotePrefix="0" xfId="0">
      <alignment horizontal="center" vertical="center" wrapText="1"/>
    </xf>
    <xf numFmtId="0" fontId="69" fillId="5" borderId="82" applyAlignment="1" pivotButton="0" quotePrefix="0" xfId="0">
      <alignment horizontal="center" vertical="center" wrapText="1"/>
    </xf>
    <xf numFmtId="0" fontId="0" fillId="0" borderId="59" pivotButton="0" quotePrefix="0" xfId="0"/>
    <xf numFmtId="14" fontId="88" fillId="5" borderId="36" applyAlignment="1" applyProtection="1" pivotButton="0" quotePrefix="0" xfId="0">
      <alignment horizontal="center" vertical="center"/>
      <protection locked="0" hidden="0"/>
    </xf>
    <xf numFmtId="0" fontId="0" fillId="0" borderId="51" applyProtection="1" pivotButton="0" quotePrefix="0" xfId="0">
      <protection locked="0" hidden="0"/>
    </xf>
    <xf numFmtId="166" fontId="64" fillId="0" borderId="5" applyAlignment="1" pivotButton="0" quotePrefix="0" xfId="0">
      <alignment horizontal="right" vertical="center" wrapText="1" shrinkToFit="1"/>
    </xf>
    <xf numFmtId="43" fontId="64" fillId="0" borderId="0" applyAlignment="1" pivotButton="0" quotePrefix="0" xfId="111">
      <alignment vertical="center"/>
    </xf>
    <xf numFmtId="0" fontId="84" fillId="0" borderId="5" applyAlignment="1" pivotButton="0" quotePrefix="0" xfId="0">
      <alignment horizontal="left" vertical="center" wrapText="1" shrinkToFit="1"/>
    </xf>
  </cellXfs>
  <cellStyles count="337">
    <cellStyle name="常规" xfId="0" builtinId="0"/>
    <cellStyle name="Normal 126" xfId="1"/>
    <cellStyle name="千位分隔" xfId="2" builtinId="3"/>
    <cellStyle name="Comma [0] 3" xfId="3"/>
    <cellStyle name="Check Cell 2" xfId="4"/>
    <cellStyle name="百分比" xfId="5" builtinId="5"/>
    <cellStyle name="Comma [0] 2 3" xfId="6"/>
    <cellStyle name="Comma 2" xfId="7"/>
    <cellStyle name="Comma [0] 2" xfId="8"/>
    <cellStyle name="Comma [0] 2 2 2" xfId="9"/>
    <cellStyle name="Comma [0] 2 2 2 2" xfId="10"/>
    <cellStyle name="Comma [0] 2 2 3" xfId="11"/>
    <cellStyle name="Normal 2 3 2 2" xfId="12"/>
    <cellStyle name="Normal 125" xfId="13"/>
    <cellStyle name="千位分隔[0] 2" xfId="14"/>
    <cellStyle name="Hyperlink 2" xfId="15"/>
    <cellStyle name="Hyperlink 4" xfId="16"/>
    <cellStyle name="cellStyleNum 2" xfId="17"/>
    <cellStyle name="Normal 12 2" xfId="18"/>
    <cellStyle name="Check Cell 2 2" xfId="19"/>
    <cellStyle name="千位分隔 3" xfId="20"/>
    <cellStyle name="Comma 2 2" xfId="21"/>
    <cellStyle name="Comma [0] 2 2" xfId="22"/>
    <cellStyle name="Comma [0] 2 4" xfId="23"/>
    <cellStyle name="Normal 2 3 2 4" xfId="24"/>
    <cellStyle name="Comma 12" xfId="25"/>
    <cellStyle name="Comma 15" xfId="26"/>
    <cellStyle name="Comma 2 2 2" xfId="27"/>
    <cellStyle name="千位分隔 4" xfId="28"/>
    <cellStyle name="Comma 2 3" xfId="29"/>
    <cellStyle name="Comma 2 4" xfId="30"/>
    <cellStyle name="Comma 2_1" xfId="31"/>
    <cellStyle name="Comma 3" xfId="32"/>
    <cellStyle name="Comma 4" xfId="33"/>
    <cellStyle name="Comma 5" xfId="34"/>
    <cellStyle name="dataStyle 2" xfId="35"/>
    <cellStyle name="dataStyle 3" xfId="36"/>
    <cellStyle name="Good 2" xfId="37"/>
    <cellStyle name="Good 2 2" xfId="38"/>
    <cellStyle name="Hyperlink 2 2" xfId="39"/>
    <cellStyle name="Hyperlink 4 2" xfId="40"/>
    <cellStyle name="Normal 10" xfId="41"/>
    <cellStyle name="Normal 10 10" xfId="42"/>
    <cellStyle name="Normal 103" xfId="43"/>
    <cellStyle name="Normal 103 2" xfId="44"/>
    <cellStyle name="Normal 103 3" xfId="45"/>
    <cellStyle name="Normal 11" xfId="46"/>
    <cellStyle name="Normal 121 2" xfId="47"/>
    <cellStyle name="Normal 121 2 2" xfId="48"/>
    <cellStyle name="Normal 121 2 2 2" xfId="49"/>
    <cellStyle name="Normal 121 2 3" xfId="50"/>
    <cellStyle name="Normal 125 2" xfId="51"/>
    <cellStyle name="Normal 126 2" xfId="52"/>
    <cellStyle name="Normal 13" xfId="53"/>
    <cellStyle name="Normal 13 2" xfId="54"/>
    <cellStyle name="Normal 2 3 5" xfId="55"/>
    <cellStyle name="Normal 2" xfId="56"/>
    <cellStyle name="Normal 2 10 2" xfId="57"/>
    <cellStyle name="Normal 2 2" xfId="58"/>
    <cellStyle name="Normal 2 2 2" xfId="59"/>
    <cellStyle name="Normal 2 2 3 2" xfId="60"/>
    <cellStyle name="Normal 2 2_1" xfId="61"/>
    <cellStyle name="Normal 2 3" xfId="62"/>
    <cellStyle name="Normal 2 3 2" xfId="63"/>
    <cellStyle name="Normal 2 3 2 2 3" xfId="64"/>
    <cellStyle name="Normal 2 3 3" xfId="65"/>
    <cellStyle name="Normal 2 3 3 2" xfId="66"/>
    <cellStyle name="Normal 2 3 4" xfId="67"/>
    <cellStyle name="Normal 2 4" xfId="68"/>
    <cellStyle name="Normal 3" xfId="69"/>
    <cellStyle name="Normal 3 2" xfId="70"/>
    <cellStyle name="Normal 3 3" xfId="71"/>
    <cellStyle name="Normal 4" xfId="72"/>
    <cellStyle name="Normal 4 3" xfId="73"/>
    <cellStyle name="Normal 5" xfId="74"/>
    <cellStyle name="Normal 6" xfId="75"/>
    <cellStyle name="Normal 7" xfId="76"/>
    <cellStyle name="Normal 8" xfId="77"/>
    <cellStyle name="Normal 9" xfId="78"/>
    <cellStyle name="Percent 5" xfId="79"/>
    <cellStyle name="Normal_N" xfId="80"/>
    <cellStyle name="Normal_Sheet2" xfId="81"/>
    <cellStyle name="Percent 2" xfId="82"/>
    <cellStyle name="Percent 2 2" xfId="83"/>
    <cellStyle name="Percent 3" xfId="84"/>
    <cellStyle name="Percent 4" xfId="85"/>
    <cellStyle name="百分比 2" xfId="86"/>
    <cellStyle name="百分比 2 2" xfId="87"/>
    <cellStyle name="百分比 3" xfId="88"/>
    <cellStyle name="常规 2" xfId="89"/>
    <cellStyle name="常规 2- " xfId="90"/>
    <cellStyle name="常规 2-  2" xfId="91"/>
    <cellStyle name="常规 2 2" xfId="92"/>
    <cellStyle name="常规 2 2 2" xfId="93"/>
    <cellStyle name="常规 2 2 2 2" xfId="94"/>
    <cellStyle name="常规 2 2 2 3" xfId="95"/>
    <cellStyle name="常规 2 2 2 3 2" xfId="96"/>
    <cellStyle name="常规 2 2 3" xfId="97"/>
    <cellStyle name="常规 2 3" xfId="98"/>
    <cellStyle name="常规 3" xfId="99"/>
    <cellStyle name="常规 3 2" xfId="100"/>
    <cellStyle name="常规 3 2 2" xfId="101"/>
    <cellStyle name="常规 4" xfId="102"/>
    <cellStyle name="超链接 2" xfId="103"/>
    <cellStyle name="普通_附23_PBC4" xfId="104"/>
    <cellStyle name="千位分隔 2" xfId="105"/>
    <cellStyle name="千位分隔 2 2" xfId="106"/>
    <cellStyle name="千位分隔 2 2 2" xfId="107"/>
    <cellStyle name="千位分隔 2 2 3" xfId="108"/>
    <cellStyle name="千位分隔 2 3" xfId="109"/>
    <cellStyle name="千位分隔 2 7" xfId="110"/>
    <cellStyle name="千位分隔 3 4" xfId="111"/>
    <cellStyle name="Comma 7" xfId="112"/>
    <cellStyle name="Normal 14" xfId="113"/>
    <cellStyle name="常规 3 2 3" xfId="114"/>
    <cellStyle name="常规 2 4" xfId="115"/>
    <cellStyle name="超链接 3" xfId="116"/>
    <cellStyle name="常规 2 2 5" xfId="117"/>
    <cellStyle name="千位分隔 5" xfId="118"/>
    <cellStyle name="Comma [0] 3 2" xfId="119"/>
    <cellStyle name="Comma [0] 2 3 2" xfId="120"/>
    <cellStyle name="Comma 2 5" xfId="121"/>
    <cellStyle name="Comma [0] 2 5" xfId="122"/>
    <cellStyle name="Comma [0] 2 2 2 3" xfId="123"/>
    <cellStyle name="Comma [0] 2 2 2 2 2" xfId="124"/>
    <cellStyle name="Comma [0] 2 2 3 2" xfId="125"/>
    <cellStyle name="千位分隔[0] 2 2" xfId="126"/>
    <cellStyle name="千位分隔 3 2" xfId="127"/>
    <cellStyle name="Comma 2 2 3" xfId="128"/>
    <cellStyle name="Comma [0] 2 2 4" xfId="129"/>
    <cellStyle name="Comma [0] 2 4 2" xfId="130"/>
    <cellStyle name="Comma 12 2" xfId="131"/>
    <cellStyle name="Comma 15 2" xfId="132"/>
    <cellStyle name="Comma 2 2 2 2" xfId="133"/>
    <cellStyle name="千位分隔 4 2" xfId="134"/>
    <cellStyle name="Comma 2 3 2" xfId="135"/>
    <cellStyle name="Comma 2 4 2" xfId="136"/>
    <cellStyle name="Comma 3 2" xfId="137"/>
    <cellStyle name="Comma 4 2" xfId="138"/>
    <cellStyle name="Comma 5 2" xfId="139"/>
    <cellStyle name="千位分隔 2 4" xfId="140"/>
    <cellStyle name="千位分隔 2 2 4" xfId="141"/>
    <cellStyle name="千位分隔 2 2 2 2" xfId="142"/>
    <cellStyle name="千位分隔 2 2 3 2" xfId="143"/>
    <cellStyle name="千位分隔 2 3 2" xfId="144"/>
    <cellStyle name="千位分隔 2 7 2" xfId="145"/>
    <cellStyle name="千位分隔 3 4 2" xfId="146"/>
    <cellStyle name="Comma 7 2" xfId="147"/>
    <cellStyle name="Normal 12" xfId="148"/>
    <cellStyle name="常规 5" xfId="149"/>
    <cellStyle name="常规 10" xfId="150"/>
    <cellStyle name="Normal 2 3 2 2 4" xfId="151"/>
    <cellStyle name="Normal 121 4" xfId="152"/>
    <cellStyle name="Normal 2 3 6" xfId="153"/>
    <cellStyle name="Normal 12 2 3" xfId="154"/>
    <cellStyle name="Normal 16" xfId="155"/>
    <cellStyle name="常规 2 2 5 2" xfId="156"/>
    <cellStyle name="Normal 12 2 2 2 2" xfId="157"/>
    <cellStyle name="Normal 9 2 2" xfId="158"/>
    <cellStyle name="Normal 2 2 2 2" xfId="159"/>
    <cellStyle name="常规 2 2 5 2 2" xfId="160"/>
    <cellStyle name="Normal 2 2 3" xfId="161"/>
    <cellStyle name="Normal 2 2 4" xfId="162"/>
    <cellStyle name="Hyperlink 2 2 3" xfId="163"/>
    <cellStyle name="常规 7" xfId="164"/>
    <cellStyle name="百分比 4" xfId="165"/>
    <cellStyle name="Normal 12 5" xfId="166"/>
    <cellStyle name="Normal 121 2 2 2 4" xfId="167"/>
    <cellStyle name="超链接 4" xfId="168"/>
    <cellStyle name="Normal 2 3 6 2" xfId="169"/>
    <cellStyle name="常规 2 2 5 3" xfId="170"/>
    <cellStyle name="常规 6" xfId="171"/>
    <cellStyle name="Normal 2 3 6 3" xfId="172"/>
    <cellStyle name="千位分隔 6" xfId="173"/>
    <cellStyle name="Comma [0] 3 3" xfId="174"/>
    <cellStyle name="Comma [0] 2 3 3" xfId="175"/>
    <cellStyle name="Comma 2 6" xfId="176"/>
    <cellStyle name="Comma [0] 2 6" xfId="177"/>
    <cellStyle name="Comma [0] 2 2 2 4" xfId="178"/>
    <cellStyle name="Comma [0] 2 2 2 2 3" xfId="179"/>
    <cellStyle name="Comma [0] 2 2 3 3" xfId="180"/>
    <cellStyle name="千位分隔[0] 2 3" xfId="181"/>
    <cellStyle name="千位分隔 3 3" xfId="182"/>
    <cellStyle name="Comma 2 2 4" xfId="183"/>
    <cellStyle name="Comma [0] 2 2 5" xfId="184"/>
    <cellStyle name="Comma [0] 2 4 3" xfId="185"/>
    <cellStyle name="Comma 12 3" xfId="186"/>
    <cellStyle name="Comma 15 3" xfId="187"/>
    <cellStyle name="Comma 2 2 2 3" xfId="188"/>
    <cellStyle name="千位分隔 4 3" xfId="189"/>
    <cellStyle name="Comma 2 3 3" xfId="190"/>
    <cellStyle name="Comma 2 4 3" xfId="191"/>
    <cellStyle name="Comma 3 3" xfId="192"/>
    <cellStyle name="Comma 4 3" xfId="193"/>
    <cellStyle name="Comma 5 3" xfId="194"/>
    <cellStyle name="千位分隔 2 5" xfId="195"/>
    <cellStyle name="千位分隔 2 2 5" xfId="196"/>
    <cellStyle name="千位分隔 2 2 2 3" xfId="197"/>
    <cellStyle name="千位分隔 2 2 3 3" xfId="198"/>
    <cellStyle name="千位分隔 2 3 3" xfId="199"/>
    <cellStyle name="千位分隔 2 7 3" xfId="200"/>
    <cellStyle name="千位分隔 3 4 3" xfId="201"/>
    <cellStyle name="Comma 7 3" xfId="202"/>
    <cellStyle name="常规 2 4 2" xfId="203"/>
    <cellStyle name="常规 2 2 5 4" xfId="204"/>
    <cellStyle name="千位分隔 5 2" xfId="205"/>
    <cellStyle name="Comma [0] 3 2 2" xfId="206"/>
    <cellStyle name="Comma [0] 2 3 2 2" xfId="207"/>
    <cellStyle name="Comma 2 5 2" xfId="208"/>
    <cellStyle name="Comma [0] 2 5 2" xfId="209"/>
    <cellStyle name="Comma [0] 2 2 2 3 2" xfId="210"/>
    <cellStyle name="Comma [0] 2 2 2 2 2 2" xfId="211"/>
    <cellStyle name="Comma [0] 2 2 3 2 2" xfId="212"/>
    <cellStyle name="千位分隔[0] 2 2 2" xfId="213"/>
    <cellStyle name="千位分隔 3 2 2" xfId="214"/>
    <cellStyle name="Comma 2 2 3 2" xfId="215"/>
    <cellStyle name="Comma [0] 2 2 4 2" xfId="216"/>
    <cellStyle name="Comma [0] 2 4 2 2" xfId="217"/>
    <cellStyle name="Comma 12 2 2" xfId="218"/>
    <cellStyle name="Comma 15 2 2" xfId="219"/>
    <cellStyle name="Comma 2 2 2 2 2" xfId="220"/>
    <cellStyle name="千位分隔 4 2 2" xfId="221"/>
    <cellStyle name="Comma 2 3 2 2" xfId="222"/>
    <cellStyle name="Comma 2 4 2 2" xfId="223"/>
    <cellStyle name="Comma 3 2 2" xfId="224"/>
    <cellStyle name="Comma 4 2 2" xfId="225"/>
    <cellStyle name="Comma 5 2 2" xfId="226"/>
    <cellStyle name="千位分隔 2 4 2" xfId="227"/>
    <cellStyle name="千位分隔 2 2 4 2" xfId="228"/>
    <cellStyle name="千位分隔 2 2 2 2 2" xfId="229"/>
    <cellStyle name="千位分隔 2 2 3 2 2" xfId="230"/>
    <cellStyle name="千位分隔 2 3 2 2" xfId="231"/>
    <cellStyle name="千位分隔 2 7 2 2" xfId="232"/>
    <cellStyle name="千位分隔 3 4 2 2" xfId="233"/>
    <cellStyle name="Comma 7 2 2" xfId="234"/>
    <cellStyle name="常规 2 2 5 2 3" xfId="235"/>
    <cellStyle name="常规 2 2 5 2 2 2" xfId="236"/>
    <cellStyle name="Normal 2 3 6 2 2" xfId="237"/>
    <cellStyle name="常规 2 2 5 3 2" xfId="238"/>
    <cellStyle name="千位分隔 6 2" xfId="239"/>
    <cellStyle name="Comma [0] 3 3 2" xfId="240"/>
    <cellStyle name="Comma [0] 2 3 3 2" xfId="241"/>
    <cellStyle name="Comma 2 6 2" xfId="242"/>
    <cellStyle name="Comma [0] 2 6 2" xfId="243"/>
    <cellStyle name="Comma [0] 2 2 2 4 2" xfId="244"/>
    <cellStyle name="Comma [0] 2 2 2 2 3 2" xfId="245"/>
    <cellStyle name="Comma [0] 2 2 3 3 2" xfId="246"/>
    <cellStyle name="千位分隔[0] 2 3 2" xfId="247"/>
    <cellStyle name="千位分隔 3 3 2" xfId="248"/>
    <cellStyle name="Comma 2 2 4 2" xfId="249"/>
    <cellStyle name="Comma [0] 2 2 5 2" xfId="250"/>
    <cellStyle name="Comma [0] 2 4 3 2" xfId="251"/>
    <cellStyle name="Comma 12 3 2" xfId="252"/>
    <cellStyle name="Comma 15 3 2" xfId="253"/>
    <cellStyle name="Comma 2 2 2 3 2" xfId="254"/>
    <cellStyle name="千位分隔 4 3 2" xfId="255"/>
    <cellStyle name="Comma 2 3 3 2" xfId="256"/>
    <cellStyle name="Comma 2 4 3 2" xfId="257"/>
    <cellStyle name="Comma 3 3 2" xfId="258"/>
    <cellStyle name="Comma 4 3 2" xfId="259"/>
    <cellStyle name="Comma 5 3 2" xfId="260"/>
    <cellStyle name="千位分隔 2 5 2" xfId="261"/>
    <cellStyle name="千位分隔 2 2 5 2" xfId="262"/>
    <cellStyle name="千位分隔 2 2 2 3 2" xfId="263"/>
    <cellStyle name="千位分隔 2 2 3 3 2" xfId="264"/>
    <cellStyle name="千位分隔 2 3 3 2" xfId="265"/>
    <cellStyle name="千位分隔 2 7 3 2" xfId="266"/>
    <cellStyle name="千位分隔 3 4 3 2" xfId="267"/>
    <cellStyle name="Comma 7 3 2" xfId="268"/>
    <cellStyle name="千位分隔 5 2 2" xfId="269"/>
    <cellStyle name="Comma [0] 3 2 2 2" xfId="270"/>
    <cellStyle name="Comma [0] 2 3 2 2 2" xfId="271"/>
    <cellStyle name="Comma 2 5 2 2" xfId="272"/>
    <cellStyle name="Comma [0] 2 5 2 2" xfId="273"/>
    <cellStyle name="Comma [0] 2 2 2 3 2 2" xfId="274"/>
    <cellStyle name="Comma [0] 2 2 2 2 2 2 2" xfId="275"/>
    <cellStyle name="Comma [0] 2 2 3 2 2 2" xfId="276"/>
    <cellStyle name="千位分隔[0] 2 2 2 2" xfId="277"/>
    <cellStyle name="千位分隔 3 2 2 2" xfId="278"/>
    <cellStyle name="Comma 2 2 3 2 2" xfId="279"/>
    <cellStyle name="Comma [0] 2 2 4 2 2" xfId="280"/>
    <cellStyle name="Comma [0] 2 4 2 2 2" xfId="281"/>
    <cellStyle name="Comma 12 2 2 2" xfId="282"/>
    <cellStyle name="Comma 15 2 2 2" xfId="283"/>
    <cellStyle name="Comma 2 2 2 2 2 2" xfId="284"/>
    <cellStyle name="千位分隔 4 2 2 2" xfId="285"/>
    <cellStyle name="Comma 2 3 2 2 2" xfId="286"/>
    <cellStyle name="Comma 2 4 2 2 2" xfId="287"/>
    <cellStyle name="Comma 3 2 2 2" xfId="288"/>
    <cellStyle name="Comma 4 2 2 2" xfId="289"/>
    <cellStyle name="Comma 5 2 2 2" xfId="290"/>
    <cellStyle name="千位分隔 2 4 2 2" xfId="291"/>
    <cellStyle name="千位分隔 2 2 4 2 2" xfId="292"/>
    <cellStyle name="千位分隔 2 2 2 2 2 2" xfId="293"/>
    <cellStyle name="千位分隔 2 2 3 2 2 2" xfId="294"/>
    <cellStyle name="千位分隔 2 3 2 2 2" xfId="295"/>
    <cellStyle name="千位分隔 2 7 2 2 2" xfId="296"/>
    <cellStyle name="千位分隔 3 4 2 2 2" xfId="297"/>
    <cellStyle name="Comma 7 2 2 2" xfId="298"/>
    <cellStyle name="Normal 19" xfId="299"/>
    <cellStyle name="Normal 2 5" xfId="300"/>
    <cellStyle name="Normal 2 6" xfId="301"/>
    <cellStyle name="千位分隔 7" xfId="302"/>
    <cellStyle name="常规 8" xfId="303"/>
    <cellStyle name="超链接 5" xfId="304"/>
    <cellStyle name="Normal 2 7" xfId="305"/>
    <cellStyle name="千位分隔 8" xfId="306"/>
    <cellStyle name="千位分隔[0] 3" xfId="307"/>
    <cellStyle name="货币 2" xfId="308"/>
    <cellStyle name="超链接 6" xfId="309"/>
    <cellStyle name="千位分隔[0] 4" xfId="310"/>
    <cellStyle name="货币 3" xfId="311"/>
    <cellStyle name="Normal 17" xfId="312"/>
    <cellStyle name="Comma [0] 3 2 3" xfId="313"/>
    <cellStyle name="Comma 15 2 3" xfId="314"/>
    <cellStyle name="Comma 2 7" xfId="315"/>
    <cellStyle name="Comma 4 2 3" xfId="316"/>
    <cellStyle name="Hyperlink 2 2 4" xfId="317"/>
    <cellStyle name="Normal 12 3" xfId="318"/>
    <cellStyle name="Normal 2 10" xfId="319"/>
    <cellStyle name="Normal 2 2 2 3" xfId="320"/>
    <cellStyle name="Normal 2 3 6 2 3" xfId="321"/>
    <cellStyle name="Normal 2 3 6 4" xfId="322"/>
    <cellStyle name="Normal 3 2 2 2 2" xfId="323"/>
    <cellStyle name="Percent 2 3" xfId="324"/>
    <cellStyle name="百分比 2 3" xfId="325"/>
    <cellStyle name="常规 2 14" xfId="326"/>
    <cellStyle name="常规 2 2 5 2 4" xfId="327"/>
    <cellStyle name="常规 2 2 5 3 3" xfId="328"/>
    <cellStyle name="常规 2 2 5 5" xfId="329"/>
    <cellStyle name="常规 6 2" xfId="330"/>
    <cellStyle name="千位分隔 2 2 6" xfId="331"/>
    <cellStyle name="千位分隔 6 3" xfId="332"/>
    <cellStyle name="常规 9" xfId="333"/>
    <cellStyle name="千位分隔 9" xfId="334"/>
    <cellStyle name="Hyperlink" xfId="335"/>
    <cellStyle name="超链接" xfId="336" builtinId="8"/>
  </cellStyles>
  <dxfs count="44">
    <dxf>
      <font>
        <color rgb="FFFFFFCC"/>
      </font>
    </dxf>
    <dxf>
      <fill>
        <patternFill>
          <bgColor theme="0" tint="-0.3499862666707358"/>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ont>
        <color rgb="FFFFFFCC"/>
      </font>
    </dxf>
    <dxf>
      <fill>
        <patternFill>
          <bgColor rgb="FFFFFFCC"/>
        </patternFill>
      </fill>
    </dxf>
    <dxf>
      <fill>
        <patternFill>
          <bgColor rgb="FFFFFFCC"/>
        </patternFill>
      </fill>
    </dxf>
    <dxf>
      <fill>
        <patternFill>
          <bgColor rgb="FFFFFF00"/>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auto="1"/>
      </font>
    </dxf>
    <dxf>
      <fill>
        <patternFill>
          <bgColor rgb="FFFFFFCC"/>
        </patternFill>
      </fill>
    </dxf>
    <dxf>
      <font>
        <color auto="1"/>
      </font>
    </dxf>
    <dxf>
      <fill>
        <patternFill patternType="solid">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N%20SWP%20%E5%BA%94%E4%BB%98%E8%B4%A6%E6%AC%BE%E8%B4%A6%E9%BE%84%E5%A4%8D%E6%A0%B8%20202YMMDD%20XYZ%E5%85%AC%E5%8F%B8.xlsx?d=wbaf427bca11842b3800de5f38ba2cd51&amp;csf=1&amp;web=1&amp;e=QG5BJl"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E5%87%BD%E8%AF%81%20SWP%20%E8%B4%9F%E5%80%BA%E7%B1%BB%E7%A7%91%E7%9B%AE%20202YMMDD%20XYZ%E5%85%AC%E5%8F%B8.xlsx?d=w3d16851f9f4b42cdb1b3e5783b626bed&amp;csf=1&amp;web=1&amp;e=qqqCpZ" TargetMode="External" Id="rId2" /></Relationships>
</file>

<file path=xl/worksheets/_rels/sheet7.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N%26P%20SURL%20SWP%20%E5%AF%BB%E6%89%BE%E6%9C%AA%E5%85%A5%E8%B4%A6%E8%B4%9F%E5%80%BA%20202YMMDD%20XYZ%E5%85%AC%E5%8F%B8.xlsx?d=wfa981cbde0e54153a730db72e2d8a746&amp;csf=1&amp;web=1&amp;e=1Owq15" TargetMode="External" Id="rId1" /></Relationships>
</file>

<file path=xl/worksheets/sheet1.xml><?xml version="1.0" encoding="utf-8"?>
<worksheet xmlns="http://schemas.openxmlformats.org/spreadsheetml/2006/main">
  <sheetPr>
    <outlinePr summaryBelow="1" summaryRight="1"/>
    <pageSetUpPr/>
  </sheetPr>
  <dimension ref="A1:J20"/>
  <sheetViews>
    <sheetView showGridLines="0" tabSelected="1" zoomScale="70" zoomScaleNormal="70" workbookViewId="0">
      <selection activeCell="D2" sqref="D2"/>
    </sheetView>
  </sheetViews>
  <sheetFormatPr baseColWidth="8" defaultColWidth="9" defaultRowHeight="14.25" customHeight="1"/>
  <cols>
    <col width="4.625" customWidth="1" style="42" min="1" max="1"/>
    <col width="11.875" customWidth="1" style="41" min="2" max="2"/>
    <col width="14.625" customWidth="1" style="45" min="3" max="3"/>
    <col width="16.625" customWidth="1" style="42" min="4" max="4"/>
    <col width="25.125" customWidth="1" style="42" min="5" max="5"/>
    <col width="18.75" customWidth="1" style="43" min="6" max="6"/>
    <col width="12.625" customWidth="1" style="41" min="7" max="7"/>
    <col width="21.625" customWidth="1" style="42" min="8" max="8"/>
    <col width="30.75" customWidth="1" style="41" min="9" max="9"/>
    <col width="9" customWidth="1" style="42" min="10" max="16384"/>
  </cols>
  <sheetData>
    <row r="1" ht="27.95" customHeight="1" s="634">
      <c r="A1" s="451" t="inlineStr">
        <is>
          <t>V6 SWP</t>
        </is>
      </c>
    </row>
    <row r="2" ht="21" customHeight="1" s="634">
      <c r="A2" s="40" t="n"/>
      <c r="B2" s="443" t="inlineStr">
        <is>
          <t>该科目涉及OSP底稿及函证底稿可参考此链接</t>
        </is>
      </c>
      <c r="C2" s="66" t="n"/>
      <c r="F2" s="69" t="inlineStr">
        <is>
          <t>OSP N SWP 应付账款账龄复核 202YMMDD XYZ公司.xlsx</t>
        </is>
      </c>
    </row>
    <row r="3" ht="18" customHeight="1" s="634">
      <c r="A3" s="40" t="n"/>
      <c r="B3" s="66" t="n"/>
      <c r="F3" s="69" t="inlineStr">
        <is>
          <t>函证 SWP 负债类科目 202YMMDD XYZ公司.xlsx</t>
        </is>
      </c>
    </row>
    <row r="4" ht="18" customHeight="1" s="634">
      <c r="A4" s="40" t="n"/>
      <c r="B4" s="66" t="n"/>
    </row>
    <row r="5" ht="18" customHeight="1" s="634">
      <c r="B5" s="59" t="inlineStr">
        <is>
          <t>N.00</t>
        </is>
      </c>
      <c r="C5" s="455" t="inlineStr">
        <is>
          <t>N.00 应付账款引导表（认定：E、C）</t>
        </is>
      </c>
      <c r="D5" s="635" t="n"/>
      <c r="E5" s="636" t="n"/>
      <c r="F5" s="60" t="inlineStr">
        <is>
          <t>程序页</t>
        </is>
      </c>
      <c r="G5" s="60" t="inlineStr">
        <is>
          <t>执行</t>
        </is>
      </c>
      <c r="H5" s="60" t="inlineStr">
        <is>
          <t>不执行的原因</t>
        </is>
      </c>
      <c r="I5" s="60" t="inlineStr">
        <is>
          <t>注意事项</t>
        </is>
      </c>
    </row>
    <row r="6" ht="33" customHeight="1" s="634">
      <c r="B6" s="61" t="n">
        <v>1</v>
      </c>
      <c r="C6" s="457" t="inlineStr">
        <is>
          <t>我们将两期金额进行比对，对那些变动大于范围或异常的事项，获得管理层解释并对解释是否合理进行调查并获取相关的支持性文件。</t>
        </is>
      </c>
      <c r="D6" s="635" t="n"/>
      <c r="E6" s="636" t="n"/>
      <c r="F6" s="453" t="inlineStr">
        <is>
          <t>N.00 Lead sheet</t>
        </is>
      </c>
      <c r="G6" s="62" t="n"/>
      <c r="H6" s="53" t="n"/>
      <c r="I6" s="62" t="n"/>
    </row>
    <row r="7" ht="33" customHeight="1" s="634">
      <c r="B7" s="61" t="n">
        <v>2</v>
      </c>
      <c r="C7" s="460" t="inlineStr">
        <is>
          <t>如果项目仅对部分总账科目执行程序，需评估未执行程序的总账科目加总金额是否大于TE，如大于TE，请项目组执行额外的测试程序。</t>
        </is>
      </c>
      <c r="D7" s="635" t="n"/>
      <c r="E7" s="636" t="n"/>
      <c r="F7" s="637" t="n"/>
      <c r="G7" s="62" t="n"/>
      <c r="H7" s="53" t="n"/>
      <c r="I7" s="62" t="n"/>
    </row>
    <row r="8" ht="15" customHeight="1" s="634">
      <c r="B8" s="59" t="inlineStr">
        <is>
          <t>N.01</t>
        </is>
      </c>
      <c r="C8" s="459" t="inlineStr">
        <is>
          <t>N.01 将明细账与总账核对一致（认定：E、C、V）</t>
        </is>
      </c>
      <c r="D8" s="635" t="n"/>
      <c r="E8" s="636" t="n"/>
      <c r="F8" s="60" t="inlineStr">
        <is>
          <t>程序页</t>
        </is>
      </c>
      <c r="G8" s="60" t="inlineStr">
        <is>
          <t>执行</t>
        </is>
      </c>
      <c r="H8" s="60" t="inlineStr">
        <is>
          <t>不执行的原因</t>
        </is>
      </c>
      <c r="I8" s="60" t="inlineStr">
        <is>
          <t>注意事项</t>
        </is>
      </c>
    </row>
    <row r="9" ht="74.09999999999999" customHeight="1" s="634">
      <c r="B9" s="61" t="n">
        <v>1</v>
      </c>
      <c r="C9" s="463" t="inlineStr">
        <is>
          <t>获取应付账款明细账（列示至各供应商的余额）N.01.01明细账BKD，与总账核对，如差异大于SAD，获取差异差异调节表并对调节项金额大于测试阈值及性质异常的项目执行进一步测试。</t>
        </is>
      </c>
      <c r="D9" s="635" t="n"/>
      <c r="E9" s="636" t="n"/>
      <c r="F9" s="453" t="inlineStr">
        <is>
          <t>N.01 明细账与总账核对</t>
        </is>
      </c>
      <c r="G9" s="62" t="n"/>
      <c r="H9" s="53" t="n"/>
      <c r="I9" s="62" t="n"/>
    </row>
    <row r="10" ht="47.45" customHeight="1" s="634">
      <c r="B10" s="61" t="n">
        <v>2</v>
      </c>
      <c r="C10" s="458" t="inlineStr">
        <is>
          <t>对应付账款外币余额，我们使用第三方汇率(独立于被审计单位获得汇率)重新计算，并将重新计算的余额与被审计单位的余额进行比较。</t>
        </is>
      </c>
      <c r="D10" s="635" t="n"/>
      <c r="E10" s="636" t="n"/>
      <c r="F10" s="637" t="n"/>
      <c r="G10" s="62" t="n"/>
      <c r="H10" s="53" t="n"/>
      <c r="I10" s="62" t="n"/>
    </row>
    <row r="11" ht="15" customHeight="1" s="634">
      <c r="B11" s="59" t="inlineStr">
        <is>
          <t>N.02</t>
        </is>
      </c>
      <c r="C11" s="465" t="inlineStr">
        <is>
          <t>N.02 异常项复核（认定：E、C、V、R&amp;O、P&amp;D）</t>
        </is>
      </c>
      <c r="D11" s="635" t="n"/>
      <c r="E11" s="636" t="n"/>
      <c r="F11" s="60" t="inlineStr">
        <is>
          <t>程序页</t>
        </is>
      </c>
      <c r="G11" s="60" t="inlineStr">
        <is>
          <t>执行</t>
        </is>
      </c>
      <c r="H11" s="60" t="inlineStr">
        <is>
          <t>不执行的原因</t>
        </is>
      </c>
      <c r="I11" s="60" t="inlineStr">
        <is>
          <t>注意事项</t>
        </is>
      </c>
    </row>
    <row r="12" ht="70.5" customHeight="1" s="634">
      <c r="B12" s="63" t="n">
        <v>1</v>
      </c>
      <c r="C12" s="457" t="inlineStr">
        <is>
          <t>对（单独或合计）大于测试阈值的借方余额，获取记账分录并检查对应支持性文件，确定对方科目账务处理是否正确，应付账款借方余额是否有必要根据名义金额进行重分类调整。</t>
        </is>
      </c>
      <c r="D12" s="635" t="n"/>
      <c r="E12" s="636" t="n"/>
      <c r="F12" s="453" t="inlineStr">
        <is>
          <t>N.02 异常项复核</t>
        </is>
      </c>
      <c r="G12" s="62" t="n"/>
      <c r="H12" s="53" t="n"/>
      <c r="I12" s="64" t="n"/>
      <c r="J12" s="44" t="n"/>
    </row>
    <row r="13" ht="70.5" customHeight="1" s="634">
      <c r="A13" s="0" t="n"/>
      <c r="B13" s="63" t="n">
        <v>2</v>
      </c>
      <c r="C13" s="458" t="inlineStr">
        <is>
          <t>根据应付账款明细账，我们识别金额、供应商或其他被认为异常或预期外的项目（例如，关联方、员工、客户、严重逾期余额），选择项目并记录做出此决定的依据；我们获取这些项目的支持性证据并记录检查结果。</t>
        </is>
      </c>
      <c r="D13" s="635" t="n"/>
      <c r="E13" s="636" t="n"/>
      <c r="F13" s="637" t="n"/>
      <c r="G13" s="62" t="n"/>
      <c r="H13" s="53" t="n"/>
      <c r="I13" s="64" t="n"/>
      <c r="J13" s="44" t="n"/>
    </row>
    <row r="14" ht="15" customHeight="1" s="634">
      <c r="A14" s="0" t="n"/>
      <c r="B14" s="59" t="inlineStr">
        <is>
          <t>N.03</t>
        </is>
      </c>
      <c r="C14" s="459" t="inlineStr">
        <is>
          <t>N.03 应付账款截止测试（认定：E、C、R&amp;O）</t>
        </is>
      </c>
      <c r="D14" s="635" t="n"/>
      <c r="E14" s="636" t="n"/>
      <c r="F14" s="60" t="inlineStr">
        <is>
          <t>程序页</t>
        </is>
      </c>
      <c r="G14" s="60" t="inlineStr">
        <is>
          <t>执行</t>
        </is>
      </c>
      <c r="H14" s="60" t="inlineStr">
        <is>
          <t>不执行的原因</t>
        </is>
      </c>
      <c r="I14" s="60" t="inlineStr">
        <is>
          <t>注意事项</t>
        </is>
      </c>
      <c r="J14" s="44" t="n"/>
    </row>
    <row r="15" ht="124.5" customHeight="1" s="634">
      <c r="A15" s="0" t="n"/>
      <c r="B15" s="63" t="n">
        <v>1</v>
      </c>
      <c r="C15" s="462" t="inlineStr">
        <is>
          <t>若我们从其他程序中获得一部分审计证据（交叉索引至相关底稿）或未获取审计证据时，需结合我们对于被审计单位业务的了解，考虑截止性测试的范围与涵盖期间，基于风险评估确定样本策略，并记录我们认为影响我们确定截止时间、样本策略的因素。
IPE 考虑：</t>
        </is>
      </c>
      <c r="D15" s="635" t="n"/>
      <c r="E15" s="636" t="n"/>
      <c r="F15" s="453" t="inlineStr">
        <is>
          <t>N.03 截止测试</t>
        </is>
      </c>
      <c r="G15" s="62" t="n"/>
      <c r="H15" s="53" t="n"/>
      <c r="I15" s="131" t="inlineStr">
        <is>
          <t>若我们已从其他程序中获得了充分适当的审计证据，以应对应付账款截止风险时，无需执行本程序，并交叉索引至相关底稿；</t>
        </is>
      </c>
      <c r="J15" s="44" t="n"/>
    </row>
    <row r="16" ht="15" customHeight="1" s="634">
      <c r="A16" s="0" t="n"/>
      <c r="B16" s="59" t="inlineStr">
        <is>
          <t>N.04</t>
        </is>
      </c>
      <c r="C16" s="461" t="inlineStr">
        <is>
          <t>N.04寻找未入账负债（认定：C、V）</t>
        </is>
      </c>
      <c r="D16" s="635" t="n"/>
      <c r="E16" s="636" t="n"/>
      <c r="F16" s="60" t="inlineStr">
        <is>
          <t>程序页</t>
        </is>
      </c>
      <c r="G16" s="60" t="inlineStr">
        <is>
          <t>执行</t>
        </is>
      </c>
      <c r="H16" s="60" t="inlineStr">
        <is>
          <t>不执行的原因</t>
        </is>
      </c>
      <c r="I16" s="60" t="inlineStr">
        <is>
          <t>注意事项</t>
        </is>
      </c>
    </row>
    <row r="17" ht="40.5" customHeight="1" s="634">
      <c r="A17" s="0" t="n"/>
      <c r="B17" s="63" t="n">
        <v>1</v>
      </c>
      <c r="C17" s="462" t="inlineStr">
        <is>
          <t>通过寻找未入账的应付账款，验证资产负债表日应付账款的计价和完整性。</t>
        </is>
      </c>
      <c r="D17" s="635" t="n"/>
      <c r="E17" s="636" t="n"/>
      <c r="F17" s="65" t="inlineStr">
        <is>
          <t>N.04 寻找未入账负债</t>
        </is>
      </c>
      <c r="G17" s="62" t="n"/>
      <c r="H17" s="53" t="n"/>
      <c r="I17" s="62" t="n"/>
    </row>
    <row r="18" ht="14.25" customHeight="1" s="634">
      <c r="A18" s="0" t="n"/>
    </row>
    <row r="19" ht="14.25" customHeight="1" s="634">
      <c r="A19" s="0" t="n"/>
    </row>
    <row r="20" ht="14.25" customHeight="1" s="634">
      <c r="A20" s="0" t="n"/>
    </row>
  </sheetData>
  <mergeCells count="16">
    <mergeCell ref="C16:E16"/>
    <mergeCell ref="C14:E14"/>
    <mergeCell ref="C11:E11"/>
    <mergeCell ref="F9:F10"/>
    <mergeCell ref="C13:E13"/>
    <mergeCell ref="C5:E5"/>
    <mergeCell ref="F12:F13"/>
    <mergeCell ref="C8:E8"/>
    <mergeCell ref="C9:E9"/>
    <mergeCell ref="F6:F7"/>
    <mergeCell ref="C17:E17"/>
    <mergeCell ref="C7:E7"/>
    <mergeCell ref="C15:E15"/>
    <mergeCell ref="C12:E12"/>
    <mergeCell ref="C6:E6"/>
    <mergeCell ref="C10:E10"/>
  </mergeCells>
  <conditionalFormatting sqref="F6 F9 F12 F15:G15 G9:G10 G12:G13">
    <cfRule type="containsBlanks" priority="27" dxfId="4">
      <formula>LEN(TRIM(F6))=0</formula>
    </cfRule>
  </conditionalFormatting>
  <conditionalFormatting sqref="F17:G17">
    <cfRule type="containsBlanks" priority="1" dxfId="4">
      <formula>LEN(TRIM(F17))=0</formula>
    </cfRule>
  </conditionalFormatting>
  <conditionalFormatting sqref="G6:G7">
    <cfRule type="containsBlanks" priority="23" dxfId="4">
      <formula>LEN(TRIM(G6))=0</formula>
    </cfRule>
  </conditionalFormatting>
  <conditionalFormatting sqref="H6:H7 H9:H10 H12:H13 H15 H17">
    <cfRule type="expression" priority="10" dxfId="13">
      <formula>SUMPRODUCT((G6="否")*(LEN(H6)=0))</formula>
    </cfRule>
  </conditionalFormatting>
  <dataValidations disablePrompts="1" count="1">
    <dataValidation sqref="G6:G7 G9:G10 G12:G13 G15 G17" showDropDown="0" showInputMessage="1" showErrorMessage="0" allowBlank="1" type="list">
      <formula1>"是,否"</formula1>
    </dataValidation>
  </dataValidations>
  <hyperlinks>
    <hyperlink xmlns:r="http://schemas.openxmlformats.org/officeDocument/2006/relationships" ref="F2" display="https://eychinamanaged.sharepoint.cn/:x:/r/sites/GCknowledgecenter/Shared Documents/%E5%AE%A1%E8%AE%A1%E6%A0%87%E5%87%86%E5%BA%95%E7%A8%BF/%E6%A0%87%E5%87%86%E5%AE%A1%E8%AE%A1%E5%BA%95%E7%A8%BF%E6%A8%A1%E6%9D%BF%E7%AC%AC%E4%BA%94%E7%89%88-%E4%BD%BF%E7%94%A8%E7%89%88/OSP/OSP N SWP %E5%BA%94%E4%BB%98%E8%B4%A6%E6%AC%BE%E8%B4%A6%E9%BE%84%E5%A4%8D%E6%A0%B8 202YMMDD XYZ%E5%85%AC%E5%8F%B8.xlsx?d=wbaf427bca11842b3800de5f38ba2cd51&amp;csf=1&amp;web=1&amp;e=QG5BJl" r:id="rId1"/>
    <hyperlink xmlns:r="http://schemas.openxmlformats.org/officeDocument/2006/relationships" ref="F3" display="https://eychinamanaged.sharepoint.cn/:x:/r/sites/GCknowledgecenter/Shared Documents/%E5%AE%A1%E8%AE%A1%E6%A0%87%E5%87%86%E5%BA%95%E7%A8%BF/%E6%A0%87%E5%87%86%E5%AE%A1%E8%AE%A1%E5%BA%95%E7%A8%BF%E6%A8%A1%E6%9D%BF%E7%AC%AC%E5%85%AD%E7%89%88-%E4%BD%BF%E7%94%A8%E7%89%88/%E5%87%BD%E8%AF%81 SWP %E8%B4%9F%E5%80%BA%E7%B1%BB%E7%A7%91%E7%9B%AE 202YMMDD XYZ%E5%85%AC%E5%8F%B8.xlsx?d=w3d16851f9f4b42cdb1b3e5783b626bed&amp;csf=1&amp;web=1&amp;e=qqqCpZ" r:id="rId2"/>
    <hyperlink ref="F6" location="'N.00 Lead sheet'!A1" display="N.00 Lead sheet"/>
    <hyperlink ref="F9" location="'N.01 明细账与总账核对'!A1" display="'N.01 明细账与总账核对'!A1"/>
    <hyperlink ref="F12" location="'N.02 异常项复核'!A1" display="'N.02 异常项复核'!A1"/>
    <hyperlink ref="F15" location="'N.03 截止测试'!A1" display="'N.03 截止测试'!A1"/>
    <hyperlink ref="F17" location="'N.04 寻找未入账负债'!A1" display="N.04 寻找未入账的负债"/>
  </hyperlinks>
  <pageMargins left="0.7" right="0.7" top="0.75" bottom="0.75" header="0.3" footer="0.3"/>
</worksheet>
</file>

<file path=xl/worksheets/sheet2.xml><?xml version="1.0" encoding="utf-8"?>
<worksheet xmlns="http://schemas.openxmlformats.org/spreadsheetml/2006/main">
  <sheetPr codeName="Sheet3">
    <outlinePr summaryBelow="1" summaryRight="1"/>
    <pageSetUpPr/>
  </sheetPr>
  <dimension ref="A1:AL92"/>
  <sheetViews>
    <sheetView showGridLines="0" zoomScale="70" zoomScaleNormal="70" workbookViewId="0">
      <selection activeCell="G72" sqref="G72"/>
    </sheetView>
  </sheetViews>
  <sheetFormatPr baseColWidth="8" defaultColWidth="8.75" defaultRowHeight="12.75" customHeight="1"/>
  <cols>
    <col width="2.625" customWidth="1" style="151" min="1" max="1"/>
    <col width="29" customWidth="1" style="138" min="2" max="2"/>
    <col width="23.375" customWidth="1" style="138" min="3" max="3"/>
    <col width="29.25" customWidth="1" style="138" min="4" max="4"/>
    <col width="15.25" customWidth="1" style="138" min="5" max="5"/>
    <col width="16.125" customWidth="1" style="138" min="6" max="6"/>
    <col width="15" customWidth="1" style="138" min="7" max="11"/>
    <col width="14.25" customWidth="1" style="138" min="12" max="12"/>
    <col width="13.125" customWidth="1" style="138" min="13" max="13"/>
    <col width="14.125" customWidth="1" style="138" min="14" max="14"/>
    <col width="15.625" customWidth="1" style="138" min="15" max="15"/>
    <col width="17.625" customWidth="1" style="138" min="16" max="16"/>
    <col width="2.625" customWidth="1" style="138" min="17" max="17"/>
    <col width="1.625" customWidth="1" style="138" min="18" max="18"/>
    <col width="11.125" customWidth="1" style="138" min="19" max="19"/>
    <col width="12.75" customWidth="1" style="138" min="20" max="20"/>
    <col width="8.75" customWidth="1" style="138" min="21" max="16384"/>
  </cols>
  <sheetData>
    <row r="1" ht="50.1" customFormat="1" customHeight="1" s="132">
      <c r="B1" s="214" t="inlineStr">
        <is>
          <t>标准工作底稿: N SWP 应付账款</t>
        </is>
      </c>
      <c r="C1" s="215" t="n"/>
      <c r="D1" s="216" t="n"/>
      <c r="E1" s="216" t="n"/>
      <c r="F1" s="216" t="n"/>
      <c r="G1" s="216" t="n"/>
      <c r="H1" s="216" t="n"/>
      <c r="I1" s="216" t="n"/>
      <c r="J1" s="216" t="n"/>
      <c r="K1" s="216" t="n"/>
      <c r="L1" s="216" t="n"/>
      <c r="M1" s="216" t="n"/>
      <c r="N1" s="216" t="n"/>
      <c r="O1" s="216" t="n"/>
      <c r="P1" s="217" t="n"/>
      <c r="Q1" s="218" t="n"/>
      <c r="R1" s="219" t="n"/>
    </row>
    <row r="2" ht="25.9" customFormat="1" customHeight="1" s="135">
      <c r="B2" s="145" t="inlineStr">
        <is>
          <t>客户名称</t>
        </is>
      </c>
      <c r="C2" s="172" t="inlineStr">
        <is>
          <t>东风鸿远工程咨询有限公司</t>
        </is>
      </c>
      <c r="D2" s="638" t="inlineStr">
        <is>
          <t>此工作底稿需要与以下 Canvas PSP guided workflow forms一起使用：
     •N.00应付账款引导表
     •N.01将明细账与总账核对一致
     •N.02异常项复核
     •N.03应付账款截止测试
     •N.04寻找未入账负债
     •账户结论</t>
        </is>
      </c>
      <c r="P2" s="639" t="n"/>
      <c r="Q2" s="133" t="n"/>
      <c r="R2" s="134" t="n"/>
    </row>
    <row r="3" ht="21.75" customFormat="1" customHeight="1" s="135">
      <c r="B3" s="146" t="inlineStr">
        <is>
          <t>期末</t>
        </is>
      </c>
      <c r="C3" s="640" t="n">
        <v>46387</v>
      </c>
      <c r="D3" s="641" t="n"/>
      <c r="P3" s="639" t="n"/>
      <c r="Q3" s="133" t="n"/>
      <c r="R3" s="134" t="n"/>
    </row>
    <row r="4" ht="21.75" customFormat="1" customHeight="1" s="135">
      <c r="B4" s="146" t="inlineStr">
        <is>
          <t>分析日期</t>
        </is>
      </c>
      <c r="C4" s="642" t="n">
        <v>46168.73625502182</v>
      </c>
      <c r="D4" s="641" t="n"/>
      <c r="P4" s="639" t="n"/>
      <c r="Q4" s="133" t="n"/>
      <c r="R4" s="134" t="n"/>
    </row>
    <row r="5" ht="21.75" customFormat="1" customHeight="1" s="135">
      <c r="B5" s="146" t="inlineStr">
        <is>
          <t>可容忍误差（TE）</t>
        </is>
      </c>
      <c r="C5" s="643" t="n"/>
      <c r="D5" s="641" t="n"/>
      <c r="P5" s="639" t="n"/>
      <c r="Q5" s="133" t="n"/>
      <c r="R5" s="134" t="n"/>
    </row>
    <row r="6" ht="21.75" customFormat="1" customHeight="1" s="135">
      <c r="B6" s="146" t="inlineStr">
        <is>
          <t>名义金额（SAD）</t>
        </is>
      </c>
      <c r="C6" s="643" t="n"/>
      <c r="D6" s="641" t="n"/>
      <c r="P6" s="639" t="n"/>
      <c r="Q6" s="133" t="n"/>
      <c r="R6" s="134" t="n"/>
    </row>
    <row r="7" ht="21.75" customFormat="1" customHeight="1" s="135">
      <c r="B7" s="146" t="inlineStr">
        <is>
          <t>适用会计准则</t>
        </is>
      </c>
      <c r="C7" s="174" t="inlineStr">
        <is>
          <t>PRC</t>
        </is>
      </c>
      <c r="D7" s="641" t="n"/>
      <c r="P7" s="639" t="n"/>
      <c r="Q7" s="133" t="n"/>
      <c r="R7" s="134" t="n"/>
    </row>
    <row r="8" ht="21.75" customFormat="1" customHeight="1" s="135">
      <c r="B8" s="148" t="inlineStr">
        <is>
          <t>记账本位币</t>
        </is>
      </c>
      <c r="C8" s="175" t="inlineStr">
        <is>
          <t>CNY</t>
        </is>
      </c>
      <c r="D8" s="644" t="n"/>
      <c r="E8" s="645" t="n"/>
      <c r="F8" s="645" t="n"/>
      <c r="G8" s="645" t="n"/>
      <c r="H8" s="645" t="n"/>
      <c r="I8" s="645" t="n"/>
      <c r="J8" s="645" t="n"/>
      <c r="K8" s="645" t="n"/>
      <c r="L8" s="645" t="n"/>
      <c r="M8" s="645" t="n"/>
      <c r="N8" s="645" t="n"/>
      <c r="O8" s="645" t="n"/>
      <c r="P8" s="646" t="n"/>
      <c r="Q8" s="133" t="n"/>
      <c r="R8" s="134" t="n"/>
    </row>
    <row r="9" ht="30" customFormat="1" customHeight="1" s="136">
      <c r="B9" s="220" t="inlineStr">
        <is>
          <t>N.00 编制引导表并比较余额</t>
        </is>
      </c>
      <c r="C9" s="221" t="n"/>
      <c r="D9" s="221" t="n"/>
      <c r="E9" s="221" t="n"/>
      <c r="F9" s="221" t="n"/>
      <c r="G9" s="221" t="n"/>
      <c r="H9" s="221" t="n"/>
      <c r="I9" s="221" t="n"/>
      <c r="J9" s="221" t="n"/>
      <c r="K9" s="221" t="n"/>
      <c r="L9" s="221" t="n"/>
      <c r="M9" s="221" t="n"/>
      <c r="N9" s="221" t="n"/>
      <c r="O9" s="221" t="n"/>
      <c r="P9" s="222" t="n"/>
      <c r="Q9" s="218" t="n"/>
      <c r="R9" s="219" t="n"/>
    </row>
    <row r="10" ht="15" customFormat="1" customHeight="1" s="132">
      <c r="B10" s="10" t="n"/>
      <c r="C10" s="10" t="n"/>
      <c r="D10" s="10" t="n"/>
      <c r="E10" s="10" t="n"/>
      <c r="F10" s="10" t="n"/>
      <c r="G10" s="10" t="n"/>
      <c r="H10" s="10" t="n"/>
      <c r="I10" s="10" t="n"/>
      <c r="J10" s="10" t="n"/>
      <c r="K10" s="10" t="n"/>
      <c r="L10" s="10" t="n"/>
      <c r="M10" s="10" t="n"/>
      <c r="N10" s="10" t="n"/>
      <c r="O10" s="10" t="n"/>
      <c r="P10" s="10" t="n"/>
      <c r="Q10" s="218" t="n"/>
      <c r="R10" s="219" t="n"/>
    </row>
    <row r="11" ht="15" customFormat="1" customHeight="1" s="132">
      <c r="B11" s="46" t="inlineStr">
        <is>
          <t>返回汇总页</t>
        </is>
      </c>
      <c r="C11" s="10" t="n"/>
      <c r="D11" s="10" t="n"/>
      <c r="E11" s="10" t="n"/>
      <c r="F11" s="10" t="n"/>
      <c r="G11" s="10" t="n"/>
      <c r="H11" s="10" t="n"/>
      <c r="I11" s="10" t="n"/>
      <c r="J11" s="10" t="n"/>
      <c r="K11" s="10" t="n"/>
      <c r="L11" s="10" t="n"/>
      <c r="M11" s="10" t="n"/>
      <c r="N11" s="10" t="n"/>
      <c r="O11" s="10" t="n"/>
      <c r="P11" s="10" t="n"/>
      <c r="Q11" s="218" t="n"/>
      <c r="R11" s="219" t="n"/>
    </row>
    <row r="12" ht="15" customFormat="1" customHeight="1" s="132">
      <c r="B12" s="10" t="n"/>
      <c r="C12" s="10" t="n"/>
      <c r="D12" s="10" t="n"/>
      <c r="E12" s="10" t="n"/>
      <c r="F12" s="10" t="n"/>
      <c r="G12" s="10" t="n"/>
      <c r="H12" s="10" t="n"/>
      <c r="I12" s="10" t="n"/>
      <c r="J12" s="10" t="n"/>
      <c r="K12" s="10" t="n"/>
      <c r="L12" s="10" t="n"/>
      <c r="M12" s="10" t="n"/>
      <c r="N12" s="10" t="n"/>
      <c r="O12" s="10" t="n"/>
      <c r="P12" s="10" t="n"/>
      <c r="Q12" s="218" t="n"/>
      <c r="R12" s="219" t="n"/>
    </row>
    <row r="13" ht="15" customFormat="1" customHeight="1" s="132">
      <c r="B13" s="223" t="n"/>
      <c r="C13" s="223" t="n"/>
      <c r="D13" s="224" t="inlineStr">
        <is>
          <t>Threshold(s)</t>
        </is>
      </c>
      <c r="E13" s="225" t="n"/>
      <c r="F13" s="10" t="n"/>
      <c r="G13" s="10" t="n"/>
      <c r="H13" s="647" t="inlineStr">
        <is>
          <t>安永标记</t>
        </is>
      </c>
      <c r="I13" s="648" t="n"/>
      <c r="J13" s="648" t="n"/>
      <c r="K13" s="648" t="n"/>
      <c r="L13" s="649" t="n"/>
      <c r="M13" s="10" t="n"/>
      <c r="N13" s="10" t="n"/>
      <c r="O13" s="10" t="n"/>
      <c r="P13" s="10" t="n"/>
      <c r="Q13" s="218" t="n"/>
      <c r="R13" s="219" t="n"/>
    </row>
    <row r="14" ht="15" customFormat="1" customHeight="1" s="132">
      <c r="B14" s="405" t="inlineStr">
        <is>
          <t>认定</t>
        </is>
      </c>
      <c r="C14" s="405" t="inlineStr">
        <is>
          <t>CRA</t>
        </is>
      </c>
      <c r="D14" s="405" t="inlineStr">
        <is>
          <t>各项认定1</t>
        </is>
      </c>
      <c r="E14" s="406" t="inlineStr">
        <is>
          <t>所有相关认定 2</t>
        </is>
      </c>
      <c r="F14" s="10" t="n"/>
      <c r="G14" s="10" t="n"/>
      <c r="H14" s="226" t="inlineStr">
        <is>
          <t>TB</t>
        </is>
      </c>
      <c r="I14" s="227" t="inlineStr">
        <is>
          <t>已与科目余额表核对无误</t>
        </is>
      </c>
      <c r="J14" s="165" t="n"/>
      <c r="K14" s="165" t="n"/>
      <c r="L14" s="166" t="n"/>
      <c r="M14" s="10" t="n"/>
      <c r="N14" s="10" t="n"/>
      <c r="O14" s="10" t="n"/>
      <c r="P14" s="10" t="n"/>
      <c r="Q14" s="218" t="n"/>
      <c r="R14" s="219" t="n"/>
    </row>
    <row r="15" ht="15" customFormat="1" customHeight="1" s="132">
      <c r="B15" s="407" t="inlineStr">
        <is>
          <t>完整性 (C)</t>
        </is>
      </c>
      <c r="C15" s="228" t="n"/>
      <c r="D15" s="650">
        <f>IF(C15="Minimal",$C$5*50%,IF(C15="Low",$C$5*25%,IF(C15="Moderate",$C$5*15%,IF(C15="High",$C$5*10%,IF(C15="N/A","-",)))))</f>
        <v/>
      </c>
      <c r="E15" s="651">
        <f>MIN($D$15:$D$19)</f>
        <v/>
      </c>
      <c r="F15" s="10" t="n"/>
      <c r="G15" s="10" t="n"/>
      <c r="H15" s="149" t="inlineStr">
        <is>
          <t>PY</t>
        </is>
      </c>
      <c r="I15" s="227" t="inlineStr">
        <is>
          <t>与上年最终审定数核对一致</t>
        </is>
      </c>
      <c r="J15" s="163" t="n"/>
      <c r="K15" s="231" t="n"/>
      <c r="L15" s="232" t="n"/>
      <c r="M15" s="10" t="n"/>
      <c r="N15" s="10" t="n"/>
      <c r="O15" s="10" t="n"/>
      <c r="P15" s="10" t="n"/>
      <c r="Q15" s="218" t="n"/>
      <c r="R15" s="219" t="n"/>
    </row>
    <row r="16" ht="15" customFormat="1" customHeight="1" s="132">
      <c r="B16" s="407" t="inlineStr">
        <is>
          <t>存在性 (E)</t>
        </is>
      </c>
      <c r="C16" s="228" t="n"/>
      <c r="D16" s="650">
        <f>IF(C16="Minimal",$C$5*100%,IF(C16="Low",$C$5*75%,IF(C16="Moderate",$C$5*50%,IF(C16="High",$C$5*25%,IF(C16="N/A","-",)))))</f>
        <v/>
      </c>
      <c r="E16" s="652" t="n"/>
      <c r="F16" s="10" t="n"/>
      <c r="G16" s="10" t="n"/>
      <c r="H16" s="226" t="inlineStr">
        <is>
          <t>A3</t>
        </is>
      </c>
      <c r="I16" s="234" t="inlineStr">
        <is>
          <t>与未审数、审定数核对一致</t>
        </is>
      </c>
      <c r="J16" s="235" t="n"/>
      <c r="K16" s="231" t="n"/>
      <c r="L16" s="232" t="n"/>
      <c r="M16" s="10" t="n"/>
      <c r="N16" s="10" t="n"/>
      <c r="O16" s="10" t="n"/>
      <c r="P16" s="10" t="n"/>
      <c r="Q16" s="218" t="n"/>
      <c r="R16" s="219" t="n"/>
    </row>
    <row r="17" ht="15" customFormat="1" customHeight="1" s="132">
      <c r="B17" s="407" t="inlineStr">
        <is>
          <t>计价（V）</t>
        </is>
      </c>
      <c r="C17" s="228" t="n"/>
      <c r="D17" s="650">
        <f>IF(C17="Minimal",$C$5*100%,IF(C17="Low",$C$5*75%,IF(C17="Moderate",$C$5*50%,IF(C17="High",$C$5*25%,IF(C17="N/A","-",)))))</f>
        <v/>
      </c>
      <c r="E17" s="652" t="n"/>
      <c r="F17" s="10" t="n"/>
      <c r="G17" s="10" t="n"/>
      <c r="H17" s="226" t="inlineStr">
        <is>
          <t>A5</t>
        </is>
      </c>
      <c r="I17" s="234" t="inlineStr">
        <is>
          <t>与审计调整核对一致</t>
        </is>
      </c>
      <c r="J17" s="236" t="n"/>
      <c r="K17" s="231" t="n"/>
      <c r="L17" s="232" t="n"/>
      <c r="M17" s="10" t="n"/>
      <c r="N17" s="10" t="n"/>
      <c r="O17" s="10" t="n"/>
      <c r="P17" s="10" t="n"/>
      <c r="Q17" s="218" t="n"/>
      <c r="R17" s="219" t="n"/>
    </row>
    <row r="18" ht="15" customFormat="1" customHeight="1" s="132">
      <c r="B18" s="407" t="inlineStr">
        <is>
          <t>权利和义务（R&amp;O）</t>
        </is>
      </c>
      <c r="C18" s="228" t="n"/>
      <c r="D18" s="650">
        <f>IF(C18="Minimal",$C$5*100%,IF(C18="Low",$C$5*75%,IF(C18="Moderate",$C$5*50%,IF(C18="High",$C$5*25%,IF(C18="N/A","-",)))))</f>
        <v/>
      </c>
      <c r="E18" s="652" t="n"/>
      <c r="F18" s="10" t="n"/>
      <c r="G18" s="10" t="n"/>
      <c r="H18" s="237" t="inlineStr">
        <is>
          <t>FS</t>
        </is>
      </c>
      <c r="I18" s="227" t="inlineStr">
        <is>
          <t>与FS.0x与财务报表核对无误</t>
        </is>
      </c>
      <c r="J18" s="238" t="n"/>
      <c r="K18" s="239" t="n"/>
      <c r="L18" s="240" t="n"/>
      <c r="M18" s="10" t="n"/>
      <c r="N18" s="10" t="n"/>
      <c r="O18" s="10" t="n"/>
      <c r="P18" s="10" t="n"/>
      <c r="Q18" s="218" t="n"/>
      <c r="R18" s="219" t="n"/>
    </row>
    <row r="19" ht="15" customFormat="1" customHeight="1" s="132">
      <c r="B19" s="408" t="inlineStr">
        <is>
          <t>列报和披露（P&amp;D）</t>
        </is>
      </c>
      <c r="C19" s="241" t="n"/>
      <c r="D19" s="650">
        <f>IF(C19="Minimal",$C$5*100%,IF(C19="Low",$C$5*75%,IF(C19="Moderate",$C$5*50%,IF(C19="High",$C$5*25%,IF(C19="N/A","-",)))))</f>
        <v/>
      </c>
      <c r="E19" s="653" t="n"/>
      <c r="F19" s="10" t="n"/>
      <c r="G19" s="10" t="n"/>
      <c r="H19" s="150" t="inlineStr">
        <is>
          <t>w</t>
        </is>
      </c>
      <c r="I19" s="227" t="inlineStr">
        <is>
          <t>低于SAD的金额——放弃进一步调查</t>
        </is>
      </c>
      <c r="J19" s="231" t="n"/>
      <c r="K19" s="231" t="n"/>
      <c r="L19" s="232" t="n"/>
      <c r="M19" s="10" t="n"/>
      <c r="N19" s="10" t="n"/>
      <c r="O19" s="10" t="n"/>
      <c r="P19" s="10" t="n"/>
      <c r="Q19" s="218" t="n"/>
      <c r="R19" s="219" t="n"/>
    </row>
    <row r="20" ht="15" customFormat="1" customHeight="1" s="132">
      <c r="B20" s="498" t="inlineStr">
        <is>
          <t xml:space="preserve">1 各项认定的测试阈值，是根据EY GAM SUBSTANTIVE DESIGN 2.2.1 </t>
        </is>
      </c>
      <c r="F20" s="10" t="n"/>
      <c r="G20" s="10" t="n"/>
      <c r="H20" s="226" t="inlineStr">
        <is>
          <t>Rx</t>
        </is>
      </c>
      <c r="I20" s="227" t="inlineStr">
        <is>
          <t>重新计算，无异常</t>
        </is>
      </c>
      <c r="J20" s="231" t="n"/>
      <c r="K20" s="231" t="n"/>
      <c r="L20" s="232" t="n"/>
      <c r="M20" s="243" t="n"/>
      <c r="N20" s="243" t="n"/>
      <c r="O20" s="243" t="n"/>
      <c r="P20" s="243" t="n"/>
      <c r="Q20" s="218" t="n"/>
      <c r="R20" s="219" t="n"/>
    </row>
    <row r="21" ht="15" customFormat="1" customHeight="1" s="132">
      <c r="B21" s="176" t="inlineStr">
        <is>
          <t>中的示例测试阈值（用占TE的百分比表示）在相应风险等级（CRA）区间的上限计算得出的。</t>
        </is>
      </c>
      <c r="C21" s="498" t="n"/>
      <c r="D21" s="498" t="n"/>
      <c r="E21" s="498" t="n"/>
      <c r="F21" s="10" t="n"/>
      <c r="G21" s="10" t="n"/>
      <c r="H21" s="150" t="inlineStr">
        <is>
          <t>m</t>
        </is>
      </c>
      <c r="I21" s="227" t="inlineStr">
        <is>
          <t>余额/活动不符合测试范围–无需进一步调查</t>
        </is>
      </c>
      <c r="J21" s="231" t="n"/>
      <c r="K21" s="231" t="n"/>
      <c r="L21" s="232" t="n"/>
      <c r="M21" s="243" t="n"/>
      <c r="N21" s="243" t="n"/>
      <c r="O21" s="243" t="n"/>
      <c r="P21" s="243" t="n"/>
      <c r="Q21" s="218" t="n"/>
      <c r="R21" s="219" t="n"/>
    </row>
    <row r="22" ht="15" customFormat="1" customHeight="1" s="132">
      <c r="B22" s="176" t="inlineStr">
        <is>
          <t>除负债/费用类别账户的完整性认定应当使用负债/费用账户表之外，其他类别账户和认定均可使用资产/收入账户表。</t>
        </is>
      </c>
      <c r="C22" s="498" t="n"/>
      <c r="D22" s="498" t="n"/>
      <c r="E22" s="498" t="n"/>
      <c r="F22" s="10" t="n"/>
      <c r="G22" s="10" t="n"/>
      <c r="H22" s="244" t="inlineStr">
        <is>
          <t>SL</t>
        </is>
      </c>
      <c r="I22" s="245" t="inlineStr">
        <is>
          <t>已与明细账核对无误</t>
        </is>
      </c>
      <c r="J22" s="238" t="n"/>
      <c r="K22" s="238" t="n"/>
      <c r="L22" s="246" t="n"/>
      <c r="M22" s="243" t="n"/>
      <c r="N22" s="243" t="n"/>
      <c r="O22" s="243" t="n"/>
      <c r="P22" s="243" t="n"/>
      <c r="Q22" s="218" t="n"/>
      <c r="R22" s="219" t="n"/>
    </row>
    <row r="23" ht="31.5" customFormat="1" customHeight="1" s="132">
      <c r="B23" s="498" t="inlineStr">
        <is>
          <t>2 所有相关认定的测试阈值，是所有有效认定对应之测试阈值的最小值。我们在 Lead中使用该测试阈值：（a）作为选取总账账户进行测试的起点；（b）作为（需要进一步调查的）金额波动范围的起点。</t>
        </is>
      </c>
      <c r="F23" s="10" t="n"/>
      <c r="G23" s="10" t="n"/>
      <c r="H23" s="247" t="n"/>
      <c r="I23" s="169" t="n"/>
      <c r="J23" s="223" t="n"/>
      <c r="K23" s="223" t="n"/>
      <c r="L23" s="223" t="n"/>
      <c r="M23" s="243" t="n"/>
      <c r="N23" s="243" t="n"/>
      <c r="O23" s="243" t="n"/>
      <c r="P23" s="243" t="n"/>
      <c r="Q23" s="218" t="n"/>
      <c r="R23" s="219" t="n"/>
    </row>
    <row r="24" ht="12.75" customHeight="1" s="634">
      <c r="B24" s="164" t="n"/>
      <c r="C24" s="164" t="n"/>
      <c r="D24" s="164" t="n"/>
      <c r="E24" s="164" t="n"/>
      <c r="F24" s="164" t="n"/>
      <c r="G24" s="164" t="n"/>
      <c r="H24" s="164" t="n"/>
      <c r="I24" s="164" t="n"/>
      <c r="J24" s="164" t="n"/>
      <c r="K24" s="164" t="n"/>
      <c r="L24" s="164" t="n"/>
      <c r="M24" s="164" t="n"/>
      <c r="N24" s="164" t="n"/>
      <c r="O24" s="164" t="n"/>
      <c r="P24" s="164" t="n"/>
      <c r="Q24" s="164" t="n"/>
      <c r="R24" s="219" t="n"/>
    </row>
    <row r="25" ht="15" customFormat="1" customHeight="1" s="137">
      <c r="B25" s="248" t="inlineStr">
        <is>
          <t>在下文中描述我们对应付账款在此期间的相关账户余额和相关波动的预期，以及我们对这些预期的依据和理由。</t>
        </is>
      </c>
      <c r="C25" s="152" t="n"/>
      <c r="D25" s="152" t="n"/>
      <c r="E25" s="152" t="n"/>
      <c r="F25" s="152" t="n"/>
      <c r="G25" s="164" t="n"/>
      <c r="H25" s="164" t="n"/>
      <c r="I25" s="164" t="n"/>
      <c r="J25" s="164" t="n"/>
      <c r="K25" s="164" t="n"/>
      <c r="L25" s="164" t="n"/>
      <c r="M25" s="164" t="n"/>
      <c r="N25" s="164" t="n"/>
      <c r="O25" s="164" t="n"/>
      <c r="P25" s="164" t="n"/>
      <c r="Q25" s="218" t="n"/>
      <c r="R25" s="219" t="n"/>
    </row>
    <row r="26" ht="15" customFormat="1" customHeight="1" s="132">
      <c r="B26" s="654" t="n"/>
      <c r="C26" s="655" t="n"/>
      <c r="D26" s="655" t="n"/>
      <c r="E26" s="655" t="n"/>
      <c r="F26" s="656" t="n"/>
      <c r="G26" s="164" t="n"/>
      <c r="H26" s="164" t="n"/>
      <c r="I26" s="164" t="n"/>
      <c r="J26" s="164" t="n"/>
      <c r="K26" s="164" t="n"/>
      <c r="L26" s="164" t="n"/>
      <c r="M26" s="164" t="n"/>
      <c r="N26" s="164" t="n"/>
      <c r="O26" s="164" t="n"/>
      <c r="P26" s="164" t="n"/>
      <c r="Q26" s="218" t="n"/>
      <c r="R26" s="219" t="n"/>
    </row>
    <row r="27" ht="12.95" customFormat="1" customHeight="1" s="132">
      <c r="B27" s="657" t="n"/>
      <c r="C27" s="658" t="n"/>
      <c r="D27" s="658" t="n"/>
      <c r="E27" s="658" t="n"/>
      <c r="F27" s="659" t="n"/>
      <c r="G27" s="164" t="n"/>
      <c r="H27" s="164" t="n"/>
      <c r="I27" s="164" t="n"/>
      <c r="J27" s="164" t="n"/>
      <c r="K27" s="164" t="n"/>
      <c r="L27" s="164" t="n"/>
      <c r="M27" s="164" t="n"/>
      <c r="N27" s="164" t="n"/>
      <c r="O27" s="164" t="n"/>
      <c r="P27" s="164" t="n"/>
      <c r="Q27" s="218" t="n"/>
      <c r="R27" s="219" t="n"/>
    </row>
    <row r="28" ht="12.95" customFormat="1" customHeight="1" s="132">
      <c r="B28" s="660" t="n"/>
      <c r="C28" s="661" t="n"/>
      <c r="D28" s="661" t="n"/>
      <c r="E28" s="661" t="n"/>
      <c r="F28" s="662" t="n"/>
      <c r="G28" s="164" t="n"/>
      <c r="H28" s="164" t="n"/>
      <c r="I28" s="164" t="n"/>
      <c r="J28" s="164" t="n"/>
      <c r="K28" s="164" t="n"/>
      <c r="L28" s="164" t="n"/>
      <c r="M28" s="164" t="n"/>
      <c r="N28" s="164" t="n"/>
      <c r="O28" s="164" t="n"/>
      <c r="P28" s="164" t="n"/>
      <c r="Q28" s="218" t="n"/>
      <c r="R28" s="219" t="n"/>
    </row>
    <row r="29" ht="15" customFormat="1" customHeight="1" s="132">
      <c r="B29" s="12" t="n"/>
      <c r="C29" s="249" t="n"/>
      <c r="D29" s="249" t="n"/>
      <c r="E29" s="249" t="n"/>
      <c r="F29" s="249" t="n"/>
      <c r="G29" s="164" t="n"/>
      <c r="H29" s="164" t="n"/>
      <c r="I29" s="164" t="n"/>
      <c r="J29" s="164" t="n"/>
      <c r="K29" s="164" t="n"/>
      <c r="L29" s="164" t="n"/>
      <c r="M29" s="164" t="n"/>
      <c r="N29" s="164" t="n"/>
      <c r="O29" s="164" t="n"/>
      <c r="P29" s="164" t="n"/>
      <c r="Q29" s="218" t="n"/>
      <c r="R29" s="219" t="n"/>
    </row>
    <row r="30" ht="15" customFormat="1" customHeight="1" s="132">
      <c r="B30" s="250" t="inlineStr">
        <is>
          <t>波动范围</t>
        </is>
      </c>
      <c r="C30" s="251" t="n"/>
      <c r="D30" s="663" t="n"/>
      <c r="E30" s="253" t="n"/>
      <c r="F30" s="253" t="n"/>
      <c r="G30" s="253" t="n"/>
      <c r="H30" s="253" t="n"/>
      <c r="I30" s="253" t="n"/>
      <c r="J30" s="253" t="n"/>
      <c r="K30" s="253" t="n"/>
      <c r="L30" s="10" t="n"/>
      <c r="M30" s="10" t="n"/>
      <c r="N30" s="254" t="n"/>
      <c r="O30" s="10" t="n"/>
      <c r="P30" s="10" t="n"/>
      <c r="Q30" s="218" t="n"/>
      <c r="R30" s="219" t="n"/>
    </row>
    <row r="31" ht="15" customFormat="1" customHeight="1" s="132">
      <c r="B31" s="255">
        <f>"波动幅度 ("&amp;C8&amp; "):"</f>
        <v/>
      </c>
      <c r="C31" s="664">
        <f>$E$15</f>
        <v/>
      </c>
      <c r="D31" s="257" t="n"/>
      <c r="E31" s="10" t="n"/>
      <c r="F31" s="10" t="n"/>
      <c r="G31" s="10" t="n"/>
      <c r="H31" s="10" t="n"/>
      <c r="I31" s="10" t="n"/>
      <c r="J31" s="10" t="n"/>
      <c r="K31" s="10" t="n"/>
      <c r="L31" s="10" t="n"/>
      <c r="M31" s="10" t="n"/>
      <c r="N31" s="254" t="n"/>
      <c r="O31" s="10" t="n"/>
      <c r="P31" s="10" t="n"/>
      <c r="Q31" s="218" t="n"/>
      <c r="R31" s="219" t="n"/>
    </row>
    <row r="32" ht="15" customFormat="1" customHeight="1" s="139">
      <c r="B32" s="255" t="inlineStr">
        <is>
          <t>波动幅度 (%):</t>
        </is>
      </c>
      <c r="C32" s="258" t="n">
        <v>0.1</v>
      </c>
      <c r="D32" s="259" t="n"/>
      <c r="E32" s="260" t="n"/>
      <c r="F32" s="260" t="n"/>
      <c r="G32" s="260" t="n"/>
      <c r="H32" s="260" t="n"/>
      <c r="I32" s="260" t="n"/>
      <c r="J32" s="260" t="n"/>
      <c r="K32" s="260" t="n"/>
      <c r="L32" s="260" t="n"/>
      <c r="M32" s="10" t="n"/>
      <c r="N32" s="261" t="n"/>
      <c r="O32" s="260" t="n"/>
      <c r="P32" s="260" t="n"/>
      <c r="Q32" s="218" t="n"/>
      <c r="R32" s="219" t="n"/>
    </row>
    <row r="33" ht="15" customFormat="1" customHeight="1" s="139">
      <c r="B33" s="262" t="n"/>
      <c r="C33" s="263" t="n"/>
      <c r="D33" s="259" t="n"/>
      <c r="E33" s="260" t="n"/>
      <c r="F33" s="260" t="n"/>
      <c r="G33" s="260" t="n"/>
      <c r="H33" s="260" t="n"/>
      <c r="I33" s="260" t="n"/>
      <c r="J33" s="260" t="n"/>
      <c r="K33" s="260" t="n"/>
      <c r="L33" s="260" t="n"/>
      <c r="M33" s="260" t="n"/>
      <c r="N33" s="10" t="n"/>
      <c r="O33" s="261" t="n"/>
      <c r="P33" s="260" t="n"/>
      <c r="Q33" s="260" t="n"/>
      <c r="R33" s="219" t="n"/>
      <c r="S33" s="260" t="n"/>
      <c r="T33" s="260" t="n"/>
      <c r="U33" s="260" t="n"/>
      <c r="V33" s="260" t="n"/>
    </row>
    <row r="34" ht="15" customFormat="1" customHeight="1" s="139">
      <c r="B34" s="260" t="n"/>
      <c r="C34" s="223" t="n"/>
      <c r="D34" s="223" t="n"/>
      <c r="E34" s="223" t="n"/>
      <c r="F34" s="260" t="n"/>
      <c r="G34" s="50" t="n"/>
      <c r="H34" s="50" t="n"/>
      <c r="I34" s="50" t="n"/>
      <c r="J34" s="50" t="n"/>
      <c r="K34" s="260" t="n"/>
      <c r="L34" s="223" t="n"/>
      <c r="M34" s="223" t="n"/>
      <c r="N34" s="223" t="n"/>
      <c r="O34" s="223" t="n"/>
      <c r="P34" s="223" t="n"/>
      <c r="Q34" s="261" t="n"/>
      <c r="R34" s="219" t="n"/>
      <c r="S34" s="260" t="n"/>
      <c r="T34" s="260" t="n"/>
      <c r="U34" s="260" t="n"/>
      <c r="V34" s="218" t="n"/>
    </row>
    <row r="35" ht="15" customFormat="1" customHeight="1" s="139">
      <c r="B35" s="260" t="n"/>
      <c r="C35" s="223" t="n"/>
      <c r="D35" s="223" t="n"/>
      <c r="E35" s="223" t="n"/>
      <c r="F35" s="50" t="inlineStr">
        <is>
          <t>|------- TB -------|</t>
        </is>
      </c>
      <c r="G35" s="153" t="n"/>
      <c r="H35" s="153" t="n"/>
      <c r="I35" s="153" t="n"/>
      <c r="J35" s="153" t="n"/>
      <c r="K35" s="153" t="inlineStr">
        <is>
          <t>|------- PY -------|</t>
        </is>
      </c>
      <c r="L35" s="153" t="n"/>
      <c r="M35" s="153" t="n"/>
      <c r="N35" s="223" t="n"/>
      <c r="O35" s="223" t="n"/>
      <c r="P35" s="223" t="n"/>
      <c r="Q35" s="261" t="n"/>
      <c r="R35" s="219" t="n"/>
      <c r="S35" s="260" t="n"/>
      <c r="T35" s="260" t="n"/>
      <c r="U35" s="260" t="n"/>
      <c r="V35" s="218" t="n"/>
    </row>
    <row r="36" ht="15" customFormat="1" customHeight="1" s="139">
      <c r="B36" s="264" t="inlineStr">
        <is>
          <t>表1</t>
        </is>
      </c>
      <c r="C36" s="223" t="n"/>
      <c r="D36" s="223" t="n"/>
      <c r="E36" s="223" t="n"/>
      <c r="F36" s="184">
        <f>"货币/单位: "&amp;C8</f>
        <v/>
      </c>
      <c r="G36" s="185" t="n"/>
      <c r="H36" s="185" t="n"/>
      <c r="I36" s="185" t="n"/>
      <c r="J36" s="185" t="n"/>
      <c r="K36" s="186" t="n"/>
      <c r="L36" s="153" t="n"/>
      <c r="M36" s="153" t="n"/>
      <c r="N36" s="223" t="n"/>
      <c r="O36" s="223" t="n"/>
      <c r="P36" s="223" t="n"/>
      <c r="Q36" s="261" t="n"/>
      <c r="R36" s="219" t="n"/>
      <c r="S36" s="260" t="n"/>
      <c r="T36" s="260" t="n"/>
      <c r="U36" s="260" t="n"/>
      <c r="V36" s="218" t="n"/>
    </row>
    <row r="37" ht="15" customFormat="1" customHeight="1" s="139">
      <c r="B37" s="665" t="inlineStr">
        <is>
          <t>账套名称/账套编码</t>
        </is>
      </c>
      <c r="C37" s="500" t="inlineStr">
        <is>
          <t>总账科目编码</t>
        </is>
      </c>
      <c r="D37" s="500" t="inlineStr">
        <is>
          <t>科目名称</t>
        </is>
      </c>
      <c r="E37" s="500" t="inlineStr">
        <is>
          <t>索引号</t>
        </is>
      </c>
      <c r="F37" s="501">
        <f>C3</f>
        <v/>
      </c>
      <c r="G37" s="635" t="n"/>
      <c r="H37" s="635" t="n"/>
      <c r="I37" s="635" t="n"/>
      <c r="J37" s="636" t="n"/>
      <c r="K37" s="666">
        <f>DATE(YEAR($C$3)-1,12,31)</f>
        <v/>
      </c>
      <c r="L37" s="499" t="inlineStr">
        <is>
          <t>本期和上期期末余额</t>
        </is>
      </c>
      <c r="M37" s="636" t="n"/>
      <c r="N37" s="466" t="inlineStr">
        <is>
          <t>Notes</t>
        </is>
      </c>
      <c r="O37" s="497" t="inlineStr">
        <is>
          <t>基于波动幅度判断，是否进一步调查？</t>
        </is>
      </c>
      <c r="P37" s="497" t="inlineStr">
        <is>
          <t>基于定性考虑判断，是否进一步调查？</t>
        </is>
      </c>
      <c r="Q37" s="261" t="n"/>
      <c r="R37" s="219" t="n"/>
      <c r="S37" s="260" t="n"/>
      <c r="T37" s="260" t="n"/>
      <c r="U37" s="260" t="n"/>
      <c r="V37" s="218" t="n"/>
    </row>
    <row r="38" ht="23.45" customFormat="1" customHeight="1" s="140">
      <c r="B38" s="667" t="n"/>
      <c r="C38" s="637" t="n"/>
      <c r="D38" s="637" t="n"/>
      <c r="E38" s="637" t="n"/>
      <c r="F38" s="182" t="inlineStr">
        <is>
          <t>期末账面数</t>
        </is>
      </c>
      <c r="G38" s="500" t="inlineStr">
        <is>
          <t>账表调整数</t>
        </is>
      </c>
      <c r="H38" s="500" t="inlineStr">
        <is>
          <t>期末未审数</t>
        </is>
      </c>
      <c r="I38" s="500" t="inlineStr">
        <is>
          <t>审计调整数</t>
        </is>
      </c>
      <c r="J38" s="500" t="inlineStr">
        <is>
          <t>期末审定数</t>
        </is>
      </c>
      <c r="K38" s="183" t="inlineStr">
        <is>
          <t>上期末审定数</t>
        </is>
      </c>
      <c r="L38" s="500" t="inlineStr">
        <is>
          <t>变动金额</t>
        </is>
      </c>
      <c r="M38" s="500" t="inlineStr">
        <is>
          <t>变动%</t>
        </is>
      </c>
      <c r="N38" s="637" t="n"/>
      <c r="O38" s="637" t="n"/>
      <c r="P38" s="637" t="n"/>
      <c r="Q38" s="265" t="n"/>
      <c r="R38" s="219" t="n"/>
      <c r="S38" s="266" t="n"/>
      <c r="T38" s="266" t="n"/>
      <c r="U38" s="266" t="n"/>
      <c r="V38" s="267" t="n"/>
    </row>
    <row r="39" ht="15" customFormat="1" customHeight="1" s="139">
      <c r="B39" s="268" t="inlineStr">
        <is>
          <t>东风鸿远工程咨询有限公司</t>
        </is>
      </c>
      <c r="C39" s="268" t="n">
        <v>2121</v>
      </c>
      <c r="D39" s="268" t="inlineStr">
        <is>
          <t>应付账款</t>
        </is>
      </c>
      <c r="E39" s="269" t="inlineStr">
        <is>
          <t>N.01/</t>
        </is>
      </c>
      <c r="F39" s="668" t="n"/>
      <c r="G39" s="669" t="n"/>
      <c r="H39" s="670">
        <f>F39+G39</f>
        <v/>
      </c>
      <c r="I39" s="669" t="n"/>
      <c r="J39" s="670">
        <f>H39+I39</f>
        <v/>
      </c>
      <c r="K39" s="668" t="n">
        <v>-57526376.38</v>
      </c>
      <c r="L39" s="671">
        <f>J39-K39</f>
        <v/>
      </c>
      <c r="M39" s="270">
        <f>IFERROR(L39/K39,1)</f>
        <v/>
      </c>
      <c r="N39" s="271" t="inlineStr">
        <is>
          <t>[A]</t>
        </is>
      </c>
      <c r="O39" s="672">
        <f>IF(AND(ABS(L39)&gt;=$C$31,ABS(M39)&gt;=$C$32),"是","否")</f>
        <v/>
      </c>
      <c r="P39" s="268" t="n"/>
      <c r="Q39" s="261" t="n"/>
      <c r="R39" s="219" t="n"/>
      <c r="S39" s="260" t="n"/>
      <c r="T39" s="260" t="n"/>
      <c r="U39" s="260" t="n"/>
      <c r="V39" s="218" t="n"/>
    </row>
    <row r="40" ht="15" customFormat="1" customHeight="1" s="139">
      <c r="B40" s="268" t="n"/>
      <c r="C40" s="268" t="n"/>
      <c r="D40" s="268" t="n"/>
      <c r="E40" s="269" t="n"/>
      <c r="F40" s="668" t="n"/>
      <c r="G40" s="669" t="n"/>
      <c r="H40" s="670">
        <f>F40+G40</f>
        <v/>
      </c>
      <c r="I40" s="669" t="n"/>
      <c r="J40" s="670">
        <f>H40+I40</f>
        <v/>
      </c>
      <c r="K40" s="668" t="n">
        <v>0</v>
      </c>
      <c r="L40" s="671">
        <f>J40-K40</f>
        <v/>
      </c>
      <c r="M40" s="270">
        <f>IFERROR(L40/K40,1)</f>
        <v/>
      </c>
      <c r="N40" s="271" t="n"/>
      <c r="O40" s="672">
        <f>IF(AND(ABS(L40)&gt;=$C$31,ABS(M40)&gt;=$C$32),"是","否")</f>
        <v/>
      </c>
      <c r="P40" s="268" t="n"/>
      <c r="Q40" s="261" t="n"/>
      <c r="R40" s="219" t="n"/>
      <c r="S40" s="260" t="n"/>
      <c r="T40" s="260" t="n"/>
      <c r="U40" s="260" t="n"/>
      <c r="V40" s="218" t="n"/>
    </row>
    <row r="41" ht="15" customFormat="1" customHeight="1" s="139">
      <c r="B41" s="268" t="n"/>
      <c r="C41" s="268" t="n"/>
      <c r="D41" s="268" t="n"/>
      <c r="E41" s="269" t="n"/>
      <c r="F41" s="668" t="n"/>
      <c r="G41" s="669" t="n"/>
      <c r="H41" s="670">
        <f>F41+G41</f>
        <v/>
      </c>
      <c r="I41" s="669" t="n"/>
      <c r="J41" s="670">
        <f>H41+I41</f>
        <v/>
      </c>
      <c r="K41" s="668" t="n"/>
      <c r="L41" s="671">
        <f>J41-K41</f>
        <v/>
      </c>
      <c r="M41" s="270">
        <f>IFERROR(L41/K41,1)</f>
        <v/>
      </c>
      <c r="N41" s="271" t="n"/>
      <c r="O41" s="672">
        <f>IF(AND(ABS(L41)&gt;=$C$31,ABS(M41)&gt;=$C$32),"是","否")</f>
        <v/>
      </c>
      <c r="P41" s="268" t="n"/>
      <c r="Q41" s="261" t="n"/>
      <c r="R41" s="219" t="n"/>
      <c r="S41" s="260" t="n"/>
      <c r="T41" s="260" t="n"/>
      <c r="U41" s="260" t="n"/>
      <c r="V41" s="218" t="n"/>
    </row>
    <row r="42" ht="15" customFormat="1" customHeight="1" s="139">
      <c r="B42" s="268" t="n"/>
      <c r="C42" s="268" t="n"/>
      <c r="D42" s="268" t="n"/>
      <c r="E42" s="269" t="n"/>
      <c r="F42" s="668" t="n"/>
      <c r="G42" s="669" t="n"/>
      <c r="H42" s="670">
        <f>F42+G42</f>
        <v/>
      </c>
      <c r="I42" s="669" t="n"/>
      <c r="J42" s="670">
        <f>H42+I42</f>
        <v/>
      </c>
      <c r="K42" s="668" t="n"/>
      <c r="L42" s="671">
        <f>J42-K42</f>
        <v/>
      </c>
      <c r="M42" s="270">
        <f>IFERROR(L42/K42,1)</f>
        <v/>
      </c>
      <c r="N42" s="271" t="n"/>
      <c r="O42" s="672">
        <f>IF(AND(ABS(L42)&gt;=$C$31,ABS(M42)&gt;=$C$32),"是","否")</f>
        <v/>
      </c>
      <c r="P42" s="268" t="n"/>
      <c r="Q42" s="261" t="n"/>
      <c r="R42" s="219" t="n"/>
      <c r="S42" s="260" t="n"/>
      <c r="T42" s="260" t="n"/>
      <c r="U42" s="260" t="n"/>
      <c r="V42" s="218" t="n"/>
    </row>
    <row r="43" ht="15" customFormat="1" customHeight="1" s="139">
      <c r="B43" s="268" t="n"/>
      <c r="C43" s="268" t="n"/>
      <c r="D43" s="268" t="n"/>
      <c r="E43" s="269" t="n"/>
      <c r="F43" s="668" t="n"/>
      <c r="G43" s="669" t="n"/>
      <c r="H43" s="670">
        <f>F43+G43</f>
        <v/>
      </c>
      <c r="I43" s="669" t="n"/>
      <c r="J43" s="670">
        <f>H43+I43</f>
        <v/>
      </c>
      <c r="K43" s="668" t="n"/>
      <c r="L43" s="671">
        <f>J43-K43</f>
        <v/>
      </c>
      <c r="M43" s="270">
        <f>IFERROR(L43/K43,1)</f>
        <v/>
      </c>
      <c r="N43" s="271" t="n"/>
      <c r="O43" s="672">
        <f>IF(AND(ABS(L43)&gt;=$C$31,ABS(M43)&gt;=$C$32),"是","否")</f>
        <v/>
      </c>
      <c r="P43" s="268" t="n"/>
      <c r="Q43" s="261" t="n"/>
      <c r="R43" s="219" t="n"/>
      <c r="S43" s="260" t="n"/>
      <c r="T43" s="260" t="n"/>
      <c r="U43" s="260" t="n"/>
      <c r="V43" s="218" t="n"/>
    </row>
    <row r="44" ht="15" customFormat="1" customHeight="1" s="139">
      <c r="B44" s="260" t="n"/>
      <c r="C44" s="273" t="n"/>
      <c r="D44" s="274" t="n"/>
      <c r="E44" s="274" t="n"/>
      <c r="F44" s="673" t="n"/>
      <c r="G44" s="673" t="n"/>
      <c r="H44" s="673" t="n"/>
      <c r="I44" s="673" t="n"/>
      <c r="J44" s="673" t="n"/>
      <c r="K44" s="673" t="n"/>
      <c r="L44" s="674" t="n"/>
      <c r="M44" s="277" t="n"/>
      <c r="N44" s="278" t="n"/>
      <c r="O44" s="279" t="n"/>
      <c r="P44" s="141" t="n"/>
      <c r="Q44" s="261" t="n"/>
      <c r="R44" s="219" t="n"/>
      <c r="S44" s="260" t="n"/>
      <c r="T44" s="260" t="n"/>
      <c r="U44" s="260" t="n"/>
      <c r="V44" s="218" t="n"/>
    </row>
    <row r="45" ht="15" customFormat="1" customHeight="1" s="139">
      <c r="B45" s="675" t="n"/>
      <c r="C45" s="676" t="n"/>
      <c r="D45" s="677" t="n"/>
      <c r="E45" s="677" t="n"/>
      <c r="F45" s="678" t="n"/>
      <c r="G45" s="678" t="n"/>
      <c r="H45" s="678" t="n"/>
      <c r="I45" s="678" t="n"/>
      <c r="J45" s="678" t="n"/>
      <c r="K45" s="678" t="n"/>
      <c r="L45" s="679" t="n"/>
      <c r="M45" s="680" t="n"/>
      <c r="N45" s="278" t="n"/>
      <c r="O45" s="681" t="n"/>
      <c r="P45" s="141" t="n"/>
      <c r="Q45" s="261" t="n"/>
      <c r="R45" s="219" t="n"/>
      <c r="S45" s="675" t="n"/>
      <c r="T45" s="675" t="n"/>
      <c r="U45" s="675" t="n"/>
      <c r="V45" s="218" t="n"/>
    </row>
    <row r="46" ht="15" customFormat="1" customHeight="1" s="139">
      <c r="B46" s="260" t="n"/>
      <c r="C46" s="154" t="n"/>
      <c r="D46" s="280" t="inlineStr">
        <is>
          <t>合计</t>
        </is>
      </c>
      <c r="E46" s="281" t="n"/>
      <c r="F46" s="682">
        <f>SUM(F39:F43)</f>
        <v/>
      </c>
      <c r="G46" s="682">
        <f>SUM(G39:G43)</f>
        <v/>
      </c>
      <c r="H46" s="682">
        <f>SUM(H39:H43)</f>
        <v/>
      </c>
      <c r="I46" s="682">
        <f>SUM(I39:I43)</f>
        <v/>
      </c>
      <c r="J46" s="682">
        <f>SUM(J39:J43)</f>
        <v/>
      </c>
      <c r="K46" s="682">
        <f>SUM(K39:K43)</f>
        <v/>
      </c>
      <c r="L46" s="682">
        <f>J46-K46</f>
        <v/>
      </c>
      <c r="M46" s="282">
        <f>IFERROR(L46/K46,1)</f>
        <v/>
      </c>
      <c r="N46" s="278" t="n"/>
      <c r="O46" s="672">
        <f>IF(AND(ABS(L46)&gt;=$C$31,ABS(M46)&gt;=$C$32),"是","否")</f>
        <v/>
      </c>
      <c r="P46" s="268" t="n"/>
      <c r="Q46" s="261" t="n"/>
      <c r="R46" s="219" t="n"/>
      <c r="S46" s="260" t="n"/>
      <c r="T46" s="260" t="n"/>
      <c r="U46" s="260" t="n"/>
      <c r="V46" s="218" t="n"/>
    </row>
    <row r="47" ht="15" customFormat="1" customHeight="1" s="139">
      <c r="B47" s="260" t="n"/>
      <c r="C47" s="262" t="n"/>
      <c r="D47" s="263" t="n"/>
      <c r="E47" s="259" t="n"/>
      <c r="F47" s="13" t="inlineStr">
        <is>
          <t>RX</t>
        </is>
      </c>
      <c r="G47" s="13" t="inlineStr">
        <is>
          <t>RX</t>
        </is>
      </c>
      <c r="H47" s="13" t="inlineStr">
        <is>
          <t>RX</t>
        </is>
      </c>
      <c r="I47" s="13" t="inlineStr">
        <is>
          <t>RX</t>
        </is>
      </c>
      <c r="J47" s="13" t="inlineStr">
        <is>
          <t>RX</t>
        </is>
      </c>
      <c r="K47" s="13" t="inlineStr">
        <is>
          <t>RX</t>
        </is>
      </c>
      <c r="L47" s="10" t="n"/>
      <c r="M47" s="260" t="n"/>
      <c r="N47" s="278" t="n"/>
      <c r="O47" s="279" t="n"/>
      <c r="P47" s="247" t="n"/>
      <c r="Q47" s="261" t="n"/>
      <c r="R47" s="219" t="n"/>
      <c r="S47" s="260" t="n"/>
      <c r="T47" s="260" t="n"/>
      <c r="U47" s="260" t="n"/>
      <c r="V47" s="218" t="n"/>
    </row>
    <row r="48" ht="15" customFormat="1" customHeight="1" s="139">
      <c r="B48" s="262" t="n"/>
      <c r="C48" s="263" t="n"/>
      <c r="D48" s="259" t="n"/>
      <c r="E48" s="260" t="n"/>
      <c r="F48" s="260" t="n"/>
      <c r="G48" s="683" t="inlineStr">
        <is>
          <t>A3</t>
        </is>
      </c>
      <c r="H48" s="684" t="n"/>
      <c r="I48" s="260" t="n"/>
      <c r="J48" s="684" t="n"/>
      <c r="K48" s="684" t="n"/>
      <c r="L48" s="10" t="n"/>
      <c r="M48" s="261" t="n"/>
      <c r="N48" s="278" t="n"/>
      <c r="O48" s="279" t="n"/>
      <c r="P48" s="247" t="n"/>
      <c r="Q48" s="261" t="n"/>
      <c r="R48" s="219" t="n"/>
      <c r="S48" s="260" t="n"/>
      <c r="T48" s="260" t="n"/>
      <c r="U48" s="260" t="n"/>
      <c r="V48" s="260" t="n"/>
    </row>
    <row r="49" customFormat="1" s="142">
      <c r="B49" s="262" t="n"/>
      <c r="C49" s="263" t="n"/>
      <c r="D49" s="259" t="n"/>
      <c r="E49" s="260" t="n"/>
      <c r="F49" s="260" t="n"/>
      <c r="G49" s="683" t="inlineStr">
        <is>
          <t>Diff</t>
        </is>
      </c>
      <c r="H49" s="685">
        <f>H46-H48</f>
        <v/>
      </c>
      <c r="I49" s="260" t="n"/>
      <c r="J49" s="685">
        <f>J46-J48</f>
        <v/>
      </c>
      <c r="K49" s="685">
        <f>K46-K48</f>
        <v/>
      </c>
      <c r="L49" s="10" t="n"/>
      <c r="M49" s="261" t="n"/>
      <c r="N49" s="260" t="n"/>
      <c r="O49" s="260" t="n"/>
      <c r="P49" s="247" t="n"/>
      <c r="Q49" s="261" t="n"/>
      <c r="R49" s="219" t="n"/>
      <c r="S49" s="260" t="n"/>
      <c r="T49" s="260" t="n"/>
      <c r="U49" s="260" t="n"/>
      <c r="V49" s="260" t="n"/>
    </row>
    <row r="50" customFormat="1" s="142">
      <c r="A50" s="164" t="n"/>
      <c r="B50" s="10" t="n"/>
      <c r="C50" s="264" t="n"/>
      <c r="D50" s="286" t="n"/>
      <c r="E50" s="286" t="inlineStr">
        <is>
          <t>未执行程序的总账科目加总金额是否大于TE</t>
        </is>
      </c>
      <c r="F50" s="13">
        <f>IF(ABS(F45-'N.01 明细账与总账核对'!E18)&gt;'N.00 Lead sheet'!$C$5,"是","否")</f>
        <v/>
      </c>
      <c r="G50" s="247" t="inlineStr">
        <is>
          <t>Note2</t>
        </is>
      </c>
      <c r="H50" s="247" t="n"/>
      <c r="I50" s="247" t="n"/>
      <c r="J50" s="287" t="n"/>
      <c r="K50" s="288" t="n"/>
      <c r="L50" s="247" t="n"/>
      <c r="M50" s="261" t="n"/>
      <c r="N50" s="260" t="n"/>
      <c r="O50" s="260" t="n"/>
      <c r="P50" s="247" t="n"/>
      <c r="Q50" s="261" t="n"/>
      <c r="R50" s="219" t="n"/>
      <c r="S50" s="260" t="n"/>
      <c r="T50" s="287" t="n"/>
      <c r="U50" s="287" t="n"/>
      <c r="V50" s="287" t="n"/>
      <c r="W50" s="287" t="n"/>
      <c r="X50" s="287" t="n"/>
      <c r="Y50" s="287" t="n"/>
      <c r="Z50" s="287" t="n"/>
      <c r="AA50" s="287" t="n"/>
      <c r="AB50" s="287" t="n"/>
      <c r="AC50" s="287" t="n"/>
      <c r="AD50" s="287" t="n"/>
      <c r="AE50" s="287" t="n"/>
      <c r="AF50" s="287" t="n"/>
      <c r="AG50" s="288" t="n"/>
      <c r="AH50" s="289" t="n"/>
      <c r="AI50" s="287" t="n"/>
      <c r="AJ50" s="287" t="n"/>
      <c r="AK50" s="287" t="n"/>
      <c r="AL50" s="287" t="n"/>
    </row>
    <row r="51" ht="15" customFormat="1" customHeight="1" s="143">
      <c r="A51" s="164" t="n"/>
      <c r="B51" s="247" t="n"/>
      <c r="C51" s="247" t="n"/>
      <c r="D51" s="247" t="n"/>
      <c r="E51" s="686" t="n"/>
      <c r="F51" s="10" t="n"/>
      <c r="G51" s="264" t="n"/>
      <c r="H51" s="286" t="n"/>
      <c r="I51" s="286" t="n"/>
      <c r="J51" s="13" t="n"/>
      <c r="K51" s="247" t="n"/>
      <c r="L51" s="247" t="n"/>
      <c r="M51" s="247" t="n"/>
      <c r="N51" s="260" t="n"/>
      <c r="O51" s="260" t="n"/>
      <c r="P51" s="247" t="n"/>
      <c r="Q51" s="261" t="n"/>
      <c r="R51" s="219" t="n"/>
      <c r="S51" s="260" t="n"/>
      <c r="T51" s="289" t="n"/>
      <c r="U51" s="287" t="n"/>
      <c r="V51" s="287" t="n"/>
      <c r="W51" s="287" t="n"/>
      <c r="X51" s="287" t="n"/>
      <c r="Y51" s="287" t="n"/>
      <c r="Z51" s="287" t="n"/>
      <c r="AA51" s="287" t="n"/>
      <c r="AB51" s="287" t="n"/>
      <c r="AC51" s="287" t="n"/>
      <c r="AD51" s="287" t="n"/>
      <c r="AE51" s="287" t="n"/>
      <c r="AF51" s="287" t="n"/>
      <c r="AG51" s="287" t="n"/>
      <c r="AH51" s="287" t="n"/>
      <c r="AI51" s="287" t="n"/>
      <c r="AJ51" s="287" t="n"/>
      <c r="AK51" s="288" t="n"/>
      <c r="AL51" s="289" t="n"/>
    </row>
    <row r="52" ht="15" customFormat="1" customHeight="1" s="143">
      <c r="A52" s="29" t="n"/>
      <c r="B52" s="291" t="inlineStr">
        <is>
          <t>波动说明</t>
        </is>
      </c>
      <c r="C52" s="29" t="n"/>
      <c r="D52" s="29" t="n"/>
      <c r="E52" s="29" t="n"/>
      <c r="F52" s="29" t="n"/>
      <c r="G52" s="686" t="n"/>
      <c r="H52" s="29" t="n"/>
      <c r="I52" s="26" t="n"/>
      <c r="J52" s="29" t="n"/>
      <c r="K52" s="29" t="n"/>
      <c r="L52" s="29" t="n"/>
      <c r="M52" s="29" t="n"/>
      <c r="N52" s="260" t="n"/>
      <c r="O52" s="260" t="n"/>
      <c r="P52" s="247" t="n"/>
      <c r="Q52" s="261" t="n"/>
      <c r="R52" s="219" t="n"/>
      <c r="S52" s="260" t="n"/>
      <c r="T52" s="29" t="n"/>
      <c r="U52" s="29" t="n"/>
      <c r="V52" s="29" t="n"/>
      <c r="W52" s="29" t="n"/>
      <c r="X52" s="29" t="n"/>
      <c r="Y52" s="29" t="n"/>
      <c r="Z52" s="29" t="n"/>
      <c r="AA52" s="29" t="n"/>
      <c r="AB52" s="29" t="n"/>
      <c r="AC52" s="29" t="n"/>
      <c r="AD52" s="29" t="n"/>
      <c r="AE52" s="29" t="n"/>
      <c r="AF52" s="29" t="n"/>
      <c r="AG52" s="29" t="n"/>
      <c r="AH52" s="29" t="n"/>
      <c r="AI52" s="29" t="n"/>
      <c r="AJ52" s="29" t="n"/>
      <c r="AK52" s="29" t="n"/>
      <c r="AL52" s="29" t="n"/>
    </row>
    <row r="53" ht="15" customFormat="1" customHeight="1" s="143">
      <c r="A53" s="29" t="n"/>
      <c r="B53" s="687" t="inlineStr">
        <is>
          <t>[A]</t>
        </is>
      </c>
      <c r="C53" s="688" t="n"/>
      <c r="D53" s="688" t="n"/>
      <c r="E53" s="688" t="n"/>
      <c r="F53" s="689" t="n"/>
      <c r="G53" s="686" t="n"/>
      <c r="H53" s="29" t="n"/>
      <c r="I53" s="26" t="n"/>
      <c r="J53" s="29" t="n"/>
      <c r="K53" s="29" t="n"/>
      <c r="L53" s="29" t="n"/>
      <c r="M53" s="29" t="n"/>
      <c r="N53" s="260" t="n"/>
      <c r="O53" s="260" t="n"/>
      <c r="P53" s="247" t="n"/>
      <c r="Q53" s="261" t="n"/>
      <c r="R53" s="219" t="n"/>
      <c r="S53" s="260" t="n"/>
      <c r="T53" s="29" t="n"/>
      <c r="U53" s="29" t="n"/>
      <c r="V53" s="29" t="n"/>
      <c r="W53" s="29" t="n"/>
      <c r="X53" s="29" t="n"/>
      <c r="Y53" s="29" t="n"/>
      <c r="Z53" s="29" t="n"/>
      <c r="AA53" s="29" t="n"/>
      <c r="AB53" s="29" t="n"/>
      <c r="AC53" s="29" t="n"/>
      <c r="AD53" s="29" t="n"/>
      <c r="AE53" s="29" t="n"/>
      <c r="AF53" s="29" t="n"/>
      <c r="AG53" s="29" t="n"/>
      <c r="AH53" s="29" t="n"/>
      <c r="AI53" s="29" t="n"/>
      <c r="AJ53" s="29" t="n"/>
      <c r="AK53" s="29" t="n"/>
      <c r="AL53" s="29" t="n"/>
    </row>
    <row r="54" ht="15" customFormat="1" customHeight="1" s="143">
      <c r="A54" s="29" t="n"/>
      <c r="B54" s="641" t="n"/>
      <c r="F54" s="690" t="n"/>
      <c r="G54" s="686" t="n"/>
      <c r="H54" s="29" t="n"/>
      <c r="I54" s="26" t="n"/>
      <c r="J54" s="29" t="n"/>
      <c r="K54" s="29" t="n"/>
      <c r="L54" s="29" t="n"/>
      <c r="M54" s="29" t="n"/>
      <c r="N54" s="260" t="n"/>
      <c r="O54" s="260" t="n"/>
      <c r="P54" s="247" t="n"/>
      <c r="Q54" s="261" t="n"/>
      <c r="R54" s="219" t="n"/>
      <c r="S54" s="260" t="n"/>
      <c r="T54" s="29" t="n"/>
      <c r="U54" s="29" t="n"/>
      <c r="V54" s="29" t="n"/>
      <c r="W54" s="29" t="n"/>
      <c r="X54" s="29" t="n"/>
      <c r="Y54" s="29" t="n"/>
      <c r="Z54" s="29" t="n"/>
      <c r="AA54" s="29" t="n"/>
      <c r="AB54" s="29" t="n"/>
      <c r="AC54" s="29" t="n"/>
      <c r="AD54" s="29" t="n"/>
      <c r="AE54" s="29" t="n"/>
      <c r="AF54" s="29" t="n"/>
      <c r="AG54" s="29" t="n"/>
      <c r="AH54" s="29" t="n"/>
      <c r="AI54" s="29" t="n"/>
      <c r="AJ54" s="29" t="n"/>
      <c r="AK54" s="29" t="n"/>
      <c r="AL54" s="29" t="n"/>
    </row>
    <row r="55" ht="15" customFormat="1" customHeight="1" s="143">
      <c r="A55" s="29" t="n"/>
      <c r="B55" s="641" t="n"/>
      <c r="F55" s="690" t="n"/>
      <c r="G55" s="686" t="n"/>
      <c r="H55" s="29" t="n"/>
      <c r="I55" s="26" t="n"/>
      <c r="J55" s="29" t="n"/>
      <c r="K55" s="29" t="n"/>
      <c r="L55" s="29" t="n"/>
      <c r="M55" s="29" t="n"/>
      <c r="N55" s="260" t="n"/>
      <c r="O55" s="260" t="n"/>
      <c r="P55" s="247" t="n"/>
      <c r="Q55" s="261" t="n"/>
      <c r="R55" s="219" t="n"/>
      <c r="S55" s="260" t="n"/>
      <c r="T55" s="29" t="n"/>
      <c r="U55" s="29" t="n"/>
      <c r="V55" s="29" t="n"/>
      <c r="W55" s="29" t="n"/>
      <c r="X55" s="29" t="n"/>
      <c r="Y55" s="29" t="n"/>
      <c r="Z55" s="29" t="n"/>
      <c r="AA55" s="29" t="n"/>
      <c r="AB55" s="29" t="n"/>
      <c r="AC55" s="29" t="n"/>
      <c r="AD55" s="29" t="n"/>
      <c r="AE55" s="29" t="n"/>
      <c r="AF55" s="29" t="n"/>
      <c r="AG55" s="29" t="n"/>
      <c r="AH55" s="29" t="n"/>
      <c r="AI55" s="29" t="n"/>
      <c r="AJ55" s="29" t="n"/>
      <c r="AK55" s="29" t="n"/>
      <c r="AL55" s="29" t="n"/>
    </row>
    <row r="56" ht="15" customFormat="1" customHeight="1" s="143">
      <c r="A56" s="29" t="n"/>
      <c r="B56" s="644" t="n"/>
      <c r="C56" s="645" t="n"/>
      <c r="D56" s="645" t="n"/>
      <c r="E56" s="645" t="n"/>
      <c r="F56" s="691" t="n"/>
      <c r="G56" s="686" t="n"/>
      <c r="H56" s="29" t="n"/>
      <c r="I56" s="26" t="n"/>
      <c r="J56" s="29" t="n"/>
      <c r="K56" s="29" t="n"/>
      <c r="L56" s="29" t="n"/>
      <c r="M56" s="29" t="n"/>
      <c r="N56" s="29" t="n"/>
      <c r="O56" s="29" t="n"/>
      <c r="P56" s="247" t="n"/>
      <c r="Q56" s="261" t="n"/>
      <c r="R56" s="219" t="n"/>
      <c r="S56" s="260" t="n"/>
      <c r="T56" s="29" t="n"/>
      <c r="U56" s="29" t="n"/>
      <c r="V56" s="29" t="n"/>
      <c r="W56" s="29" t="n"/>
      <c r="X56" s="29" t="n"/>
      <c r="Y56" s="29" t="n"/>
      <c r="Z56" s="29" t="n"/>
      <c r="AA56" s="29" t="n"/>
      <c r="AB56" s="29" t="n"/>
      <c r="AC56" s="29" t="n"/>
      <c r="AD56" s="29" t="n"/>
      <c r="AE56" s="29" t="n"/>
      <c r="AF56" s="29" t="n"/>
      <c r="AG56" s="29" t="n"/>
      <c r="AH56" s="29" t="n"/>
      <c r="AI56" s="29" t="n"/>
      <c r="AJ56" s="29" t="n"/>
      <c r="AK56" s="29" t="n"/>
      <c r="AL56" s="29" t="n"/>
    </row>
    <row r="57" customFormat="1" s="142">
      <c r="A57" s="29" t="n"/>
      <c r="B57" s="39" t="n"/>
      <c r="C57" s="39" t="n"/>
      <c r="D57" s="39" t="n"/>
      <c r="E57" s="39" t="n"/>
      <c r="F57" s="39" t="n"/>
      <c r="G57" s="686" t="n"/>
      <c r="H57" s="29" t="n"/>
      <c r="I57" s="26" t="n"/>
      <c r="J57" s="29" t="n"/>
      <c r="K57" s="29" t="n"/>
      <c r="L57" s="29" t="n"/>
      <c r="M57" s="29" t="n"/>
      <c r="N57" s="29" t="n"/>
      <c r="O57" s="29" t="n"/>
      <c r="P57" s="247" t="n"/>
      <c r="Q57" s="261" t="n"/>
      <c r="R57" s="219" t="n"/>
      <c r="S57" s="260" t="n"/>
      <c r="T57" s="29" t="n"/>
      <c r="U57" s="29" t="n"/>
      <c r="V57" s="29" t="n"/>
      <c r="W57" s="29" t="n"/>
      <c r="X57" s="29" t="n"/>
      <c r="Y57" s="29" t="n"/>
      <c r="Z57" s="29" t="n"/>
      <c r="AA57" s="29" t="n"/>
      <c r="AB57" s="29" t="n"/>
      <c r="AC57" s="29" t="n"/>
      <c r="AD57" s="29" t="n"/>
      <c r="AE57" s="29" t="n"/>
      <c r="AF57" s="29" t="n"/>
      <c r="AG57" s="29" t="n"/>
      <c r="AH57" s="29" t="n"/>
      <c r="AI57" s="29" t="n"/>
      <c r="AJ57" s="29" t="n"/>
      <c r="AK57" s="29" t="n"/>
      <c r="AL57" s="29" t="n"/>
    </row>
    <row r="58" customFormat="1" s="142">
      <c r="A58" s="164" t="n"/>
      <c r="B58" s="247" t="n"/>
      <c r="C58" s="247" t="n"/>
      <c r="D58" s="247" t="n"/>
      <c r="E58" s="686" t="n"/>
      <c r="F58" s="247" t="n"/>
      <c r="G58" s="686" t="n"/>
      <c r="H58" s="686" t="n"/>
      <c r="I58" s="686" t="n"/>
      <c r="J58" s="247" t="n"/>
      <c r="K58" s="247" t="n"/>
      <c r="L58" s="247" t="n"/>
      <c r="M58" s="247" t="n"/>
      <c r="N58" s="287" t="n"/>
      <c r="O58" s="288" t="n"/>
      <c r="P58" s="247" t="n"/>
      <c r="Q58" s="261" t="n"/>
      <c r="R58" s="219" t="n"/>
      <c r="S58" s="260" t="n"/>
      <c r="T58" s="289" t="n"/>
      <c r="U58" s="287" t="n"/>
      <c r="V58" s="287" t="n"/>
      <c r="W58" s="287" t="n"/>
      <c r="X58" s="287" t="n"/>
      <c r="Y58" s="287" t="n"/>
      <c r="Z58" s="287" t="n"/>
      <c r="AA58" s="287" t="n"/>
      <c r="AB58" s="287" t="n"/>
      <c r="AC58" s="287" t="n"/>
      <c r="AD58" s="287" t="n"/>
      <c r="AE58" s="287" t="n"/>
      <c r="AF58" s="287" t="n"/>
      <c r="AG58" s="287" t="n"/>
      <c r="AH58" s="287" t="n"/>
      <c r="AI58" s="287" t="n"/>
      <c r="AJ58" s="287" t="n"/>
      <c r="AK58" s="288" t="n"/>
      <c r="AL58" s="289" t="n"/>
    </row>
    <row r="59" ht="14.1" customFormat="1" customHeight="1" s="142">
      <c r="A59" s="292" t="n"/>
      <c r="B59" s="29" t="inlineStr">
        <is>
          <t>Note2：如果项目仅对部分总账科目执行程序，需评估未执行程序的总账科目加总金额是否大于TE，如大于TE，请项目组执行额外的测试程序。(如不适用请删除）</t>
        </is>
      </c>
      <c r="C59" s="247" t="n"/>
      <c r="D59" s="247" t="n"/>
      <c r="E59" s="686" t="n"/>
      <c r="F59" s="247" t="n"/>
      <c r="G59" s="686" t="n"/>
      <c r="H59" s="686" t="n"/>
      <c r="I59" s="686" t="n"/>
      <c r="J59" s="247" t="n"/>
      <c r="K59" s="247" t="n"/>
      <c r="L59" s="247" t="n"/>
      <c r="M59" s="247" t="n"/>
      <c r="N59" s="287" t="n"/>
      <c r="O59" s="288" t="n"/>
      <c r="P59" s="247" t="n"/>
      <c r="Q59" s="261" t="n"/>
      <c r="R59" s="219" t="n"/>
      <c r="S59" s="260" t="n"/>
      <c r="T59" s="289" t="n"/>
      <c r="U59" s="287" t="n"/>
      <c r="V59" s="287" t="n"/>
      <c r="W59" s="287" t="n"/>
      <c r="X59" s="287" t="n"/>
      <c r="Y59" s="287" t="n"/>
      <c r="Z59" s="287" t="n"/>
      <c r="AA59" s="287" t="n"/>
      <c r="AB59" s="287" t="n"/>
      <c r="AC59" s="287" t="n"/>
      <c r="AD59" s="287" t="n"/>
      <c r="AE59" s="287" t="n"/>
      <c r="AF59" s="287" t="n"/>
      <c r="AG59" s="287" t="n"/>
      <c r="AH59" s="287" t="n"/>
      <c r="AI59" s="287" t="n"/>
      <c r="AJ59" s="287" t="n"/>
      <c r="AK59" s="288" t="n"/>
      <c r="AL59" s="289" t="n"/>
    </row>
    <row r="60" ht="14.1" customFormat="1" customHeight="1" s="142">
      <c r="A60" s="164" t="n"/>
      <c r="B60" s="692" t="n"/>
      <c r="C60" s="693" t="n"/>
      <c r="D60" s="693" t="n"/>
      <c r="E60" s="693" t="n"/>
      <c r="F60" s="694" t="n"/>
      <c r="G60" s="686" t="n"/>
      <c r="H60" s="686" t="n"/>
      <c r="I60" s="686" t="n"/>
      <c r="J60" s="247" t="n"/>
      <c r="K60" s="247" t="n"/>
      <c r="L60" s="247" t="n"/>
      <c r="M60" s="247" t="n"/>
      <c r="N60" s="287" t="n"/>
      <c r="O60" s="288" t="n"/>
      <c r="P60" s="247" t="n"/>
      <c r="Q60" s="261" t="n"/>
      <c r="R60" s="219" t="n"/>
      <c r="S60" s="260" t="n"/>
      <c r="T60" s="289" t="n"/>
      <c r="U60" s="287" t="n"/>
      <c r="V60" s="287" t="n"/>
      <c r="W60" s="287" t="n"/>
      <c r="X60" s="287" t="n"/>
      <c r="Y60" s="287" t="n"/>
      <c r="Z60" s="287" t="n"/>
      <c r="AA60" s="287" t="n"/>
      <c r="AB60" s="287" t="n"/>
      <c r="AC60" s="287" t="n"/>
      <c r="AD60" s="287" t="n"/>
      <c r="AE60" s="287" t="n"/>
      <c r="AF60" s="287" t="n"/>
      <c r="AG60" s="287" t="n"/>
      <c r="AH60" s="287" t="n"/>
      <c r="AI60" s="287" t="n"/>
      <c r="AJ60" s="287" t="n"/>
      <c r="AK60" s="288" t="n"/>
      <c r="AL60" s="289" t="n"/>
    </row>
    <row r="61" ht="14.1" customFormat="1" customHeight="1" s="142">
      <c r="A61" s="164" t="n"/>
      <c r="B61" s="695" t="n"/>
      <c r="F61" s="639" t="n"/>
      <c r="G61" s="686" t="n"/>
      <c r="H61" s="686" t="n"/>
      <c r="I61" s="686" t="n"/>
      <c r="J61" s="247" t="n"/>
      <c r="K61" s="247" t="n"/>
      <c r="L61" s="247" t="n"/>
      <c r="M61" s="247" t="n"/>
      <c r="N61" s="287" t="n"/>
      <c r="O61" s="288" t="n"/>
      <c r="P61" s="247" t="n"/>
      <c r="Q61" s="261" t="n"/>
      <c r="R61" s="219" t="n"/>
      <c r="S61" s="260" t="n"/>
      <c r="T61" s="289" t="n"/>
      <c r="U61" s="287" t="n"/>
      <c r="V61" s="287" t="n"/>
      <c r="W61" s="287" t="n"/>
      <c r="X61" s="287" t="n"/>
      <c r="Y61" s="287" t="n"/>
      <c r="Z61" s="287" t="n"/>
      <c r="AA61" s="287" t="n"/>
      <c r="AB61" s="287" t="n"/>
      <c r="AC61" s="287" t="n"/>
      <c r="AD61" s="287" t="n"/>
      <c r="AE61" s="287" t="n"/>
      <c r="AF61" s="287" t="n"/>
      <c r="AG61" s="287" t="n"/>
      <c r="AH61" s="287" t="n"/>
      <c r="AI61" s="287" t="n"/>
      <c r="AJ61" s="287" t="n"/>
      <c r="AK61" s="288" t="n"/>
      <c r="AL61" s="289" t="n"/>
    </row>
    <row r="62" ht="14.1" customFormat="1" customHeight="1" s="142">
      <c r="A62" s="164" t="n"/>
      <c r="B62" s="695" t="n"/>
      <c r="F62" s="639" t="n"/>
      <c r="G62" s="686" t="n"/>
      <c r="H62" s="686" t="n"/>
      <c r="I62" s="686" t="n"/>
      <c r="J62" s="247" t="n"/>
      <c r="K62" s="247" t="n"/>
      <c r="L62" s="247" t="n"/>
      <c r="M62" s="247" t="n"/>
      <c r="N62" s="287" t="n"/>
      <c r="O62" s="288" t="n"/>
      <c r="P62" s="247" t="n"/>
      <c r="Q62" s="261" t="n"/>
      <c r="R62" s="219" t="n"/>
      <c r="S62" s="260" t="n"/>
      <c r="T62" s="289" t="n"/>
      <c r="U62" s="287" t="n"/>
      <c r="V62" s="287" t="n"/>
      <c r="W62" s="287" t="n"/>
      <c r="X62" s="287" t="n"/>
      <c r="Y62" s="287" t="n"/>
      <c r="Z62" s="287" t="n"/>
      <c r="AA62" s="287" t="n"/>
      <c r="AB62" s="287" t="n"/>
      <c r="AC62" s="287" t="n"/>
      <c r="AD62" s="287" t="n"/>
      <c r="AE62" s="287" t="n"/>
      <c r="AF62" s="287" t="n"/>
      <c r="AG62" s="287" t="n"/>
      <c r="AH62" s="287" t="n"/>
      <c r="AI62" s="287" t="n"/>
      <c r="AJ62" s="287" t="n"/>
      <c r="AK62" s="288" t="n"/>
      <c r="AL62" s="289" t="n"/>
    </row>
    <row r="63" customFormat="1" s="142">
      <c r="A63" s="164" t="n"/>
      <c r="B63" s="696" t="n"/>
      <c r="C63" s="697" t="n"/>
      <c r="D63" s="697" t="n"/>
      <c r="E63" s="697" t="n"/>
      <c r="F63" s="698" t="n"/>
      <c r="G63" s="686" t="n"/>
      <c r="H63" s="686" t="n"/>
      <c r="I63" s="686" t="n"/>
      <c r="J63" s="247" t="n"/>
      <c r="K63" s="247" t="n"/>
      <c r="L63" s="287" t="n"/>
      <c r="M63" s="247" t="n"/>
      <c r="N63" s="287" t="n"/>
      <c r="O63" s="288" t="n"/>
      <c r="P63" s="247" t="n"/>
      <c r="Q63" s="261" t="n"/>
      <c r="R63" s="219" t="n"/>
      <c r="S63" s="260" t="n"/>
      <c r="T63" s="289" t="n"/>
      <c r="U63" s="287" t="n"/>
      <c r="V63" s="287" t="n"/>
      <c r="W63" s="287" t="n"/>
      <c r="X63" s="287" t="n"/>
      <c r="Y63" s="287" t="n"/>
      <c r="Z63" s="287" t="n"/>
      <c r="AA63" s="287" t="n"/>
      <c r="AB63" s="287" t="n"/>
      <c r="AC63" s="287" t="n"/>
      <c r="AD63" s="287" t="n"/>
      <c r="AE63" s="287" t="n"/>
      <c r="AF63" s="287" t="n"/>
      <c r="AG63" s="287" t="n"/>
      <c r="AH63" s="287" t="n"/>
      <c r="AI63" s="287" t="n"/>
      <c r="AJ63" s="287" t="n"/>
      <c r="AK63" s="288" t="n"/>
      <c r="AL63" s="289" t="n"/>
    </row>
    <row r="64" ht="12.75" customHeight="1" s="634">
      <c r="A64" s="164" t="n"/>
      <c r="B64" s="293" t="n"/>
      <c r="C64" s="699" t="n"/>
      <c r="D64" s="699" t="n"/>
      <c r="E64" s="699" t="n"/>
      <c r="F64" s="699" t="n"/>
      <c r="G64" s="686" t="n"/>
      <c r="H64" s="686" t="n"/>
      <c r="I64" s="686" t="n"/>
      <c r="J64" s="247" t="n"/>
      <c r="K64" s="247" t="n"/>
      <c r="L64" s="247" t="n"/>
      <c r="M64" s="247" t="n"/>
      <c r="N64" s="287" t="n"/>
      <c r="O64" s="288" t="n"/>
      <c r="P64" s="247" t="n"/>
      <c r="Q64" s="261" t="n"/>
      <c r="R64" s="219" t="n"/>
      <c r="S64" s="260" t="n"/>
      <c r="T64" s="289" t="n"/>
      <c r="U64" s="287" t="n"/>
      <c r="V64" s="287" t="n"/>
      <c r="W64" s="287" t="n"/>
      <c r="X64" s="287" t="n"/>
      <c r="Y64" s="287" t="n"/>
      <c r="Z64" s="287" t="n"/>
      <c r="AA64" s="287" t="n"/>
      <c r="AB64" s="287" t="n"/>
      <c r="AC64" s="287" t="n"/>
      <c r="AD64" s="287" t="n"/>
      <c r="AE64" s="287" t="n"/>
      <c r="AF64" s="287" t="n"/>
      <c r="AG64" s="287" t="n"/>
      <c r="AH64" s="287" t="n"/>
      <c r="AI64" s="287" t="n"/>
      <c r="AJ64" s="287" t="n"/>
      <c r="AK64" s="288" t="n"/>
      <c r="AL64" s="289" t="n"/>
    </row>
    <row r="65" ht="22.5" customHeight="1" s="634">
      <c r="A65" s="295" t="n"/>
      <c r="B65" s="164" t="n"/>
      <c r="C65" s="293" t="n"/>
      <c r="D65" s="699" t="n"/>
      <c r="E65" s="699" t="n"/>
      <c r="F65" s="699" t="n"/>
      <c r="G65" s="686" t="n"/>
      <c r="H65" s="686" t="n"/>
      <c r="I65" s="686" t="n"/>
      <c r="J65" s="247" t="n"/>
      <c r="K65" s="247" t="n"/>
      <c r="L65" s="247" t="n"/>
      <c r="M65" s="247" t="n"/>
      <c r="N65" s="287" t="n"/>
      <c r="O65" s="288" t="n"/>
      <c r="P65" s="247" t="n"/>
      <c r="Q65" s="261" t="n"/>
      <c r="R65" s="219" t="n"/>
      <c r="S65" s="260" t="n"/>
      <c r="T65" s="2" t="n"/>
      <c r="U65" s="296" t="n"/>
      <c r="V65" s="164" t="n"/>
      <c r="W65" s="164" t="n"/>
      <c r="X65" s="164" t="n"/>
      <c r="Y65" s="164" t="n"/>
      <c r="Z65" s="164" t="n"/>
      <c r="AA65" s="164" t="n"/>
      <c r="AB65" s="164" t="n"/>
      <c r="AC65" s="164" t="n"/>
      <c r="AD65" s="164" t="n"/>
      <c r="AE65" s="164" t="n"/>
      <c r="AF65" s="164" t="n"/>
      <c r="AG65" s="164" t="n"/>
      <c r="AH65" s="164" t="n"/>
      <c r="AI65" s="164" t="n"/>
      <c r="AJ65" s="164" t="n"/>
      <c r="AK65" s="164" t="n"/>
      <c r="AL65" s="164" t="n"/>
    </row>
    <row r="66" ht="12.75" customHeight="1" s="634">
      <c r="B66" s="297" t="inlineStr">
        <is>
          <t>表2 应付账款周转率分析</t>
        </is>
      </c>
      <c r="C66" s="298" t="n"/>
      <c r="D66" s="298" t="n"/>
      <c r="E66" s="298" t="n"/>
      <c r="F66" s="699" t="n"/>
      <c r="G66" s="686" t="n"/>
      <c r="H66" s="686" t="n"/>
      <c r="I66" s="686" t="n"/>
      <c r="J66" s="247" t="n"/>
      <c r="K66" s="247" t="n"/>
      <c r="L66" s="247" t="n"/>
      <c r="M66" s="247" t="n"/>
      <c r="N66" s="287" t="n"/>
      <c r="O66" s="288" t="n"/>
      <c r="P66" s="247" t="n"/>
      <c r="Q66" s="261" t="n"/>
      <c r="R66" s="219" t="n"/>
      <c r="S66" s="260" t="n"/>
      <c r="T66" s="296" t="n"/>
      <c r="U66" s="164" t="n"/>
    </row>
    <row r="67" ht="12.75" customHeight="1" s="634">
      <c r="B67" s="299" t="n"/>
      <c r="C67" s="300" t="n"/>
      <c r="D67" s="301">
        <f>C3</f>
        <v/>
      </c>
      <c r="E67" s="301">
        <f>K37</f>
        <v/>
      </c>
      <c r="F67" s="302" t="inlineStr">
        <is>
          <t>变动%</t>
        </is>
      </c>
      <c r="G67" s="699" t="n"/>
      <c r="H67" s="686" t="n"/>
      <c r="I67" s="686" t="n"/>
      <c r="J67" s="247" t="n"/>
      <c r="K67" s="247" t="n"/>
      <c r="L67" s="247" t="n"/>
      <c r="M67" s="247" t="n"/>
      <c r="N67" s="247" t="n"/>
      <c r="O67" s="247" t="n"/>
      <c r="P67" s="247" t="n"/>
      <c r="Q67" s="261" t="n"/>
      <c r="R67" s="219" t="n"/>
      <c r="S67" s="260" t="n"/>
      <c r="T67" s="2" t="n"/>
      <c r="U67" s="296" t="n"/>
    </row>
    <row r="68" ht="12.75" customHeight="1" s="634">
      <c r="B68" s="303" t="n"/>
      <c r="C68" s="304" t="n"/>
      <c r="D68" s="700" t="n"/>
      <c r="E68" s="701" t="inlineStr">
        <is>
          <t>PY</t>
        </is>
      </c>
      <c r="F68" s="305" t="n"/>
      <c r="G68" s="699" t="n"/>
      <c r="H68" s="686" t="n"/>
      <c r="I68" s="686" t="n"/>
      <c r="J68" s="247" t="n"/>
      <c r="K68" s="247" t="n"/>
      <c r="L68" s="247" t="n"/>
      <c r="M68" s="247" t="n"/>
      <c r="N68" s="247" t="n"/>
      <c r="O68" s="247" t="n"/>
      <c r="P68" s="247" t="n"/>
      <c r="Q68" s="261" t="n"/>
      <c r="R68" s="219" t="n"/>
      <c r="S68" s="260" t="n"/>
      <c r="T68" s="2" t="n"/>
      <c r="U68" s="296" t="n"/>
    </row>
    <row r="69" ht="12.75" customHeight="1" s="634">
      <c r="B69" s="702" t="inlineStr">
        <is>
          <t>应付账款平均余额 a</t>
        </is>
      </c>
      <c r="C69" s="703" t="n"/>
      <c r="D69" s="704">
        <f>(J46+K46)/2</f>
        <v/>
      </c>
      <c r="E69" s="669" t="n"/>
      <c r="F69" s="312">
        <f>IFERROR((D69-E69)/E69,"")</f>
        <v/>
      </c>
      <c r="G69" s="699" t="n"/>
      <c r="H69" s="686" t="n"/>
      <c r="I69" s="686" t="n"/>
      <c r="J69" s="247" t="n"/>
      <c r="K69" s="247" t="n"/>
      <c r="L69" s="247" t="n"/>
      <c r="M69" s="247" t="n"/>
      <c r="N69" s="247" t="n"/>
      <c r="O69" s="247" t="n"/>
      <c r="P69" s="247" t="n"/>
      <c r="Q69" s="261" t="n"/>
      <c r="R69" s="219" t="n"/>
      <c r="S69" s="260" t="n"/>
      <c r="T69" s="2" t="n"/>
      <c r="U69" s="296" t="n"/>
    </row>
    <row r="70" ht="12.75" customHeight="1" s="634">
      <c r="B70" s="702" t="inlineStr">
        <is>
          <t>销售成本 b</t>
        </is>
      </c>
      <c r="C70" s="705" t="inlineStr">
        <is>
          <t>/UGP_Lead</t>
        </is>
      </c>
      <c r="D70" s="706" t="n"/>
      <c r="E70" s="706" t="n"/>
      <c r="F70" s="312">
        <f>IFERROR((D70-E70)/E70,"")</f>
        <v/>
      </c>
      <c r="G70" s="699" t="n"/>
      <c r="H70" s="686" t="n"/>
      <c r="I70" s="686" t="n"/>
      <c r="J70" s="247" t="n"/>
      <c r="K70" s="247" t="n"/>
      <c r="L70" s="247" t="n"/>
      <c r="M70" s="247" t="n"/>
      <c r="N70" s="247" t="n"/>
      <c r="O70" s="247" t="n"/>
      <c r="P70" s="247" t="n"/>
      <c r="Q70" s="261" t="n"/>
      <c r="R70" s="219" t="n"/>
      <c r="S70" s="260" t="n"/>
      <c r="T70" s="2" t="n"/>
      <c r="U70" s="296" t="n"/>
    </row>
    <row r="71" ht="12.75" customHeight="1" s="634">
      <c r="B71" s="702" t="n"/>
      <c r="C71" s="703" t="n"/>
      <c r="D71" s="707" t="n"/>
      <c r="E71" s="707" t="n"/>
      <c r="F71" s="310" t="n"/>
      <c r="G71" s="699" t="n"/>
      <c r="H71" s="686" t="n"/>
      <c r="I71" s="686" t="n"/>
      <c r="J71" s="247" t="n"/>
      <c r="K71" s="247" t="n"/>
      <c r="L71" s="247" t="n"/>
      <c r="M71" s="247" t="n"/>
      <c r="N71" s="247" t="n"/>
      <c r="O71" s="247" t="n"/>
      <c r="P71" s="247" t="n"/>
      <c r="Q71" s="261" t="n"/>
      <c r="R71" s="219" t="n"/>
      <c r="S71" s="260" t="n"/>
      <c r="T71" s="2" t="n"/>
      <c r="U71" s="296" t="n"/>
    </row>
    <row r="72" ht="12.75" customHeight="1" s="634">
      <c r="B72" s="702" t="inlineStr">
        <is>
          <t>周转天数 c=a/b*365</t>
        </is>
      </c>
      <c r="C72" s="703" t="n"/>
      <c r="D72" s="708">
        <f>IFERROR(ABS(D69)/ABS(D70)*365,0)</f>
        <v/>
      </c>
      <c r="E72" s="708">
        <f>IFERROR(ABS(E69)/ABS(E70)*365,0)</f>
        <v/>
      </c>
      <c r="F72" s="310">
        <f>IFERROR((D72-E72)/E72,"")</f>
        <v/>
      </c>
      <c r="G72" s="699" t="n"/>
      <c r="H72" s="686" t="n"/>
      <c r="I72" s="686" t="n"/>
      <c r="J72" s="247" t="n"/>
      <c r="K72" s="247" t="n"/>
      <c r="L72" s="247" t="n"/>
      <c r="M72" s="247" t="n"/>
      <c r="N72" s="247" t="n"/>
      <c r="O72" s="247" t="n"/>
      <c r="P72" s="247" t="n"/>
      <c r="Q72" s="261" t="n"/>
      <c r="R72" s="219" t="n"/>
      <c r="S72" s="260" t="n"/>
      <c r="T72" s="2" t="n"/>
      <c r="U72" s="296" t="n"/>
    </row>
    <row r="73" ht="12.75" customHeight="1" s="634">
      <c r="B73" s="702" t="inlineStr">
        <is>
          <t>周转率 d=b/a</t>
        </is>
      </c>
      <c r="C73" s="703" t="n"/>
      <c r="D73" s="709">
        <f>IFERROR(ABS(D70)/ABS(D69),0)</f>
        <v/>
      </c>
      <c r="E73" s="709">
        <f>IFERROR(ABS(E70)/ABS(E69),0)</f>
        <v/>
      </c>
      <c r="F73" s="312">
        <f>IFERROR((D73-E73)/E73,"")</f>
        <v/>
      </c>
      <c r="G73" s="699" t="n"/>
      <c r="H73" s="686" t="n"/>
      <c r="I73" s="686" t="n"/>
      <c r="J73" s="247" t="n"/>
      <c r="K73" s="247" t="n"/>
      <c r="L73" s="247" t="n"/>
      <c r="M73" s="247" t="n"/>
      <c r="N73" s="247" t="n"/>
      <c r="O73" s="247" t="n"/>
      <c r="P73" s="247" t="n"/>
      <c r="Q73" s="261" t="n"/>
      <c r="R73" s="219" t="n"/>
      <c r="S73" s="260" t="n"/>
      <c r="T73" s="2" t="n"/>
      <c r="U73" s="296" t="n"/>
    </row>
    <row r="74" ht="12.75" customHeight="1" s="634">
      <c r="B74" s="313" t="n"/>
      <c r="C74" s="3" t="n"/>
      <c r="D74" s="710" t="n"/>
      <c r="E74" s="710" t="n"/>
      <c r="F74" s="711" t="n"/>
      <c r="G74" s="699" t="n"/>
      <c r="H74" s="686" t="n"/>
      <c r="I74" s="686" t="n"/>
      <c r="J74" s="247" t="n"/>
      <c r="K74" s="247" t="n"/>
      <c r="L74" s="247" t="n"/>
      <c r="M74" s="247" t="n"/>
      <c r="N74" s="247" t="n"/>
      <c r="O74" s="247" t="n"/>
      <c r="P74" s="247" t="n"/>
      <c r="Q74" s="261" t="n"/>
      <c r="R74" s="219" t="n"/>
      <c r="S74" s="260" t="n"/>
      <c r="T74" s="2" t="n"/>
      <c r="U74" s="296" t="n"/>
    </row>
    <row r="75" ht="47.85" customHeight="1" s="634">
      <c r="B75" s="316" t="inlineStr">
        <is>
          <t>分析:</t>
        </is>
      </c>
      <c r="C75" s="317" t="n"/>
      <c r="D75" s="4" t="n"/>
      <c r="E75" s="4" t="n"/>
      <c r="F75" s="318" t="n"/>
      <c r="G75" s="699" t="n"/>
      <c r="H75" s="686" t="n"/>
      <c r="I75" s="686" t="n"/>
      <c r="J75" s="247" t="n"/>
      <c r="K75" s="247" t="n"/>
      <c r="L75" s="247" t="n"/>
      <c r="M75" s="247" t="n"/>
      <c r="N75" s="247" t="n"/>
      <c r="O75" s="247" t="n"/>
      <c r="P75" s="247" t="n"/>
      <c r="Q75" s="261" t="n"/>
      <c r="R75" s="219" t="n"/>
      <c r="S75" s="260" t="n"/>
      <c r="T75" s="2" t="n"/>
      <c r="U75" s="296" t="n"/>
    </row>
    <row r="76" ht="12.75" customHeight="1" s="634">
      <c r="B76" s="712" t="inlineStr">
        <is>
          <t>在此输入分析。</t>
        </is>
      </c>
      <c r="C76" s="697" t="n"/>
      <c r="D76" s="697" t="n"/>
      <c r="E76" s="697" t="n"/>
      <c r="F76" s="698" t="n"/>
      <c r="G76" s="699" t="n"/>
      <c r="H76" s="686" t="n"/>
      <c r="I76" s="686" t="n"/>
      <c r="J76" s="247" t="n"/>
      <c r="K76" s="247" t="n"/>
      <c r="L76" s="247" t="n"/>
      <c r="M76" s="247" t="n"/>
      <c r="N76" s="247" t="n"/>
      <c r="O76" s="247" t="n"/>
      <c r="P76" s="247" t="n"/>
      <c r="Q76" s="261" t="n"/>
      <c r="R76" s="219" t="n"/>
      <c r="S76" s="260" t="n"/>
      <c r="T76" s="2" t="n"/>
      <c r="U76" s="296" t="n"/>
    </row>
    <row r="77" ht="15" customFormat="1" customHeight="1" s="143">
      <c r="B77" s="293" t="n"/>
      <c r="C77" s="699" t="n"/>
      <c r="D77" s="699" t="n"/>
      <c r="E77" s="699" t="n"/>
      <c r="F77" s="699" t="n"/>
      <c r="G77" s="686" t="n"/>
      <c r="H77" s="686" t="n"/>
      <c r="I77" s="247" t="n"/>
      <c r="J77" s="247" t="n"/>
      <c r="K77" s="247" t="n"/>
      <c r="L77" s="247" t="n"/>
      <c r="M77" s="247" t="n"/>
      <c r="N77" s="247" t="n"/>
      <c r="O77" s="247" t="n"/>
      <c r="P77" s="247" t="n"/>
      <c r="Q77" s="261" t="n"/>
      <c r="R77" s="219" t="n"/>
      <c r="S77" s="260" t="n"/>
      <c r="T77" s="296" t="n"/>
      <c r="U77" s="164" t="n"/>
    </row>
    <row r="78" ht="12.75" customHeight="1" s="634">
      <c r="B78" s="39" t="n"/>
      <c r="C78" s="39" t="n"/>
      <c r="D78" s="39" t="n"/>
      <c r="E78" s="39" t="n"/>
      <c r="F78" s="39" t="n"/>
      <c r="G78" s="686" t="n"/>
      <c r="H78" s="29" t="n"/>
      <c r="I78" s="26" t="n"/>
      <c r="J78" s="29" t="n"/>
      <c r="K78" s="29" t="n"/>
      <c r="L78" s="29" t="n"/>
      <c r="M78" s="29" t="n"/>
      <c r="N78" s="29" t="n"/>
      <c r="O78" s="29" t="n"/>
      <c r="P78" s="247" t="n"/>
      <c r="Q78" s="261" t="n"/>
      <c r="R78" s="219" t="n"/>
      <c r="S78" s="260" t="n"/>
      <c r="T78" s="29" t="n"/>
      <c r="U78" s="29" t="n"/>
    </row>
    <row r="79" ht="12.75" customHeight="1" s="634">
      <c r="B79" s="319" t="inlineStr">
        <is>
          <t>调整汇总表（如不适用请删除）</t>
        </is>
      </c>
      <c r="C79" s="320" t="n"/>
      <c r="D79" s="320" t="n"/>
      <c r="E79" s="321" t="n"/>
      <c r="F79" s="322" t="n"/>
      <c r="G79" s="699" t="n"/>
      <c r="H79" s="686" t="n"/>
      <c r="I79" s="686" t="n"/>
      <c r="J79" s="247" t="n"/>
      <c r="K79" s="247" t="n"/>
      <c r="L79" s="247" t="n"/>
      <c r="M79" s="247" t="n"/>
      <c r="N79" s="247" t="n"/>
      <c r="O79" s="247" t="n"/>
      <c r="P79" s="247" t="n"/>
      <c r="Q79" s="261" t="n"/>
      <c r="R79" s="219" t="n"/>
      <c r="S79" s="260" t="n"/>
      <c r="T79" s="296" t="n"/>
      <c r="U79" s="164" t="n"/>
    </row>
    <row r="80" ht="12.75" customHeight="1" s="634">
      <c r="B80" s="713" t="inlineStr">
        <is>
          <t>调整类型</t>
        </is>
      </c>
      <c r="C80" s="324" t="n"/>
      <c r="D80" s="324" t="n"/>
      <c r="E80" s="325" t="n"/>
      <c r="F80" s="325" t="n"/>
      <c r="G80" s="699" t="n"/>
      <c r="H80" s="686" t="n"/>
      <c r="I80" s="686" t="n"/>
      <c r="J80" s="247" t="n"/>
      <c r="K80" s="247" t="n"/>
      <c r="L80" s="247" t="n"/>
      <c r="M80" s="247" t="n"/>
      <c r="N80" s="247" t="n"/>
      <c r="O80" s="247" t="n"/>
      <c r="P80" s="247" t="n"/>
      <c r="Q80" s="261" t="n"/>
      <c r="R80" s="219" t="n"/>
      <c r="S80" s="260" t="n"/>
      <c r="T80" s="296" t="n"/>
      <c r="U80" s="164" t="n"/>
    </row>
    <row r="81" ht="12.75" customHeight="1" s="634">
      <c r="B81" s="326" t="n"/>
      <c r="C81" s="327" t="n"/>
      <c r="D81" s="327" t="n"/>
      <c r="E81" s="418" t="n"/>
      <c r="F81" s="419" t="n"/>
      <c r="G81" s="699" t="n"/>
      <c r="H81" s="686" t="n"/>
      <c r="I81" s="686" t="n"/>
      <c r="J81" s="247" t="n"/>
      <c r="K81" s="247" t="n"/>
      <c r="L81" s="247" t="n"/>
      <c r="M81" s="247" t="n"/>
      <c r="N81" s="247" t="n"/>
      <c r="O81" s="247" t="n"/>
      <c r="P81" s="247" t="n"/>
      <c r="Q81" s="261" t="n"/>
      <c r="R81" s="219" t="n"/>
      <c r="S81" s="260" t="n"/>
      <c r="T81" s="296" t="n"/>
      <c r="U81" s="164" t="n"/>
    </row>
    <row r="82" ht="12.75" customHeight="1" s="634">
      <c r="A82" s="295" t="n"/>
      <c r="B82" s="328" t="n"/>
      <c r="C82" s="420" t="n"/>
      <c r="D82" s="420" t="n"/>
      <c r="E82" s="421" t="n"/>
      <c r="F82" s="422" t="n"/>
      <c r="G82" s="699" t="n"/>
      <c r="H82" s="686" t="n"/>
      <c r="I82" s="686" t="n"/>
      <c r="J82" s="247" t="n"/>
      <c r="K82" s="247" t="n"/>
      <c r="L82" s="247" t="n"/>
      <c r="M82" s="247" t="n"/>
      <c r="N82" s="247" t="n"/>
      <c r="O82" s="247" t="n"/>
      <c r="P82" s="247" t="n"/>
      <c r="Q82" s="247" t="n"/>
      <c r="R82" s="219" t="n"/>
      <c r="S82" s="2" t="n"/>
      <c r="T82" s="296" t="n"/>
    </row>
    <row r="83" ht="12.6" customHeight="1" s="634">
      <c r="A83" s="295" t="n"/>
      <c r="B83" s="328" t="n"/>
      <c r="C83" s="420" t="n"/>
      <c r="D83" s="420" t="n"/>
      <c r="E83" s="421" t="n"/>
      <c r="F83" s="422" t="n"/>
      <c r="G83" s="699" t="n"/>
      <c r="H83" s="686" t="n"/>
      <c r="I83" s="686" t="n"/>
      <c r="J83" s="247" t="n"/>
      <c r="K83" s="247" t="n"/>
      <c r="L83" s="247" t="n"/>
      <c r="M83" s="247" t="n"/>
      <c r="N83" s="247" t="n"/>
      <c r="O83" s="247" t="n"/>
      <c r="P83" s="247" t="n"/>
      <c r="Q83" s="247" t="n"/>
      <c r="R83" s="219" t="n"/>
      <c r="S83" s="2" t="n"/>
      <c r="T83" s="296" t="n"/>
    </row>
    <row r="84" ht="15" customHeight="1" s="634">
      <c r="A84" s="295" t="n"/>
      <c r="B84" s="329" t="n"/>
      <c r="C84" s="423" t="n"/>
      <c r="D84" s="423" t="n"/>
      <c r="E84" s="423" t="n"/>
      <c r="F84" s="424" t="n"/>
      <c r="G84" s="293" t="n"/>
      <c r="H84" s="686" t="n"/>
      <c r="I84" s="686" t="n"/>
      <c r="J84" s="247" t="n"/>
      <c r="K84" s="247" t="n"/>
      <c r="L84" s="247" t="n"/>
      <c r="M84" s="247" t="n"/>
      <c r="N84" s="247" t="n"/>
      <c r="O84" s="247" t="n"/>
      <c r="P84" s="247" t="n"/>
      <c r="Q84" s="247" t="n"/>
      <c r="R84" s="219" t="n"/>
      <c r="S84" s="2" t="n"/>
      <c r="T84" s="296" t="n"/>
    </row>
    <row r="85" ht="7.5" customHeight="1" s="634">
      <c r="A85" s="295" t="n"/>
      <c r="B85" s="164" t="n"/>
      <c r="C85" s="293" t="n"/>
      <c r="D85" s="699" t="n"/>
      <c r="E85" s="293" t="n"/>
      <c r="F85" s="164" t="n"/>
      <c r="G85" s="164" t="n"/>
      <c r="H85" s="164" t="n"/>
      <c r="I85" s="164" t="n"/>
      <c r="J85" s="164" t="n"/>
      <c r="K85" s="164" t="n"/>
      <c r="L85" s="164" t="n"/>
      <c r="M85" s="164" t="n"/>
      <c r="N85" s="164" t="n"/>
      <c r="O85" s="164" t="n"/>
      <c r="P85" s="164" t="n"/>
      <c r="Q85" s="164" t="n"/>
      <c r="R85" s="219" t="n"/>
      <c r="S85" s="164" t="n"/>
      <c r="T85" s="164" t="n"/>
    </row>
    <row r="86">
      <c r="A86" s="330" t="n"/>
      <c r="B86" s="330" t="n"/>
      <c r="C86" s="330" t="n"/>
      <c r="D86" s="330" t="n"/>
      <c r="E86" s="330" t="n"/>
      <c r="F86" s="330" t="n"/>
      <c r="G86" s="330" t="n"/>
      <c r="H86" s="330" t="n"/>
      <c r="I86" s="330" t="n"/>
      <c r="J86" s="330" t="n"/>
      <c r="K86" s="330" t="n"/>
      <c r="L86" s="330" t="n"/>
      <c r="M86" s="330" t="n"/>
      <c r="N86" s="330" t="n"/>
      <c r="O86" s="330" t="n"/>
      <c r="P86" s="330" t="n"/>
      <c r="Q86" s="330" t="n"/>
      <c r="R86" s="219" t="n"/>
      <c r="S86" s="164" t="n"/>
      <c r="T86" s="164" t="n"/>
    </row>
    <row r="87" ht="12.75" customHeight="1" s="634">
      <c r="A87" s="295" t="n"/>
      <c r="B87" s="164" t="n"/>
      <c r="C87" s="293" t="n"/>
      <c r="D87" s="699" t="n"/>
      <c r="E87" s="293" t="n"/>
      <c r="F87" s="164" t="n"/>
      <c r="G87" s="164" t="n"/>
      <c r="H87" s="164" t="n"/>
      <c r="I87" s="164" t="n"/>
      <c r="J87" s="164" t="n"/>
      <c r="K87" s="164" t="n"/>
      <c r="L87" s="164" t="n"/>
      <c r="M87" s="164" t="n"/>
      <c r="N87" s="164" t="n"/>
      <c r="O87" s="164" t="n"/>
      <c r="P87" s="164" t="n"/>
      <c r="Q87" s="164" t="n"/>
      <c r="R87" s="164" t="n"/>
      <c r="S87" s="164" t="n"/>
      <c r="T87" s="164" t="n"/>
    </row>
    <row r="88" ht="12.75" customHeight="1" s="634">
      <c r="A88" s="295" t="n"/>
      <c r="B88" s="164" t="n"/>
      <c r="C88" s="293" t="n"/>
      <c r="D88" s="699" t="n"/>
      <c r="E88" s="293" t="n"/>
      <c r="F88" s="164" t="n"/>
      <c r="G88" s="164" t="n"/>
      <c r="H88" s="164" t="n"/>
      <c r="I88" s="164" t="n"/>
      <c r="J88" s="164" t="n"/>
      <c r="K88" s="164" t="n"/>
      <c r="L88" s="164" t="n"/>
      <c r="M88" s="164" t="n"/>
      <c r="N88" s="164" t="n"/>
      <c r="O88" s="164" t="n"/>
      <c r="P88" s="164" t="n"/>
      <c r="Q88" s="164" t="n"/>
      <c r="R88" s="164" t="n"/>
      <c r="S88" s="164" t="n"/>
      <c r="T88" s="164" t="n"/>
    </row>
    <row r="89" ht="12.75" customHeight="1" s="634">
      <c r="A89" s="295" t="n"/>
      <c r="B89" s="164" t="n"/>
      <c r="C89" s="293" t="n"/>
      <c r="D89" s="699" t="n"/>
      <c r="E89" s="293" t="n"/>
      <c r="F89" s="164" t="n"/>
      <c r="G89" s="164" t="n"/>
      <c r="H89" s="164" t="n"/>
      <c r="I89" s="164" t="n"/>
      <c r="J89" s="164" t="n"/>
      <c r="K89" s="164" t="n"/>
      <c r="L89" s="164" t="n"/>
      <c r="M89" s="164" t="n"/>
      <c r="N89" s="164" t="n"/>
      <c r="O89" s="164" t="n"/>
      <c r="P89" s="164" t="n"/>
      <c r="Q89" s="164" t="n"/>
      <c r="R89" s="164" t="n"/>
      <c r="S89" s="164" t="n"/>
      <c r="T89" s="164" t="n"/>
    </row>
    <row r="90" ht="12.75" customHeight="1" s="634">
      <c r="A90" s="295" t="n"/>
      <c r="B90" s="164" t="n"/>
      <c r="C90" s="293" t="n"/>
      <c r="D90" s="699" t="n"/>
      <c r="E90" s="164" t="n"/>
      <c r="F90" s="164" t="n"/>
      <c r="G90" s="164" t="n"/>
      <c r="H90" s="164" t="n"/>
      <c r="I90" s="164" t="n"/>
      <c r="J90" s="164" t="n"/>
      <c r="K90" s="164" t="n"/>
      <c r="L90" s="164" t="n"/>
      <c r="M90" s="164" t="n"/>
      <c r="N90" s="164" t="n"/>
      <c r="O90" s="164" t="n"/>
      <c r="P90" s="164" t="n"/>
      <c r="Q90" s="164" t="n"/>
      <c r="R90" s="164" t="n"/>
      <c r="S90" s="164" t="n"/>
      <c r="T90" s="164" t="n"/>
    </row>
    <row r="91" ht="12.75" customHeight="1" s="634">
      <c r="A91" s="295" t="n"/>
      <c r="B91" s="164" t="n"/>
      <c r="C91" s="293" t="n"/>
      <c r="D91" s="699" t="n"/>
      <c r="E91" s="164" t="n"/>
      <c r="F91" s="164" t="n"/>
      <c r="G91" s="164" t="n"/>
      <c r="H91" s="164" t="n"/>
      <c r="I91" s="164" t="n"/>
      <c r="J91" s="164" t="n"/>
      <c r="K91" s="164" t="n"/>
      <c r="L91" s="164" t="n"/>
      <c r="M91" s="164" t="n"/>
      <c r="N91" s="164" t="n"/>
      <c r="O91" s="164" t="n"/>
      <c r="P91" s="164" t="n"/>
      <c r="Q91" s="164" t="n"/>
      <c r="R91" s="164" t="n"/>
      <c r="S91" s="164" t="n"/>
      <c r="T91" s="164" t="n"/>
    </row>
    <row r="92">
      <c r="A92" s="295" t="n"/>
      <c r="B92" s="164" t="n"/>
      <c r="C92" s="293" t="n"/>
      <c r="D92" s="699" t="n"/>
      <c r="E92" s="164" t="n"/>
      <c r="F92" s="164" t="n"/>
      <c r="G92" s="164" t="n"/>
      <c r="H92" s="164" t="n"/>
      <c r="I92" s="164" t="n"/>
      <c r="J92" s="164" t="n"/>
      <c r="K92" s="164" t="n"/>
      <c r="L92" s="164" t="n"/>
      <c r="M92" s="164" t="n"/>
      <c r="N92" s="164" t="n"/>
      <c r="O92" s="164" t="n"/>
      <c r="P92" s="164" t="n"/>
      <c r="Q92" s="164" t="n"/>
      <c r="R92" s="164" t="n"/>
      <c r="S92" s="164" t="n"/>
      <c r="T92" s="164" t="n"/>
    </row>
  </sheetData>
  <mergeCells count="17">
    <mergeCell ref="D2:P8"/>
    <mergeCell ref="B26:F28"/>
    <mergeCell ref="B76:F76"/>
    <mergeCell ref="B23:E23"/>
    <mergeCell ref="F37:J37"/>
    <mergeCell ref="B60:F63"/>
    <mergeCell ref="C37:C38"/>
    <mergeCell ref="D37:D38"/>
    <mergeCell ref="E37:E38"/>
    <mergeCell ref="L37:M37"/>
    <mergeCell ref="B20:E20"/>
    <mergeCell ref="B53:F56"/>
    <mergeCell ref="P37:P38"/>
    <mergeCell ref="O37:O38"/>
    <mergeCell ref="N37:N38"/>
    <mergeCell ref="B37:B38"/>
    <mergeCell ref="H13:L13"/>
  </mergeCells>
  <conditionalFormatting sqref="B26">
    <cfRule type="cellIs" priority="17" operator="equal" dxfId="37">
      <formula>0</formula>
    </cfRule>
    <cfRule type="containsBlanks" priority="27" dxfId="4">
      <formula>LEN(TRIM(B26))=0</formula>
    </cfRule>
    <cfRule type="containsBlanks" priority="36" dxfId="37">
      <formula>LEN(TRIM(B26))=0</formula>
    </cfRule>
  </conditionalFormatting>
  <conditionalFormatting sqref="B53:B55">
    <cfRule type="containsBlanks" priority="6" dxfId="4">
      <formula>LEN(TRIM(B52))=0</formula>
    </cfRule>
  </conditionalFormatting>
  <conditionalFormatting sqref="B60">
    <cfRule type="containsBlanks" priority="16" dxfId="4">
      <formula>LEN(TRIM(B59))=0</formula>
    </cfRule>
  </conditionalFormatting>
  <conditionalFormatting sqref="B39:D43">
    <cfRule type="containsBlanks" priority="13" dxfId="4">
      <formula>LEN(TRIM(B39))=0</formula>
    </cfRule>
  </conditionalFormatting>
  <conditionalFormatting sqref="B81:F81 B82:B84 C82:F82">
    <cfRule type="containsBlanks" priority="5" dxfId="4">
      <formula>LEN(TRIM(B80))=0</formula>
    </cfRule>
  </conditionalFormatting>
  <conditionalFormatting sqref="C2">
    <cfRule type="containsBlanks" priority="29" dxfId="4">
      <formula>LEN(TRIM(C2))=0</formula>
    </cfRule>
  </conditionalFormatting>
  <conditionalFormatting sqref="C3">
    <cfRule type="containsBlanks" priority="32" dxfId="11">
      <formula>LEN(TRIM(C3))=0</formula>
    </cfRule>
  </conditionalFormatting>
  <conditionalFormatting sqref="C4:C8">
    <cfRule type="containsBlanks" priority="30" dxfId="4">
      <formula>LEN(TRIM(C4))=0</formula>
    </cfRule>
  </conditionalFormatting>
  <conditionalFormatting sqref="C15:C19">
    <cfRule type="containsBlanks" priority="31" dxfId="4">
      <formula>LEN(TRIM(C15))=0</formula>
    </cfRule>
  </conditionalFormatting>
  <conditionalFormatting sqref="C32">
    <cfRule type="containsBlanks" priority="14" dxfId="4">
      <formula>LEN(TRIM(C32))=0</formula>
    </cfRule>
  </conditionalFormatting>
  <conditionalFormatting sqref="C83:F84">
    <cfRule type="containsBlanks" priority="4" dxfId="13">
      <formula>LEN(TRIM(C82))=0</formula>
    </cfRule>
  </conditionalFormatting>
  <conditionalFormatting sqref="B76:F76 D70:E70">
    <cfRule type="containsBlanks" priority="35" dxfId="4">
      <formula>LEN(TRIM(B69))=0</formula>
    </cfRule>
  </conditionalFormatting>
  <conditionalFormatting sqref="E39">
    <cfRule type="containsBlanks" priority="25" dxfId="11">
      <formula>LEN(TRIM(E39))=0</formula>
    </cfRule>
  </conditionalFormatting>
  <conditionalFormatting sqref="E69">
    <cfRule type="containsBlanks" priority="1" dxfId="4">
      <formula>LEN(TRIM(E68))=0</formula>
    </cfRule>
  </conditionalFormatting>
  <conditionalFormatting sqref="F39:F43">
    <cfRule type="containsBlanks" priority="12" dxfId="4">
      <formula>LEN(TRIM(F39))=0</formula>
    </cfRule>
  </conditionalFormatting>
  <conditionalFormatting sqref="H30">
    <cfRule type="containsBlanks" priority="20" dxfId="0">
      <formula>LEN(TRIM(H30))=0</formula>
    </cfRule>
  </conditionalFormatting>
  <conditionalFormatting sqref="H39:H43 J39:J43">
    <cfRule type="containsBlanks" priority="28" dxfId="11">
      <formula>LEN(TRIM(H39))=0</formula>
    </cfRule>
  </conditionalFormatting>
  <conditionalFormatting sqref="H48">
    <cfRule type="containsBlanks" priority="24" dxfId="4">
      <formula>LEN(TRIM(H47))=0</formula>
    </cfRule>
  </conditionalFormatting>
  <conditionalFormatting sqref="J48:K48">
    <cfRule type="containsBlanks" priority="2" dxfId="4">
      <formula>LEN(TRIM(J47))=0</formula>
    </cfRule>
  </conditionalFormatting>
  <conditionalFormatting sqref="K39:K43">
    <cfRule type="containsBlanks" priority="11" dxfId="4">
      <formula>LEN(TRIM(K39))=0</formula>
    </cfRule>
  </conditionalFormatting>
  <conditionalFormatting sqref="P39:P43">
    <cfRule type="containsBlanks" priority="7" dxfId="4">
      <formula>LEN(TRIM(P39))=0</formula>
    </cfRule>
  </conditionalFormatting>
  <conditionalFormatting sqref="P46">
    <cfRule type="containsBlanks" priority="3" dxfId="4">
      <formula>LEN(TRIM(P45))=0</formula>
    </cfRule>
  </conditionalFormatting>
  <dataValidations count="4">
    <dataValidation sqref="P39:P43 P46" showDropDown="0" showInputMessage="1" showErrorMessage="1" allowBlank="1" type="list">
      <formula1>"是,否"</formula1>
    </dataValidation>
    <dataValidation sqref="C15:C19" showDropDown="0" showInputMessage="1" showErrorMessage="0" allowBlank="1" type="list">
      <formula1>"Minimal,Low,Moderate,High,N/A"</formula1>
    </dataValidation>
    <dataValidation sqref="P44:P45" showDropDown="0" showInputMessage="1" showErrorMessage="1" allowBlank="1" type="list">
      <formula1>"Yes,No"</formula1>
    </dataValidation>
    <dataValidation sqref="B81:B84"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P33"/>
  <sheetViews>
    <sheetView showGridLines="0" zoomScale="70" zoomScaleNormal="70" workbookViewId="0">
      <selection activeCell="K24" sqref="K24"/>
    </sheetView>
  </sheetViews>
  <sheetFormatPr baseColWidth="8" defaultColWidth="8.875" defaultRowHeight="15" customHeight="1"/>
  <cols>
    <col width="2.625" customWidth="1" style="10" min="1" max="1"/>
    <col width="24" customWidth="1" style="10" min="2" max="2"/>
    <col width="25.625" customWidth="1" style="10" min="3" max="6"/>
    <col width="15.875" customWidth="1" style="10" min="7" max="7"/>
    <col width="15.625" customWidth="1" style="10" min="8" max="8"/>
    <col width="19.625" customWidth="1" style="10" min="9" max="9"/>
    <col width="20.5" customWidth="1" style="10" min="10" max="11"/>
    <col width="2.625" customWidth="1" style="10" min="12" max="12"/>
    <col width="1.625" customWidth="1" style="10" min="13" max="13"/>
    <col width="2.875" customWidth="1" style="10" min="14" max="16"/>
    <col width="11.375" customWidth="1" style="10" min="17" max="17"/>
    <col width="8.875" customWidth="1" style="10" min="18" max="18"/>
    <col width="9.875" customWidth="1" style="10" min="19" max="21"/>
    <col width="8.875" customWidth="1" style="10" min="22" max="699"/>
    <col width="9.125" customWidth="1" style="10" min="700" max="700"/>
    <col width="8.875" customWidth="1" style="10" min="701" max="16384"/>
  </cols>
  <sheetData>
    <row r="1" ht="50.1" customHeight="1" s="634">
      <c r="B1" s="85" t="inlineStr">
        <is>
          <t>标准工作底稿: N SWP 应付账款</t>
        </is>
      </c>
      <c r="C1" s="14" t="n"/>
      <c r="D1" s="15" t="n"/>
      <c r="E1" s="15" t="n"/>
      <c r="F1" s="15" t="n"/>
      <c r="G1" s="15" t="n"/>
      <c r="H1" s="15" t="n"/>
      <c r="I1" s="15" t="n"/>
      <c r="J1" s="15" t="n"/>
      <c r="K1" s="16" t="n"/>
      <c r="M1" s="17" t="n"/>
    </row>
    <row r="2" ht="30" customHeight="1" s="634">
      <c r="B2" s="18" t="inlineStr">
        <is>
          <t>N.01: 明细账与总账核对并执行细节测试</t>
        </is>
      </c>
      <c r="C2" s="19" t="n"/>
      <c r="D2" s="19" t="n"/>
      <c r="E2" s="19" t="n"/>
      <c r="F2" s="19" t="n"/>
      <c r="G2" s="19" t="n"/>
      <c r="H2" s="19" t="n"/>
      <c r="I2" s="19" t="n"/>
      <c r="J2" s="19" t="n"/>
      <c r="K2" s="20" t="n"/>
      <c r="M2" s="17" t="n"/>
    </row>
    <row r="3" ht="15" customHeight="1" s="634">
      <c r="M3" s="17" t="n"/>
    </row>
    <row r="4" ht="15" customHeight="1" s="634">
      <c r="B4" s="46" t="inlineStr">
        <is>
          <t>返回汇总页</t>
        </is>
      </c>
      <c r="M4" s="17" t="n"/>
    </row>
    <row r="5" ht="15" customHeight="1" s="634">
      <c r="M5" s="17" t="n"/>
    </row>
    <row r="6" ht="15" customHeight="1" s="634">
      <c r="B6" s="714">
        <f>MIN('N.00 Lead sheet'!$D$15,'N.00 Lead sheet'!$D$16)</f>
        <v/>
      </c>
      <c r="C6" s="86" t="inlineStr">
        <is>
          <t>用于识别总账和明细账之间差异的测试阈值</t>
        </is>
      </c>
      <c r="D6" s="47" t="n"/>
      <c r="M6" s="17" t="n"/>
    </row>
    <row r="7" ht="15" customHeight="1" s="634">
      <c r="M7" s="17" t="n"/>
    </row>
    <row r="8" ht="15" customHeight="1" s="634">
      <c r="B8" s="22" t="n"/>
      <c r="F8" s="23" t="n"/>
      <c r="G8" s="13" t="n"/>
      <c r="J8" s="13" t="n"/>
      <c r="M8" s="17" t="n"/>
    </row>
    <row r="9" ht="19.5" customHeight="1" s="634">
      <c r="B9" s="212" t="inlineStr">
        <is>
          <t>表1 将明细账与总账核对一致。</t>
        </is>
      </c>
      <c r="C9" s="213" t="n"/>
      <c r="D9" s="213" t="n"/>
      <c r="E9" s="13" t="n"/>
      <c r="F9" s="13" t="n"/>
      <c r="H9" s="13" t="n"/>
      <c r="I9" s="13" t="inlineStr">
        <is>
          <t>|------- Rx -------|</t>
        </is>
      </c>
      <c r="J9" s="13" t="n"/>
      <c r="M9" s="17" t="n"/>
    </row>
    <row r="10" ht="15" customHeight="1" s="634">
      <c r="B10" s="715" t="inlineStr">
        <is>
          <t>账套名称/账套编码</t>
        </is>
      </c>
      <c r="C10" s="716" t="inlineStr">
        <is>
          <t>总账科目编码</t>
        </is>
      </c>
      <c r="D10" s="717" t="inlineStr">
        <is>
          <t>科目名称</t>
        </is>
      </c>
      <c r="E10" s="718" t="inlineStr">
        <is>
          <t>Lead页余额</t>
        </is>
      </c>
      <c r="F10" s="719" t="inlineStr">
        <is>
          <t>索引号</t>
        </is>
      </c>
      <c r="G10" s="719" t="inlineStr">
        <is>
          <t>明细账余额</t>
        </is>
      </c>
      <c r="H10" s="719" t="inlineStr">
        <is>
          <t>明细账索引</t>
        </is>
      </c>
      <c r="I10" s="719" t="inlineStr">
        <is>
          <t>差异重新计算
（Note1）</t>
        </is>
      </c>
      <c r="J10" s="720" t="inlineStr">
        <is>
          <t>外币余额</t>
        </is>
      </c>
      <c r="K10" s="721" t="n"/>
      <c r="M10" s="17" t="n"/>
    </row>
    <row r="11" ht="31.5" customHeight="1" s="634">
      <c r="B11" s="637" t="n"/>
      <c r="C11" s="691" t="n"/>
      <c r="D11" s="644" t="n"/>
      <c r="E11" s="644" t="n"/>
      <c r="F11" s="722" t="n"/>
      <c r="G11" s="722" t="n"/>
      <c r="H11" s="722" t="n"/>
      <c r="I11" s="722" t="n"/>
      <c r="J11" s="521" t="inlineStr">
        <is>
          <t>是否适当重新计量?
(使用下拉列表)</t>
        </is>
      </c>
      <c r="K11" s="521" t="inlineStr">
        <is>
          <t>工作底稿参考</t>
        </is>
      </c>
      <c r="M11" s="17" t="n"/>
    </row>
    <row r="12" ht="15" customHeight="1" s="634">
      <c r="B12" s="211" t="n"/>
      <c r="C12" s="57" t="n"/>
      <c r="D12" s="48" t="n"/>
      <c r="E12" s="723">
        <f>-IFERROR(_xlfn.XLOOKUP(C12,'N.00 Lead sheet'!$C$39:$C$43,'N.00 Lead sheet'!$F$39:$F$43),0)</f>
        <v/>
      </c>
      <c r="F12" s="187" t="inlineStr">
        <is>
          <t xml:space="preserve">/N.00 </t>
        </is>
      </c>
      <c r="G12" s="724" t="n"/>
      <c r="H12" s="188" t="inlineStr">
        <is>
          <t>/N.01.01明细账</t>
        </is>
      </c>
      <c r="I12" s="723">
        <f>E12-G12</f>
        <v/>
      </c>
      <c r="J12" s="88" t="n"/>
      <c r="K12" s="452">
        <f>IF(J12="","",IF(J12="是","Note2",IF(J12="否","Note2","不适用")))</f>
        <v/>
      </c>
      <c r="M12" s="17" t="n"/>
    </row>
    <row r="13" ht="15" customHeight="1" s="634">
      <c r="B13" s="48" t="n"/>
      <c r="C13" s="57" t="n"/>
      <c r="D13" s="48" t="n"/>
      <c r="E13" s="723">
        <f>-IFERROR(_xlfn.XLOOKUP(C13,'N.00 Lead sheet'!$C$39:$C$43,'N.00 Lead sheet'!$F$39:$F$43),0)</f>
        <v/>
      </c>
      <c r="F13" s="24" t="n"/>
      <c r="G13" s="725" t="n"/>
      <c r="H13" s="24" t="n"/>
      <c r="I13" s="723">
        <f>E13-G13</f>
        <v/>
      </c>
      <c r="J13" s="88" t="n"/>
      <c r="K13" s="452">
        <f>IF(J13="","",IF(J13="是","Note2",IF(J13="否","Note2","不适用")))</f>
        <v/>
      </c>
      <c r="M13" s="17" t="n"/>
    </row>
    <row r="14" ht="15" customHeight="1" s="634">
      <c r="B14" s="48" t="n"/>
      <c r="C14" s="57" t="n"/>
      <c r="D14" s="48" t="n"/>
      <c r="E14" s="723">
        <f>-IFERROR(_xlfn.XLOOKUP(C14,'N.00 Lead sheet'!$C$39:$C$43,'N.00 Lead sheet'!$F$39:$F$43),0)</f>
        <v/>
      </c>
      <c r="F14" s="24" t="n"/>
      <c r="G14" s="725" t="n"/>
      <c r="H14" s="24" t="n"/>
      <c r="I14" s="723">
        <f>E14-G14</f>
        <v/>
      </c>
      <c r="J14" s="88" t="n"/>
      <c r="K14" s="452">
        <f>IF(J14="","",IF(J14="是","Note2",IF(J14="否","Note2","不适用")))</f>
        <v/>
      </c>
      <c r="M14" s="17" t="n"/>
    </row>
    <row r="15" ht="15" customHeight="1" s="634">
      <c r="B15" s="48" t="n"/>
      <c r="C15" s="57" t="n"/>
      <c r="D15" s="48" t="n"/>
      <c r="E15" s="723">
        <f>-IFERROR(_xlfn.XLOOKUP(C15,'N.00 Lead sheet'!$C$39:$C$43,'N.00 Lead sheet'!$F$39:$F$43),0)</f>
        <v/>
      </c>
      <c r="F15" s="24" t="n"/>
      <c r="G15" s="725" t="n"/>
      <c r="H15" s="24" t="n"/>
      <c r="I15" s="723">
        <f>E15-G15</f>
        <v/>
      </c>
      <c r="J15" s="88" t="n"/>
      <c r="K15" s="452">
        <f>IF(J15="","",IF(J15="是","Note2",IF(J15="否","Note2","不适用")))</f>
        <v/>
      </c>
      <c r="M15" s="17" t="n"/>
    </row>
    <row r="16" ht="15" customHeight="1" s="634">
      <c r="B16" s="48" t="n"/>
      <c r="C16" s="58" t="n"/>
      <c r="D16" s="425" t="n"/>
      <c r="E16" s="723">
        <f>-IFERROR(_xlfn.XLOOKUP(C16,'N.00 Lead sheet'!$C$39:$C$43,'N.00 Lead sheet'!$F$39:$F$43),0)</f>
        <v/>
      </c>
      <c r="F16" s="24" t="n"/>
      <c r="G16" s="726" t="n"/>
      <c r="H16" s="24" t="n"/>
      <c r="I16" s="723">
        <f>E16-G16</f>
        <v/>
      </c>
      <c r="J16" s="89" t="n"/>
      <c r="K16" s="452">
        <f>IF(J16="","",IF(J16="是","Note2",IF(J16="否","Note2","不适用")))</f>
        <v/>
      </c>
      <c r="M16" s="17" t="n"/>
    </row>
    <row r="17" ht="15" customHeight="1" s="634">
      <c r="M17" s="17" t="n"/>
    </row>
    <row r="18" ht="15" customHeight="1" s="634">
      <c r="D18" s="87" t="inlineStr">
        <is>
          <t>合计</t>
        </is>
      </c>
      <c r="E18" s="727">
        <f>SUM(E12:E16)</f>
        <v/>
      </c>
      <c r="G18" s="727">
        <f>SUM(G12:G16)</f>
        <v/>
      </c>
      <c r="I18" s="727">
        <f>SUM(I12:I16)</f>
        <v/>
      </c>
      <c r="J18" s="728" t="n"/>
      <c r="M18" s="17" t="n"/>
    </row>
    <row r="19" ht="15" customHeight="1" s="634">
      <c r="D19" s="87" t="n"/>
      <c r="E19" s="13" t="inlineStr">
        <is>
          <t>RX</t>
        </is>
      </c>
      <c r="F19" s="729" t="n"/>
      <c r="G19" s="13" t="inlineStr">
        <is>
          <t>RX</t>
        </is>
      </c>
      <c r="H19" s="13" t="n"/>
      <c r="I19" s="13" t="inlineStr">
        <is>
          <t>RX</t>
        </is>
      </c>
      <c r="M19" s="17" t="n"/>
    </row>
    <row r="20" ht="15" customHeight="1" s="634">
      <c r="B20" s="12" t="n"/>
      <c r="C20" s="11" t="n"/>
      <c r="D20" s="730" t="n"/>
      <c r="E20" s="730" t="n"/>
      <c r="F20" s="730" t="n"/>
      <c r="G20" s="730" t="n"/>
      <c r="H20" s="26" t="n"/>
      <c r="I20" s="26" t="n"/>
      <c r="J20" s="26" t="n"/>
      <c r="M20" s="17" t="n"/>
    </row>
    <row r="21" ht="15" customFormat="1" customHeight="1" s="29">
      <c r="B21" s="29" t="inlineStr">
        <is>
          <t>Note1：如果总账和明细账差异金额大于SAD请在以下解释差异并执行相应的程序：针对金额大于测试阈值及性质异常的项目我们需进一步进行测试。(如不适用请删除）</t>
        </is>
      </c>
      <c r="I21" s="26" t="n"/>
      <c r="M21" s="17" t="n"/>
      <c r="N21" s="10" t="n"/>
      <c r="O21" s="10" t="n"/>
      <c r="P21" s="10" t="n"/>
    </row>
    <row r="22" ht="15" customFormat="1" customHeight="1" s="29">
      <c r="B22" s="731" t="n"/>
      <c r="C22" s="688" t="n"/>
      <c r="D22" s="688" t="n"/>
      <c r="E22" s="688" t="n"/>
      <c r="F22" s="688" t="n"/>
      <c r="G22" s="689" t="n"/>
      <c r="I22" s="26" t="n"/>
      <c r="M22" s="17" t="n"/>
      <c r="N22" s="10" t="n"/>
      <c r="O22" s="10" t="n"/>
      <c r="P22" s="10" t="n"/>
    </row>
    <row r="23" ht="15" customFormat="1" customHeight="1" s="29">
      <c r="B23" s="641" t="n"/>
      <c r="G23" s="690" t="n"/>
      <c r="I23" s="26" t="n"/>
      <c r="M23" s="17" t="n"/>
      <c r="N23" s="10" t="n"/>
      <c r="O23" s="10" t="n"/>
      <c r="P23" s="10" t="n"/>
    </row>
    <row r="24" ht="15" customFormat="1" customHeight="1" s="29">
      <c r="B24" s="644" t="n"/>
      <c r="C24" s="645" t="n"/>
      <c r="D24" s="645" t="n"/>
      <c r="E24" s="645" t="n"/>
      <c r="F24" s="645" t="n"/>
      <c r="G24" s="691" t="n"/>
      <c r="I24" s="26" t="n"/>
      <c r="M24" s="17" t="n"/>
      <c r="N24" s="10" t="n"/>
      <c r="O24" s="10" t="n"/>
      <c r="P24" s="10" t="n"/>
    </row>
    <row r="25" ht="15" customFormat="1" customHeight="1" s="29">
      <c r="B25" s="39" t="n"/>
      <c r="C25" s="39" t="n"/>
      <c r="D25" s="39" t="n"/>
      <c r="E25" s="39" t="n"/>
      <c r="F25" s="39" t="n"/>
      <c r="I25" s="26" t="n"/>
      <c r="M25" s="17" t="n"/>
      <c r="N25" s="10" t="n"/>
      <c r="O25" s="10" t="n"/>
      <c r="P25" s="10" t="n"/>
    </row>
    <row r="26" ht="15" customFormat="1" customHeight="1" s="29">
      <c r="B26" s="29" t="inlineStr">
        <is>
          <t>Note2：对外币余额，我们使用第三方汇率（独立于客户获得汇率）重新计算，并将重新计算的余额与客户的余额进行比较。(如不适用请删除）</t>
        </is>
      </c>
      <c r="I26" s="26" t="n"/>
      <c r="M26" s="17" t="n"/>
      <c r="N26" s="10" t="n"/>
      <c r="O26" s="10" t="n"/>
      <c r="P26" s="10" t="n"/>
    </row>
    <row r="27" ht="15" customFormat="1" customHeight="1" s="29">
      <c r="B27" s="157" t="n"/>
      <c r="C27" s="50" t="inlineStr">
        <is>
          <t>|------- N.01.01明细账 -------|</t>
        </is>
      </c>
      <c r="D27" s="732" t="inlineStr">
        <is>
          <t>EY Works</t>
        </is>
      </c>
      <c r="E27" s="649" t="n"/>
      <c r="F27" s="50" t="inlineStr">
        <is>
          <t>|------- N.01.01明细账 -------|</t>
        </is>
      </c>
      <c r="G27" s="54" t="n"/>
      <c r="I27" s="26" t="n"/>
      <c r="M27" s="17" t="n"/>
      <c r="N27" s="10" t="n"/>
      <c r="O27" s="10" t="n"/>
      <c r="P27" s="10" t="n"/>
    </row>
    <row r="28" ht="15" customFormat="1" customHeight="1" s="29">
      <c r="B28" s="179" t="inlineStr">
        <is>
          <t>原币币种</t>
        </is>
      </c>
      <c r="C28" s="180" t="inlineStr">
        <is>
          <t>原币金额</t>
        </is>
      </c>
      <c r="D28" s="180" t="inlineStr">
        <is>
          <t>折算汇率</t>
        </is>
      </c>
      <c r="E28" s="180" t="inlineStr">
        <is>
          <t>折合本位币</t>
        </is>
      </c>
      <c r="F28" s="180" t="inlineStr">
        <is>
          <t>账面本位币金额</t>
        </is>
      </c>
      <c r="G28" s="180" t="inlineStr">
        <is>
          <t>差异</t>
        </is>
      </c>
      <c r="I28" s="26" t="n"/>
      <c r="M28" s="17" t="n"/>
      <c r="N28" s="10" t="n"/>
      <c r="O28" s="10" t="n"/>
      <c r="P28" s="10" t="n"/>
    </row>
    <row r="29" ht="15" customFormat="1" customHeight="1" s="29">
      <c r="B29" s="90" t="inlineStr">
        <is>
          <t>USD</t>
        </is>
      </c>
      <c r="C29" s="733" t="n"/>
      <c r="D29" s="734" t="n"/>
      <c r="E29" s="735">
        <f>C29*D29</f>
        <v/>
      </c>
      <c r="F29" s="733" t="n"/>
      <c r="G29" s="733">
        <f>E29-F29</f>
        <v/>
      </c>
      <c r="I29" s="26" t="n"/>
      <c r="M29" s="17" t="n"/>
      <c r="N29" s="10" t="n"/>
      <c r="O29" s="10" t="n"/>
      <c r="P29" s="10" t="n"/>
    </row>
    <row r="30" ht="15" customFormat="1" customHeight="1" s="29">
      <c r="B30" s="90" t="inlineStr">
        <is>
          <t>CNY</t>
        </is>
      </c>
      <c r="C30" s="733" t="n"/>
      <c r="D30" s="734" t="n"/>
      <c r="E30" s="735">
        <f>C30*D30</f>
        <v/>
      </c>
      <c r="F30" s="733" t="n"/>
      <c r="G30" s="733">
        <f>E30-F30</f>
        <v/>
      </c>
      <c r="I30" s="26" t="n"/>
      <c r="M30" s="17" t="n"/>
      <c r="N30" s="10" t="n"/>
      <c r="O30" s="10" t="n"/>
      <c r="P30" s="10" t="n"/>
    </row>
    <row r="31" ht="15" customFormat="1" customHeight="1" s="29">
      <c r="B31" s="91" t="n"/>
      <c r="C31" s="733" t="n"/>
      <c r="D31" s="734" t="n"/>
      <c r="E31" s="735">
        <f>C31*D31</f>
        <v/>
      </c>
      <c r="F31" s="733" t="n"/>
      <c r="G31" s="733">
        <f>E31-F31</f>
        <v/>
      </c>
      <c r="I31" s="26" t="n"/>
      <c r="M31" s="17" t="n"/>
      <c r="N31" s="10" t="n"/>
      <c r="O31" s="10" t="n"/>
      <c r="P31" s="10" t="n"/>
    </row>
    <row r="32" ht="15" customHeight="1" s="634">
      <c r="G32" s="29" t="n"/>
      <c r="H32" s="29" t="n"/>
      <c r="I32" s="26" t="n"/>
      <c r="J32" s="29" t="n"/>
      <c r="K32" s="29" t="n"/>
      <c r="L32" s="29" t="n"/>
      <c r="M32" s="17" t="n"/>
    </row>
    <row r="33" ht="7.5" customHeight="1" s="634">
      <c r="A33" s="17" t="n"/>
      <c r="B33" s="17" t="n"/>
      <c r="C33" s="17" t="n"/>
      <c r="D33" s="17" t="n"/>
      <c r="E33" s="17" t="n"/>
      <c r="F33" s="17" t="n"/>
      <c r="G33" s="17" t="n"/>
      <c r="H33" s="17" t="n"/>
      <c r="I33" s="17" t="n"/>
      <c r="J33" s="17" t="n"/>
      <c r="K33" s="17" t="n"/>
      <c r="L33" s="17" t="n"/>
      <c r="M33" s="17" t="n"/>
    </row>
  </sheetData>
  <mergeCells count="11">
    <mergeCell ref="D10:D11"/>
    <mergeCell ref="I10:I11"/>
    <mergeCell ref="F10:F11"/>
    <mergeCell ref="B22:G24"/>
    <mergeCell ref="D27:E27"/>
    <mergeCell ref="J10:K10"/>
    <mergeCell ref="C10:C11"/>
    <mergeCell ref="B10:B11"/>
    <mergeCell ref="E10:E11"/>
    <mergeCell ref="H10:H11"/>
    <mergeCell ref="G10:G11"/>
  </mergeCells>
  <conditionalFormatting sqref="B22:B23">
    <cfRule type="containsBlanks" priority="8" dxfId="4">
      <formula>LEN(TRIM(B22))=0</formula>
    </cfRule>
  </conditionalFormatting>
  <conditionalFormatting sqref="B12:D16">
    <cfRule type="containsBlanks" priority="3" dxfId="4">
      <formula>LEN(TRIM(B12))=0</formula>
    </cfRule>
  </conditionalFormatting>
  <conditionalFormatting sqref="B29:D31 F29:F31">
    <cfRule type="containsBlanks" priority="1" dxfId="13">
      <formula>LEN(TRIM(B29))=0</formula>
    </cfRule>
  </conditionalFormatting>
  <conditionalFormatting sqref="G12:G16 J12:J16">
    <cfRule type="containsBlanks" priority="2" dxfId="4">
      <formula>LEN(TRIM(G12))=0</formula>
    </cfRule>
  </conditionalFormatting>
  <conditionalFormatting sqref="E12:E16 H12 I12:I16">
    <cfRule type="containsBlanks" priority="4" dxfId="11">
      <formula>LEN(TRIM(E12))=0</formula>
    </cfRule>
  </conditionalFormatting>
  <dataValidations count="1">
    <dataValidation sqref="J12:J16" showDropDown="0" showInputMessage="1" showErrorMessage="0" allowBlank="1" type="list">
      <formula1>"是,否,不适用"</formula1>
    </dataValidation>
  </dataValidations>
  <hyperlinks>
    <hyperlink ref="B4" location="汇总!A1" display="返回汇总页"/>
  </hyperlinks>
  <pageMargins left="0.7" right="0.7" top="0.75" bottom="0.75" header="0.3" footer="0.3"/>
  <pageSetup orientation="landscape" paperSize="9" scale="57" fitToHeight="0" horizontalDpi="300"/>
  <headerFooter>
    <oddHeader/>
    <oddFooter>&amp;LN SWP Trade Payables_x000a_(24 June 2025)</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L24"/>
  <sheetViews>
    <sheetView showGridLines="0" zoomScale="70" zoomScaleNormal="70" workbookViewId="0">
      <selection activeCell="A1" sqref="A1"/>
    </sheetView>
  </sheetViews>
  <sheetFormatPr baseColWidth="8" defaultColWidth="8.875" defaultRowHeight="14.25"/>
  <cols>
    <col width="2.625" customWidth="1" style="92" min="1" max="1"/>
    <col width="50.625" customWidth="1" style="92" min="2" max="2"/>
    <col width="20.75" customWidth="1" style="92" min="3" max="8"/>
    <col width="2.625" customWidth="1" style="92" min="9" max="9"/>
    <col width="1.625" customWidth="1" style="92" min="10" max="10"/>
    <col width="8.875" customWidth="1" style="92" min="11" max="16384"/>
  </cols>
  <sheetData>
    <row r="1" ht="50.1" customHeight="1" s="634">
      <c r="A1" s="30" t="n"/>
      <c r="B1" s="736" t="inlineStr">
        <is>
          <t>标准底稿: N SWP 应付账款</t>
        </is>
      </c>
      <c r="C1" s="737" t="n"/>
      <c r="D1" s="737" t="n"/>
      <c r="E1" s="737" t="n"/>
      <c r="F1" s="737" t="n"/>
      <c r="G1" s="737" t="n"/>
      <c r="H1" s="738" t="n"/>
      <c r="I1" s="30" t="n"/>
      <c r="J1" s="31" t="inlineStr">
        <is>
          <t> </t>
        </is>
      </c>
      <c r="K1" s="30" t="n"/>
      <c r="L1" s="30" t="n"/>
    </row>
    <row r="2" ht="30" customFormat="1" customHeight="1" s="94">
      <c r="A2" s="32" t="n"/>
      <c r="B2" s="93" t="inlineStr">
        <is>
          <t>N.01.01 获取应付账款明细账</t>
        </is>
      </c>
      <c r="C2" s="33" t="n"/>
      <c r="D2" s="33" t="n"/>
      <c r="E2" s="33" t="n"/>
      <c r="F2" s="33" t="n"/>
      <c r="G2" s="33" t="n"/>
      <c r="H2" s="34" t="n"/>
      <c r="I2" s="32" t="n"/>
      <c r="J2" s="35" t="inlineStr">
        <is>
          <t> </t>
        </is>
      </c>
      <c r="K2" s="32" t="n"/>
      <c r="L2" s="32" t="n"/>
    </row>
    <row r="3">
      <c r="A3" s="30" t="n"/>
      <c r="B3" s="36" t="n"/>
      <c r="C3" s="36" t="n"/>
      <c r="D3" s="30" t="n"/>
      <c r="E3" s="36" t="n"/>
      <c r="F3" s="37" t="n"/>
      <c r="G3" s="37" t="n"/>
      <c r="H3" s="30" t="n"/>
      <c r="I3" s="30" t="n"/>
      <c r="J3" s="31" t="inlineStr">
        <is>
          <t> </t>
        </is>
      </c>
      <c r="K3" s="30" t="n"/>
      <c r="L3" s="30" t="n"/>
    </row>
    <row r="4" ht="14.1" customHeight="1" s="634">
      <c r="A4" s="30" t="n"/>
      <c r="B4" s="739" t="n"/>
      <c r="C4" s="688" t="n"/>
      <c r="D4" s="688" t="n"/>
      <c r="E4" s="688" t="n"/>
      <c r="F4" s="688" t="n"/>
      <c r="G4" s="688" t="n"/>
      <c r="H4" s="689" t="n"/>
      <c r="I4" s="30" t="n"/>
      <c r="J4" s="31" t="n"/>
      <c r="K4" s="30" t="n"/>
      <c r="L4" s="30" t="n"/>
    </row>
    <row r="5" ht="14.1" customHeight="1" s="634">
      <c r="A5" s="30" t="n"/>
      <c r="B5" s="641" t="n"/>
      <c r="H5" s="690" t="n"/>
      <c r="I5" s="30" t="n"/>
      <c r="J5" s="31" t="n"/>
      <c r="K5" s="30" t="n"/>
      <c r="L5" s="30" t="n"/>
    </row>
    <row r="6" ht="14.1" customHeight="1" s="634">
      <c r="A6" s="30" t="n"/>
      <c r="B6" s="641" t="n"/>
      <c r="H6" s="690" t="n"/>
      <c r="I6" s="30" t="n"/>
      <c r="J6" s="31" t="n"/>
      <c r="K6" s="30" t="n"/>
      <c r="L6" s="30" t="n"/>
    </row>
    <row r="7" ht="14.1" customHeight="1" s="634">
      <c r="A7" s="30" t="n"/>
      <c r="B7" s="641" t="n"/>
      <c r="H7" s="690" t="n"/>
      <c r="I7" s="30" t="n"/>
      <c r="J7" s="31" t="n"/>
      <c r="K7" s="30" t="n"/>
      <c r="L7" s="30" t="n"/>
    </row>
    <row r="8" ht="14.1" customHeight="1" s="634">
      <c r="A8" s="30" t="n"/>
      <c r="B8" s="641" t="n"/>
      <c r="H8" s="690" t="n"/>
      <c r="I8" s="30" t="n"/>
      <c r="J8" s="31" t="n"/>
      <c r="K8" s="30" t="n"/>
      <c r="L8" s="30" t="n"/>
    </row>
    <row r="9" ht="14.1" customHeight="1" s="634">
      <c r="A9" s="30" t="n"/>
      <c r="B9" s="641" t="n"/>
      <c r="H9" s="690" t="n"/>
      <c r="I9" s="30" t="n"/>
      <c r="J9" s="31" t="n"/>
      <c r="K9" s="30" t="n"/>
      <c r="L9" s="30" t="n"/>
    </row>
    <row r="10" ht="14.1" customHeight="1" s="634">
      <c r="A10" s="30" t="n"/>
      <c r="B10" s="641" t="n"/>
      <c r="H10" s="690" t="n"/>
      <c r="I10" s="30" t="n"/>
      <c r="J10" s="31" t="n"/>
      <c r="K10" s="30" t="n"/>
      <c r="L10" s="30" t="n"/>
    </row>
    <row r="11" ht="14.1" customHeight="1" s="634">
      <c r="A11" s="30" t="n"/>
      <c r="B11" s="641" t="n"/>
      <c r="H11" s="690" t="n"/>
      <c r="I11" s="30" t="n"/>
      <c r="J11" s="31" t="n"/>
      <c r="K11" s="30" t="n"/>
      <c r="L11" s="30" t="n"/>
    </row>
    <row r="12" ht="14.1" customHeight="1" s="634">
      <c r="A12" s="30" t="n"/>
      <c r="B12" s="641" t="n"/>
      <c r="H12" s="690" t="n"/>
      <c r="I12" s="30" t="n"/>
      <c r="J12" s="31" t="n"/>
      <c r="K12" s="30" t="n"/>
      <c r="L12" s="30" t="n"/>
    </row>
    <row r="13" ht="14.1" customHeight="1" s="634">
      <c r="A13" s="30" t="n"/>
      <c r="B13" s="641" t="n"/>
      <c r="H13" s="690" t="n"/>
      <c r="I13" s="30" t="n"/>
      <c r="J13" s="31" t="inlineStr">
        <is>
          <t> </t>
        </is>
      </c>
      <c r="K13" s="30" t="n"/>
      <c r="L13" s="30" t="n"/>
    </row>
    <row r="14" ht="14.1" customHeight="1" s="634">
      <c r="A14" s="30" t="n"/>
      <c r="B14" s="641" t="n"/>
      <c r="H14" s="690" t="n"/>
      <c r="I14" s="30" t="n"/>
      <c r="J14" s="31" t="n"/>
      <c r="K14" s="30" t="n"/>
      <c r="L14" s="30" t="n"/>
    </row>
    <row r="15" ht="14.1" customHeight="1" s="634">
      <c r="A15" s="30" t="n"/>
      <c r="B15" s="644" t="n"/>
      <c r="C15" s="645" t="n"/>
      <c r="D15" s="645" t="n"/>
      <c r="E15" s="645" t="n"/>
      <c r="F15" s="645" t="n"/>
      <c r="G15" s="645" t="n"/>
      <c r="H15" s="691" t="n"/>
      <c r="I15" s="30" t="n"/>
      <c r="J15" s="31" t="n"/>
      <c r="K15" s="30" t="n"/>
      <c r="L15" s="30" t="n"/>
    </row>
    <row r="16" ht="15" customHeight="1" s="634">
      <c r="A16" s="30" t="n"/>
      <c r="B16" s="30" t="n"/>
      <c r="C16" s="30" t="n"/>
      <c r="D16" s="30" t="n"/>
      <c r="E16" s="30" t="n"/>
      <c r="F16" s="30" t="n"/>
      <c r="G16" s="30" t="n"/>
      <c r="H16" s="30" t="n"/>
      <c r="I16" s="30" t="n"/>
      <c r="J16" s="31" t="n"/>
      <c r="K16" s="30" t="n"/>
      <c r="L16" s="30" t="n"/>
    </row>
    <row r="17" ht="7.5" customHeight="1" s="634">
      <c r="A17" s="31" t="inlineStr">
        <is>
          <t> </t>
        </is>
      </c>
      <c r="B17" s="31" t="inlineStr">
        <is>
          <t> </t>
        </is>
      </c>
      <c r="C17" s="31" t="inlineStr">
        <is>
          <t> </t>
        </is>
      </c>
      <c r="D17" s="31" t="inlineStr">
        <is>
          <t> </t>
        </is>
      </c>
      <c r="E17" s="31" t="inlineStr">
        <is>
          <t> </t>
        </is>
      </c>
      <c r="F17" s="31" t="inlineStr">
        <is>
          <t> </t>
        </is>
      </c>
      <c r="G17" s="31" t="inlineStr">
        <is>
          <t> </t>
        </is>
      </c>
      <c r="H17" s="31" t="inlineStr">
        <is>
          <t> </t>
        </is>
      </c>
      <c r="I17" s="31" t="inlineStr">
        <is>
          <t> </t>
        </is>
      </c>
      <c r="J17" s="31" t="inlineStr">
        <is>
          <t> </t>
        </is>
      </c>
      <c r="K17" s="30" t="n"/>
      <c r="L17" s="30" t="n"/>
    </row>
    <row r="18">
      <c r="A18" s="30" t="n"/>
      <c r="B18" s="30" t="n"/>
      <c r="C18" s="30" t="n"/>
      <c r="D18" s="30" t="n"/>
      <c r="E18" s="30" t="n"/>
      <c r="F18" s="30" t="n"/>
      <c r="G18" s="30" t="n"/>
      <c r="H18" s="30" t="n"/>
      <c r="I18" s="30" t="n"/>
      <c r="J18" s="30" t="n"/>
      <c r="K18" s="30" t="n"/>
      <c r="L18" s="30" t="n"/>
    </row>
    <row r="19">
      <c r="A19" s="30" t="n"/>
      <c r="B19" s="30" t="n"/>
      <c r="C19" s="30" t="n"/>
      <c r="D19" s="30" t="n"/>
      <c r="E19" s="30" t="n"/>
      <c r="F19" s="30" t="n"/>
      <c r="G19" s="30" t="n"/>
      <c r="H19" s="30" t="n"/>
      <c r="I19" s="30" t="n"/>
      <c r="J19" s="30" t="n"/>
      <c r="K19" s="30" t="n"/>
      <c r="L19" s="30" t="n"/>
    </row>
    <row r="20">
      <c r="A20" s="30" t="n"/>
      <c r="B20" s="30" t="n"/>
      <c r="C20" s="30" t="n"/>
      <c r="D20" s="30" t="n"/>
      <c r="E20" s="30" t="n"/>
      <c r="F20" s="30" t="n"/>
      <c r="G20" s="30" t="n"/>
      <c r="H20" s="30" t="n"/>
      <c r="I20" s="30" t="n"/>
      <c r="J20" s="30" t="n"/>
      <c r="K20" s="30" t="n"/>
      <c r="L20" s="30" t="n"/>
    </row>
    <row r="21">
      <c r="A21" s="30" t="n"/>
      <c r="B21" s="30" t="n"/>
      <c r="C21" s="30" t="n"/>
      <c r="D21" s="30" t="n"/>
      <c r="E21" s="30" t="n"/>
      <c r="F21" s="30" t="n"/>
      <c r="G21" s="30" t="n"/>
      <c r="H21" s="30" t="n"/>
      <c r="I21" s="30" t="n"/>
      <c r="J21" s="30" t="n"/>
      <c r="K21" s="30" t="n"/>
      <c r="L21" s="30" t="n"/>
    </row>
    <row r="22">
      <c r="A22" s="30" t="n"/>
      <c r="B22" s="30" t="n"/>
      <c r="C22" s="30" t="n"/>
      <c r="D22" s="30" t="n"/>
      <c r="E22" s="30" t="n"/>
      <c r="F22" s="30" t="n"/>
      <c r="G22" s="30" t="n"/>
      <c r="H22" s="30" t="n"/>
      <c r="I22" s="30" t="n"/>
      <c r="J22" s="30" t="n"/>
      <c r="K22" s="30" t="n"/>
      <c r="L22" s="30" t="n"/>
    </row>
    <row r="23">
      <c r="A23" s="30" t="n"/>
      <c r="B23" s="30" t="n"/>
      <c r="C23" s="30" t="n"/>
      <c r="D23" s="30" t="n"/>
      <c r="E23" s="30" t="n"/>
      <c r="F23" s="30" t="n"/>
      <c r="G23" s="30" t="n"/>
      <c r="H23" s="30" t="n"/>
      <c r="I23" s="30" t="n"/>
      <c r="J23" s="30" t="n"/>
      <c r="K23" s="30" t="n"/>
      <c r="L23" s="30" t="n"/>
    </row>
    <row r="24">
      <c r="A24" s="30" t="n"/>
      <c r="B24" s="30" t="n"/>
      <c r="C24" s="30" t="n"/>
      <c r="D24" s="30" t="n"/>
      <c r="E24" s="30" t="n"/>
      <c r="F24" s="30" t="n"/>
      <c r="G24" s="30" t="n"/>
      <c r="H24" s="30" t="n"/>
      <c r="I24" s="30" t="n"/>
      <c r="J24" s="30" t="n"/>
      <c r="K24" s="30" t="n"/>
      <c r="L24" s="30" t="n"/>
    </row>
  </sheetData>
  <mergeCells count="2">
    <mergeCell ref="B1:H1"/>
    <mergeCell ref="B4:H15"/>
  </mergeCells>
  <conditionalFormatting sqref="B4">
    <cfRule type="containsBlanks" priority="1" dxfId="4">
      <formula>LEN(TRIM(B4))=0</formula>
    </cfRule>
  </conditionalFormatting>
  <pageMargins left="0.7" right="0.7" top="0.75" bottom="0.75" header="0.3" footer="0.3"/>
  <pageSetup orientation="portrait" paperSize="9" horizontalDpi="300"/>
  <headerFooter>
    <oddHeader/>
    <oddFooter>&amp;LPAL SWP Accrued Liabilities_x000a_(24 June 2025)</oddFooter>
    <evenHeader/>
    <evenFooter/>
    <firstHeader/>
    <firstFooter/>
  </headerFooter>
</worksheet>
</file>

<file path=xl/worksheets/sheet5.xml><?xml version="1.0" encoding="utf-8"?>
<worksheet xmlns="http://schemas.openxmlformats.org/spreadsheetml/2006/main">
  <sheetPr codeName="Sheet6">
    <outlinePr summaryBelow="1" summaryRight="1"/>
    <pageSetUpPr/>
  </sheetPr>
  <dimension ref="A1:DX93"/>
  <sheetViews>
    <sheetView showGridLines="0" zoomScale="70" zoomScaleNormal="70" workbookViewId="0">
      <selection activeCell="A1" sqref="A1"/>
    </sheetView>
  </sheetViews>
  <sheetFormatPr baseColWidth="8" defaultColWidth="8.75" defaultRowHeight="13.35" customHeight="1"/>
  <cols>
    <col width="2.625" customWidth="1" style="194" min="1" max="1"/>
    <col width="20.875" customWidth="1" style="199" min="2" max="2"/>
    <col width="17.75" customWidth="1" style="195" min="3" max="3"/>
    <col width="26" customWidth="1" style="195" min="4" max="4"/>
    <col width="20.125" customWidth="1" style="195" min="5" max="5"/>
    <col width="17.375" customWidth="1" style="195" min="6" max="6"/>
    <col width="18.125" customWidth="1" style="195" min="7" max="9"/>
    <col width="15.5" customWidth="1" style="195" min="10" max="10"/>
    <col width="17.125" customWidth="1" style="195" min="11" max="11"/>
    <col width="9.5" customWidth="1" style="195" min="12" max="12"/>
    <col width="9.375" customWidth="1" style="195" min="13" max="13"/>
    <col width="9.25" customWidth="1" style="195" min="14" max="14"/>
    <col width="25.5" customWidth="1" style="195" min="15" max="15"/>
    <col width="2.625" customWidth="1" style="195" min="16" max="16"/>
    <col width="1.625" customWidth="1" style="195" min="17" max="17"/>
    <col width="12.75" customWidth="1" style="195" min="18" max="18"/>
    <col width="8.375" customWidth="1" style="195" min="19" max="19"/>
    <col width="9.375" customWidth="1" style="195" min="20" max="20"/>
    <col width="9.75" customWidth="1" style="195" min="21" max="21"/>
    <col width="12.375" customWidth="1" style="195" min="22" max="22"/>
    <col width="10.375" customWidth="1" style="195" min="23" max="23"/>
    <col width="12.375" customWidth="1" style="195" min="24" max="24"/>
    <col width="8.375" customWidth="1" style="195" min="25" max="25"/>
    <col width="9.375" customWidth="1" style="195" min="26" max="26"/>
    <col width="8.375" customWidth="1" style="195" min="27" max="28"/>
    <col width="10.75" customWidth="1" style="195" min="29" max="29"/>
    <col width="10.375" customWidth="1" style="195" min="30" max="30"/>
    <col width="12" customWidth="1" style="195" min="31" max="31"/>
    <col width="8.375" customWidth="1" style="195" min="32" max="32"/>
    <col width="10.125" customWidth="1" style="195" min="33" max="33"/>
    <col width="11.125" customWidth="1" style="195" min="34" max="34"/>
    <col width="8.375" customWidth="1" style="195" min="35" max="37"/>
    <col width="21.375" customWidth="1" style="195" min="38" max="38"/>
    <col width="19.75" customWidth="1" style="195" min="39" max="39"/>
    <col width="20.75" customWidth="1" style="195" min="40" max="40"/>
    <col width="17.375" customWidth="1" style="195" min="41" max="41"/>
    <col width="14.375" customWidth="1" style="195" min="42" max="42"/>
    <col width="13.75" customWidth="1" style="195" min="43" max="43"/>
    <col width="9.375" customWidth="1" style="195" min="44" max="44"/>
    <col width="8.75" customWidth="1" style="195" min="45" max="98"/>
    <col width="13.125" customWidth="1" style="196" min="99" max="99"/>
    <col width="7.375" customWidth="1" style="196" min="100" max="100"/>
    <col width="8.75" customWidth="1" style="196" min="101" max="110"/>
    <col width="14.375" customWidth="1" style="196" min="111" max="111"/>
    <col width="8.75" customWidth="1" style="196" min="112" max="117"/>
    <col width="10.375" customWidth="1" style="196" min="118" max="118"/>
    <col width="8.75" customWidth="1" style="196" min="119" max="122"/>
    <col width="10.125" customWidth="1" style="196" min="123" max="123"/>
    <col width="12.375" customWidth="1" style="196" min="124" max="124"/>
    <col width="8.75" customWidth="1" style="197" min="125" max="125"/>
    <col width="8.75" customWidth="1" style="196" min="126" max="126"/>
    <col width="8.75" customWidth="1" style="198" min="127" max="127"/>
    <col width="8.75" customWidth="1" style="195" min="128" max="16384"/>
  </cols>
  <sheetData>
    <row r="1" ht="50.1" customFormat="1" customHeight="1" s="193">
      <c r="A1" s="10" t="n"/>
      <c r="B1" s="331" t="inlineStr">
        <is>
          <t>标准工作底稿: N SWP 应付账款</t>
        </is>
      </c>
      <c r="C1" s="332" t="n"/>
      <c r="D1" s="333" t="n"/>
      <c r="E1" s="333" t="n"/>
      <c r="F1" s="333" t="n"/>
      <c r="G1" s="333" t="n"/>
      <c r="H1" s="333" t="n"/>
      <c r="I1" s="333" t="n"/>
      <c r="J1" s="333" t="n"/>
      <c r="K1" s="333" t="n"/>
      <c r="L1" s="333" t="n"/>
      <c r="M1" s="333" t="n"/>
      <c r="N1" s="334" t="n"/>
      <c r="O1" s="335" t="n"/>
      <c r="P1" s="10" t="n"/>
      <c r="Q1" s="17" t="n"/>
      <c r="R1" s="10" t="n"/>
      <c r="S1" s="10" t="n"/>
      <c r="T1" s="10" t="n"/>
      <c r="U1" s="10" t="n"/>
      <c r="V1" s="10" t="n"/>
      <c r="W1" s="10" t="n"/>
      <c r="X1" s="10" t="n"/>
      <c r="Y1" s="10" t="n"/>
      <c r="Z1" s="10" t="n"/>
      <c r="AA1" s="10" t="n"/>
      <c r="AB1" s="10" t="n"/>
      <c r="AC1" s="10" t="n"/>
      <c r="AD1" s="10" t="n"/>
      <c r="AE1" s="10" t="n"/>
      <c r="AF1" s="10" t="n"/>
      <c r="AG1" s="10" t="n"/>
      <c r="AH1" s="10" t="n"/>
      <c r="AI1" s="10" t="n"/>
      <c r="AJ1" s="10" t="n"/>
      <c r="AK1" s="10" t="n"/>
      <c r="AL1" s="10" t="n"/>
      <c r="AM1" s="10" t="n"/>
      <c r="AN1" s="10" t="n"/>
      <c r="AO1" s="10" t="n"/>
      <c r="AP1" s="10" t="n"/>
      <c r="AQ1" s="10" t="n"/>
      <c r="AR1" s="10" t="n"/>
      <c r="AS1" s="10" t="n"/>
      <c r="AT1" s="10" t="n"/>
      <c r="AU1" s="10" t="n"/>
      <c r="AV1" s="10" t="n"/>
      <c r="AW1" s="10" t="n"/>
      <c r="AX1" s="10" t="n"/>
      <c r="AY1" s="10" t="n"/>
      <c r="AZ1" s="10" t="n"/>
      <c r="BA1" s="10" t="n"/>
      <c r="BB1" s="10" t="n"/>
      <c r="BC1" s="10" t="n"/>
      <c r="BD1" s="10" t="n"/>
      <c r="BE1" s="10" t="n"/>
      <c r="BF1" s="10" t="n"/>
      <c r="BG1" s="10" t="n"/>
      <c r="BH1" s="10" t="n"/>
      <c r="BI1" s="10" t="n"/>
      <c r="BJ1" s="10" t="n"/>
      <c r="BK1" s="10" t="n"/>
      <c r="BL1" s="10" t="n"/>
      <c r="BM1" s="10" t="n"/>
      <c r="BN1" s="10" t="n"/>
      <c r="BO1" s="10" t="n"/>
      <c r="BP1" s="10" t="n"/>
      <c r="BQ1" s="10" t="n"/>
      <c r="BR1" s="10" t="n"/>
      <c r="BS1" s="10" t="n"/>
      <c r="BT1" s="10" t="n"/>
      <c r="BU1" s="10" t="n"/>
      <c r="BV1" s="10" t="n"/>
      <c r="BW1" s="10" t="n"/>
      <c r="BX1" s="10" t="n"/>
      <c r="BY1" s="10" t="n"/>
      <c r="BZ1" s="10" t="n"/>
      <c r="CA1" s="10" t="n"/>
      <c r="CB1" s="10" t="n"/>
      <c r="CC1" s="10" t="n"/>
      <c r="CD1" s="10" t="n"/>
      <c r="CE1" s="10" t="n"/>
      <c r="CF1" s="10" t="n"/>
      <c r="CG1" s="10" t="n"/>
      <c r="CH1" s="10" t="n"/>
      <c r="CI1" s="10" t="n"/>
      <c r="CJ1" s="10" t="n"/>
      <c r="CK1" s="10" t="n"/>
      <c r="CL1" s="10" t="n"/>
      <c r="CM1" s="10" t="n"/>
      <c r="CN1" s="10" t="n"/>
      <c r="CO1" s="10" t="n"/>
      <c r="CP1" s="10" t="n"/>
      <c r="CQ1" s="10" t="n"/>
      <c r="CR1" s="10" t="n"/>
      <c r="CS1" s="10" t="n"/>
      <c r="CT1" s="10" t="n"/>
      <c r="CU1" s="10" t="n"/>
      <c r="CV1" s="10" t="n"/>
      <c r="CW1" s="10" t="n"/>
      <c r="CX1" s="10" t="n"/>
      <c r="CY1" s="10" t="n"/>
      <c r="CZ1" s="10" t="n"/>
      <c r="DA1" s="10" t="n"/>
      <c r="DB1" s="10" t="n"/>
      <c r="DC1" s="10" t="n"/>
      <c r="DD1" s="10" t="n"/>
      <c r="DE1" s="10" t="n"/>
      <c r="DF1" s="10" t="n"/>
      <c r="DG1" s="10" t="n"/>
      <c r="DH1" s="10" t="n"/>
      <c r="DI1" s="10" t="n"/>
      <c r="DJ1" s="10" t="n"/>
      <c r="DK1" s="10" t="n"/>
      <c r="DL1" s="10" t="n"/>
      <c r="DM1" s="10" t="n"/>
      <c r="DN1" s="10" t="n"/>
      <c r="DO1" s="10" t="n"/>
      <c r="DP1" s="10" t="n"/>
      <c r="DQ1" s="10" t="n"/>
      <c r="DR1" s="10" t="n"/>
      <c r="DS1" s="10" t="n"/>
      <c r="DT1" s="10" t="n"/>
      <c r="DU1" s="10" t="n"/>
      <c r="DV1" s="10" t="n"/>
      <c r="DW1" s="10" t="n"/>
    </row>
    <row r="2" ht="30" customFormat="1" customHeight="1" s="193">
      <c r="A2" s="10" t="n"/>
      <c r="B2" s="336" t="inlineStr">
        <is>
          <t>N.02: 借方余额测试和异常项目复核</t>
        </is>
      </c>
      <c r="C2" s="337" t="n"/>
      <c r="D2" s="337" t="n"/>
      <c r="E2" s="337" t="n"/>
      <c r="F2" s="337" t="n"/>
      <c r="G2" s="337" t="n"/>
      <c r="H2" s="337" t="n"/>
      <c r="I2" s="337" t="n"/>
      <c r="J2" s="337" t="n"/>
      <c r="K2" s="337" t="n"/>
      <c r="L2" s="337" t="n"/>
      <c r="M2" s="337" t="n"/>
      <c r="N2" s="337" t="n"/>
      <c r="O2" s="338" t="n"/>
      <c r="P2" s="10" t="n"/>
      <c r="Q2" s="17"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10" t="n"/>
      <c r="BJ2" s="10" t="n"/>
      <c r="BK2" s="10" t="n"/>
      <c r="BL2" s="10" t="n"/>
      <c r="BM2" s="10" t="n"/>
      <c r="BN2" s="10" t="n"/>
      <c r="BO2" s="10" t="n"/>
      <c r="BP2" s="10" t="n"/>
      <c r="BQ2" s="10" t="n"/>
      <c r="BR2" s="10" t="n"/>
      <c r="BS2" s="10" t="n"/>
      <c r="BT2" s="10" t="n"/>
      <c r="BU2" s="10" t="n"/>
      <c r="BV2" s="10" t="n"/>
      <c r="BW2" s="10" t="n"/>
      <c r="BX2" s="10" t="n"/>
      <c r="BY2" s="10" t="n"/>
      <c r="BZ2" s="10" t="n"/>
      <c r="CA2" s="10" t="n"/>
      <c r="CB2" s="10" t="n"/>
      <c r="CC2" s="10" t="n"/>
      <c r="CD2" s="10" t="n"/>
      <c r="CE2" s="10" t="n"/>
      <c r="CF2" s="10" t="n"/>
      <c r="CG2" s="10" t="n"/>
      <c r="CH2" s="10" t="n"/>
      <c r="CI2" s="10" t="n"/>
      <c r="CJ2" s="10" t="n"/>
      <c r="CK2" s="10" t="n"/>
      <c r="CL2" s="10" t="n"/>
      <c r="CM2" s="10" t="n"/>
      <c r="CN2" s="10" t="n"/>
      <c r="CO2" s="10" t="n"/>
      <c r="CP2" s="10" t="n"/>
      <c r="CQ2" s="10" t="n"/>
      <c r="CR2" s="10" t="n"/>
      <c r="CS2" s="10" t="n"/>
      <c r="CT2" s="10" t="n"/>
      <c r="CU2" s="10" t="n"/>
      <c r="CV2" s="10" t="n"/>
      <c r="CW2" s="10" t="n"/>
      <c r="CX2" s="10" t="n"/>
      <c r="CY2" s="10" t="n"/>
      <c r="CZ2" s="10" t="n"/>
      <c r="DA2" s="10" t="n"/>
      <c r="DB2" s="10" t="n"/>
      <c r="DC2" s="10" t="n"/>
      <c r="DD2" s="10" t="n"/>
      <c r="DE2" s="10" t="n"/>
      <c r="DF2" s="10" t="n"/>
      <c r="DG2" s="10" t="n"/>
      <c r="DH2" s="10" t="n"/>
      <c r="DI2" s="10" t="n"/>
      <c r="DJ2" s="10" t="n"/>
      <c r="DK2" s="10" t="n"/>
      <c r="DL2" s="10" t="n"/>
      <c r="DM2" s="10" t="n"/>
      <c r="DN2" s="10" t="n"/>
      <c r="DO2" s="10" t="n"/>
      <c r="DP2" s="10" t="n"/>
      <c r="DQ2" s="10" t="n"/>
      <c r="DR2" s="10" t="n"/>
      <c r="DS2" s="10" t="n"/>
      <c r="DT2" s="10" t="n"/>
      <c r="DU2" s="10" t="n"/>
      <c r="DV2" s="10" t="n"/>
      <c r="DW2" s="10" t="n"/>
    </row>
    <row r="3" ht="15" customFormat="1" customHeight="1" s="193">
      <c r="A3" s="10" t="n"/>
      <c r="B3" s="10" t="n"/>
      <c r="C3" s="10" t="n"/>
      <c r="D3" s="10" t="n"/>
      <c r="E3" s="10" t="n"/>
      <c r="F3" s="10" t="n"/>
      <c r="G3" s="10" t="n"/>
      <c r="H3" s="10" t="n"/>
      <c r="I3" s="10" t="n"/>
      <c r="J3" s="10" t="n"/>
      <c r="K3" s="10" t="n"/>
      <c r="L3" s="10" t="n"/>
      <c r="M3" s="339" t="n"/>
      <c r="N3" s="339" t="n"/>
      <c r="O3" s="339" t="n"/>
      <c r="P3" s="10" t="n"/>
      <c r="Q3" s="17" t="n"/>
      <c r="R3" s="10" t="n"/>
      <c r="S3" s="10" t="n"/>
      <c r="T3" s="10" t="n"/>
      <c r="U3" s="10" t="n"/>
      <c r="V3" s="10" t="n"/>
      <c r="W3" s="10" t="n"/>
      <c r="X3" s="10" t="n"/>
      <c r="Y3" s="10" t="n"/>
      <c r="Z3" s="10" t="n"/>
      <c r="AA3" s="10" t="n"/>
      <c r="AB3" s="10" t="n"/>
      <c r="AC3" s="10" t="n"/>
      <c r="AD3" s="10" t="n"/>
      <c r="AE3" s="10" t="n"/>
      <c r="AF3" s="10" t="n"/>
      <c r="AG3" s="10" t="n"/>
      <c r="AH3" s="10" t="n"/>
      <c r="AI3" s="10" t="n"/>
      <c r="AJ3" s="10" t="n"/>
      <c r="AK3" s="10" t="n"/>
      <c r="AL3" s="10" t="n"/>
      <c r="AM3" s="10" t="n"/>
      <c r="AN3" s="10" t="n"/>
      <c r="AO3" s="10" t="n"/>
      <c r="AP3" s="10" t="n"/>
      <c r="AQ3" s="10" t="n"/>
      <c r="AR3" s="10" t="n"/>
      <c r="AS3" s="10" t="n"/>
      <c r="AT3" s="10" t="n"/>
      <c r="AU3" s="10" t="n"/>
      <c r="AV3" s="10" t="n"/>
      <c r="AW3" s="10" t="n"/>
      <c r="AX3" s="10" t="n"/>
      <c r="AY3" s="10" t="n"/>
      <c r="AZ3" s="10" t="n"/>
      <c r="BA3" s="10" t="n"/>
      <c r="BB3" s="10" t="n"/>
      <c r="BC3" s="10" t="n"/>
      <c r="BD3" s="10" t="n"/>
      <c r="BE3" s="10" t="n"/>
      <c r="BF3" s="10" t="n"/>
      <c r="BG3" s="10" t="n"/>
      <c r="BH3" s="10" t="n"/>
      <c r="BI3" s="10" t="n"/>
      <c r="BJ3" s="10" t="n"/>
      <c r="BK3" s="10" t="n"/>
      <c r="BL3" s="10" t="n"/>
      <c r="BM3" s="10" t="n"/>
      <c r="BN3" s="10" t="n"/>
      <c r="BO3" s="10" t="n"/>
      <c r="BP3" s="10" t="n"/>
      <c r="BQ3" s="10" t="n"/>
      <c r="BR3" s="10" t="n"/>
      <c r="BS3" s="10" t="n"/>
      <c r="BT3" s="10" t="n"/>
      <c r="BU3" s="10" t="n"/>
      <c r="BV3" s="10" t="n"/>
      <c r="BW3" s="10" t="n"/>
      <c r="BX3" s="10" t="n"/>
      <c r="BY3" s="10" t="n"/>
      <c r="BZ3" s="10" t="n"/>
      <c r="CA3" s="10" t="n"/>
      <c r="CB3" s="10" t="n"/>
      <c r="CC3" s="10" t="n"/>
      <c r="CD3" s="10" t="n"/>
      <c r="CE3" s="10" t="n"/>
      <c r="CF3" s="10" t="n"/>
      <c r="CG3" s="10" t="n"/>
      <c r="CH3" s="10" t="n"/>
      <c r="CI3" s="10" t="n"/>
      <c r="CJ3" s="10" t="n"/>
      <c r="CK3" s="10" t="n"/>
      <c r="CL3" s="10" t="n"/>
      <c r="CM3" s="10" t="n"/>
      <c r="CN3" s="10" t="n"/>
      <c r="CO3" s="10" t="n"/>
      <c r="CP3" s="10" t="n"/>
      <c r="CQ3" s="10" t="n"/>
      <c r="CR3" s="10" t="n"/>
      <c r="CS3" s="10" t="n"/>
      <c r="CT3" s="10" t="n"/>
      <c r="CU3" s="10" t="n"/>
      <c r="CV3" s="10" t="n"/>
      <c r="CW3" s="10" t="n"/>
      <c r="CX3" s="10" t="n"/>
      <c r="CY3" s="10" t="n"/>
      <c r="CZ3" s="10" t="n"/>
      <c r="DA3" s="10" t="n"/>
      <c r="DB3" s="10" t="n"/>
      <c r="DC3" s="10" t="n"/>
      <c r="DD3" s="10" t="n"/>
      <c r="DE3" s="10" t="n"/>
      <c r="DF3" s="10" t="n"/>
      <c r="DG3" s="10" t="n"/>
      <c r="DH3" s="10" t="n"/>
      <c r="DI3" s="10" t="n"/>
      <c r="DJ3" s="10" t="n"/>
      <c r="DK3" s="10" t="n"/>
      <c r="DL3" s="10" t="n"/>
      <c r="DM3" s="10" t="n"/>
      <c r="DN3" s="10" t="n"/>
      <c r="DO3" s="10" t="n"/>
      <c r="DP3" s="10" t="n"/>
      <c r="DQ3" s="10" t="n"/>
      <c r="DR3" s="10" t="n"/>
      <c r="DS3" s="10" t="n"/>
      <c r="DT3" s="10" t="n"/>
      <c r="DU3" s="10" t="n"/>
      <c r="DV3" s="10" t="n"/>
      <c r="DW3" s="10" t="n"/>
    </row>
    <row r="4" ht="15" customFormat="1" customHeight="1" s="193">
      <c r="A4" s="10" t="n"/>
      <c r="B4" s="201" t="inlineStr">
        <is>
          <t>返回汇总页</t>
        </is>
      </c>
      <c r="C4" s="10" t="n"/>
      <c r="D4" s="10" t="n"/>
      <c r="E4" s="10" t="n"/>
      <c r="F4" s="10" t="n"/>
      <c r="G4" s="10" t="n"/>
      <c r="H4" s="10" t="n"/>
      <c r="I4" s="10" t="n"/>
      <c r="J4" s="10" t="n"/>
      <c r="K4" s="10" t="n"/>
      <c r="L4" s="10" t="n"/>
      <c r="M4" s="340" t="n"/>
      <c r="N4" s="340" t="n"/>
      <c r="O4" s="340" t="n"/>
      <c r="P4" s="10" t="n"/>
      <c r="Q4" s="17" t="n"/>
      <c r="R4" s="10" t="n"/>
      <c r="S4" s="10" t="n"/>
      <c r="T4" s="10" t="n"/>
      <c r="U4" s="10" t="n"/>
      <c r="V4" s="10" t="n"/>
      <c r="W4" s="10" t="n"/>
      <c r="X4" s="10" t="n"/>
      <c r="Y4" s="10" t="n"/>
      <c r="Z4" s="10" t="n"/>
      <c r="AA4" s="10" t="n"/>
      <c r="AB4" s="10" t="n"/>
      <c r="AC4" s="10" t="n"/>
      <c r="AD4" s="10" t="n"/>
      <c r="AE4" s="10" t="n"/>
      <c r="AF4" s="10" t="n"/>
      <c r="AG4" s="10" t="n"/>
      <c r="AH4" s="10" t="n"/>
      <c r="AI4" s="10" t="n"/>
      <c r="AJ4" s="10" t="n"/>
      <c r="AK4" s="10" t="n"/>
      <c r="AL4" s="10" t="n"/>
      <c r="AM4" s="10" t="n"/>
      <c r="AN4" s="10" t="n"/>
      <c r="AO4" s="10" t="n"/>
      <c r="AP4" s="10" t="n"/>
      <c r="AQ4" s="10" t="n"/>
      <c r="AR4" s="10" t="n"/>
      <c r="AS4" s="10" t="n"/>
      <c r="AT4" s="10" t="n"/>
      <c r="AU4" s="10" t="n"/>
      <c r="AV4" s="10" t="n"/>
      <c r="AW4" s="10" t="n"/>
      <c r="AX4" s="10" t="n"/>
      <c r="AY4" s="10" t="n"/>
      <c r="AZ4" s="10" t="n"/>
      <c r="BA4" s="10" t="n"/>
      <c r="BB4" s="10" t="n"/>
      <c r="BC4" s="10" t="n"/>
      <c r="BD4" s="10" t="n"/>
      <c r="BE4" s="10" t="n"/>
      <c r="BF4" s="10" t="n"/>
      <c r="BG4" s="10" t="n"/>
      <c r="BH4" s="10" t="n"/>
      <c r="BI4" s="10" t="n"/>
      <c r="BJ4" s="10" t="n"/>
      <c r="BK4" s="10" t="n"/>
      <c r="BL4" s="10" t="n"/>
      <c r="BM4" s="10" t="n"/>
      <c r="BN4" s="10" t="n"/>
      <c r="BO4" s="10" t="n"/>
      <c r="BP4" s="10" t="n"/>
      <c r="BQ4" s="10" t="n"/>
      <c r="BR4" s="10" t="n"/>
      <c r="BS4" s="10" t="n"/>
      <c r="BT4" s="10" t="n"/>
      <c r="BU4" s="10" t="n"/>
      <c r="BV4" s="10" t="n"/>
      <c r="BW4" s="10" t="n"/>
      <c r="BX4" s="10" t="n"/>
      <c r="BY4" s="10" t="n"/>
      <c r="BZ4" s="10" t="n"/>
      <c r="CA4" s="10" t="n"/>
      <c r="CB4" s="10" t="n"/>
      <c r="CC4" s="10" t="n"/>
      <c r="CD4" s="10" t="n"/>
      <c r="CE4" s="10" t="n"/>
      <c r="CF4" s="10" t="n"/>
      <c r="CG4" s="10" t="n"/>
      <c r="CH4" s="10" t="n"/>
      <c r="CI4" s="10" t="n"/>
      <c r="CJ4" s="10" t="n"/>
      <c r="CK4" s="10" t="n"/>
      <c r="CL4" s="10" t="n"/>
      <c r="CM4" s="10" t="n"/>
      <c r="CN4" s="10" t="n"/>
      <c r="CO4" s="10" t="n"/>
      <c r="CP4" s="10" t="n"/>
      <c r="CQ4" s="10" t="n"/>
      <c r="CR4" s="10" t="n"/>
      <c r="CS4" s="10" t="n"/>
      <c r="CT4" s="10" t="n"/>
      <c r="CU4" s="10" t="n"/>
      <c r="CV4" s="10" t="n"/>
      <c r="CW4" s="10" t="n"/>
      <c r="CX4" s="10" t="n"/>
      <c r="CY4" s="10" t="n"/>
      <c r="CZ4" s="10" t="n"/>
      <c r="DA4" s="10" t="n"/>
      <c r="DB4" s="10" t="n"/>
      <c r="DC4" s="10" t="n"/>
      <c r="DD4" s="10" t="n"/>
      <c r="DE4" s="10" t="n"/>
      <c r="DF4" s="10" t="n"/>
      <c r="DG4" s="10" t="n"/>
      <c r="DH4" s="10" t="n"/>
      <c r="DI4" s="10" t="n"/>
      <c r="DJ4" s="10" t="n"/>
      <c r="DK4" s="10" t="n"/>
      <c r="DL4" s="10" t="n"/>
      <c r="DM4" s="10" t="n"/>
      <c r="DN4" s="10" t="n"/>
      <c r="DO4" s="10" t="n"/>
      <c r="DP4" s="10" t="n"/>
      <c r="DQ4" s="10" t="n"/>
      <c r="DR4" s="10" t="n"/>
      <c r="DS4" s="10" t="n"/>
      <c r="DT4" s="10" t="n"/>
      <c r="DU4" s="10" t="n"/>
      <c r="DV4" s="10" t="n"/>
      <c r="DW4" s="10" t="n"/>
    </row>
    <row r="5" ht="15" customFormat="1" customHeight="1" s="193">
      <c r="A5" s="10" t="n"/>
      <c r="B5" s="10" t="n"/>
      <c r="C5" s="10" t="n"/>
      <c r="D5" s="10" t="n"/>
      <c r="E5" s="10" t="n"/>
      <c r="F5" s="10" t="n"/>
      <c r="G5" s="10" t="n"/>
      <c r="H5" s="10" t="n"/>
      <c r="I5" s="10" t="n"/>
      <c r="J5" s="10" t="n"/>
      <c r="K5" s="10" t="n"/>
      <c r="L5" s="10" t="n"/>
      <c r="M5" s="340" t="n"/>
      <c r="N5" s="340" t="n"/>
      <c r="O5" s="340" t="n"/>
      <c r="P5" s="10" t="n"/>
      <c r="Q5" s="17" t="n"/>
      <c r="R5" s="10"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0" t="n"/>
      <c r="AZ5" s="10" t="n"/>
      <c r="BA5" s="10" t="n"/>
      <c r="BB5" s="10" t="n"/>
      <c r="BC5" s="10" t="n"/>
      <c r="BD5" s="10" t="n"/>
      <c r="BE5" s="10" t="n"/>
      <c r="BF5" s="10" t="n"/>
      <c r="BG5" s="10" t="n"/>
      <c r="BH5" s="10" t="n"/>
      <c r="BI5" s="10" t="n"/>
      <c r="BJ5" s="10" t="n"/>
      <c r="BK5" s="10" t="n"/>
      <c r="BL5" s="10" t="n"/>
      <c r="BM5" s="10" t="n"/>
      <c r="BN5" s="10" t="n"/>
      <c r="BO5" s="10" t="n"/>
      <c r="BP5" s="10" t="n"/>
      <c r="BQ5" s="10" t="n"/>
      <c r="BR5" s="10" t="n"/>
      <c r="BS5" s="10" t="n"/>
      <c r="BT5" s="10" t="n"/>
      <c r="BU5" s="10" t="n"/>
      <c r="BV5" s="10" t="n"/>
      <c r="BW5" s="10" t="n"/>
      <c r="BX5" s="10" t="n"/>
      <c r="BY5" s="10" t="n"/>
      <c r="BZ5" s="10" t="n"/>
      <c r="CA5" s="10" t="n"/>
      <c r="CB5" s="10" t="n"/>
      <c r="CC5" s="10" t="n"/>
      <c r="CD5" s="10" t="n"/>
      <c r="CE5" s="10" t="n"/>
      <c r="CF5" s="10" t="n"/>
      <c r="CG5" s="10" t="n"/>
      <c r="CH5" s="10" t="n"/>
      <c r="CI5" s="10" t="n"/>
      <c r="CJ5" s="10" t="n"/>
      <c r="CK5" s="10" t="n"/>
      <c r="CL5" s="10" t="n"/>
      <c r="CM5" s="10" t="n"/>
      <c r="CN5" s="10" t="n"/>
      <c r="CO5" s="10" t="n"/>
      <c r="CP5" s="10" t="n"/>
      <c r="CQ5" s="10" t="n"/>
      <c r="CR5" s="10" t="n"/>
      <c r="CS5" s="10" t="n"/>
      <c r="CT5" s="10" t="n"/>
      <c r="CU5" s="10" t="n"/>
      <c r="CV5" s="10" t="n"/>
      <c r="CW5" s="10" t="n"/>
      <c r="CX5" s="10" t="n"/>
      <c r="CY5" s="10" t="n"/>
      <c r="CZ5" s="10" t="n"/>
      <c r="DA5" s="10" t="n"/>
      <c r="DB5" s="10" t="n"/>
      <c r="DC5" s="10" t="n"/>
      <c r="DD5" s="10" t="n"/>
      <c r="DE5" s="10" t="n"/>
      <c r="DF5" s="10" t="n"/>
      <c r="DG5" s="10" t="n"/>
      <c r="DH5" s="10" t="n"/>
      <c r="DI5" s="10" t="n"/>
      <c r="DJ5" s="10" t="n"/>
      <c r="DK5" s="10" t="n"/>
      <c r="DL5" s="10" t="n"/>
      <c r="DM5" s="10" t="n"/>
      <c r="DN5" s="10" t="n"/>
      <c r="DO5" s="10" t="n"/>
      <c r="DP5" s="10" t="n"/>
      <c r="DQ5" s="10" t="n"/>
      <c r="DR5" s="10" t="n"/>
      <c r="DS5" s="10" t="n"/>
      <c r="DT5" s="10" t="n"/>
      <c r="DU5" s="10" t="n"/>
      <c r="DV5" s="10" t="n"/>
      <c r="DW5" s="10" t="n"/>
    </row>
    <row r="6" ht="15" customFormat="1" customHeight="1" s="193">
      <c r="A6" s="10" t="n"/>
      <c r="B6" s="714">
        <f>'N.00 Lead sheet'!E15</f>
        <v/>
      </c>
      <c r="C6" s="86" t="inlineStr">
        <is>
          <t>用于识别和测试项目的测试阈值</t>
        </is>
      </c>
      <c r="D6" s="47" t="n"/>
      <c r="E6" s="10" t="n"/>
      <c r="F6" s="10" t="n"/>
      <c r="G6" s="10" t="n"/>
      <c r="H6" s="10" t="n"/>
      <c r="I6" s="10" t="n"/>
      <c r="J6" s="10" t="n"/>
      <c r="K6" s="10" t="n"/>
      <c r="L6" s="10" t="n"/>
      <c r="M6" s="10" t="n"/>
      <c r="N6" s="10" t="n"/>
      <c r="O6" s="10" t="n"/>
      <c r="P6" s="10" t="n"/>
      <c r="Q6" s="17" t="n"/>
      <c r="R6" s="10" t="n"/>
      <c r="S6" s="10" t="n"/>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0" t="n"/>
      <c r="AZ6" s="10" t="n"/>
      <c r="BA6" s="10" t="n"/>
      <c r="BB6" s="10" t="n"/>
      <c r="BC6" s="10" t="n"/>
      <c r="BD6" s="10" t="n"/>
      <c r="BE6" s="10" t="n"/>
      <c r="BF6" s="10" t="n"/>
      <c r="BG6" s="10" t="n"/>
      <c r="BH6" s="10" t="n"/>
      <c r="BI6" s="10" t="n"/>
      <c r="BJ6" s="10" t="n"/>
      <c r="BK6" s="10" t="n"/>
      <c r="BL6" s="10" t="n"/>
      <c r="BM6" s="10" t="n"/>
      <c r="BN6" s="10" t="n"/>
      <c r="BO6" s="10" t="n"/>
      <c r="BP6" s="10" t="n"/>
      <c r="BQ6" s="10" t="n"/>
      <c r="BR6" s="10" t="n"/>
      <c r="BS6" s="10" t="n"/>
      <c r="BT6" s="10" t="n"/>
      <c r="BU6" s="10" t="n"/>
      <c r="BV6" s="10" t="n"/>
      <c r="BW6" s="10" t="n"/>
      <c r="BX6" s="10" t="n"/>
      <c r="BY6" s="10" t="n"/>
      <c r="BZ6" s="10" t="n"/>
      <c r="CA6" s="10" t="n"/>
      <c r="CB6" s="10" t="n"/>
      <c r="CC6" s="10" t="n"/>
      <c r="CD6" s="10" t="n"/>
      <c r="CE6" s="10" t="n"/>
      <c r="CF6" s="10" t="n"/>
      <c r="CG6" s="10" t="n"/>
      <c r="CH6" s="10" t="n"/>
      <c r="CI6" s="10" t="n"/>
      <c r="CJ6" s="10" t="n"/>
      <c r="CK6" s="10" t="n"/>
      <c r="CL6" s="10" t="n"/>
      <c r="CM6" s="10" t="n"/>
      <c r="CN6" s="10" t="n"/>
      <c r="CO6" s="10" t="n"/>
      <c r="CP6" s="10" t="n"/>
      <c r="CQ6" s="10" t="n"/>
      <c r="CR6" s="10" t="n"/>
      <c r="CS6" s="10" t="n"/>
      <c r="CT6" s="10" t="n"/>
      <c r="CU6" s="10" t="n"/>
      <c r="CV6" s="10" t="n"/>
      <c r="CW6" s="10" t="n"/>
      <c r="CX6" s="10" t="n"/>
      <c r="CY6" s="10" t="n"/>
      <c r="CZ6" s="10" t="n"/>
      <c r="DA6" s="10" t="n"/>
      <c r="DB6" s="10" t="n"/>
      <c r="DC6" s="10" t="n"/>
      <c r="DD6" s="10" t="n"/>
      <c r="DE6" s="10" t="n"/>
      <c r="DF6" s="10" t="n"/>
      <c r="DG6" s="10" t="n"/>
      <c r="DH6" s="10" t="n"/>
      <c r="DI6" s="10" t="n"/>
      <c r="DJ6" s="10" t="n"/>
      <c r="DK6" s="10" t="n"/>
      <c r="DL6" s="10" t="n"/>
      <c r="DM6" s="10" t="n"/>
      <c r="DN6" s="10" t="n"/>
      <c r="DO6" s="10" t="n"/>
      <c r="DP6" s="10" t="n"/>
      <c r="DQ6" s="10" t="n"/>
      <c r="DR6" s="10" t="n"/>
      <c r="DS6" s="10" t="n"/>
      <c r="DT6" s="10" t="n"/>
      <c r="DU6" s="10" t="n"/>
      <c r="DV6" s="10" t="n"/>
      <c r="DW6" s="10" t="n"/>
    </row>
    <row r="7" ht="15" customHeight="1" s="634">
      <c r="A7" s="341" t="n"/>
      <c r="B7" s="342" t="n"/>
      <c r="C7" s="343" t="n"/>
      <c r="D7" s="344" t="n"/>
      <c r="E7" s="344" t="n"/>
      <c r="F7" s="344" t="n"/>
      <c r="G7" s="344" t="n"/>
      <c r="H7" s="344" t="n"/>
      <c r="I7" s="344" t="n"/>
      <c r="J7" s="344" t="n"/>
      <c r="K7" s="2" t="n"/>
      <c r="L7" s="2" t="n"/>
      <c r="M7" s="2" t="n"/>
      <c r="N7" s="2" t="n"/>
      <c r="O7" s="2" t="n"/>
      <c r="P7" s="10" t="n"/>
      <c r="Q7" s="17" t="n"/>
      <c r="R7" s="2" t="n"/>
      <c r="S7" s="2" t="n"/>
      <c r="T7" s="344" t="n"/>
      <c r="U7" s="2" t="n"/>
      <c r="V7" s="2" t="n"/>
      <c r="W7" s="2" t="n"/>
      <c r="X7" s="2" t="n"/>
      <c r="Y7" s="2" t="n"/>
      <c r="Z7" s="2" t="n"/>
      <c r="AA7" s="2" t="n"/>
      <c r="AB7" s="2" t="n"/>
      <c r="AC7" s="344"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c r="BK7" s="2" t="n"/>
      <c r="BL7" s="2" t="n"/>
      <c r="BM7" s="2" t="n"/>
      <c r="BN7" s="2" t="n"/>
      <c r="BO7" s="2" t="n"/>
      <c r="BP7" s="2" t="n"/>
      <c r="BQ7" s="2" t="n"/>
      <c r="BR7" s="2" t="n"/>
      <c r="BS7" s="2" t="n"/>
      <c r="BT7" s="2" t="n"/>
      <c r="BU7" s="2" t="n"/>
      <c r="BV7" s="2" t="n"/>
      <c r="BW7" s="2" t="n"/>
      <c r="BX7" s="2" t="n"/>
      <c r="BY7" s="2" t="n"/>
      <c r="BZ7" s="2" t="n"/>
      <c r="CA7" s="2" t="n"/>
      <c r="CB7" s="2" t="n"/>
      <c r="CC7" s="2" t="n"/>
      <c r="CD7" s="2" t="n"/>
      <c r="CE7" s="2" t="n"/>
      <c r="CF7" s="2" t="n"/>
      <c r="CG7" s="2" t="n"/>
      <c r="CH7" s="2" t="n"/>
      <c r="CI7" s="2" t="n"/>
      <c r="CJ7" s="2" t="n"/>
      <c r="CK7" s="2" t="n"/>
      <c r="CL7" s="2" t="n"/>
      <c r="CM7" s="2" t="n"/>
      <c r="CN7" s="2" t="n"/>
      <c r="CO7" s="2" t="n"/>
      <c r="CP7" s="2" t="n"/>
      <c r="CQ7" s="2" t="n"/>
      <c r="CR7" s="2" t="n"/>
      <c r="CS7" s="2" t="n"/>
      <c r="CT7" s="2" t="n"/>
      <c r="CU7" s="2" t="n"/>
      <c r="CV7" s="2" t="n"/>
      <c r="CW7" s="345" t="n"/>
      <c r="CX7" s="345" t="n"/>
      <c r="CY7" s="345" t="n"/>
      <c r="CZ7" s="345" t="n"/>
      <c r="DA7" s="345" t="n"/>
      <c r="DB7" s="345" t="n"/>
      <c r="DC7" s="345" t="n"/>
      <c r="DD7" s="345" t="n"/>
      <c r="DE7" s="2" t="n"/>
      <c r="DF7" s="345" t="n"/>
      <c r="DG7" s="345" t="n"/>
      <c r="DH7" s="345" t="n"/>
      <c r="DI7" s="345" t="n"/>
      <c r="DJ7" s="345" t="n"/>
      <c r="DK7" s="2" t="n"/>
      <c r="DL7" s="2" t="n"/>
      <c r="DM7" s="2" t="n"/>
      <c r="DN7" s="2" t="n"/>
      <c r="DO7" s="2" t="n"/>
      <c r="DP7" s="2" t="n"/>
      <c r="DQ7" s="2" t="n"/>
      <c r="DR7" s="2" t="n"/>
      <c r="DS7" s="2" t="n"/>
      <c r="DT7" s="390" t="n"/>
      <c r="DU7" s="2" t="n"/>
      <c r="DV7" s="2" t="n"/>
      <c r="DW7" s="2" t="n"/>
    </row>
    <row r="8" ht="13.35" customFormat="1" customHeight="1" s="196">
      <c r="A8" s="347" t="n"/>
      <c r="B8" s="740" t="inlineStr">
        <is>
          <t>安永属性测试说明：</t>
        </is>
      </c>
      <c r="C8" s="741" t="n"/>
      <c r="D8" s="741" t="n"/>
      <c r="E8" s="741" t="n"/>
      <c r="F8" s="742" t="n"/>
      <c r="G8" s="743" t="n"/>
      <c r="H8" s="743" t="n"/>
      <c r="I8" s="743" t="n"/>
      <c r="J8" s="743" t="n"/>
      <c r="K8" s="743" t="n"/>
      <c r="L8" s="743" t="n"/>
      <c r="M8" s="743" t="n"/>
      <c r="N8" s="743" t="n"/>
      <c r="O8" s="743" t="n"/>
      <c r="P8" s="10" t="n"/>
      <c r="Q8" s="17" t="n"/>
      <c r="R8" s="743" t="n"/>
      <c r="S8" s="743" t="n"/>
      <c r="T8" s="743" t="n"/>
      <c r="U8" s="743" t="n"/>
      <c r="V8" s="743" t="n"/>
      <c r="W8" s="743" t="n"/>
      <c r="X8" s="743" t="n"/>
      <c r="Y8" s="743" t="n"/>
      <c r="Z8" s="743" t="n"/>
      <c r="AA8" s="2" t="n"/>
      <c r="AB8" s="2" t="n"/>
      <c r="AC8" s="2" t="n"/>
      <c r="AD8" s="2" t="n"/>
      <c r="AE8" s="2" t="n"/>
      <c r="AF8" s="2" t="n"/>
      <c r="AG8" s="2" t="n"/>
      <c r="AH8" s="2" t="n"/>
      <c r="AI8" s="345" t="n"/>
      <c r="AJ8" s="345" t="n"/>
      <c r="AK8" s="345"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c r="BK8" s="2" t="n"/>
      <c r="BL8" s="2" t="n"/>
      <c r="BM8" s="2" t="n"/>
      <c r="BN8" s="2" t="n"/>
      <c r="BO8" s="2" t="n"/>
      <c r="BP8" s="2" t="n"/>
      <c r="BQ8" s="2" t="n"/>
      <c r="BR8" s="2" t="n"/>
      <c r="BS8" s="2" t="n"/>
      <c r="BT8" s="2" t="n"/>
      <c r="BU8" s="2" t="n"/>
      <c r="BV8" s="2" t="n"/>
      <c r="BW8" s="2" t="n"/>
      <c r="BX8" s="2" t="n"/>
      <c r="BY8" s="2" t="n"/>
      <c r="BZ8" s="2" t="n"/>
      <c r="CA8" s="2" t="n"/>
      <c r="CB8" s="2" t="n"/>
      <c r="CC8" s="2" t="n"/>
      <c r="CD8" s="2" t="n"/>
      <c r="CE8" s="2" t="n"/>
      <c r="CF8" s="2" t="n"/>
      <c r="CG8" s="345" t="n"/>
      <c r="CH8" s="345" t="n"/>
      <c r="CI8" s="345" t="n"/>
      <c r="CJ8" s="345" t="n"/>
      <c r="CK8" s="345" t="n"/>
      <c r="CL8" s="345" t="n"/>
      <c r="CM8" s="345" t="n"/>
      <c r="CN8" s="345" t="n"/>
      <c r="CO8" s="345" t="n"/>
      <c r="CP8" s="345" t="n"/>
      <c r="CQ8" s="345" t="n"/>
      <c r="CR8" s="345" t="n"/>
      <c r="CS8" s="345" t="n"/>
      <c r="CT8" s="345" t="n"/>
      <c r="CU8" s="345" t="n"/>
      <c r="CV8" s="345" t="n"/>
      <c r="CW8" s="345" t="n"/>
      <c r="CX8" s="345" t="n"/>
      <c r="CY8" s="345" t="n"/>
      <c r="CZ8" s="345" t="n"/>
      <c r="DA8" s="345" t="n"/>
      <c r="DB8" s="345" t="n"/>
      <c r="DC8" s="345" t="n"/>
      <c r="DD8" s="345" t="n"/>
      <c r="DE8" s="345" t="n"/>
      <c r="DF8" s="345" t="n"/>
      <c r="DG8" s="390" t="n"/>
      <c r="DH8" s="345" t="n"/>
      <c r="DI8" s="350" t="n"/>
      <c r="DJ8" s="345" t="n"/>
      <c r="DK8" s="345" t="n"/>
      <c r="DL8" s="345" t="n"/>
      <c r="DM8" s="345" t="n"/>
      <c r="DN8" s="345" t="n"/>
      <c r="DO8" s="345" t="n"/>
      <c r="DP8" s="345" t="n"/>
      <c r="DQ8" s="345" t="n"/>
      <c r="DR8" s="345" t="n"/>
      <c r="DS8" s="345" t="n"/>
      <c r="DT8" s="345" t="n"/>
      <c r="DU8" s="345" t="n"/>
      <c r="DV8" s="345" t="n"/>
      <c r="DW8" s="345" t="n"/>
    </row>
    <row r="9" ht="30" customFormat="1" customHeight="1" s="196">
      <c r="A9" s="347" t="n"/>
      <c r="B9" s="744" t="inlineStr">
        <is>
          <t>1）获取并检查支持异常项目/借方余额的文档（例如，供应商发票、合同、采购订单、付款水单等），以及与应付账款明细账的相关详细信息（例如，供应商名称、发票编号、发票金额和商品/服务的性质）核对一致。</t>
        </is>
      </c>
      <c r="C9" s="658" t="n"/>
      <c r="D9" s="658" t="n"/>
      <c r="E9" s="658" t="n"/>
      <c r="F9" s="659" t="n"/>
      <c r="G9" s="743" t="n"/>
      <c r="H9" s="743" t="n"/>
      <c r="I9" s="743" t="n"/>
      <c r="J9" s="743" t="n"/>
      <c r="K9" s="743" t="n"/>
      <c r="L9" s="743" t="n"/>
      <c r="M9" s="743" t="n"/>
      <c r="N9" s="743" t="n"/>
      <c r="O9" s="743" t="n"/>
      <c r="P9" s="10" t="n"/>
      <c r="Q9" s="17" t="n"/>
      <c r="R9" s="743" t="n"/>
      <c r="S9" s="743" t="n"/>
      <c r="T9" s="743" t="n"/>
      <c r="U9" s="743" t="n"/>
      <c r="V9" s="743" t="n"/>
      <c r="W9" s="743" t="n"/>
      <c r="X9" s="743" t="n"/>
      <c r="Y9" s="743" t="n"/>
      <c r="Z9" s="743" t="n"/>
      <c r="AA9" s="2" t="n"/>
      <c r="AB9" s="2" t="n"/>
      <c r="AC9" s="2" t="n"/>
      <c r="AD9" s="2" t="n"/>
      <c r="AE9" s="2" t="n"/>
      <c r="AF9" s="2" t="n"/>
      <c r="AG9" s="2" t="n"/>
      <c r="AH9" s="2" t="n"/>
      <c r="AI9" s="345" t="n"/>
      <c r="AJ9" s="345" t="n"/>
      <c r="AK9" s="345"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2" t="n"/>
      <c r="BJ9" s="2" t="n"/>
      <c r="BK9" s="2" t="n"/>
      <c r="BL9" s="2" t="n"/>
      <c r="BM9" s="2" t="n"/>
      <c r="BN9" s="2" t="n"/>
      <c r="BO9" s="2" t="n"/>
      <c r="BP9" s="2" t="n"/>
      <c r="BQ9" s="2" t="n"/>
      <c r="BR9" s="2" t="n"/>
      <c r="BS9" s="2" t="n"/>
      <c r="BT9" s="2" t="n"/>
      <c r="BU9" s="2" t="n"/>
      <c r="BV9" s="2" t="n"/>
      <c r="BW9" s="2" t="n"/>
      <c r="BX9" s="2" t="n"/>
      <c r="BY9" s="2" t="n"/>
      <c r="BZ9" s="2" t="n"/>
      <c r="CA9" s="2" t="n"/>
      <c r="CB9" s="2" t="n"/>
      <c r="CC9" s="2" t="n"/>
      <c r="CD9" s="2" t="n"/>
      <c r="CE9" s="2" t="n"/>
      <c r="CF9" s="2" t="n"/>
      <c r="CG9" s="345" t="n"/>
      <c r="CH9" s="345" t="n"/>
      <c r="CI9" s="345" t="n"/>
      <c r="CJ9" s="345" t="n"/>
      <c r="CK9" s="345" t="n"/>
      <c r="CL9" s="345" t="n"/>
      <c r="CM9" s="345" t="n"/>
      <c r="CN9" s="345" t="n"/>
      <c r="CO9" s="345" t="n"/>
      <c r="CP9" s="345" t="n"/>
      <c r="CQ9" s="345" t="n"/>
      <c r="CR9" s="345" t="n"/>
      <c r="CS9" s="345" t="n"/>
      <c r="CT9" s="345" t="n"/>
      <c r="CU9" s="345" t="n"/>
      <c r="CV9" s="345" t="n"/>
      <c r="CW9" s="345" t="n"/>
      <c r="CX9" s="345" t="n"/>
      <c r="CY9" s="345" t="n"/>
      <c r="CZ9" s="345" t="n"/>
      <c r="DA9" s="345" t="n"/>
      <c r="DB9" s="345" t="n"/>
      <c r="DC9" s="345" t="n"/>
      <c r="DD9" s="345" t="n"/>
      <c r="DE9" s="345" t="n"/>
      <c r="DF9" s="345" t="n"/>
      <c r="DG9" s="390" t="n"/>
      <c r="DH9" s="345" t="n"/>
      <c r="DI9" s="350" t="n"/>
      <c r="DJ9" s="345" t="n"/>
      <c r="DK9" s="345" t="n"/>
      <c r="DL9" s="345" t="n"/>
      <c r="DM9" s="345" t="n"/>
      <c r="DN9" s="345" t="n"/>
      <c r="DO9" s="345" t="n"/>
      <c r="DP9" s="345" t="n"/>
      <c r="DQ9" s="345" t="n"/>
      <c r="DR9" s="345" t="n"/>
      <c r="DS9" s="345" t="n"/>
      <c r="DT9" s="345" t="n"/>
      <c r="DU9" s="345" t="n"/>
      <c r="DV9" s="345" t="n"/>
      <c r="DW9" s="345" t="n"/>
    </row>
    <row r="10" ht="15" customFormat="1" customHeight="1" s="196">
      <c r="A10" s="347" t="n"/>
      <c r="B10" s="745" t="inlineStr">
        <is>
          <t>2） 我们获取了与所选交易相关的记账分录。我们确认应付账款记账分录的对方科目账务处理正确‌。</t>
        </is>
      </c>
      <c r="C10" s="658" t="n"/>
      <c r="D10" s="658" t="n"/>
      <c r="E10" s="658" t="n"/>
      <c r="F10" s="659" t="n"/>
      <c r="G10" s="743" t="n"/>
      <c r="H10" s="743" t="n"/>
      <c r="I10" s="743" t="n"/>
      <c r="J10" s="743" t="n"/>
      <c r="K10" s="743" t="n"/>
      <c r="L10" s="743" t="n"/>
      <c r="M10" s="743" t="n"/>
      <c r="N10" s="743" t="n"/>
      <c r="O10" s="743" t="n"/>
      <c r="P10" s="10" t="n"/>
      <c r="Q10" s="17" t="n"/>
      <c r="R10" s="743" t="n"/>
      <c r="S10" s="743" t="n"/>
      <c r="T10" s="743" t="n"/>
      <c r="U10" s="743" t="n"/>
      <c r="V10" s="743" t="n"/>
      <c r="W10" s="743" t="n"/>
      <c r="X10" s="743" t="n"/>
      <c r="Y10" s="743" t="n"/>
      <c r="Z10" s="743" t="n"/>
      <c r="AA10" s="2" t="n"/>
      <c r="AB10" s="2" t="n"/>
      <c r="AC10" s="2" t="n"/>
      <c r="AD10" s="2" t="n"/>
      <c r="AE10" s="2" t="n"/>
      <c r="AF10" s="2" t="n"/>
      <c r="AG10" s="2" t="n"/>
      <c r="AH10" s="2" t="n"/>
      <c r="AI10" s="345" t="n"/>
      <c r="AJ10" s="345" t="n"/>
      <c r="AK10" s="345" t="n"/>
      <c r="AL10" s="2" t="n"/>
      <c r="AM10" s="2" t="n"/>
      <c r="AN10" s="2" t="n"/>
      <c r="AO10" s="2" t="n"/>
      <c r="AP10" s="2" t="n"/>
      <c r="AQ10" s="2" t="n"/>
      <c r="AR10" s="2" t="n"/>
      <c r="AS10" s="2" t="n"/>
      <c r="AT10" s="2" t="n"/>
      <c r="AU10" s="2" t="n"/>
      <c r="AV10" s="2" t="n"/>
      <c r="AW10" s="2" t="n"/>
      <c r="AX10" s="2" t="n"/>
      <c r="AY10" s="2" t="n"/>
      <c r="AZ10" s="2" t="n"/>
      <c r="BA10" s="2" t="n"/>
      <c r="BB10" s="2" t="n"/>
      <c r="BC10" s="2" t="n"/>
      <c r="BD10" s="2" t="n"/>
      <c r="BE10" s="2" t="n"/>
      <c r="BF10" s="2" t="n"/>
      <c r="BG10" s="2" t="n"/>
      <c r="BH10" s="2" t="n"/>
      <c r="BI10" s="2" t="n"/>
      <c r="BJ10" s="2" t="n"/>
      <c r="BK10" s="2" t="n"/>
      <c r="BL10" s="2" t="n"/>
      <c r="BM10" s="2" t="n"/>
      <c r="BN10" s="2" t="n"/>
      <c r="BO10" s="2" t="n"/>
      <c r="BP10" s="2" t="n"/>
      <c r="BQ10" s="2" t="n"/>
      <c r="BR10" s="2" t="n"/>
      <c r="BS10" s="2" t="n"/>
      <c r="BT10" s="2" t="n"/>
      <c r="BU10" s="2" t="n"/>
      <c r="BV10" s="2" t="n"/>
      <c r="BW10" s="2" t="n"/>
      <c r="BX10" s="2" t="n"/>
      <c r="BY10" s="2" t="n"/>
      <c r="BZ10" s="2" t="n"/>
      <c r="CA10" s="2" t="n"/>
      <c r="CB10" s="2" t="n"/>
      <c r="CC10" s="2" t="n"/>
      <c r="CD10" s="2" t="n"/>
      <c r="CE10" s="2" t="n"/>
      <c r="CF10" s="2" t="n"/>
      <c r="CG10" s="345" t="n"/>
      <c r="CH10" s="345" t="n"/>
      <c r="CI10" s="345" t="n"/>
      <c r="CJ10" s="345" t="n"/>
      <c r="CK10" s="345" t="n"/>
      <c r="CL10" s="345" t="n"/>
      <c r="CM10" s="345" t="n"/>
      <c r="CN10" s="345" t="n"/>
      <c r="CO10" s="345" t="n"/>
      <c r="CP10" s="345" t="n"/>
      <c r="CQ10" s="345" t="n"/>
      <c r="CR10" s="345" t="n"/>
      <c r="CS10" s="345" t="n"/>
      <c r="CT10" s="345" t="n"/>
      <c r="CU10" s="345" t="n"/>
      <c r="CV10" s="345" t="n"/>
      <c r="CW10" s="345" t="n"/>
      <c r="CX10" s="345" t="n"/>
      <c r="CY10" s="345" t="n"/>
      <c r="CZ10" s="345" t="n"/>
      <c r="DA10" s="345" t="n"/>
      <c r="DB10" s="345" t="n"/>
      <c r="DC10" s="345" t="n"/>
      <c r="DD10" s="345" t="n"/>
      <c r="DE10" s="345" t="n"/>
      <c r="DF10" s="345" t="n"/>
      <c r="DG10" s="390" t="n"/>
      <c r="DH10" s="345" t="n"/>
      <c r="DI10" s="350" t="n"/>
      <c r="DJ10" s="345" t="n"/>
      <c r="DK10" s="345" t="n"/>
      <c r="DL10" s="345" t="n"/>
      <c r="DM10" s="345" t="n"/>
      <c r="DN10" s="345" t="n"/>
      <c r="DO10" s="345" t="n"/>
      <c r="DP10" s="345" t="n"/>
      <c r="DQ10" s="345" t="n"/>
      <c r="DR10" s="345" t="n"/>
      <c r="DS10" s="345" t="n"/>
      <c r="DT10" s="345" t="n"/>
      <c r="DU10" s="345" t="n"/>
      <c r="DV10" s="345" t="n"/>
      <c r="DW10" s="345" t="n"/>
    </row>
    <row r="11" ht="15" customFormat="1" customHeight="1" s="196">
      <c r="A11" s="347" t="n"/>
      <c r="B11" s="746" t="inlineStr">
        <is>
          <t>3） 根据我们对支持性文件（包括记账分录）的审查，得出结论认为，所选交易在应付账款中的分类是适当的。</t>
        </is>
      </c>
      <c r="C11" s="661" t="n"/>
      <c r="D11" s="661" t="n"/>
      <c r="E11" s="661" t="n"/>
      <c r="F11" s="662" t="n"/>
      <c r="G11" s="743" t="n"/>
      <c r="H11" s="743" t="n"/>
      <c r="I11" s="743" t="n"/>
      <c r="J11" s="743" t="n"/>
      <c r="K11" s="743" t="n"/>
      <c r="L11" s="743" t="n"/>
      <c r="M11" s="743" t="n"/>
      <c r="N11" s="743" t="n"/>
      <c r="O11" s="743" t="n"/>
      <c r="P11" s="10" t="n"/>
      <c r="Q11" s="17" t="n"/>
      <c r="R11" s="743" t="n"/>
      <c r="S11" s="743" t="n"/>
      <c r="T11" s="743" t="n"/>
      <c r="U11" s="743" t="n"/>
      <c r="V11" s="743" t="n"/>
      <c r="W11" s="743" t="n"/>
      <c r="X11" s="743" t="n"/>
      <c r="Y11" s="743" t="n"/>
      <c r="Z11" s="743" t="n"/>
      <c r="AA11" s="2" t="n"/>
      <c r="AB11" s="2" t="n"/>
      <c r="AC11" s="2" t="n"/>
      <c r="AD11" s="2" t="n"/>
      <c r="AE11" s="2" t="n"/>
      <c r="AF11" s="2" t="n"/>
      <c r="AG11" s="2" t="n"/>
      <c r="AH11" s="2" t="n"/>
      <c r="AI11" s="345" t="n"/>
      <c r="AJ11" s="345" t="n"/>
      <c r="AK11" s="345" t="n"/>
      <c r="AL11" s="2" t="n"/>
      <c r="AM11" s="2" t="n"/>
      <c r="AN11" s="2" t="n"/>
      <c r="AO11" s="2" t="n"/>
      <c r="AP11" s="2" t="n"/>
      <c r="AQ11" s="2" t="n"/>
      <c r="AR11" s="2" t="n"/>
      <c r="AS11" s="2" t="n"/>
      <c r="AT11" s="2" t="n"/>
      <c r="AU11" s="2" t="n"/>
      <c r="AV11" s="2" t="n"/>
      <c r="AW11" s="2" t="n"/>
      <c r="AX11" s="2" t="n"/>
      <c r="AY11" s="2" t="n"/>
      <c r="AZ11" s="2" t="n"/>
      <c r="BA11" s="2" t="n"/>
      <c r="BB11" s="2" t="n"/>
      <c r="BC11" s="2" t="n"/>
      <c r="BD11" s="2" t="n"/>
      <c r="BE11" s="2" t="n"/>
      <c r="BF11" s="2" t="n"/>
      <c r="BG11" s="2" t="n"/>
      <c r="BH11" s="2" t="n"/>
      <c r="BI11" s="2" t="n"/>
      <c r="BJ11" s="2" t="n"/>
      <c r="BK11" s="2" t="n"/>
      <c r="BL11" s="2" t="n"/>
      <c r="BM11" s="2" t="n"/>
      <c r="BN11" s="2" t="n"/>
      <c r="BO11" s="2" t="n"/>
      <c r="BP11" s="2" t="n"/>
      <c r="BQ11" s="2" t="n"/>
      <c r="BR11" s="2" t="n"/>
      <c r="BS11" s="2" t="n"/>
      <c r="BT11" s="2" t="n"/>
      <c r="BU11" s="2" t="n"/>
      <c r="BV11" s="2" t="n"/>
      <c r="BW11" s="2" t="n"/>
      <c r="BX11" s="2" t="n"/>
      <c r="BY11" s="2" t="n"/>
      <c r="BZ11" s="2" t="n"/>
      <c r="CA11" s="2" t="n"/>
      <c r="CB11" s="2" t="n"/>
      <c r="CC11" s="2" t="n"/>
      <c r="CD11" s="2" t="n"/>
      <c r="CE11" s="2" t="n"/>
      <c r="CF11" s="2" t="n"/>
      <c r="CG11" s="345" t="n"/>
      <c r="CH11" s="345" t="n"/>
      <c r="CI11" s="345" t="n"/>
      <c r="CJ11" s="345" t="n"/>
      <c r="CK11" s="345" t="n"/>
      <c r="CL11" s="345" t="n"/>
      <c r="CM11" s="345" t="n"/>
      <c r="CN11" s="345" t="n"/>
      <c r="CO11" s="345" t="n"/>
      <c r="CP11" s="345" t="n"/>
      <c r="CQ11" s="345" t="n"/>
      <c r="CR11" s="345" t="n"/>
      <c r="CS11" s="345" t="n"/>
      <c r="CT11" s="345" t="n"/>
      <c r="CU11" s="345" t="n"/>
      <c r="CV11" s="345" t="n"/>
      <c r="CW11" s="345" t="n"/>
      <c r="CX11" s="345" t="n"/>
      <c r="CY11" s="345" t="n"/>
      <c r="CZ11" s="345" t="n"/>
      <c r="DA11" s="345" t="n"/>
      <c r="DB11" s="345" t="n"/>
      <c r="DC11" s="345" t="n"/>
      <c r="DD11" s="345" t="n"/>
      <c r="DE11" s="345" t="n"/>
      <c r="DF11" s="345" t="n"/>
      <c r="DG11" s="390" t="n"/>
      <c r="DH11" s="345" t="n"/>
      <c r="DI11" s="350" t="n"/>
      <c r="DJ11" s="345" t="n"/>
      <c r="DK11" s="345" t="n"/>
      <c r="DL11" s="345" t="n"/>
      <c r="DM11" s="345" t="n"/>
      <c r="DN11" s="345" t="n"/>
      <c r="DO11" s="345" t="n"/>
      <c r="DP11" s="345" t="n"/>
      <c r="DQ11" s="345" t="n"/>
      <c r="DR11" s="345" t="n"/>
      <c r="DS11" s="345" t="n"/>
      <c r="DT11" s="345" t="n"/>
      <c r="DU11" s="345" t="n"/>
      <c r="DV11" s="345" t="n"/>
      <c r="DW11" s="345" t="n"/>
    </row>
    <row r="12" ht="15" customFormat="1" customHeight="1" s="196">
      <c r="A12" s="347" t="n"/>
      <c r="B12" s="2" t="n"/>
      <c r="C12" s="2" t="n"/>
      <c r="D12" s="2" t="n"/>
      <c r="E12" s="2" t="n"/>
      <c r="F12" s="2" t="n"/>
      <c r="G12" s="743" t="n"/>
      <c r="H12" s="743" t="n"/>
      <c r="I12" s="743" t="n"/>
      <c r="J12" s="743" t="n"/>
      <c r="K12" s="743" t="n"/>
      <c r="L12" s="743" t="n"/>
      <c r="M12" s="743" t="n"/>
      <c r="N12" s="743" t="n"/>
      <c r="O12" s="743" t="n"/>
      <c r="P12" s="10" t="n"/>
      <c r="Q12" s="17" t="n"/>
      <c r="R12" s="743" t="n"/>
      <c r="S12" s="743" t="n"/>
      <c r="T12" s="743" t="n"/>
      <c r="U12" s="743" t="n"/>
      <c r="V12" s="743" t="n"/>
      <c r="W12" s="743" t="n"/>
      <c r="X12" s="743" t="n"/>
      <c r="Y12" s="743" t="n"/>
      <c r="Z12" s="743" t="n"/>
      <c r="AA12" s="743" t="n"/>
      <c r="AB12" s="743" t="n"/>
      <c r="AC12" s="743" t="n"/>
      <c r="AD12" s="743" t="n"/>
      <c r="AE12" s="743" t="n"/>
      <c r="AF12" s="743" t="n"/>
      <c r="AG12" s="2" t="n"/>
      <c r="AH12" s="2" t="n"/>
      <c r="AI12" s="2" t="n"/>
      <c r="AJ12" s="2" t="n"/>
      <c r="AK12" s="2" t="n"/>
      <c r="AL12" s="2" t="n"/>
      <c r="AM12" s="2" t="n"/>
      <c r="AN12" s="2" t="n"/>
      <c r="AO12" s="345" t="n"/>
      <c r="AP12" s="345" t="n"/>
      <c r="AQ12" s="345" t="n"/>
      <c r="AR12" s="2" t="n"/>
      <c r="AS12" s="2" t="n"/>
      <c r="AT12" s="2" t="n"/>
      <c r="AU12" s="2" t="n"/>
      <c r="AV12" s="2" t="n"/>
      <c r="AW12" s="2" t="n"/>
      <c r="AX12" s="2" t="n"/>
      <c r="AY12" s="2" t="n"/>
      <c r="AZ12" s="2" t="n"/>
      <c r="BA12" s="2" t="n"/>
      <c r="BB12" s="2" t="n"/>
      <c r="BC12" s="2" t="n"/>
      <c r="BD12" s="2" t="n"/>
      <c r="BE12" s="2" t="n"/>
      <c r="BF12" s="2" t="n"/>
      <c r="BG12" s="2" t="n"/>
      <c r="BH12" s="2" t="n"/>
      <c r="BI12" s="2" t="n"/>
      <c r="BJ12" s="2" t="n"/>
      <c r="BK12" s="2" t="n"/>
      <c r="BL12" s="2" t="n"/>
      <c r="BM12" s="2" t="n"/>
      <c r="BN12" s="2" t="n"/>
      <c r="BO12" s="2" t="n"/>
      <c r="BP12" s="2" t="n"/>
      <c r="BQ12" s="2" t="n"/>
      <c r="BR12" s="2" t="n"/>
      <c r="BS12" s="2" t="n"/>
      <c r="BT12" s="2" t="n"/>
      <c r="BU12" s="2" t="n"/>
      <c r="BV12" s="2" t="n"/>
      <c r="BW12" s="2" t="n"/>
      <c r="BX12" s="2" t="n"/>
      <c r="BY12" s="2" t="n"/>
      <c r="BZ12" s="2" t="n"/>
      <c r="CA12" s="2" t="n"/>
      <c r="CB12" s="2" t="n"/>
      <c r="CC12" s="2" t="n"/>
      <c r="CD12" s="2" t="n"/>
      <c r="CE12" s="2" t="n"/>
      <c r="CF12" s="2" t="n"/>
      <c r="CG12" s="2" t="n"/>
      <c r="CH12" s="2" t="n"/>
      <c r="CI12" s="2" t="n"/>
      <c r="CJ12" s="2" t="n"/>
      <c r="CK12" s="2" t="n"/>
      <c r="CL12" s="2" t="n"/>
      <c r="CM12" s="345" t="n"/>
      <c r="CN12" s="345" t="n"/>
      <c r="CO12" s="345" t="n"/>
      <c r="CP12" s="345" t="n"/>
      <c r="CQ12" s="345" t="n"/>
      <c r="CR12" s="345" t="n"/>
      <c r="CS12" s="345" t="n"/>
      <c r="CT12" s="345" t="n"/>
      <c r="CU12" s="345" t="n"/>
      <c r="CV12" s="345" t="n"/>
      <c r="CW12" s="345" t="n"/>
      <c r="CX12" s="345" t="n"/>
      <c r="CY12" s="345" t="n"/>
      <c r="CZ12" s="345" t="n"/>
      <c r="DA12" s="345" t="n"/>
      <c r="DB12" s="345" t="n"/>
      <c r="DC12" s="345" t="n"/>
      <c r="DD12" s="345" t="n"/>
      <c r="DE12" s="345" t="n"/>
      <c r="DF12" s="345" t="n"/>
      <c r="DG12" s="345" t="n"/>
      <c r="DH12" s="345" t="n"/>
      <c r="DI12" s="345" t="n"/>
      <c r="DJ12" s="345" t="n"/>
      <c r="DK12" s="345" t="n"/>
      <c r="DL12" s="345" t="n"/>
      <c r="DM12" s="390" t="n"/>
      <c r="DN12" s="345" t="n"/>
      <c r="DO12" s="350" t="n"/>
      <c r="DP12" s="345" t="n"/>
      <c r="DQ12" s="345" t="n"/>
      <c r="DR12" s="345" t="n"/>
      <c r="DS12" s="345" t="n"/>
      <c r="DT12" s="345" t="n"/>
      <c r="DU12" s="345" t="n"/>
      <c r="DV12" s="345" t="n"/>
      <c r="DW12" s="345" t="n"/>
    </row>
    <row r="13" ht="20.45" customFormat="1" customHeight="1" s="196">
      <c r="A13" s="347" t="n"/>
      <c r="B13" s="352" t="inlineStr">
        <is>
          <t>借方余额测试</t>
        </is>
      </c>
      <c r="C13" s="353" t="n"/>
      <c r="D13" s="353" t="n"/>
      <c r="E13" s="353" t="n"/>
      <c r="F13" s="353" t="n"/>
      <c r="G13" s="747" t="n"/>
      <c r="H13" s="747" t="n"/>
      <c r="I13" s="747" t="n"/>
      <c r="J13" s="747" t="n"/>
      <c r="K13" s="747" t="n"/>
      <c r="L13" s="747" t="n"/>
      <c r="M13" s="747" t="n"/>
      <c r="N13" s="747" t="n"/>
      <c r="O13" s="747" t="n"/>
      <c r="P13" s="10" t="n"/>
      <c r="Q13" s="17" t="n"/>
      <c r="R13" s="743" t="n"/>
      <c r="S13" s="743" t="n"/>
      <c r="T13" s="743" t="n"/>
      <c r="U13" s="743" t="n"/>
      <c r="V13" s="743" t="n"/>
      <c r="W13" s="743" t="n"/>
      <c r="X13" s="743" t="n"/>
      <c r="Y13" s="743" t="n"/>
      <c r="Z13" s="743" t="n"/>
      <c r="AA13" s="743" t="n"/>
      <c r="AB13" s="743" t="n"/>
      <c r="AC13" s="743" t="n"/>
      <c r="AD13" s="743" t="n"/>
      <c r="AE13" s="743" t="n"/>
      <c r="AF13" s="743" t="n"/>
      <c r="AG13" s="743" t="n"/>
      <c r="AH13" s="743" t="n"/>
      <c r="AI13" s="743" t="n"/>
      <c r="AJ13" s="743" t="n"/>
      <c r="AK13" s="743" t="n"/>
      <c r="AL13" s="2" t="n"/>
      <c r="AM13" s="2" t="n"/>
      <c r="AN13" s="2" t="n"/>
      <c r="AO13" s="2" t="n"/>
      <c r="AP13" s="2" t="n"/>
      <c r="AQ13" s="2" t="n"/>
      <c r="AR13" s="2" t="n"/>
      <c r="AS13" s="2" t="n"/>
      <c r="AT13" s="345" t="n"/>
      <c r="AU13" s="345" t="n"/>
      <c r="AV13" s="345" t="n"/>
      <c r="AW13" s="2" t="n"/>
      <c r="AX13" s="2" t="n"/>
      <c r="AY13" s="2" t="n"/>
      <c r="AZ13" s="2" t="n"/>
      <c r="BA13" s="2" t="n"/>
      <c r="BB13" s="2" t="n"/>
      <c r="BC13" s="2" t="n"/>
      <c r="BD13" s="2" t="n"/>
      <c r="BE13" s="2" t="n"/>
      <c r="BF13" s="2" t="n"/>
      <c r="BG13" s="2" t="n"/>
      <c r="BH13" s="2" t="n"/>
      <c r="BI13" s="2" t="n"/>
      <c r="BJ13" s="2" t="n"/>
      <c r="BK13" s="2" t="n"/>
      <c r="BL13" s="2" t="n"/>
      <c r="BM13" s="2" t="n"/>
      <c r="BN13" s="2" t="n"/>
      <c r="BO13" s="2" t="n"/>
      <c r="BP13" s="2" t="n"/>
      <c r="BQ13" s="2" t="n"/>
      <c r="BR13" s="2" t="n"/>
      <c r="BS13" s="2" t="n"/>
      <c r="BT13" s="2" t="n"/>
      <c r="BU13" s="2" t="n"/>
      <c r="BV13" s="2" t="n"/>
      <c r="BW13" s="2" t="n"/>
      <c r="BX13" s="2" t="n"/>
      <c r="BY13" s="2" t="n"/>
      <c r="BZ13" s="2" t="n"/>
      <c r="CA13" s="2" t="n"/>
      <c r="CB13" s="2" t="n"/>
      <c r="CC13" s="2" t="n"/>
      <c r="CD13" s="2" t="n"/>
      <c r="CE13" s="2" t="n"/>
      <c r="CF13" s="2" t="n"/>
      <c r="CG13" s="2" t="n"/>
      <c r="CH13" s="2" t="n"/>
      <c r="CI13" s="2" t="n"/>
      <c r="CJ13" s="2" t="n"/>
      <c r="CK13" s="2" t="n"/>
      <c r="CL13" s="2" t="n"/>
      <c r="CM13" s="2" t="n"/>
      <c r="CN13" s="2" t="n"/>
      <c r="CO13" s="2" t="n"/>
      <c r="CP13" s="2" t="n"/>
      <c r="CQ13" s="2" t="n"/>
      <c r="CR13" s="345" t="n"/>
      <c r="CS13" s="345" t="n"/>
      <c r="CT13" s="345" t="n"/>
      <c r="CU13" s="345" t="n"/>
      <c r="CV13" s="345" t="n"/>
      <c r="CW13" s="345" t="n"/>
      <c r="CX13" s="345" t="n"/>
      <c r="CY13" s="345" t="n"/>
      <c r="CZ13" s="345" t="n"/>
      <c r="DA13" s="345" t="n"/>
      <c r="DB13" s="345" t="n"/>
      <c r="DC13" s="345" t="n"/>
      <c r="DD13" s="345" t="n"/>
      <c r="DE13" s="345" t="n"/>
      <c r="DF13" s="345" t="n"/>
      <c r="DG13" s="345" t="n"/>
      <c r="DH13" s="345" t="n"/>
      <c r="DI13" s="345" t="n"/>
      <c r="DJ13" s="345" t="n"/>
      <c r="DK13" s="345" t="n"/>
      <c r="DL13" s="345" t="n"/>
      <c r="DM13" s="345" t="n"/>
      <c r="DN13" s="345" t="n"/>
      <c r="DO13" s="345" t="n"/>
      <c r="DP13" s="345" t="n"/>
      <c r="DQ13" s="345" t="n"/>
      <c r="DR13" s="390" t="n"/>
      <c r="DS13" s="345" t="n"/>
      <c r="DT13" s="350" t="n"/>
      <c r="DU13" s="345" t="n"/>
      <c r="DV13" s="345" t="n"/>
      <c r="DW13" s="345" t="n"/>
    </row>
    <row r="14" ht="15" customFormat="1" customHeight="1" s="196">
      <c r="A14" s="347" t="n"/>
      <c r="B14" s="596" t="inlineStr">
        <is>
          <t>表1 我们获取了N.01.01明细账BKD中期末余额为借方的供应商，对（单独或合计）大于测试阈值的借方余额，检查了对应的支持文件，确认是否需要进行重分类。</t>
        </is>
      </c>
      <c r="G14" s="743" t="n"/>
      <c r="H14" s="743" t="n"/>
      <c r="I14" s="743" t="n"/>
      <c r="J14" s="743" t="n"/>
      <c r="K14" s="743" t="n"/>
      <c r="L14" s="743" t="n"/>
      <c r="M14" s="743" t="n"/>
      <c r="N14" s="743" t="n"/>
      <c r="O14" s="743" t="n"/>
      <c r="P14" s="10" t="n"/>
      <c r="Q14" s="17" t="n"/>
      <c r="R14" s="743" t="n"/>
      <c r="S14" s="743" t="n"/>
      <c r="T14" s="743" t="n"/>
      <c r="U14" s="743" t="n"/>
      <c r="V14" s="743" t="n"/>
      <c r="W14" s="743" t="n"/>
      <c r="X14" s="743" t="n"/>
      <c r="Y14" s="743" t="n"/>
      <c r="Z14" s="743" t="n"/>
      <c r="AA14" s="743" t="n"/>
      <c r="AB14" s="743" t="n"/>
      <c r="AC14" s="743" t="n"/>
      <c r="AD14" s="743" t="n"/>
      <c r="AE14" s="743" t="n"/>
      <c r="AF14" s="743" t="n"/>
      <c r="AG14" s="743" t="n"/>
      <c r="AH14" s="743" t="n"/>
      <c r="AI14" s="743" t="n"/>
      <c r="AJ14" s="743" t="n"/>
      <c r="AK14" s="743" t="n"/>
      <c r="AL14" s="2" t="n"/>
      <c r="AM14" s="2" t="n"/>
      <c r="AN14" s="2" t="n"/>
      <c r="AO14" s="2" t="n"/>
      <c r="AP14" s="2" t="n"/>
      <c r="AQ14" s="2" t="n"/>
      <c r="AR14" s="2" t="n"/>
      <c r="AS14" s="2" t="n"/>
      <c r="AT14" s="345" t="n"/>
      <c r="AU14" s="345" t="n"/>
      <c r="AV14" s="345" t="n"/>
      <c r="AW14" s="2" t="n"/>
      <c r="AX14" s="2" t="n"/>
      <c r="AY14" s="2" t="n"/>
      <c r="AZ14" s="2" t="n"/>
      <c r="BA14" s="2" t="n"/>
      <c r="BB14" s="2" t="n"/>
      <c r="BC14" s="2" t="n"/>
      <c r="BD14" s="2" t="n"/>
      <c r="BE14" s="2" t="n"/>
      <c r="BF14" s="2" t="n"/>
      <c r="BG14" s="2" t="n"/>
      <c r="BH14" s="2" t="n"/>
      <c r="BI14" s="2" t="n"/>
      <c r="BJ14" s="2" t="n"/>
      <c r="BK14" s="2" t="n"/>
      <c r="BL14" s="2" t="n"/>
      <c r="BM14" s="2" t="n"/>
      <c r="BN14" s="2" t="n"/>
      <c r="BO14" s="2" t="n"/>
      <c r="BP14" s="2" t="n"/>
      <c r="BQ14" s="2" t="n"/>
      <c r="BR14" s="2" t="n"/>
      <c r="BS14" s="2" t="n"/>
      <c r="BT14" s="2" t="n"/>
      <c r="BU14" s="2" t="n"/>
      <c r="BV14" s="2" t="n"/>
      <c r="BW14" s="2" t="n"/>
      <c r="BX14" s="2" t="n"/>
      <c r="BY14" s="2" t="n"/>
      <c r="BZ14" s="2" t="n"/>
      <c r="CA14" s="2" t="n"/>
      <c r="CB14" s="2" t="n"/>
      <c r="CC14" s="2" t="n"/>
      <c r="CD14" s="2" t="n"/>
      <c r="CE14" s="2" t="n"/>
      <c r="CF14" s="2" t="n"/>
      <c r="CG14" s="2" t="n"/>
      <c r="CH14" s="2" t="n"/>
      <c r="CI14" s="2" t="n"/>
      <c r="CJ14" s="2" t="n"/>
      <c r="CK14" s="2" t="n"/>
      <c r="CL14" s="2" t="n"/>
      <c r="CM14" s="2" t="n"/>
      <c r="CN14" s="2" t="n"/>
      <c r="CO14" s="2" t="n"/>
      <c r="CP14" s="2" t="n"/>
      <c r="CQ14" s="2" t="n"/>
      <c r="CR14" s="345" t="n"/>
      <c r="CS14" s="345" t="n"/>
      <c r="CT14" s="345" t="n"/>
      <c r="CU14" s="345" t="n"/>
      <c r="CV14" s="345" t="n"/>
      <c r="CW14" s="345" t="n"/>
      <c r="CX14" s="345" t="n"/>
      <c r="CY14" s="345" t="n"/>
      <c r="CZ14" s="345" t="n"/>
      <c r="DA14" s="345" t="n"/>
      <c r="DB14" s="345" t="n"/>
      <c r="DC14" s="345" t="n"/>
      <c r="DD14" s="345" t="n"/>
      <c r="DE14" s="345" t="n"/>
      <c r="DF14" s="345" t="n"/>
      <c r="DG14" s="345" t="n"/>
      <c r="DH14" s="345" t="n"/>
      <c r="DI14" s="345" t="n"/>
      <c r="DJ14" s="345" t="n"/>
      <c r="DK14" s="345" t="n"/>
      <c r="DL14" s="345" t="n"/>
      <c r="DM14" s="345" t="n"/>
      <c r="DN14" s="345" t="n"/>
      <c r="DO14" s="345" t="n"/>
      <c r="DP14" s="345" t="n"/>
      <c r="DQ14" s="345" t="n"/>
      <c r="DR14" s="390" t="n"/>
      <c r="DS14" s="345" t="n"/>
      <c r="DT14" s="350" t="n"/>
      <c r="DU14" s="345" t="n"/>
      <c r="DV14" s="345" t="n"/>
      <c r="DW14" s="345" t="n"/>
    </row>
    <row r="15" ht="31.5" customFormat="1" customHeight="1" s="196">
      <c r="A15" s="347" t="n"/>
      <c r="G15" s="743" t="n"/>
      <c r="H15" s="743" t="n"/>
      <c r="I15" s="743" t="n"/>
      <c r="J15" s="743" t="n"/>
      <c r="K15" s="743" t="n"/>
      <c r="L15" s="743" t="n"/>
      <c r="M15" s="743" t="n"/>
      <c r="N15" s="743" t="n"/>
      <c r="O15" s="743" t="n"/>
      <c r="P15" s="10" t="n"/>
      <c r="Q15" s="17" t="n"/>
      <c r="R15" s="743" t="n"/>
      <c r="S15" s="743" t="n"/>
      <c r="T15" s="743" t="n"/>
      <c r="U15" s="743" t="n"/>
      <c r="V15" s="743" t="n"/>
      <c r="W15" s="743" t="n"/>
      <c r="X15" s="743" t="n"/>
      <c r="Y15" s="743" t="n"/>
      <c r="Z15" s="743" t="n"/>
      <c r="AA15" s="743" t="n"/>
      <c r="AB15" s="743" t="n"/>
      <c r="AC15" s="743" t="n"/>
      <c r="AD15" s="743" t="n"/>
      <c r="AE15" s="743" t="n"/>
      <c r="AF15" s="743" t="n"/>
      <c r="AG15" s="743" t="n"/>
      <c r="AH15" s="743" t="n"/>
      <c r="AI15" s="743" t="n"/>
      <c r="AJ15" s="743" t="n"/>
      <c r="AK15" s="743" t="n"/>
      <c r="AL15" s="2" t="n"/>
      <c r="AM15" s="2" t="n"/>
      <c r="AN15" s="2" t="n"/>
      <c r="AO15" s="2" t="n"/>
      <c r="AP15" s="2" t="n"/>
      <c r="AQ15" s="2" t="n"/>
      <c r="AR15" s="2" t="n"/>
      <c r="AS15" s="2" t="n"/>
      <c r="AT15" s="345" t="n"/>
      <c r="AU15" s="345" t="n"/>
      <c r="AV15" s="345" t="n"/>
      <c r="AW15" s="2" t="n"/>
      <c r="AX15" s="2" t="n"/>
      <c r="AY15" s="2" t="n"/>
      <c r="AZ15" s="2" t="n"/>
      <c r="BA15" s="2" t="n"/>
      <c r="BB15" s="2" t="n"/>
      <c r="BC15" s="2" t="n"/>
      <c r="BD15" s="2" t="n"/>
      <c r="BE15" s="2" t="n"/>
      <c r="BF15" s="2" t="n"/>
      <c r="BG15" s="2" t="n"/>
      <c r="BH15" s="2" t="n"/>
      <c r="BI15" s="2" t="n"/>
      <c r="BJ15" s="2" t="n"/>
      <c r="BK15" s="2" t="n"/>
      <c r="BL15" s="2" t="n"/>
      <c r="BM15" s="2" t="n"/>
      <c r="BN15" s="2" t="n"/>
      <c r="BO15" s="2" t="n"/>
      <c r="BP15" s="2" t="n"/>
      <c r="BQ15" s="2" t="n"/>
      <c r="BR15" s="2" t="n"/>
      <c r="BS15" s="2" t="n"/>
      <c r="BT15" s="2" t="n"/>
      <c r="BU15" s="2" t="n"/>
      <c r="BV15" s="2" t="n"/>
      <c r="BW15" s="2" t="n"/>
      <c r="BX15" s="2" t="n"/>
      <c r="BY15" s="2" t="n"/>
      <c r="BZ15" s="2" t="n"/>
      <c r="CA15" s="2" t="n"/>
      <c r="CB15" s="2" t="n"/>
      <c r="CC15" s="2" t="n"/>
      <c r="CD15" s="2" t="n"/>
      <c r="CE15" s="2" t="n"/>
      <c r="CF15" s="2" t="n"/>
      <c r="CG15" s="2" t="n"/>
      <c r="CH15" s="2" t="n"/>
      <c r="CI15" s="2" t="n"/>
      <c r="CJ15" s="2" t="n"/>
      <c r="CK15" s="2" t="n"/>
      <c r="CL15" s="2" t="n"/>
      <c r="CM15" s="2" t="n"/>
      <c r="CN15" s="2" t="n"/>
      <c r="CO15" s="2" t="n"/>
      <c r="CP15" s="2" t="n"/>
      <c r="CQ15" s="2" t="n"/>
      <c r="CR15" s="345" t="n"/>
      <c r="CS15" s="345" t="n"/>
      <c r="CT15" s="345" t="n"/>
      <c r="CU15" s="345" t="n"/>
      <c r="CV15" s="345" t="n"/>
      <c r="CW15" s="345" t="n"/>
      <c r="CX15" s="345" t="n"/>
      <c r="CY15" s="345" t="n"/>
      <c r="CZ15" s="345" t="n"/>
      <c r="DA15" s="345" t="n"/>
      <c r="DB15" s="345" t="n"/>
      <c r="DC15" s="345" t="n"/>
      <c r="DD15" s="345" t="n"/>
      <c r="DE15" s="345" t="n"/>
      <c r="DF15" s="345" t="n"/>
      <c r="DG15" s="345" t="n"/>
      <c r="DH15" s="345" t="n"/>
      <c r="DI15" s="345" t="n"/>
      <c r="DJ15" s="345" t="n"/>
      <c r="DK15" s="345" t="n"/>
      <c r="DL15" s="345" t="n"/>
      <c r="DM15" s="345" t="n"/>
      <c r="DN15" s="345" t="n"/>
      <c r="DO15" s="345" t="n"/>
      <c r="DP15" s="345" t="n"/>
      <c r="DQ15" s="345" t="n"/>
      <c r="DR15" s="390" t="n"/>
      <c r="DS15" s="345" t="n"/>
      <c r="DT15" s="350" t="n"/>
      <c r="DU15" s="345" t="n"/>
      <c r="DV15" s="345" t="n"/>
      <c r="DW15" s="345" t="n"/>
    </row>
    <row r="16" ht="15" customFormat="1" customHeight="1" s="196">
      <c r="A16" s="347" t="n"/>
      <c r="B16" s="355" t="inlineStr">
        <is>
          <t>借项期末余额合计</t>
        </is>
      </c>
      <c r="C16" s="748" t="n"/>
      <c r="D16" s="356" t="n"/>
      <c r="E16" s="163" t="n"/>
      <c r="F16" s="357" t="n"/>
      <c r="G16" s="345" t="n"/>
      <c r="H16" s="345" t="n"/>
      <c r="I16" s="345" t="n"/>
      <c r="J16" s="345" t="n"/>
      <c r="K16" s="345" t="n"/>
      <c r="L16" s="345" t="n"/>
      <c r="M16" s="345" t="n"/>
      <c r="N16" s="345" t="n"/>
      <c r="O16" s="345" t="n"/>
      <c r="P16" s="10" t="n"/>
      <c r="Q16" s="17" t="n"/>
      <c r="R16" s="743" t="n"/>
      <c r="S16" s="743" t="n"/>
      <c r="T16" s="743" t="n"/>
      <c r="U16" s="743" t="n"/>
      <c r="V16" s="743" t="n"/>
      <c r="W16" s="743" t="n"/>
      <c r="X16" s="743" t="n"/>
      <c r="Y16" s="743" t="n"/>
      <c r="Z16" s="743" t="n"/>
      <c r="AA16" s="743" t="n"/>
      <c r="AB16" s="743" t="n"/>
      <c r="AC16" s="743" t="n"/>
      <c r="AD16" s="743" t="n"/>
      <c r="AE16" s="743" t="n"/>
      <c r="AF16" s="743" t="n"/>
      <c r="AG16" s="743" t="n"/>
      <c r="AH16" s="743" t="n"/>
      <c r="AI16" s="743" t="n"/>
      <c r="AJ16" s="743" t="n"/>
      <c r="AK16" s="743" t="n"/>
      <c r="AL16" s="2" t="n"/>
      <c r="AM16" s="2" t="n"/>
      <c r="AN16" s="2" t="n"/>
      <c r="AO16" s="2" t="n"/>
      <c r="AP16" s="2" t="n"/>
      <c r="AQ16" s="2" t="n"/>
      <c r="AR16" s="2" t="n"/>
      <c r="AS16" s="2" t="n"/>
      <c r="AT16" s="345" t="n"/>
      <c r="AU16" s="345" t="n"/>
      <c r="AV16" s="345" t="n"/>
      <c r="AW16" s="2" t="n"/>
      <c r="AX16" s="2" t="n"/>
      <c r="AY16" s="2" t="n"/>
      <c r="AZ16" s="2" t="n"/>
      <c r="BA16" s="2" t="n"/>
      <c r="BB16" s="2" t="n"/>
      <c r="BC16" s="2" t="n"/>
      <c r="BD16" s="2" t="n"/>
      <c r="BE16" s="2" t="n"/>
      <c r="BF16" s="2" t="n"/>
      <c r="BG16" s="2" t="n"/>
      <c r="BH16" s="2" t="n"/>
      <c r="BI16" s="2" t="n"/>
      <c r="BJ16" s="2" t="n"/>
      <c r="BK16" s="2" t="n"/>
      <c r="BL16" s="2" t="n"/>
      <c r="BM16" s="2" t="n"/>
      <c r="BN16" s="2" t="n"/>
      <c r="BO16" s="2" t="n"/>
      <c r="BP16" s="2" t="n"/>
      <c r="BQ16" s="2" t="n"/>
      <c r="BR16" s="2" t="n"/>
      <c r="BS16" s="2" t="n"/>
      <c r="BT16" s="2" t="n"/>
      <c r="BU16" s="2" t="n"/>
      <c r="BV16" s="2" t="n"/>
      <c r="BW16" s="2" t="n"/>
      <c r="BX16" s="2" t="n"/>
      <c r="BY16" s="2" t="n"/>
      <c r="BZ16" s="2" t="n"/>
      <c r="CA16" s="2" t="n"/>
      <c r="CB16" s="2" t="n"/>
      <c r="CC16" s="2" t="n"/>
      <c r="CD16" s="2" t="n"/>
      <c r="CE16" s="2" t="n"/>
      <c r="CF16" s="2" t="n"/>
      <c r="CG16" s="2" t="n"/>
      <c r="CH16" s="2" t="n"/>
      <c r="CI16" s="2" t="n"/>
      <c r="CJ16" s="2" t="n"/>
      <c r="CK16" s="2" t="n"/>
      <c r="CL16" s="2" t="n"/>
      <c r="CM16" s="2" t="n"/>
      <c r="CN16" s="2" t="n"/>
      <c r="CO16" s="2" t="n"/>
      <c r="CP16" s="2" t="n"/>
      <c r="CQ16" s="2" t="n"/>
      <c r="CR16" s="345" t="n"/>
      <c r="CS16" s="345" t="n"/>
      <c r="CT16" s="345" t="n"/>
      <c r="CU16" s="345" t="n"/>
      <c r="CV16" s="345" t="n"/>
      <c r="CW16" s="345" t="n"/>
      <c r="CX16" s="345" t="n"/>
      <c r="CY16" s="345" t="n"/>
      <c r="CZ16" s="345" t="n"/>
      <c r="DA16" s="345" t="n"/>
      <c r="DB16" s="345" t="n"/>
      <c r="DC16" s="345" t="n"/>
      <c r="DD16" s="345" t="n"/>
      <c r="DE16" s="345" t="n"/>
      <c r="DF16" s="345" t="n"/>
      <c r="DG16" s="345" t="n"/>
      <c r="DH16" s="345" t="n"/>
      <c r="DI16" s="345" t="n"/>
      <c r="DJ16" s="345" t="n"/>
      <c r="DK16" s="345" t="n"/>
      <c r="DL16" s="345" t="n"/>
      <c r="DM16" s="345" t="n"/>
      <c r="DN16" s="345" t="n"/>
      <c r="DO16" s="345" t="n"/>
      <c r="DP16" s="345" t="n"/>
      <c r="DQ16" s="345" t="n"/>
      <c r="DR16" s="390" t="n"/>
      <c r="DS16" s="345" t="n"/>
      <c r="DT16" s="350" t="n"/>
      <c r="DU16" s="345" t="n"/>
      <c r="DV16" s="345" t="n"/>
      <c r="DW16" s="345" t="n"/>
    </row>
    <row r="17" ht="15" customFormat="1" customHeight="1" s="196">
      <c r="A17" s="347" t="n"/>
      <c r="B17" s="358" t="inlineStr">
        <is>
          <t>是否执行借方余额测试</t>
        </is>
      </c>
      <c r="C17" s="359">
        <f>IF(C16&gt;'N.00 Lead sheet'!$E$15,"是","否")</f>
        <v/>
      </c>
      <c r="D17" s="164" t="n"/>
      <c r="E17" s="2" t="n"/>
      <c r="F17" s="360" t="n"/>
      <c r="G17" s="345" t="n"/>
      <c r="H17" s="345" t="n"/>
      <c r="I17" s="345" t="n"/>
      <c r="J17" s="345" t="n"/>
      <c r="K17" s="345" t="n"/>
      <c r="L17" s="345" t="n"/>
      <c r="M17" s="345" t="n"/>
      <c r="N17" s="345" t="n"/>
      <c r="O17" s="345" t="n"/>
      <c r="P17" s="10" t="n"/>
      <c r="Q17" s="17" t="n"/>
      <c r="R17" s="743" t="n"/>
      <c r="S17" s="743" t="n"/>
      <c r="T17" s="743" t="n"/>
      <c r="U17" s="743" t="n"/>
      <c r="V17" s="743" t="n"/>
      <c r="W17" s="743" t="n"/>
      <c r="X17" s="743" t="n"/>
      <c r="Y17" s="743" t="n"/>
      <c r="Z17" s="743" t="n"/>
      <c r="AA17" s="743" t="n"/>
      <c r="AB17" s="743" t="n"/>
      <c r="AC17" s="743" t="n"/>
      <c r="AD17" s="743" t="n"/>
      <c r="AE17" s="743" t="n"/>
      <c r="AF17" s="743" t="n"/>
      <c r="AG17" s="743" t="n"/>
      <c r="AH17" s="743" t="n"/>
      <c r="AI17" s="743" t="n"/>
      <c r="AJ17" s="743" t="n"/>
      <c r="AK17" s="743" t="n"/>
      <c r="AL17" s="2" t="n"/>
      <c r="AM17" s="2" t="n"/>
      <c r="AN17" s="2" t="n"/>
      <c r="AO17" s="2" t="n"/>
      <c r="AP17" s="2" t="n"/>
      <c r="AQ17" s="2" t="n"/>
      <c r="AR17" s="2" t="n"/>
      <c r="AS17" s="2" t="n"/>
      <c r="AT17" s="345" t="n"/>
      <c r="AU17" s="345" t="n"/>
      <c r="AV17" s="345" t="n"/>
      <c r="AW17" s="2" t="n"/>
      <c r="AX17" s="2" t="n"/>
      <c r="AY17" s="2" t="n"/>
      <c r="AZ17" s="2" t="n"/>
      <c r="BA17" s="2" t="n"/>
      <c r="BB17" s="2" t="n"/>
      <c r="BC17" s="2" t="n"/>
      <c r="BD17" s="2" t="n"/>
      <c r="BE17" s="2" t="n"/>
      <c r="BF17" s="2" t="n"/>
      <c r="BG17" s="2" t="n"/>
      <c r="BH17" s="2" t="n"/>
      <c r="BI17" s="2" t="n"/>
      <c r="BJ17" s="2" t="n"/>
      <c r="BK17" s="2" t="n"/>
      <c r="BL17" s="2" t="n"/>
      <c r="BM17" s="2" t="n"/>
      <c r="BN17" s="2" t="n"/>
      <c r="BO17" s="2" t="n"/>
      <c r="BP17" s="2" t="n"/>
      <c r="BQ17" s="2" t="n"/>
      <c r="BR17" s="2" t="n"/>
      <c r="BS17" s="2" t="n"/>
      <c r="BT17" s="2" t="n"/>
      <c r="BU17" s="2" t="n"/>
      <c r="BV17" s="2" t="n"/>
      <c r="BW17" s="2" t="n"/>
      <c r="BX17" s="2" t="n"/>
      <c r="BY17" s="2" t="n"/>
      <c r="BZ17" s="2" t="n"/>
      <c r="CA17" s="2" t="n"/>
      <c r="CB17" s="2" t="n"/>
      <c r="CC17" s="2" t="n"/>
      <c r="CD17" s="2" t="n"/>
      <c r="CE17" s="2" t="n"/>
      <c r="CF17" s="2" t="n"/>
      <c r="CG17" s="2" t="n"/>
      <c r="CH17" s="2" t="n"/>
      <c r="CI17" s="2" t="n"/>
      <c r="CJ17" s="2" t="n"/>
      <c r="CK17" s="2" t="n"/>
      <c r="CL17" s="2" t="n"/>
      <c r="CM17" s="2" t="n"/>
      <c r="CN17" s="2" t="n"/>
      <c r="CO17" s="2" t="n"/>
      <c r="CP17" s="2" t="n"/>
      <c r="CQ17" s="2" t="n"/>
      <c r="CR17" s="345" t="n"/>
      <c r="CS17" s="345" t="n"/>
      <c r="CT17" s="345" t="n"/>
      <c r="CU17" s="345" t="n"/>
      <c r="CV17" s="345" t="n"/>
      <c r="CW17" s="345" t="n"/>
      <c r="CX17" s="345" t="n"/>
      <c r="CY17" s="345" t="n"/>
      <c r="CZ17" s="345" t="n"/>
      <c r="DA17" s="345" t="n"/>
      <c r="DB17" s="345" t="n"/>
      <c r="DC17" s="345" t="n"/>
      <c r="DD17" s="345" t="n"/>
      <c r="DE17" s="345" t="n"/>
      <c r="DF17" s="345" t="n"/>
      <c r="DG17" s="345" t="n"/>
      <c r="DH17" s="345" t="n"/>
      <c r="DI17" s="345" t="n"/>
      <c r="DJ17" s="345" t="n"/>
      <c r="DK17" s="345" t="n"/>
      <c r="DL17" s="345" t="n"/>
      <c r="DM17" s="345" t="n"/>
      <c r="DN17" s="345" t="n"/>
      <c r="DO17" s="345" t="n"/>
      <c r="DP17" s="345" t="n"/>
      <c r="DQ17" s="345" t="n"/>
      <c r="DR17" s="390" t="n"/>
      <c r="DS17" s="345" t="n"/>
      <c r="DT17" s="350" t="n"/>
    </row>
    <row r="18" ht="15" customFormat="1" customHeight="1" s="196">
      <c r="A18" s="347" t="n"/>
      <c r="B18" s="361" t="inlineStr">
        <is>
          <t>是否调整</t>
        </is>
      </c>
      <c r="C18" s="362">
        <f>IF(C16&gt;'N.00 Lead sheet'!$C$6,"是","否")</f>
        <v/>
      </c>
      <c r="D18" s="363" t="n"/>
      <c r="E18" s="165" t="n"/>
      <c r="F18" s="166" t="n"/>
      <c r="G18" s="345" t="n"/>
      <c r="H18" s="345" t="n"/>
      <c r="I18" s="345" t="n"/>
      <c r="J18" s="345" t="n"/>
      <c r="K18" s="345" t="n"/>
      <c r="L18" s="345" t="n"/>
      <c r="M18" s="345" t="n"/>
      <c r="N18" s="345" t="n"/>
      <c r="O18" s="345" t="n"/>
      <c r="P18" s="10" t="n"/>
      <c r="Q18" s="17" t="n"/>
      <c r="R18" s="743" t="n"/>
      <c r="S18" s="743" t="n"/>
      <c r="T18" s="743" t="n"/>
      <c r="U18" s="743" t="n"/>
      <c r="V18" s="743" t="n"/>
      <c r="W18" s="743" t="n"/>
      <c r="X18" s="743" t="n"/>
      <c r="Y18" s="743" t="n"/>
      <c r="Z18" s="743" t="n"/>
      <c r="AA18" s="743" t="n"/>
      <c r="AB18" s="743" t="n"/>
      <c r="AC18" s="743" t="n"/>
      <c r="AD18" s="743" t="n"/>
      <c r="AE18" s="743" t="n"/>
      <c r="AF18" s="743" t="n"/>
      <c r="AG18" s="743" t="n"/>
      <c r="AH18" s="743" t="n"/>
      <c r="AI18" s="743" t="n"/>
      <c r="AJ18" s="743" t="n"/>
      <c r="AK18" s="743" t="n"/>
      <c r="AL18" s="2" t="n"/>
      <c r="AM18" s="2" t="n"/>
      <c r="AN18" s="2" t="n"/>
      <c r="AO18" s="2" t="n"/>
      <c r="AP18" s="2" t="n"/>
      <c r="AQ18" s="2" t="n"/>
      <c r="AR18" s="2" t="n"/>
      <c r="AS18" s="2" t="n"/>
      <c r="AT18" s="345" t="n"/>
      <c r="AU18" s="345" t="n"/>
      <c r="AV18" s="345" t="n"/>
      <c r="AW18" s="2" t="n"/>
      <c r="AX18" s="2" t="n"/>
      <c r="AY18" s="2" t="n"/>
      <c r="AZ18" s="2" t="n"/>
      <c r="BA18" s="2" t="n"/>
      <c r="BB18" s="2" t="n"/>
      <c r="BC18" s="2" t="n"/>
      <c r="BD18" s="2" t="n"/>
      <c r="BE18" s="2" t="n"/>
      <c r="BF18" s="2" t="n"/>
      <c r="BG18" s="2" t="n"/>
      <c r="BH18" s="2" t="n"/>
      <c r="BI18" s="2" t="n"/>
      <c r="BJ18" s="2" t="n"/>
      <c r="BK18" s="2" t="n"/>
      <c r="BL18" s="2" t="n"/>
      <c r="BM18" s="2" t="n"/>
      <c r="BN18" s="2" t="n"/>
      <c r="BO18" s="2" t="n"/>
      <c r="BP18" s="2" t="n"/>
      <c r="BQ18" s="2" t="n"/>
      <c r="BR18" s="2" t="n"/>
      <c r="BS18" s="2" t="n"/>
      <c r="BT18" s="2" t="n"/>
      <c r="BU18" s="2" t="n"/>
      <c r="BV18" s="2" t="n"/>
      <c r="BW18" s="2" t="n"/>
      <c r="BX18" s="2" t="n"/>
      <c r="BY18" s="2" t="n"/>
      <c r="BZ18" s="2" t="n"/>
      <c r="CA18" s="2" t="n"/>
      <c r="CB18" s="2" t="n"/>
      <c r="CC18" s="2" t="n"/>
      <c r="CD18" s="2" t="n"/>
      <c r="CE18" s="2" t="n"/>
      <c r="CF18" s="2" t="n"/>
      <c r="CG18" s="2" t="n"/>
      <c r="CH18" s="2" t="n"/>
      <c r="CI18" s="2" t="n"/>
      <c r="CJ18" s="2" t="n"/>
      <c r="CK18" s="2" t="n"/>
      <c r="CL18" s="2" t="n"/>
      <c r="CM18" s="2" t="n"/>
      <c r="CN18" s="2" t="n"/>
      <c r="CO18" s="2" t="n"/>
      <c r="CP18" s="2" t="n"/>
      <c r="CQ18" s="2" t="n"/>
      <c r="CR18" s="345" t="n"/>
      <c r="CS18" s="345" t="n"/>
      <c r="CT18" s="345" t="n"/>
      <c r="CU18" s="345" t="n"/>
      <c r="CV18" s="345" t="n"/>
      <c r="CW18" s="345" t="n"/>
      <c r="CX18" s="345" t="n"/>
      <c r="CY18" s="345" t="n"/>
      <c r="CZ18" s="345" t="n"/>
      <c r="DA18" s="345" t="n"/>
      <c r="DB18" s="345" t="n"/>
      <c r="DC18" s="345" t="n"/>
      <c r="DD18" s="345" t="n"/>
      <c r="DE18" s="345" t="n"/>
      <c r="DF18" s="345" t="n"/>
      <c r="DG18" s="345" t="n"/>
      <c r="DH18" s="345" t="n"/>
      <c r="DI18" s="345" t="n"/>
      <c r="DJ18" s="345" t="n"/>
      <c r="DK18" s="345" t="n"/>
      <c r="DL18" s="345" t="n"/>
      <c r="DM18" s="345" t="n"/>
      <c r="DN18" s="345" t="n"/>
      <c r="DO18" s="345" t="n"/>
      <c r="DP18" s="345" t="n"/>
      <c r="DQ18" s="345" t="n"/>
      <c r="DR18" s="390" t="n"/>
      <c r="DS18" s="345" t="n"/>
      <c r="DT18" s="350" t="n"/>
    </row>
    <row r="19" ht="15" customFormat="1" customHeight="1" s="196">
      <c r="A19" s="347" t="n"/>
      <c r="B19" s="2" t="n"/>
      <c r="C19" s="2" t="n"/>
      <c r="D19" s="2" t="n"/>
      <c r="E19" s="2" t="n"/>
      <c r="F19" s="2" t="n"/>
      <c r="G19" s="345" t="n"/>
      <c r="H19" s="345" t="n"/>
      <c r="I19" s="345" t="n"/>
      <c r="J19" s="345" t="n"/>
      <c r="K19" s="345" t="n"/>
      <c r="L19" s="345" t="n"/>
      <c r="M19" s="345" t="n"/>
      <c r="N19" s="345" t="n"/>
      <c r="O19" s="345" t="n"/>
      <c r="P19" s="10" t="n"/>
      <c r="Q19" s="17" t="n"/>
      <c r="R19" s="743" t="n"/>
      <c r="S19" s="743" t="n"/>
      <c r="T19" s="743" t="n"/>
      <c r="U19" s="743" t="n"/>
      <c r="V19" s="743" t="n"/>
      <c r="W19" s="743" t="n"/>
      <c r="X19" s="743" t="n"/>
      <c r="Y19" s="743" t="n"/>
      <c r="Z19" s="743" t="n"/>
      <c r="AA19" s="743" t="n"/>
      <c r="AB19" s="743" t="n"/>
      <c r="AC19" s="743" t="n"/>
      <c r="AD19" s="743" t="n"/>
      <c r="AE19" s="743" t="n"/>
      <c r="AF19" s="743" t="n"/>
      <c r="AG19" s="2" t="n"/>
      <c r="AH19" s="2" t="n"/>
      <c r="AI19" s="2" t="n"/>
      <c r="AJ19" s="2" t="n"/>
      <c r="AK19" s="2" t="n"/>
      <c r="AL19" s="2" t="n"/>
      <c r="AM19" s="2" t="n"/>
      <c r="AN19" s="2" t="n"/>
      <c r="AO19" s="345" t="n"/>
      <c r="AP19" s="345" t="n"/>
      <c r="AQ19" s="345" t="n"/>
      <c r="AR19" s="2" t="n"/>
      <c r="AS19" s="2" t="n"/>
      <c r="AT19" s="2" t="n"/>
      <c r="AU19" s="2" t="n"/>
      <c r="AV19" s="2" t="n"/>
      <c r="AW19" s="2" t="n"/>
      <c r="AX19" s="2" t="n"/>
      <c r="AY19" s="2" t="n"/>
      <c r="AZ19" s="2" t="n"/>
      <c r="BA19" s="2" t="n"/>
      <c r="BB19" s="2" t="n"/>
      <c r="BC19" s="2" t="n"/>
      <c r="BD19" s="2" t="n"/>
      <c r="BE19" s="2" t="n"/>
      <c r="BF19" s="2" t="n"/>
      <c r="BG19" s="2" t="n"/>
      <c r="BH19" s="2" t="n"/>
      <c r="BI19" s="2" t="n"/>
      <c r="BJ19" s="2" t="n"/>
      <c r="BK19" s="2" t="n"/>
      <c r="BL19" s="2" t="n"/>
      <c r="BM19" s="2" t="n"/>
      <c r="BN19" s="2" t="n"/>
      <c r="BO19" s="2" t="n"/>
      <c r="BP19" s="2" t="n"/>
      <c r="BQ19" s="2" t="n"/>
      <c r="BR19" s="2" t="n"/>
      <c r="BS19" s="2" t="n"/>
      <c r="BT19" s="2" t="n"/>
      <c r="BU19" s="2" t="n"/>
      <c r="BV19" s="2" t="n"/>
      <c r="BW19" s="2" t="n"/>
      <c r="BX19" s="2" t="n"/>
      <c r="BY19" s="2" t="n"/>
      <c r="BZ19" s="2" t="n"/>
      <c r="CA19" s="2" t="n"/>
      <c r="CB19" s="2" t="n"/>
      <c r="CC19" s="2" t="n"/>
      <c r="CD19" s="2" t="n"/>
      <c r="CE19" s="2" t="n"/>
      <c r="CF19" s="2" t="n"/>
      <c r="CG19" s="2" t="n"/>
      <c r="CH19" s="2" t="n"/>
      <c r="CI19" s="2" t="n"/>
      <c r="CJ19" s="2" t="n"/>
      <c r="CK19" s="2" t="n"/>
      <c r="CL19" s="2" t="n"/>
      <c r="CM19" s="345" t="n"/>
      <c r="CN19" s="345" t="n"/>
      <c r="CO19" s="345" t="n"/>
      <c r="CP19" s="345" t="n"/>
      <c r="CQ19" s="345" t="n"/>
      <c r="CR19" s="345" t="n"/>
      <c r="CS19" s="345" t="n"/>
      <c r="CT19" s="345" t="n"/>
      <c r="CU19" s="345" t="n"/>
      <c r="CV19" s="345" t="n"/>
      <c r="CW19" s="345" t="n"/>
      <c r="CX19" s="345" t="n"/>
      <c r="CY19" s="345" t="n"/>
      <c r="CZ19" s="345" t="n"/>
      <c r="DA19" s="345" t="n"/>
      <c r="DB19" s="345" t="n"/>
      <c r="DC19" s="345" t="n"/>
      <c r="DD19" s="345" t="n"/>
      <c r="DE19" s="345" t="n"/>
      <c r="DF19" s="345" t="n"/>
      <c r="DG19" s="345" t="n"/>
      <c r="DH19" s="345" t="n"/>
      <c r="DI19" s="345" t="n"/>
      <c r="DJ19" s="345" t="n"/>
      <c r="DK19" s="345" t="n"/>
      <c r="DL19" s="345" t="n"/>
      <c r="DM19" s="390" t="n"/>
      <c r="DN19" s="345" t="n"/>
      <c r="DO19" s="350" t="n"/>
      <c r="DP19" s="345" t="n"/>
      <c r="DQ19" s="345" t="n"/>
      <c r="DR19" s="345" t="n"/>
      <c r="DS19" s="345" t="n"/>
      <c r="DT19" s="345" t="n"/>
    </row>
    <row r="20" ht="15" customFormat="1" customHeight="1" s="196">
      <c r="A20" s="347" t="n"/>
      <c r="B20" s="352" t="inlineStr">
        <is>
          <t>分析所选项目，以进行了解和正确分类。</t>
        </is>
      </c>
      <c r="C20" s="364" t="n"/>
      <c r="D20" s="364" t="n"/>
      <c r="E20" s="364" t="n"/>
      <c r="F20" s="364" t="n"/>
      <c r="G20" s="365" t="n"/>
      <c r="H20" s="365" t="n"/>
      <c r="I20" s="365" t="n"/>
      <c r="J20" s="365" t="n"/>
      <c r="K20" s="365" t="n"/>
      <c r="L20" s="365" t="n"/>
      <c r="M20" s="365" t="n"/>
      <c r="N20" s="365" t="n"/>
      <c r="O20" s="365" t="n"/>
      <c r="P20" s="10" t="n"/>
      <c r="Q20" s="17" t="n"/>
      <c r="R20" s="743" t="n"/>
      <c r="S20" s="743" t="n"/>
      <c r="T20" s="743" t="n"/>
      <c r="U20" s="743" t="n"/>
      <c r="V20" s="743" t="n"/>
      <c r="W20" s="743" t="n"/>
      <c r="X20" s="743" t="n"/>
      <c r="Y20" s="743" t="n"/>
      <c r="Z20" s="743" t="n"/>
      <c r="AA20" s="743" t="n"/>
      <c r="AB20" s="743" t="n"/>
      <c r="AC20" s="743" t="n"/>
      <c r="AD20" s="743" t="n"/>
      <c r="AE20" s="743" t="n"/>
      <c r="AF20" s="743" t="n"/>
      <c r="AG20" s="743" t="n"/>
      <c r="AH20" s="2" t="n"/>
      <c r="AI20" s="2" t="n"/>
      <c r="AJ20" s="2" t="n"/>
      <c r="AK20" s="2" t="n"/>
      <c r="AL20" s="2" t="n"/>
      <c r="AM20" s="2" t="n"/>
      <c r="AN20" s="2" t="n"/>
      <c r="AO20" s="2" t="n"/>
      <c r="AP20" s="345" t="n"/>
      <c r="AQ20" s="345" t="n"/>
      <c r="AR20" s="345" t="n"/>
      <c r="AS20" s="2" t="n"/>
      <c r="AT20" s="2" t="n"/>
      <c r="AU20" s="2" t="n"/>
      <c r="AV20" s="2" t="n"/>
      <c r="AW20" s="2" t="n"/>
      <c r="AX20" s="2" t="n"/>
      <c r="AY20" s="2" t="n"/>
      <c r="AZ20" s="2" t="n"/>
      <c r="BA20" s="2" t="n"/>
      <c r="BB20" s="2" t="n"/>
      <c r="BC20" s="2" t="n"/>
      <c r="BD20" s="2" t="n"/>
      <c r="BE20" s="2" t="n"/>
      <c r="BF20" s="2" t="n"/>
      <c r="BG20" s="2" t="n"/>
      <c r="BH20" s="2" t="n"/>
      <c r="BI20" s="2" t="n"/>
      <c r="BJ20" s="2" t="n"/>
      <c r="BK20" s="2" t="n"/>
      <c r="BL20" s="2" t="n"/>
      <c r="BM20" s="2" t="n"/>
      <c r="BN20" s="2" t="n"/>
      <c r="BO20" s="2" t="n"/>
      <c r="BP20" s="2" t="n"/>
      <c r="BQ20" s="2" t="n"/>
      <c r="BR20" s="2" t="n"/>
      <c r="BS20" s="2" t="n"/>
      <c r="BT20" s="2" t="n"/>
      <c r="BU20" s="2" t="n"/>
      <c r="BV20" s="2" t="n"/>
      <c r="BW20" s="2" t="n"/>
      <c r="BX20" s="2" t="n"/>
      <c r="BY20" s="2" t="n"/>
      <c r="BZ20" s="2" t="n"/>
      <c r="CA20" s="2" t="n"/>
      <c r="CB20" s="2" t="n"/>
      <c r="CC20" s="2" t="n"/>
      <c r="CD20" s="2" t="n"/>
      <c r="CE20" s="2" t="n"/>
      <c r="CF20" s="2" t="n"/>
      <c r="CG20" s="2" t="n"/>
      <c r="CH20" s="2" t="n"/>
      <c r="CI20" s="2" t="n"/>
      <c r="CJ20" s="2" t="n"/>
      <c r="CK20" s="2" t="n"/>
      <c r="CL20" s="2" t="n"/>
      <c r="CM20" s="2" t="n"/>
      <c r="CN20" s="345" t="n"/>
      <c r="CO20" s="345" t="n"/>
      <c r="CP20" s="345" t="n"/>
      <c r="CQ20" s="345" t="n"/>
      <c r="CR20" s="345" t="n"/>
      <c r="CS20" s="345" t="n"/>
      <c r="CT20" s="345" t="n"/>
      <c r="CU20" s="345" t="n"/>
      <c r="CV20" s="345" t="n"/>
      <c r="CW20" s="345" t="n"/>
      <c r="CX20" s="345" t="n"/>
      <c r="CY20" s="345" t="n"/>
      <c r="CZ20" s="345" t="n"/>
      <c r="DA20" s="345" t="n"/>
      <c r="DB20" s="345" t="n"/>
      <c r="DC20" s="345" t="n"/>
      <c r="DD20" s="345" t="n"/>
      <c r="DE20" s="345" t="n"/>
      <c r="DF20" s="345" t="n"/>
      <c r="DG20" s="345" t="n"/>
      <c r="DH20" s="345" t="n"/>
      <c r="DI20" s="345" t="n"/>
      <c r="DJ20" s="345" t="n"/>
      <c r="DK20" s="345" t="n"/>
      <c r="DL20" s="345" t="n"/>
      <c r="DM20" s="345" t="n"/>
      <c r="DN20" s="390" t="n"/>
      <c r="DO20" s="345" t="n"/>
      <c r="DP20" s="350" t="n"/>
      <c r="DQ20" s="345" t="n"/>
      <c r="DR20" s="345" t="n"/>
      <c r="DS20" s="345" t="n"/>
      <c r="DT20" s="345" t="n"/>
    </row>
    <row r="21" ht="15" customFormat="1" customHeight="1" s="196">
      <c r="A21" s="347" t="n"/>
      <c r="B21" s="342" t="n"/>
      <c r="C21" s="2" t="n"/>
      <c r="D21" s="2" t="n"/>
      <c r="E21" s="2" t="n"/>
      <c r="F21" s="2" t="n"/>
      <c r="G21" s="345" t="n"/>
      <c r="H21" s="345" t="n"/>
      <c r="I21" s="345" t="n"/>
      <c r="J21" s="345" t="n"/>
      <c r="K21" s="345" t="n"/>
      <c r="L21" s="345" t="n"/>
      <c r="M21" s="345" t="n"/>
      <c r="N21" s="345" t="n"/>
      <c r="O21" s="345" t="n"/>
      <c r="P21" s="10" t="n"/>
      <c r="Q21" s="17" t="n"/>
      <c r="R21" s="743" t="n"/>
      <c r="S21" s="743" t="n"/>
      <c r="T21" s="743" t="n"/>
      <c r="U21" s="743" t="n"/>
      <c r="V21" s="743" t="n"/>
      <c r="W21" s="743" t="n"/>
      <c r="X21" s="743" t="n"/>
      <c r="Y21" s="743" t="n"/>
      <c r="Z21" s="743" t="n"/>
      <c r="AA21" s="743" t="n"/>
      <c r="AB21" s="743" t="n"/>
      <c r="AC21" s="743" t="n"/>
      <c r="AD21" s="743" t="n"/>
      <c r="AE21" s="743" t="n"/>
      <c r="AF21" s="743" t="n"/>
      <c r="AG21" s="743" t="n"/>
      <c r="AH21" s="2" t="n"/>
      <c r="AI21" s="2" t="n"/>
      <c r="AJ21" s="2" t="n"/>
      <c r="AK21" s="2" t="n"/>
      <c r="AL21" s="2" t="n"/>
      <c r="AM21" s="2" t="n"/>
      <c r="AN21" s="2" t="n"/>
      <c r="AO21" s="2" t="n"/>
      <c r="AP21" s="345" t="n"/>
      <c r="AQ21" s="345" t="n"/>
      <c r="AR21" s="345" t="n"/>
      <c r="AS21" s="2" t="n"/>
      <c r="AT21" s="2" t="n"/>
      <c r="AU21" s="2" t="n"/>
      <c r="AV21" s="2" t="n"/>
      <c r="AW21" s="2" t="n"/>
      <c r="AX21" s="2" t="n"/>
      <c r="AY21" s="2" t="n"/>
      <c r="AZ21" s="2" t="n"/>
      <c r="BA21" s="2" t="n"/>
      <c r="BB21" s="2" t="n"/>
      <c r="BC21" s="2" t="n"/>
      <c r="BD21" s="2" t="n"/>
      <c r="BE21" s="2" t="n"/>
      <c r="BF21" s="2" t="n"/>
      <c r="BG21" s="2" t="n"/>
      <c r="BH21" s="2" t="n"/>
      <c r="BI21" s="2" t="n"/>
      <c r="BJ21" s="2" t="n"/>
      <c r="BK21" s="2" t="n"/>
      <c r="BL21" s="2" t="n"/>
      <c r="BM21" s="2" t="n"/>
      <c r="BN21" s="2" t="n"/>
      <c r="BO21" s="2" t="n"/>
      <c r="BP21" s="2" t="n"/>
      <c r="BQ21" s="2" t="n"/>
      <c r="BR21" s="2" t="n"/>
      <c r="BS21" s="2" t="n"/>
      <c r="BT21" s="2" t="n"/>
      <c r="BU21" s="2" t="n"/>
      <c r="BV21" s="2" t="n"/>
      <c r="BW21" s="2" t="n"/>
      <c r="BX21" s="2" t="n"/>
      <c r="BY21" s="2" t="n"/>
      <c r="BZ21" s="2" t="n"/>
      <c r="CA21" s="2" t="n"/>
      <c r="CB21" s="2" t="n"/>
      <c r="CC21" s="2" t="n"/>
      <c r="CD21" s="2" t="n"/>
      <c r="CE21" s="2" t="n"/>
      <c r="CF21" s="2" t="n"/>
      <c r="CG21" s="2" t="n"/>
      <c r="CH21" s="2" t="n"/>
      <c r="CI21" s="2" t="n"/>
      <c r="CJ21" s="2" t="n"/>
      <c r="CK21" s="2" t="n"/>
      <c r="CL21" s="2" t="n"/>
      <c r="CM21" s="2" t="n"/>
      <c r="CN21" s="345" t="n"/>
      <c r="CO21" s="345" t="n"/>
      <c r="CP21" s="345" t="n"/>
      <c r="CQ21" s="345" t="n"/>
      <c r="CR21" s="345" t="n"/>
      <c r="CS21" s="345" t="n"/>
      <c r="CT21" s="345" t="n"/>
      <c r="CU21" s="345" t="n"/>
      <c r="CV21" s="345" t="n"/>
      <c r="CW21" s="345" t="n"/>
      <c r="CX21" s="345" t="n"/>
      <c r="CY21" s="345" t="n"/>
      <c r="CZ21" s="345" t="n"/>
      <c r="DA21" s="345" t="n"/>
      <c r="DB21" s="345" t="n"/>
      <c r="DC21" s="345" t="n"/>
      <c r="DD21" s="345" t="n"/>
      <c r="DE21" s="345" t="n"/>
      <c r="DF21" s="345" t="n"/>
      <c r="DG21" s="345" t="n"/>
      <c r="DH21" s="345" t="n"/>
      <c r="DI21" s="345" t="n"/>
      <c r="DJ21" s="345" t="n"/>
      <c r="DK21" s="345" t="n"/>
      <c r="DL21" s="345" t="n"/>
      <c r="DM21" s="345" t="n"/>
      <c r="DN21" s="390" t="n"/>
      <c r="DO21" s="345" t="n"/>
      <c r="DP21" s="350" t="n"/>
      <c r="DQ21" s="345" t="n"/>
      <c r="DR21" s="345" t="n"/>
      <c r="DS21" s="345" t="n"/>
      <c r="DT21" s="345" t="n"/>
    </row>
    <row r="22" ht="18" customFormat="1" customHeight="1" s="196">
      <c r="A22" s="347" t="n"/>
      <c r="B22" s="2" t="n"/>
      <c r="C22" s="2" t="n"/>
      <c r="D22" s="2" t="n"/>
      <c r="E22" s="2" t="n"/>
      <c r="F22" s="2" t="n"/>
      <c r="G22" s="345" t="n"/>
      <c r="H22" s="345" t="n"/>
      <c r="I22" s="345" t="n"/>
      <c r="J22" s="345" t="n"/>
      <c r="K22" s="743" t="n"/>
      <c r="L22" s="577" t="inlineStr">
        <is>
          <t>EY Works</t>
        </is>
      </c>
      <c r="M22" s="635" t="n"/>
      <c r="N22" s="636" t="n"/>
      <c r="O22" s="743" t="n"/>
      <c r="P22" s="10" t="n"/>
      <c r="Q22" s="17" t="n"/>
      <c r="R22" s="743" t="n"/>
      <c r="S22" s="743" t="n"/>
      <c r="T22" s="743" t="n"/>
      <c r="U22" s="743" t="n"/>
      <c r="V22" s="743" t="n"/>
      <c r="W22" s="743" t="n"/>
      <c r="X22" s="743" t="n"/>
      <c r="Y22" s="743" t="n"/>
      <c r="Z22" s="743" t="n"/>
      <c r="AA22" s="743" t="n"/>
      <c r="AB22" s="743" t="n"/>
      <c r="AC22" s="743" t="n"/>
      <c r="AD22" s="743" t="n"/>
      <c r="AE22" s="743" t="n"/>
      <c r="AF22" s="743" t="n"/>
      <c r="AG22" s="743" t="n"/>
      <c r="AH22" s="2" t="n"/>
      <c r="AI22" s="2" t="n"/>
      <c r="AJ22" s="2" t="n"/>
      <c r="AK22" s="2" t="n"/>
      <c r="AL22" s="2" t="n"/>
      <c r="AM22" s="2" t="n"/>
      <c r="AN22" s="2" t="n"/>
      <c r="AO22" s="2" t="n"/>
      <c r="AP22" s="345" t="n"/>
      <c r="AQ22" s="345" t="n"/>
      <c r="AR22" s="345" t="n"/>
      <c r="AS22" s="2" t="n"/>
      <c r="AT22" s="2" t="n"/>
      <c r="AU22" s="2" t="n"/>
      <c r="AV22" s="2" t="n"/>
      <c r="AW22" s="2" t="n"/>
      <c r="AX22" s="2" t="n"/>
      <c r="AY22" s="2" t="n"/>
      <c r="AZ22" s="2" t="n"/>
      <c r="BA22" s="2" t="n"/>
      <c r="BB22" s="2" t="n"/>
      <c r="BC22" s="2" t="n"/>
      <c r="BD22" s="2" t="n"/>
      <c r="BE22" s="2" t="n"/>
      <c r="BF22" s="2" t="n"/>
      <c r="BG22" s="2" t="n"/>
      <c r="BH22" s="2" t="n"/>
      <c r="BI22" s="2" t="n"/>
      <c r="BJ22" s="2" t="n"/>
      <c r="BK22" s="2" t="n"/>
      <c r="BL22" s="2" t="n"/>
      <c r="BM22" s="2" t="n"/>
      <c r="BN22" s="2" t="n"/>
      <c r="BO22" s="2" t="n"/>
      <c r="BP22" s="2" t="n"/>
      <c r="BQ22" s="2" t="n"/>
      <c r="BR22" s="2" t="n"/>
      <c r="BS22" s="2" t="n"/>
      <c r="BT22" s="2" t="n"/>
      <c r="BU22" s="2" t="n"/>
      <c r="BV22" s="2" t="n"/>
      <c r="BW22" s="2" t="n"/>
      <c r="BX22" s="2" t="n"/>
      <c r="BY22" s="2" t="n"/>
      <c r="BZ22" s="2" t="n"/>
      <c r="CA22" s="2" t="n"/>
      <c r="CB22" s="2" t="n"/>
      <c r="CC22" s="2" t="n"/>
      <c r="CD22" s="2" t="n"/>
      <c r="CE22" s="2" t="n"/>
      <c r="CF22" s="2" t="n"/>
      <c r="CG22" s="2" t="n"/>
      <c r="CH22" s="2" t="n"/>
      <c r="CI22" s="2" t="n"/>
      <c r="CJ22" s="2" t="n"/>
      <c r="CK22" s="2" t="n"/>
      <c r="CL22" s="2" t="n"/>
      <c r="CM22" s="2" t="n"/>
      <c r="CN22" s="345" t="n"/>
      <c r="CO22" s="345" t="n"/>
      <c r="CP22" s="345" t="n"/>
      <c r="CQ22" s="345" t="n"/>
      <c r="CR22" s="345" t="n"/>
      <c r="CS22" s="345" t="n"/>
      <c r="CT22" s="345" t="n"/>
      <c r="CU22" s="345" t="n"/>
      <c r="CV22" s="345" t="n"/>
      <c r="CW22" s="345" t="n"/>
      <c r="CX22" s="345" t="n"/>
      <c r="CY22" s="345" t="n"/>
      <c r="CZ22" s="345" t="n"/>
      <c r="DA22" s="345" t="n"/>
      <c r="DB22" s="345" t="n"/>
      <c r="DC22" s="345" t="n"/>
      <c r="DD22" s="345" t="n"/>
      <c r="DE22" s="345" t="n"/>
      <c r="DF22" s="345" t="n"/>
      <c r="DG22" s="345" t="n"/>
      <c r="DH22" s="345" t="n"/>
      <c r="DI22" s="345" t="n"/>
      <c r="DJ22" s="345" t="n"/>
      <c r="DK22" s="345" t="n"/>
      <c r="DL22" s="345" t="n"/>
      <c r="DM22" s="345" t="n"/>
      <c r="DN22" s="390" t="n"/>
      <c r="DO22" s="345" t="n"/>
      <c r="DP22" s="350" t="n"/>
      <c r="DQ22" s="345" t="n"/>
      <c r="DR22" s="345" t="n"/>
      <c r="DS22" s="345" t="n"/>
      <c r="DT22" s="345" t="n"/>
    </row>
    <row r="23" ht="25.5" customFormat="1" customHeight="1" s="200">
      <c r="A23" s="366" t="n"/>
      <c r="B23" s="749" t="inlineStr">
        <is>
          <t>供应商名称</t>
        </is>
      </c>
      <c r="C23" s="750" t="inlineStr">
        <is>
          <t>借方余额</t>
        </is>
      </c>
      <c r="D23" s="567" t="inlineStr">
        <is>
          <t>形成应付账款借方余额入账凭证</t>
        </is>
      </c>
      <c r="E23" s="688" t="n"/>
      <c r="F23" s="688" t="n"/>
      <c r="G23" s="497" t="inlineStr">
        <is>
          <t>根据交易性质获取的支持性证据信息</t>
        </is>
      </c>
      <c r="H23" s="635" t="n"/>
      <c r="I23" s="635" t="n"/>
      <c r="J23" s="635" t="n"/>
      <c r="K23" s="636" t="n"/>
      <c r="L23" s="578" t="n">
        <v>1</v>
      </c>
      <c r="M23" s="580" t="n">
        <v>2</v>
      </c>
      <c r="N23" s="582" t="n">
        <v>3</v>
      </c>
      <c r="O23" s="551" t="inlineStr">
        <is>
          <t>备注</t>
        </is>
      </c>
      <c r="P23" s="10" t="n"/>
      <c r="Q23" s="17" t="n"/>
      <c r="R23" s="751" t="n"/>
      <c r="S23" s="751" t="n"/>
      <c r="T23" s="751" t="n"/>
      <c r="U23" s="751" t="n"/>
      <c r="V23" s="751" t="n"/>
      <c r="W23" s="751" t="n"/>
      <c r="X23" s="751" t="n"/>
      <c r="Y23" s="751" t="n"/>
      <c r="Z23" s="751" t="n"/>
      <c r="AA23" s="751" t="n"/>
      <c r="AB23" s="751" t="n"/>
      <c r="AC23" s="368" t="n"/>
      <c r="AD23" s="368" t="n"/>
      <c r="AE23" s="368" t="n"/>
      <c r="AF23" s="368" t="n"/>
      <c r="AG23" s="368" t="n"/>
      <c r="AH23" s="368" t="n"/>
      <c r="AI23" s="368" t="n"/>
      <c r="AJ23" s="368" t="n"/>
      <c r="AK23" s="369" t="n"/>
      <c r="AL23" s="369" t="n"/>
      <c r="AM23" s="369" t="n"/>
      <c r="AN23" s="368" t="n"/>
      <c r="AO23" s="368" t="n"/>
      <c r="AP23" s="368" t="n"/>
      <c r="AQ23" s="368" t="n"/>
      <c r="AR23" s="368" t="n"/>
      <c r="AS23" s="368" t="n"/>
      <c r="AT23" s="368" t="n"/>
      <c r="AU23" s="368" t="n"/>
      <c r="AV23" s="368" t="n"/>
      <c r="AW23" s="368" t="n"/>
      <c r="AX23" s="368" t="n"/>
      <c r="AY23" s="368" t="n"/>
      <c r="AZ23" s="368" t="n"/>
      <c r="BA23" s="368" t="n"/>
      <c r="BB23" s="368" t="n"/>
      <c r="BC23" s="368" t="n"/>
      <c r="BD23" s="368" t="n"/>
      <c r="BE23" s="368" t="n"/>
      <c r="BF23" s="368" t="n"/>
      <c r="BG23" s="368" t="n"/>
      <c r="BH23" s="368" t="n"/>
      <c r="BI23" s="368" t="n"/>
      <c r="BJ23" s="368" t="n"/>
      <c r="BK23" s="368" t="n"/>
      <c r="BL23" s="368" t="n"/>
      <c r="BM23" s="368" t="n"/>
      <c r="BN23" s="368" t="n"/>
      <c r="BO23" s="368" t="n"/>
      <c r="BP23" s="368" t="n"/>
      <c r="BQ23" s="368" t="n"/>
      <c r="BR23" s="368" t="n"/>
      <c r="BS23" s="368" t="n"/>
      <c r="BT23" s="368" t="n"/>
      <c r="BU23" s="368" t="n"/>
      <c r="BV23" s="368" t="n"/>
      <c r="BW23" s="368" t="n"/>
      <c r="BX23" s="368" t="n"/>
      <c r="BY23" s="368" t="n"/>
      <c r="BZ23" s="368" t="n"/>
      <c r="CA23" s="368" t="n"/>
      <c r="CB23" s="368" t="n"/>
      <c r="CC23" s="368" t="n"/>
      <c r="CD23" s="368" t="n"/>
      <c r="CE23" s="368" t="n"/>
      <c r="CF23" s="368" t="n"/>
      <c r="CG23" s="368" t="n"/>
      <c r="CH23" s="368" t="n"/>
      <c r="CI23" s="369" t="n"/>
      <c r="CJ23" s="369" t="n"/>
      <c r="CK23" s="369" t="n"/>
      <c r="CL23" s="369" t="n"/>
      <c r="CM23" s="369" t="n"/>
      <c r="CN23" s="369" t="n"/>
      <c r="CO23" s="369" t="n"/>
      <c r="CP23" s="369" t="n"/>
      <c r="CQ23" s="369" t="n"/>
      <c r="CR23" s="369" t="n"/>
      <c r="CS23" s="369" t="n"/>
      <c r="CT23" s="369" t="n"/>
      <c r="CU23" s="369" t="n"/>
      <c r="CV23" s="369" t="n"/>
      <c r="CW23" s="369" t="n"/>
      <c r="CX23" s="369" t="n"/>
      <c r="CY23" s="369" t="n"/>
      <c r="CZ23" s="369" t="n"/>
      <c r="DA23" s="369" t="n"/>
      <c r="DB23" s="369" t="n"/>
      <c r="DC23" s="369" t="n"/>
      <c r="DD23" s="369" t="n"/>
      <c r="DE23" s="369" t="n"/>
      <c r="DF23" s="369" t="n"/>
      <c r="DG23" s="369" t="n"/>
      <c r="DH23" s="369" t="n"/>
      <c r="DI23" s="370" t="n"/>
      <c r="DJ23" s="369" t="n"/>
      <c r="DK23" s="371" t="n"/>
      <c r="DL23" s="369" t="n"/>
      <c r="DM23" s="369" t="n"/>
      <c r="DN23" s="369" t="n"/>
      <c r="DO23" s="369" t="n"/>
      <c r="DP23" s="369" t="n"/>
      <c r="DQ23" s="369" t="n"/>
      <c r="DR23" s="369" t="n"/>
      <c r="DS23" s="369" t="n"/>
      <c r="DT23" s="369" t="n"/>
    </row>
    <row r="24" ht="23.25" customFormat="1" customHeight="1" s="200">
      <c r="A24" s="366" t="n"/>
      <c r="B24" s="752" t="n"/>
      <c r="C24" s="722" t="n"/>
      <c r="D24" s="566" t="inlineStr">
        <is>
          <t>凭证编号</t>
        </is>
      </c>
      <c r="E24" s="372" t="inlineStr">
        <is>
          <t>日期</t>
        </is>
      </c>
      <c r="F24" s="566" t="inlineStr">
        <is>
          <t>金额</t>
        </is>
      </c>
      <c r="G24" s="582" t="inlineStr">
        <is>
          <t>交易性质</t>
        </is>
      </c>
      <c r="H24" s="582" t="inlineStr">
        <is>
          <t>交易凭据名称</t>
        </is>
      </c>
      <c r="I24" s="582" t="inlineStr">
        <is>
          <t>交易凭据编号</t>
        </is>
      </c>
      <c r="J24" s="582" t="inlineStr">
        <is>
          <t>交易凭据日期</t>
        </is>
      </c>
      <c r="K24" s="373" t="inlineStr">
        <is>
          <t>交易凭据金额</t>
        </is>
      </c>
      <c r="L24" s="691" t="n"/>
      <c r="M24" s="722" t="n"/>
      <c r="N24" s="644" t="n"/>
      <c r="O24" s="637" t="n"/>
      <c r="P24" s="10" t="n"/>
      <c r="Q24" s="17" t="n"/>
      <c r="R24" s="751" t="n"/>
      <c r="S24" s="751" t="n"/>
      <c r="T24" s="751" t="n"/>
      <c r="U24" s="751" t="n"/>
      <c r="V24" s="751" t="n"/>
      <c r="W24" s="751" t="n"/>
      <c r="X24" s="751" t="n"/>
      <c r="Y24" s="751" t="n"/>
      <c r="Z24" s="751" t="n"/>
      <c r="AA24" s="751" t="n"/>
      <c r="AB24" s="751" t="n"/>
      <c r="AC24" s="368" t="n"/>
      <c r="AD24" s="368" t="n"/>
      <c r="AE24" s="368" t="n"/>
      <c r="AF24" s="368" t="n"/>
      <c r="AG24" s="368" t="n"/>
      <c r="AH24" s="368" t="n"/>
      <c r="AI24" s="368" t="n"/>
      <c r="AJ24" s="368" t="n"/>
      <c r="AK24" s="369" t="n"/>
      <c r="AL24" s="369" t="n"/>
      <c r="AM24" s="369" t="n"/>
      <c r="AN24" s="368" t="n"/>
      <c r="AO24" s="368" t="n"/>
      <c r="AP24" s="368" t="n"/>
      <c r="AQ24" s="368" t="n"/>
      <c r="AR24" s="368" t="n"/>
      <c r="AS24" s="368" t="n"/>
      <c r="AT24" s="368" t="n"/>
      <c r="AU24" s="368" t="n"/>
      <c r="AV24" s="368" t="n"/>
      <c r="AW24" s="368" t="n"/>
      <c r="AX24" s="368" t="n"/>
      <c r="AY24" s="368" t="n"/>
      <c r="AZ24" s="368" t="n"/>
      <c r="BA24" s="368" t="n"/>
      <c r="BB24" s="368" t="n"/>
      <c r="BC24" s="368" t="n"/>
      <c r="BD24" s="368" t="n"/>
      <c r="BE24" s="368" t="n"/>
      <c r="BF24" s="368" t="n"/>
      <c r="BG24" s="368" t="n"/>
      <c r="BH24" s="368" t="n"/>
      <c r="BI24" s="368" t="n"/>
      <c r="BJ24" s="368" t="n"/>
      <c r="BK24" s="368" t="n"/>
      <c r="BL24" s="368" t="n"/>
      <c r="BM24" s="368" t="n"/>
      <c r="BN24" s="368" t="n"/>
      <c r="BO24" s="368" t="n"/>
      <c r="BP24" s="368" t="n"/>
      <c r="BQ24" s="368" t="n"/>
      <c r="BR24" s="368" t="n"/>
      <c r="BS24" s="368" t="n"/>
      <c r="BT24" s="368" t="n"/>
      <c r="BU24" s="368" t="n"/>
      <c r="BV24" s="368" t="n"/>
      <c r="BW24" s="368" t="n"/>
      <c r="BX24" s="368" t="n"/>
      <c r="BY24" s="368" t="n"/>
      <c r="BZ24" s="368" t="n"/>
      <c r="CA24" s="368" t="n"/>
      <c r="CB24" s="368" t="n"/>
      <c r="CC24" s="368" t="n"/>
      <c r="CD24" s="368" t="n"/>
      <c r="CE24" s="368" t="n"/>
      <c r="CF24" s="368" t="n"/>
      <c r="CG24" s="368" t="n"/>
      <c r="CH24" s="368" t="n"/>
      <c r="CI24" s="369" t="n"/>
      <c r="CJ24" s="369" t="n"/>
      <c r="CK24" s="369" t="n"/>
      <c r="CL24" s="369" t="n"/>
      <c r="CM24" s="369" t="n"/>
      <c r="CN24" s="369" t="n"/>
      <c r="CO24" s="369" t="n"/>
      <c r="CP24" s="369" t="n"/>
      <c r="CQ24" s="369" t="n"/>
      <c r="CR24" s="369" t="n"/>
      <c r="CS24" s="369" t="n"/>
      <c r="CT24" s="369" t="n"/>
      <c r="CU24" s="369" t="n"/>
      <c r="CV24" s="369" t="n"/>
      <c r="CW24" s="369" t="n"/>
      <c r="CX24" s="369" t="n"/>
      <c r="CY24" s="369" t="n"/>
      <c r="CZ24" s="369" t="n"/>
      <c r="DA24" s="369" t="n"/>
      <c r="DB24" s="369" t="n"/>
      <c r="DC24" s="369" t="n"/>
      <c r="DD24" s="369" t="n"/>
      <c r="DE24" s="369" t="n"/>
      <c r="DF24" s="369" t="n"/>
      <c r="DG24" s="369" t="n"/>
      <c r="DH24" s="369" t="n"/>
      <c r="DI24" s="370" t="n"/>
      <c r="DJ24" s="369" t="n"/>
      <c r="DK24" s="371" t="n"/>
      <c r="DL24" s="369" t="n"/>
      <c r="DM24" s="369" t="n"/>
      <c r="DN24" s="369" t="n"/>
      <c r="DO24" s="369" t="n"/>
      <c r="DP24" s="369" t="n"/>
      <c r="DQ24" s="369" t="n"/>
      <c r="DR24" s="369" t="n"/>
      <c r="DS24" s="369" t="n"/>
      <c r="DT24" s="369" t="n"/>
    </row>
    <row r="25" ht="15" customFormat="1" customHeight="1" s="196">
      <c r="A25" s="347" t="n"/>
      <c r="B25" s="374" t="n"/>
      <c r="C25" s="753" t="n"/>
      <c r="D25" s="375" t="n"/>
      <c r="E25" s="376" t="n"/>
      <c r="F25" s="754" t="n"/>
      <c r="G25" s="375" t="n"/>
      <c r="H25" s="375" t="n"/>
      <c r="I25" s="375" t="n"/>
      <c r="J25" s="376" t="n"/>
      <c r="K25" s="754" t="n"/>
      <c r="L25" s="374" t="n"/>
      <c r="M25" s="378" t="n"/>
      <c r="N25" s="379" t="n"/>
      <c r="O25" s="437" t="n"/>
      <c r="P25" s="10" t="n"/>
      <c r="Q25" s="17" t="n"/>
      <c r="R25" s="755" t="n"/>
      <c r="S25" s="755" t="n"/>
      <c r="T25" s="755" t="n"/>
      <c r="U25" s="755" t="n"/>
      <c r="V25" s="755" t="n"/>
      <c r="W25" s="755" t="n"/>
      <c r="X25" s="755" t="n"/>
      <c r="Y25" s="755" t="n"/>
      <c r="Z25" s="755" t="n"/>
      <c r="AA25" s="755" t="n"/>
      <c r="AB25" s="755" t="n"/>
      <c r="AC25" s="2" t="n"/>
      <c r="AD25" s="2" t="n"/>
      <c r="AE25" s="2" t="n"/>
      <c r="AF25" s="2" t="n"/>
      <c r="AG25" s="2" t="n"/>
      <c r="AH25" s="2" t="n"/>
      <c r="AI25" s="2" t="n"/>
      <c r="AJ25" s="2" t="n"/>
      <c r="AK25" s="345" t="n"/>
      <c r="AL25" s="345" t="n"/>
      <c r="AM25" s="345" t="n"/>
      <c r="AN25" s="2" t="n"/>
      <c r="AO25" s="2" t="n"/>
      <c r="AP25" s="2" t="n"/>
      <c r="AQ25" s="2" t="n"/>
      <c r="AR25" s="2" t="n"/>
      <c r="AS25" s="2" t="n"/>
      <c r="AT25" s="2" t="n"/>
      <c r="AU25" s="2" t="n"/>
      <c r="AV25" s="2" t="n"/>
      <c r="AW25" s="2" t="n"/>
      <c r="AX25" s="2" t="n"/>
      <c r="AY25" s="2" t="n"/>
      <c r="AZ25" s="2" t="n"/>
      <c r="BA25" s="2" t="n"/>
      <c r="BB25" s="2" t="n"/>
      <c r="BC25" s="2" t="n"/>
      <c r="BD25" s="2" t="n"/>
      <c r="BE25" s="2" t="n"/>
      <c r="BF25" s="2" t="n"/>
      <c r="BG25" s="2" t="n"/>
      <c r="BH25" s="2" t="n"/>
      <c r="BI25" s="2" t="n"/>
      <c r="BJ25" s="2" t="n"/>
      <c r="BK25" s="2" t="n"/>
      <c r="BL25" s="2" t="n"/>
      <c r="BM25" s="2" t="n"/>
      <c r="BN25" s="2" t="n"/>
      <c r="BO25" s="2" t="n"/>
      <c r="BP25" s="2" t="n"/>
      <c r="BQ25" s="2" t="n"/>
      <c r="BR25" s="2" t="n"/>
      <c r="BS25" s="2" t="n"/>
      <c r="BT25" s="2" t="n"/>
      <c r="BU25" s="2" t="n"/>
      <c r="BV25" s="2" t="n"/>
      <c r="BW25" s="2" t="n"/>
      <c r="BX25" s="2" t="n"/>
      <c r="BY25" s="2" t="n"/>
      <c r="BZ25" s="2" t="n"/>
      <c r="CA25" s="2" t="n"/>
      <c r="CB25" s="2" t="n"/>
      <c r="CC25" s="2" t="n"/>
      <c r="CD25" s="2" t="n"/>
      <c r="CE25" s="2" t="n"/>
      <c r="CF25" s="2" t="n"/>
      <c r="CG25" s="2" t="n"/>
      <c r="CH25" s="2" t="n"/>
      <c r="CI25" s="345" t="n"/>
      <c r="CJ25" s="345" t="n"/>
      <c r="CK25" s="345" t="n"/>
      <c r="CL25" s="345" t="n"/>
      <c r="CM25" s="345" t="n"/>
      <c r="CN25" s="345" t="n"/>
      <c r="CO25" s="345" t="n"/>
      <c r="CP25" s="345" t="n"/>
      <c r="CQ25" s="345" t="n"/>
      <c r="CR25" s="345" t="n"/>
      <c r="CS25" s="345" t="n"/>
      <c r="CT25" s="345" t="n"/>
      <c r="CU25" s="345" t="n"/>
      <c r="CV25" s="345" t="n"/>
      <c r="CW25" s="345" t="n"/>
      <c r="CX25" s="345" t="n"/>
      <c r="CY25" s="345" t="n"/>
      <c r="CZ25" s="345" t="n"/>
      <c r="DA25" s="345" t="n"/>
      <c r="DB25" s="345" t="n"/>
      <c r="DC25" s="345" t="n"/>
      <c r="DD25" s="345" t="n"/>
      <c r="DE25" s="345" t="n"/>
      <c r="DF25" s="345" t="n"/>
      <c r="DG25" s="345" t="n"/>
      <c r="DH25" s="345" t="n"/>
      <c r="DI25" s="390" t="n"/>
      <c r="DJ25" s="345" t="n"/>
      <c r="DK25" s="350" t="n"/>
      <c r="DL25" s="345" t="n"/>
      <c r="DM25" s="345" t="n"/>
      <c r="DN25" s="345" t="n"/>
      <c r="DO25" s="345" t="n"/>
      <c r="DP25" s="345" t="n"/>
      <c r="DQ25" s="345" t="n"/>
      <c r="DR25" s="345" t="n"/>
      <c r="DS25" s="345" t="n"/>
      <c r="DT25" s="345" t="n"/>
    </row>
    <row r="26" ht="15" customFormat="1" customHeight="1" s="196">
      <c r="A26" s="347" t="n"/>
      <c r="B26" s="374" t="n"/>
      <c r="C26" s="753" t="n"/>
      <c r="D26" s="375" t="n"/>
      <c r="E26" s="376" t="n"/>
      <c r="F26" s="754" t="n"/>
      <c r="G26" s="375" t="n"/>
      <c r="H26" s="375" t="n"/>
      <c r="I26" s="375" t="n"/>
      <c r="J26" s="376" t="n"/>
      <c r="K26" s="754" t="n"/>
      <c r="L26" s="374" t="n"/>
      <c r="M26" s="378" t="n"/>
      <c r="N26" s="379" t="n"/>
      <c r="O26" s="438" t="n"/>
      <c r="P26" s="10" t="n"/>
      <c r="Q26" s="17" t="n"/>
      <c r="R26" s="755" t="n"/>
      <c r="S26" s="755" t="n"/>
      <c r="T26" s="755" t="n"/>
      <c r="U26" s="755" t="n"/>
      <c r="V26" s="755" t="n"/>
      <c r="W26" s="755" t="n"/>
      <c r="X26" s="755" t="n"/>
      <c r="Y26" s="755" t="n"/>
      <c r="Z26" s="755" t="n"/>
      <c r="AA26" s="755" t="n"/>
      <c r="AB26" s="755" t="n"/>
      <c r="AC26" s="2" t="n"/>
      <c r="AD26" s="2" t="n"/>
      <c r="AE26" s="2" t="n"/>
      <c r="AF26" s="2" t="n"/>
      <c r="AG26" s="2" t="n"/>
      <c r="AH26" s="2" t="n"/>
      <c r="AI26" s="2" t="n"/>
      <c r="AJ26" s="2" t="n"/>
      <c r="AK26" s="345" t="n"/>
      <c r="AL26" s="345" t="n"/>
      <c r="AM26" s="345"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2" t="n"/>
      <c r="BJ26" s="2" t="n"/>
      <c r="BK26" s="2" t="n"/>
      <c r="BL26" s="2" t="n"/>
      <c r="BM26" s="2" t="n"/>
      <c r="BN26" s="2" t="n"/>
      <c r="BO26" s="2" t="n"/>
      <c r="BP26" s="2" t="n"/>
      <c r="BQ26" s="2" t="n"/>
      <c r="BR26" s="2" t="n"/>
      <c r="BS26" s="2" t="n"/>
      <c r="BT26" s="2" t="n"/>
      <c r="BU26" s="2" t="n"/>
      <c r="BV26" s="2" t="n"/>
      <c r="BW26" s="2" t="n"/>
      <c r="BX26" s="2" t="n"/>
      <c r="BY26" s="2" t="n"/>
      <c r="BZ26" s="2" t="n"/>
      <c r="CA26" s="2" t="n"/>
      <c r="CB26" s="2" t="n"/>
      <c r="CC26" s="2" t="n"/>
      <c r="CD26" s="2" t="n"/>
      <c r="CE26" s="2" t="n"/>
      <c r="CF26" s="2" t="n"/>
      <c r="CG26" s="2" t="n"/>
      <c r="CH26" s="2" t="n"/>
      <c r="CI26" s="345" t="n"/>
      <c r="CJ26" s="345" t="n"/>
      <c r="CK26" s="345" t="n"/>
      <c r="CL26" s="345" t="n"/>
      <c r="CM26" s="345" t="n"/>
      <c r="CN26" s="345" t="n"/>
      <c r="CO26" s="345" t="n"/>
      <c r="CP26" s="345" t="n"/>
      <c r="CQ26" s="345" t="n"/>
      <c r="CR26" s="345" t="n"/>
      <c r="CS26" s="345" t="n"/>
      <c r="CT26" s="345" t="n"/>
      <c r="CU26" s="345" t="n"/>
      <c r="CV26" s="345" t="n"/>
      <c r="CW26" s="345" t="n"/>
      <c r="CX26" s="345" t="n"/>
      <c r="CY26" s="345" t="n"/>
      <c r="CZ26" s="345" t="n"/>
      <c r="DA26" s="345" t="n"/>
      <c r="DB26" s="345" t="n"/>
      <c r="DC26" s="345" t="n"/>
      <c r="DD26" s="345" t="n"/>
      <c r="DE26" s="345" t="n"/>
      <c r="DF26" s="345" t="n"/>
      <c r="DG26" s="345" t="n"/>
      <c r="DH26" s="345" t="n"/>
      <c r="DI26" s="390" t="n"/>
      <c r="DJ26" s="345" t="n"/>
      <c r="DK26" s="350" t="n"/>
      <c r="DL26" s="345" t="n"/>
      <c r="DM26" s="345" t="n"/>
      <c r="DN26" s="345" t="n"/>
      <c r="DO26" s="345" t="n"/>
      <c r="DP26" s="345" t="n"/>
      <c r="DQ26" s="345" t="n"/>
      <c r="DR26" s="345" t="n"/>
      <c r="DS26" s="345" t="n"/>
      <c r="DT26" s="345" t="n"/>
    </row>
    <row r="27" ht="15" customFormat="1" customHeight="1" s="196">
      <c r="A27" s="347" t="n"/>
      <c r="B27" s="374" t="n"/>
      <c r="C27" s="753" t="n"/>
      <c r="D27" s="375" t="n"/>
      <c r="E27" s="376" t="n"/>
      <c r="F27" s="754" t="n"/>
      <c r="G27" s="375" t="n"/>
      <c r="H27" s="375" t="n"/>
      <c r="I27" s="375" t="n"/>
      <c r="J27" s="376" t="n"/>
      <c r="K27" s="754" t="n"/>
      <c r="L27" s="374" t="n"/>
      <c r="M27" s="378" t="n"/>
      <c r="N27" s="379" t="n"/>
      <c r="O27" s="438" t="n"/>
      <c r="P27" s="10" t="n"/>
      <c r="Q27" s="17" t="n"/>
      <c r="R27" s="755" t="n"/>
      <c r="S27" s="755" t="n"/>
      <c r="T27" s="755" t="n"/>
      <c r="U27" s="755" t="n"/>
      <c r="V27" s="755" t="n"/>
      <c r="W27" s="755" t="n"/>
      <c r="X27" s="755" t="n"/>
      <c r="Y27" s="755" t="n"/>
      <c r="Z27" s="755" t="n"/>
      <c r="AA27" s="755" t="n"/>
      <c r="AB27" s="755" t="n"/>
      <c r="AC27" s="2" t="n"/>
      <c r="AD27" s="2" t="n"/>
      <c r="AE27" s="2" t="n"/>
      <c r="AF27" s="2" t="n"/>
      <c r="AG27" s="2" t="n"/>
      <c r="AH27" s="2" t="n"/>
      <c r="AI27" s="2" t="n"/>
      <c r="AJ27" s="2" t="n"/>
      <c r="AK27" s="345" t="n"/>
      <c r="AL27" s="345" t="n"/>
      <c r="AM27" s="345" t="n"/>
      <c r="AN27" s="2" t="n"/>
      <c r="AO27" s="2" t="n"/>
      <c r="AP27" s="2" t="n"/>
      <c r="AQ27" s="2" t="n"/>
      <c r="AR27" s="2" t="n"/>
      <c r="AS27" s="2" t="n"/>
      <c r="AT27" s="2" t="n"/>
      <c r="AU27" s="2" t="n"/>
      <c r="AV27" s="2" t="n"/>
      <c r="AW27" s="2" t="n"/>
      <c r="AX27" s="2" t="n"/>
      <c r="AY27" s="2" t="n"/>
      <c r="AZ27" s="2" t="n"/>
      <c r="BA27" s="2" t="n"/>
      <c r="BB27" s="2" t="n"/>
      <c r="BC27" s="2" t="n"/>
      <c r="BD27" s="2" t="n"/>
      <c r="BE27" s="2" t="n"/>
      <c r="BF27" s="2" t="n"/>
      <c r="BG27" s="2" t="n"/>
      <c r="BH27" s="2" t="n"/>
      <c r="BI27" s="2" t="n"/>
      <c r="BJ27" s="2" t="n"/>
      <c r="BK27" s="2" t="n"/>
      <c r="BL27" s="2" t="n"/>
      <c r="BM27" s="2" t="n"/>
      <c r="BN27" s="2" t="n"/>
      <c r="BO27" s="2" t="n"/>
      <c r="BP27" s="2" t="n"/>
      <c r="BQ27" s="2" t="n"/>
      <c r="BR27" s="2" t="n"/>
      <c r="BS27" s="2" t="n"/>
      <c r="BT27" s="2" t="n"/>
      <c r="BU27" s="2" t="n"/>
      <c r="BV27" s="2" t="n"/>
      <c r="BW27" s="2" t="n"/>
      <c r="BX27" s="2" t="n"/>
      <c r="BY27" s="2" t="n"/>
      <c r="BZ27" s="2" t="n"/>
      <c r="CA27" s="2" t="n"/>
      <c r="CB27" s="2" t="n"/>
      <c r="CC27" s="2" t="n"/>
      <c r="CD27" s="2" t="n"/>
      <c r="CE27" s="2" t="n"/>
      <c r="CF27" s="2" t="n"/>
      <c r="CG27" s="2" t="n"/>
      <c r="CH27" s="2" t="n"/>
      <c r="CI27" s="345" t="n"/>
      <c r="CJ27" s="345" t="n"/>
      <c r="CK27" s="345" t="n"/>
      <c r="CL27" s="345" t="n"/>
      <c r="CM27" s="345" t="n"/>
      <c r="CN27" s="345" t="n"/>
      <c r="CO27" s="345" t="n"/>
      <c r="CP27" s="345" t="n"/>
      <c r="CQ27" s="345" t="n"/>
      <c r="CR27" s="345" t="n"/>
      <c r="CS27" s="345" t="n"/>
      <c r="CT27" s="345" t="n"/>
      <c r="CU27" s="345" t="n"/>
      <c r="CV27" s="345" t="n"/>
      <c r="CW27" s="345" t="n"/>
      <c r="CX27" s="345" t="n"/>
      <c r="CY27" s="345" t="n"/>
      <c r="CZ27" s="345" t="n"/>
      <c r="DA27" s="345" t="n"/>
      <c r="DB27" s="345" t="n"/>
      <c r="DC27" s="345" t="n"/>
      <c r="DD27" s="345" t="n"/>
      <c r="DE27" s="345" t="n"/>
      <c r="DF27" s="345" t="n"/>
      <c r="DG27" s="345" t="n"/>
      <c r="DH27" s="345" t="n"/>
      <c r="DI27" s="390" t="n"/>
      <c r="DJ27" s="345" t="n"/>
      <c r="DK27" s="350" t="n"/>
      <c r="DL27" s="345" t="n"/>
      <c r="DM27" s="345" t="n"/>
      <c r="DN27" s="345" t="n"/>
      <c r="DO27" s="345" t="n"/>
      <c r="DP27" s="345" t="n"/>
      <c r="DQ27" s="345" t="n"/>
      <c r="DR27" s="345" t="n"/>
      <c r="DS27" s="345" t="n"/>
      <c r="DT27" s="345" t="n"/>
    </row>
    <row r="28" ht="15" customFormat="1" customHeight="1" s="196">
      <c r="A28" s="347" t="n"/>
      <c r="B28" s="374" t="n"/>
      <c r="C28" s="753" t="n"/>
      <c r="D28" s="375" t="n"/>
      <c r="E28" s="376" t="n"/>
      <c r="F28" s="754" t="n"/>
      <c r="G28" s="375" t="n"/>
      <c r="H28" s="375" t="n"/>
      <c r="I28" s="375" t="n"/>
      <c r="J28" s="376" t="n"/>
      <c r="K28" s="754" t="n"/>
      <c r="L28" s="374" t="n"/>
      <c r="M28" s="378" t="n"/>
      <c r="N28" s="379" t="n"/>
      <c r="O28" s="438" t="n"/>
      <c r="P28" s="10" t="n"/>
      <c r="Q28" s="17" t="n"/>
      <c r="R28" s="755" t="n"/>
      <c r="S28" s="755" t="n"/>
      <c r="T28" s="755" t="n"/>
      <c r="U28" s="755" t="n"/>
      <c r="V28" s="755" t="n"/>
      <c r="W28" s="755" t="n"/>
      <c r="X28" s="755" t="n"/>
      <c r="Y28" s="755" t="n"/>
      <c r="Z28" s="755" t="n"/>
      <c r="AA28" s="755" t="n"/>
      <c r="AB28" s="755" t="n"/>
      <c r="AC28" s="755" t="n"/>
      <c r="AD28" s="755" t="n"/>
      <c r="AE28" s="755" t="n"/>
      <c r="AF28" s="755" t="n"/>
      <c r="AG28" s="755" t="n"/>
      <c r="AH28" s="2" t="n"/>
      <c r="AI28" s="2" t="n"/>
      <c r="AJ28" s="2" t="n"/>
      <c r="AK28" s="2" t="n"/>
      <c r="AL28" s="2" t="n"/>
      <c r="AM28" s="2" t="n"/>
      <c r="AN28" s="2" t="n"/>
      <c r="AO28" s="2" t="n"/>
      <c r="AP28" s="345" t="n"/>
      <c r="AQ28" s="345" t="n"/>
      <c r="AR28" s="345" t="n"/>
      <c r="AS28" s="2" t="n"/>
      <c r="AT28" s="2" t="n"/>
      <c r="AU28" s="2" t="n"/>
      <c r="AV28" s="2" t="n"/>
      <c r="AW28" s="2" t="n"/>
      <c r="AX28" s="2" t="n"/>
      <c r="AY28" s="2" t="n"/>
      <c r="AZ28" s="2" t="n"/>
      <c r="BA28" s="2" t="n"/>
      <c r="BB28" s="2" t="n"/>
      <c r="BC28" s="2" t="n"/>
      <c r="BD28" s="2" t="n"/>
      <c r="BE28" s="2" t="n"/>
      <c r="BF28" s="2" t="n"/>
      <c r="BG28" s="2" t="n"/>
      <c r="BH28" s="2" t="n"/>
      <c r="BI28" s="2" t="n"/>
      <c r="BJ28" s="2" t="n"/>
      <c r="BK28" s="2" t="n"/>
      <c r="BL28" s="2" t="n"/>
      <c r="BM28" s="2" t="n"/>
      <c r="BN28" s="2" t="n"/>
      <c r="BO28" s="2" t="n"/>
      <c r="BP28" s="2" t="n"/>
      <c r="BQ28" s="2" t="n"/>
      <c r="BR28" s="2" t="n"/>
      <c r="BS28" s="2" t="n"/>
      <c r="BT28" s="2" t="n"/>
      <c r="BU28" s="2" t="n"/>
      <c r="BV28" s="2" t="n"/>
      <c r="BW28" s="2" t="n"/>
      <c r="BX28" s="2" t="n"/>
      <c r="BY28" s="2" t="n"/>
      <c r="BZ28" s="2" t="n"/>
      <c r="CA28" s="2" t="n"/>
      <c r="CB28" s="2" t="n"/>
      <c r="CC28" s="2" t="n"/>
      <c r="CD28" s="2" t="n"/>
      <c r="CE28" s="2" t="n"/>
      <c r="CF28" s="2" t="n"/>
      <c r="CG28" s="2" t="n"/>
      <c r="CH28" s="2" t="n"/>
      <c r="CI28" s="2" t="n"/>
      <c r="CJ28" s="2" t="n"/>
      <c r="CK28" s="2" t="n"/>
      <c r="CL28" s="2" t="n"/>
      <c r="CM28" s="2" t="n"/>
      <c r="CN28" s="345" t="n"/>
      <c r="CO28" s="345" t="n"/>
      <c r="CP28" s="345" t="n"/>
      <c r="CQ28" s="345" t="n"/>
      <c r="CR28" s="345" t="n"/>
      <c r="CS28" s="345" t="n"/>
      <c r="CT28" s="345" t="n"/>
      <c r="CU28" s="345" t="n"/>
      <c r="CV28" s="345" t="n"/>
      <c r="CW28" s="345" t="n"/>
      <c r="CX28" s="345" t="n"/>
      <c r="CY28" s="345" t="n"/>
      <c r="CZ28" s="345" t="n"/>
      <c r="DA28" s="345" t="n"/>
      <c r="DB28" s="345" t="n"/>
      <c r="DC28" s="345" t="n"/>
      <c r="DD28" s="345" t="n"/>
      <c r="DE28" s="345" t="n"/>
      <c r="DF28" s="345" t="n"/>
      <c r="DG28" s="345" t="n"/>
      <c r="DH28" s="345" t="n"/>
      <c r="DI28" s="345" t="n"/>
      <c r="DJ28" s="345" t="n"/>
      <c r="DK28" s="345" t="n"/>
      <c r="DL28" s="345" t="n"/>
      <c r="DM28" s="345" t="n"/>
      <c r="DN28" s="390" t="n"/>
      <c r="DO28" s="345" t="n"/>
      <c r="DP28" s="350" t="n"/>
      <c r="DQ28" s="345" t="n"/>
      <c r="DR28" s="345" t="n"/>
      <c r="DS28" s="345" t="n"/>
      <c r="DT28" s="345" t="n"/>
    </row>
    <row r="29" ht="15" customFormat="1" customHeight="1" s="196">
      <c r="A29" s="347" t="n"/>
      <c r="B29" s="374" t="n"/>
      <c r="C29" s="753" t="n"/>
      <c r="D29" s="375" t="n"/>
      <c r="E29" s="376" t="n"/>
      <c r="F29" s="754" t="n"/>
      <c r="G29" s="375" t="n"/>
      <c r="H29" s="375" t="n"/>
      <c r="I29" s="375" t="n"/>
      <c r="J29" s="376" t="n"/>
      <c r="K29" s="754" t="n"/>
      <c r="L29" s="374" t="n"/>
      <c r="M29" s="378" t="n"/>
      <c r="N29" s="379" t="n"/>
      <c r="O29" s="438" t="n"/>
      <c r="P29" s="10" t="n"/>
      <c r="Q29" s="17" t="n"/>
      <c r="R29" s="755" t="n"/>
      <c r="S29" s="755" t="n"/>
      <c r="T29" s="755" t="n"/>
      <c r="U29" s="755" t="n"/>
      <c r="V29" s="755" t="n"/>
      <c r="W29" s="755" t="n"/>
      <c r="X29" s="755" t="n"/>
      <c r="Y29" s="755" t="n"/>
      <c r="Z29" s="755" t="n"/>
      <c r="AA29" s="755" t="n"/>
      <c r="AB29" s="755" t="n"/>
      <c r="AC29" s="755" t="n"/>
      <c r="AD29" s="755" t="n"/>
      <c r="AE29" s="755" t="n"/>
      <c r="AF29" s="755" t="n"/>
      <c r="AG29" s="755" t="n"/>
      <c r="AH29" s="2" t="n"/>
      <c r="AI29" s="2" t="n"/>
      <c r="AJ29" s="2" t="n"/>
      <c r="AK29" s="2" t="n"/>
      <c r="AL29" s="2" t="n"/>
      <c r="AM29" s="2" t="n"/>
      <c r="AN29" s="2" t="n"/>
      <c r="AO29" s="2" t="n"/>
      <c r="AP29" s="345" t="n"/>
      <c r="AQ29" s="345" t="n"/>
      <c r="AR29" s="345" t="n"/>
      <c r="AS29" s="2" t="n"/>
      <c r="AT29" s="2" t="n"/>
      <c r="AU29" s="2" t="n"/>
      <c r="AV29" s="2" t="n"/>
      <c r="AW29" s="2" t="n"/>
      <c r="AX29" s="2" t="n"/>
      <c r="AY29" s="2" t="n"/>
      <c r="AZ29" s="2" t="n"/>
      <c r="BA29" s="2" t="n"/>
      <c r="BB29" s="2" t="n"/>
      <c r="BC29" s="2" t="n"/>
      <c r="BD29" s="2" t="n"/>
      <c r="BE29" s="2" t="n"/>
      <c r="BF29" s="2" t="n"/>
      <c r="BG29" s="2" t="n"/>
      <c r="BH29" s="2" t="n"/>
      <c r="BI29" s="2" t="n"/>
      <c r="BJ29" s="2" t="n"/>
      <c r="BK29" s="2" t="n"/>
      <c r="BL29" s="2" t="n"/>
      <c r="BM29" s="2" t="n"/>
      <c r="BN29" s="2" t="n"/>
      <c r="BO29" s="2" t="n"/>
      <c r="BP29" s="2" t="n"/>
      <c r="BQ29" s="2" t="n"/>
      <c r="BR29" s="2" t="n"/>
      <c r="BS29" s="2" t="n"/>
      <c r="BT29" s="2" t="n"/>
      <c r="BU29" s="2" t="n"/>
      <c r="BV29" s="2" t="n"/>
      <c r="BW29" s="2" t="n"/>
      <c r="BX29" s="2" t="n"/>
      <c r="BY29" s="2" t="n"/>
      <c r="BZ29" s="2" t="n"/>
      <c r="CA29" s="2" t="n"/>
      <c r="CB29" s="2" t="n"/>
      <c r="CC29" s="2" t="n"/>
      <c r="CD29" s="2" t="n"/>
      <c r="CE29" s="2" t="n"/>
      <c r="CF29" s="2" t="n"/>
      <c r="CG29" s="2" t="n"/>
      <c r="CH29" s="2" t="n"/>
      <c r="CI29" s="2" t="n"/>
      <c r="CJ29" s="2" t="n"/>
      <c r="CK29" s="2" t="n"/>
      <c r="CL29" s="2" t="n"/>
      <c r="CM29" s="2" t="n"/>
      <c r="CN29" s="345" t="n"/>
      <c r="CO29" s="345" t="n"/>
      <c r="CP29" s="345" t="n"/>
      <c r="CQ29" s="345" t="n"/>
      <c r="CR29" s="345" t="n"/>
      <c r="CS29" s="345" t="n"/>
      <c r="CT29" s="345" t="n"/>
      <c r="CU29" s="345" t="n"/>
      <c r="CV29" s="345" t="n"/>
      <c r="CW29" s="345" t="n"/>
      <c r="CX29" s="345" t="n"/>
      <c r="CY29" s="345" t="n"/>
      <c r="CZ29" s="345" t="n"/>
      <c r="DA29" s="345" t="n"/>
      <c r="DB29" s="345" t="n"/>
      <c r="DC29" s="345" t="n"/>
      <c r="DD29" s="345" t="n"/>
      <c r="DE29" s="345" t="n"/>
      <c r="DF29" s="345" t="n"/>
      <c r="DG29" s="345" t="n"/>
      <c r="DH29" s="345" t="n"/>
      <c r="DI29" s="345" t="n"/>
      <c r="DJ29" s="345" t="n"/>
      <c r="DK29" s="345" t="n"/>
      <c r="DL29" s="345" t="n"/>
      <c r="DM29" s="345" t="n"/>
      <c r="DN29" s="390" t="n"/>
      <c r="DO29" s="345" t="n"/>
      <c r="DP29" s="350" t="n"/>
      <c r="DQ29" s="345" t="n"/>
      <c r="DR29" s="345" t="n"/>
      <c r="DS29" s="345" t="n"/>
      <c r="DT29" s="345" t="n"/>
    </row>
    <row r="30" ht="15" customFormat="1" customHeight="1" s="196">
      <c r="A30" s="347" t="n"/>
      <c r="B30" s="374" t="n"/>
      <c r="C30" s="753" t="n"/>
      <c r="D30" s="375" t="n"/>
      <c r="E30" s="376" t="n"/>
      <c r="F30" s="754" t="n"/>
      <c r="G30" s="375" t="n"/>
      <c r="H30" s="375" t="n"/>
      <c r="I30" s="375" t="n"/>
      <c r="J30" s="376" t="n"/>
      <c r="K30" s="754" t="n"/>
      <c r="L30" s="374" t="n"/>
      <c r="M30" s="378" t="n"/>
      <c r="N30" s="379" t="n"/>
      <c r="O30" s="438" t="n"/>
      <c r="P30" s="10" t="n"/>
      <c r="Q30" s="17" t="n"/>
      <c r="R30" s="755" t="n"/>
      <c r="S30" s="755" t="n"/>
      <c r="T30" s="755" t="n"/>
      <c r="U30" s="755" t="n"/>
      <c r="V30" s="755" t="n"/>
      <c r="W30" s="755" t="n"/>
      <c r="X30" s="755" t="n"/>
      <c r="Y30" s="755" t="n"/>
      <c r="Z30" s="755" t="n"/>
      <c r="AA30" s="755" t="n"/>
      <c r="AB30" s="755" t="n"/>
      <c r="AC30" s="755" t="n"/>
      <c r="AD30" s="755" t="n"/>
      <c r="AE30" s="755" t="n"/>
      <c r="AF30" s="755" t="n"/>
      <c r="AG30" s="755" t="n"/>
      <c r="AH30" s="2" t="n"/>
      <c r="AI30" s="2" t="n"/>
      <c r="AJ30" s="2" t="n"/>
      <c r="AK30" s="2" t="n"/>
      <c r="AL30" s="2" t="n"/>
      <c r="AM30" s="2" t="n"/>
      <c r="AN30" s="2" t="n"/>
      <c r="AO30" s="2" t="n"/>
      <c r="AP30" s="345" t="n"/>
      <c r="AQ30" s="345" t="n"/>
      <c r="AR30" s="345" t="n"/>
      <c r="AS30" s="2" t="n"/>
      <c r="AT30" s="2" t="n"/>
      <c r="AU30" s="2" t="n"/>
      <c r="AV30" s="2" t="n"/>
      <c r="AW30" s="2" t="n"/>
      <c r="AX30" s="2" t="n"/>
      <c r="AY30" s="2" t="n"/>
      <c r="AZ30" s="2" t="n"/>
      <c r="BA30" s="2" t="n"/>
      <c r="BB30" s="2" t="n"/>
      <c r="BC30" s="2" t="n"/>
      <c r="BD30" s="2" t="n"/>
      <c r="BE30" s="2" t="n"/>
      <c r="BF30" s="2" t="n"/>
      <c r="BG30" s="2" t="n"/>
      <c r="BH30" s="2" t="n"/>
      <c r="BI30" s="2" t="n"/>
      <c r="BJ30" s="2" t="n"/>
      <c r="BK30" s="2" t="n"/>
      <c r="BL30" s="2" t="n"/>
      <c r="BM30" s="2" t="n"/>
      <c r="BN30" s="2" t="n"/>
      <c r="BO30" s="2" t="n"/>
      <c r="BP30" s="2" t="n"/>
      <c r="BQ30" s="2" t="n"/>
      <c r="BR30" s="2" t="n"/>
      <c r="BS30" s="2" t="n"/>
      <c r="BT30" s="2" t="n"/>
      <c r="BU30" s="2" t="n"/>
      <c r="BV30" s="2" t="n"/>
      <c r="BW30" s="2" t="n"/>
      <c r="BX30" s="2" t="n"/>
      <c r="BY30" s="2" t="n"/>
      <c r="BZ30" s="2" t="n"/>
      <c r="CA30" s="2" t="n"/>
      <c r="CB30" s="2" t="n"/>
      <c r="CC30" s="2" t="n"/>
      <c r="CD30" s="2" t="n"/>
      <c r="CE30" s="2" t="n"/>
      <c r="CF30" s="2" t="n"/>
      <c r="CG30" s="2" t="n"/>
      <c r="CH30" s="2" t="n"/>
      <c r="CI30" s="2" t="n"/>
      <c r="CJ30" s="2" t="n"/>
      <c r="CK30" s="2" t="n"/>
      <c r="CL30" s="2" t="n"/>
      <c r="CM30" s="2" t="n"/>
      <c r="CN30" s="345" t="n"/>
      <c r="CO30" s="345" t="n"/>
      <c r="CP30" s="345" t="n"/>
      <c r="CQ30" s="345" t="n"/>
      <c r="CR30" s="345" t="n"/>
      <c r="CS30" s="345" t="n"/>
      <c r="CT30" s="345" t="n"/>
      <c r="CU30" s="345" t="n"/>
      <c r="CV30" s="345" t="n"/>
      <c r="CW30" s="345" t="n"/>
      <c r="CX30" s="345" t="n"/>
      <c r="CY30" s="345" t="n"/>
      <c r="CZ30" s="345" t="n"/>
      <c r="DA30" s="345" t="n"/>
      <c r="DB30" s="345" t="n"/>
      <c r="DC30" s="345" t="n"/>
      <c r="DD30" s="345" t="n"/>
      <c r="DE30" s="345" t="n"/>
      <c r="DF30" s="345" t="n"/>
      <c r="DG30" s="345" t="n"/>
      <c r="DH30" s="345" t="n"/>
      <c r="DI30" s="345" t="n"/>
      <c r="DJ30" s="345" t="n"/>
      <c r="DK30" s="345" t="n"/>
      <c r="DL30" s="345" t="n"/>
      <c r="DM30" s="345" t="n"/>
      <c r="DN30" s="390" t="n"/>
      <c r="DO30" s="345" t="n"/>
      <c r="DP30" s="350" t="n"/>
      <c r="DQ30" s="345" t="n"/>
      <c r="DR30" s="345" t="n"/>
      <c r="DS30" s="345" t="n"/>
      <c r="DT30" s="345" t="n"/>
    </row>
    <row r="31" ht="15" customFormat="1" customHeight="1" s="196">
      <c r="A31" s="347" t="n"/>
      <c r="B31" s="381" t="n"/>
      <c r="C31" s="756" t="n"/>
      <c r="D31" s="382" t="n"/>
      <c r="E31" s="376" t="n"/>
      <c r="F31" s="754" t="n"/>
      <c r="G31" s="375" t="n"/>
      <c r="H31" s="375" t="n"/>
      <c r="I31" s="375" t="n"/>
      <c r="J31" s="376" t="n"/>
      <c r="K31" s="754" t="n"/>
      <c r="L31" s="381" t="n"/>
      <c r="M31" s="383" t="n"/>
      <c r="N31" s="384" t="n"/>
      <c r="O31" s="438" t="n"/>
      <c r="P31" s="10" t="n"/>
      <c r="Q31" s="17" t="n"/>
      <c r="R31" s="755" t="n"/>
      <c r="S31" s="755" t="n"/>
      <c r="T31" s="755" t="n"/>
      <c r="U31" s="755" t="n"/>
      <c r="V31" s="755" t="n"/>
      <c r="W31" s="755" t="n"/>
      <c r="X31" s="755" t="n"/>
      <c r="Y31" s="755" t="n"/>
      <c r="Z31" s="755" t="n"/>
      <c r="AA31" s="755" t="n"/>
      <c r="AB31" s="755" t="n"/>
      <c r="AC31" s="755" t="n"/>
      <c r="AD31" s="755" t="n"/>
      <c r="AE31" s="755" t="n"/>
      <c r="AF31" s="755" t="n"/>
      <c r="AG31" s="755" t="n"/>
      <c r="AH31" s="2" t="n"/>
      <c r="AI31" s="2" t="n"/>
      <c r="AJ31" s="2" t="n"/>
      <c r="AK31" s="2" t="n"/>
      <c r="AL31" s="2" t="n"/>
      <c r="AM31" s="2" t="n"/>
      <c r="AN31" s="2" t="n"/>
      <c r="AO31" s="2" t="n"/>
      <c r="AP31" s="345" t="n"/>
      <c r="AQ31" s="345" t="n"/>
      <c r="AR31" s="345" t="n"/>
      <c r="AS31" s="2" t="n"/>
      <c r="AT31" s="2" t="n"/>
      <c r="AU31" s="2" t="n"/>
      <c r="AV31" s="2" t="n"/>
      <c r="AW31" s="2" t="n"/>
      <c r="AX31" s="2" t="n"/>
      <c r="AY31" s="2" t="n"/>
      <c r="AZ31" s="2" t="n"/>
      <c r="BA31" s="2" t="n"/>
      <c r="BB31" s="2" t="n"/>
      <c r="BC31" s="2" t="n"/>
      <c r="BD31" s="2" t="n"/>
      <c r="BE31" s="2" t="n"/>
      <c r="BF31" s="2" t="n"/>
      <c r="BG31" s="2" t="n"/>
      <c r="BH31" s="2" t="n"/>
      <c r="BI31" s="2" t="n"/>
      <c r="BJ31" s="2" t="n"/>
      <c r="BK31" s="2" t="n"/>
      <c r="BL31" s="2" t="n"/>
      <c r="BM31" s="2" t="n"/>
      <c r="BN31" s="2" t="n"/>
      <c r="BO31" s="2" t="n"/>
      <c r="BP31" s="2" t="n"/>
      <c r="BQ31" s="2" t="n"/>
      <c r="BR31" s="2" t="n"/>
      <c r="BS31" s="2" t="n"/>
      <c r="BT31" s="2" t="n"/>
      <c r="BU31" s="2" t="n"/>
      <c r="BV31" s="2" t="n"/>
      <c r="BW31" s="2" t="n"/>
      <c r="BX31" s="2" t="n"/>
      <c r="BY31" s="2" t="n"/>
      <c r="BZ31" s="2" t="n"/>
      <c r="CA31" s="2" t="n"/>
      <c r="CB31" s="2" t="n"/>
      <c r="CC31" s="2" t="n"/>
      <c r="CD31" s="2" t="n"/>
      <c r="CE31" s="2" t="n"/>
      <c r="CF31" s="2" t="n"/>
      <c r="CG31" s="2" t="n"/>
      <c r="CH31" s="2" t="n"/>
      <c r="CI31" s="2" t="n"/>
      <c r="CJ31" s="2" t="n"/>
      <c r="CK31" s="2" t="n"/>
      <c r="CL31" s="2" t="n"/>
      <c r="CM31" s="2" t="n"/>
      <c r="CN31" s="345" t="n"/>
      <c r="CO31" s="345" t="n"/>
      <c r="CP31" s="345" t="n"/>
      <c r="CQ31" s="345" t="n"/>
      <c r="CR31" s="345" t="n"/>
      <c r="CS31" s="345" t="n"/>
      <c r="CT31" s="345" t="n"/>
      <c r="CU31" s="345" t="n"/>
      <c r="CV31" s="345" t="n"/>
      <c r="CW31" s="345" t="n"/>
      <c r="CX31" s="345" t="n"/>
      <c r="CY31" s="345" t="n"/>
      <c r="CZ31" s="345" t="n"/>
      <c r="DA31" s="345" t="n"/>
      <c r="DB31" s="345" t="n"/>
      <c r="DC31" s="345" t="n"/>
      <c r="DD31" s="345" t="n"/>
      <c r="DE31" s="345" t="n"/>
      <c r="DF31" s="345" t="n"/>
      <c r="DG31" s="345" t="n"/>
      <c r="DH31" s="345" t="n"/>
      <c r="DI31" s="345" t="n"/>
      <c r="DJ31" s="345" t="n"/>
      <c r="DK31" s="345" t="n"/>
      <c r="DL31" s="345" t="n"/>
      <c r="DM31" s="345" t="n"/>
      <c r="DN31" s="390" t="n"/>
      <c r="DO31" s="345" t="n"/>
      <c r="DP31" s="350" t="n"/>
      <c r="DQ31" s="345" t="n"/>
      <c r="DR31" s="345" t="n"/>
      <c r="DS31" s="345" t="n"/>
      <c r="DT31" s="345" t="n"/>
    </row>
    <row r="32" ht="15" customFormat="1" customHeight="1" s="196">
      <c r="A32" s="347" t="n"/>
      <c r="B32" s="385" t="n"/>
      <c r="C32" s="385" t="n"/>
      <c r="D32" s="385" t="n"/>
      <c r="E32" s="385" t="n"/>
      <c r="F32" s="385" t="n"/>
      <c r="G32" s="385" t="n"/>
      <c r="H32" s="385" t="n"/>
      <c r="I32" s="385" t="n"/>
      <c r="J32" s="385" t="n"/>
      <c r="K32" s="345" t="n"/>
      <c r="L32" s="345" t="n"/>
      <c r="M32" s="345" t="n"/>
      <c r="N32" s="345" t="n"/>
      <c r="O32" s="345" t="n"/>
      <c r="P32" s="10" t="n"/>
      <c r="Q32" s="17" t="n"/>
      <c r="R32" s="743" t="n"/>
      <c r="S32" s="743" t="n"/>
      <c r="T32" s="743" t="n"/>
      <c r="U32" s="743" t="n"/>
      <c r="V32" s="743" t="n"/>
      <c r="W32" s="743" t="n"/>
      <c r="X32" s="743" t="n"/>
      <c r="Y32" s="743" t="n"/>
      <c r="Z32" s="743" t="n"/>
      <c r="AA32" s="743" t="n"/>
      <c r="AB32" s="743" t="n"/>
      <c r="AC32" s="743" t="n"/>
      <c r="AD32" s="743" t="n"/>
      <c r="AE32" s="743" t="n"/>
      <c r="AF32" s="743" t="n"/>
      <c r="AG32" s="743" t="n"/>
      <c r="AH32" s="743" t="n"/>
      <c r="AI32" s="743" t="n"/>
      <c r="AJ32" s="743" t="n"/>
      <c r="AK32" s="743" t="n"/>
      <c r="AL32" s="2" t="n"/>
      <c r="AM32" s="2" t="n"/>
      <c r="AN32" s="2" t="n"/>
      <c r="AO32" s="2" t="n"/>
      <c r="AP32" s="2" t="n"/>
      <c r="AQ32" s="2" t="n"/>
      <c r="AR32" s="2" t="n"/>
      <c r="AS32" s="2" t="n"/>
      <c r="AT32" s="345" t="n"/>
      <c r="AU32" s="345" t="n"/>
      <c r="AV32" s="345" t="n"/>
      <c r="AW32" s="2" t="n"/>
      <c r="AX32" s="2" t="n"/>
      <c r="AY32" s="2" t="n"/>
      <c r="AZ32" s="2" t="n"/>
      <c r="BA32" s="2" t="n"/>
      <c r="BB32" s="2" t="n"/>
      <c r="BC32" s="2" t="n"/>
      <c r="BD32" s="2" t="n"/>
      <c r="BE32" s="2" t="n"/>
      <c r="BF32" s="2" t="n"/>
      <c r="BG32" s="2" t="n"/>
      <c r="BH32" s="2" t="n"/>
      <c r="BI32" s="2" t="n"/>
      <c r="BJ32" s="2" t="n"/>
      <c r="BK32" s="2" t="n"/>
      <c r="BL32" s="2" t="n"/>
      <c r="BM32" s="2" t="n"/>
      <c r="BN32" s="2" t="n"/>
      <c r="BO32" s="2" t="n"/>
      <c r="BP32" s="2" t="n"/>
      <c r="BQ32" s="2" t="n"/>
      <c r="BR32" s="2" t="n"/>
      <c r="BS32" s="2" t="n"/>
      <c r="BT32" s="2" t="n"/>
      <c r="BU32" s="2" t="n"/>
      <c r="BV32" s="2" t="n"/>
      <c r="BW32" s="2" t="n"/>
      <c r="BX32" s="2" t="n"/>
      <c r="BY32" s="2" t="n"/>
      <c r="BZ32" s="2" t="n"/>
      <c r="CA32" s="2" t="n"/>
      <c r="CB32" s="2" t="n"/>
      <c r="CC32" s="2" t="n"/>
      <c r="CD32" s="2" t="n"/>
      <c r="CE32" s="2" t="n"/>
      <c r="CF32" s="2" t="n"/>
      <c r="CG32" s="2" t="n"/>
      <c r="CH32" s="2" t="n"/>
      <c r="CI32" s="2" t="n"/>
      <c r="CJ32" s="2" t="n"/>
      <c r="CK32" s="2" t="n"/>
      <c r="CL32" s="2" t="n"/>
      <c r="CM32" s="2" t="n"/>
      <c r="CN32" s="2" t="n"/>
      <c r="CO32" s="2" t="n"/>
      <c r="CP32" s="2" t="n"/>
      <c r="CQ32" s="2" t="n"/>
      <c r="CR32" s="345" t="n"/>
      <c r="CS32" s="345" t="n"/>
      <c r="CT32" s="345" t="n"/>
      <c r="CU32" s="345" t="n"/>
      <c r="CV32" s="345" t="n"/>
      <c r="CW32" s="345" t="n"/>
      <c r="CX32" s="345" t="n"/>
      <c r="CY32" s="345" t="n"/>
      <c r="CZ32" s="345" t="n"/>
      <c r="DA32" s="345" t="n"/>
      <c r="DB32" s="345" t="n"/>
      <c r="DC32" s="345" t="n"/>
      <c r="DD32" s="345" t="n"/>
      <c r="DE32" s="345" t="n"/>
      <c r="DF32" s="345" t="n"/>
      <c r="DG32" s="345" t="n"/>
      <c r="DH32" s="345" t="n"/>
      <c r="DI32" s="345" t="n"/>
      <c r="DJ32" s="345" t="n"/>
      <c r="DK32" s="345" t="n"/>
      <c r="DL32" s="345" t="n"/>
      <c r="DM32" s="345" t="n"/>
      <c r="DN32" s="345" t="n"/>
      <c r="DO32" s="345" t="n"/>
      <c r="DP32" s="345" t="n"/>
      <c r="DQ32" s="345" t="n"/>
      <c r="DR32" s="390" t="n"/>
      <c r="DS32" s="345" t="n"/>
      <c r="DT32" s="350" t="n"/>
    </row>
    <row r="33" ht="15" customFormat="1" customHeight="1" s="196">
      <c r="A33" s="347" t="n"/>
      <c r="B33" s="4" t="n"/>
      <c r="C33" s="4" t="n"/>
      <c r="D33" s="4" t="n"/>
      <c r="E33" s="4" t="n"/>
      <c r="F33" s="4" t="n"/>
      <c r="G33" s="345" t="n"/>
      <c r="H33" s="345" t="n"/>
      <c r="I33" s="345" t="n"/>
      <c r="J33" s="345" t="n"/>
      <c r="K33" s="345" t="n"/>
      <c r="L33" s="345" t="n"/>
      <c r="M33" s="345" t="n"/>
      <c r="N33" s="345" t="n"/>
      <c r="O33" s="345" t="n"/>
      <c r="P33" s="10" t="n"/>
      <c r="Q33" s="17" t="n"/>
      <c r="R33" s="743" t="n"/>
      <c r="S33" s="743" t="n"/>
      <c r="T33" s="743" t="n"/>
      <c r="U33" s="743" t="n"/>
      <c r="V33" s="743" t="n"/>
      <c r="W33" s="743" t="n"/>
      <c r="X33" s="743" t="n"/>
      <c r="Y33" s="743" t="n"/>
      <c r="Z33" s="743" t="n"/>
      <c r="AA33" s="743" t="n"/>
      <c r="AB33" s="743" t="n"/>
      <c r="AC33" s="743" t="n"/>
      <c r="AD33" s="743" t="n"/>
      <c r="AE33" s="743" t="n"/>
      <c r="AF33" s="743" t="n"/>
      <c r="AG33" s="743" t="n"/>
      <c r="AH33" s="743" t="n"/>
      <c r="AI33" s="743" t="n"/>
      <c r="AJ33" s="743" t="n"/>
      <c r="AK33" s="743" t="n"/>
      <c r="AL33" s="2" t="n"/>
      <c r="AM33" s="2" t="n"/>
      <c r="AN33" s="2" t="n"/>
      <c r="AO33" s="2" t="n"/>
      <c r="AP33" s="2" t="n"/>
      <c r="AQ33" s="2" t="n"/>
      <c r="AR33" s="2" t="n"/>
      <c r="AS33" s="2" t="n"/>
      <c r="AT33" s="345" t="n"/>
      <c r="AU33" s="345" t="n"/>
      <c r="AV33" s="345"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345" t="n"/>
      <c r="CS33" s="345" t="n"/>
      <c r="CT33" s="345" t="n"/>
      <c r="CU33" s="345" t="n"/>
      <c r="CV33" s="345" t="n"/>
      <c r="CW33" s="345" t="n"/>
      <c r="CX33" s="345" t="n"/>
      <c r="CY33" s="345" t="n"/>
      <c r="CZ33" s="345" t="n"/>
      <c r="DA33" s="345" t="n"/>
      <c r="DB33" s="345" t="n"/>
      <c r="DC33" s="345" t="n"/>
      <c r="DD33" s="345" t="n"/>
      <c r="DE33" s="345" t="n"/>
      <c r="DF33" s="345" t="n"/>
      <c r="DG33" s="345" t="n"/>
      <c r="DH33" s="345" t="n"/>
      <c r="DI33" s="345" t="n"/>
      <c r="DJ33" s="345" t="n"/>
      <c r="DK33" s="345" t="n"/>
      <c r="DL33" s="345" t="n"/>
      <c r="DM33" s="345" t="n"/>
      <c r="DN33" s="345" t="n"/>
      <c r="DO33" s="345" t="n"/>
      <c r="DP33" s="345" t="n"/>
      <c r="DQ33" s="345" t="n"/>
      <c r="DR33" s="390" t="n"/>
      <c r="DS33" s="345" t="n"/>
      <c r="DT33" s="350" t="n"/>
      <c r="DU33" s="345" t="n"/>
      <c r="DV33" s="345" t="n"/>
      <c r="DW33" s="345" t="n"/>
      <c r="DX33" s="345" t="n"/>
    </row>
    <row r="34" ht="24.95" customFormat="1" customHeight="1" s="196">
      <c r="A34" s="347" t="n"/>
      <c r="B34" s="352" t="inlineStr">
        <is>
          <t>其他异常项测试</t>
        </is>
      </c>
      <c r="C34" s="353" t="n"/>
      <c r="D34" s="353" t="n"/>
      <c r="E34" s="353" t="n"/>
      <c r="F34" s="353" t="n"/>
      <c r="G34" s="365" t="n"/>
      <c r="H34" s="365" t="n"/>
      <c r="I34" s="365" t="n"/>
      <c r="J34" s="365" t="n"/>
      <c r="K34" s="365" t="n"/>
      <c r="L34" s="365" t="n"/>
      <c r="M34" s="365" t="n"/>
      <c r="N34" s="365" t="n"/>
      <c r="O34" s="365" t="n"/>
      <c r="P34" s="10" t="n"/>
      <c r="Q34" s="17" t="n"/>
      <c r="R34" s="743" t="n"/>
      <c r="S34" s="743" t="n"/>
      <c r="T34" s="743" t="n"/>
      <c r="U34" s="743" t="n"/>
      <c r="V34" s="743" t="n"/>
      <c r="W34" s="743" t="n"/>
      <c r="X34" s="743" t="n"/>
      <c r="Y34" s="743" t="n"/>
      <c r="Z34" s="743" t="n"/>
      <c r="AA34" s="743" t="n"/>
      <c r="AB34" s="743" t="n"/>
      <c r="AC34" s="743" t="n"/>
      <c r="AD34" s="743" t="n"/>
      <c r="AE34" s="743" t="n"/>
      <c r="AF34" s="743" t="n"/>
      <c r="AG34" s="743" t="n"/>
      <c r="AH34" s="743" t="n"/>
      <c r="AI34" s="743" t="n"/>
      <c r="AJ34" s="743" t="n"/>
      <c r="AK34" s="743" t="n"/>
      <c r="AL34" s="2" t="n"/>
      <c r="AM34" s="2" t="n"/>
      <c r="AN34" s="2" t="n"/>
      <c r="AO34" s="2" t="n"/>
      <c r="AP34" s="2" t="n"/>
      <c r="AQ34" s="2" t="n"/>
      <c r="AR34" s="2" t="n"/>
      <c r="AS34" s="2" t="n"/>
      <c r="AT34" s="345" t="n"/>
      <c r="AU34" s="345" t="n"/>
      <c r="AV34" s="345" t="n"/>
      <c r="AW34" s="2" t="n"/>
      <c r="AX34" s="2" t="n"/>
      <c r="AY34" s="2" t="n"/>
      <c r="AZ34" s="2" t="n"/>
      <c r="BA34" s="2" t="n"/>
      <c r="BB34" s="2" t="n"/>
      <c r="BC34" s="2" t="n"/>
      <c r="BD34" s="2" t="n"/>
      <c r="BE34" s="2" t="n"/>
      <c r="BF34" s="2" t="n"/>
      <c r="BG34" s="2" t="n"/>
      <c r="BH34" s="2" t="n"/>
      <c r="BI34" s="2" t="n"/>
      <c r="BJ34" s="2" t="n"/>
      <c r="BK34" s="2" t="n"/>
      <c r="BL34" s="2" t="n"/>
      <c r="BM34" s="2" t="n"/>
      <c r="BN34" s="2" t="n"/>
      <c r="BO34" s="2" t="n"/>
      <c r="BP34" s="2" t="n"/>
      <c r="BQ34" s="2" t="n"/>
      <c r="BR34" s="2" t="n"/>
      <c r="BS34" s="2" t="n"/>
      <c r="BT34" s="2" t="n"/>
      <c r="BU34" s="2" t="n"/>
      <c r="BV34" s="2" t="n"/>
      <c r="BW34" s="2" t="n"/>
      <c r="BX34" s="2" t="n"/>
      <c r="BY34" s="2" t="n"/>
      <c r="BZ34" s="2" t="n"/>
      <c r="CA34" s="2" t="n"/>
      <c r="CB34" s="2" t="n"/>
      <c r="CC34" s="2" t="n"/>
      <c r="CD34" s="2" t="n"/>
      <c r="CE34" s="2" t="n"/>
      <c r="CF34" s="2" t="n"/>
      <c r="CG34" s="2" t="n"/>
      <c r="CH34" s="2" t="n"/>
      <c r="CI34" s="2" t="n"/>
      <c r="CJ34" s="2" t="n"/>
      <c r="CK34" s="2" t="n"/>
      <c r="CL34" s="2" t="n"/>
      <c r="CM34" s="2" t="n"/>
      <c r="CN34" s="2" t="n"/>
      <c r="CO34" s="2" t="n"/>
      <c r="CP34" s="2" t="n"/>
      <c r="CQ34" s="2" t="n"/>
      <c r="CR34" s="345" t="n"/>
      <c r="CS34" s="345" t="n"/>
      <c r="CT34" s="345" t="n"/>
      <c r="CU34" s="345" t="n"/>
      <c r="CV34" s="345" t="n"/>
      <c r="CW34" s="345" t="n"/>
      <c r="CX34" s="345" t="n"/>
      <c r="CY34" s="345" t="n"/>
      <c r="CZ34" s="345" t="n"/>
      <c r="DA34" s="345" t="n"/>
      <c r="DB34" s="345" t="n"/>
      <c r="DC34" s="345" t="n"/>
      <c r="DD34" s="345" t="n"/>
      <c r="DE34" s="345" t="n"/>
      <c r="DF34" s="345" t="n"/>
      <c r="DG34" s="345" t="n"/>
      <c r="DH34" s="345" t="n"/>
      <c r="DI34" s="345" t="n"/>
      <c r="DJ34" s="345" t="n"/>
      <c r="DK34" s="345" t="n"/>
      <c r="DL34" s="345" t="n"/>
      <c r="DM34" s="345" t="n"/>
      <c r="DN34" s="345" t="n"/>
      <c r="DO34" s="345" t="n"/>
      <c r="DP34" s="345" t="n"/>
      <c r="DQ34" s="345" t="n"/>
      <c r="DR34" s="390" t="n"/>
      <c r="DS34" s="345" t="n"/>
      <c r="DT34" s="350" t="n"/>
      <c r="DU34" s="345" t="n"/>
      <c r="DV34" s="345" t="n"/>
      <c r="DW34" s="345" t="n"/>
      <c r="DX34" s="345" t="n"/>
    </row>
    <row r="35" ht="15" customFormat="1" customHeight="1" s="196">
      <c r="A35" s="347" t="n"/>
      <c r="B35" s="386" t="n"/>
      <c r="C35" s="2" t="n"/>
      <c r="D35" s="2" t="n"/>
      <c r="E35" s="2" t="n"/>
      <c r="F35" s="2" t="n"/>
      <c r="G35" s="345" t="n"/>
      <c r="H35" s="345" t="n"/>
      <c r="I35" s="345" t="n"/>
      <c r="J35" s="345" t="n"/>
      <c r="K35" s="345" t="n"/>
      <c r="L35" s="345" t="n"/>
      <c r="M35" s="345" t="n"/>
      <c r="N35" s="345" t="n"/>
      <c r="O35" s="345" t="n"/>
      <c r="P35" s="10" t="n"/>
      <c r="Q35" s="17" t="n"/>
      <c r="R35" s="743" t="n"/>
      <c r="S35" s="743" t="n"/>
      <c r="T35" s="743" t="n"/>
      <c r="U35" s="743" t="n"/>
      <c r="V35" s="743" t="n"/>
      <c r="W35" s="743" t="n"/>
      <c r="X35" s="743" t="n"/>
      <c r="Y35" s="743" t="n"/>
      <c r="Z35" s="743" t="n"/>
      <c r="AA35" s="743" t="n"/>
      <c r="AB35" s="743" t="n"/>
      <c r="AC35" s="743" t="n"/>
      <c r="AD35" s="743" t="n"/>
      <c r="AE35" s="743" t="n"/>
      <c r="AF35" s="743" t="n"/>
      <c r="AG35" s="743" t="n"/>
      <c r="AH35" s="743" t="n"/>
      <c r="AI35" s="743" t="n"/>
      <c r="AJ35" s="743" t="n"/>
      <c r="AK35" s="743" t="n"/>
      <c r="AL35" s="2" t="n"/>
      <c r="AM35" s="2" t="n"/>
      <c r="AN35" s="2" t="n"/>
      <c r="AO35" s="2" t="n"/>
      <c r="AP35" s="2" t="n"/>
      <c r="AQ35" s="2" t="n"/>
      <c r="AR35" s="2" t="n"/>
      <c r="AS35" s="2" t="n"/>
      <c r="AT35" s="345" t="n"/>
      <c r="AU35" s="345" t="n"/>
      <c r="AV35" s="345" t="n"/>
      <c r="AW35" s="2" t="n"/>
      <c r="AX35" s="2" t="n"/>
      <c r="AY35" s="2" t="n"/>
      <c r="AZ35" s="2" t="n"/>
      <c r="BA35" s="2" t="n"/>
      <c r="BB35" s="2" t="n"/>
      <c r="BC35" s="2" t="n"/>
      <c r="BD35" s="2" t="n"/>
      <c r="BE35" s="2" t="n"/>
      <c r="BF35" s="2" t="n"/>
      <c r="BG35" s="2" t="n"/>
      <c r="BH35" s="2" t="n"/>
      <c r="BI35" s="2" t="n"/>
      <c r="BJ35" s="2" t="n"/>
      <c r="BK35" s="2" t="n"/>
      <c r="BL35" s="2" t="n"/>
      <c r="BM35" s="2" t="n"/>
      <c r="BN35" s="2" t="n"/>
      <c r="BO35" s="2" t="n"/>
      <c r="BP35" s="2" t="n"/>
      <c r="BQ35" s="2" t="n"/>
      <c r="BR35" s="2" t="n"/>
      <c r="BS35" s="2" t="n"/>
      <c r="BT35" s="2" t="n"/>
      <c r="BU35" s="2" t="n"/>
      <c r="BV35" s="2" t="n"/>
      <c r="BW35" s="2" t="n"/>
      <c r="BX35" s="2" t="n"/>
      <c r="BY35" s="2" t="n"/>
      <c r="BZ35" s="2" t="n"/>
      <c r="CA35" s="2" t="n"/>
      <c r="CB35" s="2" t="n"/>
      <c r="CC35" s="2" t="n"/>
      <c r="CD35" s="2" t="n"/>
      <c r="CE35" s="2" t="n"/>
      <c r="CF35" s="2" t="n"/>
      <c r="CG35" s="2" t="n"/>
      <c r="CH35" s="2" t="n"/>
      <c r="CI35" s="2" t="n"/>
      <c r="CJ35" s="2" t="n"/>
      <c r="CK35" s="2" t="n"/>
      <c r="CL35" s="2" t="n"/>
      <c r="CM35" s="2" t="n"/>
      <c r="CN35" s="2" t="n"/>
      <c r="CO35" s="2" t="n"/>
      <c r="CP35" s="2" t="n"/>
      <c r="CQ35" s="2" t="n"/>
      <c r="CR35" s="345" t="n"/>
      <c r="CS35" s="345" t="n"/>
      <c r="CT35" s="345" t="n"/>
      <c r="CU35" s="345" t="n"/>
      <c r="CV35" s="345" t="n"/>
      <c r="CW35" s="345" t="n"/>
      <c r="CX35" s="345" t="n"/>
      <c r="CY35" s="345" t="n"/>
      <c r="CZ35" s="345" t="n"/>
      <c r="DA35" s="345" t="n"/>
      <c r="DB35" s="345" t="n"/>
      <c r="DC35" s="345" t="n"/>
      <c r="DD35" s="345" t="n"/>
      <c r="DE35" s="345" t="n"/>
      <c r="DF35" s="345" t="n"/>
      <c r="DG35" s="345" t="n"/>
      <c r="DH35" s="345" t="n"/>
      <c r="DI35" s="345" t="n"/>
      <c r="DJ35" s="345" t="n"/>
      <c r="DK35" s="345" t="n"/>
      <c r="DL35" s="345" t="n"/>
      <c r="DM35" s="345" t="n"/>
      <c r="DN35" s="345" t="n"/>
      <c r="DO35" s="345" t="n"/>
      <c r="DP35" s="345" t="n"/>
      <c r="DQ35" s="345" t="n"/>
      <c r="DR35" s="390" t="n"/>
      <c r="DS35" s="345" t="n"/>
      <c r="DT35" s="350" t="n"/>
      <c r="DU35" s="345" t="n"/>
      <c r="DV35" s="345" t="n"/>
      <c r="DW35" s="345" t="n"/>
      <c r="DX35" s="345" t="n"/>
    </row>
    <row r="36" ht="15" customHeight="1" s="634">
      <c r="A36" s="341" t="n"/>
      <c r="B36" s="169" t="inlineStr">
        <is>
          <t>表2 在下面记录选择关键项目的理由</t>
        </is>
      </c>
      <c r="C36" s="757" t="n"/>
      <c r="D36" s="757" t="n"/>
      <c r="E36" s="757" t="n"/>
      <c r="F36" s="757" t="n"/>
      <c r="G36" s="2" t="n"/>
      <c r="H36" s="2" t="n"/>
      <c r="I36" s="2" t="n"/>
      <c r="J36" s="2" t="n"/>
      <c r="K36" s="2" t="n"/>
      <c r="L36" s="2" t="n"/>
      <c r="M36" s="2" t="n"/>
      <c r="N36" s="2" t="n"/>
      <c r="O36" s="2" t="n"/>
      <c r="P36" s="10" t="n"/>
      <c r="Q36" s="17"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c r="AP36" s="2" t="n"/>
      <c r="AQ36" s="2" t="n"/>
      <c r="AR36" s="2" t="n"/>
      <c r="AS36" s="2" t="n"/>
      <c r="AT36" s="2" t="n"/>
      <c r="AU36" s="2" t="n"/>
      <c r="AV36" s="2" t="n"/>
      <c r="AW36" s="2" t="n"/>
      <c r="AX36" s="2" t="n"/>
      <c r="AY36" s="2" t="n"/>
      <c r="AZ36" s="2" t="n"/>
      <c r="BA36" s="2" t="n"/>
      <c r="BB36" s="2" t="n"/>
      <c r="BC36" s="2" t="n"/>
      <c r="BD36" s="2" t="n"/>
      <c r="BE36" s="2" t="n"/>
      <c r="BF36" s="2" t="n"/>
      <c r="BG36" s="2" t="n"/>
      <c r="BH36" s="2" t="n"/>
      <c r="BI36" s="2" t="n"/>
      <c r="BJ36" s="2" t="n"/>
      <c r="BK36" s="2" t="n"/>
      <c r="BL36" s="2" t="n"/>
      <c r="BM36" s="2" t="n"/>
      <c r="BN36" s="2" t="n"/>
      <c r="BO36" s="2" t="n"/>
      <c r="BP36" s="2" t="n"/>
      <c r="BQ36" s="2" t="n"/>
      <c r="BR36" s="2" t="n"/>
      <c r="BS36" s="2" t="n"/>
      <c r="BT36" s="2" t="n"/>
      <c r="BU36" s="2" t="n"/>
      <c r="BV36" s="2" t="n"/>
      <c r="BW36" s="2" t="n"/>
      <c r="BX36" s="2" t="n"/>
      <c r="BY36" s="2" t="n"/>
      <c r="BZ36" s="2" t="n"/>
      <c r="CA36" s="2" t="n"/>
      <c r="CB36" s="2" t="n"/>
      <c r="CC36" s="2" t="n"/>
      <c r="CD36" s="2" t="n"/>
      <c r="CE36" s="2" t="n"/>
      <c r="CF36" s="2" t="n"/>
      <c r="CG36" s="2" t="n"/>
      <c r="CH36" s="2" t="n"/>
      <c r="CI36" s="2" t="n"/>
      <c r="CJ36" s="2" t="n"/>
      <c r="CK36" s="2" t="n"/>
      <c r="CL36" s="2" t="n"/>
      <c r="CM36" s="2" t="n"/>
      <c r="CN36" s="2" t="n"/>
      <c r="CO36" s="2" t="n"/>
      <c r="CP36" s="2" t="n"/>
      <c r="CQ36" s="2" t="n"/>
      <c r="CR36" s="2" t="n"/>
      <c r="CS36" s="2" t="n"/>
      <c r="CT36" s="2" t="n"/>
      <c r="CU36" s="345" t="n"/>
      <c r="CV36" s="345" t="n"/>
      <c r="CW36" s="345" t="n"/>
      <c r="CX36" s="345" t="n"/>
      <c r="CY36" s="345" t="n"/>
      <c r="CZ36" s="345" t="n"/>
      <c r="DA36" s="345" t="n"/>
      <c r="DB36" s="345" t="n"/>
      <c r="DC36" s="345" t="n"/>
      <c r="DD36" s="345" t="n"/>
      <c r="DE36" s="345" t="n"/>
      <c r="DF36" s="345" t="n"/>
      <c r="DG36" s="345" t="n"/>
      <c r="DH36" s="345" t="n"/>
      <c r="DI36" s="345" t="n"/>
      <c r="DJ36" s="345" t="n"/>
      <c r="DK36" s="345" t="n"/>
      <c r="DL36" s="345" t="n"/>
      <c r="DM36" s="345" t="n"/>
      <c r="DN36" s="345" t="n"/>
      <c r="DO36" s="345" t="n"/>
      <c r="DP36" s="345" t="n"/>
      <c r="DQ36" s="345" t="n"/>
      <c r="DR36" s="345" t="n"/>
      <c r="DS36" s="345" t="n"/>
      <c r="DT36" s="345" t="n"/>
      <c r="DU36" s="390" t="n"/>
      <c r="DV36" s="345" t="n"/>
      <c r="DW36" s="350" t="n"/>
      <c r="DX36" s="2" t="n"/>
    </row>
    <row r="37" ht="14.25" customHeight="1" s="634">
      <c r="A37" s="341" t="n"/>
      <c r="B37" s="692" t="n"/>
      <c r="C37" s="693" t="n"/>
      <c r="D37" s="693" t="n"/>
      <c r="E37" s="693" t="n"/>
      <c r="F37" s="694" t="n"/>
      <c r="G37" s="2" t="n"/>
      <c r="H37" s="2" t="n"/>
      <c r="I37" s="2" t="n"/>
      <c r="J37" s="2" t="n"/>
      <c r="K37" s="2" t="n"/>
      <c r="L37" s="2" t="n"/>
      <c r="M37" s="2" t="n"/>
      <c r="N37" s="2" t="n"/>
      <c r="O37" s="2" t="n"/>
      <c r="P37" s="10" t="n"/>
      <c r="Q37" s="17"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c r="AO37" s="2" t="n"/>
      <c r="AP37" s="2" t="n"/>
      <c r="AQ37" s="2" t="n"/>
      <c r="AR37" s="2" t="n"/>
      <c r="AS37" s="2" t="n"/>
      <c r="AT37" s="2" t="n"/>
      <c r="AU37" s="2" t="n"/>
      <c r="AV37" s="2" t="n"/>
      <c r="AW37" s="2" t="n"/>
      <c r="AX37" s="2" t="n"/>
      <c r="AY37" s="2" t="n"/>
      <c r="AZ37" s="2" t="n"/>
      <c r="BA37" s="2" t="n"/>
      <c r="BB37" s="2" t="n"/>
      <c r="BC37" s="2" t="n"/>
      <c r="BD37" s="2" t="n"/>
      <c r="BE37" s="2" t="n"/>
      <c r="BF37" s="2" t="n"/>
      <c r="BG37" s="2" t="n"/>
      <c r="BH37" s="2" t="n"/>
      <c r="BI37" s="2" t="n"/>
      <c r="BJ37" s="2" t="n"/>
      <c r="BK37" s="2" t="n"/>
      <c r="BL37" s="2" t="n"/>
      <c r="BM37" s="2" t="n"/>
      <c r="BN37" s="2" t="n"/>
      <c r="BO37" s="2" t="n"/>
      <c r="BP37" s="2" t="n"/>
      <c r="BQ37" s="2" t="n"/>
      <c r="BR37" s="2" t="n"/>
      <c r="BS37" s="2" t="n"/>
      <c r="BT37" s="2" t="n"/>
      <c r="BU37" s="2" t="n"/>
      <c r="BV37" s="2" t="n"/>
      <c r="BW37" s="2" t="n"/>
      <c r="BX37" s="2" t="n"/>
      <c r="BY37" s="2" t="n"/>
      <c r="BZ37" s="2" t="n"/>
      <c r="CA37" s="2" t="n"/>
      <c r="CB37" s="2" t="n"/>
      <c r="CC37" s="2" t="n"/>
      <c r="CD37" s="2" t="n"/>
      <c r="CE37" s="2" t="n"/>
      <c r="CF37" s="2" t="n"/>
      <c r="CG37" s="2" t="n"/>
      <c r="CH37" s="2" t="n"/>
      <c r="CI37" s="2" t="n"/>
      <c r="CJ37" s="2" t="n"/>
      <c r="CK37" s="2" t="n"/>
      <c r="CL37" s="2" t="n"/>
      <c r="CM37" s="2" t="n"/>
      <c r="CN37" s="2" t="n"/>
      <c r="CO37" s="2" t="n"/>
      <c r="CP37" s="2" t="n"/>
      <c r="CQ37" s="2" t="n"/>
      <c r="CR37" s="2" t="n"/>
      <c r="CS37" s="2" t="n"/>
      <c r="CT37" s="2" t="n"/>
      <c r="CU37" s="345" t="n"/>
      <c r="CV37" s="345" t="n"/>
      <c r="CW37" s="345" t="n"/>
      <c r="CX37" s="345" t="n"/>
      <c r="CY37" s="345" t="n"/>
      <c r="CZ37" s="345" t="n"/>
      <c r="DA37" s="345" t="n"/>
      <c r="DB37" s="345" t="n"/>
      <c r="DC37" s="345" t="n"/>
      <c r="DD37" s="345" t="n"/>
      <c r="DE37" s="345" t="n"/>
      <c r="DF37" s="345" t="n"/>
      <c r="DG37" s="345" t="n"/>
      <c r="DH37" s="345" t="n"/>
      <c r="DI37" s="345" t="n"/>
      <c r="DJ37" s="345" t="n"/>
      <c r="DK37" s="345" t="n"/>
      <c r="DL37" s="345" t="n"/>
      <c r="DM37" s="345" t="n"/>
      <c r="DN37" s="345" t="n"/>
      <c r="DO37" s="345" t="n"/>
      <c r="DP37" s="345" t="n"/>
      <c r="DQ37" s="345" t="n"/>
      <c r="DR37" s="345" t="n"/>
      <c r="DS37" s="345" t="n"/>
      <c r="DT37" s="345" t="n"/>
      <c r="DU37" s="390" t="n"/>
      <c r="DV37" s="345" t="n"/>
      <c r="DW37" s="350" t="n"/>
      <c r="DX37" s="2" t="n"/>
    </row>
    <row r="38" ht="14.25" customHeight="1" s="634">
      <c r="A38" s="341" t="n"/>
      <c r="B38" s="695" t="n"/>
      <c r="F38" s="639" t="n"/>
      <c r="G38" s="2" t="n"/>
      <c r="H38" s="2" t="n"/>
      <c r="I38" s="2" t="n"/>
      <c r="J38" s="2" t="n"/>
      <c r="K38" s="2" t="n"/>
      <c r="L38" s="2" t="n"/>
      <c r="M38" s="2" t="n"/>
      <c r="N38" s="2" t="n"/>
      <c r="O38" s="2" t="n"/>
      <c r="P38" s="10" t="n"/>
      <c r="Q38" s="17"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2" t="n"/>
      <c r="BJ38" s="2" t="n"/>
      <c r="BK38" s="2" t="n"/>
      <c r="BL38" s="2" t="n"/>
      <c r="BM38" s="2" t="n"/>
      <c r="BN38" s="2" t="n"/>
      <c r="BO38" s="2" t="n"/>
      <c r="BP38" s="2" t="n"/>
      <c r="BQ38" s="2" t="n"/>
      <c r="BR38" s="2" t="n"/>
      <c r="BS38" s="2" t="n"/>
      <c r="BT38" s="2" t="n"/>
      <c r="BU38" s="2" t="n"/>
      <c r="BV38" s="2" t="n"/>
      <c r="BW38" s="2" t="n"/>
      <c r="BX38" s="2" t="n"/>
      <c r="BY38" s="2" t="n"/>
      <c r="BZ38" s="2" t="n"/>
      <c r="CA38" s="2" t="n"/>
      <c r="CB38" s="2" t="n"/>
      <c r="CC38" s="2" t="n"/>
      <c r="CD38" s="2" t="n"/>
      <c r="CE38" s="2" t="n"/>
      <c r="CF38" s="2" t="n"/>
      <c r="CG38" s="2" t="n"/>
      <c r="CH38" s="2" t="n"/>
      <c r="CI38" s="2" t="n"/>
      <c r="CJ38" s="2" t="n"/>
      <c r="CK38" s="2" t="n"/>
      <c r="CL38" s="2" t="n"/>
      <c r="CM38" s="2" t="n"/>
      <c r="CN38" s="2" t="n"/>
      <c r="CO38" s="2" t="n"/>
      <c r="CP38" s="2" t="n"/>
      <c r="CQ38" s="2" t="n"/>
      <c r="CR38" s="2" t="n"/>
      <c r="CS38" s="2" t="n"/>
      <c r="CT38" s="2" t="n"/>
      <c r="CU38" s="345" t="n"/>
      <c r="CV38" s="345" t="n"/>
      <c r="CW38" s="345" t="n"/>
      <c r="CX38" s="345" t="n"/>
      <c r="CY38" s="345" t="n"/>
      <c r="CZ38" s="345" t="n"/>
      <c r="DA38" s="345" t="n"/>
      <c r="DB38" s="345" t="n"/>
      <c r="DC38" s="345" t="n"/>
      <c r="DD38" s="345" t="n"/>
      <c r="DE38" s="345" t="n"/>
      <c r="DF38" s="345" t="n"/>
      <c r="DG38" s="345" t="n"/>
      <c r="DH38" s="345" t="n"/>
      <c r="DI38" s="345" t="n"/>
      <c r="DJ38" s="345" t="n"/>
      <c r="DK38" s="345" t="n"/>
      <c r="DL38" s="345" t="n"/>
      <c r="DM38" s="345" t="n"/>
      <c r="DN38" s="345" t="n"/>
      <c r="DO38" s="345" t="n"/>
      <c r="DP38" s="345" t="n"/>
      <c r="DQ38" s="345" t="n"/>
      <c r="DR38" s="345" t="n"/>
      <c r="DS38" s="345" t="n"/>
      <c r="DT38" s="345" t="n"/>
      <c r="DU38" s="390" t="n"/>
      <c r="DV38" s="345" t="n"/>
      <c r="DW38" s="350" t="n"/>
      <c r="DX38" s="2" t="n"/>
    </row>
    <row r="39" ht="14.25" customHeight="1" s="634">
      <c r="A39" s="341" t="n"/>
      <c r="B39" s="695" t="n"/>
      <c r="F39" s="639" t="n"/>
      <c r="G39" s="2" t="n"/>
      <c r="H39" s="2" t="n"/>
      <c r="I39" s="2" t="n"/>
      <c r="J39" s="2" t="n"/>
      <c r="K39" s="2" t="n"/>
      <c r="L39" s="2" t="n"/>
      <c r="M39" s="2" t="n"/>
      <c r="N39" s="2" t="n"/>
      <c r="O39" s="2" t="n"/>
      <c r="P39" s="10" t="n"/>
      <c r="Q39" s="17"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c r="AO39" s="2" t="n"/>
      <c r="AP39" s="2" t="n"/>
      <c r="AQ39" s="2" t="n"/>
      <c r="AR39" s="2" t="n"/>
      <c r="AS39" s="2" t="n"/>
      <c r="AT39" s="2" t="n"/>
      <c r="AU39" s="2" t="n"/>
      <c r="AV39" s="2" t="n"/>
      <c r="AW39" s="2" t="n"/>
      <c r="AX39" s="2" t="n"/>
      <c r="AY39" s="2" t="n"/>
      <c r="AZ39" s="2" t="n"/>
      <c r="BA39" s="2" t="n"/>
      <c r="BB39" s="2" t="n"/>
      <c r="BC39" s="2" t="n"/>
      <c r="BD39" s="2" t="n"/>
      <c r="BE39" s="2" t="n"/>
      <c r="BF39" s="2" t="n"/>
      <c r="BG39" s="2" t="n"/>
      <c r="BH39" s="2" t="n"/>
      <c r="BI39" s="2" t="n"/>
      <c r="BJ39" s="2" t="n"/>
      <c r="BK39" s="2" t="n"/>
      <c r="BL39" s="2" t="n"/>
      <c r="BM39" s="2" t="n"/>
      <c r="BN39" s="2" t="n"/>
      <c r="BO39" s="2" t="n"/>
      <c r="BP39" s="2" t="n"/>
      <c r="BQ39" s="2" t="n"/>
      <c r="BR39" s="2" t="n"/>
      <c r="BS39" s="2" t="n"/>
      <c r="BT39" s="2" t="n"/>
      <c r="BU39" s="2" t="n"/>
      <c r="BV39" s="2" t="n"/>
      <c r="BW39" s="2" t="n"/>
      <c r="BX39" s="2" t="n"/>
      <c r="BY39" s="2" t="n"/>
      <c r="BZ39" s="2" t="n"/>
      <c r="CA39" s="2" t="n"/>
      <c r="CB39" s="2" t="n"/>
      <c r="CC39" s="2" t="n"/>
      <c r="CD39" s="2" t="n"/>
      <c r="CE39" s="2" t="n"/>
      <c r="CF39" s="2" t="n"/>
      <c r="CG39" s="2" t="n"/>
      <c r="CH39" s="2" t="n"/>
      <c r="CI39" s="2" t="n"/>
      <c r="CJ39" s="2" t="n"/>
      <c r="CK39" s="2" t="n"/>
      <c r="CL39" s="2" t="n"/>
      <c r="CM39" s="2" t="n"/>
      <c r="CN39" s="2" t="n"/>
      <c r="CO39" s="2" t="n"/>
      <c r="CP39" s="2" t="n"/>
      <c r="CQ39" s="2" t="n"/>
      <c r="CR39" s="2" t="n"/>
      <c r="CS39" s="2" t="n"/>
      <c r="CT39" s="2" t="n"/>
      <c r="CU39" s="345" t="n"/>
      <c r="CV39" s="345" t="n"/>
      <c r="CW39" s="345" t="n"/>
      <c r="CX39" s="345" t="n"/>
      <c r="CY39" s="345" t="n"/>
      <c r="CZ39" s="345" t="n"/>
      <c r="DA39" s="345" t="n"/>
      <c r="DB39" s="345" t="n"/>
      <c r="DC39" s="345" t="n"/>
      <c r="DD39" s="345" t="n"/>
      <c r="DE39" s="345" t="n"/>
      <c r="DF39" s="345" t="n"/>
      <c r="DG39" s="345" t="n"/>
      <c r="DH39" s="345" t="n"/>
      <c r="DI39" s="345" t="n"/>
      <c r="DJ39" s="345" t="n"/>
      <c r="DK39" s="345" t="n"/>
      <c r="DL39" s="345" t="n"/>
      <c r="DM39" s="345" t="n"/>
      <c r="DN39" s="345" t="n"/>
      <c r="DO39" s="345" t="n"/>
      <c r="DP39" s="345" t="n"/>
      <c r="DQ39" s="345" t="n"/>
      <c r="DR39" s="345" t="n"/>
      <c r="DS39" s="345" t="n"/>
      <c r="DT39" s="345" t="n"/>
      <c r="DU39" s="390" t="n"/>
      <c r="DV39" s="345" t="n"/>
      <c r="DW39" s="350" t="n"/>
      <c r="DX39" s="2" t="n"/>
    </row>
    <row r="40" ht="14.25" customHeight="1" s="634">
      <c r="A40" s="341" t="n"/>
      <c r="B40" s="696" t="n"/>
      <c r="C40" s="697" t="n"/>
      <c r="D40" s="697" t="n"/>
      <c r="E40" s="697" t="n"/>
      <c r="F40" s="698" t="n"/>
      <c r="G40" s="2" t="n"/>
      <c r="H40" s="2" t="n"/>
      <c r="I40" s="2" t="n"/>
      <c r="J40" s="2" t="n"/>
      <c r="K40" s="2" t="n"/>
      <c r="L40" s="2" t="n"/>
      <c r="M40" s="2" t="n"/>
      <c r="N40" s="2" t="n"/>
      <c r="O40" s="2" t="n"/>
      <c r="P40" s="10" t="n"/>
      <c r="Q40" s="17"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2" t="n"/>
      <c r="BJ40" s="2" t="n"/>
      <c r="BK40" s="2" t="n"/>
      <c r="BL40" s="2" t="n"/>
      <c r="BM40" s="2" t="n"/>
      <c r="BN40" s="2" t="n"/>
      <c r="BO40" s="2" t="n"/>
      <c r="BP40" s="2" t="n"/>
      <c r="BQ40" s="2" t="n"/>
      <c r="BR40" s="2" t="n"/>
      <c r="BS40" s="2" t="n"/>
      <c r="BT40" s="2" t="n"/>
      <c r="BU40" s="2" t="n"/>
      <c r="BV40" s="2" t="n"/>
      <c r="BW40" s="2" t="n"/>
      <c r="BX40" s="2" t="n"/>
      <c r="BY40" s="2" t="n"/>
      <c r="BZ40" s="2" t="n"/>
      <c r="CA40" s="2" t="n"/>
      <c r="CB40" s="2" t="n"/>
      <c r="CC40" s="2" t="n"/>
      <c r="CD40" s="2" t="n"/>
      <c r="CE40" s="2" t="n"/>
      <c r="CF40" s="2" t="n"/>
      <c r="CG40" s="2" t="n"/>
      <c r="CH40" s="2" t="n"/>
      <c r="CI40" s="2" t="n"/>
      <c r="CJ40" s="2" t="n"/>
      <c r="CK40" s="2" t="n"/>
      <c r="CL40" s="2" t="n"/>
      <c r="CM40" s="2" t="n"/>
      <c r="CN40" s="2" t="n"/>
      <c r="CO40" s="2" t="n"/>
      <c r="CP40" s="2" t="n"/>
      <c r="CQ40" s="2" t="n"/>
      <c r="CR40" s="2" t="n"/>
      <c r="CS40" s="2" t="n"/>
      <c r="CT40" s="2" t="n"/>
      <c r="CU40" s="345" t="n"/>
      <c r="CV40" s="345" t="n"/>
      <c r="CW40" s="345" t="n"/>
      <c r="CX40" s="345" t="n"/>
      <c r="CY40" s="345" t="n"/>
      <c r="CZ40" s="345" t="n"/>
      <c r="DA40" s="345" t="n"/>
      <c r="DB40" s="345" t="n"/>
      <c r="DC40" s="345" t="n"/>
      <c r="DD40" s="345" t="n"/>
      <c r="DE40" s="345" t="n"/>
      <c r="DF40" s="345" t="n"/>
      <c r="DG40" s="345" t="n"/>
      <c r="DH40" s="345" t="n"/>
      <c r="DI40" s="345" t="n"/>
      <c r="DJ40" s="345" t="n"/>
      <c r="DK40" s="345" t="n"/>
      <c r="DL40" s="345" t="n"/>
      <c r="DM40" s="345" t="n"/>
      <c r="DN40" s="345" t="n"/>
      <c r="DO40" s="345" t="n"/>
      <c r="DP40" s="345" t="n"/>
      <c r="DQ40" s="345" t="n"/>
      <c r="DR40" s="345" t="n"/>
      <c r="DS40" s="345" t="n"/>
      <c r="DT40" s="345" t="n"/>
      <c r="DU40" s="390" t="n"/>
      <c r="DV40" s="345" t="n"/>
      <c r="DW40" s="350" t="n"/>
      <c r="DX40" s="2" t="n"/>
    </row>
    <row r="41" ht="18" customHeight="1" s="634">
      <c r="A41" s="341" t="n"/>
      <c r="B41" s="388" t="n"/>
      <c r="C41" s="758" t="n"/>
      <c r="D41" s="758" t="n"/>
      <c r="E41" s="758" t="n"/>
      <c r="F41" s="758" t="n"/>
      <c r="G41" s="342" t="n"/>
      <c r="H41" s="342" t="n"/>
      <c r="I41" s="342" t="n"/>
      <c r="J41" s="342" t="n"/>
      <c r="K41" s="342" t="n"/>
      <c r="L41" s="552" t="inlineStr">
        <is>
          <t>EY Works</t>
        </is>
      </c>
      <c r="M41" s="635" t="n"/>
      <c r="N41" s="636" t="n"/>
      <c r="O41" s="342" t="n"/>
      <c r="P41" s="10" t="n"/>
      <c r="Q41" s="17"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c r="BX41" s="2" t="n"/>
      <c r="BY41" s="2" t="n"/>
      <c r="BZ41" s="2" t="n"/>
      <c r="CA41" s="2" t="n"/>
      <c r="CB41" s="2" t="n"/>
      <c r="CC41" s="2" t="n"/>
      <c r="CD41" s="2" t="n"/>
      <c r="CE41" s="2" t="n"/>
      <c r="CF41" s="2" t="n"/>
      <c r="CG41" s="2" t="n"/>
      <c r="CH41" s="2" t="n"/>
      <c r="CI41" s="2" t="n"/>
      <c r="CJ41" s="2" t="n"/>
      <c r="CK41" s="2" t="n"/>
      <c r="CL41" s="2" t="n"/>
      <c r="CM41" s="2" t="n"/>
      <c r="CN41" s="2" t="n"/>
      <c r="CO41" s="2" t="n"/>
      <c r="CP41" s="2" t="n"/>
      <c r="CQ41" s="2" t="n"/>
      <c r="CR41" s="2" t="n"/>
      <c r="CS41" s="2" t="n"/>
      <c r="CT41" s="2" t="n"/>
      <c r="CU41" s="345" t="n"/>
      <c r="CV41" s="345" t="n"/>
      <c r="CW41" s="345" t="n"/>
      <c r="CX41" s="345" t="n"/>
      <c r="CY41" s="345" t="n"/>
      <c r="CZ41" s="345" t="n"/>
      <c r="DA41" s="345" t="n"/>
      <c r="DB41" s="345" t="n"/>
      <c r="DC41" s="345" t="n"/>
      <c r="DD41" s="345" t="n"/>
      <c r="DE41" s="345" t="n"/>
      <c r="DF41" s="345" t="n"/>
      <c r="DG41" s="345" t="n"/>
      <c r="DH41" s="345" t="n"/>
      <c r="DI41" s="345" t="n"/>
      <c r="DJ41" s="345" t="n"/>
      <c r="DK41" s="345" t="n"/>
      <c r="DL41" s="345" t="n"/>
      <c r="DM41" s="345" t="n"/>
      <c r="DN41" s="345" t="n"/>
      <c r="DO41" s="345" t="n"/>
      <c r="DP41" s="345" t="n"/>
      <c r="DQ41" s="345" t="n"/>
      <c r="DR41" s="345" t="n"/>
      <c r="DS41" s="345" t="n"/>
      <c r="DT41" s="345" t="n"/>
      <c r="DU41" s="390" t="n"/>
      <c r="DV41" s="345" t="n"/>
      <c r="DW41" s="350" t="n"/>
      <c r="DX41" s="2" t="n"/>
    </row>
    <row r="42" ht="30.75" customHeight="1" s="634">
      <c r="A42" s="341" t="n"/>
      <c r="B42" s="566" t="inlineStr">
        <is>
          <t>选择标准</t>
        </is>
      </c>
      <c r="C42" s="566" t="inlineStr">
        <is>
          <t>供应商名称</t>
        </is>
      </c>
      <c r="D42" s="567" t="inlineStr">
        <is>
          <t>应付账款入账凭证</t>
        </is>
      </c>
      <c r="E42" s="688" t="n"/>
      <c r="F42" s="688" t="n"/>
      <c r="G42" s="759" t="inlineStr">
        <is>
          <t>支持性证据信息
（确认控制权转移/接受服务的交易凭据，如提单、运输单据（GDN)、第三方交货证明等）</t>
        </is>
      </c>
      <c r="H42" s="648" t="n"/>
      <c r="I42" s="648" t="n"/>
      <c r="J42" s="648" t="n"/>
      <c r="K42" s="760" t="n"/>
      <c r="L42" s="761" t="n">
        <v>1</v>
      </c>
      <c r="M42" s="762" t="n">
        <v>2</v>
      </c>
      <c r="N42" s="762" t="n">
        <v>3</v>
      </c>
      <c r="O42" s="762" t="inlineStr">
        <is>
          <t>备注</t>
        </is>
      </c>
      <c r="P42" s="10" t="n"/>
      <c r="Q42" s="17"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2" t="n"/>
      <c r="BM42" s="2" t="n"/>
      <c r="BN42" s="2" t="n"/>
      <c r="BO42" s="2" t="n"/>
      <c r="BP42" s="2" t="n"/>
      <c r="BQ42" s="2" t="n"/>
      <c r="BR42" s="2" t="n"/>
      <c r="BS42" s="2" t="n"/>
      <c r="BT42" s="2" t="n"/>
      <c r="BU42" s="2" t="n"/>
      <c r="BV42" s="2" t="n"/>
      <c r="BW42" s="2" t="n"/>
      <c r="BX42" s="2" t="n"/>
      <c r="BY42" s="2" t="n"/>
      <c r="BZ42" s="2" t="n"/>
      <c r="CA42" s="2" t="n"/>
      <c r="CB42" s="2" t="n"/>
      <c r="CC42" s="2" t="n"/>
      <c r="CD42" s="2" t="n"/>
      <c r="CE42" s="2" t="n"/>
      <c r="CF42" s="2" t="n"/>
      <c r="CG42" s="2" t="n"/>
      <c r="CH42" s="2" t="n"/>
      <c r="CI42" s="2" t="n"/>
      <c r="CJ42" s="2" t="n"/>
      <c r="CK42" s="2" t="n"/>
      <c r="CL42" s="2" t="n"/>
      <c r="CM42" s="2" t="n"/>
      <c r="CN42" s="2" t="n"/>
      <c r="CO42" s="2" t="n"/>
      <c r="CP42" s="2" t="n"/>
      <c r="CQ42" s="2" t="n"/>
      <c r="CR42" s="2" t="n"/>
      <c r="CS42" s="2" t="n"/>
      <c r="CT42" s="2" t="n"/>
      <c r="CU42" s="2" t="n"/>
      <c r="CV42" s="345" t="n"/>
      <c r="CW42" s="345" t="n"/>
      <c r="CX42" s="345" t="n"/>
      <c r="CY42" s="345" t="n"/>
      <c r="CZ42" s="345" t="n"/>
      <c r="DA42" s="345" t="n"/>
      <c r="DB42" s="345" t="n"/>
      <c r="DC42" s="345" t="n"/>
      <c r="DD42" s="345" t="n"/>
      <c r="DE42" s="345" t="n"/>
      <c r="DF42" s="345" t="n"/>
      <c r="DG42" s="345" t="n"/>
      <c r="DH42" s="345" t="n"/>
      <c r="DI42" s="345" t="n"/>
      <c r="DJ42" s="345" t="n"/>
      <c r="DK42" s="345" t="n"/>
      <c r="DL42" s="345" t="n"/>
      <c r="DM42" s="345" t="n"/>
      <c r="DN42" s="345" t="n"/>
      <c r="DO42" s="345" t="n"/>
      <c r="DP42" s="345" t="n"/>
      <c r="DQ42" s="345" t="n"/>
      <c r="DR42" s="345" t="n"/>
      <c r="DS42" s="345" t="n"/>
      <c r="DT42" s="345" t="n"/>
      <c r="DU42" s="345" t="n"/>
      <c r="DV42" s="390" t="n"/>
      <c r="DW42" s="345" t="n"/>
      <c r="DX42" s="350" t="n"/>
    </row>
    <row r="43" ht="19.5" customHeight="1" s="634">
      <c r="A43" s="341" t="n"/>
      <c r="B43" s="722" t="n"/>
      <c r="C43" s="722" t="n"/>
      <c r="D43" s="566" t="inlineStr">
        <is>
          <t>凭证编号</t>
        </is>
      </c>
      <c r="E43" s="372" t="inlineStr">
        <is>
          <t>日期</t>
        </is>
      </c>
      <c r="F43" s="566" t="inlineStr">
        <is>
          <t>金额</t>
        </is>
      </c>
      <c r="G43" s="391" t="inlineStr">
        <is>
          <t>交易性质</t>
        </is>
      </c>
      <c r="H43" s="392" t="inlineStr">
        <is>
          <t>交易凭据名称</t>
        </is>
      </c>
      <c r="I43" s="392" t="inlineStr">
        <is>
          <t>交易凭据编号</t>
        </is>
      </c>
      <c r="J43" s="392" t="inlineStr">
        <is>
          <t>交易凭据日期</t>
        </is>
      </c>
      <c r="K43" s="392" t="inlineStr">
        <is>
          <t>交易凭据金额</t>
        </is>
      </c>
      <c r="L43" s="698" t="n"/>
      <c r="M43" s="637" t="n"/>
      <c r="N43" s="637" t="n"/>
      <c r="O43" s="637" t="n"/>
      <c r="P43" s="10" t="n"/>
      <c r="Q43" s="17"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2" t="n"/>
      <c r="BJ43" s="2" t="n"/>
      <c r="BK43" s="2" t="n"/>
      <c r="BL43" s="2" t="n"/>
      <c r="BM43" s="2" t="n"/>
      <c r="BN43" s="2" t="n"/>
      <c r="BO43" s="2" t="n"/>
      <c r="BP43" s="2" t="n"/>
      <c r="BQ43" s="2" t="n"/>
      <c r="BR43" s="2" t="n"/>
      <c r="BS43" s="2" t="n"/>
      <c r="BT43" s="2" t="n"/>
      <c r="BU43" s="2" t="n"/>
      <c r="BV43" s="2" t="n"/>
      <c r="BW43" s="2" t="n"/>
      <c r="BX43" s="2" t="n"/>
      <c r="BY43" s="2" t="n"/>
      <c r="BZ43" s="2" t="n"/>
      <c r="CA43" s="2" t="n"/>
      <c r="CB43" s="2" t="n"/>
      <c r="CC43" s="2" t="n"/>
      <c r="CD43" s="2" t="n"/>
      <c r="CE43" s="2" t="n"/>
      <c r="CF43" s="2" t="n"/>
      <c r="CG43" s="2" t="n"/>
      <c r="CH43" s="2" t="n"/>
      <c r="CI43" s="2" t="n"/>
      <c r="CJ43" s="2" t="n"/>
      <c r="CK43" s="2" t="n"/>
      <c r="CL43" s="2" t="n"/>
      <c r="CM43" s="2" t="n"/>
      <c r="CN43" s="2" t="n"/>
      <c r="CO43" s="2" t="n"/>
      <c r="CP43" s="2" t="n"/>
      <c r="CQ43" s="2" t="n"/>
      <c r="CR43" s="2" t="n"/>
      <c r="CS43" s="2" t="n"/>
      <c r="CT43" s="2" t="n"/>
      <c r="CU43" s="2" t="n"/>
      <c r="CV43" s="345" t="n"/>
      <c r="CW43" s="345" t="n"/>
      <c r="CX43" s="345" t="n"/>
      <c r="CY43" s="345" t="n"/>
      <c r="CZ43" s="345" t="n"/>
      <c r="DA43" s="345" t="n"/>
      <c r="DB43" s="345" t="n"/>
      <c r="DC43" s="345" t="n"/>
      <c r="DD43" s="345" t="n"/>
      <c r="DE43" s="345" t="n"/>
      <c r="DF43" s="345" t="n"/>
      <c r="DG43" s="345" t="n"/>
      <c r="DH43" s="345" t="n"/>
      <c r="DI43" s="345" t="n"/>
      <c r="DJ43" s="345" t="n"/>
      <c r="DK43" s="345" t="n"/>
      <c r="DL43" s="345" t="n"/>
      <c r="DM43" s="345" t="n"/>
      <c r="DN43" s="345" t="n"/>
      <c r="DO43" s="345" t="n"/>
      <c r="DP43" s="345" t="n"/>
      <c r="DQ43" s="345" t="n"/>
      <c r="DR43" s="345" t="n"/>
      <c r="DS43" s="345" t="n"/>
      <c r="DT43" s="345" t="n"/>
      <c r="DU43" s="345" t="n"/>
      <c r="DV43" s="390" t="n"/>
      <c r="DW43" s="345" t="n"/>
      <c r="DX43" s="345" t="n"/>
    </row>
    <row r="44" ht="15" customHeight="1" s="634">
      <c r="A44" s="341" t="n"/>
      <c r="B44" s="393" t="n"/>
      <c r="C44" s="374" t="n"/>
      <c r="D44" s="393" t="n"/>
      <c r="E44" s="394" t="n"/>
      <c r="F44" s="763" t="n"/>
      <c r="G44" s="393" t="n"/>
      <c r="H44" s="393" t="n"/>
      <c r="I44" s="393" t="n"/>
      <c r="J44" s="394" t="n"/>
      <c r="K44" s="763" t="n"/>
      <c r="L44" s="396" t="n"/>
      <c r="M44" s="396" t="n"/>
      <c r="N44" s="396" t="n"/>
      <c r="O44" s="396" t="n"/>
      <c r="P44" s="10" t="n"/>
      <c r="Q44" s="17"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2" t="n"/>
      <c r="BJ44" s="2" t="n"/>
      <c r="BK44" s="2" t="n"/>
      <c r="BL44" s="2" t="n"/>
      <c r="BM44" s="2" t="n"/>
      <c r="BN44" s="2" t="n"/>
      <c r="BO44" s="2" t="n"/>
      <c r="BP44" s="2" t="n"/>
      <c r="BQ44" s="2" t="n"/>
      <c r="BR44" s="2" t="n"/>
      <c r="BS44" s="2" t="n"/>
      <c r="BT44" s="2" t="n"/>
      <c r="BU44" s="2" t="n"/>
      <c r="BV44" s="2" t="n"/>
      <c r="BW44" s="2" t="n"/>
      <c r="BX44" s="2" t="n"/>
      <c r="BY44" s="2" t="n"/>
      <c r="BZ44" s="2" t="n"/>
      <c r="CA44" s="2" t="n"/>
      <c r="CB44" s="2" t="n"/>
      <c r="CC44" s="2" t="n"/>
      <c r="CD44" s="2" t="n"/>
      <c r="CE44" s="2" t="n"/>
      <c r="CF44" s="2" t="n"/>
      <c r="CG44" s="2" t="n"/>
      <c r="CH44" s="2" t="n"/>
      <c r="CI44" s="2" t="n"/>
      <c r="CJ44" s="2" t="n"/>
      <c r="CK44" s="2" t="n"/>
      <c r="CL44" s="2" t="n"/>
      <c r="CM44" s="2" t="n"/>
      <c r="CN44" s="2" t="n"/>
      <c r="CO44" s="2" t="n"/>
      <c r="CP44" s="2" t="n"/>
      <c r="CQ44" s="2" t="n"/>
      <c r="CR44" s="2" t="n"/>
      <c r="CS44" s="2" t="n"/>
      <c r="CT44" s="2" t="n"/>
      <c r="CU44" s="2" t="n"/>
      <c r="CV44" s="345" t="n"/>
      <c r="CW44" s="345" t="n"/>
      <c r="CX44" s="345" t="n"/>
      <c r="CY44" s="345" t="n"/>
      <c r="CZ44" s="345" t="n"/>
      <c r="DA44" s="345" t="n"/>
      <c r="DB44" s="345" t="n"/>
      <c r="DC44" s="345" t="n"/>
      <c r="DD44" s="345" t="n"/>
      <c r="DE44" s="345" t="n"/>
      <c r="DF44" s="345" t="n"/>
      <c r="DG44" s="345" t="n"/>
      <c r="DH44" s="345" t="n"/>
      <c r="DI44" s="345" t="n"/>
      <c r="DJ44" s="345" t="n"/>
      <c r="DK44" s="345" t="n"/>
      <c r="DL44" s="345" t="n"/>
      <c r="DM44" s="345" t="n"/>
      <c r="DN44" s="345" t="n"/>
      <c r="DO44" s="345" t="n"/>
      <c r="DP44" s="345" t="n"/>
      <c r="DQ44" s="345" t="n"/>
      <c r="DR44" s="345" t="n"/>
      <c r="DS44" s="345" t="n"/>
      <c r="DT44" s="345" t="n"/>
      <c r="DU44" s="345" t="n"/>
      <c r="DV44" s="390" t="n"/>
      <c r="DW44" s="345" t="n"/>
      <c r="DX44" s="350" t="n"/>
    </row>
    <row r="45" ht="15" customHeight="1" s="634">
      <c r="A45" s="341" t="n"/>
      <c r="B45" s="393" t="n"/>
      <c r="C45" s="374" t="n"/>
      <c r="D45" s="393" t="n"/>
      <c r="E45" s="394" t="n"/>
      <c r="F45" s="763" t="n"/>
      <c r="G45" s="393" t="n"/>
      <c r="H45" s="393" t="n"/>
      <c r="I45" s="393" t="n"/>
      <c r="J45" s="394" t="n"/>
      <c r="K45" s="763" t="n"/>
      <c r="L45" s="396" t="n"/>
      <c r="M45" s="396" t="n"/>
      <c r="N45" s="396" t="n"/>
      <c r="O45" s="396" t="n"/>
      <c r="P45" s="10" t="n"/>
      <c r="Q45" s="17"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2" t="n"/>
      <c r="BA45" s="2" t="n"/>
      <c r="BB45" s="2" t="n"/>
      <c r="BC45" s="2" t="n"/>
      <c r="BD45" s="2" t="n"/>
      <c r="BE45" s="2" t="n"/>
      <c r="BF45" s="2" t="n"/>
      <c r="BG45" s="2" t="n"/>
      <c r="BH45" s="2" t="n"/>
      <c r="BI45" s="2" t="n"/>
      <c r="BJ45" s="2" t="n"/>
      <c r="BK45" s="2" t="n"/>
      <c r="BL45" s="2" t="n"/>
      <c r="BM45" s="2" t="n"/>
      <c r="BN45" s="2" t="n"/>
      <c r="BO45" s="2" t="n"/>
      <c r="BP45" s="2" t="n"/>
      <c r="BQ45" s="2" t="n"/>
      <c r="BR45" s="2" t="n"/>
      <c r="BS45" s="2" t="n"/>
      <c r="BT45" s="2" t="n"/>
      <c r="BU45" s="2" t="n"/>
      <c r="BV45" s="2" t="n"/>
      <c r="BW45" s="2" t="n"/>
      <c r="BX45" s="2" t="n"/>
      <c r="BY45" s="2" t="n"/>
      <c r="BZ45" s="2" t="n"/>
      <c r="CA45" s="2" t="n"/>
      <c r="CB45" s="2" t="n"/>
      <c r="CC45" s="2" t="n"/>
      <c r="CD45" s="2" t="n"/>
      <c r="CE45" s="2" t="n"/>
      <c r="CF45" s="2" t="n"/>
      <c r="CG45" s="2" t="n"/>
      <c r="CH45" s="2" t="n"/>
      <c r="CI45" s="2" t="n"/>
      <c r="CJ45" s="2" t="n"/>
      <c r="CK45" s="2" t="n"/>
      <c r="CL45" s="2" t="n"/>
      <c r="CM45" s="2" t="n"/>
      <c r="CN45" s="2" t="n"/>
      <c r="CO45" s="2" t="n"/>
      <c r="CP45" s="2" t="n"/>
      <c r="CQ45" s="2" t="n"/>
      <c r="CR45" s="2" t="n"/>
      <c r="CS45" s="2" t="n"/>
      <c r="CT45" s="2" t="n"/>
      <c r="CU45" s="2" t="n"/>
      <c r="CV45" s="345" t="n"/>
      <c r="CW45" s="345" t="n"/>
      <c r="CX45" s="345" t="n"/>
      <c r="CY45" s="345" t="n"/>
      <c r="CZ45" s="345" t="n"/>
      <c r="DA45" s="345" t="n"/>
      <c r="DB45" s="345" t="n"/>
      <c r="DC45" s="345" t="n"/>
      <c r="DD45" s="345" t="n"/>
      <c r="DE45" s="345" t="n"/>
      <c r="DF45" s="345" t="n"/>
      <c r="DG45" s="345" t="n"/>
      <c r="DH45" s="345" t="n"/>
      <c r="DI45" s="345" t="n"/>
      <c r="DJ45" s="345" t="n"/>
      <c r="DK45" s="345" t="n"/>
      <c r="DL45" s="345" t="n"/>
      <c r="DM45" s="345" t="n"/>
      <c r="DN45" s="345" t="n"/>
      <c r="DO45" s="345" t="n"/>
      <c r="DP45" s="345" t="n"/>
      <c r="DQ45" s="345" t="n"/>
      <c r="DR45" s="345" t="n"/>
      <c r="DS45" s="345" t="n"/>
      <c r="DT45" s="345" t="n"/>
      <c r="DU45" s="345" t="n"/>
      <c r="DV45" s="390" t="n"/>
      <c r="DW45" s="345" t="n"/>
      <c r="DX45" s="350" t="n"/>
    </row>
    <row r="46" ht="15" customHeight="1" s="634">
      <c r="A46" s="341" t="n"/>
      <c r="B46" s="393" t="n"/>
      <c r="C46" s="374" t="n"/>
      <c r="D46" s="393" t="n"/>
      <c r="E46" s="394" t="n"/>
      <c r="F46" s="763" t="n"/>
      <c r="G46" s="393" t="n"/>
      <c r="H46" s="393" t="n"/>
      <c r="I46" s="393" t="n"/>
      <c r="J46" s="394" t="n"/>
      <c r="K46" s="763" t="n"/>
      <c r="L46" s="396" t="n"/>
      <c r="M46" s="396" t="n"/>
      <c r="N46" s="396" t="n"/>
      <c r="O46" s="396" t="n"/>
      <c r="P46" s="10" t="n"/>
      <c r="Q46" s="17"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2" t="n"/>
      <c r="BM46" s="2" t="n"/>
      <c r="BN46" s="2" t="n"/>
      <c r="BO46" s="2" t="n"/>
      <c r="BP46" s="2" t="n"/>
      <c r="BQ46" s="2" t="n"/>
      <c r="BR46" s="2" t="n"/>
      <c r="BS46" s="2" t="n"/>
      <c r="BT46" s="2" t="n"/>
      <c r="BU46" s="2" t="n"/>
      <c r="BV46" s="2" t="n"/>
      <c r="BW46" s="2" t="n"/>
      <c r="BX46" s="2" t="n"/>
      <c r="BY46" s="2" t="n"/>
      <c r="BZ46" s="2" t="n"/>
      <c r="CA46" s="2" t="n"/>
      <c r="CB46" s="2" t="n"/>
      <c r="CC46" s="2" t="n"/>
      <c r="CD46" s="2" t="n"/>
      <c r="CE46" s="2" t="n"/>
      <c r="CF46" s="2" t="n"/>
      <c r="CG46" s="2" t="n"/>
      <c r="CH46" s="2" t="n"/>
      <c r="CI46" s="2" t="n"/>
      <c r="CJ46" s="2" t="n"/>
      <c r="CK46" s="2" t="n"/>
      <c r="CL46" s="2" t="n"/>
      <c r="CM46" s="2" t="n"/>
      <c r="CN46" s="2" t="n"/>
      <c r="CO46" s="2" t="n"/>
      <c r="CP46" s="2" t="n"/>
      <c r="CQ46" s="2" t="n"/>
      <c r="CR46" s="2" t="n"/>
      <c r="CS46" s="2" t="n"/>
      <c r="CT46" s="2" t="n"/>
      <c r="CU46" s="2" t="n"/>
      <c r="CV46" s="345" t="n"/>
      <c r="CW46" s="345" t="n"/>
      <c r="CX46" s="345" t="n"/>
      <c r="CY46" s="345" t="n"/>
      <c r="CZ46" s="345" t="n"/>
      <c r="DA46" s="345" t="n"/>
      <c r="DB46" s="345" t="n"/>
      <c r="DC46" s="345" t="n"/>
      <c r="DD46" s="345" t="n"/>
      <c r="DE46" s="345" t="n"/>
      <c r="DF46" s="345" t="n"/>
      <c r="DG46" s="345" t="n"/>
      <c r="DH46" s="345" t="n"/>
      <c r="DI46" s="345" t="n"/>
      <c r="DJ46" s="345" t="n"/>
      <c r="DK46" s="345" t="n"/>
      <c r="DL46" s="345" t="n"/>
      <c r="DM46" s="345" t="n"/>
      <c r="DN46" s="345" t="n"/>
      <c r="DO46" s="345" t="n"/>
      <c r="DP46" s="345" t="n"/>
      <c r="DQ46" s="345" t="n"/>
      <c r="DR46" s="345" t="n"/>
      <c r="DS46" s="345" t="n"/>
      <c r="DT46" s="345" t="n"/>
      <c r="DU46" s="345" t="n"/>
      <c r="DV46" s="390" t="n"/>
      <c r="DW46" s="345" t="n"/>
      <c r="DX46" s="350" t="n"/>
    </row>
    <row r="47" ht="15" customHeight="1" s="634">
      <c r="A47" s="341" t="n"/>
      <c r="B47" s="393" t="n"/>
      <c r="C47" s="374" t="n"/>
      <c r="D47" s="393" t="n"/>
      <c r="E47" s="394" t="n"/>
      <c r="F47" s="763" t="n"/>
      <c r="G47" s="393" t="n"/>
      <c r="H47" s="393" t="n"/>
      <c r="I47" s="393" t="n"/>
      <c r="J47" s="394" t="n"/>
      <c r="K47" s="763" t="n"/>
      <c r="L47" s="396" t="n"/>
      <c r="M47" s="396" t="n"/>
      <c r="N47" s="396" t="n"/>
      <c r="O47" s="396" t="n"/>
      <c r="P47" s="10" t="n"/>
      <c r="Q47" s="17"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2" t="n"/>
      <c r="BA47" s="2" t="n"/>
      <c r="BB47" s="2" t="n"/>
      <c r="BC47" s="2" t="n"/>
      <c r="BD47" s="2" t="n"/>
      <c r="BE47" s="2" t="n"/>
      <c r="BF47" s="2" t="n"/>
      <c r="BG47" s="2" t="n"/>
      <c r="BH47" s="2" t="n"/>
      <c r="BI47" s="2" t="n"/>
      <c r="BJ47" s="2" t="n"/>
      <c r="BK47" s="2" t="n"/>
      <c r="BL47" s="2" t="n"/>
      <c r="BM47" s="2" t="n"/>
      <c r="BN47" s="2" t="n"/>
      <c r="BO47" s="2" t="n"/>
      <c r="BP47" s="2" t="n"/>
      <c r="BQ47" s="2" t="n"/>
      <c r="BR47" s="2" t="n"/>
      <c r="BS47" s="2" t="n"/>
      <c r="BT47" s="2" t="n"/>
      <c r="BU47" s="2" t="n"/>
      <c r="BV47" s="2" t="n"/>
      <c r="BW47" s="2" t="n"/>
      <c r="BX47" s="2" t="n"/>
      <c r="BY47" s="2" t="n"/>
      <c r="BZ47" s="2" t="n"/>
      <c r="CA47" s="2" t="n"/>
      <c r="CB47" s="2" t="n"/>
      <c r="CC47" s="2" t="n"/>
      <c r="CD47" s="2" t="n"/>
      <c r="CE47" s="2" t="n"/>
      <c r="CF47" s="2" t="n"/>
      <c r="CG47" s="2" t="n"/>
      <c r="CH47" s="2" t="n"/>
      <c r="CI47" s="2" t="n"/>
      <c r="CJ47" s="2" t="n"/>
      <c r="CK47" s="2" t="n"/>
      <c r="CL47" s="2" t="n"/>
      <c r="CM47" s="2" t="n"/>
      <c r="CN47" s="2" t="n"/>
      <c r="CO47" s="2" t="n"/>
      <c r="CP47" s="2" t="n"/>
      <c r="CQ47" s="2" t="n"/>
      <c r="CR47" s="2" t="n"/>
      <c r="CS47" s="2" t="n"/>
      <c r="CT47" s="2" t="n"/>
      <c r="CU47" s="2" t="n"/>
      <c r="CV47" s="345" t="n"/>
      <c r="CW47" s="345" t="n"/>
      <c r="CX47" s="345" t="n"/>
      <c r="CY47" s="345" t="n"/>
      <c r="CZ47" s="345" t="n"/>
      <c r="DA47" s="345" t="n"/>
      <c r="DB47" s="345" t="n"/>
      <c r="DC47" s="345" t="n"/>
      <c r="DD47" s="345" t="n"/>
      <c r="DE47" s="345" t="n"/>
      <c r="DF47" s="345" t="n"/>
      <c r="DG47" s="345" t="n"/>
      <c r="DH47" s="345" t="n"/>
      <c r="DI47" s="345" t="n"/>
      <c r="DJ47" s="345" t="n"/>
      <c r="DK47" s="345" t="n"/>
      <c r="DL47" s="345" t="n"/>
      <c r="DM47" s="345" t="n"/>
      <c r="DN47" s="345" t="n"/>
      <c r="DO47" s="345" t="n"/>
      <c r="DP47" s="345" t="n"/>
      <c r="DQ47" s="345" t="n"/>
      <c r="DR47" s="345" t="n"/>
      <c r="DS47" s="345" t="n"/>
      <c r="DT47" s="345" t="n"/>
      <c r="DU47" s="345" t="n"/>
      <c r="DV47" s="390" t="n"/>
      <c r="DW47" s="345" t="n"/>
      <c r="DX47" s="350" t="n"/>
    </row>
    <row r="48" ht="15" customHeight="1" s="634">
      <c r="A48" s="341" t="n"/>
      <c r="B48" s="397" t="n"/>
      <c r="C48" s="381" t="n"/>
      <c r="D48" s="397" t="n"/>
      <c r="E48" s="398" t="n"/>
      <c r="F48" s="764" t="n"/>
      <c r="G48" s="397" t="n"/>
      <c r="H48" s="397" t="n"/>
      <c r="I48" s="397" t="n"/>
      <c r="J48" s="398" t="n"/>
      <c r="K48" s="765" t="n"/>
      <c r="L48" s="396" t="n"/>
      <c r="M48" s="396" t="n"/>
      <c r="N48" s="396" t="n"/>
      <c r="O48" s="396" t="n"/>
      <c r="P48" s="10" t="n"/>
      <c r="Q48" s="17"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2" t="n"/>
      <c r="BM48" s="2" t="n"/>
      <c r="BN48" s="2" t="n"/>
      <c r="BO48" s="2" t="n"/>
      <c r="BP48" s="2" t="n"/>
      <c r="BQ48" s="2" t="n"/>
      <c r="BR48" s="2" t="n"/>
      <c r="BS48" s="2" t="n"/>
      <c r="BT48" s="2" t="n"/>
      <c r="BU48" s="2" t="n"/>
      <c r="BV48" s="2" t="n"/>
      <c r="BW48" s="2" t="n"/>
      <c r="BX48" s="2" t="n"/>
      <c r="BY48" s="2" t="n"/>
      <c r="BZ48" s="2" t="n"/>
      <c r="CA48" s="2" t="n"/>
      <c r="CB48" s="2" t="n"/>
      <c r="CC48" s="2" t="n"/>
      <c r="CD48" s="2" t="n"/>
      <c r="CE48" s="2" t="n"/>
      <c r="CF48" s="2" t="n"/>
      <c r="CG48" s="2" t="n"/>
      <c r="CH48" s="2" t="n"/>
      <c r="CI48" s="2" t="n"/>
      <c r="CJ48" s="2" t="n"/>
      <c r="CK48" s="2" t="n"/>
      <c r="CL48" s="2" t="n"/>
      <c r="CM48" s="2" t="n"/>
      <c r="CN48" s="2" t="n"/>
      <c r="CO48" s="2" t="n"/>
      <c r="CP48" s="2" t="n"/>
      <c r="CQ48" s="2" t="n"/>
      <c r="CR48" s="2" t="n"/>
      <c r="CS48" s="2" t="n"/>
      <c r="CT48" s="2" t="n"/>
      <c r="CU48" s="2" t="n"/>
      <c r="CV48" s="345" t="n"/>
      <c r="CW48" s="345" t="n"/>
      <c r="CX48" s="345" t="n"/>
      <c r="CY48" s="345" t="n"/>
      <c r="CZ48" s="345" t="n"/>
      <c r="DA48" s="345" t="n"/>
      <c r="DB48" s="345" t="n"/>
      <c r="DC48" s="345" t="n"/>
      <c r="DD48" s="345" t="n"/>
      <c r="DE48" s="345" t="n"/>
      <c r="DF48" s="345" t="n"/>
      <c r="DG48" s="345" t="n"/>
      <c r="DH48" s="345" t="n"/>
      <c r="DI48" s="345" t="n"/>
      <c r="DJ48" s="345" t="n"/>
      <c r="DK48" s="345" t="n"/>
      <c r="DL48" s="345" t="n"/>
      <c r="DM48" s="345" t="n"/>
      <c r="DN48" s="345" t="n"/>
      <c r="DO48" s="345" t="n"/>
      <c r="DP48" s="345" t="n"/>
      <c r="DQ48" s="345" t="n"/>
      <c r="DR48" s="345" t="n"/>
      <c r="DS48" s="345" t="n"/>
      <c r="DT48" s="345" t="n"/>
      <c r="DU48" s="345" t="n"/>
      <c r="DV48" s="390" t="n"/>
      <c r="DW48" s="345" t="n"/>
      <c r="DX48" s="350" t="n"/>
    </row>
    <row r="49" ht="15" customHeight="1" s="634">
      <c r="A49" s="341" t="n"/>
      <c r="B49" s="400" t="n"/>
      <c r="C49" s="2" t="n"/>
      <c r="D49" s="2" t="n"/>
      <c r="E49" s="2" t="n"/>
      <c r="F49" s="2" t="n"/>
      <c r="G49" s="2" t="n"/>
      <c r="H49" s="2" t="n"/>
      <c r="I49" s="2" t="n"/>
      <c r="J49" s="2" t="n"/>
      <c r="K49" s="2" t="n"/>
      <c r="L49" s="2" t="n"/>
      <c r="M49" s="2" t="n"/>
      <c r="N49" s="2" t="n"/>
      <c r="O49" s="2" t="n"/>
      <c r="P49" s="10" t="n"/>
      <c r="Q49" s="17"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c r="AM49" s="2" t="n"/>
      <c r="AN49" s="2" t="n"/>
      <c r="AO49" s="2" t="n"/>
      <c r="AP49" s="2" t="n"/>
      <c r="AQ49" s="2" t="n"/>
      <c r="AR49" s="2" t="n"/>
      <c r="AS49" s="2" t="n"/>
      <c r="AT49" s="2" t="n"/>
      <c r="AU49" s="2" t="n"/>
      <c r="AV49" s="2" t="n"/>
      <c r="AW49" s="2" t="n"/>
      <c r="AX49" s="2" t="n"/>
      <c r="AY49" s="2" t="n"/>
      <c r="AZ49" s="2" t="n"/>
      <c r="BA49" s="2" t="n"/>
      <c r="BB49" s="2" t="n"/>
      <c r="BC49" s="2" t="n"/>
      <c r="BD49" s="2" t="n"/>
      <c r="BE49" s="2" t="n"/>
      <c r="BF49" s="2" t="n"/>
      <c r="BG49" s="2" t="n"/>
      <c r="BH49" s="2" t="n"/>
      <c r="BI49" s="2" t="n"/>
      <c r="BJ49" s="2" t="n"/>
      <c r="BK49" s="2" t="n"/>
      <c r="BL49" s="2" t="n"/>
      <c r="BM49" s="2" t="n"/>
      <c r="BN49" s="2" t="n"/>
      <c r="BO49" s="2" t="n"/>
      <c r="BP49" s="2" t="n"/>
      <c r="BQ49" s="2" t="n"/>
      <c r="BR49" s="2" t="n"/>
      <c r="BS49" s="2" t="n"/>
      <c r="BT49" s="2" t="n"/>
      <c r="BU49" s="2" t="n"/>
      <c r="BV49" s="2" t="n"/>
      <c r="BW49" s="2" t="n"/>
      <c r="BX49" s="2" t="n"/>
      <c r="BY49" s="2" t="n"/>
      <c r="BZ49" s="2" t="n"/>
      <c r="CA49" s="2" t="n"/>
      <c r="CB49" s="2" t="n"/>
      <c r="CC49" s="2" t="n"/>
      <c r="CD49" s="2" t="n"/>
      <c r="CE49" s="2" t="n"/>
      <c r="CF49" s="2" t="n"/>
      <c r="CG49" s="2" t="n"/>
      <c r="CH49" s="2" t="n"/>
      <c r="CI49" s="2" t="n"/>
      <c r="CJ49" s="2" t="n"/>
      <c r="CK49" s="2" t="n"/>
      <c r="CL49" s="2" t="n"/>
      <c r="CM49" s="2" t="n"/>
      <c r="CN49" s="2" t="n"/>
      <c r="CO49" s="2" t="n"/>
      <c r="CP49" s="2" t="n"/>
      <c r="CQ49" s="2" t="n"/>
      <c r="CR49" s="2" t="n"/>
      <c r="CS49" s="2" t="n"/>
      <c r="CT49" s="2" t="n"/>
      <c r="CU49" s="2" t="n"/>
      <c r="CV49" s="345" t="n"/>
      <c r="CW49" s="345" t="n"/>
      <c r="CX49" s="345" t="n"/>
      <c r="CY49" s="345" t="n"/>
      <c r="CZ49" s="345" t="n"/>
      <c r="DA49" s="345" t="n"/>
      <c r="DB49" s="345" t="n"/>
      <c r="DC49" s="345" t="n"/>
      <c r="DD49" s="345" t="n"/>
      <c r="DE49" s="345" t="n"/>
      <c r="DF49" s="345" t="n"/>
      <c r="DG49" s="345" t="n"/>
      <c r="DH49" s="345" t="n"/>
      <c r="DI49" s="345" t="n"/>
      <c r="DJ49" s="345" t="n"/>
      <c r="DK49" s="345" t="n"/>
      <c r="DL49" s="345" t="n"/>
      <c r="DM49" s="345" t="n"/>
      <c r="DN49" s="345" t="n"/>
      <c r="DO49" s="345" t="n"/>
      <c r="DP49" s="345" t="n"/>
      <c r="DQ49" s="345" t="n"/>
      <c r="DR49" s="345" t="n"/>
      <c r="DS49" s="345" t="n"/>
      <c r="DT49" s="345" t="n"/>
      <c r="DU49" s="345" t="n"/>
      <c r="DV49" s="390" t="n"/>
      <c r="DW49" s="345" t="n"/>
      <c r="DX49" s="350" t="n"/>
    </row>
    <row r="50" ht="15" customHeight="1" s="634">
      <c r="A50" s="341" t="n"/>
      <c r="B50" s="401" t="inlineStr">
        <is>
          <t>Notes：记录识别的异常情况的详细信息以及如何解决这些异常情况，包括执行的额外实质性程序</t>
        </is>
      </c>
      <c r="C50" s="2" t="n"/>
      <c r="D50" s="2" t="n"/>
      <c r="E50" s="2" t="n"/>
      <c r="F50" s="2" t="n"/>
      <c r="G50" s="2" t="n"/>
      <c r="H50" s="2" t="n"/>
      <c r="I50" s="2" t="n"/>
      <c r="J50" s="2" t="n"/>
      <c r="K50" s="2" t="n"/>
      <c r="L50" s="2" t="n"/>
      <c r="M50" s="2" t="n"/>
      <c r="N50" s="2" t="n"/>
      <c r="O50" s="2" t="n"/>
      <c r="P50" s="10" t="n"/>
      <c r="Q50" s="17"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c r="AM50" s="2" t="n"/>
      <c r="AN50" s="2" t="n"/>
      <c r="AO50" s="2" t="n"/>
      <c r="AP50" s="2" t="n"/>
      <c r="AQ50" s="2" t="n"/>
      <c r="AR50" s="2" t="n"/>
      <c r="AS50" s="2" t="n"/>
      <c r="AT50" s="2" t="n"/>
      <c r="AU50" s="2" t="n"/>
      <c r="AV50" s="2" t="n"/>
      <c r="AW50" s="2" t="n"/>
      <c r="AX50" s="2" t="n"/>
      <c r="AY50" s="2" t="n"/>
      <c r="AZ50" s="2" t="n"/>
      <c r="BA50" s="2" t="n"/>
      <c r="BB50" s="2" t="n"/>
      <c r="BC50" s="2" t="n"/>
      <c r="BD50" s="2" t="n"/>
      <c r="BE50" s="2" t="n"/>
      <c r="BF50" s="2" t="n"/>
      <c r="BG50" s="2" t="n"/>
      <c r="BH50" s="2" t="n"/>
      <c r="BI50" s="2" t="n"/>
      <c r="BJ50" s="2" t="n"/>
      <c r="BK50" s="2" t="n"/>
      <c r="BL50" s="2" t="n"/>
      <c r="BM50" s="2" t="n"/>
      <c r="BN50" s="2" t="n"/>
      <c r="BO50" s="2" t="n"/>
      <c r="BP50" s="2" t="n"/>
      <c r="BQ50" s="2" t="n"/>
      <c r="BR50" s="2" t="n"/>
      <c r="BS50" s="2" t="n"/>
      <c r="BT50" s="2" t="n"/>
      <c r="BU50" s="2" t="n"/>
      <c r="BV50" s="2" t="n"/>
      <c r="BW50" s="2" t="n"/>
      <c r="BX50" s="2" t="n"/>
      <c r="BY50" s="2" t="n"/>
      <c r="BZ50" s="2" t="n"/>
      <c r="CA50" s="2" t="n"/>
      <c r="CB50" s="2" t="n"/>
      <c r="CC50" s="2" t="n"/>
      <c r="CD50" s="2" t="n"/>
      <c r="CE50" s="2" t="n"/>
      <c r="CF50" s="2" t="n"/>
      <c r="CG50" s="2" t="n"/>
      <c r="CH50" s="2" t="n"/>
      <c r="CI50" s="2" t="n"/>
      <c r="CJ50" s="2" t="n"/>
      <c r="CK50" s="2" t="n"/>
      <c r="CL50" s="2" t="n"/>
      <c r="CM50" s="2" t="n"/>
      <c r="CN50" s="2" t="n"/>
      <c r="CO50" s="2" t="n"/>
      <c r="CP50" s="2" t="n"/>
      <c r="CQ50" s="2" t="n"/>
      <c r="CR50" s="2" t="n"/>
      <c r="CS50" s="2" t="n"/>
      <c r="CT50" s="2" t="n"/>
      <c r="CU50" s="2" t="n"/>
      <c r="CV50" s="345" t="n"/>
      <c r="CW50" s="345" t="n"/>
      <c r="CX50" s="345" t="n"/>
      <c r="CY50" s="345" t="n"/>
      <c r="CZ50" s="345" t="n"/>
      <c r="DA50" s="345" t="n"/>
      <c r="DB50" s="345" t="n"/>
      <c r="DC50" s="345" t="n"/>
      <c r="DD50" s="345" t="n"/>
      <c r="DE50" s="345" t="n"/>
      <c r="DF50" s="345" t="n"/>
      <c r="DG50" s="345" t="n"/>
      <c r="DH50" s="345" t="n"/>
      <c r="DI50" s="345" t="n"/>
      <c r="DJ50" s="345" t="n"/>
      <c r="DK50" s="345" t="n"/>
      <c r="DL50" s="345" t="n"/>
      <c r="DM50" s="345" t="n"/>
      <c r="DN50" s="345" t="n"/>
      <c r="DO50" s="345" t="n"/>
      <c r="DP50" s="345" t="n"/>
      <c r="DQ50" s="345" t="n"/>
      <c r="DR50" s="345" t="n"/>
      <c r="DS50" s="345" t="n"/>
      <c r="DT50" s="345" t="n"/>
      <c r="DU50" s="345" t="n"/>
      <c r="DV50" s="390" t="n"/>
      <c r="DW50" s="345" t="n"/>
      <c r="DX50" s="350" t="n"/>
    </row>
    <row r="51" ht="13.35" customHeight="1" s="634">
      <c r="A51" s="341" t="n"/>
      <c r="B51" s="766" t="n"/>
      <c r="C51" s="688" t="n"/>
      <c r="D51" s="688" t="n"/>
      <c r="E51" s="688" t="n"/>
      <c r="F51" s="689" t="n"/>
      <c r="G51" s="2" t="n"/>
      <c r="H51" s="2" t="n"/>
      <c r="I51" s="2" t="n"/>
      <c r="J51" s="2" t="n"/>
      <c r="K51" s="2" t="n"/>
      <c r="L51" s="2" t="n"/>
      <c r="M51" s="2" t="n"/>
      <c r="N51" s="2" t="n"/>
      <c r="O51" s="2" t="n"/>
      <c r="P51" s="10" t="n"/>
      <c r="Q51" s="17"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c r="AY51" s="2" t="n"/>
      <c r="AZ51" s="2" t="n"/>
      <c r="BA51" s="2" t="n"/>
      <c r="BB51" s="2" t="n"/>
      <c r="BC51" s="2" t="n"/>
      <c r="BD51" s="2" t="n"/>
      <c r="BE51" s="2" t="n"/>
      <c r="BF51" s="2" t="n"/>
      <c r="BG51" s="2" t="n"/>
      <c r="BH51" s="2" t="n"/>
      <c r="BI51" s="2" t="n"/>
      <c r="BJ51" s="2" t="n"/>
      <c r="BK51" s="2" t="n"/>
      <c r="BL51" s="2" t="n"/>
      <c r="BM51" s="2" t="n"/>
      <c r="BN51" s="2" t="n"/>
      <c r="BO51" s="2" t="n"/>
      <c r="BP51" s="2" t="n"/>
      <c r="BQ51" s="2" t="n"/>
      <c r="BR51" s="2" t="n"/>
      <c r="BS51" s="2" t="n"/>
      <c r="BT51" s="2" t="n"/>
      <c r="BU51" s="2" t="n"/>
      <c r="BV51" s="2" t="n"/>
      <c r="BW51" s="2" t="n"/>
      <c r="BX51" s="2" t="n"/>
      <c r="BY51" s="2" t="n"/>
      <c r="BZ51" s="2" t="n"/>
      <c r="CA51" s="2" t="n"/>
      <c r="CB51" s="2" t="n"/>
      <c r="CC51" s="2" t="n"/>
      <c r="CD51" s="2" t="n"/>
      <c r="CE51" s="2" t="n"/>
      <c r="CF51" s="2" t="n"/>
      <c r="CG51" s="2" t="n"/>
      <c r="CH51" s="2" t="n"/>
      <c r="CI51" s="2" t="n"/>
      <c r="CJ51" s="2" t="n"/>
      <c r="CK51" s="2" t="n"/>
      <c r="CL51" s="2" t="n"/>
      <c r="CM51" s="2" t="n"/>
      <c r="CN51" s="2" t="n"/>
      <c r="CO51" s="2" t="n"/>
      <c r="CP51" s="2" t="n"/>
      <c r="CQ51" s="2" t="n"/>
      <c r="CR51" s="2" t="n"/>
      <c r="CS51" s="2" t="n"/>
      <c r="CT51" s="2" t="n"/>
      <c r="CU51" s="2" t="n"/>
      <c r="CV51" s="345" t="n"/>
      <c r="CW51" s="345" t="n"/>
      <c r="CX51" s="345" t="n"/>
      <c r="CY51" s="345" t="n"/>
      <c r="CZ51" s="345" t="n"/>
      <c r="DA51" s="345" t="n"/>
      <c r="DB51" s="345" t="n"/>
      <c r="DC51" s="345" t="n"/>
      <c r="DD51" s="345" t="n"/>
      <c r="DE51" s="345" t="n"/>
      <c r="DF51" s="345" t="n"/>
      <c r="DG51" s="345" t="n"/>
      <c r="DH51" s="345" t="n"/>
      <c r="DI51" s="345" t="n"/>
      <c r="DJ51" s="345" t="n"/>
      <c r="DK51" s="345" t="n"/>
      <c r="DL51" s="345" t="n"/>
      <c r="DM51" s="345" t="n"/>
      <c r="DN51" s="345" t="n"/>
      <c r="DO51" s="345" t="n"/>
      <c r="DP51" s="345" t="n"/>
      <c r="DQ51" s="345" t="n"/>
      <c r="DR51" s="345" t="n"/>
      <c r="DS51" s="345" t="n"/>
      <c r="DT51" s="345" t="n"/>
      <c r="DU51" s="345" t="n"/>
      <c r="DV51" s="390" t="n"/>
      <c r="DW51" s="345" t="n"/>
      <c r="DX51" s="350" t="n"/>
    </row>
    <row r="52" ht="13.35" customHeight="1" s="634">
      <c r="A52" s="341" t="n"/>
      <c r="B52" s="641" t="n"/>
      <c r="F52" s="690" t="n"/>
      <c r="G52" s="2" t="n"/>
      <c r="H52" s="2" t="n"/>
      <c r="I52" s="2" t="n"/>
      <c r="J52" s="2" t="n"/>
      <c r="K52" s="2" t="n"/>
      <c r="L52" s="2" t="n"/>
      <c r="M52" s="2" t="n"/>
      <c r="N52" s="2" t="n"/>
      <c r="O52" s="2" t="n"/>
      <c r="P52" s="10" t="n"/>
      <c r="Q52" s="17"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2" t="n"/>
      <c r="AS52" s="2" t="n"/>
      <c r="AT52" s="2" t="n"/>
      <c r="AU52" s="2" t="n"/>
      <c r="AV52" s="2" t="n"/>
      <c r="AW52" s="2" t="n"/>
      <c r="AX52" s="2" t="n"/>
      <c r="AY52" s="2" t="n"/>
      <c r="AZ52" s="2" t="n"/>
      <c r="BA52" s="2" t="n"/>
      <c r="BB52" s="2" t="n"/>
      <c r="BC52" s="2" t="n"/>
      <c r="BD52" s="2" t="n"/>
      <c r="BE52" s="2" t="n"/>
      <c r="BF52" s="2" t="n"/>
      <c r="BG52" s="2" t="n"/>
      <c r="BH52" s="2" t="n"/>
      <c r="BI52" s="2" t="n"/>
      <c r="BJ52" s="2" t="n"/>
      <c r="BK52" s="2" t="n"/>
      <c r="BL52" s="2" t="n"/>
      <c r="BM52" s="2" t="n"/>
      <c r="BN52" s="2" t="n"/>
      <c r="BO52" s="2" t="n"/>
      <c r="BP52" s="2" t="n"/>
      <c r="BQ52" s="2" t="n"/>
      <c r="BR52" s="2" t="n"/>
      <c r="BS52" s="2" t="n"/>
      <c r="BT52" s="2" t="n"/>
      <c r="BU52" s="2" t="n"/>
      <c r="BV52" s="2" t="n"/>
      <c r="BW52" s="2" t="n"/>
      <c r="BX52" s="2" t="n"/>
      <c r="BY52" s="2" t="n"/>
      <c r="BZ52" s="2" t="n"/>
      <c r="CA52" s="2" t="n"/>
      <c r="CB52" s="2" t="n"/>
      <c r="CC52" s="2" t="n"/>
      <c r="CD52" s="2" t="n"/>
      <c r="CE52" s="2" t="n"/>
      <c r="CF52" s="2" t="n"/>
      <c r="CG52" s="2" t="n"/>
      <c r="CH52" s="2" t="n"/>
      <c r="CI52" s="2" t="n"/>
      <c r="CJ52" s="2" t="n"/>
      <c r="CK52" s="2" t="n"/>
      <c r="CL52" s="2" t="n"/>
      <c r="CM52" s="2" t="n"/>
      <c r="CN52" s="2" t="n"/>
      <c r="CO52" s="2" t="n"/>
      <c r="CP52" s="2" t="n"/>
      <c r="CQ52" s="2" t="n"/>
      <c r="CR52" s="2" t="n"/>
      <c r="CS52" s="2" t="n"/>
      <c r="CT52" s="2" t="n"/>
      <c r="CU52" s="2" t="n"/>
      <c r="CV52" s="345" t="n"/>
      <c r="CW52" s="345" t="n"/>
      <c r="CX52" s="345" t="n"/>
      <c r="CY52" s="345" t="n"/>
      <c r="CZ52" s="345" t="n"/>
      <c r="DA52" s="345" t="n"/>
      <c r="DB52" s="345" t="n"/>
      <c r="DC52" s="345" t="n"/>
      <c r="DD52" s="345" t="n"/>
      <c r="DE52" s="345" t="n"/>
      <c r="DF52" s="345" t="n"/>
      <c r="DG52" s="345" t="n"/>
      <c r="DH52" s="345" t="n"/>
      <c r="DI52" s="345" t="n"/>
      <c r="DJ52" s="345" t="n"/>
      <c r="DK52" s="345" t="n"/>
      <c r="DL52" s="345" t="n"/>
      <c r="DM52" s="345" t="n"/>
      <c r="DN52" s="345" t="n"/>
      <c r="DO52" s="345" t="n"/>
      <c r="DP52" s="345" t="n"/>
      <c r="DQ52" s="345" t="n"/>
      <c r="DR52" s="345" t="n"/>
      <c r="DS52" s="345" t="n"/>
      <c r="DT52" s="345" t="n"/>
      <c r="DU52" s="345" t="n"/>
      <c r="DV52" s="390" t="n"/>
      <c r="DW52" s="345" t="n"/>
      <c r="DX52" s="350" t="n"/>
    </row>
    <row r="53" ht="13.35" customHeight="1" s="634">
      <c r="A53" s="341" t="n"/>
      <c r="B53" s="641" t="n"/>
      <c r="F53" s="690" t="n"/>
      <c r="G53" s="2" t="n"/>
      <c r="H53" s="2" t="n"/>
      <c r="I53" s="2" t="n"/>
      <c r="J53" s="2" t="n"/>
      <c r="K53" s="2" t="n"/>
      <c r="L53" s="2" t="n"/>
      <c r="M53" s="2" t="n"/>
      <c r="N53" s="2" t="n"/>
      <c r="O53" s="2" t="n"/>
      <c r="P53" s="10" t="n"/>
      <c r="Q53" s="17"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c r="AO53" s="2" t="n"/>
      <c r="AP53" s="2" t="n"/>
      <c r="AQ53" s="2" t="n"/>
      <c r="AR53" s="2" t="n"/>
      <c r="AS53" s="2" t="n"/>
      <c r="AT53" s="2" t="n"/>
      <c r="AU53" s="2" t="n"/>
      <c r="AV53" s="2" t="n"/>
      <c r="AW53" s="2" t="n"/>
      <c r="AX53" s="2" t="n"/>
      <c r="AY53" s="2" t="n"/>
      <c r="AZ53" s="2" t="n"/>
      <c r="BA53" s="2" t="n"/>
      <c r="BB53" s="2" t="n"/>
      <c r="BC53" s="2" t="n"/>
      <c r="BD53" s="2" t="n"/>
      <c r="BE53" s="2" t="n"/>
      <c r="BF53" s="2" t="n"/>
      <c r="BG53" s="2" t="n"/>
      <c r="BH53" s="2" t="n"/>
      <c r="BI53" s="2" t="n"/>
      <c r="BJ53" s="2" t="n"/>
      <c r="BK53" s="2" t="n"/>
      <c r="BL53" s="2" t="n"/>
      <c r="BM53" s="2" t="n"/>
      <c r="BN53" s="2" t="n"/>
      <c r="BO53" s="2" t="n"/>
      <c r="BP53" s="2" t="n"/>
      <c r="BQ53" s="2" t="n"/>
      <c r="BR53" s="2" t="n"/>
      <c r="BS53" s="2" t="n"/>
      <c r="BT53" s="2" t="n"/>
      <c r="BU53" s="2" t="n"/>
      <c r="BV53" s="2" t="n"/>
      <c r="BW53" s="2" t="n"/>
      <c r="BX53" s="2" t="n"/>
      <c r="BY53" s="2" t="n"/>
      <c r="BZ53" s="2" t="n"/>
      <c r="CA53" s="2" t="n"/>
      <c r="CB53" s="2" t="n"/>
      <c r="CC53" s="2" t="n"/>
      <c r="CD53" s="2" t="n"/>
      <c r="CE53" s="2" t="n"/>
      <c r="CF53" s="2" t="n"/>
      <c r="CG53" s="2" t="n"/>
      <c r="CH53" s="2" t="n"/>
      <c r="CI53" s="2" t="n"/>
      <c r="CJ53" s="2" t="n"/>
      <c r="CK53" s="2" t="n"/>
      <c r="CL53" s="2" t="n"/>
      <c r="CM53" s="2" t="n"/>
      <c r="CN53" s="2" t="n"/>
      <c r="CO53" s="2" t="n"/>
      <c r="CP53" s="2" t="n"/>
      <c r="CQ53" s="2" t="n"/>
      <c r="CR53" s="2" t="n"/>
      <c r="CS53" s="2" t="n"/>
      <c r="CT53" s="2" t="n"/>
      <c r="CU53" s="2" t="n"/>
      <c r="CV53" s="345" t="n"/>
      <c r="CW53" s="345" t="n"/>
      <c r="CX53" s="345" t="n"/>
      <c r="CY53" s="345" t="n"/>
      <c r="CZ53" s="345" t="n"/>
      <c r="DA53" s="345" t="n"/>
      <c r="DB53" s="345" t="n"/>
      <c r="DC53" s="345" t="n"/>
      <c r="DD53" s="345" t="n"/>
      <c r="DE53" s="345" t="n"/>
      <c r="DF53" s="345" t="n"/>
      <c r="DG53" s="345" t="n"/>
      <c r="DH53" s="345" t="n"/>
      <c r="DI53" s="345" t="n"/>
      <c r="DJ53" s="345" t="n"/>
      <c r="DK53" s="345" t="n"/>
      <c r="DL53" s="345" t="n"/>
      <c r="DM53" s="345" t="n"/>
      <c r="DN53" s="345" t="n"/>
      <c r="DO53" s="345" t="n"/>
      <c r="DP53" s="345" t="n"/>
      <c r="DQ53" s="345" t="n"/>
      <c r="DR53" s="345" t="n"/>
      <c r="DS53" s="345" t="n"/>
      <c r="DT53" s="345" t="n"/>
      <c r="DU53" s="345" t="n"/>
      <c r="DV53" s="390" t="n"/>
      <c r="DW53" s="345" t="n"/>
      <c r="DX53" s="350" t="n"/>
    </row>
    <row r="54" ht="13.35" customHeight="1" s="634">
      <c r="A54" s="341" t="n"/>
      <c r="B54" s="644" t="n"/>
      <c r="C54" s="645" t="n"/>
      <c r="D54" s="645" t="n"/>
      <c r="E54" s="645" t="n"/>
      <c r="F54" s="691" t="n"/>
      <c r="G54" s="2" t="n"/>
      <c r="H54" s="2" t="n"/>
      <c r="I54" s="2" t="n"/>
      <c r="J54" s="2" t="n"/>
      <c r="K54" s="2" t="n"/>
      <c r="L54" s="2" t="n"/>
      <c r="M54" s="2" t="n"/>
      <c r="N54" s="2" t="n"/>
      <c r="O54" s="2" t="n"/>
      <c r="P54" s="10" t="n"/>
      <c r="Q54" s="17"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2" t="n"/>
      <c r="BA54" s="2" t="n"/>
      <c r="BB54" s="2" t="n"/>
      <c r="BC54" s="2" t="n"/>
      <c r="BD54" s="2" t="n"/>
      <c r="BE54" s="2" t="n"/>
      <c r="BF54" s="2" t="n"/>
      <c r="BG54" s="2" t="n"/>
      <c r="BH54" s="2" t="n"/>
      <c r="BI54" s="2" t="n"/>
      <c r="BJ54" s="2" t="n"/>
      <c r="BK54" s="2" t="n"/>
      <c r="BL54" s="2" t="n"/>
      <c r="BM54" s="2" t="n"/>
      <c r="BN54" s="2" t="n"/>
      <c r="BO54" s="2" t="n"/>
      <c r="BP54" s="2" t="n"/>
      <c r="BQ54" s="2" t="n"/>
      <c r="BR54" s="2" t="n"/>
      <c r="BS54" s="2" t="n"/>
      <c r="BT54" s="2" t="n"/>
      <c r="BU54" s="2" t="n"/>
      <c r="BV54" s="2" t="n"/>
      <c r="BW54" s="2" t="n"/>
      <c r="BX54" s="2" t="n"/>
      <c r="BY54" s="2" t="n"/>
      <c r="BZ54" s="2" t="n"/>
      <c r="CA54" s="2" t="n"/>
      <c r="CB54" s="2" t="n"/>
      <c r="CC54" s="2" t="n"/>
      <c r="CD54" s="2" t="n"/>
      <c r="CE54" s="2" t="n"/>
      <c r="CF54" s="2" t="n"/>
      <c r="CG54" s="2" t="n"/>
      <c r="CH54" s="2" t="n"/>
      <c r="CI54" s="2" t="n"/>
      <c r="CJ54" s="2" t="n"/>
      <c r="CK54" s="2" t="n"/>
      <c r="CL54" s="2" t="n"/>
      <c r="CM54" s="2" t="n"/>
      <c r="CN54" s="2" t="n"/>
      <c r="CO54" s="2" t="n"/>
      <c r="CP54" s="2" t="n"/>
      <c r="CQ54" s="2" t="n"/>
      <c r="CR54" s="2" t="n"/>
      <c r="CS54" s="2" t="n"/>
      <c r="CT54" s="2" t="n"/>
      <c r="CU54" s="2" t="n"/>
      <c r="CV54" s="345" t="n"/>
      <c r="CW54" s="345" t="n"/>
      <c r="CX54" s="345" t="n"/>
      <c r="CY54" s="345" t="n"/>
      <c r="CZ54" s="345" t="n"/>
      <c r="DA54" s="345" t="n"/>
      <c r="DB54" s="345" t="n"/>
      <c r="DC54" s="345" t="n"/>
      <c r="DD54" s="345" t="n"/>
      <c r="DE54" s="345" t="n"/>
      <c r="DF54" s="345" t="n"/>
      <c r="DG54" s="345" t="n"/>
      <c r="DH54" s="345" t="n"/>
      <c r="DI54" s="345" t="n"/>
      <c r="DJ54" s="345" t="n"/>
      <c r="DK54" s="345" t="n"/>
      <c r="DL54" s="345" t="n"/>
      <c r="DM54" s="345" t="n"/>
      <c r="DN54" s="345" t="n"/>
      <c r="DO54" s="345" t="n"/>
      <c r="DP54" s="345" t="n"/>
      <c r="DQ54" s="345" t="n"/>
      <c r="DR54" s="345" t="n"/>
      <c r="DS54" s="345" t="n"/>
      <c r="DT54" s="345" t="n"/>
      <c r="DU54" s="345" t="n"/>
      <c r="DV54" s="390" t="n"/>
      <c r="DW54" s="345" t="n"/>
      <c r="DX54" s="350" t="n"/>
    </row>
    <row r="55" ht="15" customHeight="1" s="634">
      <c r="A55" s="341" t="n"/>
      <c r="B55" s="400" t="n"/>
      <c r="C55" s="2" t="n"/>
      <c r="D55" s="2" t="n"/>
      <c r="E55" s="2" t="n"/>
      <c r="F55" s="402" t="n"/>
      <c r="G55" s="2" t="n"/>
      <c r="H55" s="2" t="n"/>
      <c r="I55" s="2" t="n"/>
      <c r="J55" s="2" t="n"/>
      <c r="K55" s="2" t="n"/>
      <c r="L55" s="2" t="n"/>
      <c r="M55" s="2" t="n"/>
      <c r="N55" s="2" t="n"/>
      <c r="O55" s="2" t="n"/>
      <c r="P55" s="10" t="n"/>
      <c r="Q55" s="17"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2" t="n"/>
      <c r="BJ55" s="2" t="n"/>
      <c r="BK55" s="2" t="n"/>
      <c r="BL55" s="2" t="n"/>
      <c r="BM55" s="2" t="n"/>
      <c r="BN55" s="2" t="n"/>
      <c r="BO55" s="2" t="n"/>
      <c r="BP55" s="2" t="n"/>
      <c r="BQ55" s="2" t="n"/>
      <c r="BR55" s="2" t="n"/>
      <c r="BS55" s="2" t="n"/>
      <c r="BT55" s="2" t="n"/>
      <c r="BU55" s="2" t="n"/>
      <c r="BV55" s="2" t="n"/>
      <c r="BW55" s="2" t="n"/>
      <c r="BX55" s="2" t="n"/>
      <c r="BY55" s="2" t="n"/>
      <c r="BZ55" s="2" t="n"/>
      <c r="CA55" s="2" t="n"/>
      <c r="CB55" s="2" t="n"/>
      <c r="CC55" s="2" t="n"/>
      <c r="CD55" s="2" t="n"/>
      <c r="CE55" s="2" t="n"/>
      <c r="CF55" s="2" t="n"/>
      <c r="CG55" s="2" t="n"/>
      <c r="CH55" s="2" t="n"/>
      <c r="CI55" s="2" t="n"/>
      <c r="CJ55" s="2" t="n"/>
      <c r="CK55" s="2" t="n"/>
      <c r="CL55" s="2" t="n"/>
      <c r="CM55" s="2" t="n"/>
      <c r="CN55" s="2" t="n"/>
      <c r="CO55" s="2" t="n"/>
      <c r="CP55" s="2" t="n"/>
      <c r="CQ55" s="2" t="n"/>
      <c r="CR55" s="2" t="n"/>
      <c r="CS55" s="2" t="n"/>
      <c r="CT55" s="2" t="n"/>
      <c r="CU55" s="2" t="n"/>
      <c r="CV55" s="345" t="n"/>
      <c r="CW55" s="345" t="n"/>
      <c r="CX55" s="345" t="n"/>
      <c r="CY55" s="345" t="n"/>
      <c r="CZ55" s="345" t="n"/>
      <c r="DA55" s="345" t="n"/>
      <c r="DB55" s="345" t="n"/>
      <c r="DC55" s="345" t="n"/>
      <c r="DD55" s="345" t="n"/>
      <c r="DE55" s="345" t="n"/>
      <c r="DF55" s="345" t="n"/>
      <c r="DG55" s="345" t="n"/>
      <c r="DH55" s="345" t="n"/>
      <c r="DI55" s="345" t="n"/>
      <c r="DJ55" s="345" t="n"/>
      <c r="DK55" s="345" t="n"/>
      <c r="DL55" s="345" t="n"/>
      <c r="DM55" s="345" t="n"/>
      <c r="DN55" s="345" t="n"/>
      <c r="DO55" s="345" t="n"/>
      <c r="DP55" s="345" t="n"/>
      <c r="DQ55" s="345" t="n"/>
      <c r="DR55" s="345" t="n"/>
      <c r="DS55" s="345" t="n"/>
      <c r="DT55" s="345" t="n"/>
      <c r="DU55" s="345" t="n"/>
      <c r="DV55" s="390" t="n"/>
      <c r="DW55" s="345" t="n"/>
      <c r="DX55" s="350" t="n"/>
    </row>
    <row r="56" ht="7.5" customHeight="1" s="634">
      <c r="A56" s="17" t="n"/>
      <c r="B56" s="17" t="n"/>
      <c r="C56" s="17" t="n"/>
      <c r="D56" s="17" t="n"/>
      <c r="E56" s="17" t="n"/>
      <c r="F56" s="17" t="n"/>
      <c r="G56" s="17" t="n"/>
      <c r="H56" s="17" t="n"/>
      <c r="I56" s="17" t="n"/>
      <c r="J56" s="17" t="n"/>
      <c r="K56" s="17" t="n"/>
      <c r="L56" s="17" t="n"/>
      <c r="M56" s="17" t="n"/>
      <c r="N56" s="17" t="n"/>
      <c r="O56" s="17" t="n"/>
      <c r="P56" s="17" t="n"/>
      <c r="Q56" s="17"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2" t="n"/>
      <c r="BA56" s="2" t="n"/>
      <c r="BB56" s="2" t="n"/>
      <c r="BC56" s="2" t="n"/>
      <c r="BD56" s="2" t="n"/>
      <c r="BE56" s="2" t="n"/>
      <c r="BF56" s="2" t="n"/>
      <c r="BG56" s="2" t="n"/>
      <c r="BH56" s="2" t="n"/>
      <c r="BI56" s="2" t="n"/>
      <c r="BJ56" s="2" t="n"/>
      <c r="BK56" s="2" t="n"/>
      <c r="BL56" s="2" t="n"/>
      <c r="BM56" s="2" t="n"/>
      <c r="BN56" s="2" t="n"/>
      <c r="BO56" s="2" t="n"/>
      <c r="BP56" s="2" t="n"/>
      <c r="BQ56" s="2" t="n"/>
      <c r="BR56" s="2" t="n"/>
      <c r="BS56" s="2" t="n"/>
      <c r="BT56" s="2" t="n"/>
      <c r="BU56" s="2" t="n"/>
      <c r="BV56" s="2" t="n"/>
      <c r="BW56" s="2" t="n"/>
      <c r="BX56" s="2" t="n"/>
      <c r="BY56" s="2" t="n"/>
      <c r="BZ56" s="2" t="n"/>
      <c r="CA56" s="2" t="n"/>
      <c r="CB56" s="2" t="n"/>
      <c r="CC56" s="2" t="n"/>
      <c r="CD56" s="2" t="n"/>
      <c r="CE56" s="2" t="n"/>
      <c r="CF56" s="2" t="n"/>
      <c r="CG56" s="2" t="n"/>
      <c r="CH56" s="2" t="n"/>
      <c r="CI56" s="2" t="n"/>
      <c r="CJ56" s="2" t="n"/>
      <c r="CK56" s="2" t="n"/>
      <c r="CL56" s="2" t="n"/>
      <c r="CM56" s="2" t="n"/>
      <c r="CN56" s="2" t="n"/>
      <c r="CO56" s="2" t="n"/>
      <c r="CP56" s="2" t="n"/>
      <c r="CQ56" s="2" t="n"/>
      <c r="CR56" s="2" t="n"/>
      <c r="CS56" s="2" t="n"/>
      <c r="CT56" s="345" t="n"/>
      <c r="CU56" s="345" t="n"/>
      <c r="CV56" s="345" t="n"/>
      <c r="CW56" s="345" t="n"/>
      <c r="CX56" s="345" t="n"/>
      <c r="CY56" s="345" t="n"/>
      <c r="CZ56" s="345" t="n"/>
      <c r="DA56" s="345" t="n"/>
      <c r="DB56" s="345" t="n"/>
      <c r="DC56" s="345" t="n"/>
      <c r="DD56" s="345" t="n"/>
      <c r="DE56" s="345" t="n"/>
      <c r="DF56" s="345" t="n"/>
      <c r="DG56" s="345" t="n"/>
      <c r="DH56" s="345" t="n"/>
      <c r="DI56" s="345" t="n"/>
      <c r="DJ56" s="345" t="n"/>
      <c r="DK56" s="345" t="n"/>
      <c r="DL56" s="345" t="n"/>
      <c r="DM56" s="345" t="n"/>
      <c r="DN56" s="345" t="n"/>
      <c r="DO56" s="345" t="n"/>
      <c r="DP56" s="345" t="n"/>
      <c r="DQ56" s="345" t="n"/>
      <c r="DR56" s="345" t="n"/>
      <c r="DS56" s="345" t="n"/>
      <c r="DT56" s="390" t="n"/>
      <c r="DU56" s="345" t="n"/>
      <c r="DV56" s="350" t="n"/>
      <c r="DW56" s="2" t="n"/>
      <c r="DX56" s="2" t="n"/>
    </row>
    <row r="57" ht="13.35" customHeight="1" s="634">
      <c r="A57" s="341" t="n"/>
      <c r="B57" s="359" t="n"/>
      <c r="C57" s="2" t="n"/>
      <c r="D57" s="2" t="n"/>
      <c r="E57" s="2" t="n"/>
      <c r="F57" s="40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2" t="n"/>
      <c r="BM57" s="2" t="n"/>
      <c r="BN57" s="2" t="n"/>
      <c r="BO57" s="2" t="n"/>
      <c r="BP57" s="2" t="n"/>
      <c r="BQ57" s="2" t="n"/>
      <c r="BR57" s="2" t="n"/>
      <c r="BS57" s="2" t="n"/>
      <c r="BT57" s="2" t="n"/>
      <c r="BU57" s="2" t="n"/>
      <c r="BV57" s="2" t="n"/>
      <c r="BW57" s="2" t="n"/>
      <c r="BX57" s="2" t="n"/>
      <c r="BY57" s="2" t="n"/>
      <c r="BZ57" s="2" t="n"/>
      <c r="CA57" s="2" t="n"/>
      <c r="CB57" s="2" t="n"/>
      <c r="CC57" s="2" t="n"/>
      <c r="CD57" s="2" t="n"/>
      <c r="CE57" s="2" t="n"/>
      <c r="CF57" s="2" t="n"/>
      <c r="CG57" s="2" t="n"/>
      <c r="CH57" s="2" t="n"/>
      <c r="CI57" s="2" t="n"/>
      <c r="CJ57" s="2" t="n"/>
      <c r="CK57" s="2" t="n"/>
      <c r="CL57" s="2" t="n"/>
      <c r="CM57" s="2" t="n"/>
      <c r="CN57" s="2" t="n"/>
      <c r="CO57" s="2" t="n"/>
      <c r="CP57" s="2" t="n"/>
      <c r="CQ57" s="2" t="n"/>
      <c r="CR57" s="2" t="n"/>
      <c r="CS57" s="2" t="n"/>
      <c r="CT57" s="2" t="n"/>
      <c r="CU57" s="345" t="n"/>
      <c r="CV57" s="345" t="n"/>
      <c r="CW57" s="345" t="n"/>
      <c r="CX57" s="345" t="n"/>
      <c r="CY57" s="345" t="n"/>
      <c r="CZ57" s="345" t="n"/>
      <c r="DA57" s="345" t="n"/>
      <c r="DB57" s="345" t="n"/>
      <c r="DC57" s="345" t="n"/>
      <c r="DD57" s="345" t="n"/>
      <c r="DE57" s="345" t="n"/>
      <c r="DF57" s="345" t="n"/>
      <c r="DG57" s="345" t="n"/>
      <c r="DH57" s="345" t="n"/>
      <c r="DI57" s="345" t="n"/>
      <c r="DJ57" s="345" t="n"/>
      <c r="DK57" s="345" t="n"/>
      <c r="DL57" s="345" t="n"/>
      <c r="DM57" s="345" t="n"/>
      <c r="DN57" s="345" t="n"/>
      <c r="DO57" s="345" t="n"/>
      <c r="DP57" s="345" t="n"/>
      <c r="DQ57" s="345" t="n"/>
      <c r="DR57" s="345" t="n"/>
      <c r="DS57" s="345" t="n"/>
      <c r="DT57" s="345" t="n"/>
      <c r="DU57" s="390" t="n"/>
      <c r="DV57" s="345" t="n"/>
      <c r="DW57" s="350" t="n"/>
      <c r="DX57" s="2" t="n"/>
    </row>
    <row r="58" ht="13.35" customHeight="1" s="634">
      <c r="A58" s="341" t="n"/>
      <c r="B58" s="359" t="n"/>
      <c r="C58" s="2" t="n"/>
      <c r="D58" s="2" t="n"/>
      <c r="E58" s="2" t="n"/>
      <c r="F58" s="40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2" t="n"/>
      <c r="AT58" s="2" t="n"/>
      <c r="AU58" s="2" t="n"/>
      <c r="AV58" s="2" t="n"/>
      <c r="AW58" s="2" t="n"/>
      <c r="AX58" s="2" t="n"/>
      <c r="AY58" s="2" t="n"/>
      <c r="AZ58" s="2" t="n"/>
      <c r="BA58" s="2" t="n"/>
      <c r="BB58" s="2" t="n"/>
      <c r="BC58" s="2" t="n"/>
      <c r="BD58" s="2" t="n"/>
      <c r="BE58" s="2" t="n"/>
      <c r="BF58" s="2" t="n"/>
      <c r="BG58" s="2" t="n"/>
      <c r="BH58" s="2" t="n"/>
      <c r="BI58" s="2" t="n"/>
      <c r="BJ58" s="2" t="n"/>
      <c r="BK58" s="2" t="n"/>
      <c r="BL58" s="2" t="n"/>
      <c r="BM58" s="2" t="n"/>
      <c r="BN58" s="2" t="n"/>
      <c r="BO58" s="2" t="n"/>
      <c r="BP58" s="2" t="n"/>
      <c r="BQ58" s="2" t="n"/>
      <c r="BR58" s="2" t="n"/>
      <c r="BS58" s="2" t="n"/>
      <c r="BT58" s="2" t="n"/>
      <c r="BU58" s="2" t="n"/>
      <c r="BV58" s="2" t="n"/>
      <c r="BW58" s="2" t="n"/>
      <c r="BX58" s="2" t="n"/>
      <c r="BY58" s="2" t="n"/>
      <c r="BZ58" s="2" t="n"/>
      <c r="CA58" s="2" t="n"/>
      <c r="CB58" s="2" t="n"/>
      <c r="CC58" s="2" t="n"/>
      <c r="CD58" s="2" t="n"/>
      <c r="CE58" s="2" t="n"/>
      <c r="CF58" s="2" t="n"/>
      <c r="CG58" s="2" t="n"/>
      <c r="CH58" s="2" t="n"/>
      <c r="CI58" s="2" t="n"/>
      <c r="CJ58" s="2" t="n"/>
      <c r="CK58" s="2" t="n"/>
      <c r="CL58" s="2" t="n"/>
      <c r="CM58" s="2" t="n"/>
      <c r="CN58" s="2" t="n"/>
      <c r="CO58" s="2" t="n"/>
      <c r="CP58" s="2" t="n"/>
      <c r="CQ58" s="2" t="n"/>
      <c r="CR58" s="2" t="n"/>
      <c r="CS58" s="2" t="n"/>
      <c r="CT58" s="2" t="n"/>
      <c r="CU58" s="345" t="n"/>
      <c r="CV58" s="345" t="n"/>
      <c r="CW58" s="345" t="n"/>
      <c r="CX58" s="345" t="n"/>
      <c r="CY58" s="345" t="n"/>
      <c r="CZ58" s="345" t="n"/>
      <c r="DA58" s="345" t="n"/>
      <c r="DB58" s="345" t="n"/>
      <c r="DC58" s="345" t="n"/>
      <c r="DD58" s="345" t="n"/>
      <c r="DE58" s="345" t="n"/>
      <c r="DF58" s="345" t="n"/>
      <c r="DG58" s="345" t="n"/>
      <c r="DH58" s="345" t="n"/>
      <c r="DI58" s="345" t="n"/>
      <c r="DJ58" s="345" t="n"/>
      <c r="DK58" s="345" t="n"/>
      <c r="DL58" s="345" t="n"/>
      <c r="DM58" s="345" t="n"/>
      <c r="DN58" s="345" t="n"/>
      <c r="DO58" s="345" t="n"/>
      <c r="DP58" s="345" t="n"/>
      <c r="DQ58" s="345" t="n"/>
      <c r="DR58" s="345" t="n"/>
      <c r="DS58" s="345" t="n"/>
      <c r="DT58" s="345" t="n"/>
      <c r="DU58" s="390" t="n"/>
      <c r="DV58" s="345" t="n"/>
      <c r="DW58" s="350" t="n"/>
      <c r="DX58" s="2" t="n"/>
    </row>
    <row r="59" ht="13.35" customHeight="1" s="634">
      <c r="A59" s="341" t="n"/>
      <c r="B59" s="359" t="n"/>
      <c r="C59" s="2" t="n"/>
      <c r="D59" s="2" t="n"/>
      <c r="E59" s="2" t="n"/>
      <c r="F59" s="40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n"/>
      <c r="AT59" s="2" t="n"/>
      <c r="AU59" s="2" t="n"/>
      <c r="AV59" s="2" t="n"/>
      <c r="AW59" s="2" t="n"/>
      <c r="AX59" s="2" t="n"/>
      <c r="AY59" s="2" t="n"/>
      <c r="AZ59" s="2" t="n"/>
      <c r="BA59" s="2" t="n"/>
      <c r="BB59" s="2" t="n"/>
      <c r="BC59" s="2" t="n"/>
      <c r="BD59" s="2" t="n"/>
      <c r="BE59" s="2" t="n"/>
      <c r="BF59" s="2" t="n"/>
      <c r="BG59" s="2" t="n"/>
      <c r="BH59" s="2" t="n"/>
      <c r="BI59" s="2" t="n"/>
      <c r="BJ59" s="2" t="n"/>
      <c r="BK59" s="2" t="n"/>
      <c r="BL59" s="2" t="n"/>
      <c r="BM59" s="2" t="n"/>
      <c r="BN59" s="2" t="n"/>
      <c r="BO59" s="2" t="n"/>
      <c r="BP59" s="2" t="n"/>
      <c r="BQ59" s="2" t="n"/>
      <c r="BR59" s="2" t="n"/>
      <c r="BS59" s="2" t="n"/>
      <c r="BT59" s="2" t="n"/>
      <c r="BU59" s="2" t="n"/>
      <c r="BV59" s="2" t="n"/>
      <c r="BW59" s="2" t="n"/>
      <c r="BX59" s="2" t="n"/>
      <c r="BY59" s="2" t="n"/>
      <c r="BZ59" s="2" t="n"/>
      <c r="CA59" s="2" t="n"/>
      <c r="CB59" s="2" t="n"/>
      <c r="CC59" s="2" t="n"/>
      <c r="CD59" s="2" t="n"/>
      <c r="CE59" s="2" t="n"/>
      <c r="CF59" s="2" t="n"/>
      <c r="CG59" s="2" t="n"/>
      <c r="CH59" s="2" t="n"/>
      <c r="CI59" s="2" t="n"/>
      <c r="CJ59" s="2" t="n"/>
      <c r="CK59" s="2" t="n"/>
      <c r="CL59" s="2" t="n"/>
      <c r="CM59" s="2" t="n"/>
      <c r="CN59" s="2" t="n"/>
      <c r="CO59" s="2" t="n"/>
      <c r="CP59" s="2" t="n"/>
      <c r="CQ59" s="2" t="n"/>
      <c r="CR59" s="2" t="n"/>
      <c r="CS59" s="2" t="n"/>
      <c r="CT59" s="2" t="n"/>
      <c r="CU59" s="345" t="n"/>
      <c r="CV59" s="345" t="n"/>
      <c r="CW59" s="345" t="n"/>
      <c r="CX59" s="345" t="n"/>
      <c r="CY59" s="345" t="n"/>
      <c r="CZ59" s="345" t="n"/>
      <c r="DA59" s="345" t="n"/>
      <c r="DB59" s="345" t="n"/>
      <c r="DC59" s="345" t="n"/>
      <c r="DD59" s="345" t="n"/>
      <c r="DE59" s="345" t="n"/>
      <c r="DF59" s="345" t="n"/>
      <c r="DG59" s="345" t="n"/>
      <c r="DH59" s="345" t="n"/>
      <c r="DI59" s="345" t="n"/>
      <c r="DJ59" s="345" t="n"/>
      <c r="DK59" s="345" t="n"/>
      <c r="DL59" s="345" t="n"/>
      <c r="DM59" s="345" t="n"/>
      <c r="DN59" s="345" t="n"/>
      <c r="DO59" s="345" t="n"/>
      <c r="DP59" s="345" t="n"/>
      <c r="DQ59" s="345" t="n"/>
      <c r="DR59" s="345" t="n"/>
      <c r="DS59" s="345" t="n"/>
      <c r="DT59" s="345" t="n"/>
      <c r="DU59" s="390" t="n"/>
      <c r="DV59" s="345" t="n"/>
      <c r="DW59" s="350" t="n"/>
      <c r="DX59" s="2" t="n"/>
    </row>
    <row r="60" ht="13.35" customHeight="1" s="634">
      <c r="A60" s="341" t="n"/>
      <c r="B60" s="359" t="n"/>
      <c r="C60" s="2" t="n"/>
      <c r="D60" s="2" t="n"/>
      <c r="E60" s="2" t="n"/>
      <c r="F60" s="40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c r="AY60" s="2" t="n"/>
      <c r="AZ60" s="2" t="n"/>
      <c r="BA60" s="2" t="n"/>
      <c r="BB60" s="2" t="n"/>
      <c r="BC60" s="2" t="n"/>
      <c r="BD60" s="2" t="n"/>
      <c r="BE60" s="2" t="n"/>
      <c r="BF60" s="2" t="n"/>
      <c r="BG60" s="2" t="n"/>
      <c r="BH60" s="2" t="n"/>
      <c r="BI60" s="2" t="n"/>
      <c r="BJ60" s="2" t="n"/>
      <c r="BK60" s="2" t="n"/>
      <c r="BL60" s="2" t="n"/>
      <c r="BM60" s="2" t="n"/>
      <c r="BN60" s="2" t="n"/>
      <c r="BO60" s="2" t="n"/>
      <c r="BP60" s="2" t="n"/>
      <c r="BQ60" s="2" t="n"/>
      <c r="BR60" s="2" t="n"/>
      <c r="BS60" s="2" t="n"/>
      <c r="BT60" s="2" t="n"/>
      <c r="BU60" s="2" t="n"/>
      <c r="BV60" s="2" t="n"/>
      <c r="BW60" s="2" t="n"/>
      <c r="BX60" s="2" t="n"/>
      <c r="BY60" s="2" t="n"/>
      <c r="BZ60" s="2" t="n"/>
      <c r="CA60" s="2" t="n"/>
      <c r="CB60" s="2" t="n"/>
      <c r="CC60" s="2" t="n"/>
      <c r="CD60" s="2" t="n"/>
      <c r="CE60" s="2" t="n"/>
      <c r="CF60" s="2" t="n"/>
      <c r="CG60" s="2" t="n"/>
      <c r="CH60" s="2" t="n"/>
      <c r="CI60" s="2" t="n"/>
      <c r="CJ60" s="2" t="n"/>
      <c r="CK60" s="2" t="n"/>
      <c r="CL60" s="2" t="n"/>
      <c r="CM60" s="2" t="n"/>
      <c r="CN60" s="2" t="n"/>
      <c r="CO60" s="2" t="n"/>
      <c r="CP60" s="2" t="n"/>
      <c r="CQ60" s="2" t="n"/>
      <c r="CR60" s="2" t="n"/>
      <c r="CS60" s="2" t="n"/>
      <c r="CT60" s="2" t="n"/>
      <c r="CU60" s="345" t="n"/>
      <c r="CV60" s="345" t="n"/>
      <c r="CW60" s="345" t="n"/>
      <c r="CX60" s="345" t="n"/>
      <c r="CY60" s="345" t="n"/>
      <c r="CZ60" s="345" t="n"/>
      <c r="DA60" s="345" t="n"/>
      <c r="DB60" s="345" t="n"/>
      <c r="DC60" s="345" t="n"/>
      <c r="DD60" s="345" t="n"/>
      <c r="DE60" s="345" t="n"/>
      <c r="DF60" s="345" t="n"/>
      <c r="DG60" s="345" t="n"/>
      <c r="DH60" s="345" t="n"/>
      <c r="DI60" s="345" t="n"/>
      <c r="DJ60" s="345" t="n"/>
      <c r="DK60" s="345" t="n"/>
      <c r="DL60" s="345" t="n"/>
      <c r="DM60" s="345" t="n"/>
      <c r="DN60" s="345" t="n"/>
      <c r="DO60" s="345" t="n"/>
      <c r="DP60" s="345" t="n"/>
      <c r="DQ60" s="345" t="n"/>
      <c r="DR60" s="345" t="n"/>
      <c r="DS60" s="345" t="n"/>
      <c r="DT60" s="345" t="n"/>
      <c r="DU60" s="390" t="n"/>
      <c r="DV60" s="345" t="n"/>
      <c r="DW60" s="350" t="n"/>
      <c r="DX60" s="2" t="n"/>
    </row>
    <row r="93" ht="13.35" customHeight="1" s="634">
      <c r="C93" s="403" t="n"/>
      <c r="D93" s="403" t="n"/>
      <c r="E93" s="403" t="n"/>
      <c r="F93" s="403" t="n"/>
      <c r="G93" s="403" t="n"/>
      <c r="H93" s="403" t="n"/>
      <c r="I93" s="403" t="n"/>
      <c r="J93" s="403" t="n"/>
    </row>
  </sheetData>
  <mergeCells count="25">
    <mergeCell ref="C42:C43"/>
    <mergeCell ref="G42:K42"/>
    <mergeCell ref="B42:B43"/>
    <mergeCell ref="G23:K23"/>
    <mergeCell ref="B23:B24"/>
    <mergeCell ref="L41:N41"/>
    <mergeCell ref="B37:F40"/>
    <mergeCell ref="B11:F11"/>
    <mergeCell ref="L22:N22"/>
    <mergeCell ref="L42:L43"/>
    <mergeCell ref="N42:N43"/>
    <mergeCell ref="B8:F8"/>
    <mergeCell ref="L23:L24"/>
    <mergeCell ref="N23:N24"/>
    <mergeCell ref="D42:F42"/>
    <mergeCell ref="C23:C24"/>
    <mergeCell ref="D23:F23"/>
    <mergeCell ref="B10:F10"/>
    <mergeCell ref="M42:M43"/>
    <mergeCell ref="O42:O43"/>
    <mergeCell ref="B51:F54"/>
    <mergeCell ref="M23:M24"/>
    <mergeCell ref="B9:F9"/>
    <mergeCell ref="O23:O24"/>
    <mergeCell ref="B14:F15"/>
  </mergeCells>
  <conditionalFormatting sqref="B51:B52">
    <cfRule type="containsBlanks" priority="5" dxfId="4">
      <formula>LEN(TRIM(B51))=0</formula>
    </cfRule>
  </conditionalFormatting>
  <conditionalFormatting sqref="B25:N31 B37 B44:N48">
    <cfRule type="containsBlanks" priority="8" dxfId="4">
      <formula>LEN(TRIM(B25))=0</formula>
    </cfRule>
  </conditionalFormatting>
  <conditionalFormatting sqref="C16">
    <cfRule type="containsBlanks" priority="7" dxfId="4">
      <formula>LEN(TRIM(C16))=0</formula>
    </cfRule>
  </conditionalFormatting>
  <dataValidations count="1">
    <dataValidation sqref="L25:N31 L44:N48"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codeName="Sheet7">
    <outlinePr summaryBelow="1" summaryRight="1"/>
    <pageSetUpPr/>
  </sheetPr>
  <dimension ref="A1:DU88"/>
  <sheetViews>
    <sheetView showGridLines="0" zoomScale="70" zoomScaleNormal="70" workbookViewId="0">
      <selection activeCell="A1" sqref="A1"/>
    </sheetView>
  </sheetViews>
  <sheetFormatPr baseColWidth="8" defaultColWidth="8.75" defaultRowHeight="12.75" customHeight="1"/>
  <cols>
    <col width="2.625" customWidth="1" style="74" min="1" max="1"/>
    <col width="19" customWidth="1" style="73" min="2" max="3"/>
    <col width="18.75" customWidth="1" style="73" min="4" max="4"/>
    <col width="25.75" customWidth="1" style="73" min="5" max="6"/>
    <col width="28" customWidth="1" style="73" min="7" max="7"/>
    <col width="25.75" customWidth="1" style="73" min="8" max="8"/>
    <col width="18.875" customWidth="1" style="73" min="9" max="9"/>
    <col width="17.375" customWidth="1" style="73" min="10" max="10"/>
    <col width="12.375" customWidth="1" style="73" min="11" max="11"/>
    <col width="21" customWidth="1" style="73" min="12" max="12"/>
    <col width="2.625" customWidth="1" style="73" min="13" max="13"/>
    <col width="1.625" customWidth="1" style="73" min="14" max="14"/>
    <col width="8.75" customWidth="1" style="73" min="15" max="88"/>
    <col width="13.125" customWidth="1" style="96" min="89" max="89"/>
    <col width="7.375" customWidth="1" style="96" min="90" max="90"/>
    <col width="8" customWidth="1" style="96" min="91" max="100"/>
    <col width="14.375" customWidth="1" style="96" min="101" max="101"/>
    <col width="8" customWidth="1" style="96" min="102" max="107"/>
    <col width="10.375" customWidth="1" style="96" min="108" max="108"/>
    <col width="8" customWidth="1" style="96" min="109" max="112"/>
    <col width="10.125" customWidth="1" style="96" min="113" max="113"/>
    <col width="12.375" customWidth="1" style="96" min="114" max="114"/>
    <col width="8.75" customWidth="1" style="97" min="115" max="115"/>
    <col width="8.75" customWidth="1" style="96" min="116" max="116"/>
    <col width="8.75" customWidth="1" style="128" min="117" max="117"/>
    <col width="8.75" customWidth="1" style="73" min="118" max="16384"/>
  </cols>
  <sheetData>
    <row r="1" ht="50.1" customFormat="1" customHeight="1" s="70">
      <c r="A1" s="156" t="n"/>
      <c r="B1" s="77" t="inlineStr">
        <is>
          <t>标准工作底稿: N SWP 应付账款</t>
        </is>
      </c>
      <c r="C1" s="78" t="n"/>
      <c r="D1" s="79" t="n"/>
      <c r="E1" s="79" t="n"/>
      <c r="F1" s="79" t="n"/>
      <c r="G1" s="79" t="n"/>
      <c r="H1" s="79" t="n"/>
      <c r="I1" s="79" t="n"/>
      <c r="J1" s="79" t="n"/>
      <c r="K1" s="79" t="n"/>
      <c r="L1" s="80" t="n"/>
      <c r="M1" s="156" t="n"/>
      <c r="N1" s="81" t="n"/>
      <c r="O1" s="156" t="n"/>
      <c r="P1" s="156" t="n"/>
      <c r="Q1" s="156" t="n"/>
      <c r="R1" s="156" t="n"/>
      <c r="S1" s="156" t="n"/>
      <c r="T1" s="156" t="n"/>
      <c r="U1" s="156" t="n"/>
      <c r="V1" s="156" t="n"/>
      <c r="W1" s="156" t="n"/>
      <c r="X1" s="156" t="n"/>
      <c r="Y1" s="156" t="n"/>
      <c r="Z1" s="156" t="n"/>
      <c r="AA1" s="156" t="n"/>
      <c r="AB1" s="156" t="n"/>
      <c r="AC1" s="156" t="n"/>
      <c r="AD1" s="156" t="n"/>
      <c r="AE1" s="156" t="n"/>
      <c r="AF1" s="156" t="n"/>
      <c r="AG1" s="156" t="n"/>
      <c r="AH1" s="156" t="n"/>
      <c r="AI1" s="156" t="n"/>
      <c r="AJ1" s="156" t="n"/>
      <c r="AK1" s="156" t="n"/>
      <c r="AL1" s="156" t="n"/>
      <c r="AM1" s="156" t="n"/>
      <c r="AN1" s="156" t="n"/>
      <c r="AO1" s="156" t="n"/>
      <c r="AP1" s="156" t="n"/>
      <c r="AQ1" s="156" t="n"/>
      <c r="AR1" s="156" t="n"/>
      <c r="AS1" s="156" t="n"/>
      <c r="AT1" s="156" t="n"/>
      <c r="AU1" s="156" t="n"/>
      <c r="AV1" s="156" t="n"/>
      <c r="AW1" s="156" t="n"/>
      <c r="AX1" s="156" t="n"/>
      <c r="AY1" s="156" t="n"/>
      <c r="AZ1" s="156" t="n"/>
      <c r="BA1" s="156" t="n"/>
      <c r="BB1" s="156" t="n"/>
      <c r="BC1" s="156" t="n"/>
      <c r="BD1" s="156" t="n"/>
      <c r="BE1" s="156" t="n"/>
      <c r="BF1" s="156" t="n"/>
      <c r="BG1" s="156" t="n"/>
      <c r="BH1" s="156" t="n"/>
      <c r="BI1" s="156" t="n"/>
      <c r="BJ1" s="156" t="n"/>
      <c r="BK1" s="156" t="n"/>
      <c r="BL1" s="156" t="n"/>
      <c r="BM1" s="156" t="n"/>
      <c r="BN1" s="156" t="n"/>
      <c r="BO1" s="156" t="n"/>
      <c r="BP1" s="156" t="n"/>
      <c r="BQ1" s="156" t="n"/>
      <c r="BR1" s="156" t="n"/>
      <c r="BS1" s="156" t="n"/>
      <c r="BT1" s="156" t="n"/>
      <c r="BU1" s="156" t="n"/>
      <c r="BV1" s="156" t="n"/>
      <c r="BW1" s="156" t="n"/>
      <c r="BX1" s="156" t="n"/>
      <c r="BY1" s="156" t="n"/>
      <c r="BZ1" s="156" t="n"/>
      <c r="CA1" s="156" t="n"/>
      <c r="CB1" s="156" t="n"/>
      <c r="CC1" s="156" t="n"/>
      <c r="CD1" s="156" t="n"/>
      <c r="CE1" s="156" t="n"/>
      <c r="CF1" s="156" t="n"/>
      <c r="CG1" s="156" t="n"/>
      <c r="CH1" s="156" t="n"/>
      <c r="CI1" s="156" t="n"/>
      <c r="CJ1" s="156" t="n"/>
      <c r="CK1" s="156" t="n"/>
      <c r="CL1" s="156" t="n"/>
      <c r="CM1" s="156" t="n"/>
      <c r="CN1" s="156" t="n"/>
      <c r="CO1" s="156" t="n"/>
      <c r="CP1" s="156" t="n"/>
      <c r="CQ1" s="156" t="n"/>
      <c r="CR1" s="156" t="n"/>
      <c r="CS1" s="156" t="n"/>
      <c r="CT1" s="156" t="n"/>
      <c r="CU1" s="156" t="n"/>
      <c r="CV1" s="156" t="n"/>
      <c r="CW1" s="156" t="n"/>
      <c r="CX1" s="156" t="n"/>
      <c r="CY1" s="156" t="n"/>
      <c r="CZ1" s="156" t="n"/>
      <c r="DA1" s="156" t="n"/>
      <c r="DB1" s="156" t="n"/>
      <c r="DC1" s="156" t="n"/>
      <c r="DD1" s="156" t="n"/>
      <c r="DE1" s="156" t="n"/>
      <c r="DF1" s="156" t="n"/>
      <c r="DG1" s="156" t="n"/>
      <c r="DH1" s="156" t="n"/>
      <c r="DI1" s="156" t="n"/>
      <c r="DJ1" s="156" t="n"/>
      <c r="DK1" s="156" t="n"/>
      <c r="DL1" s="156" t="n"/>
      <c r="DM1" s="156" t="n"/>
      <c r="DN1" s="156" t="n"/>
      <c r="DO1" s="156" t="n"/>
      <c r="DP1" s="156" t="n"/>
      <c r="DQ1" s="156" t="n"/>
      <c r="DR1" s="156" t="n"/>
      <c r="DS1" s="156" t="n"/>
      <c r="DT1" s="156" t="n"/>
      <c r="DU1" s="156" t="n"/>
    </row>
    <row r="2" ht="30" customFormat="1" customHeight="1" s="70">
      <c r="A2" s="156" t="n"/>
      <c r="B2" s="82" t="inlineStr">
        <is>
          <t>N.03: 应付账款截止测试</t>
        </is>
      </c>
      <c r="C2" s="83" t="n"/>
      <c r="D2" s="83" t="n"/>
      <c r="E2" s="83" t="n"/>
      <c r="F2" s="83" t="n"/>
      <c r="G2" s="83" t="n"/>
      <c r="H2" s="83" t="n"/>
      <c r="I2" s="83" t="n"/>
      <c r="J2" s="83" t="n"/>
      <c r="K2" s="83" t="n"/>
      <c r="L2" s="84" t="n"/>
      <c r="M2" s="95" t="n"/>
      <c r="N2" s="81" t="n"/>
      <c r="O2" s="156" t="n"/>
      <c r="P2" s="156" t="n"/>
      <c r="Q2" s="156" t="n"/>
      <c r="R2" s="156" t="n"/>
      <c r="S2" s="156" t="n"/>
      <c r="T2" s="156" t="n"/>
      <c r="U2" s="156" t="n"/>
      <c r="V2" s="156" t="n"/>
      <c r="W2" s="156" t="n"/>
      <c r="X2" s="156" t="n"/>
      <c r="Y2" s="156" t="n"/>
      <c r="Z2" s="156" t="n"/>
      <c r="AA2" s="156" t="n"/>
      <c r="AB2" s="156" t="n"/>
      <c r="AC2" s="156" t="n"/>
      <c r="AD2" s="156" t="n"/>
      <c r="AE2" s="156" t="n"/>
      <c r="AF2" s="156" t="n"/>
      <c r="AG2" s="156" t="n"/>
      <c r="AH2" s="156" t="n"/>
      <c r="AI2" s="156" t="n"/>
      <c r="AJ2" s="156" t="n"/>
      <c r="AK2" s="156" t="n"/>
      <c r="AL2" s="156" t="n"/>
      <c r="AM2" s="156" t="n"/>
      <c r="AN2" s="156" t="n"/>
      <c r="AO2" s="156" t="n"/>
      <c r="AP2" s="156" t="n"/>
      <c r="AQ2" s="156" t="n"/>
      <c r="AR2" s="156" t="n"/>
      <c r="AS2" s="156" t="n"/>
      <c r="AT2" s="156" t="n"/>
      <c r="AU2" s="156" t="n"/>
      <c r="AV2" s="156" t="n"/>
      <c r="AW2" s="156" t="n"/>
      <c r="AX2" s="156" t="n"/>
      <c r="AY2" s="156" t="n"/>
      <c r="AZ2" s="156" t="n"/>
      <c r="BA2" s="156" t="n"/>
      <c r="BB2" s="156" t="n"/>
      <c r="BC2" s="156" t="n"/>
      <c r="BD2" s="156" t="n"/>
      <c r="BE2" s="156" t="n"/>
      <c r="BF2" s="156" t="n"/>
      <c r="BG2" s="156" t="n"/>
      <c r="BH2" s="156" t="n"/>
      <c r="BI2" s="156" t="n"/>
      <c r="BJ2" s="156" t="n"/>
      <c r="BK2" s="156" t="n"/>
      <c r="BL2" s="156" t="n"/>
      <c r="BM2" s="156" t="n"/>
      <c r="BN2" s="156" t="n"/>
      <c r="BO2" s="156" t="n"/>
      <c r="BP2" s="156" t="n"/>
      <c r="BQ2" s="156" t="n"/>
      <c r="BR2" s="156" t="n"/>
      <c r="BS2" s="156" t="n"/>
      <c r="BT2" s="156" t="n"/>
      <c r="BU2" s="156" t="n"/>
      <c r="BV2" s="156" t="n"/>
      <c r="BW2" s="156" t="n"/>
      <c r="BX2" s="156" t="n"/>
      <c r="BY2" s="156" t="n"/>
      <c r="BZ2" s="156" t="n"/>
      <c r="CA2" s="156" t="n"/>
      <c r="CB2" s="156" t="n"/>
      <c r="CC2" s="156" t="n"/>
      <c r="CD2" s="156" t="n"/>
      <c r="CE2" s="156" t="n"/>
      <c r="CF2" s="156" t="n"/>
      <c r="CG2" s="156" t="n"/>
      <c r="CH2" s="156" t="n"/>
      <c r="CI2" s="156" t="n"/>
      <c r="CJ2" s="156" t="n"/>
      <c r="CK2" s="156" t="n"/>
      <c r="CL2" s="156" t="n"/>
      <c r="CM2" s="156" t="n"/>
      <c r="CN2" s="156" t="n"/>
      <c r="CO2" s="156" t="n"/>
      <c r="CP2" s="156" t="n"/>
      <c r="CQ2" s="156" t="n"/>
      <c r="CR2" s="156" t="n"/>
      <c r="CS2" s="156" t="n"/>
      <c r="CT2" s="156" t="n"/>
      <c r="CU2" s="156" t="n"/>
      <c r="CV2" s="156" t="n"/>
      <c r="CW2" s="156" t="n"/>
      <c r="CX2" s="156" t="n"/>
      <c r="CY2" s="156" t="n"/>
      <c r="CZ2" s="156" t="n"/>
      <c r="DA2" s="156" t="n"/>
      <c r="DB2" s="156" t="n"/>
      <c r="DC2" s="156" t="n"/>
      <c r="DD2" s="156" t="n"/>
      <c r="DE2" s="156" t="n"/>
      <c r="DF2" s="156" t="n"/>
      <c r="DG2" s="156" t="n"/>
      <c r="DH2" s="156" t="n"/>
      <c r="DI2" s="156" t="n"/>
      <c r="DJ2" s="156" t="n"/>
      <c r="DK2" s="156" t="n"/>
      <c r="DL2" s="156" t="n"/>
      <c r="DM2" s="156" t="n"/>
      <c r="DN2" s="156" t="n"/>
      <c r="DO2" s="156" t="n"/>
      <c r="DP2" s="156" t="n"/>
      <c r="DQ2" s="156" t="n"/>
      <c r="DR2" s="156" t="n"/>
      <c r="DS2" s="156" t="n"/>
      <c r="DT2" s="156" t="n"/>
      <c r="DU2" s="156" t="n"/>
    </row>
    <row r="3" ht="15" customHeight="1" s="634">
      <c r="C3" s="67" t="n"/>
      <c r="D3" s="67" t="n"/>
      <c r="N3" s="81" t="n"/>
      <c r="CK3" s="73" t="n"/>
      <c r="CL3" s="67" t="n"/>
      <c r="CM3" s="67" t="n"/>
      <c r="CN3" s="67" t="n"/>
      <c r="CW3" s="67" t="n"/>
      <c r="DC3" s="67" t="n"/>
      <c r="DD3" s="67" t="n"/>
      <c r="DE3" s="67" t="n"/>
      <c r="DF3" s="67" t="n"/>
      <c r="DG3" s="67" t="n"/>
      <c r="DH3" s="67" t="n"/>
      <c r="DI3" s="67" t="n"/>
      <c r="DJ3" s="67" t="n"/>
      <c r="DK3" s="67" t="n"/>
      <c r="DL3" s="97" t="n"/>
      <c r="DM3" s="67" t="n"/>
      <c r="DN3" s="67" t="n"/>
    </row>
    <row r="4" ht="15" customHeight="1" s="634">
      <c r="B4" s="71" t="inlineStr">
        <is>
          <t>返回汇总页</t>
        </is>
      </c>
      <c r="C4" s="67" t="n"/>
      <c r="D4" s="67" t="n"/>
      <c r="N4" s="81" t="n"/>
      <c r="CK4" s="73" t="n"/>
      <c r="CL4" s="67" t="n"/>
      <c r="CM4" s="67" t="n"/>
      <c r="CN4" s="67" t="n"/>
      <c r="CW4" s="67" t="n"/>
      <c r="DC4" s="67" t="n"/>
      <c r="DD4" s="67" t="n"/>
      <c r="DE4" s="67" t="n"/>
      <c r="DF4" s="67" t="n"/>
      <c r="DG4" s="67" t="n"/>
      <c r="DH4" s="67" t="n"/>
      <c r="DI4" s="67" t="n"/>
      <c r="DJ4" s="67" t="n"/>
      <c r="DK4" s="67" t="n"/>
      <c r="DL4" s="97" t="n"/>
      <c r="DM4" s="67" t="n"/>
      <c r="DN4" s="67" t="n"/>
    </row>
    <row r="5" ht="15" customHeight="1" s="634">
      <c r="N5" s="81" t="n"/>
      <c r="CK5" s="73" t="n"/>
      <c r="CL5" s="67" t="n"/>
      <c r="CM5" s="67" t="n"/>
      <c r="CN5" s="67" t="n"/>
      <c r="CW5" s="67" t="n"/>
      <c r="DC5" s="67" t="n"/>
      <c r="DD5" s="67" t="n"/>
      <c r="DE5" s="67" t="n"/>
      <c r="DF5" s="67" t="n"/>
      <c r="DG5" s="67" t="n"/>
      <c r="DH5" s="67" t="n"/>
      <c r="DI5" s="67" t="n"/>
      <c r="DJ5" s="67" t="n"/>
      <c r="DK5" s="67" t="n"/>
      <c r="DL5" s="97" t="n"/>
      <c r="DM5" s="67" t="n"/>
      <c r="DN5" s="67" t="n"/>
    </row>
    <row r="6" ht="15" customFormat="1" customHeight="1" s="101">
      <c r="A6" s="98" t="n"/>
      <c r="B6" s="99" t="inlineStr">
        <is>
          <t>表1 记录确定测试期间和样本策略的理由。</t>
        </is>
      </c>
      <c r="C6" s="767" t="n"/>
      <c r="D6" s="767" t="n"/>
      <c r="E6" s="767" t="n"/>
      <c r="F6" s="767" t="n"/>
      <c r="G6" s="767" t="n"/>
      <c r="H6" s="767" t="n"/>
      <c r="I6" s="73" t="n"/>
      <c r="J6" s="73" t="n"/>
      <c r="K6" s="73" t="n"/>
      <c r="L6" s="73" t="n"/>
      <c r="M6" s="73" t="n"/>
      <c r="N6" s="81" t="n"/>
      <c r="CO6" s="102" t="n"/>
      <c r="CP6" s="102" t="n"/>
      <c r="CQ6" s="102" t="n"/>
      <c r="CR6" s="102" t="n"/>
      <c r="CS6" s="102" t="n"/>
      <c r="CT6" s="102" t="n"/>
      <c r="CU6" s="102" t="n"/>
      <c r="CV6" s="102" t="n"/>
      <c r="CW6" s="102" t="n"/>
      <c r="CX6" s="102" t="n"/>
      <c r="CY6" s="102" t="n"/>
      <c r="CZ6" s="102" t="n"/>
      <c r="DA6" s="102" t="n"/>
      <c r="DB6" s="102" t="n"/>
      <c r="DC6" s="102" t="n"/>
      <c r="DD6" s="102" t="n"/>
      <c r="DE6" s="102" t="n"/>
      <c r="DF6" s="102" t="n"/>
      <c r="DG6" s="102" t="n"/>
      <c r="DH6" s="102" t="n"/>
      <c r="DI6" s="102" t="n"/>
      <c r="DJ6" s="102" t="n"/>
      <c r="DK6" s="102" t="n"/>
      <c r="DL6" s="102" t="n"/>
      <c r="DM6" s="102" t="n"/>
      <c r="DN6" s="102" t="n"/>
      <c r="DO6" s="107" t="n"/>
      <c r="DP6" s="102" t="n"/>
      <c r="DQ6" s="104" t="n"/>
    </row>
    <row r="7" ht="15" customFormat="1" customHeight="1" s="101">
      <c r="A7" s="98" t="n"/>
      <c r="B7" s="768" t="n"/>
      <c r="C7" s="688" t="n"/>
      <c r="D7" s="688" t="n"/>
      <c r="E7" s="688" t="n"/>
      <c r="F7" s="689" t="n"/>
      <c r="G7" s="0" t="n"/>
      <c r="H7" s="0" t="n"/>
      <c r="I7" s="0" t="n"/>
      <c r="J7" s="0" t="n"/>
      <c r="K7" s="0" t="n"/>
      <c r="L7" s="0" t="n"/>
      <c r="M7" s="73" t="n"/>
      <c r="N7" s="81" t="n"/>
      <c r="CG7" s="102" t="n"/>
      <c r="CH7" s="102" t="n"/>
      <c r="CI7" s="102" t="n"/>
      <c r="CJ7" s="102" t="n"/>
      <c r="CK7" s="102" t="n"/>
      <c r="CL7" s="102" t="n"/>
      <c r="CM7" s="102" t="n"/>
      <c r="CN7" s="102" t="n"/>
      <c r="CO7" s="102" t="n"/>
      <c r="CP7" s="102" t="n"/>
      <c r="CQ7" s="102" t="n"/>
      <c r="CR7" s="102" t="n"/>
      <c r="CS7" s="102" t="n"/>
      <c r="CT7" s="102" t="n"/>
      <c r="CU7" s="102" t="n"/>
      <c r="CV7" s="102" t="n"/>
      <c r="CW7" s="102" t="n"/>
      <c r="CX7" s="102" t="n"/>
      <c r="CY7" s="102" t="n"/>
      <c r="CZ7" s="102" t="n"/>
      <c r="DA7" s="102" t="n"/>
      <c r="DB7" s="102" t="n"/>
      <c r="DC7" s="102" t="n"/>
      <c r="DD7" s="102" t="n"/>
      <c r="DE7" s="102" t="n"/>
      <c r="DF7" s="102" t="n"/>
      <c r="DG7" s="107" t="n"/>
      <c r="DH7" s="102" t="n"/>
      <c r="DI7" s="104" t="n"/>
    </row>
    <row r="8" ht="15" customFormat="1" customHeight="1" s="101">
      <c r="A8" s="98" t="n"/>
      <c r="B8" s="641" t="n"/>
      <c r="F8" s="690" t="n"/>
      <c r="G8" s="0" t="n"/>
      <c r="H8" s="0" t="n"/>
      <c r="I8" s="0" t="n"/>
      <c r="J8" s="0" t="n"/>
      <c r="K8" s="0" t="n"/>
      <c r="L8" s="0" t="n"/>
      <c r="M8" s="73" t="n"/>
      <c r="N8" s="81" t="n"/>
      <c r="CG8" s="102" t="n"/>
      <c r="CH8" s="102" t="n"/>
      <c r="CI8" s="102" t="n"/>
      <c r="CJ8" s="102" t="n"/>
      <c r="CK8" s="102" t="n"/>
      <c r="CL8" s="102" t="n"/>
      <c r="CM8" s="102" t="n"/>
      <c r="CN8" s="102" t="n"/>
      <c r="CO8" s="102" t="n"/>
      <c r="CP8" s="102" t="n"/>
      <c r="CQ8" s="102" t="n"/>
      <c r="CR8" s="102" t="n"/>
      <c r="CS8" s="102" t="n"/>
      <c r="CT8" s="102" t="n"/>
      <c r="CU8" s="102" t="n"/>
      <c r="CV8" s="102" t="n"/>
      <c r="CW8" s="102" t="n"/>
      <c r="CX8" s="102" t="n"/>
      <c r="CY8" s="102" t="n"/>
      <c r="CZ8" s="102" t="n"/>
      <c r="DA8" s="102" t="n"/>
      <c r="DB8" s="102" t="n"/>
      <c r="DC8" s="102" t="n"/>
      <c r="DD8" s="102" t="n"/>
      <c r="DE8" s="102" t="n"/>
      <c r="DF8" s="102" t="n"/>
      <c r="DG8" s="107" t="n"/>
      <c r="DH8" s="102" t="n"/>
      <c r="DI8" s="104" t="n"/>
    </row>
    <row r="9" ht="15" customFormat="1" customHeight="1" s="101">
      <c r="A9" s="98" t="n"/>
      <c r="B9" s="644" t="n"/>
      <c r="C9" s="645" t="n"/>
      <c r="D9" s="645" t="n"/>
      <c r="E9" s="645" t="n"/>
      <c r="F9" s="691" t="n"/>
      <c r="G9" s="0" t="n"/>
      <c r="H9" s="0" t="n"/>
      <c r="I9" s="0" t="n"/>
      <c r="J9" s="0" t="n"/>
      <c r="K9" s="0" t="n"/>
      <c r="L9" s="0" t="n"/>
      <c r="M9" s="73" t="n"/>
      <c r="N9" s="81" t="n"/>
      <c r="CG9" s="102" t="n"/>
      <c r="CH9" s="102" t="n"/>
      <c r="CI9" s="102" t="n"/>
      <c r="CJ9" s="102" t="n"/>
      <c r="CK9" s="102" t="n"/>
      <c r="CL9" s="102" t="n"/>
      <c r="CM9" s="102" t="n"/>
      <c r="CN9" s="102" t="n"/>
      <c r="CO9" s="102" t="n"/>
      <c r="CP9" s="102" t="n"/>
      <c r="CQ9" s="102" t="n"/>
      <c r="CR9" s="102" t="n"/>
      <c r="CS9" s="102" t="n"/>
      <c r="CT9" s="102" t="n"/>
      <c r="CU9" s="102" t="n"/>
      <c r="CV9" s="102" t="n"/>
      <c r="CW9" s="102" t="n"/>
      <c r="CX9" s="102" t="n"/>
      <c r="CY9" s="102" t="n"/>
      <c r="CZ9" s="102" t="n"/>
      <c r="DA9" s="102" t="n"/>
      <c r="DB9" s="102" t="n"/>
      <c r="DC9" s="102" t="n"/>
      <c r="DD9" s="102" t="n"/>
      <c r="DE9" s="102" t="n"/>
      <c r="DF9" s="102" t="n"/>
      <c r="DG9" s="107" t="n"/>
      <c r="DH9" s="102" t="n"/>
      <c r="DI9" s="104" t="n"/>
    </row>
    <row r="10" ht="15" customFormat="1" customHeight="1" s="106">
      <c r="A10" s="105" t="n"/>
      <c r="B10" s="105" t="n"/>
      <c r="C10" s="105" t="n"/>
      <c r="D10" s="105" t="n"/>
      <c r="E10" s="105" t="n"/>
      <c r="F10" s="105" t="n"/>
      <c r="G10" s="105" t="n"/>
      <c r="H10" s="105" t="n"/>
      <c r="I10" s="73" t="n"/>
      <c r="J10" s="73" t="n"/>
      <c r="K10" s="73" t="n"/>
      <c r="L10" s="73" t="n"/>
      <c r="N10" s="81" t="n"/>
      <c r="CG10" s="102" t="n"/>
      <c r="CH10" s="102" t="n"/>
      <c r="CI10" s="102" t="n"/>
      <c r="CJ10" s="102" t="n"/>
      <c r="CK10" s="102" t="n"/>
      <c r="CL10" s="102" t="n"/>
      <c r="CM10" s="102" t="n"/>
      <c r="CN10" s="102" t="n"/>
      <c r="CO10" s="102" t="n"/>
      <c r="CP10" s="102" t="n"/>
      <c r="CQ10" s="102" t="n"/>
      <c r="CR10" s="102" t="n"/>
      <c r="CS10" s="102" t="n"/>
      <c r="CT10" s="102" t="n"/>
      <c r="CU10" s="102" t="n"/>
      <c r="CV10" s="102" t="n"/>
      <c r="CW10" s="102" t="n"/>
      <c r="CX10" s="102" t="n"/>
      <c r="CY10" s="102" t="n"/>
      <c r="CZ10" s="102" t="n"/>
      <c r="DA10" s="102" t="n"/>
      <c r="DB10" s="102" t="n"/>
      <c r="DC10" s="102" t="n"/>
      <c r="DD10" s="102" t="n"/>
      <c r="DE10" s="102" t="n"/>
      <c r="DF10" s="102" t="n"/>
      <c r="DG10" s="107" t="n"/>
      <c r="DH10" s="102" t="n"/>
      <c r="DI10" s="104" t="n"/>
    </row>
    <row r="11" ht="15" customFormat="1" customHeight="1" s="112">
      <c r="A11" s="108" t="inlineStr">
        <is>
          <t>　</t>
        </is>
      </c>
      <c r="B11" s="404" t="inlineStr">
        <is>
          <t>表2 记录用于执行程序的总体</t>
        </is>
      </c>
      <c r="C11" s="110" t="n"/>
      <c r="D11" s="110" t="n"/>
      <c r="E11" s="110" t="n"/>
      <c r="F11" s="158" t="n"/>
      <c r="G11" s="158" t="n"/>
      <c r="H11" s="158" t="n"/>
      <c r="I11" s="110" t="n"/>
      <c r="J11" s="110" t="n"/>
      <c r="K11" s="110" t="n"/>
      <c r="L11" s="110" t="n"/>
      <c r="M11" s="106" t="n"/>
      <c r="N11" s="81" t="n"/>
      <c r="O11" s="109" t="inlineStr">
        <is>
          <t>　</t>
        </is>
      </c>
      <c r="P11" s="109" t="inlineStr">
        <is>
          <t>　</t>
        </is>
      </c>
      <c r="Q11" s="109" t="inlineStr">
        <is>
          <t>　</t>
        </is>
      </c>
      <c r="R11" s="109" t="inlineStr">
        <is>
          <t>　</t>
        </is>
      </c>
      <c r="S11" s="109" t="inlineStr">
        <is>
          <t>　</t>
        </is>
      </c>
      <c r="T11" s="109" t="inlineStr">
        <is>
          <t>　</t>
        </is>
      </c>
      <c r="U11" s="109" t="inlineStr">
        <is>
          <t>　</t>
        </is>
      </c>
      <c r="V11" s="109" t="inlineStr">
        <is>
          <t>　</t>
        </is>
      </c>
      <c r="W11" s="109" t="inlineStr">
        <is>
          <t>　</t>
        </is>
      </c>
      <c r="X11" s="109" t="inlineStr">
        <is>
          <t>　</t>
        </is>
      </c>
      <c r="Y11" s="109" t="inlineStr">
        <is>
          <t>　</t>
        </is>
      </c>
      <c r="Z11" s="109" t="inlineStr">
        <is>
          <t>　</t>
        </is>
      </c>
      <c r="AA11" s="109" t="inlineStr">
        <is>
          <t>　</t>
        </is>
      </c>
      <c r="AB11" s="109" t="inlineStr">
        <is>
          <t>　</t>
        </is>
      </c>
      <c r="AC11" s="109" t="inlineStr">
        <is>
          <t>　</t>
        </is>
      </c>
      <c r="AD11" s="109" t="inlineStr">
        <is>
          <t>　</t>
        </is>
      </c>
      <c r="AE11" s="109" t="inlineStr">
        <is>
          <t>　</t>
        </is>
      </c>
      <c r="AF11" s="109" t="inlineStr">
        <is>
          <t>　</t>
        </is>
      </c>
      <c r="AG11" s="109" t="inlineStr">
        <is>
          <t>　</t>
        </is>
      </c>
      <c r="AH11" s="109" t="inlineStr">
        <is>
          <t>　</t>
        </is>
      </c>
      <c r="AI11" s="109" t="inlineStr">
        <is>
          <t>　</t>
        </is>
      </c>
      <c r="AJ11" s="109" t="inlineStr">
        <is>
          <t>　</t>
        </is>
      </c>
      <c r="AK11" s="109" t="inlineStr">
        <is>
          <t>　</t>
        </is>
      </c>
      <c r="AL11" s="109" t="inlineStr">
        <is>
          <t>　</t>
        </is>
      </c>
      <c r="AM11" s="109" t="inlineStr">
        <is>
          <t>　</t>
        </is>
      </c>
      <c r="AN11" s="109" t="inlineStr">
        <is>
          <t>　</t>
        </is>
      </c>
      <c r="AO11" s="109" t="inlineStr">
        <is>
          <t>　</t>
        </is>
      </c>
      <c r="AP11" s="109" t="inlineStr">
        <is>
          <t>　</t>
        </is>
      </c>
      <c r="AQ11" s="109" t="inlineStr">
        <is>
          <t>　</t>
        </is>
      </c>
      <c r="AR11" s="109" t="inlineStr">
        <is>
          <t>　</t>
        </is>
      </c>
      <c r="AS11" s="109" t="inlineStr">
        <is>
          <t>　</t>
        </is>
      </c>
      <c r="AT11" s="109" t="inlineStr">
        <is>
          <t>　</t>
        </is>
      </c>
      <c r="AU11" s="109" t="inlineStr">
        <is>
          <t>　</t>
        </is>
      </c>
      <c r="AV11" s="109" t="inlineStr">
        <is>
          <t>　</t>
        </is>
      </c>
      <c r="AW11" s="109" t="inlineStr">
        <is>
          <t>　</t>
        </is>
      </c>
      <c r="AX11" s="109" t="inlineStr">
        <is>
          <t>　</t>
        </is>
      </c>
      <c r="AY11" s="109" t="inlineStr">
        <is>
          <t>　</t>
        </is>
      </c>
      <c r="AZ11" s="109" t="inlineStr">
        <is>
          <t>　</t>
        </is>
      </c>
      <c r="BA11" s="109" t="inlineStr">
        <is>
          <t>　</t>
        </is>
      </c>
      <c r="BB11" s="109" t="inlineStr">
        <is>
          <t>　</t>
        </is>
      </c>
      <c r="BC11" s="109" t="inlineStr">
        <is>
          <t>　</t>
        </is>
      </c>
      <c r="BD11" s="109" t="inlineStr">
        <is>
          <t>　</t>
        </is>
      </c>
      <c r="BE11" s="109" t="inlineStr">
        <is>
          <t>　</t>
        </is>
      </c>
      <c r="BF11" s="109" t="inlineStr">
        <is>
          <t>　</t>
        </is>
      </c>
      <c r="BG11" s="109" t="inlineStr">
        <is>
          <t>　</t>
        </is>
      </c>
      <c r="BH11" s="109" t="inlineStr">
        <is>
          <t>　</t>
        </is>
      </c>
      <c r="BI11" s="109" t="inlineStr">
        <is>
          <t>　</t>
        </is>
      </c>
      <c r="BJ11" s="109" t="inlineStr">
        <is>
          <t>　</t>
        </is>
      </c>
      <c r="BK11" s="109" t="inlineStr">
        <is>
          <t>　</t>
        </is>
      </c>
      <c r="BL11" s="109" t="inlineStr">
        <is>
          <t>　</t>
        </is>
      </c>
      <c r="BM11" s="109" t="inlineStr">
        <is>
          <t>　</t>
        </is>
      </c>
      <c r="BN11" s="109" t="inlineStr">
        <is>
          <t>　</t>
        </is>
      </c>
      <c r="BO11" s="109" t="inlineStr">
        <is>
          <t>　</t>
        </is>
      </c>
      <c r="BP11" s="109" t="inlineStr">
        <is>
          <t>　</t>
        </is>
      </c>
      <c r="BQ11" s="109" t="inlineStr">
        <is>
          <t>　</t>
        </is>
      </c>
      <c r="BR11" s="109" t="inlineStr">
        <is>
          <t>　</t>
        </is>
      </c>
      <c r="BS11" s="109" t="inlineStr">
        <is>
          <t>　</t>
        </is>
      </c>
      <c r="BT11" s="109" t="inlineStr">
        <is>
          <t>　</t>
        </is>
      </c>
      <c r="BU11" s="109" t="inlineStr">
        <is>
          <t>　</t>
        </is>
      </c>
      <c r="BV11" s="109" t="inlineStr">
        <is>
          <t>　</t>
        </is>
      </c>
      <c r="BW11" s="109" t="inlineStr">
        <is>
          <t>　</t>
        </is>
      </c>
      <c r="BX11" s="109" t="inlineStr">
        <is>
          <t>　</t>
        </is>
      </c>
      <c r="BY11" s="109" t="inlineStr">
        <is>
          <t>　</t>
        </is>
      </c>
      <c r="BZ11" s="109" t="inlineStr">
        <is>
          <t>　</t>
        </is>
      </c>
      <c r="CA11" s="109" t="inlineStr">
        <is>
          <t>　</t>
        </is>
      </c>
      <c r="CB11" s="109" t="inlineStr">
        <is>
          <t>　</t>
        </is>
      </c>
      <c r="CC11" s="109" t="inlineStr">
        <is>
          <t>　</t>
        </is>
      </c>
      <c r="CD11" s="109" t="inlineStr">
        <is>
          <t>　</t>
        </is>
      </c>
      <c r="CE11" s="109" t="inlineStr">
        <is>
          <t>　</t>
        </is>
      </c>
      <c r="CF11" s="109" t="inlineStr">
        <is>
          <t>　</t>
        </is>
      </c>
      <c r="CG11" s="109" t="inlineStr">
        <is>
          <t>　</t>
        </is>
      </c>
      <c r="CH11" s="109" t="inlineStr">
        <is>
          <t>　</t>
        </is>
      </c>
      <c r="CI11" s="109" t="inlineStr">
        <is>
          <t>　</t>
        </is>
      </c>
      <c r="CJ11" s="109" t="inlineStr">
        <is>
          <t>　</t>
        </is>
      </c>
      <c r="CK11" s="109" t="inlineStr">
        <is>
          <t>　</t>
        </is>
      </c>
      <c r="CL11" s="109" t="inlineStr">
        <is>
          <t>　</t>
        </is>
      </c>
      <c r="CM11" s="109" t="inlineStr">
        <is>
          <t>　</t>
        </is>
      </c>
      <c r="CN11" s="109" t="inlineStr">
        <is>
          <t>　</t>
        </is>
      </c>
      <c r="CO11" s="109" t="inlineStr">
        <is>
          <t>　</t>
        </is>
      </c>
      <c r="CP11" s="109" t="inlineStr">
        <is>
          <t>　</t>
        </is>
      </c>
      <c r="CQ11" s="109" t="inlineStr">
        <is>
          <t>　</t>
        </is>
      </c>
      <c r="CR11" s="110" t="n"/>
      <c r="CS11" s="110" t="n"/>
      <c r="CT11" s="110" t="n"/>
      <c r="CU11" s="110" t="n"/>
      <c r="CV11" s="110" t="n"/>
      <c r="CW11" s="110" t="n"/>
      <c r="CX11" s="110" t="n"/>
      <c r="CY11" s="110" t="n"/>
      <c r="CZ11" s="110" t="n"/>
      <c r="DA11" s="110" t="n"/>
      <c r="DB11" s="110" t="n"/>
      <c r="DC11" s="110" t="n"/>
      <c r="DD11" s="110" t="n"/>
      <c r="DE11" s="110" t="n"/>
      <c r="DF11" s="110" t="n"/>
      <c r="DG11" s="110" t="n"/>
      <c r="DH11" s="110" t="n"/>
      <c r="DI11" s="110" t="n"/>
      <c r="DJ11" s="110" t="n"/>
      <c r="DK11" s="110" t="n"/>
      <c r="DL11" s="110" t="n"/>
      <c r="DM11" s="110" t="n"/>
      <c r="DN11" s="110" t="n"/>
      <c r="DO11" s="110" t="n"/>
      <c r="DP11" s="110" t="n"/>
      <c r="DQ11" s="110" t="n"/>
      <c r="DR11" s="110" t="n"/>
      <c r="DS11" s="110" t="n"/>
      <c r="DT11" s="110" t="n"/>
      <c r="DU11" s="111" t="n"/>
    </row>
    <row r="12" ht="15" customFormat="1" customHeight="1" s="112">
      <c r="A12" s="113" t="n"/>
      <c r="B12" s="72" t="n"/>
      <c r="C12" s="72" t="n"/>
      <c r="D12" s="72" t="n"/>
      <c r="E12" s="72" t="n"/>
      <c r="F12" s="72" t="n"/>
      <c r="G12" s="72" t="n"/>
      <c r="H12" s="72" t="n"/>
      <c r="I12" s="72" t="n"/>
      <c r="J12" s="72" t="n"/>
      <c r="K12" s="72" t="n"/>
      <c r="M12" s="106" t="n"/>
      <c r="N12" s="81" t="n"/>
      <c r="CS12" s="111" t="n"/>
      <c r="CT12" s="111" t="n"/>
      <c r="CU12" s="111" t="n"/>
      <c r="CV12" s="102" t="n"/>
      <c r="CW12" s="102" t="n"/>
      <c r="CX12" s="102" t="n"/>
      <c r="CY12" s="102" t="n"/>
      <c r="CZ12" s="102" t="n"/>
      <c r="DA12" s="102" t="n"/>
      <c r="DB12" s="102" t="n"/>
      <c r="DC12" s="102" t="n"/>
      <c r="DD12" s="111" t="n"/>
      <c r="DE12" s="102" t="n"/>
      <c r="DF12" s="102" t="n"/>
      <c r="DG12" s="102" t="n"/>
      <c r="DH12" s="102" t="n"/>
      <c r="DI12" s="102" t="n"/>
      <c r="DJ12" s="111" t="n"/>
      <c r="DK12" s="111" t="n"/>
      <c r="DL12" s="111" t="n"/>
      <c r="DM12" s="111" t="n"/>
      <c r="DN12" s="111" t="n"/>
      <c r="DO12" s="111" t="n"/>
      <c r="DP12" s="111" t="n"/>
      <c r="DQ12" s="111" t="n"/>
      <c r="DR12" s="111" t="n"/>
      <c r="DS12" s="114" t="n"/>
      <c r="DT12" s="111" t="n"/>
      <c r="DU12" s="111" t="n"/>
    </row>
    <row r="13" ht="15" customFormat="1" customHeight="1" s="112">
      <c r="A13" s="113" t="n"/>
      <c r="B13" s="162" t="inlineStr">
        <is>
          <t>资料名称</t>
        </is>
      </c>
      <c r="C13" s="162" t="inlineStr">
        <is>
          <t>涵盖期间</t>
        </is>
      </c>
      <c r="D13" s="162" t="inlineStr">
        <is>
          <t>备注</t>
        </is>
      </c>
      <c r="E13" s="648" t="n"/>
      <c r="F13" s="649" t="n"/>
      <c r="G13" s="0" t="n"/>
      <c r="H13" s="0" t="n"/>
      <c r="I13" s="0" t="n"/>
      <c r="J13" s="0" t="n"/>
      <c r="K13" s="0" t="n"/>
      <c r="L13" s="0" t="n"/>
      <c r="N13" s="81" t="n"/>
      <c r="CM13" s="111" t="n"/>
      <c r="CN13" s="111" t="n"/>
      <c r="CO13" s="111" t="n"/>
      <c r="CP13" s="102" t="n"/>
      <c r="CQ13" s="102" t="n"/>
      <c r="CR13" s="102" t="n"/>
      <c r="CS13" s="102" t="n"/>
      <c r="CT13" s="102" t="n"/>
      <c r="CU13" s="102" t="n"/>
      <c r="CV13" s="102" t="n"/>
      <c r="CW13" s="102" t="n"/>
      <c r="CX13" s="111" t="n"/>
      <c r="CY13" s="102" t="n"/>
      <c r="CZ13" s="102" t="n"/>
      <c r="DA13" s="102" t="n"/>
      <c r="DB13" s="102" t="n"/>
      <c r="DC13" s="102" t="n"/>
      <c r="DD13" s="111" t="n"/>
      <c r="DE13" s="111" t="n"/>
      <c r="DF13" s="111" t="n"/>
      <c r="DG13" s="111" t="n"/>
      <c r="DH13" s="111" t="n"/>
      <c r="DI13" s="111" t="n"/>
      <c r="DJ13" s="111" t="n"/>
      <c r="DK13" s="111" t="n"/>
      <c r="DL13" s="111" t="n"/>
      <c r="DM13" s="114" t="n"/>
      <c r="DN13" s="111" t="n"/>
      <c r="DO13" s="111" t="n"/>
    </row>
    <row r="14" ht="15" customFormat="1" customHeight="1" s="112">
      <c r="A14" s="113" t="n"/>
      <c r="B14" s="442" t="n"/>
      <c r="C14" s="442" t="n"/>
      <c r="D14" s="442" t="n"/>
      <c r="E14" s="648" t="n"/>
      <c r="F14" s="649" t="n"/>
      <c r="G14" s="0" t="n"/>
      <c r="H14" s="0" t="n"/>
      <c r="I14" s="0" t="n"/>
      <c r="J14" s="0" t="n"/>
      <c r="K14" s="0" t="n"/>
      <c r="L14" s="0" t="n"/>
      <c r="N14" s="81" t="n"/>
      <c r="CO14" s="111" t="n"/>
      <c r="CP14" s="111" t="n"/>
      <c r="CQ14" s="111" t="n"/>
      <c r="CR14" s="102" t="n"/>
      <c r="CS14" s="102" t="n"/>
      <c r="CT14" s="102" t="n"/>
      <c r="CU14" s="102" t="n"/>
      <c r="CV14" s="102" t="n"/>
      <c r="CW14" s="102" t="n"/>
      <c r="CX14" s="102" t="n"/>
      <c r="CY14" s="102" t="n"/>
      <c r="CZ14" s="111" t="n"/>
      <c r="DA14" s="102" t="n"/>
      <c r="DB14" s="102" t="n"/>
      <c r="DC14" s="102" t="n"/>
      <c r="DD14" s="102" t="n"/>
      <c r="DE14" s="102" t="n"/>
      <c r="DF14" s="111" t="n"/>
      <c r="DG14" s="111" t="n"/>
      <c r="DH14" s="111" t="n"/>
      <c r="DI14" s="111" t="n"/>
      <c r="DJ14" s="111" t="n"/>
      <c r="DK14" s="111" t="n"/>
      <c r="DL14" s="111" t="n"/>
      <c r="DM14" s="111" t="n"/>
      <c r="DN14" s="111" t="n"/>
      <c r="DO14" s="114" t="n"/>
      <c r="DP14" s="111" t="n"/>
      <c r="DQ14" s="111" t="n"/>
    </row>
    <row r="15" ht="15" customFormat="1" customHeight="1" s="112">
      <c r="A15" s="113" t="n"/>
      <c r="B15" s="442" t="n"/>
      <c r="C15" s="442" t="n"/>
      <c r="D15" s="442" t="n"/>
      <c r="E15" s="648" t="n"/>
      <c r="F15" s="649" t="n"/>
      <c r="G15" s="0" t="n"/>
      <c r="H15" s="0" t="n"/>
      <c r="I15" s="0" t="n"/>
      <c r="J15" s="0" t="n"/>
      <c r="K15" s="0" t="n"/>
      <c r="L15" s="0" t="n"/>
      <c r="N15" s="81" t="n"/>
      <c r="CO15" s="111" t="n"/>
      <c r="CP15" s="111" t="n"/>
      <c r="CQ15" s="111" t="n"/>
      <c r="CR15" s="102" t="n"/>
      <c r="CS15" s="102" t="n"/>
      <c r="CT15" s="102" t="n"/>
      <c r="CU15" s="102" t="n"/>
      <c r="CV15" s="102" t="n"/>
      <c r="CW15" s="102" t="n"/>
      <c r="CX15" s="102" t="n"/>
      <c r="CY15" s="102" t="n"/>
      <c r="CZ15" s="111" t="n"/>
      <c r="DA15" s="102" t="n"/>
      <c r="DB15" s="102" t="n"/>
      <c r="DC15" s="102" t="n"/>
      <c r="DD15" s="102" t="n"/>
      <c r="DE15" s="102" t="n"/>
      <c r="DF15" s="111" t="n"/>
      <c r="DG15" s="111" t="n"/>
      <c r="DH15" s="111" t="n"/>
      <c r="DI15" s="111" t="n"/>
      <c r="DJ15" s="111" t="n"/>
      <c r="DK15" s="111" t="n"/>
      <c r="DL15" s="111" t="n"/>
      <c r="DM15" s="111" t="n"/>
      <c r="DN15" s="111" t="n"/>
      <c r="DO15" s="114" t="n"/>
      <c r="DP15" s="111" t="n"/>
      <c r="DQ15" s="111" t="n"/>
    </row>
    <row r="16" ht="15" customFormat="1" customHeight="1" s="112">
      <c r="A16" s="113" t="n"/>
      <c r="B16" s="442" t="n"/>
      <c r="C16" s="442" t="n"/>
      <c r="D16" s="442" t="n"/>
      <c r="E16" s="648" t="n"/>
      <c r="F16" s="649" t="n"/>
      <c r="G16" s="0" t="n"/>
      <c r="H16" s="0" t="n"/>
      <c r="I16" s="0" t="n"/>
      <c r="J16" s="0" t="n"/>
      <c r="K16" s="0" t="n"/>
      <c r="L16" s="0" t="n"/>
      <c r="N16" s="81" t="n"/>
      <c r="CO16" s="111" t="n"/>
      <c r="CP16" s="111" t="n"/>
      <c r="CQ16" s="111" t="n"/>
      <c r="CR16" s="102" t="n"/>
      <c r="CS16" s="102" t="n"/>
      <c r="CT16" s="102" t="n"/>
      <c r="CU16" s="102" t="n"/>
      <c r="CV16" s="102" t="n"/>
      <c r="CW16" s="102" t="n"/>
      <c r="CX16" s="102" t="n"/>
      <c r="CY16" s="102" t="n"/>
      <c r="CZ16" s="111" t="n"/>
      <c r="DA16" s="102" t="n"/>
      <c r="DB16" s="102" t="n"/>
      <c r="DC16" s="102" t="n"/>
      <c r="DD16" s="102" t="n"/>
      <c r="DE16" s="102" t="n"/>
      <c r="DF16" s="111" t="n"/>
      <c r="DG16" s="111" t="n"/>
      <c r="DH16" s="111" t="n"/>
      <c r="DI16" s="111" t="n"/>
      <c r="DJ16" s="111" t="n"/>
      <c r="DK16" s="111" t="n"/>
      <c r="DL16" s="111" t="n"/>
      <c r="DM16" s="111" t="n"/>
      <c r="DN16" s="111" t="n"/>
      <c r="DO16" s="114" t="n"/>
      <c r="DP16" s="111" t="n"/>
      <c r="DQ16" s="111" t="n"/>
    </row>
    <row r="17" ht="15" customFormat="1" customHeight="1" s="101">
      <c r="A17" s="98" t="n"/>
      <c r="B17" s="769" t="n"/>
      <c r="C17" s="769" t="n"/>
      <c r="D17" s="767" t="n"/>
      <c r="E17" s="767" t="n"/>
      <c r="F17" s="767" t="n"/>
      <c r="G17" s="0" t="n"/>
      <c r="H17" s="0" t="n"/>
      <c r="I17" s="0" t="n"/>
      <c r="J17" s="0" t="n"/>
      <c r="K17" s="0" t="n"/>
      <c r="L17" s="0" t="n"/>
      <c r="N17" s="81" t="n"/>
      <c r="CO17" s="102" t="n"/>
      <c r="CP17" s="102" t="n"/>
      <c r="CQ17" s="102" t="n"/>
      <c r="CR17" s="102" t="n"/>
      <c r="CS17" s="102" t="n"/>
      <c r="CT17" s="102" t="n"/>
      <c r="CU17" s="102" t="n"/>
      <c r="CV17" s="102" t="n"/>
      <c r="CW17" s="102" t="n"/>
      <c r="CX17" s="102" t="n"/>
      <c r="CY17" s="102" t="n"/>
      <c r="CZ17" s="102" t="n"/>
      <c r="DA17" s="102" t="n"/>
      <c r="DB17" s="102" t="n"/>
      <c r="DC17" s="102" t="n"/>
      <c r="DD17" s="102" t="n"/>
      <c r="DE17" s="102" t="n"/>
      <c r="DF17" s="102" t="n"/>
      <c r="DG17" s="102" t="n"/>
      <c r="DH17" s="102" t="n"/>
      <c r="DI17" s="102" t="n"/>
      <c r="DJ17" s="102" t="n"/>
      <c r="DK17" s="102" t="n"/>
      <c r="DL17" s="102" t="n"/>
      <c r="DM17" s="102" t="n"/>
      <c r="DN17" s="102" t="n"/>
      <c r="DO17" s="107" t="n"/>
      <c r="DP17" s="102" t="n"/>
      <c r="DQ17" s="104" t="n"/>
    </row>
    <row r="18" ht="15" customFormat="1" customHeight="1" s="101">
      <c r="A18" s="108" t="inlineStr">
        <is>
          <t>　</t>
        </is>
      </c>
      <c r="B18" s="170" t="inlineStr">
        <is>
          <t xml:space="preserve"> 测试：用于在正确期间正确评估交易记录的截止测试项目 </t>
        </is>
      </c>
      <c r="C18" s="170" t="n"/>
      <c r="D18" s="170" t="n"/>
      <c r="E18" s="170" t="inlineStr">
        <is>
          <t>　</t>
        </is>
      </c>
      <c r="F18" s="170" t="inlineStr">
        <is>
          <t>　</t>
        </is>
      </c>
      <c r="G18" s="170" t="inlineStr">
        <is>
          <t>　</t>
        </is>
      </c>
      <c r="H18" s="170" t="inlineStr">
        <is>
          <t>　</t>
        </is>
      </c>
      <c r="I18" s="170" t="inlineStr">
        <is>
          <t>　</t>
        </is>
      </c>
      <c r="J18" s="170" t="inlineStr">
        <is>
          <t>　</t>
        </is>
      </c>
      <c r="K18" s="170" t="inlineStr">
        <is>
          <t>　</t>
        </is>
      </c>
      <c r="L18" s="170" t="inlineStr">
        <is>
          <t>　</t>
        </is>
      </c>
      <c r="N18" s="81" t="n"/>
      <c r="O18" s="116" t="inlineStr">
        <is>
          <t>　</t>
        </is>
      </c>
      <c r="P18" s="116" t="inlineStr">
        <is>
          <t>　</t>
        </is>
      </c>
      <c r="Q18" s="116" t="inlineStr">
        <is>
          <t>　</t>
        </is>
      </c>
      <c r="R18" s="116" t="inlineStr">
        <is>
          <t>　</t>
        </is>
      </c>
      <c r="S18" s="116" t="inlineStr">
        <is>
          <t>　</t>
        </is>
      </c>
      <c r="T18" s="116" t="inlineStr">
        <is>
          <t>　</t>
        </is>
      </c>
      <c r="U18" s="116" t="inlineStr">
        <is>
          <t>　</t>
        </is>
      </c>
      <c r="V18" s="116" t="inlineStr">
        <is>
          <t>　</t>
        </is>
      </c>
      <c r="W18" s="116" t="inlineStr">
        <is>
          <t>　</t>
        </is>
      </c>
      <c r="X18" s="116" t="inlineStr">
        <is>
          <t>　</t>
        </is>
      </c>
      <c r="Y18" s="116" t="inlineStr">
        <is>
          <t>　</t>
        </is>
      </c>
      <c r="Z18" s="116" t="inlineStr">
        <is>
          <t>　</t>
        </is>
      </c>
      <c r="AA18" s="116" t="inlineStr">
        <is>
          <t>　</t>
        </is>
      </c>
      <c r="AB18" s="116" t="inlineStr">
        <is>
          <t>　</t>
        </is>
      </c>
      <c r="AC18" s="116" t="inlineStr">
        <is>
          <t>　</t>
        </is>
      </c>
      <c r="AD18" s="116" t="inlineStr">
        <is>
          <t>　</t>
        </is>
      </c>
      <c r="AE18" s="116" t="inlineStr">
        <is>
          <t>　</t>
        </is>
      </c>
      <c r="AF18" s="116" t="inlineStr">
        <is>
          <t>　</t>
        </is>
      </c>
      <c r="AG18" s="116" t="inlineStr">
        <is>
          <t>　</t>
        </is>
      </c>
      <c r="AH18" s="116" t="inlineStr">
        <is>
          <t>　</t>
        </is>
      </c>
      <c r="AI18" s="116" t="inlineStr">
        <is>
          <t>　</t>
        </is>
      </c>
      <c r="AJ18" s="116" t="inlineStr">
        <is>
          <t>　</t>
        </is>
      </c>
      <c r="AK18" s="116" t="inlineStr">
        <is>
          <t>　</t>
        </is>
      </c>
      <c r="AL18" s="116" t="inlineStr">
        <is>
          <t>　</t>
        </is>
      </c>
      <c r="AM18" s="116" t="inlineStr">
        <is>
          <t>　</t>
        </is>
      </c>
      <c r="AN18" s="116" t="inlineStr">
        <is>
          <t>　</t>
        </is>
      </c>
      <c r="AO18" s="116" t="inlineStr">
        <is>
          <t>　</t>
        </is>
      </c>
      <c r="AP18" s="116" t="inlineStr">
        <is>
          <t>　</t>
        </is>
      </c>
      <c r="AQ18" s="116" t="inlineStr">
        <is>
          <t>　</t>
        </is>
      </c>
      <c r="AR18" s="116" t="inlineStr">
        <is>
          <t>　</t>
        </is>
      </c>
      <c r="AS18" s="116" t="inlineStr">
        <is>
          <t>　</t>
        </is>
      </c>
      <c r="AT18" s="116" t="inlineStr">
        <is>
          <t>　</t>
        </is>
      </c>
      <c r="AU18" s="116" t="inlineStr">
        <is>
          <t>　</t>
        </is>
      </c>
      <c r="AV18" s="116" t="inlineStr">
        <is>
          <t>　</t>
        </is>
      </c>
      <c r="AW18" s="116" t="inlineStr">
        <is>
          <t>　</t>
        </is>
      </c>
      <c r="AX18" s="116" t="inlineStr">
        <is>
          <t>　</t>
        </is>
      </c>
      <c r="AY18" s="116" t="inlineStr">
        <is>
          <t>　</t>
        </is>
      </c>
      <c r="AZ18" s="116" t="inlineStr">
        <is>
          <t>　</t>
        </is>
      </c>
      <c r="BA18" s="116" t="inlineStr">
        <is>
          <t>　</t>
        </is>
      </c>
      <c r="BB18" s="116" t="inlineStr">
        <is>
          <t>　</t>
        </is>
      </c>
      <c r="BC18" s="116" t="inlineStr">
        <is>
          <t>　</t>
        </is>
      </c>
      <c r="BD18" s="116" t="inlineStr">
        <is>
          <t>　</t>
        </is>
      </c>
      <c r="BE18" s="116" t="inlineStr">
        <is>
          <t>　</t>
        </is>
      </c>
      <c r="BF18" s="116" t="inlineStr">
        <is>
          <t>　</t>
        </is>
      </c>
      <c r="BG18" s="116" t="inlineStr">
        <is>
          <t>　</t>
        </is>
      </c>
      <c r="BH18" s="116" t="inlineStr">
        <is>
          <t>　</t>
        </is>
      </c>
      <c r="BI18" s="116" t="inlineStr">
        <is>
          <t>　</t>
        </is>
      </c>
      <c r="BJ18" s="116" t="inlineStr">
        <is>
          <t>　</t>
        </is>
      </c>
      <c r="BK18" s="116" t="inlineStr">
        <is>
          <t>　</t>
        </is>
      </c>
      <c r="BL18" s="116" t="inlineStr">
        <is>
          <t>　</t>
        </is>
      </c>
      <c r="BM18" s="116" t="inlineStr">
        <is>
          <t>　</t>
        </is>
      </c>
      <c r="BN18" s="116" t="inlineStr">
        <is>
          <t>　</t>
        </is>
      </c>
      <c r="BO18" s="116" t="inlineStr">
        <is>
          <t>　</t>
        </is>
      </c>
      <c r="BP18" s="116" t="inlineStr">
        <is>
          <t>　</t>
        </is>
      </c>
      <c r="BQ18" s="116" t="inlineStr">
        <is>
          <t>　</t>
        </is>
      </c>
      <c r="BR18" s="116" t="inlineStr">
        <is>
          <t>　</t>
        </is>
      </c>
      <c r="BS18" s="116" t="inlineStr">
        <is>
          <t>　</t>
        </is>
      </c>
      <c r="BT18" s="116" t="inlineStr">
        <is>
          <t>　</t>
        </is>
      </c>
      <c r="BU18" s="116" t="inlineStr">
        <is>
          <t>　</t>
        </is>
      </c>
      <c r="BV18" s="116" t="inlineStr">
        <is>
          <t>　</t>
        </is>
      </c>
      <c r="BW18" s="116" t="inlineStr">
        <is>
          <t>　</t>
        </is>
      </c>
      <c r="BX18" s="116" t="inlineStr">
        <is>
          <t>　</t>
        </is>
      </c>
      <c r="BY18" s="116" t="inlineStr">
        <is>
          <t>　</t>
        </is>
      </c>
      <c r="BZ18" s="116" t="inlineStr">
        <is>
          <t>　</t>
        </is>
      </c>
      <c r="CA18" s="116" t="inlineStr">
        <is>
          <t>　</t>
        </is>
      </c>
      <c r="CB18" s="116" t="inlineStr">
        <is>
          <t>　</t>
        </is>
      </c>
      <c r="CC18" s="116" t="inlineStr">
        <is>
          <t>　</t>
        </is>
      </c>
      <c r="CD18" s="116" t="inlineStr">
        <is>
          <t>　</t>
        </is>
      </c>
      <c r="CE18" s="116" t="inlineStr">
        <is>
          <t>　</t>
        </is>
      </c>
      <c r="CF18" s="116" t="inlineStr">
        <is>
          <t>　</t>
        </is>
      </c>
      <c r="CG18" s="116" t="inlineStr">
        <is>
          <t>　</t>
        </is>
      </c>
      <c r="CH18" s="116" t="inlineStr">
        <is>
          <t>　</t>
        </is>
      </c>
      <c r="CI18" s="116" t="inlineStr">
        <is>
          <t>　</t>
        </is>
      </c>
      <c r="CJ18" s="116" t="inlineStr">
        <is>
          <t>　</t>
        </is>
      </c>
      <c r="CK18" s="116" t="inlineStr">
        <is>
          <t>　</t>
        </is>
      </c>
      <c r="CL18" s="116" t="inlineStr">
        <is>
          <t>　</t>
        </is>
      </c>
      <c r="CM18" s="116" t="inlineStr">
        <is>
          <t>　</t>
        </is>
      </c>
      <c r="CN18" s="117" t="n"/>
      <c r="CO18" s="117" t="n"/>
      <c r="CP18" s="117" t="n"/>
      <c r="CQ18" s="117" t="n"/>
      <c r="CR18" s="117" t="n"/>
      <c r="CS18" s="117" t="n"/>
      <c r="CT18" s="117" t="n"/>
      <c r="CU18" s="117" t="n"/>
      <c r="CV18" s="117" t="n"/>
      <c r="CW18" s="117" t="n"/>
      <c r="CX18" s="117" t="n"/>
      <c r="CY18" s="117" t="n"/>
      <c r="CZ18" s="117" t="n"/>
      <c r="DA18" s="117" t="n"/>
      <c r="DB18" s="117" t="n"/>
      <c r="DC18" s="117" t="n"/>
      <c r="DD18" s="117" t="n"/>
      <c r="DE18" s="117" t="n"/>
      <c r="DF18" s="117" t="n"/>
      <c r="DG18" s="117" t="n"/>
      <c r="DH18" s="117" t="n"/>
      <c r="DI18" s="117" t="n"/>
      <c r="DJ18" s="117" t="n"/>
      <c r="DK18" s="117" t="n"/>
      <c r="DL18" s="117" t="n"/>
      <c r="DM18" s="117" t="n"/>
      <c r="DN18" s="117" t="n"/>
      <c r="DO18" s="117" t="n"/>
      <c r="DP18" s="99" t="n"/>
      <c r="DQ18" s="116" t="inlineStr">
        <is>
          <t>　</t>
        </is>
      </c>
      <c r="DR18" s="116" t="inlineStr">
        <is>
          <t>　</t>
        </is>
      </c>
      <c r="DS18" s="116" t="inlineStr">
        <is>
          <t>　</t>
        </is>
      </c>
      <c r="DT18" s="116" t="inlineStr">
        <is>
          <t>　</t>
        </is>
      </c>
    </row>
    <row r="19" ht="15" customFormat="1" customHeight="1" s="101">
      <c r="A19" s="98" t="n"/>
      <c r="B19" s="75" t="n"/>
      <c r="C19" s="75" t="n"/>
      <c r="D19" s="75" t="n"/>
      <c r="E19" s="75" t="n"/>
      <c r="F19" s="75" t="n"/>
      <c r="G19" s="75" t="n"/>
      <c r="H19" s="75" t="n"/>
      <c r="I19" s="75" t="n"/>
      <c r="J19" s="75" t="n"/>
      <c r="K19" s="75" t="n"/>
      <c r="L19" s="75" t="n"/>
      <c r="N19" s="81" t="n"/>
      <c r="CO19" s="102" t="n"/>
      <c r="CP19" s="102" t="n"/>
      <c r="CQ19" s="102" t="n"/>
      <c r="CR19" s="102" t="n"/>
      <c r="CS19" s="102" t="n"/>
      <c r="CT19" s="102" t="n"/>
      <c r="CU19" s="102" t="n"/>
      <c r="CV19" s="102" t="n"/>
      <c r="CW19" s="102" t="n"/>
      <c r="CX19" s="102" t="n"/>
      <c r="CY19" s="102" t="n"/>
      <c r="CZ19" s="102" t="n"/>
      <c r="DA19" s="102" t="n"/>
      <c r="DB19" s="102" t="n"/>
      <c r="DC19" s="102" t="n"/>
      <c r="DD19" s="102" t="n"/>
      <c r="DE19" s="102" t="n"/>
      <c r="DF19" s="102" t="n"/>
      <c r="DG19" s="102" t="n"/>
      <c r="DH19" s="102" t="n"/>
      <c r="DI19" s="102" t="n"/>
      <c r="DJ19" s="102" t="n"/>
      <c r="DK19" s="102" t="n"/>
      <c r="DL19" s="102" t="n"/>
      <c r="DM19" s="102" t="n"/>
      <c r="DN19" s="102" t="n"/>
      <c r="DO19" s="107" t="n"/>
      <c r="DP19" s="102" t="n"/>
      <c r="DQ19" s="104" t="n"/>
    </row>
    <row r="20" ht="16.5" customFormat="1" customHeight="1" s="101">
      <c r="A20" s="98" t="n"/>
      <c r="B20" s="159" t="inlineStr">
        <is>
          <t>安永属性测试说明：</t>
        </is>
      </c>
      <c r="C20" s="160" t="n"/>
      <c r="D20" s="160" t="n"/>
      <c r="E20" s="160" t="n"/>
      <c r="F20" s="161" t="n"/>
      <c r="G20" s="0" t="n"/>
      <c r="H20" s="0" t="n"/>
      <c r="I20" s="0" t="n"/>
      <c r="J20" s="0" t="n"/>
      <c r="K20" s="0" t="n"/>
      <c r="L20" s="0" t="n"/>
      <c r="N20" s="81" t="n"/>
      <c r="CG20" s="102" t="n"/>
      <c r="CH20" s="102" t="n"/>
      <c r="CI20" s="102" t="n"/>
      <c r="CJ20" s="102" t="n"/>
      <c r="CK20" s="102" t="n"/>
      <c r="CL20" s="102" t="n"/>
      <c r="CM20" s="102" t="n"/>
      <c r="CN20" s="102" t="n"/>
      <c r="CO20" s="102" t="n"/>
      <c r="CP20" s="102" t="n"/>
      <c r="CQ20" s="102" t="n"/>
      <c r="CR20" s="102" t="n"/>
      <c r="CS20" s="102" t="n"/>
      <c r="CT20" s="102" t="n"/>
      <c r="CU20" s="102" t="n"/>
      <c r="CV20" s="102" t="n"/>
      <c r="CW20" s="102" t="n"/>
      <c r="CX20" s="102" t="n"/>
      <c r="CY20" s="102" t="n"/>
      <c r="CZ20" s="102" t="n"/>
      <c r="DA20" s="102" t="n"/>
      <c r="DB20" s="102" t="n"/>
      <c r="DC20" s="102" t="n"/>
      <c r="DD20" s="102" t="n"/>
      <c r="DE20" s="102" t="n"/>
      <c r="DF20" s="102" t="n"/>
      <c r="DG20" s="107" t="n"/>
      <c r="DH20" s="102" t="n"/>
      <c r="DI20" s="104" t="n"/>
    </row>
    <row r="21" ht="33.75" customFormat="1" customHeight="1" s="101">
      <c r="A21" s="98" t="n"/>
      <c r="B21" s="770" t="inlineStr">
        <is>
          <t xml:space="preserve">根据支持性证据（例如，提单、运输单据（GDN)、第三方交货证明等）确定所选交易已记录在适当会计期间，包含所有关联的总账账户（如，资产负债表和利润表账户）中。 </t>
        </is>
      </c>
      <c r="C21" s="771" t="n"/>
      <c r="D21" s="771" t="n"/>
      <c r="E21" s="771" t="n"/>
      <c r="F21" s="772" t="n"/>
      <c r="G21" s="0" t="n"/>
      <c r="H21" s="0" t="n"/>
      <c r="I21" s="0" t="n"/>
      <c r="J21" s="0" t="n"/>
      <c r="K21" s="0" t="n"/>
      <c r="L21" s="0" t="n"/>
      <c r="N21" s="81" t="n"/>
      <c r="CG21" s="102" t="n"/>
      <c r="CH21" s="102" t="n"/>
      <c r="CI21" s="102" t="n"/>
      <c r="CJ21" s="102" t="n"/>
      <c r="CK21" s="102" t="n"/>
      <c r="CL21" s="102" t="n"/>
      <c r="CM21" s="102" t="n"/>
      <c r="CN21" s="102" t="n"/>
      <c r="CO21" s="102" t="n"/>
      <c r="CP21" s="102" t="n"/>
      <c r="CQ21" s="102" t="n"/>
      <c r="CR21" s="102" t="n"/>
      <c r="CS21" s="102" t="n"/>
      <c r="CT21" s="102" t="n"/>
      <c r="CU21" s="102" t="n"/>
      <c r="CV21" s="102" t="n"/>
      <c r="CW21" s="102" t="n"/>
      <c r="CX21" s="102" t="n"/>
      <c r="CY21" s="102" t="n"/>
      <c r="CZ21" s="102" t="n"/>
      <c r="DA21" s="102" t="n"/>
      <c r="DB21" s="102" t="n"/>
      <c r="DC21" s="102" t="n"/>
      <c r="DD21" s="102" t="n"/>
      <c r="DE21" s="102" t="n"/>
      <c r="DF21" s="102" t="n"/>
      <c r="DG21" s="107" t="n"/>
      <c r="DH21" s="102" t="n"/>
      <c r="DI21" s="104" t="n"/>
    </row>
    <row r="22" ht="14.85" customFormat="1" customHeight="1" s="101">
      <c r="A22" s="98" t="n"/>
      <c r="B22" s="68" t="n"/>
      <c r="C22" s="72" t="n"/>
      <c r="D22" s="72" t="n"/>
      <c r="E22" s="118" t="n"/>
      <c r="F22" s="118" t="n"/>
      <c r="G22" s="118" t="n"/>
      <c r="H22" s="118" t="n"/>
      <c r="I22" s="118" t="n"/>
      <c r="J22" s="72" t="n"/>
      <c r="K22" s="72" t="n"/>
      <c r="L22" s="773" t="n"/>
      <c r="N22" s="81" t="n"/>
      <c r="CO22" s="102" t="n"/>
      <c r="CP22" s="102" t="n"/>
      <c r="CQ22" s="102" t="n"/>
      <c r="CR22" s="102" t="n"/>
      <c r="CS22" s="102" t="n"/>
      <c r="CT22" s="102" t="n"/>
      <c r="CU22" s="102" t="n"/>
      <c r="CV22" s="102" t="n"/>
      <c r="CW22" s="102" t="n"/>
      <c r="CX22" s="102" t="n"/>
      <c r="CY22" s="102" t="n"/>
      <c r="CZ22" s="102" t="n"/>
      <c r="DA22" s="102" t="n"/>
      <c r="DB22" s="102" t="n"/>
      <c r="DC22" s="102" t="n"/>
      <c r="DD22" s="102" t="n"/>
      <c r="DE22" s="102" t="n"/>
      <c r="DF22" s="102" t="n"/>
      <c r="DG22" s="102" t="n"/>
      <c r="DH22" s="102" t="n"/>
      <c r="DI22" s="102" t="n"/>
      <c r="DJ22" s="102" t="n"/>
      <c r="DK22" s="102" t="n"/>
      <c r="DL22" s="102" t="n"/>
      <c r="DM22" s="102" t="n"/>
      <c r="DN22" s="102" t="n"/>
      <c r="DO22" s="107" t="n"/>
      <c r="DP22" s="102" t="n"/>
      <c r="DQ22" s="104" t="n"/>
    </row>
    <row r="23" ht="35.25" customFormat="1" customHeight="1" s="101">
      <c r="A23" s="98" t="n"/>
      <c r="B23" s="615" t="inlineStr">
        <is>
          <t>应付账款入账凭证</t>
        </is>
      </c>
      <c r="C23" s="774" t="n"/>
      <c r="D23" s="774" t="n"/>
      <c r="E23" s="774" t="n"/>
      <c r="F23" s="775" t="inlineStr">
        <is>
          <t>支持性证据信息
（确认控制权转移/接受服务的交易凭据，如提单、运输单据（GDN)、第三方交货证明等）</t>
        </is>
      </c>
      <c r="G23" s="774" t="n"/>
      <c r="H23" s="776" t="n"/>
      <c r="I23" s="777" t="inlineStr">
        <is>
          <t>金额涉及：
（用“√”标记）</t>
        </is>
      </c>
      <c r="J23" s="776" t="n"/>
      <c r="K23" s="178" t="inlineStr">
        <is>
          <t>EY Works</t>
        </is>
      </c>
      <c r="L23" s="778" t="inlineStr">
        <is>
          <t>备注</t>
        </is>
      </c>
      <c r="N23" s="81" t="n"/>
      <c r="CN23" s="102" t="n"/>
      <c r="CO23" s="102" t="n"/>
      <c r="CP23" s="102" t="n"/>
      <c r="CQ23" s="102" t="n"/>
      <c r="CR23" s="102" t="n"/>
      <c r="CS23" s="102" t="n"/>
      <c r="CT23" s="102" t="n"/>
      <c r="CU23" s="102" t="n"/>
      <c r="CV23" s="102" t="n"/>
      <c r="CW23" s="102" t="n"/>
      <c r="CX23" s="102" t="n"/>
      <c r="CY23" s="102" t="n"/>
      <c r="CZ23" s="102" t="n"/>
      <c r="DA23" s="102" t="n"/>
      <c r="DB23" s="102" t="n"/>
      <c r="DC23" s="102" t="n"/>
      <c r="DD23" s="102" t="n"/>
      <c r="DE23" s="102" t="n"/>
      <c r="DF23" s="102" t="n"/>
      <c r="DG23" s="102" t="n"/>
      <c r="DH23" s="102" t="n"/>
      <c r="DI23" s="102" t="n"/>
      <c r="DJ23" s="102" t="n"/>
      <c r="DK23" s="102" t="n"/>
      <c r="DL23" s="102" t="n"/>
      <c r="DM23" s="102" t="n"/>
      <c r="DN23" s="107" t="n"/>
      <c r="DO23" s="102" t="n"/>
      <c r="DP23" s="102" t="n"/>
    </row>
    <row r="24" ht="16.5" customFormat="1" customHeight="1" s="106">
      <c r="A24" s="105" t="n"/>
      <c r="B24" s="189" t="inlineStr">
        <is>
          <t>凭证编号</t>
        </is>
      </c>
      <c r="C24" s="162" t="inlineStr">
        <is>
          <t>日期</t>
        </is>
      </c>
      <c r="D24" s="190" t="inlineStr">
        <is>
          <t>金额</t>
        </is>
      </c>
      <c r="E24" s="190" t="inlineStr">
        <is>
          <t>供应商名称</t>
        </is>
      </c>
      <c r="F24" s="190" t="inlineStr">
        <is>
          <t>交易凭据名称</t>
        </is>
      </c>
      <c r="G24" s="191" t="inlineStr">
        <is>
          <t>交易凭据编号</t>
        </is>
      </c>
      <c r="H24" s="191" t="inlineStr">
        <is>
          <t>交易发生日期</t>
        </is>
      </c>
      <c r="I24" s="192" t="inlineStr">
        <is>
          <t>本期</t>
        </is>
      </c>
      <c r="J24" s="192" t="inlineStr">
        <is>
          <t>资产负债表日后期间</t>
        </is>
      </c>
      <c r="K24" s="120" t="n">
        <v>1</v>
      </c>
      <c r="L24" s="779" t="n"/>
      <c r="M24" s="101" t="n"/>
      <c r="N24" s="81" t="n"/>
      <c r="O24" s="101" t="n"/>
      <c r="CP24" s="102" t="n"/>
      <c r="CQ24" s="102" t="n"/>
      <c r="CR24" s="102" t="n"/>
      <c r="CS24" s="102" t="n"/>
      <c r="CT24" s="102" t="n"/>
      <c r="CU24" s="102" t="n"/>
      <c r="CV24" s="102" t="n"/>
      <c r="CW24" s="102" t="n"/>
      <c r="CX24" s="102" t="n"/>
      <c r="CY24" s="102" t="n"/>
      <c r="CZ24" s="102" t="n"/>
      <c r="DA24" s="102" t="n"/>
      <c r="DB24" s="102" t="n"/>
      <c r="DC24" s="102" t="n"/>
      <c r="DD24" s="102" t="n"/>
      <c r="DE24" s="102" t="n"/>
      <c r="DF24" s="102" t="n"/>
      <c r="DG24" s="102" t="n"/>
      <c r="DH24" s="102" t="n"/>
      <c r="DI24" s="102" t="n"/>
      <c r="DJ24" s="102" t="n"/>
      <c r="DK24" s="102" t="n"/>
      <c r="DL24" s="102" t="n"/>
      <c r="DM24" s="102" t="n"/>
      <c r="DN24" s="102" t="n"/>
      <c r="DO24" s="102" t="n"/>
      <c r="DP24" s="107" t="n"/>
      <c r="DQ24" s="102" t="n"/>
      <c r="DR24" s="104" t="n"/>
    </row>
    <row r="25" ht="14.45" customFormat="1" customHeight="1" s="106">
      <c r="A25" s="105" t="n"/>
      <c r="B25" s="121" t="inlineStr">
        <is>
          <t>截止日前的交易测试</t>
        </is>
      </c>
      <c r="C25" s="780" t="n"/>
      <c r="D25" s="771" t="n"/>
      <c r="E25" s="771" t="n"/>
      <c r="F25" s="771" t="n"/>
      <c r="G25" s="771" t="n"/>
      <c r="H25" s="771" t="n"/>
      <c r="I25" s="771" t="n"/>
      <c r="J25" s="771" t="n"/>
      <c r="K25" s="771" t="n"/>
      <c r="L25" s="781" t="n"/>
      <c r="M25" s="101" t="n"/>
      <c r="N25" s="81" t="n"/>
      <c r="O25" s="101" t="n"/>
      <c r="CP25" s="102" t="n"/>
      <c r="CQ25" s="102" t="n"/>
      <c r="CR25" s="102" t="n"/>
      <c r="CS25" s="102" t="n"/>
      <c r="CT25" s="102" t="n"/>
      <c r="CU25" s="102" t="n"/>
      <c r="CV25" s="102" t="n"/>
      <c r="CW25" s="102" t="n"/>
      <c r="CX25" s="102" t="n"/>
      <c r="CY25" s="102" t="n"/>
      <c r="CZ25" s="102" t="n"/>
      <c r="DA25" s="102" t="n"/>
      <c r="DB25" s="102" t="n"/>
      <c r="DC25" s="102" t="n"/>
      <c r="DD25" s="102" t="n"/>
      <c r="DE25" s="102" t="n"/>
      <c r="DF25" s="102" t="n"/>
      <c r="DG25" s="102" t="n"/>
      <c r="DH25" s="102" t="n"/>
      <c r="DI25" s="102" t="n"/>
      <c r="DJ25" s="102" t="n"/>
      <c r="DK25" s="102" t="n"/>
      <c r="DL25" s="102" t="n"/>
      <c r="DM25" s="102" t="n"/>
      <c r="DN25" s="102" t="n"/>
      <c r="DO25" s="102" t="n"/>
      <c r="DP25" s="107" t="n"/>
      <c r="DQ25" s="102" t="n"/>
      <c r="DR25" s="104" t="n"/>
    </row>
    <row r="26" ht="15" customFormat="1" customHeight="1" s="106">
      <c r="A26" s="105" t="n"/>
      <c r="B26" s="177" t="n"/>
      <c r="C26" s="441" t="n"/>
      <c r="D26" s="782" t="n"/>
      <c r="E26" s="122" t="n"/>
      <c r="F26" s="122" t="n"/>
      <c r="G26" s="122" t="n"/>
      <c r="H26" s="440" t="n"/>
      <c r="I26" s="122" t="n"/>
      <c r="J26" s="122" t="n"/>
      <c r="K26" s="123" t="n"/>
      <c r="L26" s="123" t="n"/>
      <c r="M26" s="101" t="n"/>
      <c r="N26" s="81" t="n"/>
      <c r="O26" s="101" t="n"/>
      <c r="CP26" s="102" t="n"/>
      <c r="CQ26" s="102" t="n"/>
      <c r="CR26" s="102" t="n"/>
      <c r="CS26" s="102" t="n"/>
      <c r="CT26" s="102" t="n"/>
      <c r="CU26" s="102" t="n"/>
      <c r="CV26" s="102" t="n"/>
      <c r="CW26" s="102" t="n"/>
      <c r="CX26" s="102" t="n"/>
      <c r="CY26" s="102" t="n"/>
      <c r="CZ26" s="102" t="n"/>
      <c r="DA26" s="102" t="n"/>
      <c r="DB26" s="102" t="n"/>
      <c r="DC26" s="102" t="n"/>
      <c r="DD26" s="102" t="n"/>
      <c r="DE26" s="102" t="n"/>
      <c r="DF26" s="102" t="n"/>
      <c r="DG26" s="102" t="n"/>
      <c r="DH26" s="102" t="n"/>
      <c r="DI26" s="102" t="n"/>
      <c r="DJ26" s="102" t="n"/>
      <c r="DK26" s="102" t="n"/>
      <c r="DL26" s="102" t="n"/>
      <c r="DM26" s="102" t="n"/>
      <c r="DN26" s="102" t="n"/>
      <c r="DO26" s="102" t="n"/>
      <c r="DP26" s="107" t="n"/>
      <c r="DQ26" s="102" t="n"/>
      <c r="DR26" s="104" t="n"/>
    </row>
    <row r="27" ht="15" customFormat="1" customHeight="1" s="106">
      <c r="A27" s="105" t="n"/>
      <c r="B27" s="177" t="n"/>
      <c r="C27" s="441" t="n"/>
      <c r="D27" s="782" t="n"/>
      <c r="E27" s="122" t="n"/>
      <c r="F27" s="122" t="n"/>
      <c r="G27" s="122" t="n"/>
      <c r="H27" s="440" t="n"/>
      <c r="I27" s="122" t="n"/>
      <c r="J27" s="122" t="n"/>
      <c r="K27" s="123" t="n"/>
      <c r="L27" s="123" t="n"/>
      <c r="M27" s="101" t="n"/>
      <c r="N27" s="81" t="n"/>
      <c r="O27" s="101" t="n"/>
      <c r="CP27" s="102" t="n"/>
      <c r="CQ27" s="102" t="n"/>
      <c r="CR27" s="102" t="n"/>
      <c r="CS27" s="102" t="n"/>
      <c r="CT27" s="102" t="n"/>
      <c r="CU27" s="102" t="n"/>
      <c r="CV27" s="102" t="n"/>
      <c r="CW27" s="102" t="n"/>
      <c r="CX27" s="102" t="n"/>
      <c r="CY27" s="102" t="n"/>
      <c r="CZ27" s="102" t="n"/>
      <c r="DA27" s="102" t="n"/>
      <c r="DB27" s="102" t="n"/>
      <c r="DC27" s="102" t="n"/>
      <c r="DD27" s="102" t="n"/>
      <c r="DE27" s="102" t="n"/>
      <c r="DF27" s="102" t="n"/>
      <c r="DG27" s="102" t="n"/>
      <c r="DH27" s="102" t="n"/>
      <c r="DI27" s="102" t="n"/>
      <c r="DJ27" s="102" t="n"/>
      <c r="DK27" s="102" t="n"/>
      <c r="DL27" s="102" t="n"/>
      <c r="DM27" s="102" t="n"/>
      <c r="DN27" s="102" t="n"/>
      <c r="DO27" s="102" t="n"/>
      <c r="DP27" s="107" t="n"/>
      <c r="DQ27" s="102" t="n"/>
      <c r="DR27" s="104" t="n"/>
    </row>
    <row r="28" ht="15" customFormat="1" customHeight="1" s="106">
      <c r="A28" s="105" t="n"/>
      <c r="B28" s="177" t="n"/>
      <c r="C28" s="441" t="n"/>
      <c r="D28" s="782" t="n"/>
      <c r="E28" s="122" t="n"/>
      <c r="F28" s="122" t="n"/>
      <c r="G28" s="122" t="n"/>
      <c r="H28" s="440" t="n"/>
      <c r="I28" s="122" t="n"/>
      <c r="J28" s="122" t="n"/>
      <c r="K28" s="123" t="n"/>
      <c r="L28" s="123" t="n"/>
      <c r="M28" s="101" t="n"/>
      <c r="N28" s="81" t="n"/>
      <c r="O28" s="101" t="n"/>
      <c r="CP28" s="102" t="n"/>
      <c r="CQ28" s="102" t="n"/>
      <c r="CR28" s="102" t="n"/>
      <c r="CS28" s="102" t="n"/>
      <c r="CT28" s="102" t="n"/>
      <c r="CU28" s="102" t="n"/>
      <c r="CV28" s="102" t="n"/>
      <c r="CW28" s="102" t="n"/>
      <c r="CX28" s="102" t="n"/>
      <c r="CY28" s="102" t="n"/>
      <c r="CZ28" s="102" t="n"/>
      <c r="DA28" s="102" t="n"/>
      <c r="DB28" s="102" t="n"/>
      <c r="DC28" s="102" t="n"/>
      <c r="DD28" s="102" t="n"/>
      <c r="DE28" s="102" t="n"/>
      <c r="DF28" s="102" t="n"/>
      <c r="DG28" s="102" t="n"/>
      <c r="DH28" s="102" t="n"/>
      <c r="DI28" s="102" t="n"/>
      <c r="DJ28" s="102" t="n"/>
      <c r="DK28" s="102" t="n"/>
      <c r="DL28" s="102" t="n"/>
      <c r="DM28" s="102" t="n"/>
      <c r="DN28" s="102" t="n"/>
      <c r="DO28" s="102" t="n"/>
      <c r="DP28" s="107" t="n"/>
      <c r="DQ28" s="102" t="n"/>
      <c r="DR28" s="104" t="n"/>
    </row>
    <row r="29" ht="15" customFormat="1" customHeight="1" s="106">
      <c r="A29" s="105" t="n"/>
      <c r="B29" s="177" t="n"/>
      <c r="C29" s="441" t="n"/>
      <c r="D29" s="782" t="n"/>
      <c r="E29" s="122" t="n"/>
      <c r="F29" s="122" t="n"/>
      <c r="G29" s="122" t="n"/>
      <c r="H29" s="440" t="n"/>
      <c r="I29" s="122" t="n"/>
      <c r="J29" s="122" t="n"/>
      <c r="K29" s="123" t="n"/>
      <c r="L29" s="123" t="n"/>
      <c r="M29" s="101" t="n"/>
      <c r="N29" s="81" t="n"/>
      <c r="O29" s="101" t="n"/>
      <c r="CP29" s="102" t="n"/>
      <c r="CQ29" s="102" t="n"/>
      <c r="CR29" s="102" t="n"/>
      <c r="CS29" s="102" t="n"/>
      <c r="CT29" s="102" t="n"/>
      <c r="CU29" s="102" t="n"/>
      <c r="CV29" s="102" t="n"/>
      <c r="CW29" s="102" t="n"/>
      <c r="CX29" s="102" t="n"/>
      <c r="CY29" s="102" t="n"/>
      <c r="CZ29" s="102" t="n"/>
      <c r="DA29" s="102" t="n"/>
      <c r="DB29" s="102" t="n"/>
      <c r="DC29" s="102" t="n"/>
      <c r="DD29" s="102" t="n"/>
      <c r="DE29" s="102" t="n"/>
      <c r="DF29" s="102" t="n"/>
      <c r="DG29" s="102" t="n"/>
      <c r="DH29" s="102" t="n"/>
      <c r="DI29" s="102" t="n"/>
      <c r="DJ29" s="102" t="n"/>
      <c r="DK29" s="102" t="n"/>
      <c r="DL29" s="102" t="n"/>
      <c r="DM29" s="102" t="n"/>
      <c r="DN29" s="102" t="n"/>
      <c r="DO29" s="102" t="n"/>
      <c r="DP29" s="107" t="n"/>
      <c r="DQ29" s="102" t="n"/>
      <c r="DR29" s="104" t="n"/>
    </row>
    <row r="30" ht="15" customFormat="1" customHeight="1" s="106">
      <c r="A30" s="105" t="n"/>
      <c r="B30" s="177" t="n"/>
      <c r="C30" s="441" t="n"/>
      <c r="D30" s="782" t="n"/>
      <c r="E30" s="122" t="n"/>
      <c r="F30" s="122" t="n"/>
      <c r="G30" s="122" t="n"/>
      <c r="H30" s="440" t="n"/>
      <c r="I30" s="122" t="n"/>
      <c r="J30" s="122" t="n"/>
      <c r="K30" s="123" t="n"/>
      <c r="L30" s="123" t="n"/>
      <c r="M30" s="101" t="n"/>
      <c r="N30" s="81" t="n"/>
      <c r="O30" s="101" t="n"/>
      <c r="CP30" s="102" t="n"/>
      <c r="CQ30" s="102" t="n"/>
      <c r="CR30" s="102" t="n"/>
      <c r="CS30" s="102" t="n"/>
      <c r="CT30" s="102" t="n"/>
      <c r="CU30" s="102" t="n"/>
      <c r="CV30" s="102" t="n"/>
      <c r="CW30" s="102" t="n"/>
      <c r="CX30" s="102" t="n"/>
      <c r="CY30" s="102" t="n"/>
      <c r="CZ30" s="102" t="n"/>
      <c r="DA30" s="102" t="n"/>
      <c r="DB30" s="102" t="n"/>
      <c r="DC30" s="102" t="n"/>
      <c r="DD30" s="102" t="n"/>
      <c r="DE30" s="102" t="n"/>
      <c r="DF30" s="102" t="n"/>
      <c r="DG30" s="102" t="n"/>
      <c r="DH30" s="102" t="n"/>
      <c r="DI30" s="102" t="n"/>
      <c r="DJ30" s="102" t="n"/>
      <c r="DK30" s="102" t="n"/>
      <c r="DL30" s="102" t="n"/>
      <c r="DM30" s="102" t="n"/>
      <c r="DN30" s="102" t="n"/>
      <c r="DO30" s="102" t="n"/>
      <c r="DP30" s="107" t="n"/>
      <c r="DQ30" s="102" t="n"/>
      <c r="DR30" s="104" t="n"/>
    </row>
    <row r="31" ht="15" customFormat="1" customHeight="1" s="106">
      <c r="A31" s="105" t="n"/>
      <c r="B31" s="177" t="n"/>
      <c r="C31" s="441" t="n"/>
      <c r="D31" s="782" t="n"/>
      <c r="E31" s="122" t="n"/>
      <c r="F31" s="122" t="n"/>
      <c r="G31" s="122" t="n"/>
      <c r="H31" s="440" t="n"/>
      <c r="I31" s="122" t="n"/>
      <c r="J31" s="122" t="n"/>
      <c r="K31" s="123" t="n"/>
      <c r="L31" s="123" t="n"/>
      <c r="M31" s="101" t="n"/>
      <c r="N31" s="81" t="n"/>
      <c r="O31" s="101" t="n"/>
      <c r="CP31" s="102" t="n"/>
      <c r="CQ31" s="102" t="n"/>
      <c r="CR31" s="102" t="n"/>
      <c r="CS31" s="102" t="n"/>
      <c r="CT31" s="102" t="n"/>
      <c r="CU31" s="102" t="n"/>
      <c r="CV31" s="102" t="n"/>
      <c r="CW31" s="102" t="n"/>
      <c r="CX31" s="102" t="n"/>
      <c r="CY31" s="102" t="n"/>
      <c r="CZ31" s="102" t="n"/>
      <c r="DA31" s="102" t="n"/>
      <c r="DB31" s="102" t="n"/>
      <c r="DC31" s="102" t="n"/>
      <c r="DD31" s="102" t="n"/>
      <c r="DE31" s="102" t="n"/>
      <c r="DF31" s="102" t="n"/>
      <c r="DG31" s="102" t="n"/>
      <c r="DH31" s="102" t="n"/>
      <c r="DI31" s="102" t="n"/>
      <c r="DJ31" s="102" t="n"/>
      <c r="DK31" s="102" t="n"/>
      <c r="DL31" s="102" t="n"/>
      <c r="DM31" s="102" t="n"/>
      <c r="DN31" s="102" t="n"/>
      <c r="DO31" s="102" t="n"/>
      <c r="DP31" s="107" t="n"/>
      <c r="DQ31" s="102" t="n"/>
      <c r="DR31" s="104" t="n"/>
    </row>
    <row r="32" ht="15" customFormat="1" customHeight="1" s="106">
      <c r="A32" s="105" t="n"/>
      <c r="B32" s="177" t="n"/>
      <c r="C32" s="441" t="n"/>
      <c r="D32" s="782" t="n"/>
      <c r="E32" s="122" t="n"/>
      <c r="F32" s="122" t="n"/>
      <c r="G32" s="122" t="n"/>
      <c r="H32" s="440" t="n"/>
      <c r="I32" s="122" t="n"/>
      <c r="J32" s="122" t="n"/>
      <c r="K32" s="123" t="n"/>
      <c r="L32" s="123" t="n"/>
      <c r="M32" s="101" t="n"/>
      <c r="N32" s="81" t="n"/>
      <c r="O32" s="101" t="n"/>
      <c r="CP32" s="102" t="n"/>
      <c r="CQ32" s="102" t="n"/>
      <c r="CR32" s="102" t="n"/>
      <c r="CS32" s="102" t="n"/>
      <c r="CT32" s="102" t="n"/>
      <c r="CU32" s="102" t="n"/>
      <c r="CV32" s="102" t="n"/>
      <c r="CW32" s="102" t="n"/>
      <c r="CX32" s="102" t="n"/>
      <c r="CY32" s="102" t="n"/>
      <c r="CZ32" s="102" t="n"/>
      <c r="DA32" s="102" t="n"/>
      <c r="DB32" s="102" t="n"/>
      <c r="DC32" s="102" t="n"/>
      <c r="DD32" s="102" t="n"/>
      <c r="DE32" s="102" t="n"/>
      <c r="DF32" s="102" t="n"/>
      <c r="DG32" s="102" t="n"/>
      <c r="DH32" s="102" t="n"/>
      <c r="DI32" s="102" t="n"/>
      <c r="DJ32" s="102" t="n"/>
      <c r="DK32" s="102" t="n"/>
      <c r="DL32" s="102" t="n"/>
      <c r="DM32" s="102" t="n"/>
      <c r="DN32" s="102" t="n"/>
      <c r="DO32" s="102" t="n"/>
      <c r="DP32" s="107" t="n"/>
      <c r="DQ32" s="102" t="n"/>
      <c r="DR32" s="104" t="n"/>
    </row>
    <row r="33" ht="15" customFormat="1" customHeight="1" s="106">
      <c r="A33" s="105" t="n"/>
      <c r="B33" s="177" t="n"/>
      <c r="C33" s="441" t="n"/>
      <c r="D33" s="782" t="n"/>
      <c r="E33" s="122" t="n"/>
      <c r="F33" s="122" t="n"/>
      <c r="G33" s="122" t="n"/>
      <c r="H33" s="440" t="n"/>
      <c r="I33" s="122" t="n"/>
      <c r="J33" s="122" t="n"/>
      <c r="K33" s="123" t="n"/>
      <c r="L33" s="123" t="n"/>
      <c r="M33" s="101" t="n"/>
      <c r="N33" s="81" t="n"/>
      <c r="O33" s="101" t="n"/>
      <c r="CP33" s="102" t="n"/>
      <c r="CQ33" s="102" t="n"/>
      <c r="CR33" s="102" t="n"/>
      <c r="CS33" s="102" t="n"/>
      <c r="CT33" s="102" t="n"/>
      <c r="CU33" s="102" t="n"/>
      <c r="CV33" s="102" t="n"/>
      <c r="CW33" s="102" t="n"/>
      <c r="CX33" s="102" t="n"/>
      <c r="CY33" s="102" t="n"/>
      <c r="CZ33" s="102" t="n"/>
      <c r="DA33" s="102" t="n"/>
      <c r="DB33" s="102" t="n"/>
      <c r="DC33" s="102" t="n"/>
      <c r="DD33" s="102" t="n"/>
      <c r="DE33" s="102" t="n"/>
      <c r="DF33" s="102" t="n"/>
      <c r="DG33" s="102" t="n"/>
      <c r="DH33" s="102" t="n"/>
      <c r="DI33" s="102" t="n"/>
      <c r="DJ33" s="102" t="n"/>
      <c r="DK33" s="102" t="n"/>
      <c r="DL33" s="102" t="n"/>
      <c r="DM33" s="102" t="n"/>
      <c r="DN33" s="102" t="n"/>
      <c r="DO33" s="102" t="n"/>
      <c r="DP33" s="107" t="n"/>
      <c r="DQ33" s="102" t="n"/>
      <c r="DR33" s="104" t="n"/>
    </row>
    <row r="34" ht="15" customFormat="1" customHeight="1" s="106">
      <c r="A34" s="105" t="n"/>
      <c r="B34" s="177" t="n"/>
      <c r="C34" s="441" t="n"/>
      <c r="D34" s="782" t="n"/>
      <c r="E34" s="122" t="n"/>
      <c r="F34" s="122" t="n"/>
      <c r="G34" s="122" t="n"/>
      <c r="H34" s="440" t="n"/>
      <c r="I34" s="122" t="n"/>
      <c r="J34" s="122" t="n"/>
      <c r="K34" s="123" t="n"/>
      <c r="L34" s="123" t="n"/>
      <c r="M34" s="101" t="n"/>
      <c r="N34" s="81" t="n"/>
      <c r="O34" s="101" t="n"/>
      <c r="CP34" s="102" t="n"/>
      <c r="CQ34" s="102" t="n"/>
      <c r="CR34" s="102" t="n"/>
      <c r="CS34" s="102" t="n"/>
      <c r="CT34" s="102" t="n"/>
      <c r="CU34" s="102" t="n"/>
      <c r="CV34" s="102" t="n"/>
      <c r="CW34" s="102" t="n"/>
      <c r="CX34" s="102" t="n"/>
      <c r="CY34" s="102" t="n"/>
      <c r="CZ34" s="102" t="n"/>
      <c r="DA34" s="102" t="n"/>
      <c r="DB34" s="102" t="n"/>
      <c r="DC34" s="102" t="n"/>
      <c r="DD34" s="102" t="n"/>
      <c r="DE34" s="102" t="n"/>
      <c r="DF34" s="102" t="n"/>
      <c r="DG34" s="102" t="n"/>
      <c r="DH34" s="102" t="n"/>
      <c r="DI34" s="102" t="n"/>
      <c r="DJ34" s="102" t="n"/>
      <c r="DK34" s="102" t="n"/>
      <c r="DL34" s="102" t="n"/>
      <c r="DM34" s="102" t="n"/>
      <c r="DN34" s="102" t="n"/>
      <c r="DO34" s="102" t="n"/>
      <c r="DP34" s="107" t="n"/>
      <c r="DQ34" s="102" t="n"/>
      <c r="DR34" s="104" t="n"/>
    </row>
    <row r="35" ht="15" customFormat="1" customHeight="1" s="106">
      <c r="A35" s="105" t="n"/>
      <c r="B35" s="177" t="n"/>
      <c r="C35" s="441" t="n"/>
      <c r="D35" s="782" t="n"/>
      <c r="E35" s="122" t="n"/>
      <c r="F35" s="122" t="n"/>
      <c r="G35" s="122" t="n"/>
      <c r="H35" s="440" t="n"/>
      <c r="I35" s="122" t="n"/>
      <c r="J35" s="122" t="n"/>
      <c r="K35" s="123" t="n"/>
      <c r="L35" s="123" t="n"/>
      <c r="M35" s="101" t="n"/>
      <c r="N35" s="81" t="n"/>
      <c r="O35" s="101" t="n"/>
      <c r="CP35" s="102" t="n"/>
      <c r="CQ35" s="102" t="n"/>
      <c r="CR35" s="102" t="n"/>
      <c r="CS35" s="102" t="n"/>
      <c r="CT35" s="102" t="n"/>
      <c r="CU35" s="102" t="n"/>
      <c r="CV35" s="102" t="n"/>
      <c r="CW35" s="102" t="n"/>
      <c r="CX35" s="102" t="n"/>
      <c r="CY35" s="102" t="n"/>
      <c r="CZ35" s="102" t="n"/>
      <c r="DA35" s="102" t="n"/>
      <c r="DB35" s="102" t="n"/>
      <c r="DC35" s="102" t="n"/>
      <c r="DD35" s="102" t="n"/>
      <c r="DE35" s="102" t="n"/>
      <c r="DF35" s="102" t="n"/>
      <c r="DG35" s="102" t="n"/>
      <c r="DH35" s="102" t="n"/>
      <c r="DI35" s="102" t="n"/>
      <c r="DJ35" s="102" t="n"/>
      <c r="DK35" s="102" t="n"/>
      <c r="DL35" s="102" t="n"/>
      <c r="DM35" s="102" t="n"/>
      <c r="DN35" s="102" t="n"/>
      <c r="DO35" s="102" t="n"/>
      <c r="DP35" s="107" t="n"/>
      <c r="DQ35" s="102" t="n"/>
      <c r="DR35" s="104" t="n"/>
    </row>
    <row r="36" ht="14.45" customFormat="1" customHeight="1" s="106">
      <c r="A36" s="105" t="n"/>
      <c r="B36" s="121" t="inlineStr">
        <is>
          <t>截止日后的交易测试</t>
        </is>
      </c>
      <c r="C36" s="780" t="n"/>
      <c r="D36" s="771" t="n"/>
      <c r="E36" s="771" t="n"/>
      <c r="F36" s="771" t="n"/>
      <c r="G36" s="771" t="n"/>
      <c r="H36" s="771" t="n"/>
      <c r="I36" s="771" t="n"/>
      <c r="J36" s="771" t="n"/>
      <c r="K36" s="771" t="n"/>
      <c r="L36" s="781" t="n"/>
      <c r="M36" s="101" t="n"/>
      <c r="N36" s="81" t="n"/>
      <c r="O36" s="101" t="n"/>
      <c r="CP36" s="102" t="n"/>
      <c r="CQ36" s="102" t="n"/>
      <c r="CR36" s="102" t="n"/>
      <c r="CS36" s="102" t="n"/>
      <c r="CT36" s="102" t="n"/>
      <c r="CU36" s="102" t="n"/>
      <c r="CV36" s="102" t="n"/>
      <c r="CW36" s="102" t="n"/>
      <c r="CX36" s="102" t="n"/>
      <c r="CY36" s="102" t="n"/>
      <c r="CZ36" s="102" t="n"/>
      <c r="DA36" s="102" t="n"/>
      <c r="DB36" s="102" t="n"/>
      <c r="DC36" s="102" t="n"/>
      <c r="DD36" s="102" t="n"/>
      <c r="DE36" s="102" t="n"/>
      <c r="DF36" s="102" t="n"/>
      <c r="DG36" s="102" t="n"/>
      <c r="DH36" s="102" t="n"/>
      <c r="DI36" s="102" t="n"/>
      <c r="DJ36" s="102" t="n"/>
      <c r="DK36" s="102" t="n"/>
      <c r="DL36" s="102" t="n"/>
      <c r="DM36" s="102" t="n"/>
      <c r="DN36" s="102" t="n"/>
      <c r="DO36" s="102" t="n"/>
      <c r="DP36" s="107" t="n"/>
      <c r="DQ36" s="102" t="n"/>
      <c r="DR36" s="104" t="n"/>
    </row>
    <row r="37" ht="15" customFormat="1" customHeight="1" s="106">
      <c r="A37" s="105" t="n"/>
      <c r="B37" s="177" t="n"/>
      <c r="C37" s="441" t="n"/>
      <c r="D37" s="782" t="n"/>
      <c r="E37" s="122" t="n"/>
      <c r="F37" s="122" t="n"/>
      <c r="G37" s="122" t="n"/>
      <c r="H37" s="440" t="n"/>
      <c r="I37" s="122" t="n"/>
      <c r="J37" s="122" t="n"/>
      <c r="K37" s="123" t="n"/>
      <c r="L37" s="123" t="n"/>
      <c r="M37" s="101" t="n"/>
      <c r="N37" s="81" t="n"/>
      <c r="O37" s="101" t="n"/>
      <c r="CP37" s="102" t="n"/>
      <c r="CQ37" s="102" t="n"/>
      <c r="CR37" s="102" t="n"/>
      <c r="CS37" s="102" t="n"/>
      <c r="CT37" s="102" t="n"/>
      <c r="CU37" s="102" t="n"/>
      <c r="CV37" s="102" t="n"/>
      <c r="CW37" s="102" t="n"/>
      <c r="CX37" s="102" t="n"/>
      <c r="CY37" s="102" t="n"/>
      <c r="CZ37" s="102" t="n"/>
      <c r="DA37" s="102" t="n"/>
      <c r="DB37" s="102" t="n"/>
      <c r="DC37" s="102" t="n"/>
      <c r="DD37" s="102" t="n"/>
      <c r="DE37" s="102" t="n"/>
      <c r="DF37" s="102" t="n"/>
      <c r="DG37" s="102" t="n"/>
      <c r="DH37" s="102" t="n"/>
      <c r="DI37" s="102" t="n"/>
      <c r="DJ37" s="102" t="n"/>
      <c r="DK37" s="102" t="n"/>
      <c r="DL37" s="102" t="n"/>
      <c r="DM37" s="102" t="n"/>
      <c r="DN37" s="102" t="n"/>
      <c r="DO37" s="102" t="n"/>
      <c r="DP37" s="107" t="n"/>
      <c r="DQ37" s="102" t="n"/>
      <c r="DR37" s="104" t="n"/>
    </row>
    <row r="38" ht="15" customFormat="1" customHeight="1" s="106">
      <c r="A38" s="105" t="n"/>
      <c r="B38" s="177" t="n"/>
      <c r="C38" s="441" t="n"/>
      <c r="D38" s="782" t="n"/>
      <c r="E38" s="122" t="n"/>
      <c r="F38" s="122" t="n"/>
      <c r="G38" s="122" t="n"/>
      <c r="H38" s="440" t="n"/>
      <c r="I38" s="122" t="n"/>
      <c r="J38" s="122" t="n"/>
      <c r="K38" s="123" t="n"/>
      <c r="L38" s="123" t="n"/>
      <c r="M38" s="101" t="n"/>
      <c r="N38" s="81" t="n"/>
      <c r="O38" s="101" t="n"/>
      <c r="CP38" s="102" t="n"/>
      <c r="CQ38" s="102" t="n"/>
      <c r="CR38" s="102" t="n"/>
      <c r="CS38" s="102" t="n"/>
      <c r="CT38" s="102" t="n"/>
      <c r="CU38" s="102" t="n"/>
      <c r="CV38" s="102" t="n"/>
      <c r="CW38" s="102" t="n"/>
      <c r="CX38" s="102" t="n"/>
      <c r="CY38" s="102" t="n"/>
      <c r="CZ38" s="102" t="n"/>
      <c r="DA38" s="102" t="n"/>
      <c r="DB38" s="102" t="n"/>
      <c r="DC38" s="102" t="n"/>
      <c r="DD38" s="102" t="n"/>
      <c r="DE38" s="102" t="n"/>
      <c r="DF38" s="102" t="n"/>
      <c r="DG38" s="102" t="n"/>
      <c r="DH38" s="102" t="n"/>
      <c r="DI38" s="102" t="n"/>
      <c r="DJ38" s="102" t="n"/>
      <c r="DK38" s="102" t="n"/>
      <c r="DL38" s="102" t="n"/>
      <c r="DM38" s="102" t="n"/>
      <c r="DN38" s="102" t="n"/>
      <c r="DO38" s="102" t="n"/>
      <c r="DP38" s="107" t="n"/>
      <c r="DQ38" s="102" t="n"/>
      <c r="DR38" s="104" t="n"/>
    </row>
    <row r="39" ht="15" customFormat="1" customHeight="1" s="106">
      <c r="A39" s="105" t="n"/>
      <c r="B39" s="177" t="n"/>
      <c r="C39" s="441" t="n"/>
      <c r="D39" s="782" t="n"/>
      <c r="E39" s="122" t="n"/>
      <c r="F39" s="122" t="n"/>
      <c r="G39" s="122" t="n"/>
      <c r="H39" s="440" t="n"/>
      <c r="I39" s="122" t="n"/>
      <c r="J39" s="122" t="n"/>
      <c r="K39" s="123" t="n"/>
      <c r="L39" s="123" t="n"/>
      <c r="M39" s="101" t="n"/>
      <c r="N39" s="81" t="n"/>
      <c r="O39" s="101" t="n"/>
      <c r="CP39" s="102" t="n"/>
      <c r="CQ39" s="102" t="n"/>
      <c r="CR39" s="102" t="n"/>
      <c r="CS39" s="102" t="n"/>
      <c r="CT39" s="102" t="n"/>
      <c r="CU39" s="102" t="n"/>
      <c r="CV39" s="102" t="n"/>
      <c r="CW39" s="102" t="n"/>
      <c r="CX39" s="102" t="n"/>
      <c r="CY39" s="102" t="n"/>
      <c r="CZ39" s="102" t="n"/>
      <c r="DA39" s="102" t="n"/>
      <c r="DB39" s="102" t="n"/>
      <c r="DC39" s="102" t="n"/>
      <c r="DD39" s="102" t="n"/>
      <c r="DE39" s="102" t="n"/>
      <c r="DF39" s="102" t="n"/>
      <c r="DG39" s="102" t="n"/>
      <c r="DH39" s="102" t="n"/>
      <c r="DI39" s="102" t="n"/>
      <c r="DJ39" s="102" t="n"/>
      <c r="DK39" s="102" t="n"/>
      <c r="DL39" s="102" t="n"/>
      <c r="DM39" s="102" t="n"/>
      <c r="DN39" s="102" t="n"/>
      <c r="DO39" s="102" t="n"/>
      <c r="DP39" s="107" t="n"/>
      <c r="DQ39" s="102" t="n"/>
      <c r="DR39" s="104" t="n"/>
    </row>
    <row r="40" ht="15" customFormat="1" customHeight="1" s="106">
      <c r="A40" s="105" t="n"/>
      <c r="B40" s="177" t="n"/>
      <c r="C40" s="441" t="n"/>
      <c r="D40" s="782" t="n"/>
      <c r="E40" s="122" t="n"/>
      <c r="F40" s="122" t="n"/>
      <c r="G40" s="122" t="n"/>
      <c r="H40" s="440" t="n"/>
      <c r="I40" s="122" t="n"/>
      <c r="J40" s="122" t="n"/>
      <c r="K40" s="123" t="n"/>
      <c r="L40" s="123" t="n"/>
      <c r="M40" s="101" t="n"/>
      <c r="N40" s="81" t="n"/>
      <c r="O40" s="101" t="n"/>
      <c r="CP40" s="102" t="n"/>
      <c r="CQ40" s="102" t="n"/>
      <c r="CR40" s="102" t="n"/>
      <c r="CS40" s="102" t="n"/>
      <c r="CT40" s="102" t="n"/>
      <c r="CU40" s="102" t="n"/>
      <c r="CV40" s="102" t="n"/>
      <c r="CW40" s="102" t="n"/>
      <c r="CX40" s="102" t="n"/>
      <c r="CY40" s="102" t="n"/>
      <c r="CZ40" s="102" t="n"/>
      <c r="DA40" s="102" t="n"/>
      <c r="DB40" s="102" t="n"/>
      <c r="DC40" s="102" t="n"/>
      <c r="DD40" s="102" t="n"/>
      <c r="DE40" s="102" t="n"/>
      <c r="DF40" s="102" t="n"/>
      <c r="DG40" s="102" t="n"/>
      <c r="DH40" s="102" t="n"/>
      <c r="DI40" s="102" t="n"/>
      <c r="DJ40" s="102" t="n"/>
      <c r="DK40" s="102" t="n"/>
      <c r="DL40" s="102" t="n"/>
      <c r="DM40" s="102" t="n"/>
      <c r="DN40" s="102" t="n"/>
      <c r="DO40" s="102" t="n"/>
      <c r="DP40" s="107" t="n"/>
      <c r="DQ40" s="102" t="n"/>
      <c r="DR40" s="104" t="n"/>
    </row>
    <row r="41" ht="15" customFormat="1" customHeight="1" s="106">
      <c r="A41" s="105" t="n"/>
      <c r="B41" s="177" t="n"/>
      <c r="C41" s="441" t="n"/>
      <c r="D41" s="782" t="n"/>
      <c r="E41" s="122" t="n"/>
      <c r="F41" s="122" t="n"/>
      <c r="G41" s="122" t="n"/>
      <c r="H41" s="440" t="n"/>
      <c r="I41" s="122" t="n"/>
      <c r="J41" s="122" t="n"/>
      <c r="K41" s="123" t="n"/>
      <c r="L41" s="123" t="n"/>
      <c r="M41" s="101" t="n"/>
      <c r="N41" s="81" t="n"/>
      <c r="O41" s="101" t="n"/>
      <c r="CP41" s="102" t="n"/>
      <c r="CQ41" s="102" t="n"/>
      <c r="CR41" s="102" t="n"/>
      <c r="CS41" s="102" t="n"/>
      <c r="CT41" s="102" t="n"/>
      <c r="CU41" s="102" t="n"/>
      <c r="CV41" s="102" t="n"/>
      <c r="CW41" s="102" t="n"/>
      <c r="CX41" s="102" t="n"/>
      <c r="CY41" s="102" t="n"/>
      <c r="CZ41" s="102" t="n"/>
      <c r="DA41" s="102" t="n"/>
      <c r="DB41" s="102" t="n"/>
      <c r="DC41" s="102" t="n"/>
      <c r="DD41" s="102" t="n"/>
      <c r="DE41" s="102" t="n"/>
      <c r="DF41" s="102" t="n"/>
      <c r="DG41" s="102" t="n"/>
      <c r="DH41" s="102" t="n"/>
      <c r="DI41" s="102" t="n"/>
      <c r="DJ41" s="102" t="n"/>
      <c r="DK41" s="102" t="n"/>
      <c r="DL41" s="102" t="n"/>
      <c r="DM41" s="102" t="n"/>
      <c r="DN41" s="102" t="n"/>
      <c r="DO41" s="102" t="n"/>
      <c r="DP41" s="107" t="n"/>
      <c r="DQ41" s="102" t="n"/>
      <c r="DR41" s="104" t="n"/>
    </row>
    <row r="42" ht="15" customFormat="1" customHeight="1" s="106">
      <c r="A42" s="105" t="n"/>
      <c r="B42" s="177" t="n"/>
      <c r="C42" s="441" t="n"/>
      <c r="D42" s="782" t="n"/>
      <c r="E42" s="122" t="n"/>
      <c r="F42" s="122" t="n"/>
      <c r="G42" s="122" t="n"/>
      <c r="H42" s="440" t="n"/>
      <c r="I42" s="122" t="n"/>
      <c r="J42" s="122" t="n"/>
      <c r="K42" s="123" t="n"/>
      <c r="L42" s="123" t="n"/>
      <c r="M42" s="101" t="n"/>
      <c r="N42" s="81" t="n"/>
      <c r="O42" s="101" t="n"/>
      <c r="CP42" s="102" t="n"/>
      <c r="CQ42" s="102" t="n"/>
      <c r="CR42" s="102" t="n"/>
      <c r="CS42" s="102" t="n"/>
      <c r="CT42" s="102" t="n"/>
      <c r="CU42" s="102" t="n"/>
      <c r="CV42" s="102" t="n"/>
      <c r="CW42" s="102" t="n"/>
      <c r="CX42" s="102" t="n"/>
      <c r="CY42" s="102" t="n"/>
      <c r="CZ42" s="102" t="n"/>
      <c r="DA42" s="102" t="n"/>
      <c r="DB42" s="102" t="n"/>
      <c r="DC42" s="102" t="n"/>
      <c r="DD42" s="102" t="n"/>
      <c r="DE42" s="102" t="n"/>
      <c r="DF42" s="102" t="n"/>
      <c r="DG42" s="102" t="n"/>
      <c r="DH42" s="102" t="n"/>
      <c r="DI42" s="102" t="n"/>
      <c r="DJ42" s="102" t="n"/>
      <c r="DK42" s="102" t="n"/>
      <c r="DL42" s="102" t="n"/>
      <c r="DM42" s="102" t="n"/>
      <c r="DN42" s="102" t="n"/>
      <c r="DO42" s="102" t="n"/>
      <c r="DP42" s="107" t="n"/>
      <c r="DQ42" s="102" t="n"/>
      <c r="DR42" s="104" t="n"/>
    </row>
    <row r="43" ht="15" customFormat="1" customHeight="1" s="106">
      <c r="A43" s="105" t="n"/>
      <c r="B43" s="177" t="n"/>
      <c r="C43" s="441" t="n"/>
      <c r="D43" s="782" t="n"/>
      <c r="E43" s="122" t="n"/>
      <c r="F43" s="122" t="n"/>
      <c r="G43" s="122" t="n"/>
      <c r="H43" s="440" t="n"/>
      <c r="I43" s="122" t="n"/>
      <c r="J43" s="122" t="n"/>
      <c r="K43" s="123" t="n"/>
      <c r="L43" s="123" t="n"/>
      <c r="M43" s="101" t="n"/>
      <c r="N43" s="81" t="n"/>
      <c r="O43" s="101" t="n"/>
      <c r="CP43" s="102" t="n"/>
      <c r="CQ43" s="102" t="n"/>
      <c r="CR43" s="102" t="n"/>
      <c r="CS43" s="102" t="n"/>
      <c r="CT43" s="102" t="n"/>
      <c r="CU43" s="102" t="n"/>
      <c r="CV43" s="102" t="n"/>
      <c r="CW43" s="102" t="n"/>
      <c r="CX43" s="102" t="n"/>
      <c r="CY43" s="102" t="n"/>
      <c r="CZ43" s="102" t="n"/>
      <c r="DA43" s="102" t="n"/>
      <c r="DB43" s="102" t="n"/>
      <c r="DC43" s="102" t="n"/>
      <c r="DD43" s="102" t="n"/>
      <c r="DE43" s="102" t="n"/>
      <c r="DF43" s="102" t="n"/>
      <c r="DG43" s="102" t="n"/>
      <c r="DH43" s="102" t="n"/>
      <c r="DI43" s="102" t="n"/>
      <c r="DJ43" s="102" t="n"/>
      <c r="DK43" s="102" t="n"/>
      <c r="DL43" s="102" t="n"/>
      <c r="DM43" s="102" t="n"/>
      <c r="DN43" s="102" t="n"/>
      <c r="DO43" s="102" t="n"/>
      <c r="DP43" s="107" t="n"/>
      <c r="DQ43" s="102" t="n"/>
      <c r="DR43" s="104" t="n"/>
    </row>
    <row r="44" ht="15" customFormat="1" customHeight="1" s="106">
      <c r="A44" s="105" t="n"/>
      <c r="B44" s="177" t="n"/>
      <c r="C44" s="441" t="n"/>
      <c r="D44" s="782" t="n"/>
      <c r="E44" s="122" t="n"/>
      <c r="F44" s="122" t="n"/>
      <c r="G44" s="122" t="n"/>
      <c r="H44" s="440" t="n"/>
      <c r="I44" s="122" t="n"/>
      <c r="J44" s="122" t="n"/>
      <c r="K44" s="123" t="n"/>
      <c r="L44" s="123" t="n"/>
      <c r="M44" s="101" t="n"/>
      <c r="N44" s="81" t="n"/>
      <c r="O44" s="101" t="n"/>
      <c r="CP44" s="102" t="n"/>
      <c r="CQ44" s="102" t="n"/>
      <c r="CR44" s="102" t="n"/>
      <c r="CS44" s="102" t="n"/>
      <c r="CT44" s="102" t="n"/>
      <c r="CU44" s="102" t="n"/>
      <c r="CV44" s="102" t="n"/>
      <c r="CW44" s="102" t="n"/>
      <c r="CX44" s="102" t="n"/>
      <c r="CY44" s="102" t="n"/>
      <c r="CZ44" s="102" t="n"/>
      <c r="DA44" s="102" t="n"/>
      <c r="DB44" s="102" t="n"/>
      <c r="DC44" s="102" t="n"/>
      <c r="DD44" s="102" t="n"/>
      <c r="DE44" s="102" t="n"/>
      <c r="DF44" s="102" t="n"/>
      <c r="DG44" s="102" t="n"/>
      <c r="DH44" s="102" t="n"/>
      <c r="DI44" s="102" t="n"/>
      <c r="DJ44" s="102" t="n"/>
      <c r="DK44" s="102" t="n"/>
      <c r="DL44" s="102" t="n"/>
      <c r="DM44" s="102" t="n"/>
      <c r="DN44" s="102" t="n"/>
      <c r="DO44" s="102" t="n"/>
      <c r="DP44" s="107" t="n"/>
      <c r="DQ44" s="102" t="n"/>
      <c r="DR44" s="104" t="n"/>
    </row>
    <row r="45" ht="15" customFormat="1" customHeight="1" s="106">
      <c r="A45" s="105" t="n"/>
      <c r="B45" s="177" t="n"/>
      <c r="C45" s="441" t="n"/>
      <c r="D45" s="782" t="n"/>
      <c r="E45" s="122" t="n"/>
      <c r="F45" s="122" t="n"/>
      <c r="G45" s="122" t="n"/>
      <c r="H45" s="440" t="n"/>
      <c r="I45" s="122" t="n"/>
      <c r="J45" s="122" t="n"/>
      <c r="K45" s="123" t="n"/>
      <c r="L45" s="123" t="n"/>
      <c r="M45" s="101" t="n"/>
      <c r="N45" s="81" t="n"/>
      <c r="O45" s="101" t="n"/>
      <c r="CP45" s="102" t="n"/>
      <c r="CQ45" s="102" t="n"/>
      <c r="CR45" s="102" t="n"/>
      <c r="CS45" s="102" t="n"/>
      <c r="CT45" s="102" t="n"/>
      <c r="CU45" s="102" t="n"/>
      <c r="CV45" s="102" t="n"/>
      <c r="CW45" s="102" t="n"/>
      <c r="CX45" s="102" t="n"/>
      <c r="CY45" s="102" t="n"/>
      <c r="CZ45" s="102" t="n"/>
      <c r="DA45" s="102" t="n"/>
      <c r="DB45" s="102" t="n"/>
      <c r="DC45" s="102" t="n"/>
      <c r="DD45" s="102" t="n"/>
      <c r="DE45" s="102" t="n"/>
      <c r="DF45" s="102" t="n"/>
      <c r="DG45" s="102" t="n"/>
      <c r="DH45" s="102" t="n"/>
      <c r="DI45" s="102" t="n"/>
      <c r="DJ45" s="102" t="n"/>
      <c r="DK45" s="102" t="n"/>
      <c r="DL45" s="102" t="n"/>
      <c r="DM45" s="102" t="n"/>
      <c r="DN45" s="102" t="n"/>
      <c r="DO45" s="102" t="n"/>
      <c r="DP45" s="107" t="n"/>
      <c r="DQ45" s="102" t="n"/>
      <c r="DR45" s="104" t="n"/>
    </row>
    <row r="46" ht="15" customFormat="1" customHeight="1" s="106">
      <c r="A46" s="105" t="n"/>
      <c r="B46" s="177" t="n"/>
      <c r="C46" s="441" t="n"/>
      <c r="D46" s="782" t="n"/>
      <c r="E46" s="122" t="n"/>
      <c r="F46" s="122" t="n"/>
      <c r="G46" s="122" t="n"/>
      <c r="H46" s="440" t="n"/>
      <c r="I46" s="122" t="n"/>
      <c r="J46" s="122" t="n"/>
      <c r="K46" s="123" t="n"/>
      <c r="L46" s="123" t="n"/>
      <c r="M46" s="101" t="n"/>
      <c r="N46" s="81" t="n"/>
      <c r="O46" s="101" t="n"/>
      <c r="CP46" s="102" t="n"/>
      <c r="CQ46" s="102" t="n"/>
      <c r="CR46" s="102" t="n"/>
      <c r="CS46" s="102" t="n"/>
      <c r="CT46" s="102" t="n"/>
      <c r="CU46" s="102" t="n"/>
      <c r="CV46" s="102" t="n"/>
      <c r="CW46" s="102" t="n"/>
      <c r="CX46" s="102" t="n"/>
      <c r="CY46" s="102" t="n"/>
      <c r="CZ46" s="102" t="n"/>
      <c r="DA46" s="102" t="n"/>
      <c r="DB46" s="102" t="n"/>
      <c r="DC46" s="102" t="n"/>
      <c r="DD46" s="102" t="n"/>
      <c r="DE46" s="102" t="n"/>
      <c r="DF46" s="102" t="n"/>
      <c r="DG46" s="102" t="n"/>
      <c r="DH46" s="102" t="n"/>
      <c r="DI46" s="102" t="n"/>
      <c r="DJ46" s="102" t="n"/>
      <c r="DK46" s="102" t="n"/>
      <c r="DL46" s="102" t="n"/>
      <c r="DM46" s="102" t="n"/>
      <c r="DN46" s="102" t="n"/>
      <c r="DO46" s="102" t="n"/>
      <c r="DP46" s="107" t="n"/>
      <c r="DQ46" s="102" t="n"/>
      <c r="DR46" s="104" t="n"/>
    </row>
    <row r="47" ht="16.5" customFormat="1" customHeight="1" s="106">
      <c r="A47" s="105" t="n"/>
      <c r="B47" s="124" t="n"/>
      <c r="C47" s="125" t="n"/>
      <c r="D47" s="125" t="n"/>
      <c r="E47" s="126" t="n"/>
      <c r="F47" s="126" t="n"/>
      <c r="G47" s="126" t="n"/>
      <c r="H47" s="126" t="n"/>
      <c r="I47" s="76" t="n"/>
      <c r="J47" s="76" t="n"/>
      <c r="K47" s="76" t="n"/>
      <c r="L47" s="783" t="n"/>
      <c r="M47" s="101" t="n"/>
      <c r="N47" s="81" t="n"/>
      <c r="O47" s="101" t="n"/>
      <c r="CQ47" s="102" t="n"/>
      <c r="CR47" s="102" t="n"/>
      <c r="CS47" s="102" t="n"/>
      <c r="CT47" s="102" t="n"/>
      <c r="CU47" s="102" t="n"/>
      <c r="CV47" s="102" t="n"/>
      <c r="CW47" s="102" t="n"/>
      <c r="CX47" s="102" t="n"/>
      <c r="CY47" s="102" t="n"/>
      <c r="CZ47" s="102" t="n"/>
      <c r="DA47" s="102" t="n"/>
      <c r="DB47" s="102" t="n"/>
      <c r="DC47" s="102" t="n"/>
      <c r="DD47" s="102" t="n"/>
      <c r="DE47" s="102" t="n"/>
      <c r="DF47" s="102" t="n"/>
      <c r="DG47" s="102" t="n"/>
      <c r="DH47" s="102" t="n"/>
      <c r="DI47" s="102" t="n"/>
      <c r="DJ47" s="102" t="n"/>
      <c r="DK47" s="102" t="n"/>
      <c r="DL47" s="102" t="n"/>
      <c r="DM47" s="102" t="n"/>
      <c r="DN47" s="102" t="n"/>
      <c r="DO47" s="102" t="n"/>
      <c r="DP47" s="102" t="n"/>
      <c r="DQ47" s="107" t="n"/>
      <c r="DR47" s="102" t="n"/>
      <c r="DS47" s="104" t="n"/>
    </row>
    <row r="48" ht="16.5" customFormat="1" customHeight="1" s="106">
      <c r="A48" s="105" t="n"/>
      <c r="B48" s="106" t="inlineStr">
        <is>
          <t>Notes：记录识别的异常情况的详细信息以及如何解决这些异常情况，包括执行的额外实质性程序</t>
        </is>
      </c>
      <c r="G48" s="126" t="n"/>
      <c r="H48" s="126" t="n"/>
      <c r="I48" s="76" t="n"/>
      <c r="J48" s="76" t="n"/>
      <c r="K48" s="76" t="n"/>
      <c r="L48" s="783" t="n"/>
      <c r="M48" s="101" t="n"/>
      <c r="N48" s="81" t="n"/>
      <c r="O48" s="101" t="n"/>
      <c r="CO48" s="102" t="n"/>
      <c r="CP48" s="102" t="n"/>
      <c r="CQ48" s="102" t="n"/>
      <c r="CR48" s="102" t="n"/>
      <c r="CS48" s="102" t="n"/>
      <c r="CT48" s="102" t="n"/>
      <c r="CU48" s="102" t="n"/>
      <c r="CV48" s="102" t="n"/>
      <c r="CW48" s="102" t="n"/>
      <c r="CX48" s="102" t="n"/>
      <c r="CY48" s="102" t="n"/>
      <c r="CZ48" s="102" t="n"/>
      <c r="DA48" s="102" t="n"/>
      <c r="DB48" s="102" t="n"/>
      <c r="DC48" s="102" t="n"/>
      <c r="DD48" s="102" t="n"/>
      <c r="DE48" s="102" t="n"/>
      <c r="DF48" s="102" t="n"/>
      <c r="DG48" s="102" t="n"/>
      <c r="DH48" s="102" t="n"/>
      <c r="DI48" s="102" t="n"/>
      <c r="DJ48" s="102" t="n"/>
      <c r="DK48" s="102" t="n"/>
      <c r="DL48" s="102" t="n"/>
      <c r="DM48" s="102" t="n"/>
      <c r="DN48" s="102" t="n"/>
      <c r="DO48" s="107" t="n"/>
      <c r="DP48" s="102" t="n"/>
      <c r="DQ48" s="104" t="n"/>
    </row>
    <row r="49" ht="16.5" customFormat="1" customHeight="1" s="106">
      <c r="A49" s="105" t="n"/>
      <c r="B49" s="784" t="n"/>
      <c r="C49" s="688" t="n"/>
      <c r="D49" s="688" t="n"/>
      <c r="E49" s="688" t="n"/>
      <c r="F49" s="689" t="n"/>
      <c r="G49" s="409" t="n"/>
      <c r="H49" s="409" t="n"/>
      <c r="I49" s="409" t="n"/>
      <c r="J49" s="409" t="n"/>
      <c r="K49" s="409" t="n"/>
      <c r="L49" s="409" t="n"/>
      <c r="M49" s="101" t="n"/>
      <c r="N49" s="81" t="n"/>
      <c r="O49" s="101" t="n"/>
      <c r="CO49" s="102" t="n"/>
      <c r="CP49" s="102" t="n"/>
      <c r="CQ49" s="102" t="n"/>
      <c r="CR49" s="102" t="n"/>
      <c r="CS49" s="102" t="n"/>
      <c r="CT49" s="102" t="n"/>
      <c r="CU49" s="102" t="n"/>
      <c r="CV49" s="102" t="n"/>
      <c r="CW49" s="102" t="n"/>
      <c r="CX49" s="102" t="n"/>
      <c r="CY49" s="102" t="n"/>
      <c r="CZ49" s="102" t="n"/>
      <c r="DA49" s="102" t="n"/>
      <c r="DB49" s="102" t="n"/>
      <c r="DC49" s="102" t="n"/>
      <c r="DD49" s="102" t="n"/>
      <c r="DE49" s="102" t="n"/>
      <c r="DF49" s="102" t="n"/>
      <c r="DG49" s="102" t="n"/>
      <c r="DH49" s="102" t="n"/>
      <c r="DI49" s="102" t="n"/>
      <c r="DJ49" s="102" t="n"/>
      <c r="DK49" s="102" t="n"/>
      <c r="DL49" s="102" t="n"/>
      <c r="DM49" s="102" t="n"/>
      <c r="DN49" s="102" t="n"/>
      <c r="DO49" s="107" t="n"/>
      <c r="DP49" s="102" t="n"/>
      <c r="DQ49" s="104" t="n"/>
    </row>
    <row r="50" ht="16.5" customFormat="1" customHeight="1" s="106">
      <c r="A50" s="105" t="n"/>
      <c r="B50" s="641" t="n"/>
      <c r="F50" s="690" t="n"/>
      <c r="G50" s="409" t="n"/>
      <c r="H50" s="409" t="n"/>
      <c r="I50" s="409" t="n"/>
      <c r="J50" s="409" t="n"/>
      <c r="K50" s="409" t="n"/>
      <c r="L50" s="409" t="n"/>
      <c r="M50" s="101" t="n"/>
      <c r="N50" s="81" t="n"/>
      <c r="O50" s="101" t="n"/>
      <c r="CO50" s="102" t="n"/>
      <c r="CP50" s="102" t="n"/>
      <c r="CQ50" s="102" t="n"/>
      <c r="CR50" s="102" t="n"/>
      <c r="CS50" s="102" t="n"/>
      <c r="CT50" s="102" t="n"/>
      <c r="CU50" s="102" t="n"/>
      <c r="CV50" s="102" t="n"/>
      <c r="CW50" s="102" t="n"/>
      <c r="CX50" s="102" t="n"/>
      <c r="CY50" s="102" t="n"/>
      <c r="CZ50" s="102" t="n"/>
      <c r="DA50" s="102" t="n"/>
      <c r="DB50" s="102" t="n"/>
      <c r="DC50" s="102" t="n"/>
      <c r="DD50" s="102" t="n"/>
      <c r="DE50" s="102" t="n"/>
      <c r="DF50" s="102" t="n"/>
      <c r="DG50" s="102" t="n"/>
      <c r="DH50" s="102" t="n"/>
      <c r="DI50" s="102" t="n"/>
      <c r="DJ50" s="102" t="n"/>
      <c r="DK50" s="102" t="n"/>
      <c r="DL50" s="102" t="n"/>
      <c r="DM50" s="102" t="n"/>
      <c r="DN50" s="102" t="n"/>
      <c r="DO50" s="107" t="n"/>
      <c r="DP50" s="102" t="n"/>
      <c r="DQ50" s="104" t="n"/>
    </row>
    <row r="51" ht="16.5" customFormat="1" customHeight="1" s="106">
      <c r="A51" s="105" t="n"/>
      <c r="B51" s="644" t="n"/>
      <c r="C51" s="645" t="n"/>
      <c r="D51" s="645" t="n"/>
      <c r="E51" s="645" t="n"/>
      <c r="F51" s="691" t="n"/>
      <c r="G51" s="409" t="n"/>
      <c r="H51" s="409" t="n"/>
      <c r="I51" s="409" t="n"/>
      <c r="J51" s="409" t="n"/>
      <c r="K51" s="409" t="n"/>
      <c r="L51" s="409" t="n"/>
      <c r="M51" s="101" t="n"/>
      <c r="N51" s="81" t="n"/>
      <c r="O51" s="101" t="n"/>
      <c r="CO51" s="102" t="n"/>
      <c r="CP51" s="102" t="n"/>
      <c r="CQ51" s="102" t="n"/>
      <c r="CR51" s="102" t="n"/>
      <c r="CS51" s="102" t="n"/>
      <c r="CT51" s="102" t="n"/>
      <c r="CU51" s="102" t="n"/>
      <c r="CV51" s="102" t="n"/>
      <c r="CW51" s="102" t="n"/>
      <c r="CX51" s="102" t="n"/>
      <c r="CY51" s="102" t="n"/>
      <c r="CZ51" s="102" t="n"/>
      <c r="DA51" s="102" t="n"/>
      <c r="DB51" s="102" t="n"/>
      <c r="DC51" s="102" t="n"/>
      <c r="DD51" s="102" t="n"/>
      <c r="DE51" s="102" t="n"/>
      <c r="DF51" s="102" t="n"/>
      <c r="DG51" s="102" t="n"/>
      <c r="DH51" s="102" t="n"/>
      <c r="DI51" s="102" t="n"/>
      <c r="DJ51" s="102" t="n"/>
      <c r="DK51" s="102" t="n"/>
      <c r="DL51" s="102" t="n"/>
      <c r="DM51" s="102" t="n"/>
      <c r="DN51" s="102" t="n"/>
      <c r="DO51" s="107" t="n"/>
      <c r="DP51" s="102" t="n"/>
      <c r="DQ51" s="104" t="n"/>
    </row>
    <row r="52" ht="15" customHeight="1" s="634">
      <c r="I52" s="76" t="n"/>
      <c r="J52" s="76" t="n"/>
      <c r="K52" s="76" t="n"/>
      <c r="L52" s="783" t="n"/>
      <c r="M52" s="101" t="n"/>
      <c r="N52" s="81" t="n"/>
      <c r="O52" s="101" t="n"/>
    </row>
    <row r="53" ht="7.5" customHeight="1" s="634">
      <c r="A53" s="81" t="n"/>
      <c r="B53" s="81" t="n"/>
      <c r="C53" s="81" t="n"/>
      <c r="D53" s="81" t="n"/>
      <c r="E53" s="81" t="n"/>
      <c r="F53" s="81" t="n"/>
      <c r="G53" s="81" t="n"/>
      <c r="H53" s="81" t="n"/>
      <c r="I53" s="81" t="n"/>
      <c r="J53" s="81" t="n"/>
      <c r="K53" s="81" t="n"/>
      <c r="L53" s="81" t="n"/>
      <c r="M53" s="81" t="n"/>
      <c r="N53" s="81" t="n"/>
      <c r="O53" s="106" t="n"/>
    </row>
    <row r="81" ht="12.75" customHeight="1" s="634">
      <c r="C81" s="129" t="n"/>
    </row>
    <row r="82" ht="12.75" customHeight="1" s="634">
      <c r="C82" s="130" t="n"/>
    </row>
    <row r="83" ht="12.75" customHeight="1" s="634">
      <c r="C83" s="130" t="n"/>
    </row>
    <row r="84" ht="12.75" customHeight="1" s="634">
      <c r="C84" s="129" t="n"/>
    </row>
    <row r="85" ht="12.75" customHeight="1" s="634">
      <c r="C85" s="130" t="n"/>
    </row>
    <row r="86" ht="12.75" customHeight="1" s="634">
      <c r="C86" s="130" t="n"/>
    </row>
    <row r="87" ht="12.75" customHeight="1" s="634">
      <c r="C87" s="130" t="n"/>
    </row>
    <row r="88" ht="12.75" customHeight="1" s="634">
      <c r="C88" s="129" t="n"/>
    </row>
  </sheetData>
  <mergeCells count="13">
    <mergeCell ref="F23:H23"/>
    <mergeCell ref="B21:F21"/>
    <mergeCell ref="B23:E23"/>
    <mergeCell ref="D13:F13"/>
    <mergeCell ref="D14:F14"/>
    <mergeCell ref="B7:F9"/>
    <mergeCell ref="I23:J23"/>
    <mergeCell ref="L23:L24"/>
    <mergeCell ref="D15:F15"/>
    <mergeCell ref="D16:F16"/>
    <mergeCell ref="C36:L36"/>
    <mergeCell ref="C25:L25"/>
    <mergeCell ref="B49:F51"/>
  </mergeCells>
  <conditionalFormatting sqref="B7">
    <cfRule type="containsBlanks" priority="13" dxfId="4">
      <formula>LEN(TRIM(B7))=0</formula>
    </cfRule>
  </conditionalFormatting>
  <conditionalFormatting sqref="B14:C16">
    <cfRule type="containsBlanks" priority="6" dxfId="4">
      <formula>LEN(TRIM(B14))=0</formula>
    </cfRule>
  </conditionalFormatting>
  <conditionalFormatting sqref="B26:K35 B37:K46 B49">
    <cfRule type="containsBlanks" priority="8" dxfId="4">
      <formula>LEN(TRIM(B26))=0</formula>
    </cfRule>
  </conditionalFormatting>
  <conditionalFormatting sqref="I26:I35 I37:I46">
    <cfRule type="expression" priority="3" dxfId="1">
      <formula>$J26="√"</formula>
    </cfRule>
  </conditionalFormatting>
  <conditionalFormatting sqref="I26:I35">
    <cfRule type="expression" priority="12" dxfId="1">
      <formula>J26="√"</formula>
    </cfRule>
  </conditionalFormatting>
  <conditionalFormatting sqref="J26:J35 J37:J46">
    <cfRule type="expression" priority="1" dxfId="1">
      <formula>$I26="√"</formula>
    </cfRule>
  </conditionalFormatting>
  <dataValidations count="2">
    <dataValidation sqref="I26:J35 I37:J46" showDropDown="0" showInputMessage="1" showErrorMessage="1" allowBlank="1" type="list">
      <formula1>"√"</formula1>
    </dataValidation>
    <dataValidation sqref="K26:K35 K37:K46"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K9"/>
  <sheetViews>
    <sheetView showGridLines="0" zoomScale="70" zoomScaleNormal="70" workbookViewId="0">
      <selection activeCell="C26" sqref="C26"/>
    </sheetView>
  </sheetViews>
  <sheetFormatPr baseColWidth="8" defaultColWidth="8.75" defaultRowHeight="12.75" customHeight="1"/>
  <cols>
    <col width="2.625" customWidth="1" style="9" min="1" max="1"/>
    <col width="20.75" customWidth="1" style="5" min="2" max="3"/>
    <col width="31.375" customWidth="1" style="5" min="4" max="5"/>
    <col width="17.75" customWidth="1" style="5" min="6" max="7"/>
    <col width="14.125" customWidth="1" style="5" min="8" max="8"/>
    <col width="17.625" customWidth="1" style="5" min="9" max="9"/>
    <col width="2.625" customWidth="1" style="5" min="10" max="10"/>
    <col width="1.625" customWidth="1" style="5" min="11" max="11"/>
    <col width="11.25" customWidth="1" style="5" min="12" max="16"/>
    <col width="8.75" customWidth="1" style="5" min="17" max="95"/>
    <col width="13.125" customWidth="1" style="6" min="96" max="96"/>
    <col width="7.25" customWidth="1" style="6" min="97" max="97"/>
    <col width="8.75" customWidth="1" style="6" min="98" max="107"/>
    <col width="14.25" customWidth="1" style="6" min="108" max="108"/>
    <col width="8.75" customWidth="1" style="6" min="109" max="114"/>
    <col width="10.25" customWidth="1" style="6" min="115" max="115"/>
    <col width="8.75" customWidth="1" style="6" min="116" max="119"/>
    <col width="10.125" customWidth="1" style="6" min="120" max="120"/>
    <col width="12.25" customWidth="1" style="6" min="121" max="121"/>
    <col width="8.75" customWidth="1" style="8" min="122" max="122"/>
    <col width="8.75" customWidth="1" style="6" min="123" max="123"/>
    <col width="8.75" customWidth="1" style="7" min="124" max="124"/>
    <col width="8.75" customWidth="1" style="5" min="125" max="16384"/>
  </cols>
  <sheetData>
    <row r="1" ht="50.1" customFormat="1" customHeight="1" s="156">
      <c r="B1" s="203" t="inlineStr">
        <is>
          <t>标准工作底稿: N SWP 应付账款</t>
        </is>
      </c>
      <c r="C1" s="204" t="n"/>
      <c r="D1" s="205" t="n"/>
      <c r="E1" s="205" t="n"/>
      <c r="F1" s="206" t="n"/>
      <c r="G1" s="206" t="n"/>
      <c r="H1" s="206" t="n"/>
      <c r="I1" s="207" t="n"/>
      <c r="K1" s="167" t="n"/>
    </row>
    <row r="2" ht="30" customFormat="1" customHeight="1" s="156">
      <c r="B2" s="208" t="inlineStr">
        <is>
          <t>N.04: 寻找未入账负债</t>
        </is>
      </c>
      <c r="C2" s="209" t="n"/>
      <c r="D2" s="209" t="n"/>
      <c r="E2" s="209" t="n"/>
      <c r="F2" s="209" t="n"/>
      <c r="G2" s="209" t="n"/>
      <c r="H2" s="209" t="n"/>
      <c r="I2" s="210" t="n"/>
      <c r="J2" s="168" t="n"/>
      <c r="K2" s="167" t="n"/>
    </row>
    <row r="3" ht="12.75" customFormat="1" customHeight="1" s="10">
      <c r="B3" s="38" t="n"/>
      <c r="C3" s="38" t="n"/>
      <c r="D3" s="38" t="n"/>
      <c r="E3" s="38" t="n"/>
      <c r="F3" s="38" t="n"/>
      <c r="G3" s="38" t="n"/>
      <c r="H3" s="38" t="n"/>
      <c r="I3" s="38" t="n"/>
      <c r="J3" s="21" t="n"/>
      <c r="K3" s="49" t="n"/>
    </row>
    <row r="4" ht="15.95" customFormat="1" customHeight="1" s="10">
      <c r="B4" s="46" t="inlineStr">
        <is>
          <t>返回汇总页</t>
        </is>
      </c>
      <c r="C4" s="46" t="n"/>
      <c r="D4" s="38" t="n"/>
      <c r="E4" s="38" t="n"/>
      <c r="F4" s="38" t="n"/>
      <c r="G4" s="38" t="n"/>
      <c r="H4" s="38" t="n"/>
      <c r="I4" s="38" t="n"/>
      <c r="J4" s="21" t="n"/>
      <c r="K4" s="49" t="n"/>
    </row>
    <row r="5" ht="12.75" customFormat="1" customHeight="1" s="10">
      <c r="B5" s="51" t="n"/>
      <c r="C5" s="51" t="n"/>
      <c r="D5" s="38" t="n"/>
      <c r="E5" s="38" t="n"/>
      <c r="F5" s="38" t="n"/>
      <c r="G5" s="38" t="n"/>
      <c r="H5" s="38" t="n"/>
      <c r="I5" s="38" t="n"/>
      <c r="J5" s="21" t="n"/>
      <c r="K5" s="49" t="n"/>
    </row>
    <row r="6" ht="18.95" customFormat="1" customHeight="1" s="10">
      <c r="B6" s="52" t="inlineStr">
        <is>
          <t>请项目组使用以下链接获取标准底稿执行Search For程序：</t>
        </is>
      </c>
      <c r="C6" s="51" t="n"/>
      <c r="D6" s="38" t="n"/>
      <c r="E6" s="38" t="n"/>
      <c r="F6" s="38" t="n"/>
      <c r="G6" s="38" t="n"/>
      <c r="H6" s="38" t="n"/>
      <c r="I6" s="38" t="n"/>
      <c r="J6" s="21" t="n"/>
      <c r="K6" s="49" t="n"/>
    </row>
    <row r="7" ht="18.95" customFormat="1" customHeight="1" s="10">
      <c r="B7" s="444" t="inlineStr">
        <is>
          <t>N&amp;P SURL SWP 寻找未入账负债 202YMMDD XYZ公司.xlsx</t>
        </is>
      </c>
      <c r="C7" s="38" t="n"/>
      <c r="D7" s="38" t="n"/>
      <c r="E7" s="38" t="n"/>
      <c r="F7" s="38" t="n"/>
      <c r="G7" s="38" t="n"/>
      <c r="H7" s="38" t="n"/>
      <c r="I7" s="38" t="n"/>
      <c r="J7" s="21" t="n"/>
      <c r="K7" s="49" t="n"/>
    </row>
    <row r="8" ht="15" customHeight="1" s="634">
      <c r="K8" s="49" t="n"/>
    </row>
    <row r="9" ht="7.5" customHeight="1" s="634">
      <c r="A9" s="17" t="n"/>
      <c r="B9" s="17" t="n"/>
      <c r="C9" s="17" t="n"/>
      <c r="D9" s="17" t="n"/>
      <c r="E9" s="17" t="n"/>
      <c r="F9" s="17" t="n"/>
      <c r="G9" s="17" t="n"/>
      <c r="H9" s="17" t="n"/>
      <c r="I9" s="17" t="n"/>
      <c r="J9" s="17" t="n"/>
      <c r="K9" s="17" t="n"/>
    </row>
  </sheetData>
  <conditionalFormatting sqref="I14">
    <cfRule type="containsBlanks" priority="6" dxfId="0">
      <formula>LEN(TRIM(I14))=0</formula>
    </cfRule>
  </conditionalFormatting>
  <hyperlinks>
    <hyperlink ref="B4" location="汇总!A1" display="返回汇总页"/>
    <hyperlink xmlns:r="http://schemas.openxmlformats.org/officeDocument/2006/relationships" ref="B7" display="https://eychinamanaged.sharepoint.cn/:x:/r/sites/GCknowledgecenter/Shared Documents/%E5%AE%A1%E8%AE%A1%E6%A0%87%E5%87%86%E5%BA%95%E7%A8%BF/%E6%A0%87%E5%87%86%E5%AE%A1%E8%AE%A1%E5%BA%95%E7%A8%BF%E6%A8%A1%E6%9D%BF%E7%AC%AC%E5%85%AD%E7%89%88-%E4%BD%BF%E7%94%A8%E7%89%88/N%26P SURL SWP %E5%AF%BB%E6%89%BE%E6%9C%AA%E5%85%A5%E8%B4%A6%E8%B4%9F%E5%80%BA 202YMMDD XYZ%E5%85%AC%E5%8F%B8.xlsx?d=wfa981cbde0e54153a730db72e2d8a746&amp;csf=1&amp;web=1&amp;e=1Owq15" r:id="rId1"/>
  </hyperlinks>
  <pageMargins left="0.7" right="0.7" top="0.75" bottom="0.75" header="0.3" footer="0.3"/>
  <pageSetup orientation="portrait" paperSize="9"/>
</worksheet>
</file>

<file path=xl/worksheets/sheet8.xml><?xml version="1.0" encoding="utf-8"?>
<worksheet xmlns="http://schemas.openxmlformats.org/spreadsheetml/2006/main">
  <sheetPr codeName="Sheet23">
    <outlinePr summaryBelow="1" summaryRight="1"/>
    <pageSetUpPr/>
  </sheetPr>
  <dimension ref="A1:DV102"/>
  <sheetViews>
    <sheetView workbookViewId="0">
      <selection activeCell="A1" sqref="A1"/>
    </sheetView>
  </sheetViews>
  <sheetFormatPr baseColWidth="8" defaultColWidth="9" defaultRowHeight="14.25"/>
  <cols>
    <col width="0.125" customWidth="1" style="634" min="1" max="1"/>
  </cols>
  <sheetData>
    <row r="1">
      <c r="A1" s="0" t="inlineStr">
        <is>
          <t>eca72055-06d3-4dd3-bf25-5248c0ca8d3d</t>
        </is>
      </c>
    </row>
    <row r="6">
      <c r="E6" s="0" t="inlineStr">
        <is>
          <t>ABC7Zhba9RAGIbvC/0PYfGysyQzmRy8q9u0LrTZZZMiUkqZJJO6NJuUHCyLCEXwhNg7wQvBA+pFQYpQYeuK/hkT65V/wdnS3ZYahULarTQQQvLN8eN5881LfvW/LU1OcNydwY3jKlfi7jqtXOUq2s2qsdbdaPtO9UYQrjXJOg2rM9QliRcbtyiNp7i8LpWpw4nqzmAWahMZ8hgDXnIQEB12s1yIAYaiYvM2URzkjIYYiWUGMfE0n1geHYx3iRfRk82zbeodTD4aaF5nr37iecOATjoHSRxuz6Bx3PZXD7Z9tMFonpI/FqlH10JK1pxgwz/Z1Ao2akHixywu8HAYrQXeKAqlYVTz43bcphGLLi2PJqCd4DZ1ctuMpNMhYdccZP7X/I+6GHHXo4dZHk98utXUg5jmLtEMg9WQdGbbnlcLgyhqUXchcOhwmUGvu1NnqAWXINuyFR5IFiFARDwEClFk4MquJSFbkG2Cz1ALM8ZKXTe1lj49v2JoplnX54wVw2y0pue0QkSh5EhCVEpF/EMRriMLyBKASlwBiAphilAkBKBDZEVVRF4l5JwUMdOozbUai81CFSGUijilIqAsWtQhPMBYUFiNkCiwkAUBxKqLqSCz80Q8P0UsLmi6WSpirIqgCKoWdiUAiQSZg4AIqDyWABFkVcWyamNIz+vU0OtlfRirGo5vs3jWepUXuOz51o/+g/3d9997W9lmnz1kr3rpzl4hwBHKs42laxwjccilX+6lvd7P13vp26eMdSGg1VzQsPy2x0gacdmj7ezDm+zTk/2dZ8VY/jzPL0B8iTDX/fXkokDOPj5kJbsQspDPI8tfIrAX7vvluQFOLsr/ixOHyWlrdJ79QmWJHiNikUt3+tnjr9mL7fT+O+a99ndfppufizmSc0u1WOIeo9tm18hvF1O2xVzK/zvkyYnl3w==</t>
        </is>
      </c>
      <c r="Y6" s="0" t="inlineStr">
        <is>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is>
      </c>
      <c r="Z6" s="0" t="inlineStr">
        <is>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is>
      </c>
      <c r="AA6" s="0" t="inlineStr">
        <is>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is>
      </c>
      <c r="AB6" s="0" t="inlineStr">
        <is>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is>
      </c>
      <c r="AC6" s="0" t="inlineStr">
        <is>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is>
      </c>
      <c r="AD6" s="0" t="inlineStr">
        <is>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is>
      </c>
      <c r="AE6" s="0" t="inlineStr">
        <is>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is>
      </c>
      <c r="AF6" s="0" t="inlineStr">
        <is>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is>
      </c>
      <c r="AG6" s="0" t="inlineStr">
        <is>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is>
      </c>
      <c r="AH6" s="0" t="inlineStr">
        <is>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is>
      </c>
      <c r="AI6" s="0" t="inlineStr">
        <is>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is>
      </c>
      <c r="AJ6" s="0" t="inlineStr">
        <is>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is>
      </c>
      <c r="AK6" s="0" t="inlineStr">
        <is>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is>
      </c>
      <c r="AL6" s="0" t="inlineStr">
        <is>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is>
      </c>
      <c r="AM6" s="0" t="inlineStr">
        <is>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is>
      </c>
      <c r="AN6" s="0" t="inlineStr">
        <is>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is>
      </c>
      <c r="AO6" s="0" t="inlineStr">
        <is>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is>
      </c>
      <c r="AP6" s="0" t="inlineStr">
        <is>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is>
      </c>
      <c r="AQ6" s="0" t="inlineStr">
        <is>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is>
      </c>
      <c r="AR6" s="0" t="inlineStr">
        <is>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is>
      </c>
      <c r="AS6" s="0" t="inlineStr">
        <is>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is>
      </c>
      <c r="AT6" s="0" t="inlineStr">
        <is>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is>
      </c>
      <c r="AU6" s="0" t="inlineStr">
        <is>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is>
      </c>
      <c r="AV6" s="0" t="inlineStr">
        <is>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is>
      </c>
      <c r="AW6" s="0" t="inlineStr">
        <is>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is>
      </c>
      <c r="AX6" s="0" t="inlineStr">
        <is>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is>
      </c>
      <c r="AY6" s="0" t="inlineStr">
        <is>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is>
      </c>
      <c r="AZ6" s="0" t="inlineStr">
        <is>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is>
      </c>
      <c r="BA6" s="0" t="inlineStr">
        <is>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is>
      </c>
      <c r="BB6" s="0" t="inlineStr">
        <is>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is>
      </c>
      <c r="BC6" s="0" t="inlineStr">
        <is>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is>
      </c>
      <c r="BD6" s="0" t="inlineStr">
        <is>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is>
      </c>
      <c r="BE6" s="0" t="inlineStr">
        <is>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is>
      </c>
      <c r="BF6" s="0" t="inlineStr">
        <is>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is>
      </c>
      <c r="BG6" s="0" t="inlineStr">
        <is>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is>
      </c>
      <c r="BH6" s="0" t="inlineStr">
        <is>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is>
      </c>
      <c r="BI6" s="0" t="inlineStr">
        <is>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is>
      </c>
      <c r="BJ6" s="0" t="inlineStr">
        <is>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is>
      </c>
      <c r="BK6" s="0" t="inlineStr">
        <is>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is>
      </c>
      <c r="BL6" s="0" t="inlineStr">
        <is>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is>
      </c>
      <c r="BM6" s="0" t="inlineStr">
        <is>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is>
      </c>
      <c r="BN6" s="0" t="inlineStr">
        <is>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is>
      </c>
      <c r="BO6" s="0" t="inlineStr">
        <is>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is>
      </c>
      <c r="BP6" s="0" t="inlineStr">
        <is>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is>
      </c>
      <c r="BQ6" s="0" t="inlineStr">
        <is>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is>
      </c>
      <c r="BR6" s="0" t="inlineStr">
        <is>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is>
      </c>
      <c r="BS6" s="0" t="inlineStr">
        <is>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is>
      </c>
      <c r="BT6" s="0" t="inlineStr">
        <is>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is>
      </c>
      <c r="BU6" s="0" t="inlineStr">
        <is>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is>
      </c>
      <c r="BV6" s="0" t="inlineStr">
        <is>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is>
      </c>
      <c r="BW6" s="0" t="inlineStr">
        <is>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is>
      </c>
      <c r="BX6" s="0" t="inlineStr">
        <is>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is>
      </c>
      <c r="BY6" s="0" t="inlineStr">
        <is>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is>
      </c>
      <c r="BZ6" s="0" t="inlineStr">
        <is>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is>
      </c>
      <c r="CA6" s="0" t="inlineStr">
        <is>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is>
      </c>
      <c r="CB6" s="0" t="inlineStr">
        <is>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is>
      </c>
      <c r="CC6" s="0" t="inlineStr">
        <is>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is>
      </c>
      <c r="CD6" s="0" t="inlineStr">
        <is>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is>
      </c>
      <c r="CE6" s="0" t="inlineStr">
        <is>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is>
      </c>
      <c r="CF6" s="0" t="inlineStr">
        <is>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is>
      </c>
      <c r="CG6" s="0" t="inlineStr">
        <is>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is>
      </c>
      <c r="CH6" s="0" t="inlineStr">
        <is>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is>
      </c>
      <c r="CI6" s="0" t="inlineStr">
        <is>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is>
      </c>
      <c r="CJ6" s="0" t="inlineStr">
        <is>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is>
      </c>
      <c r="CK6" s="0" t="inlineStr">
        <is>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is>
      </c>
      <c r="CL6" s="0" t="inlineStr">
        <is>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is>
      </c>
      <c r="CM6" s="0" t="inlineStr">
        <is>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is>
      </c>
      <c r="CN6" s="0" t="inlineStr">
        <is>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is>
      </c>
      <c r="CO6" s="0" t="inlineStr">
        <is>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is>
      </c>
      <c r="CP6" s="0" t="inlineStr">
        <is>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is>
      </c>
      <c r="CQ6" s="0" t="inlineStr">
        <is>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is>
      </c>
      <c r="CR6" s="0" t="inlineStr">
        <is>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is>
      </c>
      <c r="CS6" s="0" t="inlineStr">
        <is>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is>
      </c>
      <c r="CT6" s="0" t="inlineStr">
        <is>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is>
      </c>
      <c r="CU6" s="0" t="inlineStr">
        <is>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is>
      </c>
      <c r="CV6" s="0" t="inlineStr">
        <is>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is>
      </c>
      <c r="CW6" s="0" t="inlineStr">
        <is>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is>
      </c>
      <c r="CX6" s="0" t="inlineStr">
        <is>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is>
      </c>
      <c r="CY6" s="0" t="inlineStr">
        <is>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is>
      </c>
      <c r="CZ6" s="0" t="inlineStr">
        <is>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is>
      </c>
      <c r="DA6" s="0" t="inlineStr">
        <is>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is>
      </c>
      <c r="DB6" s="0" t="inlineStr">
        <is>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is>
      </c>
      <c r="DC6" s="0" t="inlineStr">
        <is>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is>
      </c>
      <c r="DD6" s="0" t="inlineStr">
        <is>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is>
      </c>
      <c r="DE6" s="0" t="inlineStr">
        <is>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is>
      </c>
      <c r="DF6" s="0" t="inlineStr">
        <is>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is>
      </c>
      <c r="DG6" s="0" t="inlineStr">
        <is>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is>
      </c>
      <c r="DH6" s="0" t="inlineStr">
        <is>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is>
      </c>
      <c r="DI6" s="0" t="inlineStr">
        <is>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is>
      </c>
      <c r="DJ6" s="0" t="inlineStr">
        <is>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is>
      </c>
      <c r="DK6" s="0" t="inlineStr">
        <is>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is>
      </c>
      <c r="DL6" s="0" t="inlineStr">
        <is>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is>
      </c>
      <c r="DM6" s="0" t="inlineStr">
        <is>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is>
      </c>
      <c r="DN6" s="0" t="inlineStr">
        <is>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is>
      </c>
      <c r="DO6" s="0" t="inlineStr">
        <is>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is>
      </c>
      <c r="DP6" s="0" t="inlineStr">
        <is>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is>
      </c>
      <c r="DQ6" s="0" t="inlineStr">
        <is>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is>
      </c>
      <c r="DR6" s="0" t="inlineStr">
        <is>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is>
      </c>
      <c r="DS6" s="0" t="inlineStr">
        <is>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is>
      </c>
      <c r="DT6" s="0" t="inlineStr">
        <is>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is>
      </c>
      <c r="DU6" s="0" t="inlineStr">
        <is>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is>
      </c>
      <c r="DV6" s="0" t="inlineStr">
        <is>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is>
      </c>
    </row>
    <row r="10">
      <c r="F10" s="0">
        <f>#REF!</f>
        <v/>
      </c>
      <c r="G10" s="0" t="inlineStr">
        <is>
          <t>0c1d5614-b719-4375-ab0b-c2eb36356630</t>
        </is>
      </c>
    </row>
    <row r="11">
      <c r="A11" s="1" t="n">
        <v>102</v>
      </c>
      <c r="F11" s="0">
        <f>#REF!</f>
        <v/>
      </c>
      <c r="G11" s="0" t="inlineStr">
        <is>
          <t>0ed1578d-c3d1-41cb-bf1a-0b8b16fe351b</t>
        </is>
      </c>
    </row>
    <row r="12">
      <c r="F12" s="0">
        <f>#REF!</f>
        <v/>
      </c>
      <c r="G12" s="0" t="inlineStr">
        <is>
          <t>26b6c32d-5456-4a6c-ac24-0404a9fd88c6</t>
        </is>
      </c>
    </row>
    <row r="13">
      <c r="F13" s="0">
        <f>#REF!</f>
        <v/>
      </c>
      <c r="G13" s="0" t="inlineStr">
        <is>
          <t>9d623d85-412f-4078-bd1e-abb140c171a2</t>
        </is>
      </c>
    </row>
    <row r="14">
      <c r="F14" s="0">
        <f>#REF!</f>
        <v/>
      </c>
      <c r="G14" s="0" t="inlineStr">
        <is>
          <t>db74efef-4f05-4c4b-8d14-9ebc7f4e763a</t>
        </is>
      </c>
    </row>
    <row r="15">
      <c r="A15" s="1" t="n">
        <v>34</v>
      </c>
      <c r="F15" s="0">
        <f>#REF!</f>
        <v/>
      </c>
      <c r="G15" s="0" t="inlineStr">
        <is>
          <t>689964e5-d5ce-4506-866e-828ad946c4bc</t>
        </is>
      </c>
      <c r="R15" s="0">
        <f>#REF!</f>
        <v/>
      </c>
      <c r="S15" s="0" t="inlineStr">
        <is>
          <t>4aa8172f-bebf-428a-9d40-18ed13d529d9</t>
        </is>
      </c>
    </row>
    <row r="16">
      <c r="F16" s="0">
        <f>#REF!</f>
        <v/>
      </c>
      <c r="G16" s="0" t="inlineStr">
        <is>
          <t>4959c36f-fd69-4143-8d60-2b90c61f6a4c</t>
        </is>
      </c>
      <c r="R16" s="0">
        <f>#REF!</f>
        <v/>
      </c>
      <c r="S16" s="0" t="inlineStr">
        <is>
          <t>dd1e28ba-81f1-40db-909c-26609433bb85</t>
        </is>
      </c>
    </row>
    <row r="17">
      <c r="F17" s="0">
        <f>#REF!</f>
        <v/>
      </c>
      <c r="G17" s="0" t="inlineStr">
        <is>
          <t>22571d99-3693-465f-ae30-2f43f1397d18</t>
        </is>
      </c>
      <c r="R17" s="0">
        <f>#REF!</f>
        <v/>
      </c>
      <c r="S17" s="0" t="inlineStr">
        <is>
          <t>b4884ca6-2039-4441-9b03-287adfed6a07</t>
        </is>
      </c>
    </row>
    <row r="18">
      <c r="F18" s="0">
        <f>#REF!</f>
        <v/>
      </c>
      <c r="G18" s="0" t="inlineStr">
        <is>
          <t>e4619576-8474-4cdc-8fc7-59e483ac3504</t>
        </is>
      </c>
      <c r="R18" s="0">
        <f>#REF!</f>
        <v/>
      </c>
      <c r="S18" s="0" t="inlineStr">
        <is>
          <t>28b6083d-dc79-4094-a62c-6b73750656e4</t>
        </is>
      </c>
    </row>
    <row r="19">
      <c r="F19" s="0">
        <f>#REF!</f>
        <v/>
      </c>
      <c r="G19" s="0" t="inlineStr">
        <is>
          <t>552c3f0d-69a9-4fa1-9be8-62c927f2e3cf</t>
        </is>
      </c>
      <c r="R19" s="0">
        <f>#REF!</f>
        <v/>
      </c>
      <c r="S19" s="0" t="inlineStr">
        <is>
          <t>13def8fe-7e41-41fa-b5a7-b6f1b2e2d8fa</t>
        </is>
      </c>
    </row>
    <row r="20">
      <c r="F20" s="0">
        <f>#REF!</f>
        <v/>
      </c>
      <c r="G20" s="0" t="inlineStr">
        <is>
          <t>5f0f71df-1c80-47fe-8049-01a984ad9c1d</t>
        </is>
      </c>
      <c r="R20" s="0">
        <f>#REF!</f>
        <v/>
      </c>
      <c r="S20" s="0" t="inlineStr">
        <is>
          <t>7afcc3d8-9f45-4912-8a96-e0d2b277a1be</t>
        </is>
      </c>
    </row>
    <row r="21">
      <c r="F21" s="0">
        <f>#REF!</f>
        <v/>
      </c>
      <c r="G21" s="0" t="inlineStr">
        <is>
          <t>a7470e28-4f68-4cf2-bf33-253f6b3c1c98</t>
        </is>
      </c>
      <c r="R21" s="0">
        <f>#REF!</f>
        <v/>
      </c>
      <c r="S21" s="0" t="inlineStr">
        <is>
          <t>6b56a18e-8d3e-445b-9a0e-09933a1e05eb</t>
        </is>
      </c>
    </row>
    <row r="22">
      <c r="F22" s="0">
        <f>#REF!</f>
        <v/>
      </c>
      <c r="G22" s="0" t="inlineStr">
        <is>
          <t>3b797bc9-8be6-4848-bbf3-33d143c5b8b3</t>
        </is>
      </c>
      <c r="R22" s="0">
        <f>#REF!</f>
        <v/>
      </c>
      <c r="S22" s="0" t="inlineStr">
        <is>
          <t>6208c3b6-26d8-435e-b99c-682effc18916</t>
        </is>
      </c>
    </row>
    <row r="23">
      <c r="F23" s="0">
        <f>#REF!</f>
        <v/>
      </c>
      <c r="G23" s="0" t="inlineStr">
        <is>
          <t>3ef6b9a5-3833-496b-b845-bf9f5db4d434</t>
        </is>
      </c>
      <c r="R23" s="0">
        <f>#REF!</f>
        <v/>
      </c>
      <c r="S23" s="0" t="inlineStr">
        <is>
          <t>e8846001-be3a-4aea-a491-d2fbb2122966</t>
        </is>
      </c>
    </row>
    <row r="24">
      <c r="F24" s="0">
        <f>#REF!</f>
        <v/>
      </c>
      <c r="G24" s="0" t="inlineStr">
        <is>
          <t>4ca549cb-037b-430c-aa51-380f5019b27d</t>
        </is>
      </c>
      <c r="R24" s="0">
        <f>#REF!</f>
        <v/>
      </c>
      <c r="S24" s="0" t="inlineStr">
        <is>
          <t>1dc8af52-c1ea-4ad6-9a98-63057c8c8513</t>
        </is>
      </c>
    </row>
    <row r="25">
      <c r="F25" s="0">
        <f>#REF!</f>
        <v/>
      </c>
      <c r="G25" s="0" t="inlineStr">
        <is>
          <t>fab660f9-dc4b-4b51-a6af-61035481fe90</t>
        </is>
      </c>
      <c r="R25" s="0">
        <f>#REF!</f>
        <v/>
      </c>
      <c r="S25" s="0" t="inlineStr">
        <is>
          <t>783e1890-b601-4298-aa18-6179e238c645</t>
        </is>
      </c>
    </row>
    <row r="26">
      <c r="F26" s="0">
        <f>#REF!</f>
        <v/>
      </c>
      <c r="G26" s="0" t="inlineStr">
        <is>
          <t>dbb84dfd-190c-45bb-902b-9e704d3c642c</t>
        </is>
      </c>
      <c r="R26" s="0">
        <f>#REF!</f>
        <v/>
      </c>
      <c r="S26" s="0" t="inlineStr">
        <is>
          <t>482e0bcd-32c9-4c96-b524-ce853ad5ee66</t>
        </is>
      </c>
    </row>
    <row r="27">
      <c r="F27" s="0">
        <f>#REF!</f>
        <v/>
      </c>
      <c r="G27" s="0" t="inlineStr">
        <is>
          <t>d44c6c7e-4db0-4b9b-a7e4-3a23f9247412</t>
        </is>
      </c>
      <c r="R27" s="0">
        <f>#REF!</f>
        <v/>
      </c>
      <c r="S27" s="0" t="inlineStr">
        <is>
          <t>e0fa5039-ad71-4881-b58b-304d7a53cd7e</t>
        </is>
      </c>
    </row>
    <row r="28">
      <c r="F28" s="0">
        <f>#REF!</f>
        <v/>
      </c>
      <c r="G28" s="0" t="inlineStr">
        <is>
          <t>f3800d40-973a-4cb6-9d51-b904e3691ef8</t>
        </is>
      </c>
      <c r="R28" s="0">
        <f>#REF!</f>
        <v/>
      </c>
      <c r="S28" s="0" t="inlineStr">
        <is>
          <t>625a02e1-5e82-41ef-b44c-1b268f3fe5d2</t>
        </is>
      </c>
    </row>
    <row r="29">
      <c r="F29" s="0">
        <f>#REF!</f>
        <v/>
      </c>
      <c r="G29" s="0" t="inlineStr">
        <is>
          <t>56073803-5b18-47e9-b3e0-564a1b3a40bb</t>
        </is>
      </c>
      <c r="R29" s="0">
        <f>#REF!</f>
        <v/>
      </c>
      <c r="S29" s="0" t="inlineStr">
        <is>
          <t>dcfdac53-b669-43c3-9157-026b15cd0915</t>
        </is>
      </c>
    </row>
    <row r="30">
      <c r="F30" s="0">
        <f>#REF!</f>
        <v/>
      </c>
      <c r="G30" s="0" t="inlineStr">
        <is>
          <t>52f0b29d-081d-4168-93bb-65e2ab693a66</t>
        </is>
      </c>
      <c r="R30" s="0">
        <f>#REF!</f>
        <v/>
      </c>
      <c r="S30" s="0" t="inlineStr">
        <is>
          <t>487d7efa-d6b4-4b0a-b9e7-b962353d8ecc</t>
        </is>
      </c>
    </row>
    <row r="31">
      <c r="F31" s="0">
        <f>#REF!</f>
        <v/>
      </c>
      <c r="G31" s="0" t="inlineStr">
        <is>
          <t>96a250db-1922-486b-a688-3a5361161662</t>
        </is>
      </c>
      <c r="R31" s="0">
        <f>'N.00 Lead sheet'!#REF!</f>
        <v/>
      </c>
      <c r="S31" s="0" t="inlineStr">
        <is>
          <t>18f18d6f-1d32-44e2-b5fc-a36f90976bb9</t>
        </is>
      </c>
    </row>
    <row r="32">
      <c r="F32" s="0">
        <f>#REF!</f>
        <v/>
      </c>
      <c r="G32" s="0" t="inlineStr">
        <is>
          <t>1852ae93-0d62-4256-b665-f0ead08452bb</t>
        </is>
      </c>
      <c r="R32" s="0">
        <f>'N.00 Lead sheet'!#REF!</f>
        <v/>
      </c>
      <c r="S32" s="0" t="inlineStr">
        <is>
          <t>ed82514b-5183-4b54-8d85-257a77ac1f54</t>
        </is>
      </c>
    </row>
    <row r="33">
      <c r="F33" s="0">
        <f>#REF!</f>
        <v/>
      </c>
      <c r="G33" s="0" t="inlineStr">
        <is>
          <t>c8e4a9f7-af6f-4f9c-8c12-596f22a27109</t>
        </is>
      </c>
      <c r="R33" s="0">
        <f>'N.00 Lead sheet'!#REF!</f>
        <v/>
      </c>
      <c r="S33" s="0" t="inlineStr">
        <is>
          <t>160fa604-87ef-4905-9773-31a2e9d26d94</t>
        </is>
      </c>
    </row>
    <row r="34">
      <c r="F34" s="0">
        <f>#REF!</f>
        <v/>
      </c>
      <c r="G34" s="0" t="inlineStr">
        <is>
          <t>6ba2f11d-9dd1-48da-ac2d-9bf607f1fff0</t>
        </is>
      </c>
      <c r="R34" s="0">
        <f>'N.00 Lead sheet'!#REF!</f>
        <v/>
      </c>
      <c r="S34" s="0" t="inlineStr">
        <is>
          <t>3b6dee10-70aa-4085-8c6b-95ffc977b79b</t>
        </is>
      </c>
    </row>
    <row r="35">
      <c r="F35" s="0">
        <f>#REF!</f>
        <v/>
      </c>
      <c r="G35" s="0" t="inlineStr">
        <is>
          <t>b6ac9a73-4f34-4b71-9bd7-7adcb676d02c</t>
        </is>
      </c>
    </row>
    <row r="36">
      <c r="F36" s="0">
        <f>#REF!</f>
        <v/>
      </c>
      <c r="G36" s="0" t="inlineStr">
        <is>
          <t>12c5d681-3216-418c-a18b-661c1eb33f88</t>
        </is>
      </c>
    </row>
    <row r="37">
      <c r="F37" s="0">
        <f>#REF!</f>
        <v/>
      </c>
      <c r="G37" s="0" t="inlineStr">
        <is>
          <t>234d2168-9826-4d25-ba37-ed08e1ae0aab</t>
        </is>
      </c>
    </row>
    <row r="38">
      <c r="F38" s="0">
        <f>#REF!</f>
        <v/>
      </c>
      <c r="G38" s="0" t="inlineStr">
        <is>
          <t>ce3b9236-86d6-40b5-8185-57af9fc4da99</t>
        </is>
      </c>
    </row>
    <row r="39">
      <c r="F39" s="0">
        <f>#REF!</f>
        <v/>
      </c>
      <c r="G39" s="0" t="inlineStr">
        <is>
          <t>c5708e83-e8f3-4c06-96cd-69e27a89637f</t>
        </is>
      </c>
    </row>
    <row r="40">
      <c r="F40" s="0">
        <f>#REF!</f>
        <v/>
      </c>
      <c r="G40" s="0" t="inlineStr">
        <is>
          <t>398ea5a8-6c4e-4358-b5d4-a1b87036c8fd</t>
        </is>
      </c>
    </row>
    <row r="41">
      <c r="F41" s="0">
        <f>#REF!</f>
        <v/>
      </c>
      <c r="G41" s="0" t="inlineStr">
        <is>
          <t>4bb7c75a-c80c-4144-8e6c-c754bf51b61f</t>
        </is>
      </c>
    </row>
    <row r="42">
      <c r="F42" s="0">
        <f>#REF!</f>
        <v/>
      </c>
      <c r="G42" s="0" t="inlineStr">
        <is>
          <t>b959fed2-9578-406a-b998-252b17674eda</t>
        </is>
      </c>
    </row>
    <row r="43">
      <c r="F43" s="0">
        <f>#REF!</f>
        <v/>
      </c>
      <c r="G43" s="0" t="inlineStr">
        <is>
          <t>22253777-cde4-4b5b-b981-ab79d68251ec</t>
        </is>
      </c>
    </row>
    <row r="44">
      <c r="F44" s="0">
        <f>#REF!</f>
        <v/>
      </c>
      <c r="G44" s="0" t="inlineStr">
        <is>
          <t>d6c05b82-167e-4305-b9e7-fd7bd6569c7f</t>
        </is>
      </c>
    </row>
    <row r="45">
      <c r="F45" s="0">
        <f>#REF!</f>
        <v/>
      </c>
      <c r="G45" s="0" t="inlineStr">
        <is>
          <t>dfb12828-0b5c-4f25-88f5-086a4fd07901</t>
        </is>
      </c>
    </row>
    <row r="46">
      <c r="F46" s="0">
        <f>#REF!</f>
        <v/>
      </c>
      <c r="G46" s="0" t="inlineStr">
        <is>
          <t>91b18949-d720-42b7-ad75-5b5db8f35567</t>
        </is>
      </c>
    </row>
    <row r="47">
      <c r="F47" s="0">
        <f>#REF!</f>
        <v/>
      </c>
      <c r="G47" s="0" t="inlineStr">
        <is>
          <t>1ca60eba-d2f9-465c-abf4-19096b1464d3</t>
        </is>
      </c>
    </row>
    <row r="48">
      <c r="F48" s="0">
        <f>#REF!</f>
        <v/>
      </c>
      <c r="G48" s="0" t="inlineStr">
        <is>
          <t>5157e35a-c93a-4995-b56d-c99b68f90981</t>
        </is>
      </c>
    </row>
    <row r="49">
      <c r="F49" s="0">
        <f>#REF!</f>
        <v/>
      </c>
      <c r="G49" s="0" t="inlineStr">
        <is>
          <t>464b96a0-8de1-41bc-80c3-11557c7b305a</t>
        </is>
      </c>
    </row>
    <row r="50">
      <c r="F50" s="0">
        <f>#REF!</f>
        <v/>
      </c>
      <c r="G50" s="0" t="inlineStr">
        <is>
          <t>179b73f8-59f8-4a8f-9190-efb2626873db</t>
        </is>
      </c>
    </row>
    <row r="51">
      <c r="F51" s="0">
        <f>#REF!</f>
        <v/>
      </c>
      <c r="G51" s="0" t="inlineStr">
        <is>
          <t>0a78da83-d4dc-4024-94e4-5f2854834912</t>
        </is>
      </c>
    </row>
    <row r="52">
      <c r="F52" s="0">
        <f>#REF!</f>
        <v/>
      </c>
      <c r="G52" s="0" t="inlineStr">
        <is>
          <t>ce39da16-2ab3-40a4-8095-f68c8bd26a2f</t>
        </is>
      </c>
    </row>
    <row r="53">
      <c r="F53" s="0">
        <f>#REF!</f>
        <v/>
      </c>
      <c r="G53" s="0" t="inlineStr">
        <is>
          <t>c74234c6-b84c-424f-9341-04c80799954a</t>
        </is>
      </c>
    </row>
    <row r="54">
      <c r="F54" s="0">
        <f>#REF!</f>
        <v/>
      </c>
      <c r="G54" s="0" t="inlineStr">
        <is>
          <t>b11b7060-e455-4e15-93b4-3ea59fe6ef4c</t>
        </is>
      </c>
    </row>
    <row r="55">
      <c r="F55" s="0">
        <f>'N.03 截止测试'!#REF!</f>
        <v/>
      </c>
      <c r="G55" s="0" t="inlineStr">
        <is>
          <t>7ab64df1-8648-4d27-bc11-4ec98def67e7</t>
        </is>
      </c>
    </row>
    <row r="56">
      <c r="F56" s="0">
        <f>'N.03 截止测试'!#REF!</f>
        <v/>
      </c>
      <c r="G56" s="0" t="inlineStr">
        <is>
          <t>eb387db5-811b-4cc5-b5cd-6df3e675c8d8</t>
        </is>
      </c>
    </row>
    <row r="57">
      <c r="F57" s="0">
        <f>'N.03 截止测试'!#REF!</f>
        <v/>
      </c>
      <c r="G57" s="0" t="inlineStr">
        <is>
          <t>d3ef5377-fe87-4dbc-8b00-7b00cced4b79</t>
        </is>
      </c>
    </row>
    <row r="58">
      <c r="F58" s="0">
        <f>'N.03 截止测试'!#REF!</f>
        <v/>
      </c>
      <c r="G58" s="0" t="inlineStr">
        <is>
          <t>8cd0b9dd-d09e-46cb-9099-543bd4d79a77</t>
        </is>
      </c>
    </row>
    <row r="59">
      <c r="F59" s="0">
        <f>'N.03 截止测试'!#REF!</f>
        <v/>
      </c>
      <c r="G59" s="0" t="inlineStr">
        <is>
          <t>f94f06a5-6a73-491c-865a-631536d6729f</t>
        </is>
      </c>
    </row>
    <row r="60">
      <c r="F60" s="0">
        <f>'N.03 截止测试'!#REF!</f>
        <v/>
      </c>
      <c r="G60" s="0" t="inlineStr">
        <is>
          <t>d80419ce-33eb-433e-b73d-6b70774a566f</t>
        </is>
      </c>
    </row>
    <row r="61">
      <c r="F61" s="0">
        <f>'N.03 截止测试'!#REF!</f>
        <v/>
      </c>
      <c r="G61" s="0" t="inlineStr">
        <is>
          <t>aa9ecb0d-ec47-4302-8b8d-6a79bc8f1456</t>
        </is>
      </c>
    </row>
    <row r="62">
      <c r="F62" s="0">
        <f>'N.03 截止测试'!#REF!</f>
        <v/>
      </c>
      <c r="G62" s="0" t="inlineStr">
        <is>
          <t>e54c2393-2c15-4937-bf5b-20252c488fd6</t>
        </is>
      </c>
    </row>
    <row r="63">
      <c r="F63" s="0">
        <f>'N.03 截止测试'!#REF!</f>
        <v/>
      </c>
      <c r="G63" s="0" t="inlineStr">
        <is>
          <t>ff4fb21f-8e41-4fd4-83c9-e1c4ffc8c99f</t>
        </is>
      </c>
    </row>
    <row r="64">
      <c r="F64" s="0">
        <f>'N.03 截止测试'!#REF!</f>
        <v/>
      </c>
      <c r="G64" s="0" t="inlineStr">
        <is>
          <t>cccd48d4-51b8-466e-a206-ce9be336f22a</t>
        </is>
      </c>
    </row>
    <row r="65">
      <c r="F65" s="0">
        <f>'N.03 截止测试'!#REF!</f>
        <v/>
      </c>
      <c r="G65" s="0" t="inlineStr">
        <is>
          <t>6dac5168-7b11-43cf-a281-c691dd1b8b44</t>
        </is>
      </c>
    </row>
    <row r="66">
      <c r="F66" s="0">
        <f>'N.03 截止测试'!#REF!</f>
        <v/>
      </c>
      <c r="G66" s="0" t="inlineStr">
        <is>
          <t>3f8cafd9-360f-4a34-bf6c-121509c03887</t>
        </is>
      </c>
    </row>
    <row r="67">
      <c r="F67" s="0">
        <f>'N.03 截止测试'!#REF!</f>
        <v/>
      </c>
      <c r="G67" s="0" t="inlineStr">
        <is>
          <t>2b145555-bd79-47b3-856b-259185c383b0</t>
        </is>
      </c>
    </row>
    <row r="68">
      <c r="F68" s="0">
        <f>'N.03 截止测试'!#REF!</f>
        <v/>
      </c>
      <c r="G68" s="0" t="inlineStr">
        <is>
          <t>3a7d64c9-f994-4354-b225-7503e738bbb0</t>
        </is>
      </c>
    </row>
    <row r="69">
      <c r="F69" s="0">
        <f>'N.03 截止测试'!#REF!</f>
        <v/>
      </c>
      <c r="G69" s="0" t="inlineStr">
        <is>
          <t>5683dff8-3224-41af-89a5-5118db40f95f</t>
        </is>
      </c>
    </row>
    <row r="70">
      <c r="F70" s="0">
        <f>'N.03 截止测试'!#REF!</f>
        <v/>
      </c>
      <c r="G70" s="0" t="inlineStr">
        <is>
          <t>922e077f-92f9-4f4f-93ac-8a5689fc02e7</t>
        </is>
      </c>
    </row>
    <row r="71">
      <c r="F71" s="0">
        <f>'N.03 截止测试'!#REF!</f>
        <v/>
      </c>
      <c r="G71" s="0" t="inlineStr">
        <is>
          <t>ead358eb-a4c9-4e01-a638-03513e38a2b5</t>
        </is>
      </c>
    </row>
    <row r="72">
      <c r="F72" s="0">
        <f>'N.03 截止测试'!#REF!</f>
        <v/>
      </c>
      <c r="G72" s="0" t="inlineStr">
        <is>
          <t>bbd0705c-b00c-40ce-9065-119b84dd71be</t>
        </is>
      </c>
    </row>
    <row r="73">
      <c r="F73" s="0">
        <f>'N.03 截止测试'!#REF!</f>
        <v/>
      </c>
      <c r="G73" s="0" t="inlineStr">
        <is>
          <t>5c30ae2d-6d41-4ff8-a411-5f897ce61216</t>
        </is>
      </c>
    </row>
    <row r="74">
      <c r="F74" s="0">
        <f>'N.03 截止测试'!#REF!</f>
        <v/>
      </c>
      <c r="G74" s="0" t="inlineStr">
        <is>
          <t>c7c9a683-e94f-40fb-9572-0dd3dc50115d</t>
        </is>
      </c>
    </row>
    <row r="75">
      <c r="F75" s="0">
        <f>'N.03 截止测试'!#REF!</f>
        <v/>
      </c>
      <c r="G75" s="0" t="inlineStr">
        <is>
          <t>3af9b26d-d651-4ee2-8874-8f2890688466</t>
        </is>
      </c>
    </row>
    <row r="76">
      <c r="F76" s="0">
        <f>'N.03 截止测试'!#REF!</f>
        <v/>
      </c>
      <c r="G76" s="0" t="inlineStr">
        <is>
          <t>b3fd2119-e7f3-4c28-99f2-486a798d345a</t>
        </is>
      </c>
    </row>
    <row r="77">
      <c r="F77" s="0">
        <f>'N.03 截止测试'!#REF!</f>
        <v/>
      </c>
      <c r="G77" s="0" t="inlineStr">
        <is>
          <t>0e003c5b-4188-463b-86f8-0690cf0046be</t>
        </is>
      </c>
    </row>
    <row r="78">
      <c r="F78" s="0">
        <f>'N.03 截止测试'!#REF!</f>
        <v/>
      </c>
      <c r="G78" s="0" t="inlineStr">
        <is>
          <t>a700e625-bc68-41da-ba2a-126ace1f25a8</t>
        </is>
      </c>
    </row>
    <row r="79">
      <c r="F79" s="0">
        <f>'N.03 截止测试'!#REF!</f>
        <v/>
      </c>
      <c r="G79" s="0" t="inlineStr">
        <is>
          <t>d5361656-61c6-49cb-9b7b-6c0d3a8bb1ad</t>
        </is>
      </c>
    </row>
    <row r="80">
      <c r="F80" s="0">
        <f>'N.03 截止测试'!#REF!</f>
        <v/>
      </c>
      <c r="G80" s="0" t="inlineStr">
        <is>
          <t>f0a1fe97-7dfa-4c80-9f52-903af60dbd35</t>
        </is>
      </c>
    </row>
    <row r="81">
      <c r="F81" s="0">
        <f>#REF!</f>
        <v/>
      </c>
      <c r="G81" s="0" t="inlineStr">
        <is>
          <t>79325a34-d3dc-45f4-b760-86d0a32c8362</t>
        </is>
      </c>
    </row>
    <row r="82">
      <c r="F82" s="0">
        <f>'N.03 截止测试'!#REF!</f>
        <v/>
      </c>
      <c r="G82" s="0" t="inlineStr">
        <is>
          <t>11be7677-adc9-4c5f-8af6-c4f076353d07</t>
        </is>
      </c>
    </row>
    <row r="93">
      <c r="F93" s="0">
        <f>'N.00 Lead sheet'!#REF!</f>
        <v/>
      </c>
      <c r="G93" s="0" t="inlineStr">
        <is>
          <t>a8b58c94-90d7-4151-8c57-b0a0967486af</t>
        </is>
      </c>
    </row>
    <row r="94">
      <c r="F94" s="0">
        <f>'N.00 Lead sheet'!#REF!</f>
        <v/>
      </c>
      <c r="G94" s="0" t="inlineStr">
        <is>
          <t>82ce88dd-6a81-4332-bc06-8e54af5df5b0</t>
        </is>
      </c>
    </row>
    <row r="95">
      <c r="F95" s="0">
        <f>'N.00 Lead sheet'!#REF!</f>
        <v/>
      </c>
      <c r="G95" s="0" t="inlineStr">
        <is>
          <t>d8095dab-7f4c-4fe2-b664-7afb72f59298</t>
        </is>
      </c>
    </row>
    <row r="96">
      <c r="F96" s="0">
        <f>'N.00 Lead sheet'!#REF!</f>
        <v/>
      </c>
      <c r="G96" s="0" t="inlineStr">
        <is>
          <t>02c11b5a-74b7-48fb-9c42-a65c5c295b27</t>
        </is>
      </c>
    </row>
    <row r="97">
      <c r="F97" s="0">
        <f>'N.00 Lead sheet'!#REF!</f>
        <v/>
      </c>
      <c r="G97" s="0" t="inlineStr">
        <is>
          <t>4755e4f9-4374-4bed-a644-22c547cfecb0</t>
        </is>
      </c>
    </row>
    <row r="98">
      <c r="F98" s="0">
        <f>'N.00 Lead sheet'!#REF!</f>
        <v/>
      </c>
      <c r="G98" s="0" t="inlineStr">
        <is>
          <t>e3f4373d-e874-467d-b378-40e6f5c59aeb</t>
        </is>
      </c>
    </row>
    <row r="99">
      <c r="F99" s="0">
        <f>'N.00 Lead sheet'!#REF!</f>
        <v/>
      </c>
      <c r="G99" s="0" t="inlineStr">
        <is>
          <t>2bfe7a7a-63fa-4a68-937a-345381c69512</t>
        </is>
      </c>
    </row>
    <row r="100">
      <c r="F100" s="0">
        <f>'N.00 Lead sheet'!#REF!</f>
        <v/>
      </c>
      <c r="G100" s="0" t="inlineStr">
        <is>
          <t>93c05a6b-293f-442f-9ad0-41f3846507e2</t>
        </is>
      </c>
    </row>
    <row r="101">
      <c r="F101" s="0">
        <f>'N.00 Lead sheet'!#REF!</f>
        <v/>
      </c>
      <c r="G101" s="0" t="inlineStr">
        <is>
          <t>07290702-d941-425d-8b91-723fedf780a7</t>
        </is>
      </c>
    </row>
    <row r="102">
      <c r="F102" s="0">
        <f>'N.00 Lead sheet'!#REF!</f>
        <v/>
      </c>
      <c r="G102" s="0" t="inlineStr">
        <is>
          <t>b1982b0b-39b0-4f86-8496-bdf572cac346</t>
        </is>
      </c>
    </row>
  </sheetData>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fa3cbc80-6baa-4302-8a87-f7fb63c17ca5</t>
        </is>
      </c>
      <c r="B1" s="0" t="inlineStr">
        <is>
          <t>VZTN83DQ0PNV1SC86TPFW2CC99KYK2XZ14KACGNDYCRQJ22XYD90</t>
        </is>
      </c>
      <c r="C1" s="0" t="inlineStr">
        <is>
          <t>Tony XD Dong</t>
        </is>
      </c>
      <c r="D1" s="0" t="n">
        <v>7</v>
      </c>
      <c r="E1" s="0" t="n">
        <v>1750122331480</v>
      </c>
      <c r="F1" s="0" t="inlineStr">
        <is>
          <t>YG0DNYWJ8NZCWJNY2PCG8613MM6FEXYYHF70GAHMCNX0Q9Y2QFBG</t>
        </is>
      </c>
      <c r="G1" s="0" t="inlineStr">
        <is>
          <t>Danny YF Deng</t>
        </is>
      </c>
      <c r="H1" s="0" t="n">
        <v>0</v>
      </c>
      <c r="I1" s="0" t="n">
        <v>1751610980233</v>
      </c>
      <c r="J1" s="0" t="inlineStr">
        <is>
          <t>K5ZAXJ2E9XP125K3V6VCZ229PXMT9QCYE231BYVH63CK85DC0770</t>
        </is>
      </c>
      <c r="K1" s="0" t="inlineStr">
        <is>
          <t>Margo Bo</t>
        </is>
      </c>
      <c r="L1" s="0" t="n">
        <v>0</v>
      </c>
      <c r="M1" s="0" t="n">
        <v>1752894159861</v>
      </c>
      <c r="N1" s="0" t="inlineStr">
        <is>
          <t>G7KX5FMG1R3QH83GQBFZHN3Z9N294HNAAMSW34CTJT51MC4J8R8G</t>
        </is>
      </c>
      <c r="O1" s="0" t="inlineStr">
        <is>
          <t>Barry B Li</t>
        </is>
      </c>
      <c r="P1" s="0" t="n">
        <v>0</v>
      </c>
      <c r="Q1" s="0" t="n">
        <v>1753064493301</v>
      </c>
      <c r="R1" s="0" t="inlineStr">
        <is>
          <t>Q775XYNM7JGDVAMWSN3NR5KKNQM5NY4YPDM7W5EXVBGM3AB475NG</t>
        </is>
      </c>
      <c r="S1" s="0" t="inlineStr">
        <is>
          <t>Maikey Jin</t>
        </is>
      </c>
      <c r="T1" s="0" t="n">
        <v>0</v>
      </c>
      <c r="U1" s="0" t="n">
        <v>1753670870641</v>
      </c>
      <c r="V1" s="0" t="inlineStr">
        <is>
          <t>NJCBKWVS3J4F3HCA2MJBBCQ6HKD0ZSBEP3AX4S89TK4M9EY3DH60</t>
        </is>
      </c>
      <c r="W1" s="0" t="inlineStr">
        <is>
          <t>Phoebe YH Wang</t>
        </is>
      </c>
      <c r="X1" s="0" t="n">
        <v>0</v>
      </c>
      <c r="Y1" s="0" t="n">
        <v>1753929300694</v>
      </c>
      <c r="Z1" s="0" t="inlineStr">
        <is>
          <t>9QKVRYJWFZ38Q15SSC9F8R37HJH3965E74F5R92CN1PGMMZQECQ0</t>
        </is>
      </c>
      <c r="AA1" s="0" t="inlineStr">
        <is>
          <t>Dan Y Yao</t>
        </is>
      </c>
      <c r="AB1" s="0" t="n">
        <v>0</v>
      </c>
      <c r="AC1" s="0" t="n">
        <v>1754231570087</v>
      </c>
      <c r="AD1" s="0" t="inlineStr">
        <is>
          <t>T5WMV5MGJB59WZ0K302MPWMWM5G98C28W9B39WCZBPJXG5847NB0</t>
        </is>
      </c>
      <c r="AE1" s="0" t="inlineStr">
        <is>
          <t>Grace YT Dai</t>
        </is>
      </c>
      <c r="AF1" s="0" t="n">
        <v>0</v>
      </c>
      <c r="AG1" s="0" t="n">
        <v>1754622215229</v>
      </c>
      <c r="AH1" s="0" t="inlineStr">
        <is>
          <t>MQFDQD6SPH3FMJP2N0PQQ3N4PZ6XNH4T373A7HWSDE5TZ4A7V1DG</t>
        </is>
      </c>
      <c r="AI1" s="0" t="inlineStr">
        <is>
          <t>Zelda Zhang</t>
        </is>
      </c>
      <c r="AJ1" s="0" t="n">
        <v>0</v>
      </c>
      <c r="AK1" s="0" t="n">
        <v>1754908369003</v>
      </c>
      <c r="AL1" s="0" t="inlineStr">
        <is>
          <t>6MHDXJSY0EZ4FTY38FAWS1RBQMJ5SQF0K82YD6H5SGJP9T080D20</t>
        </is>
      </c>
      <c r="AM1" s="0" t="inlineStr">
        <is>
          <t>Esther WY Wang</t>
        </is>
      </c>
      <c r="AN1" s="0" t="n">
        <v>0</v>
      </c>
      <c r="AO1" s="0" t="n">
        <v>1755583113654</v>
      </c>
      <c r="AP1" s="0" t="inlineStr">
        <is>
          <t>ESRXDMFF301213JT3ZH9F7ZDSK4QQHFF3A9ZCB0821P05Y900W90</t>
        </is>
      </c>
      <c r="AQ1" s="0" t="inlineStr">
        <is>
          <t>Alina Ye</t>
        </is>
      </c>
      <c r="AR1" s="0" t="n">
        <v>0</v>
      </c>
      <c r="AS1" s="0" t="n">
        <v>1755843303948</v>
      </c>
      <c r="AT1" s="0" t="inlineStr">
        <is>
          <t>1P2X1MX3XYWCZ8E2MX2Y07YGB3MV287QRPBD8BFP4A63CGJFS7B0</t>
        </is>
      </c>
      <c r="AU1" s="0" t="inlineStr">
        <is>
          <t>Evelyn Z Zhao</t>
        </is>
      </c>
      <c r="AV1" s="0" t="n">
        <v>0</v>
      </c>
    </row>
    <row r="2">
      <c r="A2" s="0" t="n">
        <v>1748585561355</v>
      </c>
      <c r="B2" s="0" t="inlineStr">
        <is>
          <t>Create</t>
        </is>
      </c>
      <c r="C2" s="0" t="inlineStr">
        <is>
          <t>e7785d87-b682-482e-a159-fe0e639e953f</t>
        </is>
      </c>
      <c r="D2" s="0" t="inlineStr">
        <is>
          <t>{"id":"e7785d87-b682-482e-a159-fe0e639e953f","type":1,"name":"workbookId","value":"c21f929e-0173-4ea4-a1cf-db50a5afa408"}</t>
        </is>
      </c>
    </row>
    <row r="3">
      <c r="A3" s="0" t="n">
        <v>1748585561356</v>
      </c>
      <c r="B3" s="0" t="inlineStr">
        <is>
          <t>Create</t>
        </is>
      </c>
      <c r="C3" s="0" t="inlineStr">
        <is>
          <t>1876fc14-bd5a-44ec-911a-255e9e63e861</t>
        </is>
      </c>
      <c r="D3" s="0" t="inlineStr">
        <is>
          <t>{"id":"1876fc14-bd5a-44ec-911a-255e9e63e861","type":0,"name":"dataSnipperSheetDeleted","value":"false"}</t>
        </is>
      </c>
    </row>
    <row r="4">
      <c r="A4" s="0" t="n">
        <v>1748585561356</v>
      </c>
      <c r="B4" s="0" t="inlineStr">
        <is>
          <t>Create</t>
        </is>
      </c>
      <c r="C4" s="0" t="inlineStr">
        <is>
          <t>a39a968e-c881-4c8e-97b4-ebceef18d2a2</t>
        </is>
      </c>
      <c r="D4" s="0" t="inlineStr">
        <is>
          <t>{"id":"a39a968e-c881-4c8e-97b4-ebceef18d2a2","type":0,"name":"embed-documents","value":"false"}</t>
        </is>
      </c>
    </row>
    <row r="5">
      <c r="A5" s="0" t="n">
        <v>1748585561356</v>
      </c>
      <c r="B5" s="0" t="inlineStr">
        <is>
          <t>Create</t>
        </is>
      </c>
      <c r="C5" s="0" t="inlineStr">
        <is>
          <t>c7d281ae-769b-4ecb-96a6-e3a5ac273429</t>
        </is>
      </c>
      <c r="D5" s="0" t="inlineStr">
        <is>
          <t>{"id":"c7d281ae-769b-4ecb-96a6-e3a5ac273429","type":0,"name":"table-snip-suggestions","value":"true"}</t>
        </is>
      </c>
    </row>
    <row r="6">
      <c r="A6" s="0" t="n">
        <v>1748585561356</v>
      </c>
      <c r="B6" s="0" t="inlineStr">
        <is>
          <t>Create</t>
        </is>
      </c>
      <c r="C6" s="0" t="inlineStr">
        <is>
          <t>c4ce4c64-519b-4c7d-a240-ff0aa00e17bd</t>
        </is>
      </c>
      <c r="D6" s="0" t="inlineStr">
        <is>
          <t>{"id":"c4ce4c64-519b-4c7d-a240-ff0aa00e17bd","type":1,"name":"migratedFssProjectId","value":""}</t>
        </is>
      </c>
    </row>
    <row r="7">
      <c r="A7" s="0" t="n">
        <v>1748585561364</v>
      </c>
      <c r="B7" s="0" t="inlineStr">
        <is>
          <t>Create</t>
        </is>
      </c>
      <c r="C7" s="0" t="inlineStr">
        <is>
          <t>e7785d87-b682-482e-a159-fe0e639e953f</t>
        </is>
      </c>
      <c r="D7" s="0" t="inlineStr">
        <is>
          <t>{"id":"e7785d87-b682-482e-a159-fe0e639e953f","type":1,"name":"workbookId","value":"2467d5f5-7552-4c0e-859f-558468e903dc"}</t>
        </is>
      </c>
    </row>
    <row r="8">
      <c r="A8" s="0" t="n">
        <v>1748585561365</v>
      </c>
      <c r="B8" s="0" t="inlineStr">
        <is>
          <t>Create</t>
        </is>
      </c>
      <c r="C8" s="0" t="inlineStr">
        <is>
          <t>a39a968e-c881-4c8e-97b4-ebceef18d2a2</t>
        </is>
      </c>
      <c r="D8" s="0" t="inlineStr">
        <is>
          <t>{"id":"a39a968e-c881-4c8e-97b4-ebceef18d2a2","type":0,"name":"embed-documents","value":"true"}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ffd713b1-9af1-48a2-8863-2da7898409aa</t>
        </is>
      </c>
      <c r="B1" s="0" t="inlineStr">
        <is>
          <t>VZTN83DQ0PNV1SC86TPFW2CC99KYK2XZ14KACGNDYCRQJ22XYD90</t>
        </is>
      </c>
      <c r="C1" s="0" t="inlineStr">
        <is>
          <t>Tony XD Dong</t>
        </is>
      </c>
      <c r="D1" s="0" t="n">
        <v>0</v>
      </c>
      <c r="E1" s="0" t="n">
        <v>1750122332471</v>
      </c>
      <c r="F1" s="0" t="inlineStr">
        <is>
          <t>YG0DNYWJ8NZCWJNY2PCG8613MM6FEXYYHF70GAHMCNX0Q9Y2QFBG</t>
        </is>
      </c>
      <c r="G1" s="0" t="inlineStr">
        <is>
          <t>Danny YF Deng</t>
        </is>
      </c>
      <c r="H1" s="0" t="n">
        <v>0</v>
      </c>
      <c r="I1" s="0" t="n">
        <v>1751610980273</v>
      </c>
      <c r="J1" s="0" t="inlineStr">
        <is>
          <t>K5ZAXJ2E9XP125K3V6VCZ229PXMT9QCYE231BYVH63CK85DC0770</t>
        </is>
      </c>
      <c r="K1" s="0" t="inlineStr">
        <is>
          <t>Margo Bo</t>
        </is>
      </c>
      <c r="L1" s="0" t="n">
        <v>0</v>
      </c>
      <c r="M1" s="0" t="n">
        <v>1752894160249</v>
      </c>
      <c r="N1" s="0" t="inlineStr">
        <is>
          <t>G7KX5FMG1R3QH83GQBFZHN3Z9N294HNAAMSW34CTJT51MC4J8R8G</t>
        </is>
      </c>
      <c r="O1" s="0" t="inlineStr">
        <is>
          <t>Barry B Li</t>
        </is>
      </c>
      <c r="P1" s="0" t="n">
        <v>0</v>
      </c>
      <c r="Q1" s="0" t="n">
        <v>1753064494156</v>
      </c>
      <c r="R1" s="0" t="inlineStr">
        <is>
          <t>Q775XYNM7JGDVAMWSN3NR5KKNQM5NY4YPDM7W5EXVBGM3AB475NG</t>
        </is>
      </c>
      <c r="S1" s="0" t="inlineStr">
        <is>
          <t>Maikey Jin</t>
        </is>
      </c>
      <c r="T1" s="0" t="n">
        <v>0</v>
      </c>
      <c r="U1" s="0" t="n">
        <v>1753670870723</v>
      </c>
      <c r="V1" s="0" t="inlineStr">
        <is>
          <t>NJCBKWVS3J4F3HCA2MJBBCQ6HKD0ZSBEP3AX4S89TK4M9EY3DH60</t>
        </is>
      </c>
      <c r="W1" s="0" t="inlineStr">
        <is>
          <t>Phoebe YH Wang</t>
        </is>
      </c>
      <c r="X1" s="0" t="n">
        <v>0</v>
      </c>
      <c r="Y1" s="0" t="n">
        <v>1753929300761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1754622215241</v>
      </c>
      <c r="AH1" s="0" t="inlineStr">
        <is>
          <t>MQFDQD6SPH3FMJP2N0PQQ3N4PZ6XNH4T373A7HWSDE5TZ4A7V1DG</t>
        </is>
      </c>
      <c r="AI1" s="0" t="inlineStr">
        <is>
          <t>Zelda Zhang</t>
        </is>
      </c>
      <c r="AJ1" s="0" t="n">
        <v>0</v>
      </c>
      <c r="AK1" s="0" t="n">
        <v>1754908369170</v>
      </c>
      <c r="AL1" s="0" t="inlineStr">
        <is>
          <t>6MHDXJSY0EZ4FTY38FAWS1RBQMJ5SQF0K82YD6H5SGJP9T080D20</t>
        </is>
      </c>
      <c r="AM1" s="0" t="inlineStr">
        <is>
          <t>Esther WY Wang</t>
        </is>
      </c>
      <c r="AN1" s="0" t="n">
        <v>0</v>
      </c>
      <c r="AO1" s="0" t="n">
        <v>1755583113685</v>
      </c>
      <c r="AP1" s="0" t="inlineStr">
        <is>
          <t>ESRXDMFF301213JT3ZH9F7ZDSK4QQHFF3A9ZCB0821P05Y900W90</t>
        </is>
      </c>
      <c r="AQ1" s="0" t="inlineStr">
        <is>
          <t>Alina Ye</t>
        </is>
      </c>
      <c r="AR1" s="0" t="n">
        <v>0</v>
      </c>
      <c r="AS1" s="0" t="n">
        <v>1755843304072</v>
      </c>
      <c r="AT1" s="0" t="inlineStr">
        <is>
          <t>1P2X1MX3XYWCZ8E2MX2Y07YGB3MV287QRPBD8BFP4A63CGJFS7B0</t>
        </is>
      </c>
      <c r="AU1" s="0" t="inlineStr">
        <is>
          <t>Evelyn Z Zhao</t>
        </is>
      </c>
      <c r="AV1" s="0" t="n">
        <v>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274beda0-5518-436e-b3b2-259f5e17eca4</t>
        </is>
      </c>
      <c r="B1" s="0" t="inlineStr">
        <is>
          <t>VZTN83DQ0PNV1SC86TPFW2CC99KYK2XZ14KACGNDYCRQJ22XYD90</t>
        </is>
      </c>
      <c r="C1" s="0" t="inlineStr">
        <is>
          <t>Tony XD Dong</t>
        </is>
      </c>
      <c r="D1" s="0" t="n">
        <v>0</v>
      </c>
      <c r="E1" s="0" t="n">
        <v>1750122332538</v>
      </c>
      <c r="F1" s="0" t="inlineStr">
        <is>
          <t>YG0DNYWJ8NZCWJNY2PCG8613MM6FEXYYHF70GAHMCNX0Q9Y2QFBG</t>
        </is>
      </c>
      <c r="G1" s="0" t="inlineStr">
        <is>
          <t>Danny YF Deng</t>
        </is>
      </c>
      <c r="H1" s="0" t="n">
        <v>0</v>
      </c>
      <c r="I1" s="0" t="n">
        <v>1751610980289</v>
      </c>
      <c r="J1" s="0" t="inlineStr">
        <is>
          <t>K5ZAXJ2E9XP125K3V6VCZ229PXMT9QCYE231BYVH63CK85DC0770</t>
        </is>
      </c>
      <c r="K1" s="0" t="inlineStr">
        <is>
          <t>Margo Bo</t>
        </is>
      </c>
      <c r="L1" s="0" t="n">
        <v>0</v>
      </c>
      <c r="M1" s="0" t="n">
        <v>1752894160287</v>
      </c>
      <c r="N1" s="0" t="inlineStr">
        <is>
          <t>G7KX5FMG1R3QH83GQBFZHN3Z9N294HNAAMSW34CTJT51MC4J8R8G</t>
        </is>
      </c>
      <c r="O1" s="0" t="inlineStr">
        <is>
          <t>Barry B Li</t>
        </is>
      </c>
      <c r="P1" s="0" t="n">
        <v>0</v>
      </c>
      <c r="Q1" s="0" t="n">
        <v>1753064494161</v>
      </c>
      <c r="R1" s="0" t="inlineStr">
        <is>
          <t>Q775XYNM7JGDVAMWSN3NR5KKNQM5NY4YPDM7W5EXVBGM3AB475NG</t>
        </is>
      </c>
      <c r="S1" s="0" t="inlineStr">
        <is>
          <t>Maikey Jin</t>
        </is>
      </c>
      <c r="T1" s="0" t="n">
        <v>0</v>
      </c>
      <c r="U1" s="0" t="n">
        <v>1753670871023</v>
      </c>
      <c r="V1" s="0" t="inlineStr">
        <is>
          <t>NJCBKWVS3J4F3HCA2MJBBCQ6HKD0ZSBEP3AX4S89TK4M9EY3DH60</t>
        </is>
      </c>
      <c r="W1" s="0" t="inlineStr">
        <is>
          <t>Phoebe YH Wang</t>
        </is>
      </c>
      <c r="X1" s="0" t="n">
        <v>0</v>
      </c>
      <c r="Y1" s="0" t="n">
        <v>1753929300911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1754622215247</v>
      </c>
      <c r="AH1" s="0" t="inlineStr">
        <is>
          <t>MQFDQD6SPH3FMJP2N0PQQ3N4PZ6XNH4T373A7HWSDE5TZ4A7V1DG</t>
        </is>
      </c>
      <c r="AI1" s="0" t="inlineStr">
        <is>
          <t>Zelda Zhang</t>
        </is>
      </c>
      <c r="AJ1" s="0" t="n">
        <v>0</v>
      </c>
      <c r="AK1" s="0" t="n">
        <v>1754908369250</v>
      </c>
      <c r="AL1" s="0" t="inlineStr">
        <is>
          <t>6MHDXJSY0EZ4FTY38FAWS1RBQMJ5SQF0K82YD6H5SGJP9T080D20</t>
        </is>
      </c>
      <c r="AM1" s="0" t="inlineStr">
        <is>
          <t>Esther WY Wang</t>
        </is>
      </c>
      <c r="AN1" s="0" t="n">
        <v>0</v>
      </c>
      <c r="AO1" s="0" t="n">
        <v>1755583113715</v>
      </c>
      <c r="AP1" s="0" t="inlineStr">
        <is>
          <t>ESRXDMFF301213JT3ZH9F7ZDSK4QQHFF3A9ZCB0821P05Y900W90</t>
        </is>
      </c>
      <c r="AQ1" s="0" t="inlineStr">
        <is>
          <t>Alina Ye</t>
        </is>
      </c>
      <c r="AR1" s="0" t="n">
        <v>0</v>
      </c>
      <c r="AS1" s="0" t="n">
        <v>1755843304383</v>
      </c>
      <c r="AT1" s="0" t="inlineStr">
        <is>
          <t>1P2X1MX3XYWCZ8E2MX2Y07YGB3MV287QRPBD8BFP4A63CGJFS7B0</t>
        </is>
      </c>
      <c r="AU1" s="0" t="inlineStr">
        <is>
          <t>Evelyn Z Zhao</t>
        </is>
      </c>
      <c r="AV1" s="0" t="n">
        <v>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e329b5f6-2a62-4d23-9056-a1799579c52e</t>
        </is>
      </c>
      <c r="B1" s="0" t="inlineStr">
        <is>
          <t>VZTN83DQ0PNV1SC86TPFW2CC99KYK2XZ14KACGNDYCRQJ22XYD90</t>
        </is>
      </c>
      <c r="C1" s="0" t="inlineStr">
        <is>
          <t>Tony XD Dong</t>
        </is>
      </c>
      <c r="D1" s="0" t="n">
        <v>0</v>
      </c>
      <c r="E1" s="0" t="n">
        <v>1750122332595</v>
      </c>
      <c r="F1" s="0" t="inlineStr">
        <is>
          <t>YG0DNYWJ8NZCWJNY2PCG8613MM6FEXYYHF70GAHMCNX0Q9Y2QFBG</t>
        </is>
      </c>
      <c r="G1" s="0" t="inlineStr">
        <is>
          <t>Danny YF Deng</t>
        </is>
      </c>
      <c r="H1" s="0" t="n">
        <v>0</v>
      </c>
      <c r="I1" s="0" t="n">
        <v>1751610980319</v>
      </c>
      <c r="J1" s="0" t="inlineStr">
        <is>
          <t>K5ZAXJ2E9XP125K3V6VCZ229PXMT9QCYE231BYVH63CK85DC0770</t>
        </is>
      </c>
      <c r="K1" s="0" t="inlineStr">
        <is>
          <t>Margo Bo</t>
        </is>
      </c>
      <c r="L1" s="0" t="n">
        <v>0</v>
      </c>
      <c r="M1" s="0" t="n">
        <v>1752894160338</v>
      </c>
      <c r="N1" s="0" t="inlineStr">
        <is>
          <t>G7KX5FMG1R3QH83GQBFZHN3Z9N294HNAAMSW34CTJT51MC4J8R8G</t>
        </is>
      </c>
      <c r="O1" s="0" t="inlineStr">
        <is>
          <t>Barry B Li</t>
        </is>
      </c>
      <c r="P1" s="0" t="n">
        <v>0</v>
      </c>
      <c r="Q1" s="0" t="n">
        <v>1753064494176</v>
      </c>
      <c r="R1" s="0" t="inlineStr">
        <is>
          <t>Q775XYNM7JGDVAMWSN3NR5KKNQM5NY4YPDM7W5EXVBGM3AB475NG</t>
        </is>
      </c>
      <c r="S1" s="0" t="inlineStr">
        <is>
          <t>Maikey Jin</t>
        </is>
      </c>
      <c r="T1" s="0" t="n">
        <v>0</v>
      </c>
      <c r="U1" s="0" t="n">
        <v>1753670871031</v>
      </c>
      <c r="V1" s="0" t="inlineStr">
        <is>
          <t>NJCBKWVS3J4F3HCA2MJBBCQ6HKD0ZSBEP3AX4S89TK4M9EY3DH60</t>
        </is>
      </c>
      <c r="W1" s="0" t="inlineStr">
        <is>
          <t>Phoebe YH Wang</t>
        </is>
      </c>
      <c r="X1" s="0" t="n">
        <v>0</v>
      </c>
      <c r="Y1" s="0" t="n">
        <v>1753929300911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1754622215250</v>
      </c>
      <c r="AH1" s="0" t="inlineStr">
        <is>
          <t>MQFDQD6SPH3FMJP2N0PQQ3N4PZ6XNH4T373A7HWSDE5TZ4A7V1DG</t>
        </is>
      </c>
      <c r="AI1" s="0" t="inlineStr">
        <is>
          <t>Zelda Zhang</t>
        </is>
      </c>
      <c r="AJ1" s="0" t="n">
        <v>0</v>
      </c>
      <c r="AK1" s="0" t="n">
        <v>1754908369338</v>
      </c>
      <c r="AL1" s="0" t="inlineStr">
        <is>
          <t>6MHDXJSY0EZ4FTY38FAWS1RBQMJ5SQF0K82YD6H5SGJP9T080D20</t>
        </is>
      </c>
      <c r="AM1" s="0" t="inlineStr">
        <is>
          <t>Esther WY Wang</t>
        </is>
      </c>
      <c r="AN1" s="0" t="n">
        <v>0</v>
      </c>
      <c r="AO1" s="0" t="n">
        <v>1755583113752</v>
      </c>
      <c r="AP1" s="0" t="inlineStr">
        <is>
          <t>ESRXDMFF301213JT3ZH9F7ZDSK4QQHFF3A9ZCB0821P05Y900W90</t>
        </is>
      </c>
      <c r="AQ1" s="0" t="inlineStr">
        <is>
          <t>Alina Ye</t>
        </is>
      </c>
      <c r="AR1" s="0" t="n">
        <v>0</v>
      </c>
      <c r="AS1" s="0" t="n">
        <v>1755843304394</v>
      </c>
      <c r="AT1" s="0" t="inlineStr">
        <is>
          <t>1P2X1MX3XYWCZ8E2MX2Y07YGB3MV287QRPBD8BFP4A63CGJFS7B0</t>
        </is>
      </c>
      <c r="AU1" s="0" t="inlineStr">
        <is>
          <t>Evelyn Z Zhao</t>
        </is>
      </c>
      <c r="AV1" s="0"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Helen HL Qiao</dc:creator>
  <dc:title>Skywind_N_应付账款_20191231_测试账套穿透模板1.xlsx</dc:title>
  <dc:description>10124938-818F-4C5F-A38C-5EC3345A3A16</dc:description>
  <dcterms:created xsi:type="dcterms:W3CDTF">2019-08-16T09:12:00Z</dcterms:created>
  <dcterms:modified xsi:type="dcterms:W3CDTF">2026-05-26T09:40:12Z</dcterms:modified>
  <cp:lastModifiedBy>Dan Y Yao</cp:lastModifiedBy>
  <cp:keywords>Final Audit.V6.N.0901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DAB51CA01B73440982348705B3F4B6B0</vt:lpwstr>
  </property>
  <property name="KSOProductBuildVer" fmtid="{D5CDD505-2E9C-101B-9397-08002B2CF9AE}" pid="4">
    <vt:lpwstr>2052-11.1.0.12358</vt:lpwstr>
  </property>
</Properties>
</file>
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40">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 numFmtId="203" formatCode="yyyy/mm/dd"/>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7">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203" fontId="49" fillId="55" borderId="26" applyAlignment="1" applyProtection="1" pivotButton="0" quotePrefix="0" xfId="573">
      <alignment horizontal="right" vertical="center"/>
      <protection locked="0" hidden="0"/>
    </xf>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203" fontId="18" fillId="64" borderId="100" applyAlignment="1" pivotButton="0" quotePrefix="0" xfId="0">
      <alignment horizontal="center" vertical="center"/>
    </xf>
    <xf numFmtId="0" fontId="0" fillId="0" borderId="102" pivotButton="0" quotePrefix="0" xfId="0"/>
    <xf numFmtId="203" fontId="18" fillId="64" borderId="61" applyAlignment="1" pivotButton="0" quotePrefix="0" xfId="0">
      <alignment horizontal="center" vertical="center"/>
    </xf>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203" fontId="209" fillId="0" borderId="0" applyAlignment="1" applyProtection="1" pivotButton="0" quotePrefix="0" xfId="1053">
      <alignment horizontal="left" vertical="center"/>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东风鸿远工程咨询有限公司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725" t="n">
        <v>46387</v>
      </c>
      <c r="D3" s="726" t="n"/>
      <c r="O3" s="727" t="n"/>
      <c r="Q3" s="123" t="n"/>
    </row>
    <row r="4" ht="21.75" customFormat="1" customHeight="1" s="48">
      <c r="B4" s="305" t="inlineStr">
        <is>
          <t>分析日期</t>
        </is>
      </c>
      <c r="C4" s="725" t="n">
        <v>46168.73617920782</v>
      </c>
      <c r="D4" s="726" t="n"/>
      <c r="O4" s="727" t="n"/>
      <c r="Q4" s="123" t="n"/>
    </row>
    <row r="5" ht="21.75" customFormat="1" customHeight="1" s="48">
      <c r="B5" s="305" t="inlineStr">
        <is>
          <t>可容忍误差（TE）</t>
        </is>
      </c>
      <c r="C5" s="728" t="n"/>
      <c r="D5" s="726" t="n"/>
      <c r="O5" s="727" t="n"/>
      <c r="Q5" s="123" t="n"/>
    </row>
    <row r="6" ht="21.75" customFormat="1" customHeight="1" s="48">
      <c r="B6" s="305" t="inlineStr">
        <is>
          <t>名义金额（SAD）</t>
        </is>
      </c>
      <c r="C6" s="728" t="n"/>
      <c r="D6" s="726" t="n"/>
      <c r="O6" s="727" t="n"/>
      <c r="Q6" s="123" t="n"/>
    </row>
    <row r="7" ht="21.75" customFormat="1" customHeight="1" s="48">
      <c r="B7" s="363" t="inlineStr">
        <is>
          <t>适用会计准则（GAAP）</t>
        </is>
      </c>
      <c r="C7" s="307" t="inlineStr">
        <is>
          <t>PRC</t>
        </is>
      </c>
      <c r="D7" s="726" t="n"/>
      <c r="O7" s="727" t="n"/>
      <c r="Q7" s="123" t="n"/>
    </row>
    <row r="8" ht="21.75" customFormat="1" customHeight="1" s="48">
      <c r="B8" s="305" t="inlineStr">
        <is>
          <t>记账本位币</t>
        </is>
      </c>
      <c r="C8" s="365" t="inlineStr">
        <is>
          <t>CNY</t>
        </is>
      </c>
      <c r="D8" s="726" t="n"/>
      <c r="O8" s="727"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n"/>
      <c r="K14" s="197" t="n"/>
      <c r="L14" s="198" t="n"/>
      <c r="Q14" s="123" t="n"/>
    </row>
    <row r="15" ht="15" customFormat="1" customHeight="1" s="48">
      <c r="B15" s="449" t="inlineStr">
        <is>
          <t>完整性（C）</t>
        </is>
      </c>
      <c r="C15" s="454" t="n"/>
      <c r="D15" s="729">
        <f>IF(C15="Minimal",$C$5*100%,IF(C15="Low",$C$5*75%,IF(C15="Moderate",$C$5*50%,IF(C15="High",$C$5*25%,IF(C15="N/A","-",)))))</f>
        <v/>
      </c>
      <c r="E15" s="730">
        <f>MIN($D$15:$D$19)</f>
        <v/>
      </c>
      <c r="H15" s="455" t="inlineStr">
        <is>
          <t>PY</t>
        </is>
      </c>
      <c r="I15" s="250" t="inlineStr">
        <is>
          <t>与上年最终审定数核对一致</t>
        </is>
      </c>
      <c r="J15" s="100" t="n"/>
      <c r="K15" s="251" t="n"/>
      <c r="L15" s="252" t="n"/>
      <c r="Q15" s="123" t="n"/>
    </row>
    <row r="16" ht="15" customFormat="1" customHeight="1" s="48">
      <c r="B16" s="442" t="inlineStr">
        <is>
          <t>存在性/发生 (E/O)</t>
        </is>
      </c>
      <c r="C16" s="454" t="n"/>
      <c r="D16" s="731">
        <f>IF(C16="Minimal",$C$5*100%,IF(C16="Low",$C$5*75%,IF(C16="Moderate",$C$5*50%,IF(C16="High",$C$5*25%,IF(C16="N/A","-",)))))</f>
        <v/>
      </c>
      <c r="E16" s="732" t="n"/>
      <c r="H16" s="453" t="inlineStr">
        <is>
          <t>A3</t>
        </is>
      </c>
      <c r="I16" s="253" t="inlineStr">
        <is>
          <t>与未审数、审定数核对一致</t>
        </is>
      </c>
      <c r="J16" s="199" t="n"/>
      <c r="K16" s="251" t="n"/>
      <c r="L16" s="252" t="n"/>
      <c r="Q16" s="123" t="n"/>
    </row>
    <row r="17" ht="15" customFormat="1" customHeight="1" s="48">
      <c r="B17" s="449" t="inlineStr">
        <is>
          <t>计价/计量（V/M）</t>
        </is>
      </c>
      <c r="C17" s="454" t="n"/>
      <c r="D17" s="731">
        <f>IF(C17="Minimal",$C$5*100%,IF(C17="Low",$C$5*75%,IF(C17="Moderate",$C$5*50%,IF(C17="High",$C$5*25%,IF(C17="N/A","-",)))))</f>
        <v/>
      </c>
      <c r="E17" s="732" t="n"/>
      <c r="H17" s="453" t="inlineStr">
        <is>
          <t>A5</t>
        </is>
      </c>
      <c r="I17" s="253" t="inlineStr">
        <is>
          <t>与审计调整核对一致</t>
        </is>
      </c>
      <c r="J17" s="200" t="n"/>
      <c r="K17" s="251" t="n"/>
      <c r="L17" s="252" t="n"/>
      <c r="Q17" s="123" t="n"/>
    </row>
    <row r="18" ht="15" customFormat="1" customHeight="1" s="48">
      <c r="B18" s="449" t="inlineStr">
        <is>
          <t>权利和义务（R&amp;O）</t>
        </is>
      </c>
      <c r="C18" s="454" t="n"/>
      <c r="D18" s="731">
        <f>IF(C18="Minimal",$C$5*100%,IF(C18="Low",$C$5*75%,IF(C18="Moderate",$C$5*50%,IF(C18="High",$C$5*25%,IF(C18="N/A","-",)))))</f>
        <v/>
      </c>
      <c r="E18" s="732" t="n"/>
      <c r="H18" s="453" t="inlineStr">
        <is>
          <t>FS</t>
        </is>
      </c>
      <c r="I18" s="250" t="inlineStr">
        <is>
          <t>与FS.0x与财务报表核对无误</t>
        </is>
      </c>
      <c r="J18" s="197" t="n"/>
      <c r="K18" s="251" t="n"/>
      <c r="L18" s="252" t="n"/>
      <c r="Q18" s="123" t="n"/>
    </row>
    <row r="19" ht="14.5" customFormat="1" customHeight="1" s="48">
      <c r="B19" s="456" t="inlineStr">
        <is>
          <t>列报和披露（P&amp;D）</t>
        </is>
      </c>
      <c r="C19" s="454" t="n"/>
      <c r="D19" s="731">
        <f>IF(C19="Minimal",$C$5*100%,IF(C19="Low",$C$5*75%,IF(C19="Moderate",$C$5*50%,IF(C19="High",$C$5*25%,IF(C19="N/A","-",)))))</f>
        <v/>
      </c>
      <c r="E19" s="733" t="n"/>
      <c r="H19" s="457" t="inlineStr">
        <is>
          <t>w</t>
        </is>
      </c>
      <c r="I19" s="250" t="inlineStr">
        <is>
          <t>低于SAD的金额——放弃进一步调查</t>
        </is>
      </c>
      <c r="J19" s="251" t="n"/>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n"/>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n"/>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n"/>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4" t="n"/>
      <c r="E27" s="734" t="n"/>
      <c r="F27" s="735" t="n"/>
      <c r="Q27" s="123" t="n"/>
    </row>
    <row r="28" ht="14.5" customFormat="1" customHeight="1" s="48">
      <c r="B28" s="459" t="inlineStr">
        <is>
          <t>新增</t>
        </is>
      </c>
      <c r="C28" s="601" t="n"/>
      <c r="D28" s="734" t="n"/>
      <c r="E28" s="734" t="n"/>
      <c r="F28" s="735" t="n"/>
      <c r="Q28" s="123" t="n"/>
    </row>
    <row r="29" ht="14.5" customFormat="1" customHeight="1" s="48">
      <c r="B29" s="459" t="inlineStr">
        <is>
          <t>减少</t>
        </is>
      </c>
      <c r="C29" s="601" t="n"/>
      <c r="D29" s="734" t="n"/>
      <c r="E29" s="734" t="n"/>
      <c r="F29" s="735" t="n"/>
      <c r="Q29" s="123" t="n"/>
    </row>
    <row r="30" ht="14.5" customFormat="1" customHeight="1" s="48">
      <c r="B30" s="459" t="inlineStr">
        <is>
          <t>在建工程转入（如适用）</t>
        </is>
      </c>
      <c r="C30" s="601" t="n"/>
      <c r="D30" s="734" t="n"/>
      <c r="E30" s="734" t="n"/>
      <c r="F30" s="735" t="n"/>
      <c r="Q30" s="123" t="n"/>
    </row>
    <row r="31" ht="14.5" customFormat="1" customHeight="1" s="48">
      <c r="B31" s="460" t="inlineStr">
        <is>
          <t>转让、外汇和其他调整</t>
        </is>
      </c>
      <c r="C31" s="601" t="n"/>
      <c r="D31" s="734" t="n"/>
      <c r="E31" s="734" t="n"/>
      <c r="F31" s="735" t="n"/>
      <c r="Q31" s="123" t="n"/>
    </row>
    <row r="32" ht="14.5" customFormat="1" customHeight="1" s="48">
      <c r="B32" s="459" t="inlineStr">
        <is>
          <t>折旧方法</t>
        </is>
      </c>
      <c r="C32" s="601" t="n"/>
      <c r="D32" s="734" t="n"/>
      <c r="E32" s="734" t="n"/>
      <c r="F32" s="735" t="n"/>
      <c r="Q32" s="123" t="n"/>
    </row>
    <row r="33" ht="14.5" customFormat="1" customHeight="1" s="48">
      <c r="B33" s="459" t="inlineStr">
        <is>
          <t>折旧费用</t>
        </is>
      </c>
      <c r="C33" s="601" t="n"/>
      <c r="D33" s="734" t="n"/>
      <c r="E33" s="734" t="n"/>
      <c r="F33" s="735" t="n"/>
      <c r="Q33" s="123" t="n"/>
    </row>
    <row r="34" ht="14.5" customFormat="1" customHeight="1" s="48">
      <c r="B34" s="459" t="inlineStr">
        <is>
          <t>使用寿命变化</t>
        </is>
      </c>
      <c r="C34" s="601" t="n"/>
      <c r="D34" s="734" t="n"/>
      <c r="E34" s="734" t="n"/>
      <c r="F34" s="735"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6" t="n"/>
      <c r="E37" s="74" t="n"/>
      <c r="F37" s="74" t="n"/>
      <c r="G37" s="74" t="n"/>
      <c r="H37" s="74" t="n"/>
      <c r="I37" s="74" t="n"/>
      <c r="J37" s="74" t="n"/>
      <c r="K37" s="74" t="n"/>
      <c r="N37" s="117" t="n"/>
      <c r="Q37" s="123" t="n"/>
    </row>
    <row r="38" ht="15" customFormat="1" customHeight="1" s="48">
      <c r="B38" s="461">
        <f>"波动幅度 ("&amp;C8&amp; "):"</f>
        <v/>
      </c>
      <c r="C38" s="737">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8">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9">
        <f>$C$3</f>
        <v/>
      </c>
      <c r="F47" s="702" t="n"/>
      <c r="G47" s="702" t="n"/>
      <c r="H47" s="702" t="n"/>
      <c r="I47" s="740" t="n"/>
      <c r="J47" s="741">
        <f>DATE(YEAR($C$3)-1,12,31)</f>
        <v/>
      </c>
      <c r="K47" s="742" t="inlineStr">
        <is>
          <t>本期和上期期末余额</t>
        </is>
      </c>
      <c r="L47" s="743" t="n"/>
      <c r="M47" s="359" t="n"/>
      <c r="N47" s="744" t="inlineStr">
        <is>
          <t>基于波动幅度判断，是否进一步调查？</t>
        </is>
      </c>
      <c r="O47" s="744"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上期末审定数</t>
        </is>
      </c>
      <c r="K48" s="465" t="inlineStr">
        <is>
          <t>变动金额</t>
        </is>
      </c>
      <c r="L48" s="464" t="inlineStr">
        <is>
          <t>变动%</t>
        </is>
      </c>
      <c r="M48" s="361" t="inlineStr">
        <is>
          <t>Notes</t>
        </is>
      </c>
      <c r="N48" s="745" t="n"/>
      <c r="O48" s="745" t="n"/>
      <c r="Q48" s="123" t="n"/>
    </row>
    <row r="49" ht="15" customFormat="1" customHeight="1" s="77">
      <c r="A49" s="615" t="n"/>
      <c r="B49" s="516" t="n">
        <v>1501</v>
      </c>
      <c r="C49" s="517" t="inlineStr">
        <is>
          <t>原值</t>
        </is>
      </c>
      <c r="D49" s="520" t="inlineStr">
        <is>
          <t>K.01</t>
        </is>
      </c>
      <c r="E49" s="746">
        <f>'K.01 Agree SL to GL'!Z42</f>
        <v/>
      </c>
      <c r="F49" s="746" t="n"/>
      <c r="G49" s="747">
        <f>E49+F49</f>
        <v/>
      </c>
      <c r="H49" s="746" t="n"/>
      <c r="I49" s="747">
        <f>G49+H49</f>
        <v/>
      </c>
      <c r="J49" s="748" t="n">
        <v>187994737.76</v>
      </c>
      <c r="K49" s="747">
        <f>I49-J49</f>
        <v/>
      </c>
      <c r="L49" s="403">
        <f>IF(J49&lt;&gt;0,K49/J49,1)</f>
        <v/>
      </c>
      <c r="M49" s="521" t="inlineStr">
        <is>
          <t>[A]</t>
        </is>
      </c>
      <c r="N49" s="749">
        <f>IF(AND(ABS(K49)&gt;=$C$38,ABS(L49)&gt;=$C$39),"是","否")</f>
        <v/>
      </c>
      <c r="O49" s="519" t="n"/>
      <c r="Q49" s="125" t="n"/>
    </row>
    <row r="50" ht="15" customFormat="1" customHeight="1" s="48">
      <c r="A50" s="615" t="n"/>
      <c r="B50" s="516" t="n">
        <v>1502</v>
      </c>
      <c r="C50" s="517" t="inlineStr">
        <is>
          <t>累计折旧</t>
        </is>
      </c>
      <c r="D50" s="520" t="inlineStr">
        <is>
          <t>K.01</t>
        </is>
      </c>
      <c r="E50" s="746">
        <f>'K.01 Agree SL to GL'!Z44</f>
        <v/>
      </c>
      <c r="F50" s="746" t="n"/>
      <c r="G50" s="747">
        <f>E50+F50</f>
        <v/>
      </c>
      <c r="H50" s="746" t="n"/>
      <c r="I50" s="747">
        <f>G50+H50</f>
        <v/>
      </c>
      <c r="J50" s="748" t="n">
        <v>86478973.72999999</v>
      </c>
      <c r="K50" s="747">
        <f>I50-J50</f>
        <v/>
      </c>
      <c r="L50" s="403">
        <f>IF(J50&lt;&gt;0,K50/J50,1)</f>
        <v/>
      </c>
      <c r="M50" s="522" t="n"/>
      <c r="N50" s="749">
        <f>IF(AND(ABS(K50)&gt;=$C$38,ABS(L50)&gt;=$C$39),"是","否")</f>
        <v/>
      </c>
      <c r="O50" s="519" t="n"/>
      <c r="Q50" s="123" t="n"/>
    </row>
    <row r="51" ht="15" customFormat="1" customHeight="1" s="48">
      <c r="A51" s="615" t="n"/>
      <c r="B51" s="516" t="n">
        <v>5506</v>
      </c>
      <c r="C51" s="517" t="inlineStr">
        <is>
          <t>减值准备</t>
        </is>
      </c>
      <c r="D51" s="520" t="inlineStr">
        <is>
          <t>K.01</t>
        </is>
      </c>
      <c r="E51" s="746">
        <f>'K.01 Agree SL to GL'!Z46</f>
        <v/>
      </c>
      <c r="F51" s="746" t="n"/>
      <c r="G51" s="747">
        <f>E51+F51</f>
        <v/>
      </c>
      <c r="H51" s="746" t="n"/>
      <c r="I51" s="747">
        <f>G51+H51</f>
        <v/>
      </c>
      <c r="J51" s="748" t="n">
        <v>74035434.53999999</v>
      </c>
      <c r="K51" s="747">
        <f>I51-J51</f>
        <v/>
      </c>
      <c r="L51" s="403">
        <f>IF(J51&lt;&gt;0,K51/J51,1)</f>
        <v/>
      </c>
      <c r="M51" s="522" t="n"/>
      <c r="N51" s="749">
        <f>IF(AND(ABS(K51)&gt;=$C$38,ABS(L51)&gt;=$C$39),"是","否")</f>
        <v/>
      </c>
      <c r="O51" s="519" t="n"/>
      <c r="Q51" s="123" t="n"/>
    </row>
    <row r="52" ht="15" customFormat="1" customHeight="1" s="48">
      <c r="A52" s="615" t="n"/>
      <c r="B52" s="245" t="n"/>
      <c r="C52" s="214" t="n"/>
      <c r="D52" s="63" t="n"/>
      <c r="E52" s="750" t="n"/>
      <c r="F52" s="750" t="n"/>
      <c r="G52" s="751" t="n"/>
      <c r="H52" s="750" t="n"/>
      <c r="I52" s="751" t="n"/>
      <c r="J52" s="752" t="n"/>
      <c r="K52" s="753" t="n"/>
      <c r="L52" s="403" t="n"/>
      <c r="M52" s="124" t="n"/>
      <c r="N52" s="213" t="n"/>
      <c r="O52" s="244" t="n"/>
      <c r="Q52" s="123" t="n"/>
    </row>
    <row r="53" ht="15" customFormat="1" customHeight="1" s="48" thickBot="1">
      <c r="A53" s="615" t="n"/>
      <c r="B53" s="615" t="n"/>
      <c r="C53" s="214" t="inlineStr">
        <is>
          <t>净值</t>
        </is>
      </c>
      <c r="D53" s="104" t="n"/>
      <c r="E53" s="754">
        <f>E49-E50-E51</f>
        <v/>
      </c>
      <c r="F53" s="754">
        <f>F49-F50-F51</f>
        <v/>
      </c>
      <c r="G53" s="754">
        <f>G49-G50-G51</f>
        <v/>
      </c>
      <c r="H53" s="754" t="n"/>
      <c r="I53" s="754">
        <f>I49-I50-I51</f>
        <v/>
      </c>
      <c r="J53" s="754">
        <f>J49-J50-J51</f>
        <v/>
      </c>
      <c r="K53" s="754">
        <f>K49-K50-K51</f>
        <v/>
      </c>
      <c r="L53" s="527">
        <f>IF(J53&lt;&gt;0,K53/J53,1)</f>
        <v/>
      </c>
      <c r="M53" s="98" t="n"/>
      <c r="N53" s="749">
        <f>IF(AND(ABS(K53)&gt;=$C$38,ABS(L53)&gt;=$C$39),"是","否")</f>
        <v/>
      </c>
      <c r="O53" s="519" t="n"/>
      <c r="Q53" s="123" t="n"/>
    </row>
    <row r="54" ht="15" customFormat="1" customHeight="1" s="48" thickTop="1">
      <c r="A54" s="615" t="n"/>
      <c r="B54" s="615" t="n"/>
      <c r="C54" s="214" t="n"/>
      <c r="D54" s="104" t="n"/>
      <c r="E54" s="755" t="n"/>
      <c r="F54" s="755" t="n"/>
      <c r="G54" s="755" t="n"/>
      <c r="H54" s="755" t="n"/>
      <c r="I54" s="755" t="n"/>
      <c r="J54" s="755" t="n"/>
      <c r="K54" s="755" t="n"/>
      <c r="L54" s="405" t="n"/>
      <c r="M54" s="98" t="n"/>
      <c r="N54" s="213" t="n"/>
      <c r="O54" s="244" t="n"/>
      <c r="Q54" s="123" t="n"/>
    </row>
    <row r="55" ht="15" customFormat="1" customHeight="1" s="48">
      <c r="A55" s="615" t="n"/>
      <c r="B55" s="615" t="n"/>
      <c r="C55" s="5" t="inlineStr">
        <is>
          <t>check with A3</t>
        </is>
      </c>
      <c r="D55" s="104" t="n"/>
      <c r="F55" s="755" t="n"/>
      <c r="G55" s="748" t="n"/>
      <c r="H55" s="755" t="n"/>
      <c r="I55" s="748" t="n"/>
      <c r="J55" s="748" t="n"/>
      <c r="K55" s="126" t="n"/>
      <c r="L55" s="126" t="n"/>
      <c r="M55" s="98" t="n"/>
      <c r="N55" s="615" t="n"/>
      <c r="O55" s="615" t="n"/>
      <c r="Q55" s="123" t="n"/>
    </row>
    <row r="56" ht="15" customFormat="1" customHeight="1" s="48">
      <c r="A56" s="615" t="n"/>
      <c r="B56" s="615" t="n"/>
      <c r="C56" s="5" t="inlineStr">
        <is>
          <t>Diff</t>
        </is>
      </c>
      <c r="D56" s="97" t="n"/>
      <c r="F56" s="750" t="n"/>
      <c r="G56" s="747">
        <f>G53-G55</f>
        <v/>
      </c>
      <c r="H56" s="750" t="n"/>
      <c r="I56" s="747">
        <f>I53-I55</f>
        <v/>
      </c>
      <c r="J56" s="747">
        <f>J53-J55</f>
        <v/>
      </c>
      <c r="K56" s="241" t="n"/>
      <c r="L56" s="97" t="n"/>
      <c r="M56" s="97" t="n"/>
      <c r="N56" s="97" t="n"/>
      <c r="O56" s="97" t="n"/>
      <c r="Q56" s="125" t="n"/>
    </row>
    <row r="57" ht="15" customFormat="1" customHeight="1" s="48">
      <c r="A57" s="615" t="n"/>
      <c r="B57" s="615" t="n"/>
      <c r="C57" s="5" t="n"/>
      <c r="D57" s="97" t="n"/>
      <c r="F57" s="750" t="n"/>
      <c r="G57" s="756" t="n"/>
      <c r="H57" s="750" t="n"/>
      <c r="I57" s="756" t="n"/>
      <c r="J57" s="756"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7" t="n"/>
      <c r="D59" s="757" t="n"/>
      <c r="E59" s="757" t="n"/>
      <c r="F59" s="758" t="n"/>
      <c r="G59" s="634" t="n"/>
      <c r="H59" s="1" t="n"/>
      <c r="I59" s="4" t="n"/>
      <c r="J59" s="4" t="n"/>
      <c r="K59" s="71" t="n"/>
      <c r="L59" s="71" t="n"/>
      <c r="M59" s="71" t="n"/>
      <c r="N59" s="71" t="n"/>
      <c r="O59" s="71" t="n"/>
      <c r="Q59" s="125" t="n"/>
    </row>
    <row r="60" ht="12.75" customFormat="1" customHeight="1" s="70">
      <c r="B60" s="759" t="n"/>
      <c r="F60" s="760" t="n"/>
      <c r="G60" s="634" t="n"/>
      <c r="H60" s="1" t="n"/>
      <c r="I60" s="4" t="n"/>
      <c r="J60" s="4" t="n"/>
      <c r="K60" s="71" t="n"/>
      <c r="L60" s="71" t="n"/>
      <c r="M60" s="71" t="n"/>
      <c r="N60" s="71" t="n"/>
      <c r="O60" s="71" t="n"/>
      <c r="Q60" s="125" t="n"/>
    </row>
    <row r="61" ht="12.75" customFormat="1" customHeight="1" s="70">
      <c r="B61" s="759" t="n"/>
      <c r="F61" s="760" t="n"/>
      <c r="G61" s="634" t="n"/>
      <c r="H61" s="1" t="n"/>
      <c r="I61" s="4" t="n"/>
      <c r="J61" s="4" t="n"/>
      <c r="K61" s="71" t="n"/>
      <c r="L61" s="71" t="n"/>
      <c r="M61" s="71" t="n"/>
      <c r="N61" s="71" t="n"/>
      <c r="O61" s="71" t="n"/>
      <c r="Q61" s="125" t="n"/>
    </row>
    <row r="62" ht="12.75" customFormat="1" customHeight="1" s="70">
      <c r="B62" s="761" t="n"/>
      <c r="C62" s="762" t="n"/>
      <c r="D62" s="762" t="n"/>
      <c r="E62" s="762" t="n"/>
      <c r="F62" s="763" t="n"/>
      <c r="G62" s="634" t="n"/>
      <c r="H62" s="1" t="n"/>
      <c r="I62" s="4" t="n"/>
      <c r="J62" s="4" t="n"/>
      <c r="K62" s="71" t="n"/>
      <c r="L62" s="71" t="n"/>
      <c r="M62" s="71" t="n"/>
      <c r="N62" s="71" t="n"/>
      <c r="O62" s="71" t="n"/>
      <c r="Q62" s="125" t="n"/>
    </row>
    <row r="63" ht="12.75" customFormat="1" customHeight="1" s="70">
      <c r="B63" s="764" t="n"/>
      <c r="C63" s="764" t="n"/>
      <c r="D63" s="764" t="n"/>
      <c r="E63" s="764" t="n"/>
      <c r="F63" s="764"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4"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4"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5" t="n"/>
      <c r="C69" s="766"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7" min="7" max="7"/>
    <col width="11.90625" bestFit="1" customWidth="1" style="18" min="8" max="8"/>
    <col width="15.7265625" customWidth="1" style="18" min="9" max="9"/>
    <col width="17.26953125" customWidth="1" style="18" min="10" max="10"/>
    <col width="11.26953125" customWidth="1" style="18" min="11" max="11"/>
    <col width="16.453125" customWidth="1" style="768"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9"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9" t="n"/>
      <c r="M4" s="3" t="n"/>
      <c r="N4" s="3" t="n"/>
      <c r="O4" s="43" t="n"/>
      <c r="AE4" s="111" t="n"/>
    </row>
    <row r="5" ht="14" customFormat="1" customHeight="1" s="13">
      <c r="A5" s="30" t="n"/>
      <c r="D5" s="3" t="n"/>
      <c r="E5" s="3" t="n"/>
      <c r="F5" s="3" t="n"/>
      <c r="G5" s="3" t="n"/>
      <c r="H5" s="3" t="n"/>
      <c r="I5" s="3" t="n"/>
      <c r="J5" s="3" t="n"/>
      <c r="K5" s="3" t="n"/>
      <c r="L5" s="769"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9"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9"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9"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房屋建筑物</t>
        </is>
      </c>
      <c r="G10" s="426" t="n"/>
      <c r="H10" s="424" t="n"/>
      <c r="I10" s="425" t="inlineStr">
        <is>
          <t>机器设备</t>
        </is>
      </c>
      <c r="J10" s="426" t="n"/>
      <c r="K10" s="424" t="n"/>
      <c r="L10" s="425" t="inlineStr">
        <is>
          <t>运输设备</t>
        </is>
      </c>
      <c r="M10" s="426" t="n"/>
      <c r="N10" s="424" t="n"/>
      <c r="O10" s="425" t="inlineStr">
        <is>
          <t>电子产品及通讯设备</t>
        </is>
      </c>
      <c r="P10" s="426" t="n"/>
      <c r="Q10" s="424" t="n"/>
      <c r="R10" s="425" t="inlineStr">
        <is>
          <t>合计</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账面数</t>
        </is>
      </c>
      <c r="I11" s="469" t="inlineStr">
        <is>
          <t>账表调整/审计调整</t>
        </is>
      </c>
      <c r="J11" s="468" t="inlineStr">
        <is>
          <t>审定数</t>
        </is>
      </c>
      <c r="K11" s="468" t="inlineStr">
        <is>
          <t>账面数</t>
        </is>
      </c>
      <c r="L11" s="469" t="inlineStr">
        <is>
          <t>账表调整/审计调整</t>
        </is>
      </c>
      <c r="M11" s="468" t="inlineStr">
        <is>
          <t>审定数</t>
        </is>
      </c>
      <c r="N11" s="468" t="inlineStr">
        <is>
          <t>账面数</t>
        </is>
      </c>
      <c r="O11" s="469" t="inlineStr">
        <is>
          <t>账表调整/审计调整</t>
        </is>
      </c>
      <c r="P11" s="468" t="inlineStr">
        <is>
          <t>审定数</t>
        </is>
      </c>
      <c r="Q11" s="468" t="inlineStr">
        <is>
          <t>账面数</t>
        </is>
      </c>
      <c r="R11" s="469" t="inlineStr">
        <is>
          <t>账表调整/审计调整</t>
        </is>
      </c>
      <c r="S11" s="468" t="inlineStr">
        <is>
          <t>审定数</t>
        </is>
      </c>
      <c r="T11" s="468" t="inlineStr">
        <is>
          <t>账面数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70" t="inlineStr">
        <is>
          <t>年初余额</t>
        </is>
      </c>
      <c r="D12" s="471" t="inlineStr">
        <is>
          <t>PY</t>
        </is>
      </c>
      <c r="E12" s="771" t="n">
        <v>322612.2</v>
      </c>
      <c r="F12" s="771" t="n"/>
      <c r="G12" s="771" t="n">
        <v>322612.2</v>
      </c>
      <c r="H12" s="771" t="n">
        <v>176035102.97</v>
      </c>
      <c r="I12" s="771" t="n"/>
      <c r="J12" s="771" t="n">
        <v>176035102.97</v>
      </c>
      <c r="K12" s="771" t="n">
        <v>844044.29</v>
      </c>
      <c r="L12" s="771" t="n"/>
      <c r="M12" s="771" t="n">
        <v>844044.29</v>
      </c>
      <c r="N12" s="771" t="n">
        <v>290507.47</v>
      </c>
      <c r="O12" s="771" t="n"/>
      <c r="P12" s="771" t="n">
        <v>290507.47</v>
      </c>
      <c r="Q12" s="771" t="n">
        <v>177492266.93</v>
      </c>
      <c r="R12" s="771" t="n">
        <v>0</v>
      </c>
      <c r="S12" s="771" t="n">
        <v>177492266.93</v>
      </c>
      <c r="T12" s="771" t="n">
        <v>0</v>
      </c>
      <c r="U12" s="771" t="n"/>
      <c r="V12" s="771">
        <f>SUM(T12:U12)</f>
        <v/>
      </c>
      <c r="W12" s="771" t="n"/>
      <c r="X12" s="771" t="n"/>
      <c r="Y12" s="771">
        <f>SUM(W12:X12)</f>
        <v/>
      </c>
      <c r="Z12" s="771">
        <f>SUM(E12,H12,K12,N12,Q12,T12,W12)</f>
        <v/>
      </c>
      <c r="AA12" s="771">
        <f>SUM(F12,I12,L12,O12,R12,U12,X12)</f>
        <v/>
      </c>
      <c r="AB12" s="771">
        <f>SUM(G12,J12,M12,P12,S12,V12,Y12)</f>
        <v/>
      </c>
      <c r="AC12" s="772">
        <f>AB12-'K.00 Lead Sheet'!J49</f>
        <v/>
      </c>
      <c r="AD12" s="13" t="n"/>
      <c r="AE12" s="111" t="n"/>
    </row>
    <row r="13" ht="14.5" customFormat="1" customHeight="1" s="1">
      <c r="A13" s="5" t="n"/>
      <c r="B13" s="430" t="n"/>
      <c r="C13" s="474" t="inlineStr">
        <is>
          <t>购置</t>
        </is>
      </c>
      <c r="D13" s="475" t="inlineStr">
        <is>
          <t>K.02.1</t>
        </is>
      </c>
      <c r="E13" s="771" t="n"/>
      <c r="F13" s="771" t="n"/>
      <c r="G13" s="771">
        <f>SUM(E13:F13)</f>
        <v/>
      </c>
      <c r="H13" s="771" t="n"/>
      <c r="I13" s="771" t="n"/>
      <c r="J13" s="771">
        <f>SUM(H13:I13)</f>
        <v/>
      </c>
      <c r="K13" s="771" t="n"/>
      <c r="L13" s="771" t="n"/>
      <c r="M13" s="771">
        <f>SUM(K13:L13)</f>
        <v/>
      </c>
      <c r="N13" s="771" t="n"/>
      <c r="O13" s="771" t="n"/>
      <c r="P13" s="771">
        <f>SUM(N13:O13)</f>
        <v/>
      </c>
      <c r="Q13" s="771" t="n"/>
      <c r="R13" s="771" t="n"/>
      <c r="S13" s="771">
        <f>SUM(Q13:R13)</f>
        <v/>
      </c>
      <c r="T13" s="771" t="n"/>
      <c r="U13" s="771" t="n"/>
      <c r="V13" s="771">
        <f>SUM(T13:U13)</f>
        <v/>
      </c>
      <c r="W13" s="771" t="n"/>
      <c r="X13" s="771" t="n"/>
      <c r="Y13" s="771">
        <f>SUM(W13:X13)</f>
        <v/>
      </c>
      <c r="Z13" s="771">
        <f>SUM(E13,H13,K13,N13,Q13,T13,W13)</f>
        <v/>
      </c>
      <c r="AA13" s="771">
        <f>SUM(F13,I13,L13,O13,R13,U13,X13)</f>
        <v/>
      </c>
      <c r="AB13" s="771">
        <f>SUM(G13,J13,M13,P13,S13,V13,Y13)</f>
        <v/>
      </c>
      <c r="AC13" s="773" t="n"/>
      <c r="AD13" s="13" t="n"/>
      <c r="AE13" s="111" t="n"/>
    </row>
    <row r="14" ht="14.5" customFormat="1" customHeight="1" s="1">
      <c r="A14" s="5" t="n"/>
      <c r="B14" s="430" t="n"/>
      <c r="C14" s="474" t="inlineStr">
        <is>
          <t>在建工程转入</t>
        </is>
      </c>
      <c r="D14" s="453" t="inlineStr">
        <is>
          <t>J1.02</t>
        </is>
      </c>
      <c r="E14" s="771" t="n"/>
      <c r="F14" s="771" t="n"/>
      <c r="G14" s="771">
        <f>SUM(E14:F14)</f>
        <v/>
      </c>
      <c r="H14" s="771" t="n"/>
      <c r="I14" s="771" t="n"/>
      <c r="J14" s="771">
        <f>SUM(H14:I14)</f>
        <v/>
      </c>
      <c r="K14" s="771" t="n"/>
      <c r="L14" s="771" t="n"/>
      <c r="M14" s="771">
        <f>SUM(K14:L14)</f>
        <v/>
      </c>
      <c r="N14" s="771" t="n"/>
      <c r="O14" s="771" t="n"/>
      <c r="P14" s="771">
        <f>SUM(N14:O14)</f>
        <v/>
      </c>
      <c r="Q14" s="771" t="n"/>
      <c r="R14" s="771" t="n"/>
      <c r="S14" s="771">
        <f>SUM(Q14:R14)</f>
        <v/>
      </c>
      <c r="T14" s="771" t="n"/>
      <c r="U14" s="771" t="n"/>
      <c r="V14" s="771">
        <f>SUM(T14:U14)</f>
        <v/>
      </c>
      <c r="W14" s="771" t="n"/>
      <c r="X14" s="771" t="n"/>
      <c r="Y14" s="771">
        <f>SUM(W14:X14)</f>
        <v/>
      </c>
      <c r="Z14" s="771">
        <f>SUM(E14,H14,K14,N14,Q14,T14,W14)</f>
        <v/>
      </c>
      <c r="AA14" s="771">
        <f>SUM(F14,I14,L14,O14,R14,U14,X14)</f>
        <v/>
      </c>
      <c r="AB14" s="771">
        <f>SUM(G14,J14,M14,P14,S14,V14,Y14)</f>
        <v/>
      </c>
      <c r="AC14" s="773" t="n"/>
      <c r="AD14" s="13" t="n"/>
      <c r="AE14" s="111" t="n"/>
    </row>
    <row r="15" ht="16.15" customFormat="1" customHeight="1" s="1">
      <c r="A15" s="5" t="n"/>
      <c r="B15" s="623" t="inlineStr">
        <is>
          <t>原值</t>
        </is>
      </c>
      <c r="C15" s="474" t="inlineStr">
        <is>
          <t>处置或报废</t>
        </is>
      </c>
      <c r="D15" s="475" t="inlineStr">
        <is>
          <t>K.02.2</t>
        </is>
      </c>
      <c r="E15" s="771" t="n"/>
      <c r="F15" s="771" t="n"/>
      <c r="G15" s="771">
        <f>SUM(E15:F15)</f>
        <v/>
      </c>
      <c r="H15" s="771" t="n"/>
      <c r="I15" s="771" t="n"/>
      <c r="J15" s="771">
        <f>SUM(H15:I15)</f>
        <v/>
      </c>
      <c r="K15" s="771" t="n"/>
      <c r="L15" s="771" t="n"/>
      <c r="M15" s="771">
        <f>SUM(K15:L15)</f>
        <v/>
      </c>
      <c r="N15" s="771" t="n"/>
      <c r="O15" s="771" t="n"/>
      <c r="P15" s="771">
        <f>SUM(N15:O15)</f>
        <v/>
      </c>
      <c r="Q15" s="771" t="n"/>
      <c r="R15" s="771" t="n"/>
      <c r="S15" s="771">
        <f>SUM(Q15:R15)</f>
        <v/>
      </c>
      <c r="T15" s="771" t="n"/>
      <c r="U15" s="771" t="n"/>
      <c r="V15" s="771">
        <f>SUM(T15:U15)</f>
        <v/>
      </c>
      <c r="W15" s="771" t="n"/>
      <c r="X15" s="771" t="n"/>
      <c r="Y15" s="771">
        <f>SUM(W15:X15)</f>
        <v/>
      </c>
      <c r="Z15" s="771">
        <f>SUM(E15,H15,K15,N15,Q15,T15,W15)</f>
        <v/>
      </c>
      <c r="AA15" s="771">
        <f>SUM(F15,I15,L15,O15,R15,U15,X15)</f>
        <v/>
      </c>
      <c r="AB15" s="771">
        <f>SUM(G15,J15,M15,P15,S15,V15,Y15)</f>
        <v/>
      </c>
      <c r="AC15" s="773" t="n"/>
      <c r="AD15" s="13" t="n"/>
      <c r="AE15" s="111" t="n"/>
    </row>
    <row r="16" ht="14.5" customFormat="1" customHeight="1" s="1">
      <c r="A16" s="5" t="n"/>
      <c r="B16" s="430" t="n"/>
      <c r="C16" s="477" t="inlineStr">
        <is>
          <t>内部重分类</t>
        </is>
      </c>
      <c r="D16" s="453" t="n"/>
      <c r="E16" s="771" t="n"/>
      <c r="F16" s="771" t="n"/>
      <c r="G16" s="771">
        <f>SUM(E16:F16)</f>
        <v/>
      </c>
      <c r="H16" s="771" t="n"/>
      <c r="I16" s="771" t="n"/>
      <c r="J16" s="771">
        <f>SUM(H16:I16)</f>
        <v/>
      </c>
      <c r="K16" s="771" t="n"/>
      <c r="L16" s="771" t="n"/>
      <c r="M16" s="771">
        <f>SUM(K16:L16)</f>
        <v/>
      </c>
      <c r="N16" s="771" t="n"/>
      <c r="O16" s="771" t="n"/>
      <c r="P16" s="771">
        <f>SUM(N16:O16)</f>
        <v/>
      </c>
      <c r="Q16" s="771" t="n"/>
      <c r="R16" s="771" t="n"/>
      <c r="S16" s="771">
        <f>SUM(Q16:R16)</f>
        <v/>
      </c>
      <c r="T16" s="771" t="n"/>
      <c r="U16" s="771" t="n"/>
      <c r="V16" s="771">
        <f>SUM(T16:U16)</f>
        <v/>
      </c>
      <c r="W16" s="771" t="n"/>
      <c r="X16" s="771" t="n"/>
      <c r="Y16" s="771">
        <f>SUM(W16:X16)</f>
        <v/>
      </c>
      <c r="Z16" s="771">
        <f>SUM(E16,H16,K16,N16,Q16,T16,W16)</f>
        <v/>
      </c>
      <c r="AA16" s="771">
        <f>SUM(F16,I16,L16,O16,R16,U16,X16)</f>
        <v/>
      </c>
      <c r="AB16" s="771">
        <f>SUM(G16,J16,M16,P16,S16,V16,Y16)</f>
        <v/>
      </c>
      <c r="AC16" s="773" t="n"/>
      <c r="AD16" s="13" t="n"/>
      <c r="AE16" s="111" t="n"/>
    </row>
    <row r="17" ht="17.25" customFormat="1" customHeight="1" s="1">
      <c r="A17" s="5" t="n"/>
      <c r="B17" s="430" t="n"/>
      <c r="C17" s="474" t="inlineStr">
        <is>
          <t>[…]</t>
        </is>
      </c>
      <c r="D17" s="475" t="n"/>
      <c r="E17" s="771" t="n"/>
      <c r="F17" s="771" t="n"/>
      <c r="G17" s="771">
        <f>SUM(E17:F17)</f>
        <v/>
      </c>
      <c r="H17" s="771" t="n"/>
      <c r="I17" s="771" t="n"/>
      <c r="J17" s="771">
        <f>SUM(H17:I17)</f>
        <v/>
      </c>
      <c r="K17" s="771" t="n"/>
      <c r="L17" s="771" t="n"/>
      <c r="M17" s="771">
        <f>SUM(K17:L17)</f>
        <v/>
      </c>
      <c r="N17" s="771" t="n"/>
      <c r="O17" s="771" t="n"/>
      <c r="P17" s="771">
        <f>SUM(N17:O17)</f>
        <v/>
      </c>
      <c r="Q17" s="771" t="n"/>
      <c r="R17" s="771" t="n"/>
      <c r="S17" s="771">
        <f>SUM(Q17:R17)</f>
        <v/>
      </c>
      <c r="T17" s="771" t="n"/>
      <c r="U17" s="771" t="n"/>
      <c r="V17" s="771">
        <f>SUM(T17:U17)</f>
        <v/>
      </c>
      <c r="W17" s="771" t="n"/>
      <c r="X17" s="771" t="n"/>
      <c r="Y17" s="771">
        <f>SUM(W17:X17)</f>
        <v/>
      </c>
      <c r="Z17" s="771">
        <f>SUM(E17,H17,K17,N17,Q17,T17,W17)</f>
        <v/>
      </c>
      <c r="AA17" s="771">
        <f>SUM(F17,I17,L17,O17,R17,U17,X17)</f>
        <v/>
      </c>
      <c r="AB17" s="771">
        <f>SUM(G17,J17,M17,P17,S17,V17,Y17)</f>
        <v/>
      </c>
      <c r="AC17" s="773" t="n"/>
      <c r="AD17" s="13" t="n"/>
      <c r="AE17" s="111" t="n"/>
    </row>
    <row r="18" ht="14.5" customFormat="1" customHeight="1" s="1">
      <c r="A18" s="5" t="n"/>
      <c r="B18" s="431" t="n"/>
      <c r="C18" s="478" t="inlineStr">
        <is>
          <t>年末余额</t>
        </is>
      </c>
      <c r="D18" s="479" t="inlineStr">
        <is>
          <t>Rx</t>
        </is>
      </c>
      <c r="E18" s="774">
        <f>E12+E13+E14+E15+E16+E17</f>
        <v/>
      </c>
      <c r="F18" s="774">
        <f>F12+F13+F14+F15+F16+F17</f>
        <v/>
      </c>
      <c r="G18" s="774">
        <f>G12+G13+G14+G15+G16+G17</f>
        <v/>
      </c>
      <c r="H18" s="774">
        <f>H12+H13+H14+H15+H16+H17</f>
        <v/>
      </c>
      <c r="I18" s="774">
        <f>I12+I13+I14+I15+I16+I17</f>
        <v/>
      </c>
      <c r="J18" s="774">
        <f>J12+J13+J14+J15+J16+J17</f>
        <v/>
      </c>
      <c r="K18" s="774">
        <f>K12+K13+K14+K15+K16+K17</f>
        <v/>
      </c>
      <c r="L18" s="774">
        <f>L12+L13+L14+L15+L16+L17</f>
        <v/>
      </c>
      <c r="M18" s="774">
        <f>M12+M13+M14+M15+M16+M17</f>
        <v/>
      </c>
      <c r="N18" s="774">
        <f>N12+N13+N14+N15+N16+N17</f>
        <v/>
      </c>
      <c r="O18" s="774">
        <f>O12+O13+O14+O15+O16+O17</f>
        <v/>
      </c>
      <c r="P18" s="774">
        <f>P12+P13+P14+P15+P16+P17</f>
        <v/>
      </c>
      <c r="Q18" s="774">
        <f>Q12+Q13+Q14+Q15+Q16+Q17</f>
        <v/>
      </c>
      <c r="R18" s="774">
        <f>R12+R13+R14+R15+R16+R17</f>
        <v/>
      </c>
      <c r="S18" s="774">
        <f>S12+S13+S14+S15+S16+S17</f>
        <v/>
      </c>
      <c r="T18" s="774">
        <f>T12+T13+T14+T15+T16+T17</f>
        <v/>
      </c>
      <c r="U18" s="774">
        <f>U12+U13+U14+U15+U16+U17</f>
        <v/>
      </c>
      <c r="V18" s="774">
        <f>V12+V13+V14+V15+V16+V17</f>
        <v/>
      </c>
      <c r="W18" s="774">
        <f>W12+W13+W14+W15+W16+W17</f>
        <v/>
      </c>
      <c r="X18" s="774">
        <f>X12+X13+X14+X15+X16+X17</f>
        <v/>
      </c>
      <c r="Y18" s="774">
        <f>Y12+Y13+Y14+Y15+Y16+Y17</f>
        <v/>
      </c>
      <c r="Z18" s="774">
        <f>Z12+Z13+Z14+Z15+Z16+Z17</f>
        <v/>
      </c>
      <c r="AA18" s="774">
        <f>AA12+AA13+AA14+AA15+AA16+AA17</f>
        <v/>
      </c>
      <c r="AB18" s="774">
        <f>AB12+AB13+AB14+AB15+AB16+AB17</f>
        <v/>
      </c>
      <c r="AC18" s="772">
        <f>AB18-'K.00 Lead Sheet'!I49</f>
        <v/>
      </c>
      <c r="AD18" s="13" t="n"/>
      <c r="AE18" s="111" t="n"/>
    </row>
    <row r="19" ht="14.5" customFormat="1" customHeight="1" s="1">
      <c r="A19" s="5" t="n"/>
      <c r="B19" s="432" t="n"/>
      <c r="C19" s="478" t="inlineStr">
        <is>
          <t>年初余额</t>
        </is>
      </c>
      <c r="D19" s="471" t="inlineStr">
        <is>
          <t>PY</t>
        </is>
      </c>
      <c r="E19" s="771" t="n"/>
      <c r="F19" s="771" t="n"/>
      <c r="G19" s="771">
        <f>SUM(E19:F19)</f>
        <v/>
      </c>
      <c r="H19" s="771" t="n"/>
      <c r="I19" s="771" t="n"/>
      <c r="J19" s="771">
        <f>SUM(H19:I19)</f>
        <v/>
      </c>
      <c r="K19" s="771" t="n"/>
      <c r="L19" s="771" t="n"/>
      <c r="M19" s="771">
        <f>SUM(K19:L19)</f>
        <v/>
      </c>
      <c r="N19" s="771" t="n"/>
      <c r="O19" s="771" t="n"/>
      <c r="P19" s="771">
        <f>SUM(N19:O19)</f>
        <v/>
      </c>
      <c r="Q19" s="771" t="n"/>
      <c r="R19" s="771" t="n"/>
      <c r="S19" s="771">
        <f>SUM(Q19:R19)</f>
        <v/>
      </c>
      <c r="T19" s="771" t="n"/>
      <c r="U19" s="771" t="n"/>
      <c r="V19" s="771">
        <f>SUM(T19:U19)</f>
        <v/>
      </c>
      <c r="W19" s="771" t="n"/>
      <c r="X19" s="771" t="n"/>
      <c r="Y19" s="771">
        <f>SUM(W19:X19)</f>
        <v/>
      </c>
      <c r="Z19" s="771">
        <f>SUM(E19,H19,K19,N19,Q19,T19,W19)</f>
        <v/>
      </c>
      <c r="AA19" s="771">
        <f>SUM(F19,I19,L19,O19,R19,U19,X19)</f>
        <v/>
      </c>
      <c r="AB19" s="771">
        <f>SUM(G19,J19,M19,P19,S19,V19,Y19)</f>
        <v/>
      </c>
      <c r="AC19" s="772">
        <f>AB19-'K.00 Lead Sheet'!J50</f>
        <v/>
      </c>
      <c r="AD19" s="13" t="n"/>
      <c r="AE19" s="111" t="n"/>
    </row>
    <row r="20" ht="14.5" customFormat="1" customHeight="1" s="1">
      <c r="A20" s="5" t="n"/>
      <c r="B20" s="430" t="n"/>
      <c r="C20" s="474" t="inlineStr">
        <is>
          <t>计提</t>
        </is>
      </c>
      <c r="D20" s="475" t="inlineStr">
        <is>
          <t>K.03.2</t>
        </is>
      </c>
      <c r="E20" s="771" t="n"/>
      <c r="F20" s="771" t="n"/>
      <c r="G20" s="771">
        <f>SUM(E20:F20)</f>
        <v/>
      </c>
      <c r="H20" s="771" t="n"/>
      <c r="I20" s="771" t="n"/>
      <c r="J20" s="771">
        <f>SUM(H20:I20)</f>
        <v/>
      </c>
      <c r="K20" s="771" t="n"/>
      <c r="L20" s="771" t="n"/>
      <c r="M20" s="771">
        <f>SUM(K20:L20)</f>
        <v/>
      </c>
      <c r="N20" s="771" t="n"/>
      <c r="O20" s="771" t="n"/>
      <c r="P20" s="771">
        <f>SUM(N20:O20)</f>
        <v/>
      </c>
      <c r="Q20" s="771" t="n"/>
      <c r="R20" s="771" t="n"/>
      <c r="S20" s="771">
        <f>SUM(Q20:R20)</f>
        <v/>
      </c>
      <c r="T20" s="771" t="n"/>
      <c r="U20" s="771" t="n"/>
      <c r="V20" s="771">
        <f>SUM(T20:U20)</f>
        <v/>
      </c>
      <c r="W20" s="771" t="n"/>
      <c r="X20" s="771" t="n"/>
      <c r="Y20" s="771">
        <f>SUM(W20:X20)</f>
        <v/>
      </c>
      <c r="Z20" s="771">
        <f>SUM(E20,H20,K20,N20,Q20,T20,W20)</f>
        <v/>
      </c>
      <c r="AA20" s="771">
        <f>SUM(F20,I20,L20,O20,R20,U20,X20)</f>
        <v/>
      </c>
      <c r="AB20" s="771">
        <f>SUM(G20,J20,M20,P20,S20,V20,Y20)</f>
        <v/>
      </c>
      <c r="AC20" s="773" t="inlineStr">
        <is>
          <t>&lt;K.03 折旧测试&gt;</t>
        </is>
      </c>
      <c r="AD20" s="13" t="n"/>
      <c r="AE20" s="111" t="n"/>
    </row>
    <row r="21" ht="14.5" customFormat="1" customHeight="1" s="1">
      <c r="A21" s="5" t="n"/>
      <c r="B21" s="623" t="inlineStr">
        <is>
          <t>累计折旧</t>
        </is>
      </c>
      <c r="C21" s="474" t="inlineStr">
        <is>
          <t>处置或报废</t>
        </is>
      </c>
      <c r="D21" s="475" t="inlineStr">
        <is>
          <t>K.02.2</t>
        </is>
      </c>
      <c r="E21" s="771" t="n"/>
      <c r="F21" s="771" t="n"/>
      <c r="G21" s="771">
        <f>SUM(E21:F21)</f>
        <v/>
      </c>
      <c r="H21" s="771" t="n"/>
      <c r="I21" s="771" t="n"/>
      <c r="J21" s="771">
        <f>SUM(H21:I21)</f>
        <v/>
      </c>
      <c r="K21" s="771" t="n"/>
      <c r="L21" s="771" t="n"/>
      <c r="M21" s="771">
        <f>SUM(K21:L21)</f>
        <v/>
      </c>
      <c r="N21" s="771" t="n"/>
      <c r="O21" s="771" t="n"/>
      <c r="P21" s="771">
        <f>SUM(N21:O21)</f>
        <v/>
      </c>
      <c r="Q21" s="771" t="n"/>
      <c r="R21" s="771" t="n"/>
      <c r="S21" s="771">
        <f>SUM(Q21:R21)</f>
        <v/>
      </c>
      <c r="T21" s="771" t="n"/>
      <c r="U21" s="771" t="n"/>
      <c r="V21" s="771">
        <f>SUM(T21:U21)</f>
        <v/>
      </c>
      <c r="W21" s="771" t="n"/>
      <c r="X21" s="771" t="n"/>
      <c r="Y21" s="771">
        <f>SUM(W21:X21)</f>
        <v/>
      </c>
      <c r="Z21" s="771">
        <f>SUM(E21,H21,K21,N21,Q21,T21,W21)</f>
        <v/>
      </c>
      <c r="AA21" s="771">
        <f>SUM(F21,I21,L21,O21,R21,U21,X21)</f>
        <v/>
      </c>
      <c r="AB21" s="771">
        <f>SUM(G21,J21,M21,P21,S21,V21,Y21)</f>
        <v/>
      </c>
      <c r="AC21" s="773" t="n"/>
      <c r="AD21" s="13" t="n"/>
      <c r="AE21" s="111" t="n"/>
    </row>
    <row r="22" ht="14.5" customFormat="1" customHeight="1" s="1">
      <c r="A22" s="5" t="n"/>
      <c r="B22" s="430" t="n"/>
      <c r="C22" s="474" t="inlineStr">
        <is>
          <t>内部重分类</t>
        </is>
      </c>
      <c r="D22" s="453" t="n"/>
      <c r="E22" s="771" t="n"/>
      <c r="F22" s="771" t="n"/>
      <c r="G22" s="771">
        <f>SUM(E22:F22)</f>
        <v/>
      </c>
      <c r="H22" s="771" t="n"/>
      <c r="I22" s="771" t="n"/>
      <c r="J22" s="771">
        <f>SUM(H22:I22)</f>
        <v/>
      </c>
      <c r="K22" s="771" t="n"/>
      <c r="L22" s="771" t="n"/>
      <c r="M22" s="771">
        <f>SUM(K22:L22)</f>
        <v/>
      </c>
      <c r="N22" s="771" t="n"/>
      <c r="O22" s="771" t="n"/>
      <c r="P22" s="771">
        <f>SUM(N22:O22)</f>
        <v/>
      </c>
      <c r="Q22" s="771" t="n"/>
      <c r="R22" s="771" t="n"/>
      <c r="S22" s="771">
        <f>SUM(Q22:R22)</f>
        <v/>
      </c>
      <c r="T22" s="771" t="n"/>
      <c r="U22" s="771" t="n"/>
      <c r="V22" s="771">
        <f>SUM(T22:U22)</f>
        <v/>
      </c>
      <c r="W22" s="771" t="n"/>
      <c r="X22" s="771" t="n"/>
      <c r="Y22" s="771">
        <f>SUM(W22:X22)</f>
        <v/>
      </c>
      <c r="Z22" s="771">
        <f>SUM(E22,H22,K22,N22,Q22,T22,W22)</f>
        <v/>
      </c>
      <c r="AA22" s="771">
        <f>SUM(F22,I22,L22,O22,R22,U22,X22)</f>
        <v/>
      </c>
      <c r="AB22" s="771">
        <f>SUM(G22,J22,M22,P22,S22,V22,Y22)</f>
        <v/>
      </c>
      <c r="AC22" s="773" t="n"/>
      <c r="AD22" s="13" t="n"/>
      <c r="AE22" s="111" t="n"/>
    </row>
    <row r="23" ht="14" customFormat="1" customHeight="1" s="1">
      <c r="A23" s="5" t="n"/>
      <c r="B23" s="430" t="n"/>
      <c r="C23" s="474" t="inlineStr">
        <is>
          <t>[…]</t>
        </is>
      </c>
      <c r="D23" s="467" t="n"/>
      <c r="E23" s="771" t="n"/>
      <c r="F23" s="771" t="n"/>
      <c r="G23" s="771">
        <f>SUM(E23:F23)</f>
        <v/>
      </c>
      <c r="H23" s="771" t="n"/>
      <c r="I23" s="771" t="n"/>
      <c r="J23" s="771">
        <f>SUM(H23:I23)</f>
        <v/>
      </c>
      <c r="K23" s="771" t="n"/>
      <c r="L23" s="771" t="n"/>
      <c r="M23" s="771">
        <f>SUM(K23:L23)</f>
        <v/>
      </c>
      <c r="N23" s="771" t="n"/>
      <c r="O23" s="771" t="n"/>
      <c r="P23" s="771">
        <f>SUM(N23:O23)</f>
        <v/>
      </c>
      <c r="Q23" s="771" t="n"/>
      <c r="R23" s="771" t="n"/>
      <c r="S23" s="771">
        <f>SUM(Q23:R23)</f>
        <v/>
      </c>
      <c r="T23" s="771" t="n"/>
      <c r="U23" s="771" t="n"/>
      <c r="V23" s="771">
        <f>SUM(T23:U23)</f>
        <v/>
      </c>
      <c r="W23" s="771" t="n"/>
      <c r="X23" s="771" t="n"/>
      <c r="Y23" s="771">
        <f>SUM(W23:X23)</f>
        <v/>
      </c>
      <c r="Z23" s="771">
        <f>SUM(E23,H23,K23,N23,Q23,T23,W23)</f>
        <v/>
      </c>
      <c r="AA23" s="771">
        <f>SUM(F23,I23,L23,O23,R23,U23,X23)</f>
        <v/>
      </c>
      <c r="AB23" s="771">
        <f>SUM(G23,J23,M23,P23,S23,V23,Y23)</f>
        <v/>
      </c>
      <c r="AC23" s="773" t="n"/>
      <c r="AD23" s="13" t="n"/>
      <c r="AE23" s="111" t="n"/>
    </row>
    <row r="24" ht="14.5" customFormat="1" customHeight="1" s="1">
      <c r="A24" s="5" t="n"/>
      <c r="B24" s="431" t="n"/>
      <c r="C24" s="478" t="inlineStr">
        <is>
          <t>年末余额</t>
        </is>
      </c>
      <c r="D24" s="479" t="inlineStr">
        <is>
          <t>Rx</t>
        </is>
      </c>
      <c r="E24" s="774">
        <f>E19+E20+E21+E22+E23</f>
        <v/>
      </c>
      <c r="F24" s="774">
        <f>F19+F20+F21+F22+F23</f>
        <v/>
      </c>
      <c r="G24" s="774">
        <f>G19+G20+G21+G22+G23</f>
        <v/>
      </c>
      <c r="H24" s="774">
        <f>H19+H20+H21+H22+H23</f>
        <v/>
      </c>
      <c r="I24" s="774">
        <f>I19+I20+I21+I22+I23</f>
        <v/>
      </c>
      <c r="J24" s="774">
        <f>J19+J20+J21+J22+J23</f>
        <v/>
      </c>
      <c r="K24" s="774">
        <f>K19+K20+K21+K22+K23</f>
        <v/>
      </c>
      <c r="L24" s="774">
        <f>L19+L20+L21+L22+L23</f>
        <v/>
      </c>
      <c r="M24" s="774">
        <f>M19+M20+M21+M22+M23</f>
        <v/>
      </c>
      <c r="N24" s="774">
        <f>N19+N20+N21+N22+N23</f>
        <v/>
      </c>
      <c r="O24" s="774">
        <f>O19+O20+O21+O22+O23</f>
        <v/>
      </c>
      <c r="P24" s="774">
        <f>P19+P20+P21+P22+P23</f>
        <v/>
      </c>
      <c r="Q24" s="774">
        <f>Q19+Q20+Q21+Q22+Q23</f>
        <v/>
      </c>
      <c r="R24" s="774">
        <f>R19+R20+R21+R22+R23</f>
        <v/>
      </c>
      <c r="S24" s="774">
        <f>S19+S20+S21+S22+S23</f>
        <v/>
      </c>
      <c r="T24" s="774">
        <f>T19+T20+T21+T22+T23</f>
        <v/>
      </c>
      <c r="U24" s="774">
        <f>U19+U20+U21+U22+U23</f>
        <v/>
      </c>
      <c r="V24" s="774">
        <f>V19+V20+V21+V22+V23</f>
        <v/>
      </c>
      <c r="W24" s="774">
        <f>W19+W20+W21+W22+W23</f>
        <v/>
      </c>
      <c r="X24" s="774">
        <f>X19+X20+X21+X22+X23</f>
        <v/>
      </c>
      <c r="Y24" s="774">
        <f>Y19+Y20+Y21+Y22+Y23</f>
        <v/>
      </c>
      <c r="Z24" s="774">
        <f>Z19+Z20+Z21+Z22+Z23</f>
        <v/>
      </c>
      <c r="AA24" s="774">
        <f>AA19+AA20+AA21+AA22+AA23</f>
        <v/>
      </c>
      <c r="AB24" s="774">
        <f>AB19+AB20+AB21+AB22+AB23</f>
        <v/>
      </c>
      <c r="AC24" s="772">
        <f>AB24-'K.00 Lead Sheet'!I50</f>
        <v/>
      </c>
      <c r="AD24" s="13" t="n"/>
      <c r="AE24" s="111" t="n"/>
    </row>
    <row r="25" ht="14.5" customFormat="1" customHeight="1" s="1">
      <c r="A25" s="5" t="n"/>
      <c r="B25" s="432" t="n"/>
      <c r="C25" s="478" t="inlineStr">
        <is>
          <t>年初余额</t>
        </is>
      </c>
      <c r="D25" s="471" t="inlineStr">
        <is>
          <t>PY</t>
        </is>
      </c>
      <c r="E25" s="771" t="n"/>
      <c r="F25" s="771" t="n"/>
      <c r="G25" s="771">
        <f>SUM(E25:F25)</f>
        <v/>
      </c>
      <c r="H25" s="771" t="n"/>
      <c r="I25" s="771" t="n"/>
      <c r="J25" s="771">
        <f>SUM(H25:I25)</f>
        <v/>
      </c>
      <c r="K25" s="771" t="n"/>
      <c r="L25" s="771" t="n"/>
      <c r="M25" s="771">
        <f>SUM(K25:L25)</f>
        <v/>
      </c>
      <c r="N25" s="771" t="n"/>
      <c r="O25" s="771" t="n"/>
      <c r="P25" s="771">
        <f>SUM(N25:O25)</f>
        <v/>
      </c>
      <c r="Q25" s="771" t="n"/>
      <c r="R25" s="771" t="n"/>
      <c r="S25" s="771">
        <f>SUM(Q25:R25)</f>
        <v/>
      </c>
      <c r="T25" s="771" t="n"/>
      <c r="U25" s="771" t="n"/>
      <c r="V25" s="771">
        <f>SUM(T25:U25)</f>
        <v/>
      </c>
      <c r="W25" s="771" t="n"/>
      <c r="X25" s="771" t="n"/>
      <c r="Y25" s="771">
        <f>SUM(W25:X25)</f>
        <v/>
      </c>
      <c r="Z25" s="771">
        <f>SUM(E25,H25,K25,N25,Q25,T25,W25)</f>
        <v/>
      </c>
      <c r="AA25" s="771">
        <f>SUM(F25,I25,L25,O25,R25,U25,X25)</f>
        <v/>
      </c>
      <c r="AB25" s="771">
        <f>SUM(G25,J25,M25,P25,S25,V25,Y25)</f>
        <v/>
      </c>
      <c r="AC25" s="772">
        <f>AB25-'K.00 Lead Sheet'!J51</f>
        <v/>
      </c>
      <c r="AD25" s="13" t="n"/>
      <c r="AE25" s="111" t="n"/>
    </row>
    <row r="26" ht="14.5" customFormat="1" customHeight="1" s="1">
      <c r="A26" s="5" t="n"/>
      <c r="B26" s="430" t="n"/>
      <c r="C26" s="474" t="inlineStr">
        <is>
          <t>计提</t>
        </is>
      </c>
      <c r="D26" s="475" t="inlineStr">
        <is>
          <t>SWP 减值</t>
        </is>
      </c>
      <c r="E26" s="771" t="n"/>
      <c r="F26" s="771" t="n"/>
      <c r="G26" s="771">
        <f>SUM(E26:F26)</f>
        <v/>
      </c>
      <c r="H26" s="771" t="n"/>
      <c r="I26" s="771" t="n"/>
      <c r="J26" s="771">
        <f>SUM(H26:I26)</f>
        <v/>
      </c>
      <c r="K26" s="771" t="n"/>
      <c r="L26" s="771" t="n"/>
      <c r="M26" s="771">
        <f>SUM(K26:L26)</f>
        <v/>
      </c>
      <c r="N26" s="771" t="n"/>
      <c r="O26" s="771" t="n"/>
      <c r="P26" s="771">
        <f>SUM(N26:O26)</f>
        <v/>
      </c>
      <c r="Q26" s="771" t="n"/>
      <c r="R26" s="771" t="n"/>
      <c r="S26" s="771">
        <f>SUM(Q26:R26)</f>
        <v/>
      </c>
      <c r="T26" s="771" t="n"/>
      <c r="U26" s="771" t="n"/>
      <c r="V26" s="771">
        <f>SUM(T26:U26)</f>
        <v/>
      </c>
      <c r="W26" s="771" t="n"/>
      <c r="X26" s="771" t="n"/>
      <c r="Y26" s="771">
        <f>SUM(W26:X26)</f>
        <v/>
      </c>
      <c r="Z26" s="771">
        <f>SUM(E26,H26,K26,N26,Q26,T26,W26)</f>
        <v/>
      </c>
      <c r="AA26" s="771">
        <f>SUM(F26,I26,L26,O26,R26,U26,X26)</f>
        <v/>
      </c>
      <c r="AB26" s="771">
        <f>SUM(G26,J26,M26,P26,S26,V26,Y26)</f>
        <v/>
      </c>
      <c r="AC26" s="773" t="n"/>
      <c r="AD26" s="13" t="n"/>
      <c r="AE26" s="111" t="n"/>
    </row>
    <row r="27" ht="14.5" customFormat="1" customHeight="1" s="1">
      <c r="A27" s="5" t="n"/>
      <c r="B27" s="623" t="inlineStr">
        <is>
          <t>减值准备</t>
        </is>
      </c>
      <c r="C27" s="474" t="inlineStr">
        <is>
          <t>处置或报废</t>
        </is>
      </c>
      <c r="D27" s="475" t="inlineStr">
        <is>
          <t>K.02.2</t>
        </is>
      </c>
      <c r="E27" s="771" t="n"/>
      <c r="F27" s="771" t="n"/>
      <c r="G27" s="771">
        <f>SUM(E27:F27)</f>
        <v/>
      </c>
      <c r="H27" s="771" t="n"/>
      <c r="I27" s="771" t="n"/>
      <c r="J27" s="771">
        <f>SUM(H27:I27)</f>
        <v/>
      </c>
      <c r="K27" s="771" t="n"/>
      <c r="L27" s="771" t="n"/>
      <c r="M27" s="771">
        <f>SUM(K27:L27)</f>
        <v/>
      </c>
      <c r="N27" s="771" t="n"/>
      <c r="O27" s="771" t="n"/>
      <c r="P27" s="771">
        <f>SUM(N27:O27)</f>
        <v/>
      </c>
      <c r="Q27" s="771" t="n"/>
      <c r="R27" s="771" t="n"/>
      <c r="S27" s="771">
        <f>SUM(Q27:R27)</f>
        <v/>
      </c>
      <c r="T27" s="771" t="n"/>
      <c r="U27" s="771" t="n"/>
      <c r="V27" s="771">
        <f>SUM(T27:U27)</f>
        <v/>
      </c>
      <c r="W27" s="771" t="n"/>
      <c r="X27" s="771" t="n"/>
      <c r="Y27" s="771">
        <f>SUM(W27:X27)</f>
        <v/>
      </c>
      <c r="Z27" s="771">
        <f>SUM(E27,H27,K27,N27,Q27,T27,W27)</f>
        <v/>
      </c>
      <c r="AA27" s="771">
        <f>SUM(F27,I27,L27,O27,R27,U27,X27)</f>
        <v/>
      </c>
      <c r="AB27" s="771">
        <f>SUM(G27,J27,M27,P27,S27,V27,Y27)</f>
        <v/>
      </c>
      <c r="AC27" s="773" t="n"/>
      <c r="AD27" s="13" t="n"/>
      <c r="AE27" s="111" t="n"/>
    </row>
    <row r="28" ht="14.5" customFormat="1" customHeight="1" s="1">
      <c r="A28" s="5" t="n"/>
      <c r="B28" s="430" t="n"/>
      <c r="C28" s="477" t="inlineStr">
        <is>
          <t>内部重分类</t>
        </is>
      </c>
      <c r="D28" s="467" t="n"/>
      <c r="E28" s="771" t="n"/>
      <c r="F28" s="771" t="n"/>
      <c r="G28" s="771">
        <f>SUM(E28:F28)</f>
        <v/>
      </c>
      <c r="H28" s="771" t="n"/>
      <c r="I28" s="771" t="n"/>
      <c r="J28" s="771">
        <f>SUM(H28:I28)</f>
        <v/>
      </c>
      <c r="K28" s="771" t="n"/>
      <c r="L28" s="771" t="n"/>
      <c r="M28" s="771">
        <f>SUM(K28:L28)</f>
        <v/>
      </c>
      <c r="N28" s="771" t="n"/>
      <c r="O28" s="771" t="n"/>
      <c r="P28" s="771">
        <f>SUM(N28:O28)</f>
        <v/>
      </c>
      <c r="Q28" s="771" t="n"/>
      <c r="R28" s="771" t="n"/>
      <c r="S28" s="771">
        <f>SUM(Q28:R28)</f>
        <v/>
      </c>
      <c r="T28" s="771" t="n"/>
      <c r="U28" s="771" t="n"/>
      <c r="V28" s="771">
        <f>SUM(T28:U28)</f>
        <v/>
      </c>
      <c r="W28" s="771" t="n"/>
      <c r="X28" s="771" t="n"/>
      <c r="Y28" s="771">
        <f>SUM(W28:X28)</f>
        <v/>
      </c>
      <c r="Z28" s="771">
        <f>SUM(E28,H28,K28,N28,Q28,T28,W28)</f>
        <v/>
      </c>
      <c r="AA28" s="771">
        <f>SUM(F28,I28,L28,O28,R28,U28,X28)</f>
        <v/>
      </c>
      <c r="AB28" s="771">
        <f>SUM(G28,J28,M28,P28,S28,V28,Y28)</f>
        <v/>
      </c>
      <c r="AC28" s="773" t="n"/>
      <c r="AD28" s="13" t="n"/>
      <c r="AE28" s="111" t="n"/>
    </row>
    <row r="29" ht="13.5" customFormat="1" customHeight="1" s="1">
      <c r="A29" s="5" t="n"/>
      <c r="B29" s="430" t="n"/>
      <c r="C29" s="225" t="inlineStr">
        <is>
          <t>[…]</t>
        </is>
      </c>
      <c r="D29" s="467" t="n"/>
      <c r="E29" s="771" t="n"/>
      <c r="F29" s="771" t="n"/>
      <c r="G29" s="771">
        <f>SUM(E29:F29)</f>
        <v/>
      </c>
      <c r="H29" s="771" t="n"/>
      <c r="I29" s="771" t="n"/>
      <c r="J29" s="771">
        <f>SUM(H29:I29)</f>
        <v/>
      </c>
      <c r="K29" s="771" t="n"/>
      <c r="L29" s="771" t="n"/>
      <c r="M29" s="771">
        <f>SUM(K29:L29)</f>
        <v/>
      </c>
      <c r="N29" s="771" t="n"/>
      <c r="O29" s="771" t="n"/>
      <c r="P29" s="771">
        <f>SUM(N29:O29)</f>
        <v/>
      </c>
      <c r="Q29" s="771" t="n"/>
      <c r="R29" s="771" t="n"/>
      <c r="S29" s="771">
        <f>SUM(Q29:R29)</f>
        <v/>
      </c>
      <c r="T29" s="771" t="n"/>
      <c r="U29" s="771" t="n"/>
      <c r="V29" s="771">
        <f>SUM(T29:U29)</f>
        <v/>
      </c>
      <c r="W29" s="771" t="n"/>
      <c r="X29" s="771" t="n"/>
      <c r="Y29" s="771">
        <f>SUM(W29:X29)</f>
        <v/>
      </c>
      <c r="Z29" s="771">
        <f>SUM(E29,H29,K29,N29,Q29,T29,W29)</f>
        <v/>
      </c>
      <c r="AA29" s="771">
        <f>SUM(F29,I29,L29,O29,R29,U29,X29)</f>
        <v/>
      </c>
      <c r="AB29" s="771">
        <f>SUM(G29,J29,M29,P29,S29,V29,Y29)</f>
        <v/>
      </c>
      <c r="AC29" s="773" t="n"/>
      <c r="AD29" s="13" t="n"/>
      <c r="AE29" s="111" t="n"/>
    </row>
    <row r="30" ht="14.5" customFormat="1" customHeight="1" s="1">
      <c r="A30" s="5" t="n"/>
      <c r="B30" s="431" t="n"/>
      <c r="C30" s="478" t="inlineStr">
        <is>
          <t>年末余额</t>
        </is>
      </c>
      <c r="D30" s="479" t="inlineStr">
        <is>
          <t>Rx</t>
        </is>
      </c>
      <c r="E30" s="774">
        <f>E25+E26+E27+E28+E29</f>
        <v/>
      </c>
      <c r="F30" s="774">
        <f>F25+F26+F27+F28+F29</f>
        <v/>
      </c>
      <c r="G30" s="774">
        <f>G25+G26+G27+G28+G29</f>
        <v/>
      </c>
      <c r="H30" s="774">
        <f>H25+H26+H27+H28+H29</f>
        <v/>
      </c>
      <c r="I30" s="774">
        <f>I25+I26+I27+I28+I29</f>
        <v/>
      </c>
      <c r="J30" s="774">
        <f>J25+J26+J27+J28+J29</f>
        <v/>
      </c>
      <c r="K30" s="774">
        <f>K25+K26+K27+K28+K29</f>
        <v/>
      </c>
      <c r="L30" s="774">
        <f>L25+L26+L27+L28+L29</f>
        <v/>
      </c>
      <c r="M30" s="774">
        <f>M25+M26+M27+M28+M29</f>
        <v/>
      </c>
      <c r="N30" s="774">
        <f>N25+N26+N27+N28+N29</f>
        <v/>
      </c>
      <c r="O30" s="774">
        <f>O25+O26+O27+O28+O29</f>
        <v/>
      </c>
      <c r="P30" s="774">
        <f>P25+P26+P27+P28+P29</f>
        <v/>
      </c>
      <c r="Q30" s="774">
        <f>Q25+Q26+Q27+Q28+Q29</f>
        <v/>
      </c>
      <c r="R30" s="774">
        <f>R25+R26+R27+R28+R29</f>
        <v/>
      </c>
      <c r="S30" s="774">
        <f>S25+S26+S27+S28+S29</f>
        <v/>
      </c>
      <c r="T30" s="774">
        <f>T25+T26+T27+T28+T29</f>
        <v/>
      </c>
      <c r="U30" s="774">
        <f>U25+U26+U27+U28+U29</f>
        <v/>
      </c>
      <c r="V30" s="774">
        <f>V25+V26+V27+V28+V29</f>
        <v/>
      </c>
      <c r="W30" s="774">
        <f>W25+W26+W27+W28+W29</f>
        <v/>
      </c>
      <c r="X30" s="774">
        <f>X25+X26+X27+X28+X29</f>
        <v/>
      </c>
      <c r="Y30" s="774">
        <f>Y25+Y26+Y27+Y28+Y29</f>
        <v/>
      </c>
      <c r="Z30" s="774">
        <f>Z25+Z26+Z27+Z28+Z29</f>
        <v/>
      </c>
      <c r="AA30" s="774">
        <f>AA25+AA26+AA27+AA28+AA29</f>
        <v/>
      </c>
      <c r="AB30" s="774">
        <f>AB25+AB26+AB27+AB28+AB29</f>
        <v/>
      </c>
      <c r="AC30" s="772">
        <f>AB30-'K.00 Lead Sheet'!I51</f>
        <v/>
      </c>
      <c r="AD30" s="13" t="n"/>
      <c r="AE30" s="111" t="n"/>
    </row>
    <row r="31" ht="14.5" customFormat="1" customHeight="1" s="1">
      <c r="A31" s="5" t="n"/>
      <c r="B31" s="622" t="inlineStr">
        <is>
          <t>净值 (NBV)</t>
        </is>
      </c>
      <c r="C31" s="478" t="inlineStr">
        <is>
          <t>年初余额</t>
        </is>
      </c>
      <c r="D31" s="479" t="inlineStr">
        <is>
          <t>Rx</t>
        </is>
      </c>
      <c r="E31" s="771">
        <f>E12-E19-E25</f>
        <v/>
      </c>
      <c r="F31" s="775">
        <f>F12-F19-F25</f>
        <v/>
      </c>
      <c r="G31" s="771">
        <f>G12-G19-G25</f>
        <v/>
      </c>
      <c r="H31" s="771">
        <f>H12-H19-H25</f>
        <v/>
      </c>
      <c r="I31" s="771">
        <f>I12-I19-I25</f>
        <v/>
      </c>
      <c r="J31" s="771">
        <f>J12-J19-J25</f>
        <v/>
      </c>
      <c r="K31" s="771">
        <f>K12-K19-K25</f>
        <v/>
      </c>
      <c r="L31" s="771">
        <f>L12-L19-L25</f>
        <v/>
      </c>
      <c r="M31" s="771">
        <f>M12-M19-M25</f>
        <v/>
      </c>
      <c r="N31" s="771">
        <f>N12-N19-N25</f>
        <v/>
      </c>
      <c r="O31" s="771">
        <f>O12-O19-O25</f>
        <v/>
      </c>
      <c r="P31" s="771">
        <f>P12-P19-P25</f>
        <v/>
      </c>
      <c r="Q31" s="771">
        <f>Q12-Q19-Q25</f>
        <v/>
      </c>
      <c r="R31" s="771">
        <f>R12-R19-R25</f>
        <v/>
      </c>
      <c r="S31" s="771">
        <f>S12-S19-S25</f>
        <v/>
      </c>
      <c r="T31" s="771">
        <f>T12-T19-T25</f>
        <v/>
      </c>
      <c r="U31" s="771">
        <f>U12-U19-U25</f>
        <v/>
      </c>
      <c r="V31" s="771">
        <f>V12-V19-V25</f>
        <v/>
      </c>
      <c r="W31" s="771">
        <f>W12-W19-W25</f>
        <v/>
      </c>
      <c r="X31" s="771">
        <f>X12-X19-X25</f>
        <v/>
      </c>
      <c r="Y31" s="771">
        <f>Y12-Y19-Y25</f>
        <v/>
      </c>
      <c r="Z31" s="771">
        <f>Z12-Z19-Z25</f>
        <v/>
      </c>
      <c r="AA31" s="771">
        <f>AA12-AA19-AA25</f>
        <v/>
      </c>
      <c r="AB31" s="771">
        <f>AB12-AB19-AB25</f>
        <v/>
      </c>
      <c r="AC31" s="772">
        <f>AB31-'K.00 Lead Sheet'!J55</f>
        <v/>
      </c>
      <c r="AD31" s="13" t="n"/>
      <c r="AE31" s="111" t="n"/>
    </row>
    <row r="32" ht="14.5" customFormat="1" customHeight="1" s="1">
      <c r="A32" s="5" t="n"/>
      <c r="B32" s="431" t="n"/>
      <c r="C32" s="226" t="inlineStr">
        <is>
          <t>年末余额</t>
        </is>
      </c>
      <c r="D32" s="479" t="inlineStr">
        <is>
          <t>Rx</t>
        </is>
      </c>
      <c r="E32" s="776">
        <f>E18-E24-E30</f>
        <v/>
      </c>
      <c r="F32" s="774">
        <f>F18-F24-F30</f>
        <v/>
      </c>
      <c r="G32" s="777">
        <f>G18-G24-G30</f>
        <v/>
      </c>
      <c r="H32" s="774">
        <f>H18-H24-H30</f>
        <v/>
      </c>
      <c r="I32" s="774">
        <f>I18-I24-I30</f>
        <v/>
      </c>
      <c r="J32" s="774">
        <f>J18-J24-J30</f>
        <v/>
      </c>
      <c r="K32" s="774">
        <f>K18-K24-K30</f>
        <v/>
      </c>
      <c r="L32" s="774">
        <f>L18-L24-L30</f>
        <v/>
      </c>
      <c r="M32" s="774">
        <f>M18-M24-M30</f>
        <v/>
      </c>
      <c r="N32" s="774">
        <f>N18-N24-N30</f>
        <v/>
      </c>
      <c r="O32" s="774">
        <f>O18-O24-O30</f>
        <v/>
      </c>
      <c r="P32" s="774">
        <f>P18-P24-P30</f>
        <v/>
      </c>
      <c r="Q32" s="774">
        <f>Q18-Q24-Q30</f>
        <v/>
      </c>
      <c r="R32" s="774">
        <f>R18-R24-R30</f>
        <v/>
      </c>
      <c r="S32" s="774">
        <f>S18-S24-S30</f>
        <v/>
      </c>
      <c r="T32" s="774">
        <f>T18-T24-T30</f>
        <v/>
      </c>
      <c r="U32" s="774">
        <f>U18-U24-U30</f>
        <v/>
      </c>
      <c r="V32" s="774">
        <f>V18-V24-V30</f>
        <v/>
      </c>
      <c r="W32" s="774">
        <f>W18-W24-W30</f>
        <v/>
      </c>
      <c r="X32" s="774">
        <f>X18-X24-X30</f>
        <v/>
      </c>
      <c r="Y32" s="774">
        <f>Y18-Y24-Y30</f>
        <v/>
      </c>
      <c r="Z32" s="774">
        <f>Z18-Z24-Z30</f>
        <v/>
      </c>
      <c r="AA32" s="774">
        <f>AA18-AA24-AA30</f>
        <v/>
      </c>
      <c r="AB32" s="774">
        <f>AB18-AB24-AB30</f>
        <v/>
      </c>
      <c r="AC32" s="772">
        <f>AB32-'K.00 Lead Sheet'!I55</f>
        <v/>
      </c>
      <c r="AD32" s="13" t="n"/>
      <c r="AE32" s="111" t="n"/>
    </row>
    <row r="33" ht="14.5" customFormat="1" customHeight="1" s="1">
      <c r="A33" s="5" t="n"/>
      <c r="B33" s="778" t="inlineStr">
        <is>
          <t>变动</t>
        </is>
      </c>
      <c r="C33" s="483" t="inlineStr">
        <is>
          <t>原值变动金额</t>
        </is>
      </c>
      <c r="D33" s="484" t="inlineStr">
        <is>
          <t>本年VS上年</t>
        </is>
      </c>
      <c r="E33" s="771">
        <f>E18-E12</f>
        <v/>
      </c>
      <c r="F33" s="771" t="n"/>
      <c r="G33" s="771">
        <f>G18-G12</f>
        <v/>
      </c>
      <c r="H33" s="771">
        <f>H18-H12</f>
        <v/>
      </c>
      <c r="I33" s="771" t="n"/>
      <c r="J33" s="771">
        <f>J18-J12</f>
        <v/>
      </c>
      <c r="K33" s="771">
        <f>K18-K12</f>
        <v/>
      </c>
      <c r="L33" s="771" t="n"/>
      <c r="M33" s="771">
        <f>M18-M12</f>
        <v/>
      </c>
      <c r="N33" s="771">
        <f>N18-N12</f>
        <v/>
      </c>
      <c r="O33" s="771" t="n"/>
      <c r="P33" s="771">
        <f>P18-P12</f>
        <v/>
      </c>
      <c r="Q33" s="771">
        <f>Q18-Q12</f>
        <v/>
      </c>
      <c r="R33" s="771" t="n"/>
      <c r="S33" s="771">
        <f>S18-S12</f>
        <v/>
      </c>
      <c r="T33" s="771">
        <f>T18-T12</f>
        <v/>
      </c>
      <c r="U33" s="771" t="n"/>
      <c r="V33" s="771">
        <f>V18-V12</f>
        <v/>
      </c>
      <c r="W33" s="771">
        <f>W18-W12</f>
        <v/>
      </c>
      <c r="X33" s="771" t="n"/>
      <c r="Y33" s="771">
        <f>Y18-Y12</f>
        <v/>
      </c>
      <c r="Z33" s="771">
        <f>Z18-Z12</f>
        <v/>
      </c>
      <c r="AA33" s="771">
        <f>AA18-AA12</f>
        <v/>
      </c>
      <c r="AB33" s="771">
        <f>AB18-AB12</f>
        <v/>
      </c>
      <c r="AC33" s="771"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f>IFERROR(H33/H12,1)</f>
        <v/>
      </c>
      <c r="I34" s="485" t="n"/>
      <c r="J34" s="485">
        <f>IFERROR(J33/J12,1)</f>
        <v/>
      </c>
      <c r="K34" s="485">
        <f>IFERROR(K33/K12,1)</f>
        <v/>
      </c>
      <c r="L34" s="485" t="n"/>
      <c r="M34" s="485">
        <f>IFERROR(M33/M12,1)</f>
        <v/>
      </c>
      <c r="N34" s="485">
        <f>IFERROR(N33/N12,1)</f>
        <v/>
      </c>
      <c r="O34" s="485" t="n"/>
      <c r="P34" s="485">
        <f>IFERROR(P33/P12,1)</f>
        <v/>
      </c>
      <c r="Q34" s="485">
        <f>IFERROR(Q33/Q12,1)</f>
        <v/>
      </c>
      <c r="R34" s="485" t="n"/>
      <c r="S34" s="485">
        <f>IFERROR(S33/S12,1)</f>
        <v/>
      </c>
      <c r="T34" s="485">
        <f>IFERROR(T33/T12,1)</f>
        <v/>
      </c>
      <c r="U34" s="485" t="n"/>
      <c r="V34" s="485">
        <f>IFERROR(V33/V12,1)</f>
        <v/>
      </c>
      <c r="W34" s="485">
        <f>IFERROR(W33/W12,1)</f>
        <v/>
      </c>
      <c r="X34" s="485" t="n"/>
      <c r="Y34" s="485">
        <f>IFERROR(Y33/Y12,1)</f>
        <v/>
      </c>
      <c r="Z34" s="485">
        <f>IFERROR(Z33/Z12,1)</f>
        <v/>
      </c>
      <c r="AA34" s="485">
        <f>IFERROR(AA33/AA12,1)</f>
        <v/>
      </c>
      <c r="AB34" s="485">
        <f>IFERROR(AB33/AB12,1)</f>
        <v/>
      </c>
      <c r="AC34" s="779" t="n"/>
      <c r="AD34" s="13" t="n"/>
      <c r="AE34" s="111" t="n"/>
    </row>
    <row r="35" ht="14.5" customFormat="1" customHeight="1" s="1">
      <c r="A35" s="5" t="n"/>
      <c r="B35" s="713" t="n"/>
      <c r="C35" s="483" t="inlineStr">
        <is>
          <t>累计折旧变动金额</t>
        </is>
      </c>
      <c r="D35" s="484" t="inlineStr">
        <is>
          <t>本年VS上年</t>
        </is>
      </c>
      <c r="E35" s="779">
        <f>E24-E19</f>
        <v/>
      </c>
      <c r="F35" s="779" t="n"/>
      <c r="G35" s="779">
        <f>G24-G19</f>
        <v/>
      </c>
      <c r="H35" s="779">
        <f>H24-H19</f>
        <v/>
      </c>
      <c r="I35" s="779" t="n"/>
      <c r="J35" s="779">
        <f>J24-J19</f>
        <v/>
      </c>
      <c r="K35" s="779">
        <f>K24-K19</f>
        <v/>
      </c>
      <c r="L35" s="779" t="n"/>
      <c r="M35" s="779">
        <f>M24-M19</f>
        <v/>
      </c>
      <c r="N35" s="779">
        <f>N24-N19</f>
        <v/>
      </c>
      <c r="O35" s="779" t="n"/>
      <c r="P35" s="779">
        <f>P24-P19</f>
        <v/>
      </c>
      <c r="Q35" s="779">
        <f>Q24-Q19</f>
        <v/>
      </c>
      <c r="R35" s="779" t="n"/>
      <c r="S35" s="779">
        <f>S24-S19</f>
        <v/>
      </c>
      <c r="T35" s="779">
        <f>T24-T19</f>
        <v/>
      </c>
      <c r="U35" s="779" t="n"/>
      <c r="V35" s="779">
        <f>V24-V19</f>
        <v/>
      </c>
      <c r="W35" s="779">
        <f>W24-W19</f>
        <v/>
      </c>
      <c r="X35" s="779" t="n"/>
      <c r="Y35" s="779">
        <f>Y24-Y19</f>
        <v/>
      </c>
      <c r="Z35" s="779">
        <f>Z24-Z19</f>
        <v/>
      </c>
      <c r="AA35" s="779">
        <f>AA24-AA19</f>
        <v/>
      </c>
      <c r="AB35" s="779">
        <f>AB24-AB19</f>
        <v/>
      </c>
      <c r="AC35" s="779"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f>IFERROR(H35/H19,1)</f>
        <v/>
      </c>
      <c r="I36" s="485" t="n"/>
      <c r="J36" s="485">
        <f>IFERROR(J35/J19,1)</f>
        <v/>
      </c>
      <c r="K36" s="485">
        <f>IFERROR(K35/K19,1)</f>
        <v/>
      </c>
      <c r="L36" s="485" t="n"/>
      <c r="M36" s="485">
        <f>IFERROR(M35/M19,1)</f>
        <v/>
      </c>
      <c r="N36" s="485">
        <f>IFERROR(N35/N19,1)</f>
        <v/>
      </c>
      <c r="O36" s="485" t="n"/>
      <c r="P36" s="485">
        <f>IFERROR(P35/P19,1)</f>
        <v/>
      </c>
      <c r="Q36" s="485">
        <f>IFERROR(Q35/Q19,1)</f>
        <v/>
      </c>
      <c r="R36" s="485" t="n"/>
      <c r="S36" s="485">
        <f>IFERROR(S35/S19,1)</f>
        <v/>
      </c>
      <c r="T36" s="485">
        <f>IFERROR(T35/T19,1)</f>
        <v/>
      </c>
      <c r="U36" s="485" t="n"/>
      <c r="V36" s="485">
        <f>IFERROR(V35/V19,1)</f>
        <v/>
      </c>
      <c r="W36" s="485">
        <f>IFERROR(W35/W19,1)</f>
        <v/>
      </c>
      <c r="X36" s="485" t="n"/>
      <c r="Y36" s="485">
        <f>IFERROR(Y35/Y19,1)</f>
        <v/>
      </c>
      <c r="Z36" s="485">
        <f>IFERROR(Z35/Z19,1)</f>
        <v/>
      </c>
      <c r="AA36" s="485">
        <f>IFERROR(AA35/AA19,1)</f>
        <v/>
      </c>
      <c r="AB36" s="485">
        <f>IFERROR(AB35/AB19,1)</f>
        <v/>
      </c>
      <c r="AC36" s="779" t="n"/>
      <c r="AD36" s="13" t="n"/>
      <c r="AE36" s="111" t="n"/>
    </row>
    <row r="37" ht="14.5" customFormat="1" customHeight="1" s="1">
      <c r="A37" s="5" t="n"/>
      <c r="B37" s="713" t="n"/>
      <c r="C37" s="483" t="inlineStr">
        <is>
          <t>减值准备变动金额</t>
        </is>
      </c>
      <c r="D37" s="484" t="inlineStr">
        <is>
          <t>本年VS上年</t>
        </is>
      </c>
      <c r="E37" s="779">
        <f>E30-E25</f>
        <v/>
      </c>
      <c r="F37" s="779" t="n"/>
      <c r="G37" s="779">
        <f>G30-G25</f>
        <v/>
      </c>
      <c r="H37" s="779">
        <f>H30-H25</f>
        <v/>
      </c>
      <c r="I37" s="779" t="n"/>
      <c r="J37" s="779">
        <f>J30-J25</f>
        <v/>
      </c>
      <c r="K37" s="779">
        <f>K30-K25</f>
        <v/>
      </c>
      <c r="L37" s="779" t="n"/>
      <c r="M37" s="779">
        <f>M30-M25</f>
        <v/>
      </c>
      <c r="N37" s="779">
        <f>N30-N25</f>
        <v/>
      </c>
      <c r="O37" s="779" t="n"/>
      <c r="P37" s="779">
        <f>P30-P25</f>
        <v/>
      </c>
      <c r="Q37" s="779">
        <f>Q30-Q25</f>
        <v/>
      </c>
      <c r="R37" s="779" t="n"/>
      <c r="S37" s="779">
        <f>S30-S25</f>
        <v/>
      </c>
      <c r="T37" s="779">
        <f>T30-T25</f>
        <v/>
      </c>
      <c r="U37" s="779" t="n"/>
      <c r="V37" s="779">
        <f>V30-V25</f>
        <v/>
      </c>
      <c r="W37" s="779">
        <f>W30-W25</f>
        <v/>
      </c>
      <c r="X37" s="779" t="n"/>
      <c r="Y37" s="779">
        <f>Y30-Y25</f>
        <v/>
      </c>
      <c r="Z37" s="779">
        <f>Z30-Z25</f>
        <v/>
      </c>
      <c r="AA37" s="779">
        <f>AA30-AA25</f>
        <v/>
      </c>
      <c r="AB37" s="779">
        <f>AB30-AB25</f>
        <v/>
      </c>
      <c r="AC37" s="779"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f>IFERROR(H37/H25,1)</f>
        <v/>
      </c>
      <c r="I38" s="485" t="n"/>
      <c r="J38" s="485">
        <f>IFERROR(J37/J25,1)</f>
        <v/>
      </c>
      <c r="K38" s="485">
        <f>IFERROR(K37/K25,1)</f>
        <v/>
      </c>
      <c r="L38" s="485" t="n"/>
      <c r="M38" s="485">
        <f>IFERROR(M37/M25,1)</f>
        <v/>
      </c>
      <c r="N38" s="485">
        <f>IFERROR(N37/N25,1)</f>
        <v/>
      </c>
      <c r="O38" s="485" t="n"/>
      <c r="P38" s="485">
        <f>IFERROR(P37/P25,1)</f>
        <v/>
      </c>
      <c r="Q38" s="485">
        <f>IFERROR(Q37/Q25,1)</f>
        <v/>
      </c>
      <c r="R38" s="485" t="n"/>
      <c r="S38" s="485">
        <f>IFERROR(S37/S25,1)</f>
        <v/>
      </c>
      <c r="T38" s="485">
        <f>IFERROR(T37/T25,1)</f>
        <v/>
      </c>
      <c r="U38" s="485" t="n"/>
      <c r="V38" s="485">
        <f>IFERROR(V37/V25,1)</f>
        <v/>
      </c>
      <c r="W38" s="485">
        <f>IFERROR(W37/W25,1)</f>
        <v/>
      </c>
      <c r="X38" s="485" t="n"/>
      <c r="Y38" s="485">
        <f>IFERROR(Y37/Y25,1)</f>
        <v/>
      </c>
      <c r="Z38" s="485">
        <f>IFERROR(Z37/Z25,1)</f>
        <v/>
      </c>
      <c r="AA38" s="485">
        <f>IFERROR(AA37/AA25,1)</f>
        <v/>
      </c>
      <c r="AB38" s="485">
        <f>IFERROR(AB37/AB25,1)</f>
        <v/>
      </c>
      <c r="AC38" s="779" t="n"/>
      <c r="AD38" s="13" t="n"/>
      <c r="AE38" s="111" t="n"/>
    </row>
    <row r="39" ht="14.65" customFormat="1" customHeight="1" s="1">
      <c r="A39" s="5" t="n"/>
      <c r="B39" s="713" t="n"/>
      <c r="C39" s="483" t="inlineStr">
        <is>
          <t>净值变动金额</t>
        </is>
      </c>
      <c r="D39" s="484" t="inlineStr">
        <is>
          <t>本年VS上年</t>
        </is>
      </c>
      <c r="E39" s="779">
        <f>E32-E31</f>
        <v/>
      </c>
      <c r="F39" s="779" t="n"/>
      <c r="G39" s="779">
        <f>G32-G31</f>
        <v/>
      </c>
      <c r="H39" s="779">
        <f>H32-H31</f>
        <v/>
      </c>
      <c r="I39" s="779" t="n"/>
      <c r="J39" s="779">
        <f>J32-J31</f>
        <v/>
      </c>
      <c r="K39" s="779">
        <f>K32-K31</f>
        <v/>
      </c>
      <c r="L39" s="779" t="n"/>
      <c r="M39" s="779">
        <f>M32-M31</f>
        <v/>
      </c>
      <c r="N39" s="779">
        <f>N32-N31</f>
        <v/>
      </c>
      <c r="O39" s="779" t="n"/>
      <c r="P39" s="779">
        <f>P32-P31</f>
        <v/>
      </c>
      <c r="Q39" s="779">
        <f>Q32-Q31</f>
        <v/>
      </c>
      <c r="R39" s="779" t="n"/>
      <c r="S39" s="779">
        <f>S32-S31</f>
        <v/>
      </c>
      <c r="T39" s="779">
        <f>T32-T31</f>
        <v/>
      </c>
      <c r="U39" s="779" t="n"/>
      <c r="V39" s="779">
        <f>V32-V31</f>
        <v/>
      </c>
      <c r="W39" s="779">
        <f>W32-W31</f>
        <v/>
      </c>
      <c r="X39" s="779" t="n"/>
      <c r="Y39" s="779">
        <f>Y32-Y31</f>
        <v/>
      </c>
      <c r="Z39" s="779">
        <f>Z32-Z31</f>
        <v/>
      </c>
      <c r="AA39" s="779">
        <f>AA32-AA31</f>
        <v/>
      </c>
      <c r="AB39" s="779">
        <f>AB32-AB31</f>
        <v/>
      </c>
      <c r="AC39" s="779"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f>IFERROR(H39/H31,1)</f>
        <v/>
      </c>
      <c r="I40" s="485" t="n"/>
      <c r="J40" s="485">
        <f>IFERROR(J39/J31,1)</f>
        <v/>
      </c>
      <c r="K40" s="485">
        <f>IFERROR(K39/K31,1)</f>
        <v/>
      </c>
      <c r="L40" s="485" t="n"/>
      <c r="M40" s="485">
        <f>IFERROR(M39/M31,1)</f>
        <v/>
      </c>
      <c r="N40" s="485">
        <f>IFERROR(N39/N31,1)</f>
        <v/>
      </c>
      <c r="O40" s="485" t="n"/>
      <c r="P40" s="485">
        <f>IFERROR(P39/P31,1)</f>
        <v/>
      </c>
      <c r="Q40" s="485">
        <f>IFERROR(Q39/Q31,1)</f>
        <v/>
      </c>
      <c r="R40" s="485" t="n"/>
      <c r="S40" s="485">
        <f>IFERROR(S39/S31,1)</f>
        <v/>
      </c>
      <c r="T40" s="485">
        <f>IFERROR(T39/T31,1)</f>
        <v/>
      </c>
      <c r="U40" s="485" t="n"/>
      <c r="V40" s="485">
        <f>IFERROR(V39/V31,1)</f>
        <v/>
      </c>
      <c r="W40" s="485">
        <f>IFERROR(W39/W31,1)</f>
        <v/>
      </c>
      <c r="X40" s="485" t="n"/>
      <c r="Y40" s="485">
        <f>IFERROR(Y39/Y31,1)</f>
        <v/>
      </c>
      <c r="Z40" s="485">
        <f>IFERROR(Z39/Z31,1)</f>
        <v/>
      </c>
      <c r="AA40" s="485">
        <f>IFERROR(AA39/AA31,1)</f>
        <v/>
      </c>
      <c r="AB40" s="485">
        <f>IFERROR(AB39/AB31,1)</f>
        <v/>
      </c>
      <c r="AC40" s="779" t="n"/>
      <c r="AD40" s="13" t="n"/>
      <c r="AE40" s="111" t="n"/>
    </row>
    <row r="41" ht="14.65" customFormat="1" customHeight="1" s="1">
      <c r="A41" s="5" t="n"/>
      <c r="B41" s="176" t="n"/>
      <c r="C41" s="177" t="n"/>
      <c r="D41" s="161" t="n"/>
      <c r="E41" s="166" t="n"/>
      <c r="F41" s="166" t="n"/>
      <c r="G41" s="166" t="n"/>
      <c r="H41" s="166" t="n"/>
      <c r="I41" s="166" t="n"/>
      <c r="J41" s="166" t="n"/>
      <c r="K41" s="166" t="n"/>
      <c r="L41" s="166" t="n"/>
      <c r="M41" s="166" t="n"/>
      <c r="N41" s="166" t="n"/>
      <c r="O41" s="166" t="n"/>
      <c r="P41" s="166" t="n"/>
      <c r="Q41" s="166" t="n"/>
      <c r="R41" s="166" t="n"/>
      <c r="S41" s="166" t="n"/>
      <c r="T41" s="166" t="n"/>
      <c r="U41" s="166" t="n"/>
      <c r="V41" s="166" t="n"/>
      <c r="W41" s="166" t="n"/>
      <c r="X41" s="166" t="n"/>
      <c r="Y41" s="166" t="n"/>
      <c r="Z41" s="166" t="n"/>
      <c r="AA41" s="166" t="n"/>
      <c r="AB41" s="166" t="n"/>
      <c r="AC41" s="780" t="n"/>
      <c r="AD41" s="13" t="n"/>
      <c r="AE41" s="111" t="n"/>
    </row>
    <row r="42" ht="14.5" customFormat="1" customHeight="1" s="1">
      <c r="A42" s="185" t="n"/>
      <c r="B42" s="781" t="inlineStr">
        <is>
          <t>TB-原值</t>
        </is>
      </c>
      <c r="C42" s="782" t="n"/>
      <c r="D42" s="782" t="n"/>
      <c r="E42" s="783" t="n"/>
      <c r="F42" s="784" t="n"/>
      <c r="G42" s="784" t="n"/>
      <c r="H42" s="783" t="n"/>
      <c r="I42" s="784" t="n"/>
      <c r="J42" s="782" t="n"/>
      <c r="K42" s="783" t="n"/>
      <c r="L42" s="782" t="n"/>
      <c r="M42" s="784" t="n"/>
      <c r="N42" s="783" t="n"/>
      <c r="O42" s="784" t="n"/>
      <c r="P42" s="784" t="n"/>
      <c r="Q42" s="783" t="n"/>
      <c r="R42" s="784" t="n"/>
      <c r="S42" s="782" t="n"/>
      <c r="T42" s="783" t="n"/>
      <c r="U42" s="785" t="n"/>
      <c r="V42" s="785" t="n"/>
      <c r="W42" s="783" t="n"/>
      <c r="X42" s="785" t="n"/>
      <c r="Y42" s="785" t="n"/>
      <c r="Z42" s="783">
        <f>SUM(E42,H42,K42,N42,Q42,T42,W42)</f>
        <v/>
      </c>
      <c r="AA42" s="785"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6" t="n"/>
      <c r="B43" s="781" t="inlineStr">
        <is>
          <t>差异</t>
        </is>
      </c>
      <c r="C43" s="787" t="n"/>
      <c r="D43" s="788" t="n"/>
      <c r="E43" s="789">
        <f>E18-E42</f>
        <v/>
      </c>
      <c r="F43" s="789" t="n"/>
      <c r="G43" s="789" t="n"/>
      <c r="H43" s="789">
        <f>H18-H42</f>
        <v/>
      </c>
      <c r="I43" s="789" t="n"/>
      <c r="J43" s="789" t="n"/>
      <c r="K43" s="789">
        <f>K18-K42</f>
        <v/>
      </c>
      <c r="L43" s="789" t="n"/>
      <c r="M43" s="789" t="n"/>
      <c r="N43" s="789">
        <f>N18-N42</f>
        <v/>
      </c>
      <c r="O43" s="789" t="n"/>
      <c r="P43" s="789" t="n"/>
      <c r="Q43" s="789">
        <f>Q18-Q42</f>
        <v/>
      </c>
      <c r="R43" s="789" t="n"/>
      <c r="S43" s="789" t="n"/>
      <c r="T43" s="789">
        <f>T18-T42</f>
        <v/>
      </c>
      <c r="U43" s="790" t="n"/>
      <c r="V43" s="790" t="n"/>
      <c r="W43" s="789">
        <f>W18-W42</f>
        <v/>
      </c>
      <c r="X43" s="790" t="n"/>
      <c r="Y43" s="790" t="n"/>
      <c r="Z43" s="789">
        <f>Z18-Z42</f>
        <v/>
      </c>
      <c r="AA43" s="790" t="n"/>
      <c r="AB43" s="791" t="n"/>
      <c r="AC43" s="791" t="n"/>
      <c r="AE43" s="111" t="n"/>
      <c r="AF43" s="792" t="n"/>
      <c r="AG43" s="792" t="n"/>
      <c r="AH43" s="792" t="n"/>
      <c r="AI43" s="792" t="n"/>
      <c r="AJ43" s="792" t="n"/>
      <c r="AK43" s="792" t="n"/>
      <c r="AL43" s="792" t="n"/>
      <c r="AM43" s="792" t="n"/>
      <c r="AN43" s="792" t="n"/>
      <c r="AO43" s="792" t="n"/>
      <c r="AP43" s="792" t="n"/>
      <c r="AQ43" s="792" t="n"/>
      <c r="AR43" s="792" t="n"/>
      <c r="AS43" s="792" t="n"/>
      <c r="AT43" s="792" t="n"/>
      <c r="AU43" s="792" t="n"/>
      <c r="AV43" s="792" t="n"/>
      <c r="AW43" s="792" t="n"/>
      <c r="AX43" s="792" t="n"/>
      <c r="AY43" s="792" t="n"/>
      <c r="AZ43" s="792" t="n"/>
      <c r="BA43" s="792" t="n"/>
      <c r="BB43" s="792" t="n"/>
      <c r="BC43" s="792" t="n"/>
      <c r="BD43" s="792" t="n"/>
      <c r="BE43" s="792" t="n"/>
      <c r="BF43" s="792" t="n"/>
      <c r="BG43" s="792" t="n"/>
      <c r="BH43" s="792" t="n"/>
      <c r="BI43" s="792" t="n"/>
      <c r="BJ43" s="792" t="n"/>
      <c r="BK43" s="792" t="n"/>
      <c r="BL43" s="792" t="n"/>
      <c r="BM43" s="792" t="n"/>
      <c r="BN43" s="792" t="n"/>
      <c r="BO43" s="792" t="n"/>
      <c r="BP43" s="792" t="n"/>
      <c r="BQ43" s="792" t="n"/>
      <c r="BR43" s="792" t="n"/>
      <c r="BS43" s="792" t="n"/>
      <c r="BT43" s="792" t="n"/>
      <c r="BU43" s="792" t="n"/>
      <c r="BV43" s="792" t="n"/>
      <c r="BW43" s="792" t="n"/>
      <c r="BX43" s="792" t="n"/>
      <c r="BY43" s="792" t="n"/>
      <c r="BZ43" s="792" t="n"/>
      <c r="CA43" s="792" t="n"/>
      <c r="CB43" s="792" t="n"/>
      <c r="CC43" s="792" t="n"/>
      <c r="CD43" s="792" t="n"/>
      <c r="CE43" s="792" t="n"/>
      <c r="CF43" s="792" t="n"/>
      <c r="CG43" s="792" t="n"/>
      <c r="CH43" s="792" t="n"/>
      <c r="CI43" s="792" t="n"/>
      <c r="CJ43" s="792" t="n"/>
      <c r="CK43" s="792" t="n"/>
      <c r="CL43" s="792" t="n"/>
      <c r="CM43" s="792" t="n"/>
      <c r="CN43" s="792" t="n"/>
      <c r="CO43" s="792" t="n"/>
      <c r="CP43" s="792" t="n"/>
      <c r="CQ43" s="792" t="n"/>
      <c r="CR43" s="792" t="n"/>
      <c r="CS43" s="792" t="n"/>
      <c r="CT43" s="792" t="n"/>
      <c r="CU43" s="792" t="n"/>
      <c r="CV43" s="792" t="n"/>
      <c r="CW43" s="792" t="n"/>
      <c r="CX43" s="792" t="n"/>
      <c r="CY43" s="792" t="n"/>
      <c r="CZ43" s="792" t="n"/>
      <c r="DA43" s="792" t="n"/>
      <c r="DB43" s="792" t="n"/>
      <c r="DC43" s="792" t="n"/>
      <c r="DD43" s="792" t="n"/>
      <c r="DE43" s="792" t="n"/>
      <c r="DF43" s="792" t="n"/>
    </row>
    <row r="44" ht="14.5" customFormat="1" customHeight="1" s="793">
      <c r="A44" s="786" t="n"/>
      <c r="B44" s="781" t="inlineStr">
        <is>
          <t>TB-累计折旧</t>
        </is>
      </c>
      <c r="C44" s="787" t="n"/>
      <c r="D44" s="788" t="n"/>
      <c r="E44" s="783" t="n"/>
      <c r="F44" s="784" t="n"/>
      <c r="G44" s="784" t="n"/>
      <c r="H44" s="783" t="n"/>
      <c r="I44" s="784" t="n"/>
      <c r="J44" s="782" t="n"/>
      <c r="K44" s="783" t="n"/>
      <c r="L44" s="782" t="n"/>
      <c r="M44" s="784" t="n"/>
      <c r="N44" s="783" t="n"/>
      <c r="O44" s="784" t="n"/>
      <c r="P44" s="784" t="n"/>
      <c r="Q44" s="783" t="n"/>
      <c r="R44" s="789" t="n"/>
      <c r="S44" s="789" t="n"/>
      <c r="T44" s="783" t="n"/>
      <c r="U44" s="790" t="n"/>
      <c r="V44" s="790" t="n"/>
      <c r="W44" s="783" t="n"/>
      <c r="X44" s="790" t="n"/>
      <c r="Y44" s="790" t="n"/>
      <c r="Z44" s="783">
        <f>SUM(E44,H44,K44,N44,Q44,T44,W44)</f>
        <v/>
      </c>
      <c r="AA44" s="790" t="n"/>
      <c r="AB44" s="791" t="n"/>
      <c r="AC44" s="791" t="n"/>
      <c r="AD44" s="13" t="n"/>
      <c r="AE44" s="111" t="n"/>
      <c r="AF44" s="792" t="n"/>
      <c r="AG44" s="792" t="n"/>
      <c r="AH44" s="792" t="n"/>
      <c r="AI44" s="792" t="n"/>
      <c r="AJ44" s="792" t="n"/>
      <c r="AK44" s="792" t="n"/>
      <c r="AL44" s="792" t="n"/>
      <c r="AM44" s="792" t="n"/>
      <c r="AN44" s="792" t="n"/>
      <c r="AO44" s="792" t="n"/>
      <c r="AP44" s="792" t="n"/>
      <c r="AQ44" s="792" t="n"/>
      <c r="AR44" s="792" t="n"/>
      <c r="AS44" s="792" t="n"/>
      <c r="AT44" s="792" t="n"/>
      <c r="AU44" s="792" t="n"/>
      <c r="AV44" s="792" t="n"/>
      <c r="AW44" s="792" t="n"/>
      <c r="AX44" s="792" t="n"/>
      <c r="AY44" s="792" t="n"/>
      <c r="AZ44" s="792" t="n"/>
      <c r="BA44" s="792" t="n"/>
      <c r="BB44" s="792" t="n"/>
      <c r="BC44" s="792" t="n"/>
      <c r="BD44" s="792" t="n"/>
      <c r="BE44" s="792" t="n"/>
      <c r="BF44" s="792" t="n"/>
      <c r="BG44" s="792" t="n"/>
      <c r="BH44" s="792" t="n"/>
      <c r="BI44" s="792" t="n"/>
      <c r="BJ44" s="792" t="n"/>
      <c r="BK44" s="792" t="n"/>
      <c r="BL44" s="792" t="n"/>
      <c r="BM44" s="792" t="n"/>
      <c r="BN44" s="792" t="n"/>
      <c r="BO44" s="792" t="n"/>
      <c r="BP44" s="792" t="n"/>
      <c r="BQ44" s="792" t="n"/>
      <c r="BR44" s="792" t="n"/>
      <c r="BS44" s="792" t="n"/>
      <c r="BT44" s="792" t="n"/>
      <c r="BU44" s="792" t="n"/>
      <c r="BV44" s="792" t="n"/>
      <c r="BW44" s="792" t="n"/>
      <c r="BX44" s="792" t="n"/>
      <c r="BY44" s="792" t="n"/>
      <c r="BZ44" s="792" t="n"/>
      <c r="CA44" s="792" t="n"/>
      <c r="CB44" s="792" t="n"/>
      <c r="CC44" s="792" t="n"/>
      <c r="CD44" s="792" t="n"/>
      <c r="CE44" s="792" t="n"/>
      <c r="CF44" s="792" t="n"/>
      <c r="CG44" s="792" t="n"/>
      <c r="CH44" s="792" t="n"/>
      <c r="CI44" s="792" t="n"/>
      <c r="CJ44" s="792" t="n"/>
      <c r="CK44" s="792" t="n"/>
      <c r="CL44" s="792" t="n"/>
      <c r="CM44" s="792" t="n"/>
      <c r="CN44" s="792" t="n"/>
      <c r="CO44" s="792" t="n"/>
      <c r="CP44" s="792" t="n"/>
      <c r="CQ44" s="792" t="n"/>
      <c r="CR44" s="792" t="n"/>
      <c r="CS44" s="792" t="n"/>
      <c r="CT44" s="792" t="n"/>
      <c r="CU44" s="792" t="n"/>
      <c r="CV44" s="792" t="n"/>
      <c r="CW44" s="792" t="n"/>
      <c r="CX44" s="792" t="n"/>
      <c r="CY44" s="792" t="n"/>
      <c r="CZ44" s="792" t="n"/>
      <c r="DA44" s="792" t="n"/>
      <c r="DB44" s="792" t="n"/>
      <c r="DC44" s="792" t="n"/>
      <c r="DD44" s="792" t="n"/>
      <c r="DE44" s="792" t="n"/>
      <c r="DF44" s="792" t="n"/>
    </row>
    <row r="45" ht="14.5" customFormat="1" customHeight="1" s="793">
      <c r="A45" s="786" t="n"/>
      <c r="B45" s="781" t="inlineStr">
        <is>
          <t>差异</t>
        </is>
      </c>
      <c r="C45" s="787" t="n"/>
      <c r="D45" s="788" t="n"/>
      <c r="E45" s="789">
        <f>E24-E44</f>
        <v/>
      </c>
      <c r="F45" s="789" t="n"/>
      <c r="G45" s="789" t="n"/>
      <c r="H45" s="789">
        <f>H24-H44</f>
        <v/>
      </c>
      <c r="I45" s="789" t="n"/>
      <c r="J45" s="789" t="n"/>
      <c r="K45" s="789">
        <f>K24-K44</f>
        <v/>
      </c>
      <c r="L45" s="789" t="n"/>
      <c r="M45" s="789" t="n"/>
      <c r="N45" s="789">
        <f>N24-N44</f>
        <v/>
      </c>
      <c r="O45" s="789" t="n"/>
      <c r="P45" s="789" t="n"/>
      <c r="Q45" s="789">
        <f>Q24-Q44</f>
        <v/>
      </c>
      <c r="R45" s="789" t="n"/>
      <c r="S45" s="789" t="n"/>
      <c r="T45" s="789">
        <f>T24-T44</f>
        <v/>
      </c>
      <c r="U45" s="790" t="n"/>
      <c r="V45" s="790" t="n"/>
      <c r="W45" s="789">
        <f>W24-W44</f>
        <v/>
      </c>
      <c r="X45" s="790" t="n"/>
      <c r="Y45" s="790" t="n"/>
      <c r="Z45" s="789">
        <f>Z24-Z44</f>
        <v/>
      </c>
      <c r="AA45" s="790" t="n"/>
      <c r="AB45" s="791" t="n"/>
      <c r="AC45" s="791" t="n"/>
      <c r="AD45" s="13" t="n"/>
      <c r="AE45" s="111" t="n"/>
      <c r="AF45" s="792" t="n"/>
      <c r="AG45" s="792" t="n"/>
      <c r="AH45" s="792" t="n"/>
      <c r="AI45" s="792" t="n"/>
      <c r="AJ45" s="792" t="n"/>
      <c r="AK45" s="792" t="n"/>
      <c r="AL45" s="792" t="n"/>
      <c r="AM45" s="792" t="n"/>
      <c r="AN45" s="792" t="n"/>
      <c r="AO45" s="792" t="n"/>
      <c r="AP45" s="792" t="n"/>
      <c r="AQ45" s="792" t="n"/>
      <c r="AR45" s="792" t="n"/>
      <c r="AS45" s="792" t="n"/>
      <c r="AT45" s="792" t="n"/>
      <c r="AU45" s="792" t="n"/>
      <c r="AV45" s="792" t="n"/>
      <c r="AW45" s="792" t="n"/>
      <c r="AX45" s="792" t="n"/>
      <c r="AY45" s="792" t="n"/>
      <c r="AZ45" s="792" t="n"/>
      <c r="BA45" s="792" t="n"/>
      <c r="BB45" s="792" t="n"/>
      <c r="BC45" s="792" t="n"/>
      <c r="BD45" s="792" t="n"/>
      <c r="BE45" s="792" t="n"/>
      <c r="BF45" s="792" t="n"/>
      <c r="BG45" s="792" t="n"/>
      <c r="BH45" s="792" t="n"/>
      <c r="BI45" s="792" t="n"/>
      <c r="BJ45" s="792" t="n"/>
      <c r="BK45" s="792" t="n"/>
      <c r="BL45" s="792" t="n"/>
      <c r="BM45" s="792" t="n"/>
      <c r="BN45" s="792" t="n"/>
      <c r="BO45" s="792" t="n"/>
      <c r="BP45" s="792" t="n"/>
      <c r="BQ45" s="792" t="n"/>
      <c r="BR45" s="792" t="n"/>
      <c r="BS45" s="792" t="n"/>
      <c r="BT45" s="792" t="n"/>
      <c r="BU45" s="792" t="n"/>
      <c r="BV45" s="792" t="n"/>
      <c r="BW45" s="792" t="n"/>
      <c r="BX45" s="792" t="n"/>
      <c r="BY45" s="792" t="n"/>
      <c r="BZ45" s="792" t="n"/>
      <c r="CA45" s="792" t="n"/>
      <c r="CB45" s="792" t="n"/>
      <c r="CC45" s="792" t="n"/>
      <c r="CD45" s="792" t="n"/>
      <c r="CE45" s="792" t="n"/>
      <c r="CF45" s="792" t="n"/>
      <c r="CG45" s="792" t="n"/>
      <c r="CH45" s="792" t="n"/>
      <c r="CI45" s="792" t="n"/>
      <c r="CJ45" s="792" t="n"/>
      <c r="CK45" s="792" t="n"/>
      <c r="CL45" s="792" t="n"/>
      <c r="CM45" s="792" t="n"/>
      <c r="CN45" s="792" t="n"/>
      <c r="CO45" s="792" t="n"/>
      <c r="CP45" s="792" t="n"/>
      <c r="CQ45" s="792" t="n"/>
      <c r="CR45" s="792" t="n"/>
      <c r="CS45" s="792" t="n"/>
      <c r="CT45" s="792" t="n"/>
      <c r="CU45" s="792" t="n"/>
      <c r="CV45" s="792" t="n"/>
      <c r="CW45" s="792" t="n"/>
      <c r="CX45" s="792" t="n"/>
      <c r="CY45" s="792" t="n"/>
      <c r="CZ45" s="792" t="n"/>
      <c r="DA45" s="792" t="n"/>
      <c r="DB45" s="792" t="n"/>
      <c r="DC45" s="792" t="n"/>
      <c r="DD45" s="792" t="n"/>
      <c r="DE45" s="792" t="n"/>
      <c r="DF45" s="792" t="n"/>
    </row>
    <row r="46" ht="14.5" customFormat="1" customHeight="1" s="793">
      <c r="A46" s="786" t="n"/>
      <c r="B46" s="781" t="inlineStr">
        <is>
          <t>TB-减值准备</t>
        </is>
      </c>
      <c r="C46" s="787" t="n"/>
      <c r="D46" s="788" t="n"/>
      <c r="E46" s="783" t="n"/>
      <c r="F46" s="784" t="n"/>
      <c r="G46" s="784" t="n"/>
      <c r="H46" s="783" t="n"/>
      <c r="I46" s="784" t="n"/>
      <c r="J46" s="782" t="n"/>
      <c r="K46" s="783" t="n"/>
      <c r="L46" s="782" t="n"/>
      <c r="M46" s="784" t="n"/>
      <c r="N46" s="783" t="n"/>
      <c r="O46" s="784" t="n"/>
      <c r="P46" s="784" t="n"/>
      <c r="Q46" s="783" t="n"/>
      <c r="R46" s="789" t="n"/>
      <c r="S46" s="789" t="n"/>
      <c r="T46" s="783" t="n"/>
      <c r="U46" s="790" t="n"/>
      <c r="V46" s="790" t="n"/>
      <c r="W46" s="783" t="n"/>
      <c r="X46" s="790" t="n"/>
      <c r="Y46" s="790" t="n"/>
      <c r="Z46" s="783">
        <f>SUM(E46,H46,K46,N46,Q46,T46,W46)</f>
        <v/>
      </c>
      <c r="AA46" s="790" t="n"/>
      <c r="AB46" s="791" t="n"/>
      <c r="AC46" s="791" t="n"/>
      <c r="AD46" s="13" t="n"/>
      <c r="AE46" s="111" t="n"/>
      <c r="AF46" s="792" t="n"/>
      <c r="AG46" s="792" t="n"/>
      <c r="AH46" s="792" t="n"/>
      <c r="AI46" s="792" t="n"/>
      <c r="AJ46" s="792" t="n"/>
      <c r="AK46" s="792" t="n"/>
      <c r="AL46" s="792" t="n"/>
      <c r="AM46" s="792" t="n"/>
      <c r="AN46" s="792" t="n"/>
      <c r="AO46" s="792" t="n"/>
      <c r="AP46" s="792" t="n"/>
      <c r="AQ46" s="792" t="n"/>
      <c r="AR46" s="792" t="n"/>
      <c r="AS46" s="792" t="n"/>
      <c r="AT46" s="792" t="n"/>
      <c r="AU46" s="792" t="n"/>
      <c r="AV46" s="792" t="n"/>
      <c r="AW46" s="792" t="n"/>
      <c r="AX46" s="792" t="n"/>
      <c r="AY46" s="792" t="n"/>
      <c r="AZ46" s="792" t="n"/>
      <c r="BA46" s="792" t="n"/>
      <c r="BB46" s="792" t="n"/>
      <c r="BC46" s="792" t="n"/>
      <c r="BD46" s="792" t="n"/>
      <c r="BE46" s="792" t="n"/>
      <c r="BF46" s="792" t="n"/>
      <c r="BG46" s="792" t="n"/>
      <c r="BH46" s="792" t="n"/>
      <c r="BI46" s="792" t="n"/>
      <c r="BJ46" s="792" t="n"/>
      <c r="BK46" s="792" t="n"/>
      <c r="BL46" s="792" t="n"/>
      <c r="BM46" s="792" t="n"/>
      <c r="BN46" s="792" t="n"/>
      <c r="BO46" s="792" t="n"/>
      <c r="BP46" s="792" t="n"/>
      <c r="BQ46" s="792" t="n"/>
      <c r="BR46" s="792" t="n"/>
      <c r="BS46" s="792" t="n"/>
      <c r="BT46" s="792" t="n"/>
      <c r="BU46" s="792" t="n"/>
      <c r="BV46" s="792" t="n"/>
      <c r="BW46" s="792" t="n"/>
      <c r="BX46" s="792" t="n"/>
      <c r="BY46" s="792" t="n"/>
      <c r="BZ46" s="792" t="n"/>
      <c r="CA46" s="792" t="n"/>
      <c r="CB46" s="792" t="n"/>
      <c r="CC46" s="792" t="n"/>
      <c r="CD46" s="792" t="n"/>
      <c r="CE46" s="792" t="n"/>
      <c r="CF46" s="792" t="n"/>
      <c r="CG46" s="792" t="n"/>
      <c r="CH46" s="792" t="n"/>
      <c r="CI46" s="792" t="n"/>
      <c r="CJ46" s="792" t="n"/>
      <c r="CK46" s="792" t="n"/>
      <c r="CL46" s="792" t="n"/>
      <c r="CM46" s="792" t="n"/>
      <c r="CN46" s="792" t="n"/>
      <c r="CO46" s="792" t="n"/>
      <c r="CP46" s="792" t="n"/>
      <c r="CQ46" s="792" t="n"/>
      <c r="CR46" s="792" t="n"/>
      <c r="CS46" s="792" t="n"/>
      <c r="CT46" s="792" t="n"/>
      <c r="CU46" s="792" t="n"/>
      <c r="CV46" s="792" t="n"/>
      <c r="CW46" s="792" t="n"/>
      <c r="CX46" s="792" t="n"/>
      <c r="CY46" s="792" t="n"/>
      <c r="CZ46" s="792" t="n"/>
      <c r="DA46" s="792" t="n"/>
      <c r="DB46" s="792" t="n"/>
      <c r="DC46" s="792" t="n"/>
      <c r="DD46" s="792" t="n"/>
      <c r="DE46" s="792" t="n"/>
      <c r="DF46" s="792" t="n"/>
    </row>
    <row r="47" ht="14.5" customFormat="1" customHeight="1" s="793">
      <c r="A47" s="786" t="n"/>
      <c r="B47" s="781" t="inlineStr">
        <is>
          <t>差异</t>
        </is>
      </c>
      <c r="C47" s="787" t="n"/>
      <c r="D47" s="788" t="n"/>
      <c r="E47" s="789">
        <f>E30-E46</f>
        <v/>
      </c>
      <c r="F47" s="789" t="n"/>
      <c r="G47" s="789" t="n"/>
      <c r="H47" s="789">
        <f>H30-H46</f>
        <v/>
      </c>
      <c r="I47" s="789" t="n"/>
      <c r="J47" s="789" t="n"/>
      <c r="K47" s="789">
        <f>K30-K46</f>
        <v/>
      </c>
      <c r="L47" s="789" t="n"/>
      <c r="M47" s="789" t="n"/>
      <c r="N47" s="789">
        <f>N30-N46</f>
        <v/>
      </c>
      <c r="O47" s="789" t="n"/>
      <c r="P47" s="789" t="n"/>
      <c r="Q47" s="789">
        <f>Q30-Q46</f>
        <v/>
      </c>
      <c r="R47" s="789" t="n"/>
      <c r="S47" s="789" t="n"/>
      <c r="T47" s="789">
        <f>T30-T46</f>
        <v/>
      </c>
      <c r="U47" s="790" t="n"/>
      <c r="V47" s="790" t="n"/>
      <c r="W47" s="789">
        <f>W30-W46</f>
        <v/>
      </c>
      <c r="X47" s="790" t="n"/>
      <c r="Y47" s="790" t="n"/>
      <c r="Z47" s="789">
        <f>Z30-Z46</f>
        <v/>
      </c>
      <c r="AA47" s="790" t="n"/>
      <c r="AB47" s="791" t="n"/>
      <c r="AC47" s="791" t="n"/>
      <c r="AD47" s="13" t="n"/>
      <c r="AE47" s="111" t="n"/>
      <c r="AF47" s="792" t="n"/>
      <c r="AG47" s="792" t="n"/>
      <c r="AH47" s="792" t="n"/>
      <c r="AI47" s="792" t="n"/>
      <c r="AJ47" s="792" t="n"/>
      <c r="AK47" s="792" t="n"/>
      <c r="AL47" s="792" t="n"/>
      <c r="AM47" s="792" t="n"/>
      <c r="AN47" s="792" t="n"/>
      <c r="AO47" s="792" t="n"/>
      <c r="AP47" s="792" t="n"/>
      <c r="AQ47" s="792" t="n"/>
      <c r="AR47" s="792" t="n"/>
      <c r="AS47" s="792" t="n"/>
      <c r="AT47" s="792" t="n"/>
      <c r="AU47" s="792" t="n"/>
      <c r="AV47" s="792" t="n"/>
      <c r="AW47" s="792" t="n"/>
      <c r="AX47" s="792" t="n"/>
      <c r="AY47" s="792" t="n"/>
      <c r="AZ47" s="792" t="n"/>
      <c r="BA47" s="792" t="n"/>
      <c r="BB47" s="792" t="n"/>
      <c r="BC47" s="792" t="n"/>
      <c r="BD47" s="792" t="n"/>
      <c r="BE47" s="792" t="n"/>
      <c r="BF47" s="792" t="n"/>
      <c r="BG47" s="792" t="n"/>
      <c r="BH47" s="792" t="n"/>
      <c r="BI47" s="792" t="n"/>
      <c r="BJ47" s="792" t="n"/>
      <c r="BK47" s="792" t="n"/>
      <c r="BL47" s="792" t="n"/>
      <c r="BM47" s="792" t="n"/>
      <c r="BN47" s="792" t="n"/>
      <c r="BO47" s="792" t="n"/>
      <c r="BP47" s="792" t="n"/>
      <c r="BQ47" s="792" t="n"/>
      <c r="BR47" s="792" t="n"/>
      <c r="BS47" s="792" t="n"/>
      <c r="BT47" s="792" t="n"/>
      <c r="BU47" s="792" t="n"/>
      <c r="BV47" s="792" t="n"/>
      <c r="BW47" s="792" t="n"/>
      <c r="BX47" s="792" t="n"/>
      <c r="BY47" s="792" t="n"/>
      <c r="BZ47" s="792" t="n"/>
      <c r="CA47" s="792" t="n"/>
      <c r="CB47" s="792" t="n"/>
      <c r="CC47" s="792" t="n"/>
      <c r="CD47" s="792" t="n"/>
      <c r="CE47" s="792" t="n"/>
      <c r="CF47" s="792" t="n"/>
      <c r="CG47" s="792" t="n"/>
      <c r="CH47" s="792" t="n"/>
      <c r="CI47" s="792" t="n"/>
      <c r="CJ47" s="792" t="n"/>
      <c r="CK47" s="792" t="n"/>
      <c r="CL47" s="792" t="n"/>
      <c r="CM47" s="792" t="n"/>
      <c r="CN47" s="792" t="n"/>
      <c r="CO47" s="792" t="n"/>
      <c r="CP47" s="792" t="n"/>
      <c r="CQ47" s="792" t="n"/>
      <c r="CR47" s="792" t="n"/>
      <c r="CS47" s="792" t="n"/>
      <c r="CT47" s="792" t="n"/>
      <c r="CU47" s="792" t="n"/>
      <c r="CV47" s="792" t="n"/>
      <c r="CW47" s="792" t="n"/>
      <c r="CX47" s="792" t="n"/>
      <c r="CY47" s="792" t="n"/>
      <c r="CZ47" s="792" t="n"/>
      <c r="DA47" s="792" t="n"/>
      <c r="DB47" s="792" t="n"/>
      <c r="DC47" s="792" t="n"/>
      <c r="DD47" s="792" t="n"/>
      <c r="DE47" s="792" t="n"/>
      <c r="DF47" s="792" t="n"/>
    </row>
    <row r="48" ht="14.5" customFormat="1" customHeight="1" s="793">
      <c r="A48" s="786" t="n"/>
      <c r="B48" s="781" t="inlineStr">
        <is>
          <t>TB-净值</t>
        </is>
      </c>
      <c r="C48" s="787" t="n"/>
      <c r="D48" s="788" t="n"/>
      <c r="E48" s="783" t="n"/>
      <c r="F48" s="784" t="n"/>
      <c r="G48" s="784" t="n"/>
      <c r="H48" s="783" t="n"/>
      <c r="I48" s="784" t="n"/>
      <c r="J48" s="782" t="n"/>
      <c r="K48" s="783" t="n"/>
      <c r="L48" s="782" t="n"/>
      <c r="M48" s="784" t="n"/>
      <c r="N48" s="783" t="n"/>
      <c r="O48" s="784" t="n"/>
      <c r="P48" s="784" t="n"/>
      <c r="Q48" s="783" t="n"/>
      <c r="R48" s="789" t="n"/>
      <c r="S48" s="789" t="n"/>
      <c r="T48" s="783" t="n"/>
      <c r="U48" s="790" t="n"/>
      <c r="V48" s="790" t="n"/>
      <c r="W48" s="783" t="n"/>
      <c r="X48" s="790" t="n"/>
      <c r="Y48" s="790" t="n"/>
      <c r="Z48" s="783">
        <f>SUM(E48,H48,K48,N48,Q48,T48,W48)</f>
        <v/>
      </c>
      <c r="AA48" s="790" t="n"/>
      <c r="AB48" s="791" t="n"/>
      <c r="AC48" s="791" t="n"/>
      <c r="AD48" s="13" t="n"/>
      <c r="AE48" s="111" t="n"/>
      <c r="AF48" s="792" t="n"/>
      <c r="AG48" s="792" t="n"/>
      <c r="AH48" s="792" t="n"/>
      <c r="AI48" s="792" t="n"/>
      <c r="AJ48" s="792" t="n"/>
      <c r="AK48" s="792" t="n"/>
      <c r="AL48" s="792" t="n"/>
      <c r="AM48" s="792" t="n"/>
      <c r="AN48" s="792" t="n"/>
      <c r="AO48" s="792" t="n"/>
      <c r="AP48" s="792" t="n"/>
      <c r="AQ48" s="792" t="n"/>
      <c r="AR48" s="792" t="n"/>
      <c r="AS48" s="792" t="n"/>
      <c r="AT48" s="792" t="n"/>
      <c r="AU48" s="792" t="n"/>
      <c r="AV48" s="792" t="n"/>
      <c r="AW48" s="792" t="n"/>
      <c r="AX48" s="792" t="n"/>
      <c r="AY48" s="792" t="n"/>
      <c r="AZ48" s="792" t="n"/>
      <c r="BA48" s="792" t="n"/>
      <c r="BB48" s="792" t="n"/>
      <c r="BC48" s="792" t="n"/>
      <c r="BD48" s="792" t="n"/>
      <c r="BE48" s="792" t="n"/>
      <c r="BF48" s="792" t="n"/>
      <c r="BG48" s="792" t="n"/>
      <c r="BH48" s="792" t="n"/>
      <c r="BI48" s="792" t="n"/>
      <c r="BJ48" s="792" t="n"/>
      <c r="BK48" s="792" t="n"/>
      <c r="BL48" s="792" t="n"/>
      <c r="BM48" s="792" t="n"/>
      <c r="BN48" s="792" t="n"/>
      <c r="BO48" s="792" t="n"/>
      <c r="BP48" s="792" t="n"/>
      <c r="BQ48" s="792" t="n"/>
      <c r="BR48" s="792" t="n"/>
      <c r="BS48" s="792" t="n"/>
      <c r="BT48" s="792" t="n"/>
      <c r="BU48" s="792" t="n"/>
      <c r="BV48" s="792" t="n"/>
      <c r="BW48" s="792" t="n"/>
      <c r="BX48" s="792" t="n"/>
      <c r="BY48" s="792" t="n"/>
      <c r="BZ48" s="792" t="n"/>
      <c r="CA48" s="792" t="n"/>
      <c r="CB48" s="792" t="n"/>
      <c r="CC48" s="792" t="n"/>
      <c r="CD48" s="792" t="n"/>
      <c r="CE48" s="792" t="n"/>
      <c r="CF48" s="792" t="n"/>
      <c r="CG48" s="792" t="n"/>
      <c r="CH48" s="792" t="n"/>
      <c r="CI48" s="792" t="n"/>
      <c r="CJ48" s="792" t="n"/>
      <c r="CK48" s="792" t="n"/>
      <c r="CL48" s="792" t="n"/>
      <c r="CM48" s="792" t="n"/>
      <c r="CN48" s="792" t="n"/>
      <c r="CO48" s="792" t="n"/>
      <c r="CP48" s="792" t="n"/>
      <c r="CQ48" s="792" t="n"/>
      <c r="CR48" s="792" t="n"/>
      <c r="CS48" s="792" t="n"/>
      <c r="CT48" s="792" t="n"/>
      <c r="CU48" s="792" t="n"/>
      <c r="CV48" s="792" t="n"/>
      <c r="CW48" s="792" t="n"/>
      <c r="CX48" s="792" t="n"/>
      <c r="CY48" s="792" t="n"/>
      <c r="CZ48" s="792" t="n"/>
      <c r="DA48" s="792" t="n"/>
      <c r="DB48" s="792" t="n"/>
      <c r="DC48" s="792" t="n"/>
      <c r="DD48" s="792" t="n"/>
      <c r="DE48" s="792" t="n"/>
      <c r="DF48" s="792" t="n"/>
    </row>
    <row r="49" ht="14.5" customFormat="1" customHeight="1" s="793">
      <c r="A49" s="786" t="n"/>
      <c r="B49" s="781" t="inlineStr">
        <is>
          <t>差异</t>
        </is>
      </c>
      <c r="C49" s="787" t="n"/>
      <c r="D49" s="788" t="n"/>
      <c r="E49" s="789">
        <f>E32-E48</f>
        <v/>
      </c>
      <c r="F49" s="789" t="n"/>
      <c r="G49" s="789" t="n"/>
      <c r="H49" s="789">
        <f>H32-H48</f>
        <v/>
      </c>
      <c r="I49" s="789" t="n"/>
      <c r="J49" s="789" t="n"/>
      <c r="K49" s="789">
        <f>K32-K48</f>
        <v/>
      </c>
      <c r="L49" s="789" t="n"/>
      <c r="M49" s="789" t="n"/>
      <c r="N49" s="789">
        <f>N32-N48</f>
        <v/>
      </c>
      <c r="O49" s="789" t="n"/>
      <c r="P49" s="789" t="n"/>
      <c r="Q49" s="789">
        <f>Q32-Q48</f>
        <v/>
      </c>
      <c r="R49" s="789" t="n"/>
      <c r="S49" s="789" t="n"/>
      <c r="T49" s="789">
        <f>T32-T48</f>
        <v/>
      </c>
      <c r="U49" s="790" t="n"/>
      <c r="V49" s="790" t="n"/>
      <c r="W49" s="789">
        <f>W32-W48</f>
        <v/>
      </c>
      <c r="X49" s="790" t="n"/>
      <c r="Y49" s="790" t="n"/>
      <c r="Z49" s="789">
        <f>Z32-Z48</f>
        <v/>
      </c>
      <c r="AA49" s="790" t="n"/>
      <c r="AB49" s="791" t="n"/>
      <c r="AC49" s="791" t="n"/>
      <c r="AD49" s="13" t="n"/>
      <c r="AE49" s="111" t="n"/>
      <c r="AF49" s="792" t="n"/>
      <c r="AG49" s="792" t="n"/>
      <c r="AH49" s="792" t="n"/>
      <c r="AI49" s="792" t="n"/>
      <c r="AJ49" s="792" t="n"/>
      <c r="AK49" s="792" t="n"/>
      <c r="AL49" s="792" t="n"/>
      <c r="AM49" s="792" t="n"/>
      <c r="AN49" s="792" t="n"/>
      <c r="AO49" s="792" t="n"/>
      <c r="AP49" s="792" t="n"/>
      <c r="AQ49" s="792" t="n"/>
      <c r="AR49" s="792" t="n"/>
      <c r="AS49" s="792" t="n"/>
      <c r="AT49" s="792" t="n"/>
      <c r="AU49" s="792" t="n"/>
      <c r="AV49" s="792" t="n"/>
      <c r="AW49" s="792" t="n"/>
      <c r="AX49" s="792" t="n"/>
      <c r="AY49" s="792" t="n"/>
      <c r="AZ49" s="792" t="n"/>
      <c r="BA49" s="792" t="n"/>
      <c r="BB49" s="792" t="n"/>
      <c r="BC49" s="792" t="n"/>
      <c r="BD49" s="792" t="n"/>
      <c r="BE49" s="792" t="n"/>
      <c r="BF49" s="792" t="n"/>
      <c r="BG49" s="792" t="n"/>
      <c r="BH49" s="792" t="n"/>
      <c r="BI49" s="792" t="n"/>
      <c r="BJ49" s="792" t="n"/>
      <c r="BK49" s="792" t="n"/>
      <c r="BL49" s="792" t="n"/>
      <c r="BM49" s="792" t="n"/>
      <c r="BN49" s="792" t="n"/>
      <c r="BO49" s="792" t="n"/>
      <c r="BP49" s="792" t="n"/>
      <c r="BQ49" s="792" t="n"/>
      <c r="BR49" s="792" t="n"/>
      <c r="BS49" s="792" t="n"/>
      <c r="BT49" s="792" t="n"/>
      <c r="BU49" s="792" t="n"/>
      <c r="BV49" s="792" t="n"/>
      <c r="BW49" s="792" t="n"/>
      <c r="BX49" s="792" t="n"/>
      <c r="BY49" s="792" t="n"/>
      <c r="BZ49" s="792" t="n"/>
      <c r="CA49" s="792" t="n"/>
      <c r="CB49" s="792" t="n"/>
      <c r="CC49" s="792" t="n"/>
      <c r="CD49" s="792" t="n"/>
      <c r="CE49" s="792" t="n"/>
      <c r="CF49" s="792" t="n"/>
      <c r="CG49" s="792" t="n"/>
      <c r="CH49" s="792" t="n"/>
      <c r="CI49" s="792" t="n"/>
      <c r="CJ49" s="792" t="n"/>
      <c r="CK49" s="792" t="n"/>
      <c r="CL49" s="792" t="n"/>
      <c r="CM49" s="792" t="n"/>
      <c r="CN49" s="792" t="n"/>
      <c r="CO49" s="792" t="n"/>
      <c r="CP49" s="792" t="n"/>
      <c r="CQ49" s="792" t="n"/>
      <c r="CR49" s="792" t="n"/>
      <c r="CS49" s="792" t="n"/>
      <c r="CT49" s="792" t="n"/>
      <c r="CU49" s="792" t="n"/>
      <c r="CV49" s="792" t="n"/>
      <c r="CW49" s="792" t="n"/>
      <c r="CX49" s="792" t="n"/>
      <c r="CY49" s="792" t="n"/>
      <c r="CZ49" s="792" t="n"/>
      <c r="DA49" s="792" t="n"/>
      <c r="DB49" s="792" t="n"/>
      <c r="DC49" s="792" t="n"/>
      <c r="DD49" s="792" t="n"/>
      <c r="DE49" s="792" t="n"/>
      <c r="DF49" s="792" t="n"/>
    </row>
    <row r="50" ht="14" customFormat="1" customHeight="1" s="793">
      <c r="A50" s="794" t="n"/>
      <c r="B50" s="795" t="n"/>
      <c r="C50" s="796" t="n"/>
      <c r="D50" s="797" t="n"/>
      <c r="E50" s="798" t="n"/>
      <c r="F50" s="798" t="n"/>
      <c r="G50" s="798" t="n"/>
      <c r="H50" s="798" t="n"/>
      <c r="I50" s="798" t="n"/>
      <c r="J50" s="798" t="n"/>
      <c r="K50" s="798" t="n"/>
      <c r="L50" s="798" t="n"/>
      <c r="M50" s="798" t="n"/>
      <c r="N50" s="798" t="n"/>
      <c r="O50" s="798" t="n"/>
      <c r="P50" s="798" t="n"/>
      <c r="Q50" s="798" t="n"/>
      <c r="R50" s="798" t="n"/>
      <c r="S50" s="798" t="n"/>
      <c r="T50" s="798" t="n"/>
      <c r="U50" s="799" t="n"/>
      <c r="V50" s="799" t="n"/>
      <c r="W50" s="798" t="n"/>
      <c r="X50" s="799" t="n"/>
      <c r="Y50" s="799" t="n"/>
      <c r="Z50" s="799" t="n"/>
      <c r="AA50" s="799" t="n"/>
      <c r="AB50" s="799" t="n"/>
      <c r="AC50" s="799" t="n"/>
      <c r="AD50" s="13" t="n"/>
      <c r="AE50" s="111" t="n"/>
    </row>
    <row r="51" ht="14.5" customFormat="1" customHeight="1" s="793">
      <c r="A51" s="794" t="n"/>
      <c r="B51" s="319" t="inlineStr">
        <is>
          <t>获取期末的固定资产明细清单，我们将固定资产明细清单的金额与表1金额进行核对，调查大于SAD的差异。</t>
        </is>
      </c>
      <c r="C51" s="796" t="n"/>
      <c r="D51" s="797" t="n"/>
      <c r="E51" s="798" t="n"/>
      <c r="F51" s="798" t="n"/>
      <c r="G51" s="798" t="n"/>
      <c r="H51" s="798" t="n"/>
      <c r="I51" s="798" t="n"/>
      <c r="J51" s="798" t="n"/>
      <c r="K51" s="798" t="n"/>
      <c r="L51" s="798" t="n"/>
      <c r="M51" s="798" t="n"/>
      <c r="N51" s="798" t="n"/>
      <c r="O51" s="798" t="n"/>
      <c r="P51" s="798" t="n"/>
      <c r="Q51" s="798" t="n"/>
      <c r="R51" s="798" t="n"/>
      <c r="S51" s="798" t="n"/>
      <c r="T51" s="798" t="n"/>
      <c r="U51" s="799" t="n"/>
      <c r="V51" s="799" t="n"/>
      <c r="W51" s="798" t="n"/>
      <c r="X51" s="799" t="n"/>
      <c r="Y51" s="799" t="n"/>
      <c r="Z51" s="799" t="n"/>
      <c r="AA51" s="799" t="n"/>
      <c r="AB51" s="799" t="n"/>
      <c r="AC51" s="799" t="n"/>
      <c r="AD51" s="13" t="n"/>
      <c r="AE51" s="111" t="n"/>
    </row>
    <row r="52" ht="14.5" customFormat="1" customHeight="1" s="793">
      <c r="A52" s="794" t="n"/>
      <c r="B52" s="30" t="inlineStr">
        <is>
          <t>表2</t>
        </is>
      </c>
      <c r="C52" s="796" t="n"/>
      <c r="D52" s="797" t="n"/>
      <c r="E52" s="798" t="n"/>
      <c r="F52" s="798" t="n"/>
      <c r="H52" s="92" t="inlineStr">
        <is>
          <t>表3</t>
        </is>
      </c>
      <c r="I52" s="798" t="n"/>
      <c r="J52" s="798" t="n"/>
      <c r="K52" s="798" t="n"/>
      <c r="L52" s="798" t="n"/>
      <c r="M52" s="798" t="n"/>
      <c r="N52" s="798" t="n"/>
      <c r="O52" s="798" t="n"/>
      <c r="P52" s="798" t="n"/>
      <c r="Q52" s="798" t="n"/>
      <c r="R52" s="798" t="n"/>
      <c r="S52" s="798" t="n"/>
      <c r="T52" s="798" t="n"/>
      <c r="U52" s="799" t="n"/>
      <c r="V52" s="799" t="n"/>
      <c r="W52" s="798" t="n"/>
      <c r="X52" s="799" t="n"/>
      <c r="Y52" s="799" t="n"/>
      <c r="Z52" s="799" t="n"/>
      <c r="AA52" s="799" t="n"/>
      <c r="AB52" s="799" t="n"/>
      <c r="AC52" s="799" t="n"/>
      <c r="AD52" s="13" t="n"/>
      <c r="AE52" s="111" t="n"/>
    </row>
    <row r="53" ht="15.65" customFormat="1" customHeight="1" s="13">
      <c r="A53" s="30" t="n"/>
      <c r="B53" s="433" t="n"/>
      <c r="C53" s="434" t="n"/>
      <c r="D53" s="435" t="inlineStr">
        <is>
          <t>汇总</t>
        </is>
      </c>
      <c r="E53" s="434" t="n"/>
      <c r="F53" s="436" t="n"/>
      <c r="H53" s="800" t="inlineStr">
        <is>
          <t>表2 check with 表1</t>
        </is>
      </c>
      <c r="I53" s="801" t="n"/>
      <c r="J53" s="801" t="n"/>
      <c r="K53" s="802"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3" t="n"/>
      <c r="D55" s="803" t="n"/>
      <c r="E55" s="803" t="n"/>
      <c r="F55" s="803" t="n"/>
      <c r="H55" s="804">
        <f>C55-E18</f>
        <v/>
      </c>
      <c r="I55" s="804">
        <f>D55-E24</f>
        <v/>
      </c>
      <c r="J55" s="804">
        <f>E55-E30</f>
        <v/>
      </c>
      <c r="K55" s="804">
        <f>F55-E32</f>
        <v/>
      </c>
      <c r="M55" s="27" t="n"/>
      <c r="AE55" s="111" t="n"/>
    </row>
    <row r="56" ht="15.75" customFormat="1" customHeight="1" s="13">
      <c r="A56" s="30" t="n"/>
      <c r="B56" s="489">
        <f>I10</f>
        <v/>
      </c>
      <c r="C56" s="803" t="n"/>
      <c r="D56" s="803" t="n"/>
      <c r="E56" s="803" t="n"/>
      <c r="F56" s="803" t="n"/>
      <c r="H56" s="804">
        <f>C56-H18</f>
        <v/>
      </c>
      <c r="I56" s="804">
        <f>D56-H24</f>
        <v/>
      </c>
      <c r="J56" s="804">
        <f>E56-H30</f>
        <v/>
      </c>
      <c r="K56" s="804">
        <f>F56-H32</f>
        <v/>
      </c>
      <c r="M56" s="27" t="n"/>
      <c r="AE56" s="111" t="n"/>
    </row>
    <row r="57" ht="15.75" customFormat="1" customHeight="1" s="13">
      <c r="A57" s="30" t="n"/>
      <c r="B57" s="489">
        <f>L10</f>
        <v/>
      </c>
      <c r="C57" s="803" t="n"/>
      <c r="D57" s="803" t="n"/>
      <c r="E57" s="803" t="n"/>
      <c r="F57" s="803" t="n"/>
      <c r="H57" s="804">
        <f>C57-K18</f>
        <v/>
      </c>
      <c r="I57" s="804">
        <f>D57-K24</f>
        <v/>
      </c>
      <c r="J57" s="804">
        <f>E57-K30</f>
        <v/>
      </c>
      <c r="K57" s="804">
        <f>F57-K32</f>
        <v/>
      </c>
      <c r="M57" s="27" t="n"/>
      <c r="AE57" s="111" t="n"/>
    </row>
    <row r="58" ht="15.75" customFormat="1" customHeight="1" s="13">
      <c r="A58" s="30" t="n"/>
      <c r="B58" s="489">
        <f>O10</f>
        <v/>
      </c>
      <c r="C58" s="803" t="n"/>
      <c r="D58" s="803" t="n"/>
      <c r="E58" s="803" t="n"/>
      <c r="F58" s="803" t="n"/>
      <c r="H58" s="804">
        <f>C58-N18</f>
        <v/>
      </c>
      <c r="I58" s="804">
        <f>D58-N24</f>
        <v/>
      </c>
      <c r="J58" s="804">
        <f>E58-N30</f>
        <v/>
      </c>
      <c r="K58" s="804">
        <f>F58-N32</f>
        <v/>
      </c>
      <c r="M58" s="27" t="n"/>
      <c r="AE58" s="111" t="n"/>
    </row>
    <row r="59" ht="15.75" customFormat="1" customHeight="1" s="13">
      <c r="A59" s="30" t="n"/>
      <c r="B59" s="489">
        <f>R10</f>
        <v/>
      </c>
      <c r="C59" s="803" t="n"/>
      <c r="D59" s="803" t="n"/>
      <c r="E59" s="803" t="n"/>
      <c r="F59" s="803" t="n"/>
      <c r="H59" s="804">
        <f>C59-Q18</f>
        <v/>
      </c>
      <c r="I59" s="804">
        <f>D59-Q24</f>
        <v/>
      </c>
      <c r="J59" s="804">
        <f>E59-Q30</f>
        <v/>
      </c>
      <c r="K59" s="804">
        <f>F59-Q32</f>
        <v/>
      </c>
      <c r="M59" s="27" t="n"/>
      <c r="AE59" s="111" t="n"/>
    </row>
    <row r="60" ht="15.75" customFormat="1" customHeight="1" s="13">
      <c r="A60" s="57" t="n"/>
      <c r="B60" s="489">
        <f>U10</f>
        <v/>
      </c>
      <c r="C60" s="803" t="n"/>
      <c r="D60" s="803" t="n"/>
      <c r="E60" s="803" t="n"/>
      <c r="F60" s="803" t="n"/>
      <c r="G60" s="3" t="n"/>
      <c r="H60" s="805">
        <f>C60-T18</f>
        <v/>
      </c>
      <c r="I60" s="805">
        <f>D60-T24</f>
        <v/>
      </c>
      <c r="J60" s="805">
        <f>E60-T30</f>
        <v/>
      </c>
      <c r="K60" s="805">
        <f>F60-T32</f>
        <v/>
      </c>
      <c r="M60" s="51" t="n"/>
      <c r="AE60" s="111" t="n"/>
    </row>
    <row r="61" ht="15.75" customFormat="1" customHeight="1" s="3">
      <c r="A61" s="5" t="n"/>
      <c r="B61" s="489">
        <f>X10</f>
        <v/>
      </c>
      <c r="C61" s="803" t="n"/>
      <c r="D61" s="803" t="n"/>
      <c r="E61" s="803" t="n"/>
      <c r="F61" s="803" t="n"/>
      <c r="H61" s="805">
        <f>C61-W18</f>
        <v/>
      </c>
      <c r="I61" s="805">
        <f>D61-W24</f>
        <v/>
      </c>
      <c r="J61" s="805">
        <f>E61-W30</f>
        <v/>
      </c>
      <c r="K61" s="805">
        <f>F61-W32</f>
        <v/>
      </c>
      <c r="M61" s="51" t="n"/>
      <c r="AD61" s="13" t="n"/>
      <c r="AE61" s="111" t="n"/>
    </row>
    <row r="62" ht="15.65" customFormat="1" customHeight="1" s="13">
      <c r="A62" s="55" t="n"/>
      <c r="B62" s="490" t="inlineStr">
        <is>
          <t>合计</t>
        </is>
      </c>
      <c r="C62" s="806">
        <f>SUM(C55:C61)</f>
        <v/>
      </c>
      <c r="D62" s="806">
        <f>SUM(D55:D61)</f>
        <v/>
      </c>
      <c r="E62" s="806">
        <f>SUM(E55:E61)</f>
        <v/>
      </c>
      <c r="F62" s="806">
        <f>SUM(F55:F61)</f>
        <v/>
      </c>
      <c r="G62" s="47" t="n"/>
      <c r="H62" s="807">
        <f>C62-Z18</f>
        <v/>
      </c>
      <c r="I62" s="804">
        <f>D62-Z24</f>
        <v/>
      </c>
      <c r="J62" s="804">
        <f>E62-Z30</f>
        <v/>
      </c>
      <c r="K62" s="804">
        <f>F62-Z32</f>
        <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3">
      <c r="A65" s="794" t="n"/>
      <c r="B65" s="268" t="inlineStr">
        <is>
          <t>Notes  请在此记录固定资产明细账和总账的差异，并详细记录对差异进行的核查程序。</t>
        </is>
      </c>
      <c r="C65" s="808" t="n"/>
      <c r="D65" s="809" t="n"/>
      <c r="E65" s="809" t="n"/>
      <c r="F65" s="809" t="n"/>
      <c r="G65" s="809" t="n"/>
      <c r="H65" s="809" t="n"/>
      <c r="I65" s="809" t="n"/>
      <c r="J65" s="809" t="n"/>
      <c r="K65" s="810" t="n"/>
      <c r="L65" s="809" t="n"/>
      <c r="M65" s="810" t="n"/>
      <c r="N65" s="810" t="n"/>
      <c r="O65" s="809" t="n"/>
      <c r="P65" s="809" t="n"/>
      <c r="Q65" s="809" t="n"/>
      <c r="R65" s="809" t="n"/>
      <c r="S65" s="810" t="n"/>
      <c r="T65" s="809" t="n"/>
      <c r="X65" s="41" t="n"/>
      <c r="Y65" s="42" t="n"/>
      <c r="AD65" s="13" t="n"/>
      <c r="AE65" s="111" t="n"/>
    </row>
    <row r="66" ht="14" customFormat="1" customHeight="1" s="13">
      <c r="A66" s="30" t="n"/>
      <c r="B66" s="811" t="n"/>
      <c r="C66" s="812" t="n"/>
      <c r="D66" s="812" t="n"/>
      <c r="E66" s="812" t="n"/>
      <c r="F66" s="813" t="n"/>
      <c r="G66" s="18" t="n"/>
      <c r="H66" s="18" t="n"/>
      <c r="I66" s="18" t="n"/>
      <c r="J66" s="18" t="n"/>
      <c r="K66" s="768" t="n"/>
      <c r="L66" s="18" t="n"/>
      <c r="M66" s="18" t="n"/>
      <c r="N66" s="18" t="n"/>
      <c r="O66" s="18" t="n"/>
      <c r="AE66" s="111" t="n"/>
    </row>
    <row r="67" ht="14" customFormat="1" customHeight="1" s="13">
      <c r="A67" s="30" t="n"/>
      <c r="B67" s="814" t="n"/>
      <c r="C67" s="815" t="n"/>
      <c r="D67" s="815" t="n"/>
      <c r="E67" s="815" t="n"/>
      <c r="F67" s="816" t="n"/>
      <c r="G67" s="18" t="n"/>
      <c r="H67" s="18" t="n"/>
      <c r="I67" s="18" t="n"/>
      <c r="J67" s="18" t="n"/>
      <c r="K67" s="768" t="n"/>
      <c r="L67" s="18" t="n"/>
      <c r="M67" s="18" t="n"/>
      <c r="N67" s="18" t="n"/>
      <c r="O67" s="18" t="n"/>
      <c r="AE67" s="111" t="n"/>
    </row>
    <row r="68" ht="14" customFormat="1" customHeight="1" s="13">
      <c r="A68" s="30" t="n"/>
      <c r="B68" s="814" t="n"/>
      <c r="C68" s="815" t="n"/>
      <c r="D68" s="815" t="n"/>
      <c r="E68" s="815" t="n"/>
      <c r="F68" s="816" t="n"/>
      <c r="G68" s="18" t="n"/>
      <c r="H68" s="18" t="n"/>
      <c r="I68" s="18" t="n"/>
      <c r="J68" s="18" t="n"/>
      <c r="K68" s="768" t="n"/>
      <c r="L68" s="18" t="n"/>
      <c r="M68" s="18" t="n"/>
      <c r="N68" s="18" t="n"/>
      <c r="O68" s="18" t="n"/>
      <c r="AE68" s="111" t="n"/>
    </row>
    <row r="69" ht="14" customFormat="1" customHeight="1" s="13">
      <c r="A69" s="30" t="n"/>
      <c r="B69" s="817" t="n"/>
      <c r="C69" s="818" t="n"/>
      <c r="D69" s="818" t="n"/>
      <c r="E69" s="818" t="n"/>
      <c r="F69" s="819" t="n"/>
      <c r="G69" s="18" t="n"/>
      <c r="H69" s="18" t="n"/>
      <c r="I69" s="18" t="n"/>
      <c r="J69" s="18" t="n"/>
      <c r="K69" s="768" t="n"/>
      <c r="L69" s="18" t="n"/>
      <c r="M69" s="18" t="n"/>
      <c r="N69" s="18" t="n"/>
      <c r="O69" s="18" t="n"/>
      <c r="AE69" s="111" t="n"/>
    </row>
    <row r="70" ht="14" customFormat="1" customHeight="1" s="13">
      <c r="A70" s="30" t="n"/>
      <c r="B70" s="764" t="n"/>
      <c r="C70" s="764" t="n"/>
      <c r="D70" s="764" t="n"/>
      <c r="E70" s="764" t="n"/>
      <c r="F70" s="764" t="n"/>
      <c r="G70" s="18" t="n"/>
      <c r="H70" s="18" t="n"/>
      <c r="I70" s="18" t="n"/>
      <c r="J70" s="18" t="n"/>
      <c r="K70" s="768"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20" t="n"/>
      <c r="I71" s="820" t="n"/>
      <c r="J71" s="820" t="n"/>
      <c r="K71" s="820" t="n"/>
      <c r="M71" s="820"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8"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8" t="n"/>
      <c r="N74" s="18" t="n"/>
      <c r="P74" s="13" t="n"/>
      <c r="Q74" s="13" t="n"/>
      <c r="R74" s="13" t="n"/>
      <c r="S74" s="13" t="n"/>
      <c r="T74" s="13" t="n"/>
      <c r="AE74" s="172" t="n"/>
    </row>
    <row r="75" ht="12.75" customFormat="1" customHeight="1" s="1">
      <c r="A75" s="30" t="n"/>
      <c r="B75" s="408" t="n"/>
      <c r="C75" s="97" t="n"/>
      <c r="D75" s="98" t="n"/>
      <c r="E75" s="3" t="inlineStr">
        <is>
          <t>制造费用</t>
        </is>
      </c>
      <c r="F75" s="821" t="n"/>
      <c r="G75" s="286" t="n"/>
      <c r="I75" s="18" t="n"/>
      <c r="J75" s="18" t="n"/>
      <c r="K75" s="18" t="n"/>
      <c r="L75" s="13" t="n"/>
      <c r="M75" s="768" t="n"/>
      <c r="N75" s="18" t="n"/>
      <c r="P75" s="13" t="n"/>
      <c r="Q75" s="13" t="n"/>
      <c r="R75" s="13" t="n"/>
      <c r="S75" s="13" t="n"/>
      <c r="T75" s="13" t="n"/>
      <c r="AE75" s="172" t="n"/>
    </row>
    <row r="76" ht="12.75" customFormat="1" customHeight="1" s="1">
      <c r="A76" s="30" t="n"/>
      <c r="B76" s="408" t="n"/>
      <c r="C76" s="97" t="n"/>
      <c r="D76" s="407" t="n"/>
      <c r="E76" s="1" t="inlineStr">
        <is>
          <t>销售费用</t>
        </is>
      </c>
      <c r="F76" s="821" t="n"/>
      <c r="G76" s="286" t="n"/>
      <c r="I76" s="18" t="n"/>
      <c r="J76" s="18" t="n"/>
      <c r="K76" s="18" t="n"/>
      <c r="L76" s="13" t="n"/>
      <c r="M76" s="768" t="n"/>
      <c r="N76" s="18" t="n"/>
      <c r="P76" s="13" t="n"/>
      <c r="Q76" s="13" t="n"/>
      <c r="R76" s="13" t="n"/>
      <c r="S76" s="13" t="n"/>
      <c r="T76" s="13" t="n"/>
      <c r="AE76" s="172" t="n"/>
    </row>
    <row r="77" ht="12.75" customFormat="1" customHeight="1" s="1">
      <c r="A77" s="30" t="n"/>
      <c r="B77" s="408" t="n"/>
      <c r="C77" s="97" t="n"/>
      <c r="D77" s="407" t="n"/>
      <c r="E77" s="1" t="inlineStr">
        <is>
          <t>管理费用</t>
        </is>
      </c>
      <c r="F77" s="821" t="n"/>
      <c r="G77" s="286" t="n"/>
      <c r="I77" s="18" t="n"/>
      <c r="J77" s="18" t="n"/>
      <c r="K77" s="18" t="n"/>
      <c r="L77" s="13" t="n"/>
      <c r="M77" s="768" t="n"/>
      <c r="N77" s="18" t="n"/>
      <c r="P77" s="13" t="n"/>
      <c r="Q77" s="13" t="n"/>
      <c r="R77" s="13" t="n"/>
      <c r="S77" s="13" t="n"/>
      <c r="T77" s="13" t="n"/>
      <c r="AE77" s="172" t="n"/>
    </row>
    <row r="78" ht="12.75" customFormat="1" customHeight="1" s="1">
      <c r="A78" s="30" t="n"/>
      <c r="B78" s="408" t="n"/>
      <c r="C78" s="97" t="n"/>
      <c r="D78" s="407" t="n"/>
      <c r="E78" s="1" t="inlineStr">
        <is>
          <t>研发费用</t>
        </is>
      </c>
      <c r="F78" s="821" t="n"/>
      <c r="G78" s="286" t="n"/>
      <c r="I78" s="18" t="n"/>
      <c r="J78" s="18" t="n"/>
      <c r="K78" s="18" t="n"/>
      <c r="L78" s="13" t="n"/>
      <c r="M78" s="768" t="n"/>
      <c r="N78" s="18" t="n"/>
      <c r="P78" s="13" t="n"/>
      <c r="Q78" s="13" t="n"/>
      <c r="R78" s="13" t="n"/>
      <c r="S78" s="13" t="n"/>
      <c r="T78" s="13" t="n"/>
      <c r="AE78" s="172" t="n"/>
    </row>
    <row r="79" ht="12.75" customFormat="1" customHeight="1" s="1">
      <c r="A79" s="30" t="n"/>
      <c r="B79" s="408" t="n"/>
      <c r="C79" s="97" t="n"/>
      <c r="D79" s="97" t="n"/>
      <c r="E79" s="1" t="inlineStr">
        <is>
          <t>[…]</t>
        </is>
      </c>
      <c r="F79" s="821" t="n"/>
      <c r="G79" s="286" t="n"/>
      <c r="I79" s="18" t="n"/>
      <c r="J79" s="18" t="n"/>
      <c r="K79" s="18" t="n"/>
      <c r="L79" s="13" t="n"/>
      <c r="M79" s="768" t="n"/>
      <c r="N79" s="18" t="n"/>
      <c r="P79" s="13" t="n"/>
      <c r="Q79" s="13" t="n"/>
      <c r="R79" s="13" t="n"/>
      <c r="S79" s="13" t="n"/>
      <c r="T79" s="13" t="n"/>
      <c r="AE79" s="172" t="n"/>
    </row>
    <row r="80" ht="12.75" customFormat="1" customHeight="1" s="1">
      <c r="A80" s="30" t="n"/>
      <c r="B80" s="287" t="n"/>
      <c r="E80" s="1" t="inlineStr">
        <is>
          <t>合计</t>
        </is>
      </c>
      <c r="F80" s="822">
        <f>SUM(F75:F79)</f>
        <v/>
      </c>
      <c r="G80" s="286" t="n"/>
      <c r="I80" s="18" t="n"/>
      <c r="J80" s="18" t="n"/>
      <c r="K80" s="18" t="n"/>
      <c r="L80" s="13" t="n"/>
      <c r="M80" s="768"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3">
        <f>Z20</f>
        <v/>
      </c>
      <c r="G81" s="286" t="n"/>
      <c r="I81" s="18" t="n"/>
      <c r="J81" s="18" t="n"/>
      <c r="K81" s="18" t="n"/>
      <c r="L81" s="13" t="n"/>
      <c r="M81" s="768" t="n"/>
      <c r="N81" s="18" t="n"/>
      <c r="P81" s="13" t="n"/>
      <c r="Q81" s="13" t="n"/>
      <c r="R81" s="13" t="n"/>
      <c r="S81" s="13" t="n"/>
      <c r="T81" s="13" t="n"/>
      <c r="AE81" s="172" t="n"/>
    </row>
    <row r="82" ht="12.75" customFormat="1" customHeight="1" s="1" thickBot="1">
      <c r="A82" s="30" t="n"/>
      <c r="B82" s="287" t="n"/>
      <c r="E82" s="1" t="inlineStr">
        <is>
          <t>差异</t>
        </is>
      </c>
      <c r="F82" s="824">
        <f>F80-F81</f>
        <v/>
      </c>
      <c r="G82" s="286" t="n"/>
      <c r="I82" s="18" t="n"/>
      <c r="J82" s="18" t="n"/>
      <c r="K82" s="18" t="n"/>
      <c r="L82" s="13" t="n"/>
      <c r="M82" s="768"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8"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3" t="n"/>
      <c r="E85" s="823" t="n"/>
      <c r="F85" s="823" t="n"/>
      <c r="G85" s="823" t="n"/>
      <c r="H85" s="823" t="n"/>
      <c r="I85" s="823" t="n"/>
      <c r="J85" s="292" t="n"/>
      <c r="K85" s="823" t="n"/>
      <c r="N85" s="7" t="n"/>
      <c r="AE85" s="172" t="n"/>
    </row>
    <row r="86" ht="12.75" customFormat="1" customHeight="1" s="1">
      <c r="A86" s="5" t="n"/>
      <c r="B86" s="825" t="n"/>
      <c r="C86" s="709" t="n"/>
      <c r="D86" s="709" t="n"/>
      <c r="E86" s="709" t="n"/>
      <c r="F86" s="709" t="n"/>
      <c r="G86" s="710" t="n"/>
      <c r="H86" s="823" t="n"/>
      <c r="I86" s="5" t="n"/>
      <c r="AE86" s="172" t="n"/>
    </row>
    <row r="87" ht="12.75" customFormat="1" customHeight="1" s="1">
      <c r="B87" s="826" t="n"/>
      <c r="G87" s="827" t="n"/>
      <c r="H87" s="823" t="n"/>
      <c r="I87" s="5" t="n"/>
      <c r="J87" s="823" t="n"/>
      <c r="K87" s="823"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7" t="n"/>
      <c r="G89" s="18" t="n"/>
      <c r="H89" s="18" t="n"/>
      <c r="I89" s="18" t="n"/>
      <c r="J89" s="18" t="n"/>
      <c r="K89" s="768"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4" ht="12.75" customHeight="1">
      <c r="F94" s="65" t="n"/>
    </row>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20" ht="12.75" customFormat="1" customHeight="1" s="13">
      <c r="A120" s="30" t="n"/>
      <c r="C120" s="18" t="n"/>
      <c r="D120" s="18" t="n"/>
      <c r="E120" s="18" t="n"/>
      <c r="F120" s="18" t="n"/>
      <c r="G120" s="767" t="n"/>
      <c r="H120" s="18" t="n"/>
      <c r="I120" s="18" t="n"/>
      <c r="J120" s="18" t="n"/>
      <c r="K120" s="18" t="n"/>
      <c r="L120" s="768" t="n"/>
      <c r="M120" s="18" t="n"/>
      <c r="N120" s="18" t="n"/>
      <c r="O120" s="18" t="n"/>
      <c r="P120" s="18" t="n"/>
    </row>
    <row r="121" ht="12.75" customFormat="1" customHeight="1" s="13">
      <c r="A121" s="30" t="n"/>
      <c r="C121" s="18" t="n"/>
      <c r="D121" s="18" t="n"/>
      <c r="E121" s="18" t="n"/>
      <c r="F121" s="18" t="n"/>
      <c r="G121" s="767" t="n"/>
      <c r="H121" s="18" t="n"/>
      <c r="I121" s="18" t="n"/>
      <c r="J121" s="18" t="n"/>
      <c r="K121" s="18" t="n"/>
      <c r="L121" s="768" t="n"/>
      <c r="M121" s="18" t="n"/>
      <c r="N121" s="18" t="n"/>
      <c r="O121" s="18" t="n"/>
      <c r="P121" s="18" t="n"/>
    </row>
    <row r="122" ht="12.75" customFormat="1" customHeight="1" s="13">
      <c r="A122" s="30" t="n"/>
      <c r="C122" s="18" t="n"/>
      <c r="D122" s="18" t="n"/>
      <c r="E122" s="18" t="n"/>
      <c r="F122" s="18" t="n"/>
      <c r="G122" s="767" t="n"/>
      <c r="H122" s="18" t="n"/>
      <c r="I122" s="18" t="n"/>
      <c r="J122" s="18" t="n"/>
      <c r="K122" s="18" t="n"/>
      <c r="L122" s="768" t="n"/>
      <c r="M122" s="18" t="n"/>
      <c r="N122" s="18" t="n"/>
      <c r="O122" s="18" t="n"/>
      <c r="P122" s="18" t="n"/>
    </row>
    <row r="123" ht="12.75" customFormat="1" customHeight="1" s="13">
      <c r="A123" s="30" t="n"/>
      <c r="C123" s="18" t="n"/>
      <c r="D123" s="18" t="n"/>
      <c r="E123" s="18" t="n"/>
      <c r="F123" s="18" t="n"/>
      <c r="G123" s="767" t="n"/>
      <c r="H123" s="18" t="n"/>
      <c r="I123" s="18" t="n"/>
      <c r="J123" s="18" t="n"/>
      <c r="K123" s="18" t="n"/>
      <c r="L123" s="768" t="n"/>
      <c r="M123" s="18" t="n"/>
      <c r="N123" s="18" t="n"/>
      <c r="O123" s="18" t="n"/>
      <c r="P123" s="18" t="n"/>
    </row>
    <row r="124" ht="12.75" customFormat="1" customHeight="1" s="13">
      <c r="A124" s="30" t="n"/>
      <c r="C124" s="18" t="n"/>
      <c r="D124" s="18" t="n"/>
      <c r="E124" s="18" t="n"/>
      <c r="F124" s="18" t="n"/>
      <c r="G124" s="767" t="n"/>
      <c r="H124" s="18" t="n"/>
      <c r="I124" s="18" t="n"/>
      <c r="J124" s="18" t="n"/>
      <c r="K124" s="18" t="n"/>
      <c r="L124" s="768" t="n"/>
      <c r="M124" s="18" t="n"/>
      <c r="N124" s="18" t="n"/>
      <c r="O124" s="18" t="n"/>
      <c r="P124" s="18" t="n"/>
    </row>
    <row r="125" ht="12.75" customFormat="1" customHeight="1" s="13">
      <c r="A125" s="30" t="n"/>
      <c r="C125" s="18" t="n"/>
      <c r="D125" s="18" t="n"/>
      <c r="E125" s="18" t="n"/>
      <c r="F125" s="18" t="n"/>
      <c r="G125" s="767" t="n"/>
      <c r="H125" s="18" t="n"/>
      <c r="I125" s="18" t="n"/>
      <c r="J125" s="18" t="n"/>
      <c r="K125" s="18" t="n"/>
      <c r="L125" s="768" t="n"/>
      <c r="M125" s="18" t="n"/>
      <c r="N125" s="18" t="n"/>
      <c r="O125" s="18" t="n"/>
      <c r="P125" s="18" t="n"/>
    </row>
    <row r="126" ht="12.75" customFormat="1" customHeight="1" s="13">
      <c r="A126" s="30" t="n"/>
      <c r="C126" s="18" t="n"/>
      <c r="D126" s="18" t="n"/>
      <c r="E126" s="18" t="n"/>
      <c r="F126" s="18" t="n"/>
      <c r="G126" s="767" t="n"/>
      <c r="H126" s="18" t="n"/>
      <c r="I126" s="18" t="n"/>
      <c r="J126" s="18" t="n"/>
      <c r="K126" s="18" t="n"/>
      <c r="L126" s="768" t="n"/>
      <c r="M126" s="18" t="n"/>
      <c r="N126" s="18" t="n"/>
      <c r="O126" s="18" t="n"/>
      <c r="P126" s="18" t="n"/>
    </row>
    <row r="127" ht="12.75" customFormat="1" customHeight="1" s="13">
      <c r="A127" s="30" t="n"/>
      <c r="C127" s="18" t="n"/>
      <c r="D127" s="18" t="n"/>
      <c r="E127" s="18" t="n"/>
      <c r="F127" s="18" t="n"/>
      <c r="G127" s="767" t="n"/>
      <c r="H127" s="18" t="n"/>
      <c r="I127" s="18" t="n"/>
      <c r="J127" s="18" t="n"/>
      <c r="K127" s="18" t="n"/>
      <c r="L127" s="768" t="n"/>
      <c r="M127" s="18" t="n"/>
      <c r="N127" s="18" t="n"/>
      <c r="O127" s="18" t="n"/>
      <c r="P127" s="18" t="n"/>
    </row>
    <row r="128" ht="12.75" customFormat="1" customHeight="1" s="13">
      <c r="A128" s="30" t="n"/>
      <c r="C128" s="18" t="n"/>
      <c r="D128" s="18" t="n"/>
      <c r="E128" s="18" t="n"/>
      <c r="F128" s="18" t="n"/>
      <c r="G128" s="767" t="n"/>
      <c r="H128" s="18" t="n"/>
      <c r="I128" s="18" t="n"/>
      <c r="J128" s="18" t="n"/>
      <c r="K128" s="18" t="n"/>
      <c r="L128" s="768" t="n"/>
      <c r="M128" s="18" t="n"/>
      <c r="N128" s="18" t="n"/>
      <c r="O128" s="18" t="n"/>
      <c r="P128" s="18" t="n"/>
    </row>
    <row r="129" ht="12.75" customFormat="1" customHeight="1" s="13">
      <c r="A129" s="30" t="n"/>
      <c r="C129" s="18" t="n"/>
      <c r="D129" s="18" t="n"/>
      <c r="E129" s="18" t="n"/>
      <c r="F129" s="18" t="n"/>
      <c r="G129" s="767" t="n"/>
      <c r="H129" s="18" t="n"/>
      <c r="I129" s="18" t="n"/>
      <c r="J129" s="18" t="n"/>
      <c r="K129" s="18" t="n"/>
      <c r="L129" s="768" t="n"/>
      <c r="M129" s="18" t="n"/>
      <c r="N129" s="18" t="n"/>
      <c r="O129" s="18" t="n"/>
      <c r="P129" s="18" t="n"/>
    </row>
    <row r="130" ht="12.75" customFormat="1" customHeight="1" s="13">
      <c r="A130" s="30" t="n"/>
      <c r="C130" s="18" t="n"/>
      <c r="D130" s="18" t="n"/>
      <c r="E130" s="18" t="n"/>
      <c r="F130" s="18" t="n"/>
      <c r="G130" s="767" t="n"/>
      <c r="H130" s="18" t="n"/>
      <c r="I130" s="18" t="n"/>
      <c r="J130" s="18" t="n"/>
      <c r="K130" s="18" t="n"/>
      <c r="L130" s="768" t="n"/>
      <c r="M130" s="18" t="n"/>
      <c r="N130" s="18" t="n"/>
      <c r="O130" s="18" t="n"/>
      <c r="P130" s="18" t="n"/>
    </row>
    <row r="131" ht="12.75" customFormat="1" customHeight="1" s="13">
      <c r="A131" s="30" t="n"/>
      <c r="C131" s="18" t="n"/>
      <c r="D131" s="18" t="n"/>
      <c r="E131" s="18" t="n"/>
      <c r="F131" s="18" t="n"/>
      <c r="G131" s="767" t="n"/>
      <c r="H131" s="18" t="n"/>
      <c r="I131" s="18" t="n"/>
      <c r="J131" s="18" t="n"/>
      <c r="K131" s="18" t="n"/>
      <c r="L131" s="768" t="n"/>
      <c r="M131" s="18" t="n"/>
      <c r="N131" s="18" t="n"/>
      <c r="O131" s="18" t="n"/>
      <c r="P131" s="18" t="n"/>
    </row>
    <row r="132" ht="12.75" customFormat="1" customHeight="1" s="13">
      <c r="A132" s="30" t="n"/>
      <c r="C132" s="18" t="n"/>
      <c r="D132" s="18" t="n"/>
      <c r="E132" s="18" t="n"/>
      <c r="F132" s="18" t="n"/>
      <c r="G132" s="767" t="n"/>
      <c r="H132" s="18" t="n"/>
      <c r="I132" s="18" t="n"/>
      <c r="J132" s="18" t="n"/>
      <c r="K132" s="18" t="n"/>
      <c r="L132" s="768" t="n"/>
      <c r="M132" s="18" t="n"/>
      <c r="N132" s="18" t="n"/>
      <c r="O132" s="18" t="n"/>
      <c r="P132" s="18" t="n"/>
    </row>
    <row r="133" ht="12.75" customFormat="1" customHeight="1" s="13">
      <c r="A133" s="30" t="n"/>
      <c r="C133" s="18" t="n"/>
      <c r="D133" s="18" t="n"/>
      <c r="E133" s="18" t="n"/>
      <c r="F133" s="18" t="n"/>
      <c r="G133" s="767" t="n"/>
      <c r="H133" s="18" t="n"/>
      <c r="I133" s="18" t="n"/>
      <c r="J133" s="18" t="n"/>
      <c r="K133" s="18" t="n"/>
      <c r="L133" s="768" t="n"/>
      <c r="M133" s="18" t="n"/>
      <c r="N133" s="18" t="n"/>
      <c r="O133" s="18" t="n"/>
      <c r="P133" s="18" t="n"/>
    </row>
    <row r="134" ht="12.75" customFormat="1" customHeight="1" s="13">
      <c r="A134" s="30" t="n"/>
      <c r="C134" s="18" t="n"/>
      <c r="D134" s="18" t="n"/>
      <c r="E134" s="18" t="n"/>
      <c r="F134" s="18" t="n"/>
      <c r="G134" s="767" t="n"/>
      <c r="H134" s="18" t="n"/>
      <c r="I134" s="18" t="n"/>
      <c r="J134" s="18" t="n"/>
      <c r="K134" s="18" t="n"/>
      <c r="L134" s="768" t="n"/>
      <c r="M134" s="18" t="n"/>
      <c r="N134" s="18" t="n"/>
      <c r="O134" s="18" t="n"/>
      <c r="P134" s="18" t="n"/>
    </row>
    <row r="135" ht="12.75" customFormat="1" customHeight="1" s="13">
      <c r="A135" s="30" t="n"/>
      <c r="C135" s="18" t="n"/>
      <c r="D135" s="18" t="n"/>
      <c r="E135" s="18" t="n"/>
      <c r="F135" s="18" t="n"/>
      <c r="G135" s="767" t="n"/>
      <c r="H135" s="18" t="n"/>
      <c r="I135" s="18" t="n"/>
      <c r="J135" s="18" t="n"/>
      <c r="K135" s="18" t="n"/>
      <c r="L135" s="768" t="n"/>
      <c r="M135" s="18" t="n"/>
      <c r="N135" s="18" t="n"/>
      <c r="O135" s="18" t="n"/>
      <c r="P135" s="18" t="n"/>
    </row>
    <row r="136" ht="12.75" customFormat="1" customHeight="1" s="13">
      <c r="A136" s="30" t="n"/>
      <c r="C136" s="18" t="n"/>
      <c r="D136" s="18" t="n"/>
      <c r="E136" s="18" t="n"/>
      <c r="F136" s="18" t="n"/>
      <c r="G136" s="767" t="n"/>
      <c r="H136" s="18" t="n"/>
      <c r="I136" s="18" t="n"/>
      <c r="J136" s="18" t="n"/>
      <c r="K136" s="18" t="n"/>
      <c r="L136" s="768" t="n"/>
      <c r="M136" s="18" t="n"/>
      <c r="N136" s="18" t="n"/>
      <c r="O136" s="18" t="n"/>
      <c r="P136" s="18" t="n"/>
    </row>
    <row r="137" ht="12.75" customFormat="1" customHeight="1" s="13">
      <c r="A137" s="30" t="n"/>
      <c r="C137" s="18" t="n"/>
      <c r="D137" s="18" t="n"/>
      <c r="E137" s="18" t="n"/>
      <c r="F137" s="18" t="n"/>
      <c r="G137" s="767" t="n"/>
      <c r="H137" s="18" t="n"/>
      <c r="I137" s="18" t="n"/>
      <c r="J137" s="18" t="n"/>
      <c r="K137" s="18" t="n"/>
      <c r="L137" s="768" t="n"/>
      <c r="M137" s="18" t="n"/>
      <c r="N137" s="18" t="n"/>
      <c r="O137" s="18" t="n"/>
      <c r="P137" s="18" t="n"/>
    </row>
    <row r="138" ht="12.75" customFormat="1" customHeight="1" s="13">
      <c r="A138" s="30" t="n"/>
      <c r="C138" s="18" t="n"/>
      <c r="D138" s="18" t="n"/>
      <c r="E138" s="18" t="n"/>
      <c r="F138" s="18" t="n"/>
      <c r="G138" s="767" t="n"/>
      <c r="H138" s="18" t="n"/>
      <c r="I138" s="18" t="n"/>
      <c r="J138" s="18" t="n"/>
      <c r="K138" s="18" t="n"/>
      <c r="L138" s="768" t="n"/>
      <c r="M138" s="18" t="n"/>
      <c r="N138" s="18" t="n"/>
      <c r="O138" s="18" t="n"/>
      <c r="P138" s="18" t="n"/>
    </row>
    <row r="139" ht="12.75" customFormat="1" customHeight="1" s="13">
      <c r="A139" s="30" t="n"/>
      <c r="C139" s="18" t="n"/>
      <c r="D139" s="18" t="n"/>
      <c r="E139" s="18" t="n"/>
      <c r="F139" s="18" t="n"/>
      <c r="G139" s="767" t="n"/>
      <c r="H139" s="18" t="n"/>
      <c r="I139" s="18" t="n"/>
      <c r="J139" s="18" t="n"/>
      <c r="K139" s="18" t="n"/>
      <c r="L139" s="768" t="n"/>
      <c r="M139" s="18" t="n"/>
      <c r="N139" s="18" t="n"/>
      <c r="O139" s="18" t="n"/>
      <c r="P139" s="18" t="n"/>
    </row>
    <row r="140" ht="12.75" customFormat="1" customHeight="1" s="13">
      <c r="A140" s="30" t="n"/>
      <c r="C140" s="18" t="n"/>
      <c r="D140" s="18" t="n"/>
      <c r="E140" s="18" t="n"/>
      <c r="F140" s="18" t="n"/>
      <c r="G140" s="767" t="n"/>
      <c r="H140" s="18" t="n"/>
      <c r="I140" s="18" t="n"/>
      <c r="J140" s="18" t="n"/>
      <c r="K140" s="18" t="n"/>
      <c r="L140" s="768" t="n"/>
      <c r="M140" s="18" t="n"/>
      <c r="N140" s="18" t="n"/>
      <c r="O140" s="18" t="n"/>
      <c r="P140" s="18" t="n"/>
    </row>
    <row r="141" ht="12.75" customFormat="1" customHeight="1" s="13">
      <c r="A141" s="30" t="n"/>
      <c r="C141" s="18" t="n"/>
      <c r="D141" s="18" t="n"/>
      <c r="E141" s="18" t="n"/>
      <c r="F141" s="18" t="n"/>
      <c r="G141" s="767" t="n"/>
      <c r="H141" s="18" t="n"/>
      <c r="I141" s="18" t="n"/>
      <c r="J141" s="18" t="n"/>
      <c r="K141" s="18" t="n"/>
      <c r="L141" s="768" t="n"/>
      <c r="M141" s="18" t="n"/>
      <c r="N141" s="18" t="n"/>
      <c r="O141" s="18" t="n"/>
      <c r="P141" s="18" t="n"/>
    </row>
    <row r="142" ht="12.75" customFormat="1" customHeight="1" s="13">
      <c r="A142" s="30" t="n"/>
      <c r="C142" s="18" t="n"/>
      <c r="D142" s="18" t="n"/>
      <c r="E142" s="18" t="n"/>
      <c r="F142" s="18" t="n"/>
      <c r="G142" s="767" t="n"/>
      <c r="H142" s="18" t="n"/>
      <c r="I142" s="18" t="n"/>
      <c r="J142" s="18" t="n"/>
      <c r="K142" s="18" t="n"/>
      <c r="L142" s="768" t="n"/>
      <c r="M142" s="18" t="n"/>
      <c r="N142" s="18" t="n"/>
      <c r="O142" s="18" t="n"/>
      <c r="P142" s="18" t="n"/>
    </row>
    <row r="143" ht="12.75" customFormat="1" customHeight="1" s="13">
      <c r="A143" s="30" t="n"/>
      <c r="C143" s="18" t="n"/>
      <c r="D143" s="18" t="n"/>
      <c r="E143" s="18" t="n"/>
      <c r="F143" s="18" t="n"/>
      <c r="G143" s="767" t="n"/>
      <c r="H143" s="18" t="n"/>
      <c r="I143" s="18" t="n"/>
      <c r="J143" s="18" t="n"/>
      <c r="K143" s="18" t="n"/>
      <c r="L143" s="768" t="n"/>
      <c r="M143" s="18" t="n"/>
      <c r="N143" s="18" t="n"/>
      <c r="O143" s="18" t="n"/>
      <c r="P143" s="18" t="n"/>
    </row>
    <row r="144" ht="12.75" customFormat="1" customHeight="1" s="13">
      <c r="A144" s="30" t="n"/>
      <c r="C144" s="18" t="n"/>
      <c r="D144" s="18" t="n"/>
      <c r="E144" s="18" t="n"/>
      <c r="F144" s="18" t="n"/>
      <c r="G144" s="767" t="n"/>
      <c r="H144" s="18" t="n"/>
      <c r="I144" s="18" t="n"/>
      <c r="J144" s="18" t="n"/>
      <c r="K144" s="18" t="n"/>
      <c r="L144" s="768" t="n"/>
      <c r="M144" s="18" t="n"/>
      <c r="N144" s="18" t="n"/>
      <c r="O144" s="18" t="n"/>
      <c r="P144" s="18" t="n"/>
    </row>
    <row r="145" ht="12.75" customFormat="1" customHeight="1" s="13">
      <c r="A145" s="30" t="n"/>
      <c r="C145" s="18" t="n"/>
      <c r="D145" s="18" t="n"/>
      <c r="E145" s="18" t="n"/>
      <c r="F145" s="18" t="n"/>
      <c r="G145" s="767" t="n"/>
      <c r="H145" s="18" t="n"/>
      <c r="I145" s="18" t="n"/>
      <c r="J145" s="18" t="n"/>
      <c r="K145" s="18" t="n"/>
      <c r="L145" s="768" t="n"/>
      <c r="M145" s="18" t="n"/>
      <c r="N145" s="18" t="n"/>
      <c r="O145" s="18" t="n"/>
      <c r="P145" s="18" t="n"/>
    </row>
    <row r="146" ht="12.75" customFormat="1" customHeight="1" s="13">
      <c r="A146" s="30" t="n"/>
      <c r="C146" s="18" t="n"/>
      <c r="D146" s="18" t="n"/>
      <c r="E146" s="18" t="n"/>
      <c r="F146" s="18" t="n"/>
      <c r="G146" s="767" t="n"/>
      <c r="H146" s="18" t="n"/>
      <c r="I146" s="18" t="n"/>
      <c r="J146" s="18" t="n"/>
      <c r="K146" s="18" t="n"/>
      <c r="L146" s="768" t="n"/>
      <c r="M146" s="18" t="n"/>
      <c r="N146" s="18" t="n"/>
      <c r="O146" s="18" t="n"/>
      <c r="P146" s="18" t="n"/>
    </row>
    <row r="147" ht="12.75" customFormat="1" customHeight="1" s="13">
      <c r="A147" s="30" t="n"/>
      <c r="C147" s="18" t="n"/>
      <c r="D147" s="18" t="n"/>
      <c r="E147" s="18" t="n"/>
      <c r="F147" s="18" t="n"/>
      <c r="G147" s="767" t="n"/>
      <c r="H147" s="18" t="n"/>
      <c r="I147" s="18" t="n"/>
      <c r="J147" s="18" t="n"/>
      <c r="K147" s="18" t="n"/>
      <c r="L147" s="768" t="n"/>
      <c r="M147" s="18" t="n"/>
      <c r="N147" s="18" t="n"/>
      <c r="O147" s="18" t="n"/>
      <c r="P147" s="18" t="n"/>
    </row>
    <row r="148" ht="12.75" customFormat="1" customHeight="1" s="13">
      <c r="A148" s="30" t="n"/>
      <c r="C148" s="18" t="n"/>
      <c r="D148" s="18" t="n"/>
      <c r="E148" s="18" t="n"/>
      <c r="F148" s="18" t="n"/>
      <c r="G148" s="767" t="n"/>
      <c r="H148" s="18" t="n"/>
      <c r="I148" s="18" t="n"/>
      <c r="J148" s="18" t="n"/>
      <c r="K148" s="18" t="n"/>
      <c r="L148" s="768" t="n"/>
      <c r="M148" s="18" t="n"/>
      <c r="N148" s="18" t="n"/>
      <c r="O148" s="18" t="n"/>
      <c r="P148" s="18" t="n"/>
    </row>
    <row r="149" ht="12.75" customFormat="1" customHeight="1" s="13">
      <c r="A149" s="30" t="n"/>
      <c r="C149" s="18" t="n"/>
      <c r="D149" s="18" t="n"/>
      <c r="E149" s="18" t="n"/>
      <c r="F149" s="18" t="n"/>
      <c r="G149" s="767" t="n"/>
      <c r="H149" s="18" t="n"/>
      <c r="I149" s="18" t="n"/>
      <c r="J149" s="18" t="n"/>
      <c r="K149" s="18" t="n"/>
      <c r="L149" s="768" t="n"/>
      <c r="M149" s="18" t="n"/>
      <c r="N149" s="18" t="n"/>
      <c r="O149" s="18" t="n"/>
      <c r="P149" s="18" t="n"/>
    </row>
    <row r="150" ht="12.75" customFormat="1" customHeight="1" s="13">
      <c r="A150" s="30" t="n"/>
      <c r="C150" s="18" t="n"/>
      <c r="D150" s="18" t="n"/>
      <c r="E150" s="18" t="n"/>
      <c r="F150" s="18" t="n"/>
      <c r="G150" s="767" t="n"/>
      <c r="H150" s="18" t="n"/>
      <c r="I150" s="18" t="n"/>
      <c r="J150" s="18" t="n"/>
      <c r="K150" s="18" t="n"/>
      <c r="L150" s="768" t="n"/>
      <c r="M150" s="18" t="n"/>
      <c r="N150" s="18" t="n"/>
      <c r="O150" s="18" t="n"/>
      <c r="P150" s="18" t="n"/>
    </row>
    <row r="151" ht="12.75" customFormat="1" customHeight="1" s="13">
      <c r="A151" s="30" t="n"/>
      <c r="C151" s="18" t="n"/>
      <c r="D151" s="18" t="n"/>
      <c r="E151" s="18" t="n"/>
      <c r="F151" s="18" t="n"/>
      <c r="G151" s="767" t="n"/>
      <c r="H151" s="18" t="n"/>
      <c r="I151" s="18" t="n"/>
      <c r="J151" s="18" t="n"/>
      <c r="K151" s="18" t="n"/>
      <c r="L151" s="768" t="n"/>
      <c r="M151" s="18" t="n"/>
      <c r="N151" s="18" t="n"/>
      <c r="O151" s="18" t="n"/>
      <c r="P151" s="18" t="n"/>
    </row>
    <row r="152" ht="12.75" customFormat="1" customHeight="1" s="13">
      <c r="A152" s="30" t="n"/>
      <c r="C152" s="18" t="n"/>
      <c r="D152" s="18" t="n"/>
      <c r="E152" s="18" t="n"/>
      <c r="F152" s="18" t="n"/>
      <c r="G152" s="767" t="n"/>
      <c r="H152" s="18" t="n"/>
      <c r="I152" s="18" t="n"/>
      <c r="J152" s="18" t="n"/>
      <c r="K152" s="18" t="n"/>
      <c r="L152" s="768" t="n"/>
      <c r="M152" s="18" t="n"/>
      <c r="N152" s="18" t="n"/>
      <c r="O152" s="18" t="n"/>
      <c r="P152" s="18" t="n"/>
    </row>
    <row r="153" ht="12.75" customFormat="1" customHeight="1" s="13">
      <c r="A153" s="30" t="n"/>
      <c r="C153" s="18" t="n"/>
      <c r="D153" s="18" t="n"/>
      <c r="E153" s="18" t="n"/>
      <c r="F153" s="18" t="n"/>
      <c r="G153" s="767" t="n"/>
      <c r="H153" s="18" t="n"/>
      <c r="I153" s="18" t="n"/>
      <c r="J153" s="18" t="n"/>
      <c r="K153" s="18" t="n"/>
      <c r="L153" s="768" t="n"/>
      <c r="M153" s="18" t="n"/>
      <c r="N153" s="18" t="n"/>
      <c r="O153" s="18" t="n"/>
      <c r="P153" s="18" t="n"/>
    </row>
    <row r="154" ht="12.75" customFormat="1" customHeight="1" s="13">
      <c r="A154" s="30" t="n"/>
      <c r="C154" s="18" t="n"/>
      <c r="D154" s="18" t="n"/>
      <c r="E154" s="18" t="n"/>
      <c r="F154" s="18" t="n"/>
      <c r="G154" s="767" t="n"/>
      <c r="H154" s="18" t="n"/>
      <c r="I154" s="18" t="n"/>
      <c r="J154" s="18" t="n"/>
      <c r="K154" s="18" t="n"/>
      <c r="L154" s="768" t="n"/>
      <c r="M154" s="18" t="n"/>
      <c r="N154" s="18" t="n"/>
      <c r="O154" s="18" t="n"/>
      <c r="P154" s="18" t="n"/>
    </row>
    <row r="155" ht="12.75" customFormat="1" customHeight="1" s="13">
      <c r="A155" s="30" t="n"/>
      <c r="C155" s="18" t="n"/>
      <c r="D155" s="18" t="n"/>
      <c r="E155" s="18" t="n"/>
      <c r="F155" s="18" t="n"/>
      <c r="G155" s="767" t="n"/>
      <c r="H155" s="18" t="n"/>
      <c r="I155" s="18" t="n"/>
      <c r="J155" s="18" t="n"/>
      <c r="K155" s="18" t="n"/>
      <c r="L155" s="768" t="n"/>
      <c r="M155" s="18" t="n"/>
      <c r="N155" s="18" t="n"/>
      <c r="O155" s="18" t="n"/>
      <c r="P155" s="18" t="n"/>
    </row>
    <row r="156" ht="12.75" customFormat="1" customHeight="1" s="13">
      <c r="A156" s="30" t="n"/>
      <c r="C156" s="18" t="n"/>
      <c r="D156" s="18" t="n"/>
      <c r="E156" s="18" t="n"/>
      <c r="F156" s="18" t="n"/>
      <c r="G156" s="767" t="n"/>
      <c r="H156" s="18" t="n"/>
      <c r="I156" s="18" t="n"/>
      <c r="J156" s="18" t="n"/>
      <c r="K156" s="18" t="n"/>
      <c r="L156" s="768" t="n"/>
      <c r="M156" s="18" t="n"/>
      <c r="N156" s="18" t="n"/>
      <c r="O156" s="18" t="n"/>
      <c r="P156" s="18" t="n"/>
    </row>
    <row r="157" ht="12.75" customFormat="1" customHeight="1" s="13">
      <c r="A157" s="30" t="n"/>
      <c r="C157" s="18" t="n"/>
      <c r="D157" s="18" t="n"/>
      <c r="E157" s="18" t="n"/>
      <c r="F157" s="18" t="n"/>
      <c r="G157" s="767" t="n"/>
      <c r="H157" s="18" t="n"/>
      <c r="I157" s="18" t="n"/>
      <c r="J157" s="18" t="n"/>
      <c r="K157" s="18" t="n"/>
      <c r="L157" s="768" t="n"/>
      <c r="M157" s="18" t="n"/>
      <c r="N157" s="18" t="n"/>
      <c r="O157" s="18" t="n"/>
      <c r="P157" s="18" t="n"/>
    </row>
    <row r="158" ht="12.75" customFormat="1" customHeight="1" s="13">
      <c r="A158" s="30" t="n"/>
      <c r="C158" s="18" t="n"/>
      <c r="D158" s="18" t="n"/>
      <c r="E158" s="18" t="n"/>
      <c r="F158" s="18" t="n"/>
      <c r="G158" s="767" t="n"/>
      <c r="H158" s="18" t="n"/>
      <c r="I158" s="18" t="n"/>
      <c r="J158" s="18" t="n"/>
      <c r="K158" s="18" t="n"/>
      <c r="L158" s="768" t="n"/>
      <c r="M158" s="18" t="n"/>
      <c r="N158" s="18" t="n"/>
      <c r="O158" s="18" t="n"/>
      <c r="P158" s="18" t="n"/>
    </row>
    <row r="159" ht="12.75" customFormat="1" customHeight="1" s="13">
      <c r="A159" s="30" t="n"/>
      <c r="C159" s="18" t="n"/>
      <c r="D159" s="18" t="n"/>
      <c r="E159" s="18" t="n"/>
      <c r="F159" s="18" t="n"/>
      <c r="G159" s="767" t="n"/>
      <c r="H159" s="18" t="n"/>
      <c r="I159" s="18" t="n"/>
      <c r="J159" s="18" t="n"/>
      <c r="K159" s="18" t="n"/>
      <c r="L159" s="768" t="n"/>
      <c r="M159" s="18" t="n"/>
      <c r="N159" s="18" t="n"/>
      <c r="O159" s="18" t="n"/>
      <c r="P159" s="18" t="n"/>
    </row>
    <row r="160" ht="12.75" customFormat="1" customHeight="1" s="13">
      <c r="A160" s="30" t="n"/>
      <c r="C160" s="18" t="n"/>
      <c r="D160" s="18" t="n"/>
      <c r="E160" s="18" t="n"/>
      <c r="F160" s="18" t="n"/>
      <c r="G160" s="767" t="n"/>
      <c r="H160" s="18" t="n"/>
      <c r="I160" s="18" t="n"/>
      <c r="J160" s="18" t="n"/>
      <c r="K160" s="18" t="n"/>
      <c r="L160" s="768" t="n"/>
      <c r="M160" s="18" t="n"/>
      <c r="N160" s="18" t="n"/>
      <c r="O160" s="18" t="n"/>
      <c r="P160" s="18" t="n"/>
    </row>
    <row r="161" ht="12.75" customFormat="1" customHeight="1" s="13">
      <c r="A161" s="30" t="n"/>
      <c r="C161" s="18" t="n"/>
      <c r="D161" s="18" t="n"/>
      <c r="E161" s="18" t="n"/>
      <c r="F161" s="18" t="n"/>
      <c r="G161" s="767" t="n"/>
      <c r="H161" s="18" t="n"/>
      <c r="I161" s="18" t="n"/>
      <c r="J161" s="18" t="n"/>
      <c r="K161" s="18" t="n"/>
      <c r="L161" s="768" t="n"/>
      <c r="M161" s="18" t="n"/>
      <c r="N161" s="18" t="n"/>
      <c r="O161" s="18" t="n"/>
      <c r="P161" s="18" t="n"/>
    </row>
    <row r="162" ht="12.75" customFormat="1" customHeight="1" s="13">
      <c r="A162" s="30" t="n"/>
      <c r="C162" s="18" t="n"/>
      <c r="D162" s="18" t="n"/>
      <c r="E162" s="18" t="n"/>
      <c r="F162" s="18" t="n"/>
      <c r="G162" s="767" t="n"/>
      <c r="H162" s="18" t="n"/>
      <c r="I162" s="18" t="n"/>
      <c r="J162" s="18" t="n"/>
      <c r="K162" s="18" t="n"/>
      <c r="L162" s="768" t="n"/>
      <c r="M162" s="18" t="n"/>
      <c r="N162" s="18" t="n"/>
      <c r="O162" s="18" t="n"/>
      <c r="P162" s="18" t="n"/>
    </row>
    <row r="163" ht="12.75" customFormat="1" customHeight="1" s="13">
      <c r="A163" s="30" t="n"/>
      <c r="C163" s="18" t="n"/>
      <c r="D163" s="18" t="n"/>
      <c r="E163" s="18" t="n"/>
      <c r="F163" s="18" t="n"/>
      <c r="G163" s="767" t="n"/>
      <c r="H163" s="18" t="n"/>
      <c r="I163" s="18" t="n"/>
      <c r="J163" s="18" t="n"/>
      <c r="K163" s="18" t="n"/>
      <c r="L163" s="768" t="n"/>
      <c r="M163" s="18" t="n"/>
      <c r="N163" s="18" t="n"/>
      <c r="O163" s="18" t="n"/>
      <c r="P163" s="18" t="n"/>
    </row>
    <row r="164" ht="12.75" customFormat="1" customHeight="1" s="13">
      <c r="A164" s="30" t="n"/>
      <c r="C164" s="18" t="n"/>
      <c r="D164" s="18" t="n"/>
      <c r="E164" s="18" t="n"/>
      <c r="F164" s="18" t="n"/>
      <c r="G164" s="767" t="n"/>
      <c r="H164" s="18" t="n"/>
      <c r="I164" s="18" t="n"/>
      <c r="J164" s="18" t="n"/>
      <c r="K164" s="18" t="n"/>
      <c r="L164" s="768" t="n"/>
      <c r="M164" s="18" t="n"/>
      <c r="N164" s="18" t="n"/>
      <c r="O164" s="18" t="n"/>
      <c r="P164" s="18" t="n"/>
    </row>
    <row r="165" ht="12.75" customFormat="1" customHeight="1" s="13">
      <c r="A165" s="30" t="n"/>
      <c r="C165" s="18" t="n"/>
      <c r="D165" s="18" t="n"/>
      <c r="E165" s="18" t="n"/>
      <c r="F165" s="18" t="n"/>
      <c r="G165" s="767" t="n"/>
      <c r="H165" s="18" t="n"/>
      <c r="I165" s="18" t="n"/>
      <c r="J165" s="18" t="n"/>
      <c r="K165" s="18" t="n"/>
      <c r="L165" s="768" t="n"/>
      <c r="M165" s="18" t="n"/>
      <c r="N165" s="18" t="n"/>
      <c r="O165" s="18" t="n"/>
      <c r="P165" s="18" t="n"/>
    </row>
    <row r="166" ht="12.75" customFormat="1" customHeight="1" s="13">
      <c r="A166" s="30" t="n"/>
      <c r="C166" s="18" t="n"/>
      <c r="D166" s="18" t="n"/>
      <c r="E166" s="18" t="n"/>
      <c r="F166" s="18" t="n"/>
      <c r="G166" s="767" t="n"/>
      <c r="H166" s="18" t="n"/>
      <c r="I166" s="18" t="n"/>
      <c r="J166" s="18" t="n"/>
      <c r="K166" s="18" t="n"/>
      <c r="L166" s="768" t="n"/>
      <c r="M166" s="18" t="n"/>
      <c r="N166" s="18" t="n"/>
      <c r="O166" s="18" t="n"/>
      <c r="P166" s="18" t="n"/>
    </row>
    <row r="167" ht="12.75" customFormat="1" customHeight="1" s="13">
      <c r="A167" s="30" t="n"/>
      <c r="C167" s="18" t="n"/>
      <c r="D167" s="18" t="n"/>
      <c r="E167" s="18" t="n"/>
      <c r="F167" s="18" t="n"/>
      <c r="G167" s="767" t="n"/>
      <c r="H167" s="18" t="n"/>
      <c r="I167" s="18" t="n"/>
      <c r="J167" s="18" t="n"/>
      <c r="K167" s="18" t="n"/>
      <c r="L167" s="768" t="n"/>
      <c r="M167" s="18" t="n"/>
      <c r="N167" s="18" t="n"/>
      <c r="O167" s="18" t="n"/>
      <c r="P167" s="18" t="n"/>
    </row>
    <row r="168" ht="12.75" customFormat="1" customHeight="1" s="13">
      <c r="A168" s="30" t="n"/>
      <c r="C168" s="18" t="n"/>
      <c r="D168" s="18" t="n"/>
      <c r="E168" s="18" t="n"/>
      <c r="F168" s="18" t="n"/>
      <c r="G168" s="767" t="n"/>
      <c r="H168" s="18" t="n"/>
      <c r="I168" s="18" t="n"/>
      <c r="J168" s="18" t="n"/>
      <c r="K168" s="18" t="n"/>
      <c r="L168" s="768" t="n"/>
      <c r="M168" s="18" t="n"/>
      <c r="N168" s="18" t="n"/>
      <c r="O168" s="18" t="n"/>
      <c r="P168" s="18" t="n"/>
    </row>
    <row r="169" ht="12.75" customFormat="1" customHeight="1" s="13">
      <c r="A169" s="30" t="n"/>
      <c r="C169" s="18" t="n"/>
      <c r="D169" s="18" t="n"/>
      <c r="E169" s="18" t="n"/>
      <c r="F169" s="18" t="n"/>
      <c r="G169" s="767" t="n"/>
      <c r="H169" s="18" t="n"/>
      <c r="I169" s="18" t="n"/>
      <c r="J169" s="18" t="n"/>
      <c r="K169" s="18" t="n"/>
      <c r="L169" s="768" t="n"/>
      <c r="M169" s="18" t="n"/>
      <c r="N169" s="18" t="n"/>
      <c r="O169" s="18" t="n"/>
      <c r="P169" s="18" t="n"/>
    </row>
    <row r="170" ht="12.75" customFormat="1" customHeight="1" s="13">
      <c r="A170" s="30" t="n"/>
      <c r="C170" s="18" t="n"/>
      <c r="D170" s="18" t="n"/>
      <c r="E170" s="18" t="n"/>
      <c r="F170" s="18" t="n"/>
      <c r="G170" s="767" t="n"/>
      <c r="H170" s="18" t="n"/>
      <c r="I170" s="18" t="n"/>
      <c r="J170" s="18" t="n"/>
      <c r="K170" s="18" t="n"/>
      <c r="L170" s="768" t="n"/>
      <c r="M170" s="18" t="n"/>
      <c r="N170" s="18" t="n"/>
      <c r="O170" s="18" t="n"/>
      <c r="P170" s="18" t="n"/>
    </row>
    <row r="171" ht="12.75" customFormat="1" customHeight="1" s="13">
      <c r="A171" s="30" t="n"/>
      <c r="C171" s="18" t="n"/>
      <c r="D171" s="18" t="n"/>
      <c r="E171" s="18" t="n"/>
      <c r="F171" s="18" t="n"/>
      <c r="G171" s="767" t="n"/>
      <c r="H171" s="18" t="n"/>
      <c r="I171" s="18" t="n"/>
      <c r="J171" s="18" t="n"/>
      <c r="K171" s="18" t="n"/>
      <c r="L171" s="768" t="n"/>
      <c r="M171" s="18" t="n"/>
      <c r="N171" s="18" t="n"/>
      <c r="O171" s="18" t="n"/>
      <c r="P171" s="18" t="n"/>
    </row>
    <row r="172" ht="12.75" customFormat="1" customHeight="1" s="13">
      <c r="A172" s="30" t="n"/>
      <c r="C172" s="18" t="n"/>
      <c r="D172" s="18" t="n"/>
      <c r="E172" s="18" t="n"/>
      <c r="F172" s="18" t="n"/>
      <c r="G172" s="767" t="n"/>
      <c r="H172" s="18" t="n"/>
      <c r="I172" s="18" t="n"/>
      <c r="J172" s="18" t="n"/>
      <c r="K172" s="18" t="n"/>
      <c r="L172" s="768" t="n"/>
      <c r="M172" s="18" t="n"/>
      <c r="N172" s="18" t="n"/>
      <c r="O172" s="18" t="n"/>
      <c r="P172" s="18" t="n"/>
    </row>
    <row r="173" ht="12.75" customFormat="1" customHeight="1" s="13">
      <c r="A173" s="30" t="n"/>
      <c r="C173" s="18" t="n"/>
      <c r="D173" s="18" t="n"/>
      <c r="E173" s="18" t="n"/>
      <c r="F173" s="18" t="n"/>
      <c r="G173" s="767" t="n"/>
      <c r="H173" s="18" t="n"/>
      <c r="I173" s="18" t="n"/>
      <c r="J173" s="18" t="n"/>
      <c r="K173" s="18" t="n"/>
      <c r="L173" s="768" t="n"/>
      <c r="M173" s="18" t="n"/>
      <c r="N173" s="18" t="n"/>
      <c r="O173" s="18" t="n"/>
      <c r="P173" s="18" t="n"/>
    </row>
    <row r="174" ht="12.75" customFormat="1" customHeight="1" s="13">
      <c r="A174" s="30" t="n"/>
      <c r="C174" s="18" t="n"/>
      <c r="D174" s="18" t="n"/>
      <c r="E174" s="18" t="n"/>
      <c r="F174" s="18" t="n"/>
      <c r="G174" s="767" t="n"/>
      <c r="H174" s="18" t="n"/>
      <c r="I174" s="18" t="n"/>
      <c r="J174" s="18" t="n"/>
      <c r="K174" s="18" t="n"/>
      <c r="L174" s="768" t="n"/>
      <c r="M174" s="18" t="n"/>
      <c r="N174" s="18" t="n"/>
      <c r="O174" s="18" t="n"/>
      <c r="P174" s="18" t="n"/>
    </row>
    <row r="175" ht="12.75" customFormat="1" customHeight="1" s="13">
      <c r="A175" s="30" t="n"/>
      <c r="C175" s="18" t="n"/>
      <c r="D175" s="18" t="n"/>
      <c r="E175" s="18" t="n"/>
      <c r="F175" s="18" t="n"/>
      <c r="G175" s="767" t="n"/>
      <c r="H175" s="18" t="n"/>
      <c r="I175" s="18" t="n"/>
      <c r="J175" s="18" t="n"/>
      <c r="K175" s="18" t="n"/>
      <c r="L175" s="768" t="n"/>
      <c r="M175" s="18" t="n"/>
      <c r="N175" s="18" t="n"/>
      <c r="O175" s="18" t="n"/>
      <c r="P175" s="18" t="n"/>
    </row>
    <row r="176" ht="12.75" customFormat="1" customHeight="1" s="13">
      <c r="A176" s="30" t="n"/>
      <c r="C176" s="18" t="n"/>
      <c r="D176" s="18" t="n"/>
      <c r="E176" s="18" t="n"/>
      <c r="F176" s="18" t="n"/>
      <c r="G176" s="767" t="n"/>
      <c r="H176" s="18" t="n"/>
      <c r="I176" s="18" t="n"/>
      <c r="J176" s="18" t="n"/>
      <c r="K176" s="18" t="n"/>
      <c r="L176" s="768" t="n"/>
      <c r="M176" s="18" t="n"/>
      <c r="N176" s="18" t="n"/>
      <c r="O176" s="18" t="n"/>
      <c r="P176" s="18" t="n"/>
    </row>
    <row r="177" ht="12.75" customFormat="1" customHeight="1" s="13">
      <c r="A177" s="30" t="n"/>
      <c r="C177" s="18" t="n"/>
      <c r="D177" s="18" t="n"/>
      <c r="E177" s="18" t="n"/>
      <c r="F177" s="18" t="n"/>
      <c r="G177" s="767" t="n"/>
      <c r="H177" s="18" t="n"/>
      <c r="I177" s="18" t="n"/>
      <c r="J177" s="18" t="n"/>
      <c r="K177" s="18" t="n"/>
      <c r="L177" s="768" t="n"/>
      <c r="M177" s="18" t="n"/>
      <c r="N177" s="18" t="n"/>
      <c r="O177" s="18" t="n"/>
      <c r="P177" s="18" t="n"/>
    </row>
    <row r="178" ht="12.75" customFormat="1" customHeight="1" s="13">
      <c r="A178" s="30" t="n"/>
      <c r="C178" s="18" t="n"/>
      <c r="D178" s="18" t="n"/>
      <c r="E178" s="18" t="n"/>
      <c r="F178" s="18" t="n"/>
      <c r="G178" s="767" t="n"/>
      <c r="H178" s="18" t="n"/>
      <c r="I178" s="18" t="n"/>
      <c r="J178" s="18" t="n"/>
      <c r="K178" s="18" t="n"/>
      <c r="L178" s="768" t="n"/>
      <c r="M178" s="18" t="n"/>
      <c r="N178" s="18" t="n"/>
      <c r="O178" s="18" t="n"/>
      <c r="P178" s="18" t="n"/>
    </row>
    <row r="179" ht="12.75" customFormat="1" customHeight="1" s="13">
      <c r="A179" s="30" t="n"/>
      <c r="C179" s="18" t="n"/>
      <c r="D179" s="18" t="n"/>
      <c r="E179" s="18" t="n"/>
      <c r="F179" s="18" t="n"/>
      <c r="G179" s="767" t="n"/>
      <c r="H179" s="18" t="n"/>
      <c r="I179" s="18" t="n"/>
      <c r="J179" s="18" t="n"/>
      <c r="K179" s="18" t="n"/>
      <c r="L179" s="768" t="n"/>
      <c r="M179" s="18" t="n"/>
      <c r="N179" s="18" t="n"/>
      <c r="O179" s="18" t="n"/>
      <c r="P179" s="18" t="n"/>
      <c r="Q179" s="18" t="n"/>
      <c r="R179" s="18" t="n"/>
      <c r="S179" s="18" t="n"/>
    </row>
    <row r="180" ht="12.75" customFormat="1" customHeight="1" s="13">
      <c r="A180" s="30" t="n"/>
      <c r="C180" s="18" t="n"/>
      <c r="D180" s="18" t="n"/>
      <c r="E180" s="18" t="n"/>
      <c r="F180" s="18" t="n"/>
      <c r="G180" s="767" t="n"/>
      <c r="H180" s="18" t="n"/>
      <c r="I180" s="18" t="n"/>
      <c r="J180" s="18" t="n"/>
      <c r="K180" s="18" t="n"/>
      <c r="L180" s="768" t="n"/>
      <c r="M180" s="18" t="n"/>
      <c r="N180" s="18" t="n"/>
      <c r="O180" s="18" t="n"/>
      <c r="P180" s="18" t="n"/>
      <c r="Q180" s="18" t="n"/>
      <c r="R180" s="18" t="n"/>
      <c r="S180" s="18" t="n"/>
    </row>
    <row r="181" ht="12.75" customFormat="1" customHeight="1" s="13">
      <c r="A181" s="30" t="n"/>
      <c r="C181" s="18" t="n"/>
      <c r="D181" s="18" t="n"/>
      <c r="E181" s="18" t="n"/>
      <c r="F181" s="18" t="n"/>
      <c r="G181" s="767" t="n"/>
      <c r="H181" s="18" t="n"/>
      <c r="I181" s="18" t="n"/>
      <c r="J181" s="18" t="n"/>
      <c r="K181" s="18" t="n"/>
      <c r="L181" s="768" t="n"/>
      <c r="M181" s="18" t="n"/>
      <c r="N181" s="18" t="n"/>
      <c r="O181" s="18" t="n"/>
      <c r="P181" s="18" t="n"/>
      <c r="Q181" s="18" t="n"/>
      <c r="R181" s="18" t="n"/>
      <c r="S181" s="18" t="n"/>
    </row>
    <row r="182" ht="12.75" customFormat="1" customHeight="1" s="13">
      <c r="A182" s="30" t="n"/>
      <c r="B182" s="18" t="n"/>
      <c r="C182" s="18" t="n"/>
      <c r="D182" s="18" t="n"/>
      <c r="E182" s="18" t="n"/>
      <c r="F182" s="18" t="n"/>
      <c r="G182" s="767" t="n"/>
      <c r="H182" s="18" t="n"/>
      <c r="I182" s="18" t="n"/>
      <c r="J182" s="18" t="n"/>
      <c r="K182" s="18" t="n"/>
      <c r="L182" s="768" t="n"/>
      <c r="M182" s="18" t="n"/>
      <c r="N182" s="18" t="n"/>
      <c r="O182" s="18" t="n"/>
      <c r="P182" s="18" t="n"/>
      <c r="Q182" s="18" t="n"/>
      <c r="R182" s="18" t="n"/>
      <c r="S182" s="18" t="n"/>
    </row>
    <row r="183" ht="12.75" customFormat="1" customHeight="1" s="13">
      <c r="A183" s="30" t="n"/>
      <c r="B183" s="18" t="n"/>
      <c r="C183" s="18" t="n"/>
      <c r="D183" s="18" t="n"/>
      <c r="E183" s="18" t="n"/>
      <c r="F183" s="18" t="n"/>
      <c r="G183" s="767" t="n"/>
      <c r="H183" s="18" t="n"/>
      <c r="I183" s="18" t="n"/>
      <c r="J183" s="18" t="n"/>
      <c r="K183" s="18" t="n"/>
      <c r="L183" s="768" t="n"/>
      <c r="M183" s="18" t="n"/>
      <c r="N183" s="18" t="n"/>
      <c r="O183" s="18" t="n"/>
      <c r="P183" s="18" t="n"/>
      <c r="Q183" s="18" t="n"/>
      <c r="R183" s="18" t="n"/>
      <c r="S183" s="18" t="n"/>
    </row>
    <row r="184" ht="12.75" customFormat="1" customHeight="1" s="13">
      <c r="A184" s="30" t="n"/>
      <c r="B184" s="18" t="n"/>
      <c r="C184" s="18" t="n"/>
      <c r="D184" s="18" t="n"/>
      <c r="E184" s="18" t="n"/>
      <c r="F184" s="18" t="n"/>
      <c r="G184" s="767" t="n"/>
      <c r="H184" s="18" t="n"/>
      <c r="I184" s="18" t="n"/>
      <c r="J184" s="18" t="n"/>
      <c r="K184" s="18" t="n"/>
      <c r="L184" s="768" t="n"/>
      <c r="M184" s="18" t="n"/>
      <c r="N184" s="18" t="n"/>
      <c r="O184" s="18" t="n"/>
      <c r="P184" s="18" t="n"/>
      <c r="Q184" s="18" t="n"/>
      <c r="R184" s="18" t="n"/>
      <c r="S184" s="18" t="n"/>
    </row>
    <row r="185" ht="12.75" customFormat="1" customHeight="1" s="13">
      <c r="A185" s="30" t="n"/>
      <c r="B185" s="18" t="n"/>
      <c r="C185" s="18" t="n"/>
      <c r="D185" s="18" t="n"/>
      <c r="E185" s="18" t="n"/>
      <c r="F185" s="18" t="n"/>
      <c r="G185" s="767" t="n"/>
      <c r="H185" s="18" t="n"/>
      <c r="I185" s="18" t="n"/>
      <c r="J185" s="18" t="n"/>
      <c r="K185" s="18" t="n"/>
      <c r="L185" s="768" t="n"/>
      <c r="M185" s="18" t="n"/>
      <c r="N185" s="18" t="n"/>
      <c r="O185" s="18" t="n"/>
      <c r="P185" s="18" t="n"/>
      <c r="Q185" s="18" t="n"/>
      <c r="R185" s="18" t="n"/>
      <c r="S185" s="18" t="n"/>
    </row>
    <row r="186" ht="12.75" customFormat="1" customHeight="1" s="13">
      <c r="A186" s="30" t="n"/>
      <c r="B186" s="18" t="n"/>
      <c r="C186" s="18" t="n"/>
      <c r="D186" s="18" t="n"/>
      <c r="E186" s="18" t="n"/>
      <c r="F186" s="18" t="n"/>
      <c r="G186" s="767" t="n"/>
      <c r="H186" s="18" t="n"/>
      <c r="I186" s="18" t="n"/>
      <c r="J186" s="18" t="n"/>
      <c r="K186" s="18" t="n"/>
      <c r="L186" s="768" t="n"/>
      <c r="M186" s="18" t="n"/>
      <c r="N186" s="18" t="n"/>
      <c r="O186" s="18" t="n"/>
      <c r="P186" s="18" t="n"/>
      <c r="Q186" s="18" t="n"/>
      <c r="R186" s="18" t="n"/>
      <c r="S186" s="18" t="n"/>
    </row>
    <row r="187" ht="12.75" customFormat="1" customHeight="1" s="13">
      <c r="A187" s="30" t="n"/>
      <c r="B187" s="18" t="n"/>
      <c r="C187" s="18" t="n"/>
      <c r="D187" s="18" t="n"/>
      <c r="E187" s="18" t="n"/>
      <c r="F187" s="18" t="n"/>
      <c r="G187" s="767" t="n"/>
      <c r="H187" s="18" t="n"/>
      <c r="I187" s="18" t="n"/>
      <c r="J187" s="18" t="n"/>
      <c r="K187" s="18" t="n"/>
      <c r="L187" s="768" t="n"/>
      <c r="M187" s="18" t="n"/>
      <c r="N187" s="18" t="n"/>
      <c r="O187" s="18" t="n"/>
      <c r="P187" s="18" t="n"/>
      <c r="Q187" s="18" t="n"/>
      <c r="R187" s="18" t="n"/>
      <c r="S187" s="18" t="n"/>
    </row>
    <row r="188" ht="12.75" customFormat="1" customHeight="1" s="13">
      <c r="A188" s="30" t="n"/>
      <c r="B188" s="18" t="n"/>
      <c r="C188" s="18" t="n"/>
      <c r="D188" s="18" t="n"/>
      <c r="E188" s="18" t="n"/>
      <c r="F188" s="18" t="n"/>
      <c r="G188" s="767" t="n"/>
      <c r="H188" s="18" t="n"/>
      <c r="I188" s="18" t="n"/>
      <c r="J188" s="18" t="n"/>
      <c r="K188" s="18" t="n"/>
      <c r="L188" s="768" t="n"/>
      <c r="M188" s="18" t="n"/>
      <c r="N188" s="18" t="n"/>
      <c r="O188" s="18" t="n"/>
      <c r="P188" s="18" t="n"/>
      <c r="Q188" s="18" t="n"/>
      <c r="R188" s="18" t="n"/>
      <c r="S188" s="18" t="n"/>
    </row>
    <row r="189" ht="12.75" customFormat="1" customHeight="1" s="13">
      <c r="A189" s="30" t="n"/>
      <c r="B189" s="18" t="n"/>
      <c r="C189" s="18" t="n"/>
      <c r="D189" s="18" t="n"/>
      <c r="E189" s="18" t="n"/>
      <c r="F189" s="18" t="n"/>
      <c r="G189" s="767" t="n"/>
      <c r="H189" s="18" t="n"/>
      <c r="I189" s="18" t="n"/>
      <c r="J189" s="18" t="n"/>
      <c r="K189" s="18" t="n"/>
      <c r="L189" s="768" t="n"/>
      <c r="M189" s="18" t="n"/>
      <c r="N189" s="18" t="n"/>
      <c r="O189" s="18" t="n"/>
      <c r="P189" s="18" t="n"/>
      <c r="Q189" s="18" t="n"/>
      <c r="R189" s="18" t="n"/>
      <c r="S189" s="18" t="n"/>
    </row>
    <row r="190" ht="12.75" customFormat="1" customHeight="1" s="13">
      <c r="A190" s="30" t="n"/>
      <c r="B190" s="18" t="n"/>
      <c r="C190" s="18" t="n"/>
      <c r="D190" s="18" t="n"/>
      <c r="E190" s="18" t="n"/>
      <c r="F190" s="18" t="n"/>
      <c r="G190" s="767" t="n"/>
      <c r="H190" s="18" t="n"/>
      <c r="I190" s="18" t="n"/>
      <c r="J190" s="18" t="n"/>
      <c r="K190" s="18" t="n"/>
      <c r="L190" s="768" t="n"/>
      <c r="M190" s="18" t="n"/>
      <c r="N190" s="18" t="n"/>
      <c r="O190" s="18" t="n"/>
      <c r="P190" s="18" t="n"/>
      <c r="Q190" s="18" t="n"/>
      <c r="R190" s="18" t="n"/>
      <c r="S190" s="18" t="n"/>
    </row>
    <row r="191" ht="12.75" customFormat="1" customHeight="1" s="13">
      <c r="A191" s="30" t="n"/>
      <c r="B191" s="18" t="n"/>
      <c r="C191" s="18" t="n"/>
      <c r="D191" s="18" t="n"/>
      <c r="E191" s="18" t="n"/>
      <c r="F191" s="18" t="n"/>
      <c r="G191" s="767" t="n"/>
      <c r="H191" s="18" t="n"/>
      <c r="I191" s="18" t="n"/>
      <c r="J191" s="18" t="n"/>
      <c r="K191" s="18" t="n"/>
      <c r="L191" s="768" t="n"/>
      <c r="M191" s="18" t="n"/>
      <c r="N191" s="18" t="n"/>
      <c r="O191" s="18" t="n"/>
      <c r="P191" s="18" t="n"/>
      <c r="Q191" s="18" t="n"/>
      <c r="R191" s="18" t="n"/>
      <c r="S191" s="18" t="n"/>
    </row>
    <row r="192" ht="12.75" customFormat="1" customHeight="1" s="13">
      <c r="A192" s="30" t="n"/>
      <c r="B192" s="18" t="n"/>
      <c r="C192" s="18" t="n"/>
      <c r="D192" s="18" t="n"/>
      <c r="E192" s="18" t="n"/>
      <c r="F192" s="18" t="n"/>
      <c r="G192" s="767" t="n"/>
      <c r="H192" s="18" t="n"/>
      <c r="I192" s="18" t="n"/>
      <c r="J192" s="18" t="n"/>
      <c r="K192" s="18" t="n"/>
      <c r="L192" s="768"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8"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9"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30"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31" t="n"/>
      <c r="Q2" s="655" t="n"/>
      <c r="R2" s="832"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11" t="n"/>
      <c r="C7" s="812" t="n"/>
      <c r="D7" s="812" t="n"/>
      <c r="E7" s="812" t="n"/>
      <c r="F7" s="813" t="n"/>
      <c r="G7" s="205" t="n"/>
      <c r="H7" s="205" t="n"/>
      <c r="I7" s="205" t="n"/>
      <c r="J7" s="205" t="n"/>
      <c r="K7" s="205" t="n"/>
      <c r="L7" s="205" t="n"/>
      <c r="S7" s="615" t="n"/>
      <c r="T7" s="129" t="n"/>
    </row>
    <row r="8" ht="13.5" customHeight="1">
      <c r="A8" s="76" t="n"/>
      <c r="B8" s="814" t="n"/>
      <c r="C8" s="815" t="n"/>
      <c r="D8" s="815" t="n"/>
      <c r="E8" s="815" t="n"/>
      <c r="F8" s="816" t="n"/>
      <c r="G8" s="205" t="n"/>
      <c r="H8" s="205" t="n"/>
      <c r="I8" s="205" t="n"/>
      <c r="J8" s="205" t="n"/>
      <c r="K8" s="205" t="n"/>
      <c r="L8" s="205" t="n"/>
      <c r="S8" s="615" t="n"/>
      <c r="T8" s="129" t="n"/>
    </row>
    <row r="9" ht="13.5" customHeight="1">
      <c r="A9" s="76" t="n"/>
      <c r="B9" s="814" t="n"/>
      <c r="C9" s="815" t="n"/>
      <c r="D9" s="815" t="n"/>
      <c r="E9" s="815" t="n"/>
      <c r="F9" s="816" t="n"/>
      <c r="G9" s="205" t="n"/>
      <c r="H9" s="205" t="n"/>
      <c r="I9" s="205" t="n"/>
      <c r="J9" s="205" t="n"/>
      <c r="K9" s="205" t="n"/>
      <c r="L9" s="205" t="n"/>
      <c r="S9" s="615" t="n"/>
      <c r="T9" s="129" t="n"/>
    </row>
    <row r="10" ht="13.5" customHeight="1">
      <c r="A10" s="76" t="n"/>
      <c r="B10" s="817" t="n"/>
      <c r="C10" s="818" t="n"/>
      <c r="D10" s="818" t="n"/>
      <c r="E10" s="818" t="n"/>
      <c r="F10" s="819"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3"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4">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5">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3"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6">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11" t="n"/>
      <c r="C20" s="812" t="n"/>
      <c r="D20" s="812" t="n"/>
      <c r="E20" s="812" t="n"/>
      <c r="F20" s="813" t="n"/>
      <c r="T20" s="129" t="n"/>
    </row>
    <row r="21">
      <c r="B21" s="814" t="n"/>
      <c r="C21" s="815" t="n"/>
      <c r="D21" s="815" t="n"/>
      <c r="E21" s="815" t="n"/>
      <c r="F21" s="816" t="n"/>
      <c r="T21" s="129" t="n"/>
    </row>
    <row r="22">
      <c r="B22" s="814" t="n"/>
      <c r="C22" s="815" t="n"/>
      <c r="D22" s="815" t="n"/>
      <c r="E22" s="815" t="n"/>
      <c r="F22" s="816" t="n"/>
      <c r="T22" s="129" t="n"/>
    </row>
    <row r="23">
      <c r="B23" s="817" t="n"/>
      <c r="C23" s="818" t="n"/>
      <c r="D23" s="818" t="n"/>
      <c r="E23" s="818" t="n"/>
      <c r="F23" s="819"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7" t="inlineStr">
        <is>
          <t>3) 管理层对测试项目采用的使用寿命和折旧方法是适当的（符合实体的会计政策和适用的财务报告框架）。</t>
        </is>
      </c>
      <c r="C29" s="815" t="n"/>
      <c r="D29" s="815" t="n"/>
      <c r="E29" s="815" t="n"/>
      <c r="F29" s="816"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8"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9" t="n"/>
      <c r="H34" s="493" t="n"/>
      <c r="I34" s="483" t="n"/>
      <c r="J34" s="494" t="n"/>
      <c r="K34" s="483" t="n"/>
      <c r="L34" s="807" t="n"/>
      <c r="M34" s="483" t="n"/>
      <c r="N34" s="840">
        <f>G34-L34</f>
        <v/>
      </c>
      <c r="O34" s="483" t="n"/>
      <c r="P34" s="483" t="n"/>
      <c r="Q34" s="483" t="n"/>
      <c r="R34" s="483" t="n"/>
      <c r="T34" s="129" t="n"/>
    </row>
    <row r="35">
      <c r="B35" s="483" t="n"/>
      <c r="C35" s="483" t="n"/>
      <c r="D35" s="483" t="n"/>
      <c r="E35" s="483" t="n"/>
      <c r="F35" s="483" t="n"/>
      <c r="G35" s="839" t="n"/>
      <c r="H35" s="493" t="n"/>
      <c r="I35" s="483" t="n"/>
      <c r="J35" s="494" t="n"/>
      <c r="K35" s="483" t="n"/>
      <c r="L35" s="807" t="n"/>
      <c r="M35" s="483" t="n"/>
      <c r="N35" s="840">
        <f>G35-L35</f>
        <v/>
      </c>
      <c r="O35" s="483" t="n"/>
      <c r="P35" s="483" t="n"/>
      <c r="Q35" s="483" t="n"/>
      <c r="R35" s="483" t="n"/>
      <c r="T35" s="129" t="n"/>
    </row>
    <row r="36">
      <c r="B36" s="483" t="n"/>
      <c r="C36" s="483" t="n"/>
      <c r="D36" s="483" t="n"/>
      <c r="E36" s="483" t="n"/>
      <c r="F36" s="483" t="n"/>
      <c r="G36" s="839" t="n"/>
      <c r="H36" s="493" t="n"/>
      <c r="I36" s="483" t="n"/>
      <c r="J36" s="494" t="n"/>
      <c r="K36" s="483" t="n"/>
      <c r="L36" s="807" t="n"/>
      <c r="M36" s="483" t="n"/>
      <c r="N36" s="840">
        <f>G36-L36</f>
        <v/>
      </c>
      <c r="O36" s="483" t="n"/>
      <c r="P36" s="483" t="n"/>
      <c r="Q36" s="483" t="n"/>
      <c r="R36" s="483" t="n"/>
      <c r="T36" s="129" t="n"/>
    </row>
    <row r="37">
      <c r="B37" s="83" t="n"/>
      <c r="C37" s="84" t="n"/>
      <c r="D37" s="84" t="n"/>
      <c r="E37" s="84" t="n"/>
      <c r="F37" s="84" t="n"/>
      <c r="G37" s="85" t="n"/>
      <c r="H37" s="85" t="n"/>
      <c r="I37" s="86" t="n"/>
      <c r="J37" s="87" t="n"/>
      <c r="K37" s="85" t="n"/>
      <c r="L37" s="821"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21" t="n"/>
      <c r="M38" s="84" t="n"/>
      <c r="N38" s="84" t="n"/>
      <c r="O38" s="84" t="n"/>
      <c r="P38" s="84" t="n"/>
      <c r="T38" s="129" t="n"/>
    </row>
    <row r="39">
      <c r="B39" s="811" t="n"/>
      <c r="C39" s="812" t="n"/>
      <c r="D39" s="812" t="n"/>
      <c r="E39" s="812" t="n"/>
      <c r="F39" s="813" t="n"/>
      <c r="G39" s="85" t="n"/>
      <c r="H39" s="85" t="n"/>
      <c r="I39" s="86" t="n"/>
      <c r="J39" s="87" t="n"/>
      <c r="K39" s="85" t="n"/>
      <c r="L39" s="821" t="n"/>
      <c r="M39" s="84" t="n"/>
      <c r="N39" s="84" t="n"/>
      <c r="O39" s="84" t="n"/>
      <c r="P39" s="84" t="n"/>
      <c r="T39" s="129" t="n"/>
    </row>
    <row r="40">
      <c r="B40" s="814" t="n"/>
      <c r="C40" s="815" t="n"/>
      <c r="D40" s="815" t="n"/>
      <c r="E40" s="815" t="n"/>
      <c r="F40" s="816" t="n"/>
      <c r="G40" s="85" t="n"/>
      <c r="H40" s="85" t="n"/>
      <c r="I40" s="86" t="n"/>
      <c r="J40" s="87" t="n"/>
      <c r="K40" s="85" t="n"/>
      <c r="L40" s="821" t="n"/>
      <c r="M40" s="84" t="n"/>
      <c r="N40" s="84" t="n"/>
      <c r="O40" s="84" t="n"/>
      <c r="P40" s="84" t="n"/>
      <c r="T40" s="129" t="n"/>
    </row>
    <row r="41">
      <c r="B41" s="814" t="n"/>
      <c r="C41" s="815" t="n"/>
      <c r="D41" s="815" t="n"/>
      <c r="E41" s="815" t="n"/>
      <c r="F41" s="816" t="n"/>
      <c r="G41" s="85" t="n"/>
      <c r="H41" s="85" t="n"/>
      <c r="I41" s="86" t="n"/>
      <c r="J41" s="87" t="n"/>
      <c r="K41" s="85" t="n"/>
      <c r="L41" s="821" t="n"/>
      <c r="M41" s="84" t="n"/>
      <c r="N41" s="84" t="n"/>
      <c r="O41" s="84" t="n"/>
      <c r="P41" s="84" t="n"/>
      <c r="T41" s="129" t="n"/>
    </row>
    <row r="42" ht="13" customHeight="1">
      <c r="A42" s="218" t="n"/>
      <c r="B42" s="817" t="n"/>
      <c r="C42" s="818" t="n"/>
      <c r="D42" s="818" t="n"/>
      <c r="E42" s="818" t="n"/>
      <c r="F42" s="819"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30"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11" t="n"/>
      <c r="C7" s="812" t="n"/>
      <c r="D7" s="812" t="n"/>
      <c r="E7" s="812" t="n"/>
      <c r="F7" s="813" t="n"/>
      <c r="G7" s="205" t="n"/>
      <c r="H7" s="205" t="n"/>
      <c r="I7" s="205" t="n"/>
      <c r="J7" s="205" t="n"/>
      <c r="K7" s="205" t="n"/>
      <c r="L7" s="205" t="n"/>
      <c r="M7" s="205" t="n"/>
      <c r="N7" s="205" t="n"/>
      <c r="Q7" s="615" t="n"/>
      <c r="R7" s="615" t="n"/>
      <c r="W7" s="172" t="n"/>
    </row>
    <row r="8" ht="13.5" customFormat="1" customHeight="1" s="21">
      <c r="A8" s="219" t="n"/>
      <c r="B8" s="814" t="n"/>
      <c r="C8" s="815" t="n"/>
      <c r="D8" s="815" t="n"/>
      <c r="E8" s="815" t="n"/>
      <c r="F8" s="816" t="n"/>
      <c r="G8" s="205" t="n"/>
      <c r="H8" s="205" t="n"/>
      <c r="I8" s="205" t="n"/>
      <c r="J8" s="205" t="n"/>
      <c r="K8" s="205" t="n"/>
      <c r="L8" s="205" t="n"/>
      <c r="M8" s="205" t="n"/>
      <c r="N8" s="205" t="n"/>
      <c r="Q8" s="615" t="n"/>
      <c r="R8" s="615" t="n"/>
      <c r="W8" s="172" t="n"/>
    </row>
    <row r="9" ht="13.5" customFormat="1" customHeight="1" s="21">
      <c r="A9" s="219" t="n"/>
      <c r="B9" s="814" t="n"/>
      <c r="C9" s="815" t="n"/>
      <c r="D9" s="815" t="n"/>
      <c r="E9" s="815" t="n"/>
      <c r="F9" s="816" t="n"/>
      <c r="G9" s="205" t="n"/>
      <c r="H9" s="205" t="n"/>
      <c r="I9" s="205" t="n"/>
      <c r="J9" s="205" t="n"/>
      <c r="K9" s="205" t="n"/>
      <c r="L9" s="205" t="n"/>
      <c r="M9" s="205" t="n"/>
      <c r="N9" s="205" t="n"/>
      <c r="Q9" s="615" t="n"/>
      <c r="R9" s="615" t="n"/>
      <c r="W9" s="172" t="n"/>
    </row>
    <row r="10" ht="13.5" customFormat="1" customHeight="1" s="21">
      <c r="A10" s="219" t="n"/>
      <c r="B10" s="817" t="n"/>
      <c r="C10" s="818" t="n"/>
      <c r="D10" s="818" t="n"/>
      <c r="E10" s="818" t="n"/>
      <c r="F10" s="819"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3">
        <f>G14-I14-K14</f>
        <v/>
      </c>
      <c r="F14" s="615" t="n"/>
      <c r="G14" s="833" t="n"/>
      <c r="H14" s="615" t="n"/>
      <c r="I14" s="833" t="n"/>
      <c r="J14" s="615" t="n"/>
      <c r="K14" s="833"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4">
        <f>G15-I15-K15</f>
        <v/>
      </c>
      <c r="F15" s="98" t="inlineStr">
        <is>
          <t>K.01</t>
        </is>
      </c>
      <c r="G15" s="747">
        <f>-'K.01 Agree SL to GL'!Z15</f>
        <v/>
      </c>
      <c r="H15" s="98" t="inlineStr">
        <is>
          <t>K.01</t>
        </is>
      </c>
      <c r="I15" s="747">
        <f>-'K.01 Agree SL to GL'!Z21</f>
        <v/>
      </c>
      <c r="J15" s="98" t="inlineStr">
        <is>
          <t>K.01</t>
        </is>
      </c>
      <c r="K15" s="747">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5">
        <f>E14-E15</f>
        <v/>
      </c>
      <c r="F16" s="98" t="inlineStr">
        <is>
          <t>Rx</t>
        </is>
      </c>
      <c r="G16" s="835">
        <f>G14-G15</f>
        <v/>
      </c>
      <c r="H16" s="98" t="inlineStr">
        <is>
          <t>Rx</t>
        </is>
      </c>
      <c r="I16" s="835">
        <f>I14-I15</f>
        <v/>
      </c>
      <c r="J16" s="98" t="inlineStr">
        <is>
          <t>Rx</t>
        </is>
      </c>
      <c r="K16" s="835">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41"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3"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6">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42" t="n"/>
      <c r="E21" s="842" t="n"/>
      <c r="F21" s="842" t="n"/>
      <c r="G21" s="842" t="n"/>
      <c r="H21" s="842" t="n"/>
      <c r="I21" s="842" t="n"/>
      <c r="J21" s="842" t="n"/>
      <c r="K21" s="842" t="n"/>
      <c r="L21" s="842" t="n"/>
      <c r="M21" s="842" t="n"/>
      <c r="N21" s="843" t="n"/>
      <c r="O21" s="843"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9" t="n"/>
      <c r="J22" s="21" t="n"/>
      <c r="K22" s="21" t="n"/>
      <c r="L22" s="21" t="n"/>
      <c r="M22" s="21" t="n"/>
      <c r="N22" s="21" t="n"/>
      <c r="O22" s="21" t="n"/>
      <c r="P22" s="21" t="n"/>
      <c r="W22" s="172" t="n"/>
    </row>
    <row r="23" ht="14.25" customHeight="1">
      <c r="A23" s="221" t="n"/>
      <c r="B23" s="811" t="n"/>
      <c r="C23" s="812" t="n"/>
      <c r="D23" s="812" t="n"/>
      <c r="E23" s="812" t="n"/>
      <c r="F23" s="813" t="n"/>
      <c r="G23" s="204" t="n"/>
      <c r="H23" s="204" t="n"/>
      <c r="I23" s="204" t="n"/>
      <c r="J23" s="204" t="n"/>
      <c r="K23" s="204" t="n"/>
      <c r="L23" s="204" t="n"/>
      <c r="M23" s="204" t="n"/>
      <c r="N23" s="204" t="n"/>
      <c r="O23" s="21" t="n"/>
      <c r="P23" s="21" t="n"/>
      <c r="W23" s="172" t="n"/>
    </row>
    <row r="24" ht="14.25" customHeight="1">
      <c r="A24" s="221" t="n"/>
      <c r="B24" s="814" t="n"/>
      <c r="C24" s="815" t="n"/>
      <c r="D24" s="815" t="n"/>
      <c r="E24" s="815" t="n"/>
      <c r="F24" s="816" t="n"/>
      <c r="G24" s="204" t="n"/>
      <c r="H24" s="204" t="n"/>
      <c r="I24" s="204" t="n"/>
      <c r="J24" s="204" t="n"/>
      <c r="K24" s="204" t="n"/>
      <c r="L24" s="204" t="n"/>
      <c r="M24" s="204" t="n"/>
      <c r="N24" s="204" t="n"/>
      <c r="O24" s="21" t="n"/>
      <c r="P24" s="21" t="n"/>
      <c r="W24" s="172" t="n"/>
    </row>
    <row r="25" ht="14.25" customHeight="1">
      <c r="A25" s="221" t="n"/>
      <c r="B25" s="814" t="n"/>
      <c r="C25" s="815" t="n"/>
      <c r="D25" s="815" t="n"/>
      <c r="E25" s="815" t="n"/>
      <c r="F25" s="816" t="n"/>
      <c r="G25" s="204" t="n"/>
      <c r="H25" s="204" t="n"/>
      <c r="I25" s="204" t="n"/>
      <c r="J25" s="204" t="n"/>
      <c r="K25" s="204" t="n"/>
      <c r="L25" s="204" t="n"/>
      <c r="M25" s="204" t="n"/>
      <c r="N25" s="204" t="n"/>
      <c r="O25" s="21" t="n"/>
      <c r="P25" s="21" t="n"/>
      <c r="W25" s="172" t="n"/>
    </row>
    <row r="26" ht="14.25" customHeight="1">
      <c r="A26" s="221" t="n"/>
      <c r="B26" s="817" t="n"/>
      <c r="C26" s="818" t="n"/>
      <c r="D26" s="818" t="n"/>
      <c r="E26" s="818" t="n"/>
      <c r="F26" s="819"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9"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4" t="inlineStr">
        <is>
          <t>1) 测试样本（原值和累计折旧余额）已从固定资产明细账和总账中正确移除。</t>
        </is>
      </c>
      <c r="C30" s="815" t="n"/>
      <c r="D30" s="815" t="n"/>
      <c r="E30" s="815" t="n"/>
      <c r="F30" s="816" t="n"/>
      <c r="G30" s="204" t="n"/>
      <c r="H30" s="204" t="n"/>
      <c r="I30" s="204" t="n"/>
      <c r="J30" s="204" t="n"/>
      <c r="K30" s="204" t="n"/>
      <c r="L30" s="204" t="n"/>
      <c r="M30" s="204" t="n"/>
      <c r="N30" s="204" t="n"/>
      <c r="W30" s="172" t="n"/>
    </row>
    <row r="31">
      <c r="A31" s="221" t="n"/>
      <c r="B31" s="845" t="inlineStr">
        <is>
          <t>2) 重新计算资产处置时点的账面净值，并计算处置损益。确认处置损益已按照适用的财务报告框架正确记录和分类。</t>
        </is>
      </c>
      <c r="C31" s="815" t="n"/>
      <c r="D31" s="815" t="n"/>
      <c r="E31" s="815" t="n"/>
      <c r="F31" s="816" t="n"/>
      <c r="G31" s="204" t="n"/>
      <c r="H31" s="204" t="n"/>
      <c r="I31" s="204" t="n"/>
      <c r="J31" s="204" t="n"/>
      <c r="K31" s="204" t="n"/>
      <c r="L31" s="204" t="n"/>
      <c r="M31" s="204" t="n"/>
      <c r="N31" s="204" t="n"/>
      <c r="W31" s="172" t="n"/>
    </row>
    <row r="32" ht="29.15" customHeight="1">
      <c r="A32" s="221" t="n"/>
      <c r="B32" s="846" t="inlineStr">
        <is>
          <t>3) 如果适用，正确记录处置收入金额。如果资产被出售（即收到收益），则获得发票或付款证明等，并确认与日记账分录中记录的收益金额一致。</t>
        </is>
      </c>
      <c r="C32" s="818" t="n"/>
      <c r="D32" s="818" t="n"/>
      <c r="E32" s="818" t="n"/>
      <c r="F32" s="819"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7" t="n"/>
      <c r="J34" s="847" t="n"/>
      <c r="K34" s="847" t="n"/>
      <c r="L34" s="162" t="inlineStr">
        <is>
          <t>|------- Rx -------|</t>
        </is>
      </c>
      <c r="M34" s="847" t="n"/>
      <c r="N34" s="799" t="n"/>
      <c r="O34" s="162" t="inlineStr">
        <is>
          <t>|------- Rx -------|</t>
        </is>
      </c>
      <c r="P34" s="847" t="n"/>
      <c r="Q34" s="162" t="inlineStr">
        <is>
          <t>|------- Rx -------|</t>
        </is>
      </c>
      <c r="S34" s="838"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8" t="n"/>
      <c r="J36" s="839" t="n"/>
      <c r="K36" s="839" t="n"/>
      <c r="L36" s="839">
        <f>I36-J36-K36</f>
        <v/>
      </c>
      <c r="M36" s="839" t="n"/>
      <c r="N36" s="500" t="n"/>
      <c r="O36" s="839">
        <f>M36-L36</f>
        <v/>
      </c>
      <c r="P36" s="839" t="n"/>
      <c r="Q36" s="839">
        <f>P36-M36</f>
        <v/>
      </c>
      <c r="R36" s="500" t="n"/>
      <c r="S36" s="501" t="n"/>
      <c r="T36" s="501" t="n"/>
      <c r="U36" s="501" t="n"/>
      <c r="W36" s="172" t="n"/>
    </row>
    <row r="37" ht="13" customHeight="1">
      <c r="B37" s="495" t="n">
        <v>2</v>
      </c>
      <c r="C37" s="496" t="n"/>
      <c r="D37" s="483" t="n"/>
      <c r="E37" s="483" t="n"/>
      <c r="F37" s="483" t="n"/>
      <c r="G37" s="483" t="n"/>
      <c r="H37" s="493" t="n"/>
      <c r="I37" s="848" t="n"/>
      <c r="J37" s="839" t="n"/>
      <c r="K37" s="839" t="n"/>
      <c r="L37" s="839">
        <f>I37-J37-K37</f>
        <v/>
      </c>
      <c r="M37" s="839" t="n"/>
      <c r="N37" s="500" t="n"/>
      <c r="O37" s="839">
        <f>M37-L37</f>
        <v/>
      </c>
      <c r="P37" s="839" t="n"/>
      <c r="Q37" s="839">
        <f>P37-M37</f>
        <v/>
      </c>
      <c r="R37" s="500" t="n"/>
      <c r="S37" s="501" t="n"/>
      <c r="T37" s="501" t="n"/>
      <c r="U37" s="501" t="n"/>
      <c r="W37" s="172" t="n"/>
    </row>
    <row r="38" ht="13" customHeight="1">
      <c r="B38" s="495" t="n">
        <v>3</v>
      </c>
      <c r="C38" s="496" t="n"/>
      <c r="D38" s="483" t="n"/>
      <c r="E38" s="483" t="n"/>
      <c r="F38" s="483" t="n"/>
      <c r="G38" s="483" t="n"/>
      <c r="H38" s="493" t="n"/>
      <c r="I38" s="807" t="n"/>
      <c r="J38" s="807" t="n"/>
      <c r="K38" s="807" t="n"/>
      <c r="L38" s="839">
        <f>I38-J38-K38</f>
        <v/>
      </c>
      <c r="M38" s="807" t="n"/>
      <c r="N38" s="483" t="n"/>
      <c r="O38" s="839">
        <f>M38-L38</f>
        <v/>
      </c>
      <c r="P38" s="839" t="n"/>
      <c r="Q38" s="839">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9" t="n"/>
      <c r="C41" s="812" t="n"/>
      <c r="D41" s="812" t="n"/>
      <c r="E41" s="812" t="n"/>
      <c r="F41" s="813" t="n"/>
      <c r="W41" s="172" t="n"/>
    </row>
    <row r="42">
      <c r="B42" s="814" t="n"/>
      <c r="C42" s="815" t="n"/>
      <c r="D42" s="815" t="n"/>
      <c r="E42" s="815" t="n"/>
      <c r="F42" s="816" t="n"/>
      <c r="W42" s="172" t="n"/>
    </row>
    <row r="43">
      <c r="B43" s="814" t="n"/>
      <c r="C43" s="815" t="n"/>
      <c r="D43" s="815" t="n"/>
      <c r="E43" s="815" t="n"/>
      <c r="F43" s="816" t="n"/>
      <c r="W43" s="172" t="n"/>
    </row>
    <row r="44">
      <c r="B44" s="817" t="n"/>
      <c r="C44" s="818" t="n"/>
      <c r="D44" s="818" t="n"/>
      <c r="E44" s="818" t="n"/>
      <c r="F44" s="819"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50" t="n"/>
      <c r="C7" s="801" t="n"/>
      <c r="D7" s="801" t="n"/>
      <c r="E7" s="801" t="n"/>
      <c r="F7" s="801" t="n"/>
      <c r="G7" s="801" t="n"/>
      <c r="H7" s="801" t="n"/>
      <c r="I7" s="802" t="n"/>
      <c r="J7" s="293" t="n"/>
      <c r="K7" s="294" t="n"/>
    </row>
    <row r="8">
      <c r="A8" s="160" t="n"/>
      <c r="B8" s="295" t="n"/>
      <c r="C8" s="295" t="n"/>
      <c r="D8" s="160" t="n"/>
      <c r="E8" s="295" t="n"/>
      <c r="F8" s="296" t="n"/>
      <c r="G8" s="296" t="n"/>
      <c r="H8" s="295" t="n"/>
      <c r="I8" s="160" t="n"/>
      <c r="J8" s="293" t="n"/>
      <c r="K8" s="294" t="n"/>
    </row>
    <row r="9" ht="14.15" customHeight="1">
      <c r="A9" s="160" t="n"/>
      <c r="B9" s="851" t="n"/>
      <c r="C9" s="709" t="n"/>
      <c r="D9" s="709" t="n"/>
      <c r="E9" s="709" t="n"/>
      <c r="F9" s="709" t="n"/>
      <c r="G9" s="709" t="n"/>
      <c r="H9" s="709" t="n"/>
      <c r="I9" s="710" t="n"/>
      <c r="J9" s="293" t="n"/>
      <c r="K9" s="294" t="n"/>
    </row>
    <row r="10">
      <c r="A10" s="160" t="n"/>
      <c r="B10" s="826" t="n"/>
      <c r="I10" s="827" t="n"/>
      <c r="J10" s="293" t="n"/>
      <c r="K10" s="294" t="n"/>
    </row>
    <row r="11">
      <c r="A11" s="160" t="n"/>
      <c r="B11" s="826" t="n"/>
      <c r="I11" s="827" t="n"/>
      <c r="J11" s="293" t="n"/>
      <c r="K11" s="294" t="n"/>
    </row>
    <row r="12">
      <c r="A12" s="160" t="n"/>
      <c r="B12" s="826" t="n"/>
      <c r="I12" s="827" t="n"/>
      <c r="J12" s="293" t="n"/>
      <c r="K12" s="294" t="n"/>
    </row>
    <row r="13">
      <c r="A13" s="160" t="n"/>
      <c r="B13" s="826" t="n"/>
      <c r="I13" s="827" t="n"/>
      <c r="J13" s="293" t="n"/>
      <c r="K13" s="294" t="n"/>
    </row>
    <row r="14">
      <c r="A14" s="160" t="n"/>
      <c r="B14" s="826" t="n"/>
      <c r="I14" s="827" t="n"/>
      <c r="J14" s="293" t="n"/>
      <c r="K14" s="294" t="n"/>
    </row>
    <row r="15">
      <c r="A15" s="160" t="n"/>
      <c r="B15" s="826" t="n"/>
      <c r="I15" s="827" t="n"/>
      <c r="J15" s="293" t="n"/>
      <c r="K15" s="294" t="n"/>
    </row>
    <row r="16">
      <c r="A16" s="160" t="n"/>
      <c r="B16" s="826" t="n"/>
      <c r="I16" s="827" t="n"/>
      <c r="J16" s="293" t="n"/>
      <c r="K16" s="294" t="n"/>
    </row>
    <row r="17">
      <c r="A17" s="160" t="n"/>
      <c r="B17" s="826" t="n"/>
      <c r="I17" s="827" t="n"/>
      <c r="J17" s="293" t="n"/>
      <c r="K17" s="294" t="n"/>
    </row>
    <row r="18">
      <c r="A18" s="160" t="n"/>
      <c r="B18" s="826" t="n"/>
      <c r="I18" s="827" t="n"/>
      <c r="J18" s="293" t="n"/>
      <c r="K18" s="294" t="n"/>
    </row>
    <row r="19">
      <c r="A19" s="160" t="n"/>
      <c r="B19" s="826" t="n"/>
      <c r="I19" s="827" t="n"/>
      <c r="J19" s="293" t="n"/>
      <c r="K19" s="294" t="n"/>
    </row>
    <row r="20">
      <c r="A20" s="160" t="n"/>
      <c r="B20" s="826" t="n"/>
      <c r="I20" s="827" t="n"/>
      <c r="J20" s="293" t="n"/>
      <c r="K20" s="294" t="n"/>
    </row>
    <row r="21" ht="8.25" customHeight="1">
      <c r="A21" s="293" t="n"/>
      <c r="B21" s="826" t="n"/>
      <c r="I21" s="827"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11" t="n"/>
      <c r="C7" s="812" t="n"/>
      <c r="D7" s="812" t="n"/>
      <c r="E7" s="812" t="n"/>
      <c r="F7" s="813" t="n"/>
      <c r="G7" s="203" t="n"/>
      <c r="H7" s="203" t="n"/>
      <c r="I7" s="203" t="n"/>
      <c r="J7" s="203" t="n"/>
      <c r="K7" s="203" t="n"/>
      <c r="L7" s="203" t="n"/>
      <c r="U7" s="172" t="n"/>
    </row>
    <row r="8" ht="13" customFormat="1" customHeight="1" s="21">
      <c r="A8" s="54" t="n"/>
      <c r="B8" s="814" t="n"/>
      <c r="C8" s="815" t="n"/>
      <c r="D8" s="815" t="n"/>
      <c r="E8" s="815" t="n"/>
      <c r="F8" s="816" t="n"/>
      <c r="G8" s="203" t="n"/>
      <c r="H8" s="203" t="n"/>
      <c r="I8" s="203" t="n"/>
      <c r="J8" s="203" t="n"/>
      <c r="K8" s="203" t="n"/>
      <c r="L8" s="203" t="n"/>
      <c r="U8" s="172" t="n"/>
    </row>
    <row r="9" ht="13" customFormat="1" customHeight="1" s="21">
      <c r="A9" s="54" t="n"/>
      <c r="B9" s="814" t="n"/>
      <c r="C9" s="815" t="n"/>
      <c r="D9" s="815" t="n"/>
      <c r="E9" s="815" t="n"/>
      <c r="F9" s="816" t="n"/>
      <c r="G9" s="203" t="n"/>
      <c r="H9" s="203" t="n"/>
      <c r="I9" s="203" t="n"/>
      <c r="J9" s="203" t="n"/>
      <c r="K9" s="203" t="n"/>
      <c r="L9" s="203" t="n"/>
      <c r="U9" s="172" t="n"/>
    </row>
    <row r="10" ht="13" customFormat="1" customHeight="1" s="21">
      <c r="A10" s="54" t="n"/>
      <c r="B10" s="817" t="n"/>
      <c r="C10" s="818" t="n"/>
      <c r="D10" s="818" t="n"/>
      <c r="E10" s="818" t="n"/>
      <c r="F10" s="819" t="n"/>
      <c r="G10" s="203" t="n"/>
      <c r="H10" s="203" t="n"/>
      <c r="I10" s="203" t="n"/>
      <c r="J10" s="203" t="n"/>
      <c r="K10" s="203" t="n"/>
      <c r="L10" s="203" t="n"/>
      <c r="U10" s="172" t="n"/>
    </row>
    <row r="11" ht="13" customFormat="1" customHeight="1" s="21">
      <c r="A11" s="54" t="n"/>
      <c r="J11" s="829" t="n"/>
      <c r="U11" s="172" t="n"/>
    </row>
    <row r="12" ht="14.5" customFormat="1" customHeight="1" s="21">
      <c r="A12" s="54" t="n"/>
      <c r="B12" s="181" t="inlineStr">
        <is>
          <t>折旧费用总体</t>
        </is>
      </c>
      <c r="C12" s="181" t="n"/>
      <c r="D12" s="184" t="n"/>
      <c r="E12" s="184" t="n"/>
      <c r="F12" s="833" t="n"/>
      <c r="G12" s="184" t="n"/>
      <c r="H12" s="184" t="n"/>
      <c r="I12" s="184" t="n"/>
      <c r="J12" s="184" t="n"/>
      <c r="U12" s="172" t="n"/>
    </row>
    <row r="13" ht="14.5" customFormat="1" customHeight="1" s="21">
      <c r="A13" s="54" t="n"/>
      <c r="B13" s="97" t="inlineStr">
        <is>
          <t>Breakdown中折旧计提金额</t>
        </is>
      </c>
      <c r="C13" s="181" t="n"/>
      <c r="D13" s="184" t="n"/>
      <c r="E13" s="184" t="n"/>
      <c r="F13" s="852">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3">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4" t="n"/>
      <c r="G15" s="158" t="n"/>
      <c r="H15" s="158" t="n"/>
      <c r="I15" s="158" t="n"/>
      <c r="J15" s="158" t="n"/>
      <c r="U15" s="172" t="n"/>
    </row>
    <row r="16" ht="14.5" customFormat="1" customHeight="1" s="21">
      <c r="A16" s="54" t="n"/>
      <c r="B16" s="159" t="inlineStr">
        <is>
          <t>减：测试的关键项目</t>
        </is>
      </c>
      <c r="C16" s="153" t="n"/>
      <c r="D16" s="153" t="n"/>
      <c r="E16" s="153" t="n"/>
      <c r="F16" s="833" t="n"/>
      <c r="G16" s="184" t="n"/>
      <c r="H16" s="153" t="n"/>
      <c r="I16" s="153" t="n"/>
      <c r="J16" s="153" t="n"/>
      <c r="U16" s="172" t="n"/>
    </row>
    <row r="17" ht="14.5" customFormat="1" customHeight="1" s="21">
      <c r="A17" s="54" t="n"/>
      <c r="B17" s="164" t="inlineStr">
        <is>
          <t>进行代表性抽样的剩余总体</t>
        </is>
      </c>
      <c r="C17" s="164" t="n"/>
      <c r="D17" s="163" t="n"/>
      <c r="E17" s="163" t="n"/>
      <c r="F17" s="855">
        <f>F12-F16</f>
        <v/>
      </c>
      <c r="G17" s="184" t="n"/>
      <c r="H17" s="856" t="n"/>
      <c r="I17" s="183" t="n"/>
      <c r="J17" s="184" t="n"/>
      <c r="U17" s="172" t="n"/>
    </row>
    <row r="18" ht="13" customFormat="1" customHeight="1" s="21">
      <c r="A18" s="54" t="n"/>
      <c r="B18" s="181" t="n"/>
      <c r="C18" s="181" t="n"/>
      <c r="D18" s="153" t="n"/>
      <c r="E18" s="153" t="n"/>
      <c r="F18" s="857" t="n"/>
      <c r="G18" s="184" t="n"/>
      <c r="H18" s="856"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9" t="n"/>
      <c r="J19" s="21" t="n"/>
      <c r="K19" s="21" t="n"/>
      <c r="L19" s="21" t="n"/>
      <c r="M19" s="21" t="n"/>
      <c r="N19" s="21" t="n"/>
      <c r="O19" s="21" t="n"/>
      <c r="P19" s="21" t="n"/>
      <c r="U19" s="172" t="n"/>
    </row>
    <row r="20" ht="14.25" customFormat="1" customHeight="1" s="8">
      <c r="A20" s="21" t="n"/>
      <c r="B20" s="811" t="n"/>
      <c r="C20" s="812" t="n"/>
      <c r="D20" s="812" t="n"/>
      <c r="E20" s="812" t="n"/>
      <c r="F20" s="813" t="n"/>
      <c r="G20" s="203" t="n"/>
      <c r="H20" s="203" t="n"/>
      <c r="I20" s="203" t="n"/>
      <c r="J20" s="203" t="n"/>
      <c r="K20" s="203" t="n"/>
      <c r="L20" s="203" t="n"/>
      <c r="M20" s="21" t="n"/>
      <c r="N20" s="21" t="n"/>
      <c r="O20" s="21" t="n"/>
      <c r="P20" s="21" t="n"/>
      <c r="U20" s="172" t="n"/>
    </row>
    <row r="21" ht="14.25" customFormat="1" customHeight="1" s="8">
      <c r="A21" s="21" t="n"/>
      <c r="B21" s="814" t="n"/>
      <c r="C21" s="815" t="n"/>
      <c r="D21" s="815" t="n"/>
      <c r="E21" s="815" t="n"/>
      <c r="F21" s="816" t="n"/>
      <c r="G21" s="203" t="n"/>
      <c r="H21" s="203" t="n"/>
      <c r="I21" s="203" t="n"/>
      <c r="J21" s="203" t="n"/>
      <c r="K21" s="203" t="n"/>
      <c r="L21" s="203" t="n"/>
      <c r="M21" s="21" t="n"/>
      <c r="N21" s="21" t="n"/>
      <c r="O21" s="21" t="n"/>
      <c r="P21" s="21" t="n"/>
      <c r="U21" s="172" t="n"/>
    </row>
    <row r="22" ht="14.25" customFormat="1" customHeight="1" s="8">
      <c r="A22" s="21" t="n"/>
      <c r="B22" s="814" t="n"/>
      <c r="C22" s="815" t="n"/>
      <c r="D22" s="815" t="n"/>
      <c r="E22" s="815" t="n"/>
      <c r="F22" s="816" t="n"/>
      <c r="G22" s="203" t="n"/>
      <c r="H22" s="203" t="n"/>
      <c r="I22" s="203" t="n"/>
      <c r="J22" s="203" t="n"/>
      <c r="K22" s="203" t="n"/>
      <c r="L22" s="203" t="n"/>
      <c r="M22" s="21" t="n"/>
      <c r="N22" s="21" t="n"/>
      <c r="O22" s="21" t="n"/>
      <c r="P22" s="21" t="n"/>
      <c r="U22" s="172" t="n"/>
    </row>
    <row r="23" ht="14.25" customFormat="1" customHeight="1" s="8">
      <c r="A23" s="21" t="n"/>
      <c r="B23" s="817" t="n"/>
      <c r="C23" s="818" t="n"/>
      <c r="D23" s="818" t="n"/>
      <c r="E23" s="818" t="n"/>
      <c r="F23" s="819"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7"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8"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7" t="inlineStr">
        <is>
          <t>1) 管理层对测试项目采用的使用寿命和折旧率是适当的（符合实体的会计政策和适用的财务报告框架）。</t>
        </is>
      </c>
      <c r="C27" s="815" t="n"/>
      <c r="D27" s="815" t="n"/>
      <c r="E27" s="815" t="n"/>
      <c r="F27" s="816" t="n"/>
      <c r="G27" s="229" t="n"/>
      <c r="H27" s="229" t="n"/>
      <c r="I27" s="229" t="n"/>
      <c r="J27" s="229" t="n"/>
      <c r="K27" s="229" t="n"/>
      <c r="L27" s="229" t="n"/>
      <c r="M27" s="229" t="n"/>
      <c r="U27" s="230" t="n"/>
    </row>
    <row r="28" ht="44.5" customFormat="1" customHeight="1" s="228">
      <c r="B28" s="859"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8" t="n"/>
      <c r="D28" s="818" t="n"/>
      <c r="E28" s="818" t="n"/>
      <c r="F28" s="819"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8"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60" t="inlineStr">
        <is>
          <t>本年应折旧月份</t>
        </is>
      </c>
      <c r="N31" s="860" t="inlineStr">
        <is>
          <t>账面计提折旧费用</t>
        </is>
      </c>
      <c r="O31" s="860" t="inlineStr">
        <is>
          <t>重新计算折旧费用
（自定义公式）</t>
        </is>
      </c>
      <c r="P31" s="860"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7" t="n"/>
      <c r="I32" s="807" t="n"/>
      <c r="J32" s="493" t="n"/>
      <c r="K32" s="483" t="n"/>
      <c r="L32" s="483" t="n"/>
      <c r="M32" s="507" t="n"/>
      <c r="N32" s="839" t="n"/>
      <c r="O32" s="839" t="n"/>
      <c r="P32" s="807">
        <f>N32-O32</f>
        <v/>
      </c>
      <c r="Q32" s="500" t="n"/>
      <c r="R32" s="483" t="n"/>
      <c r="S32" s="483" t="n"/>
      <c r="U32" s="172" t="n"/>
    </row>
    <row r="33" ht="12.5" customFormat="1" customHeight="1" s="21">
      <c r="A33" s="83" t="n"/>
      <c r="B33" s="484" t="n">
        <v>2</v>
      </c>
      <c r="C33" s="483" t="n"/>
      <c r="D33" s="483" t="n"/>
      <c r="E33" s="483" t="n"/>
      <c r="F33" s="483" t="n"/>
      <c r="G33" s="483" t="n"/>
      <c r="H33" s="807" t="n"/>
      <c r="I33" s="807" t="n"/>
      <c r="J33" s="493" t="n"/>
      <c r="K33" s="483" t="n"/>
      <c r="L33" s="483" t="n"/>
      <c r="M33" s="507" t="n"/>
      <c r="N33" s="839" t="n"/>
      <c r="O33" s="839" t="n"/>
      <c r="P33" s="807">
        <f>N33-O33</f>
        <v/>
      </c>
      <c r="Q33" s="500" t="n"/>
      <c r="R33" s="483" t="n"/>
      <c r="S33" s="483" t="n"/>
      <c r="U33" s="172" t="n"/>
    </row>
    <row r="34" ht="12.5" customFormat="1" customHeight="1" s="21">
      <c r="A34" s="83" t="n"/>
      <c r="B34" s="484" t="n">
        <v>3</v>
      </c>
      <c r="C34" s="483" t="n"/>
      <c r="D34" s="483" t="n"/>
      <c r="E34" s="483" t="n"/>
      <c r="F34" s="483" t="n"/>
      <c r="G34" s="483" t="n"/>
      <c r="H34" s="807" t="n"/>
      <c r="I34" s="807" t="n"/>
      <c r="J34" s="493" t="n"/>
      <c r="K34" s="483" t="n"/>
      <c r="L34" s="483" t="n"/>
      <c r="M34" s="507" t="n"/>
      <c r="N34" s="839" t="n"/>
      <c r="O34" s="839" t="n"/>
      <c r="P34" s="807">
        <f>N34-O34</f>
        <v/>
      </c>
      <c r="Q34" s="483" t="n"/>
      <c r="R34" s="483" t="n"/>
      <c r="S34" s="483" t="n"/>
      <c r="U34" s="172" t="n"/>
    </row>
    <row r="35" ht="12.5" customFormat="1" customHeight="1" s="21">
      <c r="A35" s="83" t="n"/>
      <c r="B35" s="83" t="n"/>
      <c r="C35" s="84" t="n"/>
      <c r="D35" s="84" t="n"/>
      <c r="E35" s="84" t="n"/>
      <c r="F35" s="85" t="n"/>
      <c r="G35" s="86" t="n"/>
      <c r="H35" s="87" t="n"/>
      <c r="I35" s="821"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11" t="n"/>
      <c r="C37" s="812" t="n"/>
      <c r="D37" s="812" t="n"/>
      <c r="E37" s="812" t="n"/>
      <c r="F37" s="813" t="n"/>
      <c r="H37" s="6" t="n"/>
      <c r="I37" s="1" t="n"/>
      <c r="U37" s="180" t="n"/>
    </row>
    <row r="38" ht="12.75" customHeight="1">
      <c r="A38" s="1" t="n"/>
      <c r="B38" s="814" t="n"/>
      <c r="C38" s="815" t="n"/>
      <c r="D38" s="815" t="n"/>
      <c r="E38" s="815" t="n"/>
      <c r="F38" s="816" t="n"/>
      <c r="H38" s="6" t="n"/>
      <c r="I38" s="1" t="n"/>
      <c r="U38" s="180" t="n"/>
    </row>
    <row r="39" ht="12.75" customHeight="1">
      <c r="A39" s="1" t="n"/>
      <c r="B39" s="814" t="n"/>
      <c r="C39" s="815" t="n"/>
      <c r="D39" s="815" t="n"/>
      <c r="E39" s="815" t="n"/>
      <c r="F39" s="816" t="n"/>
      <c r="H39" s="6" t="n"/>
      <c r="I39" s="1" t="n"/>
      <c r="U39" s="180" t="n"/>
    </row>
    <row r="40" ht="12.75" customHeight="1">
      <c r="A40" s="1" t="n"/>
      <c r="B40" s="817" t="n"/>
      <c r="C40" s="818" t="n"/>
      <c r="D40" s="818" t="n"/>
      <c r="E40" s="818" t="n"/>
      <c r="F40" s="819"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61" t="n"/>
      <c r="B8" s="862" t="n"/>
      <c r="C8" s="863" t="n"/>
      <c r="D8" s="863" t="n"/>
      <c r="E8" s="863" t="n"/>
      <c r="F8" s="863" t="n"/>
      <c r="G8" s="863" t="n"/>
      <c r="H8" s="863" t="n"/>
      <c r="I8" s="861" t="n"/>
      <c r="J8" s="861" t="n"/>
      <c r="K8" s="861" t="n"/>
      <c r="L8" s="861" t="n"/>
      <c r="M8" s="294" t="n"/>
      <c r="X8" s="393" t="n"/>
    </row>
    <row r="9" ht="14.5" customFormat="1" customHeight="1" s="70">
      <c r="B9" s="379" t="inlineStr">
        <is>
          <t>表1</t>
        </is>
      </c>
      <c r="C9" s="864" t="inlineStr">
        <is>
          <t>公司折旧政策</t>
        </is>
      </c>
      <c r="D9" s="801" t="n"/>
      <c r="E9" s="801" t="n"/>
      <c r="F9" s="801" t="n"/>
      <c r="G9" s="801" t="n"/>
      <c r="H9" s="802" t="n"/>
      <c r="M9" s="294" t="n"/>
      <c r="X9" s="393" t="n"/>
    </row>
    <row r="10" ht="14.15" customFormat="1" customHeight="1" s="70">
      <c r="B10" s="380" t="n"/>
      <c r="C10" s="700">
        <f>'K.00 Lead Sheet'!C3</f>
        <v/>
      </c>
      <c r="D10" s="734" t="n"/>
      <c r="E10" s="735" t="n"/>
      <c r="F10" s="700">
        <f>C10-365</f>
        <v/>
      </c>
      <c r="G10" s="734" t="n"/>
      <c r="H10" s="735" t="n"/>
      <c r="I10" s="700" t="inlineStr">
        <is>
          <t>差异</t>
        </is>
      </c>
      <c r="J10" s="734" t="n"/>
      <c r="K10" s="735" t="n"/>
      <c r="L10" s="861" t="n"/>
      <c r="M10" s="294" t="n"/>
      <c r="X10" s="393" t="n"/>
    </row>
    <row r="11" ht="14.15" customFormat="1" customHeight="1" s="70">
      <c r="B11" s="381" t="inlineStr">
        <is>
          <t>折旧方法</t>
        </is>
      </c>
      <c r="C11" s="701" t="inlineStr">
        <is>
          <t>年限平均法</t>
        </is>
      </c>
      <c r="D11" s="734" t="n"/>
      <c r="E11" s="735" t="n"/>
      <c r="F11" s="701" t="inlineStr">
        <is>
          <t>年限平均法</t>
        </is>
      </c>
      <c r="G11" s="734" t="n"/>
      <c r="H11" s="735" t="n"/>
      <c r="I11" s="701">
        <f>C11=F11</f>
        <v/>
      </c>
      <c r="J11" s="734" t="n"/>
      <c r="K11" s="735" t="n"/>
      <c r="L11" s="861"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61" t="n"/>
      <c r="M12" s="294" t="n"/>
      <c r="X12" s="393" t="n"/>
    </row>
    <row r="13" ht="14.15" customFormat="1" customHeight="1" s="70">
      <c r="B13" s="422" t="n"/>
      <c r="C13" s="422" t="n"/>
      <c r="D13" s="553" t="n"/>
      <c r="E13" s="384">
        <f>(1-D13)/C13</f>
        <v/>
      </c>
      <c r="F13" s="422" t="n"/>
      <c r="G13" s="553" t="n"/>
      <c r="H13" s="384">
        <f>(1-G13)/F13</f>
        <v/>
      </c>
      <c r="I13" s="865">
        <f>C13=F13</f>
        <v/>
      </c>
      <c r="J13" s="865">
        <f>C13=F13</f>
        <v/>
      </c>
      <c r="K13" s="386" t="n"/>
      <c r="L13" s="861" t="n"/>
      <c r="M13" s="294" t="n"/>
      <c r="X13" s="393" t="n"/>
    </row>
    <row r="14" customFormat="1" s="70">
      <c r="B14" s="422" t="n"/>
      <c r="C14" s="422" t="n"/>
      <c r="D14" s="553" t="n"/>
      <c r="E14" s="384">
        <f>(1-D14)/C14</f>
        <v/>
      </c>
      <c r="F14" s="422" t="n"/>
      <c r="G14" s="553" t="n"/>
      <c r="H14" s="384">
        <f>(1-G14)/F14</f>
        <v/>
      </c>
      <c r="I14" s="865">
        <f>C14=F14</f>
        <v/>
      </c>
      <c r="J14" s="865">
        <f>C14=F14</f>
        <v/>
      </c>
      <c r="K14" s="386" t="n"/>
      <c r="L14" s="861" t="n"/>
      <c r="M14" s="294" t="n"/>
      <c r="X14" s="393" t="n"/>
    </row>
    <row r="15" customFormat="1" s="70">
      <c r="B15" s="422" t="n"/>
      <c r="C15" s="422" t="n"/>
      <c r="D15" s="553" t="n"/>
      <c r="E15" s="384">
        <f>(1-D15)/C15</f>
        <v/>
      </c>
      <c r="F15" s="422" t="n"/>
      <c r="G15" s="553" t="n"/>
      <c r="H15" s="384">
        <f>(1-G15)/F15</f>
        <v/>
      </c>
      <c r="I15" s="865">
        <f>C15=F15</f>
        <v/>
      </c>
      <c r="J15" s="865">
        <f>C15=F15</f>
        <v/>
      </c>
      <c r="K15" s="386" t="n"/>
      <c r="L15" s="861" t="n"/>
      <c r="M15" s="294" t="n"/>
      <c r="X15" s="393" t="n"/>
    </row>
    <row r="16" customFormat="1" s="70">
      <c r="B16" s="422" t="n"/>
      <c r="C16" s="422" t="n"/>
      <c r="D16" s="553" t="n"/>
      <c r="E16" s="387">
        <f>(1-D16)/C16</f>
        <v/>
      </c>
      <c r="F16" s="422" t="n"/>
      <c r="G16" s="553" t="n"/>
      <c r="H16" s="387">
        <f>(1-G16)/F16</f>
        <v/>
      </c>
      <c r="I16" s="865">
        <f>C16=F16</f>
        <v/>
      </c>
      <c r="J16" s="865">
        <f>C16=F16</f>
        <v/>
      </c>
      <c r="K16" s="386" t="n"/>
      <c r="L16" s="861" t="n"/>
      <c r="M16" s="294" t="n"/>
      <c r="X16" s="393" t="n"/>
    </row>
    <row r="17" customFormat="1" s="70">
      <c r="B17" s="422" t="n"/>
      <c r="C17" s="422" t="n"/>
      <c r="D17" s="553" t="n"/>
      <c r="E17" s="387">
        <f>(1-D17)/C17</f>
        <v/>
      </c>
      <c r="F17" s="422" t="n"/>
      <c r="G17" s="553" t="n"/>
      <c r="H17" s="387">
        <f>(1-G17)/F17</f>
        <v/>
      </c>
      <c r="I17" s="865">
        <f>C17=F17</f>
        <v/>
      </c>
      <c r="J17" s="865">
        <f>C17=F17</f>
        <v/>
      </c>
      <c r="K17" s="386" t="n"/>
      <c r="L17" s="861" t="n"/>
      <c r="M17" s="294" t="n"/>
      <c r="X17" s="393" t="n"/>
    </row>
    <row r="18" customFormat="1" s="70">
      <c r="B18" s="422" t="n"/>
      <c r="C18" s="422" t="n"/>
      <c r="D18" s="553" t="n"/>
      <c r="E18" s="387">
        <f>(1-D18)/C18</f>
        <v/>
      </c>
      <c r="F18" s="422" t="n"/>
      <c r="G18" s="553" t="n"/>
      <c r="H18" s="387">
        <f>(1-G18)/F18</f>
        <v/>
      </c>
      <c r="I18" s="865">
        <f>C18=F18</f>
        <v/>
      </c>
      <c r="J18" s="865">
        <f>C18=F18</f>
        <v/>
      </c>
      <c r="K18" s="386" t="n"/>
      <c r="L18" s="861" t="n"/>
      <c r="M18" s="294" t="n"/>
      <c r="X18" s="393" t="n"/>
    </row>
    <row r="19" customFormat="1" s="70">
      <c r="B19" s="422" t="n"/>
      <c r="C19" s="422" t="n"/>
      <c r="D19" s="553" t="n"/>
      <c r="E19" s="387">
        <f>(1-D19)/C19</f>
        <v/>
      </c>
      <c r="F19" s="422" t="n"/>
      <c r="G19" s="553" t="n"/>
      <c r="H19" s="387">
        <f>(1-G19)/F19</f>
        <v/>
      </c>
      <c r="I19" s="865">
        <f>C19=F19</f>
        <v/>
      </c>
      <c r="J19" s="865">
        <f>C19=F19</f>
        <v/>
      </c>
      <c r="K19" s="386" t="n"/>
      <c r="L19" s="861" t="n"/>
      <c r="M19" s="294" t="n"/>
      <c r="X19" s="393" t="n"/>
    </row>
    <row r="20" customFormat="1" s="70">
      <c r="B20" s="422" t="n"/>
      <c r="C20" s="422" t="n"/>
      <c r="D20" s="553" t="n"/>
      <c r="E20" s="387">
        <f>(1-D20)/C20</f>
        <v/>
      </c>
      <c r="F20" s="422" t="n"/>
      <c r="G20" s="553" t="n"/>
      <c r="H20" s="387">
        <f>(1-G20)/F20</f>
        <v/>
      </c>
      <c r="I20" s="865">
        <f>C20=F20</f>
        <v/>
      </c>
      <c r="J20" s="865">
        <f>C20=F20</f>
        <v/>
      </c>
      <c r="K20" s="386" t="n"/>
      <c r="L20" s="861"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6" t="n"/>
      <c r="C23" s="801" t="n"/>
      <c r="D23" s="801" t="n"/>
      <c r="E23" s="801" t="n"/>
      <c r="F23" s="801" t="n"/>
      <c r="G23" s="801" t="n"/>
      <c r="H23" s="802"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2026-05-26T09:40:05Z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
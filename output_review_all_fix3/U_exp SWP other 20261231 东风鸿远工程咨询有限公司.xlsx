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yyyy/mm/dd"/>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8">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201" fontId="2" fillId="5" borderId="0" applyAlignment="1" applyProtection="1" pivotButton="0" quotePrefix="0" xfId="0">
      <alignment horizontal="center"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inlineStr">
        <is>
          <t>东风鸿远工程咨询有限公司</t>
        </is>
      </c>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888" t="n">
        <v>46387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inlineStr">
        <is>
          <t>CNY</t>
        </is>
      </c>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inlineStr">
        <is>
          <t>PRC</t>
        </is>
      </c>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9">
        <f>IFERROR(VLOOKUP(D21,$C$13:$D$16,2,FALSE)*$G$5,"-")</f>
        <v/>
      </c>
      <c r="F21" s="890">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9">
        <f>IFERROR(VLOOKUP(D22,$C$13:$D$16,2,FALSE)*$G$5,"-")</f>
        <v/>
      </c>
      <c r="F22" s="891" t="n"/>
      <c r="G22" s="423" t="n"/>
      <c r="L22" s="424" t="n"/>
      <c r="M22" s="424" t="n"/>
      <c r="N22" s="424" t="n"/>
      <c r="O22" s="424" t="n"/>
      <c r="P22" s="424" t="n"/>
      <c r="Q22" s="425" t="n"/>
    </row>
    <row r="23" ht="16.5" customFormat="1" customHeight="1" s="4">
      <c r="A23" s="545" t="n"/>
      <c r="B23" s="426" t="inlineStr">
        <is>
          <t>Low</t>
        </is>
      </c>
      <c r="C23" s="567" t="inlineStr">
        <is>
          <t>计量（M）</t>
        </is>
      </c>
      <c r="D23" s="427" t="n"/>
      <c r="E23" s="889">
        <f>IFERROR(VLOOKUP(D23,$C$13:$D$16,2,FALSE)*$G$5,"-")</f>
        <v/>
      </c>
      <c r="F23" s="891"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2">
        <f>IFERROR(VLOOKUP(D24,$C$13:$D$16,2,FALSE)*$G$5,"-")</f>
        <v/>
      </c>
      <c r="F24" s="893"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4" t="n"/>
      <c r="F25" s="895" t="n"/>
      <c r="G25" s="423" t="n"/>
      <c r="L25" s="424" t="n"/>
      <c r="M25" s="424" t="n"/>
      <c r="N25" s="424" t="n"/>
      <c r="O25" s="424" t="n"/>
      <c r="P25" s="424" t="n"/>
      <c r="Q25" s="425" t="n"/>
    </row>
    <row r="26" ht="16.5" customFormat="1" customHeight="1" s="4">
      <c r="A26" s="545" t="n"/>
      <c r="B26" s="426" t="n"/>
      <c r="C26" s="430" t="n"/>
      <c r="D26" s="431" t="n"/>
      <c r="E26" s="894" t="n"/>
      <c r="F26" s="895"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6" t="n"/>
      <c r="F32" s="896" t="n"/>
      <c r="G32" s="896" t="n"/>
      <c r="H32" s="896" t="n"/>
      <c r="I32" s="689" t="n"/>
      <c r="J32" s="690" t="inlineStr">
        <is>
          <t>Uexp研发费用BKD</t>
        </is>
      </c>
      <c r="K32" s="705" t="n"/>
    </row>
    <row r="33" ht="21" customFormat="1" customHeight="1" s="4">
      <c r="A33" s="653" t="n"/>
      <c r="C33" s="703" t="n">
        <v>4</v>
      </c>
      <c r="D33" s="789" t="inlineStr">
        <is>
          <t>财务费用</t>
        </is>
      </c>
      <c r="E33" s="896" t="n"/>
      <c r="F33" s="896" t="n"/>
      <c r="G33" s="896" t="n"/>
      <c r="H33" s="896" t="n"/>
      <c r="I33" s="689" t="n"/>
      <c r="J33" s="690" t="inlineStr">
        <is>
          <t>Uexp财务费用BKD</t>
        </is>
      </c>
      <c r="K33" s="706" t="n"/>
    </row>
    <row r="34" ht="16.5" customFormat="1" customHeight="1" s="4">
      <c r="A34" s="653" t="n"/>
      <c r="C34" s="703" t="n">
        <v>5</v>
      </c>
      <c r="D34" s="789" t="inlineStr">
        <is>
          <t>其他收益</t>
        </is>
      </c>
      <c r="E34" s="896" t="n"/>
      <c r="F34" s="896" t="n"/>
      <c r="G34" s="896" t="n"/>
      <c r="H34" s="896" t="n"/>
      <c r="I34" s="689" t="n"/>
      <c r="J34" s="690" t="inlineStr">
        <is>
          <t>Uexp其他收益BKD</t>
        </is>
      </c>
      <c r="K34" s="706" t="n"/>
    </row>
    <row r="35" ht="16.5" customFormat="1" customHeight="1" s="4">
      <c r="A35" s="653" t="n"/>
      <c r="C35" s="703" t="n">
        <v>6</v>
      </c>
      <c r="D35" s="789" t="inlineStr">
        <is>
          <t>投资收益</t>
        </is>
      </c>
      <c r="E35" s="896" t="n"/>
      <c r="F35" s="896" t="n"/>
      <c r="G35" s="896" t="n"/>
      <c r="H35" s="896" t="n"/>
      <c r="I35" s="689" t="n"/>
      <c r="J35" s="690" t="inlineStr">
        <is>
          <t>Uexp投资收益BKD</t>
        </is>
      </c>
      <c r="K35" s="706" t="n"/>
    </row>
    <row r="36" ht="16.5" customFormat="1" customHeight="1" s="4">
      <c r="A36" s="653" t="n"/>
      <c r="C36" s="703" t="n">
        <v>7</v>
      </c>
      <c r="D36" s="789" t="inlineStr">
        <is>
          <t>公允价值变动损益</t>
        </is>
      </c>
      <c r="E36" s="896" t="n"/>
      <c r="F36" s="896" t="n"/>
      <c r="G36" s="896" t="n"/>
      <c r="H36" s="896" t="n"/>
      <c r="I36" s="689" t="n"/>
      <c r="J36" s="690" t="inlineStr">
        <is>
          <t>Uexp公允价值变动损益BKD</t>
        </is>
      </c>
      <c r="K36" s="706" t="n"/>
    </row>
    <row r="37" ht="16.5" customFormat="1" customHeight="1" s="4">
      <c r="A37" s="653" t="n"/>
      <c r="C37" s="703" t="n">
        <v>8</v>
      </c>
      <c r="D37" s="789" t="inlineStr">
        <is>
          <t>信用减值损失</t>
        </is>
      </c>
      <c r="E37" s="896" t="n"/>
      <c r="F37" s="896" t="n"/>
      <c r="G37" s="896" t="n"/>
      <c r="H37" s="896" t="n"/>
      <c r="I37" s="689" t="n"/>
      <c r="J37" s="690" t="inlineStr">
        <is>
          <t>Uexp信用减值损失BKD</t>
        </is>
      </c>
      <c r="K37" s="706" t="n"/>
    </row>
    <row r="38" ht="16.5" customFormat="1" customHeight="1" s="4">
      <c r="A38" s="653" t="n"/>
      <c r="C38" s="703" t="n">
        <v>9</v>
      </c>
      <c r="D38" s="789" t="inlineStr">
        <is>
          <t>资产减值损失</t>
        </is>
      </c>
      <c r="E38" s="896" t="n"/>
      <c r="F38" s="896" t="n"/>
      <c r="G38" s="896" t="n"/>
      <c r="H38" s="896" t="n"/>
      <c r="I38" s="689" t="n"/>
      <c r="J38" s="690" t="inlineStr">
        <is>
          <t>Uexp资产减值损失BKD</t>
        </is>
      </c>
      <c r="K38" s="706" t="n"/>
    </row>
    <row r="39" ht="16.5" customFormat="1" customHeight="1" s="4">
      <c r="A39" s="653" t="n"/>
      <c r="C39" s="703" t="n">
        <v>10</v>
      </c>
      <c r="D39" s="789" t="inlineStr">
        <is>
          <t>资产处置损益</t>
        </is>
      </c>
      <c r="E39" s="896" t="n"/>
      <c r="F39" s="896" t="n"/>
      <c r="G39" s="896" t="n"/>
      <c r="H39" s="896" t="n"/>
      <c r="I39" s="689" t="n"/>
      <c r="J39" s="690" t="inlineStr">
        <is>
          <t>Uexp资产处置损益BKD</t>
        </is>
      </c>
      <c r="K39" s="706" t="n"/>
    </row>
    <row r="40" ht="16.5" customFormat="1" customHeight="1" s="4">
      <c r="A40" s="653" t="n"/>
      <c r="C40" s="703" t="n">
        <v>11</v>
      </c>
      <c r="D40" s="789" t="inlineStr">
        <is>
          <t>营业外收入</t>
        </is>
      </c>
      <c r="E40" s="896" t="n"/>
      <c r="F40" s="896" t="n"/>
      <c r="G40" s="896" t="n"/>
      <c r="H40" s="896" t="n"/>
      <c r="I40" s="689" t="n"/>
      <c r="J40" s="690" t="inlineStr">
        <is>
          <t>Uexp营业外收入BKD</t>
        </is>
      </c>
      <c r="K40" s="706" t="n"/>
    </row>
    <row r="41" ht="16.5" customFormat="1" customHeight="1" s="4">
      <c r="A41" s="653" t="n"/>
      <c r="C41" s="703" t="n">
        <v>12</v>
      </c>
      <c r="D41" s="789" t="inlineStr">
        <is>
          <t>营业外支出</t>
        </is>
      </c>
      <c r="E41" s="896" t="n"/>
      <c r="F41" s="896" t="n"/>
      <c r="G41" s="896" t="n"/>
      <c r="H41" s="896" t="n"/>
      <c r="I41" s="689" t="n"/>
      <c r="J41" s="690" t="inlineStr">
        <is>
          <t>Uexp营业外支出BKD</t>
        </is>
      </c>
      <c r="K41" s="706" t="n"/>
    </row>
    <row r="42" ht="16.5" customFormat="1" customHeight="1" s="4">
      <c r="A42" s="653" t="n"/>
      <c r="C42" s="703" t="n">
        <v>13</v>
      </c>
      <c r="D42" s="789" t="inlineStr">
        <is>
          <t>债务重组利得和损失</t>
        </is>
      </c>
      <c r="E42" s="897" t="n"/>
      <c r="F42" s="897" t="n"/>
      <c r="G42" s="897" t="n"/>
      <c r="H42" s="897"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8"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9" t="inlineStr">
        <is>
          <t>执行的程序</t>
        </is>
      </c>
      <c r="E7" s="900" t="n"/>
      <c r="F7" s="901" t="n"/>
      <c r="G7" s="505" t="inlineStr">
        <is>
          <t>程序表</t>
        </is>
      </c>
      <c r="H7" s="507" t="inlineStr">
        <is>
          <t>预审完成</t>
        </is>
      </c>
      <c r="I7" s="507" t="inlineStr">
        <is>
          <t>年审完成</t>
        </is>
      </c>
      <c r="J7" s="514" t="inlineStr">
        <is>
          <t>执行注意事项</t>
        </is>
      </c>
    </row>
    <row r="8" outlineLevel="1" ht="28.5" customHeight="1">
      <c r="A8" s="655" t="n"/>
      <c r="C8" s="515" t="n">
        <v>1</v>
      </c>
      <c r="D8" s="902" t="inlineStr">
        <is>
          <t>我们获取费用科目余额表本期金额以及上年审定数。</t>
        </is>
      </c>
      <c r="E8" s="900" t="n"/>
      <c r="F8" s="901" t="n"/>
      <c r="G8" s="575" t="inlineStr">
        <is>
          <t>表1</t>
        </is>
      </c>
      <c r="H8" s="903" t="inlineStr">
        <is>
          <t>是</t>
        </is>
      </c>
      <c r="I8" s="904" t="n"/>
      <c r="J8" s="516" t="n"/>
    </row>
    <row r="9" outlineLevel="1" ht="40.5" customHeight="1">
      <c r="A9" s="655" t="n"/>
      <c r="C9" s="515" t="n">
        <v>2</v>
      </c>
      <c r="D9" s="902" t="inlineStr">
        <is>
          <t>我们将两期审定金额进行比对，对那些变动大于范围的事项，获得管理层解释并对解释是否合理进行调查。</t>
        </is>
      </c>
      <c r="E9" s="900" t="n"/>
      <c r="F9" s="901" t="n"/>
      <c r="G9" s="575" t="inlineStr">
        <is>
          <t>表1</t>
        </is>
      </c>
      <c r="H9" s="903" t="inlineStr">
        <is>
          <t>是</t>
        </is>
      </c>
      <c r="I9" s="904"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5" t="n"/>
      <c r="E12" s="905" t="n"/>
      <c r="F12" s="905" t="n"/>
      <c r="G12" s="905" t="n"/>
      <c r="H12" s="905" t="n"/>
      <c r="I12" s="905" t="n"/>
      <c r="J12" s="905" t="n"/>
      <c r="K12" s="23" t="n"/>
      <c r="L12" s="217" t="n"/>
      <c r="M12" s="217" t="n"/>
      <c r="Q12" s="158" t="n"/>
    </row>
    <row r="13" ht="18" customFormat="1" customHeight="1" s="20">
      <c r="A13" s="656" t="n"/>
      <c r="C13" s="906" t="n"/>
      <c r="D13" s="907" t="n"/>
      <c r="E13" s="907" t="n"/>
      <c r="F13" s="907" t="n"/>
      <c r="G13" s="908" t="n"/>
      <c r="H13" s="905" t="n"/>
      <c r="I13" s="905" t="n"/>
      <c r="J13" s="905" t="n"/>
      <c r="K13" s="23" t="n"/>
      <c r="L13" s="217" t="n"/>
      <c r="M13" s="217" t="n"/>
      <c r="Q13" s="158" t="n"/>
    </row>
    <row r="14" ht="18" customFormat="1" customHeight="1" s="20">
      <c r="A14" s="656" t="n"/>
      <c r="C14" s="909" t="n"/>
      <c r="G14" s="910" t="n"/>
      <c r="H14" s="905" t="n"/>
      <c r="I14" s="905" t="n"/>
      <c r="J14" s="905" t="n"/>
      <c r="K14" s="23" t="n"/>
      <c r="L14" s="217" t="n"/>
      <c r="M14" s="217" t="n"/>
      <c r="Q14" s="158" t="n"/>
    </row>
    <row r="15" ht="18" customFormat="1" customHeight="1" s="20" thickBot="1">
      <c r="A15" s="656" t="n"/>
      <c r="C15" s="911" t="n"/>
      <c r="D15" s="912" t="n"/>
      <c r="E15" s="912" t="n"/>
      <c r="F15" s="912" t="n"/>
      <c r="G15" s="913" t="n"/>
      <c r="H15" s="905" t="n"/>
      <c r="I15" s="905" t="n"/>
      <c r="J15" s="905" t="n"/>
      <c r="K15" s="23" t="n"/>
      <c r="L15" s="217" t="n"/>
      <c r="M15" s="217" t="n"/>
      <c r="Q15" s="158" t="n"/>
    </row>
    <row r="16" ht="18" customFormat="1" customHeight="1" s="20" thickBot="1">
      <c r="A16" s="656" t="n"/>
      <c r="D16" s="914" t="n"/>
      <c r="E16" s="915" t="n"/>
      <c r="F16" s="915" t="n"/>
      <c r="G16" s="915" t="n"/>
      <c r="H16" s="905" t="n"/>
      <c r="I16" s="905" t="n"/>
      <c r="J16" s="905" t="n"/>
      <c r="K16" s="23" t="n"/>
      <c r="L16" s="217" t="n"/>
      <c r="M16" s="217" t="n"/>
      <c r="Q16" s="158" t="n"/>
    </row>
    <row r="17" ht="18" customFormat="1" customHeight="1" s="20">
      <c r="A17" s="656" t="n"/>
      <c r="C17" s="740">
        <f>"波动幅度 ("&amp;汇总!D7&amp;"):"</f>
        <v/>
      </c>
      <c r="D17" s="916">
        <f>汇总!$F$21</f>
        <v/>
      </c>
      <c r="E17" s="915" t="n"/>
      <c r="F17" s="915" t="n"/>
      <c r="G17" s="915" t="n"/>
      <c r="H17" s="905" t="n"/>
      <c r="I17" s="905" t="n"/>
      <c r="J17" s="905" t="n"/>
      <c r="K17" s="23" t="n"/>
      <c r="L17" s="217" t="n"/>
      <c r="M17" s="217" t="n"/>
      <c r="Q17" s="158" t="n"/>
    </row>
    <row r="18" ht="18" customFormat="1" customHeight="1" s="20" thickBot="1">
      <c r="A18" s="656" t="n"/>
      <c r="C18" s="475" t="inlineStr">
        <is>
          <t>波动幅度（%）：</t>
        </is>
      </c>
      <c r="D18" s="476" t="n"/>
      <c r="E18" s="915" t="n"/>
      <c r="F18" s="915" t="n"/>
      <c r="G18" s="915" t="n"/>
      <c r="H18" s="905" t="n"/>
      <c r="I18" s="905" t="n"/>
      <c r="J18" s="905" t="n"/>
      <c r="K18" s="23" t="n"/>
      <c r="L18" s="217" t="n"/>
      <c r="M18" s="217" t="n"/>
      <c r="Q18" s="158" t="n"/>
    </row>
    <row r="19" ht="18" customFormat="1" customHeight="1" s="20" thickBot="1">
      <c r="A19" s="656" t="n"/>
      <c r="C19" s="915" t="n"/>
      <c r="D19" s="915" t="n"/>
      <c r="E19" s="53" t="inlineStr">
        <is>
          <t>AA</t>
        </is>
      </c>
      <c r="F19" s="53" t="inlineStr">
        <is>
          <t>BB</t>
        </is>
      </c>
      <c r="G19" s="53" t="inlineStr">
        <is>
          <t>CC=AA+BB</t>
        </is>
      </c>
      <c r="H19" s="192" t="inlineStr">
        <is>
          <t>DD</t>
        </is>
      </c>
      <c r="I19" s="53" t="inlineStr">
        <is>
          <t>EE=CC+DD</t>
        </is>
      </c>
      <c r="J19" s="917"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8" t="inlineStr">
        <is>
          <t>制造费用</t>
        </is>
      </c>
      <c r="D22" s="500" t="inlineStr">
        <is>
          <t>Uexp制造费用BKD</t>
        </is>
      </c>
      <c r="E22" s="919">
        <f>IFERROR(Uexp制造费用BKD!F35,"")</f>
        <v/>
      </c>
      <c r="F22" s="920">
        <f>IFERROR(Uexp制造费用BKD!H35,"")</f>
        <v/>
      </c>
      <c r="G22" s="920">
        <f>E22+F22</f>
        <v/>
      </c>
      <c r="H22" s="920">
        <f>IFERROR(Uexp制造费用BKD!L35,"")</f>
        <v/>
      </c>
      <c r="I22" s="921">
        <f>G22+H22</f>
        <v/>
      </c>
      <c r="J22" s="922">
        <f>IFERROR(Uexp制造费用BKD!N35,"")</f>
        <v/>
      </c>
      <c r="K22" s="923">
        <f>I22-J22</f>
        <v/>
      </c>
      <c r="L22" s="451">
        <f>IF(J22&lt;&gt;0,K22/J22,1)</f>
        <v/>
      </c>
    </row>
    <row r="23" ht="13.35" customFormat="1" customHeight="1" s="7">
      <c r="A23" s="657" t="n"/>
      <c r="C23" s="918" t="inlineStr">
        <is>
          <t>研发费用</t>
        </is>
      </c>
      <c r="D23" s="500" t="inlineStr">
        <is>
          <t>Uexp研发费用BKD</t>
        </is>
      </c>
      <c r="E23" s="919">
        <f>IFERROR(Uexp研发费用BKD!F41,"")</f>
        <v/>
      </c>
      <c r="F23" s="920">
        <f>IFERROR(Uexp研发费用BKD!H41,"")</f>
        <v/>
      </c>
      <c r="G23" s="920">
        <f>E23+F23</f>
        <v/>
      </c>
      <c r="H23" s="920">
        <f>IFERROR(Uexp研发费用BKD!L41,"")</f>
        <v/>
      </c>
      <c r="I23" s="921">
        <f>G23+H23</f>
        <v/>
      </c>
      <c r="J23" s="922">
        <f>IFERROR(Uexp研发费用BKD!N41,"")</f>
        <v/>
      </c>
      <c r="K23" s="923">
        <f>I23-J23</f>
        <v/>
      </c>
      <c r="L23" s="451">
        <f>IF(J23&lt;&gt;0,K23/J23,1)</f>
        <v/>
      </c>
    </row>
    <row r="24" ht="13.35" customFormat="1" customHeight="1" s="7">
      <c r="A24" s="657" t="n"/>
      <c r="C24" s="918" t="inlineStr">
        <is>
          <t>财务费用</t>
        </is>
      </c>
      <c r="D24" s="500" t="inlineStr">
        <is>
          <t>Uexp财务费用BKD</t>
        </is>
      </c>
      <c r="E24" s="919">
        <f>IFERROR(Uexp财务费用BKD!F35,"")</f>
        <v/>
      </c>
      <c r="F24" s="920">
        <f>IFERROR(Uexp财务费用BKD!H35,"")</f>
        <v/>
      </c>
      <c r="G24" s="920">
        <f>E24+F24</f>
        <v/>
      </c>
      <c r="H24" s="920">
        <f>IFERROR(Uexp财务费用BKD!L35,"")</f>
        <v/>
      </c>
      <c r="I24" s="921">
        <f>G24+H24</f>
        <v/>
      </c>
      <c r="J24" s="922">
        <f>IFERROR(Uexp财务费用BKD!N35,"")</f>
        <v/>
      </c>
      <c r="K24" s="923">
        <f>I24-J24</f>
        <v/>
      </c>
      <c r="L24" s="451">
        <f>IF(J24&lt;&gt;0,K24/J24,1)</f>
        <v/>
      </c>
    </row>
    <row r="25" ht="13.35" customFormat="1" customHeight="1" s="7">
      <c r="A25" s="657" t="n"/>
      <c r="C25" s="918" t="inlineStr">
        <is>
          <t>财务费用</t>
        </is>
      </c>
      <c r="D25" s="500" t="inlineStr">
        <is>
          <t>Uexp财务费用BKD</t>
        </is>
      </c>
      <c r="E25" s="919">
        <f>IFERROR(Uexp其他收益BKD!F37,"")</f>
        <v/>
      </c>
      <c r="F25" s="920">
        <f>IFERROR(Uexp其他收益BKD!H37,"")</f>
        <v/>
      </c>
      <c r="G25" s="920">
        <f>E25+F25</f>
        <v/>
      </c>
      <c r="H25" s="920">
        <f>IFERROR(Uexp其他收益BKD!L37,"")</f>
        <v/>
      </c>
      <c r="I25" s="921">
        <f>G25+H25</f>
        <v/>
      </c>
      <c r="J25" s="922">
        <f>IFERROR(Uexp其他收益BKD!N37,"")</f>
        <v/>
      </c>
      <c r="K25" s="923">
        <f>I25-J25</f>
        <v/>
      </c>
      <c r="L25" s="451">
        <f>IF(J25&lt;&gt;0,K25/J25,1)</f>
        <v/>
      </c>
    </row>
    <row r="26" ht="13.35" customFormat="1" customHeight="1" s="7">
      <c r="A26" s="657" t="n"/>
      <c r="C26" s="918" t="inlineStr">
        <is>
          <t>投资收益</t>
        </is>
      </c>
      <c r="D26" s="500" t="inlineStr">
        <is>
          <t>Uexp投资收益BKD</t>
        </is>
      </c>
      <c r="E26" s="919">
        <f>IFERROR(Uexp投资收益BKD!F37,"")</f>
        <v/>
      </c>
      <c r="F26" s="920">
        <f>IFERROR(Uexp投资收益BKD!H37,"")</f>
        <v/>
      </c>
      <c r="G26" s="920">
        <f>E26+F26</f>
        <v/>
      </c>
      <c r="H26" s="920">
        <f>IFERROR(Uexp投资收益BKD!L37,"")</f>
        <v/>
      </c>
      <c r="I26" s="921">
        <f>G26+H26</f>
        <v/>
      </c>
      <c r="J26" s="922">
        <f>IFERROR(Uexp投资收益BKD!N37,"")</f>
        <v/>
      </c>
      <c r="K26" s="923">
        <f>I26-J26</f>
        <v/>
      </c>
      <c r="L26" s="451">
        <f>IF(J26&lt;&gt;0,K26/J26,1)</f>
        <v/>
      </c>
    </row>
    <row r="27" ht="13.35" customFormat="1" customHeight="1" s="7">
      <c r="A27" s="657" t="n"/>
      <c r="C27" s="918" t="inlineStr">
        <is>
          <t>具体分析详见&lt;Uexp财务费用BKD&gt;</t>
        </is>
      </c>
      <c r="D27" s="500" t="n"/>
      <c r="E27" s="919">
        <f>IFERROR(Uexp公允价值变动损益BKD!F36,"")</f>
        <v/>
      </c>
      <c r="F27" s="920">
        <f>IFERROR(Uexp公允价值变动损益BKD!H36,"")</f>
        <v/>
      </c>
      <c r="G27" s="920">
        <f>E27+F27</f>
        <v/>
      </c>
      <c r="H27" s="920">
        <f>IFERROR(Uexp公允价值变动损益BKD!L36,"")</f>
        <v/>
      </c>
      <c r="I27" s="921">
        <f>G27+H27</f>
        <v/>
      </c>
      <c r="J27" s="922">
        <f>IFERROR(Uexp公允价值变动损益BKD!N36,"")</f>
        <v/>
      </c>
      <c r="K27" s="923">
        <f>I27-J27</f>
        <v/>
      </c>
      <c r="L27" s="451">
        <f>IF(J27&lt;&gt;0,K27/J27,1)</f>
        <v/>
      </c>
    </row>
    <row r="28" ht="13.35" customFormat="1" customHeight="1" s="7">
      <c r="A28" s="657" t="n"/>
      <c r="C28" s="918" t="inlineStr">
        <is>
          <t>信用减值损失</t>
        </is>
      </c>
      <c r="D28" s="500" t="inlineStr">
        <is>
          <t>Uexp信用减值损失BKD</t>
        </is>
      </c>
      <c r="E28" s="919">
        <f>IFERROR(Uexp信用减值损失BKD!F35,"")</f>
        <v/>
      </c>
      <c r="F28" s="920">
        <f>IFERROR(Uexp信用减值损失BKD!H35,"")</f>
        <v/>
      </c>
      <c r="G28" s="920">
        <f>E28+F28</f>
        <v/>
      </c>
      <c r="H28" s="920">
        <f>IFERROR(Uexp信用减值损失BKD!L35,"")</f>
        <v/>
      </c>
      <c r="I28" s="921">
        <f>G28+H28</f>
        <v/>
      </c>
      <c r="J28" s="922">
        <f>IFERROR(Uexp信用减值损失BKD!N35,"")</f>
        <v/>
      </c>
      <c r="K28" s="923">
        <f>I28-J28</f>
        <v/>
      </c>
      <c r="L28" s="451">
        <f>IF(J28&lt;&gt;0,K28/J28,1)</f>
        <v/>
      </c>
    </row>
    <row r="29" ht="13.35" customFormat="1" customHeight="1" s="7">
      <c r="A29" s="657" t="n"/>
      <c r="C29" s="918" t="inlineStr">
        <is>
          <t>资产减值损失</t>
        </is>
      </c>
      <c r="D29" s="500" t="inlineStr">
        <is>
          <t>Uexp资产减值损失BKD</t>
        </is>
      </c>
      <c r="E29" s="919">
        <f>IFERROR(Uexp资产减值损失BKD!F36,"")</f>
        <v/>
      </c>
      <c r="F29" s="920">
        <f>IFERROR(Uexp资产减值损失BKD!H36,"")</f>
        <v/>
      </c>
      <c r="G29" s="920">
        <f>E29+F29</f>
        <v/>
      </c>
      <c r="H29" s="920">
        <f>IFERROR(Uexp资产减值损失BKD!L36,"")</f>
        <v/>
      </c>
      <c r="I29" s="921">
        <f>G29+H29</f>
        <v/>
      </c>
      <c r="J29" s="922">
        <f>IFERROR(Uexp资产减值损失BKD!N36,"")</f>
        <v/>
      </c>
      <c r="K29" s="923">
        <f>I29-J29</f>
        <v/>
      </c>
      <c r="L29" s="451">
        <f>IF(J29&lt;&gt;0,K29/J29,1)</f>
        <v/>
      </c>
    </row>
    <row r="30" ht="13.35" customFormat="1" customHeight="1" s="7">
      <c r="A30" s="657" t="n"/>
      <c r="C30" s="918" t="inlineStr">
        <is>
          <t>资产处置损益</t>
        </is>
      </c>
      <c r="D30" s="500" t="inlineStr">
        <is>
          <t>Uexp资产处置损益BKD</t>
        </is>
      </c>
      <c r="E30" s="919">
        <f>IFERROR(Uexp资产处置损益BKD!F36,"")</f>
        <v/>
      </c>
      <c r="F30" s="920">
        <f>IFERROR(Uexp资产处置损益BKD!H36,"")</f>
        <v/>
      </c>
      <c r="G30" s="920">
        <f>E30+F30</f>
        <v/>
      </c>
      <c r="H30" s="920">
        <f>IFERROR(Uexp资产处置损益BKD!L36,"")</f>
        <v/>
      </c>
      <c r="I30" s="921">
        <f>G30+H30</f>
        <v/>
      </c>
      <c r="J30" s="922">
        <f>IFERROR(Uexp资产处置损益BKD!N36,"")</f>
        <v/>
      </c>
      <c r="K30" s="923">
        <f>I30-J30</f>
        <v/>
      </c>
      <c r="L30" s="451">
        <f>IF(J30&lt;&gt;0,K30/J30,1)</f>
        <v/>
      </c>
    </row>
    <row r="31" ht="13.35" customFormat="1" customHeight="1" s="7">
      <c r="A31" s="657" t="n"/>
      <c r="C31" s="918" t="inlineStr">
        <is>
          <t>营业外收入</t>
        </is>
      </c>
      <c r="D31" s="500" t="inlineStr">
        <is>
          <t>Uexp营业外收入BKD</t>
        </is>
      </c>
      <c r="E31" s="919">
        <f>IFERROR(Uexp营业外收入BKD!F36,"")</f>
        <v/>
      </c>
      <c r="F31" s="920">
        <f>IFERROR(Uexp营业外收入BKD!H36,"")</f>
        <v/>
      </c>
      <c r="G31" s="920">
        <f>E31+F31</f>
        <v/>
      </c>
      <c r="H31" s="920">
        <f>IFERROR(Uexp营业外收入BKD!L36,"")</f>
        <v/>
      </c>
      <c r="I31" s="921">
        <f>G31+H31</f>
        <v/>
      </c>
      <c r="J31" s="922">
        <f>IFERROR(Uexp营业外收入BKD!N36,"")</f>
        <v/>
      </c>
      <c r="K31" s="923">
        <f>I31-J31</f>
        <v/>
      </c>
      <c r="L31" s="451">
        <f>IF(J31&lt;&gt;0,K31/J31,1)</f>
        <v/>
      </c>
    </row>
    <row r="32" ht="13.35" customFormat="1" customHeight="1" s="7">
      <c r="A32" s="657" t="n"/>
      <c r="C32" s="924" t="inlineStr">
        <is>
          <t>调整汇总表</t>
        </is>
      </c>
      <c r="D32" s="500" t="n"/>
      <c r="E32" s="919">
        <f>IFERROR(Uexp营业外支出BKD!F37,"")</f>
        <v/>
      </c>
      <c r="F32" s="920">
        <f>IFERROR(Uexp营业外支出BKD!H37,"")</f>
        <v/>
      </c>
      <c r="G32" s="920">
        <f>E32+F32</f>
        <v/>
      </c>
      <c r="H32" s="920">
        <f>IFERROR(Uexp营业外支出BKD!L37,"")</f>
        <v/>
      </c>
      <c r="I32" s="921">
        <f>G32+H32</f>
        <v/>
      </c>
      <c r="J32" s="922">
        <f>IFERROR(Uexp营业外支出BKD!N37,"")</f>
        <v/>
      </c>
      <c r="K32" s="923">
        <f>I32-J32</f>
        <v/>
      </c>
      <c r="L32" s="451">
        <f>IF(J32&lt;&gt;0,K32/J32,1)</f>
        <v/>
      </c>
    </row>
    <row r="33" ht="13.35" customFormat="1" customHeight="1" s="7" thickBot="1">
      <c r="A33" s="657" t="n"/>
      <c r="C33" s="925" t="inlineStr">
        <is>
          <t>原始租赁底稿测算租金信息有误，现按新的测算版本差额调整租赁房屋初始确认的使用权资产租赁负债</t>
        </is>
      </c>
      <c r="D33" s="501" t="n"/>
      <c r="E33" s="926">
        <f>IFERROR(Uexp债务重组利得和损失BKD!F37,"")</f>
        <v/>
      </c>
      <c r="F33" s="927">
        <f>IFERROR(Uexp债务重组利得和损失BKD!H37,"")</f>
        <v/>
      </c>
      <c r="G33" s="927">
        <f>E33+F33</f>
        <v/>
      </c>
      <c r="H33" s="927">
        <f>IFERROR(Uexp债务重组利得和损失BKD!L37,"")</f>
        <v/>
      </c>
      <c r="I33" s="928">
        <f>G33+H33</f>
        <v/>
      </c>
      <c r="J33" s="929">
        <f>IFERROR(Uexp债务重组利得和损失BKD!N37,"")</f>
        <v/>
      </c>
      <c r="K33" s="930">
        <f>I33-J33</f>
        <v/>
      </c>
      <c r="L33" s="453">
        <f>IF(J33&lt;&gt;0,K33/J33,1)</f>
        <v/>
      </c>
    </row>
    <row r="34" ht="12.75" customFormat="1" customHeight="1" s="931" thickBot="1">
      <c r="A34" s="932" t="n"/>
      <c r="C34" t="inlineStr">
        <is>
          <t>AA#04</t>
        </is>
      </c>
      <c r="D34" s="9" t="inlineStr">
        <is>
          <t>财务费用</t>
        </is>
      </c>
      <c r="E34" s="933" t="n"/>
      <c r="F34" s="933" t="n"/>
      <c r="G34" s="933" t="n"/>
      <c r="H34" s="934" t="n"/>
      <c r="I34" s="9" t="n"/>
      <c r="J34" s="9" t="n"/>
      <c r="K34" s="934" t="n"/>
      <c r="L34" s="935" t="n"/>
      <c r="M34" s="933" t="n"/>
      <c r="N34" s="933" t="n"/>
      <c r="O34" s="933" t="n"/>
      <c r="P34" s="934" t="n"/>
      <c r="Q34" s="935" t="n"/>
      <c r="R34" s="935" t="n"/>
      <c r="S34" s="935" t="n"/>
      <c r="T34" s="935" t="n"/>
      <c r="U34" s="935" t="n"/>
      <c r="V34" s="935" t="n"/>
    </row>
    <row r="35" ht="12.75" customHeight="1">
      <c r="A35" s="655" t="n"/>
      <c r="B35" s="477" t="inlineStr">
        <is>
          <t>Notes</t>
        </is>
      </c>
      <c r="C35" s="936" t="inlineStr">
        <is>
          <t>AA#04</t>
        </is>
      </c>
      <c r="D35" s="937" t="n"/>
      <c r="E35" s="937" t="n"/>
      <c r="F35" s="937" t="n"/>
      <c r="G35" s="938" t="n"/>
      <c r="H35" s="939" t="n"/>
      <c r="I35" s="479" t="n"/>
      <c r="J35" s="480" t="n"/>
    </row>
    <row r="36" ht="12.75" customHeight="1">
      <c r="A36" s="655" t="n"/>
      <c r="B36" s="479" t="n"/>
      <c r="C36" s="940" t="n"/>
      <c r="D36" s="941" t="n"/>
      <c r="E36" s="941" t="n"/>
      <c r="F36" s="941" t="n"/>
      <c r="G36" s="942" t="n"/>
      <c r="H36" s="939" t="n"/>
      <c r="I36" s="479" t="n"/>
      <c r="J36" s="480" t="n"/>
    </row>
    <row r="37" ht="12.75" customHeight="1" thickBot="1">
      <c r="A37" s="655" t="n"/>
      <c r="B37" s="479" t="n"/>
      <c r="C37" s="943" t="n"/>
      <c r="D37" s="944" t="n"/>
      <c r="E37" s="944" t="n"/>
      <c r="F37" s="944" t="n"/>
      <c r="G37" s="945" t="n"/>
      <c r="H37" s="939"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6" t="n"/>
      <c r="D41" s="937" t="n"/>
      <c r="E41" s="937" t="n"/>
      <c r="F41" s="938" t="n"/>
    </row>
    <row r="42" ht="12.75" customHeight="1">
      <c r="A42" s="539" t="n"/>
      <c r="C42" s="940" t="n"/>
      <c r="D42" s="941" t="n"/>
      <c r="E42" s="941" t="n"/>
      <c r="F42" s="942" t="n"/>
    </row>
    <row r="43" ht="12.75" customHeight="1" thickBot="1">
      <c r="A43" s="539" t="n"/>
      <c r="C43" s="943" t="n"/>
      <c r="D43" s="944" t="n"/>
      <c r="E43" s="944" t="n"/>
      <c r="F43" s="945"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7"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7" t="n"/>
      <c r="CV6" s="947" t="n"/>
      <c r="CW6" s="62" t="n"/>
      <c r="CX6" s="62" t="n"/>
      <c r="CY6" s="62" t="n"/>
      <c r="CZ6" s="62" t="n"/>
      <c r="DA6" s="62" t="n"/>
      <c r="DB6" s="62" t="n"/>
      <c r="DC6" s="62" t="n"/>
      <c r="DD6" s="62" t="n"/>
      <c r="DE6" s="947" t="n"/>
      <c r="DF6" s="62" t="n"/>
      <c r="DG6" s="62" t="n"/>
      <c r="DH6" s="62" t="n"/>
      <c r="DI6" s="62" t="n"/>
      <c r="DJ6" s="62" t="n"/>
      <c r="DK6" s="947" t="n"/>
      <c r="DL6" s="13" t="n"/>
      <c r="DM6" s="13" t="n"/>
      <c r="DN6" s="13" t="n"/>
      <c r="DO6" s="13" t="n"/>
      <c r="DP6" s="13" t="n"/>
      <c r="DQ6" s="947" t="n"/>
      <c r="DR6" s="947" t="n"/>
      <c r="DS6" s="947"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7" t="n"/>
      <c r="CV7" s="947" t="n"/>
      <c r="CW7" s="62" t="n"/>
      <c r="CX7" s="62" t="n"/>
      <c r="CY7" s="62" t="n"/>
      <c r="CZ7" s="62" t="n"/>
      <c r="DA7" s="62" t="n"/>
      <c r="DB7" s="62" t="n"/>
      <c r="DC7" s="62" t="n"/>
      <c r="DD7" s="62" t="n"/>
      <c r="DE7" s="947" t="n"/>
      <c r="DF7" s="62" t="n"/>
      <c r="DG7" s="62" t="n"/>
      <c r="DH7" s="62" t="n"/>
      <c r="DI7" s="62" t="n"/>
      <c r="DJ7" s="62" t="n"/>
      <c r="DK7" s="947" t="n"/>
      <c r="DL7" s="13" t="n"/>
      <c r="DM7" s="13" t="n"/>
      <c r="DN7" s="13" t="n"/>
      <c r="DO7" s="13" t="n"/>
      <c r="DP7" s="13" t="n"/>
      <c r="DQ7" s="947" t="n"/>
      <c r="DR7" s="947" t="n"/>
      <c r="DS7" s="947" t="n"/>
      <c r="DT7" s="75" t="n"/>
      <c r="DU7" s="13" t="n"/>
      <c r="DV7" s="13" t="n"/>
    </row>
    <row r="8" ht="21" customHeight="1">
      <c r="A8" s="665" t="n"/>
      <c r="C8" s="513" t="inlineStr">
        <is>
          <t>序号</t>
        </is>
      </c>
      <c r="D8" s="899" t="inlineStr">
        <is>
          <t>执行的程序</t>
        </is>
      </c>
      <c r="E8" s="900" t="n"/>
      <c r="F8" s="901"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7" t="n"/>
      <c r="DN8" s="947" t="n"/>
      <c r="DO8" s="947" t="n"/>
      <c r="DP8" s="947" t="n"/>
      <c r="DQ8" s="947" t="n"/>
      <c r="DR8" s="79" t="n"/>
      <c r="DS8" s="79" t="n"/>
      <c r="DT8" s="79" t="n"/>
      <c r="DU8" s="75" t="n"/>
      <c r="DV8" s="79" t="n"/>
      <c r="DW8" s="80" t="n"/>
    </row>
    <row r="9" outlineLevel="1" ht="40.5" customHeight="1">
      <c r="A9" s="665" t="n"/>
      <c r="C9" s="515" t="n">
        <v>1</v>
      </c>
      <c r="D9" s="948" t="inlineStr">
        <is>
          <t>从管理层处取得本期制造费用账户的明细。</t>
        </is>
      </c>
      <c r="E9" s="900" t="n"/>
      <c r="F9" s="901" t="n"/>
      <c r="G9" s="560" t="inlineStr">
        <is>
          <t>表1</t>
        </is>
      </c>
      <c r="H9" s="903" t="inlineStr">
        <is>
          <t>是</t>
        </is>
      </c>
      <c r="I9" s="904" t="n"/>
      <c r="J9" s="584" t="n"/>
      <c r="K9" s="78" t="n"/>
      <c r="L9" s="78" t="n"/>
      <c r="M9" s="81" t="n"/>
      <c r="N9" s="81" t="n"/>
      <c r="O9" s="81" t="n"/>
      <c r="CV9" s="947" t="n"/>
      <c r="CW9" s="79" t="n"/>
      <c r="CX9" s="947"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7" t="n"/>
      <c r="DX9" s="949" t="n"/>
    </row>
    <row r="10" outlineLevel="1" ht="61.35" customHeight="1">
      <c r="A10" s="665" t="n"/>
      <c r="C10" s="515" t="n">
        <v>2</v>
      </c>
      <c r="D10" s="948"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84" t="n"/>
      <c r="K10" s="78" t="n"/>
      <c r="L10" s="78" t="n"/>
      <c r="M10" s="81" t="n"/>
      <c r="N10" s="81" t="n"/>
      <c r="O10" s="81" t="n"/>
      <c r="CV10" s="947" t="n"/>
      <c r="CW10" s="79" t="n"/>
      <c r="CX10" s="947"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7" t="n"/>
      <c r="DX10" s="949" t="n"/>
    </row>
    <row r="11" outlineLevel="1" ht="39.6" customHeight="1">
      <c r="A11" s="665" t="n"/>
      <c r="C11" s="515" t="n">
        <v>3</v>
      </c>
      <c r="D11" s="902" t="inlineStr">
        <is>
          <t>将明细账与生产成本-制造费用进行核对，并对差异大于SAD的项目进行调查。</t>
        </is>
      </c>
      <c r="E11" s="900" t="n"/>
      <c r="F11" s="901" t="n"/>
      <c r="G11" s="560" t="inlineStr">
        <is>
          <t>表1</t>
        </is>
      </c>
      <c r="H11" s="903" t="inlineStr">
        <is>
          <t>是</t>
        </is>
      </c>
      <c r="I11" s="904" t="n"/>
      <c r="J11" s="584" t="n"/>
      <c r="K11" s="78" t="n"/>
      <c r="L11" s="78" t="n"/>
      <c r="M11" s="70" t="n"/>
      <c r="N11" s="70" t="n"/>
      <c r="O11" s="70" t="n"/>
      <c r="CV11" s="79" t="n"/>
      <c r="CW11" s="947" t="n"/>
      <c r="CX11" s="83" t="n"/>
      <c r="CY11" s="62" t="n"/>
      <c r="CZ11" s="62" t="n"/>
      <c r="DA11" s="62" t="n"/>
      <c r="DB11" s="62" t="n"/>
      <c r="DC11" s="62" t="n"/>
      <c r="DD11" s="62" t="n"/>
      <c r="DE11" s="62" t="n"/>
      <c r="DF11" s="62" t="n"/>
      <c r="DG11" s="947" t="n"/>
      <c r="DH11" s="62" t="n"/>
      <c r="DI11" s="62" t="n"/>
      <c r="DJ11" s="62" t="n"/>
      <c r="DK11" s="62" t="n"/>
      <c r="DL11" s="62" t="n"/>
      <c r="DM11" s="947" t="n"/>
      <c r="DN11" s="79" t="n"/>
      <c r="DO11" s="79" t="n"/>
      <c r="DP11" s="79" t="n"/>
      <c r="DQ11" s="79" t="n"/>
      <c r="DR11" s="79" t="n"/>
      <c r="DS11" s="947" t="n"/>
      <c r="DT11" s="947" t="n"/>
      <c r="DU11" s="947" t="n"/>
      <c r="DV11" s="75" t="n"/>
      <c r="DW11" s="79" t="n"/>
      <c r="DX11" s="79" t="n"/>
    </row>
    <row r="12" outlineLevel="1" ht="71.09999999999999" customHeight="1">
      <c r="A12" s="665" t="n"/>
      <c r="C12" s="515" t="n">
        <v>4</v>
      </c>
      <c r="D12" s="948" t="inlineStr">
        <is>
          <t>对于单项金额重大的制造费用，需要获取该单项费用的组成明细，需要获取支持性文件如合同等，在必要时进行费用测试。</t>
        </is>
      </c>
      <c r="E12" s="900" t="n"/>
      <c r="F12" s="901" t="n"/>
      <c r="G12" s="510" t="inlineStr">
        <is>
          <t>TOD SWP U_Exp_Uexp.01 TOD年审</t>
        </is>
      </c>
      <c r="H12" s="903" t="inlineStr">
        <is>
          <t>是</t>
        </is>
      </c>
      <c r="I12" s="904" t="n"/>
      <c r="J12" s="584" t="n"/>
      <c r="K12" s="78" t="n"/>
      <c r="L12" s="78" t="n"/>
      <c r="M12" s="70" t="n"/>
      <c r="N12" s="70" t="n"/>
      <c r="O12" s="70" t="n"/>
      <c r="CV12" s="79" t="n"/>
      <c r="CW12" s="947" t="n"/>
      <c r="CX12" s="83" t="n"/>
      <c r="CY12" s="62" t="n"/>
      <c r="CZ12" s="62" t="n"/>
      <c r="DA12" s="62" t="n"/>
      <c r="DB12" s="62" t="n"/>
      <c r="DC12" s="62" t="n"/>
      <c r="DD12" s="62" t="n"/>
      <c r="DE12" s="62" t="n"/>
      <c r="DF12" s="62" t="n"/>
      <c r="DG12" s="947" t="n"/>
      <c r="DH12" s="62" t="n"/>
      <c r="DI12" s="62" t="n"/>
      <c r="DJ12" s="62" t="n"/>
      <c r="DK12" s="62" t="n"/>
      <c r="DL12" s="62" t="n"/>
      <c r="DM12" s="947" t="n"/>
      <c r="DN12" s="79" t="n"/>
      <c r="DO12" s="79" t="n"/>
      <c r="DP12" s="79" t="n"/>
      <c r="DQ12" s="79" t="n"/>
      <c r="DR12" s="79" t="n"/>
      <c r="DS12" s="947" t="n"/>
      <c r="DT12" s="947" t="n"/>
      <c r="DU12" s="947" t="n"/>
      <c r="DV12" s="75" t="n"/>
      <c r="DW12" s="79" t="n"/>
      <c r="DX12" s="79" t="n"/>
    </row>
    <row r="13" outlineLevel="1" ht="21" customHeight="1">
      <c r="A13" s="665" t="n"/>
      <c r="C13" s="515" t="n">
        <v>5</v>
      </c>
      <c r="D13" s="948" t="inlineStr">
        <is>
          <t>对调查任何异常交易，并基于综合风险评估和已确定的测试临界值测试交易。</t>
        </is>
      </c>
      <c r="E13" s="900" t="n"/>
      <c r="F13" s="901" t="n"/>
      <c r="G13" s="517" t="inlineStr">
        <is>
          <t>项目组自行设计</t>
        </is>
      </c>
      <c r="H13" s="903" t="inlineStr">
        <is>
          <t>是</t>
        </is>
      </c>
      <c r="I13" s="904"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7" t="n"/>
      <c r="DO13" s="947" t="n"/>
      <c r="DP13" s="947" t="n"/>
      <c r="DQ13" s="947" t="n"/>
      <c r="DR13" s="947" t="n"/>
      <c r="DS13" s="83" t="n"/>
      <c r="DT13" s="83" t="n"/>
      <c r="DU13" s="83" t="n"/>
      <c r="DV13" s="107" t="n"/>
      <c r="DW13" s="79" t="n"/>
      <c r="DX13" s="80" t="n"/>
    </row>
    <row r="14" outlineLevel="1" ht="40.5" customHeight="1">
      <c r="A14" s="665" t="n"/>
      <c r="C14" s="515" t="n">
        <v>6</v>
      </c>
      <c r="D14" s="948" t="inlineStr">
        <is>
          <t>将费用科目中存在着勾稽关系的费用类型，同相应的其他科目金额进行核对X-ref</t>
        </is>
      </c>
      <c r="E14" s="900" t="n"/>
      <c r="F14" s="901" t="n"/>
      <c r="G14" s="560" t="inlineStr">
        <is>
          <t>表1</t>
        </is>
      </c>
      <c r="H14" s="903" t="inlineStr">
        <is>
          <t>是</t>
        </is>
      </c>
      <c r="I14" s="904"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7" t="n"/>
      <c r="DO14" s="947" t="n"/>
      <c r="DP14" s="947" t="n"/>
      <c r="DQ14" s="947" t="n"/>
      <c r="DR14" s="947"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7" t="n"/>
      <c r="DM15" s="947" t="n"/>
      <c r="DN15" s="947" t="n"/>
      <c r="DO15" s="947" t="n"/>
      <c r="DP15" s="947"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9">
      <c r="A31" s="960" t="n"/>
      <c r="C31" s="119" t="n"/>
      <c r="D31" s="99" t="n"/>
      <c r="E31" s="105" t="n"/>
      <c r="F31" s="961" t="n"/>
      <c r="G31" s="99" t="n"/>
      <c r="H31" s="962" t="n"/>
      <c r="I31" s="962">
        <f>F31+H31</f>
        <v/>
      </c>
      <c r="J31" s="103">
        <f>IF($I$35&lt;&gt;0,I31/$I$35,"")</f>
        <v/>
      </c>
      <c r="K31" s="99" t="n"/>
      <c r="L31" s="962" t="n"/>
      <c r="M31" s="963">
        <f>I31+L31</f>
        <v/>
      </c>
      <c r="N31" s="964" t="n"/>
      <c r="O31" s="961">
        <f>M31-N31</f>
        <v/>
      </c>
      <c r="P31" s="463">
        <f>IF(N31&lt;&gt;0,O31/N31,1)</f>
        <v/>
      </c>
      <c r="Q31" s="649" t="n"/>
      <c r="R31" s="121" t="n"/>
      <c r="S31" s="965"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9">
      <c r="A32" s="960" t="n"/>
      <c r="C32" s="98" t="n"/>
      <c r="D32" s="99" t="n"/>
      <c r="E32" s="105" t="n"/>
      <c r="F32" s="961" t="n"/>
      <c r="G32" s="99" t="n"/>
      <c r="H32" s="962" t="n"/>
      <c r="I32" s="962">
        <f>F32+H32</f>
        <v/>
      </c>
      <c r="J32" s="103">
        <f>IF($I$35&lt;&gt;0,I32/$I$35,"")</f>
        <v/>
      </c>
      <c r="K32" s="99" t="n"/>
      <c r="L32" s="962" t="n"/>
      <c r="M32" s="963">
        <f>I32+L32</f>
        <v/>
      </c>
      <c r="N32" s="964" t="n"/>
      <c r="O32" s="961">
        <f>M32-N32</f>
        <v/>
      </c>
      <c r="P32" s="463">
        <f>IF(N32&lt;&gt;0,O32/N32,1)</f>
        <v/>
      </c>
      <c r="Q32" s="99" t="n"/>
      <c r="R32" s="105" t="n"/>
      <c r="S32" s="965"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6" t="n"/>
      <c r="G33" s="372" t="n"/>
      <c r="H33" s="967" t="n"/>
      <c r="I33" s="968">
        <f>F33+H33</f>
        <v/>
      </c>
      <c r="J33" s="377">
        <f>IF($I$35&lt;&gt;0,I33/$I$35,"")</f>
        <v/>
      </c>
      <c r="K33" s="378" t="n"/>
      <c r="L33" s="969" t="n"/>
      <c r="M33" s="970">
        <f>I33+L33</f>
        <v/>
      </c>
      <c r="N33" s="971" t="n"/>
      <c r="O33" s="972">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3" t="n"/>
      <c r="D34" s="749" t="n"/>
      <c r="E34" s="974" t="n"/>
      <c r="F34" s="974" t="n"/>
      <c r="G34" s="974" t="n"/>
      <c r="H34" s="974" t="n"/>
      <c r="I34" s="975" t="n"/>
      <c r="J34" s="752" t="n"/>
      <c r="K34" s="752" t="n"/>
      <c r="L34" s="975" t="n"/>
      <c r="M34" s="975" t="n"/>
      <c r="N34" s="975" t="n"/>
      <c r="O34" s="976"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7" thickBot="1">
      <c r="A35" s="978" t="n"/>
      <c r="B35" s="977" t="n"/>
      <c r="C35" s="977" t="n"/>
      <c r="D35" s="979" t="n"/>
      <c r="E35" s="126" t="inlineStr">
        <is>
          <t>合计</t>
        </is>
      </c>
      <c r="F35" s="980">
        <f>SUM(F30:F34)</f>
        <v/>
      </c>
      <c r="G35" s="1" t="n"/>
      <c r="H35" s="980">
        <f>SUM(H30:H34)</f>
        <v/>
      </c>
      <c r="I35" s="980">
        <f>SUM(I30:I34)</f>
        <v/>
      </c>
      <c r="J35" s="383">
        <f>SUM(J30:J34)</f>
        <v/>
      </c>
      <c r="K35" s="1" t="n"/>
      <c r="L35" s="980">
        <f>SUM(L30:L34)</f>
        <v/>
      </c>
      <c r="M35" s="980">
        <f>SUM(M30:M34)</f>
        <v/>
      </c>
      <c r="N35" s="980">
        <f>SUM(N30:N34)</f>
        <v/>
      </c>
      <c r="O35" s="980">
        <f>M35-N35</f>
        <v/>
      </c>
      <c r="P35" s="383">
        <f>IF(N35&lt;&gt;0,O35/N35,1)</f>
        <v/>
      </c>
      <c r="Q35" s="127" t="n"/>
      <c r="R35" s="977" t="n"/>
      <c r="S35" s="17" t="n"/>
      <c r="T35" s="17" t="n"/>
      <c r="U35" s="977"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7" thickTop="1">
      <c r="A36" s="978" t="n"/>
      <c r="B36" s="977" t="n"/>
      <c r="C36" s="977" t="n"/>
      <c r="D36" s="981" t="n"/>
      <c r="E36" s="979" t="n"/>
      <c r="F36" s="131" t="inlineStr">
        <is>
          <t>Rx</t>
        </is>
      </c>
      <c r="G36" s="981" t="n"/>
      <c r="H36" s="131" t="inlineStr">
        <is>
          <t>Rx</t>
        </is>
      </c>
      <c r="I36" s="131" t="inlineStr">
        <is>
          <t>Rx</t>
        </is>
      </c>
      <c r="J36" s="131" t="inlineStr">
        <is>
          <t>Rx</t>
        </is>
      </c>
      <c r="K36" s="132" t="n"/>
      <c r="L36" s="131" t="inlineStr">
        <is>
          <t>Rx</t>
        </is>
      </c>
      <c r="M36" s="131" t="inlineStr">
        <is>
          <t>Rx</t>
        </is>
      </c>
      <c r="N36" s="131" t="inlineStr">
        <is>
          <t>Rx</t>
        </is>
      </c>
      <c r="O36" s="982" t="n"/>
      <c r="P36" s="134" t="n"/>
      <c r="Q36" s="135" t="n"/>
      <c r="R36" s="983" t="n"/>
      <c r="S36" s="17" t="n"/>
      <c r="T36" s="17" t="n"/>
      <c r="U36" s="977"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7">
      <c r="A37" s="978" t="n"/>
      <c r="B37" s="977" t="n"/>
      <c r="C37" s="977" t="n"/>
      <c r="D37" s="981" t="n"/>
      <c r="E37" s="979" t="n"/>
      <c r="F37" s="131" t="n"/>
      <c r="G37" s="981" t="n"/>
      <c r="H37" s="131" t="n"/>
      <c r="I37" s="131" t="n"/>
      <c r="J37" s="131" t="n"/>
      <c r="K37" s="132" t="n"/>
      <c r="L37" s="131" t="n"/>
      <c r="M37" s="131" t="n"/>
      <c r="N37" s="131" t="n"/>
      <c r="O37" s="982" t="n"/>
      <c r="P37" s="134" t="n"/>
      <c r="Q37" s="135" t="n"/>
      <c r="R37" s="983" t="n"/>
      <c r="S37" s="17" t="n"/>
      <c r="T37" s="17" t="n"/>
      <c r="U37" s="977"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4"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从管理层处取得本期研发费用账户的明细。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8" t="n"/>
      <c r="F12" s="989"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34.3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8" t="n"/>
      <c r="F14" s="989" t="n"/>
      <c r="G14" s="561" t="inlineStr">
        <is>
          <t>表1</t>
        </is>
      </c>
      <c r="H14" s="903" t="inlineStr">
        <is>
          <t>是</t>
        </is>
      </c>
      <c r="I14" s="904"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IF($I$41&lt;&gt;0,I29/$I$41,"")</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1" t="n"/>
      <c r="G32" s="99" t="n"/>
      <c r="H32" s="962" t="n"/>
      <c r="I32" s="962">
        <f>F32+H32</f>
        <v/>
      </c>
      <c r="J32" s="103">
        <f>IF($I$41&lt;&gt;0,I32/$I$41,"")</f>
        <v/>
      </c>
      <c r="K32" s="99" t="n"/>
      <c r="L32" s="962" t="n"/>
      <c r="M32" s="963">
        <f>I32+L32</f>
        <v/>
      </c>
      <c r="N32" s="963" t="n"/>
      <c r="O32" s="961">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1" t="n"/>
      <c r="G33" s="99" t="n"/>
      <c r="H33" s="962" t="n"/>
      <c r="I33" s="962">
        <f>F33+H33</f>
        <v/>
      </c>
      <c r="J33" s="103">
        <f>IF($I$41&lt;&gt;0,I33/$I$41,"")</f>
        <v/>
      </c>
      <c r="K33" s="99" t="n"/>
      <c r="L33" s="962" t="n"/>
      <c r="M33" s="963">
        <f>I33+L33</f>
        <v/>
      </c>
      <c r="N33" s="963" t="n"/>
      <c r="O33" s="961">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1" t="n"/>
      <c r="G34" s="99" t="n"/>
      <c r="H34" s="962" t="n"/>
      <c r="I34" s="962">
        <f>F34+H34</f>
        <v/>
      </c>
      <c r="J34" s="103">
        <f>IF($I$41&lt;&gt;0,I34/$I$41,"")</f>
        <v/>
      </c>
      <c r="K34" s="99" t="n"/>
      <c r="L34" s="962" t="n"/>
      <c r="M34" s="963">
        <f>I34+L34</f>
        <v/>
      </c>
      <c r="N34" s="963" t="n"/>
      <c r="O34" s="961">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1" t="n"/>
      <c r="G35" s="99" t="n"/>
      <c r="H35" s="962" t="n"/>
      <c r="I35" s="962">
        <f>F35+H35</f>
        <v/>
      </c>
      <c r="J35" s="103">
        <f>IF($I$41&lt;&gt;0,I35/$I$41,"")</f>
        <v/>
      </c>
      <c r="K35" s="99" t="n"/>
      <c r="L35" s="962" t="n"/>
      <c r="M35" s="963">
        <f>I35+L35</f>
        <v/>
      </c>
      <c r="N35" s="963" t="n"/>
      <c r="O35" s="961">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1" t="n"/>
      <c r="G36" s="99" t="n"/>
      <c r="H36" s="962" t="n"/>
      <c r="I36" s="962">
        <f>F36+H36</f>
        <v/>
      </c>
      <c r="J36" s="103">
        <f>IF($I$41&lt;&gt;0,I36/$I$41,"")</f>
        <v/>
      </c>
      <c r="K36" s="99" t="n"/>
      <c r="L36" s="962" t="n"/>
      <c r="M36" s="963">
        <f>I36+L36</f>
        <v/>
      </c>
      <c r="N36" s="963" t="n"/>
      <c r="O36" s="961">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1" t="n"/>
      <c r="G37" s="99" t="n"/>
      <c r="H37" s="962" t="n"/>
      <c r="I37" s="962">
        <f>F37+H37</f>
        <v/>
      </c>
      <c r="J37" s="103">
        <f>IF($I$41&lt;&gt;0,I37/$I$41,"")</f>
        <v/>
      </c>
      <c r="K37" s="99" t="n"/>
      <c r="L37" s="962" t="n"/>
      <c r="M37" s="963">
        <f>I37+L37</f>
        <v/>
      </c>
      <c r="N37" s="963" t="n"/>
      <c r="O37" s="961">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4" t="n"/>
      <c r="C38" s="98" t="n"/>
      <c r="D38" s="99" t="n"/>
      <c r="E38" s="100" t="n"/>
      <c r="F38" s="961" t="n"/>
      <c r="G38" s="99" t="n"/>
      <c r="H38" s="962" t="n"/>
      <c r="I38" s="962">
        <f>F38+H38</f>
        <v/>
      </c>
      <c r="J38" s="103">
        <f>IF($I$41&lt;&gt;0,I38/$I$41,"")</f>
        <v/>
      </c>
      <c r="K38" s="99" t="n"/>
      <c r="L38" s="962" t="n"/>
      <c r="M38" s="963">
        <f>I38+L38</f>
        <v/>
      </c>
      <c r="N38" s="963" t="n"/>
      <c r="O38" s="961">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6" t="n"/>
      <c r="G39" s="372" t="n"/>
      <c r="H39" s="967" t="n"/>
      <c r="I39" s="962">
        <f>F39+H39</f>
        <v/>
      </c>
      <c r="J39" s="103">
        <f>IF($I$41&lt;&gt;0,I39/$I$41,"")</f>
        <v/>
      </c>
      <c r="K39" s="378" t="n"/>
      <c r="L39" s="969" t="n"/>
      <c r="M39" s="963">
        <f>I39+L39</f>
        <v/>
      </c>
      <c r="N39" s="970" t="n"/>
      <c r="O39" s="961">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9" t="n"/>
      <c r="C40" s="992" t="n"/>
      <c r="D40" s="761" t="n"/>
      <c r="E40" s="993" t="n"/>
      <c r="F40" s="993" t="n"/>
      <c r="G40" s="993" t="n"/>
      <c r="H40" s="993" t="n"/>
      <c r="I40" s="994" t="n"/>
      <c r="J40" s="764" t="n"/>
      <c r="K40" s="765" t="n"/>
      <c r="L40" s="994" t="n"/>
      <c r="M40" s="994" t="n"/>
      <c r="N40" s="994" t="n"/>
      <c r="O40" s="976" t="n"/>
      <c r="P40" s="766" t="n"/>
      <c r="Q40" s="767" t="n"/>
      <c r="R40" s="768" t="n"/>
      <c r="S40" s="19" t="n"/>
      <c r="T40" s="19"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thickBot="1">
      <c r="A41" s="991" t="n"/>
      <c r="B41" s="990" t="n"/>
      <c r="C41" s="990" t="n"/>
      <c r="D41" s="995" t="n"/>
      <c r="E41" s="176" t="inlineStr">
        <is>
          <t>合计</t>
        </is>
      </c>
      <c r="F41" s="996">
        <f>SUM(F31:F40)</f>
        <v/>
      </c>
      <c r="G41" s="21" t="n"/>
      <c r="H41" s="996">
        <f>SUM(H31:H40)</f>
        <v/>
      </c>
      <c r="I41" s="996">
        <f>SUM(I31:I40)</f>
        <v/>
      </c>
      <c r="J41" s="387">
        <f>SUM(J31:J40)</f>
        <v/>
      </c>
      <c r="K41" s="21" t="n"/>
      <c r="L41" s="996">
        <f>SUM(L31:L40)</f>
        <v/>
      </c>
      <c r="M41" s="996">
        <f>SUM(M31:M40)</f>
        <v/>
      </c>
      <c r="N41" s="996">
        <f>SUM(N31:N40)</f>
        <v/>
      </c>
      <c r="O41" s="996">
        <f>M41-N41</f>
        <v/>
      </c>
      <c r="P41" s="387">
        <f>IF(N41&lt;&gt;0,O41/N41,1)</f>
        <v/>
      </c>
      <c r="Q41" s="177" t="n"/>
      <c r="R41" s="990" t="n"/>
      <c r="S41" s="19" t="n"/>
      <c r="T41" s="19" t="n"/>
      <c r="U41" s="990"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90" thickTop="1">
      <c r="A42" s="991" t="n"/>
      <c r="B42" s="990" t="n"/>
      <c r="C42" s="990" t="n"/>
      <c r="D42" s="997" t="n"/>
      <c r="E42" s="995" t="n"/>
      <c r="F42" s="131" t="inlineStr">
        <is>
          <t>Rx</t>
        </is>
      </c>
      <c r="G42" s="997" t="n"/>
      <c r="H42" s="998" t="inlineStr">
        <is>
          <t>^</t>
        </is>
      </c>
      <c r="I42" s="131" t="inlineStr">
        <is>
          <t>Rx</t>
        </is>
      </c>
      <c r="J42" s="131" t="inlineStr">
        <is>
          <t>Rx</t>
        </is>
      </c>
      <c r="K42" s="265" t="n"/>
      <c r="L42" s="131" t="inlineStr">
        <is>
          <t>Rx</t>
        </is>
      </c>
      <c r="M42" s="131" t="inlineStr">
        <is>
          <t>Rx</t>
        </is>
      </c>
      <c r="N42" s="131" t="inlineStr">
        <is>
          <t>Rx</t>
        </is>
      </c>
      <c r="O42" s="984" t="n"/>
      <c r="P42" s="182" t="n"/>
      <c r="Q42" s="266" t="n"/>
      <c r="R42" s="999" t="n"/>
      <c r="S42" s="19" t="n"/>
      <c r="T42" s="19" t="n"/>
      <c r="U42" s="990"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90">
      <c r="A43" s="991" t="n"/>
      <c r="B43" s="990" t="n"/>
      <c r="C43" s="990" t="n"/>
      <c r="D43" s="997" t="n"/>
      <c r="F43" s="984" t="n"/>
      <c r="G43" s="997" t="n"/>
      <c r="H43" s="1000" t="inlineStr">
        <is>
          <t>A3</t>
        </is>
      </c>
      <c r="I43" s="984" t="n"/>
      <c r="J43" s="186" t="n"/>
      <c r="K43" s="984" t="n"/>
      <c r="M43" s="984" t="n"/>
      <c r="N43" s="984" t="n"/>
      <c r="O43" s="984" t="n"/>
      <c r="P43" s="182" t="n"/>
      <c r="Q43" s="182" t="n"/>
      <c r="R43" s="999" t="n"/>
      <c r="S43" s="990" t="n"/>
      <c r="T43" s="19" t="n"/>
      <c r="U43" s="990"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90">
      <c r="A44" s="991" t="n"/>
      <c r="B44" s="990" t="n"/>
      <c r="C44" s="990" t="n"/>
      <c r="D44" s="13" t="inlineStr">
        <is>
          <t>详细测试涵盖的总账账户</t>
        </is>
      </c>
      <c r="E44" s="369" t="inlineStr">
        <is>
          <t>&lt;Uexp.01 TOD预审+剩余期间&gt;/&lt;Uexp.01 TOD 年审&gt;</t>
        </is>
      </c>
      <c r="F44" s="984" t="n"/>
      <c r="G44" s="997" t="n"/>
      <c r="H44" s="1001" t="inlineStr">
        <is>
          <t>Diff</t>
        </is>
      </c>
      <c r="I44" s="1002">
        <f>I41-I43</f>
        <v/>
      </c>
      <c r="J44" s="189" t="n"/>
      <c r="K44" s="984" t="n"/>
      <c r="M44" s="1002">
        <f>M41-M43</f>
        <v/>
      </c>
      <c r="N44" s="1002">
        <f>N41-N43</f>
        <v/>
      </c>
      <c r="O44" s="984" t="n"/>
      <c r="P44" s="182" t="n"/>
      <c r="Q44" s="182" t="n"/>
      <c r="R44" s="182" t="n"/>
      <c r="S44" s="182" t="n"/>
      <c r="T44" s="999" t="n"/>
      <c r="U44" s="990" t="n"/>
      <c r="V44" s="990" t="n"/>
      <c r="W44" s="990"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3"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5"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6" t="n"/>
      <c r="D47" s="937" t="n"/>
      <c r="E47" s="937" t="n"/>
      <c r="F47" s="937" t="n"/>
      <c r="G47" s="938"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40" t="n"/>
      <c r="D48" s="941" t="n"/>
      <c r="E48" s="941" t="n"/>
      <c r="F48" s="941" t="n"/>
      <c r="G48" s="942"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3" t="n"/>
      <c r="D49" s="944" t="n"/>
      <c r="E49" s="944" t="n"/>
      <c r="F49" s="944" t="n"/>
      <c r="G49" s="945"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4" t="n"/>
      <c r="H51" s="205" t="n"/>
      <c r="I51" s="205" t="n"/>
      <c r="J51" s="205" t="n"/>
      <c r="K51" s="205" t="n"/>
      <c r="L51" s="204" t="n"/>
      <c r="M51" s="204" t="n"/>
      <c r="N51" s="204" t="n"/>
      <c r="O51" s="204" t="n"/>
      <c r="P51" s="204" t="n"/>
    </row>
    <row r="52" ht="12.75" customHeight="1">
      <c r="A52" s="540" t="n"/>
      <c r="B52" s="204" t="n"/>
      <c r="C52" s="205" t="n"/>
      <c r="D52" s="205" t="n"/>
      <c r="E52" s="205" t="n"/>
      <c r="F52" s="205" t="n"/>
      <c r="G52" s="1004"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7"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7" t="n"/>
      <c r="CU6" s="987" t="n"/>
      <c r="CV6" s="143" t="n"/>
      <c r="CW6" s="143" t="n"/>
      <c r="CX6" s="143" t="n"/>
      <c r="CY6" s="143" t="n"/>
      <c r="CZ6" s="143" t="n"/>
      <c r="DA6" s="143" t="n"/>
      <c r="DB6" s="143" t="n"/>
      <c r="DC6" s="143" t="n"/>
      <c r="DD6" s="987" t="n"/>
      <c r="DE6" s="143" t="n"/>
      <c r="DF6" s="143" t="n"/>
      <c r="DG6" s="143" t="n"/>
      <c r="DH6" s="143" t="n"/>
      <c r="DI6" s="143" t="n"/>
      <c r="DJ6" s="987" t="n"/>
      <c r="DK6" s="6" t="n"/>
      <c r="DL6" s="6" t="n"/>
      <c r="DM6" s="6" t="n"/>
      <c r="DN6" s="6" t="n"/>
      <c r="DO6" s="6" t="n"/>
      <c r="DP6" s="987" t="n"/>
      <c r="DQ6" s="987" t="n"/>
      <c r="DR6" s="987"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7" t="n"/>
      <c r="CU7" s="987" t="n"/>
      <c r="CV7" s="143" t="n"/>
      <c r="CW7" s="143" t="n"/>
      <c r="CX7" s="143" t="n"/>
      <c r="CY7" s="143" t="n"/>
      <c r="CZ7" s="143" t="n"/>
      <c r="DA7" s="143" t="n"/>
      <c r="DB7" s="143" t="n"/>
      <c r="DC7" s="143" t="n"/>
      <c r="DD7" s="987" t="n"/>
      <c r="DE7" s="143" t="n"/>
      <c r="DF7" s="143" t="n"/>
      <c r="DG7" s="143" t="n"/>
      <c r="DH7" s="143" t="n"/>
      <c r="DI7" s="143" t="n"/>
      <c r="DJ7" s="987" t="n"/>
      <c r="DK7" s="6" t="n"/>
      <c r="DL7" s="6" t="n"/>
      <c r="DM7" s="6" t="n"/>
      <c r="DN7" s="6" t="n"/>
      <c r="DO7" s="6" t="n"/>
      <c r="DP7" s="987" t="n"/>
      <c r="DQ7" s="987" t="n"/>
      <c r="DR7" s="987" t="n"/>
      <c r="DS7" s="155" t="n"/>
      <c r="DT7" s="6" t="n"/>
      <c r="DU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7" t="n"/>
      <c r="DM8" s="987" t="n"/>
      <c r="DN8" s="987" t="n"/>
      <c r="DO8" s="987" t="n"/>
      <c r="DP8" s="987" t="n"/>
      <c r="DQ8" s="7" t="n"/>
      <c r="DR8" s="7" t="n"/>
      <c r="DS8" s="7" t="n"/>
      <c r="DT8" s="155" t="n"/>
      <c r="DU8" s="7" t="n"/>
      <c r="DV8" s="159" t="n"/>
    </row>
    <row r="9" outlineLevel="1" ht="21" customHeight="1">
      <c r="A9" s="660" t="n"/>
      <c r="C9" s="515" t="n">
        <v>1</v>
      </c>
      <c r="D9" s="844" t="inlineStr">
        <is>
          <t>从管理层处取得本期财务费用账户的明细。</t>
        </is>
      </c>
      <c r="E9" s="988" t="n"/>
      <c r="F9" s="989" t="n"/>
      <c r="G9" s="560" t="inlineStr">
        <is>
          <t>表1</t>
        </is>
      </c>
      <c r="H9" s="903" t="inlineStr">
        <is>
          <t>是</t>
        </is>
      </c>
      <c r="I9" s="904" t="n"/>
      <c r="J9" s="516" t="n"/>
      <c r="K9" s="158" t="n"/>
      <c r="L9" s="160" t="n"/>
      <c r="M9" s="160" t="n"/>
      <c r="N9" s="160" t="n"/>
      <c r="CU9" s="987" t="n"/>
      <c r="CV9" s="7" t="n"/>
      <c r="CW9" s="987"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7" t="n"/>
      <c r="DW9" s="931"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1" t="inlineStr">
        <is>
          <t>表1</t>
        </is>
      </c>
      <c r="H10" s="903" t="inlineStr">
        <is>
          <t>是</t>
        </is>
      </c>
      <c r="I10" s="904" t="n"/>
      <c r="J10" s="516" t="n"/>
      <c r="K10" s="158" t="n"/>
      <c r="L10" s="160" t="n"/>
      <c r="M10" s="160" t="n"/>
      <c r="N10" s="160" t="n"/>
      <c r="CU10" s="987" t="n"/>
      <c r="CV10" s="7" t="n"/>
      <c r="CW10" s="987"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7" t="n"/>
      <c r="DW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1" t="n"/>
      <c r="M11" s="151" t="n"/>
      <c r="N11" s="151" t="n"/>
      <c r="CU11" s="7" t="n"/>
      <c r="CV11" s="987" t="n"/>
      <c r="CW11" s="162" t="n"/>
      <c r="CX11" s="143" t="n"/>
      <c r="CY11" s="143" t="n"/>
      <c r="CZ11" s="143" t="n"/>
      <c r="DA11" s="143" t="n"/>
      <c r="DB11" s="143" t="n"/>
      <c r="DC11" s="143" t="n"/>
      <c r="DD11" s="143" t="n"/>
      <c r="DE11" s="143" t="n"/>
      <c r="DF11" s="987" t="n"/>
      <c r="DG11" s="143" t="n"/>
      <c r="DH11" s="143" t="n"/>
      <c r="DI11" s="143" t="n"/>
      <c r="DJ11" s="143" t="n"/>
      <c r="DK11" s="143" t="n"/>
      <c r="DL11" s="987" t="n"/>
      <c r="DM11" s="7" t="n"/>
      <c r="DN11" s="7" t="n"/>
      <c r="DO11" s="7" t="n"/>
      <c r="DP11" s="7" t="n"/>
      <c r="DQ11" s="7" t="n"/>
      <c r="DR11" s="987" t="n"/>
      <c r="DS11" s="987" t="n"/>
      <c r="DT11" s="987" t="n"/>
      <c r="DU11" s="155" t="n"/>
      <c r="DV11" s="7" t="n"/>
      <c r="DW11" s="7" t="n"/>
    </row>
    <row r="12" outlineLevel="1" ht="60.75" customHeight="1">
      <c r="A12" s="660" t="n"/>
      <c r="C12" s="515" t="n">
        <v>4</v>
      </c>
      <c r="D12" s="948" t="inlineStr">
        <is>
          <t>对于单项金额重大的财务费用，需要获取该单项费用的组成明细，需要获取支持性文件如合同等，在必要时进行费用测试。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7" t="n"/>
      <c r="DN12" s="987" t="n"/>
      <c r="DO12" s="987" t="n"/>
      <c r="DP12" s="987" t="n"/>
      <c r="DQ12" s="987"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8" t="n"/>
      <c r="F13" s="989" t="n"/>
      <c r="G13" s="510" t="inlineStr">
        <is>
          <t>&lt;Uexp利息测试&gt;</t>
        </is>
      </c>
      <c r="H13" s="903" t="n"/>
      <c r="I13" s="904"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7" t="n"/>
      <c r="DN13" s="987" t="n"/>
      <c r="DO13" s="987" t="n"/>
      <c r="DP13" s="987" t="n"/>
      <c r="DQ13" s="987"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7" t="n"/>
      <c r="DN14" s="987" t="n"/>
      <c r="DO14" s="987" t="n"/>
      <c r="DP14" s="987" t="n"/>
      <c r="DQ14" s="987"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7" t="n"/>
      <c r="DL15" s="987" t="n"/>
      <c r="DM15" s="987" t="n"/>
      <c r="DN15" s="987" t="n"/>
      <c r="DO15" s="987"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4"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90">
      <c r="A34" s="991" t="n"/>
      <c r="B34" s="19" t="n"/>
      <c r="C34" s="992" t="n"/>
      <c r="D34" s="761" t="n"/>
      <c r="E34" s="993" t="n"/>
      <c r="F34" s="993" t="n"/>
      <c r="G34" s="993" t="n"/>
      <c r="H34" s="993" t="n"/>
      <c r="I34" s="994" t="n"/>
      <c r="J34" s="765" t="n"/>
      <c r="K34" s="765" t="n"/>
      <c r="L34" s="994" t="n"/>
      <c r="M34" s="994" t="n"/>
      <c r="N34" s="994" t="n"/>
      <c r="O34" s="976"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7">
      <c r="A38" s="1008" t="n"/>
      <c r="B38" s="990" t="n"/>
      <c r="C38" s="990" t="n"/>
      <c r="D38" s="1009" t="n"/>
      <c r="E38" s="1010" t="n"/>
      <c r="F38" s="1002" t="n"/>
      <c r="G38" s="997" t="n"/>
      <c r="H38" s="1001" t="inlineStr">
        <is>
          <t>Diff</t>
        </is>
      </c>
      <c r="I38" s="1002">
        <f>I35-I37</f>
        <v/>
      </c>
      <c r="J38" s="189" t="n"/>
      <c r="K38" s="984" t="n"/>
      <c r="M38" s="1002">
        <f>M35-M37</f>
        <v/>
      </c>
      <c r="N38" s="1002">
        <f>N35-N37</f>
        <v/>
      </c>
      <c r="O38" s="984" t="n"/>
      <c r="P38" s="182" t="n"/>
      <c r="Q38" s="990" t="n"/>
      <c r="R38" s="990" t="n"/>
      <c r="S38" s="1011" t="n"/>
      <c r="T38" s="1011" t="n"/>
      <c r="U38" s="1011" t="n"/>
      <c r="V38" s="1011" t="n"/>
      <c r="W38" s="1011" t="n"/>
      <c r="X38" s="995" t="n"/>
      <c r="Y38" s="995" t="n"/>
      <c r="Z38" s="995" t="n"/>
      <c r="AA38" s="995" t="n"/>
      <c r="AB38" s="995" t="n"/>
      <c r="AC38" s="995"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7"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2" t="inlineStr">
        <is>
          <t>执行的测试</t>
        </is>
      </c>
      <c r="E9" s="900" t="n"/>
      <c r="F9" s="901"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3" t="inlineStr">
        <is>
          <t>活期存款</t>
        </is>
      </c>
      <c r="E10" s="900" t="n"/>
      <c r="F10" s="901" t="n"/>
      <c r="G10" s="225" t="inlineStr">
        <is>
          <t>C_货币资金</t>
        </is>
      </c>
      <c r="H10" s="903" t="n"/>
      <c r="I10" s="904" t="n"/>
      <c r="J10" s="608" t="n"/>
    </row>
    <row r="11" outlineLevel="1" ht="18" customFormat="1" customHeight="1" s="23">
      <c r="A11" s="675" t="n"/>
      <c r="C11" s="607" t="n">
        <v>1.1</v>
      </c>
      <c r="D11" s="1014" t="inlineStr">
        <is>
          <t>核对期末活期存款金额至公司期末银行存款明细清单。</t>
        </is>
      </c>
      <c r="E11" s="900" t="n"/>
      <c r="F11" s="901" t="n"/>
      <c r="G11" s="224" t="n"/>
      <c r="H11" s="903" t="n"/>
      <c r="I11" s="904" t="n"/>
      <c r="J11" s="608" t="n"/>
    </row>
    <row r="12" outlineLevel="1" ht="43.5" customFormat="1" customHeight="1" s="23">
      <c r="A12" s="675" t="n"/>
      <c r="C12" s="607" t="n">
        <v>1.2</v>
      </c>
      <c r="D12" s="1014" t="inlineStr">
        <is>
          <t>针对活期存款/协定存款/通知存款，使用期初、期末平均余额乘以适用的利率，测算本期利息收入。</t>
        </is>
      </c>
      <c r="E12" s="900" t="n"/>
      <c r="F12" s="901" t="n"/>
      <c r="G12" s="225" t="inlineStr">
        <is>
          <t>表1</t>
        </is>
      </c>
      <c r="H12" s="903" t="n"/>
      <c r="I12" s="904" t="n"/>
      <c r="J12" s="608" t="n"/>
    </row>
    <row r="13" outlineLevel="1" ht="60.6" customFormat="1" customHeight="1" s="23">
      <c r="A13" s="675" t="n"/>
      <c r="C13" s="607" t="n">
        <v>1.3</v>
      </c>
      <c r="D13" s="1014" t="inlineStr">
        <is>
          <t>与财务费用底稿里的公司活期存款/协定存款/通知存款进行差异比较，若差异金额大于TT则调查原因及是否需要调整。必要时，采取月平均余额进行测算</t>
        </is>
      </c>
      <c r="E13" s="900" t="n"/>
      <c r="F13" s="901" t="n"/>
      <c r="G13" s="225" t="inlineStr">
        <is>
          <t>表1</t>
        </is>
      </c>
      <c r="H13" s="903" t="n"/>
      <c r="I13" s="904" t="n"/>
      <c r="J13" s="608" t="n"/>
    </row>
    <row r="14" outlineLevel="1" ht="20.25" customFormat="1" customHeight="1" s="23">
      <c r="A14" s="675" t="n"/>
      <c r="C14" s="607" t="n">
        <v>2</v>
      </c>
      <c r="D14" s="1013" t="inlineStr">
        <is>
          <t>定期存款</t>
        </is>
      </c>
      <c r="E14" s="900" t="n"/>
      <c r="F14" s="901" t="n"/>
      <c r="G14" s="224" t="n"/>
      <c r="H14" s="512" t="n"/>
      <c r="I14" s="512" t="n"/>
      <c r="J14" s="608" t="n"/>
    </row>
    <row r="15" outlineLevel="1" ht="40.35" customFormat="1" customHeight="1" s="23">
      <c r="A15" s="675" t="n"/>
      <c r="C15" s="607" t="n">
        <v>2.1</v>
      </c>
      <c r="D15" s="1015" t="inlineStr">
        <is>
          <t>获取公司【20__年1月1日至20__年12月31日】的定期存款明细清单（包含期末已到期的定期存款）。</t>
        </is>
      </c>
      <c r="E15" s="900" t="n"/>
      <c r="F15" s="901" t="n"/>
      <c r="G15" s="225" t="inlineStr">
        <is>
          <t>表2</t>
        </is>
      </c>
      <c r="H15" s="903" t="n"/>
      <c r="I15" s="904" t="n"/>
      <c r="J15" s="608" t="n"/>
    </row>
    <row r="16" outlineLevel="1" ht="42" customFormat="1" customHeight="1" s="23">
      <c r="A16" s="675" t="n"/>
      <c r="C16" s="607" t="n">
        <v>2.2</v>
      </c>
      <c r="D16" s="1014" t="inlineStr">
        <is>
          <t>核对期末尚未到期的定期存款金额至公司期末银行存款明细清单。</t>
        </is>
      </c>
      <c r="E16" s="900" t="n"/>
      <c r="F16" s="901" t="n"/>
      <c r="G16" s="225" t="inlineStr">
        <is>
          <t>表2</t>
        </is>
      </c>
      <c r="H16" s="903" t="n"/>
      <c r="I16" s="904" t="n"/>
      <c r="J16" s="608" t="n"/>
    </row>
    <row r="17" outlineLevel="1" ht="41.1" customFormat="1" customHeight="1" s="23">
      <c r="A17" s="675" t="n"/>
      <c r="C17" s="607" t="n">
        <v>2.3</v>
      </c>
      <c r="D17" s="1014" t="inlineStr">
        <is>
          <t>针对定期存款，使用本金、利率、存款期限测算本期利息收入。</t>
        </is>
      </c>
      <c r="E17" s="900" t="n"/>
      <c r="F17" s="901" t="n"/>
      <c r="G17" s="225" t="inlineStr">
        <is>
          <t>表2</t>
        </is>
      </c>
      <c r="H17" s="903" t="n"/>
      <c r="I17" s="904" t="n"/>
      <c r="J17" s="608" t="n"/>
    </row>
    <row r="18" outlineLevel="1" ht="54.6" customFormat="1" customHeight="1" s="23">
      <c r="A18" s="675" t="n"/>
      <c r="C18" s="607" t="n">
        <v>2.4</v>
      </c>
      <c r="D18" s="1014" t="inlineStr">
        <is>
          <t>与财务费用底稿里的公司定期存款利息收入进行差异比较，若差异金额大于TT则调查原因及是否需要调整。</t>
        </is>
      </c>
      <c r="E18" s="900" t="n"/>
      <c r="F18" s="901" t="n"/>
      <c r="G18" s="225" t="inlineStr">
        <is>
          <t>表2</t>
        </is>
      </c>
      <c r="H18" s="903" t="n"/>
      <c r="I18" s="904" t="n"/>
      <c r="J18" s="609" t="n"/>
    </row>
    <row r="19" outlineLevel="1" ht="21" customFormat="1" customHeight="1" s="23">
      <c r="A19" s="675" t="n"/>
      <c r="C19" s="607" t="n">
        <v>3</v>
      </c>
      <c r="D19" s="1013" t="inlineStr">
        <is>
          <t>其他利息类型</t>
        </is>
      </c>
      <c r="E19" s="900" t="n"/>
      <c r="F19" s="901" t="n"/>
      <c r="G19" s="225" t="inlineStr">
        <is>
          <t>表3</t>
        </is>
      </c>
      <c r="H19" s="903" t="n"/>
      <c r="I19" s="904"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6"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7" t="n"/>
      <c r="H26" s="1017" t="n"/>
      <c r="I26" s="1017" t="n"/>
      <c r="J26" s="1018">
        <f>(H26+I26)/2</f>
        <v/>
      </c>
      <c r="K26" s="612" t="n"/>
      <c r="L26" s="529" t="n"/>
      <c r="M26" s="1019">
        <f>J26*K26*L26</f>
        <v/>
      </c>
    </row>
    <row r="27" outlineLevel="1" customFormat="1" s="23">
      <c r="A27" s="675" t="n"/>
      <c r="C27" s="610" t="n"/>
      <c r="D27" s="525" t="n"/>
      <c r="E27" s="525" t="n"/>
      <c r="F27" s="525" t="n"/>
      <c r="G27" s="1017" t="n"/>
      <c r="H27" s="1017" t="n"/>
      <c r="I27" s="1017" t="n"/>
      <c r="J27" s="1018">
        <f>(H27+I27)/2</f>
        <v/>
      </c>
      <c r="K27" s="614" t="n"/>
      <c r="L27" s="529" t="n"/>
      <c r="M27" s="1019">
        <f>J27*K27*L27</f>
        <v/>
      </c>
    </row>
    <row r="28" outlineLevel="1" customFormat="1" s="23">
      <c r="A28" s="675" t="n"/>
      <c r="C28" s="610" t="n"/>
      <c r="D28" s="525" t="n"/>
      <c r="E28" s="525" t="n"/>
      <c r="F28" s="525" t="n"/>
      <c r="G28" s="1017" t="n"/>
      <c r="H28" s="1017" t="n"/>
      <c r="I28" s="1017" t="n"/>
      <c r="J28" s="1018">
        <f>(H28+I28)/2</f>
        <v/>
      </c>
      <c r="K28" s="614" t="n"/>
      <c r="L28" s="529" t="n"/>
      <c r="M28" s="1019">
        <f>J28*K28*L28</f>
        <v/>
      </c>
    </row>
    <row r="29" outlineLevel="1" ht="13.5" customFormat="1" customHeight="1" s="23" thickBot="1">
      <c r="A29" s="675" t="n"/>
      <c r="C29" s="390" t="n"/>
      <c r="D29" s="391" t="n"/>
      <c r="E29" s="391" t="n"/>
      <c r="F29" s="391" t="n"/>
      <c r="G29" s="1020" t="n"/>
      <c r="H29" s="1020" t="n"/>
      <c r="I29" s="1020" t="n"/>
      <c r="J29" s="1021">
        <f>(H29+I29)/2</f>
        <v/>
      </c>
      <c r="K29" s="394" t="n"/>
      <c r="L29" s="395" t="n"/>
      <c r="M29" s="1022">
        <f>J29*K29*L29</f>
        <v/>
      </c>
    </row>
    <row r="30" outlineLevel="1" customFormat="1" s="23">
      <c r="A30" s="675" t="n"/>
      <c r="C30" s="217" t="n"/>
      <c r="D30" s="217" t="n"/>
      <c r="E30" s="217" t="n"/>
      <c r="F30" s="217" t="n"/>
      <c r="H30" s="1023" t="n"/>
      <c r="I30" s="1024" t="n"/>
      <c r="J30" s="1023" t="n"/>
      <c r="K30" s="217" t="n"/>
      <c r="L30" s="217" t="n"/>
      <c r="M30" s="1024" t="n"/>
    </row>
    <row r="31" outlineLevel="1" ht="17.25" customFormat="1" customHeight="1" s="23" thickBot="1">
      <c r="A31" s="675" t="n"/>
      <c r="F31" s="232" t="inlineStr">
        <is>
          <t>合计</t>
        </is>
      </c>
      <c r="G31" s="1025" t="n"/>
      <c r="H31" s="1026">
        <f>SUM(H26:H29)</f>
        <v/>
      </c>
      <c r="I31" s="1027" t="n"/>
      <c r="J31" s="1027" t="n"/>
      <c r="M31" s="1026">
        <f>SUM(M26:M29)</f>
        <v/>
      </c>
    </row>
    <row r="32" outlineLevel="1" ht="17.25" customFormat="1" customHeight="1" s="23" thickTop="1">
      <c r="A32" s="675" t="n"/>
      <c r="F32" s="235" t="inlineStr">
        <is>
          <t>C.01.1</t>
        </is>
      </c>
      <c r="G32" s="236" t="inlineStr">
        <is>
          <t>活期存款</t>
        </is>
      </c>
      <c r="H32" s="1028" t="n"/>
      <c r="J32" s="235" t="n"/>
      <c r="L32" s="238" t="n"/>
      <c r="M32" s="131" t="inlineStr">
        <is>
          <t>Rx</t>
        </is>
      </c>
    </row>
    <row r="33" outlineLevel="1" customFormat="1" s="23">
      <c r="A33" s="675" t="n"/>
      <c r="G33" s="235" t="inlineStr">
        <is>
          <t>Diff</t>
        </is>
      </c>
      <c r="H33" s="1029">
        <f>H31-H32</f>
        <v/>
      </c>
      <c r="I33" s="1029" t="n"/>
      <c r="L33" s="235" t="n"/>
      <c r="M33" s="1029" t="n"/>
    </row>
    <row r="34" customFormat="1" s="23">
      <c r="A34" s="675" t="n"/>
      <c r="F34" s="1030" t="n"/>
      <c r="J34" s="1031" t="n"/>
      <c r="K34" s="1031" t="n"/>
    </row>
    <row r="35" customFormat="1" s="23">
      <c r="A35" s="675" t="n"/>
      <c r="F35" s="1030" t="n"/>
      <c r="I35" s="1031" t="n"/>
      <c r="J35" s="1031"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1" t="n"/>
      <c r="L37" s="242">
        <f>DATE(YEAR(汇总!D5)-1,12,31)+1</f>
        <v/>
      </c>
      <c r="N37" s="440" t="n"/>
    </row>
    <row r="38" outlineLevel="1" ht="38.25" customFormat="1" customHeight="1" s="26">
      <c r="A38" s="678" t="n"/>
      <c r="C38" s="1032"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7" t="n"/>
      <c r="H39" s="1017" t="n"/>
      <c r="I39" s="527" t="n"/>
      <c r="J39" s="528" t="n"/>
      <c r="K39" s="528" t="n"/>
      <c r="L39" s="519">
        <f t="array" ref="L39">IFERROR(_xlfn.IFS((J39&lt;$L$37)*(K39&lt;汇总!$D$5),DATEDIF($L$37,K39,"D"),(J39&lt;$L$37)*(K39&gt;=汇总!$D$5),DATEDIF($L$37,汇总!$D$5,"D"),(J39&gt;=$L$37)*(K39&lt;汇总!$D$5),DATEDIF(J39,K39,"D"),(J39&gt;=$L$37)*(K39&gt;=汇总!$D$5),DATEDIF(J39,汇总!$D$5,"D"))+1,"")</f>
        <v/>
      </c>
      <c r="M39" s="529" t="n"/>
      <c r="N39" s="1033">
        <f>IFERROR(H39*I39*L39/360,0)*M39</f>
        <v/>
      </c>
    </row>
    <row r="40" outlineLevel="1" customFormat="1" s="23">
      <c r="A40" s="675" t="n"/>
      <c r="C40" s="524" t="n"/>
      <c r="D40" s="525" t="n"/>
      <c r="E40" s="525" t="n"/>
      <c r="F40" s="525" t="n"/>
      <c r="G40" s="1017" t="n"/>
      <c r="H40" s="1017" t="n"/>
      <c r="I40" s="527" t="n"/>
      <c r="J40" s="528" t="n"/>
      <c r="K40" s="528" t="n"/>
      <c r="L40" s="519">
        <f t="array" ref="L40">IFERROR(_xlfn.IFS((J40&lt;$L$37)*(K40&lt;汇总!$D$5),DATEDIF($L$37,K40,"D"),(J40&lt;$L$37)*(K40&gt;=汇总!$D$5),DATEDIF($L$37,汇总!$D$5,"D"),(J40&gt;=$L$37)*(K40&lt;汇总!$D$5),DATEDIF(J40,K40,"D"),(J40&gt;=$L$37)*(K40&gt;=汇总!$D$5),DATEDIF(J40,汇总!$D$5,"D"))+1,"")</f>
        <v/>
      </c>
      <c r="M40" s="529" t="n"/>
      <c r="N40" s="1033">
        <f>IFERROR(H40*I40*L40/360,0)*M40</f>
        <v/>
      </c>
    </row>
    <row r="41" outlineLevel="1" customFormat="1" s="23">
      <c r="A41" s="675" t="n"/>
      <c r="C41" s="524" t="n"/>
      <c r="D41" s="525" t="n"/>
      <c r="E41" s="525" t="n"/>
      <c r="F41" s="525" t="n"/>
      <c r="G41" s="1017" t="n"/>
      <c r="H41" s="1017" t="n"/>
      <c r="I41" s="527" t="n"/>
      <c r="J41" s="528" t="n"/>
      <c r="K41" s="528" t="n"/>
      <c r="L41" s="519">
        <f t="array" ref="L41">IFERROR(_xlfn.IFS((J41&lt;$L$37)*(K41&lt;汇总!$D$5),DATEDIF($L$37,K41,"D"),(J41&lt;$L$37)*(K41&gt;=汇总!$D$5),DATEDIF($L$37,汇总!$D$5,"D"),(J41&gt;=$L$37)*(K41&lt;汇总!$D$5),DATEDIF(J41,K41,"D"),(J41&gt;=$L$37)*(K41&gt;=汇总!$D$5),DATEDIF(J41,汇总!$D$5,"D"))+1,"")</f>
        <v/>
      </c>
      <c r="M41" s="529" t="n"/>
      <c r="N41" s="1033">
        <f>IFERROR(H41*I41*L41/360,0)*M41</f>
        <v/>
      </c>
    </row>
    <row r="42" outlineLevel="1" customFormat="1" s="23">
      <c r="A42" s="675" t="n"/>
      <c r="C42" s="524" t="n"/>
      <c r="D42" s="525" t="n"/>
      <c r="E42" s="525" t="n"/>
      <c r="F42" s="525" t="n"/>
      <c r="G42" s="1017" t="n"/>
      <c r="H42" s="1017" t="n"/>
      <c r="I42" s="527" t="n"/>
      <c r="J42" s="528" t="n"/>
      <c r="K42" s="528" t="n"/>
      <c r="L42" s="519">
        <f t="array" ref="L42">IFERROR(_xlfn.IFS((J42&lt;$L$37)*(K42&lt;汇总!$D$5),DATEDIF($L$37,K42,"D"),(J42&lt;$L$37)*(K42&gt;=汇总!$D$5),DATEDIF($L$37,汇总!$D$5,"D"),(J42&gt;=$L$37)*(K42&lt;汇总!$D$5),DATEDIF(J42,K42,"D"),(J42&gt;=$L$37)*(K42&gt;=汇总!$D$5),DATEDIF(J42,汇总!$D$5,"D"))+1,"")</f>
        <v/>
      </c>
      <c r="M42" s="519" t="n"/>
      <c r="N42" s="1033">
        <f>IFERROR(H42*I42*L42/360,0)*M42</f>
        <v/>
      </c>
    </row>
    <row r="43" outlineLevel="1" ht="13.5" customFormat="1" customHeight="1" s="23" thickBot="1">
      <c r="A43" s="675" t="n"/>
      <c r="C43" s="531" t="n"/>
      <c r="D43" s="532" t="n"/>
      <c r="E43" s="532" t="n"/>
      <c r="F43" s="532" t="n"/>
      <c r="G43" s="1034" t="n"/>
      <c r="H43" s="1034" t="n"/>
      <c r="I43" s="534" t="n"/>
      <c r="J43" s="535" t="n"/>
      <c r="K43" s="535" t="n"/>
      <c r="L43" s="536">
        <f t="array" ref="L43">IFERROR(_xlfn.IFS((J43&lt;$L$37)*(K43&lt;汇总!$D$5),DATEDIF($L$37,K43,"D"),(J43&lt;$L$37)*(K43&gt;=汇总!$D$5),DATEDIF($L$37,汇总!$D$5,"D"),(J43&gt;=$L$37)*(K43&lt;汇总!$D$5),DATEDIF(J43,K43,"D"),(J43&gt;=$L$37)*(K43&gt;=汇总!$D$5),DATEDIF(J43,汇总!$D$5,"D"))+1,"")</f>
        <v/>
      </c>
      <c r="M43" s="536" t="n"/>
      <c r="N43" s="1035">
        <f>IFERROR(H43*I43*L43/360,0)*M43</f>
        <v/>
      </c>
    </row>
    <row r="44" outlineLevel="1" customFormat="1" s="23">
      <c r="A44" s="675" t="n"/>
      <c r="C44" s="217" t="n"/>
      <c r="D44" s="217" t="n"/>
      <c r="E44" s="217" t="n"/>
      <c r="F44" s="217" t="n"/>
      <c r="G44" s="1023" t="n"/>
      <c r="H44" s="1023" t="n"/>
      <c r="I44" s="217" t="n"/>
      <c r="J44" s="217" t="n"/>
      <c r="K44" s="217" t="n"/>
      <c r="L44" s="217" t="n"/>
      <c r="N44" s="1023" t="n"/>
    </row>
    <row r="45" outlineLevel="1" ht="17.25" customFormat="1" customHeight="1" s="23" thickBot="1">
      <c r="A45" s="675" t="n"/>
      <c r="D45" s="243" t="n"/>
      <c r="F45" s="244" t="inlineStr">
        <is>
          <t>合计</t>
        </is>
      </c>
      <c r="G45" s="1023" t="n"/>
      <c r="H45" s="1036">
        <f>SUM(H39:H43)</f>
        <v/>
      </c>
      <c r="N45" s="1037">
        <f>SUM(N39:N43)</f>
        <v/>
      </c>
    </row>
    <row r="46" outlineLevel="1" ht="17.25" customFormat="1" customHeight="1" s="23" thickTop="1">
      <c r="A46" s="675" t="n"/>
      <c r="F46" s="245" t="inlineStr">
        <is>
          <t>C.01.1</t>
        </is>
      </c>
      <c r="G46" s="246" t="inlineStr">
        <is>
          <t>定期存款</t>
        </is>
      </c>
      <c r="H46" s="1038" t="n"/>
      <c r="N46" s="131" t="inlineStr">
        <is>
          <t>Rx</t>
        </is>
      </c>
    </row>
    <row r="47" outlineLevel="1" ht="16.5" customFormat="1" customHeight="1" s="23">
      <c r="A47" s="675" t="n"/>
      <c r="F47" s="217" t="n"/>
      <c r="G47" s="245" t="inlineStr">
        <is>
          <t>Diff</t>
        </is>
      </c>
      <c r="H47" s="1029">
        <f>H45-H46</f>
        <v/>
      </c>
      <c r="L47" s="235" t="inlineStr">
        <is>
          <t>Uexp</t>
        </is>
      </c>
      <c r="M47" s="248" t="inlineStr">
        <is>
          <t>财务费用-利息收入-活期</t>
        </is>
      </c>
      <c r="N47" s="1028" t="n"/>
    </row>
    <row r="48" outlineLevel="1" ht="16.5" customFormat="1" customHeight="1" s="23">
      <c r="A48" s="675" t="n"/>
      <c r="M48" s="236" t="inlineStr">
        <is>
          <t>财务费用-利息收入-定期</t>
        </is>
      </c>
      <c r="N48" s="1028" t="n"/>
    </row>
    <row r="49" outlineLevel="1" ht="16.5" customFormat="1" customHeight="1" s="23">
      <c r="A49" s="675" t="n"/>
      <c r="J49" s="1031" t="n"/>
      <c r="M49" s="248" t="inlineStr">
        <is>
          <t>财务费用-利息收入（其他）</t>
        </is>
      </c>
      <c r="N49" s="1028" t="n"/>
    </row>
    <row r="50" outlineLevel="1" ht="17.25" customFormat="1" customHeight="1" s="23" thickBot="1">
      <c r="A50" s="675" t="n"/>
      <c r="J50" s="1031" t="n"/>
      <c r="L50" s="1031" t="n"/>
      <c r="M50" s="236" t="inlineStr">
        <is>
          <t>合计</t>
        </is>
      </c>
      <c r="N50" s="1037">
        <f>SUM(N47:N49)</f>
        <v/>
      </c>
    </row>
    <row r="51" outlineLevel="1" ht="13.5" customFormat="1" customHeight="1" s="23" thickTop="1">
      <c r="A51" s="675" t="n"/>
      <c r="L51" s="1031" t="n"/>
      <c r="M51" s="1027" t="n"/>
      <c r="N51" s="131" t="inlineStr">
        <is>
          <t>Rx</t>
        </is>
      </c>
    </row>
    <row r="52" customFormat="1" s="23">
      <c r="A52" s="675" t="n"/>
      <c r="L52" s="1031" t="n"/>
      <c r="M52" s="245" t="inlineStr">
        <is>
          <t>Total Diff</t>
        </is>
      </c>
      <c r="N52" s="1029">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1"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9" t="n"/>
      <c r="D61" s="907" t="n"/>
      <c r="E61" s="907" t="n"/>
      <c r="F61" s="907" t="n"/>
      <c r="G61" s="908" t="n"/>
    </row>
    <row r="62">
      <c r="A62" s="542" t="n"/>
      <c r="C62" s="909" t="n"/>
      <c r="G62" s="910" t="n"/>
    </row>
    <row r="63" ht="13.5" customHeight="1" thickBot="1">
      <c r="A63" s="542" t="n"/>
      <c r="C63" s="911" t="n"/>
      <c r="D63" s="912" t="n"/>
      <c r="E63" s="912" t="n"/>
      <c r="F63" s="912" t="n"/>
      <c r="G63" s="913"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60" t="n"/>
      <c r="N11" s="160" t="n"/>
      <c r="O11" s="160" t="n"/>
      <c r="CV11" s="987" t="n"/>
      <c r="CW11" s="7" t="n"/>
      <c r="CX11" s="987"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7" t="n"/>
      <c r="DX11" s="931" t="n"/>
    </row>
    <row r="12" outlineLevel="1" ht="40.5" customHeight="1">
      <c r="A12" s="660" t="n"/>
      <c r="C12" s="515" t="n">
        <v>4</v>
      </c>
      <c r="D12" s="844" t="inlineStr">
        <is>
          <t>对于当期收到政府补助款项一次性计入其他收益的大额政府补助项目，获取并查看支持性文件和银行水单。</t>
        </is>
      </c>
      <c r="E12" s="988" t="n"/>
      <c r="F12" s="989" t="n"/>
      <c r="G12" s="560" t="inlineStr">
        <is>
          <t>表2</t>
        </is>
      </c>
      <c r="H12" s="903" t="inlineStr">
        <is>
          <t>是</t>
        </is>
      </c>
      <c r="I12" s="904" t="n"/>
      <c r="J12" s="516" t="n"/>
      <c r="K12" s="158" t="n"/>
      <c r="L12" s="158" t="n"/>
      <c r="M12" s="160" t="n"/>
      <c r="N12" s="160" t="n"/>
      <c r="O12" s="160" t="n"/>
      <c r="CV12" s="987" t="n"/>
      <c r="CW12" s="7" t="n"/>
      <c r="CX12" s="987"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7" t="n"/>
      <c r="DX12" s="931"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987" t="n"/>
      <c r="CX13" s="162" t="n"/>
      <c r="CY13" s="143" t="n"/>
      <c r="CZ13" s="143" t="n"/>
      <c r="DA13" s="143" t="n"/>
      <c r="DB13" s="143" t="n"/>
      <c r="DC13" s="143" t="n"/>
      <c r="DD13" s="143" t="n"/>
      <c r="DE13" s="143" t="n"/>
      <c r="DF13" s="143" t="n"/>
      <c r="DG13" s="987" t="n"/>
      <c r="DH13" s="143" t="n"/>
      <c r="DI13" s="143" t="n"/>
      <c r="DJ13" s="143" t="n"/>
      <c r="DK13" s="143" t="n"/>
      <c r="DL13" s="143" t="n"/>
      <c r="DM13" s="987" t="n"/>
      <c r="DN13" s="7" t="n"/>
      <c r="DO13" s="7" t="n"/>
      <c r="DP13" s="7" t="n"/>
      <c r="DQ13" s="7" t="n"/>
      <c r="DR13" s="7" t="n"/>
      <c r="DS13" s="987" t="n"/>
      <c r="DT13" s="987" t="n"/>
      <c r="DU13" s="987" t="n"/>
      <c r="DV13" s="155" t="n"/>
      <c r="DW13" s="7" t="n"/>
      <c r="DX13" s="7" t="n"/>
    </row>
    <row r="14" outlineLevel="1" ht="38.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8" t="n"/>
      <c r="F15" s="989" t="n"/>
      <c r="G15" s="560" t="inlineStr">
        <is>
          <t>表2</t>
        </is>
      </c>
      <c r="H15" s="903" t="inlineStr">
        <is>
          <t>是</t>
        </is>
      </c>
      <c r="I15" s="904"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7" t="n"/>
      <c r="DO15" s="987" t="n"/>
      <c r="DP15" s="987" t="n"/>
      <c r="DQ15" s="987" t="n"/>
      <c r="DR15" s="987"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7" t="n"/>
      <c r="DM16" s="987" t="n"/>
      <c r="DN16" s="987" t="n"/>
      <c r="DO16" s="987" t="n"/>
      <c r="DP16" s="987"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4"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4" t="n"/>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c r="A36" s="991" t="n"/>
      <c r="B36" s="19" t="n"/>
      <c r="C36" s="992" t="n"/>
      <c r="D36" s="761" t="n"/>
      <c r="E36" s="993" t="n"/>
      <c r="F36" s="993" t="n"/>
      <c r="G36" s="993" t="n"/>
      <c r="H36" s="993" t="n"/>
      <c r="I36" s="994" t="n"/>
      <c r="J36" s="764" t="n"/>
      <c r="K36" s="765" t="n"/>
      <c r="L36" s="994" t="n"/>
      <c r="M36" s="994" t="n"/>
      <c r="N36" s="994" t="n"/>
      <c r="O36" s="976" t="n"/>
      <c r="P36" s="767" t="n"/>
      <c r="Q36" s="767" t="n"/>
      <c r="R36" s="768"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T39" s="19"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90">
      <c r="A40" s="991" t="n"/>
      <c r="B40" s="990"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T40" s="990"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c r="A41" s="1040" t="n"/>
      <c r="B41" s="990" t="n"/>
      <c r="C41" s="990" t="n"/>
      <c r="D41" s="997" t="n"/>
      <c r="E41" s="1001" t="n"/>
      <c r="F41" s="1002" t="n"/>
      <c r="G41" s="997" t="n"/>
      <c r="H41" s="990" t="n"/>
      <c r="I41" s="1002" t="n"/>
      <c r="J41" s="189" t="n"/>
      <c r="K41" s="984" t="n"/>
      <c r="L41" s="984" t="n"/>
      <c r="M41" s="1002" t="n"/>
      <c r="N41" s="1002" t="n"/>
      <c r="O41" s="984" t="n"/>
      <c r="P41" s="182" t="n"/>
      <c r="Q41" s="182" t="n"/>
      <c r="R41" s="999" t="n"/>
      <c r="S41" s="990" t="n"/>
      <c r="T41" s="990" t="n"/>
      <c r="U41" s="990"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90">
      <c r="A46" s="991" t="n"/>
      <c r="B46" s="990" t="n"/>
      <c r="C46" s="990" t="n"/>
      <c r="D46" s="997" t="n"/>
      <c r="E46" s="1001" t="n"/>
      <c r="F46" s="1002" t="n"/>
      <c r="G46" s="997" t="n"/>
      <c r="H46" s="990" t="n"/>
      <c r="I46" s="1002" t="n"/>
      <c r="J46" s="189" t="n"/>
      <c r="K46" s="984" t="n"/>
      <c r="L46" s="984" t="n"/>
      <c r="M46" s="1002" t="n"/>
      <c r="N46" s="1002" t="n"/>
      <c r="O46" s="984" t="n"/>
      <c r="P46" s="182" t="n"/>
      <c r="Q46" s="182" t="n"/>
      <c r="R46" s="999" t="n"/>
      <c r="S46" s="990" t="n"/>
      <c r="T46" s="990" t="n"/>
      <c r="U46" s="990"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90">
      <c r="A47" s="1041" t="n"/>
      <c r="B47" s="990" t="n"/>
      <c r="C47" s="990" t="n"/>
      <c r="D47" s="997" t="n"/>
      <c r="E47" s="1001" t="n"/>
      <c r="F47" s="1002" t="n"/>
      <c r="G47" s="997" t="n"/>
      <c r="H47" s="990" t="n"/>
      <c r="I47" s="1002" t="n"/>
      <c r="J47" s="189" t="n"/>
      <c r="K47" s="984" t="n"/>
      <c r="L47" s="984" t="n"/>
      <c r="M47" s="1002" t="n"/>
      <c r="N47" s="1002" t="n"/>
      <c r="O47" s="984" t="n"/>
      <c r="P47" s="182" t="n"/>
      <c r="Q47" s="182" t="n"/>
      <c r="R47" s="999" t="n"/>
      <c r="S47" s="990" t="n"/>
      <c r="T47" s="990" t="n"/>
      <c r="U47" s="990"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2"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2"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2"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2"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3"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从管理层处取得本期投资收益账户的明细。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0.09999999999999" customHeight="1">
      <c r="A12" s="660" t="n"/>
      <c r="C12" s="515" t="n">
        <v>4</v>
      </c>
      <c r="D12" s="948" t="inlineStr">
        <is>
          <t>对于单项重大的投资收益，需要获取该单项收益的组成明细，需要获取支持性文件如合同等，在必要时进行收入测试。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S29" s="1044"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c r="A36" s="991" t="n"/>
      <c r="B36" s="990" t="n"/>
      <c r="C36" s="992" t="n"/>
      <c r="D36" s="761" t="n"/>
      <c r="E36" s="993" t="n"/>
      <c r="F36" s="993" t="n"/>
      <c r="G36" s="993" t="n"/>
      <c r="H36" s="993" t="n"/>
      <c r="I36" s="994" t="n"/>
      <c r="J36" s="765" t="n"/>
      <c r="K36" s="765" t="n"/>
      <c r="L36" s="994" t="n"/>
      <c r="M36" s="994" t="n"/>
      <c r="N36" s="994" t="n"/>
      <c r="O36" s="976" t="n"/>
      <c r="P36" s="767" t="n"/>
      <c r="Q36" s="767" t="n"/>
      <c r="R36" s="768"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5">
      <c r="A40" s="1046" t="n"/>
      <c r="C40" s="990" t="n"/>
      <c r="D40" s="997" t="n"/>
      <c r="F40" s="1002" t="n"/>
      <c r="G40" s="997" t="n"/>
      <c r="H40" s="1001" t="inlineStr">
        <is>
          <t>Diff</t>
        </is>
      </c>
      <c r="I40" s="1002">
        <f>I37-I39</f>
        <v/>
      </c>
      <c r="J40" s="189" t="n"/>
      <c r="K40" s="984" t="n"/>
      <c r="M40" s="1002">
        <f>M37-M39</f>
        <v/>
      </c>
      <c r="N40" s="1002">
        <f>N37-N39</f>
        <v/>
      </c>
      <c r="O40" s="984" t="n"/>
      <c r="P40" s="182" t="n"/>
      <c r="Q40" s="990" t="n"/>
      <c r="R40" s="990" t="n"/>
      <c r="S40" s="1047" t="n"/>
      <c r="T40" s="1047" t="n"/>
      <c r="U40" s="1047" t="n"/>
      <c r="V40" s="1047" t="n"/>
      <c r="W40" s="1047" t="n"/>
      <c r="X40" s="1047" t="n"/>
      <c r="Y40" s="1048" t="n"/>
      <c r="Z40" s="1048" t="n"/>
      <c r="AA40" s="1048" t="n"/>
      <c r="AB40" s="1048" t="n"/>
      <c r="AC40" s="1048" t="n"/>
      <c r="AD40" s="1048" t="n"/>
    </row>
    <row r="41" ht="12.6" customFormat="1" customHeight="1" s="1045">
      <c r="A41" s="1046" t="n"/>
      <c r="C41" s="990" t="n"/>
      <c r="D41" s="997" t="n"/>
      <c r="E41" s="1001" t="n"/>
      <c r="F41" s="1002" t="n"/>
      <c r="G41" s="997" t="n"/>
      <c r="H41" s="990" t="n"/>
      <c r="I41" s="1002" t="n"/>
      <c r="J41" s="998" t="n"/>
      <c r="K41" s="984" t="n"/>
      <c r="L41" s="984" t="n"/>
      <c r="M41" s="1002" t="n"/>
      <c r="N41" s="984" t="n"/>
      <c r="O41" s="984" t="n"/>
      <c r="P41" s="984" t="n"/>
      <c r="Q41" s="1002" t="n"/>
      <c r="R41" s="998" t="n"/>
      <c r="S41" s="259" t="n"/>
      <c r="T41" s="984" t="n"/>
      <c r="U41" s="984" t="n"/>
      <c r="V41" s="984" t="n"/>
      <c r="W41" s="182" t="n"/>
      <c r="X41" s="182" t="n"/>
      <c r="Y41" s="999" t="n"/>
      <c r="Z41" s="990" t="n"/>
      <c r="AA41" s="990" t="n"/>
      <c r="AB41" s="1047" t="n"/>
      <c r="AC41" s="1047" t="n"/>
      <c r="AD41" s="1047" t="n"/>
      <c r="AE41" s="1047" t="n"/>
      <c r="AF41" s="1047" t="n"/>
      <c r="AG41" s="1047" t="n"/>
      <c r="AH41" s="1048" t="n"/>
      <c r="AI41" s="1048" t="n"/>
      <c r="AJ41" s="1048" t="n"/>
      <c r="AK41" s="1048" t="n"/>
      <c r="AL41" s="1048" t="n"/>
      <c r="AM41" s="1048"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151" t="n"/>
      <c r="M7" s="151"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从管理层处取得本期公允价值变动损益账户的明细。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09999999999999" customHeight="1">
      <c r="A12" s="660" t="n"/>
      <c r="C12" s="515" t="n">
        <v>4</v>
      </c>
      <c r="D12" s="948" t="inlineStr">
        <is>
          <t>对于单项重大的公允价值变动损益，需要获取该单项损益的组成明细，需要获取支持性文件如合同等，在必要时进行损益测试。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S28" s="1049"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S40" s="1051" t="n"/>
      <c r="T40" s="1051" t="n"/>
      <c r="W40" s="1051" t="n"/>
      <c r="Z40" s="1011" t="n"/>
      <c r="AA40" s="1011" t="n"/>
      <c r="AB40" s="1011" t="n"/>
      <c r="AC40" s="1011" t="n"/>
      <c r="AD40" s="1011" t="n"/>
      <c r="AE40" s="1011" t="n"/>
      <c r="AF40" s="995" t="n"/>
      <c r="AG40" s="995" t="n"/>
      <c r="AH40" s="995" t="n"/>
      <c r="AI40" s="995" t="n"/>
      <c r="AJ40" s="995" t="n"/>
      <c r="AK40" s="995"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99" t="inlineStr">
        <is>
          <t>执行的程序</t>
        </is>
      </c>
      <c r="E8" s="900" t="n"/>
      <c r="F8" s="901"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902" t="inlineStr">
        <is>
          <t>从管理层处取得本期信用减值损失账户的明细。</t>
        </is>
      </c>
      <c r="E9" s="900" t="n"/>
      <c r="F9" s="901"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9.1" customHeight="1">
      <c r="A10" s="660" t="n"/>
      <c r="C10" s="515" t="n">
        <v>2</v>
      </c>
      <c r="D10" s="902"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35" customHeight="1">
      <c r="A11" s="660" t="n"/>
      <c r="C11" s="515" t="n">
        <v>3</v>
      </c>
      <c r="D11" s="902" t="inlineStr">
        <is>
          <t>将明细账与管理层报表进行核对，并对差异大于SAD的项目进行调查。</t>
        </is>
      </c>
      <c r="E11" s="900" t="n"/>
      <c r="F11" s="901"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5.95" customHeight="1">
      <c r="A12" s="660" t="n"/>
      <c r="C12" s="515" t="n">
        <v>4</v>
      </c>
      <c r="D12" s="948" t="inlineStr">
        <is>
          <t>对于单项重大的损失，需要获取该单项损失的组成明细，需要获取支持性文件如合同等，在必要时进行费用测试。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902" t="inlineStr">
        <is>
          <t>调查任何异常交易，并基于综合风险评估和已确定的测试临界值测试交易。</t>
        </is>
      </c>
      <c r="E13" s="900" t="n"/>
      <c r="F13" s="901"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82.5" customHeight="1">
      <c r="A14" s="660" t="n"/>
      <c r="C14" s="515" t="n">
        <v>6</v>
      </c>
      <c r="D14" s="902" t="inlineStr">
        <is>
          <t>将费用科目中存在着勾稽关系的费用类型，同相应的其他科目金额进行核对X-ref</t>
        </is>
      </c>
      <c r="E14" s="900" t="n"/>
      <c r="F14" s="901"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90" t="n"/>
      <c r="C34" s="992" t="n"/>
      <c r="D34" s="761" t="n"/>
      <c r="E34" s="993" t="n"/>
      <c r="F34" s="993" t="n"/>
      <c r="G34" s="993" t="n"/>
      <c r="H34" s="993" t="n"/>
      <c r="I34" s="994" t="n"/>
      <c r="J34" s="765" t="n"/>
      <c r="K34" s="765" t="n"/>
      <c r="L34" s="994" t="n"/>
      <c r="M34" s="994" t="n"/>
      <c r="N34" s="994" t="n"/>
      <c r="O34" s="976"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S35" s="19" t="n"/>
      <c r="T35" s="990"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S37" s="990"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1045" t="n"/>
      <c r="C38" s="990" t="n"/>
      <c r="D38" s="997" t="n"/>
      <c r="F38" s="1002" t="n"/>
      <c r="G38" s="997" t="n"/>
      <c r="H38" s="1001" t="inlineStr">
        <is>
          <t>Diff</t>
        </is>
      </c>
      <c r="I38" s="1002">
        <f>I35-I37</f>
        <v/>
      </c>
      <c r="J38" s="189" t="n"/>
      <c r="K38" s="984" t="n"/>
      <c r="M38" s="1002">
        <f>M35-M37</f>
        <v/>
      </c>
      <c r="N38" s="1002">
        <f>N35-N37</f>
        <v/>
      </c>
      <c r="O38" s="984" t="n"/>
      <c r="P38" s="182" t="n"/>
      <c r="Q38" s="182" t="n"/>
      <c r="R38" s="182" t="n"/>
      <c r="S38" s="182" t="n"/>
      <c r="T38" s="999" t="n"/>
      <c r="U38" s="990" t="n"/>
      <c r="V38" s="990" t="n"/>
      <c r="W38" s="990"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90">
      <c r="A39" s="991" t="n"/>
      <c r="B39" s="990" t="n"/>
      <c r="C39" s="931" t="n"/>
      <c r="D39" s="997" t="n"/>
      <c r="E39" s="997" t="n"/>
      <c r="F39" s="137" t="n"/>
      <c r="G39" s="997" t="n"/>
      <c r="H39" s="997" t="n"/>
      <c r="I39" s="998" t="n"/>
      <c r="J39" s="265" t="n"/>
      <c r="K39" s="265" t="n"/>
      <c r="L39" s="984" t="n"/>
      <c r="M39" s="998" t="n"/>
      <c r="N39" s="998" t="n"/>
      <c r="O39" s="998" t="n"/>
      <c r="P39" s="998" t="n"/>
      <c r="Q39" s="998" t="n"/>
      <c r="R39" s="265" t="n"/>
      <c r="S39" s="265" t="n"/>
      <c r="T39" s="998" t="n"/>
      <c r="U39" s="998" t="n"/>
      <c r="V39" s="998" t="n"/>
      <c r="W39" s="998" t="n"/>
      <c r="X39" s="998" t="n"/>
      <c r="Y39" s="998" t="n"/>
      <c r="Z39" s="984" t="n"/>
      <c r="AA39" s="266" t="n"/>
      <c r="AB39" s="999"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7">
      <c r="A40" s="1052" t="n"/>
      <c r="G40" s="1050" t="n"/>
      <c r="J40" s="1050" t="n"/>
      <c r="K40" s="1050" t="n"/>
      <c r="L40" s="1050" t="n"/>
      <c r="N40" s="1051" t="n"/>
      <c r="O40" s="1051" t="n"/>
      <c r="P40" s="1051" t="n"/>
      <c r="Q40" s="1051" t="n"/>
      <c r="T40" s="1051" t="n"/>
      <c r="U40" s="1051" t="n"/>
      <c r="V40" s="1051" t="n"/>
      <c r="W40" s="1051" t="n"/>
      <c r="X40" s="1051" t="n"/>
      <c r="Y40" s="1051" t="n"/>
      <c r="AB40" s="1051" t="n"/>
      <c r="AE40" s="1011" t="n"/>
      <c r="AF40" s="1011" t="n"/>
      <c r="AG40" s="1011" t="n"/>
      <c r="AH40" s="1011" t="n"/>
      <c r="AI40" s="1011" t="n"/>
      <c r="AJ40" s="1011" t="n"/>
      <c r="AK40" s="995" t="n"/>
      <c r="AL40" s="995" t="n"/>
      <c r="AM40" s="995" t="n"/>
      <c r="AN40" s="995" t="n"/>
      <c r="AO40" s="995" t="n"/>
      <c r="AP40" s="995"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3"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4"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5" t="n"/>
      <c r="D44" s="1056" t="inlineStr">
        <is>
          <t>应收票据坏账损失</t>
        </is>
      </c>
      <c r="E44" s="934"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7" t="n"/>
      <c r="D45" s="1007" t="inlineStr">
        <is>
          <t>应收账款坏账损失</t>
        </is>
      </c>
      <c r="E45" s="934"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7" t="n"/>
      <c r="D46" s="1007" t="inlineStr">
        <is>
          <t>其他应收款坏账损失</t>
        </is>
      </c>
      <c r="E46" s="934"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7" t="n"/>
      <c r="D47" s="1007" t="inlineStr">
        <is>
          <t>债权投资减值损失</t>
        </is>
      </c>
      <c r="E47" s="934"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7" t="n"/>
      <c r="D48" s="1007" t="inlineStr">
        <is>
          <t>其他债权投资减值损失</t>
        </is>
      </c>
      <c r="E48" s="934"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7" t="n"/>
      <c r="D49" s="1007" t="inlineStr">
        <is>
          <t>财务担保合同减值损失</t>
        </is>
      </c>
      <c r="E49" s="934"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7" t="n"/>
      <c r="D50" s="272" t="inlineStr">
        <is>
          <t>长期应收款坏账损失</t>
        </is>
      </c>
      <c r="E50" s="934"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7" t="n"/>
      <c r="D51" s="1007" t="inlineStr">
        <is>
          <t>其他</t>
        </is>
      </c>
      <c r="E51" s="934"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7" t="n"/>
      <c r="D52" s="1007" t="inlineStr">
        <is>
          <t>差异</t>
        </is>
      </c>
      <c r="E52" s="1058">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7"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5"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6" t="n"/>
      <c r="D57" s="937" t="n"/>
      <c r="E57" s="937" t="n"/>
      <c r="F57" s="937" t="n"/>
      <c r="G57" s="938"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40" t="n"/>
      <c r="D58" s="941" t="n"/>
      <c r="E58" s="941" t="n"/>
      <c r="F58" s="941" t="n"/>
      <c r="G58" s="942"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3" t="n"/>
      <c r="D59" s="944" t="n"/>
      <c r="E59" s="944" t="n"/>
      <c r="F59" s="944" t="n"/>
      <c r="G59" s="945"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从管理层处取得本期资产减值损失账户的明细。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5.5" customHeight="1">
      <c r="A12" s="660" t="n"/>
      <c r="C12" s="515" t="n">
        <v>4</v>
      </c>
      <c r="D12" s="948" t="inlineStr">
        <is>
          <t>对于单项重大的减值损失，需要获取该单项费用的组成明细，需要获取支持性文件如合同等，在必要时进行费用测试。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Q40" s="1051" t="n"/>
      <c r="R40" s="1051" t="n"/>
      <c r="U40" s="1051" t="n"/>
      <c r="V40" s="1051" t="n"/>
      <c r="Y40" s="1051" t="n"/>
      <c r="AB40" s="1011" t="n"/>
      <c r="AC40" s="1011" t="n"/>
      <c r="AD40" s="1011" t="n"/>
      <c r="AE40" s="1011" t="n"/>
      <c r="AF40" s="1011" t="n"/>
      <c r="AG40" s="1011" t="n"/>
      <c r="AH40" s="995" t="n"/>
      <c r="AI40" s="995" t="n"/>
      <c r="AJ40" s="995" t="n"/>
      <c r="AK40" s="995" t="n"/>
      <c r="AL40" s="995" t="n"/>
      <c r="AM40" s="995" t="n"/>
    </row>
    <row r="41" ht="12.6" customFormat="1" customHeight="1" s="990" thickBot="1">
      <c r="A41" s="1040" t="n"/>
      <c r="B41" s="990" t="n"/>
      <c r="C41" s="931" t="n"/>
      <c r="D41" s="997" t="n"/>
      <c r="E41" s="997" t="n"/>
      <c r="F41" s="265" t="n"/>
      <c r="G41" s="997" t="n"/>
      <c r="H41" s="997" t="n"/>
      <c r="I41" s="998" t="n"/>
      <c r="J41" s="265" t="n"/>
      <c r="K41" s="265" t="n"/>
      <c r="L41" s="984" t="n"/>
      <c r="M41" s="998" t="n"/>
      <c r="N41" s="998" t="n"/>
      <c r="O41" s="998" t="n"/>
      <c r="P41" s="998" t="n"/>
      <c r="Q41" s="998" t="n"/>
      <c r="R41" s="265" t="n"/>
      <c r="S41" s="265" t="n"/>
      <c r="T41" s="998" t="n"/>
      <c r="U41" s="998" t="n"/>
      <c r="V41" s="998" t="n"/>
      <c r="W41" s="998" t="n"/>
      <c r="X41" s="998" t="n"/>
      <c r="Y41" s="998" t="n"/>
      <c r="Z41" s="984" t="n"/>
      <c r="AA41" s="266" t="n"/>
      <c r="AB41" s="999"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90">
      <c r="A42" s="991" t="n"/>
      <c r="B42" s="990" t="n"/>
      <c r="C42" s="635" t="inlineStr">
        <is>
          <t>与资产负债表核对如下：</t>
        </is>
      </c>
      <c r="D42" s="636" t="n"/>
      <c r="E42" s="636" t="n"/>
      <c r="F42" s="637" t="n"/>
      <c r="G42" s="637" t="n"/>
      <c r="H42" s="1059" t="n"/>
      <c r="I42" s="1060" t="n"/>
      <c r="J42" s="1007" t="n"/>
      <c r="K42" s="265" t="n"/>
      <c r="L42" s="265" t="n"/>
      <c r="M42" s="984" t="n"/>
      <c r="N42" s="998" t="n"/>
      <c r="O42" s="998" t="n"/>
      <c r="P42" s="998" t="n"/>
      <c r="Q42" s="998" t="n"/>
      <c r="R42" s="998" t="n"/>
      <c r="S42" s="265" t="n"/>
      <c r="T42" s="265" t="n"/>
      <c r="U42" s="998" t="n"/>
      <c r="V42" s="998" t="n"/>
      <c r="W42" s="998" t="n"/>
      <c r="X42" s="998" t="n"/>
      <c r="Y42" s="998" t="n"/>
      <c r="Z42" s="998" t="n"/>
      <c r="AA42" s="984" t="n"/>
      <c r="AB42" s="266" t="n"/>
      <c r="AC42" s="999"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90">
      <c r="A43" s="991" t="n"/>
      <c r="B43" s="990" t="n"/>
      <c r="C43" s="286" t="inlineStr">
        <is>
          <t>交叉索引</t>
        </is>
      </c>
      <c r="D43" s="287" t="inlineStr">
        <is>
          <t>账套名称/账套编码</t>
        </is>
      </c>
      <c r="E43" s="287" t="inlineStr">
        <is>
          <t>科目编码</t>
        </is>
      </c>
      <c r="F43" s="287" t="inlineStr">
        <is>
          <t>科目名称</t>
        </is>
      </c>
      <c r="G43" s="640" t="inlineStr">
        <is>
          <t>本年变动金额</t>
        </is>
      </c>
      <c r="H43" s="997" t="n"/>
      <c r="I43" s="1061" t="n"/>
      <c r="J43" s="1007" t="n"/>
      <c r="K43" s="265" t="n"/>
      <c r="L43" s="265" t="n"/>
      <c r="M43" s="984" t="n"/>
      <c r="N43" s="998" t="n"/>
      <c r="O43" s="998" t="n"/>
      <c r="P43" s="998" t="n"/>
      <c r="Q43" s="998" t="n"/>
      <c r="R43" s="998" t="n"/>
      <c r="S43" s="265" t="n"/>
      <c r="T43" s="265" t="n"/>
      <c r="U43" s="998" t="n"/>
      <c r="V43" s="998" t="n"/>
      <c r="W43" s="998" t="n"/>
      <c r="X43" s="998" t="n"/>
      <c r="Y43" s="998" t="n"/>
      <c r="Z43" s="998" t="n"/>
      <c r="AA43" s="984" t="n"/>
      <c r="AB43" s="266" t="n"/>
      <c r="AC43" s="999"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90">
      <c r="A44" s="991" t="n"/>
      <c r="B44" s="990" t="n"/>
      <c r="C44" s="289" t="n"/>
      <c r="D44" s="290" t="n"/>
      <c r="E44" s="290" t="n"/>
      <c r="F44" s="9" t="inlineStr">
        <is>
          <t>固定资产减值准备本年变动额</t>
        </is>
      </c>
      <c r="G44" s="1062" t="n"/>
      <c r="H44" s="997" t="n"/>
      <c r="I44" s="1061" t="n"/>
      <c r="J44" s="1007" t="n"/>
      <c r="K44" s="265" t="n"/>
      <c r="L44" s="265" t="n"/>
      <c r="M44" s="984" t="n"/>
      <c r="N44" s="998" t="n"/>
      <c r="O44" s="998" t="n"/>
      <c r="P44" s="998" t="n"/>
      <c r="Q44" s="998" t="n"/>
      <c r="R44" s="998" t="n"/>
      <c r="S44" s="265" t="n"/>
      <c r="T44" s="265" t="n"/>
      <c r="U44" s="998" t="n"/>
      <c r="V44" s="998" t="n"/>
      <c r="W44" s="998" t="n"/>
      <c r="X44" s="998" t="n"/>
      <c r="Y44" s="998" t="n"/>
      <c r="Z44" s="998" t="n"/>
      <c r="AA44" s="984" t="n"/>
      <c r="AB44" s="266" t="n"/>
      <c r="AC44" s="999"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90">
      <c r="A45" s="991" t="n"/>
      <c r="B45" s="990" t="n"/>
      <c r="C45" s="292" t="n"/>
      <c r="D45" s="293" t="n"/>
      <c r="E45" s="293" t="n"/>
      <c r="F45" s="294" t="inlineStr">
        <is>
          <t>无形资产减值准备本年变动额</t>
        </is>
      </c>
      <c r="G45" s="1062" t="n"/>
      <c r="H45" s="997" t="n"/>
      <c r="I45" s="1061" t="n"/>
      <c r="J45" s="295" t="n"/>
      <c r="K45" s="265" t="n"/>
      <c r="L45" s="265" t="n"/>
      <c r="M45" s="984" t="n"/>
      <c r="N45" s="998" t="n"/>
      <c r="O45" s="998" t="n"/>
      <c r="P45" s="998" t="n"/>
      <c r="Q45" s="998" t="n"/>
      <c r="R45" s="998" t="n"/>
      <c r="S45" s="265" t="n"/>
      <c r="T45" s="265" t="n"/>
      <c r="U45" s="998" t="n"/>
      <c r="V45" s="998" t="n"/>
      <c r="W45" s="998" t="n"/>
      <c r="X45" s="998" t="n"/>
      <c r="Y45" s="998" t="n"/>
      <c r="Z45" s="998" t="n"/>
      <c r="AA45" s="984" t="n"/>
      <c r="AB45" s="266" t="n"/>
      <c r="AC45" s="999"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90">
      <c r="A46" s="991" t="n"/>
      <c r="B46" s="990" t="n"/>
      <c r="C46" s="292" t="n"/>
      <c r="D46" s="293" t="n"/>
      <c r="E46" s="293" t="n"/>
      <c r="F46" s="294" t="inlineStr">
        <is>
          <t>在建工程减值准备本年变动额</t>
        </is>
      </c>
      <c r="G46" s="1062" t="n"/>
      <c r="H46" s="997" t="n"/>
      <c r="I46" s="1061" t="n"/>
      <c r="J46" s="295" t="n"/>
      <c r="K46" s="265" t="n"/>
      <c r="L46" s="265" t="n"/>
      <c r="M46" s="984" t="n"/>
      <c r="N46" s="998" t="n"/>
      <c r="O46" s="998" t="n"/>
      <c r="P46" s="998" t="n"/>
      <c r="Q46" s="998" t="n"/>
      <c r="R46" s="998" t="n"/>
      <c r="S46" s="265" t="n"/>
      <c r="T46" s="265" t="n"/>
      <c r="U46" s="998" t="n"/>
      <c r="V46" s="998" t="n"/>
      <c r="W46" s="998" t="n"/>
      <c r="X46" s="998" t="n"/>
      <c r="Y46" s="998" t="n"/>
      <c r="Z46" s="998" t="n"/>
      <c r="AA46" s="984" t="n"/>
      <c r="AB46" s="266" t="n"/>
      <c r="AC46" s="999"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90">
      <c r="A47" s="1041" t="n"/>
      <c r="B47" s="990" t="n"/>
      <c r="C47" s="292" t="n"/>
      <c r="D47" s="293" t="n"/>
      <c r="E47" s="293" t="n"/>
      <c r="F47" s="294" t="inlineStr">
        <is>
          <t>投资性房地产减值准备本年变动额</t>
        </is>
      </c>
      <c r="G47" s="1062" t="n"/>
      <c r="H47" s="997" t="n"/>
      <c r="I47" s="1061" t="n"/>
      <c r="J47" s="295" t="n"/>
      <c r="K47" s="265" t="n"/>
      <c r="L47" s="265" t="n"/>
      <c r="M47" s="984" t="n"/>
      <c r="N47" s="998" t="n"/>
      <c r="O47" s="998" t="n"/>
      <c r="P47" s="998" t="n"/>
      <c r="Q47" s="998" t="n"/>
      <c r="R47" s="998" t="n"/>
      <c r="S47" s="265" t="n"/>
      <c r="T47" s="265" t="n"/>
      <c r="U47" s="998" t="n"/>
      <c r="V47" s="998" t="n"/>
      <c r="W47" s="998" t="n"/>
      <c r="X47" s="998" t="n"/>
      <c r="Y47" s="998" t="n"/>
      <c r="Z47" s="998" t="n"/>
      <c r="AA47" s="984" t="n"/>
      <c r="AB47" s="266" t="n"/>
      <c r="AC47" s="999"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90">
      <c r="A48" s="1041" t="n"/>
      <c r="B48" s="990" t="n"/>
      <c r="C48" s="292" t="n"/>
      <c r="D48" s="293" t="n"/>
      <c r="E48" s="293" t="n"/>
      <c r="F48" s="294" t="inlineStr">
        <is>
          <t>长期股权投资减值准备本年变动额</t>
        </is>
      </c>
      <c r="G48" s="1062" t="n"/>
      <c r="H48" s="997" t="n"/>
      <c r="I48" s="1061" t="n"/>
      <c r="J48" s="19" t="n"/>
      <c r="K48" s="265" t="n"/>
      <c r="L48" s="265" t="n"/>
      <c r="M48" s="984" t="n"/>
      <c r="N48" s="998" t="n"/>
      <c r="O48" s="998" t="n"/>
      <c r="P48" s="998" t="n"/>
      <c r="Q48" s="998" t="n"/>
      <c r="R48" s="998" t="n"/>
      <c r="S48" s="265" t="n"/>
      <c r="T48" s="265" t="n"/>
      <c r="U48" s="998" t="n"/>
      <c r="V48" s="998" t="n"/>
      <c r="W48" s="998" t="n"/>
      <c r="X48" s="998" t="n"/>
      <c r="Y48" s="998" t="n"/>
      <c r="Z48" s="998" t="n"/>
      <c r="AA48" s="984" t="n"/>
      <c r="AB48" s="266" t="n"/>
      <c r="AC48" s="999"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90">
      <c r="A49" s="1041" t="n"/>
      <c r="B49" s="990" t="n"/>
      <c r="C49" s="289" t="n"/>
      <c r="D49" s="290" t="n"/>
      <c r="E49" s="290" t="n"/>
      <c r="F49" s="296" t="inlineStr">
        <is>
          <t>【其他-可加行】</t>
        </is>
      </c>
      <c r="G49" s="1062" t="n"/>
      <c r="H49" s="997" t="n"/>
      <c r="I49" s="1061" t="n"/>
      <c r="J49" s="19" t="n"/>
      <c r="K49" s="265" t="n"/>
      <c r="L49" s="265" t="n"/>
      <c r="M49" s="984" t="n"/>
      <c r="N49" s="998" t="n"/>
      <c r="O49" s="998" t="n"/>
      <c r="P49" s="998" t="n"/>
      <c r="Q49" s="998" t="n"/>
      <c r="R49" s="998" t="n"/>
      <c r="S49" s="265" t="n"/>
      <c r="T49" s="265" t="n"/>
      <c r="U49" s="998" t="n"/>
      <c r="V49" s="998" t="n"/>
      <c r="W49" s="998" t="n"/>
      <c r="X49" s="998" t="n"/>
      <c r="Y49" s="998" t="n"/>
      <c r="Z49" s="998" t="n"/>
      <c r="AA49" s="984" t="n"/>
      <c r="AB49" s="266" t="n"/>
      <c r="AC49" s="999"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90">
      <c r="A50" s="1041" t="n"/>
      <c r="B50" s="990" t="n"/>
      <c r="C50" s="292" t="n"/>
      <c r="D50" s="293" t="n"/>
      <c r="E50" s="293" t="n"/>
      <c r="F50" s="294" t="inlineStr">
        <is>
          <t>资产负债表科目金额小计</t>
        </is>
      </c>
      <c r="G50" s="1063">
        <f>SUM(G44:G49)</f>
        <v/>
      </c>
      <c r="H50" s="997" t="n"/>
      <c r="I50" s="1061" t="n"/>
      <c r="J50" s="19" t="n"/>
      <c r="K50" s="265" t="n"/>
      <c r="L50" s="265" t="n"/>
      <c r="M50" s="984" t="n"/>
      <c r="N50" s="998" t="n"/>
      <c r="O50" s="998" t="n"/>
      <c r="P50" s="998" t="n"/>
      <c r="Q50" s="998" t="n"/>
      <c r="R50" s="998" t="n"/>
      <c r="S50" s="265" t="n"/>
      <c r="T50" s="265" t="n"/>
      <c r="U50" s="998" t="n"/>
      <c r="V50" s="998" t="n"/>
      <c r="W50" s="998" t="n"/>
      <c r="X50" s="998" t="n"/>
      <c r="Y50" s="998" t="n"/>
      <c r="Z50" s="998" t="n"/>
      <c r="AA50" s="984" t="n"/>
      <c r="AB50" s="266" t="n"/>
      <c r="AC50" s="999"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90">
      <c r="A51" s="1041" t="n"/>
      <c r="B51" s="990" t="n"/>
      <c r="C51" s="292" t="n"/>
      <c r="D51" s="293" t="n"/>
      <c r="E51" s="293" t="n"/>
      <c r="F51" s="294" t="inlineStr">
        <is>
          <t>利润表资产减值损失金额</t>
        </is>
      </c>
      <c r="G51" s="1064">
        <f>$I$36</f>
        <v/>
      </c>
      <c r="H51" s="997" t="n"/>
      <c r="I51" s="1061" t="n"/>
      <c r="J51" s="19" t="n"/>
      <c r="K51" s="265" t="n"/>
      <c r="L51" s="265" t="n"/>
      <c r="M51" s="984" t="n"/>
      <c r="N51" s="998" t="n"/>
      <c r="O51" s="998" t="n"/>
      <c r="P51" s="998" t="n"/>
      <c r="Q51" s="998" t="n"/>
      <c r="R51" s="998" t="n"/>
      <c r="S51" s="265" t="n"/>
      <c r="T51" s="265" t="n"/>
      <c r="U51" s="998" t="n"/>
      <c r="V51" s="998" t="n"/>
      <c r="W51" s="998" t="n"/>
      <c r="X51" s="998" t="n"/>
      <c r="Y51" s="998" t="n"/>
      <c r="Z51" s="998" t="n"/>
      <c r="AA51" s="984" t="n"/>
      <c r="AB51" s="266" t="n"/>
      <c r="AC51" s="999"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90">
      <c r="A52" s="1041" t="n"/>
      <c r="B52" s="990" t="n"/>
      <c r="C52" s="292" t="n"/>
      <c r="D52" s="293" t="n"/>
      <c r="E52" s="293" t="n"/>
      <c r="F52" s="294" t="n"/>
      <c r="G52" s="1064" t="n"/>
      <c r="H52" s="997" t="n"/>
      <c r="I52" s="1061" t="n"/>
      <c r="J52" s="19" t="n"/>
      <c r="K52" s="265" t="n"/>
      <c r="L52" s="265" t="n"/>
      <c r="M52" s="984" t="n"/>
      <c r="N52" s="998" t="n"/>
      <c r="O52" s="998" t="n"/>
      <c r="P52" s="998" t="n"/>
      <c r="Q52" s="998" t="n"/>
      <c r="R52" s="998" t="n"/>
      <c r="S52" s="265" t="n"/>
      <c r="T52" s="265" t="n"/>
      <c r="U52" s="998" t="n"/>
      <c r="V52" s="998" t="n"/>
      <c r="W52" s="998" t="n"/>
      <c r="X52" s="998" t="n"/>
      <c r="Y52" s="998" t="n"/>
      <c r="Z52" s="998" t="n"/>
      <c r="AA52" s="984" t="n"/>
      <c r="AB52" s="266" t="n"/>
      <c r="AC52" s="999"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90" thickBot="1">
      <c r="A53" s="1041" t="n"/>
      <c r="B53" s="990" t="n"/>
      <c r="C53" s="292" t="n"/>
      <c r="D53" s="293" t="n"/>
      <c r="E53" s="293" t="n"/>
      <c r="F53" s="294" t="inlineStr">
        <is>
          <t>差异</t>
        </is>
      </c>
      <c r="G53" s="1065">
        <f>G50-G51</f>
        <v/>
      </c>
      <c r="H53" s="997" t="n"/>
      <c r="I53" s="1061" t="n"/>
      <c r="J53" s="19" t="n"/>
      <c r="K53" s="265" t="n"/>
      <c r="L53" s="265" t="n"/>
      <c r="M53" s="984" t="n"/>
      <c r="N53" s="998" t="n"/>
      <c r="O53" s="998" t="n"/>
      <c r="P53" s="998" t="n"/>
      <c r="Q53" s="998" t="n"/>
      <c r="R53" s="998" t="n"/>
      <c r="S53" s="265" t="n"/>
      <c r="T53" s="265" t="n"/>
      <c r="U53" s="998" t="n"/>
      <c r="V53" s="998" t="n"/>
      <c r="W53" s="998" t="n"/>
      <c r="X53" s="998" t="n"/>
      <c r="Y53" s="998" t="n"/>
      <c r="Z53" s="998" t="n"/>
      <c r="AA53" s="984" t="n"/>
      <c r="AB53" s="266" t="n"/>
      <c r="AC53" s="999"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90" thickTop="1">
      <c r="A54" s="1041" t="n"/>
      <c r="B54" s="990" t="n"/>
      <c r="C54" s="292" t="n"/>
      <c r="D54" s="293" t="n"/>
      <c r="E54" s="293" t="n"/>
      <c r="F54" s="294" t="n"/>
      <c r="G54" s="300" t="n"/>
      <c r="H54" s="997" t="n"/>
      <c r="I54" s="1061" t="n"/>
      <c r="J54" s="19" t="n"/>
      <c r="K54" s="265" t="n"/>
      <c r="L54" s="265" t="n"/>
      <c r="M54" s="984" t="n"/>
      <c r="N54" s="998" t="n"/>
      <c r="O54" s="998" t="n"/>
      <c r="P54" s="998" t="n"/>
      <c r="Q54" s="998" t="n"/>
      <c r="R54" s="998" t="n"/>
      <c r="S54" s="265" t="n"/>
      <c r="T54" s="265" t="n"/>
      <c r="U54" s="998" t="n"/>
      <c r="V54" s="998" t="n"/>
      <c r="W54" s="998" t="n"/>
      <c r="X54" s="998" t="n"/>
      <c r="Y54" s="998" t="n"/>
      <c r="Z54" s="998" t="n"/>
      <c r="AA54" s="984" t="n"/>
      <c r="AB54" s="266" t="n"/>
      <c r="AC54" s="999"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90" thickBot="1">
      <c r="A55" s="991" t="n"/>
      <c r="B55" s="990" t="n"/>
      <c r="C55" s="1066" t="n"/>
      <c r="D55" s="1067" t="n"/>
      <c r="E55" s="1067" t="n"/>
      <c r="F55" s="1067" t="n"/>
      <c r="G55" s="641" t="n"/>
      <c r="H55" s="1067" t="n"/>
      <c r="I55" s="1068" t="n"/>
      <c r="J55" s="19" t="n"/>
      <c r="K55" s="265" t="n"/>
      <c r="L55" s="265" t="n"/>
      <c r="M55" s="984" t="n"/>
      <c r="N55" s="998" t="n"/>
      <c r="O55" s="998" t="n"/>
      <c r="P55" s="998" t="n"/>
      <c r="Q55" s="998" t="n"/>
      <c r="R55" s="998" t="n"/>
      <c r="S55" s="265" t="n"/>
      <c r="T55" s="265" t="n"/>
      <c r="U55" s="998" t="n"/>
      <c r="V55" s="998" t="n"/>
      <c r="W55" s="998" t="n"/>
      <c r="X55" s="998" t="n"/>
      <c r="Y55" s="998" t="n"/>
      <c r="Z55" s="998" t="n"/>
      <c r="AA55" s="984" t="n"/>
      <c r="AB55" s="266" t="n"/>
      <c r="AC55" s="999"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7">
      <c r="A56" s="1008" t="n"/>
      <c r="G56" s="1050" t="n"/>
      <c r="H56" s="19" t="n"/>
      <c r="J56" s="1050" t="n"/>
      <c r="K56" s="1050" t="n"/>
      <c r="L56" s="1050" t="n"/>
      <c r="N56" s="1051" t="n"/>
      <c r="O56" s="1051" t="n"/>
      <c r="P56" s="1051" t="n"/>
      <c r="Q56" s="1051" t="n"/>
      <c r="T56" s="1051" t="n"/>
      <c r="U56" s="1051" t="n"/>
      <c r="V56" s="1051" t="n"/>
      <c r="W56" s="1051" t="n"/>
      <c r="X56" s="1051" t="n"/>
      <c r="Y56" s="1051" t="n"/>
      <c r="AB56" s="1051" t="n"/>
      <c r="AE56" s="1011" t="n"/>
      <c r="AF56" s="1011" t="n"/>
      <c r="AG56" s="1011" t="n"/>
      <c r="AH56" s="1011" t="n"/>
      <c r="AI56" s="1011" t="n"/>
      <c r="AJ56" s="1011" t="n"/>
      <c r="AK56" s="995" t="n"/>
      <c r="AL56" s="995" t="n"/>
      <c r="AM56" s="995" t="n"/>
      <c r="AN56" s="995" t="n"/>
      <c r="AO56" s="995" t="n"/>
      <c r="AP56" s="995"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5"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6" t="n"/>
      <c r="D60" s="937" t="n"/>
      <c r="E60" s="937" t="n"/>
      <c r="F60" s="937" t="n"/>
      <c r="G60" s="938"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40" t="n"/>
      <c r="D61" s="941" t="n"/>
      <c r="E61" s="941" t="n"/>
      <c r="F61" s="941" t="n"/>
      <c r="G61" s="942"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3" t="n"/>
      <c r="D62" s="944" t="n"/>
      <c r="E62" s="944" t="n"/>
      <c r="F62" s="944" t="n"/>
      <c r="G62" s="945"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从管理层处取得本期资产处置损益账户的明细。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93.59999999999999" customHeight="1">
      <c r="A12" s="660" t="n"/>
      <c r="C12" s="515" t="n">
        <v>4</v>
      </c>
      <c r="D12" s="948" t="inlineStr">
        <is>
          <t>对于单项重大的资产处置损益，需要获取该单项费用的组成明细，需要获取支持性文件如合同等，在必要时进行费用测试。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182" t="n"/>
      <c r="S39" s="182" t="n"/>
      <c r="T39" s="999" t="n"/>
      <c r="U39" s="990" t="n"/>
      <c r="V39" s="990" t="n"/>
      <c r="W39" s="990"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9" thickBot="1">
      <c r="A40" s="1070" t="n"/>
      <c r="C40" s="931" t="n"/>
      <c r="D40" s="1069" t="n"/>
      <c r="E40" s="1069" t="n"/>
      <c r="F40" s="1069" t="n"/>
      <c r="G40" s="1069" t="n"/>
      <c r="H40" s="1071" t="n"/>
      <c r="I40" s="1069" t="n"/>
      <c r="J40" s="1069" t="n"/>
      <c r="K40" s="1071" t="n"/>
      <c r="L40" s="1071" t="n"/>
      <c r="M40" s="1071" t="n"/>
      <c r="N40" s="1069" t="n"/>
      <c r="O40" s="1072" t="n"/>
      <c r="P40" s="1072" t="n"/>
      <c r="Q40" s="1072" t="n"/>
      <c r="R40" s="1072" t="n"/>
      <c r="S40" s="1069" t="n"/>
      <c r="T40" s="1069" t="n"/>
      <c r="U40" s="1072" t="n"/>
      <c r="V40" s="1072" t="n"/>
      <c r="W40" s="1072" t="n"/>
      <c r="X40" s="1072" t="n"/>
      <c r="Y40" s="1072" t="n"/>
      <c r="Z40" s="1072" t="n"/>
      <c r="AA40" s="1069" t="n"/>
      <c r="AC40" s="1072" t="n"/>
      <c r="AF40" s="1073" t="n"/>
      <c r="AG40" s="1073" t="n"/>
      <c r="AH40" s="1073" t="n"/>
      <c r="AI40" s="1073" t="n"/>
      <c r="AJ40" s="1073" t="n"/>
      <c r="AK40" s="1073" t="n"/>
      <c r="AL40" s="1074" t="n"/>
      <c r="AM40" s="1074" t="n"/>
      <c r="AN40" s="1074" t="n"/>
      <c r="AO40" s="1074" t="n"/>
      <c r="AP40" s="1074" t="n"/>
      <c r="AQ40" s="107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5"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5"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5"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6"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5">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5">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5"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7">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8"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9"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9"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5"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6" t="n"/>
      <c r="D56" s="937" t="n"/>
      <c r="E56" s="937" t="n"/>
      <c r="F56" s="937" t="n"/>
      <c r="G56" s="938"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40" t="n"/>
      <c r="D57" s="941" t="n"/>
      <c r="E57" s="941" t="n"/>
      <c r="F57" s="941" t="n"/>
      <c r="G57" s="942"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3" t="n"/>
      <c r="D58" s="944" t="n"/>
      <c r="E58" s="944" t="n"/>
      <c r="F58" s="944" t="n"/>
      <c r="G58" s="945"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7"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DE6" s="987" t="n"/>
      <c r="DK6" s="987" t="n"/>
      <c r="DL6" s="6" t="n"/>
      <c r="DM6" s="6" t="n"/>
      <c r="DN6" s="6" t="n"/>
      <c r="DO6" s="6" t="n"/>
      <c r="DP6" s="6" t="n"/>
      <c r="DQ6" s="987" t="n"/>
      <c r="DR6" s="987" t="n"/>
      <c r="DS6" s="987"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7" t="n"/>
      <c r="CV7" s="987" t="n"/>
      <c r="DE7" s="987" t="n"/>
      <c r="DK7" s="987" t="n"/>
      <c r="DL7" s="6" t="n"/>
      <c r="DM7" s="6" t="n"/>
      <c r="DN7" s="6" t="n"/>
      <c r="DO7" s="6" t="n"/>
      <c r="DP7" s="6" t="n"/>
      <c r="DQ7" s="987" t="n"/>
      <c r="DR7" s="987" t="n"/>
      <c r="DS7" s="987" t="n"/>
      <c r="DT7" s="155" t="n"/>
      <c r="DU7" s="6" t="n"/>
      <c r="DV7" s="6" t="n"/>
      <c r="DW7" s="19" t="n"/>
      <c r="DX7" s="19" t="n"/>
      <c r="DY7" s="19"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7" t="n"/>
      <c r="DN8" s="987" t="n"/>
      <c r="DO8" s="987" t="n"/>
      <c r="DP8" s="987" t="n"/>
      <c r="DQ8" s="987"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8" t="n"/>
      <c r="F9" s="989" t="n"/>
      <c r="G9" s="560" t="inlineStr">
        <is>
          <t>表1</t>
        </is>
      </c>
      <c r="H9" s="903" t="inlineStr">
        <is>
          <t>是</t>
        </is>
      </c>
      <c r="I9" s="904" t="n"/>
      <c r="J9" s="516" t="n"/>
      <c r="K9" s="158" t="n"/>
      <c r="L9" s="158" t="n"/>
      <c r="M9" s="160" t="n"/>
      <c r="N9" s="160" t="n"/>
      <c r="O9" s="160" t="n"/>
      <c r="CV9" s="987" t="n"/>
      <c r="CW9" s="7" t="n"/>
      <c r="CX9" s="987" t="n"/>
      <c r="DG9" s="7" t="n"/>
      <c r="DM9" s="7" t="n"/>
      <c r="DN9" s="7" t="n"/>
      <c r="DO9" s="7" t="n"/>
      <c r="DP9" s="7" t="n"/>
      <c r="DQ9" s="7" t="n"/>
      <c r="DR9" s="7" t="n"/>
      <c r="DS9" s="7" t="n"/>
      <c r="DT9" s="7" t="n"/>
      <c r="DU9" s="7" t="n"/>
      <c r="DV9" s="155" t="n"/>
      <c r="DW9" s="987" t="n"/>
      <c r="DX9" s="931"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DG10" s="7" t="n"/>
      <c r="DM10" s="7" t="n"/>
      <c r="DN10" s="7" t="n"/>
      <c r="DO10" s="7" t="n"/>
      <c r="DP10" s="7" t="n"/>
      <c r="DQ10" s="7" t="n"/>
      <c r="DR10" s="7" t="n"/>
      <c r="DS10" s="7" t="n"/>
      <c r="DT10" s="7" t="n"/>
      <c r="DU10" s="7" t="n"/>
      <c r="DV10" s="155" t="n"/>
      <c r="DW10" s="987" t="n"/>
      <c r="DX10" s="931" t="n"/>
      <c r="DY10" s="19"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DG11" s="987" t="n"/>
      <c r="DM11" s="987" t="n"/>
      <c r="DN11" s="7" t="n"/>
      <c r="DO11" s="7" t="n"/>
      <c r="DP11" s="7" t="n"/>
      <c r="DQ11" s="7" t="n"/>
      <c r="DR11" s="7" t="n"/>
      <c r="DS11" s="987" t="n"/>
      <c r="DT11" s="987" t="n"/>
      <c r="DU11" s="987" t="n"/>
      <c r="DV11" s="155" t="n"/>
      <c r="DW11" s="7" t="n"/>
      <c r="DX11" s="7" t="n"/>
      <c r="DY11" s="19" t="n"/>
    </row>
    <row r="12" outlineLevel="1" ht="89.45" customHeight="1">
      <c r="A12" s="660" t="n"/>
      <c r="C12" s="515" t="n">
        <v>4</v>
      </c>
      <c r="D12" s="948" t="inlineStr">
        <is>
          <t>对于单项重大的利得，需要获取该单项利得的组成明细，需要获取支持性文件如合同等，在必要时进行利得测试。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DG12" s="987" t="n"/>
      <c r="DM12" s="987" t="n"/>
      <c r="DN12" s="7" t="n"/>
      <c r="DO12" s="7" t="n"/>
      <c r="DP12" s="7" t="n"/>
      <c r="DQ12" s="7" t="n"/>
      <c r="DR12" s="7" t="n"/>
      <c r="DS12" s="987" t="n"/>
      <c r="DT12" s="987" t="n"/>
      <c r="DU12" s="987"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DG13" s="162" t="n"/>
      <c r="DM13" s="162" t="n"/>
      <c r="DN13" s="987" t="n"/>
      <c r="DO13" s="987" t="n"/>
      <c r="DP13" s="987" t="n"/>
      <c r="DQ13" s="987" t="n"/>
      <c r="DR13" s="987"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DG14" s="162" t="n"/>
      <c r="DM14" s="162" t="n"/>
      <c r="DN14" s="987" t="n"/>
      <c r="DO14" s="987" t="n"/>
      <c r="DP14" s="987" t="n"/>
      <c r="DQ14" s="987" t="n"/>
      <c r="DR14" s="987"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7" t="n"/>
      <c r="DM15" s="987" t="n"/>
      <c r="DN15" s="987" t="n"/>
      <c r="DO15" s="987" t="n"/>
      <c r="DP15" s="987"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Top="1">
      <c r="A37" s="991" t="n"/>
      <c r="B37" s="990" t="n"/>
      <c r="C37" s="990" t="n"/>
      <c r="D37" s="997" t="n"/>
      <c r="E37" s="995" t="n"/>
      <c r="F37" s="131" t="inlineStr">
        <is>
          <t>Rx</t>
        </is>
      </c>
      <c r="G37" s="997" t="n"/>
      <c r="H37" s="131" t="inlineStr">
        <is>
          <t>Rx</t>
        </is>
      </c>
      <c r="I37" s="131" t="inlineStr">
        <is>
          <t>Rx</t>
        </is>
      </c>
      <c r="J37" s="186" t="inlineStr">
        <is>
          <t>^</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990" t="n"/>
      <c r="R39" s="990"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7">
      <c r="A40" s="1008" t="n"/>
      <c r="C40" s="931" t="n"/>
      <c r="H40" s="1050" t="n"/>
      <c r="K40" s="1050" t="n"/>
      <c r="L40" s="1050" t="n"/>
      <c r="M40" s="1050" t="n"/>
      <c r="O40" s="1051" t="n"/>
      <c r="P40" s="1051" t="n"/>
      <c r="Q40" s="1051" t="n"/>
      <c r="R40" s="1051" t="n"/>
      <c r="U40" s="1051" t="n"/>
      <c r="V40" s="1051" t="n"/>
      <c r="W40" s="1051" t="n"/>
      <c r="X40" s="1051" t="n"/>
      <c r="Y40" s="1051" t="n"/>
      <c r="Z40" s="1051" t="n"/>
      <c r="AC40" s="1051" t="n"/>
      <c r="AF40" s="1011" t="n"/>
      <c r="AG40" s="1011" t="n"/>
      <c r="AH40" s="1011" t="n"/>
      <c r="AI40" s="1011" t="n"/>
      <c r="AJ40" s="1011" t="n"/>
      <c r="AK40" s="1011" t="n"/>
      <c r="AL40" s="995" t="n"/>
      <c r="AM40" s="995" t="n"/>
      <c r="AN40" s="995" t="n"/>
      <c r="AO40" s="995" t="n"/>
      <c r="AP40" s="995" t="n"/>
      <c r="AQ40" s="995"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8.5"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从管理层处取得本期营业外支出账户的明细。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45" customHeight="1">
      <c r="A12" s="660" t="n"/>
      <c r="C12" s="515" t="n">
        <v>4</v>
      </c>
      <c r="D12" s="948" t="inlineStr">
        <is>
          <t>对于单项重大损失，需要获取该单项损失的组成明细，需要获取支持性文件如合同等，在必要时进行损失测试。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7" t="n"/>
      <c r="DN15" s="987" t="n"/>
      <c r="DO15" s="987" t="n"/>
      <c r="DP15" s="987" t="n"/>
      <c r="DQ15" s="987"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589">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589">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8">
        <f>F35+H35</f>
        <v/>
      </c>
      <c r="J35" s="377">
        <f>IF($I$37&lt;&gt;0,I35/$I$37,"")</f>
        <v/>
      </c>
      <c r="K35" s="378" t="n"/>
      <c r="L35" s="969" t="n"/>
      <c r="M35" s="970">
        <f>I35+L35</f>
        <v/>
      </c>
      <c r="N35" s="970" t="n"/>
      <c r="O35" s="972">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86" t="inlineStr">
        <is>
          <t>^</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182" t="n"/>
      <c r="S40" s="182" t="n"/>
      <c r="T40" s="999" t="n"/>
      <c r="U40" s="990" t="n"/>
      <c r="V40" s="990"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9">
      <c r="A41" s="1080" t="n"/>
      <c r="C41" s="931" t="n"/>
      <c r="H41" s="1081" t="n"/>
      <c r="K41" s="1081" t="n"/>
      <c r="L41" s="1081" t="n"/>
      <c r="M41" s="1081" t="n"/>
      <c r="O41" s="1082" t="n"/>
      <c r="P41" s="1082" t="n"/>
      <c r="Q41" s="1082" t="n"/>
      <c r="R41" s="1082" t="n"/>
      <c r="U41" s="1082" t="n"/>
      <c r="V41" s="1082" t="n"/>
      <c r="Y41" s="1082" t="n"/>
      <c r="AB41" s="1083" t="n"/>
      <c r="AC41" s="1083" t="n"/>
      <c r="AD41" s="1083" t="n"/>
      <c r="AE41" s="1083" t="n"/>
      <c r="AF41" s="1083" t="n"/>
      <c r="AG41" s="1083" t="n"/>
      <c r="AH41" s="1084" t="n"/>
      <c r="AI41" s="1084" t="n"/>
      <c r="AJ41" s="1084" t="n"/>
      <c r="AK41" s="1084" t="n"/>
      <c r="AL41" s="1084" t="n"/>
      <c r="AM41" s="108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7"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7" t="n"/>
      <c r="CT6" s="987" t="n"/>
      <c r="CU6" s="143" t="n"/>
      <c r="CV6" s="143" t="n"/>
      <c r="CW6" s="143" t="n"/>
      <c r="CX6" s="143" t="n"/>
      <c r="CY6" s="143" t="n"/>
      <c r="CZ6" s="143" t="n"/>
      <c r="DA6" s="143" t="n"/>
      <c r="DB6" s="143" t="n"/>
      <c r="DC6" s="987" t="n"/>
      <c r="DD6" s="143" t="n"/>
      <c r="DE6" s="143" t="n"/>
      <c r="DF6" s="143" t="n"/>
      <c r="DG6" s="143" t="n"/>
      <c r="DH6" s="143" t="n"/>
      <c r="DI6" s="987" t="n"/>
      <c r="DJ6" s="6" t="n"/>
      <c r="DK6" s="6" t="n"/>
      <c r="DL6" s="6" t="n"/>
      <c r="DM6" s="6" t="n"/>
      <c r="DN6" s="6" t="n"/>
      <c r="DO6" s="987" t="n"/>
      <c r="DP6" s="987" t="n"/>
      <c r="DQ6" s="987" t="n"/>
      <c r="DR6" s="155" t="n"/>
      <c r="DS6" s="6" t="n"/>
      <c r="DT6" s="6" t="n"/>
    </row>
    <row r="7" ht="12.6" customHeight="1">
      <c r="A7" s="540" t="n"/>
      <c r="C7" s="49" t="n"/>
      <c r="D7" s="152" t="n"/>
      <c r="E7" s="152" t="n"/>
      <c r="F7" s="152" t="n"/>
      <c r="G7" s="152" t="n"/>
      <c r="H7" s="152" t="n"/>
      <c r="I7" s="152" t="n"/>
      <c r="J7" s="153" t="n"/>
      <c r="K7" s="151" t="n"/>
      <c r="L7" s="353" t="n"/>
      <c r="M7" s="156" t="n"/>
      <c r="N7" s="1085" t="n"/>
      <c r="O7" s="156" t="n"/>
      <c r="CR7" s="6" t="n"/>
      <c r="CS7" s="987" t="n"/>
      <c r="CT7" s="987" t="n"/>
      <c r="CU7" s="143" t="n"/>
      <c r="CV7" s="143" t="n"/>
      <c r="CW7" s="143" t="n"/>
      <c r="CX7" s="143" t="n"/>
      <c r="CY7" s="143" t="n"/>
      <c r="CZ7" s="143" t="n"/>
      <c r="DA7" s="143" t="n"/>
      <c r="DB7" s="143" t="n"/>
      <c r="DC7" s="987" t="n"/>
      <c r="DD7" s="143" t="n"/>
      <c r="DE7" s="143" t="n"/>
      <c r="DF7" s="143" t="n"/>
      <c r="DG7" s="143" t="n"/>
      <c r="DH7" s="143" t="n"/>
      <c r="DI7" s="987" t="n"/>
      <c r="DJ7" s="6" t="n"/>
      <c r="DK7" s="6" t="n"/>
      <c r="DL7" s="6" t="n"/>
      <c r="DM7" s="6" t="n"/>
      <c r="DN7" s="6" t="n"/>
      <c r="DO7" s="987" t="n"/>
      <c r="DP7" s="987" t="n"/>
      <c r="DQ7" s="987" t="n"/>
      <c r="DR7" s="155" t="n"/>
      <c r="DS7" s="6" t="n"/>
      <c r="DT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7" t="n"/>
      <c r="DL8" s="987" t="n"/>
      <c r="DM8" s="987" t="n"/>
      <c r="DN8" s="987" t="n"/>
      <c r="DO8" s="987" t="n"/>
      <c r="DP8" s="7" t="n"/>
      <c r="DQ8" s="7" t="n"/>
      <c r="DR8" s="7" t="n"/>
      <c r="DS8" s="155" t="n"/>
      <c r="DT8" s="7" t="n"/>
      <c r="DU8" s="159" t="n"/>
    </row>
    <row r="9" outlineLevel="1" ht="21" customHeight="1">
      <c r="A9" s="660" t="n"/>
      <c r="C9" s="515" t="n">
        <v>1</v>
      </c>
      <c r="D9" s="844" t="inlineStr">
        <is>
          <t>从管理层处取得本期债务重组利得和损失账户的明细。</t>
        </is>
      </c>
      <c r="E9" s="988" t="n"/>
      <c r="F9" s="989" t="n"/>
      <c r="G9" s="560" t="inlineStr">
        <is>
          <t>表1</t>
        </is>
      </c>
      <c r="H9" s="903" t="inlineStr">
        <is>
          <t>是</t>
        </is>
      </c>
      <c r="I9" s="904" t="n"/>
      <c r="J9" s="516" t="n"/>
      <c r="K9" s="158" t="n"/>
      <c r="L9" s="158" t="n"/>
      <c r="M9" s="160" t="n"/>
      <c r="N9" s="160" t="n"/>
      <c r="O9" s="160" t="n"/>
      <c r="CT9" s="987" t="n"/>
      <c r="CU9" s="7" t="n"/>
      <c r="CV9" s="987"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7" t="n"/>
      <c r="DV9" s="931"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T10" s="987" t="n"/>
      <c r="CU10" s="7" t="n"/>
      <c r="CV10" s="987"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7" t="n"/>
      <c r="DV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T11" s="7" t="n"/>
      <c r="CU11" s="987" t="n"/>
      <c r="CV11" s="162" t="n"/>
      <c r="CW11" s="143" t="n"/>
      <c r="CX11" s="143" t="n"/>
      <c r="CY11" s="143" t="n"/>
      <c r="CZ11" s="143" t="n"/>
      <c r="DA11" s="143" t="n"/>
      <c r="DB11" s="143" t="n"/>
      <c r="DC11" s="143" t="n"/>
      <c r="DD11" s="143" t="n"/>
      <c r="DE11" s="987" t="n"/>
      <c r="DF11" s="143" t="n"/>
      <c r="DG11" s="143" t="n"/>
      <c r="DH11" s="143" t="n"/>
      <c r="DI11" s="143" t="n"/>
      <c r="DJ11" s="143" t="n"/>
      <c r="DK11" s="987" t="n"/>
      <c r="DL11" s="7" t="n"/>
      <c r="DM11" s="7" t="n"/>
      <c r="DN11" s="7" t="n"/>
      <c r="DO11" s="7" t="n"/>
      <c r="DP11" s="7" t="n"/>
      <c r="DQ11" s="987" t="n"/>
      <c r="DR11" s="987" t="n"/>
      <c r="DS11" s="987"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8" t="n"/>
      <c r="F12" s="989" t="n"/>
      <c r="G12" s="517" t="inlineStr">
        <is>
          <t>项目组自行设计</t>
        </is>
      </c>
      <c r="H12" s="903" t="inlineStr">
        <is>
          <t>是</t>
        </is>
      </c>
      <c r="I12" s="904" t="n"/>
      <c r="J12" s="620" t="n"/>
      <c r="K12" s="158" t="n"/>
      <c r="L12" s="158" t="n"/>
      <c r="M12" s="151" t="n"/>
      <c r="N12" s="151" t="n"/>
      <c r="O12" s="151" t="n"/>
      <c r="CT12" s="7" t="n"/>
      <c r="CU12" s="987" t="n"/>
      <c r="CV12" s="162" t="n"/>
      <c r="CW12" s="143" t="n"/>
      <c r="CX12" s="143" t="n"/>
      <c r="CY12" s="143" t="n"/>
      <c r="CZ12" s="143" t="n"/>
      <c r="DA12" s="143" t="n"/>
      <c r="DB12" s="143" t="n"/>
      <c r="DC12" s="143" t="n"/>
      <c r="DD12" s="143" t="n"/>
      <c r="DE12" s="987" t="n"/>
      <c r="DF12" s="143" t="n"/>
      <c r="DG12" s="143" t="n"/>
      <c r="DH12" s="143" t="n"/>
      <c r="DI12" s="143" t="n"/>
      <c r="DJ12" s="143" t="n"/>
      <c r="DK12" s="987" t="n"/>
      <c r="DL12" s="7" t="n"/>
      <c r="DM12" s="7" t="n"/>
      <c r="DN12" s="7" t="n"/>
      <c r="DO12" s="7" t="n"/>
      <c r="DP12" s="7" t="n"/>
      <c r="DQ12" s="987" t="n"/>
      <c r="DR12" s="987" t="n"/>
      <c r="DS12" s="987" t="n"/>
      <c r="DT12" s="155" t="n"/>
      <c r="DU12" s="7" t="n"/>
      <c r="DV12" s="7" t="n"/>
    </row>
    <row r="13" outlineLevel="1" ht="40.5" customHeight="1">
      <c r="A13" s="660" t="n"/>
      <c r="C13" s="515" t="n">
        <v>5</v>
      </c>
      <c r="D13" s="844" t="inlineStr">
        <is>
          <t>调查任何异常交易，并基于综合风险评估和已确定的测试临界值测试交易。</t>
        </is>
      </c>
      <c r="E13" s="988" t="n"/>
      <c r="F13" s="989" t="n"/>
      <c r="G13" s="517" t="inlineStr">
        <is>
          <t>自行介绍</t>
        </is>
      </c>
      <c r="H13" s="903" t="inlineStr">
        <is>
          <t>是</t>
        </is>
      </c>
      <c r="I13" s="904"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7" t="n"/>
      <c r="DM13" s="987" t="n"/>
      <c r="DN13" s="987" t="n"/>
      <c r="DO13" s="987" t="n"/>
      <c r="DP13" s="987"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7" t="n"/>
      <c r="DM14" s="987" t="n"/>
      <c r="DN14" s="987" t="n"/>
      <c r="DO14" s="987" t="n"/>
      <c r="DP14" s="987"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7" t="n"/>
      <c r="DK15" s="987" t="n"/>
      <c r="DL15" s="987" t="n"/>
      <c r="DM15" s="987" t="n"/>
      <c r="DN15" s="987"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990"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7">
      <c r="A41" s="1052" t="n"/>
      <c r="C41" s="931" t="n"/>
      <c r="H41" s="1050" t="n"/>
      <c r="K41" s="1050" t="n"/>
      <c r="L41" s="1050" t="n"/>
      <c r="M41" s="1050" t="n"/>
      <c r="O41" s="1051" t="n"/>
      <c r="P41" s="1051" t="n"/>
      <c r="Q41" s="1051" t="n"/>
      <c r="R41" s="1051" t="n"/>
      <c r="S41" s="1051" t="n"/>
      <c r="T41" s="1051" t="n"/>
      <c r="Z41" s="1011" t="n"/>
      <c r="AA41" s="1011" t="n"/>
      <c r="AB41" s="1011" t="n"/>
      <c r="AC41" s="1011" t="n"/>
      <c r="AD41" s="1011" t="n"/>
      <c r="AE41" s="1011" t="n"/>
      <c r="AF41" s="995" t="n"/>
      <c r="AG41" s="995" t="n"/>
      <c r="AH41" s="995" t="n"/>
      <c r="AI41" s="995" t="n"/>
      <c r="AJ41" s="995" t="n"/>
      <c r="AK41" s="995"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8" t="n"/>
      <c r="F9" s="989" t="n"/>
      <c r="G9" s="161" t="inlineStr">
        <is>
          <t>表1</t>
        </is>
      </c>
      <c r="H9" s="903" t="n"/>
      <c r="I9" s="904" t="n"/>
      <c r="J9" s="1086"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8" t="n"/>
      <c r="F10" s="989" t="n"/>
      <c r="G10" s="1087" t="inlineStr">
        <is>
          <t>【请项目组更新底稿索引】</t>
        </is>
      </c>
      <c r="H10" s="903" t="n"/>
      <c r="I10" s="904" t="n"/>
      <c r="J10" s="1088"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8" t="n"/>
      <c r="F11" s="989" t="n"/>
      <c r="G11" s="645" t="inlineStr">
        <is>
          <t>表2及表3</t>
        </is>
      </c>
      <c r="H11" s="903" t="n"/>
      <c r="I11" s="904" t="n"/>
      <c r="J11" s="1089"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90" t="n"/>
      <c r="D20" s="907" t="n"/>
      <c r="E20" s="907" t="n"/>
      <c r="F20" s="908"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1" t="n"/>
      <c r="D21" s="912" t="n"/>
      <c r="E21" s="912" t="n"/>
      <c r="F21" s="913"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1" t="n"/>
      <c r="D26" s="1092" t="n"/>
      <c r="E26" s="1092" t="n"/>
      <c r="F26" s="1092" t="n"/>
      <c r="G26" s="1092" t="n"/>
      <c r="H26" s="1092" t="n"/>
      <c r="I26" s="625" t="n"/>
      <c r="J26" s="1093" t="n"/>
    </row>
    <row r="27" ht="12.6" customHeight="1">
      <c r="A27" s="681" t="n"/>
      <c r="C27" s="1091" t="n"/>
      <c r="D27" s="1092" t="n"/>
      <c r="E27" s="1092" t="n"/>
      <c r="F27" s="1092" t="n"/>
      <c r="G27" s="1092" t="n"/>
      <c r="H27" s="1092" t="n"/>
      <c r="I27" s="625" t="n"/>
      <c r="J27" s="1093" t="n"/>
    </row>
    <row r="28" ht="12.6" customHeight="1">
      <c r="A28" s="543" t="n"/>
      <c r="C28" s="1091" t="n"/>
      <c r="D28" s="1092" t="n"/>
      <c r="E28" s="1092" t="n"/>
      <c r="F28" s="1092" t="n"/>
      <c r="G28" s="1092" t="n"/>
      <c r="H28" s="1092" t="n"/>
      <c r="I28" s="625" t="n"/>
      <c r="J28" s="1093" t="n"/>
    </row>
    <row r="29" ht="12.6" customHeight="1">
      <c r="A29" s="543" t="n"/>
      <c r="C29" s="1091" t="n"/>
      <c r="D29" s="1092" t="n"/>
      <c r="E29" s="1092" t="n"/>
      <c r="F29" s="1092" t="n"/>
      <c r="G29" s="1092" t="n"/>
      <c r="H29" s="1092" t="n"/>
      <c r="I29" s="625" t="n"/>
      <c r="J29" s="1093" t="n"/>
    </row>
    <row r="30" ht="12.6" customHeight="1">
      <c r="A30" s="543" t="n"/>
      <c r="C30" s="1091" t="n"/>
      <c r="D30" s="1092" t="n"/>
      <c r="E30" s="1092" t="n"/>
      <c r="F30" s="1092" t="n"/>
      <c r="G30" s="1092" t="n"/>
      <c r="H30" s="1092" t="n"/>
      <c r="I30" s="625" t="n"/>
      <c r="J30" s="1093" t="n"/>
    </row>
    <row r="31" ht="12.6" customHeight="1">
      <c r="A31" s="543" t="n"/>
      <c r="C31" s="1091" t="n"/>
      <c r="D31" s="1092" t="n"/>
      <c r="E31" s="1092" t="n"/>
      <c r="F31" s="1092" t="n"/>
      <c r="G31" s="1092" t="n"/>
      <c r="H31" s="1092" t="n"/>
      <c r="I31" s="625" t="n"/>
      <c r="J31" s="1093" t="n"/>
    </row>
    <row r="32" ht="12.6" customHeight="1">
      <c r="A32" s="543" t="n"/>
      <c r="C32" s="1091" t="n"/>
      <c r="D32" s="1092" t="n"/>
      <c r="E32" s="1092" t="n"/>
      <c r="F32" s="1092" t="n"/>
      <c r="G32" s="1092" t="n"/>
      <c r="H32" s="1092" t="n"/>
      <c r="I32" s="625" t="n"/>
      <c r="J32" s="1093" t="n"/>
    </row>
    <row r="33" ht="12.6" customHeight="1">
      <c r="A33" s="543" t="n"/>
      <c r="C33" s="1091" t="n"/>
      <c r="D33" s="1092" t="n"/>
      <c r="E33" s="1092" t="n"/>
      <c r="F33" s="1092" t="n"/>
      <c r="G33" s="1092" t="n"/>
      <c r="H33" s="1092" t="n"/>
      <c r="I33" s="625" t="n"/>
      <c r="J33" s="1093" t="n"/>
    </row>
    <row r="34" ht="12.6" customHeight="1">
      <c r="A34" s="543" t="n"/>
      <c r="C34" s="1091" t="n"/>
      <c r="D34" s="1092" t="n"/>
      <c r="E34" s="1092" t="n"/>
      <c r="F34" s="1092" t="n"/>
      <c r="G34" s="1092" t="n"/>
      <c r="H34" s="1092" t="n"/>
      <c r="I34" s="625" t="n"/>
      <c r="J34" s="1093" t="n"/>
    </row>
    <row r="35" ht="12.6" customHeight="1">
      <c r="A35" s="543" t="n"/>
      <c r="C35" s="1091" t="n"/>
      <c r="D35" s="1092" t="n"/>
      <c r="E35" s="1092" t="n"/>
      <c r="F35" s="1092" t="n"/>
      <c r="G35" s="1092" t="n"/>
      <c r="H35" s="1092" t="n"/>
      <c r="I35" s="625" t="n"/>
      <c r="J35" s="1093"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1" t="n"/>
      <c r="D37" s="1092" t="n"/>
      <c r="E37" s="1092" t="n"/>
      <c r="F37" s="1092" t="n"/>
      <c r="G37" s="1092" t="n"/>
      <c r="H37" s="1092" t="n"/>
      <c r="I37" s="625" t="n"/>
      <c r="J37" s="1093" t="n"/>
    </row>
    <row r="38" ht="12.6" customHeight="1">
      <c r="A38" s="681" t="n"/>
      <c r="C38" s="1094" t="inlineStr">
        <is>
          <t>已经在P_寻找未入账负债中包含期后费用入账时间是否合理的测试，此处不再赘述。</t>
        </is>
      </c>
      <c r="D38" s="1092" t="n"/>
      <c r="E38" s="1092" t="n"/>
      <c r="F38" s="1092" t="n"/>
      <c r="G38" s="1092" t="n"/>
      <c r="H38" s="1092" t="n"/>
      <c r="I38" s="625" t="n"/>
      <c r="J38" s="1093" t="n"/>
    </row>
    <row r="39" ht="12.6" customHeight="1" thickBot="1">
      <c r="A39" s="681" t="n"/>
      <c r="C39" s="1095" t="n"/>
      <c r="D39" s="1096" t="n"/>
      <c r="E39" s="1096" t="n"/>
      <c r="F39" s="1096" t="n"/>
      <c r="G39" s="1096" t="n"/>
      <c r="H39" s="1096" t="n"/>
      <c r="I39" s="408" t="n"/>
      <c r="J39" s="1097" t="n"/>
    </row>
    <row r="40" ht="12.6" customHeight="1">
      <c r="A40" s="543" t="n"/>
    </row>
    <row r="41" ht="12.6" customHeight="1">
      <c r="A41" s="543" t="n"/>
    </row>
    <row r="42" ht="12.6" customHeight="1" thickBot="1">
      <c r="A42" s="543" t="n"/>
      <c r="B42" s="350" t="n"/>
    </row>
    <row r="43" ht="12.6" customHeight="1">
      <c r="A43" s="543" t="n"/>
      <c r="B43" s="350" t="inlineStr">
        <is>
          <t>Notes</t>
        </is>
      </c>
      <c r="C43" s="946"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7" t="n"/>
      <c r="E43" s="937" t="n"/>
      <c r="F43" s="937" t="n"/>
      <c r="G43" s="938" t="n"/>
    </row>
    <row r="44" ht="23.1" customHeight="1">
      <c r="A44" s="543" t="n"/>
      <c r="C44" s="940" t="n"/>
      <c r="D44" s="941" t="n"/>
      <c r="E44" s="941" t="n"/>
      <c r="F44" s="941" t="n"/>
      <c r="G44" s="942" t="n"/>
      <c r="I44" s="351" t="n"/>
    </row>
    <row r="45" ht="48.75" customHeight="1" thickBot="1">
      <c r="A45" s="543" t="n"/>
      <c r="C45" s="943" t="n"/>
      <c r="D45" s="944" t="n"/>
      <c r="E45" s="944" t="n"/>
      <c r="F45" s="944" t="n"/>
      <c r="G45" s="945"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2026-05-26T09:40:16Z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
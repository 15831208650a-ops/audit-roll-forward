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calcMode="auto" fullCalcOnLoad="1" forceFullCalc="1"/>
</workbook>
</file>

<file path=xl/styles.xml><?xml version="1.0" encoding="utf-8"?>
<styleSheet xmlns="http://schemas.openxmlformats.org/spreadsheetml/2006/main">
  <numFmts count="44">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yyyy/mm/dd"/>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31">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207" fontId="5" fillId="6" borderId="0" applyAlignment="1" applyProtection="1" pivotButton="0" quotePrefix="0" xfId="0">
      <alignment horizontal="center"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207" fontId="11" fillId="6" borderId="30" applyAlignment="1" applyProtection="1" pivotButton="0" quotePrefix="0" xfId="2388">
      <alignment horizontal="center" vertical="center" wrapText="1"/>
      <protection locked="0" hidden="0"/>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0" applyAlignment="1" applyProtection="1" pivotButton="0" quotePrefix="0" xfId="2377">
      <alignment vertical="center"/>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inlineStr">
        <is>
          <t>东风鸿远工程咨询有限公司</t>
        </is>
      </c>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677" t="n">
        <v>46387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inlineStr">
        <is>
          <t>CNY</t>
        </is>
      </c>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inlineStr">
        <is>
          <t>PRC</t>
        </is>
      </c>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8">
        <f>IFERROR(VLOOKUP(D21,$C$13:$D$16,2,FALSE)*$G$5,"-")</f>
        <v/>
      </c>
      <c r="F21" s="679">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8">
        <f>IFERROR(VLOOKUP(D22,$C$13:$D$16,2,FALSE)*$G$5,"-")</f>
        <v/>
      </c>
      <c r="F22" s="680"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8">
        <f>IFERROR(VLOOKUP(D23,$C$13:$D$16,2,FALSE)*$G$5,"-")</f>
        <v/>
      </c>
      <c r="F23" s="680"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8">
        <f>IFERROR(VLOOKUP(D24,$C$13:$D$16,2,FALSE)*$G$5,"-")</f>
        <v/>
      </c>
      <c r="F24" s="680"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1">
        <f>IFERROR(VLOOKUP(D25,$C$13:$D$16,2,FALSE)*$G$5,"-")</f>
        <v/>
      </c>
      <c r="F25" s="682"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3" t="n"/>
      <c r="F26" s="684" t="n"/>
      <c r="G26" s="177" t="n"/>
      <c r="J26" s="6" t="n"/>
      <c r="M26" s="101" t="n"/>
      <c r="N26" s="101" t="n"/>
      <c r="O26" s="101" t="n"/>
      <c r="P26" s="101" t="n"/>
      <c r="Q26" s="101" t="n"/>
      <c r="R26" s="102" t="n"/>
    </row>
    <row r="27">
      <c r="C27" s="44" t="n"/>
    </row>
    <row r="28" ht="16.5" customHeight="1" thickBot="1">
      <c r="C28" s="156" t="n"/>
      <c r="D28" s="156" t="n"/>
      <c r="E28" s="156" t="n"/>
      <c r="F28" s="156" t="n"/>
      <c r="G28" s="156" t="n"/>
      <c r="H28" s="685"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6" t="n">
        <v>3</v>
      </c>
      <c r="D32" s="687" t="inlineStr">
        <is>
          <t>长期待摊费用</t>
        </is>
      </c>
      <c r="E32" s="688" t="inlineStr">
        <is>
          <t>L2-01-GL: 验证存在性和计价</t>
        </is>
      </c>
      <c r="F32" s="689" t="inlineStr">
        <is>
          <t>PSP</t>
        </is>
      </c>
      <c r="G32" s="690"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1" t="n"/>
      <c r="D33" s="692" t="n"/>
      <c r="E33" s="692" t="n"/>
      <c r="F33" s="692" t="n"/>
      <c r="G33" s="692" t="n"/>
      <c r="H33" s="693"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4" t="inlineStr">
        <is>
          <t xml:space="preserve"> IPE</t>
        </is>
      </c>
      <c r="E37" s="695"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6" t="inlineStr">
        <is>
          <t>我们没有发现任何超过SAD的错报</t>
        </is>
      </c>
      <c r="G41" s="697" t="n"/>
    </row>
    <row r="42" ht="35.65" customHeight="1" thickBot="1">
      <c r="A42" s="402" t="inlineStr">
        <is>
          <t>/N1</t>
        </is>
      </c>
      <c r="C42" s="570" t="n"/>
      <c r="D42" s="698" t="inlineStr">
        <is>
          <t>我们已经完成了于该些科目相关的细节测试，并发现了一个或多个超过SAD的错报，我们已经将这些错报记录于审计差异汇总（SAD template)中, 并将该审计差异汇总表放入Canvas。</t>
        </is>
      </c>
      <c r="E42" s="699" t="n"/>
      <c r="F42" s="699" t="n"/>
      <c r="G42" s="700"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4"/>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1"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2" t="inlineStr">
        <is>
          <t>执行的程序</t>
        </is>
      </c>
      <c r="E7" s="703" t="n"/>
      <c r="F7" s="704"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5" t="inlineStr">
        <is>
          <t>我们获取长期待摊费用科目余额表本期金额以及上年审定数。</t>
        </is>
      </c>
      <c r="E8" s="703" t="n"/>
      <c r="F8" s="704"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6" t="inlineStr">
        <is>
          <t>我们将两期审定金额进行比对，对那些变动大于范围的事项，获得管理层解释并对解释是否合理进行调查。</t>
        </is>
      </c>
      <c r="E9" s="703" t="n"/>
      <c r="F9" s="704"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7" t="n"/>
      <c r="D14" s="708" t="n"/>
      <c r="E14" s="708" t="n"/>
      <c r="F14" s="708" t="n"/>
      <c r="G14" s="709" t="n"/>
      <c r="H14" s="372" t="n"/>
      <c r="I14" s="372" t="n"/>
      <c r="J14" s="372" t="n"/>
      <c r="K14" s="372" t="n"/>
    </row>
    <row r="15" ht="16.35" customFormat="1" customHeight="1" s="374">
      <c r="A15" s="373" t="n"/>
      <c r="B15" s="372" t="n"/>
      <c r="C15" s="710" t="n"/>
      <c r="G15" s="697" t="n"/>
      <c r="H15" s="372" t="n"/>
      <c r="I15" s="372" t="n"/>
      <c r="J15" s="372" t="n"/>
      <c r="K15" s="372" t="n"/>
    </row>
    <row r="16" ht="16.15" customFormat="1" customHeight="1" s="374" thickBot="1">
      <c r="A16" s="373" t="n"/>
      <c r="B16" s="372" t="n"/>
      <c r="C16" s="711" t="n"/>
      <c r="D16" s="712" t="n"/>
      <c r="E16" s="712" t="n"/>
      <c r="F16" s="712" t="n"/>
      <c r="G16" s="713" t="n"/>
      <c r="H16" s="372" t="n"/>
      <c r="I16" s="372" t="n"/>
      <c r="J16" s="372" t="n"/>
      <c r="K16" s="372" t="n"/>
    </row>
    <row r="17" ht="16.15" customFormat="1" customHeight="1" s="374" thickBot="1">
      <c r="A17" s="373" t="n"/>
      <c r="B17" s="372" t="n"/>
      <c r="C17" s="714" t="n"/>
      <c r="D17" s="715" t="n"/>
      <c r="E17" s="177" t="n"/>
      <c r="F17" s="177" t="n"/>
      <c r="G17" s="177" t="n"/>
      <c r="H17" s="177" t="n"/>
      <c r="I17" s="6" t="n"/>
      <c r="J17" s="372" t="n"/>
      <c r="K17" s="372" t="n"/>
    </row>
    <row r="18" ht="12.75" customFormat="1" customHeight="1" s="60">
      <c r="A18" s="242" t="n"/>
      <c r="B18" s="6" t="n"/>
      <c r="C18" s="397">
        <f>"波动范围 ("&amp;汇总!D7&amp;"):"</f>
        <v/>
      </c>
      <c r="D18" s="716">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1" t="n"/>
      <c r="F20" s="38" t="n"/>
      <c r="G20" s="38" t="n"/>
      <c r="H20" s="38" t="n"/>
      <c r="I20" s="38" t="n"/>
      <c r="J20" s="38" t="n"/>
      <c r="K20" s="38" t="n"/>
      <c r="L20" s="38" t="n"/>
      <c r="M20" s="67" t="n"/>
    </row>
    <row r="21" ht="12.75" customFormat="1" customHeight="1" s="60">
      <c r="A21" s="402" t="n"/>
      <c r="C21" s="38" t="n"/>
      <c r="D21" s="38" t="n"/>
      <c r="E21" s="701"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7"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8" t="n"/>
      <c r="H25" s="589" t="n"/>
      <c r="I25" s="719" t="n"/>
      <c r="J25" s="720">
        <f>G25+I25</f>
        <v/>
      </c>
      <c r="K25" s="589" t="n"/>
      <c r="L25" s="719" t="n"/>
      <c r="M25" s="721">
        <f>J25+L25</f>
        <v/>
      </c>
      <c r="N25" s="722" t="n"/>
      <c r="O25" s="723">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724">
        <f>汇总!D5</f>
        <v/>
      </c>
      <c r="K26" s="113" t="n"/>
      <c r="L26" s="113" t="n"/>
      <c r="M26" s="114" t="n"/>
      <c r="N26" s="724">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inlineStr">
        <is>
          <t>东风鸿远工程咨询有限公司</t>
        </is>
      </c>
      <c r="D28" s="130" t="inlineStr">
        <is>
          <t>1901</t>
        </is>
      </c>
      <c r="E28" s="130" t="inlineStr">
        <is>
          <t>长期待摊费用</t>
        </is>
      </c>
      <c r="F28" s="262" t="n"/>
      <c r="G28" s="718" t="n"/>
      <c r="H28" s="589" t="n"/>
      <c r="I28" s="719" t="n"/>
      <c r="J28" s="720">
        <f>G28+I28</f>
        <v/>
      </c>
      <c r="K28" s="589" t="n"/>
      <c r="L28" s="719" t="n"/>
      <c r="M28" s="721">
        <f>J28+L28</f>
        <v/>
      </c>
      <c r="N28" s="722" t="n">
        <v>4831378.76</v>
      </c>
      <c r="O28" s="723">
        <f>M28-N28</f>
        <v/>
      </c>
      <c r="P28" s="594">
        <f>IF(N28&lt;&gt;0,O28/N28,1)</f>
        <v/>
      </c>
      <c r="Q28" s="131" t="n"/>
    </row>
    <row r="29" ht="13.5" customFormat="1" customHeight="1" s="132" thickBot="1">
      <c r="A29" s="408" t="inlineStr">
        <is>
          <t>/T1</t>
        </is>
      </c>
      <c r="C29" s="595" t="inlineStr">
        <is>
          <t>东风鸿远工程咨询有限公司</t>
        </is>
      </c>
      <c r="D29" s="596" t="inlineStr">
        <is>
          <t>1901</t>
        </is>
      </c>
      <c r="E29" s="596" t="inlineStr">
        <is>
          <t>长期待摊费用-累计摊销</t>
        </is>
      </c>
      <c r="F29" s="597" t="n"/>
      <c r="G29" s="725" t="n"/>
      <c r="H29" s="599" t="n"/>
      <c r="I29" s="600" t="n"/>
      <c r="J29" s="726">
        <f>G29+I29</f>
        <v/>
      </c>
      <c r="K29" s="602" t="n"/>
      <c r="L29" s="727" t="n"/>
      <c r="M29" s="728">
        <f>J29+L29</f>
        <v/>
      </c>
      <c r="N29" s="729" t="n">
        <v>-1706971.52</v>
      </c>
      <c r="O29" s="730">
        <f>M29-N29</f>
        <v/>
      </c>
      <c r="P29" s="607">
        <f>IF(N29&lt;&gt;0,O29/N29,1)</f>
        <v/>
      </c>
      <c r="Q29" s="608" t="n"/>
    </row>
    <row r="30" customFormat="1" s="128">
      <c r="A30" s="407" t="n"/>
      <c r="C30" s="138" t="n"/>
      <c r="D30" s="312" t="n"/>
      <c r="E30" s="313" t="n"/>
      <c r="F30" s="313" t="n"/>
      <c r="G30" s="731" t="n"/>
      <c r="H30" s="731" t="n"/>
      <c r="I30" s="731" t="n"/>
      <c r="J30" s="732" t="n"/>
      <c r="K30" s="731" t="n"/>
      <c r="L30" s="731" t="n"/>
      <c r="M30" s="731" t="n"/>
      <c r="N30" s="733" t="n">
        <v>0</v>
      </c>
      <c r="O30" s="731" t="n"/>
      <c r="P30" s="137" t="n"/>
      <c r="Q30" s="138" t="n"/>
    </row>
    <row r="31" customFormat="1" s="128" thickBot="1">
      <c r="A31" s="407" t="n"/>
      <c r="C31" s="138" t="n"/>
      <c r="D31" s="312" t="n"/>
      <c r="E31" s="313" t="n"/>
      <c r="F31" s="313" t="n"/>
      <c r="G31" s="731" t="n"/>
      <c r="H31" s="731" t="n"/>
      <c r="I31" s="731" t="n"/>
      <c r="J31" s="732" t="n"/>
      <c r="K31" s="731" t="n"/>
      <c r="L31" s="731" t="n"/>
      <c r="M31" s="731" t="n"/>
      <c r="N31" s="733" t="n"/>
      <c r="O31" s="731" t="n"/>
      <c r="P31" s="137" t="n"/>
      <c r="Q31" s="138" t="n"/>
    </row>
    <row r="32" customFormat="1" s="60" thickTop="1">
      <c r="A32" s="407" t="n"/>
      <c r="C32" s="138" t="n"/>
      <c r="D32" s="312" t="n"/>
      <c r="E32" s="313" t="n"/>
      <c r="F32" s="313" t="n"/>
      <c r="G32" s="731" t="n"/>
      <c r="H32" s="731" t="n"/>
      <c r="I32" s="731" t="n"/>
      <c r="J32" s="732" t="n"/>
      <c r="K32" s="731" t="n"/>
      <c r="L32" s="731" t="n"/>
      <c r="M32" s="731" t="n"/>
      <c r="N32" s="733" t="n"/>
      <c r="O32" s="731" t="n"/>
      <c r="P32" s="137" t="n"/>
      <c r="Q32" s="138" t="n"/>
    </row>
    <row r="33" customFormat="1" s="60">
      <c r="A33" s="407" t="n"/>
      <c r="C33" s="138" t="n"/>
      <c r="D33" s="312" t="n"/>
      <c r="E33" s="313" t="n"/>
      <c r="F33" s="313" t="n"/>
      <c r="G33" s="731" t="n"/>
      <c r="H33" s="731" t="n"/>
      <c r="I33" s="731" t="n"/>
      <c r="J33" s="732" t="n"/>
      <c r="K33" s="731" t="n"/>
      <c r="L33" s="731" t="n"/>
      <c r="M33" s="731" t="n"/>
      <c r="N33" s="733" t="n"/>
      <c r="O33" s="731" t="n"/>
      <c r="P33" s="137" t="n"/>
      <c r="Q33" s="138" t="n"/>
    </row>
    <row r="34" customFormat="1" s="734">
      <c r="A34" s="407" t="n"/>
      <c r="C34" s="133" t="n"/>
      <c r="D34" s="134" t="n"/>
      <c r="E34" s="133" t="n"/>
      <c r="F34" s="139" t="inlineStr">
        <is>
          <t>合计</t>
        </is>
      </c>
      <c r="G34" s="735">
        <f>SUM(G27:G29)</f>
        <v/>
      </c>
      <c r="H34" s="59" t="n"/>
      <c r="I34" s="735">
        <f>SUM(I27:I29)</f>
        <v/>
      </c>
      <c r="J34" s="735">
        <f>SUM(J27:J29)</f>
        <v/>
      </c>
      <c r="K34" s="59" t="n"/>
      <c r="L34" s="735">
        <f>SUM(L27:L29)</f>
        <v/>
      </c>
      <c r="M34" s="735">
        <f>SUM(M27:M29)</f>
        <v/>
      </c>
      <c r="N34" s="735">
        <f>SUM(N27:N29)</f>
        <v/>
      </c>
      <c r="O34" s="735">
        <f>M34-N34</f>
        <v/>
      </c>
      <c r="P34" s="610">
        <f>IF(N34&lt;&gt;0,O34/N34,1)</f>
        <v/>
      </c>
      <c r="Q34" s="133" t="n"/>
    </row>
    <row r="35" customFormat="1" s="60">
      <c r="A35" s="402" t="n"/>
      <c r="D35" s="23" t="n"/>
      <c r="F35" s="24" t="n"/>
      <c r="G35" s="155" t="inlineStr">
        <is>
          <t>Rx</t>
        </is>
      </c>
      <c r="H35" s="155" t="n"/>
      <c r="I35" s="155" t="inlineStr">
        <is>
          <t>Rx</t>
        </is>
      </c>
      <c r="J35" s="155" t="inlineStr">
        <is>
          <t>Rx</t>
        </is>
      </c>
      <c r="K35" s="155" t="n"/>
      <c r="L35" s="155" t="inlineStr">
        <is>
          <t>Rx</t>
        </is>
      </c>
      <c r="M35" s="155" t="inlineStr">
        <is>
          <t>Rx</t>
        </is>
      </c>
      <c r="N35" s="155" t="inlineStr">
        <is>
          <t>Rx</t>
        </is>
      </c>
      <c r="O35" s="140" t="n"/>
      <c r="P35" s="140" t="n"/>
      <c r="Q35" s="67" t="n"/>
      <c r="R35" s="101" t="n"/>
      <c r="S35" s="102" t="n"/>
    </row>
    <row r="36" ht="13.5" customHeight="1" thickBot="1">
      <c r="A36" s="402" t="n"/>
      <c r="D36" s="23" t="n"/>
      <c r="H36" s="155" t="n"/>
      <c r="I36" s="29" t="inlineStr">
        <is>
          <t>A3</t>
        </is>
      </c>
      <c r="J36" s="736" t="n"/>
      <c r="K36" s="142" t="n"/>
      <c r="M36" s="736" t="n"/>
      <c r="N36" s="736" t="n"/>
      <c r="O36" s="140" t="n"/>
      <c r="P36" s="140" t="n"/>
      <c r="Q36" s="67" t="n"/>
      <c r="R36" s="101" t="n"/>
      <c r="S36" s="102" t="n"/>
    </row>
    <row r="37" ht="14.1" customFormat="1" customHeight="1" s="6">
      <c r="A37" s="737" t="n"/>
      <c r="B37" s="734" t="n"/>
      <c r="C37" s="734" t="n"/>
      <c r="D37" s="738" t="n"/>
      <c r="E37" s="734" t="n"/>
      <c r="G37" s="739" t="n"/>
      <c r="H37" s="739" t="n"/>
      <c r="I37" s="740" t="inlineStr">
        <is>
          <t>Diff</t>
        </is>
      </c>
      <c r="J37" s="741">
        <f>J34-J36</f>
        <v/>
      </c>
      <c r="K37" s="739" t="n"/>
      <c r="M37" s="741">
        <f>M34-M36</f>
        <v/>
      </c>
      <c r="N37" s="741">
        <f>N34-N36</f>
        <v/>
      </c>
      <c r="O37" s="739" t="n"/>
      <c r="P37" s="739" t="n"/>
      <c r="Q37" s="739" t="n"/>
      <c r="R37" s="742" t="n"/>
      <c r="S37" s="743" t="n"/>
    </row>
    <row r="38" ht="14.1" customFormat="1" customHeight="1" s="6">
      <c r="A38" s="402" t="n"/>
      <c r="D38" s="23" t="n"/>
      <c r="E38" s="25" t="n"/>
      <c r="F38" s="155" t="n"/>
      <c r="G38" s="155" t="n"/>
      <c r="H38" s="155" t="n"/>
      <c r="I38" s="30" t="n"/>
      <c r="J38" s="67" t="n"/>
      <c r="K38" s="155" t="n"/>
      <c r="L38" s="67" t="n"/>
      <c r="M38" s="101" t="n"/>
      <c r="N38" s="101" t="n"/>
      <c r="O38" s="101" t="n"/>
      <c r="P38" s="101" t="n"/>
      <c r="Q38" s="67" t="n"/>
      <c r="R38" s="101" t="n"/>
      <c r="S38" s="102" t="n"/>
    </row>
    <row r="39" ht="14.1" customFormat="1" customHeight="1" s="6" thickBot="1">
      <c r="B39" s="333" t="inlineStr">
        <is>
          <t>Notes</t>
        </is>
      </c>
      <c r="C39" s="400" t="inlineStr">
        <is>
          <t>（针对本年新增/减少等重大变动，分析变化原因）</t>
        </is>
      </c>
      <c r="D39" s="744" t="n"/>
      <c r="E39" s="744" t="n"/>
      <c r="F39" s="744" t="n"/>
      <c r="G39" s="744" t="n"/>
      <c r="H39" s="744" t="n"/>
      <c r="I39" s="744" t="n"/>
      <c r="J39" s="744" t="n"/>
    </row>
    <row r="40">
      <c r="A40" s="242" t="n"/>
      <c r="B40" s="18" t="n"/>
      <c r="C40" s="745" t="n"/>
      <c r="D40" s="708" t="n"/>
      <c r="E40" s="708" t="n"/>
      <c r="F40" s="708" t="n"/>
      <c r="G40" s="709" t="n"/>
    </row>
    <row r="41">
      <c r="A41" s="410" t="n"/>
      <c r="B41" s="19" t="n"/>
      <c r="C41" s="710" t="n"/>
      <c r="G41" s="697" t="n"/>
    </row>
    <row r="42" ht="17.25" customHeight="1" thickBot="1">
      <c r="A42" s="242" t="n"/>
      <c r="B42" s="18" t="n"/>
      <c r="C42" s="711" t="n"/>
      <c r="D42" s="712" t="n"/>
      <c r="E42" s="712" t="n"/>
      <c r="F42" s="712" t="n"/>
      <c r="G42" s="713" t="n"/>
    </row>
    <row r="43" ht="14.1" customHeight="1">
      <c r="D43" s="744" t="n"/>
      <c r="E43" s="744" t="n"/>
      <c r="F43" s="744" t="n"/>
      <c r="G43" s="744" t="n"/>
      <c r="H43" s="744" t="n"/>
      <c r="I43" s="744" t="n"/>
      <c r="J43" s="744" t="n"/>
    </row>
    <row r="44" ht="14.1" customHeight="1">
      <c r="D44" s="744" t="n"/>
      <c r="E44" s="744" t="n"/>
      <c r="F44" s="744" t="n"/>
      <c r="G44" s="744" t="n"/>
      <c r="H44" s="744" t="n"/>
      <c r="I44" s="744" t="n"/>
      <c r="J44" s="744" t="n"/>
    </row>
    <row r="45" ht="14.1" customHeight="1" thickBot="1">
      <c r="C45" s="26" t="inlineStr">
        <is>
          <t>调整汇总表</t>
        </is>
      </c>
      <c r="D45" s="27" t="inlineStr">
        <is>
          <t>如不适用请删除</t>
        </is>
      </c>
      <c r="E45" s="28" t="n"/>
      <c r="F45" s="28" t="n"/>
      <c r="G45" s="744" t="n"/>
      <c r="H45" s="744" t="n"/>
      <c r="I45" s="744" t="n"/>
      <c r="J45" s="744" t="n"/>
    </row>
    <row r="46">
      <c r="C46" s="746" t="n"/>
      <c r="D46" s="747" t="n"/>
      <c r="E46" s="747" t="n"/>
      <c r="F46" s="748" t="n"/>
      <c r="G46" s="744" t="n"/>
      <c r="H46" s="744" t="n"/>
      <c r="I46" s="744" t="n"/>
      <c r="J46" s="744" t="n"/>
    </row>
    <row r="47">
      <c r="C47" s="749" t="n"/>
      <c r="D47" s="750" t="n"/>
      <c r="E47" s="750" t="n"/>
      <c r="F47" s="751" t="n"/>
      <c r="G47" s="744" t="n"/>
      <c r="H47" s="744" t="n"/>
      <c r="I47" s="744" t="n"/>
      <c r="J47" s="744" t="n"/>
    </row>
    <row r="48" ht="12.75" customHeight="1">
      <c r="C48" s="752" t="n"/>
      <c r="D48" s="753" t="n"/>
      <c r="E48" s="753" t="n"/>
      <c r="F48" s="754" t="n"/>
      <c r="G48" s="744" t="n"/>
      <c r="H48" s="744" t="n"/>
      <c r="I48" s="744" t="n"/>
      <c r="J48" s="744" t="n"/>
    </row>
    <row r="49" ht="12.75" customHeight="1">
      <c r="C49" s="28" t="n"/>
      <c r="D49" s="28" t="n"/>
      <c r="E49" s="28" t="n"/>
      <c r="G49" s="744" t="n"/>
      <c r="H49" s="744" t="n"/>
      <c r="I49" s="744" t="n"/>
      <c r="J49" s="744"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c r="A142" s="411" t="n"/>
    </row>
    <row r="143">
      <c r="A143" s="411" t="n"/>
    </row>
    <row r="144">
      <c r="A144" s="411" t="n"/>
    </row>
  </sheetData>
  <mergeCells count="7">
    <mergeCell ref="C46:F48"/>
    <mergeCell ref="C40:G42"/>
    <mergeCell ref="C14:G16"/>
    <mergeCell ref="D9:F9"/>
    <mergeCell ref="D7:F7"/>
    <mergeCell ref="D8:F8"/>
    <mergeCell ref="K22:L22"/>
  </mergeCells>
  <conditionalFormatting sqref="C14:G16 C25:E25 C28:E29 C40:G42 C46:F48 D19 G8:I9 G25 G28:G29 J36 M36:N36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2" t="inlineStr">
        <is>
          <t>执行的程序</t>
        </is>
      </c>
      <c r="E7" s="703" t="n"/>
      <c r="F7" s="704"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5" t="inlineStr">
        <is>
          <t>获取本期长期待摊费用明细表，将金额与TB的金额进行核对。</t>
        </is>
      </c>
      <c r="E8" s="703" t="n"/>
      <c r="F8" s="704" t="n"/>
      <c r="G8" s="583" t="inlineStr">
        <is>
          <t>表1</t>
        </is>
      </c>
      <c r="H8" s="584" t="inlineStr">
        <is>
          <t>是</t>
        </is>
      </c>
      <c r="I8" s="584" t="n"/>
      <c r="J8" s="613" t="n"/>
      <c r="K8" s="67" t="n"/>
      <c r="L8" s="65" t="n"/>
      <c r="M8" s="65" t="n"/>
      <c r="N8" s="65" t="n"/>
    </row>
    <row r="9" outlineLevel="1" ht="66.75" customFormat="1" customHeight="1" s="52">
      <c r="A9" s="413" t="n"/>
      <c r="B9" s="51" t="n"/>
      <c r="C9" s="612" t="n">
        <v>2</v>
      </c>
      <c r="D9" s="755" t="inlineStr">
        <is>
          <t>获取本期长期待摊费用摊销计算表，根据公司的摊销政策重新测算本年应计提的摊销费用。重新计算摊销出现差异的，我们与管理层进行讨论。</t>
        </is>
      </c>
      <c r="E9" s="703" t="n"/>
      <c r="F9" s="704" t="n"/>
      <c r="G9" s="583" t="inlineStr">
        <is>
          <t>表1</t>
        </is>
      </c>
      <c r="H9" s="584" t="n"/>
      <c r="I9" s="584" t="n"/>
      <c r="J9" s="613" t="n"/>
      <c r="K9" s="67" t="n"/>
      <c r="L9" s="65" t="n"/>
      <c r="M9" s="65" t="n"/>
      <c r="N9" s="65" t="n"/>
    </row>
    <row r="10" outlineLevel="1" ht="18" customFormat="1" customHeight="1" s="52">
      <c r="A10" s="413" t="n"/>
      <c r="B10" s="51" t="n"/>
      <c r="C10" s="612" t="n">
        <v>3</v>
      </c>
      <c r="D10" s="755" t="inlineStr">
        <is>
          <t>将本期摊销金额与利润表中相关科目进行核对。</t>
        </is>
      </c>
      <c r="E10" s="703" t="n"/>
      <c r="F10" s="704"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6">
      <c r="A15" s="757"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8">
      <c r="A16" s="759" t="n"/>
      <c r="B16" s="175" t="inlineStr">
        <is>
          <t>表1</t>
        </is>
      </c>
      <c r="C16" s="259" t="inlineStr">
        <is>
          <t>注：以下表格数据源为明细账，项目组可按照项目实际情况对表格的表头进行修改及行列进行删减</t>
        </is>
      </c>
      <c r="D16" s="240" t="n"/>
      <c r="E16" s="240" t="n"/>
      <c r="F16" s="240" t="n"/>
      <c r="G16" s="760"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8">
      <c r="A17" s="759"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8" thickBot="1">
      <c r="A18" s="759" t="n"/>
      <c r="C18" s="329" t="n"/>
      <c r="D18" s="310" t="n"/>
      <c r="E18" s="177" t="inlineStr">
        <is>
          <t>AA</t>
        </is>
      </c>
      <c r="F18" s="177" t="inlineStr">
        <is>
          <t>BB</t>
        </is>
      </c>
      <c r="G18" s="759"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8">
      <c r="A19" s="759" t="n"/>
      <c r="B19" s="179" t="n"/>
      <c r="C19" s="761" t="n"/>
      <c r="D19" s="762" t="n"/>
      <c r="E19" s="762" t="n"/>
      <c r="F19" s="762" t="n"/>
      <c r="G19" s="763" t="n"/>
      <c r="H19" s="182" t="n"/>
      <c r="I19" s="182" t="n"/>
      <c r="J19" s="183" t="inlineStr">
        <is>
          <t>原值</t>
        </is>
      </c>
      <c r="K19" s="182" t="n"/>
      <c r="L19" s="182" t="n"/>
      <c r="M19" s="182" t="n"/>
      <c r="N19" s="182" t="n"/>
      <c r="O19" s="763" t="n"/>
      <c r="P19" s="182" t="n"/>
      <c r="Q19" s="184" t="inlineStr">
        <is>
          <t>累计摊销</t>
        </is>
      </c>
      <c r="R19" s="182" t="n"/>
      <c r="S19" s="182" t="n"/>
      <c r="T19" s="182" t="n"/>
      <c r="U19" s="763" t="n"/>
      <c r="V19" s="182" t="n"/>
      <c r="W19" s="183" t="inlineStr">
        <is>
          <t>减值准备</t>
        </is>
      </c>
      <c r="X19" s="182" t="n"/>
      <c r="Y19" s="182" t="n"/>
      <c r="Z19" s="182" t="n"/>
      <c r="AA19" s="763" t="n"/>
      <c r="AB19" s="764" t="n"/>
      <c r="AC19" s="765" t="inlineStr">
        <is>
          <t>净值</t>
        </is>
      </c>
      <c r="AD19" s="764" t="n"/>
      <c r="AE19" s="764" t="n"/>
      <c r="AF19" s="764" t="n"/>
      <c r="AG19" s="162" t="n"/>
      <c r="AH19" s="763" t="n"/>
      <c r="AI19" s="766" t="n"/>
      <c r="AJ19" s="766" t="inlineStr">
        <is>
          <t>安永本年摊销金额测算</t>
        </is>
      </c>
      <c r="AK19" s="766" t="n"/>
      <c r="AL19" s="766" t="n"/>
      <c r="AM19" s="767" t="n"/>
    </row>
    <row r="20" ht="25.5" customFormat="1" customHeight="1" s="758">
      <c r="A20" s="759"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8" t="n"/>
      <c r="AG20" s="164" t="inlineStr">
        <is>
          <t>样本类型</t>
        </is>
      </c>
      <c r="AH20" s="769"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6">
      <c r="A21" s="757" t="n"/>
      <c r="B21" s="190" t="n"/>
      <c r="C21" s="191" t="n"/>
      <c r="D21" s="168" t="n"/>
      <c r="E21" s="192" t="n"/>
      <c r="F21" s="168" t="n"/>
      <c r="G21" s="770" t="n"/>
      <c r="H21" s="771" t="n"/>
      <c r="I21" s="771" t="n"/>
      <c r="J21" s="623" t="n"/>
      <c r="K21" s="624" t="n"/>
      <c r="L21" s="770" t="n"/>
      <c r="M21" s="772" t="n"/>
      <c r="N21" s="770">
        <f>L21+M21</f>
        <v/>
      </c>
      <c r="O21" s="770" t="n"/>
      <c r="P21" s="772" t="n"/>
      <c r="Q21" s="772" t="n"/>
      <c r="R21" s="770" t="n"/>
      <c r="S21" s="772" t="n"/>
      <c r="T21" s="770">
        <f>R21+S21</f>
        <v/>
      </c>
      <c r="U21" s="770" t="n"/>
      <c r="V21" s="771" t="n"/>
      <c r="W21" s="771" t="n"/>
      <c r="X21" s="770" t="n"/>
      <c r="Y21" s="772" t="n"/>
      <c r="Z21" s="770">
        <f>X21+Y21</f>
        <v/>
      </c>
      <c r="AA21" s="770">
        <f>G21-O21</f>
        <v/>
      </c>
      <c r="AB21" s="772">
        <f>L21-R21</f>
        <v/>
      </c>
      <c r="AC21" s="772" t="n"/>
      <c r="AD21" s="772">
        <f>AB21+AC21</f>
        <v/>
      </c>
      <c r="AE21" s="772">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3">
        <f>IF(F21&lt;&gt;0,L21/F21,0)</f>
        <v/>
      </c>
      <c r="AK21" s="774">
        <f>AI21*AJ21</f>
        <v/>
      </c>
      <c r="AL21" s="774">
        <f>P21-AK21</f>
        <v/>
      </c>
      <c r="AM21" s="633" t="n"/>
      <c r="AN21" s="193" t="n"/>
      <c r="AO21" s="193" t="n"/>
      <c r="AP21" s="193" t="n"/>
    </row>
    <row r="22" customFormat="1" s="756">
      <c r="A22" s="757" t="n"/>
      <c r="B22" s="190" t="n"/>
      <c r="C22" s="634" t="n"/>
      <c r="D22" s="168" t="n"/>
      <c r="E22" s="192" t="n"/>
      <c r="F22" s="168" t="n"/>
      <c r="G22" s="770" t="n"/>
      <c r="H22" s="771" t="n"/>
      <c r="I22" s="771" t="n"/>
      <c r="J22" s="623" t="n"/>
      <c r="K22" s="624" t="n"/>
      <c r="L22" s="770" t="n"/>
      <c r="M22" s="772" t="n"/>
      <c r="N22" s="770">
        <f>L22+M22</f>
        <v/>
      </c>
      <c r="O22" s="770" t="n"/>
      <c r="P22" s="772" t="n"/>
      <c r="Q22" s="772" t="n"/>
      <c r="R22" s="770" t="n"/>
      <c r="S22" s="772" t="n"/>
      <c r="T22" s="770">
        <f>R22+S22</f>
        <v/>
      </c>
      <c r="U22" s="770" t="n"/>
      <c r="V22" s="771" t="n"/>
      <c r="W22" s="771" t="n"/>
      <c r="X22" s="770" t="n"/>
      <c r="Y22" s="772" t="n"/>
      <c r="Z22" s="770">
        <f>X22+Y22</f>
        <v/>
      </c>
      <c r="AA22" s="770">
        <f>G22-O22</f>
        <v/>
      </c>
      <c r="AB22" s="772">
        <f>L22-R22</f>
        <v/>
      </c>
      <c r="AC22" s="772" t="n"/>
      <c r="AD22" s="772">
        <f>AB22+AC22</f>
        <v/>
      </c>
      <c r="AE22" s="772">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3">
        <f>IF(F22&lt;&gt;0,L22/F22,0)</f>
        <v/>
      </c>
      <c r="AK22" s="774">
        <f>AI22*AJ22</f>
        <v/>
      </c>
      <c r="AL22" s="774">
        <f>P22-AK22</f>
        <v/>
      </c>
      <c r="AM22" s="633" t="n"/>
      <c r="AN22" s="193" t="n"/>
      <c r="AO22" s="193" t="n"/>
      <c r="AP22" s="193" t="n"/>
    </row>
    <row r="23" customFormat="1" s="756">
      <c r="A23" s="757" t="n"/>
      <c r="B23" s="190" t="n"/>
      <c r="C23" s="634" t="n"/>
      <c r="D23" s="623" t="n"/>
      <c r="E23" s="636" t="n"/>
      <c r="F23" s="623" t="n"/>
      <c r="G23" s="775" t="n"/>
      <c r="H23" s="776" t="n"/>
      <c r="I23" s="776" t="n"/>
      <c r="J23" s="321" t="n"/>
      <c r="K23" s="322" t="n"/>
      <c r="L23" s="775" t="n"/>
      <c r="M23" s="777" t="n"/>
      <c r="N23" s="770">
        <f>L23+M23</f>
        <v/>
      </c>
      <c r="O23" s="770" t="n"/>
      <c r="P23" s="772" t="n"/>
      <c r="Q23" s="772" t="n"/>
      <c r="R23" s="770" t="n"/>
      <c r="S23" s="772" t="n"/>
      <c r="T23" s="770">
        <f>R23+S23</f>
        <v/>
      </c>
      <c r="U23" s="770" t="n"/>
      <c r="V23" s="771" t="n"/>
      <c r="W23" s="771" t="n"/>
      <c r="X23" s="770" t="n"/>
      <c r="Y23" s="772" t="n"/>
      <c r="Z23" s="770">
        <f>X23+Y23</f>
        <v/>
      </c>
      <c r="AA23" s="770">
        <f>G23-O23</f>
        <v/>
      </c>
      <c r="AB23" s="772">
        <f>L23-R23</f>
        <v/>
      </c>
      <c r="AC23" s="772" t="n"/>
      <c r="AD23" s="772">
        <f>AB23+AC23</f>
        <v/>
      </c>
      <c r="AE23" s="772">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3">
        <f>IF(F23&lt;&gt;0,L23/F23,0)</f>
        <v/>
      </c>
      <c r="AK23" s="774">
        <f>AI23*AJ23</f>
        <v/>
      </c>
      <c r="AL23" s="774">
        <f>P23-AK23</f>
        <v/>
      </c>
      <c r="AM23" s="633" t="n"/>
      <c r="AN23" s="193" t="n"/>
      <c r="AO23" s="193" t="n"/>
      <c r="AP23" s="193" t="n"/>
    </row>
    <row r="24" customFormat="1" s="756">
      <c r="A24" s="757" t="n"/>
      <c r="B24" s="190" t="n"/>
      <c r="C24" s="634" t="n"/>
      <c r="D24" s="623" t="n"/>
      <c r="E24" s="636" t="n"/>
      <c r="F24" s="623" t="n"/>
      <c r="G24" s="775" t="n"/>
      <c r="H24" s="776" t="n"/>
      <c r="I24" s="776" t="n"/>
      <c r="J24" s="321" t="n"/>
      <c r="K24" s="322" t="n"/>
      <c r="L24" s="775" t="n"/>
      <c r="M24" s="777" t="n"/>
      <c r="N24" s="770">
        <f>L24+M24</f>
        <v/>
      </c>
      <c r="O24" s="770" t="n"/>
      <c r="P24" s="772" t="n"/>
      <c r="Q24" s="772" t="n"/>
      <c r="R24" s="770" t="n"/>
      <c r="S24" s="772" t="n"/>
      <c r="T24" s="770">
        <f>R24+S24</f>
        <v/>
      </c>
      <c r="U24" s="770" t="n"/>
      <c r="V24" s="771" t="n"/>
      <c r="W24" s="771" t="n"/>
      <c r="X24" s="770" t="n"/>
      <c r="Y24" s="772" t="n"/>
      <c r="Z24" s="770">
        <f>X24+Y24</f>
        <v/>
      </c>
      <c r="AA24" s="770">
        <f>G24-O24</f>
        <v/>
      </c>
      <c r="AB24" s="772">
        <f>L24-R24</f>
        <v/>
      </c>
      <c r="AC24" s="772" t="n"/>
      <c r="AD24" s="772">
        <f>AB24+AC24</f>
        <v/>
      </c>
      <c r="AE24" s="772">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3">
        <f>IF(F24&lt;&gt;0,L24/F24,0)</f>
        <v/>
      </c>
      <c r="AK24" s="774">
        <f>AI24*AJ24</f>
        <v/>
      </c>
      <c r="AL24" s="774">
        <f>P24-AK24</f>
        <v/>
      </c>
      <c r="AM24" s="633" t="n"/>
      <c r="AN24" s="193" t="n"/>
      <c r="AO24" s="193" t="n"/>
      <c r="AP24" s="193" t="n"/>
    </row>
    <row r="25" customFormat="1" s="756">
      <c r="A25" s="757" t="n"/>
      <c r="B25" s="190" t="n"/>
      <c r="C25" s="634" t="n"/>
      <c r="D25" s="623" t="n"/>
      <c r="E25" s="636" t="n"/>
      <c r="F25" s="623" t="n"/>
      <c r="G25" s="775" t="n"/>
      <c r="H25" s="776" t="n"/>
      <c r="I25" s="776" t="n"/>
      <c r="J25" s="321" t="n"/>
      <c r="K25" s="322" t="n"/>
      <c r="L25" s="775" t="n"/>
      <c r="M25" s="777" t="n"/>
      <c r="N25" s="770">
        <f>L25+M25</f>
        <v/>
      </c>
      <c r="O25" s="770" t="n"/>
      <c r="P25" s="772" t="n"/>
      <c r="Q25" s="772" t="n"/>
      <c r="R25" s="770" t="n"/>
      <c r="S25" s="772" t="n"/>
      <c r="T25" s="770">
        <f>R25+S25</f>
        <v/>
      </c>
      <c r="U25" s="770" t="n"/>
      <c r="V25" s="771" t="n"/>
      <c r="W25" s="771" t="n"/>
      <c r="X25" s="770" t="n"/>
      <c r="Y25" s="772" t="n"/>
      <c r="Z25" s="770">
        <f>X25+Y25</f>
        <v/>
      </c>
      <c r="AA25" s="770">
        <f>G25-O25</f>
        <v/>
      </c>
      <c r="AB25" s="772">
        <f>L25-R25</f>
        <v/>
      </c>
      <c r="AC25" s="772" t="n"/>
      <c r="AD25" s="772">
        <f>AB25+AC25</f>
        <v/>
      </c>
      <c r="AE25" s="772">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3">
        <f>IF(F25&lt;&gt;0,L25/F25,0)</f>
        <v/>
      </c>
      <c r="AK25" s="774">
        <f>AI25*AJ25</f>
        <v/>
      </c>
      <c r="AL25" s="774">
        <f>P25-AK25</f>
        <v/>
      </c>
      <c r="AM25" s="633" t="n"/>
      <c r="AN25" s="193" t="n"/>
      <c r="AO25" s="193" t="n"/>
      <c r="AP25" s="193" t="n"/>
    </row>
    <row r="26" customFormat="1" s="756">
      <c r="A26" s="757" t="n"/>
      <c r="B26" s="190" t="n"/>
      <c r="C26" s="634" t="n"/>
      <c r="D26" s="623" t="n"/>
      <c r="E26" s="636" t="n"/>
      <c r="F26" s="623" t="n"/>
      <c r="G26" s="775" t="n"/>
      <c r="H26" s="776" t="n"/>
      <c r="I26" s="776" t="n"/>
      <c r="J26" s="321" t="n"/>
      <c r="K26" s="322" t="n"/>
      <c r="L26" s="775" t="n"/>
      <c r="M26" s="777" t="n"/>
      <c r="N26" s="770">
        <f>L26+M26</f>
        <v/>
      </c>
      <c r="O26" s="770" t="n"/>
      <c r="P26" s="772" t="n"/>
      <c r="Q26" s="772" t="n"/>
      <c r="R26" s="770" t="n"/>
      <c r="S26" s="772" t="n"/>
      <c r="T26" s="770">
        <f>R26+S26</f>
        <v/>
      </c>
      <c r="U26" s="770" t="n"/>
      <c r="V26" s="771" t="n"/>
      <c r="W26" s="771" t="n"/>
      <c r="X26" s="770" t="n"/>
      <c r="Y26" s="772" t="n"/>
      <c r="Z26" s="770">
        <f>X26+Y26</f>
        <v/>
      </c>
      <c r="AA26" s="770">
        <f>G26-O26</f>
        <v/>
      </c>
      <c r="AB26" s="772">
        <f>L26-R26</f>
        <v/>
      </c>
      <c r="AC26" s="772" t="n"/>
      <c r="AD26" s="772">
        <f>AB26+AC26</f>
        <v/>
      </c>
      <c r="AE26" s="772">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3">
        <f>IF(F26&lt;&gt;0,L26/F26,0)</f>
        <v/>
      </c>
      <c r="AK26" s="774">
        <f>AI26*AJ26</f>
        <v/>
      </c>
      <c r="AL26" s="774">
        <f>P26-AK26</f>
        <v/>
      </c>
      <c r="AM26" s="633" t="n"/>
      <c r="AN26" s="193" t="n"/>
      <c r="AO26" s="193" t="n"/>
      <c r="AP26" s="193" t="n"/>
    </row>
    <row r="27" ht="13.5" customFormat="1" customHeight="1" s="756" thickBot="1">
      <c r="A27" s="757" t="n"/>
      <c r="B27" s="190" t="n"/>
      <c r="C27" s="637" t="n"/>
      <c r="D27" s="638" t="n"/>
      <c r="E27" s="639" t="n"/>
      <c r="F27" s="638" t="n"/>
      <c r="G27" s="778" t="n"/>
      <c r="H27" s="641" t="n"/>
      <c r="I27" s="641" t="n"/>
      <c r="J27" s="638" t="n"/>
      <c r="K27" s="638" t="n"/>
      <c r="L27" s="778" t="n"/>
      <c r="M27" s="638" t="n"/>
      <c r="N27" s="778">
        <f>L27+M27</f>
        <v/>
      </c>
      <c r="O27" s="778" t="n"/>
      <c r="P27" s="779" t="n"/>
      <c r="Q27" s="779" t="n"/>
      <c r="R27" s="778" t="n"/>
      <c r="S27" s="779" t="n"/>
      <c r="T27" s="778">
        <f>R27+S27</f>
        <v/>
      </c>
      <c r="U27" s="778" t="n"/>
      <c r="V27" s="780" t="n"/>
      <c r="W27" s="780" t="n"/>
      <c r="X27" s="778" t="n"/>
      <c r="Y27" s="779" t="n"/>
      <c r="Z27" s="778">
        <f>X27+Y27</f>
        <v/>
      </c>
      <c r="AA27" s="770">
        <f>G27-O27</f>
        <v/>
      </c>
      <c r="AB27" s="772">
        <f>L27-R27</f>
        <v/>
      </c>
      <c r="AC27" s="779" t="n"/>
      <c r="AD27" s="779">
        <f>AB27+AC27</f>
        <v/>
      </c>
      <c r="AE27" s="779">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81">
        <f>IF(F27&lt;&gt;0,L27/F27,0)</f>
        <v/>
      </c>
      <c r="AK27" s="782">
        <f>AI27*AJ27</f>
        <v/>
      </c>
      <c r="AL27" s="782">
        <f>P27-AK27</f>
        <v/>
      </c>
      <c r="AM27" s="650" t="n"/>
    </row>
    <row r="28" customFormat="1" s="756">
      <c r="A28" s="757" t="n"/>
      <c r="B28" s="194" t="n"/>
      <c r="C28" s="195" t="n"/>
      <c r="D28" s="78" t="n"/>
      <c r="E28" s="196" t="n"/>
      <c r="F28" s="197" t="n"/>
      <c r="G28" s="783" t="n"/>
      <c r="H28" s="783" t="n"/>
      <c r="I28" s="783" t="n"/>
      <c r="J28" s="783" t="n"/>
      <c r="K28" s="783" t="n"/>
      <c r="L28" s="783" t="n"/>
      <c r="M28" s="783" t="n"/>
      <c r="N28" s="783" t="n"/>
      <c r="O28" s="783" t="n"/>
      <c r="P28" s="783" t="n"/>
      <c r="Q28" s="783" t="n"/>
      <c r="R28" s="784" t="n"/>
      <c r="S28" s="783" t="n"/>
      <c r="T28" s="784" t="n"/>
      <c r="U28" s="783" t="n"/>
      <c r="V28" s="783" t="n"/>
      <c r="W28" s="783" t="n"/>
      <c r="X28" s="783" t="n"/>
      <c r="Y28" s="783" t="n"/>
      <c r="Z28" s="783" t="n"/>
      <c r="AA28" s="783" t="n"/>
      <c r="AB28" s="783" t="n"/>
      <c r="AC28" s="783" t="n"/>
      <c r="AD28" s="783" t="n"/>
      <c r="AE28" s="785" t="n"/>
      <c r="AF28" s="82" t="n"/>
      <c r="AG28" s="786" t="n"/>
      <c r="AH28" s="198" t="n"/>
      <c r="AI28" s="732" t="n"/>
      <c r="AJ28" s="732" t="n"/>
      <c r="AK28" s="732" t="n"/>
      <c r="AL28" s="732" t="n"/>
      <c r="AM28" s="199" t="n"/>
    </row>
    <row r="29" ht="13.5" customFormat="1" customHeight="1" s="756" thickBot="1">
      <c r="A29" s="757" t="n"/>
      <c r="B29" s="190" t="n"/>
      <c r="D29" s="83" t="n"/>
      <c r="E29" s="200" t="n"/>
      <c r="F29" s="201" t="inlineStr">
        <is>
          <t>合计</t>
        </is>
      </c>
      <c r="G29" s="787">
        <f>SUM(G20:G27)</f>
        <v/>
      </c>
      <c r="H29" s="787">
        <f>SUM(H20:H27)</f>
        <v/>
      </c>
      <c r="I29" s="787">
        <f>SUM(I20:I27)</f>
        <v/>
      </c>
      <c r="J29" s="788" t="n"/>
      <c r="K29" s="788" t="n"/>
      <c r="L29" s="787">
        <f>SUM(L20:L27)</f>
        <v/>
      </c>
      <c r="M29" s="787">
        <f>SUM(M20:M27)</f>
        <v/>
      </c>
      <c r="N29" s="787">
        <f>SUM(N20:N27)</f>
        <v/>
      </c>
      <c r="O29" s="787">
        <f>SUM(O20:O27)</f>
        <v/>
      </c>
      <c r="P29" s="787">
        <f>SUM(P20:P27)</f>
        <v/>
      </c>
      <c r="Q29" s="787">
        <f>SUM(Q20:Q27)</f>
        <v/>
      </c>
      <c r="R29" s="787">
        <f>SUM(R20:R27)</f>
        <v/>
      </c>
      <c r="S29" s="787">
        <f>SUM(S20:S27)</f>
        <v/>
      </c>
      <c r="T29" s="787">
        <f>SUM(T20:T27)</f>
        <v/>
      </c>
      <c r="U29" s="787">
        <f>SUM(U20:U27)</f>
        <v/>
      </c>
      <c r="V29" s="787">
        <f>SUM(V20:V27)</f>
        <v/>
      </c>
      <c r="W29" s="787">
        <f>SUM(W20:W27)</f>
        <v/>
      </c>
      <c r="X29" s="787">
        <f>SUM(X20:X27)</f>
        <v/>
      </c>
      <c r="Y29" s="787">
        <f>SUM(Y20:Y27)</f>
        <v/>
      </c>
      <c r="Z29" s="787">
        <f>SUM(Z20:Z27)</f>
        <v/>
      </c>
      <c r="AA29" s="787">
        <f>SUM(AA20:AA27)</f>
        <v/>
      </c>
      <c r="AB29" s="787">
        <f>SUM(AB20:AB27)</f>
        <v/>
      </c>
      <c r="AC29" s="787">
        <f>SUM(AC20:AC27)</f>
        <v/>
      </c>
      <c r="AD29" s="787">
        <f>SUM(AD20:AD27)</f>
        <v/>
      </c>
      <c r="AE29" s="789">
        <f>AA29-AD29</f>
        <v/>
      </c>
      <c r="AF29" s="653">
        <f>IF(AA29&lt;&gt;0,AE29/AA29,1)</f>
        <v/>
      </c>
      <c r="AG29" s="786" t="n"/>
      <c r="AH29" s="786" t="n"/>
      <c r="AI29" s="786" t="n"/>
      <c r="AJ29" s="787">
        <f>SUM(AJ20:AJ27)</f>
        <v/>
      </c>
      <c r="AK29" s="787">
        <f>SUM(AK20:AK27)</f>
        <v/>
      </c>
      <c r="AL29" s="787">
        <f>SUM(AL20:AL27)</f>
        <v/>
      </c>
      <c r="AM29" s="786" t="n"/>
    </row>
    <row r="30" ht="13.5" customFormat="1" customHeight="1" s="756" thickTop="1">
      <c r="A30" s="757" t="n"/>
      <c r="B30" s="190" t="n"/>
      <c r="C30" s="1" t="n"/>
      <c r="D30" s="1" t="n"/>
      <c r="E30" s="1" t="n"/>
      <c r="F30" s="790"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91" t="n"/>
      <c r="AJ30" s="177" t="inlineStr">
        <is>
          <t>Rx</t>
        </is>
      </c>
      <c r="AK30" s="177" t="inlineStr">
        <is>
          <t>Rx</t>
        </is>
      </c>
      <c r="AL30" s="177" t="inlineStr">
        <is>
          <t>Rx</t>
        </is>
      </c>
      <c r="AM30" s="193" t="n"/>
    </row>
    <row r="31" customFormat="1" s="756">
      <c r="A31" s="757" t="n"/>
      <c r="B31" s="13" t="n"/>
      <c r="C31" s="2" t="n"/>
      <c r="D31" s="83" t="n"/>
      <c r="E31" s="2" t="n"/>
      <c r="O31" s="2" t="n"/>
      <c r="P31" s="2" t="n"/>
      <c r="Q31" s="2" t="n"/>
      <c r="R31" s="2" t="n"/>
      <c r="S31" s="2" t="n"/>
      <c r="T31" s="177" t="n"/>
      <c r="U31" s="2" t="n"/>
      <c r="V31" s="2" t="n"/>
      <c r="W31" s="2" t="n"/>
      <c r="X31" s="2" t="n"/>
      <c r="Y31" s="2" t="n"/>
      <c r="Z31" s="792" t="inlineStr">
        <is>
          <t>L2.00 Lead</t>
        </is>
      </c>
      <c r="AA31" s="793">
        <f>'L2.00 Lead'!N31</f>
        <v/>
      </c>
      <c r="AB31" s="793">
        <f>'L2.00 Lead'!G31</f>
        <v/>
      </c>
      <c r="AC31" s="788" t="n"/>
      <c r="AD31" s="793">
        <f>'L2.00 Lead'!M31</f>
        <v/>
      </c>
      <c r="AE31" s="788" t="n"/>
      <c r="AF31" s="177" t="n"/>
      <c r="AG31" s="788" t="n"/>
    </row>
    <row r="32" customFormat="1" s="756">
      <c r="A32" s="757" t="n"/>
      <c r="B32" s="13" t="n"/>
      <c r="C32" s="2" t="n"/>
      <c r="D32" s="2" t="n"/>
      <c r="E32" s="2" t="n"/>
      <c r="O32" s="739" t="n"/>
      <c r="P32" s="739" t="n"/>
      <c r="Q32" s="739" t="n"/>
      <c r="R32" s="739" t="n"/>
      <c r="S32" s="739" t="n"/>
      <c r="T32" s="739" t="n"/>
      <c r="U32" s="739" t="n"/>
      <c r="V32" s="739" t="n"/>
      <c r="W32" s="739" t="n"/>
      <c r="X32" s="739" t="n"/>
      <c r="Y32" s="739" t="n"/>
      <c r="Z32" s="792" t="inlineStr">
        <is>
          <t>Diff</t>
        </is>
      </c>
      <c r="AA32" s="741">
        <f>AA29-AA31</f>
        <v/>
      </c>
      <c r="AB32" s="741">
        <f>AB29-AB31</f>
        <v/>
      </c>
      <c r="AC32" s="739" t="n"/>
      <c r="AD32" s="741">
        <f>AD29-AD31</f>
        <v/>
      </c>
      <c r="AE32" s="739" t="n"/>
      <c r="AF32" s="177" t="n"/>
      <c r="AG32" s="739" t="n"/>
      <c r="AI32" s="739" t="n"/>
      <c r="AJ32" s="739" t="n"/>
      <c r="AK32" s="739" t="n"/>
      <c r="AL32" s="739" t="n"/>
      <c r="AM32" s="739" t="n"/>
      <c r="AN32" s="739" t="n"/>
      <c r="AO32" s="739" t="n"/>
      <c r="AP32" s="739" t="n"/>
    </row>
    <row r="33" customFormat="1" s="756">
      <c r="A33" s="757" t="n"/>
      <c r="B33" s="794" t="n"/>
      <c r="I33" s="20" t="n"/>
      <c r="J33" s="20" t="n"/>
      <c r="K33" s="2" t="n"/>
      <c r="L33" s="20" t="n"/>
      <c r="P33" s="2" t="n"/>
      <c r="Q33" s="2" t="n"/>
      <c r="R33" s="2" t="n"/>
      <c r="S33" s="795" t="n"/>
      <c r="T33" s="796" t="n"/>
      <c r="U33" s="796" t="n"/>
      <c r="V33" s="2" t="n"/>
      <c r="W33" s="795" t="n"/>
      <c r="Z33" s="210" t="n"/>
      <c r="AA33" s="210" t="n"/>
      <c r="AB33" s="210" t="n"/>
      <c r="AH33" s="2" t="n"/>
      <c r="AI33" s="2" t="n"/>
      <c r="AJ33" s="2" t="n"/>
    </row>
    <row r="34" ht="13.5" customFormat="1" customHeight="1" s="756" thickBot="1">
      <c r="A34" s="757"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5" t="n"/>
      <c r="T34" s="796" t="n"/>
      <c r="U34" s="796" t="n"/>
      <c r="V34" s="2" t="n"/>
      <c r="W34" s="795" t="n"/>
      <c r="Z34" s="210" t="n"/>
      <c r="AA34" s="210" t="n"/>
      <c r="AB34" s="210" t="n"/>
      <c r="AH34" s="2" t="n"/>
      <c r="AI34" s="2" t="n"/>
      <c r="AJ34" s="2" t="n"/>
    </row>
    <row r="35" customFormat="1" s="756">
      <c r="A35" s="757" t="n"/>
      <c r="B35" s="400" t="n"/>
      <c r="C35" s="745" t="n"/>
      <c r="D35" s="708" t="n"/>
      <c r="E35" s="708" t="n"/>
      <c r="F35" s="708" t="n"/>
      <c r="G35" s="709" t="n"/>
      <c r="I35" s="20" t="n"/>
      <c r="J35" s="20" t="n"/>
      <c r="K35" s="2" t="n"/>
      <c r="L35" s="20" t="n"/>
      <c r="P35" s="2" t="n"/>
      <c r="Q35" s="2" t="n"/>
      <c r="R35" s="2" t="n"/>
      <c r="S35" s="795" t="n"/>
      <c r="T35" s="796" t="n"/>
      <c r="U35" s="796" t="n"/>
      <c r="V35" s="2" t="n"/>
      <c r="W35" s="795" t="n"/>
      <c r="Z35" s="210" t="n"/>
      <c r="AA35" s="210" t="n"/>
      <c r="AB35" s="210" t="n"/>
      <c r="AH35" s="2" t="n"/>
      <c r="AI35" s="2" t="n"/>
      <c r="AJ35" s="2" t="n"/>
    </row>
    <row r="36" customFormat="1" s="756">
      <c r="A36" s="757" t="n"/>
      <c r="B36" s="400" t="n"/>
      <c r="C36" s="710" t="n"/>
      <c r="G36" s="697" t="n"/>
      <c r="I36" s="20" t="n"/>
      <c r="J36" s="20" t="n"/>
      <c r="K36" s="2" t="n"/>
      <c r="L36" s="20" t="n"/>
      <c r="P36" s="2" t="n"/>
      <c r="Q36" s="2" t="n"/>
      <c r="R36" s="2" t="n"/>
      <c r="S36" s="795" t="n"/>
      <c r="T36" s="796" t="n"/>
      <c r="U36" s="796" t="n"/>
      <c r="V36" s="2" t="n"/>
      <c r="W36" s="795" t="n"/>
      <c r="Z36" s="210" t="n"/>
      <c r="AA36" s="210" t="n"/>
      <c r="AB36" s="210" t="n"/>
      <c r="AH36" s="2" t="n"/>
      <c r="AI36" s="2" t="n"/>
      <c r="AJ36" s="2" t="n"/>
    </row>
    <row r="37" ht="13.5" customFormat="1" customHeight="1" s="756" thickBot="1">
      <c r="A37" s="757" t="n"/>
      <c r="B37" s="400" t="n"/>
      <c r="C37" s="711" t="n"/>
      <c r="D37" s="712" t="n"/>
      <c r="E37" s="712" t="n"/>
      <c r="F37" s="712" t="n"/>
      <c r="G37" s="713" t="n"/>
      <c r="I37" s="20" t="n"/>
      <c r="J37" s="20" t="n"/>
      <c r="K37" s="2" t="n"/>
      <c r="L37" s="20" t="n"/>
      <c r="P37" s="2" t="n"/>
      <c r="Q37" s="2" t="n"/>
      <c r="R37" s="2" t="n"/>
      <c r="S37" s="795" t="n"/>
      <c r="T37" s="796" t="n"/>
      <c r="U37" s="796" t="n"/>
      <c r="V37" s="2" t="n"/>
      <c r="W37" s="795" t="n"/>
      <c r="Z37" s="210" t="n"/>
      <c r="AA37" s="210" t="n"/>
      <c r="AB37" s="210" t="n"/>
      <c r="AH37" s="2" t="n"/>
      <c r="AI37" s="2" t="n"/>
      <c r="AJ37" s="2" t="n"/>
    </row>
    <row r="38" customFormat="1" s="756">
      <c r="A38" s="757" t="n"/>
      <c r="B38" s="190" t="n"/>
      <c r="C38" s="2" t="n"/>
      <c r="D38" s="2" t="n"/>
      <c r="E38" s="2" t="n"/>
      <c r="I38" s="20" t="n"/>
      <c r="J38" s="20" t="n"/>
      <c r="K38" s="2" t="n"/>
      <c r="L38" s="20" t="n"/>
      <c r="P38" s="2" t="n"/>
      <c r="Q38" s="2" t="n"/>
      <c r="R38" s="2" t="n"/>
      <c r="S38" s="795" t="n"/>
      <c r="T38" s="796" t="n"/>
      <c r="U38" s="796" t="n"/>
      <c r="V38" s="2" t="n"/>
      <c r="W38" s="795" t="n"/>
      <c r="Z38" s="210" t="n"/>
      <c r="AA38" s="210" t="n"/>
      <c r="AB38" s="210" t="n"/>
      <c r="AH38" s="2" t="n"/>
      <c r="AI38" s="2" t="n"/>
      <c r="AJ38" s="2" t="n"/>
    </row>
    <row r="39" ht="13.5" customFormat="1" customHeight="1" s="756" thickBot="1">
      <c r="A39" s="757"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5" t="n"/>
      <c r="T39" s="796" t="n"/>
      <c r="U39" s="796" t="n"/>
      <c r="V39" s="2" t="n"/>
      <c r="W39" s="795" t="n"/>
      <c r="Z39" s="210" t="n"/>
      <c r="AA39" s="210" t="n"/>
      <c r="AB39" s="210" t="n"/>
      <c r="AH39" s="2" t="n"/>
      <c r="AI39" s="2" t="n"/>
      <c r="AJ39" s="2" t="n"/>
    </row>
    <row r="40" customFormat="1" s="756">
      <c r="A40" s="757" t="n"/>
      <c r="B40" s="400" t="n"/>
      <c r="C40" s="745" t="n"/>
      <c r="D40" s="708" t="n"/>
      <c r="E40" s="708" t="n"/>
      <c r="F40" s="708" t="n"/>
      <c r="G40" s="709" t="n"/>
      <c r="I40" s="20" t="n"/>
      <c r="J40" s="20" t="n"/>
      <c r="K40" s="2" t="n"/>
      <c r="L40" s="20" t="n"/>
      <c r="P40" s="2" t="n"/>
      <c r="Q40" s="2" t="n"/>
      <c r="R40" s="2" t="n"/>
      <c r="S40" s="795" t="n"/>
      <c r="T40" s="796" t="n"/>
      <c r="U40" s="796" t="n"/>
      <c r="V40" s="2" t="n"/>
      <c r="W40" s="795" t="n"/>
      <c r="Z40" s="210" t="n"/>
      <c r="AA40" s="210" t="n"/>
      <c r="AB40" s="210" t="n"/>
      <c r="AH40" s="2" t="n"/>
      <c r="AI40" s="2" t="n"/>
      <c r="AJ40" s="2" t="n"/>
    </row>
    <row r="41" customFormat="1" s="756">
      <c r="A41" s="757" t="n"/>
      <c r="B41" s="400" t="n"/>
      <c r="C41" s="710" t="n"/>
      <c r="G41" s="697" t="n"/>
      <c r="I41" s="20" t="n"/>
      <c r="J41" s="20" t="n"/>
      <c r="K41" s="2" t="n"/>
      <c r="L41" s="20" t="n"/>
      <c r="P41" s="2" t="n"/>
      <c r="Q41" s="2" t="n"/>
      <c r="R41" s="2" t="n"/>
      <c r="S41" s="795" t="n"/>
      <c r="T41" s="796" t="n"/>
      <c r="U41" s="796" t="n"/>
      <c r="V41" s="2" t="n"/>
      <c r="W41" s="795" t="n"/>
      <c r="Z41" s="210" t="n"/>
      <c r="AA41" s="210" t="n"/>
      <c r="AB41" s="210" t="n"/>
      <c r="AH41" s="2" t="n"/>
      <c r="AI41" s="2" t="n"/>
      <c r="AJ41" s="2" t="n"/>
    </row>
    <row r="42" ht="13.5" customFormat="1" customHeight="1" s="756" thickBot="1">
      <c r="A42" s="757" t="n"/>
      <c r="B42" s="400" t="n"/>
      <c r="C42" s="711" t="n"/>
      <c r="D42" s="712" t="n"/>
      <c r="E42" s="712" t="n"/>
      <c r="F42" s="712" t="n"/>
      <c r="G42" s="713" t="n"/>
      <c r="I42" s="20" t="n"/>
      <c r="J42" s="20" t="n"/>
      <c r="K42" s="2" t="n"/>
      <c r="L42" s="20" t="n"/>
      <c r="P42" s="2" t="n"/>
      <c r="Q42" s="2" t="n"/>
      <c r="R42" s="2" t="n"/>
      <c r="S42" s="795" t="n"/>
      <c r="T42" s="796" t="n"/>
      <c r="U42" s="796" t="n"/>
      <c r="V42" s="2" t="n"/>
      <c r="W42" s="795" t="n"/>
      <c r="Z42" s="210" t="n"/>
      <c r="AA42" s="210" t="n"/>
      <c r="AB42" s="210" t="n"/>
      <c r="AH42" s="2" t="n"/>
      <c r="AI42" s="2" t="n"/>
      <c r="AJ42" s="2" t="n"/>
    </row>
    <row r="43" ht="13.5" customFormat="1" customHeight="1" s="756" thickBot="1">
      <c r="A43" s="757" t="n"/>
      <c r="B43" s="794" t="n"/>
      <c r="I43" s="20" t="n"/>
      <c r="J43" s="20" t="n"/>
      <c r="K43" s="2" t="n"/>
      <c r="L43" s="20" t="n"/>
      <c r="P43" s="2" t="n"/>
      <c r="Q43" s="2" t="n"/>
      <c r="R43" s="2" t="n"/>
      <c r="S43" s="795" t="n"/>
      <c r="T43" s="796" t="n"/>
      <c r="U43" s="796" t="n"/>
      <c r="V43" s="2" t="n"/>
      <c r="W43" s="795" t="n"/>
      <c r="Z43" s="210" t="n"/>
      <c r="AA43" s="210" t="n"/>
      <c r="AB43" s="210" t="n"/>
      <c r="AH43" s="2" t="n"/>
      <c r="AI43" s="2" t="n"/>
      <c r="AJ43" s="2" t="n"/>
    </row>
    <row r="44" customFormat="1" s="797">
      <c r="A44" s="798" t="n"/>
      <c r="B44" s="799" t="inlineStr">
        <is>
          <t>表2</t>
        </is>
      </c>
      <c r="C44" s="37" t="inlineStr">
        <is>
          <t>与损益表核对如下：</t>
        </is>
      </c>
      <c r="D44" s="14" t="n"/>
      <c r="E44" s="14" t="n"/>
      <c r="F44" s="15" t="n"/>
      <c r="G44" s="16" t="n"/>
      <c r="H44" s="800" t="n"/>
      <c r="Q44" s="2" t="n"/>
      <c r="R44" s="2" t="n"/>
      <c r="S44" s="2" t="n"/>
      <c r="T44" s="796" t="n"/>
      <c r="U44" s="801" t="n"/>
      <c r="V44" s="801" t="n"/>
      <c r="W44" s="801"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2" t="n"/>
      <c r="I45" s="218" t="n"/>
      <c r="J45" s="218" t="n"/>
      <c r="K45" s="6" t="n"/>
      <c r="L45" s="20" t="n"/>
      <c r="O45" s="803" t="n"/>
      <c r="W45" s="20" t="n"/>
      <c r="X45" s="20" t="n"/>
    </row>
    <row r="46" customFormat="1" s="210">
      <c r="A46" s="171" t="n"/>
      <c r="B46" s="13" t="n"/>
      <c r="C46" s="804" t="n"/>
      <c r="D46" s="805" t="inlineStr">
        <is>
          <t>U_200</t>
        </is>
      </c>
      <c r="E46" s="737" t="n"/>
      <c r="F46" s="806" t="inlineStr">
        <is>
          <t>制造费用</t>
        </is>
      </c>
      <c r="G46" s="807" t="n"/>
      <c r="H46" s="221" t="n"/>
      <c r="I46" s="218" t="n"/>
      <c r="J46" s="218" t="n"/>
      <c r="K46" s="222" t="n"/>
      <c r="L46" s="222" t="n"/>
      <c r="O46" s="803" t="n"/>
      <c r="T46" s="222" t="n"/>
      <c r="U46" s="222" t="n"/>
      <c r="V46" s="222" t="n"/>
      <c r="W46" s="223" t="n"/>
      <c r="X46" s="223" t="n"/>
    </row>
    <row r="47" customFormat="1" s="210">
      <c r="A47" s="171" t="n"/>
      <c r="B47" s="13" t="n"/>
      <c r="C47" s="808" t="n"/>
      <c r="D47" s="809" t="inlineStr">
        <is>
          <t>U_400</t>
        </is>
      </c>
      <c r="E47" s="810" t="n"/>
      <c r="F47" s="811" t="inlineStr">
        <is>
          <t>管理费用</t>
        </is>
      </c>
      <c r="G47" s="812" t="n"/>
      <c r="H47" s="221" t="n"/>
      <c r="I47" s="218" t="n"/>
      <c r="J47" s="218" t="n"/>
      <c r="K47" s="222" t="n"/>
      <c r="L47" s="222" t="n"/>
      <c r="T47" s="222" t="n"/>
      <c r="U47" s="222" t="n"/>
      <c r="V47" s="222" t="n"/>
      <c r="W47" s="223" t="n"/>
      <c r="X47" s="223" t="n"/>
    </row>
    <row r="48" customFormat="1" s="210">
      <c r="A48" s="171" t="n"/>
      <c r="B48" s="13" t="n"/>
      <c r="C48" s="808" t="n"/>
      <c r="D48" s="809" t="inlineStr">
        <is>
          <t>U_300</t>
        </is>
      </c>
      <c r="E48" s="810" t="n"/>
      <c r="F48" s="811" t="inlineStr">
        <is>
          <t>销售费用</t>
        </is>
      </c>
      <c r="G48" s="812" t="n"/>
      <c r="H48" s="221" t="n"/>
      <c r="I48" s="218" t="n"/>
      <c r="J48" s="218" t="n"/>
      <c r="K48" s="222" t="n"/>
      <c r="L48" s="222" t="n"/>
      <c r="T48" s="222" t="n"/>
      <c r="U48" s="222" t="n"/>
      <c r="V48" s="222" t="n"/>
      <c r="W48" s="222" t="n"/>
      <c r="X48" s="218" t="n"/>
    </row>
    <row r="49" customFormat="1" s="210">
      <c r="A49" s="171" t="n"/>
      <c r="B49" s="13" t="n"/>
      <c r="C49" s="808" t="n"/>
      <c r="D49" s="813" t="n"/>
      <c r="E49" s="813" t="n"/>
      <c r="F49" s="811" t="inlineStr">
        <is>
          <t>【..】</t>
        </is>
      </c>
      <c r="G49" s="814" t="n"/>
      <c r="H49" s="221" t="n"/>
      <c r="I49" s="218" t="n"/>
      <c r="J49" s="218" t="n"/>
      <c r="K49" s="222" t="n"/>
      <c r="L49" s="222" t="n"/>
      <c r="T49" s="222" t="n"/>
      <c r="U49" s="222" t="n"/>
      <c r="V49" s="222" t="n"/>
      <c r="W49" s="222" t="n"/>
      <c r="X49" s="218" t="n"/>
    </row>
    <row r="50" ht="13.5" customFormat="1" customHeight="1" s="210" thickBot="1">
      <c r="A50" s="171" t="n"/>
      <c r="B50" s="13" t="n"/>
      <c r="C50" s="808" t="n"/>
      <c r="D50" s="813" t="n"/>
      <c r="E50" s="813" t="n"/>
      <c r="F50" s="811" t="inlineStr">
        <is>
          <t>差异</t>
        </is>
      </c>
      <c r="G50" s="815">
        <f>SUM(G46:G49)-P29</f>
        <v/>
      </c>
      <c r="H50" s="221" t="n"/>
      <c r="I50" s="218" t="n"/>
      <c r="J50" s="218" t="n"/>
      <c r="K50" s="222" t="n"/>
      <c r="L50" s="222" t="n"/>
      <c r="T50" s="222" t="n"/>
      <c r="U50" s="222" t="n"/>
      <c r="V50" s="222" t="n"/>
      <c r="W50" s="222" t="n"/>
      <c r="X50" s="218" t="n"/>
    </row>
    <row r="51" ht="13.5" customFormat="1" customHeight="1" s="210" thickTop="1">
      <c r="A51" s="171" t="n"/>
      <c r="B51" s="13" t="n"/>
      <c r="C51" s="808" t="n"/>
      <c r="D51" s="813" t="n"/>
      <c r="E51" s="813"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5" t="n"/>
      <c r="D56" s="708" t="n"/>
      <c r="E56" s="708" t="n"/>
      <c r="F56" s="708" t="n"/>
      <c r="G56" s="709" t="n"/>
    </row>
    <row r="57" ht="14.1" customFormat="1" customHeight="1" s="6">
      <c r="A57" s="410" t="n"/>
      <c r="B57" s="19" t="n"/>
      <c r="C57" s="710" t="n"/>
      <c r="G57" s="697" t="n"/>
    </row>
    <row r="58" ht="14.1" customFormat="1" customHeight="1" s="6" thickBot="1">
      <c r="A58" s="242" t="n"/>
      <c r="B58" s="18" t="n"/>
      <c r="C58" s="711" t="n"/>
      <c r="D58" s="712" t="n"/>
      <c r="E58" s="712" t="n"/>
      <c r="F58" s="712" t="n"/>
      <c r="G58" s="713" t="n"/>
    </row>
    <row r="59" customFormat="1" s="6">
      <c r="A59" s="242" t="n"/>
      <c r="B59" s="18" t="n"/>
      <c r="D59" s="816" t="n"/>
      <c r="E59" s="816" t="n"/>
      <c r="F59" s="816" t="n"/>
      <c r="G59" s="816" t="n"/>
      <c r="H59" s="816" t="n"/>
      <c r="I59" s="816" t="n"/>
      <c r="J59" s="816" t="n"/>
      <c r="K59" s="816" t="n"/>
      <c r="L59" s="816" t="n"/>
      <c r="M59" s="816" t="n"/>
      <c r="N59" s="816" t="n"/>
      <c r="O59" s="816"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7"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7" t="n"/>
      <c r="K5" s="67" t="n"/>
      <c r="L5" s="67" t="n"/>
      <c r="M5" s="61" t="n"/>
      <c r="N5" s="61" t="n"/>
      <c r="CN5" s="54" t="n"/>
      <c r="CO5" s="54" t="n"/>
      <c r="CP5" s="818"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8"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8" t="n"/>
      <c r="CP7" s="818" t="n"/>
      <c r="CY7" s="818" t="n"/>
      <c r="DE7" s="818" t="n"/>
      <c r="DF7" s="54" t="n"/>
      <c r="DG7" s="54" t="n"/>
      <c r="DH7" s="54" t="n"/>
      <c r="DI7" s="54" t="n"/>
      <c r="DJ7" s="54" t="n"/>
      <c r="DK7" s="818" t="n"/>
      <c r="DL7" s="818" t="n"/>
      <c r="DM7" s="818" t="n"/>
      <c r="DN7" s="68" t="n"/>
      <c r="DO7" s="54" t="n"/>
      <c r="DP7" s="54" t="n"/>
    </row>
    <row r="8" ht="18" customHeight="1">
      <c r="A8" s="75" t="n"/>
      <c r="B8" s="453" t="n"/>
      <c r="C8" s="654" t="inlineStr">
        <is>
          <t>序号</t>
        </is>
      </c>
      <c r="D8" s="819" t="inlineStr">
        <is>
          <t>执行的程序</t>
        </is>
      </c>
      <c r="E8" s="820" t="n"/>
      <c r="F8" s="821"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8" t="n"/>
      <c r="DH8" s="818" t="n"/>
      <c r="DI8" s="818" t="n"/>
      <c r="DJ8" s="818" t="n"/>
      <c r="DK8" s="818" t="n"/>
      <c r="DL8" s="69" t="n"/>
      <c r="DM8" s="69" t="n"/>
      <c r="DN8" s="69" t="n"/>
      <c r="DO8" s="68" t="n"/>
      <c r="DP8" s="69" t="n"/>
      <c r="DQ8" s="91" t="n"/>
    </row>
    <row r="9" outlineLevel="1" ht="44.65" customHeight="1">
      <c r="A9" s="75" t="n"/>
      <c r="B9" s="453" t="n"/>
      <c r="C9" s="655" t="n">
        <v>1</v>
      </c>
      <c r="D9" s="822" t="inlineStr">
        <is>
          <t>对于识别本期长期待摊费用的金额差异超过测试阈值，或金额未超过测试阈值但性质异常的项目，获取支持性证据以验证其正确性。</t>
        </is>
      </c>
      <c r="E9" s="820" t="n"/>
      <c r="F9" s="821"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8" t="n"/>
      <c r="DH9" s="818" t="n"/>
      <c r="DI9" s="818" t="n"/>
      <c r="DJ9" s="818" t="n"/>
      <c r="DK9" s="818" t="n"/>
      <c r="DL9" s="69" t="n"/>
      <c r="DM9" s="69" t="n"/>
      <c r="DN9" s="69" t="n"/>
      <c r="DO9" s="68" t="n"/>
      <c r="DP9" s="69" t="n"/>
      <c r="DQ9" s="91" t="n"/>
    </row>
    <row r="10" outlineLevel="1" ht="61.15" customHeight="1">
      <c r="A10" s="75" t="n"/>
      <c r="B10" s="453" t="n"/>
      <c r="C10" s="655" t="n">
        <v>2</v>
      </c>
      <c r="D10" s="822" t="inlineStr">
        <is>
          <t>我们将金额超过测试阈值的项目以及可能存在重大错报风险的项目设为关键项（key item）。
我们使用安永抽样工具选择代表性样本进行测试。</t>
        </is>
      </c>
      <c r="E10" s="820" t="n"/>
      <c r="F10" s="821"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8" t="n"/>
      <c r="DH10" s="818" t="n"/>
      <c r="DI10" s="818" t="n"/>
      <c r="DJ10" s="818" t="n"/>
      <c r="DK10" s="818" t="n"/>
      <c r="DL10" s="69" t="n"/>
      <c r="DM10" s="69" t="n"/>
      <c r="DN10" s="69" t="n"/>
      <c r="DO10" s="68" t="n"/>
      <c r="DP10" s="69" t="n"/>
      <c r="DQ10" s="91" t="n"/>
    </row>
    <row r="11" outlineLevel="1" ht="18" customHeight="1">
      <c r="A11" s="75" t="n"/>
      <c r="B11" s="453" t="n"/>
      <c r="C11" s="655" t="n">
        <v>3</v>
      </c>
      <c r="D11" s="822" t="inlineStr">
        <is>
          <t>对选取的样本按照测试属性进行测试</t>
        </is>
      </c>
      <c r="E11" s="820" t="n"/>
      <c r="F11" s="821"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8" t="n"/>
      <c r="DH11" s="818" t="n"/>
      <c r="DI11" s="818" t="n"/>
      <c r="DJ11" s="818" t="n"/>
      <c r="DK11" s="818"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3" t="n"/>
      <c r="D16" s="708" t="n"/>
      <c r="E16" s="708" t="n"/>
      <c r="F16" s="708" t="n"/>
      <c r="G16" s="709"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10" t="n"/>
      <c r="G17" s="697"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1" t="n"/>
      <c r="D18" s="712" t="n"/>
      <c r="E18" s="712" t="n"/>
      <c r="F18" s="712" t="n"/>
      <c r="G18" s="713"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4" t="n"/>
      <c r="H32" s="825"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4" t="n"/>
      <c r="H33" s="825"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6" t="n"/>
      <c r="H34" s="827"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6" t="n"/>
      <c r="H35" s="827"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8" t="n"/>
      <c r="H36" s="829"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30" t="n"/>
      <c r="K38" s="7" t="n"/>
      <c r="L38" s="76" t="n"/>
      <c r="M38" s="76" t="n"/>
      <c r="CM38" s="4" t="n"/>
      <c r="DM38" s="58" t="n"/>
      <c r="DN38" s="4" t="n"/>
      <c r="DO38" s="5" t="n"/>
      <c r="DP38" s="54" t="n"/>
    </row>
    <row r="39" ht="14.1" customHeight="1">
      <c r="B39" s="140" t="inlineStr">
        <is>
          <t>Notes</t>
        </is>
      </c>
      <c r="C39" s="823" t="n"/>
      <c r="D39" s="708" t="n"/>
      <c r="E39" s="708" t="n"/>
      <c r="F39" s="708" t="n"/>
      <c r="G39" s="709" t="n"/>
      <c r="CM39" s="4" t="n"/>
      <c r="DM39" s="58" t="n"/>
      <c r="DN39" s="4" t="n"/>
      <c r="DO39" s="5" t="n"/>
      <c r="DP39" s="54" t="n"/>
    </row>
    <row r="40" ht="14.1" customHeight="1">
      <c r="C40" s="710" t="n"/>
      <c r="G40" s="697" t="n"/>
    </row>
    <row r="41" ht="14.1" customHeight="1" thickBot="1">
      <c r="A41" s="411" t="n"/>
      <c r="C41" s="711" t="n"/>
      <c r="D41" s="712" t="n"/>
      <c r="E41" s="712" t="n"/>
      <c r="F41" s="712" t="n"/>
      <c r="G41" s="713"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2026-05-27T06:32:52Z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
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776" firstSheet="0" activeTab="1" autoFilterDateGrouping="1"/>
  </bookViews>
  <sheets>
    <sheet name="汇总" sheetId="1" state="visible" r:id="rId1"/>
    <sheet name="C.00 Lead" sheetId="2" state="visible" r:id="rId2"/>
    <sheet name="C.00 BKD" sheetId="3" state="visible" r:id="rId3"/>
    <sheet name="SkywindSettingSheet" sheetId="4" state="veryHidden" r:id="rId4"/>
    <sheet name="C.01 Confirmations " sheetId="5" state="visible" r:id="rId5"/>
    <sheet name="C.01b 特殊账户程序" sheetId="6" state="visible" r:id="rId6"/>
    <sheet name="C.00b Other classification" sheetId="7" state="visible" r:id="rId7"/>
    <sheet name="C.02 Bank reconciliations" sheetId="8" state="visible"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 name="C.02a 外币测算" sheetId="13" state="visible" r:id="rId13"/>
    <sheet name="C.03 Cutoff" sheetId="14" state="visible" r:id="rId14"/>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2" hidden="1">{#N/A,#N/A,TRUE,"CPRD";#N/A,#N/A,TRUE,"BCCPDR";#N/A,#N/A,TRUE,"EWRD";#N/A,#N/A,TRUE,"5100";#N/A,#N/A,TRUE,"5110"}</definedName>
    <definedName name="____dod1" localSheetId="2" hidden="1">{#N/A,#N/A,TRUE,"CPRD";#N/A,#N/A,TRUE,"BCCPDR";#N/A,#N/A,TRUE,"EWRD";#N/A,#N/A,TRUE,"5100";#N/A,#N/A,TRUE,"5110"}</definedName>
    <definedName name="___dod1" localSheetId="2" hidden="1">{#N/A,#N/A,TRUE,"CPRD";#N/A,#N/A,TRUE,"BCCPDR";#N/A,#N/A,TRUE,"EWRD";#N/A,#N/A,TRUE,"5100";#N/A,#N/A,TRUE,"5110"}</definedName>
    <definedName name="___dog1" localSheetId="2" hidden="1">{#N/A,#N/A,TRUE,"CPRD";#N/A,#N/A,TRUE,"BCCPDR";#N/A,#N/A,TRUE,"EWRD";#N/A,#N/A,TRUE,"5100";#N/A,#N/A,TRUE,"5110"}</definedName>
    <definedName name="__dod1" localSheetId="2" hidden="1">{#N/A,#N/A,TRUE,"CPRD";#N/A,#N/A,TRUE,"BCCPDR";#N/A,#N/A,TRUE,"EWRD";#N/A,#N/A,TRUE,"5100";#N/A,#N/A,TRUE,"5110"}</definedName>
    <definedName name="__dog1" localSheetId="2" hidden="1">{#N/A,#N/A,TRUE,"CPRD";#N/A,#N/A,TRUE,"BCCPDR";#N/A,#N/A,TRUE,"EWRD";#N/A,#N/A,TRUE,"5100";#N/A,#N/A,TRUE,"5110"}</definedName>
    <definedName name="_15wrn.²Ä1­Ó¤ë1_Ü20¤H." localSheetId="2" hidden="1">{#N/A,#N/A,FALSE,"²Ä1­Ó¤ë"}</definedName>
    <definedName name="_16wrn.²Ä1­Ó¤ë1_Ü20¤H." localSheetId="2" hidden="1">{#N/A,#N/A,FALSE,"²Ä1­Ó¤ë"}</definedName>
    <definedName name="_dod1" localSheetId="2" hidden="1">{#N/A,#N/A,TRUE,"CPRD";#N/A,#N/A,TRUE,"BCCPDR";#N/A,#N/A,TRUE,"EWRD";#N/A,#N/A,TRUE,"5100";#N/A,#N/A,TRUE,"5110"}</definedName>
    <definedName name="_dog1" localSheetId="2" hidden="1">{#N/A,#N/A,TRUE,"CPRD";#N/A,#N/A,TRUE,"BCCPDR";#N/A,#N/A,TRUE,"EWRD";#N/A,#N/A,TRUE,"5100";#N/A,#N/A,TRUE,"5110"}</definedName>
    <definedName name="_Fill" localSheetId="2" hidden="1">#REF!</definedName>
    <definedName name="_Key1" localSheetId="2" hidden="1">#REF!</definedName>
    <definedName name="_Key2" localSheetId="2" hidden="1">#REF!</definedName>
    <definedName name="_O1" localSheetId="2" hidden="1">{#N/A,#N/A,FALSE,"970301";#N/A,#N/A,FALSE,"970302";#N/A,#N/A,FALSE,"970303";#N/A,#N/A,FALSE,"970304";#N/A,#N/A,FALSE,"COM1";#N/A,#N/A,FALSE,"COM2"}</definedName>
    <definedName name="_Sort" localSheetId="2" hidden="1">#REF!</definedName>
    <definedName name="aavbrdf" localSheetId="2" hidden="1">{#N/A,#N/A,FALSE,"OffAdvance";#N/A,#N/A,FALSE,"OffExpRprt";#N/A,#N/A,FALSE,"Travelling";#N/A,#N/A,FALSE,"Entertmnt";#N/A,#N/A,FALSE,"Promotion"}</definedName>
    <definedName name="aaz" localSheetId="2" hidden="1">{#N/A,#N/A,FALSE,"资产负债表";#N/A,#N/A,FALSE,"资产负债表"}</definedName>
    <definedName name="ada" localSheetId="2" hidden="1">{#N/A,#N/A,FALSE,"资产负债表";#N/A,#N/A,FALSE,"资产负债表"}</definedName>
    <definedName name="adaf" localSheetId="2" hidden="1">{#N/A,#N/A,FALSE,"资产负债表";#N/A,#N/A,FALSE,"资产负债表"}</definedName>
    <definedName name="adas" localSheetId="2" hidden="1">{"M1Print",#N/A,TRUE,"M1";"M2Print",#N/A,TRUE,"M2";"M1sPrint",#N/A,TRUE,"M1s";"M2aPrint",#N/A,TRUE,"M2a";"M4Print",#N/A,TRUE,"M4";"M5Print",#N/A,TRUE,"M5";"M6Print",#N/A,TRUE,"M6";"M6_1Print",#N/A,TRUE,"M6_1";"M6_2Print",#N/A,TRUE,"M6_2";"M7_1Print",#N/A,TRUE,"M7_1";"M7_2Print",#N/A,TRUE,"M7_2"}</definedName>
    <definedName name="adf" localSheetId="2" hidden="1">{"toptrial",#N/A,TRUE,"toptrial";"adjustment",#N/A,TRUE,"toptrial";"voucher",#N/A,TRUE,"toptrial"}</definedName>
    <definedName name="afhai" localSheetId="2" hidden="1">{#N/A,#N/A,FALSE,"资产负债表";#N/A,#N/A,FALSE,"资产负债表"}</definedName>
    <definedName name="AGEDDATABASE" localSheetId="2" hidden="1">{#N/A,#N/A,FALSE,"970301";#N/A,#N/A,FALSE,"970302";#N/A,#N/A,FALSE,"970303";#N/A,#N/A,FALSE,"970304";#N/A,#N/A,FALSE,"COM1";#N/A,#N/A,FALSE,"COM2"}</definedName>
    <definedName name="aidhaif" localSheetId="2" hidden="1">{#N/A,#N/A,FALSE,"资产负债表";#N/A,#N/A,FALSE,"资产负债表"}</definedName>
    <definedName name="anakf" localSheetId="2" hidden="1">{#N/A,#N/A,FALSE,"资产负债表";#N/A,#N/A,FALSE,"资产负债表"}</definedName>
    <definedName name="AS2TickmarkLS" localSheetId="2" hidden="1">#REF!</definedName>
    <definedName name="asdg" localSheetId="2" hidden="1">{#N/A,#N/A,FALSE,"资产负债表";#N/A,#N/A,FALSE,"资产负债表"}</definedName>
    <definedName name="ass" localSheetId="2" hidden="1">{#N/A,#N/A,TRUE,"CPRD";#N/A,#N/A,TRUE,"BCCPDR";#N/A,#N/A,TRUE,"EWRD";#N/A,#N/A,TRUE,"5100";#N/A,#N/A,TRUE,"5110"}</definedName>
    <definedName name="book" localSheetId="2" hidden="1">{#N/A,#N/A,FALSE,"OffAdvance";#N/A,#N/A,FALSE,"OffExpRprt";#N/A,#N/A,FALSE,"Entertmnt";#N/A,#N/A,FALSE,"Promotion";#N/A,#N/A,FALSE,"Travelling"}</definedName>
    <definedName name="book.2" localSheetId="2" hidden="1">{#N/A,#N/A,FALSE,"OffAdvance";#N/A,#N/A,FALSE,"OffExpRprt";#N/A,#N/A,FALSE,"Travelling";#N/A,#N/A,FALSE,"Entertmnt";#N/A,#N/A,FALSE,"Promotion"}</definedName>
    <definedName name="cashflow20030930" localSheetId="2" hidden="1">{"M1Print",#N/A,TRUE,"M1";"M2Print",#N/A,TRUE,"M2";"M1sPrint",#N/A,TRUE,"M1s";"M2aPrint",#N/A,TRUE,"M2a";"M4Print",#N/A,TRUE,"M4";"M5Print",#N/A,TRUE,"M5";"M6Print",#N/A,TRUE,"M6";"M6_1Print",#N/A,TRUE,"M6_1";"M6_2Print",#N/A,TRUE,"M6_2";"M7_1Print",#N/A,TRUE,"M7_1";"M7_2Print",#N/A,TRUE,"M7_2"}</definedName>
    <definedName name="cbx" localSheetId="2" hidden="1">{#N/A,#N/A,FALSE,"M1s Board";#N/A,#N/A,FALSE,"M3 Board";#N/A,#N/A,FALSE,"M6 Board";#N/A,#N/A,FALSE,"M7";#N/A,#N/A,FALSE,"M7B";#N/A,#N/A,FALSE,"M8";#N/A,#N/A,FALSE,"M8A Board";#N/A,#N/A,FALSE,"AF1 Board"}</definedName>
    <definedName name="cccvb" localSheetId="2" hidden="1">{#N/A,#N/A,FALSE,"资产负债表";#N/A,#N/A,FALSE,"资产负债表"}</definedName>
    <definedName name="CFVVHH" localSheetId="2" hidden="1">{#N/A,#N/A,FALSE,"资产负债表";#N/A,#N/A,FALSE,"资产负债表"}</definedName>
    <definedName name="cfyik" localSheetId="2" hidden="1">{#N/A,#N/A,FALSE,"资产负债表";#N/A,#N/A,FALSE,"资产负债表"}</definedName>
    <definedName name="cgul" localSheetId="2" hidden="1">{#N/A,#N/A,FALSE,"资产负债表";#N/A,#N/A,FALSE,"资产负债表"}</definedName>
    <definedName name="cguocnbnl" localSheetId="2" hidden="1">{#N/A,#N/A,FALSE,"资产负债表";#N/A,#N/A,FALSE,"资产负债表"}</definedName>
    <definedName name="Coll" localSheetId="2" hidden="1">{#N/A,#N/A,FALSE,"970301";#N/A,#N/A,FALSE,"970302";#N/A,#N/A,FALSE,"970303";#N/A,#N/A,FALSE,"970304";#N/A,#N/A,FALSE,"COM1";#N/A,#N/A,FALSE,"COM2"}</definedName>
    <definedName name="dcca" localSheetId="2" hidden="1">{#N/A,#N/A,FALSE,"资产负债表";#N/A,#N/A,FALSE,"资产负债表"}</definedName>
    <definedName name="dfgdafsg" localSheetId="2" hidden="1">{#N/A,#N/A,FALSE,"OffAdvance";#N/A,#N/A,FALSE,"OffExpRprt";#N/A,#N/A,FALSE,"Travelling";#N/A,#N/A,FALSE,"Entertmnt";#N/A,#N/A,FALSE,"Promotion"}</definedName>
    <definedName name="dfv" localSheetId="2" hidden="1">{"M1Print",#N/A,TRUE,"M1";"M2Print",#N/A,TRUE,"M2";"M1sPrint",#N/A,TRUE,"M1s";"M2aPrint",#N/A,TRUE,"M2a";"M4Print",#N/A,TRUE,"M4";"M5Print",#N/A,TRUE,"M5";"M6Print",#N/A,TRUE,"M6";"M6_1Print",#N/A,TRUE,"M6_1";"M6_2Print",#N/A,TRUE,"M6_2";"M7_1Print",#N/A,TRUE,"M7_1";"M7_2Print",#N/A,TRUE,"M7_2"}</definedName>
    <definedName name="dh" localSheetId="2" hidden="1">{"M4Print",#N/A,FALSE,"M4"}</definedName>
    <definedName name="dlf" localSheetId="2" hidden="1">{"M4Print",#N/A,FALSE,"M4"}</definedName>
    <definedName name="doddd" localSheetId="2" hidden="1">{#N/A,#N/A,TRUE,"CPRD";#N/A,#N/A,TRUE,"BCCPDR";#N/A,#N/A,TRUE,"EWRD";#N/A,#N/A,TRUE,"5100";#N/A,#N/A,TRUE,"5110"}</definedName>
    <definedName name="dog" localSheetId="2" hidden="1">{#N/A,#N/A,TRUE,"CPRD";#N/A,#N/A,TRUE,"BCCPDR";#N/A,#N/A,TRUE,"EWRD";#N/A,#N/A,TRUE,"5100";#N/A,#N/A,TRUE,"5110"}</definedName>
    <definedName name="dvbm" localSheetId="2" hidden="1">{#N/A,#N/A,FALSE,"资产负债表";#N/A,#N/A,FALSE,"资产负债表"}</definedName>
    <definedName name="ehdg" localSheetId="2" hidden="1">{#N/A,#N/A,FALSE,"Jan"}</definedName>
    <definedName name="erf" localSheetId="2" hidden="1">{#N/A,#N/A,FALSE,"970301";#N/A,#N/A,FALSE,"970302";#N/A,#N/A,FALSE,"970303";#N/A,#N/A,FALSE,"970304";#N/A,#N/A,FALSE,"COM1";#N/A,#N/A,FALSE,"COM2"}</definedName>
    <definedName name="eryj" localSheetId="2" hidden="1">{#N/A,#N/A,FALSE,"资产负债表";#N/A,#N/A,FALSE,"资产负债表"}</definedName>
    <definedName name="ExpenseUpload" localSheetId="2" hidden="1">{#N/A,#N/A,TRUE,"CPRD";#N/A,#N/A,TRUE,"BCCPDR";#N/A,#N/A,TRUE,"EWRD";#N/A,#N/A,TRUE,"5100";#N/A,#N/A,TRUE,"5110"}</definedName>
    <definedName name="faif" localSheetId="2" hidden="1">{#N/A,#N/A,FALSE,"资产负债表";#N/A,#N/A,FALSE,"资产负债表"}</definedName>
    <definedName name="fd" localSheetId="2" hidden="1">{"M1sPrint",#N/A,FALSE,"M1s"}</definedName>
    <definedName name="feedback" localSheetId="2" hidden="1">{#N/A,#N/A,TRUE,"CPRD";#N/A,#N/A,TRUE,"BCCPDR";#N/A,#N/A,TRUE,"EWRD";#N/A,#N/A,TRUE,"5100";#N/A,#N/A,TRUE,"5110"}</definedName>
    <definedName name="fgdg" localSheetId="2" hidden="1">{"M1Print",#N/A,TRUE,"M1";"M2Print",#N/A,TRUE,"M2";"M1sPrint",#N/A,TRUE,"M1s";"M2aPrint",#N/A,TRUE,"M2a";"M4Print",#N/A,TRUE,"M4";"M5Print",#N/A,TRUE,"M5";"M6Print",#N/A,TRUE,"M6";"M6_1Print",#N/A,TRUE,"M6_1";"M6_2Print",#N/A,TRUE,"M6_2";"M7_1Print",#N/A,TRUE,"M7_1";"M7_2Print",#N/A,TRUE,"M7_2"}</definedName>
    <definedName name="fvb" localSheetId="2" hidden="1">{#N/A,#N/A,FALSE,"资产负债表";#N/A,#N/A,FALSE,"资产负债表"}</definedName>
    <definedName name="G9IJGF" localSheetId="2" hidden="1">{#N/A,#N/A,FALSE,"资产负债表";#N/A,#N/A,FALSE,"资产负债表"}</definedName>
    <definedName name="hadiah" localSheetId="2" hidden="1">{#N/A,#N/A,FALSE,"资产负债表";#N/A,#N/A,FALSE,"资产负债表"}</definedName>
    <definedName name="HdctTrnd" localSheetId="2" hidden="1">{#N/A,#N/A,TRUE,"CPRD";#N/A,#N/A,TRUE,"BCCPDR";#N/A,#N/A,TRUE,"EWRD";#N/A,#N/A,TRUE,"5100";#N/A,#N/A,TRUE,"5110"}</definedName>
    <definedName name="HTL_Cotrol1" localSheetId="2" hidden="1">{"'Sheet3'!$A$47:$M$47"}</definedName>
    <definedName name="HTML_Control" localSheetId="2" hidden="1">{"'Vxxe_times_J750 (2)'!$A$3:$E$14"}</definedName>
    <definedName name="hueoa" localSheetId="2" hidden="1">{#N/A,#N/A,FALSE,"资产负债表";#N/A,#N/A,FALSE,"资产负债表"}</definedName>
    <definedName name="ieji" localSheetId="2" hidden="1">{#N/A,#N/A,FALSE,"970301";#N/A,#N/A,FALSE,"970302";#N/A,#N/A,FALSE,"970303";#N/A,#N/A,FALSE,"970304";#N/A,#N/A,FALSE,"COM1";#N/A,#N/A,FALSE,"COM2"}</definedName>
    <definedName name="jdda" localSheetId="2" hidden="1">{"M4Print",#N/A,FALSE,"M4"}</definedName>
    <definedName name="jdfslsajdflasdkjpf" localSheetId="2" hidden="1">{#N/A,#N/A,FALSE,"OffAdvance";#N/A,#N/A,FALSE,"OffExpRprt";#N/A,#N/A,FALSE,"Entertmnt";#N/A,#N/A,FALSE,"Promotion";#N/A,#N/A,FALSE,"Travelling"}</definedName>
    <definedName name="jfgh" localSheetId="2" hidden="1">{"M1sPrint",#N/A,FALSE,"M1s"}</definedName>
    <definedName name="jgfhfg" localSheetId="2" hidden="1">{"M1sPrint",#N/A,FALSE,"M1s"}</definedName>
    <definedName name="jlj" localSheetId="2" hidden="1">{"M2aPrint",#N/A,FALSE,"M2a"}</definedName>
    <definedName name="jughn" localSheetId="2" hidden="1">{"M7_1Print",#N/A,TRUE,"M7_1";"M7_2Print",#N/A,TRUE,"M7_2"}</definedName>
    <definedName name="jytj" localSheetId="2" hidden="1">{"M7_1Print",#N/A,TRUE,"M7_1";"M7_2Print",#N/A,TRUE,"M7_2"}</definedName>
    <definedName name="kljik" localSheetId="2" hidden="1">{#N/A,#N/A,FALSE,"OffAdvance";#N/A,#N/A,FALSE,"OffExpRprt";#N/A,#N/A,FALSE,"Entertmnt";#N/A,#N/A,FALSE,"Promotion";#N/A,#N/A,FALSE,"Travelling"}</definedName>
    <definedName name="kuj" localSheetId="2" hidden="1">{"M6Print",#N/A,FALSE,"M6";"M6_1Print",#N/A,FALSE,"M6_1";"M6_2Print",#N/A,FALSE,"M6_2"}</definedName>
    <definedName name="LotusGraphChart1" localSheetId="2" hidden="1">#REF!</definedName>
    <definedName name="lotusgraphchart1b" localSheetId="2" hidden="1">#REF!</definedName>
    <definedName name="lotusgraphchart1x" localSheetId="2" hidden="1">#REF!</definedName>
    <definedName name="lu" localSheetId="2" hidden="1">{"M1sPrint",#N/A,FALSE,"M1s"}</definedName>
    <definedName name="n" localSheetId="2" hidden="1">{"M2Print",#N/A,FALSE,"M2"}</definedName>
    <definedName name="ngn" localSheetId="2" hidden="1">{"M1Print",#N/A,TRUE,"M1";"M2Print",#N/A,TRUE,"M2";"M1sPrint",#N/A,TRUE,"M1s";"M2aPrint",#N/A,TRUE,"M2a";"M4Print",#N/A,TRUE,"M4";"M5Print",#N/A,TRUE,"M5";"M6Print",#N/A,TRUE,"M6";"M6_1Print",#N/A,TRUE,"M6_1";"M6_2Print",#N/A,TRUE,"M6_2";"M7_1Print",#N/A,TRUE,"M7_1";"M7_2Print",#N/A,TRUE,"M7_2"}</definedName>
    <definedName name="notused" localSheetId="2" hidden="1">{#N/A,#N/A,TRUE,"CPRD";#N/A,#N/A,TRUE,"BCCPDR";#N/A,#N/A,TRUE,"EWRD";#N/A,#N/A,TRUE,"5100";#N/A,#N/A,TRUE,"5110"}</definedName>
    <definedName name="qwertyuiopasdfghjkl" localSheetId="2" hidden="1">{"M2aPrint",#N/A,FALSE,"M2a"}</definedName>
    <definedName name="qwwertyuiop" localSheetId="2" hidden="1">{"M2Print",#N/A,FALSE,"M2"}</definedName>
    <definedName name="RJE" localSheetId="2" hidden="1">{"toptrial",#N/A,TRUE,"toptrial";"adjustment",#N/A,TRUE,"toptrial";"voucher",#N/A,TRUE,"toptrial"}</definedName>
    <definedName name="sdfs" localSheetId="2" hidden="1">{"M1sPrint",#N/A,FALSE,"M1s"}</definedName>
    <definedName name="Sheet1_BNE_MESSAGES" localSheetId="2" hidden="1">#REF!</definedName>
    <definedName name="Sheet1_BNE_MESSAGES_HIDDEN" localSheetId="2" hidden="1">#REF!</definedName>
    <definedName name="Sheet1_BNE_MESSAGES_LAMP" localSheetId="2" hidden="1">#REF!</definedName>
    <definedName name="Sheet1_BNE_UPLOAD" localSheetId="2" hidden="1">#REF!</definedName>
    <definedName name="Sheet1_GL_INTERFACE_ACCOUNTING_DATE" localSheetId="2" hidden="1">#REF!</definedName>
    <definedName name="Sheet1_GL_INTERFACE_ACTUAL_FLAG" localSheetId="2" hidden="1">#REF!</definedName>
    <definedName name="Sheet1_GL_INTERFACE_CURRENCY_CODE" localSheetId="2" hidden="1">#REF!</definedName>
    <definedName name="Sheet1_GL_INTERFACE_DATABASE" localSheetId="2" hidden="1">#REF!</definedName>
    <definedName name="Sheet1_GL_INTERFACE_ENTERED_CR" localSheetId="2" hidden="1">#REF!</definedName>
    <definedName name="Sheet1_GL_INTERFACE_ENTERED_DR" localSheetId="2" hidden="1">#REF!</definedName>
    <definedName name="Sheet1_GL_INTERFACE_REFERENCE1" localSheetId="2" hidden="1">#REF!</definedName>
    <definedName name="Sheet1_GL_INTERFACE_REFERENCE10" localSheetId="2" hidden="1">#REF!</definedName>
    <definedName name="Sheet1_GL_INTERFACE_REFERENCE4" localSheetId="2" hidden="1">#REF!</definedName>
    <definedName name="Sheet1_GL_INTERFACE_REFERENCE5" localSheetId="2" hidden="1">#REF!</definedName>
    <definedName name="Sheet1_GL_INTERFACE_REFERENCE6" localSheetId="2" hidden="1">#REF!</definedName>
    <definedName name="Sheet1_GL_INTERFACE_REFERENCE7" localSheetId="2" hidden="1">#REF!</definedName>
    <definedName name="Sheet1_GL_INTERFACE_REFERENCE8" localSheetId="2" hidden="1">#REF!</definedName>
    <definedName name="Sheet1_GL_INTERFACE_SEGMENT1" localSheetId="2" hidden="1">#REF!</definedName>
    <definedName name="Sheet1_GL_INTERFACE_SEGMENT2" localSheetId="2" hidden="1">#REF!</definedName>
    <definedName name="Sheet1_GL_INTERFACE_SEGMENT3" localSheetId="2" hidden="1">#REF!</definedName>
    <definedName name="Sheet1_GL_INTERFACE_SEGMENT4" localSheetId="2" hidden="1">#REF!</definedName>
    <definedName name="Sheet1_GL_INTERFACE_SEGMENT5" localSheetId="2" hidden="1">#REF!</definedName>
    <definedName name="Sheet1_GL_INTERFACE_SEGMENT6" localSheetId="2" hidden="1">#REF!</definedName>
    <definedName name="Sheet1_GL_INTERFACE_SET_OF_BOOKS_ID" localSheetId="2" hidden="1">#REF!</definedName>
    <definedName name="Sheet1_GL_INTERFACE_USER_JE_CATEGORY_NAME" localSheetId="2" hidden="1">#REF!</definedName>
    <definedName name="Sheet1_GL_INTERFACE_USER_JE_SOURCE_NAME" localSheetId="2" hidden="1">#REF!</definedName>
    <definedName name="sssz" localSheetId="2" hidden="1">{#N/A,#N/A,FALSE,"资产负债表";#N/A,#N/A,FALSE,"资产负债表"}</definedName>
    <definedName name="terh" localSheetId="2" hidden="1">{#N/A,#N/A,FALSE,"OffAdvance";#N/A,#N/A,FALSE,"OffExpRprt";#N/A,#N/A,FALSE,"Entertmnt";#N/A,#N/A,FALSE,"Promotion";#N/A,#N/A,FALSE,"Travelling"}</definedName>
    <definedName name="tfhg" localSheetId="2" hidden="1">{"M1Print",#N/A,FALSE,"M1"}</definedName>
    <definedName name="the" localSheetId="2" hidden="1">{#N/A,#N/A,FALSE,"Marketing";#N/A,#N/A,FALSE,"Selling";#N/A,#N/A,FALSE,"Promotional";#N/A,#N/A,FALSE,"Advertising"}</definedName>
    <definedName name="ulead" localSheetId="2" hidden="1">{#N/A,#N/A,FALSE,"970301";#N/A,#N/A,FALSE,"970302";#N/A,#N/A,FALSE,"970303";#N/A,#N/A,FALSE,"970304";#N/A,#N/A,FALSE,"COM1";#N/A,#N/A,FALSE,"COM2"}</definedName>
    <definedName name="uygh" localSheetId="2" hidden="1">{"M6Print",#N/A,FALSE,"M6";"M6_1Print",#N/A,FALSE,"M6_1";"M6_2Print",#N/A,FALSE,"M6_2"}</definedName>
    <definedName name="vhvkb" localSheetId="2" hidden="1">{#N/A,#N/A,FALSE,"资产负债表";#N/A,#N/A,FALSE,"资产负债表"}</definedName>
    <definedName name="wrn.Aging._.and._.Trend._.Analysis." localSheetId="2" hidden="1">{#N/A,#N/A,FALSE,"Aging Summary";#N/A,#N/A,FALSE,"Ratio Analysis";#N/A,#N/A,FALSE,"Test 120 Day Accts";#N/A,#N/A,FALSE,"Tickmarks"}</definedName>
    <definedName name="wrn.ALL." localSheetId="2" hidden="1">{#N/A,#N/A,FALSE,"SUM";#N/A,#N/A,FALSE,"SK_TOT";#N/A,#N/A,FALSE,"YM";#N/A,#N/A,FALSE,"TSMC";#N/A,#N/A,FALSE,"ICW";#N/A,#N/A,FALSE,"Sheet1"}</definedName>
    <definedName name="wrn.All._.M._.Schedules." localSheetId="2" hidden="1">{"M1Print",#N/A,TRUE,"M1";"M2Print",#N/A,TRUE,"M2";"M1sPrint",#N/A,TRUE,"M1s";"M2aPrint",#N/A,TRUE,"M2a";"M4Print",#N/A,TRUE,"M4";"M5Print",#N/A,TRUE,"M5";"M6Print",#N/A,TRUE,"M6";"M6_1Print",#N/A,TRUE,"M6_1";"M6_2Print",#N/A,TRUE,"M6_2";"M7_1Print",#N/A,TRUE,"M7_1";"M7_2Print",#N/A,TRUE,"M7_2"}</definedName>
    <definedName name="wrn.all._.M._.Schedules.1" localSheetId="2" hidden="1">{"M1Print",#N/A,TRUE,"M1";"M2Print",#N/A,TRUE,"M2";"M1sPrint",#N/A,TRUE,"M1s";"M2aPrint",#N/A,TRUE,"M2a";"M4Print",#N/A,TRUE,"M4";"M5Print",#N/A,TRUE,"M5";"M6Print",#N/A,TRUE,"M6";"M6_1Print",#N/A,TRUE,"M6_1";"M6_2Print",#N/A,TRUE,"M6_2";"M7_1Print",#N/A,TRUE,"M7_1";"M7_2Print",#N/A,TRUE,"M7_2"}</definedName>
    <definedName name="wrn.all._M._.Scheduleds。1" localSheetId="2" hidden="1">{"M1Print",#N/A,TRUE,"M1";"M2Print",#N/A,TRUE,"M2";"M1sPrint",#N/A,TRUE,"M1s";"M2aPrint",#N/A,TRUE,"M2a";"M4Print",#N/A,TRUE,"M4";"M5Print",#N/A,TRUE,"M5";"M6Print",#N/A,TRUE,"M6";"M6_1Print",#N/A,TRUE,"M6_1";"M6_2Print",#N/A,TRUE,"M6_2";"M7_1Print",#N/A,TRUE,"M7_1";"M7_2Print",#N/A,TRUE,"M7_2"}</definedName>
    <definedName name="wrn.Board._.Reports." localSheetId="2" hidden="1">{#N/A,#N/A,FALSE,"M1s Board";#N/A,#N/A,FALSE,"M3 Board";#N/A,#N/A,FALSE,"M6 Board";#N/A,#N/A,FALSE,"M7";#N/A,#N/A,FALSE,"M7B";#N/A,#N/A,FALSE,"M8";#N/A,#N/A,FALSE,"M8A Board";#N/A,#N/A,FALSE,"AF1 Board"}</definedName>
    <definedName name="wrn.Deposit._.By._.Day." localSheetId="2" hidden="1">{#N/A,#N/A,FALSE,"Deposits by day"}</definedName>
    <definedName name="wrn.Deptartment._.Expenses." localSheetId="2" hidden="1">{#N/A,#N/A,TRUE,"CPRD";#N/A,#N/A,TRUE,"BCCPDR";#N/A,#N/A,TRUE,"EWRD";#N/A,#N/A,TRUE,"5100";#N/A,#N/A,TRUE,"5110"}</definedName>
    <definedName name="wrn.ERNST." localSheetId="2" hidden="1">{#N/A,#N/A,FALSE,"YTCHAN";#N/A,#N/A,FALSE,"TOMMY";#N/A,#N/A,FALSE,"REP.OFFICE";#N/A,#N/A,FALSE,"E&amp;Y_CONSULTANT";#N/A,#N/A,FALSE,"BT &amp; CIT"}</definedName>
    <definedName name="wrn.Financial._.Report." localSheetId="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2" hidden="1">{#N/A,#N/A,FALSE,"OffAdvance";#N/A,#N/A,FALSE,"OffExpRprt";#N/A,#N/A,FALSE,"Entertmnt";#N/A,#N/A,FALSE,"Promotion";#N/A,#N/A,FALSE,"Travelling"}</definedName>
    <definedName name="wrn.gb." localSheetId="2" hidden="1">{#N/A,#N/A,FALSE,"资产负债表";#N/A,#N/A,FALSE,"资产负债表"}</definedName>
    <definedName name="wrn.Input._.Data." localSheetId="2" hidden="1">{"Input_Fin",#N/A,FALSE,"By Code";"Input_Opt",#N/A,FALSE,"By Code"}</definedName>
    <definedName name="wrn.jan." localSheetId="2" hidden="1">{#N/A,#N/A,FALSE,"Jan"}</definedName>
    <definedName name="wrn.M1._.Operating._.Statement." localSheetId="2" hidden="1">{"M1Print",#N/A,FALSE,"M1"}</definedName>
    <definedName name="wrn.M1s._.Statistics." localSheetId="2" hidden="1">{"M1sPrint",#N/A,FALSE,"M1s"}</definedName>
    <definedName name="wrn.M2._.Balance._.Sheet." localSheetId="2" hidden="1">{"M2Print",#N/A,FALSE,"M2"}</definedName>
    <definedName name="wrn.M2a._.Cashflow." localSheetId="2" hidden="1">{"M2aPrint",#N/A,FALSE,"M2a"}</definedName>
    <definedName name="wrn.M4._.Inventories." localSheetId="2" hidden="1">{"M4Print",#N/A,FALSE,"M4"}</definedName>
    <definedName name="wrn.M5._.Flash._.and._.Forecast." localSheetId="2" hidden="1">{"M5Print",#N/A,FALSE,"M5"}</definedName>
    <definedName name="wrn.M6._.Management._.Summary." localSheetId="2" hidden="1">{"M6Print",#N/A,FALSE,"M6";"M6_1Print",#N/A,FALSE,"M6_1";"M6_2Print",#N/A,FALSE,"M6_2"}</definedName>
    <definedName name="wrn.M7._.Financial._.Controllers._.report." localSheetId="2" hidden="1">{"M7_1Print",#N/A,TRUE,"M7_1";"M7_2Print",#N/A,TRUE,"M7_2"}</definedName>
    <definedName name="wrn.Office." localSheetId="2" hidden="1">{#N/A,#N/A,FALSE,"OffAdvance";#N/A,#N/A,FALSE,"OffExpRprt";#N/A,#N/A,FALSE,"Travelling";#N/A,#N/A,FALSE,"Entertmnt";#N/A,#N/A,FALSE,"Promotion"}</definedName>
    <definedName name="wrn.Operation._.Report." localSheetId="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2" hidden="1">{#N/A,#N/A,FALSE,"Marketing";#N/A,#N/A,FALSE,"Selling";#N/A,#N/A,FALSE,"Promotional";#N/A,#N/A,FALSE,"Advertising"}</definedName>
    <definedName name="wrn.sunmicro." localSheetId="2" hidden="1">{#N/A,#N/A,FALSE,"FREEMAN";#N/A,#N/A,FALSE,"STEPHEN";#N/A,#N/A,FALSE,"VICTOR"}</definedName>
    <definedName name="wrn.tope" localSheetId="2" hidden="1">{"toptrial",#N/A,TRUE,"toptrial";"adjustment",#N/A,TRUE,"toptrial";"voucher",#N/A,TRUE,"toptrial"}</definedName>
    <definedName name="wrn.toptrial." localSheetId="2" hidden="1">{"toptrial",#N/A,TRUE,"toptrial";"adjustment",#N/A,TRUE,"toptrial";"voucher",#N/A,TRUE,"toptrial"}</definedName>
    <definedName name="wrn.voucher9703." localSheetId="2" hidden="1">{#N/A,#N/A,FALSE,"970301";#N/A,#N/A,FALSE,"970302";#N/A,#N/A,FALSE,"970303";#N/A,#N/A,FALSE,"970304";#N/A,#N/A,FALSE,"COM1";#N/A,#N/A,FALSE,"COM2"}</definedName>
    <definedName name="wrn.ytd." localSheetId="2" hidden="1">{#N/A,#N/A,FALSE,"YTD"}</definedName>
    <definedName name="wrn100.gb" localSheetId="2" hidden="1">{#N/A,#N/A,FALSE,"资产负债表";#N/A,#N/A,FALSE,"资产负债表"}</definedName>
    <definedName name="wrnn.all." localSheetId="2" hidden="1">{#N/A,#N/A,FALSE,"SUM";#N/A,#N/A,FALSE,"SK_TOT";#N/A,#N/A,FALSE,"YM";#N/A,#N/A,FALSE,"TSMC";#N/A,#N/A,FALSE,"ICW";#N/A,#N/A,FALSE,"Sheet1"}</definedName>
    <definedName name="wtr" localSheetId="2" hidden="1">{#N/A,#N/A,FALSE,"资产负债表";#N/A,#N/A,FALSE,"资产负债表"}</definedName>
    <definedName name="XREF_COLUMN_1" localSheetId="2" hidden="1">#REF!</definedName>
    <definedName name="XREF_COLUMN_10" localSheetId="2" hidden="1">#REF!</definedName>
    <definedName name="XREF_COLUMN_11" localSheetId="2" hidden="1">#REF!</definedName>
    <definedName name="XREF_COLUMN_12" localSheetId="2" hidden="1">#REF!</definedName>
    <definedName name="XREF_COLUMN_19" localSheetId="2" hidden="1">#REF!</definedName>
    <definedName name="XREF_COLUMN_2" localSheetId="2" hidden="1">#REF!</definedName>
    <definedName name="XREF_COLUMN_20" localSheetId="2" hidden="1">#REF!</definedName>
    <definedName name="XREF_COLUMN_21" localSheetId="2" hidden="1">#REF!</definedName>
    <definedName name="XREF_COLUMN_3" localSheetId="2" hidden="1">#REF!</definedName>
    <definedName name="XREF_COLUMN_4" localSheetId="2" hidden="1">#REF!</definedName>
    <definedName name="XREF_COLUMN_5" localSheetId="2" hidden="1">#REF!</definedName>
    <definedName name="XREF_COLUMN_6" localSheetId="2" hidden="1">#REF!</definedName>
    <definedName name="XREF_COLUMN_7" localSheetId="2" hidden="1">#REF!</definedName>
    <definedName name="XRefActiveRow" localSheetId="2" hidden="1">#REF!</definedName>
    <definedName name="XRefCopy1" localSheetId="2" hidden="1">#REF!</definedName>
    <definedName name="XRefCopy10" localSheetId="2" hidden="1">#REF!</definedName>
    <definedName name="XRefCopy10Row" localSheetId="2" hidden="1">#REF!</definedName>
    <definedName name="XRefCopy11" localSheetId="2" hidden="1">#REF!</definedName>
    <definedName name="XRefCopy11Row" localSheetId="2" hidden="1">#REF!</definedName>
    <definedName name="XRefCopy12" localSheetId="2" hidden="1">#REF!</definedName>
    <definedName name="XRefCopy13" localSheetId="2" hidden="1">#REF!</definedName>
    <definedName name="XRefCopy13Row" localSheetId="2" hidden="1">#REF!</definedName>
    <definedName name="XRefCopy14" localSheetId="2" hidden="1">#REF!</definedName>
    <definedName name="XRefCopy15" localSheetId="2" hidden="1">#REF!</definedName>
    <definedName name="XRefCopy16Row" localSheetId="2" hidden="1">#REF!</definedName>
    <definedName name="XRefCopy1Row" localSheetId="2" hidden="1">#REF!</definedName>
    <definedName name="XRefCopy2" localSheetId="2" hidden="1">#REF!</definedName>
    <definedName name="XRefCopy2Row" localSheetId="2" hidden="1">#REF!</definedName>
    <definedName name="XRefCopy3" localSheetId="2" hidden="1">#REF!</definedName>
    <definedName name="XRefCopy3Row" localSheetId="2" hidden="1">#REF!</definedName>
    <definedName name="XRefCopy4" localSheetId="2" hidden="1">#REF!</definedName>
    <definedName name="XRefCopy46" localSheetId="2" hidden="1">#REF!</definedName>
    <definedName name="XRefCopy47" localSheetId="2" hidden="1">#REF!</definedName>
    <definedName name="XRefCopy47Row" localSheetId="2" hidden="1">#REF!</definedName>
    <definedName name="XRefCopy48" localSheetId="2" hidden="1">#REF!</definedName>
    <definedName name="XRefCopy48Row" localSheetId="2" hidden="1">#REF!</definedName>
    <definedName name="XRefCopy49" localSheetId="2" hidden="1">#REF!</definedName>
    <definedName name="XRefCopy49Row" localSheetId="2" hidden="1">#REF!</definedName>
    <definedName name="XRefCopy4Row" localSheetId="2" hidden="1">#REF!</definedName>
    <definedName name="XRefCopy5" localSheetId="2" hidden="1">#REF!</definedName>
    <definedName name="XRefCopy50" localSheetId="2" hidden="1">#REF!</definedName>
    <definedName name="XRefCopy50Row" localSheetId="2" hidden="1">#REF!</definedName>
    <definedName name="XRefCopy51" localSheetId="2" hidden="1">#REF!</definedName>
    <definedName name="XRefCopy52" localSheetId="2" hidden="1">#REF!</definedName>
    <definedName name="XRefCopy52Row" localSheetId="2" hidden="1">#REF!</definedName>
    <definedName name="XRefCopy53" localSheetId="2" hidden="1">#REF!</definedName>
    <definedName name="XRefCopy53Row" localSheetId="2" hidden="1">#REF!</definedName>
    <definedName name="XRefCopy54" localSheetId="2" hidden="1">#REF!</definedName>
    <definedName name="XRefCopy54Row" localSheetId="2" hidden="1">#REF!</definedName>
    <definedName name="XRefCopy55" localSheetId="2" hidden="1">#REF!</definedName>
    <definedName name="XRefCopy55Row" localSheetId="2" hidden="1">#REF!</definedName>
    <definedName name="XRefCopy56" localSheetId="2" hidden="1">#REF!</definedName>
    <definedName name="XRefCopy56Row" localSheetId="2" hidden="1">#REF!</definedName>
    <definedName name="XRefCopy57" localSheetId="2" hidden="1">#REF!</definedName>
    <definedName name="XRefCopy57Row" localSheetId="2" hidden="1">#REF!</definedName>
    <definedName name="XRefCopy5Row" localSheetId="2" hidden="1">#REF!</definedName>
    <definedName name="XRefCopy6" localSheetId="2" hidden="1">#REF!</definedName>
    <definedName name="XRefCopy6Row" localSheetId="2" hidden="1">#REF!</definedName>
    <definedName name="XRefCopy7" localSheetId="2" hidden="1">#REF!</definedName>
    <definedName name="XRefCopy7Row" localSheetId="2" hidden="1">#REF!</definedName>
    <definedName name="XRefCopy8" localSheetId="2" hidden="1">#REF!</definedName>
    <definedName name="XRefCopy8Row" localSheetId="2" hidden="1">#REF!</definedName>
    <definedName name="XRefCopy9" localSheetId="2" hidden="1">#REF!</definedName>
    <definedName name="XRefCopy9Row" localSheetId="2" hidden="1">#REF!</definedName>
    <definedName name="XRefPaste1" localSheetId="2" hidden="1">#REF!</definedName>
    <definedName name="XRefPaste10" localSheetId="2" hidden="1">#REF!</definedName>
    <definedName name="XRefPaste11" localSheetId="2" hidden="1">#REF!</definedName>
    <definedName name="XRefPaste1Row" localSheetId="2" hidden="1">#REF!</definedName>
    <definedName name="XRefPaste2" localSheetId="2" hidden="1">#REF!</definedName>
    <definedName name="XRefPaste24" localSheetId="2" hidden="1">#REF!</definedName>
    <definedName name="XRefPaste24Row" localSheetId="2" hidden="1">#REF!</definedName>
    <definedName name="XRefPaste25" localSheetId="2" hidden="1">#REF!</definedName>
    <definedName name="XRefPaste25Row" localSheetId="2" hidden="1">#REF!</definedName>
    <definedName name="XRefPaste26" localSheetId="2" hidden="1">#REF!</definedName>
    <definedName name="XRefPaste26Row" localSheetId="2" hidden="1">#REF!</definedName>
    <definedName name="XRefPaste27" localSheetId="2" hidden="1">#REF!</definedName>
    <definedName name="XRefPaste27Row" localSheetId="2" hidden="1">#REF!</definedName>
    <definedName name="XRefPaste28" localSheetId="2" hidden="1">#REF!</definedName>
    <definedName name="XRefPaste28Row" localSheetId="2" hidden="1">#REF!</definedName>
    <definedName name="XRefPaste29" localSheetId="2" hidden="1">#REF!</definedName>
    <definedName name="XRefPaste29Row" localSheetId="2" hidden="1">#REF!</definedName>
    <definedName name="XRefPaste2Row" localSheetId="2" hidden="1">#REF!</definedName>
    <definedName name="XRefPaste3" localSheetId="2" hidden="1">#REF!</definedName>
    <definedName name="XRefPaste3Row" localSheetId="2" hidden="1">#REF!</definedName>
    <definedName name="XRefPaste4" localSheetId="2" hidden="1">#REF!</definedName>
    <definedName name="XRefPaste4Row" localSheetId="2" hidden="1">#REF!</definedName>
    <definedName name="XRefPaste5" localSheetId="2" hidden="1">#REF!</definedName>
    <definedName name="XRefPaste6" localSheetId="2" hidden="1">#REF!</definedName>
    <definedName name="XRefPaste6Row" localSheetId="2" hidden="1">#REF!</definedName>
    <definedName name="XRefPaste7" localSheetId="2" hidden="1">#REF!</definedName>
    <definedName name="XRefPaste8" localSheetId="2" hidden="1">#REF!</definedName>
    <definedName name="XRefPaste9" localSheetId="2" hidden="1">#REF!</definedName>
    <definedName name="xzxsfd" localSheetId="2" hidden="1">{"M1Print",#N/A,FALSE,"M1"}</definedName>
    <definedName name="y" localSheetId="2" hidden="1">{#N/A,#N/A,FALSE,"970301";#N/A,#N/A,FALSE,"970302";#N/A,#N/A,FALSE,"970303";#N/A,#N/A,FALSE,"970304";#N/A,#N/A,FALSE,"COM1";#N/A,#N/A,FALSE,"COM2"}</definedName>
    <definedName name="Z_1711050D_B2D8_42FB_A40D_E4BD90297684_.wvu.Cols" localSheetId="2" hidden="1">#REF!,#REF!,#REF!,#REF!,#REF!</definedName>
    <definedName name="Z_E738B51C_56AE_4F9F_8D8A_36AD6137B90D_.wvu.Cols" localSheetId="2" hidden="1">#REF!</definedName>
    <definedName name="Z_E738B51C_56AE_4F9F_8D8A_36AD6137B90D_.wvu.PrintArea" localSheetId="2" hidden="1">#REF!</definedName>
    <definedName name="Z_E738B51C_56AE_4F9F_8D8A_36AD6137B90D_.wvu.PrintTitles" localSheetId="2" hidden="1">#REF!,#REF!</definedName>
    <definedName name="Z_E738B51C_56AE_4F9F_8D8A_36AD6137B90D_.wvu.Rows" localSheetId="2" hidden="1">#REF!</definedName>
    <definedName name="zdry" localSheetId="2" hidden="1">{#N/A,#N/A,FALSE,"资产负债表";#N/A,#N/A,FALSE,"资产负债表"}</definedName>
    <definedName name="zerey" localSheetId="2" hidden="1">{#N/A,#N/A,FALSE,"资产负债表";#N/A,#N/A,FALSE,"资产负债表"}</definedName>
    <definedName name="啊" localSheetId="2" hidden="1">{#N/A,#N/A,FALSE,"970301";#N/A,#N/A,FALSE,"970302";#N/A,#N/A,FALSE,"970303";#N/A,#N/A,FALSE,"970304";#N/A,#N/A,FALSE,"COM1";#N/A,#N/A,FALSE,"COM2"}</definedName>
    <definedName name="备用" localSheetId="2" hidden="1">{#N/A,#N/A,FALSE,"OffAdvance";#N/A,#N/A,FALSE,"OffExpRprt";#N/A,#N/A,FALSE,"Entertmnt";#N/A,#N/A,FALSE,"Promotion";#N/A,#N/A,FALSE,"Travelling"}</definedName>
    <definedName name="借款" localSheetId="2" hidden="1">{#N/A,#N/A,FALSE,"970301";#N/A,#N/A,FALSE,"970302";#N/A,#N/A,FALSE,"970303";#N/A,#N/A,FALSE,"970304";#N/A,#N/A,FALSE,"COM1";#N/A,#N/A,FALSE,"COM2"}</definedName>
    <definedName name="苛" localSheetId="2" hidden="1">{"M1sPrint",#N/A,FALSE,"M1s"}</definedName>
    <definedName name="试验" localSheetId="2" hidden="1">{#N/A,#N/A,FALSE,"OffAdvance";#N/A,#N/A,FALSE,"OffExpRprt";#N/A,#N/A,FALSE,"Travelling";#N/A,#N/A,FALSE,"Entertmnt";#N/A,#N/A,FALSE,"Promotion"}</definedName>
    <definedName name="已05" localSheetId="2" hidden="1">{"M1Print",#N/A,TRUE,"M1";"M2Print",#N/A,TRUE,"M2";"M1sPrint",#N/A,TRUE,"M1s";"M2aPrint",#N/A,TRUE,"M2a";"M4Print",#N/A,TRUE,"M4";"M5Print",#N/A,TRUE,"M5";"M6Print",#N/A,TRUE,"M6";"M6_1Print",#N/A,TRUE,"M6_1";"M6_2Print",#N/A,TRUE,"M6_2";"M7_1Print",#N/A,TRUE,"M7_1";"M7_2Print",#N/A,TRUE,"M7_2"}</definedName>
    <definedName name="应手款" localSheetId="2" hidden="1">{#N/A,#N/A,FALSE,"970301";#N/A,#N/A,FALSE,"970302";#N/A,#N/A,FALSE,"970303";#N/A,#N/A,FALSE,"970304";#N/A,#N/A,FALSE,"COM1";#N/A,#N/A,FALSE,"COM2"}</definedName>
    <definedName name="应手款1月" localSheetId="2" hidden="1">{#N/A,#N/A,FALSE,"Marketing";#N/A,#N/A,FALSE,"Selling";#N/A,#N/A,FALSE,"Promotional";#N/A,#N/A,FALSE,"Advertising"}</definedName>
    <definedName name="_____dod1" localSheetId="4" hidden="1">{#N/A,#N/A,TRUE,"CPRD";#N/A,#N/A,TRUE,"BCCPDR";#N/A,#N/A,TRUE,"EWRD";#N/A,#N/A,TRUE,"5100";#N/A,#N/A,TRUE,"5110"}</definedName>
    <definedName name="____dod1" localSheetId="4" hidden="1">{#N/A,#N/A,TRUE,"CPRD";#N/A,#N/A,TRUE,"BCCPDR";#N/A,#N/A,TRUE,"EWRD";#N/A,#N/A,TRUE,"5100";#N/A,#N/A,TRUE,"5110"}</definedName>
    <definedName name="___dod1" localSheetId="4" hidden="1">{#N/A,#N/A,TRUE,"CPRD";#N/A,#N/A,TRUE,"BCCPDR";#N/A,#N/A,TRUE,"EWRD";#N/A,#N/A,TRUE,"5100";#N/A,#N/A,TRUE,"5110"}</definedName>
    <definedName name="___dog1" localSheetId="4" hidden="1">{#N/A,#N/A,TRUE,"CPRD";#N/A,#N/A,TRUE,"BCCPDR";#N/A,#N/A,TRUE,"EWRD";#N/A,#N/A,TRUE,"5100";#N/A,#N/A,TRUE,"5110"}</definedName>
    <definedName name="__123Graph_A" localSheetId="4" hidden="1">#REF!</definedName>
    <definedName name="__123Graph_AGraph1" localSheetId="4" hidden="1">#REF!</definedName>
    <definedName name="__123Graph_B" localSheetId="4" hidden="1">#REF!</definedName>
    <definedName name="__123Graph_BGraph1" localSheetId="4" hidden="1">#REF!</definedName>
    <definedName name="__123Graph_C" localSheetId="4" hidden="1">#REF!</definedName>
    <definedName name="__123Graph_CGraph1" localSheetId="4" hidden="1">#REF!</definedName>
    <definedName name="__123Graph_DGraph1" localSheetId="4" hidden="1">#REF!</definedName>
    <definedName name="__123Graph_E" localSheetId="4" hidden="1">#REF!</definedName>
    <definedName name="__123Graph_EGraph1" localSheetId="4" hidden="1">#REF!</definedName>
    <definedName name="__123Graph_X" localSheetId="4" hidden="1">#REF!</definedName>
    <definedName name="__123Graph_XGraph1" localSheetId="4" hidden="1">#REF!</definedName>
    <definedName name="__dod1" localSheetId="4" hidden="1">{#N/A,#N/A,TRUE,"CPRD";#N/A,#N/A,TRUE,"BCCPDR";#N/A,#N/A,TRUE,"EWRD";#N/A,#N/A,TRUE,"5100";#N/A,#N/A,TRUE,"5110"}</definedName>
    <definedName name="__dog1" localSheetId="4" hidden="1">{#N/A,#N/A,TRUE,"CPRD";#N/A,#N/A,TRUE,"BCCPDR";#N/A,#N/A,TRUE,"EWRD";#N/A,#N/A,TRUE,"5100";#N/A,#N/A,TRUE,"5110"}</definedName>
    <definedName name="_15wrn.²Ä1­Ó¤ë1_Ü20¤H." localSheetId="4" hidden="1">{#N/A,#N/A,FALSE,"²Ä1­Ó¤ë"}</definedName>
    <definedName name="_16wrn.²Ä1­Ó¤ë1_Ü20¤H." localSheetId="4" hidden="1">{#N/A,#N/A,FALSE,"²Ä1­Ó¤ë"}</definedName>
    <definedName name="_dod1" localSheetId="4" hidden="1">{#N/A,#N/A,TRUE,"CPRD";#N/A,#N/A,TRUE,"BCCPDR";#N/A,#N/A,TRUE,"EWRD";#N/A,#N/A,TRUE,"5100";#N/A,#N/A,TRUE,"5110"}</definedName>
    <definedName name="_dog1" localSheetId="4" hidden="1">{#N/A,#N/A,TRUE,"CPRD";#N/A,#N/A,TRUE,"BCCPDR";#N/A,#N/A,TRUE,"EWRD";#N/A,#N/A,TRUE,"5100";#N/A,#N/A,TRUE,"5110"}</definedName>
    <definedName name="_O1" localSheetId="4" hidden="1">{#N/A,#N/A,FALSE,"970301";#N/A,#N/A,FALSE,"970302";#N/A,#N/A,FALSE,"970303";#N/A,#N/A,FALSE,"970304";#N/A,#N/A,FALSE,"COM1";#N/A,#N/A,FALSE,"COM2"}</definedName>
    <definedName name="aavbrdf" localSheetId="4" hidden="1">{#N/A,#N/A,FALSE,"OffAdvance";#N/A,#N/A,FALSE,"OffExpRprt";#N/A,#N/A,FALSE,"Travelling";#N/A,#N/A,FALSE,"Entertmnt";#N/A,#N/A,FALSE,"Promotion"}</definedName>
    <definedName name="aaz" localSheetId="4" hidden="1">{#N/A,#N/A,FALSE,"资产负债表";#N/A,#N/A,FALSE,"资产负债表"}</definedName>
    <definedName name="ada" localSheetId="4" hidden="1">{#N/A,#N/A,FALSE,"资产负债表";#N/A,#N/A,FALSE,"资产负债表"}</definedName>
    <definedName name="adaf" localSheetId="4" hidden="1">{#N/A,#N/A,FALSE,"资产负债表";#N/A,#N/A,FALSE,"资产负债表"}</definedName>
    <definedName name="adas" localSheetId="4" hidden="1">{"M1Print",#N/A,TRUE,"M1";"M2Print",#N/A,TRUE,"M2";"M1sPrint",#N/A,TRUE,"M1s";"M2aPrint",#N/A,TRUE,"M2a";"M4Print",#N/A,TRUE,"M4";"M5Print",#N/A,TRUE,"M5";"M6Print",#N/A,TRUE,"M6";"M6_1Print",#N/A,TRUE,"M6_1";"M6_2Print",#N/A,TRUE,"M6_2";"M7_1Print",#N/A,TRUE,"M7_1";"M7_2Print",#N/A,TRUE,"M7_2"}</definedName>
    <definedName name="adf" localSheetId="4" hidden="1">{"toptrial",#N/A,TRUE,"toptrial";"adjustment",#N/A,TRUE,"toptrial";"voucher",#N/A,TRUE,"toptrial"}</definedName>
    <definedName name="afhai" localSheetId="4" hidden="1">{#N/A,#N/A,FALSE,"资产负债表";#N/A,#N/A,FALSE,"资产负债表"}</definedName>
    <definedName name="AGEDDATABASE" localSheetId="4" hidden="1">{#N/A,#N/A,FALSE,"970301";#N/A,#N/A,FALSE,"970302";#N/A,#N/A,FALSE,"970303";#N/A,#N/A,FALSE,"970304";#N/A,#N/A,FALSE,"COM1";#N/A,#N/A,FALSE,"COM2"}</definedName>
    <definedName name="aidhaif" localSheetId="4" hidden="1">{#N/A,#N/A,FALSE,"资产负债表";#N/A,#N/A,FALSE,"资产负债表"}</definedName>
    <definedName name="anakf" localSheetId="4" hidden="1">{#N/A,#N/A,FALSE,"资产负债表";#N/A,#N/A,FALSE,"资产负债表"}</definedName>
    <definedName name="asdas" localSheetId="4" hidden="1">{#N/A,#N/A,FALSE,"Marketing";#N/A,#N/A,FALSE,"Selling";#N/A,#N/A,FALSE,"Promotional";#N/A,#N/A,FALSE,"Advertising"}</definedName>
    <definedName name="asdg" localSheetId="4" hidden="1">{#N/A,#N/A,FALSE,"资产负债表";#N/A,#N/A,FALSE,"资产负债表"}</definedName>
    <definedName name="ass" localSheetId="4" hidden="1">{#N/A,#N/A,TRUE,"CPRD";#N/A,#N/A,TRUE,"BCCPDR";#N/A,#N/A,TRUE,"EWRD";#N/A,#N/A,TRUE,"5100";#N/A,#N/A,TRUE,"5110"}</definedName>
    <definedName name="book" localSheetId="4" hidden="1">{#N/A,#N/A,FALSE,"OffAdvance";#N/A,#N/A,FALSE,"OffExpRprt";#N/A,#N/A,FALSE,"Entertmnt";#N/A,#N/A,FALSE,"Promotion";#N/A,#N/A,FALSE,"Travelling"}</definedName>
    <definedName name="book.2" localSheetId="4" hidden="1">{#N/A,#N/A,FALSE,"OffAdvance";#N/A,#N/A,FALSE,"OffExpRprt";#N/A,#N/A,FALSE,"Travelling";#N/A,#N/A,FALSE,"Entertmnt";#N/A,#N/A,FALSE,"Promotion"}</definedName>
    <definedName name="BYD" localSheetId="4" hidden="1">{#N/A,#N/A,FALSE,"Earn'gs &amp; Val'n";#N/A,#N/A,FALSE,"Interim"}</definedName>
    <definedName name="cashflow20030930" localSheetId="4" hidden="1">{"M1Print",#N/A,TRUE,"M1";"M2Print",#N/A,TRUE,"M2";"M1sPrint",#N/A,TRUE,"M1s";"M2aPrint",#N/A,TRUE,"M2a";"M4Print",#N/A,TRUE,"M4";"M5Print",#N/A,TRUE,"M5";"M6Print",#N/A,TRUE,"M6";"M6_1Print",#N/A,TRUE,"M6_1";"M6_2Print",#N/A,TRUE,"M6_2";"M7_1Print",#N/A,TRUE,"M7_1";"M7_2Print",#N/A,TRUE,"M7_2"}</definedName>
    <definedName name="cbx" localSheetId="4" hidden="1">{#N/A,#N/A,FALSE,"M1s Board";#N/A,#N/A,FALSE,"M3 Board";#N/A,#N/A,FALSE,"M6 Board";#N/A,#N/A,FALSE,"M7";#N/A,#N/A,FALSE,"M7B";#N/A,#N/A,FALSE,"M8";#N/A,#N/A,FALSE,"M8A Board";#N/A,#N/A,FALSE,"AF1 Board"}</definedName>
    <definedName name="cccvb" localSheetId="4" hidden="1">{#N/A,#N/A,FALSE,"资产负债表";#N/A,#N/A,FALSE,"资产负债表"}</definedName>
    <definedName name="CFVVHH" localSheetId="4" hidden="1">{#N/A,#N/A,FALSE,"资产负债表";#N/A,#N/A,FALSE,"资产负债表"}</definedName>
    <definedName name="cfyik" localSheetId="4" hidden="1">{#N/A,#N/A,FALSE,"资产负债表";#N/A,#N/A,FALSE,"资产负债表"}</definedName>
    <definedName name="cgul" localSheetId="4" hidden="1">{#N/A,#N/A,FALSE,"资产负债表";#N/A,#N/A,FALSE,"资产负债表"}</definedName>
    <definedName name="cguocnbnl" localSheetId="4" hidden="1">{#N/A,#N/A,FALSE,"资产负债表";#N/A,#N/A,FALSE,"资产负债表"}</definedName>
    <definedName name="Coll" localSheetId="4" hidden="1">{#N/A,#N/A,FALSE,"970301";#N/A,#N/A,FALSE,"970302";#N/A,#N/A,FALSE,"970303";#N/A,#N/A,FALSE,"970304";#N/A,#N/A,FALSE,"COM1";#N/A,#N/A,FALSE,"COM2"}</definedName>
    <definedName name="dcca" localSheetId="4" hidden="1">{#N/A,#N/A,FALSE,"资产负债表";#N/A,#N/A,FALSE,"资产负债表"}</definedName>
    <definedName name="dfgdafsg" localSheetId="4" hidden="1">{#N/A,#N/A,FALSE,"OffAdvance";#N/A,#N/A,FALSE,"OffExpRprt";#N/A,#N/A,FALSE,"Travelling";#N/A,#N/A,FALSE,"Entertmnt";#N/A,#N/A,FALSE,"Promotion"}</definedName>
    <definedName name="dfv" localSheetId="4" hidden="1">{"M1Print",#N/A,TRUE,"M1";"M2Print",#N/A,TRUE,"M2";"M1sPrint",#N/A,TRUE,"M1s";"M2aPrint",#N/A,TRUE,"M2a";"M4Print",#N/A,TRUE,"M4";"M5Print",#N/A,TRUE,"M5";"M6Print",#N/A,TRUE,"M6";"M6_1Print",#N/A,TRUE,"M6_1";"M6_2Print",#N/A,TRUE,"M6_2";"M7_1Print",#N/A,TRUE,"M7_1";"M7_2Print",#N/A,TRUE,"M7_2"}</definedName>
    <definedName name="dh" localSheetId="4" hidden="1">{"M4Print",#N/A,FALSE,"M4"}</definedName>
    <definedName name="dlf" localSheetId="4" hidden="1">{"M4Print",#N/A,FALSE,"M4"}</definedName>
    <definedName name="doddd" localSheetId="4" hidden="1">{#N/A,#N/A,TRUE,"CPRD";#N/A,#N/A,TRUE,"BCCPDR";#N/A,#N/A,TRUE,"EWRD";#N/A,#N/A,TRUE,"5100";#N/A,#N/A,TRUE,"5110"}</definedName>
    <definedName name="dog" localSheetId="4" hidden="1">{#N/A,#N/A,TRUE,"CPRD";#N/A,#N/A,TRUE,"BCCPDR";#N/A,#N/A,TRUE,"EWRD";#N/A,#N/A,TRUE,"5100";#N/A,#N/A,TRUE,"5110"}</definedName>
    <definedName name="dvbm" localSheetId="4" hidden="1">{#N/A,#N/A,FALSE,"资产负债表";#N/A,#N/A,FALSE,"资产负债表"}</definedName>
    <definedName name="ehdg" localSheetId="4" hidden="1">{#N/A,#N/A,FALSE,"Jan"}</definedName>
    <definedName name="erf" localSheetId="4" hidden="1">{#N/A,#N/A,FALSE,"970301";#N/A,#N/A,FALSE,"970302";#N/A,#N/A,FALSE,"970303";#N/A,#N/A,FALSE,"970304";#N/A,#N/A,FALSE,"COM1";#N/A,#N/A,FALSE,"COM2"}</definedName>
    <definedName name="eryj" localSheetId="4" hidden="1">{#N/A,#N/A,FALSE,"资产负债表";#N/A,#N/A,FALSE,"资产负债表"}</definedName>
    <definedName name="ExpenseUpload" localSheetId="4" hidden="1">{#N/A,#N/A,TRUE,"CPRD";#N/A,#N/A,TRUE,"BCCPDR";#N/A,#N/A,TRUE,"EWRD";#N/A,#N/A,TRUE,"5100";#N/A,#N/A,TRUE,"5110"}</definedName>
    <definedName name="faif" localSheetId="4" hidden="1">{#N/A,#N/A,FALSE,"资产负债表";#N/A,#N/A,FALSE,"资产负债表"}</definedName>
    <definedName name="fd" localSheetId="4" hidden="1">{"M1sPrint",#N/A,FALSE,"M1s"}</definedName>
    <definedName name="feedback" localSheetId="4" hidden="1">{#N/A,#N/A,TRUE,"CPRD";#N/A,#N/A,TRUE,"BCCPDR";#N/A,#N/A,TRUE,"EWRD";#N/A,#N/A,TRUE,"5100";#N/A,#N/A,TRUE,"5110"}</definedName>
    <definedName name="fgdg" localSheetId="4" hidden="1">{"M1Print",#N/A,TRUE,"M1";"M2Print",#N/A,TRUE,"M2";"M1sPrint",#N/A,TRUE,"M1s";"M2aPrint",#N/A,TRUE,"M2a";"M4Print",#N/A,TRUE,"M4";"M5Print",#N/A,TRUE,"M5";"M6Print",#N/A,TRUE,"M6";"M6_1Print",#N/A,TRUE,"M6_1";"M6_2Print",#N/A,TRUE,"M6_2";"M7_1Print",#N/A,TRUE,"M7_1";"M7_2Print",#N/A,TRUE,"M7_2"}</definedName>
    <definedName name="fvb" localSheetId="4" hidden="1">{#N/A,#N/A,FALSE,"资产负债表";#N/A,#N/A,FALSE,"资产负债表"}</definedName>
    <definedName name="G9IJGF" localSheetId="4" hidden="1">{#N/A,#N/A,FALSE,"资产负债表";#N/A,#N/A,FALSE,"资产负债表"}</definedName>
    <definedName name="hadiah" localSheetId="4" hidden="1">{#N/A,#N/A,FALSE,"资产负债表";#N/A,#N/A,FALSE,"资产负债表"}</definedName>
    <definedName name="HdctTrnd" localSheetId="4" hidden="1">{#N/A,#N/A,TRUE,"CPRD";#N/A,#N/A,TRUE,"BCCPDR";#N/A,#N/A,TRUE,"EWRD";#N/A,#N/A,TRUE,"5100";#N/A,#N/A,TRUE,"5110"}</definedName>
    <definedName name="HTL_Cotrol1" localSheetId="4" hidden="1">{"'Sheet3'!$A$47:$M$47"}</definedName>
    <definedName name="HTML_Control" localSheetId="4" hidden="1">{"'Vxxe_times_J750 (2)'!$A$3:$E$14"}</definedName>
    <definedName name="hueoa" localSheetId="4" hidden="1">{#N/A,#N/A,FALSE,"资产负债表";#N/A,#N/A,FALSE,"资产负债表"}</definedName>
    <definedName name="ieji" localSheetId="4" hidden="1">{#N/A,#N/A,FALSE,"970301";#N/A,#N/A,FALSE,"970302";#N/A,#N/A,FALSE,"970303";#N/A,#N/A,FALSE,"970304";#N/A,#N/A,FALSE,"COM1";#N/A,#N/A,FALSE,"COM2"}</definedName>
    <definedName name="jdda" localSheetId="4" hidden="1">{"M4Print",#N/A,FALSE,"M4"}</definedName>
    <definedName name="jdfslsajdflasdkjpf" localSheetId="4" hidden="1">{#N/A,#N/A,FALSE,"OffAdvance";#N/A,#N/A,FALSE,"OffExpRprt";#N/A,#N/A,FALSE,"Entertmnt";#N/A,#N/A,FALSE,"Promotion";#N/A,#N/A,FALSE,"Travelling"}</definedName>
    <definedName name="jfgh" localSheetId="4" hidden="1">{"M1sPrint",#N/A,FALSE,"M1s"}</definedName>
    <definedName name="jgfhfg" localSheetId="4" hidden="1">{"M1sPrint",#N/A,FALSE,"M1s"}</definedName>
    <definedName name="jlj" localSheetId="4" hidden="1">{"M2aPrint",#N/A,FALSE,"M2a"}</definedName>
    <definedName name="jughn" localSheetId="4" hidden="1">{"M7_1Print",#N/A,TRUE,"M7_1";"M7_2Print",#N/A,TRUE,"M7_2"}</definedName>
    <definedName name="jytj" localSheetId="4" hidden="1">{"M7_1Print",#N/A,TRUE,"M7_1";"M7_2Print",#N/A,TRUE,"M7_2"}</definedName>
    <definedName name="kljik" localSheetId="4" hidden="1">{#N/A,#N/A,FALSE,"OffAdvance";#N/A,#N/A,FALSE,"OffExpRprt";#N/A,#N/A,FALSE,"Entertmnt";#N/A,#N/A,FALSE,"Promotion";#N/A,#N/A,FALSE,"Travelling"}</definedName>
    <definedName name="kuj" localSheetId="4" hidden="1">{"M6Print",#N/A,FALSE,"M6";"M6_1Print",#N/A,FALSE,"M6_1";"M6_2Print",#N/A,FALSE,"M6_2"}</definedName>
    <definedName name="lu" localSheetId="4" hidden="1">{"M1sPrint",#N/A,FALSE,"M1s"}</definedName>
    <definedName name="n" localSheetId="4" hidden="1">{"M2Print",#N/A,FALSE,"M2"}</definedName>
    <definedName name="ngn" localSheetId="4" hidden="1">{"M1Print",#N/A,TRUE,"M1";"M2Print",#N/A,TRUE,"M2";"M1sPrint",#N/A,TRUE,"M1s";"M2aPrint",#N/A,TRUE,"M2a";"M4Print",#N/A,TRUE,"M4";"M5Print",#N/A,TRUE,"M5";"M6Print",#N/A,TRUE,"M6";"M6_1Print",#N/A,TRUE,"M6_1";"M6_2Print",#N/A,TRUE,"M6_2";"M7_1Print",#N/A,TRUE,"M7_1";"M7_2Print",#N/A,TRUE,"M7_2"}</definedName>
    <definedName name="notused" localSheetId="4" hidden="1">{#N/A,#N/A,TRUE,"CPRD";#N/A,#N/A,TRUE,"BCCPDR";#N/A,#N/A,TRUE,"EWRD";#N/A,#N/A,TRUE,"5100";#N/A,#N/A,TRUE,"5110"}</definedName>
    <definedName name="ooo" localSheetId="4" hidden="1">{#N/A,#N/A,FALSE,"Sales  total 9712";#N/A,#N/A,FALSE,"Sales  total 9712";#N/A,#N/A,FALSE,"Sales  total 9712";#N/A,#N/A,FALSE,"Sales  total 9712"}</definedName>
    <definedName name="qwertyuiopasdfghjkl" localSheetId="4" hidden="1">{"M2aPrint",#N/A,FALSE,"M2a"}</definedName>
    <definedName name="qwwertyuiop" localSheetId="4" hidden="1">{"M2Print",#N/A,FALSE,"M2"}</definedName>
    <definedName name="RJE" localSheetId="4" hidden="1">{"toptrial",#N/A,TRUE,"toptrial";"adjustment",#N/A,TRUE,"toptrial";"voucher",#N/A,TRUE,"toptrial"}</definedName>
    <definedName name="sdfs" localSheetId="4" hidden="1">{"M1sPrint",#N/A,FALSE,"M1s"}</definedName>
    <definedName name="sssz" localSheetId="4" hidden="1">{#N/A,#N/A,FALSE,"资产负债表";#N/A,#N/A,FALSE,"资产负债表"}</definedName>
    <definedName name="terh" localSheetId="4" hidden="1">{#N/A,#N/A,FALSE,"OffAdvance";#N/A,#N/A,FALSE,"OffExpRprt";#N/A,#N/A,FALSE,"Entertmnt";#N/A,#N/A,FALSE,"Promotion";#N/A,#N/A,FALSE,"Travelling"}</definedName>
    <definedName name="tfhg" localSheetId="4" hidden="1">{"M1Print",#N/A,FALSE,"M1"}</definedName>
    <definedName name="the" localSheetId="4" hidden="1">{#N/A,#N/A,FALSE,"Marketing";#N/A,#N/A,FALSE,"Selling";#N/A,#N/A,FALSE,"Promotional";#N/A,#N/A,FALSE,"Advertising"}</definedName>
    <definedName name="ulead" localSheetId="4" hidden="1">{#N/A,#N/A,FALSE,"970301";#N/A,#N/A,FALSE,"970302";#N/A,#N/A,FALSE,"970303";#N/A,#N/A,FALSE,"970304";#N/A,#N/A,FALSE,"COM1";#N/A,#N/A,FALSE,"COM2"}</definedName>
    <definedName name="uygh" localSheetId="4" hidden="1">{"M6Print",#N/A,FALSE,"M6";"M6_1Print",#N/A,FALSE,"M6_1";"M6_2Print",#N/A,FALSE,"M6_2"}</definedName>
    <definedName name="vhvkb" localSheetId="4" hidden="1">{#N/A,#N/A,FALSE,"资产负债表";#N/A,#N/A,FALSE,"资产负债表"}</definedName>
    <definedName name="wrn.Aging._.and._.Trend._.Analysis." localSheetId="4" hidden="1">{#N/A,#N/A,FALSE,"Aging Summary";#N/A,#N/A,FALSE,"Ratio Analysis";#N/A,#N/A,FALSE,"Test 120 Day Accts";#N/A,#N/A,FALSE,"Tickmarks"}</definedName>
    <definedName name="wrn.ALL." localSheetId="4" hidden="1">{#N/A,#N/A,FALSE,"SUM";#N/A,#N/A,FALSE,"SK_TOT";#N/A,#N/A,FALSE,"YM";#N/A,#N/A,FALSE,"TSMC";#N/A,#N/A,FALSE,"ICW";#N/A,#N/A,FALSE,"Sheet1"}</definedName>
    <definedName name="wrn.All._.M._.Schedules." localSheetId="4" hidden="1">{"M1Print",#N/A,TRUE,"M1";"M2Print",#N/A,TRUE,"M2";"M1sPrint",#N/A,TRUE,"M1s";"M2aPrint",#N/A,TRUE,"M2a";"M4Print",#N/A,TRUE,"M4";"M5Print",#N/A,TRUE,"M5";"M6Print",#N/A,TRUE,"M6";"M6_1Print",#N/A,TRUE,"M6_1";"M6_2Print",#N/A,TRUE,"M6_2";"M7_1Print",#N/A,TRUE,"M7_1";"M7_2Print",#N/A,TRUE,"M7_2"}</definedName>
    <definedName name="wrn.all._.M._.Schedules.1" localSheetId="4" hidden="1">{"M1Print",#N/A,TRUE,"M1";"M2Print",#N/A,TRUE,"M2";"M1sPrint",#N/A,TRUE,"M1s";"M2aPrint",#N/A,TRUE,"M2a";"M4Print",#N/A,TRUE,"M4";"M5Print",#N/A,TRUE,"M5";"M6Print",#N/A,TRUE,"M6";"M6_1Print",#N/A,TRUE,"M6_1";"M6_2Print",#N/A,TRUE,"M6_2";"M7_1Print",#N/A,TRUE,"M7_1";"M7_2Print",#N/A,TRUE,"M7_2"}</definedName>
    <definedName name="wrn.all._M._.Scheduleds。1" localSheetId="4" hidden="1">{"M1Print",#N/A,TRUE,"M1";"M2Print",#N/A,TRUE,"M2";"M1sPrint",#N/A,TRUE,"M1s";"M2aPrint",#N/A,TRUE,"M2a";"M4Print",#N/A,TRUE,"M4";"M5Print",#N/A,TRUE,"M5";"M6Print",#N/A,TRUE,"M6";"M6_1Print",#N/A,TRUE,"M6_1";"M6_2Print",#N/A,TRUE,"M6_2";"M7_1Print",#N/A,TRUE,"M7_1";"M7_2Print",#N/A,TRUE,"M7_2"}</definedName>
    <definedName name="wrn.BC._.Telfast."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localSheetId="4"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localSheetId="4" hidden="1">{#N/A,#N/A,FALSE,"M1s Board";#N/A,#N/A,FALSE,"M3 Board";#N/A,#N/A,FALSE,"M6 Board";#N/A,#N/A,FALSE,"M7";#N/A,#N/A,FALSE,"M7B";#N/A,#N/A,FALSE,"M8";#N/A,#N/A,FALSE,"M8A Board";#N/A,#N/A,FALSE,"AF1 Board"}</definedName>
    <definedName name="wrn.Deposit._.By._.Day." localSheetId="4" hidden="1">{#N/A,#N/A,FALSE,"Deposits by day"}</definedName>
    <definedName name="wrn.Deptartment._.Expenses." localSheetId="4" hidden="1">{#N/A,#N/A,TRUE,"CPRD";#N/A,#N/A,TRUE,"BCCPDR";#N/A,#N/A,TRUE,"EWRD";#N/A,#N/A,TRUE,"5100";#N/A,#N/A,TRUE,"5110"}</definedName>
    <definedName name="wrn.ERNST." localSheetId="4" hidden="1">{#N/A,#N/A,FALSE,"YTCHAN";#N/A,#N/A,FALSE,"TOMMY";#N/A,#N/A,FALSE,"REP.OFFICE";#N/A,#N/A,FALSE,"E&amp;Y_CONSULTANT";#N/A,#N/A,FALSE,"BT &amp; CIT"}</definedName>
    <definedName name="wrn.Financial._.Report." localSheetId="4"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4" hidden="1">{#N/A,#N/A,FALSE,"OffAdvance";#N/A,#N/A,FALSE,"OffExpRprt";#N/A,#N/A,FALSE,"Entertmnt";#N/A,#N/A,FALSE,"Promotion";#N/A,#N/A,FALSE,"Travelling"}</definedName>
    <definedName name="wrn.gb." localSheetId="4" hidden="1">{#N/A,#N/A,FALSE,"资产负债表";#N/A,#N/A,FALSE,"资产负债表"}</definedName>
    <definedName name="wrn.Input._.Data." localSheetId="4" hidden="1">{"Input_Fin",#N/A,FALSE,"By Code";"Input_Opt",#N/A,FALSE,"By Code"}</definedName>
    <definedName name="wrn.jan." localSheetId="4" hidden="1">{#N/A,#N/A,FALSE,"Jan"}</definedName>
    <definedName name="wrn.M1._.Operating._.Statement." localSheetId="4" hidden="1">{"M1Print",#N/A,FALSE,"M1"}</definedName>
    <definedName name="wrn.M1s._.Statistics." localSheetId="4" hidden="1">{"M1sPrint",#N/A,FALSE,"M1s"}</definedName>
    <definedName name="wrn.M2._.Balance._.Sheet." localSheetId="4" hidden="1">{"M2Print",#N/A,FALSE,"M2"}</definedName>
    <definedName name="wrn.M2a._.Cashflow." localSheetId="4" hidden="1">{"M2aPrint",#N/A,FALSE,"M2a"}</definedName>
    <definedName name="wrn.M4._.Inventories." localSheetId="4" hidden="1">{"M4Print",#N/A,FALSE,"M4"}</definedName>
    <definedName name="wrn.M5._.Flash._.and._.Forecast." localSheetId="4" hidden="1">{"M5Print",#N/A,FALSE,"M5"}</definedName>
    <definedName name="wrn.M6._.Management._.Summary." localSheetId="4" hidden="1">{"M6Print",#N/A,FALSE,"M6";"M6_1Print",#N/A,FALSE,"M6_1";"M6_2Print",#N/A,FALSE,"M6_2"}</definedName>
    <definedName name="wrn.M7._.Financial._.Controllers._.report." localSheetId="4" hidden="1">{"M7_1Print",#N/A,TRUE,"M7_1";"M7_2Print",#N/A,TRUE,"M7_2"}</definedName>
    <definedName name="wrn.Monthly._.Report." localSheetId="4"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localSheetId="4" hidden="1">{#N/A,#N/A,FALSE,"OffAdvance";#N/A,#N/A,FALSE,"OffExpRprt";#N/A,#N/A,FALSE,"Travelling";#N/A,#N/A,FALSE,"Entertmnt";#N/A,#N/A,FALSE,"Promotion"}</definedName>
    <definedName name="wrn.Operation._.Report." localSheetId="4"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localSheetId="4" hidden="1">{#N/A,#N/A,FALSE,"Sales  total 9712";#N/A,#N/A,FALSE,"Sales  total 9712";#N/A,#N/A,FALSE,"Sales  total 9712";#N/A,#N/A,FALSE,"Sales  total 9712"}</definedName>
    <definedName name="wrn.Sales." localSheetId="4" hidden="1">{#N/A,#N/A,FALSE,"Marketing";#N/A,#N/A,FALSE,"Selling";#N/A,#N/A,FALSE,"Promotional";#N/A,#N/A,FALSE,"Advertising"}</definedName>
    <definedName name="wrn.sunmicro." localSheetId="4" hidden="1">{#N/A,#N/A,FALSE,"FREEMAN";#N/A,#N/A,FALSE,"STEPHEN";#N/A,#N/A,FALSE,"VICTOR"}</definedName>
    <definedName name="wrn.test1." localSheetId="4" hidden="1">{#N/A,#N/A,FALSE,"Earn'gs &amp; Val'n";#N/A,#N/A,FALSE,"Interim"}</definedName>
    <definedName name="wrn.tope" localSheetId="4" hidden="1">{"toptrial",#N/A,TRUE,"toptrial";"adjustment",#N/A,TRUE,"toptrial";"voucher",#N/A,TRUE,"toptrial"}</definedName>
    <definedName name="wrn.toptrial." localSheetId="4" hidden="1">{"toptrial",#N/A,TRUE,"toptrial";"adjustment",#N/A,TRUE,"toptrial";"voucher",#N/A,TRUE,"toptrial"}</definedName>
    <definedName name="wrn.voucher9703." localSheetId="4" hidden="1">{#N/A,#N/A,FALSE,"970301";#N/A,#N/A,FALSE,"970302";#N/A,#N/A,FALSE,"970303";#N/A,#N/A,FALSE,"970304";#N/A,#N/A,FALSE,"COM1";#N/A,#N/A,FALSE,"COM2"}</definedName>
    <definedName name="wrn.ytd." localSheetId="4" hidden="1">{#N/A,#N/A,FALSE,"YTD"}</definedName>
    <definedName name="wrn100.gb" localSheetId="4" hidden="1">{#N/A,#N/A,FALSE,"资产负债表";#N/A,#N/A,FALSE,"资产负债表"}</definedName>
    <definedName name="wrnn.all." localSheetId="4" hidden="1">{#N/A,#N/A,FALSE,"SUM";#N/A,#N/A,FALSE,"SK_TOT";#N/A,#N/A,FALSE,"YM";#N/A,#N/A,FALSE,"TSMC";#N/A,#N/A,FALSE,"ICW";#N/A,#N/A,FALSE,"Sheet1"}</definedName>
    <definedName name="wtr" localSheetId="4" hidden="1">{#N/A,#N/A,FALSE,"资产负债表";#N/A,#N/A,FALSE,"资产负债表"}</definedName>
    <definedName name="XREF_COLUMN_1" localSheetId="4" hidden="1">'C.01 Confirmations '!#REF!</definedName>
    <definedName name="XREF_COLUMN_11" localSheetId="4" hidden="1">'C.01 Confirmations '!#REF!</definedName>
    <definedName name="XREF_COLUMN_12" localSheetId="4" hidden="1">'C.01 Confirmations '!#REF!</definedName>
    <definedName name="XREF_COLUMN_2" localSheetId="4" hidden="1">'C.01 Confirmations '!#REF!</definedName>
    <definedName name="XREF_COLUMN_3" localSheetId="4" hidden="1">'C.01 Confirmations '!#REF!</definedName>
    <definedName name="XREF_COLUMN_5" localSheetId="4" hidden="1">'C.01 Confirmations '!#REF!</definedName>
    <definedName name="XREF_COLUMN_6" localSheetId="4" hidden="1">'C.01 Confirmations '!#REF!</definedName>
    <definedName name="XREF_COLUMN_7" localSheetId="4" hidden="1">'C.01 Confirmations '!#REF!</definedName>
    <definedName name="XRefCopy11" localSheetId="4" hidden="1">'C.01 Confirmations '!#REF!</definedName>
    <definedName name="XRefCopy13Row" localSheetId="4" hidden="1">'C.01 Confirmations '!#REF!</definedName>
    <definedName name="XRefCopy16Row" localSheetId="4" hidden="1">'C.01 Confirmations '!#REF!</definedName>
    <definedName name="XRefPaste2" localSheetId="4" hidden="1">'C.01 Confirmations '!#REF!</definedName>
    <definedName name="XRefPaste2Row" localSheetId="4" hidden="1">'C.01 Confirmations '!#REF!</definedName>
    <definedName name="XRefPaste6Row" localSheetId="4" hidden="1">'C.01 Confirmations '!#REF!</definedName>
    <definedName name="xzxsfd" localSheetId="4" hidden="1">{"M1Print",#N/A,FALSE,"M1"}</definedName>
    <definedName name="y" localSheetId="4" hidden="1">{#N/A,#N/A,FALSE,"970301";#N/A,#N/A,FALSE,"970302";#N/A,#N/A,FALSE,"970303";#N/A,#N/A,FALSE,"970304";#N/A,#N/A,FALSE,"COM1";#N/A,#N/A,FALSE,"COM2"}</definedName>
    <definedName name="zdry" localSheetId="4" hidden="1">{#N/A,#N/A,FALSE,"资产负债表";#N/A,#N/A,FALSE,"资产负债表"}</definedName>
    <definedName name="zerey" localSheetId="4" hidden="1">{#N/A,#N/A,FALSE,"资产负债表";#N/A,#N/A,FALSE,"资产负债表"}</definedName>
    <definedName name="啊" localSheetId="4" hidden="1">{#N/A,#N/A,FALSE,"970301";#N/A,#N/A,FALSE,"970302";#N/A,#N/A,FALSE,"970303";#N/A,#N/A,FALSE,"970304";#N/A,#N/A,FALSE,"COM1";#N/A,#N/A,FALSE,"COM2"}</definedName>
    <definedName name="备用" localSheetId="4" hidden="1">{#N/A,#N/A,FALSE,"OffAdvance";#N/A,#N/A,FALSE,"OffExpRprt";#N/A,#N/A,FALSE,"Entertmnt";#N/A,#N/A,FALSE,"Promotion";#N/A,#N/A,FALSE,"Travelling"}</definedName>
    <definedName name="借款" localSheetId="4" hidden="1">{#N/A,#N/A,FALSE,"970301";#N/A,#N/A,FALSE,"970302";#N/A,#N/A,FALSE,"970303";#N/A,#N/A,FALSE,"970304";#N/A,#N/A,FALSE,"COM1";#N/A,#N/A,FALSE,"COM2"}</definedName>
    <definedName name="苛" localSheetId="4" hidden="1">{"M1sPrint",#N/A,FALSE,"M1s"}</definedName>
    <definedName name="试验" localSheetId="4" hidden="1">{#N/A,#N/A,FALSE,"OffAdvance";#N/A,#N/A,FALSE,"OffExpRprt";#N/A,#N/A,FALSE,"Travelling";#N/A,#N/A,FALSE,"Entertmnt";#N/A,#N/A,FALSE,"Promotion"}</definedName>
    <definedName name="已05" localSheetId="4" hidden="1">{"M1Print",#N/A,TRUE,"M1";"M2Print",#N/A,TRUE,"M2";"M1sPrint",#N/A,TRUE,"M1s";"M2aPrint",#N/A,TRUE,"M2a";"M4Print",#N/A,TRUE,"M4";"M5Print",#N/A,TRUE,"M5";"M6Print",#N/A,TRUE,"M6";"M6_1Print",#N/A,TRUE,"M6_1";"M6_2Print",#N/A,TRUE,"M6_2";"M7_1Print",#N/A,TRUE,"M7_1";"M7_2Print",#N/A,TRUE,"M7_2"}</definedName>
    <definedName name="应手款" localSheetId="4" hidden="1">{#N/A,#N/A,FALSE,"970301";#N/A,#N/A,FALSE,"970302";#N/A,#N/A,FALSE,"970303";#N/A,#N/A,FALSE,"970304";#N/A,#N/A,FALSE,"COM1";#N/A,#N/A,FALSE,"COM2"}</definedName>
    <definedName name="应手款1月" localSheetId="4" hidden="1">{#N/A,#N/A,FALSE,"Marketing";#N/A,#N/A,FALSE,"Selling";#N/A,#N/A,FALSE,"Promotional";#N/A,#N/A,FALSE,"Advertising"}</definedName>
    <definedName name="_____dod1" localSheetId="12" hidden="1">{#N/A,#N/A,TRUE,"CPRD";#N/A,#N/A,TRUE,"BCCPDR";#N/A,#N/A,TRUE,"EWRD";#N/A,#N/A,TRUE,"5100";#N/A,#N/A,TRUE,"5110"}</definedName>
    <definedName name="____dod1" localSheetId="12" hidden="1">{#N/A,#N/A,TRUE,"CPRD";#N/A,#N/A,TRUE,"BCCPDR";#N/A,#N/A,TRUE,"EWRD";#N/A,#N/A,TRUE,"5100";#N/A,#N/A,TRUE,"5110"}</definedName>
    <definedName name="___dod1" localSheetId="12" hidden="1">{#N/A,#N/A,TRUE,"CPRD";#N/A,#N/A,TRUE,"BCCPDR";#N/A,#N/A,TRUE,"EWRD";#N/A,#N/A,TRUE,"5100";#N/A,#N/A,TRUE,"5110"}</definedName>
    <definedName name="___dog1" localSheetId="12" hidden="1">{#N/A,#N/A,TRUE,"CPRD";#N/A,#N/A,TRUE,"BCCPDR";#N/A,#N/A,TRUE,"EWRD";#N/A,#N/A,TRUE,"5100";#N/A,#N/A,TRUE,"5110"}</definedName>
    <definedName name="__dod1" localSheetId="12" hidden="1">{#N/A,#N/A,TRUE,"CPRD";#N/A,#N/A,TRUE,"BCCPDR";#N/A,#N/A,TRUE,"EWRD";#N/A,#N/A,TRUE,"5100";#N/A,#N/A,TRUE,"5110"}</definedName>
    <definedName name="__dog1" localSheetId="12" hidden="1">{#N/A,#N/A,TRUE,"CPRD";#N/A,#N/A,TRUE,"BCCPDR";#N/A,#N/A,TRUE,"EWRD";#N/A,#N/A,TRUE,"5100";#N/A,#N/A,TRUE,"5110"}</definedName>
    <definedName name="_15wrn.²Ä1­Ó¤ë1_Ü20¤H." localSheetId="12" hidden="1">{#N/A,#N/A,FALSE,"²Ä1­Ó¤ë"}</definedName>
    <definedName name="_16wrn.²Ä1­Ó¤ë1_Ü20¤H." localSheetId="12" hidden="1">{#N/A,#N/A,FALSE,"²Ä1­Ó¤ë"}</definedName>
    <definedName name="_dod1" localSheetId="12" hidden="1">{#N/A,#N/A,TRUE,"CPRD";#N/A,#N/A,TRUE,"BCCPDR";#N/A,#N/A,TRUE,"EWRD";#N/A,#N/A,TRUE,"5100";#N/A,#N/A,TRUE,"5110"}</definedName>
    <definedName name="_dog1" localSheetId="12" hidden="1">{#N/A,#N/A,TRUE,"CPRD";#N/A,#N/A,TRUE,"BCCPDR";#N/A,#N/A,TRUE,"EWRD";#N/A,#N/A,TRUE,"5100";#N/A,#N/A,TRUE,"5110"}</definedName>
    <definedName name="_Fill" localSheetId="12" hidden="1">#REF!</definedName>
    <definedName name="_Key1" localSheetId="12" hidden="1">#REF!</definedName>
    <definedName name="_Key2" localSheetId="12" hidden="1">#REF!</definedName>
    <definedName name="_O1" localSheetId="12" hidden="1">{#N/A,#N/A,FALSE,"970301";#N/A,#N/A,FALSE,"970302";#N/A,#N/A,FALSE,"970303";#N/A,#N/A,FALSE,"970304";#N/A,#N/A,FALSE,"COM1";#N/A,#N/A,FALSE,"COM2"}</definedName>
    <definedName name="_Sort" localSheetId="12" hidden="1">#REF!</definedName>
    <definedName name="aavbrdf" localSheetId="12" hidden="1">{#N/A,#N/A,FALSE,"OffAdvance";#N/A,#N/A,FALSE,"OffExpRprt";#N/A,#N/A,FALSE,"Travelling";#N/A,#N/A,FALSE,"Entertmnt";#N/A,#N/A,FALSE,"Promotion"}</definedName>
    <definedName name="aaz" localSheetId="12" hidden="1">{#N/A,#N/A,FALSE,"资产负债表";#N/A,#N/A,FALSE,"资产负债表"}</definedName>
    <definedName name="ada" localSheetId="12" hidden="1">{#N/A,#N/A,FALSE,"资产负债表";#N/A,#N/A,FALSE,"资产负债表"}</definedName>
    <definedName name="adaf" localSheetId="12" hidden="1">{#N/A,#N/A,FALSE,"资产负债表";#N/A,#N/A,FALSE,"资产负债表"}</definedName>
    <definedName name="adas" localSheetId="12" hidden="1">{"M1Print",#N/A,TRUE,"M1";"M2Print",#N/A,TRUE,"M2";"M1sPrint",#N/A,TRUE,"M1s";"M2aPrint",#N/A,TRUE,"M2a";"M4Print",#N/A,TRUE,"M4";"M5Print",#N/A,TRUE,"M5";"M6Print",#N/A,TRUE,"M6";"M6_1Print",#N/A,TRUE,"M6_1";"M6_2Print",#N/A,TRUE,"M6_2";"M7_1Print",#N/A,TRUE,"M7_1";"M7_2Print",#N/A,TRUE,"M7_2"}</definedName>
    <definedName name="adf" localSheetId="12" hidden="1">{"toptrial",#N/A,TRUE,"toptrial";"adjustment",#N/A,TRUE,"toptrial";"voucher",#N/A,TRUE,"toptrial"}</definedName>
    <definedName name="afhai" localSheetId="12" hidden="1">{#N/A,#N/A,FALSE,"资产负债表";#N/A,#N/A,FALSE,"资产负债表"}</definedName>
    <definedName name="AGEDDATABASE" localSheetId="12" hidden="1">{#N/A,#N/A,FALSE,"970301";#N/A,#N/A,FALSE,"970302";#N/A,#N/A,FALSE,"970303";#N/A,#N/A,FALSE,"970304";#N/A,#N/A,FALSE,"COM1";#N/A,#N/A,FALSE,"COM2"}</definedName>
    <definedName name="aidhaif" localSheetId="12" hidden="1">{#N/A,#N/A,FALSE,"资产负债表";#N/A,#N/A,FALSE,"资产负债表"}</definedName>
    <definedName name="anakf" localSheetId="12" hidden="1">{#N/A,#N/A,FALSE,"资产负债表";#N/A,#N/A,FALSE,"资产负债表"}</definedName>
    <definedName name="AS2TickmarkLS" localSheetId="12" hidden="1">#REF!</definedName>
    <definedName name="asdg" localSheetId="12" hidden="1">{#N/A,#N/A,FALSE,"资产负债表";#N/A,#N/A,FALSE,"资产负债表"}</definedName>
    <definedName name="ass" localSheetId="12" hidden="1">{#N/A,#N/A,TRUE,"CPRD";#N/A,#N/A,TRUE,"BCCPDR";#N/A,#N/A,TRUE,"EWRD";#N/A,#N/A,TRUE,"5100";#N/A,#N/A,TRUE,"5110"}</definedName>
    <definedName name="book" localSheetId="12" hidden="1">{#N/A,#N/A,FALSE,"OffAdvance";#N/A,#N/A,FALSE,"OffExpRprt";#N/A,#N/A,FALSE,"Entertmnt";#N/A,#N/A,FALSE,"Promotion";#N/A,#N/A,FALSE,"Travelling"}</definedName>
    <definedName name="book.2" localSheetId="12" hidden="1">{#N/A,#N/A,FALSE,"OffAdvance";#N/A,#N/A,FALSE,"OffExpRprt";#N/A,#N/A,FALSE,"Travelling";#N/A,#N/A,FALSE,"Entertmnt";#N/A,#N/A,FALSE,"Promotion"}</definedName>
    <definedName name="cashflow20030930" localSheetId="12" hidden="1">{"M1Print",#N/A,TRUE,"M1";"M2Print",#N/A,TRUE,"M2";"M1sPrint",#N/A,TRUE,"M1s";"M2aPrint",#N/A,TRUE,"M2a";"M4Print",#N/A,TRUE,"M4";"M5Print",#N/A,TRUE,"M5";"M6Print",#N/A,TRUE,"M6";"M6_1Print",#N/A,TRUE,"M6_1";"M6_2Print",#N/A,TRUE,"M6_2";"M7_1Print",#N/A,TRUE,"M7_1";"M7_2Print",#N/A,TRUE,"M7_2"}</definedName>
    <definedName name="cbx" localSheetId="12" hidden="1">{#N/A,#N/A,FALSE,"M1s Board";#N/A,#N/A,FALSE,"M3 Board";#N/A,#N/A,FALSE,"M6 Board";#N/A,#N/A,FALSE,"M7";#N/A,#N/A,FALSE,"M7B";#N/A,#N/A,FALSE,"M8";#N/A,#N/A,FALSE,"M8A Board";#N/A,#N/A,FALSE,"AF1 Board"}</definedName>
    <definedName name="cccvb" localSheetId="12" hidden="1">{#N/A,#N/A,FALSE,"资产负债表";#N/A,#N/A,FALSE,"资产负债表"}</definedName>
    <definedName name="CFVVHH" localSheetId="12" hidden="1">{#N/A,#N/A,FALSE,"资产负债表";#N/A,#N/A,FALSE,"资产负债表"}</definedName>
    <definedName name="cfyik" localSheetId="12" hidden="1">{#N/A,#N/A,FALSE,"资产负债表";#N/A,#N/A,FALSE,"资产负债表"}</definedName>
    <definedName name="cgul" localSheetId="12" hidden="1">{#N/A,#N/A,FALSE,"资产负债表";#N/A,#N/A,FALSE,"资产负债表"}</definedName>
    <definedName name="cguocnbnl" localSheetId="12" hidden="1">{#N/A,#N/A,FALSE,"资产负债表";#N/A,#N/A,FALSE,"资产负债表"}</definedName>
    <definedName name="Coll" localSheetId="12" hidden="1">{#N/A,#N/A,FALSE,"970301";#N/A,#N/A,FALSE,"970302";#N/A,#N/A,FALSE,"970303";#N/A,#N/A,FALSE,"970304";#N/A,#N/A,FALSE,"COM1";#N/A,#N/A,FALSE,"COM2"}</definedName>
    <definedName name="dcca" localSheetId="12" hidden="1">{#N/A,#N/A,FALSE,"资产负债表";#N/A,#N/A,FALSE,"资产负债表"}</definedName>
    <definedName name="dfgdafsg" localSheetId="12" hidden="1">{#N/A,#N/A,FALSE,"OffAdvance";#N/A,#N/A,FALSE,"OffExpRprt";#N/A,#N/A,FALSE,"Travelling";#N/A,#N/A,FALSE,"Entertmnt";#N/A,#N/A,FALSE,"Promotion"}</definedName>
    <definedName name="dfv" localSheetId="12" hidden="1">{"M1Print",#N/A,TRUE,"M1";"M2Print",#N/A,TRUE,"M2";"M1sPrint",#N/A,TRUE,"M1s";"M2aPrint",#N/A,TRUE,"M2a";"M4Print",#N/A,TRUE,"M4";"M5Print",#N/A,TRUE,"M5";"M6Print",#N/A,TRUE,"M6";"M6_1Print",#N/A,TRUE,"M6_1";"M6_2Print",#N/A,TRUE,"M6_2";"M7_1Print",#N/A,TRUE,"M7_1";"M7_2Print",#N/A,TRUE,"M7_2"}</definedName>
    <definedName name="dh" localSheetId="12" hidden="1">{"M4Print",#N/A,FALSE,"M4"}</definedName>
    <definedName name="dlf" localSheetId="12" hidden="1">{"M4Print",#N/A,FALSE,"M4"}</definedName>
    <definedName name="doddd" localSheetId="12" hidden="1">{#N/A,#N/A,TRUE,"CPRD";#N/A,#N/A,TRUE,"BCCPDR";#N/A,#N/A,TRUE,"EWRD";#N/A,#N/A,TRUE,"5100";#N/A,#N/A,TRUE,"5110"}</definedName>
    <definedName name="dog" localSheetId="12" hidden="1">{#N/A,#N/A,TRUE,"CPRD";#N/A,#N/A,TRUE,"BCCPDR";#N/A,#N/A,TRUE,"EWRD";#N/A,#N/A,TRUE,"5100";#N/A,#N/A,TRUE,"5110"}</definedName>
    <definedName name="dvbm" localSheetId="12" hidden="1">{#N/A,#N/A,FALSE,"资产负债表";#N/A,#N/A,FALSE,"资产负债表"}</definedName>
    <definedName name="ehdg" localSheetId="12" hidden="1">{#N/A,#N/A,FALSE,"Jan"}</definedName>
    <definedName name="erf" localSheetId="12" hidden="1">{#N/A,#N/A,FALSE,"970301";#N/A,#N/A,FALSE,"970302";#N/A,#N/A,FALSE,"970303";#N/A,#N/A,FALSE,"970304";#N/A,#N/A,FALSE,"COM1";#N/A,#N/A,FALSE,"COM2"}</definedName>
    <definedName name="eryj" localSheetId="12" hidden="1">{#N/A,#N/A,FALSE,"资产负债表";#N/A,#N/A,FALSE,"资产负债表"}</definedName>
    <definedName name="ExpenseUpload" localSheetId="12" hidden="1">{#N/A,#N/A,TRUE,"CPRD";#N/A,#N/A,TRUE,"BCCPDR";#N/A,#N/A,TRUE,"EWRD";#N/A,#N/A,TRUE,"5100";#N/A,#N/A,TRUE,"5110"}</definedName>
    <definedName name="faif" localSheetId="12" hidden="1">{#N/A,#N/A,FALSE,"资产负债表";#N/A,#N/A,FALSE,"资产负债表"}</definedName>
    <definedName name="fd" localSheetId="12" hidden="1">{"M1sPrint",#N/A,FALSE,"M1s"}</definedName>
    <definedName name="feedback" localSheetId="12" hidden="1">{#N/A,#N/A,TRUE,"CPRD";#N/A,#N/A,TRUE,"BCCPDR";#N/A,#N/A,TRUE,"EWRD";#N/A,#N/A,TRUE,"5100";#N/A,#N/A,TRUE,"5110"}</definedName>
    <definedName name="fgdg" localSheetId="12" hidden="1">{"M1Print",#N/A,TRUE,"M1";"M2Print",#N/A,TRUE,"M2";"M1sPrint",#N/A,TRUE,"M1s";"M2aPrint",#N/A,TRUE,"M2a";"M4Print",#N/A,TRUE,"M4";"M5Print",#N/A,TRUE,"M5";"M6Print",#N/A,TRUE,"M6";"M6_1Print",#N/A,TRUE,"M6_1";"M6_2Print",#N/A,TRUE,"M6_2";"M7_1Print",#N/A,TRUE,"M7_1";"M7_2Print",#N/A,TRUE,"M7_2"}</definedName>
    <definedName name="fvb" localSheetId="12" hidden="1">{#N/A,#N/A,FALSE,"资产负债表";#N/A,#N/A,FALSE,"资产负债表"}</definedName>
    <definedName name="G9IJGF" localSheetId="12" hidden="1">{#N/A,#N/A,FALSE,"资产负债表";#N/A,#N/A,FALSE,"资产负债表"}</definedName>
    <definedName name="hadiah" localSheetId="12" hidden="1">{#N/A,#N/A,FALSE,"资产负债表";#N/A,#N/A,FALSE,"资产负债表"}</definedName>
    <definedName name="HdctTrnd" localSheetId="12" hidden="1">{#N/A,#N/A,TRUE,"CPRD";#N/A,#N/A,TRUE,"BCCPDR";#N/A,#N/A,TRUE,"EWRD";#N/A,#N/A,TRUE,"5100";#N/A,#N/A,TRUE,"5110"}</definedName>
    <definedName name="HTL_Cotrol1" localSheetId="12" hidden="1">{"'Sheet3'!$A$47:$M$47"}</definedName>
    <definedName name="HTML_Control" localSheetId="12" hidden="1">{"'Vxxe_times_J750 (2)'!$A$3:$E$14"}</definedName>
    <definedName name="hueoa" localSheetId="12" hidden="1">{#N/A,#N/A,FALSE,"资产负债表";#N/A,#N/A,FALSE,"资产负债表"}</definedName>
    <definedName name="ieji" localSheetId="12" hidden="1">{#N/A,#N/A,FALSE,"970301";#N/A,#N/A,FALSE,"970302";#N/A,#N/A,FALSE,"970303";#N/A,#N/A,FALSE,"970304";#N/A,#N/A,FALSE,"COM1";#N/A,#N/A,FALSE,"COM2"}</definedName>
    <definedName name="jdda" localSheetId="12" hidden="1">{"M4Print",#N/A,FALSE,"M4"}</definedName>
    <definedName name="jdfslsajdflasdkjpf" localSheetId="12" hidden="1">{#N/A,#N/A,FALSE,"OffAdvance";#N/A,#N/A,FALSE,"OffExpRprt";#N/A,#N/A,FALSE,"Entertmnt";#N/A,#N/A,FALSE,"Promotion";#N/A,#N/A,FALSE,"Travelling"}</definedName>
    <definedName name="jfgh" localSheetId="12" hidden="1">{"M1sPrint",#N/A,FALSE,"M1s"}</definedName>
    <definedName name="jgfhfg" localSheetId="12" hidden="1">{"M1sPrint",#N/A,FALSE,"M1s"}</definedName>
    <definedName name="jlj" localSheetId="12" hidden="1">{"M2aPrint",#N/A,FALSE,"M2a"}</definedName>
    <definedName name="jughn" localSheetId="12" hidden="1">{"M7_1Print",#N/A,TRUE,"M7_1";"M7_2Print",#N/A,TRUE,"M7_2"}</definedName>
    <definedName name="jytj" localSheetId="12" hidden="1">{"M7_1Print",#N/A,TRUE,"M7_1";"M7_2Print",#N/A,TRUE,"M7_2"}</definedName>
    <definedName name="kljik" localSheetId="12" hidden="1">{#N/A,#N/A,FALSE,"OffAdvance";#N/A,#N/A,FALSE,"OffExpRprt";#N/A,#N/A,FALSE,"Entertmnt";#N/A,#N/A,FALSE,"Promotion";#N/A,#N/A,FALSE,"Travelling"}</definedName>
    <definedName name="kuj" localSheetId="12" hidden="1">{"M6Print",#N/A,FALSE,"M6";"M6_1Print",#N/A,FALSE,"M6_1";"M6_2Print",#N/A,FALSE,"M6_2"}</definedName>
    <definedName name="LotusGraphChart1" localSheetId="12" hidden="1">#REF!</definedName>
    <definedName name="lotusgraphchart1b" localSheetId="12" hidden="1">#REF!</definedName>
    <definedName name="lotusgraphchart1x" localSheetId="12" hidden="1">#REF!</definedName>
    <definedName name="lu" localSheetId="12" hidden="1">{"M1sPrint",#N/A,FALSE,"M1s"}</definedName>
    <definedName name="n" localSheetId="12" hidden="1">{"M2Print",#N/A,FALSE,"M2"}</definedName>
    <definedName name="ngn" localSheetId="12" hidden="1">{"M1Print",#N/A,TRUE,"M1";"M2Print",#N/A,TRUE,"M2";"M1sPrint",#N/A,TRUE,"M1s";"M2aPrint",#N/A,TRUE,"M2a";"M4Print",#N/A,TRUE,"M4";"M5Print",#N/A,TRUE,"M5";"M6Print",#N/A,TRUE,"M6";"M6_1Print",#N/A,TRUE,"M6_1";"M6_2Print",#N/A,TRUE,"M6_2";"M7_1Print",#N/A,TRUE,"M7_1";"M7_2Print",#N/A,TRUE,"M7_2"}</definedName>
    <definedName name="notused" localSheetId="12" hidden="1">{#N/A,#N/A,TRUE,"CPRD";#N/A,#N/A,TRUE,"BCCPDR";#N/A,#N/A,TRUE,"EWRD";#N/A,#N/A,TRUE,"5100";#N/A,#N/A,TRUE,"5110"}</definedName>
    <definedName name="qwertyuiopasdfghjkl" localSheetId="12" hidden="1">{"M2aPrint",#N/A,FALSE,"M2a"}</definedName>
    <definedName name="qwwertyuiop" localSheetId="12" hidden="1">{"M2Print",#N/A,FALSE,"M2"}</definedName>
    <definedName name="RJE" localSheetId="12" hidden="1">{"toptrial",#N/A,TRUE,"toptrial";"adjustment",#N/A,TRUE,"toptrial";"voucher",#N/A,TRUE,"toptrial"}</definedName>
    <definedName name="sdfs" localSheetId="12" hidden="1">{"M1sPrint",#N/A,FALSE,"M1s"}</definedName>
    <definedName name="Sheet1_BNE_MESSAGES" localSheetId="12" hidden="1">#REF!</definedName>
    <definedName name="Sheet1_BNE_MESSAGES_HIDDEN" localSheetId="12" hidden="1">#REF!</definedName>
    <definedName name="Sheet1_BNE_MESSAGES_LAMP" localSheetId="12" hidden="1">#REF!</definedName>
    <definedName name="Sheet1_BNE_UPLOAD" localSheetId="12" hidden="1">#REF!</definedName>
    <definedName name="Sheet1_GL_INTERFACE_ACCOUNTING_DATE" localSheetId="12" hidden="1">#REF!</definedName>
    <definedName name="Sheet1_GL_INTERFACE_ACTUAL_FLAG" localSheetId="12" hidden="1">#REF!</definedName>
    <definedName name="Sheet1_GL_INTERFACE_CURRENCY_CODE" localSheetId="12" hidden="1">#REF!</definedName>
    <definedName name="Sheet1_GL_INTERFACE_DATABASE" localSheetId="12" hidden="1">#REF!</definedName>
    <definedName name="Sheet1_GL_INTERFACE_ENTERED_CR" localSheetId="12" hidden="1">#REF!</definedName>
    <definedName name="Sheet1_GL_INTERFACE_ENTERED_DR" localSheetId="12" hidden="1">#REF!</definedName>
    <definedName name="Sheet1_GL_INTERFACE_REFERENCE1" localSheetId="12" hidden="1">#REF!</definedName>
    <definedName name="Sheet1_GL_INTERFACE_REFERENCE10" localSheetId="12" hidden="1">#REF!</definedName>
    <definedName name="Sheet1_GL_INTERFACE_REFERENCE4" localSheetId="12" hidden="1">#REF!</definedName>
    <definedName name="Sheet1_GL_INTERFACE_REFERENCE5" localSheetId="12" hidden="1">#REF!</definedName>
    <definedName name="Sheet1_GL_INTERFACE_REFERENCE6" localSheetId="12" hidden="1">#REF!</definedName>
    <definedName name="Sheet1_GL_INTERFACE_REFERENCE7" localSheetId="12" hidden="1">#REF!</definedName>
    <definedName name="Sheet1_GL_INTERFACE_REFERENCE8" localSheetId="12" hidden="1">#REF!</definedName>
    <definedName name="Sheet1_GL_INTERFACE_SEGMENT1" localSheetId="12" hidden="1">#REF!</definedName>
    <definedName name="Sheet1_GL_INTERFACE_SEGMENT2" localSheetId="12" hidden="1">#REF!</definedName>
    <definedName name="Sheet1_GL_INTERFACE_SEGMENT3" localSheetId="12" hidden="1">#REF!</definedName>
    <definedName name="Sheet1_GL_INTERFACE_SEGMENT4" localSheetId="12" hidden="1">#REF!</definedName>
    <definedName name="Sheet1_GL_INTERFACE_SEGMENT5" localSheetId="12" hidden="1">#REF!</definedName>
    <definedName name="Sheet1_GL_INTERFACE_SEGMENT6" localSheetId="12" hidden="1">#REF!</definedName>
    <definedName name="Sheet1_GL_INTERFACE_SET_OF_BOOKS_ID" localSheetId="12" hidden="1">#REF!</definedName>
    <definedName name="Sheet1_GL_INTERFACE_USER_JE_CATEGORY_NAME" localSheetId="12" hidden="1">#REF!</definedName>
    <definedName name="Sheet1_GL_INTERFACE_USER_JE_SOURCE_NAME" localSheetId="12" hidden="1">#REF!</definedName>
    <definedName name="sssz" localSheetId="12" hidden="1">{#N/A,#N/A,FALSE,"资产负债表";#N/A,#N/A,FALSE,"资产负债表"}</definedName>
    <definedName name="terh" localSheetId="12" hidden="1">{#N/A,#N/A,FALSE,"OffAdvance";#N/A,#N/A,FALSE,"OffExpRprt";#N/A,#N/A,FALSE,"Entertmnt";#N/A,#N/A,FALSE,"Promotion";#N/A,#N/A,FALSE,"Travelling"}</definedName>
    <definedName name="tfhg" localSheetId="12" hidden="1">{"M1Print",#N/A,FALSE,"M1"}</definedName>
    <definedName name="the" localSheetId="12" hidden="1">{#N/A,#N/A,FALSE,"Marketing";#N/A,#N/A,FALSE,"Selling";#N/A,#N/A,FALSE,"Promotional";#N/A,#N/A,FALSE,"Advertising"}</definedName>
    <definedName name="ulead" localSheetId="12" hidden="1">{#N/A,#N/A,FALSE,"970301";#N/A,#N/A,FALSE,"970302";#N/A,#N/A,FALSE,"970303";#N/A,#N/A,FALSE,"970304";#N/A,#N/A,FALSE,"COM1";#N/A,#N/A,FALSE,"COM2"}</definedName>
    <definedName name="uygh" localSheetId="12" hidden="1">{"M6Print",#N/A,FALSE,"M6";"M6_1Print",#N/A,FALSE,"M6_1";"M6_2Print",#N/A,FALSE,"M6_2"}</definedName>
    <definedName name="vhvkb" localSheetId="12" hidden="1">{#N/A,#N/A,FALSE,"资产负债表";#N/A,#N/A,FALSE,"资产负债表"}</definedName>
    <definedName name="wrn.Aging._.and._.Trend._.Analysis." localSheetId="12" hidden="1">{#N/A,#N/A,FALSE,"Aging Summary";#N/A,#N/A,FALSE,"Ratio Analysis";#N/A,#N/A,FALSE,"Test 120 Day Accts";#N/A,#N/A,FALSE,"Tickmarks"}</definedName>
    <definedName name="wrn.ALL." localSheetId="12" hidden="1">{#N/A,#N/A,FALSE,"SUM";#N/A,#N/A,FALSE,"SK_TOT";#N/A,#N/A,FALSE,"YM";#N/A,#N/A,FALSE,"TSMC";#N/A,#N/A,FALSE,"ICW";#N/A,#N/A,FALSE,"Sheet1"}</definedName>
    <definedName name="wrn.All._.M._.Schedules." localSheetId="12" hidden="1">{"M1Print",#N/A,TRUE,"M1";"M2Print",#N/A,TRUE,"M2";"M1sPrint",#N/A,TRUE,"M1s";"M2aPrint",#N/A,TRUE,"M2a";"M4Print",#N/A,TRUE,"M4";"M5Print",#N/A,TRUE,"M5";"M6Print",#N/A,TRUE,"M6";"M6_1Print",#N/A,TRUE,"M6_1";"M6_2Print",#N/A,TRUE,"M6_2";"M7_1Print",#N/A,TRUE,"M7_1";"M7_2Print",#N/A,TRUE,"M7_2"}</definedName>
    <definedName name="wrn.all._.M._.Schedules.1" localSheetId="12" hidden="1">{"M1Print",#N/A,TRUE,"M1";"M2Print",#N/A,TRUE,"M2";"M1sPrint",#N/A,TRUE,"M1s";"M2aPrint",#N/A,TRUE,"M2a";"M4Print",#N/A,TRUE,"M4";"M5Print",#N/A,TRUE,"M5";"M6Print",#N/A,TRUE,"M6";"M6_1Print",#N/A,TRUE,"M6_1";"M6_2Print",#N/A,TRUE,"M6_2";"M7_1Print",#N/A,TRUE,"M7_1";"M7_2Print",#N/A,TRUE,"M7_2"}</definedName>
    <definedName name="wrn.all._M._.Scheduleds。1" localSheetId="12" hidden="1">{"M1Print",#N/A,TRUE,"M1";"M2Print",#N/A,TRUE,"M2";"M1sPrint",#N/A,TRUE,"M1s";"M2aPrint",#N/A,TRUE,"M2a";"M4Print",#N/A,TRUE,"M4";"M5Print",#N/A,TRUE,"M5";"M6Print",#N/A,TRUE,"M6";"M6_1Print",#N/A,TRUE,"M6_1";"M6_2Print",#N/A,TRUE,"M6_2";"M7_1Print",#N/A,TRUE,"M7_1";"M7_2Print",#N/A,TRUE,"M7_2"}</definedName>
    <definedName name="wrn.Board._.Reports." localSheetId="12" hidden="1">{#N/A,#N/A,FALSE,"M1s Board";#N/A,#N/A,FALSE,"M3 Board";#N/A,#N/A,FALSE,"M6 Board";#N/A,#N/A,FALSE,"M7";#N/A,#N/A,FALSE,"M7B";#N/A,#N/A,FALSE,"M8";#N/A,#N/A,FALSE,"M8A Board";#N/A,#N/A,FALSE,"AF1 Board"}</definedName>
    <definedName name="wrn.Deposit._.By._.Day." localSheetId="12" hidden="1">{#N/A,#N/A,FALSE,"Deposits by day"}</definedName>
    <definedName name="wrn.Deptartment._.Expenses." localSheetId="12" hidden="1">{#N/A,#N/A,TRUE,"CPRD";#N/A,#N/A,TRUE,"BCCPDR";#N/A,#N/A,TRUE,"EWRD";#N/A,#N/A,TRUE,"5100";#N/A,#N/A,TRUE,"5110"}</definedName>
    <definedName name="wrn.ERNST." localSheetId="12" hidden="1">{#N/A,#N/A,FALSE,"YTCHAN";#N/A,#N/A,FALSE,"TOMMY";#N/A,#N/A,FALSE,"REP.OFFICE";#N/A,#N/A,FALSE,"E&amp;Y_CONSULTANT";#N/A,#N/A,FALSE,"BT &amp; CIT"}</definedName>
    <definedName name="wrn.Financial._.Report." localSheetId="12"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localSheetId="12" hidden="1">{#N/A,#N/A,FALSE,"OffAdvance";#N/A,#N/A,FALSE,"OffExpRprt";#N/A,#N/A,FALSE,"Entertmnt";#N/A,#N/A,FALSE,"Promotion";#N/A,#N/A,FALSE,"Travelling"}</definedName>
    <definedName name="wrn.gb." localSheetId="12" hidden="1">{#N/A,#N/A,FALSE,"资产负债表";#N/A,#N/A,FALSE,"资产负债表"}</definedName>
    <definedName name="wrn.Input._.Data." localSheetId="12" hidden="1">{"Input_Fin",#N/A,FALSE,"By Code";"Input_Opt",#N/A,FALSE,"By Code"}</definedName>
    <definedName name="wrn.jan." localSheetId="12" hidden="1">{#N/A,#N/A,FALSE,"Jan"}</definedName>
    <definedName name="wrn.M1._.Operating._.Statement." localSheetId="12" hidden="1">{"M1Print",#N/A,FALSE,"M1"}</definedName>
    <definedName name="wrn.M1s._.Statistics." localSheetId="12" hidden="1">{"M1sPrint",#N/A,FALSE,"M1s"}</definedName>
    <definedName name="wrn.M2._.Balance._.Sheet." localSheetId="12" hidden="1">{"M2Print",#N/A,FALSE,"M2"}</definedName>
    <definedName name="wrn.M2a._.Cashflow." localSheetId="12" hidden="1">{"M2aPrint",#N/A,FALSE,"M2a"}</definedName>
    <definedName name="wrn.M4._.Inventories." localSheetId="12" hidden="1">{"M4Print",#N/A,FALSE,"M4"}</definedName>
    <definedName name="wrn.M5._.Flash._.and._.Forecast." localSheetId="12" hidden="1">{"M5Print",#N/A,FALSE,"M5"}</definedName>
    <definedName name="wrn.M6._.Management._.Summary." localSheetId="12" hidden="1">{"M6Print",#N/A,FALSE,"M6";"M6_1Print",#N/A,FALSE,"M6_1";"M6_2Print",#N/A,FALSE,"M6_2"}</definedName>
    <definedName name="wrn.M7._.Financial._.Controllers._.report." localSheetId="12" hidden="1">{"M7_1Print",#N/A,TRUE,"M7_1";"M7_2Print",#N/A,TRUE,"M7_2"}</definedName>
    <definedName name="wrn.Office." localSheetId="12" hidden="1">{#N/A,#N/A,FALSE,"OffAdvance";#N/A,#N/A,FALSE,"OffExpRprt";#N/A,#N/A,FALSE,"Travelling";#N/A,#N/A,FALSE,"Entertmnt";#N/A,#N/A,FALSE,"Promotion"}</definedName>
    <definedName name="wrn.Operation._.Report." localSheetId="12"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Sales." localSheetId="12" hidden="1">{#N/A,#N/A,FALSE,"Marketing";#N/A,#N/A,FALSE,"Selling";#N/A,#N/A,FALSE,"Promotional";#N/A,#N/A,FALSE,"Advertising"}</definedName>
    <definedName name="wrn.sunmicro." localSheetId="12" hidden="1">{#N/A,#N/A,FALSE,"FREEMAN";#N/A,#N/A,FALSE,"STEPHEN";#N/A,#N/A,FALSE,"VICTOR"}</definedName>
    <definedName name="wrn.tope" localSheetId="12" hidden="1">{"toptrial",#N/A,TRUE,"toptrial";"adjustment",#N/A,TRUE,"toptrial";"voucher",#N/A,TRUE,"toptrial"}</definedName>
    <definedName name="wrn.toptrial." localSheetId="12" hidden="1">{"toptrial",#N/A,TRUE,"toptrial";"adjustment",#N/A,TRUE,"toptrial";"voucher",#N/A,TRUE,"toptrial"}</definedName>
    <definedName name="wrn.voucher9703." localSheetId="12" hidden="1">{#N/A,#N/A,FALSE,"970301";#N/A,#N/A,FALSE,"970302";#N/A,#N/A,FALSE,"970303";#N/A,#N/A,FALSE,"970304";#N/A,#N/A,FALSE,"COM1";#N/A,#N/A,FALSE,"COM2"}</definedName>
    <definedName name="wrn.ytd." localSheetId="12" hidden="1">{#N/A,#N/A,FALSE,"YTD"}</definedName>
    <definedName name="wrn100.gb" localSheetId="12" hidden="1">{#N/A,#N/A,FALSE,"资产负债表";#N/A,#N/A,FALSE,"资产负债表"}</definedName>
    <definedName name="wrnn.all." localSheetId="12" hidden="1">{#N/A,#N/A,FALSE,"SUM";#N/A,#N/A,FALSE,"SK_TOT";#N/A,#N/A,FALSE,"YM";#N/A,#N/A,FALSE,"TSMC";#N/A,#N/A,FALSE,"ICW";#N/A,#N/A,FALSE,"Sheet1"}</definedName>
    <definedName name="wtr" localSheetId="12" hidden="1">{#N/A,#N/A,FALSE,"资产负债表";#N/A,#N/A,FALSE,"资产负债表"}</definedName>
    <definedName name="XREF_COLUMN_1" localSheetId="12" hidden="1">#REF!</definedName>
    <definedName name="XREF_COLUMN_10" localSheetId="12" hidden="1">#REF!</definedName>
    <definedName name="XREF_COLUMN_11" localSheetId="12" hidden="1">#REF!</definedName>
    <definedName name="XREF_COLUMN_12" localSheetId="12" hidden="1">#REF!</definedName>
    <definedName name="XREF_COLUMN_19" localSheetId="12" hidden="1">#REF!</definedName>
    <definedName name="XREF_COLUMN_2" localSheetId="12" hidden="1">#REF!</definedName>
    <definedName name="XREF_COLUMN_20" localSheetId="12" hidden="1">#REF!</definedName>
    <definedName name="XREF_COLUMN_21" localSheetId="12" hidden="1">#REF!</definedName>
    <definedName name="XREF_COLUMN_3" localSheetId="12" hidden="1">#REF!</definedName>
    <definedName name="XREF_COLUMN_4" localSheetId="12" hidden="1">#REF!</definedName>
    <definedName name="XREF_COLUMN_5" localSheetId="12" hidden="1">#REF!</definedName>
    <definedName name="XREF_COLUMN_6" localSheetId="12" hidden="1">#REF!</definedName>
    <definedName name="XREF_COLUMN_7" localSheetId="12" hidden="1">#REF!</definedName>
    <definedName name="XRefActiveRow" localSheetId="12" hidden="1">#REF!</definedName>
    <definedName name="XRefCopy1" localSheetId="12" hidden="1">#REF!</definedName>
    <definedName name="XRefCopy10" localSheetId="12" hidden="1">#REF!</definedName>
    <definedName name="XRefCopy10Row" localSheetId="12" hidden="1">#REF!</definedName>
    <definedName name="XRefCopy11" localSheetId="12" hidden="1">#REF!</definedName>
    <definedName name="XRefCopy11Row" localSheetId="12" hidden="1">#REF!</definedName>
    <definedName name="XRefCopy12" localSheetId="12" hidden="1">#REF!</definedName>
    <definedName name="XRefCopy13" localSheetId="12" hidden="1">#REF!</definedName>
    <definedName name="XRefCopy13Row" localSheetId="12" hidden="1">#REF!</definedName>
    <definedName name="XRefCopy14" localSheetId="12" hidden="1">#REF!</definedName>
    <definedName name="XRefCopy15" localSheetId="12" hidden="1">#REF!</definedName>
    <definedName name="XRefCopy16Row" localSheetId="12" hidden="1">#REF!</definedName>
    <definedName name="XRefCopy1Row" localSheetId="12" hidden="1">#REF!</definedName>
    <definedName name="XRefCopy2" localSheetId="12" hidden="1">#REF!</definedName>
    <definedName name="XRefCopy2Row" localSheetId="12" hidden="1">#REF!</definedName>
    <definedName name="XRefCopy3" localSheetId="12" hidden="1">#REF!</definedName>
    <definedName name="XRefCopy3Row" localSheetId="12" hidden="1">#REF!</definedName>
    <definedName name="XRefCopy4" localSheetId="12" hidden="1">#REF!</definedName>
    <definedName name="XRefCopy46" localSheetId="12" hidden="1">#REF!</definedName>
    <definedName name="XRefCopy47" localSheetId="12" hidden="1">#REF!</definedName>
    <definedName name="XRefCopy47Row" localSheetId="12" hidden="1">#REF!</definedName>
    <definedName name="XRefCopy48" localSheetId="12" hidden="1">#REF!</definedName>
    <definedName name="XRefCopy48Row" localSheetId="12" hidden="1">#REF!</definedName>
    <definedName name="XRefCopy49" localSheetId="12" hidden="1">#REF!</definedName>
    <definedName name="XRefCopy49Row" localSheetId="12" hidden="1">#REF!</definedName>
    <definedName name="XRefCopy4Row" localSheetId="12" hidden="1">#REF!</definedName>
    <definedName name="XRefCopy5" localSheetId="12" hidden="1">#REF!</definedName>
    <definedName name="XRefCopy50" localSheetId="12" hidden="1">#REF!</definedName>
    <definedName name="XRefCopy50Row" localSheetId="12" hidden="1">#REF!</definedName>
    <definedName name="XRefCopy51" localSheetId="12" hidden="1">#REF!</definedName>
    <definedName name="XRefCopy52" localSheetId="12" hidden="1">#REF!</definedName>
    <definedName name="XRefCopy52Row" localSheetId="12" hidden="1">#REF!</definedName>
    <definedName name="XRefCopy53" localSheetId="12" hidden="1">#REF!</definedName>
    <definedName name="XRefCopy53Row" localSheetId="12" hidden="1">#REF!</definedName>
    <definedName name="XRefCopy54" localSheetId="12" hidden="1">#REF!</definedName>
    <definedName name="XRefCopy54Row" localSheetId="12" hidden="1">#REF!</definedName>
    <definedName name="XRefCopy55" localSheetId="12" hidden="1">#REF!</definedName>
    <definedName name="XRefCopy55Row" localSheetId="12" hidden="1">#REF!</definedName>
    <definedName name="XRefCopy56" localSheetId="12" hidden="1">#REF!</definedName>
    <definedName name="XRefCopy56Row" localSheetId="12" hidden="1">#REF!</definedName>
    <definedName name="XRefCopy57" localSheetId="12" hidden="1">#REF!</definedName>
    <definedName name="XRefCopy57Row" localSheetId="12" hidden="1">#REF!</definedName>
    <definedName name="XRefCopy5Row" localSheetId="12" hidden="1">#REF!</definedName>
    <definedName name="XRefCopy6" localSheetId="12" hidden="1">#REF!</definedName>
    <definedName name="XRefCopy6Row" localSheetId="12" hidden="1">#REF!</definedName>
    <definedName name="XRefCopy7" localSheetId="12" hidden="1">#REF!</definedName>
    <definedName name="XRefCopy7Row" localSheetId="12" hidden="1">#REF!</definedName>
    <definedName name="XRefCopy8" localSheetId="12" hidden="1">#REF!</definedName>
    <definedName name="XRefCopy8Row" localSheetId="12" hidden="1">#REF!</definedName>
    <definedName name="XRefCopy9" localSheetId="12" hidden="1">#REF!</definedName>
    <definedName name="XRefCopy9Row" localSheetId="12" hidden="1">#REF!</definedName>
    <definedName name="XRefPaste1" localSheetId="12" hidden="1">#REF!</definedName>
    <definedName name="XRefPaste10" localSheetId="12" hidden="1">#REF!</definedName>
    <definedName name="XRefPaste11" localSheetId="12" hidden="1">#REF!</definedName>
    <definedName name="XRefPaste1Row" localSheetId="12" hidden="1">#REF!</definedName>
    <definedName name="XRefPaste2" localSheetId="12" hidden="1">#REF!</definedName>
    <definedName name="XRefPaste24" localSheetId="12" hidden="1">#REF!</definedName>
    <definedName name="XRefPaste24Row" localSheetId="12" hidden="1">#REF!</definedName>
    <definedName name="XRefPaste25" localSheetId="12" hidden="1">#REF!</definedName>
    <definedName name="XRefPaste25Row" localSheetId="12" hidden="1">#REF!</definedName>
    <definedName name="XRefPaste26" localSheetId="12" hidden="1">#REF!</definedName>
    <definedName name="XRefPaste26Row" localSheetId="12" hidden="1">#REF!</definedName>
    <definedName name="XRefPaste27" localSheetId="12" hidden="1">#REF!</definedName>
    <definedName name="XRefPaste27Row" localSheetId="12" hidden="1">#REF!</definedName>
    <definedName name="XRefPaste28" localSheetId="12" hidden="1">#REF!</definedName>
    <definedName name="XRefPaste28Row" localSheetId="12" hidden="1">#REF!</definedName>
    <definedName name="XRefPaste29" localSheetId="12" hidden="1">#REF!</definedName>
    <definedName name="XRefPaste29Row" localSheetId="12" hidden="1">#REF!</definedName>
    <definedName name="XRefPaste2Row" localSheetId="12" hidden="1">#REF!</definedName>
    <definedName name="XRefPaste3" localSheetId="12" hidden="1">#REF!</definedName>
    <definedName name="XRefPaste3Row" localSheetId="12" hidden="1">#REF!</definedName>
    <definedName name="XRefPaste4" localSheetId="12" hidden="1">#REF!</definedName>
    <definedName name="XRefPaste4Row" localSheetId="12" hidden="1">#REF!</definedName>
    <definedName name="XRefPaste5" localSheetId="12" hidden="1">#REF!</definedName>
    <definedName name="XRefPaste6" localSheetId="12" hidden="1">#REF!</definedName>
    <definedName name="XRefPaste6Row" localSheetId="12" hidden="1">#REF!</definedName>
    <definedName name="XRefPaste7" localSheetId="12" hidden="1">#REF!</definedName>
    <definedName name="XRefPaste8" localSheetId="12" hidden="1">#REF!</definedName>
    <definedName name="XRefPaste9" localSheetId="12" hidden="1">#REF!</definedName>
    <definedName name="xzxsfd" localSheetId="12" hidden="1">{"M1Print",#N/A,FALSE,"M1"}</definedName>
    <definedName name="y" localSheetId="12" hidden="1">{#N/A,#N/A,FALSE,"970301";#N/A,#N/A,FALSE,"970302";#N/A,#N/A,FALSE,"970303";#N/A,#N/A,FALSE,"970304";#N/A,#N/A,FALSE,"COM1";#N/A,#N/A,FALSE,"COM2"}</definedName>
    <definedName name="Z_1711050D_B2D8_42FB_A40D_E4BD90297684_.wvu.Cols" localSheetId="12" hidden="1">#REF!,#REF!,#REF!,#REF!,#REF!</definedName>
    <definedName name="Z_E738B51C_56AE_4F9F_8D8A_36AD6137B90D_.wvu.Cols" localSheetId="12" hidden="1">#REF!</definedName>
    <definedName name="Z_E738B51C_56AE_4F9F_8D8A_36AD6137B90D_.wvu.PrintArea" localSheetId="12" hidden="1">#REF!</definedName>
    <definedName name="Z_E738B51C_56AE_4F9F_8D8A_36AD6137B90D_.wvu.PrintTitles" localSheetId="12" hidden="1">#REF!,#REF!</definedName>
    <definedName name="Z_E738B51C_56AE_4F9F_8D8A_36AD6137B90D_.wvu.Rows" localSheetId="12" hidden="1">#REF!</definedName>
    <definedName name="zdry" localSheetId="12" hidden="1">{#N/A,#N/A,FALSE,"资产负债表";#N/A,#N/A,FALSE,"资产负债表"}</definedName>
    <definedName name="zerey" localSheetId="12" hidden="1">{#N/A,#N/A,FALSE,"资产负债表";#N/A,#N/A,FALSE,"资产负债表"}</definedName>
    <definedName name="啊" localSheetId="12" hidden="1">{#N/A,#N/A,FALSE,"970301";#N/A,#N/A,FALSE,"970302";#N/A,#N/A,FALSE,"970303";#N/A,#N/A,FALSE,"970304";#N/A,#N/A,FALSE,"COM1";#N/A,#N/A,FALSE,"COM2"}</definedName>
    <definedName name="备用" localSheetId="12" hidden="1">{#N/A,#N/A,FALSE,"OffAdvance";#N/A,#N/A,FALSE,"OffExpRprt";#N/A,#N/A,FALSE,"Entertmnt";#N/A,#N/A,FALSE,"Promotion";#N/A,#N/A,FALSE,"Travelling"}</definedName>
    <definedName name="借款" localSheetId="12" hidden="1">{#N/A,#N/A,FALSE,"970301";#N/A,#N/A,FALSE,"970302";#N/A,#N/A,FALSE,"970303";#N/A,#N/A,FALSE,"970304";#N/A,#N/A,FALSE,"COM1";#N/A,#N/A,FALSE,"COM2"}</definedName>
    <definedName name="苛" localSheetId="12" hidden="1">{"M1sPrint",#N/A,FALSE,"M1s"}</definedName>
    <definedName name="试验" localSheetId="12" hidden="1">{#N/A,#N/A,FALSE,"OffAdvance";#N/A,#N/A,FALSE,"OffExpRprt";#N/A,#N/A,FALSE,"Travelling";#N/A,#N/A,FALSE,"Entertmnt";#N/A,#N/A,FALSE,"Promotion"}</definedName>
    <definedName name="已05" localSheetId="12" hidden="1">{"M1Print",#N/A,TRUE,"M1";"M2Print",#N/A,TRUE,"M2";"M1sPrint",#N/A,TRUE,"M1s";"M2aPrint",#N/A,TRUE,"M2a";"M4Print",#N/A,TRUE,"M4";"M5Print",#N/A,TRUE,"M5";"M6Print",#N/A,TRUE,"M6";"M6_1Print",#N/A,TRUE,"M6_1";"M6_2Print",#N/A,TRUE,"M6_2";"M7_1Print",#N/A,TRUE,"M7_1";"M7_2Print",#N/A,TRUE,"M7_2"}</definedName>
    <definedName name="应手款" localSheetId="12" hidden="1">{#N/A,#N/A,FALSE,"970301";#N/A,#N/A,FALSE,"970302";#N/A,#N/A,FALSE,"970303";#N/A,#N/A,FALSE,"970304";#N/A,#N/A,FALSE,"COM1";#N/A,#N/A,FALSE,"COM2"}</definedName>
    <definedName name="应手款1月" localSheetId="12" hidden="1">{#N/A,#N/A,FALSE,"Marketing";#N/A,#N/A,FALSE,"Selling";#N/A,#N/A,FALSE,"Promotional";#N/A,#N/A,FALSE,"Advertising"}</definedName>
  </definedNames>
  <calcPr calcId="191028" calcMode="auto" fullCalcOnLoad="1" forceFullCalc="1"/>
</workbook>
</file>

<file path=xl/styles.xml><?xml version="1.0" encoding="utf-8"?>
<styleSheet xmlns="http://schemas.openxmlformats.org/spreadsheetml/2006/main">
  <numFmts count="55">
    <numFmt numFmtId="164" formatCode="_(* #,##0.00_);_(* \(#,##0.00\);_(* &quot;-&quot;??_)"/>
    <numFmt numFmtId="165" formatCode="_ * #,##0_ ;_ * \-#,##0_ ;_ * &quot;-&quot;_ ;_ @_ "/>
    <numFmt numFmtId="166" formatCode="#,##0;\(#,##0\);0"/>
    <numFmt numFmtId="167" formatCode="#,##0;\(#,##0\);\-#,##0"/>
    <numFmt numFmtId="168" formatCode="_ * #,##0.00_ ;_ * \-#,##0.00_ ;_ * &quot;-&quot;??_ ;_ @_ "/>
    <numFmt numFmtId="169" formatCode="_(* #,##0_);_(* \(#,##0\);_(* &quot;-&quot;??_);_(@_)"/>
    <numFmt numFmtId="170" formatCode="_(* #,##0.00_);[Red]_(* \(#,##0.00\);_(* &quot;-&quot;??_)"/>
    <numFmt numFmtId="171" formatCode="_ &quot;¥&quot;* #,##0.00_ ;_ &quot;¥&quot;* \-#,##0.00_ ;_ &quot;¥&quot;* &quot;-&quot;??_ ;_ @_ "/>
    <numFmt numFmtId="172" formatCode="0.0000%"/>
    <numFmt numFmtId="173" formatCode="_-* #,##0.0000000000_-;\-* #,##0.0000000000_-;_-* &quot;-&quot;??_-;_-@_-"/>
    <numFmt numFmtId="174" formatCode="0.0%"/>
    <numFmt numFmtId="175" formatCode="\¥#,##0;\-\¥#,##0"/>
    <numFmt numFmtId="176" formatCode="#.\ \ "/>
    <numFmt numFmtId="177" formatCode="##.\ \ "/>
    <numFmt numFmtId="178" formatCode="#,##0;\-#,##0;&quot;-&quot;"/>
    <numFmt numFmtId="179" formatCode="#,##0.0_);\(#,##0.0\)"/>
    <numFmt numFmtId="180" formatCode="_(* #,##0.0000_);_(* \(#,##0.0000\);_(* &quot;-&quot;??_);_(@_)"/>
    <numFmt numFmtId="181" formatCode="mmmm\ d\,\ yyyy"/>
    <numFmt numFmtId="182" formatCode="#,##0\ &quot;FB&quot;;\-#,##0\ &quot;FB&quot;"/>
    <numFmt numFmtId="183" formatCode="_(&quot;$&quot;* #,##0.00_);_(&quot;$&quot;* \(#,##0.00\);_(&quot;$&quot;* &quot;-&quot;??_);_(@_)"/>
    <numFmt numFmtId="184" formatCode="0.0%;\(0.0%\)"/>
    <numFmt numFmtId="185" formatCode="&quot;$&quot;#,##0;[Red]&quot;$&quot;&quot;$&quot;&quot;$&quot;&quot;$&quot;&quot;$&quot;&quot;$&quot;&quot;$&quot;\-#,##0"/>
    <numFmt numFmtId="186" formatCode="_-* #,##0_-;\-* #,##0_-;_-* &quot;-&quot;_-;_-@_-"/>
    <numFmt numFmtId="187" formatCode="#,##0;\(#,##0\)"/>
    <numFmt numFmtId="188" formatCode="&quot;$&quot;#,##0_);\(&quot;$&quot;#,##0\)"/>
    <numFmt numFmtId="189" formatCode="&quot;$&quot;#,##0.00_);\(&quot;$&quot;#,##0.00\)"/>
    <numFmt numFmtId="190" formatCode="\$#,##0.00;\(\$#,##0.00\)"/>
    <numFmt numFmtId="191" formatCode="#,##0.000000"/>
    <numFmt numFmtId="192" formatCode="\$#,##0;\(\$#,##0\)"/>
    <numFmt numFmtId="193" formatCode="_ [$€-2]* #,##0.00_ ;_ [$€-2]* \-#,##0.00_ ;_ [$€-2]* &quot;-&quot;??_ "/>
    <numFmt numFmtId="194" formatCode="_ &quot;\&quot;* #,##0.00_ ;_ &quot;\&quot;* &quot;\&quot;&quot;\&quot;&quot;\&quot;\-#,##0.00_ ;_ &quot;\&quot;* &quot;-&quot;??_ ;_ @_ "/>
    <numFmt numFmtId="195" formatCode="[$-804]aaaa;@"/>
    <numFmt numFmtId="196" formatCode="&quot;?#,##0;\-&quot;?#,##0"/>
    <numFmt numFmtId="197" formatCode="_-* #,##0\¥_-;\-* #,##0\¥_-;_-* &quot;-&quot;\¥_-;_-@_-"/>
    <numFmt numFmtId="198" formatCode="_-* #,##0.00\ _B_E_F_-;\-* #,##0.00\ _B_E_F_-;_-* &quot;-&quot;??\ _B_E_F_-;_-@_-"/>
    <numFmt numFmtId="199" formatCode="&quot;$&quot;#,##0;\-&quot;$&quot;#,##0"/>
    <numFmt numFmtId="200" formatCode="#,##0.00\ &quot;FB&quot;;\-#,##0.00\ &quot;FB&quot;"/>
    <numFmt numFmtId="201" formatCode="#,##0.00\ &quot;FB&quot;;[Red]\-#,##0.00\ &quot;FB&quot;"/>
    <numFmt numFmtId="202" formatCode="_-* #,##0\ _k_r_-;\-* #,##0\ _k_r_-;_-* &quot;-&quot;\ _k_r_-;_-@_-"/>
    <numFmt numFmtId="203" formatCode="_-* #,##0.00\ _k_r_-;\-* #,##0.00\ _k_r_-;_-* &quot;-&quot;??\ _k_r_-;_-@_-"/>
    <numFmt numFmtId="204" formatCode="#,##0.00_);#,##0.00\)"/>
    <numFmt numFmtId="205" formatCode="0.00000&quot;  &quot;"/>
    <numFmt numFmtId="206" formatCode="_-* #,##0.00_-;\-* #,##0.00_-;_-* &quot;-&quot;??_-;_-@_-"/>
    <numFmt numFmtId="207" formatCode="_([$€-2]* #,##0.00000_);_([$€-2]* \(#,##0.00000\);_([$€-2]* &quot;-&quot;??_)"/>
    <numFmt numFmtId="208" formatCode="_(\¥* #,##0.00_);_(\¥* \(#,##0.00\);_(\¥* &quot;-&quot;??_);_(@_)"/>
    <numFmt numFmtId="209" formatCode="_ \¥* #,##0.00_ ;_ \¥* \-#,##0.00_ ;_ \¥* &quot;-&quot;??_ ;_ @_ "/>
    <numFmt numFmtId="210" formatCode="_-&quot;$&quot;* #,##0_-;\-&quot;$&quot;* #,##0_-;_-&quot;$&quot;* &quot;-&quot;_-;_-@_-"/>
    <numFmt numFmtId="211" formatCode="_-&quot;$&quot;* #,##0.00_-;\-&quot;$&quot;* #,##0.00_-;_-&quot;$&quot;* &quot;-&quot;??_-;_-@_-"/>
    <numFmt numFmtId="212" formatCode="&quot;\&quot;#,##0;[Red]&quot;\&quot;&quot;\&quot;\-#,##0"/>
    <numFmt numFmtId="213" formatCode="&quot;\&quot;#,##0.00;[Red]&quot;\&quot;&quot;\&quot;&quot;\&quot;&quot;\&quot;&quot;\&quot;&quot;\&quot;\-#,##0.00"/>
    <numFmt numFmtId="214" formatCode="&quot;\&quot;#,##0.00;[Red]&quot;\&quot;\-#,##0.00"/>
    <numFmt numFmtId="215" formatCode="&quot;\&quot;#,##0;[Red]&quot;\&quot;\-#,##0"/>
    <numFmt numFmtId="21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17" formatCode="yyyy-mm-dd h:mm:ss"/>
    <numFmt numFmtId="218" formatCode="yyyy/mm/dd"/>
  </numFmts>
  <fonts count="162">
    <font>
      <name val="等线"/>
      <charset val="134"/>
      <color theme="1"/>
      <sz val="11"/>
      <scheme val="minor"/>
    </font>
    <font>
      <name val="等线"/>
      <charset val="134"/>
      <family val="2"/>
      <color theme="1"/>
      <sz val="11"/>
      <scheme val="minor"/>
    </font>
    <font>
      <name val="Arial"/>
      <family val="2"/>
      <color theme="1"/>
      <sz val="10"/>
    </font>
    <font>
      <name val="Arial"/>
      <family val="2"/>
      <b val="1"/>
      <color rgb="FFFF0000"/>
      <sz val="11"/>
    </font>
    <font>
      <name val="Arial"/>
      <family val="2"/>
      <color theme="1"/>
      <sz val="11"/>
    </font>
    <font>
      <name val="Arial"/>
      <family val="2"/>
      <b val="1"/>
      <color theme="0"/>
      <sz val="14"/>
    </font>
    <font>
      <name val="Arial"/>
      <family val="2"/>
      <color theme="1"/>
      <sz val="14"/>
    </font>
    <font>
      <name val="Arial"/>
      <family val="2"/>
      <b val="1"/>
      <color rgb="FFFFC000"/>
      <sz val="14"/>
    </font>
    <font>
      <name val="Arial"/>
      <family val="2"/>
      <b val="1"/>
      <color rgb="FF000000"/>
      <sz val="12"/>
    </font>
    <font>
      <name val="Arial"/>
      <family val="2"/>
      <b val="1"/>
      <color rgb="FFFFFFFF"/>
      <sz val="10"/>
    </font>
    <font>
      <name val="Arial"/>
      <family val="2"/>
      <color indexed="8"/>
      <sz val="10"/>
    </font>
    <font>
      <name val="Arial"/>
      <family val="2"/>
      <b val="1"/>
      <color rgb="FFFF0000"/>
      <sz val="10"/>
    </font>
    <font>
      <name val="Arial"/>
      <family val="2"/>
      <b val="1"/>
      <color indexed="10"/>
      <sz val="10"/>
    </font>
    <font>
      <name val="Arial"/>
      <family val="2"/>
      <b val="1"/>
      <color indexed="8"/>
      <sz val="10"/>
    </font>
    <font>
      <name val="Arial"/>
      <family val="2"/>
      <b val="1"/>
      <color theme="1"/>
      <sz val="10"/>
    </font>
    <font>
      <name val="Arial"/>
      <family val="2"/>
      <sz val="10"/>
    </font>
    <font>
      <name val="Arial"/>
      <family val="2"/>
      <b val="1"/>
      <sz val="10"/>
    </font>
    <font>
      <name val="Arial"/>
      <family val="2"/>
      <color rgb="FF000000"/>
      <sz val="10"/>
    </font>
    <font>
      <name val="Arial"/>
      <family val="2"/>
      <color rgb="FFFF0000"/>
      <sz val="10"/>
    </font>
    <font>
      <name val="Arial"/>
      <family val="2"/>
      <b val="1"/>
      <color rgb="FF000000"/>
      <sz val="10"/>
    </font>
    <font>
      <name val="Arial"/>
      <family val="2"/>
      <b val="1"/>
      <i val="1"/>
      <color rgb="FFFF0000"/>
      <sz val="10"/>
    </font>
    <font>
      <name val="Arial"/>
      <family val="2"/>
      <i val="1"/>
      <color indexed="8"/>
      <sz val="10"/>
    </font>
    <font>
      <name val="Arial"/>
      <family val="2"/>
      <i val="1"/>
      <sz val="10"/>
    </font>
    <font>
      <name val="等线"/>
      <charset val="134"/>
      <family val="3"/>
      <color theme="1"/>
      <sz val="10"/>
    </font>
    <font>
      <name val="Arial"/>
      <family val="2"/>
      <color indexed="10"/>
      <sz val="10"/>
    </font>
    <font>
      <name val="宋体"/>
      <charset val="134"/>
      <family val="3"/>
      <sz val="10"/>
    </font>
    <font>
      <name val="Arial"/>
      <family val="2"/>
      <b val="1"/>
      <color indexed="8"/>
      <sz val="12"/>
    </font>
    <font>
      <name val="宋体"/>
      <charset val="134"/>
      <family val="3"/>
      <color theme="1"/>
      <sz val="10"/>
    </font>
    <font>
      <name val="微软雅黑"/>
      <charset val="134"/>
      <family val="2"/>
      <color theme="1"/>
      <sz val="10"/>
    </font>
    <font>
      <name val="Arial"/>
      <family val="2"/>
      <b val="1"/>
      <color rgb="FF0000FF"/>
      <sz val="10"/>
    </font>
    <font>
      <name val="Arial"/>
      <family val="2"/>
      <b val="1"/>
      <strike val="1"/>
      <color rgb="FF0000FF"/>
      <sz val="10"/>
    </font>
    <font>
      <name val="Arial"/>
      <family val="2"/>
      <sz val="14"/>
    </font>
    <font>
      <name val="等线"/>
      <charset val="134"/>
      <family val="3"/>
      <color theme="1"/>
      <sz val="11"/>
      <scheme val="minor"/>
    </font>
    <font>
      <name val="等线"/>
      <charset val="134"/>
      <family val="3"/>
      <color theme="10"/>
      <sz val="11"/>
      <u val="single"/>
      <scheme val="minor"/>
    </font>
    <font>
      <name val="等线"/>
      <charset val="134"/>
      <family val="3"/>
      <color rgb="FF9C0006"/>
      <sz val="11"/>
      <scheme val="minor"/>
    </font>
    <font>
      <name val="Helv"/>
      <family val="2"/>
      <sz val="10"/>
    </font>
    <font>
      <name val="宋体"/>
      <charset val="134"/>
      <family val="3"/>
      <sz val="12"/>
    </font>
    <font>
      <name val="Tms Rmn"/>
      <family val="1"/>
      <sz val="13"/>
    </font>
    <font>
      <name val="Book Antiqua"/>
      <family val="1"/>
      <sz val="10"/>
    </font>
    <font>
      <name val="Book Antiqua"/>
      <family val="1"/>
      <b val="1"/>
      <sz val="10"/>
    </font>
    <font>
      <name val="宋体"/>
      <charset val="134"/>
      <family val="3"/>
      <color indexed="8"/>
      <sz val="12"/>
    </font>
    <font>
      <name val="宋体"/>
      <charset val="134"/>
      <family val="3"/>
      <color indexed="9"/>
      <sz val="12"/>
    </font>
    <font>
      <name val="等线"/>
      <charset val="134"/>
      <family val="3"/>
      <color theme="0"/>
      <sz val="11"/>
      <scheme val="minor"/>
    </font>
    <font>
      <name val="Times New Roman"/>
      <family val="1"/>
      <sz val="8"/>
    </font>
    <font>
      <name val="Helv"/>
      <family val="2"/>
      <b val="1"/>
      <sz val="10"/>
    </font>
    <font>
      <name val="等线"/>
      <charset val="134"/>
      <family val="3"/>
      <b val="1"/>
      <color theme="0"/>
      <sz val="11"/>
      <scheme val="minor"/>
    </font>
    <font>
      <name val="宋体"/>
      <charset val="134"/>
      <family val="3"/>
      <b val="1"/>
      <color theme="0"/>
      <sz val="11"/>
    </font>
    <font>
      <name val="Tms Rmn"/>
      <family val="1"/>
      <b val="1"/>
      <sz val="13"/>
    </font>
    <font>
      <name val="Arial"/>
      <family val="2"/>
      <b val="1"/>
      <sz val="8"/>
    </font>
    <font>
      <name val="宋体"/>
      <charset val="134"/>
      <family val="3"/>
      <color indexed="8"/>
      <sz val="11"/>
    </font>
    <font>
      <name val="SimSun"/>
      <charset val="134"/>
      <color theme="1"/>
      <sz val="11"/>
    </font>
    <font>
      <name val="Calibri"/>
      <family val="2"/>
      <color rgb="FF000000"/>
      <sz val="11"/>
    </font>
    <font>
      <name val="Times New Roman"/>
      <family val="1"/>
      <sz val="10"/>
    </font>
    <font>
      <name val="宋体"/>
      <charset val="134"/>
      <family val="3"/>
      <b val="1"/>
      <color rgb="FFFF0000"/>
      <sz val="11"/>
    </font>
    <font>
      <name val="MS Serif"/>
      <family val="1"/>
      <sz val="10"/>
    </font>
    <font>
      <name val="Courier"/>
      <family val="3"/>
      <sz val="10"/>
    </font>
    <font>
      <name val="MS Serif"/>
      <family val="1"/>
      <color indexed="16"/>
      <sz val="10"/>
    </font>
    <font>
      <name val="Times New Roman"/>
      <family val="1"/>
      <sz val="9"/>
    </font>
    <font>
      <name val="Arial"/>
      <family val="2"/>
      <sz val="8"/>
    </font>
    <font>
      <name val="等线"/>
      <charset val="134"/>
      <family val="3"/>
      <color rgb="FF006100"/>
      <sz val="11"/>
      <scheme val="minor"/>
    </font>
    <font>
      <name val="宋体"/>
      <charset val="134"/>
      <family val="3"/>
      <color rgb="FF006100"/>
      <sz val="11"/>
    </font>
    <font>
      <name val="Helv"/>
      <family val="2"/>
      <b val="1"/>
      <sz val="12"/>
    </font>
    <font>
      <name val="Arial"/>
      <family val="2"/>
      <b val="1"/>
      <sz val="12"/>
    </font>
    <font>
      <name val="宋体"/>
      <charset val="134"/>
      <family val="3"/>
      <b val="1"/>
      <color theme="1"/>
      <sz val="10"/>
    </font>
    <font>
      <name val="Arial"/>
      <family val="2"/>
      <color theme="10"/>
      <sz val="10"/>
      <u val="single"/>
    </font>
    <font>
      <name val="宋体"/>
      <charset val="134"/>
      <family val="3"/>
      <color theme="10"/>
      <sz val="11"/>
      <u val="single"/>
    </font>
    <font>
      <name val="等线"/>
      <charset val="134"/>
      <family val="3"/>
      <color theme="10"/>
      <sz val="10"/>
      <u val="single"/>
    </font>
    <font>
      <name val="宋体"/>
      <charset val="134"/>
      <family val="3"/>
      <color indexed="12"/>
      <sz val="10"/>
      <u val="single"/>
    </font>
    <font>
      <name val="Helv"/>
      <family val="2"/>
      <sz val="12"/>
    </font>
    <font>
      <name val="Helv"/>
      <family val="2"/>
      <color indexed="9"/>
      <sz val="12"/>
    </font>
    <font>
      <name val="Helv"/>
      <family val="2"/>
      <b val="1"/>
      <sz val="11"/>
    </font>
    <font>
      <name val="EYInterstate Light"/>
      <sz val="8"/>
    </font>
    <font>
      <name val="宋体"/>
      <charset val="134"/>
      <family val="3"/>
      <color theme="1"/>
      <sz val="11"/>
    </font>
    <font>
      <name val="Times New Roman"/>
      <family val="1"/>
      <sz val="12"/>
    </font>
    <font>
      <name val="Times New Roman"/>
      <family val="1"/>
      <color theme="1"/>
      <sz val="10"/>
    </font>
    <font>
      <name val="Calibri"/>
      <family val="2"/>
      <color indexed="8"/>
      <sz val="11"/>
    </font>
    <font>
      <name val="宋体"/>
      <charset val="134"/>
      <family val="3"/>
      <color theme="1"/>
      <sz val="12"/>
    </font>
    <font>
      <name val="SimSun"/>
      <charset val="134"/>
      <color theme="1"/>
      <sz val="10"/>
    </font>
    <font>
      <name val="Arial"/>
      <family val="2"/>
      <strike val="1"/>
      <sz val="10"/>
    </font>
    <font>
      <name val="MS Sans Serif"/>
      <family val="1"/>
      <color indexed="8"/>
      <sz val="10"/>
    </font>
    <font>
      <name val="Tms Rmn"/>
      <family val="1"/>
      <sz val="10"/>
    </font>
    <font>
      <name val="MS Sans Serif"/>
      <family val="2"/>
      <sz val="10"/>
    </font>
    <font>
      <name val="MS Sans Serif"/>
      <family val="2"/>
      <b val="1"/>
      <sz val="10"/>
    </font>
    <font>
      <name val="Century Schoolbook"/>
      <family val="1"/>
      <color indexed="16"/>
      <sz val="8"/>
    </font>
    <font>
      <name val="Arial"/>
      <family val="2"/>
      <b val="1"/>
      <color indexed="39"/>
      <sz val="10"/>
    </font>
    <font>
      <name val="Arial"/>
      <family val="2"/>
      <color indexed="39"/>
      <sz val="10"/>
    </font>
    <font>
      <name val="Arial"/>
      <family val="2"/>
      <color indexed="48"/>
      <sz val="19"/>
    </font>
    <font>
      <name val="Times New Roman"/>
      <family val="1"/>
      <b val="1"/>
      <i val="1"/>
      <sz val="10"/>
    </font>
    <font>
      <name val="Helv"/>
      <family val="2"/>
      <b val="1"/>
      <color indexed="8"/>
      <sz val="8"/>
    </font>
    <font>
      <name val="Arial"/>
      <family val="2"/>
      <color rgb="FF3F3F76"/>
      <sz val="10"/>
    </font>
    <font>
      <name val="Times New Roman"/>
      <family val="1"/>
      <b val="1"/>
      <sz val="9"/>
    </font>
    <font>
      <name val="明朝"/>
      <charset val="255"/>
      <family val="1"/>
      <sz val="11"/>
    </font>
    <font>
      <name val="Arial Narrow"/>
      <family val="2"/>
      <sz val="10"/>
    </font>
    <font>
      <name val="柧挬"/>
      <family val="2"/>
      <sz val="14"/>
    </font>
    <font>
      <name val="Century Schoolbook"/>
      <family val="1"/>
      <sz val="8"/>
    </font>
    <font>
      <name val="宋体"/>
      <charset val="134"/>
      <family val="3"/>
      <b val="1"/>
      <color indexed="62"/>
      <sz val="18"/>
    </font>
    <font>
      <name val="宋体"/>
      <charset val="134"/>
      <family val="3"/>
      <color indexed="26"/>
      <sz val="11"/>
    </font>
    <font>
      <name val="宋体"/>
      <charset val="134"/>
      <family val="3"/>
      <color indexed="20"/>
      <sz val="11"/>
    </font>
    <font>
      <name val="宋体"/>
      <charset val="134"/>
      <family val="3"/>
      <color indexed="16"/>
      <sz val="12"/>
    </font>
    <font>
      <name val="宋体"/>
      <charset val="134"/>
      <family val="3"/>
      <color indexed="9"/>
      <sz val="11"/>
    </font>
    <font>
      <name val="等线"/>
      <charset val="134"/>
      <family val="3"/>
      <sz val="10"/>
      <scheme val="minor"/>
    </font>
    <font>
      <name val="Calibri"/>
      <family val="2"/>
      <color rgb="FF000000"/>
      <sz val="12"/>
    </font>
    <font>
      <name val="宋体"/>
      <charset val="134"/>
      <family val="3"/>
      <color indexed="12"/>
      <sz val="12"/>
      <u val="single"/>
    </font>
    <font>
      <name val="宋体"/>
      <charset val="134"/>
      <family val="3"/>
      <color indexed="38"/>
      <sz val="11"/>
    </font>
    <font>
      <name val="宋体"/>
      <charset val="134"/>
      <family val="3"/>
      <color indexed="17"/>
      <sz val="11"/>
    </font>
    <font>
      <name val="宋体"/>
      <charset val="134"/>
      <family val="3"/>
      <color indexed="17"/>
      <sz val="12"/>
    </font>
    <font>
      <name val="宋体"/>
      <charset val="134"/>
      <family val="3"/>
      <color indexed="21"/>
      <sz val="11"/>
    </font>
    <font>
      <name val="Geneva"/>
      <family val="1"/>
      <sz val="10"/>
    </font>
    <font>
      <name val="新細明體"/>
      <family val="1"/>
      <sz val="12"/>
    </font>
    <font>
      <name val="官帕眉"/>
      <family val="2"/>
      <sz val="12"/>
    </font>
    <font>
      <name val="奔覆眉"/>
      <family val="2"/>
      <sz val="10"/>
    </font>
    <font>
      <name val="宋体"/>
      <charset val="134"/>
      <family val="3"/>
      <b val="1"/>
      <color indexed="8"/>
      <sz val="12"/>
    </font>
    <font>
      <name val="柧挬"/>
      <family val="2"/>
      <sz val="12"/>
    </font>
    <font>
      <name val="ＭＳ Ｐゴシック"/>
      <family val="2"/>
      <sz val="11"/>
    </font>
    <font>
      <name val="바탕체"/>
      <family val="3"/>
      <sz val="12"/>
    </font>
    <font>
      <name val="等线"/>
      <charset val="134"/>
      <family val="3"/>
      <sz val="9"/>
      <scheme val="minor"/>
    </font>
    <font>
      <name val="Arial"/>
      <family val="2"/>
      <i val="1"/>
      <color theme="4" tint="-0.249977111117893"/>
      <sz val="10"/>
    </font>
    <font>
      <name val="等线"/>
      <family val="2"/>
      <color theme="1"/>
      <sz val="11"/>
      <scheme val="minor"/>
    </font>
    <font>
      <name val="等线"/>
      <family val="2"/>
      <color theme="1"/>
      <sz val="11"/>
      <scheme val="minor"/>
    </font>
    <font>
      <name val="微软雅黑"/>
      <charset val="134"/>
      <family val="2"/>
      <sz val="10"/>
    </font>
    <font>
      <name val="微软雅黑"/>
      <charset val="134"/>
      <family val="2"/>
      <b val="1"/>
      <color rgb="FFFF0000"/>
      <sz val="10"/>
    </font>
    <font>
      <name val="微软雅黑"/>
      <charset val="134"/>
      <family val="2"/>
      <b val="1"/>
      <sz val="10"/>
    </font>
    <font>
      <name val="Arial"/>
      <family val="2"/>
      <color rgb="FFFF0000"/>
      <sz val="10"/>
      <u val="single"/>
    </font>
    <font>
      <name val="Arial"/>
      <family val="2"/>
      <b val="1"/>
      <color theme="0"/>
      <sz val="10"/>
    </font>
    <font>
      <name val="Arial"/>
      <family val="2"/>
      <b val="1"/>
      <color rgb="FFFFC000"/>
      <sz val="10"/>
    </font>
    <font>
      <name val="Arial"/>
      <family val="2"/>
      <i val="1"/>
      <color rgb="FF000000"/>
      <sz val="10"/>
    </font>
    <font>
      <name val="微软雅黑"/>
      <charset val="134"/>
      <family val="2"/>
      <b val="1"/>
      <color theme="1"/>
      <sz val="10"/>
    </font>
    <font>
      <name val="微软雅黑"/>
      <charset val="134"/>
      <family val="2"/>
      <b val="1"/>
      <color rgb="FF000000"/>
      <sz val="12"/>
    </font>
    <font>
      <name val="微软雅黑"/>
      <charset val="134"/>
      <family val="2"/>
      <color rgb="FF000000"/>
      <sz val="10"/>
    </font>
    <font>
      <name val="Arial"/>
      <family val="2"/>
      <b val="1"/>
      <i val="1"/>
      <color rgb="FFFF0000"/>
      <sz val="11"/>
    </font>
    <font>
      <name val="Arial"/>
      <family val="2"/>
      <b val="1"/>
      <color rgb="FFFF0000"/>
      <sz val="10"/>
      <vertAlign val="superscript"/>
    </font>
    <font>
      <name val="微软雅黑"/>
      <charset val="134"/>
      <family val="2"/>
      <b val="1"/>
      <color rgb="FF000000"/>
      <sz val="10"/>
    </font>
    <font>
      <name val="Arial"/>
      <family val="2"/>
      <color theme="0"/>
      <sz val="10"/>
    </font>
    <font>
      <name val="微软雅黑"/>
      <charset val="134"/>
      <family val="2"/>
      <b val="1"/>
      <color theme="0"/>
      <sz val="14"/>
    </font>
    <font>
      <name val="微软雅黑"/>
      <charset val="134"/>
      <family val="2"/>
      <color rgb="FFFF0000"/>
      <sz val="10"/>
      <u val="single"/>
    </font>
    <font>
      <name val="微软雅黑"/>
      <charset val="134"/>
      <family val="2"/>
      <color theme="1"/>
      <sz val="11"/>
    </font>
    <font>
      <name val="微软雅黑"/>
      <charset val="134"/>
      <family val="2"/>
      <color indexed="8"/>
      <sz val="10"/>
    </font>
    <font>
      <name val="微软雅黑"/>
      <charset val="134"/>
      <family val="2"/>
      <b val="1"/>
      <i val="1"/>
      <color rgb="FFFF0000"/>
      <sz val="10"/>
    </font>
    <font>
      <name val="Arial"/>
      <family val="2"/>
      <i val="1"/>
      <color rgb="FFFF0000"/>
      <sz val="10"/>
    </font>
    <font>
      <name val="微软雅黑"/>
      <charset val="134"/>
      <family val="2"/>
      <b val="1"/>
      <sz val="12"/>
    </font>
    <font>
      <name val="微软雅黑"/>
      <charset val="134"/>
      <family val="2"/>
      <b val="1"/>
      <i val="1"/>
      <color rgb="FFFF0000"/>
      <sz val="11"/>
    </font>
    <font>
      <name val="微软雅黑"/>
      <charset val="134"/>
      <family val="2"/>
      <b val="1"/>
      <color indexed="8"/>
      <sz val="10"/>
    </font>
    <font>
      <name val="微软雅黑"/>
      <charset val="134"/>
      <family val="2"/>
      <i val="1"/>
      <color rgb="FFFF0000"/>
      <sz val="10"/>
    </font>
    <font>
      <name val="微软雅黑"/>
      <charset val="134"/>
      <family val="2"/>
      <color rgb="FFFF0000"/>
      <sz val="10"/>
    </font>
    <font>
      <name val="Arial"/>
      <family val="2"/>
      <b val="1"/>
      <color theme="4"/>
      <sz val="10"/>
      <u val="single"/>
    </font>
    <font>
      <name val="微软雅黑"/>
      <charset val="134"/>
      <family val="2"/>
      <b val="1"/>
      <color indexed="8"/>
      <sz val="12"/>
    </font>
    <font>
      <name val="微软雅黑"/>
      <charset val="134"/>
      <family val="2"/>
      <color rgb="FF000000"/>
      <sz val="11"/>
    </font>
    <font>
      <name val="微软雅黑"/>
      <charset val="134"/>
      <family val="2"/>
      <b val="1"/>
      <color theme="4"/>
      <sz val="10"/>
      <u val="single"/>
    </font>
    <font>
      <name val="Arial"/>
      <family val="2"/>
      <b val="1"/>
      <color rgb="FFFF0000"/>
      <sz val="10"/>
      <vertAlign val="subscript"/>
    </font>
    <font>
      <name val="Arial"/>
      <family val="2"/>
      <color rgb="FF000000"/>
      <sz val="11"/>
    </font>
    <font>
      <name val="EYInterstate Light"/>
      <b val="1"/>
      <i val="1"/>
      <color theme="0"/>
      <sz val="10"/>
    </font>
    <font>
      <name val="微软雅黑"/>
      <charset val="134"/>
      <family val="2"/>
      <b val="1"/>
      <color rgb="FFFFFFFF"/>
      <sz val="14"/>
    </font>
    <font>
      <name val="Arial"/>
      <family val="2"/>
      <b val="1"/>
      <color rgb="FFFFFFFF"/>
      <sz val="14"/>
    </font>
    <font>
      <name val="Arial"/>
      <family val="2"/>
      <b val="1"/>
      <i val="1"/>
      <color rgb="FFFF0000"/>
      <sz val="9"/>
    </font>
    <font>
      <name val="微软雅黑"/>
      <charset val="134"/>
      <family val="2"/>
      <b val="1"/>
      <i val="1"/>
      <color rgb="FFFF0000"/>
      <sz val="9"/>
    </font>
    <font>
      <name val="Arial"/>
      <charset val="134"/>
      <family val="2"/>
      <b val="1"/>
      <color indexed="8"/>
      <sz val="10"/>
    </font>
    <font>
      <name val="微软雅黑"/>
      <charset val="134"/>
      <family val="2"/>
      <b val="1"/>
      <color indexed="10"/>
      <sz val="10"/>
    </font>
    <font>
      <name val="Arial"/>
      <charset val="134"/>
      <family val="2"/>
      <sz val="10"/>
    </font>
    <font>
      <name val="Arial"/>
      <family val="2"/>
      <b val="1"/>
      <color rgb="FFFF0000"/>
      <sz val="16"/>
    </font>
    <font>
      <name val="微软雅黑"/>
      <b val="1"/>
      <color rgb="FF000000"/>
      <sz val="10"/>
    </font>
    <font>
      <name val="Arial"/>
      <b val="1"/>
      <color rgb="FF000000"/>
      <sz val="10"/>
    </font>
    <font>
      <name val="Arial"/>
      <charset val="134"/>
      <family val="2"/>
      <b val="1"/>
      <color rgb="FF000000"/>
      <sz val="10"/>
    </font>
  </fonts>
  <fills count="61">
    <fill>
      <patternFill/>
    </fill>
    <fill>
      <patternFill patternType="gray125"/>
    </fill>
    <fill>
      <patternFill patternType="solid">
        <fgColor theme="1"/>
        <bgColor indexed="64"/>
      </patternFill>
    </fill>
    <fill>
      <patternFill patternType="solid">
        <fgColor rgb="FF000000"/>
        <bgColor rgb="FF000000"/>
      </patternFill>
    </fill>
    <fill>
      <patternFill patternType="solid">
        <fgColor theme="0" tint="-0.0499893185216834"/>
        <bgColor indexed="64"/>
      </patternFill>
    </fill>
    <fill>
      <patternFill patternType="solid">
        <fgColor rgb="FFFFFFFF"/>
        <bgColor indexed="64"/>
      </patternFill>
    </fill>
    <fill>
      <patternFill patternType="solid">
        <fgColor theme="0"/>
        <bgColor indexed="64"/>
      </patternFill>
    </fill>
    <fill>
      <patternFill patternType="solid">
        <fgColor theme="0" tint="-0.3499862666707358"/>
        <bgColor indexed="64"/>
      </patternFill>
    </fill>
    <fill>
      <patternFill patternType="solid">
        <fgColor rgb="FF333399"/>
        <bgColor indexed="64"/>
      </patternFill>
    </fill>
    <fill>
      <patternFill patternType="solid">
        <fgColor theme="0" tint="-0.1499069185460982"/>
        <bgColor indexed="64"/>
      </patternFill>
    </fill>
    <fill>
      <patternFill patternType="solid">
        <fgColor rgb="FFFFFFFF"/>
        <bgColor rgb="FF000000"/>
      </patternFill>
    </fill>
    <fill>
      <patternFill patternType="solid">
        <fgColor rgb="FFF2F2F2"/>
        <bgColor indexed="64"/>
      </patternFill>
    </fill>
    <fill>
      <patternFill patternType="solid">
        <fgColor indexed="65"/>
        <bgColor indexed="64"/>
      </patternFill>
    </fill>
    <fill>
      <patternFill patternType="solid">
        <fgColor theme="4" tint="0.7998901333658864"/>
        <bgColor indexed="64"/>
      </patternFill>
    </fill>
    <fill>
      <patternFill patternType="solid">
        <fgColor rgb="FFFFC7CE"/>
        <bgColor indexed="64"/>
      </patternFill>
    </fill>
    <fill>
      <patternFill patternType="solid">
        <fgColor theme="4" tint="0.7993713187047945"/>
        <bgColor indexed="64"/>
      </patternFill>
    </fill>
    <fill>
      <patternFill patternType="solid">
        <fgColor theme="9" tint="0.7993713187047945"/>
        <bgColor indexed="64"/>
      </patternFill>
    </fill>
    <fill>
      <patternFill patternType="solid">
        <fgColor theme="4" tint="0.7995239112521745"/>
        <bgColor indexed="64"/>
      </patternFill>
    </fill>
    <fill>
      <patternFill patternType="gray0625">
        <fgColor indexed="10"/>
      </patternFill>
    </fill>
    <fill>
      <patternFill patternType="solid">
        <fgColor indexed="31"/>
        <bgColor indexed="64"/>
      </patternFill>
    </fill>
    <fill>
      <patternFill patternType="solid">
        <fgColor indexed="44"/>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theme="5"/>
        <bgColor indexed="64"/>
      </patternFill>
    </fill>
    <fill>
      <patternFill patternType="solid">
        <fgColor indexed="42"/>
        <bgColor indexed="64"/>
      </patternFill>
    </fill>
    <fill>
      <patternFill patternType="solid">
        <fgColor indexed="27"/>
        <bgColor indexed="64"/>
      </patternFill>
    </fill>
    <fill>
      <patternFill patternType="solid">
        <fgColor indexed="47"/>
        <bgColor indexed="64"/>
      </patternFill>
    </fill>
    <fill>
      <patternFill patternType="solid">
        <fgColor rgb="FFA5A5A5"/>
        <bgColor indexed="64"/>
      </patternFill>
    </fill>
    <fill>
      <patternFill patternType="solid">
        <fgColor indexed="24"/>
        <bgColor indexed="64"/>
      </patternFill>
    </fill>
    <fill>
      <patternFill patternType="solid">
        <fgColor indexed="13"/>
        <bgColor indexed="64"/>
      </patternFill>
    </fill>
    <fill>
      <patternFill patternType="solid">
        <fgColor rgb="FFC6EFCE"/>
        <bgColor indexed="64"/>
      </patternFill>
    </fill>
    <fill>
      <patternFill patternType="solid">
        <fgColor indexed="56"/>
        <bgColor indexed="64"/>
      </patternFill>
    </fill>
    <fill>
      <patternFill patternType="solid">
        <fgColor rgb="FF808080"/>
        <bgColor indexed="64"/>
      </patternFill>
    </fill>
    <fill>
      <patternFill patternType="solid">
        <fgColor indexed="15"/>
        <bgColor indexed="64"/>
      </patternFill>
    </fill>
    <fill>
      <patternFill patternType="solid">
        <fgColor indexed="12"/>
        <bgColor indexed="64"/>
      </patternFill>
    </fill>
    <fill>
      <patternFill patternType="solid">
        <fgColor indexed="43"/>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48"/>
        <bgColor indexed="41"/>
      </patternFill>
    </fill>
    <fill>
      <patternFill patternType="solid">
        <fgColor indexed="41"/>
        <bgColor indexed="64"/>
      </patternFill>
    </fill>
    <fill>
      <patternFill patternType="solid">
        <fgColor indexed="54"/>
        <bgColor indexed="64"/>
      </patternFill>
    </fill>
    <fill>
      <patternFill patternType="solid">
        <fgColor rgb="FFD9E1F2"/>
        <bgColor indexed="64"/>
      </patternFill>
    </fill>
    <fill>
      <patternFill patternType="solid">
        <fgColor indexed="18"/>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rgb="FFDCE6F1"/>
        <bgColor rgb="FF000000"/>
      </patternFill>
    </fill>
    <fill>
      <patternFill patternType="solid">
        <fgColor theme="0" tint="-0.3499862666707358"/>
        <bgColor rgb="FF000000"/>
      </patternFill>
    </fill>
    <fill>
      <patternFill patternType="solid">
        <fgColor rgb="FFA6A6A6"/>
        <bgColor rgb="FF000000"/>
      </patternFill>
    </fill>
    <fill>
      <patternFill patternType="solid">
        <fgColor theme="0"/>
        <bgColor rgb="FF000000"/>
      </patternFill>
    </fill>
    <fill>
      <patternFill patternType="solid">
        <fgColor theme="6"/>
        <bgColor indexed="64"/>
      </patternFill>
    </fill>
    <fill>
      <patternFill patternType="solid">
        <fgColor theme="6"/>
        <bgColor rgb="FF000000"/>
      </patternFill>
    </fill>
  </fills>
  <borders count="90">
    <border>
      <left/>
      <right/>
      <top/>
      <bottom/>
      <diagonal/>
    </border>
    <border>
      <left/>
      <right/>
      <top style="thin">
        <color auto="1"/>
      </top>
      <bottom style="thin">
        <color auto="1"/>
      </bottom>
      <diagonal/>
    </border>
    <border>
      <left/>
      <right/>
      <top/>
      <bottom style="medium">
        <color auto="1"/>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medium">
        <color auto="1"/>
      </top>
      <bottom style="medium">
        <color auto="1"/>
      </bottom>
      <diagonal/>
    </border>
    <border>
      <left style="thin">
        <color auto="1"/>
      </left>
      <right/>
      <top/>
      <bottom style="thin">
        <color auto="1"/>
      </bottom>
      <diagonal/>
    </border>
    <border>
      <left/>
      <right/>
      <top style="thin">
        <color auto="1"/>
      </top>
      <bottom style="double">
        <color auto="1"/>
      </bottom>
      <diagonal/>
    </border>
    <border>
      <left/>
      <right style="thin">
        <color auto="1"/>
      </right>
      <top/>
      <bottom style="thin">
        <color auto="1"/>
      </bottom>
      <diagonal/>
    </border>
    <border>
      <left style="thin">
        <color auto="1"/>
      </left>
      <right style="thin">
        <color auto="1"/>
      </right>
      <top/>
      <bottom/>
      <diagonal/>
    </border>
    <border>
      <left/>
      <right/>
      <top style="thin">
        <color auto="1"/>
      </top>
      <bottom/>
      <diagonal/>
    </border>
    <border>
      <left style="thin">
        <color auto="1"/>
      </left>
      <right style="thin">
        <color auto="1"/>
      </right>
      <top/>
      <bottom style="thin">
        <color auto="1"/>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style="double">
        <color rgb="FF3F3F3F"/>
      </bottom>
      <diagonal/>
    </border>
    <border>
      <left style="double">
        <color indexed="8"/>
      </left>
      <right style="double">
        <color indexed="8"/>
      </right>
      <top style="double">
        <color indexed="8"/>
      </top>
      <bottom style="double">
        <color indexed="8"/>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hair">
        <color auto="1"/>
      </left>
      <right style="hair">
        <color auto="1"/>
      </right>
      <top style="hair">
        <color auto="1"/>
      </top>
      <bottom style="hair">
        <color auto="1"/>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right/>
      <top style="thin">
        <color rgb="FF000000"/>
      </top>
      <bottom/>
      <diagonal/>
    </border>
    <border>
      <left/>
      <right/>
      <top style="thin">
        <color rgb="FF000000"/>
      </top>
      <bottom style="thin">
        <color rgb="FF000000"/>
      </bottom>
      <diagonal/>
    </border>
    <border>
      <left style="thin">
        <color indexed="64"/>
      </left>
      <right style="thin">
        <color auto="1"/>
      </right>
      <top style="thin">
        <color indexed="64"/>
      </top>
      <bottom style="thin">
        <color auto="1"/>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indexed="41"/>
      </left>
      <right style="thin">
        <color indexed="48"/>
      </right>
      <top style="medium">
        <color indexed="41"/>
      </top>
      <bottom style="thin">
        <color indexed="48"/>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auto="1"/>
      </bottom>
      <diagonal/>
    </border>
    <border>
      <left/>
      <right/>
      <top style="thin">
        <color rgb="FF000000"/>
      </top>
      <bottom style="thin">
        <color auto="1"/>
      </bottom>
      <diagonal/>
    </border>
    <border>
      <left/>
      <right style="thin">
        <color rgb="FF000000"/>
      </right>
      <top style="thin">
        <color rgb="FF000000"/>
      </top>
      <bottom style="thin">
        <color auto="1"/>
      </bottom>
      <diagonal/>
    </border>
    <border>
      <left/>
      <right style="thin">
        <color rgb="FF000000"/>
      </right>
      <top/>
      <bottom style="thin">
        <color auto="1"/>
      </bottom>
      <diagonal/>
    </border>
    <border>
      <left/>
      <right style="thin">
        <color rgb="FF000000"/>
      </right>
      <top style="thin">
        <color auto="1"/>
      </top>
      <bottom style="thin">
        <color auto="1"/>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rgb="FF000000"/>
      </bottom>
      <diagonal/>
    </border>
    <border>
      <left style="thin">
        <color rgb="FF000000"/>
      </left>
      <right style="thin">
        <color auto="1"/>
      </right>
      <top style="thin">
        <color rgb="FF000000"/>
      </top>
      <bottom/>
      <diagonal/>
    </border>
    <border>
      <left/>
      <right style="thin">
        <color auto="1"/>
      </right>
      <top style="thin">
        <color rgb="FF000000"/>
      </top>
      <bottom/>
      <diagonal/>
    </border>
    <border>
      <left style="thin">
        <color auto="1"/>
      </left>
      <right style="thin">
        <color rgb="FF000000"/>
      </right>
      <top style="thin">
        <color rgb="FF000000"/>
      </top>
      <bottom/>
      <diagonal/>
    </border>
    <border>
      <left style="thin">
        <color auto="1"/>
      </left>
      <right style="thin">
        <color rgb="FF000000"/>
      </right>
      <top/>
      <bottom style="thin">
        <color auto="1"/>
      </bottom>
      <diagonal/>
    </border>
    <border>
      <left style="thin">
        <color indexed="64"/>
      </left>
      <right style="thin">
        <color indexed="64"/>
      </right>
      <top style="thin">
        <color auto="1"/>
      </top>
      <bottom style="thin">
        <color rgb="FF000000"/>
      </bottom>
      <diagonal/>
    </border>
    <border>
      <left style="thin">
        <color auto="1"/>
      </left>
      <right/>
      <top style="thin">
        <color auto="1"/>
      </top>
      <bottom style="thin">
        <color rgb="FF000000"/>
      </bottom>
      <diagonal/>
    </border>
    <border>
      <left/>
      <right style="thin">
        <color rgb="FF000000"/>
      </right>
      <top style="thin">
        <color auto="1"/>
      </top>
      <bottom style="thin">
        <color rgb="FF000000"/>
      </bottom>
      <diagonal/>
    </border>
    <border>
      <left/>
      <right style="thin">
        <color indexed="64"/>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auto="1"/>
      </top>
      <bottom style="thin">
        <color indexed="64"/>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auto="1"/>
      </bottom>
      <diagonal/>
    </border>
    <border>
      <left style="thin">
        <color indexed="64"/>
      </left>
      <right style="thin">
        <color auto="1"/>
      </right>
      <top style="thin">
        <color rgb="FF000000"/>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style="thin">
        <color auto="1"/>
      </left>
      <right style="thin">
        <color rgb="FF000000"/>
      </right>
      <top style="thin">
        <color rgb="FF000000"/>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top/>
      <bottom style="double">
        <color auto="1"/>
      </bottom>
      <diagonal/>
    </border>
    <border>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right/>
      <top style="thin">
        <color indexed="64"/>
      </top>
      <bottom style="thin">
        <color rgb="FF000000"/>
      </bottom>
      <diagonal/>
    </border>
    <border>
      <left style="thin">
        <color rgb="FF000000"/>
      </left>
      <right style="thin">
        <color auto="1"/>
      </right>
      <top style="thin">
        <color indexed="64"/>
      </top>
      <bottom style="thin">
        <color auto="1"/>
      </bottom>
      <diagonal/>
    </border>
    <border>
      <left/>
      <right/>
      <top style="thin">
        <color auto="1"/>
      </top>
      <bottom style="double">
        <color auto="1"/>
      </bottom>
      <diagonal/>
    </border>
    <border>
      <left style="thin">
        <color indexed="64"/>
      </left>
      <right style="thin">
        <color rgb="FF000000"/>
      </right>
      <top style="thin">
        <color auto="1"/>
      </top>
      <bottom style="thin">
        <color indexed="64"/>
      </bottom>
      <diagonal/>
    </border>
    <border>
      <left style="thin">
        <color indexed="64"/>
      </left>
      <right/>
      <top style="thin">
        <color indexed="64"/>
      </top>
      <bottom style="thin">
        <color auto="1"/>
      </bottom>
      <diagonal/>
    </border>
    <border>
      <left style="thin">
        <color rgb="FF000000"/>
      </left>
      <right style="thin">
        <color auto="1"/>
      </right>
      <top style="thin">
        <color indexed="64"/>
      </top>
      <bottom style="thin">
        <color rgb="FF000000"/>
      </bottom>
      <diagonal/>
    </border>
    <border>
      <left style="thin">
        <color rgb="FF000000"/>
      </left>
      <right/>
      <top style="thin">
        <color auto="1"/>
      </top>
      <bottom style="thin">
        <color rgb="FF000000"/>
      </bottom>
      <diagonal/>
    </border>
    <border>
      <left style="thin">
        <color auto="1"/>
      </left>
      <right style="thin">
        <color auto="1"/>
      </right>
      <top style="thin">
        <color auto="1"/>
      </top>
      <bottom style="thin">
        <color auto="1"/>
      </bottom>
      <diagonal/>
    </border>
    <border>
      <left/>
      <right/>
      <top style="thin">
        <color auto="1"/>
      </top>
      <bottom style="double">
        <color rgb="FF000000"/>
      </bottom>
      <diagonal/>
    </border>
    <border>
      <left style="thin">
        <color rgb="FF000000"/>
      </left>
      <right style="thin">
        <color auto="1"/>
      </right>
      <top/>
      <bottom style="thin">
        <color auto="1"/>
      </bottom>
      <diagonal/>
    </border>
    <border>
      <left style="thin">
        <color rgb="FF000000"/>
      </left>
      <right style="thin">
        <color rgb="FF000000"/>
      </right>
      <top/>
      <bottom/>
      <diagonal/>
    </border>
    <border>
      <left/>
      <right/>
      <top style="thin">
        <color indexed="64"/>
      </top>
      <bottom/>
      <diagonal/>
    </border>
    <border>
      <left/>
      <right style="thin">
        <color auto="1"/>
      </right>
      <top style="thin">
        <color indexed="64"/>
      </top>
      <bottom/>
      <diagonal/>
    </border>
    <border>
      <left/>
      <right/>
      <top style="thin">
        <color indexed="64"/>
      </top>
      <bottom style="thin">
        <color auto="1"/>
      </bottom>
      <diagonal/>
    </border>
    <border>
      <left/>
      <right style="thin">
        <color auto="1"/>
      </right>
      <top style="thin">
        <color indexed="64"/>
      </top>
      <bottom style="thin">
        <color auto="1"/>
      </bottom>
      <diagonal/>
    </border>
    <border>
      <left/>
      <right style="thin">
        <color auto="1"/>
      </right>
      <top/>
      <bottom/>
      <diagonal/>
    </border>
    <border>
      <left/>
      <right style="thin">
        <color auto="1"/>
      </right>
      <top style="thin">
        <color rgb="FF000000"/>
      </top>
      <bottom style="thin">
        <color rgb="FF000000"/>
      </bottom>
      <diagonal/>
    </border>
    <border>
      <left/>
      <right style="thin">
        <color auto="1"/>
      </right>
      <top style="thin">
        <color rgb="FF000000"/>
      </top>
      <bottom style="thin">
        <color auto="1"/>
      </bottom>
      <diagonal/>
    </border>
    <border>
      <left/>
      <right style="thin">
        <color indexed="64"/>
      </right>
      <top style="thin">
        <color auto="1"/>
      </top>
      <bottom/>
      <diagonal/>
    </border>
    <border>
      <left/>
      <right style="thin">
        <color rgb="FF000000"/>
      </right>
      <top style="thin">
        <color auto="1"/>
      </top>
      <bottom/>
      <diagonal/>
    </border>
  </borders>
  <cellStyleXfs count="372">
    <xf numFmtId="0" fontId="0" fillId="0" borderId="0" applyAlignment="1">
      <alignment vertical="center"/>
    </xf>
    <xf numFmtId="43" fontId="32" fillId="0" borderId="0"/>
    <xf numFmtId="9" fontId="32" fillId="0" borderId="0"/>
    <xf numFmtId="0" fontId="10" fillId="0" borderId="0" applyAlignment="1">
      <alignment vertical="top"/>
    </xf>
    <xf numFmtId="0" fontId="35" fillId="0" borderId="0"/>
    <xf numFmtId="173" fontId="36" fillId="0" borderId="0"/>
    <xf numFmtId="174" fontId="37" fillId="0" borderId="0"/>
    <xf numFmtId="10" fontId="37" fillId="0" borderId="0"/>
    <xf numFmtId="175" fontId="36" fillId="0" borderId="0"/>
    <xf numFmtId="0" fontId="32" fillId="15" borderId="0"/>
    <xf numFmtId="0" fontId="32" fillId="13" borderId="0" applyAlignment="1">
      <alignment vertical="center"/>
    </xf>
    <xf numFmtId="0" fontId="32" fillId="16" borderId="0"/>
    <xf numFmtId="0" fontId="32" fillId="17" borderId="0"/>
    <xf numFmtId="0" fontId="38" fillId="0" borderId="77" applyAlignment="1">
      <alignment horizontal="center"/>
    </xf>
    <xf numFmtId="0" fontId="39" fillId="0" borderId="0"/>
    <xf numFmtId="0" fontId="39" fillId="0" borderId="2" applyAlignment="1" applyProtection="1">
      <alignment horizontal="center"/>
      <protection locked="0" hidden="0"/>
    </xf>
    <xf numFmtId="0" fontId="38" fillId="0" borderId="0" applyAlignment="1" applyProtection="1">
      <alignment horizontal="center"/>
      <protection locked="0" hidden="0"/>
    </xf>
    <xf numFmtId="0" fontId="38" fillId="12" borderId="0"/>
    <xf numFmtId="0" fontId="38" fillId="0" borderId="0" applyProtection="1">
      <protection locked="0" hidden="0"/>
    </xf>
    <xf numFmtId="0" fontId="38" fillId="0" borderId="0"/>
    <xf numFmtId="176" fontId="38" fillId="0" borderId="0"/>
    <xf numFmtId="177" fontId="38" fillId="0" borderId="0"/>
    <xf numFmtId="0" fontId="39" fillId="18" borderId="0" applyAlignment="1">
      <alignment horizontal="right"/>
    </xf>
    <xf numFmtId="0" fontId="40" fillId="19" borderId="0"/>
    <xf numFmtId="0" fontId="41" fillId="20" borderId="0"/>
    <xf numFmtId="0" fontId="40" fillId="21" borderId="0"/>
    <xf numFmtId="0" fontId="40" fillId="22" borderId="0"/>
    <xf numFmtId="0" fontId="41" fillId="23" borderId="0"/>
    <xf numFmtId="0" fontId="42" fillId="24" borderId="0"/>
    <xf numFmtId="0" fontId="40" fillId="25" borderId="0"/>
    <xf numFmtId="0" fontId="41" fillId="22" borderId="0"/>
    <xf numFmtId="0" fontId="40" fillId="26" borderId="0"/>
    <xf numFmtId="0" fontId="40" fillId="27" borderId="0"/>
    <xf numFmtId="0" fontId="41" fillId="27" borderId="0"/>
    <xf numFmtId="0" fontId="43" fillId="0" borderId="0" applyAlignment="1" applyProtection="1">
      <alignment horizontal="center" wrapText="1"/>
      <protection locked="0" hidden="0"/>
    </xf>
    <xf numFmtId="178" fontId="10" fillId="0" borderId="0"/>
    <xf numFmtId="179" fontId="35" fillId="0" borderId="0"/>
    <xf numFmtId="180" fontId="35" fillId="0" borderId="0"/>
    <xf numFmtId="181" fontId="15" fillId="0" borderId="0"/>
    <xf numFmtId="182" fontId="15" fillId="0" borderId="0"/>
    <xf numFmtId="183" fontId="35" fillId="0" borderId="0"/>
    <xf numFmtId="184" fontId="35" fillId="0" borderId="0"/>
    <xf numFmtId="0" fontId="44" fillId="0" borderId="0"/>
    <xf numFmtId="4" fontId="32" fillId="0" borderId="77" applyAlignment="1">
      <alignment horizontal="right"/>
    </xf>
    <xf numFmtId="4" fontId="28" fillId="0" borderId="77" applyAlignment="1">
      <alignment horizontal="right" vertical="center"/>
    </xf>
    <xf numFmtId="10" fontId="32" fillId="0" borderId="77"/>
    <xf numFmtId="0" fontId="28" fillId="0" borderId="77" applyAlignment="1">
      <alignment horizontal="right" vertical="center"/>
    </xf>
    <xf numFmtId="0" fontId="45" fillId="28" borderId="17"/>
    <xf numFmtId="0" fontId="46" fillId="29" borderId="18"/>
    <xf numFmtId="0" fontId="47" fillId="0" borderId="3" applyAlignment="1">
      <alignment horizontal="center"/>
    </xf>
    <xf numFmtId="0" fontId="48" fillId="0" borderId="16" applyAlignment="1">
      <alignment horizontal="center"/>
    </xf>
    <xf numFmtId="185" fontId="15" fillId="0" borderId="0"/>
    <xf numFmtId="41" fontId="32" fillId="0" borderId="0"/>
    <xf numFmtId="41" fontId="32" fillId="0" borderId="0"/>
    <xf numFmtId="41" fontId="32" fillId="0" borderId="0"/>
    <xf numFmtId="41" fontId="32" fillId="0" borderId="0"/>
    <xf numFmtId="41" fontId="49" fillId="0" borderId="0"/>
    <xf numFmtId="41" fontId="36" fillId="0" borderId="0"/>
    <xf numFmtId="183" fontId="35" fillId="0" borderId="0"/>
    <xf numFmtId="43" fontId="32" fillId="0" borderId="0"/>
    <xf numFmtId="43" fontId="32" fillId="0" borderId="0"/>
    <xf numFmtId="43" fontId="32" fillId="0" borderId="0"/>
    <xf numFmtId="43" fontId="32" fillId="0" borderId="0"/>
    <xf numFmtId="43" fontId="32" fillId="0" borderId="0"/>
    <xf numFmtId="41" fontId="32" fillId="0" borderId="0"/>
    <xf numFmtId="43" fontId="32" fillId="0" borderId="0"/>
    <xf numFmtId="186" fontId="15" fillId="0" borderId="0"/>
    <xf numFmtId="43" fontId="50" fillId="0" borderId="0"/>
    <xf numFmtId="43" fontId="15" fillId="0" borderId="0"/>
    <xf numFmtId="43" fontId="15" fillId="0" borderId="0"/>
    <xf numFmtId="43" fontId="32" fillId="0" borderId="0"/>
    <xf numFmtId="43" fontId="32" fillId="0" borderId="0"/>
    <xf numFmtId="43" fontId="51" fillId="0" borderId="0"/>
    <xf numFmtId="43" fontId="32" fillId="0" borderId="0"/>
    <xf numFmtId="43" fontId="32" fillId="0" borderId="0"/>
    <xf numFmtId="43" fontId="51" fillId="0" borderId="0"/>
    <xf numFmtId="43" fontId="36" fillId="0" borderId="0"/>
    <xf numFmtId="43" fontId="36" fillId="0" borderId="0"/>
    <xf numFmtId="187" fontId="52" fillId="0" borderId="0"/>
    <xf numFmtId="37" fontId="37" fillId="0" borderId="0"/>
    <xf numFmtId="179" fontId="37" fillId="0" borderId="0"/>
    <xf numFmtId="39" fontId="37" fillId="0" borderId="0"/>
    <xf numFmtId="0" fontId="53" fillId="0" borderId="0"/>
    <xf numFmtId="0" fontId="54" fillId="0" borderId="0"/>
    <xf numFmtId="0" fontId="55" fillId="0" borderId="0"/>
    <xf numFmtId="179" fontId="35" fillId="0" borderId="0"/>
    <xf numFmtId="188" fontId="37" fillId="0" borderId="0"/>
    <xf numFmtId="189" fontId="37" fillId="0" borderId="0"/>
    <xf numFmtId="190" fontId="52" fillId="0" borderId="0"/>
    <xf numFmtId="0" fontId="32" fillId="0" borderId="77"/>
    <xf numFmtId="191" fontId="15" fillId="0" borderId="0" applyProtection="1">
      <protection locked="0" hidden="0"/>
    </xf>
    <xf numFmtId="14" fontId="10" fillId="0" borderId="0"/>
    <xf numFmtId="41" fontId="15" fillId="0" borderId="0"/>
    <xf numFmtId="192" fontId="52" fillId="0" borderId="0"/>
    <xf numFmtId="0" fontId="56" fillId="0" borderId="0"/>
    <xf numFmtId="0" fontId="57" fillId="0" borderId="0" applyAlignment="1">
      <alignment horizontal="left"/>
    </xf>
    <xf numFmtId="0" fontId="58" fillId="30" borderId="77"/>
    <xf numFmtId="193" fontId="25" fillId="0" borderId="0"/>
    <xf numFmtId="0" fontId="28" fillId="0" borderId="77"/>
    <xf numFmtId="0" fontId="59" fillId="31" borderId="0"/>
    <xf numFmtId="0" fontId="59" fillId="31" borderId="0"/>
    <xf numFmtId="0" fontId="60" fillId="32" borderId="0"/>
    <xf numFmtId="0" fontId="58" fillId="22" borderId="0"/>
    <xf numFmtId="0" fontId="61" fillId="0" borderId="0" applyAlignment="1">
      <alignment horizontal="left"/>
    </xf>
    <xf numFmtId="0" fontId="62" fillId="0" borderId="23"/>
    <xf numFmtId="0" fontId="62" fillId="0" borderId="1" applyAlignment="1">
      <alignment horizontal="left" vertical="center"/>
    </xf>
    <xf numFmtId="0" fontId="63" fillId="33" borderId="77" applyAlignment="1">
      <alignment horizontal="center" vertical="center"/>
    </xf>
    <xf numFmtId="0" fontId="33" fillId="0" borderId="0"/>
    <xf numFmtId="0" fontId="64" fillId="0" borderId="0"/>
    <xf numFmtId="0" fontId="33" fillId="0" borderId="0" applyAlignment="1">
      <alignment vertical="center"/>
    </xf>
    <xf numFmtId="0" fontId="65" fillId="0" borderId="0"/>
    <xf numFmtId="0" fontId="33" fillId="0" borderId="0"/>
    <xf numFmtId="0" fontId="66" fillId="0" borderId="0"/>
    <xf numFmtId="0" fontId="67" fillId="0" borderId="0" applyProtection="1">
      <protection locked="0" hidden="0"/>
    </xf>
    <xf numFmtId="0" fontId="58" fillId="21" borderId="77"/>
    <xf numFmtId="179" fontId="68" fillId="34" borderId="0"/>
    <xf numFmtId="179" fontId="69" fillId="35" borderId="0"/>
    <xf numFmtId="0" fontId="15" fillId="0" borderId="0"/>
    <xf numFmtId="0" fontId="70" fillId="0" borderId="2"/>
    <xf numFmtId="194" fontId="36" fillId="0" borderId="0"/>
    <xf numFmtId="174" fontId="36" fillId="0" borderId="0"/>
    <xf numFmtId="0" fontId="15"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applyAlignment="1">
      <alignment vertical="center"/>
    </xf>
    <xf numFmtId="0" fontId="71" fillId="0" borderId="0" applyAlignment="1">
      <alignment vertical="center"/>
    </xf>
    <xf numFmtId="0" fontId="72" fillId="0" borderId="0"/>
    <xf numFmtId="0" fontId="71" fillId="0" borderId="0" applyAlignment="1">
      <alignment vertical="center"/>
    </xf>
    <xf numFmtId="0" fontId="15" fillId="0" borderId="0"/>
    <xf numFmtId="0" fontId="32" fillId="0" borderId="0"/>
    <xf numFmtId="0" fontId="51" fillId="0" borderId="0"/>
    <xf numFmtId="0" fontId="73" fillId="0" borderId="0"/>
    <xf numFmtId="0" fontId="32" fillId="0" borderId="0"/>
    <xf numFmtId="195" fontId="74" fillId="0" borderId="0" applyProtection="1">
      <protection locked="0" hidden="0"/>
    </xf>
    <xf numFmtId="0" fontId="32" fillId="0" borderId="0"/>
    <xf numFmtId="0" fontId="32" fillId="0" borderId="0"/>
    <xf numFmtId="0" fontId="2" fillId="0" borderId="0"/>
    <xf numFmtId="0" fontId="75" fillId="0" borderId="0"/>
    <xf numFmtId="0" fontId="2" fillId="0" borderId="0"/>
    <xf numFmtId="0" fontId="32" fillId="0" borderId="0" applyAlignment="1">
      <alignment vertical="center"/>
    </xf>
    <xf numFmtId="0" fontId="50" fillId="0" borderId="0"/>
    <xf numFmtId="0" fontId="76" fillId="0" borderId="0"/>
    <xf numFmtId="0" fontId="32" fillId="0" borderId="0" applyProtection="1">
      <protection locked="0" hidden="0"/>
    </xf>
    <xf numFmtId="195" fontId="32" fillId="0" borderId="0" applyProtection="1">
      <protection locked="0" hidden="0"/>
    </xf>
    <xf numFmtId="0" fontId="49" fillId="0" borderId="0" applyProtection="1">
      <protection locked="0" hidden="0"/>
    </xf>
    <xf numFmtId="9" fontId="32" fillId="0" borderId="0"/>
    <xf numFmtId="9" fontId="51" fillId="0" borderId="0"/>
    <xf numFmtId="43" fontId="75" fillId="0" borderId="0"/>
    <xf numFmtId="43" fontId="75" fillId="0" borderId="0"/>
    <xf numFmtId="0" fontId="32" fillId="0" borderId="0"/>
    <xf numFmtId="0" fontId="32" fillId="0" borderId="0"/>
    <xf numFmtId="0" fontId="77" fillId="0" borderId="0"/>
    <xf numFmtId="0" fontId="32" fillId="0" borderId="0" applyAlignment="1">
      <alignment vertical="center"/>
    </xf>
    <xf numFmtId="0" fontId="51" fillId="0" borderId="0"/>
    <xf numFmtId="0" fontId="73" fillId="0" borderId="0"/>
    <xf numFmtId="0" fontId="78" fillId="0" borderId="0"/>
    <xf numFmtId="0" fontId="79" fillId="0" borderId="0"/>
    <xf numFmtId="196" fontId="36" fillId="0" borderId="0"/>
    <xf numFmtId="197" fontId="36" fillId="0" borderId="0"/>
    <xf numFmtId="14" fontId="43" fillId="0" borderId="0" applyAlignment="1" applyProtection="1">
      <alignment horizontal="center" wrapText="1"/>
      <protection locked="0" hidden="0"/>
    </xf>
    <xf numFmtId="182" fontId="15" fillId="0" borderId="0"/>
    <xf numFmtId="198" fontId="15" fillId="0" borderId="0"/>
    <xf numFmtId="10" fontId="15" fillId="0" borderId="0"/>
    <xf numFmtId="174" fontId="32" fillId="0" borderId="0"/>
    <xf numFmtId="9" fontId="36" fillId="0" borderId="0"/>
    <xf numFmtId="174" fontId="32" fillId="0" borderId="0"/>
    <xf numFmtId="9" fontId="32" fillId="0" borderId="0"/>
    <xf numFmtId="13" fontId="15" fillId="0" borderId="0"/>
    <xf numFmtId="0" fontId="58" fillId="22" borderId="77"/>
    <xf numFmtId="4" fontId="57" fillId="0" borderId="0" applyAlignment="1">
      <alignment horizontal="right"/>
    </xf>
    <xf numFmtId="199" fontId="80" fillId="0" borderId="0"/>
    <xf numFmtId="0" fontId="81" fillId="0" borderId="0"/>
    <xf numFmtId="0" fontId="82" fillId="0" borderId="2" applyAlignment="1">
      <alignment horizontal="center"/>
    </xf>
    <xf numFmtId="4" fontId="83" fillId="0" borderId="0" applyAlignment="1">
      <alignment horizontal="right"/>
    </xf>
    <xf numFmtId="0" fontId="73" fillId="0" borderId="0"/>
    <xf numFmtId="41" fontId="52" fillId="0" borderId="0"/>
    <xf numFmtId="0" fontId="13" fillId="36" borderId="19" applyAlignment="1">
      <alignment vertical="center"/>
    </xf>
    <xf numFmtId="0" fontId="84" fillId="36" borderId="19" applyAlignment="1">
      <alignment vertical="center"/>
    </xf>
    <xf numFmtId="0" fontId="13" fillId="36" borderId="19" applyAlignment="1">
      <alignment horizontal="left" vertical="center" indent="1"/>
    </xf>
    <xf numFmtId="0" fontId="13" fillId="36" borderId="19" applyAlignment="1">
      <alignment horizontal="left" vertical="top" indent="1"/>
    </xf>
    <xf numFmtId="0" fontId="13" fillId="37" borderId="0" applyAlignment="1">
      <alignment horizontal="left" vertical="center" indent="1"/>
    </xf>
    <xf numFmtId="0" fontId="10" fillId="38" borderId="19" applyAlignment="1">
      <alignment horizontal="right" vertical="center"/>
    </xf>
    <xf numFmtId="0" fontId="10" fillId="39" borderId="19" applyAlignment="1">
      <alignment horizontal="right" vertical="center"/>
    </xf>
    <xf numFmtId="0" fontId="10" fillId="40" borderId="19" applyAlignment="1">
      <alignment horizontal="right" vertical="center"/>
    </xf>
    <xf numFmtId="0" fontId="10" fillId="41" borderId="19" applyAlignment="1">
      <alignment horizontal="right" vertical="center"/>
    </xf>
    <xf numFmtId="0" fontId="10" fillId="42" borderId="19" applyAlignment="1">
      <alignment horizontal="right" vertical="center"/>
    </xf>
    <xf numFmtId="0" fontId="10" fillId="43" borderId="19" applyAlignment="1">
      <alignment horizontal="right" vertical="center"/>
    </xf>
    <xf numFmtId="0" fontId="10" fillId="44" borderId="19" applyAlignment="1">
      <alignment horizontal="right" vertical="center"/>
    </xf>
    <xf numFmtId="0" fontId="10" fillId="45" borderId="19" applyAlignment="1">
      <alignment horizontal="right" vertical="center"/>
    </xf>
    <xf numFmtId="0" fontId="10" fillId="46" borderId="19" applyAlignment="1">
      <alignment horizontal="right" vertical="center"/>
    </xf>
    <xf numFmtId="0" fontId="13" fillId="47" borderId="29" applyAlignment="1">
      <alignment horizontal="left" vertical="center" indent="1"/>
    </xf>
    <xf numFmtId="0" fontId="10" fillId="48" borderId="0" applyAlignment="1">
      <alignment horizontal="left" vertical="center" indent="1"/>
    </xf>
    <xf numFmtId="0" fontId="26" fillId="49" borderId="0" applyAlignment="1">
      <alignment horizontal="left" vertical="center" indent="1"/>
    </xf>
    <xf numFmtId="0" fontId="10" fillId="37" borderId="19" applyAlignment="1">
      <alignment horizontal="right" vertical="center"/>
    </xf>
    <xf numFmtId="0" fontId="10" fillId="37" borderId="0" applyAlignment="1">
      <alignment horizontal="left" vertical="center" indent="1"/>
    </xf>
    <xf numFmtId="0" fontId="15" fillId="49" borderId="19" applyAlignment="1">
      <alignment horizontal="left" vertical="center" indent="1"/>
    </xf>
    <xf numFmtId="0" fontId="15" fillId="49" borderId="19" applyAlignment="1">
      <alignment horizontal="left" vertical="top" indent="1"/>
    </xf>
    <xf numFmtId="0" fontId="15" fillId="37" borderId="19" applyAlignment="1">
      <alignment horizontal="left" vertical="center" indent="1"/>
    </xf>
    <xf numFmtId="0" fontId="15" fillId="37" borderId="19" applyAlignment="1">
      <alignment horizontal="left" vertical="top" indent="1"/>
    </xf>
    <xf numFmtId="0" fontId="15" fillId="20" borderId="19" applyAlignment="1">
      <alignment horizontal="left" vertical="center" indent="1"/>
    </xf>
    <xf numFmtId="0" fontId="15" fillId="20" borderId="19" applyAlignment="1">
      <alignment horizontal="left" vertical="top" indent="1"/>
    </xf>
    <xf numFmtId="0" fontId="15" fillId="48" borderId="19" applyAlignment="1">
      <alignment horizontal="left" vertical="center" indent="1"/>
    </xf>
    <xf numFmtId="0" fontId="15" fillId="48" borderId="19" applyAlignment="1">
      <alignment horizontal="left" vertical="top" indent="1"/>
    </xf>
    <xf numFmtId="0" fontId="10" fillId="21" borderId="19" applyAlignment="1">
      <alignment vertical="center"/>
    </xf>
    <xf numFmtId="0" fontId="85" fillId="21" borderId="19" applyAlignment="1">
      <alignment vertical="center"/>
    </xf>
    <xf numFmtId="0" fontId="10" fillId="21" borderId="19" applyAlignment="1">
      <alignment horizontal="left" vertical="center" indent="1"/>
    </xf>
    <xf numFmtId="0" fontId="10" fillId="21" borderId="19" applyAlignment="1">
      <alignment horizontal="left" vertical="top" indent="1"/>
    </xf>
    <xf numFmtId="0" fontId="10" fillId="48" borderId="19" applyAlignment="1">
      <alignment horizontal="right" vertical="center"/>
    </xf>
    <xf numFmtId="0" fontId="85" fillId="48" borderId="19" applyAlignment="1">
      <alignment horizontal="right" vertical="center"/>
    </xf>
    <xf numFmtId="0" fontId="10" fillId="37" borderId="19" applyAlignment="1">
      <alignment horizontal="left" vertical="center" indent="1"/>
    </xf>
    <xf numFmtId="0" fontId="10" fillId="37" borderId="19" applyAlignment="1">
      <alignment horizontal="left" vertical="top" indent="1"/>
    </xf>
    <xf numFmtId="0" fontId="86" fillId="34" borderId="0" applyAlignment="1">
      <alignment horizontal="left" vertical="center" indent="1"/>
    </xf>
    <xf numFmtId="0" fontId="24" fillId="48" borderId="19" applyAlignment="1">
      <alignment horizontal="right" vertical="center"/>
    </xf>
    <xf numFmtId="0" fontId="87" fillId="0" borderId="0" applyAlignment="1">
      <alignment horizontal="left"/>
    </xf>
    <xf numFmtId="43" fontId="58" fillId="0" borderId="21"/>
    <xf numFmtId="0" fontId="70" fillId="0" borderId="0"/>
    <xf numFmtId="40" fontId="88" fillId="0" borderId="0" applyAlignment="1">
      <alignment horizontal="right"/>
    </xf>
    <xf numFmtId="49" fontId="10" fillId="0" borderId="0"/>
    <xf numFmtId="200" fontId="15" fillId="0" borderId="0"/>
    <xf numFmtId="201" fontId="15" fillId="0" borderId="0"/>
    <xf numFmtId="0" fontId="89" fillId="50" borderId="22" applyAlignment="1" applyProtection="1">
      <alignment vertical="center"/>
      <protection locked="0" hidden="0"/>
    </xf>
    <xf numFmtId="0" fontId="90" fillId="0" borderId="0" applyAlignment="1">
      <alignment horizontal="center"/>
    </xf>
    <xf numFmtId="191" fontId="15" fillId="0" borderId="72" applyProtection="1">
      <protection locked="0" hidden="0"/>
    </xf>
    <xf numFmtId="202" fontId="15" fillId="0" borderId="0"/>
    <xf numFmtId="203" fontId="15" fillId="0" borderId="0"/>
    <xf numFmtId="204" fontId="36" fillId="0" borderId="0"/>
    <xf numFmtId="205" fontId="36" fillId="0" borderId="0"/>
    <xf numFmtId="9" fontId="91" fillId="0" borderId="0"/>
    <xf numFmtId="0" fontId="92" fillId="0" borderId="0"/>
    <xf numFmtId="186" fontId="73" fillId="0" borderId="0"/>
    <xf numFmtId="206" fontId="73" fillId="0" borderId="0"/>
    <xf numFmtId="9" fontId="73" fillId="0" borderId="0"/>
    <xf numFmtId="9" fontId="75" fillId="0" borderId="0"/>
    <xf numFmtId="9" fontId="15" fillId="0" borderId="0"/>
    <xf numFmtId="9" fontId="25" fillId="0" borderId="0"/>
    <xf numFmtId="9" fontId="32" fillId="0" borderId="0"/>
    <xf numFmtId="0" fontId="93" fillId="0" borderId="0"/>
    <xf numFmtId="4" fontId="94" fillId="0" borderId="0" applyAlignment="1">
      <alignment horizontal="right"/>
    </xf>
    <xf numFmtId="0" fontId="95" fillId="0" borderId="0"/>
    <xf numFmtId="0" fontId="96" fillId="41" borderId="0"/>
    <xf numFmtId="0" fontId="97" fillId="38" borderId="0"/>
    <xf numFmtId="0" fontId="98" fillId="38" borderId="0"/>
    <xf numFmtId="0" fontId="99" fillId="30" borderId="0"/>
    <xf numFmtId="0" fontId="32" fillId="0" borderId="0" applyAlignment="1">
      <alignment vertical="center"/>
    </xf>
    <xf numFmtId="0" fontId="25" fillId="0" borderId="0"/>
    <xf numFmtId="0" fontId="76" fillId="0" borderId="0"/>
    <xf numFmtId="207" fontId="100" fillId="0" borderId="0"/>
    <xf numFmtId="207" fontId="25" fillId="0" borderId="0"/>
    <xf numFmtId="0" fontId="23" fillId="0" borderId="0" applyAlignment="1">
      <alignment vertical="center"/>
    </xf>
    <xf numFmtId="0" fontId="32" fillId="0" borderId="0"/>
    <xf numFmtId="0" fontId="75" fillId="0" borderId="0" applyProtection="1">
      <protection locked="0" hidden="0"/>
    </xf>
    <xf numFmtId="0" fontId="15" fillId="0" borderId="0" applyProtection="1">
      <protection locked="0" hidden="0"/>
    </xf>
    <xf numFmtId="0" fontId="36" fillId="0" borderId="0"/>
    <xf numFmtId="0" fontId="32" fillId="0" borderId="0" applyAlignment="1">
      <alignment vertical="center"/>
    </xf>
    <xf numFmtId="0" fontId="36" fillId="0" borderId="0" applyAlignment="1">
      <alignment vertical="top"/>
    </xf>
    <xf numFmtId="0" fontId="32" fillId="0" borderId="0"/>
    <xf numFmtId="0" fontId="25" fillId="0" borderId="0"/>
    <xf numFmtId="0" fontId="27" fillId="0" borderId="0"/>
    <xf numFmtId="0" fontId="32" fillId="0" borderId="0" applyAlignment="1" applyProtection="1">
      <alignment vertical="center"/>
      <protection locked="0" hidden="0"/>
    </xf>
    <xf numFmtId="0" fontId="101" fillId="0" borderId="0"/>
    <xf numFmtId="0" fontId="32" fillId="0" borderId="0"/>
    <xf numFmtId="0" fontId="36" fillId="0" borderId="0" applyAlignment="1">
      <alignment vertical="center"/>
    </xf>
    <xf numFmtId="0" fontId="25" fillId="0" borderId="0"/>
    <xf numFmtId="0" fontId="102" fillId="0" borderId="0" applyProtection="1">
      <protection locked="0" hidden="0"/>
    </xf>
    <xf numFmtId="0" fontId="33" fillId="0" borderId="0"/>
    <xf numFmtId="0" fontId="103" fillId="32" borderId="0"/>
    <xf numFmtId="0" fontId="104" fillId="25" borderId="0"/>
    <xf numFmtId="0" fontId="104" fillId="32" borderId="0"/>
    <xf numFmtId="0" fontId="105" fillId="25" borderId="0"/>
    <xf numFmtId="0" fontId="106" fillId="51" borderId="0"/>
    <xf numFmtId="4" fontId="107" fillId="0" borderId="0"/>
    <xf numFmtId="208" fontId="32" fillId="0" borderId="0"/>
    <xf numFmtId="209" fontId="32" fillId="0" borderId="0"/>
    <xf numFmtId="210" fontId="108" fillId="0" borderId="0"/>
    <xf numFmtId="211" fontId="108" fillId="0" borderId="0"/>
    <xf numFmtId="212" fontId="15" fillId="0" borderId="0"/>
    <xf numFmtId="213" fontId="15" fillId="0" borderId="0"/>
    <xf numFmtId="1" fontId="73" fillId="0" borderId="0"/>
    <xf numFmtId="214" fontId="109" fillId="0" borderId="0"/>
    <xf numFmtId="215" fontId="109" fillId="0" borderId="0"/>
    <xf numFmtId="210" fontId="73" fillId="0" borderId="0"/>
    <xf numFmtId="211" fontId="73" fillId="0" borderId="0"/>
    <xf numFmtId="0" fontId="52" fillId="0" borderId="0"/>
    <xf numFmtId="43" fontId="52" fillId="0" borderId="0"/>
    <xf numFmtId="43" fontId="32" fillId="0" borderId="0"/>
    <xf numFmtId="43" fontId="32" fillId="0" borderId="0"/>
    <xf numFmtId="43" fontId="32" fillId="0" borderId="0"/>
    <xf numFmtId="43" fontId="75" fillId="0" borderId="0"/>
    <xf numFmtId="43" fontId="36" fillId="0" borderId="0"/>
    <xf numFmtId="43" fontId="51" fillId="0" borderId="0"/>
    <xf numFmtId="43" fontId="25" fillId="0" borderId="0"/>
    <xf numFmtId="43" fontId="25" fillId="0" borderId="0"/>
    <xf numFmtId="41" fontId="36" fillId="0" borderId="0"/>
    <xf numFmtId="0" fontId="110" fillId="0" borderId="0"/>
    <xf numFmtId="0" fontId="111" fillId="52" borderId="0"/>
    <xf numFmtId="0" fontId="111" fillId="53" borderId="0"/>
    <xf numFmtId="0" fontId="111" fillId="54" borderId="0"/>
    <xf numFmtId="183" fontId="15" fillId="0" borderId="0"/>
    <xf numFmtId="216" fontId="107" fillId="0" borderId="0"/>
    <xf numFmtId="0" fontId="108" fillId="0" borderId="0"/>
    <xf numFmtId="0" fontId="112" fillId="0" borderId="0"/>
    <xf numFmtId="40" fontId="93" fillId="0" borderId="0"/>
    <xf numFmtId="38" fontId="93" fillId="0" borderId="0"/>
    <xf numFmtId="0" fontId="15" fillId="0" borderId="77"/>
    <xf numFmtId="38" fontId="113" fillId="0" borderId="0"/>
    <xf numFmtId="40" fontId="113" fillId="0" borderId="0"/>
    <xf numFmtId="0" fontId="113" fillId="0" borderId="0"/>
    <xf numFmtId="0" fontId="114" fillId="0" borderId="0"/>
    <xf numFmtId="0" fontId="34" fillId="14" borderId="0"/>
    <xf numFmtId="0" fontId="59" fillId="31" borderId="0"/>
    <xf numFmtId="43" fontId="32" fillId="0" borderId="0"/>
    <xf numFmtId="0" fontId="118" fillId="0" borderId="0" applyAlignment="1">
      <alignment vertical="center"/>
    </xf>
    <xf numFmtId="0" fontId="15" fillId="0" borderId="0"/>
    <xf numFmtId="0" fontId="118" fillId="0" borderId="0"/>
    <xf numFmtId="0" fontId="118" fillId="0" borderId="0"/>
    <xf numFmtId="43" fontId="32" fillId="0" borderId="0"/>
    <xf numFmtId="0" fontId="38" fillId="0" borderId="26" applyAlignment="1">
      <alignment horizontal="center"/>
    </xf>
    <xf numFmtId="41" fontId="32" fillId="0" borderId="0"/>
    <xf numFmtId="41" fontId="32" fillId="0" borderId="0"/>
    <xf numFmtId="4" fontId="32" fillId="0" borderId="26" applyAlignment="1">
      <alignment horizontal="right"/>
    </xf>
    <xf numFmtId="4" fontId="28" fillId="0" borderId="26" applyAlignment="1">
      <alignment horizontal="right" vertical="center"/>
    </xf>
    <xf numFmtId="10" fontId="32" fillId="0" borderId="26"/>
    <xf numFmtId="0" fontId="28" fillId="0" borderId="26" applyAlignment="1">
      <alignment horizontal="right" vertical="center"/>
    </xf>
    <xf numFmtId="41" fontId="32" fillId="0" borderId="0"/>
    <xf numFmtId="41" fontId="32" fillId="0" borderId="0"/>
    <xf numFmtId="41" fontId="49" fillId="0" borderId="0"/>
    <xf numFmtId="41" fontId="36" fillId="0" borderId="0"/>
    <xf numFmtId="43" fontId="32" fillId="0" borderId="0"/>
    <xf numFmtId="43" fontId="32" fillId="0" borderId="0"/>
    <xf numFmtId="43" fontId="32" fillId="0" borderId="0"/>
    <xf numFmtId="41" fontId="32" fillId="0" borderId="0"/>
    <xf numFmtId="43" fontId="32" fillId="0" borderId="0"/>
    <xf numFmtId="43" fontId="50" fillId="0" borderId="0"/>
    <xf numFmtId="43" fontId="15" fillId="0" borderId="0"/>
    <xf numFmtId="43" fontId="32" fillId="0" borderId="0"/>
    <xf numFmtId="43" fontId="32" fillId="0" borderId="0"/>
    <xf numFmtId="43" fontId="36" fillId="0" borderId="0"/>
    <xf numFmtId="43" fontId="36" fillId="0" borderId="0"/>
    <xf numFmtId="0" fontId="32" fillId="0" borderId="26"/>
    <xf numFmtId="0" fontId="58" fillId="30" borderId="26"/>
    <xf numFmtId="0" fontId="28" fillId="0" borderId="26"/>
    <xf numFmtId="0" fontId="62" fillId="0" borderId="23"/>
    <xf numFmtId="0" fontId="63" fillId="33" borderId="26" applyAlignment="1">
      <alignment horizontal="center" vertical="center"/>
    </xf>
    <xf numFmtId="0" fontId="13" fillId="47" borderId="29" applyAlignment="1">
      <alignment horizontal="left" vertical="center" indent="1"/>
    </xf>
    <xf numFmtId="0" fontId="58" fillId="21" borderId="26"/>
    <xf numFmtId="43" fontId="75" fillId="0" borderId="0"/>
    <xf numFmtId="0" fontId="58" fillId="22" borderId="26"/>
    <xf numFmtId="0" fontId="13" fillId="47" borderId="29" applyAlignment="1">
      <alignment horizontal="left" vertical="center" indent="1"/>
    </xf>
    <xf numFmtId="0" fontId="13" fillId="47" borderId="29" applyAlignment="1">
      <alignment horizontal="left" vertical="center" indent="1"/>
    </xf>
    <xf numFmtId="43" fontId="58" fillId="0" borderId="21"/>
    <xf numFmtId="41" fontId="32" fillId="0" borderId="0"/>
    <xf numFmtId="41" fontId="32" fillId="0" borderId="0"/>
    <xf numFmtId="41" fontId="32" fillId="0" borderId="0"/>
    <xf numFmtId="43" fontId="32" fillId="0" borderId="0"/>
    <xf numFmtId="43" fontId="32" fillId="0" borderId="0"/>
    <xf numFmtId="43" fontId="75" fillId="0" borderId="0"/>
    <xf numFmtId="43" fontId="36" fillId="0" borderId="0"/>
    <xf numFmtId="43" fontId="25" fillId="0" borderId="0"/>
    <xf numFmtId="43" fontId="25" fillId="0" borderId="0"/>
    <xf numFmtId="41" fontId="36" fillId="0" borderId="0"/>
    <xf numFmtId="0" fontId="15" fillId="0" borderId="26"/>
    <xf numFmtId="43" fontId="32" fillId="0" borderId="0"/>
    <xf numFmtId="0" fontId="118" fillId="0" borderId="0"/>
    <xf numFmtId="0" fontId="118" fillId="0" borderId="0"/>
    <xf numFmtId="0" fontId="1" fillId="0" borderId="0" applyAlignment="1">
      <alignment vertical="center"/>
    </xf>
    <xf numFmtId="0" fontId="1" fillId="0" borderId="0"/>
    <xf numFmtId="0" fontId="32" fillId="0" borderId="0"/>
    <xf numFmtId="0" fontId="33" fillId="0" borderId="0" applyAlignment="1">
      <alignment vertical="center"/>
    </xf>
  </cellStyleXfs>
  <cellXfs count="881">
    <xf numFmtId="0" fontId="0" fillId="0" borderId="0" applyAlignment="1" pivotButton="0" quotePrefix="0" xfId="0">
      <alignment vertical="center"/>
    </xf>
    <xf numFmtId="0" fontId="2" fillId="0" borderId="0" applyAlignment="1" applyProtection="1" pivotButton="0" quotePrefix="0" xfId="0">
      <alignment vertical="center"/>
      <protection locked="0" hidden="0"/>
    </xf>
    <xf numFmtId="0" fontId="3" fillId="0" borderId="0" applyAlignment="1" pivotButton="0" quotePrefix="0" xfId="0">
      <alignment vertical="center"/>
    </xf>
    <xf numFmtId="0" fontId="4" fillId="0" borderId="0" applyAlignment="1" pivotButton="0" quotePrefix="0" xfId="0">
      <alignment vertical="center"/>
    </xf>
    <xf numFmtId="0" fontId="6" fillId="2" borderId="1" applyAlignment="1" applyProtection="1" pivotButton="0" quotePrefix="0" xfId="0">
      <alignment horizontal="centerContinuous" vertical="center"/>
      <protection locked="0" hidden="0"/>
    </xf>
    <xf numFmtId="0" fontId="7" fillId="3" borderId="1" applyAlignment="1" applyProtection="1" pivotButton="0" quotePrefix="0" xfId="0">
      <alignment horizontal="centerContinuous" vertical="center"/>
      <protection locked="0" hidden="0"/>
    </xf>
    <xf numFmtId="0" fontId="2" fillId="0" borderId="0" applyAlignment="1" applyProtection="1" pivotButton="0" quotePrefix="0" xfId="0">
      <alignment horizontal="left" vertical="center"/>
      <protection locked="0" hidden="0"/>
    </xf>
    <xf numFmtId="0" fontId="8" fillId="4" borderId="1" applyAlignment="1" applyProtection="1" pivotButton="0" quotePrefix="0" xfId="0">
      <alignment vertical="center"/>
      <protection locked="0" hidden="0"/>
    </xf>
    <xf numFmtId="0" fontId="9" fillId="0" borderId="0" pivotButton="0" quotePrefix="0" xfId="0"/>
    <xf numFmtId="0" fontId="10" fillId="0" borderId="0" applyAlignment="1" pivotButton="0" quotePrefix="0" xfId="0">
      <alignment vertical="center"/>
    </xf>
    <xf numFmtId="49" fontId="11" fillId="5" borderId="0" applyAlignment="1" pivotButton="0" quotePrefix="0" xfId="0">
      <alignment vertical="center"/>
    </xf>
    <xf numFmtId="0" fontId="13" fillId="5" borderId="0" applyAlignment="1" pivotButton="0" quotePrefix="0" xfId="0">
      <alignment vertical="center"/>
    </xf>
    <xf numFmtId="0" fontId="10" fillId="5" borderId="0" applyAlignment="1" pivotButton="0" quotePrefix="0" xfId="0">
      <alignment vertical="center"/>
    </xf>
    <xf numFmtId="0" fontId="12" fillId="0" borderId="0" applyAlignment="1" pivotButton="0" quotePrefix="0" xfId="0">
      <alignment vertical="center" wrapText="1"/>
    </xf>
    <xf numFmtId="14" fontId="15" fillId="5" borderId="0" applyAlignment="1" pivotButton="0" quotePrefix="0" xfId="0">
      <alignment vertical="center"/>
    </xf>
    <xf numFmtId="49" fontId="11" fillId="0" borderId="0" applyAlignment="1" pivotButton="0" quotePrefix="0" xfId="0">
      <alignment vertical="center"/>
    </xf>
    <xf numFmtId="0" fontId="11" fillId="5" borderId="0" applyAlignment="1" pivotButton="0" quotePrefix="0" xfId="0">
      <alignment vertical="center"/>
    </xf>
    <xf numFmtId="0" fontId="10" fillId="0" borderId="0" pivotButton="0" quotePrefix="0" xfId="0"/>
    <xf numFmtId="49" fontId="11" fillId="0" borderId="0" applyAlignment="1" applyProtection="1" pivotButton="0" quotePrefix="0" xfId="1">
      <alignment horizontal="left" vertical="center"/>
      <protection locked="0" hidden="0"/>
    </xf>
    <xf numFmtId="49" fontId="11" fillId="0" borderId="0" applyAlignment="1" applyProtection="1" pivotButton="0" quotePrefix="0" xfId="1">
      <alignment horizontal="left" vertical="center" wrapText="1"/>
      <protection locked="0" hidden="0"/>
    </xf>
    <xf numFmtId="0" fontId="2" fillId="0" borderId="0" applyAlignment="1" applyProtection="1" pivotButton="0" quotePrefix="0" xfId="133">
      <alignment vertical="center"/>
      <protection locked="0" hidden="0"/>
    </xf>
    <xf numFmtId="0" fontId="7" fillId="3" borderId="5" applyAlignment="1" applyProtection="1" pivotButton="0" quotePrefix="0" xfId="0">
      <alignment horizontal="centerContinuous" vertical="center"/>
      <protection locked="0" hidden="0"/>
    </xf>
    <xf numFmtId="0" fontId="8" fillId="4" borderId="5" applyAlignment="1" applyProtection="1" pivotButton="0" quotePrefix="0" xfId="0">
      <alignment vertical="center"/>
      <protection locked="0" hidden="0"/>
    </xf>
    <xf numFmtId="0" fontId="20" fillId="5" borderId="0" applyAlignment="1" pivotButton="0" quotePrefix="0" xfId="0">
      <alignment vertical="center"/>
    </xf>
    <xf numFmtId="164" fontId="10" fillId="5" borderId="0" applyAlignment="1" pivotButton="0" quotePrefix="0" xfId="0">
      <alignment horizontal="right" vertical="center"/>
    </xf>
    <xf numFmtId="0" fontId="2" fillId="0" borderId="0" applyAlignment="1" pivotButton="0" quotePrefix="0" xfId="127">
      <alignment vertical="center"/>
    </xf>
    <xf numFmtId="0" fontId="12" fillId="6" borderId="0" applyAlignment="1" pivotButton="0" quotePrefix="0" xfId="127">
      <alignment vertical="center"/>
    </xf>
    <xf numFmtId="0" fontId="2" fillId="6" borderId="0" applyAlignment="1" pivotButton="0" quotePrefix="0" xfId="127">
      <alignment vertical="center"/>
    </xf>
    <xf numFmtId="0" fontId="9" fillId="0" borderId="0" applyAlignment="1" pivotButton="0" quotePrefix="0" xfId="127">
      <alignment vertical="center"/>
    </xf>
    <xf numFmtId="49" fontId="12" fillId="6" borderId="0" applyAlignment="1" pivotButton="0" quotePrefix="0" xfId="127">
      <alignment vertical="center"/>
    </xf>
    <xf numFmtId="0" fontId="11" fillId="0" borderId="0" applyAlignment="1" pivotButton="0" quotePrefix="0" xfId="0">
      <alignment horizontal="right" wrapText="1"/>
    </xf>
    <xf numFmtId="49" fontId="2" fillId="6" borderId="0" applyAlignment="1" pivotButton="0" quotePrefix="0" xfId="127">
      <alignment vertical="center"/>
    </xf>
    <xf numFmtId="0" fontId="2" fillId="0" borderId="0" applyAlignment="1" applyProtection="1" pivotButton="0" quotePrefix="0" xfId="0">
      <alignment vertical="center" wrapText="1"/>
      <protection locked="0" hidden="0"/>
    </xf>
    <xf numFmtId="0" fontId="2" fillId="6" borderId="0" applyAlignment="1" pivotButton="0" quotePrefix="0" xfId="127">
      <alignment horizontal="left" vertical="center"/>
    </xf>
    <xf numFmtId="1" fontId="2" fillId="6" borderId="0" applyAlignment="1" pivotButton="0" quotePrefix="0" xfId="127">
      <alignment vertical="center"/>
    </xf>
    <xf numFmtId="14" fontId="2" fillId="6" borderId="0" applyAlignment="1" pivotButton="0" quotePrefix="0" xfId="127">
      <alignment vertical="center"/>
    </xf>
    <xf numFmtId="165" fontId="2" fillId="6" borderId="0" applyAlignment="1" pivotButton="0" quotePrefix="0" xfId="127">
      <alignment vertical="center"/>
    </xf>
    <xf numFmtId="0" fontId="14" fillId="0" borderId="0" applyAlignment="1" applyProtection="1" pivotButton="0" quotePrefix="0" xfId="0">
      <alignment vertical="center"/>
      <protection locked="0" hidden="0"/>
    </xf>
    <xf numFmtId="0" fontId="11" fillId="0" borderId="0" applyAlignment="1" applyProtection="1" pivotButton="0" quotePrefix="0" xfId="0">
      <alignment horizontal="center" vertical="center"/>
      <protection locked="0" hidden="0"/>
    </xf>
    <xf numFmtId="0" fontId="21" fillId="5" borderId="0" applyAlignment="1" pivotButton="0" quotePrefix="0" xfId="0">
      <alignment vertical="center"/>
    </xf>
    <xf numFmtId="0" fontId="2" fillId="8" borderId="0" applyAlignment="1" applyProtection="1" pivotButton="0" quotePrefix="0" xfId="0">
      <alignment vertical="center"/>
      <protection locked="0" hidden="0"/>
    </xf>
    <xf numFmtId="49" fontId="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128">
      <alignment vertical="center"/>
    </xf>
    <xf numFmtId="43" fontId="12" fillId="0" borderId="0" applyAlignment="1" applyProtection="1" pivotButton="0" quotePrefix="0" xfId="260">
      <alignment horizontal="center" vertical="center" shrinkToFit="1"/>
      <protection locked="0" hidden="0"/>
    </xf>
    <xf numFmtId="0" fontId="2" fillId="0" borderId="0" applyAlignment="1" pivotButton="0" quotePrefix="0" xfId="128">
      <alignment vertical="center"/>
    </xf>
    <xf numFmtId="43" fontId="15" fillId="0" borderId="0" applyAlignment="1" applyProtection="1" pivotButton="0" quotePrefix="0" xfId="260">
      <alignment horizontal="center" vertical="center" shrinkToFit="1"/>
      <protection locked="0" hidden="0"/>
    </xf>
    <xf numFmtId="0" fontId="12" fillId="0" borderId="0" applyAlignment="1" pivotButton="0" quotePrefix="0" xfId="0">
      <alignment vertical="center"/>
    </xf>
    <xf numFmtId="0" fontId="5" fillId="2" borderId="1" applyAlignment="1" applyProtection="1" pivotButton="0" quotePrefix="0" xfId="0">
      <alignment horizontal="centerContinuous" vertical="center"/>
      <protection locked="0" hidden="0"/>
    </xf>
    <xf numFmtId="0" fontId="2" fillId="0" borderId="0" applyAlignment="1" applyProtection="1" pivotButton="0" quotePrefix="0" xfId="133">
      <alignment horizontal="left" vertical="center"/>
      <protection locked="0" hidden="0"/>
    </xf>
    <xf numFmtId="0" fontId="12" fillId="0" borderId="0" applyAlignment="1" pivotButton="0" quotePrefix="0" xfId="128">
      <alignment vertical="center"/>
    </xf>
    <xf numFmtId="0" fontId="19" fillId="0" borderId="0" applyAlignment="1" applyProtection="1" pivotButton="0" quotePrefix="0" xfId="133">
      <alignment horizontal="left" vertical="center"/>
      <protection locked="0" hidden="0"/>
    </xf>
    <xf numFmtId="0" fontId="11" fillId="0" borderId="0" applyAlignment="1" applyProtection="1" pivotButton="0" quotePrefix="0" xfId="127">
      <alignment horizontal="center" vertical="center"/>
      <protection locked="0" hidden="0"/>
    </xf>
    <xf numFmtId="0" fontId="12" fillId="8" borderId="0" applyAlignment="1" pivotButton="0" quotePrefix="0" xfId="0">
      <alignment vertical="center"/>
    </xf>
    <xf numFmtId="0" fontId="2" fillId="8" borderId="0" applyAlignment="1" pivotButton="0" quotePrefix="0" xfId="0">
      <alignment vertical="center"/>
    </xf>
    <xf numFmtId="0" fontId="2" fillId="8" borderId="0" applyAlignment="1" pivotButton="0" quotePrefix="0" xfId="128">
      <alignment vertical="center"/>
    </xf>
    <xf numFmtId="0" fontId="18" fillId="0" borderId="0" applyAlignment="1" applyProtection="1" pivotButton="0" quotePrefix="0" xfId="0">
      <alignment vertical="center"/>
      <protection locked="0" hidden="0"/>
    </xf>
    <xf numFmtId="166" fontId="31" fillId="0" borderId="0" applyAlignment="1" pivotButton="0" quotePrefix="0" xfId="122">
      <alignment horizontal="left" vertical="center"/>
    </xf>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0" fontId="11" fillId="0" borderId="0" applyAlignment="1" pivotButton="0" quotePrefix="0" xfId="0">
      <alignment horizontal="center" vertical="center"/>
    </xf>
    <xf numFmtId="0" fontId="2" fillId="6" borderId="0" applyAlignment="1" pivotButton="0" quotePrefix="0" xfId="0">
      <alignment vertical="center"/>
    </xf>
    <xf numFmtId="0" fontId="11" fillId="0" borderId="0" applyAlignment="1" applyProtection="1" pivotButton="0" quotePrefix="0" xfId="0">
      <alignment horizontal="center" vertical="center" shrinkToFit="1"/>
      <protection locked="0" hidden="0"/>
    </xf>
    <xf numFmtId="0" fontId="11" fillId="0" borderId="0" applyAlignment="1" applyProtection="1" pivotButton="0" quotePrefix="0" xfId="127">
      <alignment horizontal="left" vertical="center"/>
      <protection locked="0" hidden="0"/>
    </xf>
    <xf numFmtId="43" fontId="15" fillId="0" borderId="0" applyAlignment="1" pivotButton="0" quotePrefix="0" xfId="0">
      <alignment vertical="center" shrinkToFit="1"/>
    </xf>
    <xf numFmtId="49" fontId="19" fillId="0" borderId="0" applyAlignment="1" applyProtection="1" pivotButton="0" quotePrefix="0" xfId="260">
      <alignment horizontal="center" vertical="center" shrinkToFit="1"/>
      <protection locked="0" hidden="0"/>
    </xf>
    <xf numFmtId="49" fontId="10" fillId="6" borderId="0" applyAlignment="1" applyProtection="1" pivotButton="0" quotePrefix="0" xfId="260">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2" fillId="0" borderId="0" applyAlignment="1" applyProtection="1" pivotButton="0" quotePrefix="0" xfId="1">
      <alignment horizontal="right" vertical="center" shrinkToFit="1"/>
      <protection locked="0" hidden="0"/>
    </xf>
    <xf numFmtId="0" fontId="11" fillId="0" borderId="0" applyAlignment="1" applyProtection="1" pivotButton="0" quotePrefix="0" xfId="260">
      <alignment horizontal="left" vertical="center"/>
      <protection locked="0" hidden="0"/>
    </xf>
    <xf numFmtId="0" fontId="15" fillId="0" borderId="0" applyAlignment="1" applyProtection="1" pivotButton="0" quotePrefix="0" xfId="260">
      <alignment horizontal="center" vertical="center"/>
      <protection locked="0" hidden="0"/>
    </xf>
    <xf numFmtId="0" fontId="12" fillId="6" borderId="0" applyAlignment="1" applyProtection="1" pivotButton="0" quotePrefix="0" xfId="127">
      <alignment vertical="center"/>
      <protection locked="0" hidden="0"/>
    </xf>
    <xf numFmtId="0" fontId="2" fillId="6" borderId="0" applyAlignment="1" applyProtection="1" pivotButton="0" quotePrefix="0" xfId="127">
      <alignment vertical="center"/>
      <protection locked="0" hidden="0"/>
    </xf>
    <xf numFmtId="0" fontId="2" fillId="6" borderId="0" applyAlignment="1" applyProtection="1" pivotButton="0" quotePrefix="0" xfId="127">
      <alignment horizontal="right" vertical="center"/>
      <protection locked="0" hidden="0"/>
    </xf>
    <xf numFmtId="0" fontId="12" fillId="8" borderId="0" applyAlignment="1" applyProtection="1" pivotButton="0" quotePrefix="0" xfId="127">
      <alignment vertical="center"/>
      <protection locked="0" hidden="0"/>
    </xf>
    <xf numFmtId="0" fontId="2" fillId="8" borderId="0" applyAlignment="1" applyProtection="1" pivotButton="0" quotePrefix="0" xfId="127">
      <alignment vertical="center"/>
      <protection locked="0" hidden="0"/>
    </xf>
    <xf numFmtId="0" fontId="2" fillId="8" borderId="0" applyAlignment="1" applyProtection="1" pivotButton="0" quotePrefix="0" xfId="127">
      <alignment horizontal="right" vertical="center"/>
      <protection locked="0" hidden="0"/>
    </xf>
    <xf numFmtId="0" fontId="12" fillId="8" borderId="0" applyAlignment="1" pivotButton="0" quotePrefix="0" xfId="127">
      <alignment vertical="center"/>
    </xf>
    <xf numFmtId="0" fontId="2" fillId="8" borderId="0" applyAlignment="1" pivotButton="0" quotePrefix="0" xfId="127">
      <alignment vertical="center"/>
    </xf>
    <xf numFmtId="0" fontId="7" fillId="3" borderId="15" applyAlignment="1" applyProtection="1" pivotButton="0" quotePrefix="0" xfId="0">
      <alignment horizontal="centerContinuous" vertical="center"/>
      <protection locked="0" hidden="0"/>
    </xf>
    <xf numFmtId="0" fontId="7" fillId="3" borderId="11" applyAlignment="1" applyProtection="1" pivotButton="0" quotePrefix="0" xfId="0">
      <alignment horizontal="centerContinuous" vertical="center"/>
      <protection locked="0" hidden="0"/>
    </xf>
    <xf numFmtId="0" fontId="6" fillId="2" borderId="11" applyAlignment="1" applyProtection="1" pivotButton="0" quotePrefix="0" xfId="0">
      <alignment horizontal="centerContinuous" vertical="center"/>
      <protection locked="0" hidden="0"/>
    </xf>
    <xf numFmtId="0" fontId="2" fillId="0" borderId="0" applyAlignment="1" pivotButton="0" quotePrefix="0" xfId="0">
      <alignment horizontal="left" vertical="center"/>
    </xf>
    <xf numFmtId="0" fontId="15" fillId="0" borderId="0" applyAlignment="1" applyProtection="1" pivotButton="0" quotePrefix="0" xfId="0">
      <alignment horizontal="left" vertical="center"/>
      <protection locked="0" hidden="0"/>
    </xf>
    <xf numFmtId="0" fontId="15" fillId="0" borderId="0" applyAlignment="1" pivotButton="0" quotePrefix="0" xfId="0">
      <alignment horizontal="left" vertical="center"/>
    </xf>
    <xf numFmtId="0" fontId="2" fillId="0" borderId="1" applyAlignment="1" pivotButton="0" quotePrefix="0" xfId="0">
      <alignment vertical="center"/>
    </xf>
    <xf numFmtId="0" fontId="2" fillId="0" borderId="3" applyAlignment="1" pivotButton="0" quotePrefix="0" xfId="0">
      <alignment vertical="center"/>
    </xf>
    <xf numFmtId="0" fontId="2" fillId="0" borderId="1" applyAlignment="1" applyProtection="1" pivotButton="0" quotePrefix="0" xfId="0">
      <alignment vertical="center"/>
      <protection locked="0" hidden="0"/>
    </xf>
    <xf numFmtId="0" fontId="16" fillId="0" borderId="0" applyAlignment="1" pivotButton="0" quotePrefix="0" xfId="0">
      <alignment vertical="center"/>
    </xf>
    <xf numFmtId="0" fontId="15" fillId="0" borderId="0" applyAlignment="1" pivotButton="0" quotePrefix="0" xfId="0">
      <alignment vertical="center"/>
    </xf>
    <xf numFmtId="0" fontId="14" fillId="0" borderId="0" applyAlignment="1" pivotButton="0" quotePrefix="0" xfId="0">
      <alignment vertical="center"/>
    </xf>
    <xf numFmtId="0" fontId="11" fillId="0" borderId="0" applyAlignment="1" pivotButton="0" quotePrefix="0" xfId="0">
      <alignment vertical="center"/>
    </xf>
    <xf numFmtId="168" fontId="2" fillId="0" borderId="0" applyAlignment="1" pivotButton="0" quotePrefix="0" xfId="0">
      <alignment vertical="center"/>
    </xf>
    <xf numFmtId="0" fontId="13" fillId="0" borderId="0" applyAlignment="1" pivotButton="0" quotePrefix="0" xfId="0">
      <alignment vertical="center"/>
    </xf>
    <xf numFmtId="0" fontId="15" fillId="8" borderId="0" applyAlignment="1" pivotButton="0" quotePrefix="0" xfId="0">
      <alignment vertical="center"/>
    </xf>
    <xf numFmtId="41" fontId="15" fillId="12" borderId="0" applyAlignment="1" pivotButton="0" quotePrefix="0" xfId="0">
      <alignment vertical="center"/>
    </xf>
    <xf numFmtId="0" fontId="15" fillId="0" borderId="0" applyAlignment="1" applyProtection="1" pivotButton="0" quotePrefix="0" xfId="0">
      <alignment vertical="center"/>
      <protection locked="0" hidden="0"/>
    </xf>
    <xf numFmtId="0" fontId="15" fillId="0" borderId="0" applyAlignment="1" applyProtection="1" pivotButton="0" quotePrefix="0" xfId="133">
      <alignment vertical="center"/>
      <protection locked="0" hidden="0"/>
    </xf>
    <xf numFmtId="0" fontId="2" fillId="6" borderId="0" applyAlignment="1" applyProtection="1" pivotButton="0" quotePrefix="0" xfId="0">
      <alignment vertical="center"/>
      <protection locked="0" hidden="0"/>
    </xf>
    <xf numFmtId="0" fontId="14" fillId="6" borderId="0" applyAlignment="1" applyProtection="1" pivotButton="0" quotePrefix="0" xfId="0">
      <alignment vertical="center"/>
      <protection locked="0" hidden="0"/>
    </xf>
    <xf numFmtId="0" fontId="11" fillId="6" borderId="0" applyAlignment="1" applyProtection="1" pivotButton="0" quotePrefix="0" xfId="0">
      <alignment horizontal="center" vertical="center"/>
      <protection locked="0" hidden="0"/>
    </xf>
    <xf numFmtId="0" fontId="5" fillId="2" borderId="14" applyAlignment="1" applyProtection="1" pivotButton="0" quotePrefix="0" xfId="0">
      <alignment horizontal="centerContinuous" vertical="center"/>
      <protection locked="0" hidden="0"/>
    </xf>
    <xf numFmtId="0" fontId="11" fillId="0" borderId="0" applyAlignment="1" applyProtection="1" pivotButton="0" quotePrefix="0" xfId="52">
      <alignment horizontal="left" vertical="center"/>
      <protection locked="0" hidden="0"/>
    </xf>
    <xf numFmtId="0" fontId="6" fillId="2" borderId="1" applyAlignment="1" applyProtection="1" pivotButton="0" quotePrefix="0" xfId="315">
      <alignment horizontal="centerContinuous" vertical="center"/>
      <protection locked="0" hidden="0"/>
    </xf>
    <xf numFmtId="0" fontId="7" fillId="3" borderId="1" applyAlignment="1" applyProtection="1" pivotButton="0" quotePrefix="0" xfId="315">
      <alignment horizontal="centerContinuous" vertical="center"/>
      <protection locked="0" hidden="0"/>
    </xf>
    <xf numFmtId="0" fontId="7" fillId="3" borderId="5" applyAlignment="1" applyProtection="1" pivotButton="0" quotePrefix="0" xfId="315">
      <alignment horizontal="centerContinuous" vertical="center"/>
      <protection locked="0" hidden="0"/>
    </xf>
    <xf numFmtId="0" fontId="2" fillId="6" borderId="0" applyAlignment="1" applyProtection="1" pivotButton="0" quotePrefix="0" xfId="315">
      <alignment vertical="center"/>
      <protection locked="0" hidden="0"/>
    </xf>
    <xf numFmtId="0" fontId="2" fillId="8" borderId="0" applyAlignment="1" applyProtection="1" pivotButton="0" quotePrefix="0" xfId="315">
      <alignment vertical="center"/>
      <protection locked="0" hidden="0"/>
    </xf>
    <xf numFmtId="0" fontId="116" fillId="6" borderId="0" applyAlignment="1" applyProtection="1" pivotButton="0" quotePrefix="0" xfId="158">
      <alignment horizontal="left" vertical="center"/>
      <protection locked="0" hidden="0"/>
    </xf>
    <xf numFmtId="0" fontId="2" fillId="0" borderId="11" applyAlignment="1" pivotButton="0" quotePrefix="0" xfId="0">
      <alignment vertical="center"/>
    </xf>
    <xf numFmtId="0" fontId="2" fillId="0" borderId="3" applyAlignment="1" applyProtection="1" pivotButton="0" quotePrefix="0" xfId="0">
      <alignment vertical="center"/>
      <protection locked="0" hidden="0"/>
    </xf>
    <xf numFmtId="0" fontId="2" fillId="0" borderId="24" applyAlignment="1" pivotButton="0" quotePrefix="0" xfId="0">
      <alignment vertical="center"/>
    </xf>
    <xf numFmtId="0" fontId="2" fillId="0" borderId="25" applyAlignment="1" pivotButton="0" quotePrefix="0" xfId="0">
      <alignment vertical="center"/>
    </xf>
    <xf numFmtId="0" fontId="18" fillId="8" borderId="0" applyAlignment="1" applyProtection="1" pivotButton="0" quotePrefix="0" xfId="315">
      <alignment vertical="center"/>
      <protection locked="0" hidden="0"/>
    </xf>
    <xf numFmtId="0" fontId="5" fillId="2" borderId="1" applyAlignment="1" applyProtection="1" pivotButton="0" quotePrefix="0" xfId="315">
      <alignment horizontal="centerContinuous" vertical="center"/>
      <protection locked="0" hidden="0"/>
    </xf>
    <xf numFmtId="0" fontId="2" fillId="0" borderId="0" applyAlignment="1" applyProtection="1" pivotButton="0" quotePrefix="0" xfId="247">
      <alignment vertical="center"/>
      <protection locked="0" hidden="0"/>
    </xf>
    <xf numFmtId="0" fontId="14" fillId="0" borderId="0" applyAlignment="1" applyProtection="1" pivotButton="0" quotePrefix="0" xfId="247">
      <alignment horizontal="left" vertical="center"/>
      <protection locked="0" hidden="0"/>
    </xf>
    <xf numFmtId="0" fontId="14" fillId="8" borderId="0" applyAlignment="1" applyProtection="1" pivotButton="0" quotePrefix="0" xfId="247">
      <alignment vertical="center"/>
      <protection locked="0" hidden="0"/>
    </xf>
    <xf numFmtId="0" fontId="14" fillId="0" borderId="0" applyAlignment="1" applyProtection="1" pivotButton="0" quotePrefix="0" xfId="247">
      <alignment vertical="center"/>
      <protection locked="0" hidden="0"/>
    </xf>
    <xf numFmtId="0" fontId="2" fillId="0" borderId="0" applyAlignment="1" applyProtection="1" pivotButton="0" quotePrefix="0" xfId="247">
      <alignment horizontal="left" vertical="center"/>
      <protection locked="0" hidden="0"/>
    </xf>
    <xf numFmtId="0" fontId="2" fillId="0" borderId="0" applyAlignment="1" pivotButton="0" quotePrefix="0" xfId="247">
      <alignment vertical="center"/>
    </xf>
    <xf numFmtId="0" fontId="2" fillId="8" borderId="0" applyAlignment="1" applyProtection="1" pivotButton="0" quotePrefix="0" xfId="247">
      <alignment vertical="center"/>
      <protection locked="0" hidden="0"/>
    </xf>
    <xf numFmtId="0" fontId="12" fillId="0" borderId="0" applyAlignment="1" applyProtection="1" pivotButton="0" quotePrefix="0" xfId="138">
      <alignment vertical="center"/>
      <protection locked="0" hidden="0"/>
    </xf>
    <xf numFmtId="0" fontId="2" fillId="0" borderId="0" applyAlignment="1" applyProtection="1" pivotButton="0" quotePrefix="0" xfId="138">
      <alignment horizontal="right" vertical="center"/>
      <protection locked="0" hidden="0"/>
    </xf>
    <xf numFmtId="0" fontId="2" fillId="0" borderId="0" applyAlignment="1" applyProtection="1" pivotButton="0" quotePrefix="0" xfId="138">
      <alignment horizontal="left" vertical="center" wrapText="1"/>
      <protection locked="0" hidden="0"/>
    </xf>
    <xf numFmtId="0" fontId="2" fillId="6" borderId="0" applyAlignment="1" applyProtection="1" pivotButton="0" quotePrefix="0" xfId="138">
      <alignment vertical="center"/>
      <protection locked="0" hidden="0"/>
    </xf>
    <xf numFmtId="0" fontId="2" fillId="0" borderId="0" applyAlignment="1" applyProtection="1" pivotButton="0" quotePrefix="0" xfId="138">
      <alignment vertical="center"/>
      <protection locked="0" hidden="0"/>
    </xf>
    <xf numFmtId="0" fontId="13" fillId="0" borderId="0" applyAlignment="1" pivotButton="0" quotePrefix="0" xfId="128">
      <alignment horizontal="left" vertical="center"/>
    </xf>
    <xf numFmtId="0" fontId="10" fillId="5" borderId="0" applyAlignment="1" applyProtection="1" pivotButton="0" quotePrefix="0" xfId="128">
      <alignment vertical="center"/>
      <protection locked="0" hidden="0"/>
    </xf>
    <xf numFmtId="0" fontId="24" fillId="0" borderId="0" applyAlignment="1" applyProtection="1" pivotButton="0" quotePrefix="0" xfId="128">
      <alignment horizontal="center" vertical="center"/>
      <protection locked="0" hidden="0"/>
    </xf>
    <xf numFmtId="0" fontId="10" fillId="0" borderId="0" applyAlignment="1" applyProtection="1" pivotButton="0" quotePrefix="0" xfId="128">
      <alignment horizontal="center" vertical="center"/>
      <protection locked="0" hidden="0"/>
    </xf>
    <xf numFmtId="0" fontId="18" fillId="0" borderId="0" applyAlignment="1" applyProtection="1" pivotButton="0" quotePrefix="0" xfId="128">
      <alignment horizontal="right" vertical="center"/>
      <protection locked="0" hidden="0"/>
    </xf>
    <xf numFmtId="0" fontId="12" fillId="0" borderId="0" applyAlignment="1" applyProtection="1" pivotButton="0" quotePrefix="0" xfId="128">
      <alignment horizontal="center" vertical="center"/>
      <protection locked="0" hidden="0"/>
    </xf>
    <xf numFmtId="0" fontId="13" fillId="0" borderId="0" applyAlignment="1" applyProtection="1" pivotButton="0" quotePrefix="0" xfId="128">
      <alignment horizontal="center" vertical="center"/>
      <protection locked="0" hidden="0"/>
    </xf>
    <xf numFmtId="0" fontId="12" fillId="5" borderId="0" applyAlignment="1" applyProtection="1" pivotButton="0" quotePrefix="0" xfId="128">
      <alignment vertical="center"/>
      <protection locked="0" hidden="0"/>
    </xf>
    <xf numFmtId="0" fontId="10" fillId="0" borderId="0" applyAlignment="1" applyProtection="1" pivotButton="0" quotePrefix="0" xfId="128">
      <alignment vertical="center"/>
      <protection locked="0" hidden="0"/>
    </xf>
    <xf numFmtId="43" fontId="10" fillId="0" borderId="0" pivotButton="0" quotePrefix="0" xfId="128"/>
    <xf numFmtId="0" fontId="12" fillId="6" borderId="0" applyAlignment="1" applyProtection="1" pivotButton="0" quotePrefix="0" xfId="138">
      <alignment vertical="center"/>
      <protection locked="0" hidden="0"/>
    </xf>
    <xf numFmtId="0" fontId="19" fillId="10" borderId="0" applyAlignment="1" pivotButton="0" quotePrefix="0" xfId="128">
      <alignment vertical="center"/>
    </xf>
    <xf numFmtId="0" fontId="17" fillId="10" borderId="0" applyAlignment="1" pivotButton="0" quotePrefix="0" xfId="128">
      <alignment vertical="center"/>
    </xf>
    <xf numFmtId="0" fontId="13" fillId="0" borderId="0" applyAlignment="1" applyProtection="1" pivotButton="0" quotePrefix="0" xfId="128">
      <alignment vertical="center"/>
      <protection locked="0" hidden="0"/>
    </xf>
    <xf numFmtId="0" fontId="11" fillId="0" borderId="0" applyAlignment="1" applyProtection="1" pivotButton="0" quotePrefix="0" xfId="128">
      <alignment horizontal="center" vertical="center"/>
      <protection locked="0" hidden="0"/>
    </xf>
    <xf numFmtId="0" fontId="2" fillId="6" borderId="0" applyAlignment="1" applyProtection="1" pivotButton="0" quotePrefix="0" xfId="138">
      <alignment horizontal="right" vertical="center"/>
      <protection locked="0" hidden="0"/>
    </xf>
    <xf numFmtId="0" fontId="2" fillId="0" borderId="0" applyAlignment="1" pivotButton="0" quotePrefix="0" xfId="0">
      <alignment vertical="top" wrapText="1"/>
    </xf>
    <xf numFmtId="0" fontId="122" fillId="7" borderId="0" pivotButton="0" quotePrefix="0" xfId="0"/>
    <xf numFmtId="0" fontId="62" fillId="4" borderId="13" applyAlignment="1" pivotButton="0" quotePrefix="0" xfId="0">
      <alignment vertical="center"/>
    </xf>
    <xf numFmtId="0" fontId="9" fillId="0" borderId="0" pivotButton="0" quotePrefix="0" xfId="371"/>
    <xf numFmtId="0" fontId="2" fillId="0" borderId="0" applyAlignment="1" applyProtection="1" pivotButton="0" quotePrefix="0" xfId="247">
      <alignment horizontal="center" vertical="center"/>
      <protection locked="0" hidden="0"/>
    </xf>
    <xf numFmtId="0" fontId="2" fillId="6" borderId="0" applyAlignment="1" applyProtection="1" pivotButton="0" quotePrefix="0" xfId="138">
      <alignment horizontal="center" vertical="center" wrapText="1"/>
      <protection locked="0" hidden="0"/>
    </xf>
    <xf numFmtId="0" fontId="18" fillId="0" borderId="0" applyAlignment="1" applyProtection="1" pivotButton="0" quotePrefix="0" xfId="128">
      <alignment horizontal="center" vertical="center"/>
      <protection locked="0" hidden="0"/>
    </xf>
    <xf numFmtId="0" fontId="2" fillId="0" borderId="0" applyAlignment="1" applyProtection="1" pivotButton="0" quotePrefix="0" xfId="138">
      <alignment horizontal="center" vertical="center"/>
      <protection locked="0" hidden="0"/>
    </xf>
    <xf numFmtId="0" fontId="2" fillId="6" borderId="0" applyAlignment="1" applyProtection="1" pivotButton="0" quotePrefix="0" xfId="138">
      <alignment horizontal="center" vertical="center"/>
      <protection locked="0" hidden="0"/>
    </xf>
    <xf numFmtId="0" fontId="2" fillId="8" borderId="0" applyAlignment="1" applyProtection="1" pivotButton="0" quotePrefix="0" xfId="247">
      <alignment horizontal="center" vertical="center"/>
      <protection locked="0" hidden="0"/>
    </xf>
    <xf numFmtId="49" fontId="10" fillId="0" borderId="0" applyAlignment="1" applyProtection="1" pivotButton="0" quotePrefix="0" xfId="128">
      <alignment horizontal="right"/>
      <protection locked="0" hidden="0"/>
    </xf>
    <xf numFmtId="49" fontId="10" fillId="0" borderId="0" applyAlignment="1" applyProtection="1" pivotButton="0" quotePrefix="0" xfId="128">
      <alignment horizontal="center"/>
      <protection locked="0" hidden="0"/>
    </xf>
    <xf numFmtId="49" fontId="14" fillId="7" borderId="30" applyAlignment="1" applyProtection="1" pivotButton="0" quotePrefix="0" xfId="153">
      <alignment horizontal="center" vertical="center" wrapText="1"/>
      <protection locked="0" hidden="0"/>
    </xf>
    <xf numFmtId="0" fontId="14" fillId="7" borderId="30" applyAlignment="1" applyProtection="1" pivotButton="0" quotePrefix="0" xfId="153">
      <alignment horizontal="center" vertical="center" wrapText="1"/>
      <protection locked="0" hidden="0"/>
    </xf>
    <xf numFmtId="0" fontId="14" fillId="7" borderId="32" applyAlignment="1" applyProtection="1" pivotButton="0" quotePrefix="0" xfId="153">
      <alignment horizontal="center" vertical="center" wrapText="1"/>
      <protection locked="0" hidden="0"/>
    </xf>
    <xf numFmtId="0" fontId="16" fillId="7" borderId="30" applyAlignment="1" applyProtection="1" pivotButton="0" quotePrefix="0" xfId="0">
      <alignment horizontal="centerContinuous" vertical="center" wrapText="1"/>
      <protection locked="0" hidden="0"/>
    </xf>
    <xf numFmtId="0" fontId="16" fillId="7" borderId="1" applyAlignment="1" applyProtection="1" pivotButton="0" quotePrefix="0" xfId="0">
      <alignment vertical="center"/>
      <protection locked="0" hidden="0"/>
    </xf>
    <xf numFmtId="0" fontId="11" fillId="7" borderId="1" applyAlignment="1" applyProtection="1" pivotButton="0" quotePrefix="0" xfId="0">
      <alignment vertical="center"/>
      <protection locked="0" hidden="0"/>
    </xf>
    <xf numFmtId="0" fontId="11" fillId="7" borderId="5" applyAlignment="1" applyProtection="1" pivotButton="0" quotePrefix="0" xfId="0">
      <alignment vertical="center"/>
      <protection locked="0" hidden="0"/>
    </xf>
    <xf numFmtId="0" fontId="2" fillId="0" borderId="37" applyAlignment="1" pivotButton="0" quotePrefix="0" xfId="0">
      <alignment vertical="center"/>
    </xf>
    <xf numFmtId="0" fontId="2" fillId="0" borderId="38" applyAlignment="1" pivotButton="0" quotePrefix="0" xfId="0">
      <alignment vertical="center"/>
    </xf>
    <xf numFmtId="0" fontId="2" fillId="0" borderId="38" applyAlignment="1" applyProtection="1" pivotButton="0" quotePrefix="0" xfId="0">
      <alignment vertical="center"/>
      <protection locked="0" hidden="0"/>
    </xf>
    <xf numFmtId="9" fontId="11" fillId="0" borderId="0" applyAlignment="1" pivotButton="0" quotePrefix="0" xfId="0">
      <alignment horizontal="center" vertical="center" shrinkToFit="1"/>
    </xf>
    <xf numFmtId="43" fontId="15" fillId="0" borderId="0" applyAlignment="1" applyProtection="1" pivotButton="0" quotePrefix="0" xfId="266">
      <alignment horizontal="center" vertical="center" shrinkToFit="1"/>
      <protection locked="0" hidden="0"/>
    </xf>
    <xf numFmtId="43" fontId="15" fillId="0" borderId="0" applyAlignment="1" applyProtection="1" pivotButton="0" quotePrefix="0" xfId="260">
      <alignment horizontal="right" vertical="center" shrinkToFit="1"/>
      <protection locked="0" hidden="0"/>
    </xf>
    <xf numFmtId="10" fontId="2" fillId="0" borderId="0" applyAlignment="1" applyProtection="1" pivotButton="0" quotePrefix="0" xfId="260">
      <alignment horizontal="right" vertical="center" shrinkToFit="1"/>
      <protection locked="0" hidden="0"/>
    </xf>
    <xf numFmtId="0" fontId="14" fillId="0" borderId="46" applyAlignment="1" pivotButton="0" quotePrefix="0" xfId="0">
      <alignment vertical="center"/>
    </xf>
    <xf numFmtId="0" fontId="14" fillId="0" borderId="61" applyAlignment="1" pivotButton="0" quotePrefix="0" xfId="0">
      <alignment horizontal="center" vertical="center"/>
    </xf>
    <xf numFmtId="0" fontId="14" fillId="0" borderId="47" applyAlignment="1" pivotButton="0" quotePrefix="0" xfId="0">
      <alignment horizontal="center" vertical="center"/>
    </xf>
    <xf numFmtId="0" fontId="10" fillId="0" borderId="62" applyAlignment="1" pivotButton="0" quotePrefix="0" xfId="0">
      <alignment horizontal="left" vertical="center" wrapText="1"/>
    </xf>
    <xf numFmtId="169" fontId="2" fillId="0" borderId="0" applyAlignment="1" applyProtection="1" pivotButton="0" quotePrefix="0" xfId="1">
      <alignment horizontal="right" vertical="center" shrinkToFit="1"/>
      <protection locked="0" hidden="0"/>
    </xf>
    <xf numFmtId="0" fontId="129" fillId="6" borderId="0" applyAlignment="1" applyProtection="1" pivotButton="0" quotePrefix="0" xfId="158">
      <alignment horizontal="left" vertical="center"/>
      <protection locked="0" hidden="0"/>
    </xf>
    <xf numFmtId="169" fontId="2" fillId="0" borderId="53" applyAlignment="1" pivotButton="0" quotePrefix="0" xfId="0">
      <alignment vertical="center"/>
    </xf>
    <xf numFmtId="169" fontId="2" fillId="0" borderId="48" applyAlignment="1" pivotButton="0" quotePrefix="0" xfId="0">
      <alignment vertical="center"/>
    </xf>
    <xf numFmtId="0" fontId="16" fillId="7" borderId="3" applyAlignment="1" applyProtection="1" pivotButton="0" quotePrefix="0" xfId="247">
      <alignment vertical="center"/>
      <protection locked="0" hidden="0"/>
    </xf>
    <xf numFmtId="0" fontId="14" fillId="7" borderId="3" applyAlignment="1" applyProtection="1" pivotButton="0" quotePrefix="0" xfId="247">
      <alignment vertical="center"/>
      <protection locked="0" hidden="0"/>
    </xf>
    <xf numFmtId="0" fontId="2" fillId="7" borderId="3" applyAlignment="1" applyProtection="1" pivotButton="0" quotePrefix="0" xfId="247">
      <alignment vertical="center"/>
      <protection locked="0" hidden="0"/>
    </xf>
    <xf numFmtId="0" fontId="11" fillId="7" borderId="3" applyAlignment="1" applyProtection="1" pivotButton="0" quotePrefix="0" xfId="247">
      <alignment horizontal="center" vertical="center"/>
      <protection locked="0" hidden="0"/>
    </xf>
    <xf numFmtId="169" fontId="10" fillId="0" borderId="0" applyAlignment="1" applyProtection="1" pivotButton="0" quotePrefix="0" xfId="143">
      <alignment horizontal="right" vertical="center" wrapText="1"/>
      <protection locked="0" hidden="0"/>
    </xf>
    <xf numFmtId="0" fontId="16" fillId="7" borderId="3" applyAlignment="1" applyProtection="1" pivotButton="0" quotePrefix="0" xfId="0">
      <alignment vertical="center"/>
      <protection locked="0" hidden="0"/>
    </xf>
    <xf numFmtId="0" fontId="14" fillId="9" borderId="5" applyAlignment="1" applyProtection="1" pivotButton="0" quotePrefix="0" xfId="0">
      <alignment vertical="center" wrapText="1"/>
      <protection locked="0" hidden="0"/>
    </xf>
    <xf numFmtId="0" fontId="14" fillId="9" borderId="5" applyAlignment="1" applyProtection="1" pivotButton="0" quotePrefix="0" xfId="0">
      <alignment horizontal="left" vertical="center" wrapText="1"/>
      <protection locked="0" hidden="0"/>
    </xf>
    <xf numFmtId="0" fontId="14" fillId="0" borderId="5" applyAlignment="1" applyProtection="1" pivotButton="0" quotePrefix="0" xfId="0">
      <alignment vertical="center" wrapText="1"/>
      <protection locked="0" hidden="0"/>
    </xf>
    <xf numFmtId="0" fontId="14" fillId="9" borderId="58"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0" fontId="14" fillId="0" borderId="56" applyAlignment="1" applyProtection="1" pivotButton="0" quotePrefix="0" xfId="0">
      <alignment horizontal="left" vertical="center" wrapText="1"/>
      <protection locked="0" hidden="0"/>
    </xf>
    <xf numFmtId="0" fontId="19" fillId="7" borderId="69" applyAlignment="1" pivotButton="0" quotePrefix="0" xfId="0">
      <alignment vertical="center"/>
    </xf>
    <xf numFmtId="0" fontId="19" fillId="7" borderId="25" applyAlignment="1" pivotButton="0" quotePrefix="0" xfId="0">
      <alignment vertical="center"/>
    </xf>
    <xf numFmtId="0" fontId="19" fillId="7" borderId="68" applyAlignment="1" pivotButton="0" quotePrefix="0" xfId="0">
      <alignment vertical="center"/>
    </xf>
    <xf numFmtId="0" fontId="14" fillId="7" borderId="46" applyAlignment="1" applyProtection="1" pivotButton="0" quotePrefix="0" xfId="0">
      <alignment horizontal="left" wrapText="1"/>
      <protection locked="0" hidden="0"/>
    </xf>
    <xf numFmtId="0" fontId="14" fillId="7" borderId="47" applyAlignment="1" applyProtection="1" pivotButton="0" quotePrefix="0" xfId="0">
      <alignment horizontal="left" wrapText="1"/>
      <protection locked="0" hidden="0"/>
    </xf>
    <xf numFmtId="0" fontId="14" fillId="7" borderId="46" applyAlignment="1" applyProtection="1" pivotButton="0" quotePrefix="0" xfId="0">
      <alignment horizontal="center" vertical="center" wrapText="1"/>
      <protection locked="0" hidden="0"/>
    </xf>
    <xf numFmtId="0" fontId="14" fillId="7" borderId="65" applyAlignment="1" applyProtection="1" pivotButton="0" quotePrefix="0" xfId="0">
      <alignment horizontal="center" vertical="center" wrapText="1"/>
      <protection locked="0" hidden="0"/>
    </xf>
    <xf numFmtId="0" fontId="14" fillId="7" borderId="60" applyAlignment="1" pivotButton="0" quotePrefix="0" xfId="127">
      <alignment horizontal="center" vertical="center"/>
    </xf>
    <xf numFmtId="0" fontId="14" fillId="7" borderId="66" applyAlignment="1" applyProtection="1" pivotButton="0" quotePrefix="0" xfId="0">
      <alignment horizontal="center" vertical="center" wrapText="1"/>
      <protection locked="0" hidden="0"/>
    </xf>
    <xf numFmtId="0" fontId="14" fillId="7" borderId="61" applyAlignment="1" applyProtection="1" pivotButton="0" quotePrefix="0" xfId="0">
      <alignment horizontal="center" vertical="center" wrapText="1"/>
      <protection locked="0" hidden="0"/>
    </xf>
    <xf numFmtId="0" fontId="14" fillId="7" borderId="47" applyAlignment="1" pivotButton="0" quotePrefix="0" xfId="127">
      <alignment horizontal="center" vertical="center"/>
    </xf>
    <xf numFmtId="0" fontId="16" fillId="7" borderId="61" applyAlignment="1" pivotButton="0" quotePrefix="0" xfId="0">
      <alignment horizontal="center" vertical="center" wrapText="1"/>
    </xf>
    <xf numFmtId="0" fontId="14" fillId="7" borderId="52" applyAlignment="1" applyProtection="1" pivotButton="0" quotePrefix="0" xfId="0">
      <alignment horizontal="center" vertical="center" wrapText="1"/>
      <protection locked="0" hidden="0"/>
    </xf>
    <xf numFmtId="0" fontId="14" fillId="7" borderId="60" applyAlignment="1" applyProtection="1" pivotButton="0" quotePrefix="0" xfId="0">
      <alignment horizontal="center" vertical="center" wrapText="1"/>
      <protection locked="0" hidden="0"/>
    </xf>
    <xf numFmtId="0" fontId="14" fillId="7" borderId="47" applyAlignment="1" applyProtection="1" pivotButton="0" quotePrefix="0" xfId="0">
      <alignment horizontal="center" vertical="center" wrapText="1"/>
      <protection locked="0" hidden="0"/>
    </xf>
    <xf numFmtId="0" fontId="14" fillId="7" borderId="65" applyAlignment="1" applyProtection="1" pivotButton="0" quotePrefix="0" xfId="0">
      <alignment horizontal="left" vertical="center"/>
      <protection locked="0" hidden="0"/>
    </xf>
    <xf numFmtId="0" fontId="14" fillId="7" borderId="36" applyAlignment="1" applyProtection="1" pivotButton="0" quotePrefix="0" xfId="0">
      <alignment horizontal="left" vertical="center"/>
      <protection locked="0" hidden="0"/>
    </xf>
    <xf numFmtId="0" fontId="16" fillId="7" borderId="46" applyAlignment="1" pivotButton="0" quotePrefix="0" xfId="0">
      <alignment horizontal="center" vertical="center"/>
    </xf>
    <xf numFmtId="0" fontId="16" fillId="7" borderId="61" applyAlignment="1" pivotButton="0" quotePrefix="0" xfId="0">
      <alignment horizontal="center" vertical="center"/>
    </xf>
    <xf numFmtId="0" fontId="16" fillId="7" borderId="65" applyAlignment="1" pivotButton="0" quotePrefix="0" xfId="0">
      <alignment horizontal="center" vertical="center" wrapText="1"/>
    </xf>
    <xf numFmtId="0" fontId="19" fillId="7" borderId="65" applyAlignment="1" pivotButton="0" quotePrefix="0" xfId="0">
      <alignment horizontal="center" vertical="center" wrapText="1"/>
    </xf>
    <xf numFmtId="0" fontId="16" fillId="7" borderId="47" applyAlignment="1" pivotButton="0" quotePrefix="0" xfId="0">
      <alignment horizontal="center" vertical="center"/>
    </xf>
    <xf numFmtId="0" fontId="19" fillId="7" borderId="61" applyAlignment="1" pivotButton="0" quotePrefix="0" xfId="0">
      <alignment horizontal="center" vertical="center" wrapText="1"/>
    </xf>
    <xf numFmtId="0" fontId="11" fillId="0" borderId="71" applyAlignment="1" pivotButton="0" quotePrefix="0" xfId="0">
      <alignment horizontal="center" vertical="center"/>
    </xf>
    <xf numFmtId="0" fontId="29" fillId="0" borderId="71" applyAlignment="1" pivotButton="0" quotePrefix="0" xfId="0">
      <alignment horizontal="center" vertical="center"/>
    </xf>
    <xf numFmtId="0" fontId="11" fillId="0" borderId="71" applyAlignment="1" applyProtection="1" pivotButton="0" quotePrefix="0" xfId="0">
      <alignment horizontal="center" vertical="center"/>
      <protection locked="0" hidden="0"/>
    </xf>
    <xf numFmtId="0" fontId="30" fillId="0" borderId="71" applyAlignment="1" pivotButton="0" quotePrefix="0" xfId="0">
      <alignment horizontal="center" vertical="center"/>
    </xf>
    <xf numFmtId="0" fontId="2" fillId="0" borderId="71" applyAlignment="1" pivotButton="0" quotePrefix="0" xfId="0">
      <alignment vertical="center"/>
    </xf>
    <xf numFmtId="0" fontId="2" fillId="0" borderId="71" applyAlignment="1" applyProtection="1" pivotButton="0" quotePrefix="0" xfId="0">
      <alignment vertical="center" wrapText="1"/>
      <protection locked="0" hidden="0"/>
    </xf>
    <xf numFmtId="0" fontId="14" fillId="9" borderId="71" applyAlignment="1" applyProtection="1" pivotButton="0" quotePrefix="0" xfId="0">
      <alignment vertical="center" wrapText="1"/>
      <protection locked="0" hidden="0"/>
    </xf>
    <xf numFmtId="0" fontId="14" fillId="0" borderId="71" applyAlignment="1" applyProtection="1" pivotButton="0" quotePrefix="0" xfId="0">
      <alignment vertical="center" wrapTex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169" fontId="17" fillId="0" borderId="72" applyAlignment="1" pivotButton="0" quotePrefix="0" xfId="253">
      <alignment horizontal="right" vertical="center"/>
    </xf>
    <xf numFmtId="0" fontId="14" fillId="9" borderId="73" applyAlignment="1" applyProtection="1" pivotButton="0" quotePrefix="0" xfId="0">
      <alignment vertical="center" wrapText="1"/>
      <protection locked="0" hidden="0"/>
    </xf>
    <xf numFmtId="170" fontId="14" fillId="9" borderId="73" applyAlignment="1" applyProtection="1" pivotButton="0" quotePrefix="0" xfId="0">
      <alignment horizontal="right" vertical="center" wrapText="1"/>
      <protection locked="0" hidden="0"/>
    </xf>
    <xf numFmtId="0" fontId="26" fillId="11" borderId="74" applyAlignment="1" applyProtection="1" pivotButton="0" quotePrefix="0" xfId="0">
      <alignment vertical="center"/>
      <protection locked="0" hidden="0"/>
    </xf>
    <xf numFmtId="0" fontId="2" fillId="0" borderId="74" applyAlignment="1" pivotButton="0" quotePrefix="0" xfId="0">
      <alignment vertical="center"/>
    </xf>
    <xf numFmtId="0" fontId="15" fillId="0" borderId="74" applyAlignment="1" pivotButton="0" quotePrefix="0" xfId="124">
      <alignment vertical="center"/>
    </xf>
    <xf numFmtId="0" fontId="14" fillId="0" borderId="75" applyAlignment="1" pivotButton="0" quotePrefix="0" xfId="0">
      <alignment vertical="center"/>
    </xf>
    <xf numFmtId="0" fontId="16" fillId="7" borderId="74" applyAlignment="1" applyProtection="1" pivotButton="0" quotePrefix="0" xfId="0">
      <alignment vertical="center"/>
      <protection locked="0" hidden="0"/>
    </xf>
    <xf numFmtId="0" fontId="5" fillId="2" borderId="74" applyAlignment="1" applyProtection="1" pivotButton="0" quotePrefix="0" xfId="0">
      <alignment horizontal="centerContinuous" vertical="center"/>
      <protection locked="0" hidden="0"/>
    </xf>
    <xf numFmtId="0" fontId="8" fillId="4" borderId="74" applyAlignment="1" applyProtection="1" pivotButton="0" quotePrefix="0" xfId="315">
      <alignment vertical="center"/>
      <protection locked="0" hidden="0"/>
    </xf>
    <xf numFmtId="0" fontId="8" fillId="4" borderId="74" applyAlignment="1" applyProtection="1" pivotButton="0" quotePrefix="0" xfId="0">
      <alignment vertical="center"/>
      <protection locked="0" hidden="0"/>
    </xf>
    <xf numFmtId="0" fontId="2" fillId="0" borderId="75" applyAlignment="1" applyProtection="1" pivotButton="0" quotePrefix="0" xfId="0">
      <alignment vertical="center" wrapText="1"/>
      <protection locked="0" hidden="0"/>
    </xf>
    <xf numFmtId="0" fontId="14" fillId="0" borderId="75" applyAlignment="1" applyProtection="1" pivotButton="0" quotePrefix="0" xfId="0">
      <alignment vertical="center" wrapText="1"/>
      <protection locked="0" hidden="0"/>
    </xf>
    <xf numFmtId="0" fontId="20" fillId="6" borderId="0" applyAlignment="1" applyProtection="1" pivotButton="0" quotePrefix="0" xfId="158">
      <alignment horizontal="left" vertical="center"/>
      <protection locked="0" hidden="0"/>
    </xf>
    <xf numFmtId="0" fontId="20" fillId="0" borderId="0" applyAlignment="1" pivotButton="0" quotePrefix="0" xfId="0">
      <alignment vertical="center"/>
    </xf>
    <xf numFmtId="0" fontId="9" fillId="6" borderId="0" pivotButton="0" quotePrefix="0" xfId="371"/>
    <xf numFmtId="0" fontId="15" fillId="6" borderId="0" applyAlignment="1" applyProtection="1" pivotButton="0" quotePrefix="0" xfId="0">
      <alignment horizontal="left" vertical="top" wrapText="1" indent="2"/>
      <protection locked="0" hidden="0"/>
    </xf>
    <xf numFmtId="0" fontId="2" fillId="6" borderId="0" applyAlignment="1" applyProtection="1" pivotButton="0" quotePrefix="0" xfId="133">
      <alignment vertical="center"/>
      <protection locked="0" hidden="0"/>
    </xf>
    <xf numFmtId="0" fontId="132" fillId="0" borderId="0" applyAlignment="1" applyProtection="1" pivotButton="0" quotePrefix="0" xfId="0">
      <alignment vertical="center"/>
      <protection locked="0" hidden="0"/>
    </xf>
    <xf numFmtId="0" fontId="11" fillId="0" borderId="30" applyAlignment="1" pivotButton="0" quotePrefix="0" xfId="0">
      <alignment horizontal="center" vertical="center"/>
    </xf>
    <xf numFmtId="0" fontId="17" fillId="0" borderId="76" applyAlignment="1" pivotButton="0" quotePrefix="0" xfId="0">
      <alignment vertical="center"/>
    </xf>
    <xf numFmtId="171" fontId="2" fillId="0" borderId="10" applyProtection="1" pivotButton="0" quotePrefix="0" xfId="1">
      <protection locked="0" hidden="0"/>
    </xf>
    <xf numFmtId="171" fontId="2" fillId="0" borderId="12" applyProtection="1" pivotButton="0" quotePrefix="0" xfId="1">
      <protection locked="0" hidden="0"/>
    </xf>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0" fontId="14" fillId="7" borderId="30" applyAlignment="1" pivotButton="0" quotePrefix="0" xfId="253">
      <alignment horizontal="center" vertical="center" wrapText="1"/>
    </xf>
    <xf numFmtId="0" fontId="16" fillId="7" borderId="14" applyAlignment="1" applyProtection="1" pivotButton="0" quotePrefix="0" xfId="0">
      <alignment vertical="center"/>
      <protection locked="0" hidden="0"/>
    </xf>
    <xf numFmtId="0" fontId="16" fillId="7" borderId="11" applyAlignment="1" applyProtection="1" pivotButton="0" quotePrefix="0" xfId="0">
      <alignment vertical="center"/>
      <protection locked="0" hidden="0"/>
    </xf>
    <xf numFmtId="0" fontId="11" fillId="7" borderId="11" applyAlignment="1" applyProtection="1" pivotButton="0" quotePrefix="0" xfId="0">
      <alignment vertical="center"/>
      <protection locked="0" hidden="0"/>
    </xf>
    <xf numFmtId="0" fontId="11" fillId="7" borderId="15" applyAlignment="1" applyProtection="1" pivotButton="0" quotePrefix="0" xfId="0">
      <alignment vertical="center"/>
      <protection locked="0" hidden="0"/>
    </xf>
    <xf numFmtId="0" fontId="15" fillId="6" borderId="0" applyAlignment="1" applyProtection="1" pivotButton="0" quotePrefix="0" xfId="0">
      <alignment horizontal="left" vertical="top" indent="2"/>
      <protection locked="0" hidden="0"/>
    </xf>
    <xf numFmtId="164" fontId="2" fillId="0" borderId="0" applyAlignment="1" pivotButton="0" quotePrefix="0" xfId="65">
      <alignment horizontal="right" vertical="center" shrinkToFit="1"/>
    </xf>
    <xf numFmtId="164" fontId="2" fillId="0" borderId="67" applyAlignment="1" pivotButton="0" quotePrefix="0" xfId="128">
      <alignment horizontal="right" vertical="center" shrinkToFit="1"/>
    </xf>
    <xf numFmtId="0" fontId="14" fillId="7" borderId="33" applyAlignment="1" applyProtection="1" pivotButton="0" quotePrefix="0" xfId="153">
      <alignment horizontal="center" vertical="center" wrapText="1"/>
      <protection locked="0" hidden="0"/>
    </xf>
    <xf numFmtId="0" fontId="16" fillId="4" borderId="13" applyAlignment="1" pivotButton="0" quotePrefix="0" xfId="0">
      <alignment horizontal="right" vertical="center"/>
    </xf>
    <xf numFmtId="43" fontId="17" fillId="0" borderId="72" applyAlignment="1" pivotButton="0" quotePrefix="0" xfId="253">
      <alignment horizontal="right" vertical="center"/>
    </xf>
    <xf numFmtId="0" fontId="2" fillId="6" borderId="0" pivotButton="0" quotePrefix="0" xfId="253"/>
    <xf numFmtId="0" fontId="14" fillId="6" borderId="0" pivotButton="0" quotePrefix="0" xfId="253"/>
    <xf numFmtId="0" fontId="19" fillId="4" borderId="1" applyAlignment="1" applyProtection="1" pivotButton="0" quotePrefix="0" xfId="315">
      <alignment vertical="center"/>
      <protection locked="0" hidden="0"/>
    </xf>
    <xf numFmtId="0" fontId="19" fillId="4" borderId="5" applyAlignment="1" applyProtection="1" pivotButton="0" quotePrefix="0" xfId="315">
      <alignment vertical="center"/>
      <protection locked="0" hidden="0"/>
    </xf>
    <xf numFmtId="0" fontId="18" fillId="6" borderId="0" pivotButton="0" quotePrefix="0" xfId="253"/>
    <xf numFmtId="0" fontId="18" fillId="6" borderId="0" applyAlignment="1" pivotButton="0" quotePrefix="0" xfId="138">
      <alignment horizontal="center" vertical="center" wrapText="1"/>
    </xf>
    <xf numFmtId="0" fontId="15" fillId="6" borderId="0" applyAlignment="1" pivotButton="0" quotePrefix="0" xfId="253">
      <alignment horizontal="center" vertical="center"/>
    </xf>
    <xf numFmtId="0" fontId="18" fillId="6" borderId="0" applyAlignment="1" pivotButton="0" quotePrefix="0" xfId="253">
      <alignment horizontal="center" vertical="center"/>
    </xf>
    <xf numFmtId="0" fontId="13" fillId="7" borderId="30" applyAlignment="1" pivotButton="0" quotePrefix="0" xfId="128">
      <alignment horizontal="center" vertical="center" wrapText="1"/>
    </xf>
    <xf numFmtId="0" fontId="13" fillId="7" borderId="30" applyAlignment="1" pivotButton="0" quotePrefix="0" xfId="143">
      <alignment horizontal="center" vertical="center" wrapText="1"/>
    </xf>
    <xf numFmtId="0" fontId="11" fillId="6" borderId="0" pivotButton="0" quotePrefix="0" xfId="253"/>
    <xf numFmtId="49" fontId="2" fillId="6" borderId="0" pivotButton="0" quotePrefix="0" xfId="253"/>
    <xf numFmtId="164" fontId="2" fillId="6" borderId="0" pivotButton="0" quotePrefix="0" xfId="253"/>
    <xf numFmtId="0" fontId="20" fillId="6" borderId="0" applyAlignment="1" applyProtection="1" pivotButton="0" quotePrefix="0" xfId="158">
      <alignment vertical="top" wrapText="1"/>
      <protection locked="0" hidden="0"/>
    </xf>
    <xf numFmtId="0" fontId="5" fillId="6" borderId="0" pivotButton="0" quotePrefix="0" xfId="253"/>
    <xf numFmtId="0" fontId="6" fillId="6" borderId="0" pivotButton="0" quotePrefix="0" xfId="253"/>
    <xf numFmtId="0" fontId="31" fillId="8" borderId="0" applyAlignment="1" applyProtection="1" pivotButton="0" quotePrefix="0" xfId="121">
      <alignment vertical="center"/>
      <protection locked="0" hidden="0"/>
    </xf>
    <xf numFmtId="0" fontId="6" fillId="6" borderId="0" applyAlignment="1" applyProtection="1" pivotButton="0" quotePrefix="0" xfId="315">
      <alignment vertical="center"/>
      <protection locked="0" hidden="0"/>
    </xf>
    <xf numFmtId="0" fontId="15" fillId="0" borderId="0" applyAlignment="1" applyProtection="1" pivotButton="0" quotePrefix="0" xfId="128">
      <alignment horizontal="left" vertical="center" wrapText="1"/>
      <protection locked="0" hidden="0"/>
    </xf>
    <xf numFmtId="0" fontId="15" fillId="0" borderId="0" applyAlignment="1" pivotButton="0" quotePrefix="0" xfId="128">
      <alignment horizontal="left" vertical="center" wrapText="1"/>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5" fillId="0" borderId="0" applyAlignment="1" pivotButton="0" quotePrefix="0" xfId="128">
      <alignment horizontal="left" vertical="center" shrinkToFit="1"/>
    </xf>
    <xf numFmtId="0" fontId="16" fillId="7" borderId="39" applyAlignment="1" applyProtection="1" pivotButton="0" quotePrefix="0" xfId="0">
      <alignment vertical="center"/>
      <protection locked="0" hidden="0"/>
    </xf>
    <xf numFmtId="43" fontId="17" fillId="0" borderId="33" applyAlignment="1" pivotButton="0" quotePrefix="0" xfId="1">
      <alignment horizontal="right" vertical="center"/>
    </xf>
    <xf numFmtId="43" fontId="14" fillId="9" borderId="74" applyAlignment="1" applyProtection="1" pivotButton="0" quotePrefix="0" xfId="0">
      <alignment vertical="center" wrapText="1"/>
      <protection locked="0" hidden="0"/>
    </xf>
    <xf numFmtId="0" fontId="17" fillId="0" borderId="73" applyAlignment="1" pivotButton="0" quotePrefix="0" xfId="0">
      <alignment horizontal="left"/>
    </xf>
    <xf numFmtId="0" fontId="17" fillId="0" borderId="48" applyAlignment="1" pivotButton="0" quotePrefix="0" xfId="0">
      <alignment horizontal="left"/>
    </xf>
    <xf numFmtId="43" fontId="17" fillId="6" borderId="46" applyAlignment="1" applyProtection="1" pivotButton="0" quotePrefix="0" xfId="0">
      <alignment horizontal="right" vertical="center"/>
      <protection locked="0" hidden="0"/>
    </xf>
    <xf numFmtId="0" fontId="17" fillId="6" borderId="71" applyAlignment="1" pivotButton="0" quotePrefix="0" xfId="127">
      <alignment horizontal="left" vertical="center"/>
    </xf>
    <xf numFmtId="0" fontId="17" fillId="6" borderId="75" applyAlignment="1" pivotButton="0" quotePrefix="0" xfId="127">
      <alignment horizontal="left" vertical="center"/>
    </xf>
    <xf numFmtId="43" fontId="17" fillId="0" borderId="74" applyAlignment="1" applyProtection="1" pivotButton="0" quotePrefix="0" xfId="0">
      <alignment horizontal="right" vertical="center" wrapText="1"/>
      <protection locked="0" hidden="0"/>
    </xf>
    <xf numFmtId="0" fontId="17" fillId="0" borderId="58" applyAlignment="1" applyProtection="1" pivotButton="0" quotePrefix="0" xfId="0">
      <alignment horizontal="left" vertical="center" wrapText="1"/>
      <protection locked="0" hidden="0"/>
    </xf>
    <xf numFmtId="0" fontId="17" fillId="0" borderId="73" applyAlignment="1" applyProtection="1" pivotButton="0" quotePrefix="0" xfId="0">
      <alignment horizontal="lef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17" fillId="0" borderId="48" applyAlignment="1" applyProtection="1" pivotButton="0" quotePrefix="0" xfId="0">
      <alignment horizontal="left" vertical="center" wrapText="1"/>
      <protection locked="0" hidden="0"/>
    </xf>
    <xf numFmtId="0" fontId="17" fillId="0" borderId="59" applyAlignment="1" applyProtection="1" pivotButton="0" quotePrefix="0" xfId="0">
      <alignment horizontal="left" vertical="center" wrapText="1"/>
      <protection locked="0" hidden="0"/>
    </xf>
    <xf numFmtId="0" fontId="17" fillId="0" borderId="73" applyAlignment="1" applyProtection="1" pivotButton="0" quotePrefix="0" xfId="0">
      <alignment horizontal="right" vertical="center" wrapText="1"/>
      <protection locked="0" hidden="0"/>
    </xf>
    <xf numFmtId="14" fontId="17" fillId="0" borderId="48" applyAlignment="1" applyProtection="1" pivotButton="0" quotePrefix="0" xfId="0">
      <alignment horizontal="right" vertical="center" wrapText="1"/>
      <protection locked="0" hidden="0"/>
    </xf>
    <xf numFmtId="43" fontId="17" fillId="6" borderId="34" applyAlignment="1" applyProtection="1" pivotButton="0" quotePrefix="0" xfId="0">
      <alignment horizontal="right" vertical="center"/>
      <protection locked="0" hidden="0"/>
    </xf>
    <xf numFmtId="169" fontId="17" fillId="5" borderId="0" applyAlignment="1" pivotButton="0" quotePrefix="0" xfId="0">
      <alignment horizontal="right" vertical="center"/>
    </xf>
    <xf numFmtId="0" fontId="7" fillId="3" borderId="42" applyAlignment="1" applyProtection="1" pivotButton="0" quotePrefix="0" xfId="0">
      <alignment horizontal="centerContinuous" vertical="center"/>
      <protection locked="0" hidden="0"/>
    </xf>
    <xf numFmtId="0" fontId="14" fillId="7" borderId="3" applyAlignment="1" applyProtection="1" pivotButton="0" quotePrefix="0" xfId="0">
      <alignment vertical="center"/>
      <protection locked="0" hidden="0"/>
    </xf>
    <xf numFmtId="0" fontId="2" fillId="7" borderId="3" applyAlignment="1" applyProtection="1" pivotButton="0" quotePrefix="0" xfId="0">
      <alignment vertical="center"/>
      <protection locked="0" hidden="0"/>
    </xf>
    <xf numFmtId="0" fontId="11" fillId="7" borderId="3" applyAlignment="1" applyProtection="1" pivotButton="0" quotePrefix="0" xfId="0">
      <alignment horizontal="center" vertical="center"/>
      <protection locked="0" hidden="0"/>
    </xf>
    <xf numFmtId="0" fontId="14" fillId="7" borderId="39" applyAlignment="1" applyProtection="1" pivotButton="0" quotePrefix="0" xfId="0">
      <alignment vertical="center"/>
      <protection locked="0" hidden="0"/>
    </xf>
    <xf numFmtId="0" fontId="2" fillId="7" borderId="39" applyAlignment="1" applyProtection="1" pivotButton="0" quotePrefix="0" xfId="0">
      <alignment vertical="center"/>
      <protection locked="0" hidden="0"/>
    </xf>
    <xf numFmtId="0" fontId="11" fillId="7" borderId="39" applyAlignment="1" applyProtection="1" pivotButton="0" quotePrefix="0" xfId="0">
      <alignment horizontal="center" vertical="center"/>
      <protection locked="0" hidden="0"/>
    </xf>
    <xf numFmtId="0" fontId="2" fillId="7" borderId="39" applyAlignment="1" pivotButton="0" quotePrefix="0" xfId="127">
      <alignment vertical="center"/>
    </xf>
    <xf numFmtId="0" fontId="16" fillId="7" borderId="39" applyAlignment="1" applyProtection="1" pivotButton="0" quotePrefix="0" xfId="315">
      <alignment vertical="center"/>
      <protection locked="0" hidden="0"/>
    </xf>
    <xf numFmtId="0" fontId="14" fillId="7" borderId="39" applyAlignment="1" applyProtection="1" pivotButton="0" quotePrefix="0" xfId="315">
      <alignment vertical="center"/>
      <protection locked="0" hidden="0"/>
    </xf>
    <xf numFmtId="0" fontId="14" fillId="7" borderId="39" pivotButton="0" quotePrefix="0" xfId="253"/>
    <xf numFmtId="0" fontId="2" fillId="7" borderId="39" applyAlignment="1" pivotButton="0" quotePrefix="0" xfId="0">
      <alignment vertical="top" wrapText="1"/>
    </xf>
    <xf numFmtId="0" fontId="2" fillId="7" borderId="39" applyAlignment="1" applyProtection="1" pivotButton="0" quotePrefix="0" xfId="247">
      <alignment horizontal="center" vertical="center"/>
      <protection locked="0" hidden="0"/>
    </xf>
    <xf numFmtId="0" fontId="17" fillId="7" borderId="39" applyAlignment="1" pivotButton="0" quotePrefix="0" xfId="0">
      <alignment vertical="center"/>
    </xf>
    <xf numFmtId="0" fontId="5" fillId="2" borderId="34" applyAlignment="1" applyProtection="1" pivotButton="0" quotePrefix="0" xfId="247">
      <alignment horizontal="centerContinuous" vertical="center"/>
      <protection locked="0" hidden="0"/>
    </xf>
    <xf numFmtId="0" fontId="123" fillId="2" borderId="35" applyAlignment="1" applyProtection="1" pivotButton="0" quotePrefix="0" xfId="247">
      <alignment horizontal="centerContinuous" vertical="center"/>
      <protection locked="0" hidden="0"/>
    </xf>
    <xf numFmtId="0" fontId="2" fillId="2" borderId="35" applyAlignment="1" applyProtection="1" pivotButton="0" quotePrefix="0" xfId="247">
      <alignment horizontal="centerContinuous" vertical="center"/>
      <protection locked="0" hidden="0"/>
    </xf>
    <xf numFmtId="0" fontId="124" fillId="3" borderId="42" applyAlignment="1" applyProtection="1" pivotButton="0" quotePrefix="0" xfId="247">
      <alignment horizontal="center" vertical="center"/>
      <protection locked="0" hidden="0"/>
    </xf>
    <xf numFmtId="0" fontId="8" fillId="4" borderId="76" applyAlignment="1" applyProtection="1" pivotButton="0" quotePrefix="0" xfId="247">
      <alignment vertical="center"/>
      <protection locked="0" hidden="0"/>
    </xf>
    <xf numFmtId="0" fontId="19" fillId="4" borderId="70" applyAlignment="1" applyProtection="1" pivotButton="0" quotePrefix="0" xfId="247">
      <alignment vertical="center"/>
      <protection locked="0" hidden="0"/>
    </xf>
    <xf numFmtId="0" fontId="123" fillId="0" borderId="0" applyAlignment="1" applyProtection="1" pivotButton="0" quotePrefix="0" xfId="247">
      <alignment vertical="center"/>
      <protection locked="0" hidden="0"/>
    </xf>
    <xf numFmtId="49" fontId="10" fillId="0" borderId="0" applyAlignment="1" applyProtection="1" pivotButton="0" quotePrefix="0" xfId="128">
      <alignment horizontal="center" wrapText="1"/>
      <protection locked="0" hidden="0"/>
    </xf>
    <xf numFmtId="169" fontId="10" fillId="0" borderId="0" applyAlignment="1" pivotButton="0" quotePrefix="0" xfId="128">
      <alignment horizontal="right" vertical="center"/>
    </xf>
    <xf numFmtId="0" fontId="138" fillId="0" borderId="0" applyAlignment="1" applyProtection="1" pivotButton="0" quotePrefix="0" xfId="133">
      <alignment horizontal="center" vertical="center"/>
      <protection locked="0" hidden="0"/>
    </xf>
    <xf numFmtId="0" fontId="18" fillId="0" borderId="0" applyAlignment="1" applyProtection="1" pivotButton="0" quotePrefix="0" xfId="128">
      <alignment horizontal="left" vertical="center" indent="1"/>
      <protection locked="0" hidden="0"/>
    </xf>
    <xf numFmtId="0" fontId="16" fillId="6" borderId="0" applyAlignment="1" applyProtection="1" pivotButton="0" quotePrefix="0" xfId="0">
      <alignment vertical="center"/>
      <protection locked="0" hidden="0"/>
    </xf>
    <xf numFmtId="0" fontId="19" fillId="58" borderId="0" applyAlignment="1" pivotButton="0" quotePrefix="0" xfId="0">
      <alignment horizontal="center" vertical="center" wrapText="1"/>
    </xf>
    <xf numFmtId="0" fontId="15" fillId="6" borderId="0" applyAlignment="1" applyProtection="1" pivotButton="0" quotePrefix="0" xfId="133">
      <alignment vertical="center"/>
      <protection locked="0" hidden="0"/>
    </xf>
    <xf numFmtId="0" fontId="2" fillId="6" borderId="0" applyAlignment="1" pivotButton="0" quotePrefix="0" xfId="0">
      <alignment vertical="top" wrapText="1"/>
    </xf>
    <xf numFmtId="0" fontId="14" fillId="6" borderId="0" applyAlignment="1" pivotButton="0" quotePrefix="0" xfId="253">
      <alignment vertical="center"/>
    </xf>
    <xf numFmtId="49" fontId="15" fillId="6" borderId="30" applyAlignment="1" pivotButton="0" quotePrefix="0" xfId="253">
      <alignment horizontal="left" vertical="center" wrapText="1"/>
    </xf>
    <xf numFmtId="43" fontId="2" fillId="6" borderId="30" applyAlignment="1" pivotButton="0" quotePrefix="0" xfId="253">
      <alignment horizontal="right" vertical="center"/>
    </xf>
    <xf numFmtId="0" fontId="2" fillId="6" borderId="0" applyAlignment="1" pivotButton="0" quotePrefix="0" xfId="253">
      <alignment vertical="center"/>
    </xf>
    <xf numFmtId="0" fontId="14" fillId="6" borderId="0" applyAlignment="1" pivotButton="0" quotePrefix="0" xfId="253">
      <alignment horizontal="center" vertical="center"/>
    </xf>
    <xf numFmtId="49" fontId="15" fillId="6" borderId="30" applyAlignment="1" pivotButton="0" quotePrefix="0" xfId="127">
      <alignment horizontal="left" vertical="center" wrapText="1"/>
    </xf>
    <xf numFmtId="0" fontId="15" fillId="6" borderId="30" applyAlignment="1" applyProtection="1" pivotButton="0" quotePrefix="0" xfId="133">
      <alignment horizontal="left" vertical="center" wrapText="1"/>
      <protection locked="0" hidden="0"/>
    </xf>
    <xf numFmtId="0" fontId="17" fillId="6" borderId="30" applyAlignment="1" pivotButton="0" quotePrefix="0" xfId="138">
      <alignment horizontal="left" vertical="center" wrapText="1"/>
    </xf>
    <xf numFmtId="0" fontId="2" fillId="0" borderId="0" applyAlignment="1" applyProtection="1" pivotButton="0" quotePrefix="0" xfId="127">
      <alignment vertical="center"/>
      <protection locked="0" hidden="0"/>
    </xf>
    <xf numFmtId="0" fontId="9" fillId="0" borderId="0" pivotButton="0" quotePrefix="0" xfId="371"/>
    <xf numFmtId="0" fontId="16" fillId="0" borderId="0" applyAlignment="1" applyProtection="1" pivotButton="0" quotePrefix="0" xfId="0">
      <alignment vertical="center"/>
      <protection locked="0" hidden="0"/>
    </xf>
    <xf numFmtId="0" fontId="17" fillId="0" borderId="77" applyAlignment="1" pivotButton="0" quotePrefix="0" xfId="0">
      <alignment horizontal="left" vertical="center"/>
    </xf>
    <xf numFmtId="0" fontId="19" fillId="59" borderId="77" applyAlignment="1" applyProtection="1" pivotButton="0" quotePrefix="0" xfId="260">
      <alignment horizontal="center" vertical="center" wrapText="1"/>
      <protection locked="0" hidden="0"/>
    </xf>
    <xf numFmtId="0" fontId="19" fillId="60" borderId="77" applyAlignment="1" pivotButton="0" quotePrefix="0" xfId="0">
      <alignment horizontal="center" vertical="center" wrapText="1"/>
    </xf>
    <xf numFmtId="0" fontId="11" fillId="60" borderId="77" applyAlignment="1" pivotButton="0" quotePrefix="0" xfId="0">
      <alignment horizontal="center" vertical="center" wrapText="1"/>
    </xf>
    <xf numFmtId="0" fontId="19" fillId="7" borderId="77" applyAlignment="1" applyProtection="1" pivotButton="0" quotePrefix="0" xfId="260">
      <alignment horizontal="center" vertical="center" wrapText="1"/>
      <protection locked="0" hidden="0"/>
    </xf>
    <xf numFmtId="0" fontId="19" fillId="57" borderId="77" applyAlignment="1" pivotButton="0" quotePrefix="0" xfId="0">
      <alignment horizontal="center" vertical="center" wrapText="1"/>
    </xf>
    <xf numFmtId="0" fontId="16" fillId="7" borderId="77" applyAlignment="1" pivotButton="0" quotePrefix="0" xfId="0">
      <alignment horizontal="center" vertical="center" wrapText="1"/>
    </xf>
    <xf numFmtId="0" fontId="15" fillId="0" borderId="77" applyAlignment="1" pivotButton="0" quotePrefix="0" xfId="128">
      <alignment horizontal="left" vertical="center" wrapText="1"/>
    </xf>
    <xf numFmtId="0" fontId="15" fillId="0" borderId="77" applyAlignment="1" applyProtection="1" pivotButton="0" quotePrefix="0" xfId="133">
      <alignment vertical="center"/>
      <protection locked="0" hidden="0"/>
    </xf>
    <xf numFmtId="43" fontId="17" fillId="0" borderId="77" applyAlignment="1" applyProtection="1" pivotButton="0" quotePrefix="0" xfId="0">
      <alignment horizontal="right" vertical="center" wrapText="1"/>
      <protection locked="0" hidden="0"/>
    </xf>
    <xf numFmtId="43" fontId="14" fillId="9" borderId="77" applyAlignment="1" applyProtection="1" pivotButton="0" quotePrefix="0" xfId="0">
      <alignment vertical="center" wrapText="1"/>
      <protection locked="0" hidden="0"/>
    </xf>
    <xf numFmtId="0" fontId="124" fillId="3" borderId="36" applyAlignment="1" applyProtection="1" pivotButton="0" quotePrefix="0" xfId="247">
      <alignment horizontal="centerContinuous" vertical="center"/>
      <protection locked="0" hidden="0"/>
    </xf>
    <xf numFmtId="0" fontId="19" fillId="4" borderId="55" applyAlignment="1" applyProtection="1" pivotButton="0" quotePrefix="0" xfId="247">
      <alignment vertical="center"/>
      <protection locked="0" hidden="0"/>
    </xf>
    <xf numFmtId="43" fontId="15" fillId="0" borderId="0" applyAlignment="1" applyProtection="1" pivotButton="0" quotePrefix="0" xfId="1">
      <alignment horizontal="left" vertical="center" shrinkToFit="1"/>
      <protection locked="0" hidden="0"/>
    </xf>
    <xf numFmtId="0" fontId="11" fillId="0" borderId="0" applyAlignment="1" applyProtection="1" pivotButton="0" quotePrefix="0" xfId="260">
      <alignment horizontal="center" vertical="center"/>
      <protection locked="0" hidden="0"/>
    </xf>
    <xf numFmtId="0" fontId="16" fillId="0" borderId="0" applyAlignment="1" applyProtection="1" pivotButton="0" quotePrefix="0" xfId="260">
      <alignment horizontal="center" vertical="center"/>
      <protection locked="0" hidden="0"/>
    </xf>
    <xf numFmtId="0" fontId="11" fillId="0" borderId="0" applyAlignment="1" pivotButton="0" quotePrefix="0" xfId="0">
      <alignment horizontal="left" wrapText="1"/>
    </xf>
    <xf numFmtId="0" fontId="144" fillId="0" borderId="30" applyAlignment="1" pivotButton="0" quotePrefix="0" xfId="371">
      <alignment horizontal="center" vertical="center" wrapText="1"/>
    </xf>
    <xf numFmtId="0" fontId="144" fillId="0" borderId="30" applyAlignment="1" pivotButton="0" quotePrefix="0" xfId="371">
      <alignment horizontal="center" vertical="center" wrapText="1"/>
    </xf>
    <xf numFmtId="0" fontId="144" fillId="0" borderId="30" applyAlignment="1" pivotButton="0" quotePrefix="1" xfId="371">
      <alignment horizontal="center" vertical="center" wrapText="1"/>
    </xf>
    <xf numFmtId="0" fontId="15" fillId="0" borderId="0" pivotButton="0" quotePrefix="0" xfId="371"/>
    <xf numFmtId="0" fontId="14" fillId="7" borderId="32" applyAlignment="1" pivotButton="0" quotePrefix="0" xfId="253">
      <alignment horizontal="center" vertical="center" wrapText="1"/>
    </xf>
    <xf numFmtId="0" fontId="14" fillId="7" borderId="33" applyAlignment="1" pivotButton="0" quotePrefix="0" xfId="253">
      <alignment horizontal="center" vertical="center" wrapText="1"/>
    </xf>
    <xf numFmtId="0" fontId="14" fillId="7" borderId="63" applyAlignment="1" pivotButton="0" quotePrefix="0" xfId="253">
      <alignment horizontal="center" vertical="center" wrapText="1"/>
    </xf>
    <xf numFmtId="0" fontId="138" fillId="6" borderId="0" applyAlignment="1" applyProtection="1" pivotButton="0" quotePrefix="0" xfId="158">
      <alignment horizontal="left" vertical="center"/>
      <protection locked="0" hidden="0"/>
    </xf>
    <xf numFmtId="0" fontId="11" fillId="0" borderId="0" applyAlignment="1" applyProtection="1" pivotButton="0" quotePrefix="0" xfId="0">
      <alignment horizontal="left" vertical="center"/>
      <protection locked="0" hidden="0"/>
    </xf>
    <xf numFmtId="0" fontId="19" fillId="57" borderId="30" applyAlignment="1" pivotButton="0" quotePrefix="0" xfId="0">
      <alignment horizontal="center" vertical="center" wrapText="1"/>
    </xf>
    <xf numFmtId="0" fontId="2" fillId="0" borderId="0" applyAlignment="1" pivotButton="0" quotePrefix="0" xfId="247">
      <alignment horizontal="center" vertical="center"/>
    </xf>
    <xf numFmtId="0" fontId="16" fillId="13" borderId="30" applyAlignment="1" pivotButton="0" quotePrefix="0" xfId="136">
      <alignment horizontal="center" vertical="center" wrapText="1"/>
    </xf>
    <xf numFmtId="0" fontId="16" fillId="55" borderId="30" applyAlignment="1" applyProtection="1" pivotButton="0" quotePrefix="0" xfId="0">
      <alignment horizontal="center" vertical="center" wrapText="1"/>
      <protection locked="0" hidden="0"/>
    </xf>
    <xf numFmtId="9" fontId="15" fillId="0" borderId="48" applyAlignment="1" applyProtection="1" pivotButton="0" quotePrefix="0" xfId="133">
      <alignment vertical="center"/>
      <protection locked="0" hidden="0"/>
    </xf>
    <xf numFmtId="0" fontId="15" fillId="0" borderId="24" applyAlignment="1" applyProtection="1" pivotButton="0" quotePrefix="0" xfId="260">
      <alignment horizontal="left" vertical="center"/>
      <protection locked="0" hidden="0"/>
    </xf>
    <xf numFmtId="0" fontId="15" fillId="0" borderId="77" applyAlignment="1" applyProtection="1" pivotButton="0" quotePrefix="0" xfId="128">
      <alignment horizontal="left" vertical="center" wrapText="1"/>
      <protection locked="0" hidden="0"/>
    </xf>
    <xf numFmtId="49" fontId="15" fillId="0" borderId="77" applyAlignment="1" pivotButton="0" quotePrefix="0" xfId="128">
      <alignment horizontal="left" vertical="center" wrapText="1"/>
    </xf>
    <xf numFmtId="0" fontId="15" fillId="0" borderId="30" applyAlignment="1" pivotButton="0" quotePrefix="0" xfId="138">
      <alignment horizontal="left" vertical="center" wrapText="1"/>
    </xf>
    <xf numFmtId="49" fontId="15" fillId="0" borderId="30" applyAlignment="1" pivotButton="0" quotePrefix="0" xfId="138">
      <alignment horizontal="left" vertical="center" wrapText="1"/>
    </xf>
    <xf numFmtId="49" fontId="15" fillId="0" borderId="30" applyAlignment="1" pivotButton="0" quotePrefix="0" xfId="253">
      <alignment horizontal="left" vertical="center" wrapText="1"/>
    </xf>
    <xf numFmtId="49" fontId="15" fillId="0" borderId="30" applyAlignment="1" pivotButton="0" quotePrefix="0" xfId="253">
      <alignment horizontal="left" vertical="center"/>
    </xf>
    <xf numFmtId="0" fontId="17" fillId="0" borderId="30" applyAlignment="1" pivotButton="0" quotePrefix="0" xfId="138">
      <alignment horizontal="left" vertical="center" wrapText="1"/>
    </xf>
    <xf numFmtId="43" fontId="17" fillId="0" borderId="30" applyAlignment="1" pivotButton="0" quotePrefix="0" xfId="138">
      <alignment horizontal="right" vertical="center"/>
    </xf>
    <xf numFmtId="0" fontId="15" fillId="0" borderId="30" applyAlignment="1" pivotButton="0" quotePrefix="0" xfId="128">
      <alignment horizontal="left" vertical="center" wrapText="1"/>
    </xf>
    <xf numFmtId="0" fontId="15" fillId="0" borderId="30" applyAlignment="1" pivotButton="0" quotePrefix="0" xfId="98">
      <alignment horizontal="left" vertical="center" wrapText="1"/>
    </xf>
    <xf numFmtId="0" fontId="15" fillId="0" borderId="30" applyAlignment="1" applyProtection="1" pivotButton="0" quotePrefix="0" xfId="157">
      <alignment horizontal="left" vertical="center" wrapText="1"/>
      <protection locked="0" hidden="0"/>
    </xf>
    <xf numFmtId="0" fontId="15" fillId="0" borderId="32" applyAlignment="1" applyProtection="1" pivotButton="0" quotePrefix="0" xfId="157">
      <alignment horizontal="left" vertical="center" wrapText="1"/>
      <protection locked="0" hidden="0"/>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0" fontId="15" fillId="0" borderId="58" applyAlignment="1" applyProtection="1" pivotButton="0" quotePrefix="0" xfId="133">
      <alignment horizontal="left" vertical="center"/>
      <protection locked="0" hidden="0"/>
    </xf>
    <xf numFmtId="0" fontId="15" fillId="0" borderId="71" applyAlignment="1" applyProtection="1" pivotButton="0" quotePrefix="0" xfId="128">
      <alignment horizontal="left" vertical="center" wrapTex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0" fontId="15" fillId="0" borderId="77" applyAlignment="1" applyProtection="1" pivotButton="0" quotePrefix="0" xfId="133">
      <alignment horizontal="left" vertical="center"/>
      <protection locked="0" hidden="0"/>
    </xf>
    <xf numFmtId="0" fontId="17" fillId="0" borderId="71" applyAlignment="1" pivotButton="0" quotePrefix="0" xfId="0">
      <alignment horizontal="left"/>
    </xf>
    <xf numFmtId="0" fontId="17" fillId="0" borderId="77" applyAlignment="1" pivotButton="0" quotePrefix="0" xfId="0">
      <alignment horizontal="left"/>
    </xf>
    <xf numFmtId="14" fontId="17" fillId="0" borderId="77" applyAlignment="1" pivotButton="0" quotePrefix="0" xfId="0">
      <alignment horizontal="left"/>
    </xf>
    <xf numFmtId="0" fontId="17" fillId="0" borderId="74" applyAlignment="1" pivotButton="0" quotePrefix="0" xfId="0">
      <alignment horizontal="left"/>
    </xf>
    <xf numFmtId="0" fontId="17" fillId="0" borderId="75" applyAlignment="1" pivotButton="0" quotePrefix="0" xfId="0">
      <alignment horizontal="left"/>
    </xf>
    <xf numFmtId="0" fontId="17" fillId="0" borderId="53" applyAlignment="1" pivotButton="0" quotePrefix="0" xfId="0">
      <alignment horizontal="left"/>
    </xf>
    <xf numFmtId="14" fontId="17" fillId="0" borderId="53" applyAlignment="1" pivotButton="0" quotePrefix="0" xfId="0">
      <alignment horizontal="left"/>
    </xf>
    <xf numFmtId="0" fontId="17" fillId="0" borderId="54" applyAlignment="1" pivotButton="0" quotePrefix="0" xfId="0">
      <alignment horizontal="left"/>
    </xf>
    <xf numFmtId="0" fontId="17" fillId="0" borderId="71" applyAlignment="1" applyProtection="1" pivotButton="0" quotePrefix="0" xfId="0">
      <alignment horizontal="left" vertical="center" wrapText="1"/>
      <protection locked="0" hidden="0"/>
    </xf>
    <xf numFmtId="0" fontId="17" fillId="0" borderId="5" applyAlignment="1" applyProtection="1" pivotButton="0" quotePrefix="0" xfId="0">
      <alignment horizontal="left" vertical="center" wrapText="1"/>
      <protection locked="0" hidden="0"/>
    </xf>
    <xf numFmtId="14" fontId="17" fillId="0" borderId="77" applyAlignment="1" pivotButton="0" quotePrefix="0" xfId="127">
      <alignment horizontal="left" vertical="center"/>
    </xf>
    <xf numFmtId="14" fontId="17" fillId="0" borderId="74" applyAlignment="1" pivotButton="0" quotePrefix="0" xfId="127">
      <alignment horizontal="left" vertical="center"/>
    </xf>
    <xf numFmtId="14" fontId="17" fillId="0" borderId="53" applyAlignment="1" pivotButton="0" quotePrefix="0" xfId="127">
      <alignment horizontal="left" vertical="center"/>
    </xf>
    <xf numFmtId="14" fontId="17" fillId="0" borderId="54" applyAlignment="1" pivotButton="0" quotePrefix="0" xfId="127">
      <alignment horizontal="left" vertical="center"/>
    </xf>
    <xf numFmtId="164" fontId="2" fillId="0" borderId="0" applyAlignment="1" pivotButton="0" quotePrefix="0" xfId="65">
      <alignment horizontal="right" vertical="center" shrinkToFit="1"/>
    </xf>
    <xf numFmtId="14" fontId="17" fillId="0" borderId="77" applyAlignment="1" pivotButton="0" quotePrefix="0" xfId="0">
      <alignment horizontal="left" vertical="center"/>
    </xf>
    <xf numFmtId="14" fontId="17" fillId="0" borderId="53" applyAlignment="1" pivotButton="0" quotePrefix="0" xfId="0">
      <alignment horizontal="left" vertical="center"/>
    </xf>
    <xf numFmtId="0" fontId="123" fillId="2" borderId="24" applyAlignment="1" applyProtection="1" pivotButton="0" quotePrefix="0" xfId="247">
      <alignment horizontal="centerContinuous" vertical="center"/>
      <protection locked="0" hidden="0"/>
    </xf>
    <xf numFmtId="0" fontId="2" fillId="2"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Continuous" vertical="center"/>
      <protection locked="0" hidden="0"/>
    </xf>
    <xf numFmtId="0" fontId="124" fillId="3" borderId="24" applyAlignment="1" applyProtection="1" pivotButton="0" quotePrefix="0" xfId="247">
      <alignment horizontal="center" vertical="center"/>
      <protection locked="0" hidden="0"/>
    </xf>
    <xf numFmtId="0" fontId="8" fillId="4" borderId="74" applyAlignment="1" applyProtection="1" pivotButton="0" quotePrefix="0" xfId="247">
      <alignment vertical="center"/>
      <protection locked="0" hidden="0"/>
    </xf>
    <xf numFmtId="0" fontId="19" fillId="4" borderId="1" applyAlignment="1" applyProtection="1" pivotButton="0" quotePrefix="0" xfId="247">
      <alignment vertical="center"/>
      <protection locked="0" hidden="0"/>
    </xf>
    <xf numFmtId="0" fontId="19" fillId="4" borderId="1" applyAlignment="1" applyProtection="1" pivotButton="0" quotePrefix="0" xfId="247">
      <alignment horizontal="center" vertical="center"/>
      <protection locked="0" hidden="0"/>
    </xf>
    <xf numFmtId="0" fontId="19" fillId="4" borderId="5" applyAlignment="1" applyProtection="1" pivotButton="0" quotePrefix="0" xfId="247">
      <alignment horizontal="center" vertical="center"/>
      <protection locked="0" hidden="0"/>
    </xf>
    <xf numFmtId="0" fontId="7" fillId="0" borderId="0" applyAlignment="1" applyProtection="1" pivotButton="0" quotePrefix="0" xfId="0">
      <alignment horizontal="centerContinuous" vertical="center"/>
      <protection locked="0" hidden="0"/>
    </xf>
    <xf numFmtId="0" fontId="8" fillId="0" borderId="0" applyAlignment="1" applyProtection="1" pivotButton="0" quotePrefix="0" xfId="0">
      <alignment vertical="center"/>
      <protection locked="0" hidden="0"/>
    </xf>
    <xf numFmtId="0" fontId="12" fillId="0" borderId="0" applyAlignment="1" pivotButton="0" quotePrefix="0" xfId="127">
      <alignment vertical="center"/>
    </xf>
    <xf numFmtId="0" fontId="5" fillId="2" borderId="41" applyAlignment="1" applyProtection="1" pivotButton="0" quotePrefix="0" xfId="0">
      <alignment horizontal="centerContinuous" vertical="center"/>
      <protection locked="0" hidden="0"/>
    </xf>
    <xf numFmtId="0" fontId="6" fillId="2" borderId="24" applyAlignment="1" applyProtection="1" pivotButton="0" quotePrefix="0" xfId="0">
      <alignment horizontal="centerContinuous" vertical="center"/>
      <protection locked="0" hidden="0"/>
    </xf>
    <xf numFmtId="0" fontId="7" fillId="3" borderId="24" applyAlignment="1" applyProtection="1" pivotButton="0" quotePrefix="0" xfId="0">
      <alignment horizontal="centerContinuous" vertical="center"/>
      <protection locked="0" hidden="0"/>
    </xf>
    <xf numFmtId="0" fontId="7" fillId="3" borderId="50" applyAlignment="1" applyProtection="1" pivotButton="0" quotePrefix="0" xfId="0">
      <alignment horizontal="centerContinuous" vertical="center"/>
      <protection locked="0" hidden="0"/>
    </xf>
    <xf numFmtId="0" fontId="15" fillId="0" borderId="0" applyAlignment="1" pivotButton="0" quotePrefix="0" xfId="139">
      <alignment horizontal="left" vertical="center" shrinkToFit="1"/>
    </xf>
    <xf numFmtId="0" fontId="15" fillId="0" borderId="0" applyAlignment="1" pivotButton="0" quotePrefix="0" xfId="259">
      <alignment horizontal="left" vertical="center" shrinkToFit="1"/>
    </xf>
    <xf numFmtId="164" fontId="15" fillId="0" borderId="0" applyAlignment="1" pivotButton="0" quotePrefix="0" xfId="1">
      <alignment horizontal="right" vertical="center" shrinkToFit="1"/>
    </xf>
    <xf numFmtId="164" fontId="15" fillId="0" borderId="0" applyAlignment="1" applyProtection="1" pivotButton="0" quotePrefix="0" xfId="260">
      <alignment horizontal="right" vertical="center" shrinkToFit="1"/>
      <protection locked="0" hidden="0"/>
    </xf>
    <xf numFmtId="0" fontId="15" fillId="6" borderId="0" applyAlignment="1" pivotButton="0" quotePrefix="0" xfId="2">
      <alignment horizontal="left" vertical="center" shrinkToFit="1"/>
    </xf>
    <xf numFmtId="0" fontId="15" fillId="0" borderId="0" applyAlignment="1" pivotButton="0" quotePrefix="0" xfId="0">
      <alignment horizontal="left" vertical="center" shrinkToFit="1"/>
    </xf>
    <xf numFmtId="0" fontId="15" fillId="0" borderId="0" applyAlignment="1" applyProtection="1" pivotButton="0" quotePrefix="0" xfId="260">
      <alignment horizontal="left" vertical="center" shrinkToFit="1"/>
      <protection locked="0" hidden="0"/>
    </xf>
    <xf numFmtId="0" fontId="2" fillId="0" borderId="0" applyAlignment="1" pivotButton="0" quotePrefix="0" xfId="0">
      <alignment horizontal="left" vertical="center" shrinkToFit="1"/>
    </xf>
    <xf numFmtId="0" fontId="16" fillId="7" borderId="34" applyAlignment="1" pivotButton="0" quotePrefix="0" xfId="0">
      <alignment horizontal="center" vertical="center" wrapText="1"/>
    </xf>
    <xf numFmtId="0" fontId="11" fillId="7" borderId="16" applyAlignment="1" pivotButton="0" quotePrefix="0" xfId="0">
      <alignment vertical="center"/>
    </xf>
    <xf numFmtId="0" fontId="11" fillId="7" borderId="12" applyAlignment="1" pivotButton="0" quotePrefix="0" xfId="0">
      <alignment horizontal="center" vertical="center" wrapText="1"/>
    </xf>
    <xf numFmtId="0" fontId="2" fillId="7" borderId="16" applyAlignment="1" pivotButton="0" quotePrefix="0" xfId="0">
      <alignment vertical="center" wrapText="1"/>
    </xf>
    <xf numFmtId="0" fontId="16" fillId="7" borderId="12" applyAlignment="1" pivotButton="0" quotePrefix="0" xfId="0">
      <alignment horizontal="center" vertical="center" wrapText="1"/>
    </xf>
    <xf numFmtId="0" fontId="10" fillId="7" borderId="16" applyAlignment="1" applyProtection="1" pivotButton="0" quotePrefix="0" xfId="260">
      <alignment vertical="center" wrapText="1"/>
      <protection locked="0" hidden="0"/>
    </xf>
    <xf numFmtId="0" fontId="16" fillId="7" borderId="68" applyAlignment="1" pivotButton="0" quotePrefix="0" xfId="0">
      <alignment horizontal="center" vertical="center" wrapText="1"/>
    </xf>
    <xf numFmtId="0" fontId="17" fillId="7" borderId="16" applyAlignment="1" applyProtection="1" pivotButton="0" quotePrefix="0" xfId="260">
      <alignment vertical="center" wrapText="1"/>
      <protection locked="0" hidden="0"/>
    </xf>
    <xf numFmtId="14" fontId="16" fillId="7" borderId="32" applyAlignment="1" applyProtection="1" pivotButton="0" quotePrefix="0" xfId="0">
      <alignment horizontal="center" vertical="center"/>
      <protection locked="0" hidden="0"/>
    </xf>
    <xf numFmtId="0" fontId="11" fillId="0" borderId="0" applyAlignment="1" pivotButton="0" quotePrefix="0" xfId="2">
      <alignment horizontal="left" vertical="center" shrinkToFit="1"/>
    </xf>
    <xf numFmtId="0" fontId="29" fillId="0" borderId="0" applyAlignment="1" applyProtection="1" pivotButton="0" quotePrefix="0" xfId="0">
      <alignment horizontal="center" vertical="center"/>
      <protection locked="0" hidden="0"/>
    </xf>
    <xf numFmtId="169" fontId="2" fillId="0" borderId="78" applyAlignment="1" applyProtection="1" pivotButton="0" quotePrefix="0" xfId="260">
      <alignment horizontal="right" vertical="center" shrinkToFit="1"/>
      <protection locked="0" hidden="0"/>
    </xf>
    <xf numFmtId="0" fontId="149" fillId="0" borderId="33" applyAlignment="1" pivotButton="0" quotePrefix="0" xfId="0">
      <alignment horizontal="left" vertical="center" indent="1"/>
    </xf>
    <xf numFmtId="0" fontId="19" fillId="0" borderId="25" applyAlignment="1" pivotButton="0" quotePrefix="0" xfId="0">
      <alignment horizontal="left" vertical="top"/>
    </xf>
    <xf numFmtId="0" fontId="15" fillId="6" borderId="25" applyAlignment="1" applyProtection="1" pivotButton="0" quotePrefix="0" xfId="0">
      <alignment horizontal="left" vertical="top" indent="2"/>
      <protection locked="0" hidden="0"/>
    </xf>
    <xf numFmtId="0" fontId="15" fillId="6" borderId="68" applyAlignment="1" applyProtection="1" pivotButton="0" quotePrefix="0" xfId="0">
      <alignment horizontal="left" vertical="top" indent="2"/>
      <protection locked="0" hidden="0"/>
    </xf>
    <xf numFmtId="0" fontId="2" fillId="7" borderId="39" applyAlignment="1" applyProtection="1" pivotButton="0" quotePrefix="0" xfId="133">
      <alignment vertical="center"/>
      <protection locked="0" hidden="0"/>
    </xf>
    <xf numFmtId="0" fontId="14" fillId="7" borderId="39" applyAlignment="1" pivotButton="0" quotePrefix="0" xfId="0">
      <alignment horizontal="left" vertical="center"/>
    </xf>
    <xf numFmtId="0" fontId="9" fillId="0" borderId="0" applyAlignment="1" pivotButton="0" quotePrefix="0" xfId="371">
      <alignment vertical="center"/>
    </xf>
    <xf numFmtId="0" fontId="17" fillId="0" borderId="13" applyAlignment="1" applyProtection="1" pivotButton="0" quotePrefix="0" xfId="0">
      <alignment horizontal="left" vertical="center" indent="1"/>
      <protection locked="0" hidden="0"/>
    </xf>
    <xf numFmtId="0" fontId="15" fillId="0" borderId="31" applyAlignment="1" applyProtection="1" pivotButton="0" quotePrefix="0" xfId="0">
      <alignment vertical="center"/>
      <protection locked="0" hidden="0"/>
    </xf>
    <xf numFmtId="0" fontId="15" fillId="0" borderId="7" applyAlignment="1" applyProtection="1" pivotButton="0" quotePrefix="0" xfId="0">
      <alignment horizontal="left" vertical="center" indent="1"/>
      <protection locked="0" hidden="0"/>
    </xf>
    <xf numFmtId="0" fontId="15" fillId="0" borderId="3" applyAlignment="1" applyProtection="1" pivotButton="0" quotePrefix="0" xfId="0">
      <alignment vertical="center"/>
      <protection locked="0" hidden="0"/>
    </xf>
    <xf numFmtId="0" fontId="15" fillId="0" borderId="9" applyAlignment="1" applyProtection="1" pivotButton="0" quotePrefix="0" xfId="0">
      <alignment vertical="center"/>
      <protection locked="0" hidden="0"/>
    </xf>
    <xf numFmtId="0" fontId="17" fillId="0" borderId="0" applyAlignment="1" pivotButton="0" quotePrefix="0" xfId="0">
      <alignment vertical="center" wrapText="1"/>
    </xf>
    <xf numFmtId="0" fontId="152" fillId="2" borderId="41" applyAlignment="1" applyProtection="1" pivotButton="0" quotePrefix="0" xfId="247">
      <alignment vertical="center"/>
      <protection locked="0" hidden="0"/>
    </xf>
    <xf numFmtId="0" fontId="12" fillId="0" borderId="0" applyAlignment="1" applyProtection="1" pivotButton="0" quotePrefix="0" xfId="127">
      <alignment vertical="center"/>
      <protection locked="0" hidden="0"/>
    </xf>
    <xf numFmtId="0" fontId="2" fillId="0" borderId="0" applyAlignment="1" applyProtection="1" pivotButton="0" quotePrefix="0" xfId="127">
      <alignment horizontal="right" vertical="center"/>
      <protection locked="0" hidden="0"/>
    </xf>
    <xf numFmtId="0" fontId="15" fillId="0" borderId="0" applyAlignment="1" applyProtection="1" pivotButton="0" quotePrefix="0" xfId="121">
      <alignment vertical="center"/>
      <protection locked="0" hidden="0"/>
    </xf>
    <xf numFmtId="0" fontId="15" fillId="8" borderId="0" applyAlignment="1" applyProtection="1" pivotButton="0" quotePrefix="0" xfId="121">
      <alignment vertical="center"/>
      <protection locked="0" hidden="0"/>
    </xf>
    <xf numFmtId="0" fontId="5" fillId="2" borderId="74" applyAlignment="1" applyProtection="1" pivotButton="0" quotePrefix="0" xfId="315">
      <alignment horizontal="centerContinuous" vertical="center"/>
      <protection locked="0" hidden="0"/>
    </xf>
    <xf numFmtId="0" fontId="19" fillId="7" borderId="30" applyAlignment="1" pivotButton="0" quotePrefix="0" xfId="126">
      <alignment horizontal="center" vertical="center" wrapText="1"/>
    </xf>
    <xf numFmtId="0" fontId="19" fillId="7" borderId="30" applyAlignment="1" pivotButton="0" quotePrefix="0" xfId="0">
      <alignment horizontal="center" vertical="center" wrapText="1"/>
    </xf>
    <xf numFmtId="0" fontId="144" fillId="0" borderId="68" applyAlignment="1" pivotButton="0" quotePrefix="0" xfId="371">
      <alignment horizontal="center" vertical="center" wrapText="1"/>
    </xf>
    <xf numFmtId="0" fontId="16" fillId="13" borderId="30" applyAlignment="1" pivotButton="0" quotePrefix="0" xfId="247">
      <alignment horizontal="center" vertical="center"/>
    </xf>
    <xf numFmtId="0" fontId="16" fillId="13" borderId="30" applyAlignment="1" pivotButton="0" quotePrefix="0" xfId="247">
      <alignment horizontal="center" vertical="center" wrapText="1"/>
    </xf>
    <xf numFmtId="0" fontId="2" fillId="0" borderId="30" applyAlignment="1" pivotButton="0" quotePrefix="0" xfId="247">
      <alignment horizontal="center" vertical="center"/>
    </xf>
    <xf numFmtId="14" fontId="62" fillId="4" borderId="13" applyAlignment="1" pivotButton="0" quotePrefix="0" xfId="0">
      <alignment horizontal="right" vertical="center"/>
    </xf>
    <xf numFmtId="0" fontId="16" fillId="7" borderId="79" applyAlignment="1" pivotButton="0" quotePrefix="0" xfId="132">
      <alignment vertical="center"/>
    </xf>
    <xf numFmtId="169" fontId="15" fillId="0" borderId="52" applyAlignment="1" applyProtection="1" pivotButton="0" quotePrefix="0" xfId="1">
      <alignment vertical="center"/>
      <protection locked="0" hidden="0"/>
    </xf>
    <xf numFmtId="0" fontId="122" fillId="7" borderId="0" applyAlignment="1" pivotButton="0" quotePrefix="0" xfId="0">
      <alignment vertical="center"/>
    </xf>
    <xf numFmtId="0" fontId="2" fillId="0" borderId="0" applyAlignment="1" applyProtection="1" pivotButton="0" quotePrefix="0" xfId="0">
      <alignment horizontal="center" vertical="center"/>
      <protection locked="0" hidden="0"/>
    </xf>
    <xf numFmtId="0" fontId="16" fillId="7" borderId="77" applyAlignment="1" pivotButton="0" quotePrefix="0" xfId="0">
      <alignment horizontal="center" vertical="center"/>
    </xf>
    <xf numFmtId="0" fontId="16" fillId="7" borderId="16" applyAlignment="1" pivotButton="0" quotePrefix="0" xfId="0">
      <alignment horizontal="center" vertical="center"/>
    </xf>
    <xf numFmtId="0" fontId="153" fillId="0" borderId="0" applyAlignment="1" pivotButton="0" quotePrefix="0" xfId="0">
      <alignment horizontal="left" vertical="center"/>
    </xf>
    <xf numFmtId="14" fontId="16" fillId="4" borderId="13" applyAlignment="1" pivotButton="0" quotePrefix="0" xfId="0">
      <alignment horizontal="right" vertical="center"/>
    </xf>
    <xf numFmtId="168" fontId="16" fillId="4" borderId="13" applyAlignment="1" pivotButton="0" quotePrefix="0" xfId="0">
      <alignment horizontal="right" vertical="center"/>
    </xf>
    <xf numFmtId="10" fontId="15" fillId="0" borderId="0" applyAlignment="1" applyProtection="1" pivotButton="0" quotePrefix="0" xfId="2">
      <alignment vertical="center"/>
      <protection locked="0" hidden="0"/>
    </xf>
    <xf numFmtId="10" fontId="15" fillId="0" borderId="72" applyAlignment="1" applyProtection="1" pivotButton="0" quotePrefix="0" xfId="2">
      <alignment horizontal="right" vertical="center" shrinkToFit="1"/>
      <protection locked="0" hidden="0"/>
    </xf>
    <xf numFmtId="0" fontId="11" fillId="0" borderId="0" applyAlignment="1" applyProtection="1" pivotButton="0" quotePrefix="0" xfId="138">
      <alignment horizontal="center" vertical="center"/>
      <protection locked="0" hidden="0"/>
    </xf>
    <xf numFmtId="0" fontId="28" fillId="0" borderId="62" applyAlignment="1" pivotButton="0" quotePrefix="0" xfId="0">
      <alignment horizontal="left" vertical="center" wrapText="1"/>
    </xf>
    <xf numFmtId="0" fontId="15" fillId="0" borderId="0" applyAlignment="1" applyProtection="1" pivotButton="0" quotePrefix="0" xfId="128">
      <alignment horizontal="left" vertical="center"/>
      <protection locked="0" hidden="0"/>
    </xf>
    <xf numFmtId="0" fontId="15" fillId="0" borderId="77" applyAlignment="1" applyProtection="1" pivotButton="0" quotePrefix="0" xfId="128">
      <alignment horizontal="left" vertical="center"/>
      <protection locked="0" hidden="0"/>
    </xf>
    <xf numFmtId="0" fontId="15" fillId="0" borderId="77" applyAlignment="1" pivotButton="0" quotePrefix="0" xfId="128">
      <alignment horizontal="left" vertical="center"/>
    </xf>
    <xf numFmtId="0" fontId="15" fillId="8" borderId="0" applyAlignment="1" applyProtection="1" pivotButton="0" quotePrefix="0" xfId="247">
      <alignment horizontal="left" vertical="center"/>
      <protection locked="0" hidden="0"/>
    </xf>
    <xf numFmtId="168" fontId="15" fillId="0" borderId="77" applyAlignment="1" applyProtection="1" pivotButton="0" quotePrefix="0" xfId="128">
      <alignment horizontal="right" vertical="center"/>
      <protection locked="0" hidden="0"/>
    </xf>
    <xf numFmtId="0" fontId="12" fillId="0" borderId="0" applyAlignment="1" pivotButton="0" quotePrefix="0" xfId="143">
      <alignment horizontal="right" vertical="top" wrapText="1"/>
    </xf>
    <xf numFmtId="49" fontId="15" fillId="0" borderId="77" applyAlignment="1" pivotButton="0" quotePrefix="0" xfId="128">
      <alignment horizontal="left" vertical="center"/>
    </xf>
    <xf numFmtId="0" fontId="155" fillId="7" borderId="30" applyAlignment="1" pivotButton="0" quotePrefix="0" xfId="143">
      <alignment horizontal="left" vertical="center" wrapText="1"/>
    </xf>
    <xf numFmtId="0" fontId="14" fillId="0" borderId="0" pivotButton="0" quotePrefix="0" xfId="253"/>
    <xf numFmtId="0" fontId="2" fillId="0" borderId="0" pivotButton="0" quotePrefix="0" xfId="253"/>
    <xf numFmtId="0" fontId="14" fillId="0" borderId="0" applyAlignment="1" pivotButton="0" quotePrefix="0" xfId="253">
      <alignment vertical="center" wrapText="1"/>
    </xf>
    <xf numFmtId="0" fontId="138" fillId="0" borderId="0" applyAlignment="1" applyProtection="1" pivotButton="0" quotePrefix="0" xfId="128">
      <alignment horizontal="left" vertical="center"/>
      <protection locked="0" hidden="0"/>
    </xf>
    <xf numFmtId="0" fontId="138" fillId="0" borderId="0" applyAlignment="1" applyProtection="1" pivotButton="0" quotePrefix="0" xfId="128">
      <alignment horizontal="left" vertical="center" indent="1"/>
      <protection locked="0" hidden="0"/>
    </xf>
    <xf numFmtId="0" fontId="11" fillId="0" borderId="0" applyAlignment="1" applyProtection="1" pivotButton="0" quotePrefix="0" xfId="133">
      <alignment horizontal="left" vertical="center"/>
      <protection locked="0" hidden="0"/>
    </xf>
    <xf numFmtId="0" fontId="19" fillId="56" borderId="77" applyAlignment="1" pivotButton="0" quotePrefix="0" xfId="0">
      <alignment horizontal="center" vertical="center" wrapText="1"/>
    </xf>
    <xf numFmtId="0" fontId="15" fillId="0" borderId="0" applyAlignment="1" pivotButton="0" quotePrefix="0" xfId="371">
      <alignment vertical="center"/>
    </xf>
    <xf numFmtId="49" fontId="15" fillId="0" borderId="30" applyAlignment="1" pivotButton="0" quotePrefix="0" xfId="128">
      <alignment horizontal="left" vertical="center" wrapText="1"/>
    </xf>
    <xf numFmtId="49" fontId="15" fillId="0" borderId="30" applyAlignment="1" applyProtection="1" pivotButton="0" quotePrefix="0" xfId="157">
      <alignment horizontal="left" vertical="center" wrapText="1"/>
      <protection locked="0" hidden="0"/>
    </xf>
    <xf numFmtId="0" fontId="17" fillId="0" borderId="33" applyAlignment="1" pivotButton="0" quotePrefix="0" xfId="247">
      <alignment horizontal="center" vertical="center" wrapText="1"/>
    </xf>
    <xf numFmtId="0" fontId="126" fillId="7" borderId="30" applyAlignment="1" applyProtection="1" pivotButton="0" quotePrefix="0" xfId="153">
      <alignment horizontal="center" vertical="center" wrapText="1"/>
      <protection locked="0" hidden="0"/>
    </xf>
    <xf numFmtId="0" fontId="11" fillId="7" borderId="33" applyAlignment="1" applyProtection="1" pivotButton="0" quotePrefix="0" xfId="0">
      <alignment horizontal="centerContinuous" vertical="center" wrapText="1"/>
      <protection locked="0" hidden="0"/>
    </xf>
    <xf numFmtId="0" fontId="11" fillId="56" borderId="77" applyAlignment="1" pivotButton="0" quotePrefix="0" xfId="0">
      <alignment horizontal="center" vertical="center" wrapText="1"/>
    </xf>
    <xf numFmtId="0" fontId="11" fillId="0" borderId="0" pivotButton="0" quotePrefix="0" xfId="371"/>
    <xf numFmtId="0" fontId="2" fillId="0" borderId="0" applyAlignment="1" pivotButton="0" quotePrefix="0" xfId="0">
      <alignment horizontal="center" vertical="center"/>
    </xf>
    <xf numFmtId="0" fontId="11" fillId="7" borderId="56" applyAlignment="1" applyProtection="1" pivotButton="0" quotePrefix="0" xfId="0">
      <alignment vertical="center"/>
      <protection locked="0" hidden="0"/>
    </xf>
    <xf numFmtId="49" fontId="156" fillId="6" borderId="0" applyAlignment="1" pivotButton="0" quotePrefix="0" xfId="127">
      <alignment vertical="center"/>
    </xf>
    <xf numFmtId="0" fontId="120" fillId="6" borderId="0" applyAlignment="1" pivotButton="0" quotePrefix="0" xfId="127">
      <alignment vertical="center"/>
    </xf>
    <xf numFmtId="0" fontId="28" fillId="0" borderId="0" applyAlignment="1" applyProtection="1" pivotButton="0" quotePrefix="0" xfId="0">
      <alignment wrapText="1"/>
      <protection locked="0" hidden="0"/>
    </xf>
    <xf numFmtId="0" fontId="28" fillId="6" borderId="0" applyAlignment="1" pivotButton="0" quotePrefix="0" xfId="127">
      <alignment vertical="center"/>
    </xf>
    <xf numFmtId="0" fontId="28" fillId="0" borderId="0" applyAlignment="1" pivotButton="0" quotePrefix="0" xfId="127">
      <alignment vertical="center"/>
    </xf>
    <xf numFmtId="0" fontId="28" fillId="8" borderId="0" applyAlignment="1" pivotButton="0" quotePrefix="0" xfId="127">
      <alignment vertical="center"/>
    </xf>
    <xf numFmtId="0" fontId="17" fillId="0" borderId="77" applyAlignment="1" pivotButton="0" quotePrefix="0" xfId="127">
      <alignment vertical="center"/>
    </xf>
    <xf numFmtId="0" fontId="17" fillId="0" borderId="53" applyAlignment="1" pivotButton="0" quotePrefix="0" xfId="127">
      <alignment vertical="center"/>
    </xf>
    <xf numFmtId="49" fontId="17" fillId="0" borderId="77" applyAlignment="1" pivotButton="0" quotePrefix="0" xfId="0">
      <alignment horizontal="left"/>
    </xf>
    <xf numFmtId="49" fontId="17" fillId="0" borderId="53" applyAlignment="1" pivotButton="0" quotePrefix="0" xfId="0">
      <alignment horizontal="left"/>
    </xf>
    <xf numFmtId="14" fontId="17" fillId="0" borderId="75" applyAlignment="1" applyProtection="1" pivotButton="0" quotePrefix="0" xfId="0">
      <alignment horizontal="left" vertical="center"/>
      <protection locked="0" hidden="0"/>
    </xf>
    <xf numFmtId="12" fontId="19" fillId="7" borderId="14" applyAlignment="1" applyProtection="1" pivotButton="0" quotePrefix="0" xfId="128">
      <alignment horizontal="center" vertical="center" wrapText="1"/>
      <protection locked="0" hidden="0"/>
    </xf>
    <xf numFmtId="12" fontId="19" fillId="7" borderId="11" applyAlignment="1" applyProtection="1" pivotButton="0" quotePrefix="0" xfId="128">
      <alignment horizontal="center" vertical="center" wrapText="1"/>
      <protection locked="0" hidden="0"/>
    </xf>
    <xf numFmtId="12" fontId="19" fillId="7" borderId="15" applyAlignment="1" applyProtection="1" pivotButton="0" quotePrefix="0" xfId="128">
      <alignment horizontal="center" vertical="center" wrapText="1"/>
      <protection locked="0" hidden="0"/>
    </xf>
    <xf numFmtId="43" fontId="18" fillId="0" borderId="13" applyAlignment="1" pivotButton="0" quotePrefix="0" xfId="65">
      <alignment horizontal="center" vertical="center"/>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0" fontId="18" fillId="0" borderId="13" applyAlignment="1" pivotButton="0" quotePrefix="0" xfId="128">
      <alignment horizontal="center" vertical="center"/>
    </xf>
    <xf numFmtId="0" fontId="2" fillId="0" borderId="7" applyAlignment="1" pivotButton="0" quotePrefix="0" xfId="128">
      <alignment horizontal="center" vertical="center"/>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3" applyAlignment="1" pivotButton="0" quotePrefix="0" xfId="65">
      <alignment horizontal="right" vertical="center" shrinkToFit="1"/>
    </xf>
    <xf numFmtId="164" fontId="2" fillId="0" borderId="9" applyAlignment="1" pivotButton="0" quotePrefix="0" xfId="65">
      <alignment horizontal="right" vertical="center" shrinkToFit="1"/>
    </xf>
    <xf numFmtId="0" fontId="19" fillId="0" borderId="0" applyAlignment="1" pivotButton="0" quotePrefix="0" xfId="0">
      <alignment vertical="center"/>
    </xf>
    <xf numFmtId="0" fontId="17" fillId="0" borderId="71" applyAlignment="1" pivotButton="0" quotePrefix="0" xfId="0">
      <alignment horizontal="left" vertical="center"/>
    </xf>
    <xf numFmtId="0" fontId="17" fillId="0" borderId="75" applyAlignment="1" pivotButton="0" quotePrefix="0" xfId="0">
      <alignment horizontal="left" vertical="center"/>
    </xf>
    <xf numFmtId="0" fontId="17" fillId="0" borderId="53" applyAlignment="1" pivotButton="0" quotePrefix="0" xfId="0">
      <alignment horizontal="left" vertical="center"/>
    </xf>
    <xf numFmtId="0" fontId="17" fillId="0" borderId="73" applyAlignment="1" pivotButton="0" quotePrefix="0" xfId="0">
      <alignment horizontal="left" vertical="center"/>
    </xf>
    <xf numFmtId="0" fontId="17" fillId="0" borderId="48" applyAlignment="1" pivotButton="0" quotePrefix="0" xfId="0">
      <alignment horizontal="left" vertical="center"/>
    </xf>
    <xf numFmtId="49" fontId="17" fillId="0" borderId="77" applyAlignment="1" pivotButton="0" quotePrefix="0" xfId="0">
      <alignment horizontal="left" vertical="center"/>
    </xf>
    <xf numFmtId="49" fontId="17" fillId="0" borderId="53" applyAlignment="1" pivotButton="0" quotePrefix="0" xfId="0">
      <alignment horizontal="left" vertical="center"/>
    </xf>
    <xf numFmtId="168" fontId="17" fillId="0" borderId="77" applyAlignment="1" pivotButton="0" quotePrefix="0" xfId="0">
      <alignment horizontal="right" vertical="center"/>
    </xf>
    <xf numFmtId="168" fontId="17" fillId="0" borderId="53" applyAlignment="1" pivotButton="0" quotePrefix="0" xfId="0">
      <alignment horizontal="right" vertical="center"/>
    </xf>
    <xf numFmtId="0" fontId="17" fillId="0" borderId="77" applyAlignment="1" pivotButton="0" quotePrefix="0" xfId="0">
      <alignment horizontal="center" vertical="center"/>
    </xf>
    <xf numFmtId="0" fontId="17" fillId="0" borderId="77" applyAlignment="1" pivotButton="0" quotePrefix="0" xfId="0">
      <alignment horizontal="center" vertical="center" wrapText="1"/>
    </xf>
    <xf numFmtId="0" fontId="15" fillId="0" borderId="30" applyAlignment="1" pivotButton="0" quotePrefix="0" xfId="371">
      <alignment horizontal="left" vertical="center" wrapText="1"/>
    </xf>
    <xf numFmtId="0" fontId="15" fillId="0" borderId="30" applyAlignment="1" pivotButton="0" quotePrefix="0" xfId="0">
      <alignment horizontal="left" vertical="center" wrapText="1"/>
    </xf>
    <xf numFmtId="0" fontId="15" fillId="0" borderId="77" applyAlignment="1" applyProtection="1" pivotButton="0" quotePrefix="0" xfId="0">
      <alignment horizontal="left" vertical="center"/>
      <protection locked="0" hidden="0"/>
    </xf>
    <xf numFmtId="0" fontId="15" fillId="0" borderId="30" applyAlignment="1" applyProtection="1" pivotButton="0" quotePrefix="0" xfId="369">
      <alignment horizontal="center" vertical="center"/>
      <protection locked="0" hidden="0"/>
    </xf>
    <xf numFmtId="0" fontId="15" fillId="0" borderId="30" applyAlignment="1" pivotButton="0" quotePrefix="0" xfId="247">
      <alignment horizontal="left" vertical="center" wrapText="1"/>
    </xf>
    <xf numFmtId="43" fontId="15" fillId="0" borderId="0" applyAlignment="1" pivotButton="0" quotePrefix="0" xfId="0">
      <alignment horizontal="left" vertical="center" shrinkToFit="1"/>
    </xf>
    <xf numFmtId="0" fontId="15" fillId="0" borderId="41" applyAlignment="1" applyProtection="1" pivotButton="0" quotePrefix="0" xfId="260">
      <alignment horizontal="left" vertical="center"/>
      <protection locked="0" hidden="0"/>
    </xf>
    <xf numFmtId="0" fontId="15" fillId="0" borderId="43" applyAlignment="1" applyProtection="1" pivotButton="0" quotePrefix="0" xfId="260">
      <alignment horizontal="left" vertical="center"/>
      <protection locked="0" hidden="0"/>
    </xf>
    <xf numFmtId="0" fontId="15" fillId="0" borderId="45" applyAlignment="1" applyProtection="1" pivotButton="0" quotePrefix="0" xfId="260">
      <alignment horizontal="left" vertical="center"/>
      <protection locked="0" hidden="0"/>
    </xf>
    <xf numFmtId="0" fontId="15" fillId="0" borderId="24" applyAlignment="1" pivotButton="0" quotePrefix="0" xfId="0">
      <alignment horizontal="left" vertical="center"/>
    </xf>
    <xf numFmtId="0" fontId="15" fillId="0" borderId="42" applyAlignment="1" pivotButton="0" quotePrefix="0" xfId="0">
      <alignment horizontal="left" vertical="center"/>
    </xf>
    <xf numFmtId="0" fontId="15" fillId="0" borderId="0" applyAlignment="1" applyProtection="1" pivotButton="0" quotePrefix="0" xfId="260">
      <alignment horizontal="left" vertical="center"/>
      <protection locked="0" hidden="0"/>
    </xf>
    <xf numFmtId="0" fontId="15" fillId="0" borderId="44" applyAlignment="1" pivotButton="0" quotePrefix="0" xfId="0">
      <alignment horizontal="left" vertical="center"/>
    </xf>
    <xf numFmtId="0" fontId="15" fillId="0" borderId="39" applyAlignment="1" applyProtection="1" pivotButton="0" quotePrefix="0" xfId="260">
      <alignment horizontal="left" vertical="center"/>
      <protection locked="0" hidden="0"/>
    </xf>
    <xf numFmtId="0" fontId="15" fillId="0" borderId="40" applyAlignment="1" applyProtection="1" pivotButton="0" quotePrefix="0" xfId="260">
      <alignment horizontal="left" vertical="center"/>
      <protection locked="0" hidden="0"/>
    </xf>
    <xf numFmtId="169" fontId="10" fillId="0" borderId="72" applyAlignment="1" pivotButton="0" quotePrefix="0" xfId="128">
      <alignment horizontal="right" vertical="center" shrinkToFit="1"/>
    </xf>
    <xf numFmtId="169" fontId="10" fillId="0" borderId="0" applyAlignment="1" applyProtection="1" pivotButton="0" quotePrefix="0" xfId="143">
      <alignment horizontal="right" vertical="center" shrinkToFit="1"/>
      <protection locked="0" hidden="0"/>
    </xf>
    <xf numFmtId="43" fontId="15" fillId="0" borderId="30" applyAlignment="1" pivotButton="0" quotePrefix="0" xfId="138">
      <alignment horizontal="right" vertical="center" shrinkToFit="1"/>
    </xf>
    <xf numFmtId="43" fontId="15" fillId="0" borderId="30" applyAlignment="1" pivotButton="0" quotePrefix="0" xfId="253">
      <alignment horizontal="right" vertical="center"/>
    </xf>
    <xf numFmtId="172" fontId="15" fillId="0" borderId="30" applyAlignment="1" pivotButton="0" quotePrefix="0" xfId="253">
      <alignment horizontal="right" vertical="center"/>
    </xf>
    <xf numFmtId="14" fontId="2" fillId="0" borderId="30" applyAlignment="1" pivotButton="0" quotePrefix="0" xfId="253">
      <alignment horizontal="left" vertical="center"/>
    </xf>
    <xf numFmtId="43" fontId="15" fillId="0" borderId="30" applyAlignment="1" applyProtection="1" pivotButton="0" quotePrefix="0" xfId="157">
      <alignment horizontal="right" vertical="center" wrapText="1" shrinkToFit="1"/>
      <protection locked="0" hidden="0"/>
    </xf>
    <xf numFmtId="0" fontId="157" fillId="0" borderId="77" applyAlignment="1" pivotButton="0" quotePrefix="0" xfId="128">
      <alignment horizontal="left" vertical="center" wrapTex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14" fontId="17" fillId="0" borderId="45" applyAlignment="1" applyProtection="1" pivotButton="0" quotePrefix="0" xfId="0">
      <alignment horizontal="left" vertical="center"/>
      <protection locked="0" hidden="0"/>
    </xf>
    <xf numFmtId="43" fontId="15" fillId="0" borderId="0" applyAlignment="1" pivotButton="0" quotePrefix="0" xfId="1">
      <alignment horizontal="right" vertical="center" shrinkToFit="1"/>
    </xf>
    <xf numFmtId="43" fontId="15" fillId="0" borderId="0" applyAlignment="1" pivotButton="0" quotePrefix="0" xfId="1">
      <alignment horizontal="right" vertical="center" shrinkToFit="1"/>
    </xf>
    <xf numFmtId="43" fontId="15" fillId="6" borderId="0" applyAlignment="1" pivotButton="0" quotePrefix="0" xfId="1">
      <alignment horizontal="right" vertical="center" shrinkToFit="1"/>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0" fontId="158" fillId="0" borderId="0" applyAlignment="1" pivotButton="0" quotePrefix="0" xfId="247">
      <alignment vertical="center"/>
    </xf>
    <xf numFmtId="0" fontId="2" fillId="0" borderId="30" applyAlignment="1" pivotButton="0" quotePrefix="0" xfId="247">
      <alignment horizontal="center" vertical="center" wrapText="1"/>
    </xf>
    <xf numFmtId="0" fontId="153" fillId="0" borderId="0" applyAlignment="1" pivotButton="0" quotePrefix="0" xfId="0">
      <alignment horizontal="left" vertical="center" wrapText="1"/>
    </xf>
    <xf numFmtId="0" fontId="16" fillId="7" borderId="30" applyAlignment="1" pivotButton="0" quotePrefix="0" xfId="0">
      <alignment horizontal="center" vertical="center" wrapText="1"/>
    </xf>
    <xf numFmtId="49" fontId="17" fillId="0" borderId="57" applyAlignment="1" pivotButton="0" quotePrefix="0" xfId="247">
      <alignment horizontal="center" vertical="center" wrapText="1"/>
    </xf>
    <xf numFmtId="49" fontId="17" fillId="0" borderId="32" applyAlignment="1" pivotButton="0" quotePrefix="0" xfId="247">
      <alignment horizontal="center" vertical="center" wrapText="1"/>
    </xf>
    <xf numFmtId="0" fontId="2" fillId="0" borderId="30" applyAlignment="1" pivotButton="0" quotePrefix="0" xfId="247">
      <alignment horizontal="center" vertical="center" wrapText="1"/>
    </xf>
    <xf numFmtId="0" fontId="2" fillId="0" borderId="57" applyAlignment="1" pivotButton="0" quotePrefix="0" xfId="247">
      <alignment horizontal="center" vertical="center" wrapText="1"/>
    </xf>
    <xf numFmtId="0" fontId="2" fillId="0" borderId="32" applyAlignment="1" pivotButton="0" quotePrefix="0" xfId="247">
      <alignment horizontal="center" vertical="center" wrapText="1"/>
    </xf>
    <xf numFmtId="0" fontId="2" fillId="0" borderId="33" applyAlignment="1" pivotButton="0" quotePrefix="0" xfId="247">
      <alignment horizontal="left" vertical="center" wrapText="1"/>
    </xf>
    <xf numFmtId="0" fontId="2" fillId="0" borderId="25" applyAlignment="1" pivotButton="0" quotePrefix="0" xfId="247">
      <alignment horizontal="left" vertical="center" wrapText="1"/>
    </xf>
    <xf numFmtId="0" fontId="2" fillId="0" borderId="68" applyAlignment="1" pivotButton="0" quotePrefix="0" xfId="247">
      <alignment horizontal="left" vertical="center" wrapText="1"/>
    </xf>
    <xf numFmtId="0" fontId="17" fillId="0" borderId="41" applyAlignment="1" pivotButton="0" quotePrefix="0" xfId="247">
      <alignment horizontal="left" vertical="center" wrapText="1"/>
    </xf>
    <xf numFmtId="0" fontId="17" fillId="0" borderId="24" applyAlignment="1" pivotButton="0" quotePrefix="0" xfId="247">
      <alignment horizontal="left" vertical="center" wrapText="1"/>
    </xf>
    <xf numFmtId="0" fontId="17" fillId="0" borderId="42" applyAlignment="1" pivotButton="0" quotePrefix="0" xfId="247">
      <alignment horizontal="left" vertical="center" wrapText="1"/>
    </xf>
    <xf numFmtId="0" fontId="17" fillId="0" borderId="45" applyAlignment="1" pivotButton="0" quotePrefix="0" xfId="247">
      <alignment horizontal="left" vertical="center" wrapText="1"/>
    </xf>
    <xf numFmtId="0" fontId="17" fillId="0" borderId="39" applyAlignment="1" pivotButton="0" quotePrefix="0" xfId="247">
      <alignment horizontal="left" vertical="center" wrapText="1"/>
    </xf>
    <xf numFmtId="0" fontId="17" fillId="0" borderId="40" applyAlignment="1" pivotButton="0" quotePrefix="0" xfId="247">
      <alignment horizontal="left" vertical="center" wrapText="1"/>
    </xf>
    <xf numFmtId="0" fontId="16" fillId="13" borderId="33" applyAlignment="1" pivotButton="0" quotePrefix="0" xfId="247">
      <alignment horizontal="left" vertical="center"/>
    </xf>
    <xf numFmtId="0" fontId="16" fillId="13" borderId="25" applyAlignment="1" pivotButton="0" quotePrefix="0" xfId="247">
      <alignment horizontal="left" vertical="center"/>
    </xf>
    <xf numFmtId="0" fontId="16" fillId="13" borderId="68" applyAlignment="1" pivotButton="0" quotePrefix="0" xfId="247">
      <alignment horizontal="left" vertical="center"/>
    </xf>
    <xf numFmtId="0" fontId="19" fillId="13" borderId="33" applyAlignment="1" pivotButton="0" quotePrefix="0" xfId="247">
      <alignment horizontal="left" vertical="center"/>
    </xf>
    <xf numFmtId="0" fontId="19" fillId="13" borderId="25" applyAlignment="1" pivotButton="0" quotePrefix="0" xfId="247">
      <alignment horizontal="left" vertical="center"/>
    </xf>
    <xf numFmtId="0" fontId="19" fillId="13" borderId="68" applyAlignment="1" pivotButton="0" quotePrefix="0" xfId="247">
      <alignment horizontal="left" vertical="center"/>
    </xf>
    <xf numFmtId="0" fontId="2" fillId="0" borderId="41" applyAlignment="1" pivotButton="0" quotePrefix="0" xfId="247">
      <alignment horizontal="left" vertical="center" wrapText="1"/>
    </xf>
    <xf numFmtId="0" fontId="2" fillId="0" borderId="24" applyAlignment="1" pivotButton="0" quotePrefix="0" xfId="247">
      <alignment horizontal="left" vertical="center" wrapText="1"/>
    </xf>
    <xf numFmtId="0" fontId="2" fillId="0" borderId="42" applyAlignment="1" pivotButton="0" quotePrefix="0" xfId="247">
      <alignment horizontal="left" vertical="center" wrapText="1"/>
    </xf>
    <xf numFmtId="0" fontId="2" fillId="0" borderId="45" applyAlignment="1" pivotButton="0" quotePrefix="0" xfId="247">
      <alignment horizontal="left" vertical="center" wrapText="1"/>
    </xf>
    <xf numFmtId="0" fontId="2" fillId="0" borderId="39" applyAlignment="1" pivotButton="0" quotePrefix="0" xfId="247">
      <alignment horizontal="left" vertical="center" wrapText="1"/>
    </xf>
    <xf numFmtId="0" fontId="2" fillId="0" borderId="40" applyAlignment="1" pivotButton="0" quotePrefix="0" xfId="247">
      <alignment horizontal="left" vertical="center" wrapText="1"/>
    </xf>
    <xf numFmtId="0" fontId="16" fillId="13" borderId="33" applyAlignment="1" pivotButton="0" quotePrefix="0" xfId="247">
      <alignment horizontal="left" vertical="center" wrapText="1"/>
    </xf>
    <xf numFmtId="0" fontId="16" fillId="13" borderId="25" applyAlignment="1" pivotButton="0" quotePrefix="0" xfId="247">
      <alignment horizontal="left" vertical="center" wrapText="1"/>
    </xf>
    <xf numFmtId="0" fontId="16" fillId="13" borderId="68" applyAlignment="1" pivotButton="0" quotePrefix="0" xfId="247">
      <alignment horizontal="left" vertical="center" wrapText="1"/>
    </xf>
    <xf numFmtId="0" fontId="16" fillId="13" borderId="41" applyAlignment="1" pivotButton="0" quotePrefix="0" xfId="247">
      <alignment horizontal="left" vertical="center"/>
    </xf>
    <xf numFmtId="0" fontId="16" fillId="13" borderId="24" applyAlignment="1" pivotButton="0" quotePrefix="0" xfId="247">
      <alignment horizontal="left" vertical="center"/>
    </xf>
    <xf numFmtId="0" fontId="16" fillId="13" borderId="42" applyAlignment="1" pivotButton="0" quotePrefix="0" xfId="247">
      <alignment horizontal="left" vertical="center"/>
    </xf>
    <xf numFmtId="0" fontId="17" fillId="0" borderId="77" applyAlignment="1" pivotButton="0" quotePrefix="0" xfId="0">
      <alignment horizontal="left" vertical="center" wrapText="1"/>
    </xf>
    <xf numFmtId="0" fontId="2" fillId="0" borderId="77" applyAlignment="1" pivotButton="0" quotePrefix="0" xfId="247">
      <alignment horizontal="left" vertical="center" wrapText="1"/>
    </xf>
    <xf numFmtId="0" fontId="15" fillId="0" borderId="33" applyAlignment="1" pivotButton="0" quotePrefix="0" xfId="247">
      <alignment horizontal="left" vertical="center" wrapText="1"/>
    </xf>
    <xf numFmtId="0" fontId="15" fillId="0" borderId="25" applyAlignment="1" pivotButton="0" quotePrefix="0" xfId="247">
      <alignment horizontal="left" vertical="center" wrapText="1"/>
    </xf>
    <xf numFmtId="0" fontId="15" fillId="0" borderId="68" applyAlignment="1" pivotButton="0" quotePrefix="0" xfId="247">
      <alignment horizontal="left" vertical="center" wrapText="1"/>
    </xf>
    <xf numFmtId="0" fontId="17" fillId="0" borderId="33" applyAlignment="1" pivotButton="0" quotePrefix="0" xfId="247">
      <alignment horizontal="left" vertical="center" wrapText="1"/>
    </xf>
    <xf numFmtId="0" fontId="17" fillId="0" borderId="25" applyAlignment="1" pivotButton="0" quotePrefix="0" xfId="247">
      <alignment horizontal="left" vertical="center" wrapText="1"/>
    </xf>
    <xf numFmtId="0" fontId="17" fillId="0" borderId="68" applyAlignment="1" pivotButton="0" quotePrefix="0" xfId="247">
      <alignment horizontal="left" vertical="center" wrapText="1"/>
    </xf>
    <xf numFmtId="0" fontId="16" fillId="56" borderId="74" applyAlignment="1" pivotButton="0" quotePrefix="0" xfId="0">
      <alignment horizontal="center" vertical="center"/>
    </xf>
    <xf numFmtId="0" fontId="16" fillId="56" borderId="1" applyAlignment="1" pivotButton="0" quotePrefix="0" xfId="0">
      <alignment horizontal="center" vertical="center"/>
    </xf>
    <xf numFmtId="0" fontId="16" fillId="56" borderId="5" applyAlignment="1" pivotButton="0" quotePrefix="0" xfId="0">
      <alignment horizontal="center" vertical="center"/>
    </xf>
    <xf numFmtId="0" fontId="20" fillId="0" borderId="41" applyAlignment="1" applyProtection="1" pivotButton="0" quotePrefix="0" xfId="52">
      <alignment horizontal="left" vertical="center" wrapText="1"/>
      <protection locked="0" hidden="0"/>
    </xf>
    <xf numFmtId="0" fontId="125" fillId="0" borderId="24" applyAlignment="1" applyProtection="1" pivotButton="0" quotePrefix="0" xfId="52">
      <alignment horizontal="left" vertical="center" wrapText="1"/>
      <protection locked="0" hidden="0"/>
    </xf>
    <xf numFmtId="0" fontId="125" fillId="0" borderId="42" applyAlignment="1" applyProtection="1" pivotButton="0" quotePrefix="0" xfId="52">
      <alignment horizontal="left" vertical="center" wrapText="1"/>
      <protection locked="0" hidden="0"/>
    </xf>
    <xf numFmtId="0" fontId="125" fillId="0" borderId="43" applyAlignment="1" applyProtection="1" pivotButton="0" quotePrefix="0" xfId="52">
      <alignment horizontal="left" vertical="center" wrapText="1"/>
      <protection locked="0" hidden="0"/>
    </xf>
    <xf numFmtId="0" fontId="125" fillId="0" borderId="0" applyAlignment="1" applyProtection="1" pivotButton="0" quotePrefix="0" xfId="52">
      <alignment horizontal="left" vertical="center" wrapText="1"/>
      <protection locked="0" hidden="0"/>
    </xf>
    <xf numFmtId="0" fontId="125" fillId="0" borderId="44" applyAlignment="1" applyProtection="1" pivotButton="0" quotePrefix="0" xfId="52">
      <alignment horizontal="left" vertical="center" wrapText="1"/>
      <protection locked="0" hidden="0"/>
    </xf>
    <xf numFmtId="0" fontId="125" fillId="0" borderId="45" applyAlignment="1" applyProtection="1" pivotButton="0" quotePrefix="0" xfId="52">
      <alignment horizontal="left" vertical="center" wrapText="1"/>
      <protection locked="0" hidden="0"/>
    </xf>
    <xf numFmtId="0" fontId="125" fillId="0" borderId="39" applyAlignment="1" applyProtection="1" pivotButton="0" quotePrefix="0" xfId="52">
      <alignment horizontal="left" vertical="center" wrapText="1"/>
      <protection locked="0" hidden="0"/>
    </xf>
    <xf numFmtId="0" fontId="125" fillId="0" borderId="40" applyAlignment="1" applyProtection="1" pivotButton="0" quotePrefix="0" xfId="52">
      <alignment horizontal="left" vertical="center" wrapText="1"/>
      <protection locked="0" hidden="0"/>
    </xf>
    <xf numFmtId="0" fontId="153" fillId="0" borderId="0" applyAlignment="1" pivotButton="0" quotePrefix="0" xfId="0">
      <alignment horizontal="left" vertical="center" wrapText="1"/>
    </xf>
    <xf numFmtId="0" fontId="5" fillId="2" borderId="74" applyAlignment="1" applyProtection="1" pivotButton="0" quotePrefix="0" xfId="0">
      <alignment horizontal="center" vertical="center"/>
      <protection locked="0" hidden="0"/>
    </xf>
    <xf numFmtId="0" fontId="5" fillId="2" borderId="1" applyAlignment="1" applyProtection="1" pivotButton="0" quotePrefix="0" xfId="0">
      <alignment horizontal="center" vertical="center"/>
      <protection locked="0" hidden="0"/>
    </xf>
    <xf numFmtId="0" fontId="5" fillId="2" borderId="5" applyAlignment="1" applyProtection="1" pivotButton="0" quotePrefix="0" xfId="0">
      <alignment horizontal="center" vertical="center"/>
      <protection locked="0" hidden="0"/>
    </xf>
    <xf numFmtId="0" fontId="8" fillId="4" borderId="14" applyAlignment="1" pivotButton="0" quotePrefix="0" xfId="0">
      <alignment horizontal="left" vertical="center" wrapText="1" indent="20"/>
    </xf>
    <xf numFmtId="0" fontId="8" fillId="4" borderId="11" applyAlignment="1" pivotButton="0" quotePrefix="0" xfId="0">
      <alignment horizontal="left" vertical="center" wrapText="1" indent="20"/>
    </xf>
    <xf numFmtId="0" fontId="8" fillId="4" borderId="15" applyAlignment="1" pivotButton="0" quotePrefix="0" xfId="0">
      <alignment horizontal="left" vertical="center" wrapText="1" indent="20"/>
    </xf>
    <xf numFmtId="0" fontId="8" fillId="4" borderId="13" applyAlignment="1" pivotButton="0" quotePrefix="0" xfId="0">
      <alignment horizontal="left" vertical="center" wrapText="1" indent="20"/>
    </xf>
    <xf numFmtId="0" fontId="8" fillId="4" borderId="0" applyAlignment="1" pivotButton="0" quotePrefix="0" xfId="0">
      <alignment horizontal="left" vertical="center" wrapText="1" indent="20"/>
    </xf>
    <xf numFmtId="0" fontId="8" fillId="4" borderId="31" applyAlignment="1" pivotButton="0" quotePrefix="0" xfId="0">
      <alignment horizontal="left" vertical="center" wrapText="1" indent="20"/>
    </xf>
    <xf numFmtId="0" fontId="8" fillId="4" borderId="7" applyAlignment="1" pivotButton="0" quotePrefix="0" xfId="0">
      <alignment horizontal="left" vertical="center" wrapText="1" indent="20"/>
    </xf>
    <xf numFmtId="0" fontId="8" fillId="4" borderId="3" applyAlignment="1" pivotButton="0" quotePrefix="0" xfId="0">
      <alignment horizontal="left" vertical="center" wrapText="1" indent="20"/>
    </xf>
    <xf numFmtId="0" fontId="8" fillId="4" borderId="9" applyAlignment="1" pivotButton="0" quotePrefix="0" xfId="0">
      <alignment horizontal="left" vertical="center" wrapText="1" indent="20"/>
    </xf>
    <xf numFmtId="0" fontId="19" fillId="7" borderId="16" applyAlignment="1" applyProtection="1" pivotButton="0" quotePrefix="0" xfId="260">
      <alignment horizontal="center" vertical="center" wrapText="1"/>
      <protection locked="0" hidden="0"/>
    </xf>
    <xf numFmtId="0" fontId="19" fillId="7" borderId="12" applyAlignment="1" applyProtection="1" pivotButton="0" quotePrefix="0" xfId="260">
      <alignment horizontal="center" vertical="center" wrapText="1"/>
      <protection locked="0" hidden="0"/>
    </xf>
    <xf numFmtId="0" fontId="15" fillId="0" borderId="41" applyAlignment="1" pivotButton="0" quotePrefix="0" xfId="123">
      <alignment horizontal="left" vertical="center" wrapText="1"/>
    </xf>
    <xf numFmtId="0" fontId="15" fillId="0" borderId="24" applyAlignment="1" pivotButton="0" quotePrefix="0" xfId="123">
      <alignment horizontal="left" vertical="center" wrapText="1"/>
    </xf>
    <xf numFmtId="0" fontId="15" fillId="0" borderId="42" applyAlignment="1" pivotButton="0" quotePrefix="0" xfId="123">
      <alignment horizontal="left" vertical="center" wrapText="1"/>
    </xf>
    <xf numFmtId="0" fontId="15" fillId="0" borderId="43" applyAlignment="1" pivotButton="0" quotePrefix="0" xfId="123">
      <alignment horizontal="left" vertical="center" wrapText="1"/>
    </xf>
    <xf numFmtId="0" fontId="15" fillId="0" borderId="0" applyAlignment="1" pivotButton="0" quotePrefix="0" xfId="123">
      <alignment horizontal="left" vertical="center" wrapText="1"/>
    </xf>
    <xf numFmtId="0" fontId="15" fillId="0" borderId="44" applyAlignment="1" pivotButton="0" quotePrefix="0" xfId="123">
      <alignment horizontal="left" vertical="center" wrapText="1"/>
    </xf>
    <xf numFmtId="0" fontId="15" fillId="0" borderId="45" applyAlignment="1" pivotButton="0" quotePrefix="0" xfId="123">
      <alignment horizontal="left" vertical="center" wrapText="1"/>
    </xf>
    <xf numFmtId="0" fontId="15" fillId="0" borderId="39" applyAlignment="1" pivotButton="0" quotePrefix="0" xfId="123">
      <alignment horizontal="left" vertical="center" wrapText="1"/>
    </xf>
    <xf numFmtId="0" fontId="15" fillId="0" borderId="40" applyAlignment="1" pivotButton="0" quotePrefix="0" xfId="123">
      <alignment horizontal="left" vertical="center" wrapText="1"/>
    </xf>
    <xf numFmtId="14" fontId="19" fillId="7" borderId="3" applyAlignment="1" applyProtection="1" pivotButton="0" quotePrefix="0" xfId="260">
      <alignment horizontal="center" vertical="center" wrapText="1"/>
      <protection locked="0" hidden="0"/>
    </xf>
    <xf numFmtId="14" fontId="19" fillId="7" borderId="9" applyAlignment="1" applyProtection="1" pivotButton="0" quotePrefix="0" xfId="260">
      <alignment horizontal="center" vertical="center" wrapText="1"/>
      <protection locked="0" hidden="0"/>
    </xf>
    <xf numFmtId="0" fontId="16" fillId="7" borderId="30" applyAlignment="1" pivotButton="0" quotePrefix="0" xfId="0">
      <alignment horizontal="center" vertical="center" wrapText="1"/>
    </xf>
    <xf numFmtId="0" fontId="16" fillId="7" borderId="33" applyAlignment="1" pivotButton="0" quotePrefix="0" xfId="0">
      <alignment horizontal="center" vertical="center" wrapText="1"/>
    </xf>
    <xf numFmtId="0" fontId="16" fillId="7" borderId="74" applyAlignment="1" applyProtection="1" pivotButton="0" quotePrefix="0" xfId="0">
      <alignment horizontal="center" vertical="center" shrinkToFit="1"/>
      <protection locked="0" hidden="0"/>
    </xf>
    <xf numFmtId="0" fontId="16" fillId="7" borderId="1" applyAlignment="1" applyProtection="1" pivotButton="0" quotePrefix="0" xfId="0">
      <alignment horizontal="center" vertical="center" shrinkToFit="1"/>
      <protection locked="0" hidden="0"/>
    </xf>
    <xf numFmtId="0" fontId="16" fillId="7" borderId="5" applyAlignment="1" applyProtection="1" pivotButton="0" quotePrefix="0" xfId="0">
      <alignment horizontal="center" vertical="center" shrinkToFit="1"/>
      <protection locked="0" hidden="0"/>
    </xf>
    <xf numFmtId="167" fontId="121" fillId="7" borderId="74" applyAlignment="1" applyProtection="1" pivotButton="0" quotePrefix="0" xfId="159">
      <alignment horizontal="center" vertical="center"/>
      <protection locked="0" hidden="0"/>
    </xf>
    <xf numFmtId="167" fontId="121" fillId="7" borderId="5" applyAlignment="1" applyProtection="1" pivotButton="0" quotePrefix="0" xfId="159">
      <alignment horizontal="center" vertical="center"/>
      <protection locked="0" hidden="0"/>
    </xf>
    <xf numFmtId="0" fontId="16" fillId="7" borderId="74" applyAlignment="1" pivotButton="0" quotePrefix="0" xfId="0">
      <alignment horizontal="center" vertical="center"/>
    </xf>
    <xf numFmtId="0" fontId="16" fillId="7" borderId="5" applyAlignment="1" pivotButton="0" quotePrefix="0" xfId="0">
      <alignment horizontal="center" vertical="center"/>
    </xf>
    <xf numFmtId="0" fontId="22" fillId="0" borderId="41" applyAlignment="1" pivotButton="0" quotePrefix="0" xfId="128">
      <alignment horizontal="left" vertical="center" wrapText="1"/>
    </xf>
    <xf numFmtId="0" fontId="22" fillId="0" borderId="24" applyAlignment="1" pivotButton="0" quotePrefix="0" xfId="128">
      <alignment horizontal="left" vertical="center" wrapText="1"/>
    </xf>
    <xf numFmtId="0" fontId="22" fillId="0" borderId="42" applyAlignment="1" pivotButton="0" quotePrefix="0" xfId="128">
      <alignment horizontal="left" vertical="center" wrapText="1"/>
    </xf>
    <xf numFmtId="0" fontId="22" fillId="0" borderId="43" applyAlignment="1" pivotButton="0" quotePrefix="0" xfId="128">
      <alignment horizontal="left" vertical="center" wrapText="1"/>
    </xf>
    <xf numFmtId="0" fontId="22" fillId="0" borderId="0" applyAlignment="1" pivotButton="0" quotePrefix="0" xfId="128">
      <alignment horizontal="left" vertical="center" wrapText="1"/>
    </xf>
    <xf numFmtId="0" fontId="22" fillId="0" borderId="44" applyAlignment="1" pivotButton="0" quotePrefix="0" xfId="128">
      <alignment horizontal="left" vertical="center" wrapText="1"/>
    </xf>
    <xf numFmtId="0" fontId="22" fillId="0" borderId="45" applyAlignment="1" pivotButton="0" quotePrefix="0" xfId="128">
      <alignment horizontal="left" vertical="center" wrapText="1"/>
    </xf>
    <xf numFmtId="0" fontId="22" fillId="0" borderId="39" applyAlignment="1" pivotButton="0" quotePrefix="0" xfId="128">
      <alignment horizontal="left" vertical="center" wrapText="1"/>
    </xf>
    <xf numFmtId="0" fontId="22" fillId="0" borderId="40" applyAlignment="1" pivotButton="0" quotePrefix="0" xfId="128">
      <alignment horizontal="left" vertical="center" wrapText="1"/>
    </xf>
    <xf numFmtId="0" fontId="22" fillId="0" borderId="41" applyAlignment="1" pivotButton="0" quotePrefix="0" xfId="0">
      <alignment horizontal="left" vertical="center" wrapText="1"/>
    </xf>
    <xf numFmtId="0" fontId="22" fillId="0" borderId="24" applyAlignment="1" pivotButton="0" quotePrefix="0" xfId="0">
      <alignment horizontal="left" vertical="center" wrapText="1"/>
    </xf>
    <xf numFmtId="0" fontId="22" fillId="0" borderId="42" applyAlignment="1" pivotButton="0" quotePrefix="0" xfId="0">
      <alignment horizontal="left" vertical="center" wrapText="1"/>
    </xf>
    <xf numFmtId="0" fontId="22" fillId="0" borderId="43" applyAlignment="1" pivotButton="0" quotePrefix="0" xfId="0">
      <alignment horizontal="left" vertical="center" wrapText="1"/>
    </xf>
    <xf numFmtId="0" fontId="22" fillId="0" borderId="0" applyAlignment="1" pivotButton="0" quotePrefix="0" xfId="0">
      <alignment horizontal="left" vertical="center" wrapText="1"/>
    </xf>
    <xf numFmtId="0" fontId="22" fillId="0" borderId="44" applyAlignment="1" pivotButton="0" quotePrefix="0" xfId="0">
      <alignment horizontal="left" vertical="center" wrapText="1"/>
    </xf>
    <xf numFmtId="0" fontId="22" fillId="0" borderId="45" applyAlignment="1" pivotButton="0" quotePrefix="0" xfId="0">
      <alignment horizontal="left" vertical="center" wrapText="1"/>
    </xf>
    <xf numFmtId="0" fontId="22" fillId="0" borderId="39" applyAlignment="1" pivotButton="0" quotePrefix="0" xfId="0">
      <alignment horizontal="left" vertical="center" wrapText="1"/>
    </xf>
    <xf numFmtId="0" fontId="22" fillId="0" borderId="40" applyAlignment="1" pivotButton="0" quotePrefix="0" xfId="0">
      <alignment horizontal="left" vertical="center" wrapText="1"/>
    </xf>
    <xf numFmtId="0" fontId="17" fillId="0" borderId="7" applyAlignment="1" applyProtection="1" pivotButton="0" quotePrefix="0" xfId="0">
      <alignment horizontal="left" vertical="center" wrapText="1" indent="2"/>
      <protection locked="0" hidden="0"/>
    </xf>
    <xf numFmtId="0" fontId="15" fillId="0" borderId="3" applyAlignment="1" applyProtection="1" pivotButton="0" quotePrefix="0" xfId="0">
      <alignment horizontal="left" vertical="center" wrapText="1" indent="2"/>
      <protection locked="0" hidden="0"/>
    </xf>
    <xf numFmtId="0" fontId="15" fillId="0" borderId="9" applyAlignment="1" applyProtection="1" pivotButton="0" quotePrefix="0" xfId="0">
      <alignment horizontal="left" vertical="center" wrapText="1" indent="2"/>
      <protection locked="0" hidden="0"/>
    </xf>
    <xf numFmtId="0" fontId="11" fillId="56" borderId="74" applyAlignment="1" pivotButton="0" quotePrefix="0" xfId="0">
      <alignment horizontal="center" vertical="center"/>
    </xf>
    <xf numFmtId="0" fontId="11" fillId="56" borderId="5" applyAlignment="1" pivotButton="0" quotePrefix="0" xfId="0">
      <alignment horizontal="center" vertical="center"/>
    </xf>
    <xf numFmtId="0" fontId="125" fillId="0" borderId="41" applyAlignment="1" pivotButton="0" quotePrefix="0" xfId="123">
      <alignment horizontal="left" vertical="center" wrapText="1"/>
    </xf>
    <xf numFmtId="0" fontId="125" fillId="0" borderId="24" applyAlignment="1" pivotButton="0" quotePrefix="0" xfId="123">
      <alignment horizontal="left" vertical="center" wrapText="1"/>
    </xf>
    <xf numFmtId="0" fontId="125" fillId="0" borderId="42" applyAlignment="1" pivotButton="0" quotePrefix="0" xfId="123">
      <alignment horizontal="left" vertical="center" wrapText="1"/>
    </xf>
    <xf numFmtId="0" fontId="125" fillId="0" borderId="43" applyAlignment="1" pivotButton="0" quotePrefix="0" xfId="123">
      <alignment horizontal="left" vertical="center" wrapText="1"/>
    </xf>
    <xf numFmtId="0" fontId="125" fillId="0" borderId="0" applyAlignment="1" pivotButton="0" quotePrefix="0" xfId="123">
      <alignment horizontal="left" vertical="center" wrapText="1"/>
    </xf>
    <xf numFmtId="0" fontId="125" fillId="0" borderId="44" applyAlignment="1" pivotButton="0" quotePrefix="0" xfId="123">
      <alignment horizontal="left" vertical="center" wrapText="1"/>
    </xf>
    <xf numFmtId="0" fontId="125" fillId="0" borderId="45" applyAlignment="1" pivotButton="0" quotePrefix="0" xfId="123">
      <alignment horizontal="left" vertical="center" wrapText="1"/>
    </xf>
    <xf numFmtId="0" fontId="125" fillId="0" borderId="39" applyAlignment="1" pivotButton="0" quotePrefix="0" xfId="123">
      <alignment horizontal="left" vertical="center" wrapText="1"/>
    </xf>
    <xf numFmtId="0" fontId="125" fillId="0" borderId="40" applyAlignment="1" pivotButton="0" quotePrefix="0" xfId="123">
      <alignment horizontal="left" vertical="center" wrapText="1"/>
    </xf>
    <xf numFmtId="0" fontId="22" fillId="0" borderId="41" applyAlignment="1" pivotButton="0" quotePrefix="0" xfId="123">
      <alignment horizontal="left" vertical="center" wrapText="1"/>
    </xf>
    <xf numFmtId="0" fontId="22" fillId="0" borderId="24" applyAlignment="1" pivotButton="0" quotePrefix="0" xfId="123">
      <alignment horizontal="left" vertical="center" wrapText="1"/>
    </xf>
    <xf numFmtId="0" fontId="22" fillId="0" borderId="42" applyAlignment="1" pivotButton="0" quotePrefix="0" xfId="123">
      <alignment horizontal="left" vertical="center" wrapText="1"/>
    </xf>
    <xf numFmtId="0" fontId="22" fillId="0" borderId="43" applyAlignment="1" pivotButton="0" quotePrefix="0" xfId="123">
      <alignment horizontal="left" vertical="center" wrapText="1"/>
    </xf>
    <xf numFmtId="0" fontId="22" fillId="0" borderId="0" applyAlignment="1" pivotButton="0" quotePrefix="0" xfId="123">
      <alignment horizontal="left" vertical="center" wrapText="1"/>
    </xf>
    <xf numFmtId="0" fontId="22" fillId="0" borderId="44" applyAlignment="1" pivotButton="0" quotePrefix="0" xfId="123">
      <alignment horizontal="left" vertical="center" wrapText="1"/>
    </xf>
    <xf numFmtId="0" fontId="22" fillId="0" borderId="45" applyAlignment="1" pivotButton="0" quotePrefix="0" xfId="123">
      <alignment horizontal="left" vertical="center" wrapText="1"/>
    </xf>
    <xf numFmtId="0" fontId="22" fillId="0" borderId="39" applyAlignment="1" pivotButton="0" quotePrefix="0" xfId="123">
      <alignment horizontal="left" vertical="center" wrapText="1"/>
    </xf>
    <xf numFmtId="0" fontId="22" fillId="0" borderId="40" applyAlignment="1" pivotButton="0" quotePrefix="0" xfId="123">
      <alignment horizontal="left" vertical="center" wrapText="1"/>
    </xf>
    <xf numFmtId="0" fontId="11" fillId="7" borderId="49" applyAlignment="1" applyProtection="1" pivotButton="0" quotePrefix="0" xfId="128">
      <alignment horizontal="center" vertical="center" wrapText="1"/>
      <protection locked="0" hidden="0"/>
    </xf>
    <xf numFmtId="0" fontId="11" fillId="7" borderId="51" applyAlignment="1" applyProtection="1" pivotButton="0" quotePrefix="0" xfId="128">
      <alignment horizontal="center" vertical="center" wrapText="1"/>
      <protection locked="0" hidden="0"/>
    </xf>
    <xf numFmtId="0" fontId="120" fillId="7" borderId="62" applyAlignment="1" applyProtection="1" pivotButton="0" quotePrefix="0" xfId="128">
      <alignment horizontal="center" vertical="center" wrapText="1"/>
      <protection locked="0" hidden="0"/>
    </xf>
    <xf numFmtId="0" fontId="11" fillId="7" borderId="64" applyAlignment="1" applyProtection="1" pivotButton="0" quotePrefix="0" xfId="128">
      <alignment horizontal="center" vertical="center" wrapText="1"/>
      <protection locked="0" hidden="0"/>
    </xf>
    <xf numFmtId="0" fontId="14" fillId="7" borderId="61" applyAlignment="1" applyProtection="1" pivotButton="0" quotePrefix="0" xfId="0">
      <alignment horizontal="left" vertical="center"/>
      <protection locked="0" hidden="0"/>
    </xf>
    <xf numFmtId="0" fontId="14" fillId="7" borderId="47" applyAlignment="1" applyProtection="1" pivotButton="0" quotePrefix="0" xfId="0">
      <alignment horizontal="left" vertical="center"/>
      <protection locked="0" hidden="0"/>
    </xf>
    <xf numFmtId="0" fontId="14" fillId="7" borderId="53" applyAlignment="1" applyProtection="1" pivotButton="0" quotePrefix="0" xfId="0">
      <alignment horizontal="left" vertical="center" wrapText="1"/>
      <protection locked="0" hidden="0"/>
    </xf>
    <xf numFmtId="0" fontId="14" fillId="7" borderId="48" applyAlignment="1" applyProtection="1" pivotButton="0" quotePrefix="0" xfId="0">
      <alignment horizontal="left" vertical="center" wrapText="1"/>
      <protection locked="0" hidden="0"/>
    </xf>
    <xf numFmtId="0" fontId="14" fillId="7" borderId="54" applyAlignment="1" applyProtection="1" pivotButton="0" quotePrefix="0" xfId="0">
      <alignment horizontal="left" vertical="center" wrapText="1"/>
      <protection locked="0" hidden="0"/>
    </xf>
    <xf numFmtId="0" fontId="14" fillId="7" borderId="55" applyAlignment="1" applyProtection="1" pivotButton="0" quotePrefix="0" xfId="0">
      <alignment horizontal="left" vertical="center" wrapText="1"/>
      <protection locked="0" hidden="0"/>
    </xf>
    <xf numFmtId="0" fontId="161" fillId="7" borderId="75" applyAlignment="1" pivotButton="0" quotePrefix="0" xfId="132">
      <alignment vertical="center"/>
    </xf>
    <xf numFmtId="0" fontId="0" fillId="0" borderId="0" pivotButton="0" quotePrefix="0" xfId="0"/>
    <xf numFmtId="0" fontId="19" fillId="13" borderId="30" applyAlignment="1" pivotButton="0" quotePrefix="0" xfId="247">
      <alignment horizontal="left" vertical="center"/>
    </xf>
    <xf numFmtId="0" fontId="0" fillId="0" borderId="25" pivotButton="0" quotePrefix="0" xfId="0"/>
    <xf numFmtId="0" fontId="0" fillId="0" borderId="68" pivotButton="0" quotePrefix="0" xfId="0"/>
    <xf numFmtId="0" fontId="2" fillId="0" borderId="30" applyAlignment="1" pivotButton="0" quotePrefix="0" xfId="247">
      <alignment horizontal="left" vertical="center" wrapText="1"/>
    </xf>
    <xf numFmtId="0" fontId="0" fillId="0" borderId="24" pivotButton="0" quotePrefix="0" xfId="0"/>
    <xf numFmtId="0" fontId="0" fillId="0" borderId="42" pivotButton="0" quotePrefix="0" xfId="0"/>
    <xf numFmtId="0" fontId="0" fillId="0" borderId="32" pivotButton="0" quotePrefix="0" xfId="0"/>
    <xf numFmtId="0" fontId="0" fillId="0" borderId="45" pivotButton="0" quotePrefix="0" xfId="0"/>
    <xf numFmtId="0" fontId="0" fillId="0" borderId="39" pivotButton="0" quotePrefix="0" xfId="0"/>
    <xf numFmtId="0" fontId="0" fillId="0" borderId="40" pivotButton="0" quotePrefix="0" xfId="0"/>
    <xf numFmtId="0" fontId="16" fillId="13" borderId="30" applyAlignment="1" pivotButton="0" quotePrefix="0" xfId="247">
      <alignment horizontal="left" vertical="center" wrapText="1"/>
    </xf>
    <xf numFmtId="0" fontId="16" fillId="13" borderId="30" applyAlignment="1" pivotButton="0" quotePrefix="0" xfId="247">
      <alignment horizontal="left" vertical="center"/>
    </xf>
    <xf numFmtId="49" fontId="17" fillId="0" borderId="30" applyAlignment="1" pivotButton="0" quotePrefix="0" xfId="247">
      <alignment horizontal="center" vertical="center" wrapText="1"/>
    </xf>
    <xf numFmtId="0" fontId="17" fillId="0" borderId="30" applyAlignment="1" pivotButton="0" quotePrefix="0" xfId="247">
      <alignment horizontal="left" vertical="center" wrapText="1"/>
    </xf>
    <xf numFmtId="0" fontId="16" fillId="13" borderId="57" applyAlignment="1" pivotButton="0" quotePrefix="0" xfId="247">
      <alignment horizontal="left" vertical="center"/>
    </xf>
    <xf numFmtId="0" fontId="0" fillId="0" borderId="1" pivotButton="0" quotePrefix="0" xfId="0"/>
    <xf numFmtId="0" fontId="0" fillId="0" borderId="5" pivotButton="0" quotePrefix="0" xfId="0"/>
    <xf numFmtId="218" fontId="0" fillId="0" borderId="0" pivotButton="0" quotePrefix="0" xfId="0"/>
    <xf numFmtId="0" fontId="5" fillId="2" borderId="26" applyAlignment="1" applyProtection="1" pivotButton="0" quotePrefix="0" xfId="0">
      <alignment horizontal="center" vertical="center"/>
      <protection locked="0" hidden="0"/>
    </xf>
    <xf numFmtId="0" fontId="0" fillId="0" borderId="83" applyProtection="1" pivotButton="0" quotePrefix="0" xfId="0">
      <protection locked="0" hidden="0"/>
    </xf>
    <xf numFmtId="0" fontId="0" fillId="0" borderId="84" applyProtection="1" pivotButton="0" quotePrefix="0" xfId="0">
      <protection locked="0" hidden="0"/>
    </xf>
    <xf numFmtId="0" fontId="8" fillId="4" borderId="77" applyAlignment="1" pivotButton="0" quotePrefix="0" xfId="0">
      <alignment horizontal="left" vertical="center" wrapText="1" indent="20"/>
    </xf>
    <xf numFmtId="0" fontId="0" fillId="0" borderId="11" pivotButton="0" quotePrefix="0" xfId="0"/>
    <xf numFmtId="0" fontId="0" fillId="0" borderId="15" pivotButton="0" quotePrefix="0" xfId="0"/>
    <xf numFmtId="218" fontId="62" fillId="4" borderId="13" applyAlignment="1" pivotButton="0" quotePrefix="0" xfId="0">
      <alignment horizontal="right" vertical="center"/>
    </xf>
    <xf numFmtId="0" fontId="0" fillId="0" borderId="13" pivotButton="0" quotePrefix="0" xfId="0"/>
    <xf numFmtId="0" fontId="0" fillId="0" borderId="85" pivotButton="0" quotePrefix="0" xfId="0"/>
    <xf numFmtId="218" fontId="16" fillId="4" borderId="13" applyAlignment="1" pivotButton="0" quotePrefix="0" xfId="0">
      <alignment horizontal="right" vertical="center"/>
    </xf>
    <xf numFmtId="168" fontId="16" fillId="4" borderId="13" applyAlignment="1" pivotButton="0" quotePrefix="0" xfId="0">
      <alignment horizontal="right" vertical="center"/>
    </xf>
    <xf numFmtId="0" fontId="0" fillId="0" borderId="7" pivotButton="0" quotePrefix="0" xfId="0"/>
    <xf numFmtId="0" fontId="0" fillId="0" borderId="3" pivotButton="0" quotePrefix="0" xfId="0"/>
    <xf numFmtId="0" fontId="0" fillId="0" borderId="9" pivotButton="0" quotePrefix="0" xfId="0"/>
    <xf numFmtId="0" fontId="16" fillId="7" borderId="26" applyAlignment="1" pivotButton="0" quotePrefix="0" xfId="0">
      <alignment horizontal="center" vertical="center"/>
    </xf>
    <xf numFmtId="0" fontId="0" fillId="0" borderId="84" pivotButton="0" quotePrefix="0" xfId="0"/>
    <xf numFmtId="0" fontId="16" fillId="56" borderId="26" applyAlignment="1" pivotButton="0" quotePrefix="0" xfId="0">
      <alignment horizontal="center" vertical="center"/>
    </xf>
    <xf numFmtId="0" fontId="0" fillId="0" borderId="83" pivotButton="0" quotePrefix="0" xfId="0"/>
    <xf numFmtId="164" fontId="17" fillId="0" borderId="74" applyAlignment="1" applyProtection="1" pivotButton="0" quotePrefix="0" xfId="1">
      <alignment horizontal="right" vertical="center"/>
      <protection locked="0" hidden="0"/>
    </xf>
    <xf numFmtId="164" fontId="2" fillId="0" borderId="16" applyAlignment="1" applyProtection="1" pivotButton="0" quotePrefix="0" xfId="1">
      <alignment horizontal="right" vertical="center"/>
      <protection locked="0" hidden="0"/>
    </xf>
    <xf numFmtId="171" fontId="2" fillId="0" borderId="10" applyProtection="1" pivotButton="0" quotePrefix="0" xfId="1">
      <protection locked="0" hidden="0"/>
    </xf>
    <xf numFmtId="171" fontId="2" fillId="0" borderId="12" applyProtection="1" pivotButton="0" quotePrefix="0" xfId="1">
      <protection locked="0" hidden="0"/>
    </xf>
    <xf numFmtId="166" fontId="31" fillId="0" borderId="0" applyAlignment="1" pivotButton="0" quotePrefix="0" xfId="122">
      <alignment horizontal="left" vertical="center"/>
    </xf>
    <xf numFmtId="0" fontId="15" fillId="0" borderId="30" applyAlignment="1" pivotButton="0" quotePrefix="0" xfId="123">
      <alignment horizontal="left" vertical="center" wrapText="1"/>
    </xf>
    <xf numFmtId="0" fontId="0" fillId="0" borderId="43" pivotButton="0" quotePrefix="0" xfId="0"/>
    <xf numFmtId="0" fontId="0" fillId="0" borderId="44" pivotButton="0" quotePrefix="0" xfId="0"/>
    <xf numFmtId="167" fontId="16" fillId="0" borderId="0" applyAlignment="1" applyProtection="1" pivotButton="0" quotePrefix="0" xfId="159">
      <alignment horizontal="right" vertical="center"/>
      <protection locked="0" hidden="0"/>
    </xf>
    <xf numFmtId="167" fontId="16" fillId="0" borderId="0" applyAlignment="1" applyProtection="1" pivotButton="0" quotePrefix="0" xfId="159">
      <alignment vertical="center" wrapText="1"/>
      <protection locked="0" hidden="0"/>
    </xf>
    <xf numFmtId="167" fontId="121" fillId="7" borderId="26" applyAlignment="1" applyProtection="1" pivotButton="0" quotePrefix="0" xfId="159">
      <alignment horizontal="center" vertical="center"/>
      <protection locked="0" hidden="0"/>
    </xf>
    <xf numFmtId="169" fontId="15" fillId="0" borderId="52" applyAlignment="1" applyProtection="1" pivotButton="0" quotePrefix="0" xfId="1">
      <alignment vertical="center"/>
      <protection locked="0" hidden="0"/>
    </xf>
    <xf numFmtId="0" fontId="16" fillId="7" borderId="26" applyAlignment="1" applyProtection="1" pivotButton="0" quotePrefix="0" xfId="0">
      <alignment horizontal="center" vertical="center" shrinkToFit="1"/>
      <protection locked="0" hidden="0"/>
    </xf>
    <xf numFmtId="0" fontId="0" fillId="0" borderId="3" applyProtection="1" pivotButton="0" quotePrefix="0" xfId="0">
      <protection locked="0" hidden="0"/>
    </xf>
    <xf numFmtId="0" fontId="0" fillId="0" borderId="9" applyProtection="1" pivotButton="0" quotePrefix="0" xfId="0">
      <protection locked="0" hidden="0"/>
    </xf>
    <xf numFmtId="218" fontId="16" fillId="7" borderId="32" applyAlignment="1" applyProtection="1" pivotButton="0" quotePrefix="0" xfId="0">
      <alignment horizontal="center" vertical="center"/>
      <protection locked="0" hidden="0"/>
    </xf>
    <xf numFmtId="0" fontId="0" fillId="0" borderId="12" applyProtection="1" pivotButton="0" quotePrefix="0" xfId="0">
      <protection locked="0" hidden="0"/>
    </xf>
    <xf numFmtId="43" fontId="15" fillId="0" borderId="0" applyAlignment="1" pivotButton="0" quotePrefix="0" xfId="1">
      <alignment horizontal="right" vertical="center" shrinkToFit="1"/>
    </xf>
    <xf numFmtId="164" fontId="15" fillId="0" borderId="0" applyAlignment="1" pivotButton="0" quotePrefix="0" xfId="1">
      <alignment horizontal="right" vertical="center" shrinkToFit="1"/>
    </xf>
    <xf numFmtId="43" fontId="15" fillId="0" borderId="0" applyAlignment="1" applyProtection="1" pivotButton="0" quotePrefix="0" xfId="260">
      <alignment horizontal="right" vertical="center" shrinkToFit="1"/>
      <protection locked="0" hidden="0"/>
    </xf>
    <xf numFmtId="164" fontId="15" fillId="0" borderId="0" applyAlignment="1" applyProtection="1" pivotButton="0" quotePrefix="0" xfId="260">
      <alignment horizontal="right" vertical="center" shrinkToFit="1"/>
      <protection locked="0" hidden="0"/>
    </xf>
    <xf numFmtId="218" fontId="15" fillId="0" borderId="0" applyAlignment="1" pivotButton="0" quotePrefix="0" xfId="0">
      <alignment horizontal="left" vertical="center"/>
    </xf>
    <xf numFmtId="43" fontId="15" fillId="6" borderId="0" applyAlignment="1" pivotButton="0" quotePrefix="0" xfId="1">
      <alignment horizontal="right" vertical="center" shrinkToFit="1"/>
    </xf>
    <xf numFmtId="43" fontId="15" fillId="0" borderId="0" applyAlignment="1" pivotButton="0" quotePrefix="0" xfId="0">
      <alignment vertical="center" shrinkToFit="1"/>
    </xf>
    <xf numFmtId="43" fontId="15" fillId="0" borderId="0" applyAlignment="1" applyProtection="1" pivotButton="0" quotePrefix="0" xfId="260">
      <alignment horizontal="center" vertical="center" shrinkToFit="1"/>
      <protection locked="0" hidden="0"/>
    </xf>
    <xf numFmtId="43" fontId="15" fillId="0" borderId="0" applyAlignment="1" applyProtection="1" pivotButton="0" quotePrefix="0" xfId="266">
      <alignment horizontal="center" vertical="center" shrinkToFit="1"/>
      <protection locked="0" hidden="0"/>
    </xf>
    <xf numFmtId="43" fontId="2" fillId="0" borderId="0" applyAlignment="1" applyProtection="1" pivotButton="0" quotePrefix="0" xfId="260">
      <alignment horizontal="right" vertical="center" shrinkToFit="1"/>
      <protection locked="0" hidden="0"/>
    </xf>
    <xf numFmtId="43" fontId="15" fillId="0" borderId="0" applyAlignment="1" pivotButton="0" quotePrefix="0" xfId="0">
      <alignment horizontal="left" vertical="center" shrinkToFit="1"/>
    </xf>
    <xf numFmtId="169" fontId="2" fillId="0" borderId="78" applyAlignment="1" applyProtection="1" pivotButton="0" quotePrefix="0" xfId="260">
      <alignment horizontal="right" vertical="center" shrinkToFit="1"/>
      <protection locked="0" hidden="0"/>
    </xf>
    <xf numFmtId="169" fontId="2" fillId="0" borderId="72" applyAlignment="1" applyProtection="1" pivotButton="0" quotePrefix="0" xfId="260">
      <alignment horizontal="right" vertical="center" shrinkToFit="1"/>
      <protection locked="0" hidden="0"/>
    </xf>
    <xf numFmtId="169" fontId="15" fillId="0" borderId="72" applyAlignment="1" applyProtection="1" pivotButton="0" quotePrefix="0" xfId="260">
      <alignment horizontal="right" vertical="center" shrinkToFit="1"/>
      <protection locked="0" hidden="0"/>
    </xf>
    <xf numFmtId="43" fontId="12" fillId="0" borderId="0" applyAlignment="1" applyProtection="1" pivotButton="0" quotePrefix="0" xfId="260">
      <alignment horizontal="right" vertical="center" shrinkToFit="1"/>
      <protection locked="0" hidden="0"/>
    </xf>
    <xf numFmtId="43" fontId="15" fillId="0" borderId="0" applyAlignment="1" pivotButton="0" quotePrefix="0" xfId="156">
      <alignment horizontal="right" vertical="center" shrinkToFit="1"/>
    </xf>
    <xf numFmtId="43" fontId="2" fillId="0" borderId="0" applyAlignment="1" pivotButton="0" quotePrefix="0" xfId="0">
      <alignment horizontal="right" vertical="center" shrinkToFit="1"/>
    </xf>
    <xf numFmtId="43" fontId="12" fillId="0" borderId="0" applyAlignment="1" applyProtection="1" pivotButton="0" quotePrefix="0" xfId="260">
      <alignment horizontal="center" vertical="center" shrinkToFit="1"/>
      <protection locked="0" hidden="0"/>
    </xf>
    <xf numFmtId="43" fontId="2" fillId="0" borderId="0" applyAlignment="1" applyProtection="1" pivotButton="0" quotePrefix="0" xfId="1">
      <alignment horizontal="right" vertical="center" shrinkToFit="1"/>
      <protection locked="0" hidden="0"/>
    </xf>
    <xf numFmtId="169" fontId="2" fillId="0" borderId="0" applyAlignment="1" applyProtection="1" pivotButton="0" quotePrefix="0" xfId="1">
      <alignment horizontal="right" vertical="center" shrinkToFit="1"/>
      <protection locked="0" hidden="0"/>
    </xf>
    <xf numFmtId="0" fontId="20" fillId="0" borderId="30" applyAlignment="1" applyProtection="1" pivotButton="0" quotePrefix="0" xfId="52">
      <alignment horizontal="left" vertical="center" wrapText="1"/>
      <protection locked="0" hidden="0"/>
    </xf>
    <xf numFmtId="0" fontId="0" fillId="0" borderId="24"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0" applyProtection="1" pivotButton="0" quotePrefix="0" xfId="0">
      <protection locked="0" hidden="0"/>
    </xf>
    <xf numFmtId="0" fontId="0" fillId="0" borderId="44" applyProtection="1" pivotButton="0" quotePrefix="0" xfId="0">
      <protection locked="0" hidden="0"/>
    </xf>
    <xf numFmtId="0" fontId="0" fillId="0" borderId="45" applyProtection="1" pivotButton="0" quotePrefix="0" xfId="0">
      <protection locked="0" hidden="0"/>
    </xf>
    <xf numFmtId="0" fontId="0" fillId="0" borderId="39" applyProtection="1" pivotButton="0" quotePrefix="0" xfId="0">
      <protection locked="0" hidden="0"/>
    </xf>
    <xf numFmtId="0" fontId="0" fillId="0" borderId="40" applyProtection="1" pivotButton="0" quotePrefix="0" xfId="0">
      <protection locked="0" hidden="0"/>
    </xf>
    <xf numFmtId="41" fontId="15" fillId="12" borderId="0" applyAlignment="1" pivotButton="0" quotePrefix="0" xfId="0">
      <alignment vertical="center"/>
    </xf>
    <xf numFmtId="43" fontId="15" fillId="0" borderId="0" applyAlignment="1" applyProtection="1" pivotButton="0" quotePrefix="0" xfId="1">
      <alignment horizontal="left" vertical="center" shrinkToFit="1"/>
      <protection locked="0" hidden="0"/>
    </xf>
    <xf numFmtId="43" fontId="15" fillId="0" borderId="77" applyAlignment="1" pivotButton="0" quotePrefix="0" xfId="0">
      <alignment horizontal="right" vertical="center" shrinkToFit="1"/>
    </xf>
    <xf numFmtId="43" fontId="15" fillId="0" borderId="73" applyAlignment="1" pivotButton="0" quotePrefix="0" xfId="0">
      <alignment horizontal="right" vertical="center" shrinkToFit="1"/>
    </xf>
    <xf numFmtId="168" fontId="2" fillId="0" borderId="0" applyAlignment="1" pivotButton="0" quotePrefix="0" xfId="0">
      <alignment vertical="center"/>
    </xf>
    <xf numFmtId="169" fontId="2" fillId="0" borderId="53" applyAlignment="1" pivotButton="0" quotePrefix="0" xfId="0">
      <alignment vertical="center"/>
    </xf>
    <xf numFmtId="169" fontId="2" fillId="0" borderId="48" applyAlignment="1" pivotButton="0" quotePrefix="0" xfId="0">
      <alignment vertical="center"/>
    </xf>
    <xf numFmtId="43" fontId="15" fillId="0" borderId="63" applyAlignment="1" pivotButton="0" quotePrefix="0" xfId="0">
      <alignment horizontal="right" vertical="center" shrinkToFit="1"/>
    </xf>
    <xf numFmtId="43" fontId="15" fillId="0" borderId="64" applyAlignment="1" pivotButton="0" quotePrefix="0" xfId="0">
      <alignment horizontal="right" vertical="center" shrinkToFit="1"/>
    </xf>
    <xf numFmtId="43" fontId="15" fillId="0" borderId="77" applyAlignment="1" pivotButton="0" quotePrefix="0" xfId="128">
      <alignment horizontal="right" vertical="center" shrinkToFit="1"/>
    </xf>
    <xf numFmtId="43" fontId="15" fillId="0" borderId="77" applyAlignment="1" applyProtection="1" pivotButton="0" quotePrefix="0" xfId="128">
      <alignment horizontal="right" vertical="center" shrinkToFit="1"/>
      <protection locked="0" hidden="0"/>
    </xf>
    <xf numFmtId="43" fontId="10" fillId="0" borderId="0" pivotButton="0" quotePrefix="0" xfId="128"/>
    <xf numFmtId="169" fontId="10" fillId="0" borderId="72" applyAlignment="1" pivotButton="0" quotePrefix="0" xfId="128">
      <alignment horizontal="right" vertical="center" shrinkToFit="1"/>
    </xf>
    <xf numFmtId="169" fontId="10" fillId="0" borderId="0" applyAlignment="1" pivotButton="0" quotePrefix="0" xfId="128">
      <alignment horizontal="right" vertical="center"/>
    </xf>
    <xf numFmtId="169" fontId="10" fillId="0" borderId="0" applyAlignment="1" applyProtection="1" pivotButton="0" quotePrefix="0" xfId="143">
      <alignment horizontal="right" vertical="center" shrinkToFit="1"/>
      <protection locked="0" hidden="0"/>
    </xf>
    <xf numFmtId="169" fontId="10" fillId="0" borderId="0" applyAlignment="1" applyProtection="1" pivotButton="0" quotePrefix="0" xfId="143">
      <alignment horizontal="right" vertical="center" wrapText="1"/>
      <protection locked="0" hidden="0"/>
    </xf>
    <xf numFmtId="0" fontId="22" fillId="0" borderId="30" applyAlignment="1" pivotButton="0" quotePrefix="0" xfId="128">
      <alignment horizontal="left" vertical="center" wrapText="1"/>
    </xf>
    <xf numFmtId="43" fontId="15" fillId="0" borderId="30" applyAlignment="1" pivotButton="0" quotePrefix="0" xfId="138">
      <alignment horizontal="right" vertical="center" shrinkToFit="1"/>
    </xf>
    <xf numFmtId="172" fontId="15" fillId="0" borderId="30" applyAlignment="1" pivotButton="0" quotePrefix="0" xfId="253">
      <alignment horizontal="right" vertical="center"/>
    </xf>
    <xf numFmtId="43" fontId="15" fillId="0" borderId="30" applyAlignment="1" pivotButton="0" quotePrefix="0" xfId="253">
      <alignment horizontal="right" vertical="center"/>
    </xf>
    <xf numFmtId="43" fontId="2" fillId="6" borderId="30" applyAlignment="1" pivotButton="0" quotePrefix="0" xfId="253">
      <alignment horizontal="right" vertical="center"/>
    </xf>
    <xf numFmtId="43" fontId="17" fillId="0" borderId="30" applyAlignment="1" pivotButton="0" quotePrefix="0" xfId="138">
      <alignment horizontal="right" vertical="center"/>
    </xf>
    <xf numFmtId="164" fontId="2" fillId="6" borderId="0" pivotButton="0" quotePrefix="0" xfId="253"/>
    <xf numFmtId="43" fontId="17" fillId="0" borderId="72" applyAlignment="1" pivotButton="0" quotePrefix="0" xfId="253">
      <alignment horizontal="right" vertical="center"/>
    </xf>
    <xf numFmtId="169" fontId="17" fillId="0" borderId="72" applyAlignment="1" pivotButton="0" quotePrefix="0" xfId="253">
      <alignment horizontal="right" vertical="center"/>
    </xf>
    <xf numFmtId="164" fontId="15" fillId="0" borderId="77" applyAlignment="1" pivotButton="0" quotePrefix="0" xfId="128">
      <alignment horizontal="right" vertical="center" shrinkToFit="1"/>
    </xf>
    <xf numFmtId="164" fontId="15" fillId="0" borderId="77" applyAlignment="1" applyProtection="1" pivotButton="0" quotePrefix="0" xfId="128">
      <alignment horizontal="right" vertical="center" shrinkToFit="1"/>
      <protection locked="0" hidden="0"/>
    </xf>
    <xf numFmtId="168" fontId="15" fillId="0" borderId="77" applyAlignment="1" applyProtection="1" pivotButton="0" quotePrefix="0" xfId="128">
      <alignment horizontal="right" vertical="center"/>
      <protection locked="0" hidden="0"/>
    </xf>
    <xf numFmtId="0" fontId="22" fillId="0" borderId="30" applyAlignment="1" pivotButton="0" quotePrefix="0" xfId="0">
      <alignment horizontal="left" vertical="center" wrapText="1"/>
    </xf>
    <xf numFmtId="0" fontId="17" fillId="0" borderId="12" applyAlignment="1" applyProtection="1" pivotButton="0" quotePrefix="0" xfId="0">
      <alignment horizontal="left" vertical="center" wrapText="1" indent="2"/>
      <protection locked="0" hidden="0"/>
    </xf>
    <xf numFmtId="43" fontId="15" fillId="0" borderId="30" applyAlignment="1" applyProtection="1" pivotButton="0" quotePrefix="0" xfId="157">
      <alignment horizontal="right" vertical="center" wrapText="1" shrinkToFit="1"/>
      <protection locked="0" hidden="0"/>
    </xf>
    <xf numFmtId="164" fontId="15" fillId="0" borderId="77" applyAlignment="1" pivotButton="0" quotePrefix="0" xfId="128">
      <alignment horizontal="right" vertical="center" wrapText="1" shrinkToFit="1"/>
    </xf>
    <xf numFmtId="164" fontId="15" fillId="0" borderId="77" applyAlignment="1" applyProtection="1" pivotButton="0" quotePrefix="0" xfId="128">
      <alignment horizontal="right" vertical="center" wrapText="1" shrinkToFit="1"/>
      <protection locked="0" hidden="0"/>
    </xf>
    <xf numFmtId="164" fontId="15" fillId="0" borderId="74" applyAlignment="1" pivotButton="0" quotePrefix="0" xfId="128">
      <alignment horizontal="right" vertical="center"/>
    </xf>
    <xf numFmtId="164" fontId="15" fillId="0" borderId="0" applyAlignment="1" pivotButton="0" quotePrefix="0" xfId="128">
      <alignment horizontal="right" vertical="center" shrinkToFit="1"/>
    </xf>
    <xf numFmtId="164" fontId="15" fillId="0" borderId="0" applyAlignment="1" applyProtection="1" pivotButton="0" quotePrefix="0" xfId="128">
      <alignment horizontal="right" vertical="center" shrinkToFit="1"/>
      <protection locked="0" hidden="0"/>
    </xf>
    <xf numFmtId="0" fontId="11" fillId="56" borderId="26" applyAlignment="1" pivotButton="0" quotePrefix="0" xfId="0">
      <alignment horizontal="center" vertical="center"/>
    </xf>
    <xf numFmtId="43" fontId="17" fillId="0" borderId="33" applyAlignment="1" pivotButton="0" quotePrefix="0" xfId="1">
      <alignment horizontal="right" vertical="center"/>
    </xf>
    <xf numFmtId="0" fontId="125" fillId="0" borderId="30" applyAlignment="1" pivotButton="0" quotePrefix="0" xfId="123">
      <alignment horizontal="left" vertical="center" wrapText="1"/>
    </xf>
    <xf numFmtId="43" fontId="17" fillId="0" borderId="74" applyAlignment="1" applyProtection="1" pivotButton="0" quotePrefix="0" xfId="0">
      <alignment horizontal="right" vertical="center" wrapText="1"/>
      <protection locked="0" hidden="0"/>
    </xf>
    <xf numFmtId="43" fontId="17" fillId="0" borderId="77" applyAlignment="1" applyProtection="1" pivotButton="0" quotePrefix="0" xfId="0">
      <alignment horizontal="right" vertical="center" wrapText="1"/>
      <protection locked="0" hidden="0"/>
    </xf>
    <xf numFmtId="43" fontId="14" fillId="9" borderId="74" applyAlignment="1" applyProtection="1" pivotButton="0" quotePrefix="0" xfId="0">
      <alignment vertical="center" wrapText="1"/>
      <protection locked="0" hidden="0"/>
    </xf>
    <xf numFmtId="43" fontId="14" fillId="9" borderId="77" applyAlignment="1" applyProtection="1" pivotButton="0" quotePrefix="0" xfId="0">
      <alignment vertical="center" wrapText="1"/>
      <protection locked="0" hidden="0"/>
    </xf>
    <xf numFmtId="170" fontId="14" fillId="9" borderId="58" applyAlignment="1" applyProtection="1" pivotButton="0" quotePrefix="0" xfId="0">
      <alignment horizontal="right" vertical="center" wrapText="1"/>
      <protection locked="0" hidden="0"/>
    </xf>
    <xf numFmtId="170" fontId="14" fillId="9" borderId="73" applyAlignment="1" applyProtection="1" pivotButton="0" quotePrefix="0" xfId="0">
      <alignment horizontal="right" vertical="center" wrapText="1"/>
      <protection locked="0" hidden="0"/>
    </xf>
    <xf numFmtId="43" fontId="17" fillId="0" borderId="54" applyAlignment="1" applyProtection="1" pivotButton="0" quotePrefix="0" xfId="0">
      <alignment horizontal="right" vertical="center" wrapText="1"/>
      <protection locked="0" hidden="0"/>
    </xf>
    <xf numFmtId="169" fontId="17" fillId="0" borderId="53" applyAlignment="1" applyProtection="1" pivotButton="0" quotePrefix="0" xfId="0">
      <alignment horizontal="right" vertical="center" wrapText="1"/>
      <protection locked="0" hidden="0"/>
    </xf>
    <xf numFmtId="0" fontId="0" fillId="0" borderId="86" applyProtection="1" pivotButton="0" quotePrefix="0" xfId="0">
      <protection locked="0" hidden="0"/>
    </xf>
    <xf numFmtId="43" fontId="17" fillId="0" borderId="77" applyAlignment="1" pivotButton="0" quotePrefix="0" xfId="127">
      <alignment horizontal="right" vertical="center" shrinkToFit="1"/>
    </xf>
    <xf numFmtId="43" fontId="17" fillId="0" borderId="53" applyAlignment="1" pivotButton="0" quotePrefix="0" xfId="127">
      <alignment horizontal="right" vertical="center" shrinkToFit="1"/>
    </xf>
    <xf numFmtId="165" fontId="2" fillId="6" borderId="0" applyAlignment="1" pivotButton="0" quotePrefix="0" xfId="127">
      <alignment vertical="center"/>
    </xf>
    <xf numFmtId="0" fontId="0" fillId="0" borderId="50" applyProtection="1" pivotButton="0" quotePrefix="0" xfId="0">
      <protection locked="0" hidden="0"/>
    </xf>
    <xf numFmtId="43" fontId="17" fillId="6" borderId="46" applyAlignment="1" applyProtection="1" pivotButton="0" quotePrefix="0" xfId="0">
      <alignment horizontal="right" vertical="center"/>
      <protection locked="0" hidden="0"/>
    </xf>
    <xf numFmtId="0" fontId="0" fillId="0" borderId="87" applyProtection="1" pivotButton="0" quotePrefix="0" xfId="0">
      <protection locked="0" hidden="0"/>
    </xf>
    <xf numFmtId="0" fontId="0" fillId="0" borderId="56" applyProtection="1" pivotButton="0" quotePrefix="0" xfId="0">
      <protection locked="0" hidden="0"/>
    </xf>
    <xf numFmtId="0" fontId="22" fillId="0" borderId="30" applyAlignment="1" pivotButton="0" quotePrefix="0" xfId="123">
      <alignment horizontal="left" vertical="center" wrapText="1"/>
    </xf>
    <xf numFmtId="43" fontId="17" fillId="0" borderId="77" applyAlignment="1" pivotButton="0" quotePrefix="0" xfId="0">
      <alignment horizontal="right" vertical="center" shrinkToFit="1"/>
    </xf>
    <xf numFmtId="43" fontId="17" fillId="0" borderId="53" applyAlignment="1" pivotButton="0" quotePrefix="0" xfId="0">
      <alignment horizontal="right" vertical="center" shrinkToFit="1"/>
    </xf>
    <xf numFmtId="43" fontId="18" fillId="0" borderId="13" applyAlignment="1" pivotButton="0" quotePrefix="0" xfId="65">
      <alignment horizontal="center" vertical="center"/>
    </xf>
    <xf numFmtId="164" fontId="2" fillId="0" borderId="0" applyAlignment="1" pivotButton="0" quotePrefix="0" xfId="65">
      <alignment horizontal="right" vertical="center" shrinkToFit="1"/>
    </xf>
    <xf numFmtId="164" fontId="2" fillId="0" borderId="0" applyAlignment="1" pivotButton="0" quotePrefix="0" xfId="128">
      <alignment horizontal="right" vertical="center"/>
    </xf>
    <xf numFmtId="164" fontId="2" fillId="0" borderId="31" applyAlignment="1" pivotButton="0" quotePrefix="0" xfId="65">
      <alignment horizontal="right" vertical="center" shrinkToFit="1"/>
    </xf>
    <xf numFmtId="164" fontId="2" fillId="0" borderId="3" applyAlignment="1" pivotButton="0" quotePrefix="0" xfId="65">
      <alignment horizontal="right" vertical="center" shrinkToFit="1"/>
    </xf>
    <xf numFmtId="164" fontId="2" fillId="0" borderId="3" applyAlignment="1" pivotButton="0" quotePrefix="0" xfId="128">
      <alignment horizontal="right" vertical="center"/>
    </xf>
    <xf numFmtId="164" fontId="2" fillId="0" borderId="9" applyAlignment="1" pivotButton="0" quotePrefix="0" xfId="65">
      <alignment horizontal="right" vertical="center" shrinkToFit="1"/>
    </xf>
    <xf numFmtId="164" fontId="2" fillId="0" borderId="67" applyAlignment="1" pivotButton="0" quotePrefix="0" xfId="128">
      <alignment horizontal="right" vertical="center" shrinkToFit="1"/>
    </xf>
    <xf numFmtId="43" fontId="17" fillId="6" borderId="34" applyAlignment="1" applyProtection="1" pivotButton="0" quotePrefix="0" xfId="0">
      <alignment horizontal="right" vertical="center"/>
      <protection locked="0" hidden="0"/>
    </xf>
    <xf numFmtId="0" fontId="0" fillId="0" borderId="55" applyProtection="1" pivotButton="0" quotePrefix="0" xfId="0">
      <protection locked="0" hidden="0"/>
    </xf>
    <xf numFmtId="168" fontId="17" fillId="0" borderId="77" applyAlignment="1" pivotButton="0" quotePrefix="0" xfId="0">
      <alignment horizontal="right" vertical="center"/>
    </xf>
    <xf numFmtId="169" fontId="17" fillId="5" borderId="0" applyAlignment="1" pivotButton="0" quotePrefix="0" xfId="0">
      <alignment horizontal="right" vertical="center"/>
    </xf>
    <xf numFmtId="164" fontId="10" fillId="5" borderId="0" applyAlignment="1" pivotButton="0" quotePrefix="0" xfId="0">
      <alignment horizontal="right" vertical="center"/>
    </xf>
    <xf numFmtId="168" fontId="17" fillId="0" borderId="53" applyAlignment="1" pivotButton="0" quotePrefix="0" xfId="0">
      <alignment horizontal="right" vertical="center"/>
    </xf>
  </cellXfs>
  <cellStyles count="372">
    <cellStyle name="常规" xfId="0" builtinId="0"/>
    <cellStyle name="千位分隔" xfId="1" builtinId="3"/>
    <cellStyle name="百分比" xfId="2" builtinId="5"/>
    <cellStyle name="_2005年工作底稿" xfId="3"/>
    <cellStyle name="_3-2-A22-无形资产" xfId="4"/>
    <cellStyle name="0%" xfId="5"/>
    <cellStyle name="0.0%" xfId="6"/>
    <cellStyle name="0.00%" xfId="7"/>
    <cellStyle name="00" xfId="8"/>
    <cellStyle name="20% - Accent1 2" xfId="9"/>
    <cellStyle name="20% - Accent1 2 2" xfId="10"/>
    <cellStyle name="20% - Accent6 2" xfId="11"/>
    <cellStyle name="20% - 着色 1 2" xfId="12"/>
    <cellStyle name="AA FRAME" xfId="13"/>
    <cellStyle name="AA HEADING" xfId="14"/>
    <cellStyle name="AA INITIALS" xfId="15"/>
    <cellStyle name="AA INPUT" xfId="16"/>
    <cellStyle name="AA LOCK" xfId="17"/>
    <cellStyle name="AA MGR NAME" xfId="18"/>
    <cellStyle name="AA NORMAL" xfId="19"/>
    <cellStyle name="AA NUMBER" xfId="20"/>
    <cellStyle name="AA NUMBER2" xfId="21"/>
    <cellStyle name="AA QUESTION" xfId="22"/>
    <cellStyle name="Accent1 - 20%" xfId="23"/>
    <cellStyle name="Accent1 - 60%" xfId="24"/>
    <cellStyle name="Accent2 - 20%" xfId="25"/>
    <cellStyle name="Accent2 - 40%" xfId="26"/>
    <cellStyle name="Accent2 - 60%" xfId="27"/>
    <cellStyle name="Accent2 2" xfId="28"/>
    <cellStyle name="Accent3 - 40%" xfId="29"/>
    <cellStyle name="Accent3 - 60%" xfId="30"/>
    <cellStyle name="Accent5 - 20%" xfId="31"/>
    <cellStyle name="Accent6 - 40%" xfId="32"/>
    <cellStyle name="Accent6 - 60%" xfId="33"/>
    <cellStyle name="args.style" xfId="34"/>
    <cellStyle name="Calc Currency (0)" xfId="35"/>
    <cellStyle name="Calc Currency (2)" xfId="36"/>
    <cellStyle name="Calc Percent (0)" xfId="37"/>
    <cellStyle name="Calc Percent (1)" xfId="38"/>
    <cellStyle name="Calc Percent (2)" xfId="39"/>
    <cellStyle name="Calc Units (0)" xfId="40"/>
    <cellStyle name="Calc Units (1)" xfId="41"/>
    <cellStyle name="category" xfId="42"/>
    <cellStyle name="cellStyleNum" xfId="43"/>
    <cellStyle name="cellStyleNum 2" xfId="44"/>
    <cellStyle name="cellStylePer" xfId="45"/>
    <cellStyle name="cellStylePer 2" xfId="46"/>
    <cellStyle name="Check Cell 2" xfId="47"/>
    <cellStyle name="Check Cell 2 3" xfId="48"/>
    <cellStyle name="Col Heads" xfId="49"/>
    <cellStyle name="Column_Title" xfId="50"/>
    <cellStyle name="Comma  - Style1" xfId="51"/>
    <cellStyle name="Comma [0] 2" xfId="52"/>
    <cellStyle name="Comma [0] 2 2 2 2 2 2 2 2 2" xfId="53"/>
    <cellStyle name="Comma [0] 2 5" xfId="54"/>
    <cellStyle name="Comma [0] 2 5 2 2" xfId="55"/>
    <cellStyle name="Comma [0] 2 8" xfId="56"/>
    <cellStyle name="Comma [0] 3 2 2" xfId="57"/>
    <cellStyle name="Comma [00]" xfId="58"/>
    <cellStyle name="Comma 10 2" xfId="59"/>
    <cellStyle name="Comma 10 2 2 2 2 2 2" xfId="60"/>
    <cellStyle name="Comma 10 3" xfId="61"/>
    <cellStyle name="Comma 11" xfId="62"/>
    <cellStyle name="Comma 11 3" xfId="63"/>
    <cellStyle name="Comma 2" xfId="64"/>
    <cellStyle name="Comma 2 11" xfId="65"/>
    <cellStyle name="Comma 2 14" xfId="66"/>
    <cellStyle name="Comma 2 15" xfId="67"/>
    <cellStyle name="Comma 2 2" xfId="68"/>
    <cellStyle name="Comma 2 2 10 2" xfId="69"/>
    <cellStyle name="Comma 2 2 2" xfId="70"/>
    <cellStyle name="Comma 2 2 2 2 2 2 2 2 2 2" xfId="71"/>
    <cellStyle name="Comma 2 2 2 2_1" xfId="72"/>
    <cellStyle name="Comma 2 3" xfId="73"/>
    <cellStyle name="Comma 2 3 2 2 2 2 2 2 2" xfId="74"/>
    <cellStyle name="Comma 2 3 2_1" xfId="75"/>
    <cellStyle name="Comma 2 7 2 4" xfId="76"/>
    <cellStyle name="Comma 5" xfId="77"/>
    <cellStyle name="comma zerodec" xfId="78"/>
    <cellStyle name="Comma,0" xfId="79"/>
    <cellStyle name="Comma,1" xfId="80"/>
    <cellStyle name="Comma,2" xfId="81"/>
    <cellStyle name="consultationStyle" xfId="82"/>
    <cellStyle name="Copied" xfId="83"/>
    <cellStyle name="COST1" xfId="84"/>
    <cellStyle name="Currency [00]" xfId="85"/>
    <cellStyle name="Currency,0" xfId="86"/>
    <cellStyle name="Currency,2" xfId="87"/>
    <cellStyle name="Currency1" xfId="88"/>
    <cellStyle name="dataStyle" xfId="89"/>
    <cellStyle name="Date" xfId="90"/>
    <cellStyle name="Date Short" xfId="91"/>
    <cellStyle name="Dezimal [0]_results" xfId="92"/>
    <cellStyle name="Dollar (zero dec)" xfId="93"/>
    <cellStyle name="Entered" xfId="94"/>
    <cellStyle name="entry" xfId="95"/>
    <cellStyle name="entry box" xfId="96"/>
    <cellStyle name="Euro" xfId="97"/>
    <cellStyle name="evenStyle 2 2" xfId="98"/>
    <cellStyle name="Good 2" xfId="99"/>
    <cellStyle name="Good 2 3" xfId="100"/>
    <cellStyle name="Good 2 4" xfId="101"/>
    <cellStyle name="Grey" xfId="102"/>
    <cellStyle name="HEADER" xfId="103"/>
    <cellStyle name="Header1" xfId="104"/>
    <cellStyle name="Header2" xfId="105"/>
    <cellStyle name="headStyle" xfId="106"/>
    <cellStyle name="Hyperlink 2" xfId="107"/>
    <cellStyle name="Hyperlink 2 2" xfId="108"/>
    <cellStyle name="Hyperlink 2 2 4" xfId="109"/>
    <cellStyle name="Hyperlink 2 4" xfId="110"/>
    <cellStyle name="Hyperlink 5 2" xfId="111"/>
    <cellStyle name="Hyperlink 5 3" xfId="112"/>
    <cellStyle name="Hyperlink 7" xfId="113"/>
    <cellStyle name="Input [yellow]" xfId="114"/>
    <cellStyle name="Input Cells" xfId="115"/>
    <cellStyle name="Linked Cells" xfId="116"/>
    <cellStyle name="Milliers [0]_!!!GO" xfId="117"/>
    <cellStyle name="Model" xfId="118"/>
    <cellStyle name="Normal - Style1" xfId="119"/>
    <cellStyle name="Normal - Style1 2" xfId="120"/>
    <cellStyle name="Normal 10 10" xfId="121"/>
    <cellStyle name="Normal 121" xfId="122"/>
    <cellStyle name="Normal 121 2" xfId="123"/>
    <cellStyle name="Normal 121 2 2 2 4" xfId="124"/>
    <cellStyle name="Normal 121 4" xfId="125"/>
    <cellStyle name="Normal 14 5" xfId="126"/>
    <cellStyle name="Normal 2" xfId="127"/>
    <cellStyle name="Normal 2 11" xfId="128"/>
    <cellStyle name="Normal 2 12" xfId="129"/>
    <cellStyle name="Normal 2 13" xfId="130"/>
    <cellStyle name="Normal 2 2" xfId="131"/>
    <cellStyle name="Normal 2 2 3" xfId="132"/>
    <cellStyle name="Normal 2 2 4" xfId="133"/>
    <cellStyle name="Normal 2 2_1" xfId="134"/>
    <cellStyle name="Normal 2 3 4" xfId="135"/>
    <cellStyle name="Normal 2 3 6 2" xfId="136"/>
    <cellStyle name="Normal 2 4" xfId="137"/>
    <cellStyle name="Normal 2 4 2" xfId="138"/>
    <cellStyle name="Normal 3" xfId="139"/>
    <cellStyle name="Normal 3 2 2 2" xfId="140"/>
    <cellStyle name="Normal 3 2 2 2 2" xfId="141"/>
    <cellStyle name="Normal 3 3" xfId="142"/>
    <cellStyle name="Normal 3 4" xfId="143"/>
    <cellStyle name="Normal 3 5" xfId="144"/>
    <cellStyle name="Normal 4 2" xfId="145"/>
    <cellStyle name="Normal 4 5" xfId="146"/>
    <cellStyle name="Normal 5 2" xfId="147"/>
    <cellStyle name="Normal 5 3" xfId="148"/>
    <cellStyle name="Normal 6 2" xfId="149"/>
    <cellStyle name="Normal 6_1" xfId="150"/>
    <cellStyle name="Normal 7" xfId="151"/>
    <cellStyle name="Normal 7 10" xfId="152"/>
    <cellStyle name="Normal 7 4" xfId="153"/>
    <cellStyle name="Normal 8" xfId="154"/>
    <cellStyle name="Normal 8 5" xfId="155"/>
    <cellStyle name="Normal 9" xfId="156"/>
    <cellStyle name="Normal_6" xfId="157"/>
    <cellStyle name="Normal_A 8 2a CAL - Interim 2 2" xfId="158"/>
    <cellStyle name="Normal_Sheet2" xfId="159"/>
    <cellStyle name="Normalny_Arkusz1" xfId="160"/>
    <cellStyle name="Œ…‹æØ‚è [0.00]_Region Orders (2)" xfId="161"/>
    <cellStyle name="Œ…‹æØ‚è_Region Orders (2)" xfId="162"/>
    <cellStyle name="per.style" xfId="163"/>
    <cellStyle name="Percent [0]" xfId="164"/>
    <cellStyle name="Percent [00]" xfId="165"/>
    <cellStyle name="Percent [2]" xfId="166"/>
    <cellStyle name="Percent 2" xfId="167"/>
    <cellStyle name="Percent 2 3" xfId="168"/>
    <cellStyle name="Percent 2 5" xfId="169"/>
    <cellStyle name="Percent 3" xfId="170"/>
    <cellStyle name="Pourcentage_pldt" xfId="171"/>
    <cellStyle name="Prefilled" xfId="172"/>
    <cellStyle name="price" xfId="173"/>
    <cellStyle name="pricing" xfId="174"/>
    <cellStyle name="PSChar" xfId="175"/>
    <cellStyle name="PSHeading" xfId="176"/>
    <cellStyle name="revised" xfId="177"/>
    <cellStyle name="RevList" xfId="178"/>
    <cellStyle name="row_def_array" xfId="179"/>
    <cellStyle name="SAPBEXaggData" xfId="180"/>
    <cellStyle name="SAPBEXaggDataEmph" xfId="181"/>
    <cellStyle name="SAPBEXaggItem" xfId="182"/>
    <cellStyle name="SAPBEXaggItemX" xfId="183"/>
    <cellStyle name="SAPBEXchaText" xfId="184"/>
    <cellStyle name="SAPBEXexcBad7" xfId="185"/>
    <cellStyle name="SAPBEXexcBad8" xfId="186"/>
    <cellStyle name="SAPBEXexcBad9" xfId="187"/>
    <cellStyle name="SAPBEXexcCritical4" xfId="188"/>
    <cellStyle name="SAPBEXexcCritical5" xfId="189"/>
    <cellStyle name="SAPBEXexcCritical6" xfId="190"/>
    <cellStyle name="SAPBEXexcGood1" xfId="191"/>
    <cellStyle name="SAPBEXexcGood2" xfId="192"/>
    <cellStyle name="SAPBEXexcGood3" xfId="193"/>
    <cellStyle name="SAPBEXfilterDrill" xfId="194"/>
    <cellStyle name="SAPBEXfilterItem" xfId="195"/>
    <cellStyle name="SAPBEXfilterText" xfId="196"/>
    <cellStyle name="SAPBEXformats" xfId="197"/>
    <cellStyle name="SAPBEXheaderText" xfId="198"/>
    <cellStyle name="SAPBEXHLevel0" xfId="199"/>
    <cellStyle name="SAPBEXHLevel0X" xfId="200"/>
    <cellStyle name="SAPBEXHLevel1" xfId="201"/>
    <cellStyle name="SAPBEXHLevel1X" xfId="202"/>
    <cellStyle name="SAPBEXHLevel2" xfId="203"/>
    <cellStyle name="SAPBEXHLevel2X" xfId="204"/>
    <cellStyle name="SAPBEXHLevel3" xfId="205"/>
    <cellStyle name="SAPBEXHLevel3X" xfId="206"/>
    <cellStyle name="SAPBEXresData" xfId="207"/>
    <cellStyle name="SAPBEXresDataEmph" xfId="208"/>
    <cellStyle name="SAPBEXresItem" xfId="209"/>
    <cellStyle name="SAPBEXresItemX" xfId="210"/>
    <cellStyle name="SAPBEXstdData" xfId="211"/>
    <cellStyle name="SAPBEXstdDataEmph" xfId="212"/>
    <cellStyle name="SAPBEXstdItem" xfId="213"/>
    <cellStyle name="SAPBEXstdItemX" xfId="214"/>
    <cellStyle name="SAPBEXtitle" xfId="215"/>
    <cellStyle name="SAPBEXundefined" xfId="216"/>
    <cellStyle name="section" xfId="217"/>
    <cellStyle name="SOR" xfId="218"/>
    <cellStyle name="subhead" xfId="219"/>
    <cellStyle name="Subtotal" xfId="220"/>
    <cellStyle name="Text Indent A" xfId="221"/>
    <cellStyle name="Text Indent B" xfId="222"/>
    <cellStyle name="Text Indent C" xfId="223"/>
    <cellStyle name="Text Snip" xfId="224"/>
    <cellStyle name="title 2" xfId="225"/>
    <cellStyle name="Total 2" xfId="226"/>
    <cellStyle name="Tusental (0)_pldt" xfId="227"/>
    <cellStyle name="Tusental_pldt" xfId="228"/>
    <cellStyle name="Valuta (0)_pldt" xfId="229"/>
    <cellStyle name="Valuta_pldt" xfId="230"/>
    <cellStyle name="パーセント_laroux" xfId="231"/>
    <cellStyle name="_laroux" xfId="232"/>
    <cellStyle name="だ[0]_PLDT" xfId="233"/>
    <cellStyle name="だ_PLDT" xfId="234"/>
    <cellStyle name="だ_laroux" xfId="235"/>
    <cellStyle name="百分比 2" xfId="236"/>
    <cellStyle name="百分比 2 3" xfId="237"/>
    <cellStyle name="百分比 3 2" xfId="238"/>
    <cellStyle name="百分比 4" xfId="239"/>
    <cellStyle name="捠壿 [0.00]_PRODUCT DETAIL Q1" xfId="240"/>
    <cellStyle name="標準_１１月価格表" xfId="241"/>
    <cellStyle name="表标题" xfId="242"/>
    <cellStyle name="差_10存货" xfId="243"/>
    <cellStyle name="差_11-持有至到期投资（空白模板）" xfId="244"/>
    <cellStyle name="差_3-2 进一步审计程序-采购与付款循环" xfId="245"/>
    <cellStyle name="差_dxn底稿目录" xfId="246"/>
    <cellStyle name="常规 10 5" xfId="247"/>
    <cellStyle name="常规 11" xfId="248"/>
    <cellStyle name="常规 2" xfId="249"/>
    <cellStyle name="常规 2- " xfId="250"/>
    <cellStyle name="常规 2 10" xfId="251"/>
    <cellStyle name="常规 2 16" xfId="252"/>
    <cellStyle name="常规 2 19" xfId="253"/>
    <cellStyle name="常规 2 2 2 3" xfId="254"/>
    <cellStyle name="常规 2 2 3 3" xfId="255"/>
    <cellStyle name="常规 2 2 3 3 2" xfId="256"/>
    <cellStyle name="常规 2 2 5 5" xfId="257"/>
    <cellStyle name="常规 2 3 2" xfId="258"/>
    <cellStyle name="常规 3" xfId="259"/>
    <cellStyle name="常规 3 2" xfId="260"/>
    <cellStyle name="常规 3 2 3" xfId="261"/>
    <cellStyle name="常规 3 2 3 2" xfId="262"/>
    <cellStyle name="常规 3_1" xfId="263"/>
    <cellStyle name="常规 4" xfId="264"/>
    <cellStyle name="常规 6 3" xfId="265"/>
    <cellStyle name="常规_ZA 货币资金" xfId="266"/>
    <cellStyle name="超级链接_综合类底稿表格" xfId="267"/>
    <cellStyle name="超链接 3" xfId="268"/>
    <cellStyle name="好_10存货" xfId="269"/>
    <cellStyle name="好_11-持有至到期投资（空白模板）" xfId="270"/>
    <cellStyle name="好_1财务费用" xfId="271"/>
    <cellStyle name="好_3-2 进一步审计程序-采购与付款循环" xfId="272"/>
    <cellStyle name="好_大信底稿目录" xfId="273"/>
    <cellStyle name="桁区切り [0.00]_１１月価格表" xfId="274"/>
    <cellStyle name="货币 2" xfId="275"/>
    <cellStyle name="货币 2 2 2 2" xfId="276"/>
    <cellStyle name="貨幣 [0]_SGV" xfId="277"/>
    <cellStyle name="貨幣_SGV" xfId="278"/>
    <cellStyle name="霓付 [0]_1202" xfId="279"/>
    <cellStyle name="霓付_1202" xfId="280"/>
    <cellStyle name="欧" xfId="281"/>
    <cellStyle name="烹拳 [0]_1202" xfId="282"/>
    <cellStyle name="烹拳_1202" xfId="283"/>
    <cellStyle name="砯刽 [0]_PLDT" xfId="284"/>
    <cellStyle name="砯刽_PLDT" xfId="285"/>
    <cellStyle name="普通_ 白土" xfId="286"/>
    <cellStyle name="千分位_ 白土" xfId="287"/>
    <cellStyle name="千位分隔 2" xfId="288"/>
    <cellStyle name="千位分隔 2 2" xfId="289"/>
    <cellStyle name="千位分隔 2 2 2 2 2 2 2" xfId="290"/>
    <cellStyle name="千位分隔 2 2 2 2 3" xfId="291"/>
    <cellStyle name="千位分隔 2 3 3 3" xfId="292"/>
    <cellStyle name="千位分隔 2_1" xfId="293"/>
    <cellStyle name="千位分隔 3 2 2 3" xfId="294"/>
    <cellStyle name="千位分隔 5 2 4" xfId="295"/>
    <cellStyle name="千位分隔[0] 2" xfId="296"/>
    <cellStyle name="钎霖_(沥焊何巩)岿喊牢盔拌裙" xfId="297"/>
    <cellStyle name="强调 1" xfId="298"/>
    <cellStyle name="强调 2" xfId="299"/>
    <cellStyle name="强调 3" xfId="300"/>
    <cellStyle name="通貨 [0.00]_１１月価格表" xfId="301"/>
    <cellStyle name="通貨_１１月価格表" xfId="302"/>
    <cellStyle name="一般_SGV" xfId="303"/>
    <cellStyle name="昗弨_BOOKSHIP" xfId="304"/>
    <cellStyle name="寘嬫愗傝 [0.00]_PRODUCT DETAIL Q1" xfId="305"/>
    <cellStyle name="寘嬫愗傝_PRODUCT DETAIL Q1" xfId="306"/>
    <cellStyle name="资产" xfId="307"/>
    <cellStyle name="콤마 [0]_BOILER-CO1" xfId="308"/>
    <cellStyle name="콤마_BOILER-CO1" xfId="309"/>
    <cellStyle name="통화 [0]_BOILER-CO1" xfId="310"/>
    <cellStyle name="표준_0N-HANDLING " xfId="311"/>
    <cellStyle name="差 2" xfId="312"/>
    <cellStyle name="好 2" xfId="313"/>
    <cellStyle name="千位分隔 2 3" xfId="314"/>
    <cellStyle name="Normal 4" xfId="315"/>
    <cellStyle name="Normal 4 2 2" xfId="316"/>
    <cellStyle name="Normal 5" xfId="317"/>
    <cellStyle name="Normal 6 2 2 2 2" xfId="318"/>
    <cellStyle name="千位分隔 3" xfId="319"/>
    <cellStyle name="AA FRAME 2" xfId="320"/>
    <cellStyle name="Comma 2 6" xfId="321"/>
    <cellStyle name="Comma 2 8" xfId="322"/>
    <cellStyle name="cellStyleNum 3" xfId="323"/>
    <cellStyle name="cellStyleNum 2 2" xfId="324"/>
    <cellStyle name="cellStylePer 3" xfId="325"/>
    <cellStyle name="cellStylePer 2 2" xfId="326"/>
    <cellStyle name="Comma [0] 2 2 2 2 2 2 2 2 2 2" xfId="327"/>
    <cellStyle name="Comma [0] 2 5 2 2 2" xfId="328"/>
    <cellStyle name="Comma [0] 2 8 2" xfId="329"/>
    <cellStyle name="Comma [0] 3 2 2 2" xfId="330"/>
    <cellStyle name="Comma 10 2 2 2 2 2 2 2" xfId="331"/>
    <cellStyle name="Comma 10 3 2" xfId="332"/>
    <cellStyle name="Comma 11 3 2" xfId="333"/>
    <cellStyle name="Comma 2 4" xfId="334"/>
    <cellStyle name="Comma 2 11 2" xfId="335"/>
    <cellStyle name="Comma 2 15 2" xfId="336"/>
    <cellStyle name="Comma 2 2 10 2 2" xfId="337"/>
    <cellStyle name="Comma 2 2 2 2 2 2 2 2 2 2 2" xfId="338"/>
    <cellStyle name="Comma 2 3 2 2 2 2 2 2 2 2" xfId="339"/>
    <cellStyle name="Comma 2 7 2 4 2" xfId="340"/>
    <cellStyle name="Comma 5 2" xfId="341"/>
    <cellStyle name="dataStyle 2" xfId="342"/>
    <cellStyle name="entry box 2" xfId="343"/>
    <cellStyle name="evenStyle 2 2 2" xfId="344"/>
    <cellStyle name="Header1 2" xfId="345"/>
    <cellStyle name="headStyle 2" xfId="346"/>
    <cellStyle name="SAPBEXfilterDrill 2" xfId="347"/>
    <cellStyle name="Input [yellow] 2" xfId="348"/>
    <cellStyle name="Normal 7 10 2" xfId="349"/>
    <cellStyle name="Prefilled 2" xfId="350"/>
    <cellStyle name="SAPBEXfilterDrill 4" xfId="351"/>
    <cellStyle name="SAPBEXfilterDrill 3" xfId="352"/>
    <cellStyle name="SOR 2" xfId="353"/>
    <cellStyle name="Comma 2 9" xfId="354"/>
    <cellStyle name="Comma 2 7" xfId="355"/>
    <cellStyle name="Comma 2 5" xfId="356"/>
    <cellStyle name="千位分隔 2 4" xfId="357"/>
    <cellStyle name="千位分隔 2 2 2 2 2 2 2 2" xfId="358"/>
    <cellStyle name="千位分隔 2 2 2 2 3 2" xfId="359"/>
    <cellStyle name="千位分隔 2 3 3 3 2" xfId="360"/>
    <cellStyle name="千位分隔 3 2 2 3 2" xfId="361"/>
    <cellStyle name="千位分隔 5 2 4 2" xfId="362"/>
    <cellStyle name="千位分隔[0] 2 2" xfId="363"/>
    <cellStyle name="资产 2" xfId="364"/>
    <cellStyle name="千位分隔 2 3 2" xfId="365"/>
    <cellStyle name="Normal 5 4" xfId="366"/>
    <cellStyle name="Normal 6 2 2 2 2 2" xfId="367"/>
    <cellStyle name="常规 2 2 5 3" xfId="368"/>
    <cellStyle name="常规 15" xfId="369"/>
    <cellStyle name="Normal 4 3" xfId="370"/>
    <cellStyle name="Hyperlink" xfId="371"/>
  </cellStyles>
  <dxfs count="42">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s>
  <tableStyles count="2" defaultTableStyle="TableStyleMedium2" defaultPivotStyle="PivotStyleLight16">
    <tableStyle name="Invisible" pivot="0" table="0" count="0"/>
    <tableStyle name="MySqlDefault"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a%20Negative%20cash.xlsx?d=w85bea283ab1c470c8ede0132fb417f23&amp;csf=1&amp;web=1&amp;e=j3Ajh9" TargetMode="External" Id="rId1" /><Relationship Type="http://schemas.openxmlformats.org/officeDocument/2006/relationships/hyperlink" Target="../../../../emma_jh_he_cn_ey_com/Documents/Desktop/FY26/C%20PO/C.00d%20Negative%20cash.xlsx?web=1" TargetMode="External" Id="rId2"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C.00c%20%E7%8E%B0%E9%87%91%E7%9B%98%E7%82%B9.xlsx?d=wbd3f59f0adb6484e912d6e014c77041c&amp;csf=1&amp;web=1&amp;e=aI3hhm" TargetMode="External" Id="rId3" /><Relationship Type="http://schemas.openxmlformats.org/officeDocument/2006/relationships/hyperlink" Target="../../../../emma_jh_he_cn_ey_com/Documents/Desktop/FY26/C%20PO/C.00e%20%E7%8E%B0%E9%87%91%E7%9B%98%E7%82%B9.xlsx?web=1" TargetMode="External" Id="rId4" /></Relationships>
</file>

<file path=xl/worksheets/sheet1.xml><?xml version="1.0" encoding="utf-8"?>
<worksheet xmlns="http://schemas.openxmlformats.org/spreadsheetml/2006/main">
  <sheetPr>
    <outlinePr summaryBelow="1" summaryRight="1"/>
    <pageSetUpPr/>
  </sheetPr>
  <dimension ref="A1:J23"/>
  <sheetViews>
    <sheetView showGridLines="0" zoomScale="70" zoomScaleNormal="70" workbookViewId="0">
      <selection activeCell="C3" sqref="C3:E4"/>
    </sheetView>
  </sheetViews>
  <sheetFormatPr baseColWidth="8" defaultColWidth="9" defaultRowHeight="12.75" customHeight="1"/>
  <cols>
    <col width="2.625" customWidth="1" style="123" min="1" max="1"/>
    <col width="10.25" customWidth="1" style="370" min="2" max="2"/>
    <col width="18" customWidth="1" style="123" min="3" max="3"/>
    <col width="19.375" customWidth="1" style="123" min="4" max="4"/>
    <col width="15" customWidth="1" style="123" min="5" max="5"/>
    <col width="20.375" bestFit="1" customWidth="1" style="370" min="6" max="6"/>
    <col width="11.875" customWidth="1" style="370" min="7" max="7"/>
    <col width="28.25" customWidth="1" style="6" min="8" max="8"/>
    <col width="39.375" customWidth="1" style="123" min="9" max="9"/>
    <col width="9" customWidth="1" style="123" min="10" max="16384"/>
  </cols>
  <sheetData>
    <row r="1" ht="20.25" customHeight="1" s="726">
      <c r="A1" s="583" t="inlineStr">
        <is>
          <t>V6 SWP</t>
        </is>
      </c>
    </row>
    <row r="2" ht="15" customHeight="1" s="726">
      <c r="B2" s="469" t="inlineStr">
        <is>
          <t>C.00</t>
        </is>
      </c>
      <c r="C2" s="727" t="inlineStr">
        <is>
          <t>C.00 Lead sheet（认定：E、 V 、C）</t>
        </is>
      </c>
      <c r="D2" s="728" t="n"/>
      <c r="E2" s="729" t="n"/>
      <c r="F2" s="371" t="inlineStr">
        <is>
          <t>程序页</t>
        </is>
      </c>
      <c r="G2" s="371" t="inlineStr">
        <is>
          <t>执行</t>
        </is>
      </c>
      <c r="H2" s="372" t="inlineStr">
        <is>
          <t>不执行的原因</t>
        </is>
      </c>
      <c r="I2" s="371" t="inlineStr">
        <is>
          <t>注意事项</t>
        </is>
      </c>
    </row>
    <row r="3" ht="33" customHeight="1" s="726">
      <c r="B3" s="589" t="n">
        <v>1</v>
      </c>
      <c r="C3" s="730" t="inlineStr">
        <is>
          <t>我们通过波动分析，识别不符合我们预期的账户设置以及账户余额的变化，并确认这些变化对计划实施的实质性程序的影响。</t>
        </is>
      </c>
      <c r="D3" s="731" t="n"/>
      <c r="E3" s="732" t="n"/>
      <c r="F3" s="361" t="inlineStr">
        <is>
          <t>C.00 Lead</t>
        </is>
      </c>
      <c r="G3" s="549" t="n"/>
      <c r="H3" s="548" t="n"/>
      <c r="I3" s="546" t="n"/>
    </row>
    <row r="4" ht="33" customHeight="1" s="726">
      <c r="B4" s="733" t="n"/>
      <c r="C4" s="734" t="n"/>
      <c r="D4" s="735" t="n"/>
      <c r="E4" s="736" t="n"/>
      <c r="F4" s="361" t="inlineStr">
        <is>
          <t>C.00 BKD</t>
        </is>
      </c>
      <c r="G4" s="549" t="n"/>
      <c r="H4" s="548" t="n"/>
      <c r="I4" s="546" t="n"/>
    </row>
    <row r="5" ht="15" customHeight="1" s="726">
      <c r="B5" s="470" t="inlineStr">
        <is>
          <t>C.01</t>
        </is>
      </c>
      <c r="C5" s="737" t="inlineStr">
        <is>
          <t>C.01 Confirmations（认定：E、 V 、C、R&amp;O、P&amp;D）</t>
        </is>
      </c>
      <c r="D5" s="728" t="n"/>
      <c r="E5" s="729" t="n"/>
      <c r="F5" s="371" t="inlineStr">
        <is>
          <t>程序页</t>
        </is>
      </c>
      <c r="G5" s="371" t="inlineStr">
        <is>
          <t>执行</t>
        </is>
      </c>
      <c r="H5" s="372" t="inlineStr">
        <is>
          <t>不执行的原因</t>
        </is>
      </c>
      <c r="I5" s="371" t="inlineStr">
        <is>
          <t>注意事项</t>
        </is>
      </c>
    </row>
    <row r="6" ht="44.25" customHeight="1" s="726">
      <c r="B6" s="589" t="n">
        <v>1</v>
      </c>
      <c r="C6" s="730" t="inlineStr">
        <is>
          <t>我们对所有性质或金额重大的账户发送询证函，将回函金额核对到银行余额调节表中的银行余额，对于无余额调节项的账户，我们将回函金额直接核对到账面余额。我们审阅回函中的其他信息，我们在&lt;C.01&gt;记录函证跟进工作；
当函证程序不适用时，或回函除金额外的其他信息（如资金归集）需要进一步测试，我们在&lt;C.01b&gt;中记录我们的工作。</t>
        </is>
      </c>
      <c r="D6" s="731" t="n"/>
      <c r="E6" s="732" t="n"/>
      <c r="F6" s="361" t="inlineStr">
        <is>
          <t>C.01 Confirmations</t>
        </is>
      </c>
      <c r="G6" s="549" t="n"/>
      <c r="H6" s="548" t="n"/>
      <c r="I6" s="547" t="n"/>
    </row>
    <row r="7" ht="68.25" customHeight="1" s="726">
      <c r="B7" s="733" t="n"/>
      <c r="C7" s="734" t="n"/>
      <c r="D7" s="735" t="n"/>
      <c r="E7" s="736" t="n"/>
      <c r="F7" s="361" t="inlineStr">
        <is>
          <t>C.01b 特殊账户程序</t>
        </is>
      </c>
      <c r="G7" s="549" t="n"/>
      <c r="H7" s="548" t="n"/>
      <c r="I7" s="547" t="n"/>
    </row>
    <row r="8" ht="15" customHeight="1" s="726">
      <c r="B8" s="470" t="inlineStr">
        <is>
          <t>C.00b</t>
        </is>
      </c>
      <c r="C8" s="738" t="inlineStr">
        <is>
          <t>C.00b Other classification （认定：P&amp;D）</t>
        </is>
      </c>
      <c r="D8" s="728" t="n"/>
      <c r="E8" s="729" t="n"/>
      <c r="F8" s="371" t="inlineStr">
        <is>
          <t>程序页</t>
        </is>
      </c>
      <c r="G8" s="371" t="inlineStr">
        <is>
          <t>执行</t>
        </is>
      </c>
      <c r="H8" s="372" t="inlineStr">
        <is>
          <t>不执行的原因</t>
        </is>
      </c>
      <c r="I8" s="371" t="inlineStr">
        <is>
          <t>注意事项</t>
        </is>
      </c>
    </row>
    <row r="9" ht="45" customHeight="1" s="726">
      <c r="B9" s="589" t="n">
        <v>1</v>
      </c>
      <c r="C9" s="730" t="inlineStr">
        <is>
          <t>我们评估管理层对货币资金明细项的分类是否正确，包括其中的受限项目、现金及现金等价物类别的项目。</t>
        </is>
      </c>
      <c r="D9" s="728" t="n"/>
      <c r="E9" s="729" t="n"/>
      <c r="F9" s="361" t="inlineStr">
        <is>
          <t>C.00b Other classification</t>
        </is>
      </c>
      <c r="G9" s="549" t="n"/>
      <c r="H9" s="548" t="n"/>
      <c r="I9" s="546" t="n"/>
    </row>
    <row r="10" ht="15" customHeight="1" s="726">
      <c r="B10" s="470" t="inlineStr">
        <is>
          <t>C.02</t>
        </is>
      </c>
      <c r="C10" s="738" t="inlineStr">
        <is>
          <t>C.02 Bank reconciliations（认定：E、 V 、C）</t>
        </is>
      </c>
      <c r="D10" s="728" t="n"/>
      <c r="E10" s="729" t="n"/>
      <c r="F10" s="371" t="inlineStr">
        <is>
          <t>程序页</t>
        </is>
      </c>
      <c r="G10" s="371" t="inlineStr">
        <is>
          <t>执行</t>
        </is>
      </c>
      <c r="H10" s="372" t="inlineStr">
        <is>
          <t>不执行的原因</t>
        </is>
      </c>
      <c r="I10" s="371" t="inlineStr">
        <is>
          <t>注意事项</t>
        </is>
      </c>
    </row>
    <row r="11" ht="52.5" customHeight="1" s="726">
      <c r="B11" s="739" t="inlineStr">
        <is>
          <t>1</t>
        </is>
      </c>
      <c r="C11" s="740" t="inlineStr">
        <is>
          <t>我们通过&lt;C.01&gt;及&lt;C.01b&gt;识别存在余额调节项的银行账户，并获取这些账户的余额调节表。
我们识别并选择了大于TT测试阈值的调节项以及其他被认为异常或预期外的调节项进行测试，我们识别并调查超SAD名义金额的未调节差异。
我们针对选中测试的有调节项的银行账户及识别出存在与调节项完整性相关的重大错报风险的银行账户，获取并复核了期后银行对账单。</t>
        </is>
      </c>
      <c r="D11" s="731" t="n"/>
      <c r="E11" s="732" t="n"/>
      <c r="F11" s="361" t="inlineStr">
        <is>
          <t>C.02 Bank reconciliations</t>
        </is>
      </c>
      <c r="G11" s="549" t="n"/>
      <c r="H11" s="548" t="n"/>
      <c r="I11" s="546" t="n"/>
    </row>
    <row r="12" ht="69" customHeight="1" s="726">
      <c r="B12" s="733" t="n"/>
      <c r="C12" s="734" t="n"/>
      <c r="D12" s="735" t="n"/>
      <c r="E12" s="736" t="n"/>
      <c r="F12" s="361" t="inlineStr">
        <is>
          <t>C.02a外币测算</t>
        </is>
      </c>
      <c r="G12" s="549" t="n"/>
      <c r="H12" s="548" t="n"/>
      <c r="I12" s="546" t="n"/>
    </row>
    <row r="13" ht="15" customHeight="1" s="726">
      <c r="B13" s="470" t="inlineStr">
        <is>
          <t>C.03</t>
        </is>
      </c>
      <c r="C13" s="741" t="inlineStr">
        <is>
          <t>C.03 Cutoff （认定：E、 C）</t>
        </is>
      </c>
      <c r="D13" s="731" t="n"/>
      <c r="E13" s="732" t="n"/>
      <c r="F13" s="371" t="inlineStr">
        <is>
          <t>程序页</t>
        </is>
      </c>
      <c r="G13" s="371" t="inlineStr">
        <is>
          <t>执行</t>
        </is>
      </c>
      <c r="H13" s="372" t="inlineStr">
        <is>
          <t>不执行的原因</t>
        </is>
      </c>
      <c r="I13" s="371" t="inlineStr">
        <is>
          <t>注意事项</t>
        </is>
      </c>
    </row>
    <row r="14" ht="106.5" customHeight="1" s="726">
      <c r="B14" s="504" t="n">
        <v>1</v>
      </c>
      <c r="C14" s="619" t="inlineStr">
        <is>
          <t>此程序涉及被审计单位，在适用函证测试范围内的银行账户，与被审计单位的另一个银行账户（不局限于适用函证测试的银行账户）之间的转账。我们记录了确定截止期间的理由，包含我们在⻛险评估程序中的考虑事项，以及这些事项如何影响我们对截⽌期间和样本量的确定。
IPE 考虑：</t>
        </is>
      </c>
      <c r="D14" s="742" t="n"/>
      <c r="E14" s="743" t="n"/>
      <c r="F14" s="468" t="inlineStr">
        <is>
          <t xml:space="preserve">C.03 Cutoff </t>
        </is>
      </c>
      <c r="G14" s="549" t="n"/>
      <c r="H14" s="548" t="n"/>
      <c r="I14" s="550" t="inlineStr">
        <is>
          <t>根据账户的性质和交易的金额，选取金额以及性质重大的账户进行截止性测试。
中国境内的银行转账业务基本能够实现T+1入账，因此我们往往选择资产负债表日前后1天作为测试期间；但如在期末，存在较多跨境交易和国际账户，则需适当延长测试期间。</t>
        </is>
      </c>
      <c r="J14" s="744" t="n">
        <v>46387</v>
      </c>
    </row>
    <row r="15">
      <c r="C15" s="459" t="n"/>
      <c r="D15" s="459" t="n"/>
      <c r="E15" s="459" t="n"/>
      <c r="H15" s="123" t="n"/>
    </row>
    <row r="16" ht="15" customHeight="1" s="726">
      <c r="B16" s="469" t="inlineStr">
        <is>
          <t>C.00</t>
        </is>
      </c>
      <c r="C16" s="738" t="inlineStr">
        <is>
          <t>Supplementary</t>
        </is>
      </c>
      <c r="D16" s="728" t="n"/>
      <c r="E16" s="729" t="n"/>
      <c r="F16" s="371" t="inlineStr">
        <is>
          <t>文件名称</t>
        </is>
      </c>
      <c r="H16" s="123" t="n"/>
    </row>
    <row r="17" ht="15" customHeight="1" s="726">
      <c r="B17" s="471" t="inlineStr">
        <is>
          <t>C.00a</t>
        </is>
      </c>
      <c r="C17" s="550" t="inlineStr">
        <is>
          <t>我们评估管理层对现⾦和现⾦等价物负值余额分类的适当性。</t>
        </is>
      </c>
      <c r="D17" s="728" t="n"/>
      <c r="E17" s="729" t="n"/>
      <c r="F17" s="362" t="inlineStr">
        <is>
          <t>C.00a Negative cash</t>
        </is>
      </c>
      <c r="H17" s="123" t="n"/>
      <c r="J17" t="inlineStr">
        <is>
          <t>../../../../emma_jh_he_cn_ey_com/Documents/Desktop/FY26/C%20PO/C.00d%20Negative%20cash.xlsx?web=1</t>
        </is>
      </c>
    </row>
    <row r="18" ht="15.75" customHeight="1" s="726">
      <c r="B18" s="471" t="inlineStr">
        <is>
          <t>C.00c</t>
        </is>
      </c>
      <c r="C18" s="740" t="inlineStr">
        <is>
          <t>我们对现金执行了盘点程序。</t>
        </is>
      </c>
      <c r="D18" s="728" t="n"/>
      <c r="E18" s="729" t="n"/>
      <c r="F18" s="362" t="inlineStr">
        <is>
          <t>C.00c 现金盘点</t>
        </is>
      </c>
      <c r="H18" s="123" t="n"/>
      <c r="J18" t="inlineStr">
        <is>
          <t>../../../../emma_jh_he_cn_ey_com/Documents/Desktop/FY26/C%20PO/C.00e%20%E7%8E%B0%E9%87%91%E7%9B%98%E7%82%B9.xlsx?web=1</t>
        </is>
      </c>
    </row>
    <row r="19">
      <c r="H19" s="123" t="n"/>
    </row>
    <row r="20">
      <c r="H20" s="123" t="n"/>
    </row>
    <row r="21">
      <c r="H21" s="123" t="n"/>
    </row>
    <row r="22">
      <c r="H22" s="123" t="n"/>
    </row>
    <row r="23">
      <c r="H23" s="123" t="n"/>
    </row>
  </sheetData>
  <mergeCells count="16">
    <mergeCell ref="C16:E16"/>
    <mergeCell ref="C6:E7"/>
    <mergeCell ref="C2:E2"/>
    <mergeCell ref="C14:E14"/>
    <mergeCell ref="C13:E13"/>
    <mergeCell ref="C5:E5"/>
    <mergeCell ref="C11:E12"/>
    <mergeCell ref="B3:B4"/>
    <mergeCell ref="C8:E8"/>
    <mergeCell ref="C18:E18"/>
    <mergeCell ref="C9:E9"/>
    <mergeCell ref="B11:B12"/>
    <mergeCell ref="C17:E17"/>
    <mergeCell ref="C3:E4"/>
    <mergeCell ref="B6:B7"/>
    <mergeCell ref="C10:E10"/>
  </mergeCells>
  <conditionalFormatting sqref="G3:G4">
    <cfRule type="containsBlanks" priority="22" dxfId="11">
      <formula>LEN(TRIM(G3))=0</formula>
    </cfRule>
  </conditionalFormatting>
  <conditionalFormatting sqref="G6:G7">
    <cfRule type="containsBlanks" priority="5" dxfId="11">
      <formula>LEN(TRIM(G6))=0</formula>
    </cfRule>
  </conditionalFormatting>
  <conditionalFormatting sqref="G9">
    <cfRule type="containsBlanks" priority="4" dxfId="11">
      <formula>LEN(TRIM(G9))=0</formula>
    </cfRule>
  </conditionalFormatting>
  <conditionalFormatting sqref="G11:G12">
    <cfRule type="containsBlanks" priority="2" dxfId="11">
      <formula>LEN(TRIM(G11))=0</formula>
    </cfRule>
  </conditionalFormatting>
  <conditionalFormatting sqref="G14">
    <cfRule type="containsBlanks" priority="1" dxfId="11">
      <formula>LEN(TRIM(G14))=0</formula>
    </cfRule>
  </conditionalFormatting>
  <conditionalFormatting sqref="H3:H4">
    <cfRule type="expression" priority="11" dxfId="0">
      <formula>SUMPRODUCT((G3="否")*(LEN(H3)=0))</formula>
    </cfRule>
  </conditionalFormatting>
  <conditionalFormatting sqref="H6:H7">
    <cfRule type="expression" priority="10" dxfId="0">
      <formula>SUMPRODUCT((G6="否")*(LEN(H6)=0))</formula>
    </cfRule>
  </conditionalFormatting>
  <conditionalFormatting sqref="H9">
    <cfRule type="expression" priority="9" dxfId="0">
      <formula>SUMPRODUCT((G9="否")*(LEN(H9)=0))</formula>
    </cfRule>
  </conditionalFormatting>
  <conditionalFormatting sqref="H11:H12">
    <cfRule type="expression" priority="8" dxfId="0">
      <formula>SUMPRODUCT((G11="否")*(LEN(H11)=0))</formula>
    </cfRule>
  </conditionalFormatting>
  <conditionalFormatting sqref="H14">
    <cfRule type="expression" priority="7" dxfId="0">
      <formula>SUMPRODUCT((G14="否")*(LEN(H14)=0))</formula>
    </cfRule>
  </conditionalFormatting>
  <dataValidations count="1">
    <dataValidation sqref="G3:G4 G6:G7 G9 G11:G12 G14" showDropDown="0" showInputMessage="1" showErrorMessage="0" allowBlank="1" type="list">
      <formula1>"是,否"</formula1>
    </dataValidation>
  </dataValidations>
  <hyperlinks>
    <hyperlink ref="F3" location="'C.00 Lead'!A1" display="C.00 Lead sheet"/>
    <hyperlink ref="F4" location="'C.00 BKD'!A1" display="C.00 BKD"/>
    <hyperlink ref="F6" location="'C.01 Confirmations '!A1" display="C.01 Confirmations"/>
    <hyperlink ref="F7" location="'C.01b 特殊账户程序'!A1" display="C.01b 特殊账户补充程序"/>
    <hyperlink ref="F9" location="'C.00b Other classification'!A1" display="C.00b Other classification"/>
    <hyperlink ref="F11" location="'C.02 Bank reconciliations'!A1" display="C.02 Bank reconciliations"/>
    <hyperlink ref="F12" location="'C.02a 外币测算'!A1" display="C.02a外币测算"/>
    <hyperlink ref="F14" location="'C.03 Cutoff'!A1" display="C.03 Cutoff "/>
    <hyperlink xmlns:r="http://schemas.openxmlformats.org/officeDocument/2006/relationships" ref="F17" r:id="rId1"/>
    <hyperlink xmlns:r="http://schemas.openxmlformats.org/officeDocument/2006/relationships" ref="J17" display="C.00d Negative cash" r:id="rId2"/>
    <hyperlink xmlns:r="http://schemas.openxmlformats.org/officeDocument/2006/relationships" ref="F18" r:id="rId3"/>
    <hyperlink xmlns:r="http://schemas.openxmlformats.org/officeDocument/2006/relationships" ref="J18" display="C.00e 现金盘点"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76"/>
  <sheetViews>
    <sheetView showGridLines="0" tabSelected="1" topLeftCell="A8" zoomScale="70" zoomScaleNormal="70" workbookViewId="0">
      <selection activeCell="B33" sqref="B33"/>
    </sheetView>
  </sheetViews>
  <sheetFormatPr baseColWidth="8" defaultColWidth="9.25" defaultRowHeight="14.25"/>
  <cols>
    <col width="2.625" customWidth="1" style="74" min="1" max="1"/>
    <col width="33.75" customWidth="1" style="75" min="2" max="2"/>
    <col width="16.75" customWidth="1" style="75" min="3" max="10"/>
    <col width="16.75" customWidth="1" style="76" min="11" max="11"/>
    <col width="16.75" customWidth="1" style="75" min="12" max="14"/>
    <col width="16.25" customWidth="1" style="75" min="15" max="15"/>
    <col width="18.5" customWidth="1" style="75" min="16" max="16"/>
    <col width="2.625" customWidth="1" style="3" min="17" max="17"/>
    <col width="1.625" customWidth="1" style="75" min="18" max="18"/>
    <col width="9.25" customWidth="1" style="340" min="19" max="19"/>
    <col width="9.25" customWidth="1" style="75" min="20" max="16384"/>
  </cols>
  <sheetData>
    <row r="1" ht="50.1" customFormat="1" customHeight="1" s="1">
      <c r="A1" s="243" t="inlineStr">
        <is>
          <t>022d804f-8de8-4987-b9ac-42632653fc60</t>
        </is>
      </c>
      <c r="B1" s="745" t="inlineStr">
        <is>
          <t>标准工作底稿: C SWP 货币资金</t>
        </is>
      </c>
      <c r="C1" s="746" t="n"/>
      <c r="D1" s="746" t="n"/>
      <c r="E1" s="746" t="n"/>
      <c r="F1" s="746" t="n"/>
      <c r="G1" s="746" t="n"/>
      <c r="H1" s="746" t="n"/>
      <c r="I1" s="746" t="n"/>
      <c r="J1" s="746" t="n"/>
      <c r="K1" s="746" t="n"/>
      <c r="L1" s="746" t="n"/>
      <c r="M1" s="746" t="n"/>
      <c r="N1" s="746" t="n"/>
      <c r="O1" s="746" t="n"/>
      <c r="P1" s="747" t="n"/>
      <c r="R1" s="40" t="n"/>
    </row>
    <row r="2" ht="15" customFormat="1" customHeight="1" s="1">
      <c r="B2" s="148" t="inlineStr">
        <is>
          <t>客户名称</t>
        </is>
      </c>
      <c r="C2" s="259" t="inlineStr">
        <is>
          <t>东风鸿远工程咨询有限公司</t>
        </is>
      </c>
      <c r="D2" s="748" t="inlineStr">
        <is>
          <t>此工作底稿需要与以下 Canvas PSP guided workflow forms一起使用：
     • C.00 Cash lead sheet
     • C.01 Bank confirmations
     • C.02 Bank reconciliations
     • C.03 Cash cutoff
     • Account conclusion</t>
        </is>
      </c>
      <c r="E2" s="749" t="n"/>
      <c r="F2" s="749" t="n"/>
      <c r="G2" s="749" t="n"/>
      <c r="H2" s="749" t="n"/>
      <c r="I2" s="749" t="n"/>
      <c r="J2" s="749" t="n"/>
      <c r="K2" s="749" t="n"/>
      <c r="L2" s="749" t="n"/>
      <c r="M2" s="749" t="n"/>
      <c r="N2" s="749" t="n"/>
      <c r="O2" s="749" t="n"/>
      <c r="P2" s="750" t="n"/>
      <c r="R2" s="40" t="n"/>
    </row>
    <row r="3" ht="19.5" customFormat="1" customHeight="1" s="1">
      <c r="B3" s="148" t="inlineStr">
        <is>
          <t>期末</t>
        </is>
      </c>
      <c r="C3" s="751" t="n">
        <v>46387</v>
      </c>
      <c r="D3" s="752" t="n"/>
      <c r="P3" s="753" t="n"/>
      <c r="R3" s="40" t="n"/>
    </row>
    <row r="4" ht="15" customFormat="1" customHeight="1" s="1">
      <c r="B4" s="148" t="inlineStr">
        <is>
          <t>分析日期</t>
        </is>
      </c>
      <c r="C4" s="754" t="n">
        <v>46169.60599867417</v>
      </c>
      <c r="D4" s="752" t="n"/>
      <c r="P4" s="753" t="n"/>
      <c r="R4" s="40" t="n"/>
    </row>
    <row r="5" ht="18" customFormat="1" customHeight="1" s="1">
      <c r="B5" s="148" t="inlineStr">
        <is>
          <t>可容忍误差(TE)</t>
        </is>
      </c>
      <c r="C5" s="755" t="n"/>
      <c r="D5" s="752" t="n"/>
      <c r="P5" s="753" t="n"/>
      <c r="R5" s="40" t="n"/>
    </row>
    <row r="6" ht="15.75" customFormat="1" customHeight="1" s="1">
      <c r="B6" s="148" t="inlineStr">
        <is>
          <t>名义金额(SAD)</t>
        </is>
      </c>
      <c r="C6" s="755" t="n"/>
      <c r="D6" s="752" t="n"/>
      <c r="P6" s="753" t="n"/>
      <c r="R6" s="40" t="n"/>
    </row>
    <row r="7" ht="20.25" customFormat="1" customHeight="1" s="1">
      <c r="B7" s="148" t="inlineStr">
        <is>
          <t>适用会计准则</t>
        </is>
      </c>
      <c r="C7" s="259" t="inlineStr">
        <is>
          <t>PRC</t>
        </is>
      </c>
      <c r="D7" s="752" t="n"/>
      <c r="P7" s="753" t="n"/>
      <c r="R7" s="40" t="n"/>
    </row>
    <row r="8" ht="18" customFormat="1" customHeight="1" s="1">
      <c r="B8" s="148" t="inlineStr">
        <is>
          <t>记账本位币</t>
        </is>
      </c>
      <c r="C8" s="259" t="inlineStr">
        <is>
          <t>CNY</t>
        </is>
      </c>
      <c r="D8" s="756" t="n"/>
      <c r="E8" s="757" t="n"/>
      <c r="F8" s="757" t="n"/>
      <c r="G8" s="757" t="n"/>
      <c r="H8" s="757" t="n"/>
      <c r="I8" s="757" t="n"/>
      <c r="J8" s="757" t="n"/>
      <c r="K8" s="757" t="n"/>
      <c r="L8" s="757" t="n"/>
      <c r="M8" s="757" t="n"/>
      <c r="N8" s="757" t="n"/>
      <c r="O8" s="757" t="n"/>
      <c r="P8" s="758" t="n"/>
      <c r="R8" s="40" t="n"/>
    </row>
    <row r="9" ht="30" customFormat="1" customHeight="1" s="1">
      <c r="B9" s="228" t="inlineStr">
        <is>
          <t>C.00 编制引导表并比较余额</t>
        </is>
      </c>
      <c r="C9" s="7" t="n"/>
      <c r="D9" s="7" t="n"/>
      <c r="E9" s="7" t="n"/>
      <c r="F9" s="7" t="n"/>
      <c r="G9" s="7" t="n"/>
      <c r="H9" s="7" t="n"/>
      <c r="I9" s="7" t="n"/>
      <c r="J9" s="7" t="n"/>
      <c r="K9" s="7" t="n"/>
      <c r="L9" s="7" t="n"/>
      <c r="M9" s="7" t="n"/>
      <c r="N9" s="7" t="n"/>
      <c r="O9" s="7" t="n"/>
      <c r="P9" s="22" t="n"/>
      <c r="R9" s="40" t="n"/>
    </row>
    <row r="10" ht="15" customFormat="1" customHeight="1" s="1">
      <c r="N10" s="463" t="n"/>
      <c r="O10" s="56" t="n"/>
      <c r="R10" s="40" t="n"/>
    </row>
    <row r="11" ht="15" customFormat="1" customHeight="1" s="1">
      <c r="B11" s="475" t="inlineStr">
        <is>
          <t>返回汇总页</t>
        </is>
      </c>
      <c r="N11" s="463" t="n"/>
      <c r="O11" s="56" t="n"/>
      <c r="R11" s="40" t="n"/>
    </row>
    <row r="12" ht="15" customFormat="1" customHeight="1" s="1">
      <c r="N12" s="463" t="n"/>
      <c r="O12" s="56" t="n"/>
      <c r="R12" s="40" t="n"/>
    </row>
    <row r="13" ht="15" customFormat="1" customHeight="1" s="1">
      <c r="B13" s="476" t="n"/>
      <c r="C13" s="476" t="n"/>
      <c r="D13" s="759" t="inlineStr">
        <is>
          <t>Threshold(s)</t>
        </is>
      </c>
      <c r="E13" s="760" t="n"/>
      <c r="H13" s="761" t="inlineStr">
        <is>
          <t>安永标记</t>
        </is>
      </c>
      <c r="I13" s="762" t="n"/>
      <c r="J13" s="762" t="n"/>
      <c r="K13" s="762" t="n"/>
      <c r="L13" s="760" t="n"/>
      <c r="N13" s="463" t="n"/>
      <c r="O13" s="56" t="n"/>
      <c r="R13" s="40" t="n"/>
    </row>
    <row r="14" ht="15" customFormat="1" customHeight="1" s="1">
      <c r="B14" s="477" t="inlineStr">
        <is>
          <t>认定</t>
        </is>
      </c>
      <c r="C14" s="477" t="inlineStr">
        <is>
          <t>CRA</t>
        </is>
      </c>
      <c r="D14" s="477" t="inlineStr">
        <is>
          <t>各项认定1</t>
        </is>
      </c>
      <c r="E14" s="478" t="inlineStr">
        <is>
          <t>所有相关认定 2</t>
        </is>
      </c>
      <c r="H14" s="215" t="inlineStr">
        <is>
          <t>TB</t>
        </is>
      </c>
      <c r="I14" s="229" t="inlineStr">
        <is>
          <t>已与科目余额表核对无误</t>
        </is>
      </c>
      <c r="J14" s="89" t="n"/>
      <c r="K14" s="89" t="n"/>
      <c r="L14" s="165" t="n"/>
      <c r="N14" s="463" t="n"/>
      <c r="O14" s="56" t="n"/>
      <c r="R14" s="40" t="n"/>
    </row>
    <row r="15" ht="15" customFormat="1" customHeight="1" s="1">
      <c r="B15" s="544" t="inlineStr">
        <is>
          <t>完整性 (C)</t>
        </is>
      </c>
      <c r="C15" s="343" t="n"/>
      <c r="D15" s="763">
        <f>IF(C15="Minimal",$C$5*100%,IF(C15="Low",$C$5*75%,IF(C15="Moderate",$C$5*50%,IF(C15="High",$C$5*25%,IF(C15="N/A","-",)))))</f>
        <v/>
      </c>
      <c r="E15" s="764">
        <f>MIN($D$15:$D$19)</f>
        <v/>
      </c>
      <c r="H15" s="216" t="inlineStr">
        <is>
          <t>PY</t>
        </is>
      </c>
      <c r="I15" s="229" t="inlineStr">
        <is>
          <t>与上年最终审定数核对一致</t>
        </is>
      </c>
      <c r="J15" s="112" t="n"/>
      <c r="K15" s="88" t="n"/>
      <c r="L15" s="166" t="n"/>
      <c r="N15" s="463" t="n"/>
      <c r="O15" s="56" t="n"/>
      <c r="R15" s="40" t="n"/>
    </row>
    <row r="16" ht="15" customFormat="1" customHeight="1" s="1">
      <c r="B16" s="544" t="inlineStr">
        <is>
          <t>存在性 (E)</t>
        </is>
      </c>
      <c r="C16" s="343" t="n"/>
      <c r="D16" s="763">
        <f>IF(C16="Minimal",$C$5*100%,IF(C16="Low",$C$5*75%,IF(C16="Moderate",$C$5*50%,IF(C16="High",$C$5*25%,IF(C16="N/A","-",)))))</f>
        <v/>
      </c>
      <c r="E16" s="765" t="n"/>
      <c r="H16" s="215" t="inlineStr">
        <is>
          <t>A3</t>
        </is>
      </c>
      <c r="I16" s="230" t="inlineStr">
        <is>
          <t>与未审数、审定数核对一致</t>
        </is>
      </c>
      <c r="J16" s="114" t="n"/>
      <c r="K16" s="88" t="n"/>
      <c r="L16" s="166" t="n"/>
      <c r="N16" s="463" t="n"/>
      <c r="O16" s="56" t="n"/>
      <c r="R16" s="40" t="n"/>
    </row>
    <row r="17" ht="15" customFormat="1" customHeight="1" s="1">
      <c r="B17" s="544" t="inlineStr">
        <is>
          <t>计价（V）</t>
        </is>
      </c>
      <c r="C17" s="343" t="n"/>
      <c r="D17" s="763">
        <f>IF(C17="Minimal",$C$5*100%,IF(C17="Low",$C$5*75%,IF(C17="Moderate",$C$5*50%,IF(C17="High",$C$5*25%,IF(C17="N/A","-",)))))</f>
        <v/>
      </c>
      <c r="E17" s="765" t="n"/>
      <c r="H17" s="215" t="inlineStr">
        <is>
          <t>A5</t>
        </is>
      </c>
      <c r="I17" s="230" t="inlineStr">
        <is>
          <t>与审计调整核对一致</t>
        </is>
      </c>
      <c r="J17" s="115" t="n"/>
      <c r="K17" s="88" t="n"/>
      <c r="L17" s="166" t="n"/>
      <c r="N17" s="463" t="n"/>
      <c r="O17" s="56" t="n"/>
      <c r="R17" s="40" t="n"/>
    </row>
    <row r="18" ht="15" customFormat="1" customHeight="1" s="1">
      <c r="B18" s="544" t="inlineStr">
        <is>
          <t>权利和义务（R&amp;O）</t>
        </is>
      </c>
      <c r="C18" s="343" t="n"/>
      <c r="D18" s="763">
        <f>IF(C18="Minimal",$C$5*100%,IF(C18="Low",$C$5*75%,IF(C18="Moderate",$C$5*50%,IF(C18="High",$C$5*25%,IF(C18="N/A","-",)))))</f>
        <v/>
      </c>
      <c r="E18" s="765" t="n"/>
      <c r="H18" s="217" t="inlineStr">
        <is>
          <t>FS</t>
        </is>
      </c>
      <c r="I18" s="229" t="inlineStr">
        <is>
          <t>与FS.0x与财务报表核对无误</t>
        </is>
      </c>
      <c r="J18" s="113" t="n"/>
      <c r="K18" s="90" t="n"/>
      <c r="L18" s="167" t="n"/>
      <c r="N18" s="463" t="n"/>
      <c r="O18" s="56" t="n"/>
      <c r="R18" s="40" t="n"/>
    </row>
    <row r="19" ht="15" customFormat="1" customHeight="1" s="1">
      <c r="B19" s="545" t="inlineStr">
        <is>
          <t>列报和披露（P&amp;D）</t>
        </is>
      </c>
      <c r="C19" s="343" t="n"/>
      <c r="D19" s="763">
        <f>IF(C19="Minimal",$C$5*100%,IF(C19="Low",$C$5*75%,IF(C19="Moderate",$C$5*50%,IF(C19="High",$C$5*25%,IF(C19="N/A","-",)))))</f>
        <v/>
      </c>
      <c r="E19" s="766" t="n"/>
      <c r="H19" s="218" t="inlineStr">
        <is>
          <t>w</t>
        </is>
      </c>
      <c r="I19" s="229" t="inlineStr">
        <is>
          <t>低于SAD的金额——放弃进一步调查</t>
        </is>
      </c>
      <c r="J19" s="88" t="n"/>
      <c r="K19" s="88" t="n"/>
      <c r="L19" s="166" t="n"/>
      <c r="N19" s="463" t="n"/>
      <c r="O19" s="56" t="n"/>
      <c r="R19" s="40" t="n"/>
    </row>
    <row r="20" ht="16.5" customFormat="1" customHeight="1" s="1">
      <c r="B20" s="639" t="inlineStr">
        <is>
          <t xml:space="preserve">1 各项认定的测试阈值，是根据EY GAM SUBSTANTIVE DESIGN 2.2.1 </t>
        </is>
      </c>
      <c r="H20" s="215" t="inlineStr">
        <is>
          <t>Rx</t>
        </is>
      </c>
      <c r="I20" s="229" t="inlineStr">
        <is>
          <t>重新计算，无异常</t>
        </is>
      </c>
      <c r="J20" s="88" t="n"/>
      <c r="K20" s="88" t="n"/>
      <c r="L20" s="166" t="n"/>
      <c r="N20" s="463" t="n"/>
      <c r="O20" s="56" t="n"/>
      <c r="R20" s="40" t="n"/>
    </row>
    <row r="21" ht="16.5" customFormat="1" customHeight="1" s="1">
      <c r="B21" s="479" t="inlineStr">
        <is>
          <t>中的示例测试阈值（用占TE的百分比表示）在相应风险等级（CRA）区间的上限计算得出的。</t>
        </is>
      </c>
      <c r="C21" s="639" t="n"/>
      <c r="D21" s="639" t="n"/>
      <c r="E21" s="639" t="n"/>
      <c r="H21" s="218" t="inlineStr">
        <is>
          <t>m</t>
        </is>
      </c>
      <c r="I21" s="229" t="inlineStr">
        <is>
          <t>余额/活动不符合测试范围–无需进一步调查</t>
        </is>
      </c>
      <c r="J21" s="88" t="n"/>
      <c r="K21" s="88" t="n"/>
      <c r="L21" s="166" t="n"/>
      <c r="N21" s="463" t="n"/>
      <c r="O21" s="56" t="n"/>
      <c r="R21" s="40" t="n"/>
    </row>
    <row r="22" ht="16.5" customFormat="1" customHeight="1" s="1">
      <c r="B22" s="479" t="inlineStr">
        <is>
          <t>除负债/费用类别账户的完整性认定应当使用负债/费用账户表之外，其他类别账户和认定均可使用资产/收入账户表。</t>
        </is>
      </c>
      <c r="C22" s="639" t="n"/>
      <c r="D22" s="639" t="n"/>
      <c r="E22" s="639" t="n"/>
      <c r="H22" s="244" t="inlineStr">
        <is>
          <t>SL</t>
        </is>
      </c>
      <c r="I22" s="245" t="inlineStr">
        <is>
          <t>已与明细账核对无误</t>
        </is>
      </c>
      <c r="J22" s="88" t="n"/>
      <c r="K22" s="88" t="n"/>
      <c r="L22" s="166" t="n"/>
      <c r="N22" s="463" t="n"/>
      <c r="O22" s="56" t="n"/>
      <c r="R22" s="40" t="n"/>
    </row>
    <row r="23" ht="30" customFormat="1" customHeight="1" s="1">
      <c r="B23" s="639" t="inlineStr">
        <is>
          <t>2 所有相关认定的测试阈值，是所有有效认定对应之测试阈值的最小值。我们在 Lead中使用该测试阈值：（a）作为选取总账账户进行测试的起点；（b）作为（需要进一步调查的）金额波动范围的起点。</t>
        </is>
      </c>
      <c r="H23" s="42" t="n"/>
      <c r="I23" s="42" t="n"/>
      <c r="J23" s="42" t="n"/>
      <c r="K23" s="42" t="n"/>
      <c r="L23" s="42" t="n"/>
      <c r="N23" s="463" t="n"/>
      <c r="O23" s="56" t="n"/>
      <c r="R23" s="40" t="n"/>
    </row>
    <row r="24" ht="12.75" customFormat="1" customHeight="1" s="42">
      <c r="A24" s="85" t="n"/>
      <c r="R24" s="54" t="n"/>
    </row>
    <row r="25" ht="18" customFormat="1" customHeight="1" s="42">
      <c r="A25" s="85" t="n"/>
      <c r="B25" s="91" t="inlineStr">
        <is>
          <t>在下文中描述我们当期对现金账户余额和相关波动的预期，以及这些预期的依据和理由。</t>
        </is>
      </c>
      <c r="C25" s="767" t="n"/>
      <c r="D25" s="767" t="n"/>
      <c r="E25" s="767" t="n"/>
      <c r="F25" s="767" t="n"/>
      <c r="G25" s="767" t="n"/>
      <c r="L25" s="25" t="n"/>
      <c r="R25" s="54" t="n"/>
    </row>
    <row r="26" ht="18" customFormat="1" customHeight="1" s="42">
      <c r="A26" s="85" t="n"/>
      <c r="B26" s="768" t="n"/>
      <c r="C26" s="731" t="n"/>
      <c r="D26" s="731" t="n"/>
      <c r="E26" s="731" t="n"/>
      <c r="F26" s="732" t="n"/>
      <c r="G26" s="767" t="n"/>
      <c r="H26" s="767" t="n"/>
      <c r="I26" s="767" t="n"/>
      <c r="J26" s="27" t="n"/>
      <c r="K26" s="25" t="n"/>
      <c r="L26" s="25" t="n"/>
      <c r="R26" s="54" t="n"/>
    </row>
    <row r="27" ht="18" customFormat="1" customHeight="1" s="42">
      <c r="A27" s="85" t="n"/>
      <c r="B27" s="769" t="n"/>
      <c r="F27" s="770" t="n"/>
      <c r="G27" s="767" t="n"/>
      <c r="H27" s="767" t="n"/>
      <c r="I27" s="767" t="n"/>
      <c r="J27" s="27" t="n"/>
      <c r="K27" s="25" t="n"/>
      <c r="L27" s="25" t="n"/>
      <c r="R27" s="54" t="n"/>
    </row>
    <row r="28" ht="18" customFormat="1" customHeight="1" s="42">
      <c r="A28" s="86" t="n"/>
      <c r="B28" s="734" t="n"/>
      <c r="C28" s="735" t="n"/>
      <c r="D28" s="735" t="n"/>
      <c r="E28" s="735" t="n"/>
      <c r="F28" s="736" t="n"/>
      <c r="G28" s="767" t="n"/>
      <c r="H28" s="767" t="n"/>
      <c r="I28" s="767" t="n"/>
      <c r="J28" s="27" t="n"/>
      <c r="K28" s="25" t="n"/>
      <c r="L28" s="25" t="n"/>
      <c r="R28" s="54" t="n"/>
    </row>
    <row r="29" ht="12.75" customFormat="1" customHeight="1" s="42">
      <c r="A29" s="86" t="n"/>
      <c r="B29" s="771" t="n"/>
      <c r="C29" s="772" t="n"/>
      <c r="D29" s="60" t="n"/>
      <c r="E29" s="60" t="n"/>
      <c r="F29" s="60" t="n"/>
      <c r="G29" s="60" t="n"/>
      <c r="H29" s="92" t="n"/>
      <c r="I29" s="92" t="n"/>
      <c r="J29" s="61" t="n"/>
      <c r="K29" s="25" t="n"/>
      <c r="L29" s="25" t="n"/>
      <c r="R29" s="54" t="n"/>
    </row>
    <row r="30" ht="16.5" customFormat="1" customHeight="1" s="42">
      <c r="A30" s="86" t="n"/>
      <c r="B30" s="773" t="inlineStr">
        <is>
          <t>波动范围</t>
        </is>
      </c>
      <c r="C30" s="747" t="n"/>
      <c r="D30" s="60" t="n"/>
      <c r="E30" s="60" t="n"/>
      <c r="F30" s="60" t="n"/>
      <c r="G30" s="60" t="n"/>
      <c r="H30" s="92" t="n"/>
      <c r="I30" s="92" t="n"/>
      <c r="J30" s="61" t="n"/>
      <c r="K30" s="25" t="n"/>
      <c r="L30" s="25" t="n"/>
      <c r="R30" s="54" t="n"/>
    </row>
    <row r="31" ht="12.75" customFormat="1" customHeight="1" s="42">
      <c r="A31" s="99" t="n"/>
      <c r="B31" s="473">
        <f>"波动幅度 ("&amp;C8&amp; "):"</f>
        <v/>
      </c>
      <c r="C31" s="774">
        <f>E15</f>
        <v/>
      </c>
      <c r="D31" s="100" t="n"/>
      <c r="E31" s="100" t="n"/>
      <c r="F31" s="100" t="n"/>
      <c r="G31" s="100" t="n"/>
      <c r="H31" s="100" t="n"/>
      <c r="I31" s="100" t="n"/>
      <c r="J31" s="100" t="n"/>
      <c r="K31" s="25" t="n"/>
      <c r="L31" s="25" t="n"/>
      <c r="R31" s="54" t="n"/>
    </row>
    <row r="32" ht="16.5" customFormat="1" customHeight="1" s="42">
      <c r="B32" s="725" t="inlineStr">
        <is>
          <t>波动幅度（%）：</t>
        </is>
      </c>
      <c r="C32" s="373" t="n">
        <v>0.1</v>
      </c>
      <c r="D32" s="1" t="n"/>
      <c r="E32" s="1" t="n"/>
      <c r="F32" s="1" t="n"/>
      <c r="G32" s="1" t="n"/>
      <c r="H32" s="1" t="n"/>
      <c r="I32" s="1" t="n"/>
      <c r="J32" s="1" t="n"/>
      <c r="K32" s="25" t="n"/>
      <c r="L32" s="25" t="n"/>
      <c r="R32" s="54" t="n"/>
    </row>
    <row r="33" ht="12.75" customFormat="1" customHeight="1" s="42">
      <c r="B33" s="1" t="n"/>
      <c r="C33" s="1" t="n"/>
      <c r="D33" s="1" t="n"/>
      <c r="E33" s="1" t="n"/>
      <c r="F33" s="1" t="n"/>
      <c r="G33" s="1" t="n"/>
      <c r="H33" s="1" t="n"/>
      <c r="I33" s="25" t="n"/>
      <c r="J33" s="25" t="n"/>
      <c r="N33" s="92" t="n"/>
      <c r="R33" s="54" t="n"/>
    </row>
    <row r="34" ht="16.5" customFormat="1" customHeight="1" s="42">
      <c r="A34" s="85" t="n"/>
      <c r="B34" s="63" t="inlineStr">
        <is>
          <t>表1</t>
        </is>
      </c>
      <c r="F34" s="38" t="inlineStr">
        <is>
          <t>|------- TB -------|</t>
        </is>
      </c>
      <c r="H34" s="60" t="n"/>
      <c r="K34" s="445" t="inlineStr">
        <is>
          <t>|------- PY -------|</t>
        </is>
      </c>
      <c r="R34" s="54" t="n"/>
    </row>
    <row r="35" ht="12.75" customFormat="1" customHeight="1" s="42">
      <c r="B35" s="60" t="n"/>
      <c r="C35" s="62" t="n"/>
      <c r="D35" s="62" t="n"/>
      <c r="E35" s="62" t="n"/>
      <c r="F35" s="775">
        <f>"货币/单位: "&amp;C8</f>
        <v/>
      </c>
      <c r="G35" s="746" t="n"/>
      <c r="H35" s="746" t="n"/>
      <c r="I35" s="746" t="n"/>
      <c r="J35" s="746" t="n"/>
      <c r="K35" s="747" t="n"/>
      <c r="L35" s="60" t="n"/>
      <c r="M35" s="60" t="n"/>
      <c r="N35" s="168" t="n"/>
      <c r="R35" s="54" t="n"/>
    </row>
    <row r="36" ht="13.15" customFormat="1" customHeight="1" s="42">
      <c r="A36" s="85" t="n"/>
      <c r="B36" s="438" t="n"/>
      <c r="C36" s="440" t="n"/>
      <c r="D36" s="440" t="n"/>
      <c r="E36" s="442" t="n"/>
      <c r="F36" s="664">
        <f>C3</f>
        <v/>
      </c>
      <c r="G36" s="776" t="n"/>
      <c r="H36" s="776" t="n"/>
      <c r="I36" s="776" t="n"/>
      <c r="J36" s="777" t="n"/>
      <c r="K36" s="778">
        <f>DATE(YEAR($C$3)-1,12,31)</f>
        <v/>
      </c>
      <c r="L36" s="665" t="inlineStr">
        <is>
          <t>本期和上期期末余额</t>
        </is>
      </c>
      <c r="M36" s="729" t="n"/>
      <c r="N36" s="436" t="n"/>
      <c r="O36" s="347" t="inlineStr">
        <is>
          <t>基于波动幅度判断，是否进一步调查？</t>
        </is>
      </c>
      <c r="P36" s="347" t="inlineStr">
        <is>
          <t>基于定性考虑判断，是否进一步调查？</t>
        </is>
      </c>
      <c r="R36" s="54" t="n"/>
    </row>
    <row r="37" ht="25.5" customFormat="1" customHeight="1" s="42">
      <c r="A37" s="85" t="n"/>
      <c r="B37" s="439" t="inlineStr">
        <is>
          <t>账套名称/账套编码</t>
        </is>
      </c>
      <c r="C37" s="439" t="inlineStr">
        <is>
          <t>总账科目编码</t>
        </is>
      </c>
      <c r="D37" s="439" t="inlineStr">
        <is>
          <t>科目名称</t>
        </is>
      </c>
      <c r="E37" s="439" t="inlineStr">
        <is>
          <t>索引号</t>
        </is>
      </c>
      <c r="F37" s="441" t="inlineStr">
        <is>
          <t>期末账面数</t>
        </is>
      </c>
      <c r="G37" s="665" t="inlineStr">
        <is>
          <t>账表调整数</t>
        </is>
      </c>
      <c r="H37" s="665" t="inlineStr">
        <is>
          <t>期末未审数</t>
        </is>
      </c>
      <c r="I37" s="665" t="inlineStr">
        <is>
          <t>审计调整数</t>
        </is>
      </c>
      <c r="J37" s="665" t="inlineStr">
        <is>
          <t>期末审定数</t>
        </is>
      </c>
      <c r="K37" s="467" t="inlineStr">
        <is>
          <t>上期末审定数</t>
        </is>
      </c>
      <c r="L37" s="665" t="inlineStr">
        <is>
          <t>变动金额</t>
        </is>
      </c>
      <c r="M37" s="435" t="inlineStr">
        <is>
          <t>变动%</t>
        </is>
      </c>
      <c r="N37" s="437" t="inlineStr">
        <is>
          <t xml:space="preserve">Notes
</t>
        </is>
      </c>
      <c r="O37" s="779" t="n"/>
      <c r="P37" s="779" t="n"/>
      <c r="R37" s="54" t="n"/>
    </row>
    <row r="38" ht="16.5" customFormat="1" customHeight="1" s="42">
      <c r="A38" s="85" t="n"/>
      <c r="B38" s="427" t="inlineStr">
        <is>
          <t>东风鸿远工程咨询有限公司</t>
        </is>
      </c>
      <c r="C38" s="428" t="n">
        <v>1002</v>
      </c>
      <c r="D38" s="428" t="inlineStr">
        <is>
          <t>银行存款</t>
        </is>
      </c>
      <c r="E38" s="38" t="inlineStr">
        <is>
          <t>C.00 BKD/</t>
        </is>
      </c>
      <c r="F38" s="780" t="n"/>
      <c r="G38" s="780" t="n"/>
      <c r="H38" s="781">
        <f>F38+G38</f>
        <v/>
      </c>
      <c r="I38" s="780" t="n"/>
      <c r="J38" s="781">
        <f>H38+I38</f>
        <v/>
      </c>
      <c r="K38" s="782" t="n">
        <v>5924414.13</v>
      </c>
      <c r="L38" s="783">
        <f>J38-K38</f>
        <v/>
      </c>
      <c r="M38" s="482">
        <f>IF(K38&lt;&gt;0,L38/K38,1)</f>
        <v/>
      </c>
      <c r="N38" s="444" t="inlineStr">
        <is>
          <t>[A]</t>
        </is>
      </c>
      <c r="O38" s="784">
        <f>IF(AND(ABS(L38)&gt;=$C$31,ABS(M38)&gt;=$C$32),"是","否")</f>
        <v/>
      </c>
      <c r="P38" s="87" t="n"/>
      <c r="R38" s="54" t="n"/>
    </row>
    <row r="39" ht="16.5" customFormat="1" customHeight="1" s="42">
      <c r="A39" s="85" t="n"/>
      <c r="B39" s="427" t="inlineStr">
        <is>
          <t>东风鸿远工程咨询有限公司福建分公司</t>
        </is>
      </c>
      <c r="C39" s="428" t="n">
        <v>1002</v>
      </c>
      <c r="D39" s="428" t="inlineStr">
        <is>
          <t>银行存款</t>
        </is>
      </c>
      <c r="E39" s="38" t="n"/>
      <c r="F39" s="780" t="n"/>
      <c r="G39" s="785" t="n"/>
      <c r="H39" s="781">
        <f>F39+G39</f>
        <v/>
      </c>
      <c r="I39" s="785" t="n"/>
      <c r="J39" s="781">
        <f>H39+I39</f>
        <v/>
      </c>
      <c r="K39" s="782" t="n">
        <v>605.89</v>
      </c>
      <c r="L39" s="783">
        <f>J39-K39</f>
        <v/>
      </c>
      <c r="M39" s="482">
        <f>IF(K39&lt;&gt;0,L39/K39,1)</f>
        <v/>
      </c>
      <c r="N39" s="431" t="n"/>
      <c r="O39" s="784">
        <f>IF(AND(ABS(L39)&gt;=$C$31,ABS(M39)&gt;=$C$32),"是","否")</f>
        <v/>
      </c>
      <c r="P39" s="87" t="n"/>
      <c r="R39" s="54" t="n"/>
    </row>
    <row r="40" ht="16.5" customFormat="1" customHeight="1" s="42">
      <c r="A40" s="85" t="n"/>
      <c r="B40" s="432" t="inlineStr">
        <is>
          <t>东风鸿远工程咨询有限公司武汉分公司</t>
        </is>
      </c>
      <c r="C40" s="433" t="n">
        <v>1002</v>
      </c>
      <c r="D40" s="433" t="inlineStr">
        <is>
          <t>银行存款</t>
        </is>
      </c>
      <c r="E40" s="38" t="n"/>
      <c r="F40" s="782" t="n"/>
      <c r="G40" s="782" t="n"/>
      <c r="H40" s="781">
        <f>F40+G40</f>
        <v/>
      </c>
      <c r="I40" s="782" t="n"/>
      <c r="J40" s="781">
        <f>H40+I40</f>
        <v/>
      </c>
      <c r="K40" s="782" t="n">
        <v>8043.03</v>
      </c>
      <c r="L40" s="783">
        <f>J40-K40</f>
        <v/>
      </c>
      <c r="M40" s="482">
        <f>IF(K40&lt;&gt;0,L40/K40,1)</f>
        <v/>
      </c>
      <c r="N40" s="434" t="n"/>
      <c r="O40" s="784">
        <f>IF(AND(ABS(L40)&gt;=$C$31,ABS(M40)&gt;=$C$32),"是","否")</f>
        <v/>
      </c>
      <c r="P40" s="87" t="n"/>
      <c r="R40" s="54" t="n"/>
    </row>
    <row r="41" ht="12.75" customFormat="1" customHeight="1" s="42">
      <c r="A41" s="85" t="n"/>
      <c r="B41" s="786" t="inlineStr">
        <is>
          <t>东风鸿远工程咨询有限公司监理分公司</t>
        </is>
      </c>
      <c r="C41" s="787" t="n">
        <v>1002</v>
      </c>
      <c r="D41" s="787" t="inlineStr">
        <is>
          <t>银行存款</t>
        </is>
      </c>
      <c r="E41" s="788" t="n"/>
      <c r="F41" s="782" t="n"/>
      <c r="G41" s="789" t="n"/>
      <c r="H41" s="782" t="n"/>
      <c r="I41" s="789" t="n"/>
      <c r="J41" s="788" t="n"/>
      <c r="K41" s="789" t="n">
        <v>122094.03</v>
      </c>
      <c r="L41" s="789" t="n"/>
      <c r="M41" s="171" t="n"/>
      <c r="N41" s="790" t="n"/>
      <c r="O41" s="85" t="n"/>
      <c r="P41" s="85" t="n"/>
      <c r="R41" s="54" t="n"/>
    </row>
    <row r="42" ht="12.75" customFormat="1" customHeight="1" s="42" thickBot="1">
      <c r="A42" s="85" t="n"/>
      <c r="B42" s="786" t="n"/>
      <c r="C42" s="787" t="n"/>
      <c r="D42" s="787" t="n"/>
      <c r="E42" s="788" t="n"/>
      <c r="F42" s="782" t="n"/>
      <c r="G42" s="789" t="n"/>
      <c r="H42" s="782" t="n"/>
      <c r="I42" s="789" t="n"/>
      <c r="J42" s="788" t="n"/>
      <c r="K42" s="789" t="n"/>
      <c r="L42" s="789" t="n"/>
      <c r="M42" s="171" t="n"/>
      <c r="N42" s="790" t="n"/>
      <c r="O42" s="85" t="n"/>
      <c r="P42" s="85" t="n"/>
      <c r="R42" s="54" t="n"/>
    </row>
    <row r="43" ht="13.5" customFormat="1" customHeight="1" s="42" thickTop="1">
      <c r="A43" s="85" t="n"/>
      <c r="B43" s="786" t="n"/>
      <c r="C43" s="787" t="n"/>
      <c r="D43" s="787" t="n"/>
      <c r="E43" s="65" t="inlineStr">
        <is>
          <t>合计</t>
        </is>
      </c>
      <c r="F43" s="791">
        <f>SUM(F37:F40)</f>
        <v/>
      </c>
      <c r="G43" s="792">
        <f>SUM(G37:G40)</f>
        <v/>
      </c>
      <c r="H43" s="792">
        <f>SUM(H37:H40)</f>
        <v/>
      </c>
      <c r="I43" s="792">
        <f>SUM(I37:I40)</f>
        <v/>
      </c>
      <c r="J43" s="792">
        <f>SUM(J37:J40)</f>
        <v/>
      </c>
      <c r="K43" s="792">
        <f>SUM(K37:K40)</f>
        <v/>
      </c>
      <c r="L43" s="793">
        <f>J43-K43</f>
        <v/>
      </c>
      <c r="M43" s="483">
        <f>IF(K43&lt;&gt;0,L43/K43,1)</f>
        <v/>
      </c>
      <c r="N43" s="790" t="n"/>
      <c r="O43" s="784">
        <f>IF(AND(ABS(L43)&gt;=$C$31,ABS(M43)&gt;=$C$32),"是","否")</f>
        <v/>
      </c>
      <c r="P43" s="87" t="n"/>
      <c r="R43" s="54" t="n"/>
    </row>
    <row r="44" ht="12.75" customFormat="1" customHeight="1" s="42">
      <c r="A44" s="85" t="n"/>
      <c r="C44" s="787" t="n"/>
      <c r="D44" s="787" t="n"/>
      <c r="E44" s="66" t="n"/>
      <c r="F44" s="60" t="inlineStr">
        <is>
          <t>Rx</t>
        </is>
      </c>
      <c r="G44" s="60" t="inlineStr">
        <is>
          <t>Rx</t>
        </is>
      </c>
      <c r="H44" s="60" t="inlineStr">
        <is>
          <t>Rx</t>
        </is>
      </c>
      <c r="I44" s="60" t="inlineStr">
        <is>
          <t>Rx</t>
        </is>
      </c>
      <c r="J44" s="60" t="inlineStr">
        <is>
          <t>Rx</t>
        </is>
      </c>
      <c r="K44" s="60" t="inlineStr">
        <is>
          <t>Rx</t>
        </is>
      </c>
      <c r="L44" s="794" t="n"/>
      <c r="M44" s="795" t="n"/>
      <c r="N44" s="786" t="n"/>
      <c r="R44" s="54" t="n"/>
    </row>
    <row r="45" ht="12.75" customFormat="1" customHeight="1" s="42">
      <c r="A45" s="85" t="n"/>
      <c r="C45" s="787" t="n"/>
      <c r="D45" s="787" t="n"/>
      <c r="E45" s="66" t="n"/>
      <c r="F45" s="60" t="n"/>
      <c r="G45" s="60" t="n"/>
      <c r="H45" s="60" t="n"/>
      <c r="I45" s="60" t="n"/>
      <c r="J45" s="60" t="n"/>
      <c r="K45" s="60" t="n"/>
      <c r="L45" s="794" t="n"/>
      <c r="M45" s="795" t="n"/>
      <c r="N45" s="786" t="n"/>
      <c r="R45" s="54" t="n"/>
    </row>
    <row r="46" ht="12.75" customFormat="1" customHeight="1" s="42">
      <c r="A46" s="85" t="n"/>
      <c r="B46" s="786" t="n"/>
      <c r="C46" s="787" t="n"/>
      <c r="D46" s="787" t="n"/>
      <c r="E46" s="786" t="n"/>
      <c r="F46" s="796" t="n"/>
      <c r="G46" s="797" t="inlineStr">
        <is>
          <t>A3</t>
        </is>
      </c>
      <c r="H46" s="796" t="n"/>
      <c r="J46" s="796" t="n"/>
      <c r="K46" s="796" t="n"/>
      <c r="L46" s="789" t="n"/>
      <c r="M46" s="789" t="n"/>
      <c r="N46" s="786" t="n"/>
      <c r="R46" s="54" t="n"/>
    </row>
    <row r="47" ht="12.75" customFormat="1" customHeight="1" s="42">
      <c r="A47" s="85" t="n"/>
      <c r="F47" s="798" t="n"/>
      <c r="G47" s="797" t="inlineStr">
        <is>
          <t>Diff</t>
        </is>
      </c>
      <c r="H47" s="799">
        <f>H43-H46</f>
        <v/>
      </c>
      <c r="J47" s="799">
        <f>J43-J46</f>
        <v/>
      </c>
      <c r="K47" s="799">
        <f>K43-K46</f>
        <v/>
      </c>
      <c r="L47" s="798" t="n"/>
      <c r="M47" s="798" t="n"/>
      <c r="N47" s="798" t="n"/>
      <c r="R47" s="54" t="n"/>
    </row>
    <row r="48" ht="16.5" customFormat="1" customHeight="1" s="42">
      <c r="A48" s="85" t="n"/>
      <c r="G48" s="798" t="n"/>
      <c r="H48" s="797" t="n"/>
      <c r="I48" s="798" t="n"/>
      <c r="J48" s="798" t="n"/>
      <c r="L48" s="798" t="n"/>
      <c r="M48" s="798" t="n"/>
      <c r="N48" s="798" t="n"/>
      <c r="O48" s="798" t="n"/>
      <c r="P48" s="798" t="n"/>
      <c r="R48" s="54" t="n"/>
    </row>
    <row r="49" ht="13.5" customFormat="1" customHeight="1" s="42">
      <c r="B49" s="105" t="inlineStr">
        <is>
          <t>波动说明</t>
        </is>
      </c>
      <c r="F49" s="798" t="n"/>
      <c r="G49" s="798" t="n"/>
      <c r="H49" s="797" t="n"/>
      <c r="I49" s="798" t="n"/>
      <c r="J49" s="798" t="n"/>
      <c r="L49" s="798" t="n"/>
      <c r="M49" s="798" t="n"/>
      <c r="N49" s="798" t="n"/>
      <c r="O49" s="798" t="n"/>
      <c r="R49" s="54" t="n"/>
    </row>
    <row r="50" ht="13.5" customFormat="1" customHeight="1" s="42">
      <c r="A50" s="6" t="n"/>
      <c r="B50" s="800" t="inlineStr">
        <is>
          <t>[A]</t>
        </is>
      </c>
      <c r="C50" s="801" t="n"/>
      <c r="D50" s="801" t="n"/>
      <c r="E50" s="801" t="n"/>
      <c r="F50" s="802" t="n"/>
      <c r="G50" s="798" t="n"/>
      <c r="H50" s="797" t="n"/>
      <c r="I50" s="798" t="n"/>
      <c r="J50" s="798" t="n"/>
      <c r="L50" s="798" t="n"/>
      <c r="M50" s="798" t="n"/>
      <c r="N50" s="798" t="n"/>
      <c r="O50" s="798" t="n"/>
      <c r="R50" s="54" t="n"/>
    </row>
    <row r="51" ht="13.5" customFormat="1" customHeight="1" s="42">
      <c r="A51" s="6" t="n"/>
      <c r="B51" s="803" t="n"/>
      <c r="C51" s="804" t="n"/>
      <c r="D51" s="804" t="n"/>
      <c r="E51" s="804" t="n"/>
      <c r="F51" s="805" t="n"/>
      <c r="G51" s="798" t="n"/>
      <c r="H51" s="797" t="n"/>
      <c r="I51" s="798" t="n"/>
      <c r="J51" s="798" t="n"/>
      <c r="L51" s="798" t="n"/>
      <c r="M51" s="798" t="n"/>
      <c r="N51" s="798" t="n"/>
      <c r="O51" s="798" t="n"/>
      <c r="R51" s="54" t="n"/>
    </row>
    <row r="52" ht="12.75" customFormat="1" customHeight="1" s="42">
      <c r="A52" s="85" t="n"/>
      <c r="B52" s="806" t="n"/>
      <c r="C52" s="807" t="n"/>
      <c r="D52" s="807" t="n"/>
      <c r="E52" s="807" t="n"/>
      <c r="F52" s="808" t="n"/>
      <c r="G52" s="798" t="n"/>
      <c r="H52" s="797" t="n"/>
      <c r="I52" s="798" t="n"/>
      <c r="J52" s="798" t="n"/>
      <c r="L52" s="798" t="n"/>
      <c r="M52" s="798" t="n"/>
      <c r="N52" s="798" t="n"/>
      <c r="O52" s="798" t="n"/>
      <c r="R52" s="54" t="n"/>
    </row>
    <row r="53" ht="16.5" customFormat="1" customHeight="1" s="92">
      <c r="A53" s="85" t="n"/>
      <c r="F53" s="798" t="n"/>
      <c r="G53" s="798" t="n"/>
      <c r="H53" s="797" t="n"/>
      <c r="I53" s="798" t="n"/>
      <c r="J53" s="798" t="n"/>
      <c r="L53" s="798" t="n"/>
      <c r="M53" s="798" t="n"/>
      <c r="N53" s="798" t="n"/>
      <c r="O53" s="798" t="n"/>
      <c r="R53" s="54" t="n"/>
    </row>
    <row r="54" ht="16.5" customFormat="1" customHeight="1" s="92">
      <c r="A54" s="87" t="n"/>
      <c r="B54" s="3" t="inlineStr">
        <is>
          <t>调整汇总表（如不适用请删除）</t>
        </is>
      </c>
      <c r="C54" s="72" t="n"/>
      <c r="D54" s="73" t="n"/>
      <c r="E54" s="73" t="n"/>
      <c r="F54" s="809" t="n"/>
      <c r="G54" s="809" t="n"/>
      <c r="H54" s="809" t="n"/>
      <c r="I54" s="809" t="n"/>
      <c r="R54" s="97" t="n"/>
    </row>
    <row r="55" ht="14.25" customFormat="1" customHeight="1" s="92">
      <c r="A55" s="87" t="n"/>
      <c r="B55" s="810" t="inlineStr">
        <is>
          <t>调整类型</t>
        </is>
      </c>
      <c r="C55" s="357" t="n"/>
      <c r="D55" s="357" t="n"/>
      <c r="E55" s="358" t="n"/>
      <c r="F55" s="358" t="n"/>
      <c r="G55" s="809" t="n"/>
      <c r="H55" s="809" t="n"/>
      <c r="I55" s="809" t="n"/>
      <c r="R55" s="97" t="n"/>
    </row>
    <row r="56" ht="14.25" customFormat="1" customHeight="1" s="92">
      <c r="A56" s="87" t="n"/>
      <c r="B56" s="552" t="n"/>
      <c r="C56" s="374" t="n"/>
      <c r="D56" s="374" t="n"/>
      <c r="E56" s="555" t="n"/>
      <c r="F56" s="556" t="n"/>
      <c r="G56" s="809" t="n"/>
      <c r="H56" s="809" t="n"/>
      <c r="I56" s="809" t="n"/>
      <c r="R56" s="97" t="n"/>
    </row>
    <row r="57" ht="14.25" customFormat="1" customHeight="1" s="92">
      <c r="A57" s="87" t="n"/>
      <c r="B57" s="553" t="n"/>
      <c r="C57" s="557" t="n"/>
      <c r="D57" s="557" t="n"/>
      <c r="E57" s="87" t="n"/>
      <c r="F57" s="558" t="n"/>
      <c r="G57" s="809" t="n"/>
      <c r="H57" s="809" t="n"/>
      <c r="I57" s="809" t="n"/>
      <c r="R57" s="97" t="n"/>
    </row>
    <row r="58" ht="12.75" customFormat="1" customHeight="1" s="92">
      <c r="A58" s="47" t="n"/>
      <c r="B58" s="553" t="n"/>
      <c r="C58" s="557" t="n"/>
      <c r="D58" s="557" t="n"/>
      <c r="E58" s="87" t="n"/>
      <c r="F58" s="558" t="n"/>
      <c r="G58" s="809" t="n"/>
      <c r="H58" s="809" t="n"/>
      <c r="I58" s="809" t="n"/>
      <c r="R58" s="97" t="n"/>
    </row>
    <row r="59" ht="12.75" customFormat="1" customHeight="1" s="42">
      <c r="A59" s="47" t="n"/>
      <c r="B59" s="554" t="n"/>
      <c r="C59" s="559" t="n"/>
      <c r="D59" s="559" t="n"/>
      <c r="E59" s="559" t="n"/>
      <c r="F59" s="560" t="n"/>
      <c r="G59" s="809" t="n"/>
      <c r="H59" s="809" t="n"/>
      <c r="I59" s="809" t="n"/>
      <c r="R59" s="97" t="n"/>
    </row>
    <row r="60" ht="16.5" customFormat="1" customHeight="1" s="42">
      <c r="F60" s="798" t="n"/>
      <c r="G60" s="798" t="n"/>
      <c r="H60" s="797" t="n"/>
      <c r="I60" s="798" t="n"/>
      <c r="J60" s="798" t="n"/>
      <c r="L60" s="798" t="n"/>
      <c r="M60" s="798" t="n"/>
      <c r="N60" s="798" t="n"/>
      <c r="O60" s="798" t="n"/>
      <c r="R60" s="54" t="n"/>
    </row>
    <row r="61" ht="16.5" customFormat="1" customHeight="1" s="42">
      <c r="A61" s="63" t="n"/>
      <c r="B61" s="63" t="inlineStr">
        <is>
          <t>表2 For Disclosure</t>
        </is>
      </c>
      <c r="F61" s="798" t="n"/>
      <c r="G61" s="798" t="n"/>
      <c r="H61" s="797" t="n"/>
      <c r="I61" s="798" t="n"/>
      <c r="J61" s="798" t="n"/>
      <c r="L61" s="798" t="n"/>
      <c r="M61" s="798" t="n"/>
      <c r="N61" s="798" t="n"/>
      <c r="O61" s="798" t="n"/>
      <c r="R61" s="54" t="n"/>
    </row>
    <row r="62" ht="16.5" customFormat="1" customHeight="1" s="42">
      <c r="A62" s="63" t="n"/>
      <c r="B62" s="93" t="inlineStr">
        <is>
          <t>货币资金（资产负债表）</t>
        </is>
      </c>
      <c r="E62" s="798" t="n"/>
      <c r="F62" s="798" t="n"/>
      <c r="G62" s="797" t="n"/>
      <c r="H62" s="798" t="n"/>
      <c r="I62" s="798" t="n"/>
      <c r="K62" s="798" t="n"/>
      <c r="L62" s="798" t="n"/>
      <c r="M62" s="798" t="n"/>
      <c r="N62" s="798" t="n"/>
      <c r="O62" s="798" t="n"/>
      <c r="R62" s="54" t="n"/>
    </row>
    <row r="63" ht="16.5" customFormat="1" customHeight="1" s="42">
      <c r="A63" s="63" t="n"/>
      <c r="B63" s="172" t="inlineStr">
        <is>
          <t>报表科目</t>
        </is>
      </c>
      <c r="C63" s="173">
        <f>J37</f>
        <v/>
      </c>
      <c r="D63" s="174">
        <f>K37</f>
        <v/>
      </c>
      <c r="E63" s="94" t="inlineStr">
        <is>
          <t>Check With 表2</t>
        </is>
      </c>
      <c r="F63" s="798" t="n"/>
      <c r="G63" s="797" t="n"/>
      <c r="H63" s="798" t="n"/>
      <c r="I63" s="798" t="n"/>
      <c r="K63" s="798" t="n"/>
      <c r="L63" s="798" t="n"/>
      <c r="N63" s="798" t="n"/>
      <c r="O63" s="798" t="n"/>
      <c r="R63" s="54" t="n"/>
    </row>
    <row r="64" ht="16.5" customFormat="1" customHeight="1" s="42">
      <c r="A64" s="85" t="n"/>
      <c r="B64" s="219" t="inlineStr">
        <is>
          <t>库存现金</t>
        </is>
      </c>
      <c r="C64" s="811" t="n"/>
      <c r="D64" s="812" t="n">
        <v>0</v>
      </c>
      <c r="F64" s="798" t="n"/>
      <c r="G64" s="797" t="n"/>
      <c r="H64" s="798" t="n"/>
      <c r="I64" s="798" t="n"/>
      <c r="K64" s="798" t="n"/>
      <c r="L64" s="798" t="n"/>
      <c r="M64" s="798" t="n"/>
      <c r="N64" s="798" t="n"/>
      <c r="O64" s="798" t="n"/>
      <c r="R64" s="54" t="n"/>
    </row>
    <row r="65" ht="16.5" customFormat="1" customHeight="1" s="42">
      <c r="A65" s="85" t="n"/>
      <c r="B65" s="219" t="inlineStr">
        <is>
          <t>银行存款</t>
        </is>
      </c>
      <c r="C65" s="811" t="n"/>
      <c r="D65" s="812" t="n">
        <v>359091.8700000001</v>
      </c>
      <c r="E65" s="813" t="n"/>
      <c r="F65" s="798" t="n"/>
      <c r="G65" s="797" t="n"/>
      <c r="H65" s="798" t="n"/>
      <c r="I65" s="798" t="n"/>
      <c r="K65" s="798" t="n"/>
      <c r="L65" s="798" t="n"/>
      <c r="M65" s="798" t="n"/>
      <c r="N65" s="798" t="n"/>
      <c r="O65" s="798" t="n"/>
      <c r="R65" s="54" t="n"/>
    </row>
    <row r="66" ht="16.5" customFormat="1" customHeight="1" s="42">
      <c r="A66" s="85" t="n"/>
      <c r="B66" s="219" t="inlineStr">
        <is>
          <t>其他货币资金</t>
        </is>
      </c>
      <c r="C66" s="811" t="n"/>
      <c r="D66" s="812" t="n">
        <v>0</v>
      </c>
      <c r="F66" s="798" t="n"/>
      <c r="G66" s="797" t="n"/>
      <c r="H66" s="798" t="n"/>
      <c r="I66" s="798" t="n"/>
      <c r="K66" s="798" t="n"/>
      <c r="L66" s="798" t="n"/>
      <c r="M66" s="798" t="n"/>
      <c r="N66" s="798" t="n"/>
      <c r="O66" s="798" t="n"/>
      <c r="R66" s="54" t="n"/>
    </row>
    <row r="67" ht="16.5" customFormat="1" customHeight="1" s="42">
      <c r="A67" s="85" t="n"/>
      <c r="B67" s="219" t="inlineStr">
        <is>
          <t>存放财务公司款项</t>
        </is>
      </c>
      <c r="C67" s="811" t="n"/>
      <c r="D67" s="812" t="n">
        <v>5696065.21</v>
      </c>
      <c r="M67" s="92" t="n"/>
      <c r="R67" s="54" t="n"/>
    </row>
    <row r="68" ht="12.75" customFormat="1" customHeight="1" s="42">
      <c r="A68" s="85" t="n"/>
      <c r="B68" s="231" t="inlineStr">
        <is>
          <t>合计</t>
        </is>
      </c>
      <c r="C68" s="814">
        <f>C64+C65+C66+C67</f>
        <v/>
      </c>
      <c r="D68" s="815" t="n">
        <v>6055157.08</v>
      </c>
      <c r="E68" s="813">
        <f>C68-J43</f>
        <v/>
      </c>
      <c r="F68" s="813">
        <f>D68-K43</f>
        <v/>
      </c>
      <c r="M68" s="92" t="n"/>
      <c r="R68" s="54" t="n"/>
    </row>
    <row r="69" ht="16.5" customFormat="1" customHeight="1" s="42">
      <c r="A69" s="85" t="n"/>
      <c r="C69" s="60" t="inlineStr">
        <is>
          <t>Rx</t>
        </is>
      </c>
      <c r="D69" s="60" t="inlineStr">
        <is>
          <t>Rx</t>
        </is>
      </c>
      <c r="M69" s="92" t="n"/>
      <c r="R69" s="54" t="n"/>
    </row>
    <row r="70" ht="12.75" customFormat="1" customHeight="1" s="42">
      <c r="A70" s="85" t="n"/>
      <c r="B70" s="485" t="inlineStr">
        <is>
          <t>其中：存放在境外的款项总额（如适用）</t>
        </is>
      </c>
      <c r="C70" s="816" t="n"/>
      <c r="D70" s="817" t="n">
        <v>0</v>
      </c>
      <c r="E70" s="177" t="inlineStr">
        <is>
          <t>*适用于A股上市公司</t>
        </is>
      </c>
      <c r="F70" s="798" t="n"/>
      <c r="G70" s="797" t="n"/>
      <c r="H70" s="798" t="n"/>
      <c r="I70" s="798" t="n"/>
      <c r="K70" s="798" t="n"/>
      <c r="L70" s="798" t="n"/>
      <c r="M70" s="798" t="n"/>
      <c r="N70" s="798" t="n"/>
      <c r="O70" s="798" t="n"/>
      <c r="R70" s="54" t="n"/>
    </row>
    <row r="71" ht="16.5" customFormat="1" customHeight="1" s="42">
      <c r="A71" s="85" t="n"/>
      <c r="G71" s="798" t="n"/>
      <c r="H71" s="797" t="n"/>
      <c r="I71" s="798" t="n"/>
      <c r="J71" s="798" t="n"/>
      <c r="L71" s="798" t="n"/>
      <c r="M71" s="798" t="n"/>
      <c r="N71" s="798" t="n"/>
      <c r="O71" s="798" t="n"/>
      <c r="R71" s="54" t="n"/>
    </row>
    <row r="72" ht="16.5" customFormat="1" customHeight="1" s="42">
      <c r="A72" s="85" t="n"/>
      <c r="B72" s="96" t="inlineStr">
        <is>
          <t>所有权或使用权受到限制的资产</t>
        </is>
      </c>
      <c r="C72" s="96" t="n"/>
      <c r="D72" s="96" t="n"/>
      <c r="E72" s="813" t="n"/>
      <c r="N72" s="92" t="n"/>
      <c r="R72" s="54" t="n"/>
    </row>
    <row r="73" ht="15" customHeight="1" s="726">
      <c r="A73" s="85" t="n"/>
      <c r="B73" s="175" t="inlineStr">
        <is>
          <t>所有权或使用权受到限制的货币资金</t>
        </is>
      </c>
      <c r="C73" s="816" t="n"/>
      <c r="D73" s="817" t="n">
        <v>50000</v>
      </c>
      <c r="E73" s="813" t="n"/>
      <c r="N73" s="92" t="n"/>
      <c r="R73" s="54" t="n"/>
    </row>
    <row r="74" ht="7.5" customHeight="1" s="726">
      <c r="B74" s="340" t="n"/>
      <c r="C74" s="340" t="n"/>
      <c r="D74" s="340" t="n"/>
      <c r="R74" s="54" t="n"/>
    </row>
    <row r="75" customFormat="1" s="340">
      <c r="A75" s="77" t="n"/>
      <c r="B75" s="78" t="n"/>
      <c r="C75" s="78" t="n"/>
      <c r="D75" s="78" t="n"/>
      <c r="E75" s="78" t="n"/>
      <c r="F75" s="78" t="n"/>
      <c r="G75" s="78" t="n"/>
      <c r="H75" s="78" t="n"/>
      <c r="I75" s="78" t="n"/>
      <c r="J75" s="78" t="n"/>
      <c r="K75" s="79" t="n"/>
      <c r="L75" s="78" t="n"/>
      <c r="M75" s="78" t="n"/>
      <c r="N75" s="78" t="n"/>
      <c r="O75" s="78" t="n"/>
      <c r="P75" s="78" t="n"/>
      <c r="Q75" s="78" t="n"/>
      <c r="R75" s="78" t="n"/>
    </row>
    <row r="76">
      <c r="A76" s="461" t="n"/>
      <c r="K76" s="462" t="n"/>
      <c r="Q76" s="3" t="n"/>
    </row>
  </sheetData>
  <mergeCells count="14">
    <mergeCell ref="D2:P8"/>
    <mergeCell ref="B26:F28"/>
    <mergeCell ref="B23:E23"/>
    <mergeCell ref="B30:C30"/>
    <mergeCell ref="D13:E13"/>
    <mergeCell ref="F36:J36"/>
    <mergeCell ref="F35:K35"/>
    <mergeCell ref="B1:P1"/>
    <mergeCell ref="P36:P37"/>
    <mergeCell ref="B20:E20"/>
    <mergeCell ref="L36:M36"/>
    <mergeCell ref="O36:O37"/>
    <mergeCell ref="B50:F52"/>
    <mergeCell ref="H13:L13"/>
  </mergeCells>
  <conditionalFormatting sqref="B26 B38:D40 C32 F38:F40 H46 J46:K46 K38:K40 P38:P40">
    <cfRule type="containsBlanks" priority="26" dxfId="0">
      <formula>LEN(TRIM(B26))=0</formula>
    </cfRule>
  </conditionalFormatting>
  <conditionalFormatting sqref="B50:B51">
    <cfRule type="containsBlanks" priority="13" dxfId="11">
      <formula>LEN(TRIM(B49))=0</formula>
    </cfRule>
  </conditionalFormatting>
  <conditionalFormatting sqref="B56:F56 B57:B59 C57:F57">
    <cfRule type="containsBlanks" priority="5" dxfId="11">
      <formula>LEN(TRIM(B55))=0</formula>
    </cfRule>
  </conditionalFormatting>
  <conditionalFormatting sqref="C2:C8">
    <cfRule type="containsBlanks" priority="10" dxfId="0">
      <formula>LEN(TRIM(C2))=0</formula>
    </cfRule>
  </conditionalFormatting>
  <conditionalFormatting sqref="C15:C19">
    <cfRule type="containsBlanks" priority="9" dxfId="11">
      <formula>LEN(TRIM(C15))=0</formula>
    </cfRule>
  </conditionalFormatting>
  <conditionalFormatting sqref="C64:D67">
    <cfRule type="containsBlanks" priority="12" dxfId="0">
      <formula>LEN(TRIM(C63))=0</formula>
    </cfRule>
  </conditionalFormatting>
  <conditionalFormatting sqref="C70:D70">
    <cfRule type="containsBlanks" priority="25" dxfId="0">
      <formula>LEN(TRIM(C69))=0</formula>
    </cfRule>
  </conditionalFormatting>
  <conditionalFormatting sqref="C73:D73">
    <cfRule type="containsBlanks" priority="17" dxfId="0">
      <formula>LEN(TRIM(C72))=0</formula>
    </cfRule>
  </conditionalFormatting>
  <conditionalFormatting sqref="C58:F59">
    <cfRule type="containsBlanks" priority="4" dxfId="0">
      <formula>LEN(TRIM(C57))=0</formula>
    </cfRule>
  </conditionalFormatting>
  <conditionalFormatting sqref="O38:O40">
    <cfRule type="containsBlanks" priority="8" dxfId="11">
      <formula>LEN(TRIM(O38))=0</formula>
    </cfRule>
  </conditionalFormatting>
  <conditionalFormatting sqref="O43">
    <cfRule type="containsBlanks" priority="1" dxfId="11">
      <formula>LEN(TRIM(O42))=0</formula>
    </cfRule>
  </conditionalFormatting>
  <conditionalFormatting sqref="P43">
    <cfRule type="containsBlanks" priority="2" dxfId="0">
      <formula>LEN(TRIM(P42))=0</formula>
    </cfRule>
  </conditionalFormatting>
  <dataValidations count="3">
    <dataValidation sqref="C15:C19" showDropDown="0" showInputMessage="1" showErrorMessage="1" allowBlank="1" type="list">
      <formula1>"Minimal,Low,Moderate,High,N/A"</formula1>
    </dataValidation>
    <dataValidation sqref="P38:P40 P43" showDropDown="0" showInputMessage="1" showErrorMessage="0" allowBlank="1" type="list">
      <formula1>"是,否"</formula1>
    </dataValidation>
    <dataValidation sqref="B56:B59"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O26"/>
  <sheetViews>
    <sheetView showGridLines="0" zoomScale="70" zoomScaleNormal="70" zoomScaleSheetLayoutView="90" workbookViewId="0">
      <selection activeCell="H19" sqref="H19"/>
    </sheetView>
  </sheetViews>
  <sheetFormatPr baseColWidth="8" defaultColWidth="9.25" defaultRowHeight="15" customHeight="1"/>
  <cols>
    <col width="2.625" customWidth="1" style="140" min="1" max="1"/>
    <col width="16.625" customWidth="1" style="145" min="2" max="3"/>
    <col width="16.625" customWidth="1" style="128" min="4" max="9"/>
    <col width="16.625" customWidth="1" style="154" min="10" max="10"/>
    <col width="42.75" customWidth="1" style="154" min="11" max="11"/>
    <col width="16.625" customWidth="1" style="154" min="12" max="12"/>
    <col width="2.625" customWidth="1" style="128" min="13" max="13"/>
    <col width="1.625" customWidth="1" style="128" min="14" max="14"/>
    <col width="9.25" customWidth="1" style="129" min="15" max="15"/>
    <col width="9.25" customWidth="1" style="128" min="16" max="16384"/>
  </cols>
  <sheetData>
    <row r="1" ht="50.1" customFormat="1" customHeight="1" s="118">
      <c r="A1" s="323" t="inlineStr">
        <is>
          <t>cd8846d7-01cb-4e39-99f2-dd3fb53a39f3</t>
        </is>
      </c>
      <c r="B1" s="460" t="inlineStr">
        <is>
          <t xml:space="preserve">                                                                                                                                        标准工作底稿: C SWP 货币资金</t>
        </is>
      </c>
      <c r="C1" s="412" t="n"/>
      <c r="D1" s="413" t="n"/>
      <c r="E1" s="413" t="n"/>
      <c r="F1" s="413" t="n"/>
      <c r="G1" s="414" t="n"/>
      <c r="H1" s="414" t="n"/>
      <c r="I1" s="414" t="n"/>
      <c r="J1" s="415" t="n"/>
      <c r="K1" s="415" t="n"/>
      <c r="L1" s="320" t="n"/>
      <c r="M1" s="463" t="n"/>
      <c r="N1" s="464" t="n"/>
    </row>
    <row r="2" ht="30" customFormat="1" customHeight="1" s="121">
      <c r="A2" s="119" t="n"/>
      <c r="B2" s="416" t="inlineStr">
        <is>
          <t>C.00 BKD</t>
        </is>
      </c>
      <c r="C2" s="417" t="n"/>
      <c r="D2" s="417" t="n"/>
      <c r="E2" s="417" t="n"/>
      <c r="F2" s="417" t="n"/>
      <c r="G2" s="417" t="n"/>
      <c r="H2" s="417" t="n"/>
      <c r="I2" s="417" t="n"/>
      <c r="J2" s="418" t="n"/>
      <c r="K2" s="418" t="n"/>
      <c r="L2" s="419" t="n"/>
      <c r="M2" s="119" t="n"/>
      <c r="N2" s="120" t="n"/>
    </row>
    <row r="3" ht="12.75" customFormat="1" customHeight="1" s="118">
      <c r="A3" s="122" t="n"/>
      <c r="J3" s="150" t="n"/>
      <c r="K3" s="150" t="n"/>
      <c r="L3" s="150" t="n"/>
      <c r="M3" s="123" t="n"/>
      <c r="N3" s="124" t="n"/>
    </row>
    <row r="4" ht="16.5" customFormat="1" customHeight="1" s="118">
      <c r="A4" s="122" t="n"/>
      <c r="B4" s="147" t="inlineStr">
        <is>
          <t>返回汇总页</t>
        </is>
      </c>
      <c r="J4" s="150" t="n"/>
      <c r="K4" s="150" t="n"/>
      <c r="L4" s="150" t="n"/>
      <c r="M4" s="123" t="n"/>
      <c r="N4" s="124" t="n"/>
    </row>
    <row r="5" ht="12.75" customFormat="1" customHeight="1" s="118">
      <c r="A5" s="122" t="n"/>
      <c r="J5" s="150" t="n"/>
      <c r="K5" s="150" t="n"/>
      <c r="L5" s="150" t="n"/>
      <c r="M5" s="123" t="n"/>
      <c r="N5" s="124" t="n"/>
    </row>
    <row r="6" ht="16.5" customFormat="1" customHeight="1" s="118">
      <c r="A6" s="122" t="n"/>
      <c r="B6" s="180" t="inlineStr">
        <is>
          <t>全量货币资金明细表</t>
        </is>
      </c>
      <c r="C6" s="180" t="n"/>
      <c r="D6" s="181" t="n"/>
      <c r="E6" s="181" t="n"/>
      <c r="F6" s="181" t="n"/>
      <c r="G6" s="182" t="n"/>
      <c r="H6" s="183" t="n"/>
      <c r="I6" s="183" t="n"/>
      <c r="J6" s="315" t="n"/>
      <c r="K6" s="316" t="n"/>
      <c r="L6" s="316" t="n"/>
      <c r="M6" s="122" t="n"/>
      <c r="N6" s="124" t="n"/>
    </row>
    <row r="7" ht="12.75" customFormat="1" customHeight="1" s="129">
      <c r="A7" s="125" t="n"/>
      <c r="C7" s="126" t="n"/>
      <c r="D7" s="43" t="n"/>
      <c r="E7" s="127" t="n"/>
      <c r="F7" s="127" t="n"/>
      <c r="G7" s="127" t="n"/>
      <c r="I7" s="127" t="n"/>
      <c r="J7" s="151" t="n"/>
      <c r="K7" s="151" t="n"/>
      <c r="L7" s="151" t="n"/>
      <c r="N7" s="124" t="n"/>
    </row>
    <row r="8" ht="12.75" customFormat="1" customHeight="1" s="133">
      <c r="A8" s="132" t="n"/>
      <c r="B8" s="38" t="inlineStr">
        <is>
          <t>TB</t>
        </is>
      </c>
      <c r="C8" s="38" t="inlineStr">
        <is>
          <t>TB</t>
        </is>
      </c>
      <c r="D8" s="38" t="inlineStr">
        <is>
          <t>TB</t>
        </is>
      </c>
      <c r="E8" s="38" t="inlineStr">
        <is>
          <t>TB</t>
        </is>
      </c>
      <c r="F8" s="38" t="inlineStr">
        <is>
          <t>TB</t>
        </is>
      </c>
      <c r="G8" s="38" t="inlineStr">
        <is>
          <t>TB</t>
        </is>
      </c>
      <c r="H8" s="38" t="inlineStr">
        <is>
          <t>TB</t>
        </is>
      </c>
      <c r="I8" s="484" t="inlineStr">
        <is>
          <t>PBC&amp;C.01</t>
        </is>
      </c>
      <c r="J8" s="484" t="inlineStr">
        <is>
          <t>EY Works</t>
        </is>
      </c>
      <c r="K8" s="484" t="inlineStr">
        <is>
          <t>EY Works</t>
        </is>
      </c>
      <c r="L8" s="152" t="n"/>
      <c r="N8" s="124" t="n"/>
    </row>
    <row r="9" ht="49.5" customFormat="1" customHeight="1" s="136">
      <c r="A9" s="135" t="n"/>
      <c r="B9" s="344" t="inlineStr">
        <is>
          <t>公司名称</t>
        </is>
      </c>
      <c r="C9" s="344" t="inlineStr">
        <is>
          <t>科目名称</t>
        </is>
      </c>
      <c r="D9" s="344" t="inlineStr">
        <is>
          <t>银行/存款机构名称</t>
        </is>
      </c>
      <c r="E9" s="344" t="inlineStr">
        <is>
          <t>账号1</t>
        </is>
      </c>
      <c r="F9" s="344" t="inlineStr">
        <is>
          <t>币种</t>
        </is>
      </c>
      <c r="G9" s="344" t="inlineStr">
        <is>
          <t>期末账面金额
（原币）</t>
        </is>
      </c>
      <c r="H9" s="344" t="inlineStr">
        <is>
          <t>期末账面金额
（本币）</t>
        </is>
      </c>
      <c r="I9" s="345" t="inlineStr">
        <is>
          <t>货币资金账户的性质和用途</t>
        </is>
      </c>
      <c r="J9" s="344" t="inlineStr">
        <is>
          <t>是否对账户执行银行函证程序？</t>
        </is>
      </c>
      <c r="K9" s="344" t="inlineStr">
        <is>
          <t>记录我们判断账户在金额及性质上均不重大的理由和执行的工作，或，在&lt;C.01b&gt;记录我们执行的替代性程序。</t>
        </is>
      </c>
      <c r="L9" s="346" t="inlineStr">
        <is>
          <t>Notes</t>
        </is>
      </c>
      <c r="N9" s="124" t="n"/>
    </row>
    <row r="10" ht="14.45" customFormat="1" customHeight="1" s="486">
      <c r="B10" s="487" t="n"/>
      <c r="C10" s="487" t="n"/>
      <c r="D10" s="488" t="n"/>
      <c r="E10" s="492" t="n"/>
      <c r="F10" s="488" t="n"/>
      <c r="G10" s="818" t="n"/>
      <c r="H10" s="819" t="n"/>
      <c r="I10" s="487" t="n"/>
      <c r="J10" s="488" t="n"/>
      <c r="K10" s="488" t="n"/>
      <c r="L10" s="488" t="n"/>
      <c r="N10" s="489" t="n"/>
    </row>
    <row r="11" ht="14.45" customFormat="1" customHeight="1" s="486">
      <c r="B11" s="487" t="n"/>
      <c r="C11" s="487" t="n"/>
      <c r="D11" s="488" t="n"/>
      <c r="E11" s="492" t="n"/>
      <c r="F11" s="488" t="n"/>
      <c r="G11" s="818" t="n"/>
      <c r="H11" s="819" t="n"/>
      <c r="I11" s="487" t="n"/>
      <c r="J11" s="488" t="n"/>
      <c r="K11" s="488" t="n"/>
      <c r="L11" s="488" t="n"/>
      <c r="N11" s="489" t="n"/>
    </row>
    <row r="12" ht="14.45" customFormat="1" customHeight="1" s="486">
      <c r="B12" s="487" t="n"/>
      <c r="C12" s="487" t="n"/>
      <c r="D12" s="488" t="n"/>
      <c r="E12" s="492" t="n"/>
      <c r="F12" s="488" t="n"/>
      <c r="G12" s="818" t="n"/>
      <c r="H12" s="819" t="n"/>
      <c r="I12" s="487" t="n"/>
      <c r="J12" s="488" t="n"/>
      <c r="K12" s="488">
        <f>IF(J12="是","N/a","")</f>
        <v/>
      </c>
      <c r="L12" s="488" t="n"/>
      <c r="N12" s="489" t="n"/>
    </row>
    <row r="13" ht="14.45" customFormat="1" customHeight="1" s="486">
      <c r="B13" s="487" t="n"/>
      <c r="C13" s="487" t="n"/>
      <c r="D13" s="488" t="n"/>
      <c r="E13" s="492" t="n"/>
      <c r="F13" s="488" t="n"/>
      <c r="G13" s="818" t="n"/>
      <c r="H13" s="819" t="n"/>
      <c r="I13" s="487" t="n"/>
      <c r="J13" s="488" t="n"/>
      <c r="K13" s="488">
        <f>IF(J13="是","N/a","")</f>
        <v/>
      </c>
      <c r="L13" s="488" t="n"/>
      <c r="N13" s="489" t="n"/>
    </row>
    <row r="14" ht="14.45" customFormat="1" customHeight="1" s="486">
      <c r="B14" s="487" t="n"/>
      <c r="C14" s="487" t="n"/>
      <c r="D14" s="488" t="n"/>
      <c r="E14" s="492" t="n"/>
      <c r="F14" s="488" t="n"/>
      <c r="G14" s="818" t="n"/>
      <c r="H14" s="819" t="n"/>
      <c r="I14" s="487" t="n"/>
      <c r="J14" s="488" t="n"/>
      <c r="K14" s="488">
        <f>IF(J14="是","N/a","")</f>
        <v/>
      </c>
      <c r="L14" s="488" t="n"/>
      <c r="N14" s="489" t="n"/>
    </row>
    <row r="15" ht="14.45" customFormat="1" customHeight="1" s="486">
      <c r="B15" s="487" t="n"/>
      <c r="C15" s="487" t="n"/>
      <c r="D15" s="488" t="n"/>
      <c r="E15" s="492" t="n"/>
      <c r="F15" s="488" t="n"/>
      <c r="G15" s="818" t="n"/>
      <c r="H15" s="819" t="n"/>
      <c r="I15" s="487" t="n"/>
      <c r="J15" s="488" t="n"/>
      <c r="K15" s="488">
        <f>IF(J15="是","N/a","")</f>
        <v/>
      </c>
      <c r="L15" s="488" t="n"/>
      <c r="N15" s="489" t="n"/>
    </row>
    <row r="16" ht="16.5" customFormat="1" customHeight="1" s="131">
      <c r="A16" s="137" t="n"/>
      <c r="B16" s="367" t="inlineStr">
        <is>
          <t>1.本表格包括所有的货币资金信息，我们将本期账户及其余额与上期账户及其余额核对，确保本期内新增、销户的账户均包含在表格中。</t>
        </is>
      </c>
      <c r="G16" s="156" t="n"/>
      <c r="H16" s="156" t="n"/>
      <c r="I16" s="156" t="n"/>
      <c r="J16" s="157" t="n"/>
      <c r="K16" s="324" t="n"/>
      <c r="L16" s="157" t="n"/>
      <c r="N16" s="124" t="n"/>
      <c r="O16" s="138" t="n"/>
    </row>
    <row r="17" ht="13.5" customFormat="1" customHeight="1" s="131" thickBot="1">
      <c r="A17" s="137" t="n"/>
      <c r="G17" s="820" t="n"/>
      <c r="H17" s="821">
        <f>SUM(H10:H15)</f>
        <v/>
      </c>
      <c r="I17" s="822" t="n"/>
      <c r="J17" s="133" t="n"/>
      <c r="K17" s="133" t="n"/>
      <c r="L17" s="133" t="n"/>
      <c r="N17" s="124" t="n"/>
      <c r="O17" s="138" t="n"/>
    </row>
    <row r="18" ht="13.5" customFormat="1" customHeight="1" s="131" thickTop="1">
      <c r="A18" s="137" t="n"/>
      <c r="B18" s="129" t="n"/>
      <c r="C18" s="129" t="n"/>
      <c r="D18" s="129" t="n"/>
      <c r="E18" s="129" t="n"/>
      <c r="F18" s="129" t="n"/>
      <c r="G18" s="129" t="n"/>
      <c r="H18" s="797" t="inlineStr">
        <is>
          <t>RX</t>
        </is>
      </c>
      <c r="I18" s="797" t="n"/>
      <c r="J18" s="153" t="n"/>
      <c r="K18" s="153" t="n"/>
      <c r="L18" s="153" t="n"/>
      <c r="N18" s="124" t="n"/>
      <c r="O18" s="138" t="n"/>
    </row>
    <row r="19" ht="12.75" customFormat="1" customHeight="1" s="131">
      <c r="A19" s="137" t="n"/>
      <c r="B19" s="129" t="n"/>
      <c r="C19" s="129" t="n"/>
      <c r="D19" s="129" t="n"/>
      <c r="E19" s="129" t="n"/>
      <c r="F19" s="129" t="n"/>
      <c r="G19" s="491" t="inlineStr">
        <is>
          <t>C_Lead</t>
        </is>
      </c>
      <c r="H19" s="823">
        <f>H17-'C.00 Lead'!F42</f>
        <v/>
      </c>
      <c r="I19" s="824" t="n"/>
      <c r="J19" s="153" t="n"/>
      <c r="K19" s="153" t="n"/>
      <c r="L19" s="153" t="n"/>
      <c r="N19" s="124" t="n"/>
      <c r="O19" s="138" t="n"/>
    </row>
    <row r="20" ht="12.75" customFormat="1" customHeight="1" s="131">
      <c r="A20" s="137" t="n"/>
      <c r="B20" s="129" t="n"/>
      <c r="C20" s="129" t="n"/>
      <c r="D20" s="129" t="n"/>
      <c r="E20" s="129" t="n"/>
      <c r="F20" s="129" t="n"/>
      <c r="K20" s="134" t="n"/>
      <c r="L20" s="134" t="n"/>
      <c r="N20" s="124" t="n"/>
      <c r="O20" s="138" t="n"/>
    </row>
    <row r="21" ht="12.75" customHeight="1" s="726">
      <c r="B21" s="141" t="inlineStr">
        <is>
          <t xml:space="preserve">Notes </t>
        </is>
      </c>
      <c r="C21" s="142" t="n"/>
      <c r="G21" s="129" t="n"/>
      <c r="H21" s="45" t="n"/>
      <c r="I21" s="45" t="n"/>
      <c r="K21" s="128" t="n"/>
      <c r="L21" s="128" t="n"/>
      <c r="N21" s="124" t="n"/>
    </row>
    <row r="22" ht="12.75" customHeight="1" s="726">
      <c r="B22" s="825" t="n"/>
      <c r="C22" s="731" t="n"/>
      <c r="D22" s="731" t="n"/>
      <c r="E22" s="731" t="n"/>
      <c r="F22" s="732" t="n"/>
      <c r="G22" s="129" t="n"/>
      <c r="H22" s="45" t="n"/>
      <c r="I22" s="45" t="n"/>
      <c r="K22" s="128" t="n"/>
      <c r="L22" s="128" t="n"/>
      <c r="N22" s="124" t="n"/>
    </row>
    <row r="23" ht="12.75" customHeight="1" s="726">
      <c r="B23" s="769" t="n"/>
      <c r="F23" s="770" t="n"/>
      <c r="G23" s="129" t="n"/>
      <c r="H23" s="45" t="n"/>
      <c r="I23" s="45" t="n"/>
      <c r="K23" s="128" t="n"/>
      <c r="L23" s="128" t="n"/>
      <c r="N23" s="124" t="n"/>
    </row>
    <row r="24" ht="12.75" customHeight="1" s="726">
      <c r="B24" s="734" t="n"/>
      <c r="C24" s="735" t="n"/>
      <c r="D24" s="735" t="n"/>
      <c r="E24" s="735" t="n"/>
      <c r="F24" s="736" t="n"/>
      <c r="G24" s="129" t="n"/>
      <c r="K24" s="128" t="n"/>
      <c r="L24" s="128" t="n"/>
      <c r="N24" s="124" t="n"/>
    </row>
    <row r="25" ht="15" customHeight="1" s="726">
      <c r="A25" s="125" t="n"/>
      <c r="B25" s="130" t="n"/>
      <c r="C25" s="130" t="n"/>
      <c r="D25" s="138" t="n"/>
      <c r="E25" s="143" t="n"/>
      <c r="F25" s="138" t="n"/>
      <c r="G25" s="136" t="n"/>
      <c r="H25" s="138" t="n"/>
      <c r="I25" s="138" t="n"/>
      <c r="J25" s="144" t="n"/>
      <c r="K25" s="128" t="n"/>
      <c r="L25" s="128" t="n"/>
      <c r="N25" s="124" t="n"/>
    </row>
    <row r="26" ht="7.5" customHeight="1" s="726">
      <c r="A26" s="124" t="n"/>
      <c r="B26" s="124" t="n"/>
      <c r="C26" s="124" t="n"/>
      <c r="D26" s="124" t="n"/>
      <c r="E26" s="124" t="n"/>
      <c r="F26" s="124" t="n"/>
      <c r="G26" s="124" t="n"/>
      <c r="H26" s="124" t="n"/>
      <c r="I26" s="124" t="n"/>
      <c r="J26" s="155" t="n"/>
      <c r="K26" s="155" t="n"/>
      <c r="L26" s="155" t="n"/>
      <c r="M26" s="124" t="n"/>
      <c r="N26" s="124" t="n"/>
    </row>
  </sheetData>
  <mergeCells count="1">
    <mergeCell ref="B22:F24"/>
  </mergeCells>
  <conditionalFormatting sqref="B10:K15 B22">
    <cfRule type="containsBlanks" priority="8" dxfId="0">
      <formula>LEN(TRIM(B10))=0</formula>
    </cfRule>
  </conditionalFormatting>
  <dataValidations count="1">
    <dataValidation sqref="J10:J15"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CN18"/>
  <sheetViews>
    <sheetView workbookViewId="0">
      <selection activeCell="A1" sqref="A1"/>
    </sheetView>
  </sheetViews>
  <sheetFormatPr baseColWidth="8" defaultColWidth="9" defaultRowHeight="14.25"/>
  <sheetData>
    <row r="1">
      <c r="A1" s="0" t="inlineStr">
        <is>
          <t>0a1351bf-0789-4e2c-8675-482199dfc116</t>
        </is>
      </c>
    </row>
    <row r="6">
      <c r="E6" s="0" t="inlineStr">
        <is>
          <t>ABC7ZjLatxWGMf3gbyDMF36mHPXOd0544k7kIzNaEIpIZhzTYQ1ktFoakwoNKu0zaK79gVKyCpQaOkliz6Nx931FXo09dghkUMHRjal0kKg79z5//Rdzl9v/nh4+1YUPa1fUbTxUXVy5DY+jjb6n20lhyfHaW63Pi3Kw3115MqtHefVLKuSJ85Vm1FTl43N84kGtp4FKkQY0h7AWEhAHTZA8JgBKjCS0nqDEL8Yksz0uKhU1s+Vzlw93qts6t5tvpu6bDH5xcDxJ+Ezn2XZ0jBUk8UhzreXuKpK88eLbV9ucHrPqfcWGUzvlE4d2uI4f7dpVBz3illeBTsSS2OvyJZGiZfGfl6lVeqmwfjw0cVwNyk+d7axLZlNJqo8GdfnvvL0l12S6iRz52d8+9jbo/1hUbnGJfbL4nGpJnfTLOuVxXQ6cv5+Yd1ymbrXF5v/noRBfjRbgQNGMSWWUkAh1IBKhYE0FAJjGWKWEy2Ib5GD+Y/P51++WYv0mDRJ/z9SfmUf4MJjGdGAQxS0p44DyZgDXECqEdfcUdKi9jvJwWA47o+G2/cOkv54PBjuJgfJeG+0vdtfCxGyAQgBOyKuJgJBKqmlAmBYxwJCNZCcSRBrrr0gSlIjromInb3e7mjvwf5aiUAdESsSQbHQRofQIJiPATWIAYlCfCAYYYewhY6w6yPiwf3+cNwRcaNEYCJi45UBnIcXDWkkEHX6iDnERHpLAijXFTWGg84/3CwNIUGE3FIGYidDEimsAzJ2GGBjNY2JxFy36R96W5BEvVlVeL8WAFgTAajLIj9AgIRaCGQoYILYQEAoJwXmFsRMIKWIYAaidgnA0R2VH0alM0Vu0ixVVVrk07XwEDcVFZdFZsdDw80CxjYUEB4EXyBCRSlioGUdKTAnmDPiDYft8gCjheDv6V+Vs1XlZ507WFF+by223lJgiJaAKoSBinEMhEFcCIIINm1eKAT5UdQrcp+Wk3/8QLSe2wXeQALuSPgACcYKQbmNAURGA+qIBFJ6DKwlXjOiQrLY5vVCHRhUdPrDd6e/Ppv//OLs9fftgYBYB8KVILy9zXb8vY72qieujEymptPUp2bx568nIcRNctNO7puTG+no7Ovf5q+/+fOnl/Ovfjl79eL092/XIjZtDPf/+X/79q1HfwM=</t>
        </is>
      </c>
      <c r="Y6" s="0" t="inlineStr">
        <is>
          <t>ABC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ZdurYBgAAhGHY/1+zBcENnoEORTJ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t>
        </is>
      </c>
      <c r="Z6" s="0" t="inlineStr">
        <is>
          <t>ABC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Qw7dZCyaZqUYXQrbiAhszKrKmsXbsHKotYiOHDouGc96gW4n8ZehoWPXkGE2A22IOL5Ry9E3PFDxPMd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GCZo4MFLDsJFrCABSxgAQtYwNIAsIClbrCA5SwYLFXBApY5OljAspNgAQtYwAIWsIAFLA0AC1jqBgtYzoLBUhUsYJmjgwUsOwkWsIAFLGABC1jA0gCwgKVusIDlLBgsVcECljk6WMCyk2ABC1jAAhawgAUsDQALWOoGC1jOgsFSFSxgmaODBSw7CRawgAUsYAELWMDSALCApW6wgOUsGCxVwQKWOTpYwLKTYAELWMACFrCABSwNAAtY6gYLWM6CwVIVLP83Yfn0+c/C8unL/wQs+5/8/4Hl8y/f/fjrp48fP3z68stvP+yv333/4aefPn7/4e++ffv285dPP37/87c/D8unnz9/+vXjj79++PXzT7/B8sOnnz/8/OW7jx++fvzp05ffiPj45cvXPwPLD59++Pbt1x++fvj8449fP3z56Tddvv7y9ccP33/8jZxffvn28fO3b/9dWD5991/D8vm7vwqWT5/+l2X5279elj/+4Xd/+sPv/uX3//DHf/7HP/79P/3pd7//i8z8hQhzmMMc5vxHB3OYwxzmMOff/pjzN8xhDnOYwxzmvDhzmMMc5jCHOX/DHOYwhznMYc5/7mIOc5jDHOYwhznMqYk5//5qmcOceS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t>
        </is>
      </c>
      <c r="AA6" s="0" t="inlineStr">
        <is>
          <t>ABC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DnX9mpQxsAAACEYf9/jSDZFXWYOdJ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t>
        </is>
      </c>
      <c r="AB6" s="0" t="inlineStr">
        <is>
          <t>ABC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nLFThzYAAAAIw/7/GkGyK+owc6T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t>
        </is>
      </c>
      <c r="AC6" s="0" t="inlineStr">
        <is>
          <t>ABC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8ZOHdoAAAAgDPv/awTJrqibwZEy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t>
        </is>
      </c>
      <c r="AD6" s="0" t="inlineStr">
        <is>
          <t>ABC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nLFThzYAAAAIw/7/GkGyK+owc6T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t>
        </is>
      </c>
      <c r="AE6" s="0" t="inlineStr">
        <is>
          <t>ABC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WOnDm0AAAAQhv3/NYJkV9Rh5kiZ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t>
        </is>
      </c>
      <c r="AF6" s="0" t="inlineStr">
        <is>
          <t>ABC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oydOrQBAABAGPb/1wiSXVE3gyNl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t>
        </is>
      </c>
      <c r="AG6" s="0" t="inlineStr">
        <is>
          <t>ABC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WOnDm0AAAAQhv3/NYJkV9Rh5kiZ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t>
        </is>
      </c>
      <c r="AH6" s="0" t="inlineStr">
        <is>
          <t>ABC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LFThzYAAAAIw/7/GkGyK+owuKX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t>
        </is>
      </c>
      <c r="AI6" s="0" t="inlineStr">
        <is>
          <t>ABC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oydOrQBAABAGPb/1wiSXVE3gyNl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t>
        </is>
      </c>
      <c r="AJ6" s="0" t="inlineStr">
        <is>
          <t>ABC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mOnjlLwvtErDm+lGzA4sWNPNjF7cB3nthft/mngDD+NVJpCp9BCn7uXTzr6/kiHhz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4m5jCHOWWZwxzmMIc5tYU5zGEOc5jDHOYwhznMYQ5zmMOcTcxhDnPKMoc5zGEOc2oLc5jDHOYwhznMYQ5zmMMc5jCHOZuYwxzmlGUOc5jDHObUFuYwhznMYQ5zmMMc5jCHOcxhDnM2MYc5zCnLHOYwhznMqS3MYQ5zmMMc5jCHOcxhDnOYwxzmbGIOc5hTljnMYQ5zmFNbmMMc5jCHOcxhDnOYwxzmMIc5zNnEHOYwpyxzmMMc5jCntjCHOcxhDnOYwxzmMIc5zGEOc5iziTnMYU5Z5jCHOcxhTm1hDnOYwxzmMIc5zGEOc5jDHOYwZxNzmMOcssxhDnOYw5zawhzmMIc5zGEOc5jDHOYwhznMYc6m/zPmfPrlT8359OV/wpz7T/7/mPPzz59///jj688fPn7/7duHz79/+/Hhn3/96ceHb19/+/jt+6dvv//49c/N+fLTLx+/fvnl1w/ff/n6hzm//OX3D9++/Pj+4S+//vz7p0+/ffz67ceXPzHnD1m+fP/tl28fvv70Bzefv/z49cNf/pDqw7ffP378+fvXz3/8+um/a86nz/+5OZ9/+ofM+fS/TM5f/3Fy/vov//bjX/9LZf7jLrCABSxg+dsOsIDl7z4BLGD5J7CABSxg+buOgQUsYAELWMACFrCA5ZQFLGABC1jA8rf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t>
        </is>
      </c>
      <c r="AK6" s="0" t="inlineStr">
        <is>
          <t>ABC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AIWsIAFLGDpALCApd1gActzwWBpFSxgOY8OFrDcSbCABSxgAQtYwAKWDgALWNoNFrA8FwyWVsEClvPoYAHLnQQLWMACFrCABSxg6QCwgKXdYAHLc8FgaRUsYDmPDhaw3EmwgAUsYAELWMAClg4AC1jaDRawPBcMllbBApbz6GABy50EC1jAAhawgAUsYOkAsICl3WABy3PBYGkVLGA5jw4WsNxJsIAFLGABC1jAApYOAAtY2g0WsDwXDJZWwQKW8+hgAcudBAtYwPLv7NSxDQAACMOw/79mC4IbPAMdimS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t>
        </is>
      </c>
      <c r="AL6" s="0" t="inlineStr">
        <is>
          <t>ABC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Bl26tgGAACEYdj/X7MFwQ2eKQxFMl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t>
        </is>
      </c>
      <c r="AM6" s="0" t="inlineStr">
        <is>
          <t>ABC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HXbq2AYAAIRh2P9fswXBDZ6hDFQy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
        </is>
      </c>
      <c r="AN6" s="0" t="inlineStr">
        <is>
          <t>ABC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mWYaeObQAAQBiG/f81WxDc4JnCQCWD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t>
        </is>
      </c>
      <c r="AO6" s="0" t="inlineStr">
        <is>
          <t>AB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Zhp45tAABAGIb9/zVbENzgGehQJBc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t>
        </is>
      </c>
      <c r="AP6" s="0" t="inlineStr">
        <is>
          <t>ABC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oedOrYBAABhGPb/12xBcIPnAgOV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t>
        </is>
      </c>
      <c r="AQ6" s="0" t="inlineStr">
        <is>
          <t>AB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hp06tgEAAGEY9v/XbEFwg2doB5B8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t>
        </is>
      </c>
      <c r="AR6" s="0" t="inlineStr">
        <is>
          <t>ABC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AMO3VsAwAAwjDs/6/ZguAGz5QOIBk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t>
        </is>
      </c>
      <c r="AS6" s="0" t="inlineStr">
        <is>
          <t>ABC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lmGnjm0AAEAYhv3/NVsQ3OC5wFAkg+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t>
        </is>
      </c>
      <c r="AT6" s="0" t="inlineStr">
        <is>
          <t>ABC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PuzUsQ0AAAjDsP+/ZguCGzxDO4Bk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t>
        </is>
      </c>
      <c r="AU6" s="0" t="inlineStr">
        <is>
          <t>ABC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Bl2KljGwAAEIZh/3/NFgQ3eAY6FMl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t>
        </is>
      </c>
      <c r="AV6" s="0" t="inlineStr">
        <is>
          <t>ABC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DLs1EHKZklCheGtuIGEzMqsqqxduAUri1qL4MCh4571qBfgfhp7GRYefYMIsRtsQcTnHx24ce4Pcc/3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AHL+ehgAcvdBAtYwAIWsIAFLGDpBWABS6fBApbngsHSU7CA5Xx0sIDlboIFLGABC1jAAhaw9AKwgKXTYAHLc8Fg6SlYwHI+OljAcjfBAhawgAUsYAELWHoBWMDSabCA5blgsPQULGA5Hx0sYLmbYAELWMACFrCABSy9ACxg6TRYwPJcMFh6ChawnI8OFrDcTbCABSxgAQtYwAKWXgAWsHQaLGB5LhgsPQULWM5HBwtY7iZYwAIWsIAFLGABSy8AC1g6DRawPBcMlp6CBSzno4MFLHcTLGABC1jAAhawgKUXgAUsnQYLWJ4LBktPwQKW89HBApa7CRawgAUsYAELWMDSC8AClk6DBSzPBYOlp2ABy/noYAHL3QQLWMACFrCABSxg6QVgAUunwQKW54LB0lOwgOV8dLCA5W6CBSxgAQtYwAIWsPQCsICl02ABy3PBYOkpWMByPjpYwHI3wQIWsIAFLGABC1h6AVjA0mmwgOW5YLD0FCxgOR8dLGC5m2ABC1jAAhawgAUsvQAsYOk0WMDyXDBYegoWsJyPDhaw3E2wgAUsYAELWMACll4AFrB0GixgeS4YLD0FC1jORwcLWO4mWMACFrCABSxgAUsvAAtYOg0WsDwXDJaeggUs56ODBSx3EyxgAQtYwAIWsIClF4AFLJ0GC1ieCwZLT8EClvPRwQKWuwkWsIAFLGABC1jA0gvAApZOgwUszwWDpadgAcv56GABy90EC1jAAhawgAUsYOkFYAFLp8EClueCwdJTsIDlfHSwgOVuggUsYAELWMACFrD0ArCApdNgActzwWDpKVjAcj46WMByN8ECFrCABSxgAQtYegFYwNJpsIDluWCw9BQsYDkfHSxguZtgAQtYwAIWsIAFLL0ALGDpNFjA8lwwWHoKFrCcjw4WsNxNsIAFLGABC1jAApZeABawdBosYHkuGCw9BQtYzkcHC1juJljAAhawgAUsYAFLLwALWDoNFrA8FwyWnoIFLOejgwUsdxMsYAELWMACFrCApReABSydBgtYngsGS0/BApbz0cEClrsJFrCABSxgAQtYwNILwAKWToMFLM8Fg6WnYPm/Ccunz38Wlk9f/idguf/J/x9YPv/y3Y+/fvr48cOnL7/89sP++t33H3766eP3H/7u27dvP3/59OP3P3/787B8+vnzp18//vjrh18///QbLD98+vnDz1+++/jh68efPn35jYiPX758/TOw/PDph2/ffv3h64fPP/749cOXn37T5esvX3/88P3H38j55ZdvHz9/+/bfheXTd/81LJ+/+6tg+fTpf1mWv/3rZfnjH373pz/87l9+/w9//Od//OPf/9Offvf7v8jMX6gwhznMYc5/nGAOc5jDHOb82x9z/oY5zGEOc5jDnNWZwxzmMIc5zPkb5jCHOcxhDnP+8ynmMIc5zGEOc5jDnA4x599XyxzmnL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t>
        </is>
      </c>
      <c r="AW6" s="0" t="inlineStr">
        <is>
          <t>ABC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xzmMIc5zGEOc5izxBzmMKcuc5jDHOYwp7UwhznMYQ5zmMMc5jCHOcxhDnOYs8Qc5jCnLnOYwxzmMKe1MIc5zGEOc5jDHOYwhznMYQ5zmLPEHOYwpy5zmMMc5jCntTCHOcxhDnOYw5x/ZacObQAAABCG/f81gmRX1M3gSJn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t>
        </is>
      </c>
      <c r="AX6" s="0" t="inlineStr">
        <is>
          <t>ABC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zX2KlDGwAAAIRh/3+NINkVdZg5Uu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t>
        </is>
      </c>
      <c r="AY6" s="0" t="inlineStr">
        <is>
          <t>ABC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Bn7NShDQAAAMKw/79GkOyKOgxuKX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t>
        </is>
      </c>
      <c r="AZ6" s="0" t="inlineStr">
        <is>
          <t>ABC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Y6cObQAAABCG/f81gmRX1GHmSJn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t>
        </is>
      </c>
      <c r="BA6" s="0" t="inlineStr">
        <is>
          <t>ABC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jJ06tAEAAEAY9v/XCJJdUYeZI/1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t>
        </is>
      </c>
      <c r="BB6" s="0" t="inlineStr">
        <is>
          <t>AB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HO2KlDGwAAAIRh/3+NINkVdRjcUu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t>
        </is>
      </c>
      <c r="BC6" s="0" t="inlineStr">
        <is>
          <t>ABC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xk4d2gAAACAM+/9rBMmuqMPMkTK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t>
        </is>
      </c>
      <c r="BD6" s="0" t="inlineStr">
        <is>
          <t>ABC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GTt1aAMAAIAw7P+vESS7og4zR8q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t>
        </is>
      </c>
      <c r="BE6" s="0" t="inlineStr">
        <is>
          <t>ABC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OcsVOHNgAAAAjD/v8aQbIr6jC4p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t>
        </is>
      </c>
      <c r="BF6" s="0" t="inlineStr">
        <is>
          <t>ABC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jJ06tAEAAEAY9v/XCJJdUYeZI2U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t>
        </is>
      </c>
      <c r="BG6" s="0" t="inlineStr">
        <is>
          <t>ABC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M3bq0AYAAABh2P9fI0h2RR1mjpQ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t>
        </is>
      </c>
      <c r="BH6" s="0" t="inlineStr">
        <is>
          <t>ABC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Y6cObQAAABCG/f81gmRX1GFwS5n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t>
        </is>
      </c>
      <c r="BI6" s="0" t="inlineStr">
        <is>
          <t>ABC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GTt1aAMAAIAw7P+vESS7og4zR8o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t>
        </is>
      </c>
      <c r="BJ6" s="0" t="inlineStr">
        <is>
          <t>ABC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Z+zUoQ0AAADCsP+/RpDsijrMHCl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t>
        </is>
      </c>
      <c r="BK6" s="0" t="inlineStr">
        <is>
          <t>AB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x04d2gAAACAM+/9rBMmuqMPgl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t>
        </is>
      </c>
      <c r="BL6" s="0" t="inlineStr">
        <is>
          <t>ABC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wxzmMIc5zGEOc5jDHOYwhzlfzGEOc/oyhznMYQ5zqoU5zGEOc5jDHOYwhznMYQ5zmMOcL+Ywhzl9mcMc5jCHOdXCHOYwhznMYQ5zmMMc5jCHOcxhzhdzmMOcvsxhDnOYw5xqYQ5zmMMc5jCHOcxhDnOYwxzmMOeLOcxhTl/mMIc5zGFOtTCHOcxhDnOYwxzmMIc5zGEOc5jzxRzmMKcvc5jDHOYwp1qYwxzmMIc5zGEOc5jDHOYwhznM+WIOc5jTlznMYQ5zmFMtzGEOc5jDHOYwhznMYQ5zmMMc5nwxhznM6csc5jCHOcypFuYwhznMYQ5zmMMc5jCHOcxhDnO+mMMc5vRlDnOYwxzmVAtzmMMc5jCHOcxhDnOYwxzmMIc5X8xhDnP6Moc5zGEOc6qFOcxhDnOYwxzmMIc5zGEOc5jDnC/mMIc5fZnDHOYwhznVwhzmMIc5zGEOc5jDHOYwhznMYc4Xc5jDnL7MYQ5zmMOcamEOc5jDHOYwhznMYQ5zmMMc5jDniznMYU5f5jCHOcxhTrUwhznMYQ5zmMMc5jCHOcxhDnOY88Uc5jCnL3OYwxzmMKdamMMc5jCHOcxhDnOYwxzmMIc5zPliDnOY05c5zGEOc5hTLcxhDnOYwxzmMIc5zGEOc5jDHOZ8MYc5zOnLHOYwhznMqRbmMIc5zGEOc5jDHOYwhznMYQ5zvpjDHOb0ZQ5zmMMc5lQLc5jDHOYwhznMYQ5zmMMc5jCHOV/MYQ5z+jKHOcxhDnOqhTnMYQ5zmMMc5jCHOcxhDnOYw5wv5jCHOX2ZwxzmMIc51cIc5jCHOcxhDnOYwxzmMIc5zGHOF3OYw5y+zGEOc5jDnGphDnOYwxzmMIc5zGEOc5jDHOYw54s5zGFOX+YwhznMYU61MIc5zGEOc5jDHOYwhznMYQ5zmPPFHOYwpy9zmMMc5jCnWpjDHOYwhznMYQ5zmMMc5jCHOcz5Yg5zmNOXOcxhDnOYUy3MYQ5zmMMc5jCHOcxhDnOYwxzmfDGHOczpyxzmMIc5zKkW5jCHOcxhDnOYwxzmMIc5zGEOc76Ywxzm9GUOc5jDHOZUC3OYM3bq0AYAAABh2P9fI0h2RR1mjpQ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t>
        </is>
      </c>
      <c r="BM6" s="0" t="inlineStr">
        <is>
          <t>ABC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ztipQxsAAACEYf9/jSDZFXUzOFL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t>
        </is>
      </c>
      <c r="BN6" s="0" t="inlineStr">
        <is>
          <t>ABC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05Y5zGEOc5jTW5jDHOYwhznMYQ5zmMMc5jCHOcx5MYc5zGnLHOYwhznM6S3MYQ5zmMMc5jCHOcxhDnOYwxzmvJjDHOa0ZQ5zmMMc5vQW5jCHOcxhDnOYwxzmMIc5zGEOc17MYQ5z2jKHOcxhDnN6C3OYwxzmMIc5zGEOc5jDHOYwhzkv5jCHOW2ZwxzmMIc5vYU5zGEOc5jDHOYwhznMYQ5zmMOcF3OYw5y2zGEOc5jDnN7CHOYwhznMYQ5zmMMc5jCHOcxhzos5zGFOW+YwhznMYU5vYQ5zmMMc5jCHOcxhDnOYwxzmMOfFHOYwpy1zmMMc5jCntzCHOcxhDnOYwxzmMIc5zGEOc5jzYg5zmNOWOcxhDnOY01uYwxzmMIc5zGEOc5jDHOYwhznMeTGHOcxpyxzmMIc5zOktzGEOc5jDHOYwhznMYQ5zmMMc5ryYwxzmtGUOc5jDHOb0FuYwhznMYQ5zmMMc5jCHOcxhDnNezGEOc9oyhznMYQ5zegtzmMMc5jCHOcxhDnOYwxzmMIc5L+YwhzltmcMc5jCHOb2FOcxhDnOYwxzmMIc5zGEOc5jDnBdzmMOctsxhDnOYw5zewhzmMIc5zGEOc5jDHOYwhznMYc6LOcxhTlvmMIc5zGFOb2EOc5jDHOYwhznMYQ5zmMMc5jDnxRzmMKctc5jDHOYwp7cwhznMYQ5zmMMc5jCHOcxhDnOY82IOc5jTljnMYQ5zmNNbmMMc5jCHOcxhDnOYwxzmMIc5zHkxhznMacsc5jCHOczpLcxhDnOYwxzmMIc5zGEOc5jDHOa8mMMc5rRlDnOYwxzm9BbmMIc5zGEOc5jDHOYwhznMYQ5zXsxhDnPaMoc5zGEOc3oLc5jDHOYwhznMYQ5zmMMc5jCHOS/mMIc5bZnDHOYwhzm9hTnMYQ5zmMMc5jCHOcxhDnOYw5wXc5jDnLbMYQ5zmMOc3sIc5jCHOcxhDnOYwxzmMIc5zGHOiznMYU5b5jCHOcxhTm9hDnOYwxzmMIc5zGEOc5jDHOYw58Uc5jCnLXOYwxzmMKe3MIc5zGEOc5jDHOYwhznMYQ5zmPNiDnOYM3bq0AYAAABh2P9fI0h2RR1mjrS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t>
        </is>
      </c>
      <c r="BO6" s="0" t="inlineStr">
        <is>
          <t>AB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Z+zUoQ0AAADCsP+/RpDsijrMHCl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t>
        </is>
      </c>
      <c r="BP6" s="0" t="inlineStr">
        <is>
          <t>ABC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HOYwhznMYc4Xc5jDnFrmMIc5zGFOb2EOc5jDHOYwhznMYQ5zmMMc5jDniznMYU4tc5jDHOYwp7cwhznMYQ5zmMMc5jCHOcxhDnOY88Uc5jCnljnMYQ5zmNNbmMMc5jCHOcxhDnOYwxzmMIc5zPliDnOYU8sc5jCHOczpLcxhDnOYwxzmMIc5zGEOc5jDHOZ8MYc5zKllDnOYwxzm9BbmMIc5zGEOc5jDHOYwhznMYQ5zvpjDHObUMoc5zGEOc3oLc5jDHOYwhznMYQ5zmMMc5jCHOV/MYQ5zapnDHOYwhzm9hTnMYQ5zmMMc5jCHOcxhDnOYw5wv5jCHObXMYQ5zmMOc3sIc5jCHOcxhDnOYwxzmMIc5zGHOF3OYw5xa5jCHOcxhTm9hDnOYwxzmMIc5zGEOc5jDHOYw54s5zGFOLXOYwxzmMKe3MIc5zGEOc5jDHOYwhznMYQ5zmPPFHOYwp5Y5zGEOc5jTW5jDHOYwhznMYQ5zmMMc5jCHOcz5Yg5zmFPLHOYwhznM6S3MYQ5zmMMc5jCHOcxhDnOYwxzmfDGHOcypZQ5zmMMc5vQW5jCHOcxhDnOYwxzmMIc5zGEOc76Ywxzm1DKHOcxhDnN6C3OYwxzmMIc5zGEOc5jDHOYwhzlfzGEOc2qZwxzmMIc5vYU5zGEOc5jDHOYwhznMYQ5zmMOcL+Ywhzm1zGEOc5jDnN7CHOYwhznMYQ5zmMMc5jCHOcxhzhdzmMOcWuYwhznMYU5vYQ5zmMMc5jCHOcxhDnOYwxzmMOeLOcxhTi1zmMMc5jCntzCHOcxhDnOYwxzmMIc5zGEOc5jzxRzmMKeWOcxhDnOY01uYwxzmMIc5zGEOc5jDHOYwhznM+WIOc5hTyxzmMIc5zOktzGEOc5jDHOYwhznMYQ5zmMMc5nwxhznMqWUOc5jDHOb0FuYwhznMYQ5zmMMc5jCHOcxhDnO+mMMc5tQyhznMYQ5zegtzmMMc5jCHOcxhDnOYwxzmMIc5X8xhDnNqmcMc5jCHOb2FOcxhDnOYwxzmMIc5zGEOc5jDnC/mMIc5tcxhDnOYw5zewhzmMIc5zGEOc5jDnLFTR6l6ZrkZRqeSCRhcZZfdNYmeg+Ny3eYimT8p2M2jlkIqkA6EkHX3caRX50faL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hznMYQ5zmMMc5jCHOe+LOcxhTlnmMIc5zGFOr4U5zGEOc5jDHOYwhznMYQ5zmMOc98Uc5jCnLHOYwxzmMKfXwhzmMIc5zGEOc5jDHOYwhznMYc77Yg5zmFOWOcxhDnOY02thDnOYwxzmMIc5zGEOc5jDHOYw530xhznMKcsc5jCHOczptTCHOcxhDnOYwxzmMIc5zGEOc5jzvpjDHOaUZQ5zmMMc5vRamMMc5jCHOcxhDnOYwxzmMIc5zHlfzGEOc8oyhznMYQ5zei3MYQ5zmMMc5jCHOcxhDnOYwxzmvC/mMIc5ZZnDHOYwhzm9FuYwhznMYQ5zmMMc5jCHOcxhDnPeF3OYw5yyzGEOc5jDnF4Lc5jDHOYw5/+sOZ9++VNzPn35nzBn/5P/P+b8/PPn3z/++Przh4/ff/v24fPv3358+Odff/rx4dvX3z5++/7p2+8/fv1zc7789MvHr19++fXD91++/mHOL3/5/cO3Lz++f/jLrz///unTbx+/fvvx5U/M+UOWL99/++Xbh68//cHN5y8/fv3wlz+k+vDt948ff/7+9fMff/303zXn0+f/3JzPP/1D5nz6Xybnr/84OX/9l3/78a//pTL/sQssYAELWP7WARaw/N1PAAtY/gksYAELWP7ujYEFLGABC1jAAhawgGUeC1jAAhawgOVv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t>
        </is>
      </c>
      <c r="BQ6" s="0" t="inlineStr">
        <is>
          <t>ABC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MAyRwcLWHYSLGABC1jAAhawgKUBYAFL3WABy1kwWKqCBSxzdLCAZSfBAhawgAUsYAELWBoAFrDUDRawnAWDpSpYwDJHBwtYdhIsYAELWMACFrCApQFgAUvdYAHLWTBYqoIFLHN0sIBlJ8ECFrCABSxgAQtYGgAWsNQNFrCcBYOlKljAMkcHC1h2EixgAQtYwAIWsIClAWABS91gActZMFiqggUsc3SwgGUnwQIWsIAFLGABC1gaABaw1A0WsJwFg6UqWP6dnTq2AQAAYRj2/9dsQXCDZygDlQy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t>
        </is>
      </c>
      <c r="BR6" s="0" t="inlineStr">
        <is>
          <t>ABC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GXYqWMbAAAQhmH/f80WBDd4BjoUyW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t>
        </is>
      </c>
      <c r="BS6" s="0" t="inlineStr">
        <is>
          <t>ABC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MOzUsQ0AAAjDsP+/ZguCGzxTGIpk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t>
        </is>
      </c>
      <c r="BT6" s="0" t="inlineStr">
        <is>
          <t>ABC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bLsFPHNgAAIAzD/v+aLQhu8FzKAJJL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t>
        </is>
      </c>
      <c r="BU6" s="0" t="inlineStr">
        <is>
          <t>ABC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tgAQtYwAIWsIAFLC0AC1iaBgtY3oHBUgoWsOzTwQKW2wQLWMACFrCABSxgaQFYwNI0WMDyDgyWUrCAZZ8OFrDcJljAAhawgAUsYAFLC8AClqbBApZ3YLCUggUs+3SwgOU2wQIWsIAFLGABC1haABawNA0WsLwDg6UULGDZp4MFLLcJFrCABSxgAQtYwNICsIClabCA5R0YLKVgAcs+HSxguU2wgAUsYAELWMAClhaABSxNgwUs78BgKQULWPbpYAHLbYIFLGABC1jAAhawtAAsYGkaLGB5BwZLKVjAsk8HC1huEyxgAQtYwAIWsIClBWABS9NgAcs7MFhKwQKWfTpYwHKbYAELWMACFrCABSwtAAtYmgYLWN6BwVIKFrDs08ECltsEC1jAAhawgAUsYGkBWMDSNFjA8g4MllKwgGWfDhaw3CZYwAIWsIAFLGABSwvAApamwQKWd2CwlIIFLPt0sIDlNsECFrCABSxgAQtYWgAWsDQNFrC8A4OlFCxg2aeDBSy3CRawgAUsYAELWMDSArCApWmwgOUdGCylYAHLPh0sYLlNsIAFLGABC1jAApYWgAUsTYMFLO/AYCkFC1j26WABy22CBSxgAQtYwAIWsLQALGBpGixgeQcGSylYwLJPBwtYbhMsYAELWMACFrCApQVgAUvTYAHLOzBYSsECln06WMBym2ABC1jAAhawgAUsLQALWJoGC1jegcFSChaw7NPBApbbBAtYwAIWsIAFLGBpAVjA0jRYwPIODJZSsIBlnw4WsNwmWMACFrCABSxgAUsLwAKWpsEClndgsJSCBSz7dLCA5TbBAhawgAUsYAELWFoAFrA0DRawvAODpRQsYNmngwUstwkWsIAFLGABC1jA0gKwgKVpsIDlHRgspWAByz4dLGC5TbCABSxgAQtYwAKWFoAFLE2DBSzvwGApBQtY9ulgActtggUsYAELWMACFrC0ACxgaRosYHkHBkspWMCyTwcLWG4TLGABC1jAAhawgKUFYAFL02AByzswWErBApZ9OljAcpvDTh3bAACAMAz7/2u2ILjBM4WBSgY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t>
        </is>
      </c>
      <c r="BV6" s="0" t="inlineStr">
        <is>
          <t>ABC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MNOHdsAAIAwDPv/a7YguMEzpQNIBk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t>
        </is>
      </c>
      <c r="BW6" s="0" t="inlineStr">
        <is>
          <t>ABC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Bl2KljGwAAEIZh/3/NFgQ3eC4wFMm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t>
        </is>
      </c>
      <c r="BX6" s="0" t="inlineStr">
        <is>
          <t>ABC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AMO3VsAwAAwjDs/6/ZguAGz9AOIBk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t>
        </is>
      </c>
      <c r="BY6" s="0" t="inlineStr">
        <is>
          <t>ABC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Bl26tgGAACEYdj/X7MFwQ2eKR1AMl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t>
        </is>
      </c>
      <c r="BZ6" s="0" t="inlineStr">
        <is>
          <t>ABC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w04d2wAAgDAM+/9rtiC4wXOBoUg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t>
        </is>
      </c>
      <c r="CA6" s="0" t="inlineStr">
        <is>
          <t>ABC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iGnTq2AQAAYRj2/9dsQXCDZygDlby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t>
        </is>
      </c>
      <c r="CB6" s="0" t="inlineStr">
        <is>
          <t>ABC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GXYqWMbAAAQhmH/f80WBDd4BjoUyW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t>
        </is>
      </c>
      <c r="CC6" s="0" t="inlineStr">
        <is>
          <t>ABC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MuzUsQ0AAAjDsP+/ZguCGzxTGIpk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t>
        </is>
      </c>
      <c r="CD6" s="0" t="inlineStr">
        <is>
          <t>ABC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67NSxDQAACMOw/79mC4IbPEMZqGS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t>
        </is>
      </c>
      <c r="CE6" s="0" t="inlineStr">
        <is>
          <t>ABC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zDTh3bAACAMAz7/2u2ILjBM4WBSgY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t>
        </is>
      </c>
      <c r="CF6" s="0" t="inlineStr">
        <is>
          <t>ABC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B0AC1hKgwUs78FgaQoWsGzpYAHL3QQLWMACFrCABSxg6QBYwFIaLGB5DwZLU7CAZUsHC1juJljAAhawgAUsYAFLB8ACltJgAct7MFiaggUsWzpYwHI3wQIWsIAFLGABC1g6ABawlAYLWN6DwdIULGDZ0sEClrsJFrCABSxgAQtYwNIBsIClNFjA8h4MlqZgAcuWDhaw3E2wgAUsYAELWMAClg6ABSylwQKW92CwNAULWLZ0sIDlboIFLGABC1jAAhawdAAsYCkNFrC8B4OlKVjAsqWDBSx3EyxgAQtYwAIWsIClA2ABS2mwgOU9GCxNwQKWLR0sYLmbYAELWMACFrCABSwdAAtYSoMFLO/BYGkKFrBs6WABy90EC1jAAhawgAUsYOkAWMBSGixgeQ8GS1OwgGVLBwtY7iZYwAIWsIAFLGABSwfAApbSYAHLezBYmoIFLFs6WMByN8ECFrCABSxgAQtYOgAWsJQGC1jeg8HSFCxg2dLBApa7CRawgAUsYAELWMDSAbCApTRYwPIeDJamYAHLlg4WsNxNsIAFLGABC1jAApYOgAUspcEClvdgsDQFC1i2dLCA5W6CBSxgAQtYwAIWsHQALGApDRawvAeDpSlYwLKlgwUsdxMsYAELWMACFrCApQNgAUtpsIDlPRgsTcECli0dLGC5m2ABC1jAAhawgAUsHQALWEqDBSzvwWBpChawbOlgAcvdBAtYwAIWsIAFLGDpAFjAUhosYHkPBktTsIBlSwcLWO4mWMACFrCABSxgAUsHwAKW0mABy3swWJqCBSxbOljAcjfBAhawgAUsYAELWDoAFrCUBgtY3oPB0hQsYNnSwQKWuwkWsIAFLGABC1jA0gGwgKU0WMDyHgyWpmABy5YOFrDcTbCABSxgAQtYwAKWDoAFLKXBApb3YLA0BQtYtnSwgOVuggUsYAELWMACFrB0ACxgKQ0WsLwHg6UpWMCypYMFLHcTLGABC1jAAhawgKUDYAFLabCA5T0YLE3BApYtHSxguZtgAQtYwAIWsIAFLMNOHdsAAIAwDPv/a7YguMEz0KFILg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t>
        </is>
      </c>
      <c r="CG6" s="0" t="inlineStr">
        <is>
          <t>ABC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Dzt1bAMAAMIw7P+v2YLgBs8FBioZ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t>
        </is>
      </c>
      <c r="CH6" s="0" t="inlineStr">
        <is>
          <t>ABC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DcTbCABSxgAQtYwAKWDoAFLE2DBSzvwWApBQtYtnSwgOVuggUsYAELWMACFrB0ACxgaRosYHkPBkspWMCypYMFLHcTLGABC1jAAhawgKUDYAFL02ABy3swWErBApYtHSxguZtgAQtYwAIWsIAFLB0AC1iaBgtY3oPBUgoWsGzpYAHL3QQLWMACFrCABSxg6QBYwNI0WMDyHgyWUrCAZUsHC1juJljAAhawgAUsYAFLB8AClqbBApb3YLCUggUsWzpYwHI3wQIWsIAFLGABC1g6ABawNA0WsLwHg6UULGDZ0sEClrsJFrCABSxgAQtYwNIBsIClabCA5T0YLKVgAcuWDhaw3E2wgAUsYAELWMAClg6ABSxNgwUs78FgKQULWLZ0sIDlboIFLGABC1jAAhawdAAsYGkaLGB5DwZLKVjAsqWDBSx3EyxgAQtYwAIWsIClA2ABS9NgAct7MFhKwQKWLR0sYLmbYAELWMACFrCABSwdAAtYmgYLWN6DwVIKFrBs6WABy90EC1jAAhawgAUsYOkAWMDSNFjA8h4MllKwgGVLBwtY7iZYwAIWsIAFLGABSwfAApamwQKW92CwlIIFLFs6WMByN8ECFrCABSxgAQtYOgAWsDQNFrC8B4OlFCxg2dLBApa7CRawgAUsYAELWMDSAbCApWmwgOU9GCylYAHLlg4WsNxNsIAFLGABC1jAApYOgAUsTYMFLO/BYCkFC1i2dLCA5W6CBSxgAQtYwAIWsHQALGBpGixgeQ8GSylYwLKlgwUsdxMsYAELWMACFrCApQNgAUvTYAHLezBYSsECli0dLGC5m2ABC1jAAhawgAUsHQALWJoGC1jeg8FSChawbOlgAcvdBAtYwAIWsIAFLGDpAFjA0jRYwPIeDJZSsIBlSwcLWO4mWMACFrCABSxgAUsHwAKWpsEClvdgsJSCBSxbOljAcjfBAhawgAUsYAELWDoAFrA0DRawvAeDpRQsYNnSwQKWuwkWsIAFLGABC1jA0gGwgKVpsIDlPRgspWABy5YOFrAMO3VsAwAAwjDs/6/ZguAGz9AOIPk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t>
        </is>
      </c>
      <c r="CI6" s="0" t="inlineStr">
        <is>
          <t>ABC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Bl26tgGAACEYdj/X7MFwQ2eKR1AMl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t>
        </is>
      </c>
      <c r="CJ6" s="0" t="inlineStr">
        <is>
          <t>ABC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w04d2wAAgDAM+/9rtiC4wXOBoUgG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t>
        </is>
      </c>
      <c r="CK6" s="0" t="inlineStr">
        <is>
          <t>ABC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4dLGC5m2ABC1jAAhawgAUsHQALWJoGC1hewWApBQtY9ulgAcvdBAtYwAIWsIAFLGDpAFjA0jRYwPIKBkspWMCyTwcLWO4mWMACFrCABSxgAUsHwAKWpsECllcwWErBApZ9OljAcjfBAhawgAUsYAELWDoAFrA0DRawvILBUgoWsOzTwQKWuwkWsIAFLGABC1jA0gGwgKVpsIDlFQyWUrCAZZ8OFrDcTbCABSxgAQtYwAKWDoAFLE2DBSyvYLCUggUs+3SwgOVuggUsYAELWMACFrB0ACxgaRosYHkFg6UULGDZp4MFLHcTLGABC1jAAhawgKUDYAFL02AByysYLKVgAcs+HSxguZtgAQtYwAIWsIAFLB0AC1iaBgtYXsFgKQULWPbpYAHL3QQLWMACFrCABSxg6QBYwNI0WMDyCgZLKVjAsk8HC1juJljAAhawgAUsYAFLB8AClqbBApZXMFhKwQKWfTpYwHI3wQIWsIAFLGABC1g6ABawNA0WsLyCwVIKFrDs08EClrsJFrCABSxgAQtYwNIBsIClabCA5RUMllKwgGWfDhaw3E2wgAUsYAELWMAClg6ABSxNgwUsr2CwlIIFLPt0sIDlboIFLGABC1jAAhawdAAsYGkaLGB5BYOlFCxg2aeDBSx3EyxgAQtYwAIWsIClA2ABS9NgAcsrGCylYAHLPh0sYLmbYAELWMACFrCABSwdAAtYmgYLWF7BYCkFC1j26WABy90EC1jAAhawgAUsYOkAWMDSNFjA8goGSylYwLJPBwtY7iZYwAIWsIAFLGABSwfAApamwQKWVzBYSsECln06WMByN8ECFrCABSxgAQtYOgAWsDQNFrC8gsFSChaw7NPBApa7CRawgAUsYAELWMDSAbCApWmwgOUVDJZSsIBlnw4WsNxNsIAFLGABC1jAApYOgAUsTYMFLK9gsJSCBSz7dLCA5W6CBSxgAQtYwAIWsHQALGBpGixgeQWDpRQsYNmngwUsdxMsYAELWMACFrCApQNgAUvTYAHLKxgspWAByz592KljGwAAEIZh/3/NFgQ3eIZ2AM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t>
        </is>
      </c>
      <c r="CL6" s="0" t="inlineStr">
        <is>
          <t>ABC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cuwU8c2AAAgDMP+/5otCG7wDHQoksE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t>
        </is>
      </c>
      <c r="CM6" s="0" t="inlineStr">
        <is>
          <t>ABC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pW2wgOUVDJamYAHLPh0sYLmXYAELWMACFrCABSwFgAUsbYMFLK9gsDQFC1j26WABy70EC1jAAhawgAUsYCkALGBpGyxgeQWDpSlYwLJPBwtY7iVYwAIWsIAFLGABSwFgAUvbYAHLKxgsTcECln06WMByL8ECFrCABSxgAQtYCgALWNoGC1hewWBpChaw7NPBApZ7CRawgAUsYAELWMBSAFjA0jZYwPIKBktTsIBlnw4WsNxLsIAFLGABC1jAApYCwAKWtsECllcwWJqCBSz7dLCA5V6CBSxgAQtYwAIWsBQAFrC0DRawvILB0hQsYNmngwUs9xIsYAELWMACFrCApQCwgKVtsIDlFQyWpmAByz4dLGC5l2ABC1jAAhawgAUsBYAFLG2DBSyvYLA0BQtY9ulgAcu9BAtYwAIWsIAFLGApACxgaRssYHkFg6UpWMCyTwcLWO4lWMACFrCABSxgAUsBYAFL22AByysYLE3BApZ9OljAci/BAhawgAUsYAELWAoAC1jaBgtYXsFgaQoWsOzTwQKWewkWsIAFLGABC1jAUgBYwNI2WMDyCgZLU7CAZZ8OFrDcS7CABSxgAQtYwAKWAsAClrbBApZXMFiaggUs+3SwgOVeggUsYAELWMACFrAUABawtA0WsLyCwdIULGDZp4MFLPcSLGABC1jAAhawgKUAsIClbbCA5RUMlqZgAcs+HSxguZdgAQtYwAIWsIAFLAWABSxtgwUsr2CwNAULWPbpYAHLvQQLWMACFrCABSxgKQAsYGkbLGB5BYOlKVjAsk8HC1juJVjAAhawgAUsYAFLAWABS9tgAcsrGCxNwQKWfTpYwHIvwQIWsIAFLGABC1gKAAtY2gYLWF7BYGkKFrDs08EClnsJFrCABSxgAQtYwFIAWMDSNljA8goGS1OwgGWfDhaw3EuwgAUsYAELWMAClgLAApa2wQKWVzBYmoIFLPt0sIDlXoIFLGABC1jAAhawFAAWsLQNFrC8gsHSFCxg2aeDBSz3EixgAQtYwAIWsIClALCAZdqxl1Y5zPMO4PtCv4PQfsrMnDlz6a5R0zaQUmEHuipmrqmwLIUjuaXQjbuJk0BCF7lANy2EJN3EXfQSB/ptKsn9Fp0jW//Xz5OjEoHOovS3McbPxcfP/9XvzDj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t>
        </is>
      </c>
      <c r="CN6" s="0" t="inlineStr">
        <is>
          <t>AB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ULWEboYAFLnQQLWMACFrCABSxgyQKwgCXdYAFLOzBYUgXLbwPL53/z6hHffffDDz7YXv3Ny/+yrz66/mt/w6Xl5Sv+zZPd/YN37l//iC81eXAsfyTv3r96/M2r7Qd/9ODhw3tXj588eed4+tPHh/KTfc7dF9TdyNyfP756//72W8er3/vD42n74cOnL8MroqXl1SG++LO1mi0Xp9XuMFmup5vJYrubT3bT3cVku98c9tPD6vJys787/mN333j8dPvwtbf4vPwSjS+ne/cbf9JO8ir/e+/NptM7X7k6bt8/PP7rR+OHe/L1M439X/C1J6Pz9+88vfowlfOfmntnYq6fw+aVtefsH776h/NXf5Tu3pjCO8cPHv/V8XBj7f/BI7jc73cXm8VmsppfrieL6fklbKbb3eS4v1wupsfNbjed3/IjmD376Y+e/eqj5//2vRe//PEbPYNS+tI7uFjd8A5ms6WH8PqHcJgtl6f9fjE5HmeryWJ+mk62s/O7mE9P0+3xcJquFxe3/BDmL77z6fNffvezf/3Z84//48Uvvvfs1z94K8/hcoaFN3wNs/PvhMPpcH4Du83i/BoOq8lmd/7cNT2s14vVerOZHme3+xpm02ff/s/PPvno+fd//uzjf//sn37xVp7Cjb8hZhcX3sLr38L5g8Fpf9xsJ/vF9VtYrXbnj98X88lytTqs99vV+dPD4nbfwvz6LZwfwvkV/Nevf/rsB995/o+/evbJp2/rUVxO/bp400cx3V7Mj5v55WR5ujh/Mdufv1etT6fzx4jd+vyJ4nTan9a3CsRkOp/88dff+8r20ft3ro77x4/2Dx4+ePnd/snbgWLtTbzpm5hv9/uLw/Yw2ZzO6SwWi+31d+3VZHfaXMw2++XhYnarXygm04vzm7hzb/vkL+/sP3z6+HR6K09hsfEU3vh3xvxw2M4vT5P5+vwFc7G8OH9+OG7nk/Xh+nfGarFYL0+3+jvj/E3m2cf//PyjT85fKz775Idv5SGsbvzwsPAOXv8Odsf5xXE2O39imG2vSdgtJ7vV/tqFw2K1nO03q+XhFt/Bn717/2/vvXc5nb74/r/897f//sU//OTF3336Vt7C+uYPkt7C69/CfnNYntar1eR4Ol1OFofddrKerpZnHU6X518bi/PHvNv89fC1+199O78Obvo2OdtI/n/5NnmxXi2Pp9XktJ+fFTiek99sZvPJ7jjbLRfL5WG/X95i8l/8eO8enz598OibL3/st/ISZjd9RlysvYTXvoQv/5i38gFwev2l4P7V8Vvbq+Odh+dk7/xm0l/+n8e/5S/+Gz8Brv6vB/27v/MX/wM=</t>
        </is>
      </c>
    </row>
    <row r="15">
      <c r="A15" s="41" t="n">
        <v>18</v>
      </c>
      <c r="R15" s="0">
        <f>#REF!</f>
        <v/>
      </c>
      <c r="S15" s="0" t="inlineStr">
        <is>
          <t>1b31f07f-f390-461b-b420-80914eb70448</t>
        </is>
      </c>
    </row>
    <row r="16">
      <c r="R16" s="0">
        <f>#REF!</f>
        <v/>
      </c>
      <c r="S16" s="0" t="inlineStr">
        <is>
          <t>616ccf68-3778-49bb-8d87-503feddc03cc</t>
        </is>
      </c>
    </row>
    <row r="17">
      <c r="R17" s="0">
        <f>#REF!</f>
        <v/>
      </c>
      <c r="S17" s="0" t="inlineStr">
        <is>
          <t>61507659-c570-458f-a6ec-892f33d07ae6</t>
        </is>
      </c>
    </row>
    <row r="18">
      <c r="R18" s="0">
        <f>#REF!</f>
        <v/>
      </c>
      <c r="S18" s="0" t="inlineStr">
        <is>
          <t>3fe6cd5a-71bb-46e9-8eb7-af002c741bb3</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C26"/>
  <sheetViews>
    <sheetView showGridLines="0" zoomScale="70" zoomScaleNormal="70" workbookViewId="0">
      <pane xSplit="8" ySplit="9" topLeftCell="I10" activePane="bottomRight" state="frozen"/>
      <selection pane="bottomRight" activeCell="C29" sqref="C29"/>
      <selection pane="bottomLeft" activeCell="C5" sqref="C5"/>
      <selection pane="topRight" activeCell="C5" sqref="C5"/>
    </sheetView>
  </sheetViews>
  <sheetFormatPr baseColWidth="8" defaultColWidth="9" defaultRowHeight="12" customHeight="1"/>
  <cols>
    <col width="2.625" customWidth="1" style="261" min="1" max="1"/>
    <col width="18.375" customWidth="1" style="261" min="2" max="2"/>
    <col width="16.625" customWidth="1" style="261" min="3" max="11"/>
    <col outlineLevel="1" width="16.625" customWidth="1" style="261" min="12" max="12"/>
    <col width="16.625" customWidth="1" style="261" min="13" max="13"/>
    <col outlineLevel="1" width="16.625" customWidth="1" style="261" min="14" max="14"/>
    <col width="16.625" customWidth="1" style="261" min="15" max="16"/>
    <col outlineLevel="1" width="16.625" customWidth="1" style="261" min="17" max="18"/>
    <col width="16.625" customWidth="1" style="261" min="19" max="22"/>
    <col width="14.625" customWidth="1" style="261" min="23" max="23"/>
    <col width="16.625" customWidth="1" style="261" min="24" max="24"/>
    <col width="35.375" customWidth="1" style="261" min="25" max="25"/>
    <col width="16.625" customWidth="1" style="261" min="26" max="27"/>
    <col width="2.625" customWidth="1" style="261" min="28" max="28"/>
    <col width="1.625" customWidth="1" style="261" min="29" max="29"/>
    <col width="9" customWidth="1" style="261" min="30" max="16384"/>
  </cols>
  <sheetData>
    <row r="1" ht="50.1" customFormat="1" customHeight="1" s="278">
      <c r="A1" s="275" t="inlineStr">
        <is>
          <t>fdd2dfd4-c3b9-4a12-a727-8c16883132cf</t>
        </is>
      </c>
      <c r="B1" s="465" t="inlineStr">
        <is>
          <t>标准工作底稿: C SWP 货币资金</t>
        </is>
      </c>
      <c r="C1" s="117" t="n"/>
      <c r="D1" s="106" t="n"/>
      <c r="E1" s="106" t="n"/>
      <c r="F1" s="106" t="n"/>
      <c r="G1" s="107" t="n"/>
      <c r="H1" s="107" t="n"/>
      <c r="I1" s="107" t="n"/>
      <c r="J1" s="107" t="n"/>
      <c r="K1" s="107" t="n"/>
      <c r="L1" s="107" t="n"/>
      <c r="M1" s="107" t="n"/>
      <c r="N1" s="107" t="n"/>
      <c r="O1" s="107" t="n"/>
      <c r="P1" s="107" t="n"/>
      <c r="Q1" s="107" t="n"/>
      <c r="R1" s="107" t="n"/>
      <c r="S1" s="107" t="n"/>
      <c r="T1" s="107" t="n"/>
      <c r="U1" s="108" t="n"/>
      <c r="V1" s="107" t="n"/>
      <c r="W1" s="107" t="n"/>
      <c r="X1" s="107" t="n"/>
      <c r="Y1" s="107" t="n"/>
      <c r="Z1" s="107" t="n"/>
      <c r="AA1" s="108" t="n"/>
      <c r="AB1" s="276" t="n"/>
      <c r="AC1" s="277" t="n"/>
    </row>
    <row r="2" ht="30" customFormat="1" customHeight="1" s="109">
      <c r="A2" s="262" t="n"/>
      <c r="B2" s="234" t="inlineStr">
        <is>
          <t>C.01 选择执行函证的账户 C.01 制作并发送函证 C.01 核对函证金额，复核函证的其他事项并执行替代程序</t>
        </is>
      </c>
      <c r="C2" s="263" t="n"/>
      <c r="D2" s="263" t="n"/>
      <c r="E2" s="263" t="n"/>
      <c r="F2" s="263" t="n"/>
      <c r="G2" s="263" t="n"/>
      <c r="H2" s="263" t="n"/>
      <c r="I2" s="263" t="n"/>
      <c r="J2" s="263" t="n"/>
      <c r="K2" s="263" t="n"/>
      <c r="L2" s="263" t="n"/>
      <c r="M2" s="263" t="n"/>
      <c r="N2" s="263" t="n"/>
      <c r="O2" s="263" t="n"/>
      <c r="P2" s="263" t="n"/>
      <c r="Q2" s="263" t="n"/>
      <c r="R2" s="263" t="n"/>
      <c r="S2" s="263" t="n"/>
      <c r="T2" s="263" t="n"/>
      <c r="U2" s="263" t="n"/>
      <c r="V2" s="263" t="n"/>
      <c r="W2" s="263" t="n"/>
      <c r="X2" s="263" t="n"/>
      <c r="Y2" s="263" t="n"/>
      <c r="Z2" s="263" t="n"/>
      <c r="AA2" s="264" t="n"/>
      <c r="AB2" s="261" t="n"/>
      <c r="AC2" s="110" t="n"/>
    </row>
    <row r="3" ht="12.75" customFormat="1" customHeight="1" s="262">
      <c r="AB3" s="261" t="n"/>
      <c r="AC3" s="110" t="n"/>
    </row>
    <row r="4" ht="16.5" customFormat="1" customHeight="1" s="262">
      <c r="B4" s="147" t="inlineStr">
        <is>
          <t>返回汇总页</t>
        </is>
      </c>
      <c r="AB4" s="261" t="n"/>
      <c r="AC4" s="110" t="n"/>
    </row>
    <row r="5" ht="12.75" customFormat="1" customHeight="1" s="262">
      <c r="AB5" s="261" t="n"/>
      <c r="AC5" s="110" t="n"/>
    </row>
    <row r="6" ht="15" customFormat="1" customHeight="1" s="109">
      <c r="A6" s="262" t="n"/>
      <c r="B6" s="311" t="inlineStr">
        <is>
          <t>已发函测试的银行账户</t>
        </is>
      </c>
      <c r="C6" s="311" t="n"/>
      <c r="D6" s="312" t="n"/>
      <c r="E6" s="312" t="n"/>
      <c r="F6" s="312" t="n"/>
      <c r="G6" s="313" t="n"/>
      <c r="H6" s="313" t="n"/>
      <c r="I6" s="313" t="n"/>
      <c r="J6" s="313" t="n"/>
      <c r="K6" s="313" t="n"/>
      <c r="L6" s="313" t="n"/>
      <c r="M6" s="313" t="n"/>
      <c r="N6" s="313" t="n"/>
      <c r="O6" s="313" t="n"/>
      <c r="P6" s="313" t="n"/>
      <c r="Q6" s="313" t="n"/>
      <c r="R6" s="313" t="n"/>
      <c r="S6" s="313" t="n"/>
      <c r="T6" s="313" t="n"/>
      <c r="U6" s="313" t="n"/>
      <c r="V6" s="313" t="n"/>
      <c r="W6" s="313" t="n"/>
      <c r="X6" s="313" t="n"/>
      <c r="Y6" s="313" t="n"/>
      <c r="Z6" s="313" t="n"/>
      <c r="AA6" s="313" t="n"/>
      <c r="AB6" s="261" t="n"/>
      <c r="AC6" s="110" t="n"/>
    </row>
    <row r="7" ht="12.75" customFormat="1" customHeight="1" s="265">
      <c r="G7" s="262" t="n"/>
      <c r="H7" s="262" t="n"/>
      <c r="I7" s="262" t="n"/>
      <c r="J7" s="262" t="n"/>
      <c r="K7" s="262" t="n"/>
      <c r="L7" s="262" t="n"/>
      <c r="M7" s="262" t="n"/>
      <c r="N7" s="262" t="n"/>
      <c r="O7" s="262" t="n"/>
      <c r="P7" s="262" t="n"/>
      <c r="Q7" s="262" t="n"/>
      <c r="R7" s="262" t="n"/>
      <c r="S7" s="262" t="n"/>
      <c r="T7" s="262" t="n"/>
      <c r="U7" s="262" t="n"/>
      <c r="V7" s="262" t="n"/>
      <c r="W7" s="262" t="n"/>
      <c r="X7" s="262" t="n"/>
      <c r="Y7" s="262" t="n"/>
      <c r="Z7" s="262" t="n"/>
      <c r="AA7" s="262" t="n"/>
      <c r="AC7" s="116" t="n"/>
    </row>
    <row r="8" ht="16.5" customFormat="1" customHeight="1" s="268">
      <c r="A8" s="262" t="n"/>
      <c r="B8" s="266" t="n"/>
      <c r="C8" s="266" t="n"/>
      <c r="D8" s="266" t="n"/>
      <c r="E8" s="38" t="inlineStr">
        <is>
          <t>|---------------------------------------------C.00 BKD---------------------------------------------|</t>
        </is>
      </c>
      <c r="F8" s="266" t="n"/>
      <c r="G8" s="266" t="n"/>
      <c r="H8" s="266" t="n"/>
      <c r="I8" s="267" t="n"/>
      <c r="J8" s="267" t="inlineStr">
        <is>
          <t>回函信息</t>
        </is>
      </c>
      <c r="K8" s="267" t="inlineStr">
        <is>
          <t>回函信息</t>
        </is>
      </c>
      <c r="L8" s="267" t="inlineStr">
        <is>
          <t>回函信息</t>
        </is>
      </c>
      <c r="M8" s="267" t="inlineStr">
        <is>
          <t>回函信息</t>
        </is>
      </c>
      <c r="N8" s="267" t="inlineStr">
        <is>
          <t>回函信息</t>
        </is>
      </c>
      <c r="O8" s="267" t="inlineStr">
        <is>
          <t>回函信息</t>
        </is>
      </c>
      <c r="P8" s="267" t="inlineStr">
        <is>
          <t>回函信息</t>
        </is>
      </c>
      <c r="Q8" s="267" t="inlineStr">
        <is>
          <t>回函信息</t>
        </is>
      </c>
      <c r="R8" s="267" t="inlineStr">
        <is>
          <t>回函信息</t>
        </is>
      </c>
      <c r="S8" s="267" t="inlineStr">
        <is>
          <t>回函信息</t>
        </is>
      </c>
      <c r="T8" s="267" t="inlineStr">
        <is>
          <t>回函信息</t>
        </is>
      </c>
      <c r="U8" s="267" t="inlineStr">
        <is>
          <t>回函信息</t>
        </is>
      </c>
      <c r="V8" s="266" t="inlineStr">
        <is>
          <t>差异跟进</t>
        </is>
      </c>
      <c r="W8" s="266" t="inlineStr">
        <is>
          <t>差异跟进</t>
        </is>
      </c>
      <c r="X8" s="266" t="inlineStr">
        <is>
          <t>回函信息跟进</t>
        </is>
      </c>
      <c r="Y8" s="266" t="inlineStr">
        <is>
          <t>回函信息跟进</t>
        </is>
      </c>
      <c r="Z8" s="266" t="inlineStr">
        <is>
          <t>回函信息跟进</t>
        </is>
      </c>
      <c r="AA8" s="266" t="inlineStr">
        <is>
          <t>替代测试</t>
        </is>
      </c>
      <c r="AB8" s="261" t="n"/>
      <c r="AC8" s="110" t="n"/>
    </row>
    <row r="9" ht="60.95" customFormat="1" customHeight="1" s="496">
      <c r="A9" s="494" t="n"/>
      <c r="B9" s="269" t="inlineStr">
        <is>
          <t>公司名称/发函单位名称</t>
        </is>
      </c>
      <c r="C9" s="269" t="inlineStr">
        <is>
          <t>科目名称</t>
        </is>
      </c>
      <c r="D9" s="269" t="inlineStr">
        <is>
          <t>银行名称</t>
        </is>
      </c>
      <c r="E9" s="269" t="inlineStr">
        <is>
          <t>银行账号</t>
        </is>
      </c>
      <c r="F9" s="269" t="inlineStr">
        <is>
          <t>币种</t>
        </is>
      </c>
      <c r="G9" s="269" t="inlineStr">
        <is>
          <t>期末账面银行余额
（原币）
A</t>
        </is>
      </c>
      <c r="H9" s="269" t="inlineStr">
        <is>
          <t>期末账面金额
（本币）</t>
        </is>
      </c>
      <c r="I9" s="250" t="inlineStr">
        <is>
          <t>函证编号</t>
        </is>
      </c>
      <c r="J9" s="250" t="inlineStr">
        <is>
          <t>账户名称</t>
        </is>
      </c>
      <c r="K9" s="250" t="inlineStr">
        <is>
          <t>银行名称</t>
        </is>
      </c>
      <c r="L9" s="250" t="inlineStr">
        <is>
          <t>银行账号</t>
        </is>
      </c>
      <c r="M9" s="250" t="inlineStr">
        <is>
          <t>账户类型</t>
        </is>
      </c>
      <c r="N9" s="250" t="inlineStr">
        <is>
          <t>利率</t>
        </is>
      </c>
      <c r="O9" s="250" t="inlineStr">
        <is>
          <t>回函币种</t>
        </is>
      </c>
      <c r="P9" s="250" t="inlineStr">
        <is>
          <t>回函金额
B</t>
        </is>
      </c>
      <c r="Q9" s="250" t="inlineStr">
        <is>
          <t>是否属于资金归集（资金池或其他资金管理）账户</t>
        </is>
      </c>
      <c r="R9" s="250" t="inlineStr">
        <is>
          <t>存款起止日期</t>
        </is>
      </c>
      <c r="S9" s="250" t="inlineStr">
        <is>
          <t>是否存在冻结、担保或其他使用限制</t>
        </is>
      </c>
      <c r="T9" s="250" t="inlineStr">
        <is>
          <t>备注</t>
        </is>
      </c>
      <c r="U9" s="466" t="inlineStr">
        <is>
          <t>销户日期</t>
        </is>
      </c>
      <c r="V9" s="270" t="inlineStr">
        <is>
          <t>回函金额差异
（原币）
C=A-B</t>
        </is>
      </c>
      <c r="W9" s="270" t="inlineStr">
        <is>
          <t>对于金额差异的描述、跟进措施记录</t>
        </is>
      </c>
      <c r="X9" s="270" t="inlineStr">
        <is>
          <t>本期末实际受限金额
（本币）</t>
        </is>
      </c>
      <c r="Y9" s="493" t="inlineStr">
        <is>
          <t>记录受限原因、确认受限情形进行了适当的分类和披露；在回函未确认受限情形时，记录我们的补充工作以及支持性文件索引1</t>
        </is>
      </c>
      <c r="Z9" s="270" t="inlineStr">
        <is>
          <t>其他回函信息跟进工作底稿索引</t>
        </is>
      </c>
      <c r="AA9" s="270" t="inlineStr">
        <is>
          <t>替代测试索引</t>
        </is>
      </c>
      <c r="AB9" s="495" t="n"/>
      <c r="AC9" s="110" t="n"/>
    </row>
    <row r="10" ht="12.75" customFormat="1" customHeight="1" s="336">
      <c r="A10" s="332" t="n"/>
      <c r="B10" s="377" t="n"/>
      <c r="C10" s="378" t="n"/>
      <c r="D10" s="377" t="n"/>
      <c r="E10" s="378" t="n"/>
      <c r="F10" s="377" t="n"/>
      <c r="G10" s="826" t="n"/>
      <c r="H10" s="826" t="n"/>
      <c r="I10" s="379" t="n"/>
      <c r="J10" s="379" t="n"/>
      <c r="K10" s="379" t="n"/>
      <c r="L10" s="379" t="n"/>
      <c r="M10" s="379" t="n"/>
      <c r="N10" s="827" t="n"/>
      <c r="O10" s="380" t="n"/>
      <c r="P10" s="828" t="n"/>
      <c r="Q10" s="380" t="n"/>
      <c r="R10" s="379" t="n"/>
      <c r="S10" s="380" t="n"/>
      <c r="T10" s="333" t="n"/>
      <c r="U10" s="566" t="n"/>
      <c r="V10" s="829">
        <f>G10-P10</f>
        <v/>
      </c>
      <c r="W10" s="381" t="n"/>
      <c r="X10" s="830" t="n"/>
      <c r="Y10" s="381" t="n"/>
      <c r="Z10" s="339" t="n"/>
      <c r="AA10" s="339" t="n"/>
      <c r="AB10" s="335" t="n"/>
      <c r="AC10" s="110" t="n"/>
    </row>
    <row r="11" ht="12.75" customFormat="1" customHeight="1" s="336">
      <c r="A11" s="332" t="n"/>
      <c r="B11" s="377" t="n"/>
      <c r="C11" s="378" t="n"/>
      <c r="D11" s="377" t="n"/>
      <c r="E11" s="378" t="n"/>
      <c r="F11" s="377" t="n"/>
      <c r="G11" s="826" t="n"/>
      <c r="H11" s="826" t="n"/>
      <c r="I11" s="379" t="n"/>
      <c r="J11" s="379" t="n"/>
      <c r="K11" s="379" t="n"/>
      <c r="L11" s="379" t="n"/>
      <c r="M11" s="379" t="n"/>
      <c r="N11" s="827" t="n"/>
      <c r="O11" s="380" t="n"/>
      <c r="P11" s="828" t="n"/>
      <c r="Q11" s="380" t="n"/>
      <c r="R11" s="379" t="n"/>
      <c r="S11" s="380" t="n"/>
      <c r="T11" s="333" t="n"/>
      <c r="U11" s="566" t="n"/>
      <c r="V11" s="829">
        <f>G11-P11</f>
        <v/>
      </c>
      <c r="W11" s="381" t="n"/>
      <c r="X11" s="830" t="n"/>
      <c r="Y11" s="381" t="n"/>
      <c r="Z11" s="339" t="n"/>
      <c r="AA11" s="339" t="n"/>
      <c r="AB11" s="335" t="n"/>
      <c r="AC11" s="110" t="n"/>
    </row>
    <row r="12" ht="12.75" customFormat="1" customHeight="1" s="336">
      <c r="A12" s="332" t="n"/>
      <c r="B12" s="377" t="n"/>
      <c r="C12" s="378" t="n"/>
      <c r="D12" s="377" t="n"/>
      <c r="E12" s="378" t="n"/>
      <c r="F12" s="377" t="n"/>
      <c r="G12" s="826" t="n"/>
      <c r="H12" s="826" t="n"/>
      <c r="I12" s="379" t="n"/>
      <c r="J12" s="379" t="n"/>
      <c r="K12" s="379" t="n"/>
      <c r="L12" s="379" t="n"/>
      <c r="M12" s="379" t="n"/>
      <c r="N12" s="827" t="n"/>
      <c r="O12" s="380" t="n"/>
      <c r="P12" s="828" t="n"/>
      <c r="Q12" s="380" t="n"/>
      <c r="R12" s="379" t="n"/>
      <c r="S12" s="380" t="n"/>
      <c r="T12" s="333" t="n"/>
      <c r="U12" s="566" t="n"/>
      <c r="V12" s="829">
        <f>G12-P12</f>
        <v/>
      </c>
      <c r="W12" s="381" t="n"/>
      <c r="X12" s="830" t="n"/>
      <c r="Y12" s="381" t="n"/>
      <c r="Z12" s="339" t="n"/>
      <c r="AA12" s="339" t="n"/>
      <c r="AB12" s="335" t="n"/>
      <c r="AC12" s="110" t="n"/>
    </row>
    <row r="13" ht="12.75" customFormat="1" customHeight="1" s="336">
      <c r="A13" s="332" t="n"/>
      <c r="B13" s="377" t="n"/>
      <c r="C13" s="378" t="n"/>
      <c r="D13" s="377" t="n"/>
      <c r="E13" s="378" t="n"/>
      <c r="F13" s="377" t="n"/>
      <c r="G13" s="826" t="n"/>
      <c r="H13" s="826" t="n"/>
      <c r="I13" s="379" t="n"/>
      <c r="J13" s="379" t="n"/>
      <c r="K13" s="379" t="n"/>
      <c r="L13" s="379" t="n"/>
      <c r="M13" s="379" t="n"/>
      <c r="N13" s="827" t="n"/>
      <c r="O13" s="380" t="n"/>
      <c r="P13" s="828" t="n"/>
      <c r="Q13" s="380" t="n"/>
      <c r="R13" s="379" t="n"/>
      <c r="S13" s="380" t="n"/>
      <c r="T13" s="333" t="n"/>
      <c r="U13" s="566" t="n"/>
      <c r="V13" s="829">
        <f>G13-P13</f>
        <v/>
      </c>
      <c r="W13" s="381" t="n"/>
      <c r="X13" s="830" t="n"/>
      <c r="Y13" s="381" t="n"/>
      <c r="Z13" s="339" t="n"/>
      <c r="AA13" s="339" t="n"/>
      <c r="AB13" s="335" t="n"/>
      <c r="AC13" s="110" t="n"/>
    </row>
    <row r="14" ht="12.75" customFormat="1" customHeight="1" s="336">
      <c r="A14" s="332" t="n"/>
      <c r="B14" s="377" t="n"/>
      <c r="C14" s="378" t="n"/>
      <c r="D14" s="377" t="n"/>
      <c r="E14" s="378" t="n"/>
      <c r="F14" s="377" t="n"/>
      <c r="G14" s="826" t="n"/>
      <c r="H14" s="826" t="n"/>
      <c r="I14" s="379" t="n"/>
      <c r="J14" s="379" t="n"/>
      <c r="K14" s="379" t="n"/>
      <c r="L14" s="379" t="n"/>
      <c r="M14" s="379" t="n"/>
      <c r="N14" s="827" t="n"/>
      <c r="O14" s="380" t="n"/>
      <c r="P14" s="828" t="n"/>
      <c r="Q14" s="380" t="n"/>
      <c r="R14" s="379" t="n"/>
      <c r="S14" s="380" t="n"/>
      <c r="T14" s="333" t="n"/>
      <c r="U14" s="566" t="n"/>
      <c r="V14" s="829">
        <f>G14-P14</f>
        <v/>
      </c>
      <c r="W14" s="381" t="n"/>
      <c r="X14" s="830" t="n"/>
      <c r="Y14" s="381" t="n"/>
      <c r="Z14" s="339" t="n"/>
      <c r="AA14" s="339" t="n"/>
      <c r="AB14" s="335" t="n"/>
      <c r="AC14" s="110" t="n"/>
    </row>
    <row r="15" ht="12.75" customFormat="1" customHeight="1" s="336">
      <c r="A15" s="332" t="n"/>
      <c r="B15" s="377" t="n"/>
      <c r="C15" s="378" t="n"/>
      <c r="D15" s="377" t="n"/>
      <c r="E15" s="378" t="n"/>
      <c r="F15" s="377" t="n"/>
      <c r="G15" s="826" t="n"/>
      <c r="H15" s="826" t="n"/>
      <c r="I15" s="379" t="n"/>
      <c r="J15" s="379" t="n"/>
      <c r="K15" s="379" t="n"/>
      <c r="L15" s="379" t="n"/>
      <c r="M15" s="379" t="n"/>
      <c r="N15" s="827" t="n"/>
      <c r="O15" s="380" t="n"/>
      <c r="P15" s="828" t="n"/>
      <c r="Q15" s="380" t="n"/>
      <c r="R15" s="379" t="n"/>
      <c r="S15" s="380" t="n"/>
      <c r="T15" s="333" t="n"/>
      <c r="U15" s="566" t="n"/>
      <c r="V15" s="829">
        <f>G15-P15</f>
        <v/>
      </c>
      <c r="W15" s="381" t="n"/>
      <c r="X15" s="830" t="n"/>
      <c r="Y15" s="381" t="n"/>
      <c r="Z15" s="339" t="n"/>
      <c r="AA15" s="339" t="n"/>
      <c r="AB15" s="335" t="n"/>
      <c r="AC15" s="110" t="n"/>
    </row>
    <row r="16" ht="12.75" customFormat="1" customHeight="1" s="336">
      <c r="A16" s="332" t="n"/>
      <c r="B16" s="377" t="n"/>
      <c r="C16" s="378" t="n"/>
      <c r="D16" s="377" t="n"/>
      <c r="E16" s="378" t="n"/>
      <c r="F16" s="377" t="n"/>
      <c r="G16" s="826" t="n"/>
      <c r="H16" s="826" t="n"/>
      <c r="I16" s="379" t="n"/>
      <c r="J16" s="379" t="n"/>
      <c r="K16" s="379" t="n"/>
      <c r="L16" s="379" t="n"/>
      <c r="M16" s="379" t="n"/>
      <c r="N16" s="827" t="n"/>
      <c r="O16" s="380" t="n"/>
      <c r="P16" s="828" t="n"/>
      <c r="Q16" s="380" t="n"/>
      <c r="R16" s="379" t="n"/>
      <c r="S16" s="380" t="n"/>
      <c r="T16" s="333" t="n"/>
      <c r="U16" s="566" t="n"/>
      <c r="V16" s="829">
        <f>G16-P16</f>
        <v/>
      </c>
      <c r="W16" s="381" t="n"/>
      <c r="X16" s="830" t="n"/>
      <c r="Y16" s="381" t="n"/>
      <c r="Z16" s="339" t="n"/>
      <c r="AA16" s="339" t="n"/>
      <c r="AB16" s="335" t="n"/>
      <c r="AC16" s="110" t="n"/>
    </row>
    <row r="17" ht="12.75" customFormat="1" customHeight="1" s="336">
      <c r="A17" s="332" t="n"/>
      <c r="B17" s="377" t="n"/>
      <c r="C17" s="378" t="n"/>
      <c r="D17" s="377" t="n"/>
      <c r="E17" s="378" t="n"/>
      <c r="F17" s="377" t="n"/>
      <c r="G17" s="826" t="n"/>
      <c r="H17" s="826" t="n"/>
      <c r="I17" s="379" t="n"/>
      <c r="J17" s="379" t="n"/>
      <c r="K17" s="379" t="n"/>
      <c r="L17" s="379" t="n"/>
      <c r="M17" s="379" t="n"/>
      <c r="N17" s="827" t="n"/>
      <c r="O17" s="380" t="n"/>
      <c r="P17" s="828" t="n"/>
      <c r="Q17" s="380" t="n"/>
      <c r="R17" s="379" t="n"/>
      <c r="S17" s="380" t="n"/>
      <c r="T17" s="333" t="n"/>
      <c r="U17" s="566" t="n"/>
      <c r="V17" s="829">
        <f>G17-P17</f>
        <v/>
      </c>
      <c r="W17" s="381" t="n"/>
      <c r="X17" s="830" t="n"/>
      <c r="Y17" s="381" t="n"/>
      <c r="Z17" s="339" t="n"/>
      <c r="AA17" s="339" t="n"/>
      <c r="AB17" s="335" t="n"/>
      <c r="AC17" s="110" t="n"/>
    </row>
    <row r="18" ht="12.75" customHeight="1" s="726">
      <c r="C18" s="238" t="n"/>
      <c r="D18" s="271" t="n"/>
      <c r="E18" s="271" t="n"/>
      <c r="F18" s="271" t="n"/>
      <c r="I18" s="272" t="n"/>
      <c r="J18" s="272" t="n"/>
      <c r="K18" s="272" t="n"/>
      <c r="L18" s="272" t="n"/>
      <c r="M18" s="272" t="n"/>
      <c r="N18" s="272" t="n"/>
      <c r="O18" s="272" t="n"/>
      <c r="P18" s="831" t="n"/>
      <c r="Q18" s="831" t="n"/>
      <c r="R18" s="831" t="n"/>
      <c r="V18" s="831" t="n"/>
      <c r="X18" s="831" t="n"/>
      <c r="AC18" s="110" t="n"/>
    </row>
    <row r="19" ht="17.25" customHeight="1" s="726" thickBot="1">
      <c r="C19" s="238" t="n"/>
      <c r="D19" s="271" t="n"/>
      <c r="E19" s="271" t="n"/>
      <c r="F19" s="271" t="n"/>
      <c r="G19" s="262" t="inlineStr">
        <is>
          <t>合计</t>
        </is>
      </c>
      <c r="H19" s="832">
        <f>SUM(H9:H17)</f>
        <v/>
      </c>
      <c r="I19" s="272" t="n"/>
      <c r="J19" s="272" t="n"/>
      <c r="K19" s="272" t="n"/>
      <c r="L19" s="272" t="n"/>
      <c r="M19" s="272" t="n"/>
      <c r="N19" s="272" t="n"/>
      <c r="O19" s="272" t="n"/>
      <c r="P19" s="831" t="n"/>
      <c r="Q19" s="831" t="n"/>
      <c r="R19" s="831" t="n"/>
      <c r="V19" s="831" t="n"/>
      <c r="X19" s="833">
        <f>SUM(X9:X17)</f>
        <v/>
      </c>
      <c r="AC19" s="110" t="n"/>
    </row>
    <row r="20" ht="13.5" customHeight="1" s="726" thickTop="1">
      <c r="C20" s="238" t="n"/>
      <c r="D20" s="271" t="n"/>
      <c r="E20" s="271" t="n"/>
      <c r="F20" s="271" t="n"/>
      <c r="H20" s="797" t="inlineStr">
        <is>
          <t>RX</t>
        </is>
      </c>
      <c r="I20" s="272" t="n"/>
      <c r="J20" s="272" t="n"/>
      <c r="K20" s="272" t="n"/>
      <c r="L20" s="272" t="n"/>
      <c r="M20" s="272" t="n"/>
      <c r="N20" s="272" t="n"/>
      <c r="O20" s="272" t="n"/>
      <c r="P20" s="831" t="n"/>
      <c r="Q20" s="831" t="n"/>
      <c r="R20" s="831" t="n"/>
      <c r="V20" s="831" t="n"/>
      <c r="X20" s="797" t="inlineStr">
        <is>
          <t>RX</t>
        </is>
      </c>
      <c r="AC20" s="110" t="n"/>
    </row>
    <row r="21" ht="12.75" customHeight="1" s="726">
      <c r="C21" s="238" t="n"/>
      <c r="D21" s="271" t="n"/>
      <c r="E21" s="271" t="n"/>
      <c r="F21" s="271" t="n"/>
      <c r="I21" s="272" t="n"/>
      <c r="J21" s="272" t="n"/>
      <c r="K21" s="272" t="n"/>
      <c r="L21" s="272" t="n"/>
      <c r="M21" s="272" t="n"/>
      <c r="N21" s="272" t="n"/>
      <c r="O21" s="272" t="n"/>
      <c r="P21" s="831" t="n"/>
      <c r="Q21" s="831" t="n"/>
      <c r="R21" s="831" t="n"/>
      <c r="V21" s="831" t="n"/>
      <c r="X21" s="831" t="n"/>
      <c r="AC21" s="110" t="n"/>
    </row>
    <row r="22" ht="16.5" customHeight="1" s="726">
      <c r="B22" s="497" t="inlineStr">
        <is>
          <t>1.可能有助于我们进行确认受限情形的程序包括：</t>
        </is>
      </c>
      <c r="C22" s="238" t="n"/>
      <c r="D22" s="271" t="n"/>
      <c r="E22" s="271" t="n"/>
      <c r="F22" s="271" t="n"/>
      <c r="I22" s="272" t="n"/>
      <c r="J22" s="272" t="n"/>
      <c r="K22" s="272" t="n"/>
      <c r="L22" s="272" t="n"/>
      <c r="M22" s="272" t="n"/>
      <c r="N22" s="272" t="n"/>
      <c r="O22" s="272" t="n"/>
      <c r="P22" s="831" t="n"/>
      <c r="Q22" s="831" t="n"/>
      <c r="R22" s="831" t="n"/>
      <c r="V22" s="831" t="n"/>
      <c r="AC22" s="110" t="n"/>
    </row>
    <row r="23" ht="16.5" customHeight="1" s="726">
      <c r="B23" s="498" t="inlineStr">
        <is>
          <t>对于定期存款，若为未质押的定期存款，应在资产负债表日当天盘点开户证实书原件；若为已质押的定期存款，则检查定期存单复印件及质押合同；</t>
        </is>
      </c>
      <c r="C23" s="274" t="n"/>
      <c r="D23" s="274" t="n"/>
      <c r="E23" s="274" t="n"/>
      <c r="F23" s="274" t="n"/>
      <c r="I23" s="272" t="n"/>
      <c r="J23" s="272" t="n"/>
      <c r="K23" s="272" t="n"/>
      <c r="L23" s="272" t="n"/>
      <c r="M23" s="272" t="n"/>
      <c r="N23" s="272" t="n"/>
      <c r="O23" s="272" t="n"/>
      <c r="P23" s="831" t="n"/>
      <c r="Q23" s="831" t="n"/>
      <c r="R23" s="831" t="n"/>
      <c r="V23" s="831" t="n"/>
      <c r="AC23" s="110" t="n"/>
    </row>
    <row r="24" ht="16.5" customHeight="1" s="726">
      <c r="B24" s="498" t="inlineStr">
        <is>
          <t>对于活期存款，包括询问管理层；了解每个银行账户的性质和用途；审阅董事会、股东会和委员会会议记录；以及审查重大合同/协议等程序。</t>
        </is>
      </c>
      <c r="C24" s="111" t="n"/>
      <c r="AC24" s="110" t="n"/>
    </row>
    <row r="25" ht="15" customHeight="1" s="726">
      <c r="B25" s="327" t="n"/>
      <c r="C25" s="111" t="n"/>
      <c r="AC25" s="110" t="n"/>
    </row>
    <row r="26" ht="7.5" customHeight="1" s="726">
      <c r="A26" s="110" t="n"/>
      <c r="B26" s="110" t="n"/>
      <c r="C26" s="110" t="n"/>
      <c r="D26" s="110" t="n"/>
      <c r="E26" s="110" t="n"/>
      <c r="F26" s="110" t="n"/>
      <c r="G26" s="110" t="n"/>
      <c r="H26" s="110" t="n"/>
      <c r="I26" s="110" t="n"/>
      <c r="J26" s="110" t="n"/>
      <c r="K26" s="110" t="n"/>
      <c r="L26" s="110" t="n"/>
      <c r="M26" s="110" t="n"/>
      <c r="N26" s="110" t="n"/>
      <c r="O26" s="110" t="n"/>
      <c r="P26" s="110" t="n"/>
      <c r="Q26" s="110" t="n"/>
      <c r="R26" s="110" t="n"/>
      <c r="S26" s="110" t="n"/>
      <c r="T26" s="110" t="n"/>
      <c r="U26" s="110" t="n"/>
      <c r="V26" s="110" t="n"/>
      <c r="W26" s="110" t="n"/>
      <c r="X26" s="110" t="n"/>
      <c r="Y26" s="110" t="n"/>
      <c r="Z26" s="110" t="n"/>
      <c r="AA26" s="110" t="n"/>
      <c r="AB26" s="110" t="n"/>
      <c r="AC26" s="110" t="n"/>
    </row>
  </sheetData>
  <conditionalFormatting sqref="B10:S17 U10:U17 W10:Y17">
    <cfRule type="containsBlanks" priority="1" dxfId="11">
      <formula>LEN(TRIM(B10))=0</formula>
    </cfRule>
  </conditionalFormatting>
  <dataValidations count="1">
    <dataValidation sqref="Q10:Q17 S10:S17"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O42"/>
  <sheetViews>
    <sheetView showGridLines="0" zoomScale="70" zoomScaleNormal="70" workbookViewId="0">
      <selection activeCell="S9" sqref="S9"/>
    </sheetView>
  </sheetViews>
  <sheetFormatPr baseColWidth="8" defaultColWidth="9.125" defaultRowHeight="12.75" outlineLevelRow="1"/>
  <cols>
    <col width="2.625" customWidth="1" style="47" min="1" max="1"/>
    <col width="16.75" customWidth="1" style="42" min="2" max="6"/>
    <col width="17.75" customWidth="1" style="42" min="7" max="7"/>
    <col width="16.75" customWidth="1" style="42" min="8" max="12"/>
    <col width="39.75" customWidth="1" style="42" min="13" max="13"/>
    <col width="2.625" customWidth="1" style="42" min="14" max="14"/>
    <col width="1.625" customWidth="1" style="42" min="15" max="15"/>
    <col width="9.125" customWidth="1" style="42" min="16"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5" t="n"/>
      <c r="L1" s="5" t="n"/>
      <c r="M1" s="21" t="n"/>
      <c r="N1" s="420" t="n"/>
      <c r="O1" s="40" t="n"/>
    </row>
    <row r="2" ht="30" customFormat="1" customHeight="1" s="1">
      <c r="A2" s="6" t="n"/>
      <c r="B2" s="228" t="inlineStr">
        <is>
          <t>C.01b 特殊账户程序</t>
        </is>
      </c>
      <c r="C2" s="7" t="n"/>
      <c r="D2" s="7" t="n"/>
      <c r="E2" s="7" t="n"/>
      <c r="F2" s="7" t="n"/>
      <c r="G2" s="7" t="n"/>
      <c r="H2" s="7" t="n"/>
      <c r="I2" s="7" t="n"/>
      <c r="J2" s="7" t="n"/>
      <c r="K2" s="7" t="n"/>
      <c r="L2" s="7" t="n"/>
      <c r="M2" s="22" t="n"/>
      <c r="N2" s="421" t="n"/>
      <c r="O2" s="40" t="n"/>
    </row>
    <row r="3">
      <c r="A3" s="341" t="n"/>
      <c r="B3" s="49" t="n"/>
      <c r="C3" s="20" t="n"/>
      <c r="D3" s="20" t="n"/>
      <c r="E3" s="20" t="n"/>
      <c r="F3" s="20" t="n"/>
      <c r="G3" s="20" t="n"/>
      <c r="H3" s="20" t="n"/>
      <c r="I3" s="20" t="n"/>
      <c r="J3" s="20" t="n"/>
      <c r="K3" s="20" t="n"/>
      <c r="L3" s="20" t="n"/>
      <c r="M3" s="20" t="n"/>
      <c r="N3" s="20" t="n"/>
      <c r="O3" s="54" t="n"/>
    </row>
    <row r="4" ht="16.5" customHeight="1" s="726">
      <c r="A4" s="341" t="n"/>
      <c r="B4" s="147" t="inlineStr">
        <is>
          <t>返回汇总页</t>
        </is>
      </c>
      <c r="C4" s="20" t="n"/>
      <c r="D4" s="20" t="n"/>
      <c r="E4" s="20" t="n"/>
      <c r="F4" s="20" t="n"/>
      <c r="G4" s="20" t="n"/>
      <c r="H4" s="20" t="n"/>
      <c r="I4" s="20" t="n"/>
      <c r="J4" s="20" t="n"/>
      <c r="K4" s="20" t="n"/>
      <c r="L4" s="20" t="n"/>
      <c r="M4" s="20" t="n"/>
      <c r="N4" s="242" t="n"/>
      <c r="O4" s="54" t="n"/>
    </row>
    <row r="5">
      <c r="A5" s="341" t="n"/>
      <c r="B5" s="49" t="n"/>
      <c r="C5" s="20" t="n"/>
      <c r="D5" s="20" t="n"/>
      <c r="E5" s="20" t="n"/>
      <c r="F5" s="20" t="n"/>
      <c r="G5" s="20" t="n"/>
      <c r="H5" s="20" t="n"/>
      <c r="I5" s="20" t="n"/>
      <c r="J5" s="20" t="n"/>
      <c r="K5" s="20" t="n"/>
      <c r="L5" s="20" t="n"/>
      <c r="M5" s="20" t="n"/>
      <c r="N5" s="242" t="n"/>
      <c r="O5" s="54" t="n"/>
    </row>
    <row r="6" ht="16.5" customHeight="1" s="726">
      <c r="A6" s="341" t="n"/>
      <c r="B6" s="185" t="inlineStr">
        <is>
          <t>重大的其他货币资金项目（如，微信支付余额、存出投资款余额等）</t>
        </is>
      </c>
      <c r="C6" s="185" t="n"/>
      <c r="D6" s="185" t="n"/>
      <c r="E6" s="185" t="n"/>
      <c r="F6" s="185" t="n"/>
      <c r="G6" s="185" t="n"/>
      <c r="H6" s="185" t="n"/>
      <c r="I6" s="185" t="n"/>
      <c r="J6" s="185" t="n"/>
      <c r="K6" s="185" t="n"/>
      <c r="L6" s="185" t="n"/>
      <c r="M6" s="284" t="n"/>
      <c r="N6" s="328" t="n"/>
      <c r="O6" s="54" t="n"/>
    </row>
    <row r="7" outlineLevel="1" s="726">
      <c r="A7" s="341" t="n"/>
      <c r="B7" s="342" t="n"/>
      <c r="C7" s="342" t="n"/>
      <c r="D7" s="342" t="n"/>
      <c r="E7" s="342" t="n"/>
      <c r="F7" s="342" t="n"/>
      <c r="G7" s="342" t="n"/>
      <c r="H7" s="342" t="n"/>
      <c r="I7" s="342" t="n"/>
      <c r="J7" s="342" t="n"/>
      <c r="K7" s="342" t="n"/>
      <c r="L7" s="342" t="n"/>
      <c r="M7" s="342" t="n"/>
      <c r="N7" s="328" t="n"/>
      <c r="O7" s="54" t="n"/>
    </row>
    <row r="8" outlineLevel="1" s="726">
      <c r="A8" s="341" t="n"/>
      <c r="B8" s="499" t="inlineStr">
        <is>
          <t>|---------------------------------------------------------------------------------------------------------------------------------------C.00 BKD-------------------------------------------------------------------------------------------------------------------|</t>
        </is>
      </c>
      <c r="C8" s="20" t="n"/>
      <c r="D8" s="20" t="n"/>
      <c r="E8" s="20" t="n"/>
      <c r="F8" s="20" t="n"/>
      <c r="G8" s="20" t="n"/>
      <c r="H8" s="20" t="n"/>
      <c r="I8" s="20" t="n"/>
      <c r="J8" s="20" t="n"/>
      <c r="M8" s="20" t="n"/>
      <c r="N8" s="242" t="n"/>
      <c r="O8" s="54" t="n"/>
    </row>
    <row r="9" outlineLevel="1" ht="62.25" customHeight="1" s="726">
      <c r="A9" s="341" t="n"/>
      <c r="B9" s="347" t="inlineStr">
        <is>
          <t>公司名称</t>
        </is>
      </c>
      <c r="C9" s="347" t="inlineStr">
        <is>
          <t>科目名称</t>
        </is>
      </c>
      <c r="D9" s="347" t="inlineStr">
        <is>
          <t>银行/存款机构名称</t>
        </is>
      </c>
      <c r="E9" s="347" t="inlineStr">
        <is>
          <t>账号</t>
        </is>
      </c>
      <c r="F9" s="347" t="inlineStr">
        <is>
          <t>币种</t>
        </is>
      </c>
      <c r="G9" s="347" t="inlineStr">
        <is>
          <t>期末账面金额
（原币）
A</t>
        </is>
      </c>
      <c r="H9" s="347" t="inlineStr">
        <is>
          <t>期末账面金额
（本币）</t>
        </is>
      </c>
      <c r="I9" s="500" t="inlineStr">
        <is>
          <t>对账单/资产证明书金额
（本币）
B</t>
        </is>
      </c>
      <c r="J9" s="500" t="inlineStr">
        <is>
          <t>账面金额与银行账户余额差异
C=B-A</t>
        </is>
      </c>
      <c r="K9" s="349" t="inlineStr">
        <is>
          <t>账户类型、性质和用途</t>
        </is>
      </c>
      <c r="L9" s="270" t="inlineStr">
        <is>
          <t>本期末实际受限金额
（本币）</t>
        </is>
      </c>
      <c r="M9" s="493" t="inlineStr">
        <is>
          <t>记录受限原因、确认受限情形进行了适当的分类和披露；记录我们的补充工作以及支持性文件索引1</t>
        </is>
      </c>
      <c r="N9" s="329" t="n"/>
      <c r="O9" s="54" t="n"/>
    </row>
    <row r="10" outlineLevel="1" customFormat="1" s="92">
      <c r="A10" s="501" t="n"/>
      <c r="B10" s="487" t="n"/>
      <c r="C10" s="487" t="n"/>
      <c r="D10" s="488" t="n"/>
      <c r="E10" s="492" t="n"/>
      <c r="F10" s="488" t="n"/>
      <c r="G10" s="834" t="n"/>
      <c r="H10" s="835" t="n"/>
      <c r="I10" s="834" t="n"/>
      <c r="J10" s="834">
        <f>I10-G10</f>
        <v/>
      </c>
      <c r="K10" s="487" t="n"/>
      <c r="L10" s="836" t="n"/>
      <c r="M10" s="351" t="n"/>
      <c r="N10" s="330" t="n"/>
      <c r="O10" s="97" t="n"/>
    </row>
    <row r="11" outlineLevel="1" customFormat="1" s="92">
      <c r="A11" s="501" t="n"/>
      <c r="B11" s="487" t="n"/>
      <c r="C11" s="487" t="n"/>
      <c r="D11" s="488" t="n"/>
      <c r="E11" s="492" t="n"/>
      <c r="F11" s="488" t="n"/>
      <c r="G11" s="834" t="n"/>
      <c r="H11" s="835" t="n"/>
      <c r="I11" s="834" t="n"/>
      <c r="J11" s="834">
        <f>I11-G11</f>
        <v/>
      </c>
      <c r="K11" s="487" t="n"/>
      <c r="L11" s="836" t="n"/>
      <c r="M11" s="351" t="n"/>
      <c r="N11" s="330" t="n"/>
      <c r="O11" s="97" t="n"/>
    </row>
    <row r="12" outlineLevel="1" customFormat="1" s="92">
      <c r="A12" s="501" t="n"/>
      <c r="B12" s="487" t="n"/>
      <c r="C12" s="487" t="n"/>
      <c r="D12" s="488" t="n"/>
      <c r="E12" s="492" t="n"/>
      <c r="F12" s="488" t="n"/>
      <c r="G12" s="834" t="n"/>
      <c r="H12" s="835" t="n"/>
      <c r="I12" s="834" t="n"/>
      <c r="J12" s="834">
        <f>I12-G12</f>
        <v/>
      </c>
      <c r="K12" s="487" t="n"/>
      <c r="L12" s="836" t="n"/>
      <c r="M12" s="351" t="n"/>
      <c r="N12" s="330" t="n"/>
      <c r="O12" s="97" t="n"/>
    </row>
    <row r="13" outlineLevel="1" s="726">
      <c r="A13" s="341" t="n"/>
      <c r="B13" s="49" t="n"/>
      <c r="C13" s="20" t="n"/>
      <c r="D13" s="20" t="n"/>
      <c r="E13" s="20" t="n"/>
      <c r="F13" s="20" t="n"/>
      <c r="G13" s="20" t="n"/>
      <c r="H13" s="20" t="n"/>
      <c r="I13" s="20" t="n"/>
      <c r="J13" s="20" t="n"/>
      <c r="K13" s="20" t="n"/>
      <c r="L13" s="20" t="n"/>
      <c r="M13" s="20" t="n"/>
      <c r="N13" s="242" t="n"/>
      <c r="O13" s="54" t="n"/>
    </row>
    <row r="14" outlineLevel="1" ht="17.25" customHeight="1" s="726" thickBot="1">
      <c r="A14" s="341" t="n"/>
      <c r="B14" s="49" t="n"/>
      <c r="C14" s="20" t="n"/>
      <c r="D14" s="20" t="n"/>
      <c r="E14" s="20" t="n"/>
      <c r="G14" s="262" t="inlineStr">
        <is>
          <t>合计</t>
        </is>
      </c>
      <c r="H14" s="832">
        <f>SUM(H9:H12)</f>
        <v/>
      </c>
      <c r="I14" s="20" t="n"/>
      <c r="J14" s="20" t="n"/>
      <c r="K14" s="20" t="n"/>
      <c r="L14" s="832">
        <f>SUM(L9:L12)</f>
        <v/>
      </c>
      <c r="M14" s="20" t="n"/>
      <c r="N14" s="242" t="n"/>
      <c r="O14" s="54" t="n"/>
    </row>
    <row r="15" outlineLevel="1" ht="13.5" customHeight="1" s="726" thickTop="1">
      <c r="A15" s="341" t="n"/>
      <c r="B15" s="49" t="n"/>
      <c r="C15" s="20" t="n"/>
      <c r="D15" s="20" t="n"/>
      <c r="E15" s="20" t="n"/>
      <c r="G15" s="261" t="n"/>
      <c r="H15" s="797" t="inlineStr">
        <is>
          <t>RX</t>
        </is>
      </c>
      <c r="I15" s="20" t="n"/>
      <c r="J15" s="20" t="n"/>
      <c r="K15" s="20" t="n"/>
      <c r="L15" s="797" t="inlineStr">
        <is>
          <t>RX</t>
        </is>
      </c>
      <c r="M15" s="20" t="n"/>
      <c r="N15" s="242" t="n"/>
      <c r="O15" s="54" t="n"/>
    </row>
    <row r="16" outlineLevel="1" ht="16.5" customHeight="1" s="726">
      <c r="A16" s="341" t="n"/>
      <c r="B16" s="497" t="inlineStr">
        <is>
          <t>1.可能有助于我们进行确认受限情形的程序包括：询问管理层；了解每个账户的性质和用途；审阅董事会、股东会和委员会会议记录；以及审查重大合同/协议等程序。</t>
        </is>
      </c>
      <c r="C16" s="20" t="n"/>
      <c r="D16" s="20" t="n"/>
      <c r="E16" s="20" t="n"/>
      <c r="G16" s="261" t="n"/>
      <c r="H16" s="797" t="n"/>
      <c r="I16" s="20" t="n"/>
      <c r="J16" s="20" t="n"/>
      <c r="K16" s="20" t="n"/>
      <c r="L16" s="797" t="n"/>
      <c r="M16" s="20" t="n"/>
      <c r="N16" s="242" t="n"/>
      <c r="O16" s="54" t="n"/>
    </row>
    <row r="17" outlineLevel="1" s="726">
      <c r="A17" s="341" t="n"/>
      <c r="B17" s="49" t="n"/>
      <c r="C17" s="20" t="n"/>
      <c r="D17" s="20" t="n"/>
      <c r="E17" s="20" t="n"/>
      <c r="F17" s="20" t="n"/>
      <c r="G17" s="20" t="n"/>
      <c r="H17" s="20" t="n"/>
      <c r="I17" s="20" t="n"/>
      <c r="J17" s="20" t="n"/>
      <c r="K17" s="20" t="n"/>
      <c r="L17" s="20" t="n"/>
      <c r="M17" s="20" t="n"/>
      <c r="N17" s="242" t="n"/>
      <c r="O17" s="54" t="n"/>
    </row>
    <row r="18" outlineLevel="1" ht="16.5" customHeight="1" s="726">
      <c r="A18" s="341" t="n"/>
      <c r="B18" s="42" t="inlineStr">
        <is>
          <t>记录识别的异常的详细信息以及如何解决这些异常，包括执行的额外实质性程序（指引:包括充分的描述，以使经验丰富目之前与审计没有关联的审计师能够了解执行的程序）</t>
        </is>
      </c>
      <c r="G18" s="20" t="n"/>
      <c r="H18" s="20" t="n"/>
      <c r="I18" s="20" t="n"/>
      <c r="J18" s="20" t="n"/>
      <c r="K18" s="20" t="n"/>
      <c r="L18" s="20" t="n"/>
      <c r="M18" s="20" t="n"/>
      <c r="N18" s="242" t="n"/>
      <c r="O18" s="54" t="n"/>
    </row>
    <row r="19" outlineLevel="1" s="726">
      <c r="A19" s="341" t="n"/>
      <c r="B19" s="837" t="n"/>
      <c r="C19" s="731" t="n"/>
      <c r="D19" s="731" t="n"/>
      <c r="E19" s="731" t="n"/>
      <c r="F19" s="732" t="n"/>
      <c r="G19" s="20" t="n"/>
      <c r="H19" s="20" t="n"/>
      <c r="I19" s="20" t="n"/>
      <c r="J19" s="20" t="n"/>
      <c r="K19" s="20" t="n"/>
      <c r="L19" s="20" t="n"/>
      <c r="M19" s="20" t="n"/>
      <c r="N19" s="242" t="n"/>
      <c r="O19" s="54" t="n"/>
    </row>
    <row r="20" outlineLevel="1" s="726">
      <c r="A20" s="341" t="n"/>
      <c r="B20" s="769" t="n"/>
      <c r="F20" s="770" t="n"/>
      <c r="G20" s="20" t="n"/>
      <c r="H20" s="20" t="n"/>
      <c r="I20" s="20" t="n"/>
      <c r="J20" s="20" t="n"/>
      <c r="K20" s="20" t="n"/>
      <c r="L20" s="20" t="n"/>
      <c r="M20" s="20" t="n"/>
      <c r="N20" s="242" t="n"/>
      <c r="O20" s="54" t="n"/>
    </row>
    <row r="21" outlineLevel="1" s="726">
      <c r="A21" s="341" t="n"/>
      <c r="B21" s="769" t="n"/>
      <c r="F21" s="770" t="n"/>
      <c r="G21" s="20" t="n"/>
      <c r="H21" s="20" t="n"/>
      <c r="I21" s="20" t="n"/>
      <c r="J21" s="20" t="n"/>
      <c r="K21" s="20" t="n"/>
      <c r="L21" s="20" t="n"/>
      <c r="M21" s="20" t="n"/>
      <c r="N21" s="242" t="n"/>
      <c r="O21" s="54" t="n"/>
    </row>
    <row r="22" outlineLevel="1" s="726">
      <c r="A22" s="341" t="n"/>
      <c r="B22" s="734" t="n"/>
      <c r="C22" s="735" t="n"/>
      <c r="D22" s="735" t="n"/>
      <c r="E22" s="735" t="n"/>
      <c r="F22" s="736" t="n"/>
      <c r="G22" s="20" t="n"/>
      <c r="H22" s="20" t="n"/>
      <c r="I22" s="20" t="n"/>
      <c r="J22" s="20" t="n"/>
      <c r="K22" s="20" t="n"/>
      <c r="L22" s="20" t="n"/>
      <c r="M22" s="20" t="n"/>
      <c r="N22" s="242" t="n"/>
      <c r="O22" s="54" t="n"/>
    </row>
    <row r="23" outlineLevel="1" s="726">
      <c r="A23" s="341" t="n"/>
      <c r="B23" s="49" t="n"/>
      <c r="C23" s="20" t="n"/>
      <c r="D23" s="20" t="n"/>
      <c r="E23" s="20" t="n"/>
      <c r="F23" s="20" t="n"/>
      <c r="G23" s="20" t="n"/>
      <c r="H23" s="20" t="n"/>
      <c r="I23" s="20" t="n"/>
      <c r="J23" s="20" t="n"/>
      <c r="K23" s="20" t="n"/>
      <c r="L23" s="20" t="n"/>
      <c r="M23" s="20" t="n"/>
      <c r="N23" s="242" t="n"/>
      <c r="O23" s="54" t="n"/>
    </row>
    <row r="24" ht="15" customHeight="1" s="726">
      <c r="A24" s="42" t="n"/>
      <c r="B24" s="185" t="inlineStr">
        <is>
          <t>测试资金池账户</t>
        </is>
      </c>
      <c r="C24" s="185" t="n"/>
      <c r="D24" s="185" t="n"/>
      <c r="E24" s="185" t="n"/>
      <c r="F24" s="185" t="n"/>
      <c r="G24" s="185" t="n"/>
      <c r="H24" s="185" t="n"/>
      <c r="I24" s="185" t="n"/>
      <c r="J24" s="185" t="n"/>
      <c r="K24" s="185" t="n"/>
      <c r="L24" s="314" t="n"/>
      <c r="M24" s="314" t="n"/>
      <c r="N24" s="331" t="n"/>
      <c r="O24" s="54" t="n"/>
    </row>
    <row r="25" outlineLevel="1" customFormat="1" s="45">
      <c r="A25" s="50" t="n"/>
      <c r="K25" s="20" t="n"/>
      <c r="L25" s="146" t="n"/>
      <c r="M25" s="146" t="n"/>
      <c r="N25" s="331" t="n"/>
      <c r="O25" s="55" t="n"/>
    </row>
    <row r="26" outlineLevel="1" ht="16.5" customFormat="1" customHeight="1" s="45">
      <c r="A26" s="50" t="n"/>
      <c r="B26" s="232" t="inlineStr">
        <is>
          <t>安永属性测试说明:</t>
        </is>
      </c>
      <c r="C26" s="162" t="n"/>
      <c r="D26" s="162" t="n"/>
      <c r="E26" s="163" t="n"/>
      <c r="F26" s="163" t="n"/>
      <c r="G26" s="163" t="n"/>
      <c r="H26" s="163" t="n"/>
      <c r="I26" s="163" t="n"/>
      <c r="J26" s="163" t="n"/>
      <c r="K26" s="164" t="n"/>
      <c r="L26" s="146" t="n"/>
      <c r="M26" s="146" t="n"/>
      <c r="N26" s="331" t="n"/>
      <c r="O26" s="55" t="n"/>
    </row>
    <row r="27" outlineLevel="1" ht="33.75" customFormat="1" customHeight="1" s="45">
      <c r="A27" s="50" t="n"/>
      <c r="B27" s="838" t="inlineStr">
        <is>
          <t>1)选取所有存在资金池业务的账户，评估并确认被审计单位加入资金池业务的合理性、合规性；
2)若被审计单位单独核算资金池业务，已核对回函金额与其他应收款/其他应付款等往来科目记录一致；若被审计单位不单独核算资金池业务，已与交易对手方函证/对账确认往来余额正确。</t>
        </is>
      </c>
      <c r="C27" s="776" t="n"/>
      <c r="D27" s="776" t="n"/>
      <c r="E27" s="776" t="n"/>
      <c r="F27" s="776" t="n"/>
      <c r="G27" s="776" t="n"/>
      <c r="H27" s="776" t="n"/>
      <c r="I27" s="776" t="n"/>
      <c r="J27" s="776" t="n"/>
      <c r="K27" s="777" t="n"/>
      <c r="L27" s="146" t="n"/>
      <c r="M27" s="146" t="n"/>
      <c r="N27" s="331" t="n"/>
      <c r="O27" s="55" t="n"/>
    </row>
    <row r="28" outlineLevel="1" s="726">
      <c r="B28" s="20" t="n"/>
      <c r="C28" s="20" t="n"/>
      <c r="D28" s="20" t="n"/>
      <c r="E28" s="20" t="n"/>
      <c r="F28" s="20" t="n"/>
      <c r="G28" s="20" t="n"/>
      <c r="H28" s="45" t="n"/>
      <c r="I28" s="45" t="n"/>
      <c r="J28" s="45" t="n"/>
      <c r="K28" s="45" t="n"/>
      <c r="L28" s="146" t="n"/>
      <c r="M28" s="146" t="n"/>
      <c r="N28" s="331" t="n"/>
      <c r="O28" s="54" t="n"/>
    </row>
    <row r="29" outlineLevel="1" ht="16.5" customHeight="1" s="726">
      <c r="B29" s="51" t="inlineStr">
        <is>
          <t>表1 对资产负债表日存在资金池业务的账户进行函证。</t>
        </is>
      </c>
      <c r="C29" s="20" t="n"/>
      <c r="D29" s="20" t="n"/>
      <c r="E29" s="20" t="n"/>
      <c r="G29" s="45" t="n"/>
      <c r="H29" s="45" t="n"/>
      <c r="L29" s="146" t="n"/>
      <c r="M29" s="146" t="n"/>
      <c r="N29" s="331" t="n"/>
      <c r="O29" s="54" t="n"/>
    </row>
    <row r="30" outlineLevel="1" ht="16.5" customHeight="1" s="726">
      <c r="B30" s="18" t="inlineStr">
        <is>
          <t>|---------------------------------------------------------------------------------------函证控制表------------------------------------------------------------------------------------------------|</t>
        </is>
      </c>
      <c r="C30" s="52" t="n"/>
      <c r="D30" s="52" t="n"/>
      <c r="E30" s="52" t="n"/>
      <c r="F30" s="52" t="n"/>
      <c r="H30" s="45" t="n"/>
      <c r="J30" s="506" t="inlineStr">
        <is>
          <t>EY Works</t>
        </is>
      </c>
      <c r="K30" s="161" t="n"/>
      <c r="N30" s="61" t="n"/>
      <c r="O30" s="54" t="n"/>
    </row>
    <row r="31" outlineLevel="1" ht="49.5" customHeight="1" s="726">
      <c r="B31" s="158" t="inlineStr">
        <is>
          <t>资金提供机构名称</t>
        </is>
      </c>
      <c r="C31" s="159" t="inlineStr">
        <is>
          <t>资金提供机构账号</t>
        </is>
      </c>
      <c r="D31" s="159" t="inlineStr">
        <is>
          <t>资金使用机构名称</t>
        </is>
      </c>
      <c r="E31" s="258" t="inlineStr">
        <is>
          <t>资金使用机构账号</t>
        </is>
      </c>
      <c r="F31" s="369" t="inlineStr">
        <is>
          <t>币种</t>
        </is>
      </c>
      <c r="G31" s="369" t="inlineStr">
        <is>
          <t>拨入或拨出资金余额（拨出填列正数，拨入填列负数）</t>
        </is>
      </c>
      <c r="H31" s="159" t="inlineStr">
        <is>
          <t>函证编号</t>
        </is>
      </c>
      <c r="I31" s="505" t="inlineStr">
        <is>
          <t>资金池协议索引
（如需）</t>
        </is>
      </c>
      <c r="J31" s="160" t="n">
        <v>1</v>
      </c>
      <c r="K31" s="160" t="n">
        <v>2</v>
      </c>
      <c r="N31" s="61" t="n"/>
      <c r="O31" s="54" t="n"/>
    </row>
    <row r="32" outlineLevel="1" s="726">
      <c r="B32" s="383" t="n"/>
      <c r="C32" s="502" t="n"/>
      <c r="D32" s="384" t="n"/>
      <c r="E32" s="503" t="n"/>
      <c r="F32" s="386" t="n"/>
      <c r="G32" s="839" t="n"/>
      <c r="H32" s="386" t="n"/>
      <c r="I32" s="337" t="n"/>
      <c r="J32" s="389" t="n"/>
      <c r="K32" s="389" t="n"/>
      <c r="N32" s="61" t="n"/>
      <c r="O32" s="54" t="n"/>
    </row>
    <row r="33" outlineLevel="1" s="726">
      <c r="B33" s="383" t="n"/>
      <c r="C33" s="502" t="n"/>
      <c r="D33" s="384" t="n"/>
      <c r="E33" s="503" t="n"/>
      <c r="F33" s="385" t="n"/>
      <c r="G33" s="839" t="n"/>
      <c r="H33" s="385" t="n"/>
      <c r="I33" s="338" t="n"/>
      <c r="J33" s="389" t="n"/>
      <c r="K33" s="389" t="n"/>
      <c r="N33" s="61" t="n"/>
      <c r="O33" s="54" t="n"/>
    </row>
    <row r="34" outlineLevel="1" s="726">
      <c r="B34" s="383" t="n"/>
      <c r="C34" s="502" t="n"/>
      <c r="D34" s="384" t="n"/>
      <c r="E34" s="503" t="n"/>
      <c r="F34" s="385" t="n"/>
      <c r="G34" s="839" t="n"/>
      <c r="H34" s="385" t="n"/>
      <c r="I34" s="338" t="n"/>
      <c r="J34" s="389" t="n"/>
      <c r="K34" s="389" t="n"/>
      <c r="N34" s="61" t="n"/>
      <c r="O34" s="54" t="n"/>
    </row>
    <row r="35" outlineLevel="1" s="726">
      <c r="B35" s="45" t="n"/>
      <c r="C35" s="20" t="n"/>
      <c r="D35" s="20" t="n"/>
      <c r="E35" s="20" t="n"/>
      <c r="F35" s="20" t="n"/>
      <c r="G35" s="45" t="n"/>
      <c r="N35" s="61" t="n"/>
      <c r="O35" s="54" t="n"/>
    </row>
    <row r="36" outlineLevel="1" ht="16.5" customHeight="1" s="726">
      <c r="B36" s="42" t="inlineStr">
        <is>
          <t>记录识别的异常的详细信息以及如何解决这些异常，包括执行的额外实质性程序（指引:包括充分的描述，以使经验丰富目之前与审计没有关联的审计师能够了解执行的程序）</t>
        </is>
      </c>
      <c r="N36" s="61" t="n"/>
      <c r="O36" s="54" t="n"/>
    </row>
    <row r="37" outlineLevel="1" s="726">
      <c r="B37" s="837" t="n"/>
      <c r="C37" s="731" t="n"/>
      <c r="D37" s="731" t="n"/>
      <c r="E37" s="731" t="n"/>
      <c r="F37" s="732" t="n"/>
      <c r="H37" s="146" t="n"/>
      <c r="I37" s="146" t="n"/>
      <c r="N37" s="61" t="n"/>
      <c r="O37" s="54" t="n"/>
    </row>
    <row r="38" outlineLevel="1" ht="14.25" customHeight="1" s="726">
      <c r="B38" s="769" t="n"/>
      <c r="F38" s="770" t="n"/>
      <c r="H38" s="146" t="n"/>
      <c r="I38" s="146" t="n"/>
      <c r="N38" s="61" t="n"/>
      <c r="O38" s="54" t="n"/>
    </row>
    <row r="39" outlineLevel="1" ht="14.25" customHeight="1" s="726">
      <c r="B39" s="769" t="n"/>
      <c r="F39" s="770" t="n"/>
      <c r="H39" s="146" t="n"/>
      <c r="I39" s="146" t="n"/>
      <c r="J39" s="146" t="n"/>
      <c r="K39" s="146" t="n"/>
      <c r="L39" s="146" t="n"/>
      <c r="M39" s="146" t="n"/>
      <c r="N39" s="331" t="n"/>
      <c r="O39" s="54" t="n"/>
    </row>
    <row r="40" outlineLevel="1" ht="14.25" customHeight="1" s="726">
      <c r="B40" s="734" t="n"/>
      <c r="C40" s="735" t="n"/>
      <c r="D40" s="735" t="n"/>
      <c r="E40" s="735" t="n"/>
      <c r="F40" s="736" t="n"/>
      <c r="H40" s="146" t="n"/>
      <c r="I40" s="146" t="n"/>
      <c r="J40" s="146" t="n"/>
      <c r="K40" s="146" t="n"/>
      <c r="L40" s="146" t="n"/>
      <c r="M40" s="146" t="n"/>
      <c r="N40" s="331" t="n"/>
      <c r="O40" s="54" t="n"/>
    </row>
    <row r="41" ht="15" customHeight="1" s="726">
      <c r="B41" s="146" t="n"/>
      <c r="C41" s="146" t="n"/>
      <c r="D41" s="146" t="n"/>
      <c r="E41" s="146" t="n"/>
      <c r="F41" s="146" t="n"/>
      <c r="H41" s="146" t="n"/>
      <c r="I41" s="146" t="n"/>
      <c r="J41" s="146" t="n"/>
      <c r="K41" s="146" t="n"/>
      <c r="L41" s="146" t="n"/>
      <c r="M41" s="146" t="n"/>
      <c r="N41" s="331" t="n"/>
      <c r="O41" s="54" t="n"/>
    </row>
    <row r="42" ht="7.5" customHeight="1" s="726">
      <c r="A42" s="53" t="n"/>
      <c r="B42" s="54" t="n"/>
      <c r="C42" s="54" t="n"/>
      <c r="D42" s="54" t="n"/>
      <c r="E42" s="54" t="n"/>
      <c r="F42" s="54" t="n"/>
      <c r="G42" s="54" t="n"/>
      <c r="H42" s="54" t="n"/>
      <c r="I42" s="54" t="n"/>
      <c r="J42" s="54" t="n"/>
      <c r="K42" s="54" t="n"/>
      <c r="L42" s="54" t="n"/>
      <c r="M42" s="54" t="n"/>
      <c r="N42" s="54" t="n"/>
      <c r="O42" s="54" t="n"/>
    </row>
    <row r="43" ht="10.5" customHeight="1" s="726"/>
    <row r="44" ht="10.5" customHeight="1" s="726"/>
    <row r="45" ht="10.5" customHeight="1" s="726"/>
  </sheetData>
  <mergeCells count="3">
    <mergeCell ref="B37:F40"/>
    <mergeCell ref="B27:K27"/>
    <mergeCell ref="B19:F22"/>
  </mergeCells>
  <conditionalFormatting sqref="B19">
    <cfRule type="containsBlanks" priority="8" dxfId="11">
      <formula>LEN(TRIM(B19))=0</formula>
    </cfRule>
  </conditionalFormatting>
  <conditionalFormatting sqref="B37">
    <cfRule type="containsBlanks" priority="5" dxfId="11">
      <formula>LEN(TRIM(B37))=0</formula>
    </cfRule>
  </conditionalFormatting>
  <conditionalFormatting sqref="B32:H34">
    <cfRule type="containsBlanks" priority="1" dxfId="0">
      <formula>LEN(TRIM(B32))=0</formula>
    </cfRule>
  </conditionalFormatting>
  <conditionalFormatting sqref="B10:L12">
    <cfRule type="containsBlanks" priority="7" dxfId="0">
      <formula>LEN(TRIM(B10))=0</formula>
    </cfRule>
  </conditionalFormatting>
  <conditionalFormatting sqref="J32:K34">
    <cfRule type="containsBlanks" priority="2" dxfId="0">
      <formula>LEN(TRIM(J32))=0</formula>
    </cfRule>
  </conditionalFormatting>
  <dataValidations count="1">
    <dataValidation sqref="J32:K34"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N49"/>
  <sheetViews>
    <sheetView showGridLines="0" zoomScale="70" zoomScaleNormal="70" workbookViewId="0">
      <selection activeCell="Q38" sqref="Q38"/>
    </sheetView>
  </sheetViews>
  <sheetFormatPr baseColWidth="8" defaultColWidth="9.125" defaultRowHeight="12.75" outlineLevelRow="1"/>
  <cols>
    <col width="2.625" customWidth="1" style="47" min="1" max="1"/>
    <col width="21" customWidth="1" style="42" min="2" max="2"/>
    <col width="17" customWidth="1" style="42" min="3" max="12"/>
    <col width="2.625" customWidth="1" style="42" min="13" max="13"/>
    <col width="1.625" customWidth="1" style="42" min="14" max="14"/>
    <col width="9.125" customWidth="1" style="42" min="15" max="16384"/>
  </cols>
  <sheetData>
    <row r="1" ht="50.1" customFormat="1" customHeight="1" s="1">
      <c r="A1" s="243" t="inlineStr">
        <is>
          <t>8e07df5e-dbe6-449f-8e52-2e5f2b8a51ff</t>
        </is>
      </c>
      <c r="B1" s="233" t="inlineStr">
        <is>
          <t>标准工作底稿: C SWP 货币资金</t>
        </is>
      </c>
      <c r="C1" s="48" t="n"/>
      <c r="D1" s="48" t="n"/>
      <c r="E1" s="4" t="n"/>
      <c r="F1" s="5" t="n"/>
      <c r="G1" s="5" t="n"/>
      <c r="H1" s="5" t="n"/>
      <c r="I1" s="5" t="n"/>
      <c r="J1" s="5" t="n"/>
      <c r="K1" s="21" t="n"/>
      <c r="L1" s="21" t="n"/>
      <c r="M1" s="42" t="n"/>
      <c r="N1" s="40" t="n"/>
    </row>
    <row r="2" ht="30" customFormat="1" customHeight="1" s="1">
      <c r="A2" s="6" t="n"/>
      <c r="B2" s="228" t="inlineStr">
        <is>
          <t>C.00b Other classification</t>
        </is>
      </c>
      <c r="C2" s="7" t="n"/>
      <c r="D2" s="7" t="n"/>
      <c r="E2" s="7" t="n"/>
      <c r="F2" s="7" t="n"/>
      <c r="G2" s="7" t="n"/>
      <c r="H2" s="7" t="n"/>
      <c r="I2" s="7" t="n"/>
      <c r="J2" s="7" t="n"/>
      <c r="K2" s="7" t="n"/>
      <c r="L2" s="22" t="n"/>
      <c r="M2" s="42" t="n"/>
      <c r="N2" s="40" t="n"/>
    </row>
    <row r="3">
      <c r="A3" s="341" t="n"/>
      <c r="B3" s="49" t="n"/>
      <c r="C3" s="20" t="n"/>
      <c r="D3" s="20" t="n"/>
      <c r="E3" s="20" t="n"/>
      <c r="F3" s="20" t="n"/>
      <c r="G3" s="20" t="n"/>
      <c r="H3" s="20" t="n"/>
      <c r="I3" s="20" t="n"/>
      <c r="J3" s="20" t="n"/>
      <c r="K3" s="20" t="n"/>
      <c r="L3" s="20" t="n"/>
      <c r="N3" s="54" t="n"/>
    </row>
    <row r="4" ht="16.5" customHeight="1" s="726">
      <c r="A4" s="341" t="n"/>
      <c r="B4" s="147" t="inlineStr">
        <is>
          <t>返回汇总页</t>
        </is>
      </c>
      <c r="C4" s="20" t="n"/>
      <c r="D4" s="20" t="n"/>
      <c r="E4" s="20" t="n"/>
      <c r="F4" s="20" t="n"/>
      <c r="G4" s="20" t="n"/>
      <c r="H4" s="20" t="n"/>
      <c r="I4" s="20" t="n"/>
      <c r="J4" s="20" t="n"/>
      <c r="K4" s="20" t="n"/>
      <c r="L4" s="20" t="n"/>
      <c r="N4" s="54" t="n"/>
    </row>
    <row r="5">
      <c r="A5" s="341" t="n"/>
      <c r="B5" s="20" t="n"/>
      <c r="C5" s="20" t="n"/>
      <c r="D5" s="20" t="n"/>
      <c r="E5" s="20" t="n"/>
      <c r="F5" s="20" t="n"/>
      <c r="G5" s="20" t="n"/>
      <c r="H5" s="20" t="n"/>
      <c r="I5" s="20" t="n"/>
      <c r="J5" s="20" t="n"/>
      <c r="K5" s="20" t="n"/>
      <c r="L5" s="20" t="n"/>
      <c r="N5" s="54" t="n"/>
    </row>
    <row r="6" ht="16.5" customHeight="1" s="726">
      <c r="A6" s="341" t="n"/>
      <c r="B6" s="452" t="inlineStr">
        <is>
          <t>测试使用权受到限制的货币资金</t>
        </is>
      </c>
      <c r="C6" s="284" t="n"/>
      <c r="D6" s="284" t="n"/>
      <c r="E6" s="284" t="n"/>
      <c r="F6" s="284" t="n"/>
      <c r="G6" s="284" t="n"/>
      <c r="H6" s="284" t="n"/>
      <c r="I6" s="284" t="n"/>
      <c r="J6" s="284" t="n"/>
      <c r="K6" s="284" t="n"/>
      <c r="L6" s="451" t="n"/>
      <c r="N6" s="54" t="n"/>
    </row>
    <row r="7" outlineLevel="1" ht="16.5" customHeight="1" s="726">
      <c r="A7" s="341" t="n"/>
      <c r="B7" s="499" t="inlineStr">
        <is>
          <t>已经在C.01 Confirmations 、C.01b 特殊账户程序中执行工作的项目，无需重复执行本测试</t>
        </is>
      </c>
      <c r="C7" s="49" t="n"/>
      <c r="D7" s="49" t="n"/>
      <c r="E7" s="49" t="n"/>
      <c r="F7" s="49" t="n"/>
      <c r="G7" s="49" t="n"/>
      <c r="H7" s="49" t="n"/>
      <c r="I7" s="49" t="n"/>
      <c r="J7" s="49" t="n"/>
      <c r="K7" s="49" t="n"/>
      <c r="L7" s="20" t="n"/>
      <c r="N7" s="54" t="n"/>
    </row>
    <row r="8" outlineLevel="1" s="726">
      <c r="A8" s="341" t="n"/>
      <c r="B8" s="49" t="n"/>
      <c r="C8" s="49" t="n"/>
      <c r="D8" s="49" t="n"/>
      <c r="E8" s="49" t="n"/>
      <c r="F8" s="49" t="n"/>
      <c r="G8" s="49" t="n"/>
      <c r="H8" s="49" t="n"/>
      <c r="I8" s="49" t="n"/>
      <c r="J8" s="49" t="n"/>
      <c r="K8" s="49" t="n"/>
      <c r="L8" s="20" t="n"/>
      <c r="N8" s="54" t="n"/>
    </row>
    <row r="9" outlineLevel="1" ht="21.6" customHeight="1" s="726">
      <c r="A9" s="341" t="n"/>
      <c r="B9" s="251" t="inlineStr">
        <is>
          <t>安永属性测试说明:</t>
        </is>
      </c>
      <c r="C9" s="252" t="n"/>
      <c r="D9" s="252" t="n"/>
      <c r="E9" s="253" t="n"/>
      <c r="F9" s="253" t="n"/>
      <c r="G9" s="253" t="n"/>
      <c r="H9" s="253" t="n"/>
      <c r="I9" s="253" t="n"/>
      <c r="J9" s="253" t="n"/>
      <c r="K9" s="253" t="n"/>
      <c r="L9" s="510" t="n"/>
      <c r="N9" s="54" t="n"/>
    </row>
    <row r="10" outlineLevel="1" ht="19.5" customHeight="1" s="726">
      <c r="A10" s="240" t="n"/>
      <c r="B10" s="447" t="inlineStr">
        <is>
          <t>1)选取期末所有的现金及现金等价物进行测试，评估使用权收到限制的现金及现金等价物是否根据实体的政策和适用的财务报告框架进行了恰当的分类和披露。</t>
        </is>
      </c>
      <c r="C10" s="448" t="n"/>
      <c r="D10" s="448" t="n"/>
      <c r="E10" s="448" t="n"/>
      <c r="F10" s="448" t="n"/>
      <c r="G10" s="448" t="n"/>
      <c r="H10" s="448" t="n"/>
      <c r="I10" s="448" t="n"/>
      <c r="J10" s="449" t="n"/>
      <c r="K10" s="449" t="n"/>
      <c r="L10" s="450" t="n"/>
      <c r="N10" s="54" t="n"/>
    </row>
    <row r="11" outlineLevel="1" s="726">
      <c r="A11" s="240" t="n"/>
      <c r="B11" s="241" t="n"/>
      <c r="C11" s="241" t="n"/>
      <c r="D11" s="241" t="n"/>
      <c r="E11" s="241" t="n"/>
      <c r="F11" s="241" t="n"/>
      <c r="G11" s="241" t="n"/>
      <c r="H11" s="241" t="n"/>
      <c r="I11" s="241" t="n"/>
      <c r="J11" s="241" t="n"/>
      <c r="K11" s="283" t="n"/>
      <c r="L11" s="20" t="n"/>
      <c r="N11" s="54" t="n"/>
    </row>
    <row r="12" outlineLevel="1" ht="15" customHeight="1" s="726">
      <c r="A12" s="240" t="n"/>
      <c r="B12" s="499" t="inlineStr">
        <is>
          <t>|---------------------------------------------------------------------------------------------------------C.00 BKD-------------------------------------------------------------------------------------------|</t>
        </is>
      </c>
      <c r="C12" s="20" t="n"/>
      <c r="D12" s="20" t="n"/>
      <c r="E12" s="20" t="n"/>
      <c r="F12" s="20" t="n"/>
      <c r="G12" s="20" t="n"/>
      <c r="H12" s="20" t="n"/>
      <c r="I12" s="20" t="n"/>
      <c r="J12" s="326" t="n"/>
      <c r="K12" s="507" t="inlineStr">
        <is>
          <t>EY Works</t>
        </is>
      </c>
      <c r="L12" s="20" t="n"/>
      <c r="N12" s="54" t="n"/>
    </row>
    <row r="13" outlineLevel="1" ht="35.65" customHeight="1" s="726">
      <c r="A13" s="240" t="n"/>
      <c r="B13" s="347" t="inlineStr">
        <is>
          <t>公司名称</t>
        </is>
      </c>
      <c r="C13" s="347" t="inlineStr">
        <is>
          <t>科目名称</t>
        </is>
      </c>
      <c r="D13" s="347" t="inlineStr">
        <is>
          <t>银行/存款机构名称</t>
        </is>
      </c>
      <c r="E13" s="347" t="inlineStr">
        <is>
          <t>账号</t>
        </is>
      </c>
      <c r="F13" s="347" t="inlineStr">
        <is>
          <t>币种</t>
        </is>
      </c>
      <c r="G13" s="347" t="inlineStr">
        <is>
          <t>期末账面金额
（原币）</t>
        </is>
      </c>
      <c r="H13" s="347" t="inlineStr">
        <is>
          <t>期末账面金额
（本币）</t>
        </is>
      </c>
      <c r="I13" s="348" t="inlineStr">
        <is>
          <t>货币资金账户的性质和用途</t>
        </is>
      </c>
      <c r="J13" s="365" t="inlineStr">
        <is>
          <t>本期末实际受限金额
（本币）</t>
        </is>
      </c>
      <c r="K13" s="366" t="n">
        <v>1</v>
      </c>
      <c r="L13" s="20" t="n"/>
      <c r="N13" s="54" t="n"/>
    </row>
    <row r="14" outlineLevel="1" s="726">
      <c r="A14" s="240" t="n"/>
      <c r="B14" s="390" t="n"/>
      <c r="C14" s="375" t="n"/>
      <c r="D14" s="350" t="n"/>
      <c r="E14" s="376" t="n"/>
      <c r="F14" s="350" t="n"/>
      <c r="G14" s="840" t="n"/>
      <c r="H14" s="841" t="n"/>
      <c r="I14" s="350" t="n"/>
      <c r="J14" s="842" t="n"/>
      <c r="K14" s="394" t="n"/>
      <c r="L14" s="20" t="n"/>
      <c r="N14" s="54" t="n"/>
    </row>
    <row r="15" outlineLevel="1" s="726">
      <c r="A15" s="240" t="n"/>
      <c r="B15" s="390" t="n"/>
      <c r="C15" s="375" t="n"/>
      <c r="D15" s="350" t="n"/>
      <c r="E15" s="376" t="n"/>
      <c r="F15" s="350" t="n"/>
      <c r="G15" s="840" t="n"/>
      <c r="H15" s="841" t="n"/>
      <c r="I15" s="350" t="n"/>
      <c r="J15" s="842" t="n"/>
      <c r="K15" s="394" t="n"/>
      <c r="L15" s="20" t="n"/>
      <c r="N15" s="54" t="n"/>
    </row>
    <row r="16" outlineLevel="1" s="726">
      <c r="A16" s="240" t="n"/>
      <c r="B16" s="390" t="n"/>
      <c r="C16" s="375" t="n"/>
      <c r="D16" s="350" t="n"/>
      <c r="E16" s="376" t="n"/>
      <c r="F16" s="350" t="n"/>
      <c r="G16" s="840" t="n"/>
      <c r="H16" s="841" t="n"/>
      <c r="I16" s="350" t="n"/>
      <c r="J16" s="842" t="n"/>
      <c r="K16" s="394" t="n"/>
      <c r="L16" s="20" t="n"/>
      <c r="N16" s="54" t="n"/>
    </row>
    <row r="17" outlineLevel="1" s="726">
      <c r="A17" s="240" t="n"/>
      <c r="B17" s="279" t="n"/>
      <c r="C17" s="279" t="n"/>
      <c r="D17" s="280" t="n"/>
      <c r="E17" s="280" t="n"/>
      <c r="F17" s="280" t="n"/>
      <c r="G17" s="843" t="n"/>
      <c r="H17" s="844" t="n"/>
      <c r="I17" s="280" t="n"/>
      <c r="J17" s="280" t="n"/>
      <c r="K17" s="283" t="n"/>
      <c r="L17" s="283" t="n"/>
      <c r="N17" s="54" t="n"/>
    </row>
    <row r="18" outlineLevel="1" ht="17.25" customHeight="1" s="726" thickBot="1">
      <c r="A18" s="240" t="n"/>
      <c r="B18" s="279" t="n"/>
      <c r="C18" s="279" t="n"/>
      <c r="D18" s="280" t="n"/>
      <c r="E18" s="280" t="n"/>
      <c r="F18" s="280" t="n"/>
      <c r="G18" s="262" t="inlineStr">
        <is>
          <t>合计</t>
        </is>
      </c>
      <c r="H18" s="832">
        <f>SUM(H13:H16)</f>
        <v/>
      </c>
      <c r="I18" s="280" t="n"/>
      <c r="J18" s="832">
        <f>SUM(J13:J16)</f>
        <v/>
      </c>
      <c r="K18" s="283" t="n"/>
      <c r="L18" s="283" t="n"/>
      <c r="N18" s="54" t="n"/>
    </row>
    <row r="19" outlineLevel="1" ht="13.5" customHeight="1" s="726" thickTop="1">
      <c r="A19" s="240" t="n"/>
      <c r="B19" s="279" t="n"/>
      <c r="C19" s="279" t="n"/>
      <c r="D19" s="280" t="n"/>
      <c r="E19" s="280" t="n"/>
      <c r="F19" s="280" t="n"/>
      <c r="G19" s="261" t="n"/>
      <c r="H19" s="38" t="inlineStr">
        <is>
          <t>Rx</t>
        </is>
      </c>
      <c r="I19" s="509" t="n"/>
      <c r="J19" s="38" t="inlineStr">
        <is>
          <t>Rx</t>
        </is>
      </c>
      <c r="K19" s="283" t="n"/>
      <c r="L19" s="283" t="n"/>
      <c r="N19" s="54" t="n"/>
    </row>
    <row r="20" outlineLevel="1" s="726">
      <c r="A20" s="240" t="n"/>
      <c r="B20" s="255" t="n"/>
      <c r="C20" s="241" t="n"/>
      <c r="D20" s="241" t="n"/>
      <c r="E20" s="241" t="n"/>
      <c r="F20" s="241" t="n"/>
      <c r="G20" s="241" t="n"/>
      <c r="H20" s="241" t="n"/>
      <c r="I20" s="241" t="n"/>
      <c r="J20" s="20" t="n"/>
      <c r="K20" s="241" t="n"/>
      <c r="L20" s="241" t="n"/>
      <c r="N20" s="54" t="n"/>
    </row>
    <row r="21" outlineLevel="1" ht="16.5" customHeight="1" s="726">
      <c r="A21" s="240" t="n"/>
      <c r="B21" s="42" t="inlineStr">
        <is>
          <t>记录识别的异常的详细信息以及如何解决这些异常，包括执行的额外实质性程序（指引:包括充分的描述，以使经验丰富目之前与审计没有关联的审计师能够了解执行的程序）</t>
        </is>
      </c>
      <c r="I21" s="241" t="n"/>
      <c r="J21" s="241" t="n"/>
      <c r="K21" s="241" t="n"/>
      <c r="L21" s="241" t="n"/>
      <c r="N21" s="54" t="n"/>
    </row>
    <row r="22" outlineLevel="1" s="726">
      <c r="A22" s="240" t="n"/>
      <c r="B22" s="837" t="n"/>
      <c r="C22" s="731" t="n"/>
      <c r="D22" s="731" t="n"/>
      <c r="E22" s="731" t="n"/>
      <c r="F22" s="732" t="n"/>
      <c r="I22" s="242" t="n"/>
      <c r="J22" s="242" t="n"/>
      <c r="K22" s="242" t="n"/>
      <c r="L22" s="242" t="n"/>
      <c r="N22" s="54" t="n"/>
    </row>
    <row r="23" outlineLevel="1" s="726">
      <c r="A23" s="341" t="n"/>
      <c r="B23" s="769" t="n"/>
      <c r="F23" s="770" t="n"/>
      <c r="G23" s="20" t="n"/>
      <c r="H23" s="20" t="n"/>
      <c r="I23" s="20" t="n"/>
      <c r="J23" s="20" t="n"/>
      <c r="K23" s="20" t="n"/>
      <c r="L23" s="20" t="n"/>
      <c r="N23" s="54" t="n"/>
    </row>
    <row r="24" outlineLevel="1" s="726">
      <c r="A24" s="341" t="n"/>
      <c r="B24" s="769" t="n"/>
      <c r="F24" s="770" t="n"/>
      <c r="G24" s="20" t="n"/>
      <c r="H24" s="20" t="n"/>
      <c r="I24" s="20" t="n"/>
      <c r="J24" s="20" t="n"/>
      <c r="K24" s="20" t="n"/>
      <c r="L24" s="20" t="n"/>
      <c r="N24" s="54" t="n"/>
    </row>
    <row r="25" outlineLevel="1" s="726">
      <c r="A25" s="341" t="n"/>
      <c r="B25" s="734" t="n"/>
      <c r="C25" s="735" t="n"/>
      <c r="D25" s="735" t="n"/>
      <c r="E25" s="735" t="n"/>
      <c r="F25" s="736" t="n"/>
      <c r="G25" s="20" t="n"/>
      <c r="H25" s="20" t="n"/>
      <c r="I25" s="20" t="n"/>
      <c r="J25" s="20" t="n"/>
      <c r="K25" s="20" t="n"/>
      <c r="L25" s="20" t="n"/>
      <c r="N25" s="54" t="n"/>
    </row>
    <row r="26">
      <c r="A26" s="341" t="n"/>
      <c r="B26" s="49" t="n"/>
      <c r="C26" s="20" t="n"/>
      <c r="D26" s="20" t="n"/>
      <c r="E26" s="20" t="n"/>
      <c r="F26" s="20" t="n"/>
      <c r="G26" s="20" t="n"/>
      <c r="H26" s="20" t="n"/>
      <c r="I26" s="20" t="n"/>
      <c r="J26" s="20" t="n"/>
      <c r="K26" s="20" t="n"/>
      <c r="L26" s="20" t="n"/>
      <c r="N26" s="54" t="n"/>
    </row>
    <row r="27" ht="16.5" customHeight="1" s="726">
      <c r="A27" s="341" t="n"/>
      <c r="B27" s="452" t="inlineStr">
        <is>
          <t>测试现金等价物的分类是否正确</t>
        </is>
      </c>
      <c r="C27" s="284" t="n"/>
      <c r="D27" s="284" t="n"/>
      <c r="E27" s="284" t="n"/>
      <c r="F27" s="284" t="n"/>
      <c r="G27" s="185" t="n"/>
      <c r="H27" s="185" t="n"/>
      <c r="I27" s="185" t="n"/>
      <c r="J27" s="185" t="n"/>
      <c r="K27" s="185" t="n"/>
      <c r="L27" s="185" t="n"/>
      <c r="N27" s="54" t="n"/>
    </row>
    <row r="28" outlineLevel="1" ht="16.5" customHeight="1" s="726">
      <c r="A28" s="341" t="n"/>
      <c r="B28" s="508" t="inlineStr">
        <is>
          <t>选取本期末全部现金等价物项目进行测试，如，定期存款等。注意，使用权受到限制的货币资金一般不得分类为现金等价物。</t>
        </is>
      </c>
      <c r="C28" s="341" t="n"/>
      <c r="D28" s="341" t="n"/>
      <c r="E28" s="341" t="n"/>
      <c r="F28" s="341" t="n"/>
      <c r="G28" s="341" t="n"/>
      <c r="H28" s="341" t="n"/>
      <c r="I28" s="341" t="n"/>
      <c r="J28" s="341" t="n"/>
      <c r="K28" s="341" t="n"/>
      <c r="L28" s="341" t="n"/>
      <c r="N28" s="54" t="n"/>
    </row>
    <row r="29" outlineLevel="1" s="726">
      <c r="A29" s="341" t="n"/>
      <c r="C29" s="341" t="n"/>
      <c r="D29" s="341" t="n"/>
      <c r="E29" s="341" t="n"/>
      <c r="F29" s="341" t="n"/>
      <c r="G29" s="341" t="n"/>
      <c r="H29" s="341" t="n"/>
      <c r="I29" s="341" t="n"/>
      <c r="J29" s="341" t="n"/>
      <c r="K29" s="341" t="n"/>
      <c r="L29" s="341" t="n"/>
      <c r="N29" s="54" t="n"/>
    </row>
    <row r="30" outlineLevel="1" ht="16.5" customHeight="1" s="726">
      <c r="A30" s="341" t="n"/>
      <c r="B30" s="251" t="inlineStr">
        <is>
          <t>安永属性测试说明:</t>
        </is>
      </c>
      <c r="C30" s="252" t="n"/>
      <c r="D30" s="252" t="n"/>
      <c r="E30" s="253" t="n"/>
      <c r="F30" s="253" t="n"/>
      <c r="G30" s="253" t="n"/>
      <c r="H30" s="253" t="n"/>
      <c r="I30" s="253" t="n"/>
      <c r="J30" s="253" t="n"/>
      <c r="K30" s="253" t="n"/>
      <c r="L30" s="254" t="n"/>
      <c r="N30" s="54" t="n"/>
    </row>
    <row r="31" outlineLevel="1" ht="15" customHeight="1" s="726">
      <c r="A31" s="453" t="n"/>
      <c r="B31" s="454" t="inlineStr">
        <is>
          <t>1)评估被选中的项目，根据实体的政策和适用的财务报告框架，是否应当分类为现金等价物？</t>
        </is>
      </c>
      <c r="C31" s="99" t="n"/>
      <c r="D31" s="99" t="n"/>
      <c r="E31" s="99" t="n"/>
      <c r="F31" s="99" t="n"/>
      <c r="G31" s="99" t="n"/>
      <c r="H31" s="99" t="n"/>
      <c r="I31" s="99" t="n"/>
      <c r="J31" s="99" t="n"/>
      <c r="K31" s="99" t="n"/>
      <c r="L31" s="455" t="n"/>
      <c r="N31" s="54" t="n"/>
    </row>
    <row r="32" outlineLevel="1" ht="14.25" customHeight="1" s="726">
      <c r="A32" s="453" t="n"/>
      <c r="B32" s="456" t="inlineStr">
        <is>
          <t>2)评估管理层的分类和披露，与在1)中的判断是否一致？</t>
        </is>
      </c>
      <c r="C32" s="457" t="n"/>
      <c r="D32" s="457" t="n"/>
      <c r="E32" s="457" t="n"/>
      <c r="F32" s="457" t="n"/>
      <c r="G32" s="457" t="n"/>
      <c r="H32" s="457" t="n"/>
      <c r="I32" s="457" t="n"/>
      <c r="J32" s="457" t="n"/>
      <c r="K32" s="457" t="n"/>
      <c r="L32" s="458" t="n"/>
      <c r="N32" s="54" t="n"/>
    </row>
    <row r="33" outlineLevel="1" s="726">
      <c r="A33" s="341" t="n"/>
      <c r="B33" s="341" t="n"/>
      <c r="C33" s="341" t="n"/>
      <c r="D33" s="341" t="n"/>
      <c r="E33" s="341" t="n"/>
      <c r="F33" s="341" t="n"/>
      <c r="G33" s="341" t="n"/>
      <c r="H33" s="341" t="n"/>
      <c r="I33" s="341" t="n"/>
      <c r="J33" s="341" t="n"/>
      <c r="K33" s="341" t="n"/>
      <c r="L33" s="341" t="n"/>
      <c r="N33" s="54" t="n"/>
    </row>
    <row r="34" outlineLevel="1" ht="13.15" customHeight="1" s="726">
      <c r="A34" s="341" t="n"/>
      <c r="B34" s="499" t="inlineStr">
        <is>
          <t>|---------------------------------------------------------------------------------------------------------C.00 BKD-------------------------------------------------------------------------------------------|</t>
        </is>
      </c>
      <c r="C34" s="20" t="n"/>
      <c r="D34" s="20" t="n"/>
      <c r="E34" s="38" t="n"/>
      <c r="F34" s="20" t="n"/>
      <c r="G34" s="20" t="n"/>
      <c r="H34" s="20" t="n"/>
      <c r="I34" s="20" t="n"/>
      <c r="J34" s="484" t="inlineStr">
        <is>
          <t>PBC&amp;C.01</t>
        </is>
      </c>
      <c r="K34" s="845" t="inlineStr">
        <is>
          <t>EY Works</t>
        </is>
      </c>
      <c r="L34" s="760" t="n"/>
      <c r="N34" s="54" t="n"/>
    </row>
    <row r="35" outlineLevel="1" ht="52.5" customHeight="1" s="726">
      <c r="A35" s="341" t="n"/>
      <c r="B35" s="347" t="inlineStr">
        <is>
          <t>公司名称</t>
        </is>
      </c>
      <c r="C35" s="347" t="inlineStr">
        <is>
          <t>科目名称</t>
        </is>
      </c>
      <c r="D35" s="347" t="inlineStr">
        <is>
          <t>银行/存款机构名称</t>
        </is>
      </c>
      <c r="E35" s="347" t="inlineStr">
        <is>
          <t>账号</t>
        </is>
      </c>
      <c r="F35" s="347" t="inlineStr">
        <is>
          <t>币种</t>
        </is>
      </c>
      <c r="G35" s="347" t="inlineStr">
        <is>
          <t>期末账面金额
（原币）</t>
        </is>
      </c>
      <c r="H35" s="347" t="inlineStr">
        <is>
          <t>期末账面金额
（本币）</t>
        </is>
      </c>
      <c r="I35" s="348" t="inlineStr">
        <is>
          <t>货币资金账户的性质和用途</t>
        </is>
      </c>
      <c r="J35" s="348" t="inlineStr">
        <is>
          <t>存款起止日期</t>
        </is>
      </c>
      <c r="K35" s="364" t="n">
        <v>1</v>
      </c>
      <c r="L35" s="364" t="n">
        <v>2</v>
      </c>
      <c r="N35" s="54" t="n"/>
    </row>
    <row r="36" outlineLevel="1" customFormat="1" s="92">
      <c r="A36" s="363" t="n"/>
      <c r="B36" s="390" t="n"/>
      <c r="C36" s="375" t="n"/>
      <c r="D36" s="350" t="n"/>
      <c r="E36" s="376" t="n"/>
      <c r="F36" s="350" t="n"/>
      <c r="G36" s="818" t="n"/>
      <c r="H36" s="819" t="n"/>
      <c r="I36" s="568" t="n"/>
      <c r="J36" s="350" t="n"/>
      <c r="K36" s="389" t="n"/>
      <c r="L36" s="389" t="n"/>
      <c r="N36" s="97" t="n"/>
    </row>
    <row r="37" outlineLevel="1" customFormat="1" s="92">
      <c r="A37" s="363" t="n"/>
      <c r="B37" s="390" t="n"/>
      <c r="C37" s="375" t="n"/>
      <c r="D37" s="350" t="n"/>
      <c r="E37" s="376" t="n"/>
      <c r="F37" s="350" t="n"/>
      <c r="G37" s="818" t="n"/>
      <c r="H37" s="819" t="n"/>
      <c r="I37" s="350" t="n"/>
      <c r="J37" s="350" t="n"/>
      <c r="K37" s="389" t="n"/>
      <c r="L37" s="389" t="n"/>
      <c r="N37" s="97" t="n"/>
    </row>
    <row r="38" outlineLevel="1" customFormat="1" s="92">
      <c r="A38" s="363" t="n"/>
      <c r="B38" s="390" t="n"/>
      <c r="C38" s="375" t="n"/>
      <c r="D38" s="350" t="n"/>
      <c r="E38" s="376" t="n"/>
      <c r="F38" s="350" t="n"/>
      <c r="G38" s="818" t="n"/>
      <c r="H38" s="819" t="n"/>
      <c r="I38" s="350" t="n"/>
      <c r="J38" s="350" t="n"/>
      <c r="K38" s="389" t="n"/>
      <c r="L38" s="389" t="n"/>
      <c r="N38" s="97" t="n"/>
    </row>
    <row r="39" outlineLevel="1" ht="14.25" customHeight="1" s="726">
      <c r="A39" s="341" t="n"/>
      <c r="J39" s="3" t="n"/>
      <c r="K39" s="3" t="n"/>
      <c r="L39" s="3" t="n"/>
      <c r="N39" s="54" t="n"/>
    </row>
    <row r="40" outlineLevel="1" ht="17.25" customHeight="1" s="726" thickBot="1">
      <c r="A40" s="341" t="n"/>
      <c r="G40" s="262" t="inlineStr">
        <is>
          <t>合计</t>
        </is>
      </c>
      <c r="H40" s="832">
        <f>SUM(H35:H38)</f>
        <v/>
      </c>
      <c r="I40" s="813" t="n"/>
      <c r="J40" s="3" t="n"/>
      <c r="K40" s="3" t="n"/>
      <c r="L40" s="3" t="n"/>
      <c r="N40" s="54" t="n"/>
    </row>
    <row r="41" outlineLevel="1" ht="13.5" customHeight="1" s="726" thickTop="1">
      <c r="A41" s="341" t="n"/>
      <c r="G41" s="797" t="n"/>
      <c r="H41" s="368" t="inlineStr">
        <is>
          <t>Rx</t>
        </is>
      </c>
      <c r="N41" s="54" t="n"/>
    </row>
    <row r="42" outlineLevel="1" s="726">
      <c r="A42" s="341" t="n"/>
      <c r="G42" s="797" t="n"/>
      <c r="H42" s="368" t="n"/>
      <c r="N42" s="54" t="n"/>
    </row>
    <row r="43" outlineLevel="1" ht="16.5" customHeight="1" s="726">
      <c r="A43" s="341" t="n"/>
      <c r="B43" s="42" t="inlineStr">
        <is>
          <t>记录识别的异常的详细信息以及如何解决这些异常，包括执行的额外实质性程序（指引:包括充分的描述，以使经验丰富目之前与审计没有关联的审计师能够了解执行的程序）</t>
        </is>
      </c>
      <c r="N43" s="54" t="n"/>
    </row>
    <row r="44" outlineLevel="1" s="726">
      <c r="A44" s="341" t="n"/>
      <c r="B44" s="837" t="n"/>
      <c r="C44" s="731" t="n"/>
      <c r="D44" s="731" t="n"/>
      <c r="E44" s="731" t="n"/>
      <c r="F44" s="732" t="n"/>
      <c r="N44" s="54" t="n"/>
    </row>
    <row r="45" outlineLevel="1" s="726">
      <c r="A45" s="341" t="n"/>
      <c r="B45" s="769" t="n"/>
      <c r="F45" s="770" t="n"/>
      <c r="G45" s="20" t="n"/>
      <c r="H45" s="20" t="n"/>
      <c r="N45" s="54" t="n"/>
    </row>
    <row r="46" outlineLevel="1" s="726">
      <c r="A46" s="341" t="n"/>
      <c r="B46" s="769" t="n"/>
      <c r="F46" s="770" t="n"/>
      <c r="G46" s="20" t="n"/>
      <c r="H46" s="20" t="n"/>
      <c r="N46" s="54" t="n"/>
    </row>
    <row r="47" outlineLevel="1" s="726">
      <c r="A47" s="341" t="n"/>
      <c r="B47" s="734" t="n"/>
      <c r="C47" s="735" t="n"/>
      <c r="D47" s="735" t="n"/>
      <c r="E47" s="735" t="n"/>
      <c r="F47" s="736" t="n"/>
      <c r="G47" s="20" t="n"/>
      <c r="H47" s="20" t="n"/>
      <c r="N47" s="54" t="n"/>
    </row>
    <row r="48" ht="15" customHeight="1" s="726">
      <c r="B48" s="146" t="n"/>
      <c r="C48" s="146" t="n"/>
      <c r="D48" s="146" t="n"/>
      <c r="E48" s="146" t="n"/>
      <c r="F48" s="146" t="n"/>
      <c r="H48" s="146" t="n"/>
      <c r="I48" s="146" t="n"/>
      <c r="J48" s="146" t="n"/>
      <c r="K48" s="146" t="n"/>
      <c r="L48" s="146" t="n"/>
      <c r="N48" s="54" t="n"/>
    </row>
    <row r="49" ht="7.5" customHeight="1" s="726">
      <c r="A49" s="53" t="n"/>
      <c r="B49" s="54" t="n"/>
      <c r="C49" s="54" t="n"/>
      <c r="D49" s="54" t="n"/>
      <c r="E49" s="54" t="n"/>
      <c r="F49" s="54" t="n"/>
      <c r="G49" s="54" t="n"/>
      <c r="H49" s="54" t="n"/>
      <c r="I49" s="54" t="n"/>
      <c r="J49" s="54" t="n"/>
      <c r="K49" s="54" t="n"/>
      <c r="L49" s="54" t="n"/>
      <c r="M49" s="54" t="n"/>
      <c r="N49" s="54" t="n"/>
    </row>
    <row r="50" ht="10.5" customHeight="1" s="726"/>
    <row r="51" ht="10.5" customHeight="1" s="726"/>
    <row r="52" ht="10.5" customHeight="1" s="726"/>
  </sheetData>
  <mergeCells count="3">
    <mergeCell ref="B44:F47"/>
    <mergeCell ref="K34:L34"/>
    <mergeCell ref="B22:F25"/>
  </mergeCells>
  <conditionalFormatting sqref="B22">
    <cfRule type="containsBlanks" priority="6" dxfId="11">
      <formula>LEN(TRIM(B22))=0</formula>
    </cfRule>
  </conditionalFormatting>
  <conditionalFormatting sqref="B44">
    <cfRule type="containsBlanks" priority="35" dxfId="11">
      <formula>LEN(TRIM(B44))=0</formula>
    </cfRule>
  </conditionalFormatting>
  <conditionalFormatting sqref="B14:K16">
    <cfRule type="containsBlanks" priority="3" dxfId="0">
      <formula>LEN(TRIM(B14))=0</formula>
    </cfRule>
  </conditionalFormatting>
  <conditionalFormatting sqref="B36:L38">
    <cfRule type="containsBlanks" priority="8" dxfId="0">
      <formula>LEN(TRIM(B36))=0</formula>
    </cfRule>
  </conditionalFormatting>
  <dataValidations count="1">
    <dataValidation sqref="K14:K16 K36:L3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codeName="Sheet7">
    <outlinePr summaryBelow="1" summaryRight="1"/>
    <pageSetUpPr/>
  </sheetPr>
  <dimension ref="A1:R73"/>
  <sheetViews>
    <sheetView showGridLines="0" zoomScale="70" zoomScaleNormal="70" workbookViewId="0">
      <selection activeCell="H15" sqref="H15"/>
    </sheetView>
  </sheetViews>
  <sheetFormatPr baseColWidth="8" defaultColWidth="8.25" defaultRowHeight="12.75" outlineLevelRow="1"/>
  <cols>
    <col width="2.625" customWidth="1" style="26" min="1" max="1"/>
    <col width="18" customWidth="1" style="27" min="2" max="5"/>
    <col width="17" customWidth="1" style="27" min="6" max="6"/>
    <col width="18" customWidth="1" style="27" min="7" max="7"/>
    <col width="38.375" customWidth="1" style="27" min="8" max="8"/>
    <col width="43.5" customWidth="1" style="27" min="9" max="9"/>
    <col width="18" customWidth="1" style="25" min="10" max="10"/>
    <col width="18" customWidth="1" style="27" min="11" max="15"/>
    <col width="2.625" customWidth="1" style="27" min="16" max="16"/>
    <col width="1.625" customWidth="1" style="27" min="17" max="17"/>
    <col width="8.25" customWidth="1" style="25" min="18" max="18"/>
    <col width="8.25" customWidth="1" style="27" min="19" max="16384"/>
  </cols>
  <sheetData>
    <row r="1" ht="50.1" customFormat="1" customHeight="1" s="1">
      <c r="A1" s="243" t="inlineStr">
        <is>
          <t>90b881c4-583d-4889-826d-7581aa385c01</t>
        </is>
      </c>
      <c r="B1" s="104" t="inlineStr">
        <is>
          <t>标准工作底稿: C SWP 货币资金</t>
        </is>
      </c>
      <c r="C1" s="84" t="n"/>
      <c r="D1" s="83" t="n"/>
      <c r="E1" s="83" t="n"/>
      <c r="F1" s="83" t="n"/>
      <c r="G1" s="83" t="n"/>
      <c r="H1" s="83" t="n"/>
      <c r="I1" s="83" t="n"/>
      <c r="J1" s="82" t="n"/>
      <c r="K1" s="83" t="n"/>
      <c r="L1" s="82" t="n"/>
      <c r="M1" s="83" t="n"/>
      <c r="N1" s="82" t="n"/>
      <c r="O1" s="82" t="n"/>
      <c r="Q1" s="40" t="n"/>
    </row>
    <row r="2" ht="30" customFormat="1" customHeight="1" s="1">
      <c r="A2" s="6" t="n"/>
      <c r="B2" s="235" t="inlineStr">
        <is>
          <t>C.02. 银行余额调节</t>
        </is>
      </c>
      <c r="C2" s="7" t="n"/>
      <c r="D2" s="7" t="n"/>
      <c r="E2" s="7" t="n"/>
      <c r="F2" s="7" t="n"/>
      <c r="G2" s="7" t="n"/>
      <c r="H2" s="7" t="n"/>
      <c r="I2" s="7" t="n"/>
      <c r="J2" s="7" t="n"/>
      <c r="K2" s="7" t="n"/>
      <c r="L2" s="7" t="n"/>
      <c r="M2" s="7" t="n"/>
      <c r="N2" s="7" t="n"/>
      <c r="O2" s="22" t="n"/>
      <c r="Q2" s="40" t="n"/>
    </row>
    <row r="3" ht="13.5" customFormat="1" customHeight="1" s="25">
      <c r="A3" s="28" t="n"/>
      <c r="Q3" s="81" t="n"/>
    </row>
    <row r="4" ht="13.5" customFormat="1" customHeight="1" s="25">
      <c r="A4" s="28" t="n"/>
      <c r="B4" s="147" t="inlineStr">
        <is>
          <t>返回汇总页</t>
        </is>
      </c>
      <c r="Q4" s="81" t="n"/>
    </row>
    <row r="5" ht="13.5" customFormat="1" customHeight="1" s="25">
      <c r="A5" s="28" t="n"/>
      <c r="Q5" s="81" t="n"/>
    </row>
    <row r="6" ht="16.5" customHeight="1" s="726">
      <c r="B6" s="307" t="inlineStr">
        <is>
          <t>余额调节项测试</t>
        </is>
      </c>
      <c r="C6" s="307" t="n"/>
      <c r="D6" s="307" t="n"/>
      <c r="E6" s="308" t="n"/>
      <c r="F6" s="309" t="n"/>
      <c r="G6" s="310" t="n"/>
      <c r="H6" s="310" t="n"/>
      <c r="I6" s="310" t="n"/>
      <c r="J6" s="310" t="n"/>
      <c r="K6" s="310" t="n"/>
      <c r="L6" s="310" t="n"/>
      <c r="M6" s="310" t="n"/>
      <c r="N6" s="310" t="n"/>
      <c r="O6" s="310" t="n"/>
      <c r="Q6" s="81" t="n"/>
    </row>
    <row r="7">
      <c r="B7" s="102" t="n"/>
      <c r="C7" s="102" t="n"/>
      <c r="D7" s="102" t="n"/>
      <c r="E7" s="101" t="n"/>
      <c r="F7" s="103" t="n"/>
      <c r="G7" s="25" t="n"/>
      <c r="H7" s="25" t="n"/>
      <c r="I7" s="25" t="n"/>
      <c r="K7" s="25" t="n"/>
      <c r="L7" s="25" t="n"/>
      <c r="M7" s="25" t="n"/>
      <c r="N7" s="25" t="n"/>
      <c r="O7" s="25" t="n"/>
      <c r="Q7" s="81" t="n"/>
    </row>
    <row r="8" ht="15.6" customHeight="1" s="726">
      <c r="B8" s="846">
        <f>MIN('C.00 Lead'!$D$15,'C.00 Lead'!$D$16)</f>
        <v/>
      </c>
      <c r="C8" s="192" t="inlineStr">
        <is>
          <t>用于识别和测试调节项的测试阈值</t>
        </is>
      </c>
      <c r="D8" s="193" t="n"/>
      <c r="E8" s="194" t="n"/>
      <c r="F8" s="25" t="n"/>
      <c r="G8" s="25" t="n"/>
      <c r="H8" s="25" t="n"/>
      <c r="I8" s="25" t="n"/>
      <c r="K8" s="25" t="n"/>
      <c r="L8" s="25" t="n"/>
      <c r="M8" s="25" t="n"/>
      <c r="N8" s="25" t="n"/>
      <c r="O8" s="25" t="n"/>
      <c r="Q8" s="81" t="n"/>
    </row>
    <row r="9">
      <c r="A9" s="29" t="n"/>
      <c r="I9" s="25" t="n"/>
      <c r="J9" s="27" t="n"/>
      <c r="Q9" s="81" t="n"/>
    </row>
    <row r="10" ht="16.5" customHeight="1" s="726">
      <c r="A10" s="29" t="n"/>
      <c r="B10" s="42" t="inlineStr">
        <is>
          <t>记录所选个别调节项的理由，包括选取的测试阈值以及我们识别异常或意料之外项目的依据：</t>
        </is>
      </c>
      <c r="C10" s="3" t="n"/>
      <c r="D10" s="3" t="n"/>
      <c r="E10" s="12" t="n"/>
      <c r="F10" s="12" t="n"/>
      <c r="I10" s="25" t="n"/>
      <c r="J10" s="27" t="n"/>
      <c r="Q10" s="81" t="n"/>
    </row>
    <row r="11" ht="12.75" customHeight="1" s="726">
      <c r="A11" s="29" t="n"/>
      <c r="B11" s="847" t="n"/>
      <c r="C11" s="731" t="n"/>
      <c r="D11" s="731" t="n"/>
      <c r="E11" s="731" t="n"/>
      <c r="F11" s="732" t="n"/>
      <c r="I11" s="25" t="n"/>
      <c r="J11" s="27" t="n"/>
      <c r="Q11" s="81" t="n"/>
    </row>
    <row r="12" ht="12.75" customHeight="1" s="726">
      <c r="A12" s="29" t="n"/>
      <c r="B12" s="769" t="n"/>
      <c r="F12" s="770" t="n"/>
      <c r="I12" s="25" t="n"/>
      <c r="J12" s="27" t="n"/>
      <c r="Q12" s="81" t="n"/>
    </row>
    <row r="13" ht="12.75" customHeight="1" s="726">
      <c r="A13" s="29" t="n"/>
      <c r="B13" s="734" t="n"/>
      <c r="C13" s="735" t="n"/>
      <c r="D13" s="735" t="n"/>
      <c r="E13" s="735" t="n"/>
      <c r="F13" s="736" t="n"/>
      <c r="I13" s="25" t="n"/>
      <c r="J13" s="27" t="n"/>
      <c r="Q13" s="81" t="n"/>
    </row>
    <row r="14">
      <c r="A14" s="29" t="n"/>
      <c r="I14" s="25" t="n"/>
      <c r="J14" s="27" t="n"/>
      <c r="Q14" s="81" t="n"/>
    </row>
    <row r="15" ht="15" customFormat="1" customHeight="1" s="1">
      <c r="A15" s="6" t="n"/>
      <c r="B15" s="102" t="inlineStr">
        <is>
          <t>表1.1 余额调节账户1</t>
        </is>
      </c>
      <c r="C15" s="102" t="n"/>
      <c r="D15" s="102" t="n"/>
      <c r="E15" s="101" t="n"/>
      <c r="F15" s="103" t="n"/>
      <c r="G15" s="103" t="n"/>
      <c r="H15" s="103" t="n"/>
      <c r="I15" s="103" t="n"/>
      <c r="J15" s="103" t="n"/>
      <c r="K15" s="103" t="n"/>
      <c r="L15" s="103" t="n"/>
      <c r="M15" s="101" t="n"/>
      <c r="N15" s="101" t="n"/>
      <c r="O15" s="101" t="n"/>
      <c r="P15" s="6" t="n"/>
      <c r="Q15" s="40" t="n"/>
    </row>
    <row r="16" ht="16.5" customFormat="1" customHeight="1" s="514">
      <c r="A16" s="511" t="n"/>
      <c r="B16" s="512" t="inlineStr">
        <is>
          <t>获取存在调节项的银行余额账户，并获取管理层编制的银行余额调节表。审计项目组列示C_BKD中账面余额与对账单金额存在差异的账户清单。如果客户可以提供自己格式的银行余额调节表，也可以直接采用客户的余额调节表执行如下审计程序，无需一定要采用下方表格格式。</t>
        </is>
      </c>
      <c r="C16" s="513" t="n"/>
      <c r="I16" s="515" t="n"/>
      <c r="Q16" s="516" t="n"/>
      <c r="R16" s="515" t="n"/>
    </row>
    <row r="17" outlineLevel="1" ht="16.5" customHeight="1" s="726">
      <c r="A17" s="29" t="n"/>
      <c r="B17" s="195" t="inlineStr">
        <is>
          <t>科目</t>
        </is>
      </c>
      <c r="C17" s="196" t="inlineStr">
        <is>
          <t>索引号</t>
        </is>
      </c>
      <c r="I17" s="25" t="n"/>
      <c r="J17" s="27" t="n"/>
      <c r="Q17" s="81" t="n"/>
    </row>
    <row r="18" outlineLevel="1" ht="16.5" customHeight="1" s="726">
      <c r="A18" s="29" t="n"/>
      <c r="B18" s="220" t="inlineStr">
        <is>
          <t>银行名称</t>
        </is>
      </c>
      <c r="C18" s="299" t="n"/>
      <c r="D18" s="359" t="inlineStr">
        <is>
          <t>C.01</t>
        </is>
      </c>
      <c r="E18" s="31" t="n"/>
      <c r="I18" s="25" t="n"/>
      <c r="J18" s="27" t="n"/>
      <c r="Q18" s="81" t="n"/>
    </row>
    <row r="19" outlineLevel="1" ht="16.5" customHeight="1" s="726">
      <c r="A19" s="29" t="n"/>
      <c r="B19" s="220" t="inlineStr">
        <is>
          <t>银行账号</t>
        </is>
      </c>
      <c r="C19" s="299" t="n"/>
      <c r="D19" s="359" t="inlineStr">
        <is>
          <t>C.01</t>
        </is>
      </c>
      <c r="E19" s="31" t="n"/>
      <c r="I19" s="25" t="n"/>
      <c r="J19" s="27" t="n"/>
      <c r="Q19" s="81" t="n"/>
    </row>
    <row r="20" outlineLevel="1" ht="16.5" customHeight="1" s="726">
      <c r="A20" s="29" t="n"/>
      <c r="B20" s="220" t="inlineStr">
        <is>
          <t>原币币种</t>
        </is>
      </c>
      <c r="C20" s="299" t="n"/>
      <c r="D20" s="359" t="inlineStr">
        <is>
          <t>C.01</t>
        </is>
      </c>
      <c r="E20" s="31" t="n"/>
      <c r="I20" s="25" t="n"/>
      <c r="J20" s="27" t="n"/>
      <c r="Q20" s="81" t="n"/>
    </row>
    <row r="21" outlineLevel="1" ht="16.5" customHeight="1" s="726">
      <c r="A21" s="29" t="n"/>
      <c r="B21" s="236" t="inlineStr">
        <is>
          <t>余额调节表编制日期</t>
        </is>
      </c>
      <c r="C21" s="300" t="n"/>
      <c r="D21" s="30" t="n"/>
      <c r="E21" s="31" t="n"/>
      <c r="I21" s="25" t="n"/>
      <c r="J21" s="27" t="n"/>
      <c r="Q21" s="81" t="n"/>
    </row>
    <row r="22" outlineLevel="1" s="726">
      <c r="A22" s="29" t="n"/>
      <c r="B22" s="32" t="n"/>
      <c r="C22" s="32" t="n"/>
      <c r="D22" s="30" t="n"/>
      <c r="E22" s="31" t="n"/>
      <c r="I22" s="25" t="n"/>
      <c r="J22" s="27" t="n"/>
      <c r="Q22" s="81" t="n"/>
    </row>
    <row r="23" outlineLevel="1" ht="32.25" customHeight="1" s="726">
      <c r="A23" s="29" t="n"/>
      <c r="B23" s="197" t="inlineStr">
        <is>
          <t>调整项目（摘要）</t>
        </is>
      </c>
      <c r="C23" s="198" t="inlineStr">
        <is>
          <t>期末账面数
（原币）</t>
        </is>
      </c>
      <c r="D23" s="199" t="inlineStr">
        <is>
          <t>Index</t>
        </is>
      </c>
      <c r="E23" s="200" t="inlineStr">
        <is>
          <t>调整项目（摘要）</t>
        </is>
      </c>
      <c r="F23" s="201" t="inlineStr">
        <is>
          <t>银行对账单金额
（原币数）</t>
        </is>
      </c>
      <c r="G23" s="202" t="inlineStr">
        <is>
          <t>Index</t>
        </is>
      </c>
      <c r="I23" s="25" t="n"/>
      <c r="J23" s="27" t="n"/>
      <c r="Q23" s="81" t="n"/>
    </row>
    <row r="24" outlineLevel="1" s="726">
      <c r="A24" s="29" t="n"/>
      <c r="B24" s="403" t="n"/>
      <c r="C24" s="848" t="n"/>
      <c r="D24" s="293" t="n"/>
      <c r="E24" s="404" t="n"/>
      <c r="F24" s="849" t="n"/>
      <c r="G24" s="294" t="n"/>
      <c r="I24" s="25" t="n"/>
      <c r="J24" s="27" t="n"/>
      <c r="Q24" s="81" t="n"/>
    </row>
    <row r="25" outlineLevel="1" ht="16.5" customHeight="1" s="726">
      <c r="A25" s="29" t="n"/>
      <c r="B25" s="221" t="inlineStr">
        <is>
          <t>加：银收企未收</t>
        </is>
      </c>
      <c r="C25" s="850">
        <f>SUM(C26:C29)</f>
        <v/>
      </c>
      <c r="D25" s="189" t="n"/>
      <c r="E25" s="186" t="inlineStr">
        <is>
          <t>加：企收银未收</t>
        </is>
      </c>
      <c r="F25" s="851">
        <f>SUM(F26:F29)</f>
        <v/>
      </c>
      <c r="G25" s="226" t="n"/>
      <c r="I25" s="25" t="n"/>
      <c r="J25" s="27" t="n"/>
      <c r="Q25" s="81" t="n"/>
    </row>
    <row r="26" outlineLevel="1" s="726">
      <c r="A26" s="29" t="n"/>
      <c r="B26" s="403" t="n"/>
      <c r="C26" s="848" t="n"/>
      <c r="D26" s="293" t="n"/>
      <c r="E26" s="404" t="n"/>
      <c r="F26" s="849" t="n"/>
      <c r="G26" s="294" t="n"/>
      <c r="I26" s="25" t="n"/>
      <c r="J26" s="27" t="n"/>
      <c r="Q26" s="81" t="n"/>
    </row>
    <row r="27" outlineLevel="1" s="726">
      <c r="A27" s="29" t="n"/>
      <c r="B27" s="403" t="n"/>
      <c r="C27" s="848" t="n"/>
      <c r="D27" s="293" t="n"/>
      <c r="E27" s="404" t="n"/>
      <c r="F27" s="849" t="n"/>
      <c r="G27" s="294" t="n"/>
      <c r="I27" s="25" t="n"/>
      <c r="J27" s="27" t="n"/>
      <c r="Q27" s="81" t="n"/>
    </row>
    <row r="28" outlineLevel="1" s="726">
      <c r="A28" s="29" t="n"/>
      <c r="B28" s="403" t="n"/>
      <c r="C28" s="848" t="n"/>
      <c r="D28" s="293" t="n"/>
      <c r="E28" s="404" t="n"/>
      <c r="F28" s="849" t="n"/>
      <c r="G28" s="294" t="n"/>
      <c r="I28" s="25" t="n"/>
      <c r="J28" s="27" t="n"/>
      <c r="Q28" s="81" t="n"/>
    </row>
    <row r="29" outlineLevel="1" s="726">
      <c r="A29" s="29" t="n"/>
      <c r="B29" s="403" t="n"/>
      <c r="C29" s="848" t="n"/>
      <c r="D29" s="293" t="n"/>
      <c r="E29" s="404" t="n"/>
      <c r="F29" s="849" t="n"/>
      <c r="G29" s="294" t="n"/>
      <c r="I29" s="25" t="n"/>
      <c r="J29" s="27" t="n"/>
      <c r="Q29" s="81" t="n"/>
    </row>
    <row r="30" outlineLevel="1" ht="16.5" customHeight="1" s="726">
      <c r="A30" s="29" t="n"/>
      <c r="B30" s="221" t="inlineStr">
        <is>
          <t>减：银付企未付</t>
        </is>
      </c>
      <c r="C30" s="850">
        <f>SUM(C31:C34)</f>
        <v/>
      </c>
      <c r="D30" s="852" t="n"/>
      <c r="E30" s="187" t="inlineStr">
        <is>
          <t>减：企付银未付</t>
        </is>
      </c>
      <c r="F30" s="851">
        <f>SUM(F31:F34)</f>
        <v/>
      </c>
      <c r="G30" s="853" t="n"/>
      <c r="I30" s="25" t="n"/>
      <c r="J30" s="27" t="n"/>
      <c r="Q30" s="81" t="n"/>
    </row>
    <row r="31" outlineLevel="1" s="726">
      <c r="A31" s="29" t="n"/>
      <c r="B31" s="403" t="n"/>
      <c r="C31" s="848" t="n"/>
      <c r="D31" s="293" t="n"/>
      <c r="E31" s="404" t="n"/>
      <c r="F31" s="849" t="n"/>
      <c r="G31" s="294" t="n"/>
      <c r="I31" s="25" t="n"/>
      <c r="J31" s="27" t="n"/>
      <c r="Q31" s="81" t="n"/>
    </row>
    <row r="32" outlineLevel="1" s="726">
      <c r="A32" s="29" t="n"/>
      <c r="B32" s="403" t="n"/>
      <c r="C32" s="848" t="n"/>
      <c r="D32" s="293" t="n"/>
      <c r="E32" s="404" t="n"/>
      <c r="F32" s="849" t="n"/>
      <c r="G32" s="294" t="n"/>
      <c r="I32" s="25" t="n"/>
      <c r="J32" s="27" t="n"/>
      <c r="Q32" s="81" t="n"/>
    </row>
    <row r="33" outlineLevel="1" s="726">
      <c r="A33" s="29" t="n"/>
      <c r="B33" s="403" t="n"/>
      <c r="C33" s="848" t="n"/>
      <c r="D33" s="293" t="n"/>
      <c r="E33" s="404" t="n"/>
      <c r="F33" s="849" t="n"/>
      <c r="G33" s="294" t="n"/>
      <c r="I33" s="25" t="n"/>
      <c r="J33" s="27" t="n"/>
      <c r="Q33" s="81" t="n"/>
    </row>
    <row r="34" outlineLevel="1" s="726">
      <c r="A34" s="29" t="n"/>
      <c r="B34" s="403" t="n"/>
      <c r="C34" s="848" t="n"/>
      <c r="D34" s="293" t="n"/>
      <c r="E34" s="404" t="n"/>
      <c r="F34" s="849" t="n"/>
      <c r="G34" s="294" t="n"/>
      <c r="I34" s="25" t="n"/>
      <c r="J34" s="27" t="n"/>
      <c r="Q34" s="81" t="n"/>
    </row>
    <row r="35" outlineLevel="1" ht="16.5" customHeight="1" s="726">
      <c r="A35" s="29" t="n"/>
      <c r="B35" s="222" t="inlineStr">
        <is>
          <t>调节后金额合计</t>
        </is>
      </c>
      <c r="C35" s="848">
        <f>C24+C25-C30</f>
        <v/>
      </c>
      <c r="D35" s="293" t="n"/>
      <c r="E35" s="188" t="inlineStr">
        <is>
          <t>调节后金额合计</t>
        </is>
      </c>
      <c r="F35" s="849">
        <f>F24+F25-F30</f>
        <v/>
      </c>
      <c r="G35" s="294" t="n"/>
      <c r="I35" s="25" t="n"/>
      <c r="J35" s="27" t="n"/>
      <c r="Q35" s="81" t="n"/>
    </row>
    <row r="36" outlineLevel="1" s="726">
      <c r="A36" s="29" t="n"/>
      <c r="B36" s="237" t="inlineStr">
        <is>
          <t>Check</t>
        </is>
      </c>
      <c r="C36" s="854">
        <f>F35-C35</f>
        <v/>
      </c>
      <c r="D36" s="298" t="n"/>
      <c r="E36" s="191" t="n"/>
      <c r="F36" s="855" t="n"/>
      <c r="G36" s="297" t="n"/>
      <c r="I36" s="25" t="n"/>
      <c r="J36" s="27" t="n"/>
      <c r="Q36" s="81" t="n"/>
    </row>
    <row r="37" outlineLevel="1" s="726">
      <c r="A37" s="29" t="n"/>
      <c r="I37" s="25" t="n"/>
      <c r="J37" s="27" t="n"/>
      <c r="Q37" s="81" t="n"/>
    </row>
    <row r="38" ht="15" customFormat="1" customHeight="1" s="1">
      <c r="A38" s="6" t="n"/>
      <c r="B38" s="25" t="inlineStr">
        <is>
          <t>表1.2 从实体（而非银行）记录的项目列表（即企收银未收、企付银未付的项目）出发，将期前的账面记录核对到期后的银行流水记录：</t>
        </is>
      </c>
      <c r="C38" s="25" t="n"/>
      <c r="D38" s="25" t="n"/>
      <c r="E38" s="25" t="n"/>
      <c r="F38" s="25" t="n"/>
      <c r="G38" s="25" t="n"/>
      <c r="H38" s="25" t="n"/>
      <c r="I38" s="25" t="n"/>
      <c r="J38" s="25" t="n"/>
      <c r="K38" s="25" t="n"/>
      <c r="L38" s="25" t="n"/>
      <c r="M38" s="25" t="n"/>
      <c r="N38" s="25" t="n"/>
      <c r="O38" s="25" t="n"/>
      <c r="P38" s="6" t="n"/>
      <c r="Q38" s="40" t="n"/>
    </row>
    <row r="39" outlineLevel="1" s="726">
      <c r="A39" s="29" t="n"/>
      <c r="H39" s="717" t="inlineStr">
        <is>
          <t>EY Works</t>
        </is>
      </c>
      <c r="I39" s="856" t="n"/>
      <c r="J39" s="27" t="n"/>
      <c r="Q39" s="81" t="n"/>
    </row>
    <row r="40" outlineLevel="1" ht="40.5" customHeight="1" s="726">
      <c r="A40" s="29" t="n"/>
      <c r="B40" s="197" t="inlineStr">
        <is>
          <t>Index</t>
        </is>
      </c>
      <c r="C40" s="201" t="inlineStr">
        <is>
          <t>调整项目（摘要）</t>
        </is>
      </c>
      <c r="D40" s="201" t="inlineStr">
        <is>
          <t>凭证类型号
（期前）</t>
        </is>
      </c>
      <c r="E40" s="201" t="inlineStr">
        <is>
          <t>账面记录的
交易日期</t>
        </is>
      </c>
      <c r="F40" s="203" t="inlineStr">
        <is>
          <t>金额
(收款填列正数，付款填列负数）</t>
        </is>
      </c>
      <c r="G40" s="198" t="inlineStr">
        <is>
          <t>银行记录的
交易日期/结算日期</t>
        </is>
      </c>
      <c r="H40" s="205" t="inlineStr">
        <is>
          <t>期末前，我们检查被审计单位已根据适用的会计准则要求，将银行收支交易恰当的记录到会计账簿；</t>
        </is>
      </c>
      <c r="I40" s="204" t="inlineStr">
        <is>
          <t>期末后，我们将银行流水记录，与期前的会计账簿记录核对一致，确认款项已妥善结清</t>
        </is>
      </c>
      <c r="J40" s="27" t="n"/>
      <c r="Q40" s="81" t="n"/>
    </row>
    <row r="41" outlineLevel="1" s="726">
      <c r="A41" s="29" t="n"/>
      <c r="B41" s="290" t="n"/>
      <c r="C41" s="517" t="n"/>
      <c r="D41" s="517" t="n"/>
      <c r="E41" s="405" t="n"/>
      <c r="F41" s="857" t="n"/>
      <c r="G41" s="406" t="n"/>
      <c r="H41" s="389" t="n"/>
      <c r="I41" s="389" t="n"/>
      <c r="J41" s="27" t="n"/>
      <c r="Q41" s="81" t="n"/>
    </row>
    <row r="42" outlineLevel="1" s="726">
      <c r="A42" s="29" t="n"/>
      <c r="B42" s="291" t="n"/>
      <c r="C42" s="518" t="n"/>
      <c r="D42" s="518" t="n"/>
      <c r="E42" s="407" t="n"/>
      <c r="F42" s="858" t="n"/>
      <c r="G42" s="408" t="n"/>
      <c r="H42" s="389" t="n"/>
      <c r="I42" s="389" t="n"/>
      <c r="J42" s="27" t="n"/>
      <c r="Q42" s="81" t="n"/>
    </row>
    <row r="43" outlineLevel="1" s="726">
      <c r="A43" s="29" t="n"/>
      <c r="B43" s="33" t="n"/>
      <c r="C43" s="34" t="n"/>
      <c r="D43" s="35" t="n"/>
      <c r="E43" s="35" t="n"/>
      <c r="F43" s="859" t="n"/>
      <c r="G43" s="35" t="n"/>
      <c r="I43" s="25" t="n"/>
      <c r="J43" s="27" t="n"/>
      <c r="Q43" s="81" t="n"/>
    </row>
    <row r="44" outlineLevel="1" s="726">
      <c r="A44" s="29" t="n"/>
      <c r="B44" s="33" t="n"/>
      <c r="C44" s="34" t="n"/>
      <c r="D44" s="35" t="n"/>
      <c r="E44" s="35" t="n"/>
      <c r="F44" s="859" t="n"/>
      <c r="G44" s="35" t="n"/>
      <c r="I44" s="25" t="n"/>
      <c r="J44" s="27" t="n"/>
      <c r="Q44" s="81" t="n"/>
    </row>
    <row r="45" ht="15" customFormat="1" customHeight="1" s="1">
      <c r="A45" s="6" t="n"/>
      <c r="B45" s="25" t="inlineStr">
        <is>
          <t>表1.3 从银行（而非实体）记录的项目列表（即银收企未收、银付企未付的项目）出发，将期前的银行流水记录核对到期后的账面记录</t>
        </is>
      </c>
      <c r="C45" s="25" t="n"/>
      <c r="D45" s="25" t="n"/>
      <c r="E45" s="25" t="n"/>
      <c r="F45" s="25" t="n"/>
      <c r="G45" s="25" t="n"/>
      <c r="H45" s="25" t="n"/>
      <c r="I45" s="25" t="n"/>
      <c r="J45" s="25" t="n"/>
      <c r="K45" s="25" t="n"/>
      <c r="L45" s="25" t="n"/>
      <c r="M45" s="25" t="n"/>
      <c r="N45" s="25" t="n"/>
      <c r="O45" s="25" t="n"/>
      <c r="P45" s="6" t="n"/>
      <c r="Q45" s="40" t="n"/>
    </row>
    <row r="46" outlineLevel="1" s="726">
      <c r="A46" s="29" t="n"/>
      <c r="H46" s="715" t="inlineStr">
        <is>
          <t>EY Works</t>
        </is>
      </c>
      <c r="I46" s="860" t="n"/>
      <c r="J46" s="27" t="n"/>
      <c r="Q46" s="81" t="n"/>
    </row>
    <row r="47" outlineLevel="1" ht="41.1" customHeight="1" s="726">
      <c r="A47" s="29" t="n"/>
      <c r="B47" s="197" t="inlineStr">
        <is>
          <t>Index</t>
        </is>
      </c>
      <c r="C47" s="201" t="inlineStr">
        <is>
          <t>调整项目（摘要）</t>
        </is>
      </c>
      <c r="D47" s="201" t="inlineStr">
        <is>
          <t>凭证类型号
（期后）</t>
        </is>
      </c>
      <c r="E47" s="201" t="inlineStr">
        <is>
          <t>账面记录的
交易日期</t>
        </is>
      </c>
      <c r="F47" s="203" t="inlineStr">
        <is>
          <t>金额
(收款填列正数，付款填列负数）</t>
        </is>
      </c>
      <c r="G47" s="198" t="inlineStr">
        <is>
          <t>银行记录的
交易日期/结算日期</t>
        </is>
      </c>
      <c r="H47" s="197" t="inlineStr">
        <is>
          <t>期末前，我们将银行流水记录，与期后的会计账簿记录核对一致，确认款项已妥善结清</t>
        </is>
      </c>
      <c r="I47" s="206" t="inlineStr">
        <is>
          <t>期末后，我们检查被审计单位已根据适用的会计准则要求，将银行收支交易恰当的记录到会计账簿</t>
        </is>
      </c>
      <c r="J47" s="27" t="n"/>
      <c r="Q47" s="81" t="n"/>
    </row>
    <row r="48" outlineLevel="1" s="726">
      <c r="A48" s="29" t="n"/>
      <c r="B48" s="290" t="n"/>
      <c r="C48" s="517" t="n"/>
      <c r="D48" s="517" t="n"/>
      <c r="E48" s="405" t="n"/>
      <c r="F48" s="857" t="n"/>
      <c r="G48" s="406" t="n"/>
      <c r="H48" s="389" t="n"/>
      <c r="I48" s="389" t="n"/>
      <c r="J48" s="27" t="n"/>
      <c r="Q48" s="81" t="n"/>
    </row>
    <row r="49" outlineLevel="1" s="726">
      <c r="A49" s="29" t="n"/>
      <c r="B49" s="291" t="n"/>
      <c r="C49" s="518" t="n"/>
      <c r="D49" s="518" t="n"/>
      <c r="E49" s="407" t="n"/>
      <c r="F49" s="858" t="n"/>
      <c r="G49" s="408" t="n"/>
      <c r="H49" s="389" t="n"/>
      <c r="I49" s="389" t="n"/>
      <c r="J49" s="27" t="n"/>
      <c r="Q49" s="81" t="n"/>
    </row>
    <row r="50">
      <c r="A50" s="29" t="n"/>
      <c r="I50" s="25" t="n"/>
      <c r="J50" s="27" t="n"/>
      <c r="Q50" s="81" t="n"/>
    </row>
    <row r="51" ht="16.5" customHeight="1" s="726">
      <c r="A51" s="29" t="n"/>
      <c r="B51" s="304" t="inlineStr">
        <is>
          <t>余额调节项完整性测试</t>
        </is>
      </c>
      <c r="C51" s="304" t="n"/>
      <c r="D51" s="304" t="n"/>
      <c r="E51" s="305" t="n"/>
      <c r="F51" s="306" t="n"/>
      <c r="G51" s="306" t="n"/>
      <c r="H51" s="306" t="n"/>
      <c r="I51" s="306" t="n"/>
      <c r="J51" s="306" t="n"/>
      <c r="K51" s="306" t="n"/>
      <c r="L51" s="306" t="n"/>
      <c r="M51" s="305" t="n"/>
      <c r="N51" s="305" t="n"/>
      <c r="O51" s="305" t="n"/>
      <c r="Q51" s="81" t="n"/>
    </row>
    <row r="52">
      <c r="I52" s="25" t="n"/>
      <c r="J52" s="27" t="n"/>
      <c r="Q52" s="81" t="n"/>
    </row>
    <row r="53" ht="15" customFormat="1" customHeight="1" s="1">
      <c r="A53" s="6" t="n"/>
      <c r="B53" s="37" t="inlineStr">
        <is>
          <t>表2.1 确定余额调节项完整性测试的测试阈值和截止期间</t>
        </is>
      </c>
      <c r="C53" s="37" t="n"/>
      <c r="D53" s="37" t="n"/>
      <c r="F53" s="38" t="n"/>
      <c r="G53" s="38" t="n"/>
      <c r="H53" s="38" t="n"/>
      <c r="I53" s="38" t="n"/>
      <c r="J53" s="38" t="n"/>
      <c r="K53" s="38" t="n"/>
      <c r="L53" s="38" t="n"/>
      <c r="P53" s="6" t="n"/>
      <c r="Q53" s="40" t="n"/>
    </row>
    <row r="54" ht="16.5" customHeight="1" s="726">
      <c r="A54" s="10" t="n"/>
      <c r="B54" s="861">
        <f>'C.02 Bank reconciliations'!B8</f>
        <v/>
      </c>
      <c r="C54" s="719" t="inlineStr">
        <is>
          <t>用于识别和测试调节项的测试阈值</t>
        </is>
      </c>
      <c r="D54" s="862" t="n"/>
      <c r="E54" s="39" t="n"/>
      <c r="F54" s="12" t="n"/>
      <c r="G54" s="12" t="n"/>
      <c r="H54" s="12" t="n"/>
      <c r="I54" s="25" t="n"/>
      <c r="J54" s="12" t="n"/>
      <c r="K54" s="12" t="n"/>
      <c r="L54" s="12" t="n"/>
      <c r="M54" s="12" t="n"/>
      <c r="N54" s="12" t="n"/>
      <c r="O54" s="12" t="n"/>
      <c r="Q54" s="81" t="n"/>
    </row>
    <row r="55">
      <c r="A55" s="10" t="n"/>
      <c r="B55" s="521" t="n"/>
      <c r="C55" s="721" t="inlineStr">
        <is>
          <t>使用的截止期间</t>
        </is>
      </c>
      <c r="D55" s="863" t="n"/>
      <c r="E55" s="12" t="n"/>
      <c r="F55" s="12" t="n"/>
      <c r="G55" s="12" t="n"/>
      <c r="H55" s="12" t="n"/>
      <c r="I55" s="25" t="n"/>
      <c r="J55" s="12" t="n"/>
      <c r="K55" s="12" t="n"/>
      <c r="L55" s="12" t="n"/>
      <c r="M55" s="12" t="n"/>
      <c r="N55" s="12" t="n"/>
      <c r="O55" s="12" t="n"/>
      <c r="Q55" s="81" t="n"/>
    </row>
    <row r="56">
      <c r="A56" s="10" t="n"/>
      <c r="B56" s="13" t="n"/>
      <c r="C56" s="13" t="n"/>
      <c r="D56" s="12" t="n"/>
      <c r="E56" s="12" t="n"/>
      <c r="F56" s="12" t="n"/>
      <c r="G56" s="12" t="n"/>
      <c r="H56" s="12" t="n"/>
      <c r="I56" s="25" t="n"/>
      <c r="J56" s="12" t="n"/>
      <c r="K56" s="12" t="n"/>
      <c r="L56" s="12" t="n"/>
      <c r="M56" s="12" t="n"/>
      <c r="N56" s="12" t="n"/>
      <c r="O56" s="12" t="n"/>
      <c r="Q56" s="81" t="n"/>
    </row>
    <row r="57" ht="16.5" customHeight="1" s="726">
      <c r="A57" s="10" t="n"/>
      <c r="B57" s="3" t="inlineStr">
        <is>
          <t>请在下面描述所使用截止期间的理由：</t>
        </is>
      </c>
      <c r="C57" s="3" t="n"/>
      <c r="D57" s="3" t="n"/>
      <c r="E57" s="12" t="n"/>
      <c r="F57" s="12" t="n"/>
      <c r="G57" s="12" t="n"/>
      <c r="H57" s="12" t="n"/>
      <c r="I57" s="25" t="n"/>
      <c r="J57" s="12" t="n"/>
      <c r="K57" s="12" t="n"/>
      <c r="L57" s="12" t="n"/>
      <c r="M57" s="12" t="n"/>
      <c r="N57" s="12" t="n"/>
      <c r="O57" s="12" t="n"/>
      <c r="Q57" s="81" t="n"/>
    </row>
    <row r="58" ht="14.25" customHeight="1" s="726">
      <c r="A58" s="10" t="n"/>
      <c r="B58" s="864" t="n"/>
      <c r="C58" s="731" t="n"/>
      <c r="D58" s="731" t="n"/>
      <c r="E58" s="731" t="n"/>
      <c r="F58" s="732" t="n"/>
      <c r="G58" s="12" t="n"/>
      <c r="H58" s="12" t="n"/>
      <c r="I58" s="25" t="n"/>
      <c r="J58" s="12" t="n"/>
      <c r="K58" s="12" t="n"/>
      <c r="L58" s="12" t="n"/>
      <c r="M58" s="12" t="n"/>
      <c r="N58" s="12" t="n"/>
      <c r="O58" s="12" t="n"/>
      <c r="Q58" s="81" t="n"/>
    </row>
    <row r="59" ht="14.25" customHeight="1" s="726">
      <c r="A59" s="10" t="n"/>
      <c r="B59" s="769" t="n"/>
      <c r="F59" s="770" t="n"/>
      <c r="G59" s="12" t="n"/>
      <c r="H59" s="12" t="n"/>
      <c r="I59" s="25" t="n"/>
      <c r="J59" s="12" t="n"/>
      <c r="K59" s="12" t="n"/>
      <c r="L59" s="12" t="n"/>
      <c r="M59" s="12" t="n"/>
      <c r="N59" s="12" t="n"/>
      <c r="O59" s="12" t="n"/>
      <c r="Q59" s="81" t="n"/>
    </row>
    <row r="60" ht="14.25" customHeight="1" s="726">
      <c r="A60" s="10" t="n"/>
      <c r="B60" s="734" t="n"/>
      <c r="C60" s="735" t="n"/>
      <c r="D60" s="735" t="n"/>
      <c r="E60" s="735" t="n"/>
      <c r="F60" s="736" t="n"/>
      <c r="G60" s="12" t="n"/>
      <c r="H60" s="12" t="n"/>
      <c r="I60" s="25" t="n"/>
      <c r="J60" s="12" t="n"/>
      <c r="K60" s="12" t="n"/>
      <c r="L60" s="12" t="n"/>
      <c r="M60" s="12" t="n"/>
      <c r="N60" s="12" t="n"/>
      <c r="O60" s="12" t="n"/>
      <c r="Q60" s="81" t="n"/>
    </row>
    <row r="61" ht="15" customHeight="1" s="726">
      <c r="A61" s="2" t="n"/>
      <c r="B61" s="3" t="n"/>
      <c r="C61" s="3" t="n"/>
      <c r="D61" s="3" t="n"/>
      <c r="E61" s="3" t="n"/>
      <c r="F61" s="3" t="n"/>
      <c r="G61" s="3" t="n"/>
      <c r="H61" s="3" t="n"/>
      <c r="I61" s="25" t="n"/>
      <c r="J61" s="3" t="n"/>
      <c r="K61" s="3" t="n"/>
      <c r="L61" s="3" t="n"/>
      <c r="M61" s="3" t="n"/>
      <c r="N61" s="3" t="n"/>
      <c r="O61" s="3" t="n"/>
      <c r="Q61" s="81" t="n"/>
    </row>
    <row r="62" ht="15" customFormat="1" customHeight="1" s="1">
      <c r="A62" s="6" t="n"/>
      <c r="B62" s="102" t="inlineStr">
        <is>
          <t>表2.2 根据表2.1确定的测试期间和测试阈值，对抽取的样本执行以下程序。</t>
        </is>
      </c>
      <c r="C62" s="102" t="n"/>
      <c r="D62" s="102" t="n"/>
      <c r="E62" s="101" t="n"/>
      <c r="F62" s="103" t="n"/>
      <c r="G62" s="103" t="n"/>
      <c r="H62" s="103" t="n"/>
      <c r="I62" s="103" t="n"/>
      <c r="J62" s="103" t="n"/>
      <c r="K62" s="103" t="n"/>
      <c r="L62" s="103" t="n"/>
      <c r="M62" s="101" t="n"/>
      <c r="N62" s="101" t="n"/>
      <c r="O62" s="101" t="n"/>
      <c r="P62" s="6" t="n"/>
      <c r="Q62" s="40" t="n"/>
    </row>
    <row r="63" ht="16.5" customHeight="1" s="726">
      <c r="A63" s="2" t="n"/>
      <c r="B63" s="94" t="inlineStr">
        <is>
          <t>为确保银行账户余额调节项的完整性，我们针对具有余额调节项的银行账户、以及我们已识别出余额调节项完整性存在重大错报风险的银行账户，获取期后银行流水。我们记录了使用该截止期间的理由，并完成了测试。</t>
        </is>
      </c>
      <c r="C63" s="9" t="n"/>
      <c r="D63" s="9" t="n"/>
      <c r="E63" s="9" t="n"/>
      <c r="F63" s="12" t="n"/>
      <c r="G63" s="12" t="n"/>
      <c r="H63" s="12" t="n"/>
      <c r="I63" s="25" t="n"/>
      <c r="J63" s="27" t="n"/>
      <c r="L63" s="12" t="n"/>
      <c r="M63" s="12" t="n"/>
      <c r="N63" s="12" t="n"/>
      <c r="O63" s="3" t="n"/>
      <c r="Q63" s="81" t="n"/>
    </row>
    <row r="64" ht="16.5" customHeight="1" s="726">
      <c r="A64" s="2" t="n"/>
      <c r="B64" s="18" t="inlineStr">
        <is>
          <t>|-----------------------------------------------------------------------------------------------------------------------------银行流水-------------------------------------------------------------------------------------------------------------------------------------------|</t>
        </is>
      </c>
      <c r="C64" s="9" t="n"/>
      <c r="D64" s="9" t="n"/>
      <c r="E64" s="9" t="n"/>
      <c r="F64" s="12" t="n"/>
      <c r="G64" s="12" t="n"/>
      <c r="H64" s="12" t="n"/>
      <c r="I64" s="25" t="n"/>
      <c r="J64" s="18" t="inlineStr">
        <is>
          <t>|-----------------------管理层会计账簿--------------------|</t>
        </is>
      </c>
      <c r="L64" s="12" t="n"/>
      <c r="M64" s="12" t="n"/>
      <c r="N64" s="12" t="n"/>
      <c r="O64" s="3" t="n"/>
      <c r="Q64" s="81" t="n"/>
    </row>
    <row r="65" ht="49.5" customHeight="1" s="726">
      <c r="A65" s="2" t="n"/>
      <c r="B65" s="209" t="inlineStr">
        <is>
          <t>样本编号</t>
        </is>
      </c>
      <c r="C65" s="210" t="inlineStr">
        <is>
          <t>公司名称</t>
        </is>
      </c>
      <c r="D65" s="210" t="inlineStr">
        <is>
          <t>银行名称</t>
        </is>
      </c>
      <c r="E65" s="210" t="inlineStr">
        <is>
          <t>银行账号</t>
        </is>
      </c>
      <c r="F65" s="203" t="inlineStr">
        <is>
          <t>银行记录的
交易日期/结算日期</t>
        </is>
      </c>
      <c r="G65" s="210" t="inlineStr">
        <is>
          <t>交易编号</t>
        </is>
      </c>
      <c r="H65" s="210" t="inlineStr">
        <is>
          <t>币种</t>
        </is>
      </c>
      <c r="I65" s="201" t="inlineStr">
        <is>
          <t>金额
(收款填列正数，付款填列负数）</t>
        </is>
      </c>
      <c r="J65" s="201" t="inlineStr">
        <is>
          <t>凭证类型号
（期后）</t>
        </is>
      </c>
      <c r="K65" s="201" t="inlineStr">
        <is>
          <t>账面记录的
交易日期</t>
        </is>
      </c>
      <c r="L65" s="211" t="inlineStr">
        <is>
          <t>该笔交易是否应当计入期末余额调节表？</t>
        </is>
      </c>
      <c r="M65" s="211" t="inlineStr">
        <is>
          <t>该笔交易是否应当计入当期账面？</t>
        </is>
      </c>
      <c r="N65" s="212" t="inlineStr">
        <is>
          <t>该笔交易是否按照相关会计准则进行了恰当的处理？</t>
        </is>
      </c>
      <c r="O65" s="213" t="inlineStr">
        <is>
          <t>备注</t>
        </is>
      </c>
      <c r="Q65" s="81" t="n"/>
    </row>
    <row r="66" ht="15" customHeight="1" s="726">
      <c r="A66" s="2" t="n"/>
      <c r="B66" s="395" t="n"/>
      <c r="C66" s="396" t="n"/>
      <c r="D66" s="396" t="n"/>
      <c r="E66" s="519" t="n"/>
      <c r="F66" s="397" t="n"/>
      <c r="G66" s="519" t="n"/>
      <c r="H66" s="396" t="n"/>
      <c r="I66" s="865" t="n"/>
      <c r="J66" s="396" t="n"/>
      <c r="K66" s="397" t="n"/>
      <c r="L66" s="398" t="n"/>
      <c r="M66" s="398" t="n"/>
      <c r="N66" s="398" t="n"/>
      <c r="O66" s="287" t="n"/>
      <c r="Q66" s="81" t="n"/>
    </row>
    <row r="67" ht="15" customHeight="1" s="726">
      <c r="A67" s="2" t="n"/>
      <c r="B67" s="395" t="n"/>
      <c r="C67" s="396" t="n"/>
      <c r="D67" s="396" t="n"/>
      <c r="E67" s="519" t="n"/>
      <c r="F67" s="397" t="n"/>
      <c r="G67" s="519" t="n"/>
      <c r="H67" s="396" t="n"/>
      <c r="I67" s="865" t="n"/>
      <c r="J67" s="396" t="n"/>
      <c r="K67" s="397" t="n"/>
      <c r="L67" s="398" t="n"/>
      <c r="M67" s="398" t="n"/>
      <c r="N67" s="398" t="n"/>
      <c r="O67" s="287" t="n"/>
      <c r="Q67" s="81" t="n"/>
    </row>
    <row r="68" ht="15" customHeight="1" s="726">
      <c r="A68" s="2" t="n"/>
      <c r="B68" s="395" t="n"/>
      <c r="C68" s="396" t="n"/>
      <c r="D68" s="396" t="n"/>
      <c r="E68" s="519" t="n"/>
      <c r="F68" s="397" t="n"/>
      <c r="G68" s="519" t="n"/>
      <c r="H68" s="396" t="n"/>
      <c r="I68" s="865" t="n"/>
      <c r="J68" s="396" t="n"/>
      <c r="K68" s="397" t="n"/>
      <c r="L68" s="398" t="n"/>
      <c r="M68" s="398" t="n"/>
      <c r="N68" s="398" t="n"/>
      <c r="O68" s="287" t="n"/>
      <c r="Q68" s="81" t="n"/>
    </row>
    <row r="69" ht="15" customHeight="1" s="726">
      <c r="A69" s="2" t="n"/>
      <c r="B69" s="395" t="n"/>
      <c r="C69" s="396" t="n"/>
      <c r="D69" s="396" t="n"/>
      <c r="E69" s="519" t="n"/>
      <c r="F69" s="397" t="n"/>
      <c r="G69" s="519" t="n"/>
      <c r="H69" s="396" t="n"/>
      <c r="I69" s="865" t="n"/>
      <c r="J69" s="396" t="n"/>
      <c r="K69" s="397" t="n"/>
      <c r="L69" s="398" t="n"/>
      <c r="M69" s="398" t="n"/>
      <c r="N69" s="398" t="n"/>
      <c r="O69" s="287" t="n"/>
      <c r="Q69" s="81" t="n"/>
    </row>
    <row r="70" ht="15" customHeight="1" s="726">
      <c r="A70" s="2" t="n"/>
      <c r="B70" s="399" t="n"/>
      <c r="C70" s="400" t="n"/>
      <c r="D70" s="400" t="n"/>
      <c r="E70" s="520" t="n"/>
      <c r="F70" s="401" t="n"/>
      <c r="G70" s="520" t="n"/>
      <c r="H70" s="400" t="n"/>
      <c r="I70" s="866" t="n"/>
      <c r="J70" s="400" t="n"/>
      <c r="K70" s="401" t="n"/>
      <c r="L70" s="402" t="n"/>
      <c r="M70" s="402" t="n"/>
      <c r="N70" s="402" t="n"/>
      <c r="O70" s="288" t="n"/>
      <c r="Q70" s="81" t="n"/>
    </row>
    <row r="71" ht="15" customHeight="1" s="726">
      <c r="Q71" s="81" t="n"/>
    </row>
    <row r="72" ht="7.5" customHeight="1" s="726">
      <c r="A72" s="80" t="n"/>
      <c r="B72" s="81" t="n"/>
      <c r="C72" s="81" t="n"/>
      <c r="D72" s="81" t="n"/>
      <c r="E72" s="81" t="n"/>
      <c r="F72" s="81" t="n"/>
      <c r="G72" s="81" t="n"/>
      <c r="H72" s="81" t="n"/>
      <c r="I72" s="81" t="n"/>
      <c r="J72" s="81" t="n"/>
      <c r="K72" s="81" t="n"/>
      <c r="L72" s="81" t="n"/>
      <c r="M72" s="81" t="n"/>
      <c r="N72" s="81" t="n"/>
      <c r="O72" s="81" t="n"/>
      <c r="P72" s="81" t="n"/>
      <c r="Q72" s="81" t="n"/>
    </row>
    <row r="73" customFormat="1" s="25">
      <c r="A73" s="422" t="n"/>
    </row>
  </sheetData>
  <mergeCells count="6">
    <mergeCell ref="H39:I39"/>
    <mergeCell ref="C54:D54"/>
    <mergeCell ref="H46:I46"/>
    <mergeCell ref="C55:D55"/>
    <mergeCell ref="B11:F13"/>
    <mergeCell ref="B58:F60"/>
  </mergeCells>
  <conditionalFormatting sqref="B11">
    <cfRule type="containsBlanks" priority="8" dxfId="0">
      <formula>LEN(TRIM(B11))=0</formula>
    </cfRule>
  </conditionalFormatting>
  <conditionalFormatting sqref="B55 B66:N70">
    <cfRule type="containsBlanks" priority="11" dxfId="0">
      <formula>LEN(TRIM(B55))=0</formula>
    </cfRule>
  </conditionalFormatting>
  <conditionalFormatting sqref="B58">
    <cfRule type="containsBlanks" priority="7" dxfId="0">
      <formula>LEN(TRIM(B58))=0</formula>
    </cfRule>
  </conditionalFormatting>
  <conditionalFormatting sqref="B24:C24 B26:C29 B31:C34 E24:F24 E26:F29 E31:F34">
    <cfRule type="containsBlanks" priority="10" dxfId="0">
      <formula>LEN(TRIM(B24))=0</formula>
    </cfRule>
  </conditionalFormatting>
  <conditionalFormatting sqref="C41:I42">
    <cfRule type="containsBlanks" priority="2" dxfId="0">
      <formula>LEN(TRIM(C41))=0</formula>
    </cfRule>
  </conditionalFormatting>
  <conditionalFormatting sqref="C48:I49">
    <cfRule type="containsBlanks" priority="1" dxfId="0">
      <formula>LEN(TRIM(C48))=0</formula>
    </cfRule>
  </conditionalFormatting>
  <dataValidations count="2">
    <dataValidation sqref="H41:I42 H48:I49" showDropDown="0" showInputMessage="1" showErrorMessage="0" allowBlank="1" type="list">
      <formula1>"Y,N"</formula1>
    </dataValidation>
    <dataValidation sqref="L66:N70" showDropDown="0" showInputMessage="1" showErrorMessage="1" allowBlank="1" type="list">
      <formula1>"是,否"</formula1>
    </dataValidation>
  </dataValidations>
  <hyperlinks>
    <hyperlink ref="B4" location="汇总!A1" display="返回汇总页"/>
  </hyperlinks>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CB9"/>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eeeed53b-601b-44e6-955e-6804b16b6e43</t>
        </is>
      </c>
      <c r="B1" s="0" t="inlineStr">
        <is>
          <t>EK1VPTZQYW1SK1ZCSSX1TFXSMTRW6EZZCSTEX1RCV91HG0PZA5VG</t>
        </is>
      </c>
      <c r="C1" s="0" t="inlineStr">
        <is>
          <t>Emma JH He</t>
        </is>
      </c>
      <c r="D1" s="0" t="n">
        <v>8</v>
      </c>
      <c r="E1" s="0" t="n">
        <v>1751464339955</v>
      </c>
      <c r="F1" s="0" t="inlineStr">
        <is>
          <t>P05SRP1JWHRBZSZJ6GRB81DBD3Q4W40RJFZ7YS60HXFQ91H292GG</t>
        </is>
      </c>
      <c r="G1" s="0" t="inlineStr">
        <is>
          <t>Johnny ZZ Zhang</t>
        </is>
      </c>
      <c r="H1" s="0" t="n">
        <v>0</v>
      </c>
      <c r="I1" s="0" t="n">
        <v>1751860621568</v>
      </c>
      <c r="J1" s="0" t="inlineStr">
        <is>
          <t>NR93MKF35EZT8NW1W2JRPKWHHB4VZTM96EX8FEVDTX6MGAD6996G</t>
        </is>
      </c>
      <c r="K1" s="0" t="inlineStr">
        <is>
          <t>Amanda Liang</t>
        </is>
      </c>
      <c r="L1" s="0" t="n">
        <v>0</v>
      </c>
      <c r="M1" s="0" t="n">
        <v>1752834134621</v>
      </c>
      <c r="N1" s="0" t="inlineStr">
        <is>
          <t>ZF1ETMEZC9QN6WPB23AEWKHPFR4F55CRNQ1D0B5WT7MED0ZKWWQG</t>
        </is>
      </c>
      <c r="O1" s="0" t="inlineStr">
        <is>
          <t>Amy LQ Chen</t>
        </is>
      </c>
      <c r="P1" s="0" t="n">
        <v>0</v>
      </c>
      <c r="Q1" s="0" t="n">
        <v>1753068567359</v>
      </c>
      <c r="R1" s="0" t="inlineStr">
        <is>
          <t>G8F8ENVNS6NVQW7T8WXX38NRT9C6F65ED0E0GS4RDRPHKPE6JYW0</t>
        </is>
      </c>
      <c r="S1" s="0" t="inlineStr">
        <is>
          <t>Yao CY C Chen</t>
        </is>
      </c>
      <c r="T1" s="0" t="n">
        <v>0</v>
      </c>
      <c r="U1" s="0" t="n">
        <v>1753077658560</v>
      </c>
      <c r="V1" s="0" t="inlineStr">
        <is>
          <t>9QKVRYJWFZ38Q15SSC9F8R37HJH3965E74F5R92CN1PGMMZQECQ0</t>
        </is>
      </c>
      <c r="W1" s="0" t="inlineStr">
        <is>
          <t>Dan Y Yao</t>
        </is>
      </c>
      <c r="X1" s="0" t="n">
        <v>0</v>
      </c>
      <c r="Y1" s="0" t="n">
        <v>1753261287448</v>
      </c>
      <c r="Z1" s="0" t="inlineStr">
        <is>
          <t>27MRN2CY230YGQCH5SHPY9FGVAKPSVTQCEV49DCFDFF8H9XCQEK0</t>
        </is>
      </c>
      <c r="AA1" s="0" t="inlineStr">
        <is>
          <t>Tian T Ma</t>
        </is>
      </c>
      <c r="AB1" s="0" t="n">
        <v>0</v>
      </c>
      <c r="AC1" s="0" t="n">
        <v>1753327233859</v>
      </c>
      <c r="AD1" s="0" t="inlineStr">
        <is>
          <t>NJCBKWVS3J4F3HCA2MJBBCQ6HKD0ZSBEP3AX4S89TK4M9EY3DH60</t>
        </is>
      </c>
      <c r="AE1" s="0" t="inlineStr">
        <is>
          <t>Phoebe YH Wang</t>
        </is>
      </c>
      <c r="AF1" s="0" t="n">
        <v>0</v>
      </c>
      <c r="AG1" s="0" t="n">
        <v>1753521120193</v>
      </c>
      <c r="AH1" s="0" t="inlineStr">
        <is>
          <t>0NH4V0JHYJAK9FNS2C3A0N364JCC7PKKF342WDR5FWZZYXJHKXA0</t>
        </is>
      </c>
      <c r="AI1" s="0" t="inlineStr">
        <is>
          <t>Trista CF Li</t>
        </is>
      </c>
      <c r="AJ1" s="0" t="n">
        <v>0</v>
      </c>
      <c r="AK1" s="0" t="n">
        <v>1753770430430</v>
      </c>
      <c r="AL1" s="0" t="inlineStr">
        <is>
          <t>T5WMV5MGJB59WZ0K302MPWMWM5G98C28W9B39WCZBPJXG5847NB0</t>
        </is>
      </c>
      <c r="AM1" s="0" t="inlineStr">
        <is>
          <t>Grace YT Dai</t>
        </is>
      </c>
      <c r="AN1" s="0" t="n">
        <v>0</v>
      </c>
      <c r="AO1" s="0" t="n">
        <v>1754012993764</v>
      </c>
      <c r="AP1" s="0" t="inlineStr">
        <is>
          <t>Q775XYNM7JGDVAMWSN3NR5KKNQM5NY4YPDM7W5EXVBGM3AB475NG</t>
        </is>
      </c>
      <c r="AQ1" s="0" t="inlineStr">
        <is>
          <t>Maikey Jin</t>
        </is>
      </c>
      <c r="AR1" s="0" t="n">
        <v>0</v>
      </c>
      <c r="AS1" s="0" t="n">
        <v>1754359855401</v>
      </c>
      <c r="AT1" s="0" t="inlineStr">
        <is>
          <t>MQFDQD6SPH3FMJP2N0PQQ3N4PZ6XNH4T373A7HWSDE5TZ4A7V1DG</t>
        </is>
      </c>
      <c r="AU1" s="0" t="inlineStr">
        <is>
          <t>Zelda Zhang</t>
        </is>
      </c>
      <c r="AV1" s="0" t="n">
        <v>0</v>
      </c>
      <c r="AW1" s="0" t="n">
        <v>1754466118431</v>
      </c>
      <c r="AX1" s="0" t="inlineStr">
        <is>
          <t>8X7PYVP8C2C8T1HKPQQ1PKFG36HNJ659HK0KPRNFKDH93TMYMDE0</t>
        </is>
      </c>
      <c r="AY1" s="0" t="inlineStr">
        <is>
          <t>Xiao Yu Q Quan</t>
        </is>
      </c>
      <c r="AZ1" s="0" t="n">
        <v>0</v>
      </c>
      <c r="BA1" s="0" t="n">
        <v>1754550754141</v>
      </c>
      <c r="BB1" s="0" t="inlineStr">
        <is>
          <t>EK1VPTZQYW1SK1ZCSSX1TFXSMTRW6EZZCSTEX1RCV91HG0PZA5VG</t>
        </is>
      </c>
      <c r="BC1" s="0" t="inlineStr">
        <is>
          <t>Emma JH He</t>
        </is>
      </c>
      <c r="BD1" s="0" t="n">
        <v>0</v>
      </c>
      <c r="BE1" s="0" t="n">
        <v>1754709799183</v>
      </c>
      <c r="BF1" s="0" t="inlineStr">
        <is>
          <t>N1FE23EA0HB4RD6ESRZ7MT3ECXZH00MXQ7GF84AR1B34JWH1CQMG</t>
        </is>
      </c>
      <c r="BG1" s="0" t="inlineStr">
        <is>
          <t>Ashley YT He</t>
        </is>
      </c>
      <c r="BH1" s="0" t="n">
        <v>0</v>
      </c>
      <c r="BI1" s="0" t="n">
        <v>1755076525612</v>
      </c>
      <c r="BJ1" s="0" t="inlineStr">
        <is>
          <t>1P2X1MX3XYWCZ8E2MX2Y07YGB3MV287QRPBD8BFP4A63CGJFS7B0</t>
        </is>
      </c>
      <c r="BK1" s="0" t="inlineStr">
        <is>
          <t>Evelyn Z Zhao</t>
        </is>
      </c>
      <c r="BL1" s="0" t="n">
        <v>0</v>
      </c>
      <c r="BM1" s="0" t="n">
        <v>1755243753054</v>
      </c>
      <c r="BN1" s="0" t="inlineStr">
        <is>
          <t>4Z823YQ6WWHKP2SQZKRFWA1MQC85C4TFW8ZXK53HW5GKX3JEZQ00</t>
        </is>
      </c>
      <c r="BO1" s="0" t="inlineStr">
        <is>
          <t>Nina XY Wang</t>
        </is>
      </c>
      <c r="BP1" s="0" t="n">
        <v>0</v>
      </c>
      <c r="BQ1" s="0" t="n">
        <v>1755761503360</v>
      </c>
      <c r="BR1" s="0" t="inlineStr">
        <is>
          <t>ESRXDMFF301213JT3ZH9F7ZDSK4QQHFF3A9ZCB0821P05Y900W90</t>
        </is>
      </c>
      <c r="BS1" s="0" t="inlineStr">
        <is>
          <t>Alina Ye</t>
        </is>
      </c>
      <c r="BT1" s="0" t="n">
        <v>0</v>
      </c>
      <c r="BU1" s="0" t="n">
        <v>1756273424843</v>
      </c>
      <c r="BV1" s="0" t="inlineStr">
        <is>
          <t>1JJHW2RA71BEV946RAW422BAFRW2GJRNFVYMYNDMNYRGVF7ER4E0</t>
        </is>
      </c>
      <c r="BW1" s="0" t="inlineStr">
        <is>
          <t>Summer CH Hu</t>
        </is>
      </c>
      <c r="BX1" s="0" t="n">
        <v>0</v>
      </c>
      <c r="BY1" s="0" t="n">
        <v>1756431653582</v>
      </c>
      <c r="BZ1" s="0" t="inlineStr">
        <is>
          <t>NCN9GVS7YB2ETCVN7MZBV9G447DJ76R2C78P4GRG46G7PJNY5X10</t>
        </is>
      </c>
      <c r="CA1" s="0" t="inlineStr">
        <is>
          <t>Ke Xin Fan</t>
        </is>
      </c>
      <c r="CB1" s="0" t="n">
        <v>0</v>
      </c>
    </row>
    <row r="2">
      <c r="A2" s="0" t="n">
        <v>1749106372694</v>
      </c>
      <c r="B2" s="0" t="inlineStr">
        <is>
          <t>Create</t>
        </is>
      </c>
      <c r="C2" s="0" t="inlineStr">
        <is>
          <t>4d895e99-0076-4ce6-a07c-eae6f4396c83</t>
        </is>
      </c>
      <c r="D2" s="0" t="inlineStr">
        <is>
          <t>{"id":"4d895e99-0076-4ce6-a07c-eae6f4396c83","type":1,"name":"workbookId","value":"8e03150b-6290-47d2-9799-c039157425db"}</t>
        </is>
      </c>
    </row>
    <row r="3">
      <c r="A3" s="0" t="n">
        <v>1749106372700</v>
      </c>
      <c r="B3" s="0" t="inlineStr">
        <is>
          <t>Create</t>
        </is>
      </c>
      <c r="C3" s="0" t="inlineStr">
        <is>
          <t>db0c4ca0-43c9-429a-8749-8452749cb519</t>
        </is>
      </c>
      <c r="D3" s="0" t="inlineStr">
        <is>
          <t>{"id":"db0c4ca0-43c9-429a-8749-8452749cb519","type":0,"name":"dataSnipperSheetDeleted","value":"false"}</t>
        </is>
      </c>
    </row>
    <row r="4">
      <c r="A4" s="0" t="n">
        <v>1749106372700</v>
      </c>
      <c r="B4" s="0" t="inlineStr">
        <is>
          <t>Create</t>
        </is>
      </c>
      <c r="C4" s="0" t="inlineStr">
        <is>
          <t>28d3a200-1630-41ff-890e-d4b73a275b50</t>
        </is>
      </c>
      <c r="D4" s="0" t="inlineStr">
        <is>
          <t>{"id":"28d3a200-1630-41ff-890e-d4b73a275b50","type":0,"name":"embed-documents","value":"false"}</t>
        </is>
      </c>
    </row>
    <row r="5">
      <c r="A5" s="0" t="n">
        <v>1749106372700</v>
      </c>
      <c r="B5" s="0" t="inlineStr">
        <is>
          <t>Create</t>
        </is>
      </c>
      <c r="C5" s="0" t="inlineStr">
        <is>
          <t>2108dc9d-adff-451a-96e4-5ea47b3d353e</t>
        </is>
      </c>
      <c r="D5" s="0" t="inlineStr">
        <is>
          <t>{"id":"2108dc9d-adff-451a-96e4-5ea47b3d353e","type":0,"name":"table-snip-suggestions","value":"true"}</t>
        </is>
      </c>
    </row>
    <row r="6">
      <c r="A6" s="0" t="n">
        <v>1749106372700</v>
      </c>
      <c r="B6" s="0" t="inlineStr">
        <is>
          <t>Create</t>
        </is>
      </c>
      <c r="C6" s="0" t="inlineStr">
        <is>
          <t>ddf7c936-ddfe-42a1-923d-e157aa62580c</t>
        </is>
      </c>
      <c r="D6" s="0" t="inlineStr">
        <is>
          <t>{"id":"ddf7c936-ddfe-42a1-923d-e157aa62580c","type":1,"name":"migratedFssProjectId","value":""}</t>
        </is>
      </c>
    </row>
    <row r="7">
      <c r="A7" s="0" t="n">
        <v>1749106372844</v>
      </c>
      <c r="B7" s="0" t="inlineStr">
        <is>
          <t>Create</t>
        </is>
      </c>
      <c r="C7" s="0" t="inlineStr">
        <is>
          <t>4d895e99-0076-4ce6-a07c-eae6f4396c83</t>
        </is>
      </c>
      <c r="D7" s="0" t="inlineStr">
        <is>
          <t>{"id":"4d895e99-0076-4ce6-a07c-eae6f4396c83","type":1,"name":"workbookId","value":"f30fc162-3bc9-4689-aa89-d96cf6ca3770"}</t>
        </is>
      </c>
    </row>
    <row r="8">
      <c r="A8" s="0" t="n">
        <v>1749106372850</v>
      </c>
      <c r="B8" s="0" t="inlineStr">
        <is>
          <t>Create</t>
        </is>
      </c>
      <c r="C8" s="0" t="inlineStr">
        <is>
          <t>db0c4ca0-43c9-429a-8749-8452749cb519</t>
        </is>
      </c>
      <c r="D8" s="0" t="inlineStr">
        <is>
          <t>{"id":"db0c4ca0-43c9-429a-8749-8452749cb519","type":0,"name":"dataSnipperSheetDeleted","value":"true"}</t>
        </is>
      </c>
    </row>
    <row r="9">
      <c r="A9" s="0" t="n">
        <v>1749106372854</v>
      </c>
      <c r="B9" s="0" t="inlineStr">
        <is>
          <t>Create</t>
        </is>
      </c>
      <c r="C9" s="0" t="inlineStr">
        <is>
          <t>28d3a200-1630-41ff-890e-d4b73a275b50</t>
        </is>
      </c>
      <c r="D9" s="0" t="inlineStr">
        <is>
          <t>{"id":"28d3a200-1630-41ff-890e-d4b73a275b50","type":0,"name":"embed-documents","value":"true"}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10494d48-2075-434b-9659-7b6bf83a94c8</t>
        </is>
      </c>
      <c r="B1" s="0" t="inlineStr">
        <is>
          <t>EK1VPTZQYW1SK1ZCSSX1TFXSMTRW6EZZCSTEX1RCV91HG0PZA5VG</t>
        </is>
      </c>
      <c r="C1" s="0" t="inlineStr">
        <is>
          <t>Emma JH He</t>
        </is>
      </c>
      <c r="D1" s="0" t="n">
        <v>0</v>
      </c>
      <c r="E1" s="0" t="n">
        <v>1751464340324</v>
      </c>
      <c r="F1" s="0" t="inlineStr">
        <is>
          <t>P05SRP1JWHRBZSZJ6GRB81DBD3Q4W40RJFZ7YS60HXFQ91H292GG</t>
        </is>
      </c>
      <c r="G1" s="0" t="inlineStr">
        <is>
          <t>Johnny ZZ Zhang</t>
        </is>
      </c>
      <c r="H1" s="0" t="n">
        <v>0</v>
      </c>
      <c r="I1" s="0" t="n">
        <v>1751860621713</v>
      </c>
      <c r="J1" s="0" t="inlineStr">
        <is>
          <t>NR93MKF35EZT8NW1W2JRPKWHHB4VZTM96EX8FEVDTX6MGAD6996G</t>
        </is>
      </c>
      <c r="K1" s="0" t="inlineStr">
        <is>
          <t>Amanda Liang</t>
        </is>
      </c>
      <c r="L1" s="0" t="n">
        <v>0</v>
      </c>
      <c r="M1" s="0" t="n">
        <v>1752834134751</v>
      </c>
      <c r="N1" s="0" t="inlineStr">
        <is>
          <t>ZF1ETMEZC9QN6WPB23AEWKHPFR4F55CRNQ1D0B5WT7MED0ZKWWQG</t>
        </is>
      </c>
      <c r="O1" s="0" t="inlineStr">
        <is>
          <t>Amy LQ Chen</t>
        </is>
      </c>
      <c r="P1" s="0" t="n">
        <v>0</v>
      </c>
      <c r="Q1" s="0" t="n">
        <v>1753068567868</v>
      </c>
      <c r="R1" s="0" t="inlineStr">
        <is>
          <t>G8F8ENVNS6NVQW7T8WXX38NRT9C6F65ED0E0GS4RDRPHKPE6JYW0</t>
        </is>
      </c>
      <c r="S1" s="0" t="inlineStr">
        <is>
          <t>Yao CY C Chen</t>
        </is>
      </c>
      <c r="T1" s="0" t="n">
        <v>0</v>
      </c>
      <c r="U1" s="0" t="n">
        <v>1753077659548</v>
      </c>
      <c r="V1" s="0" t="inlineStr">
        <is>
          <t>9QKVRYJWFZ38Q15SSC9F8R37HJH3965E74F5R92CN1PGMMZQECQ0</t>
        </is>
      </c>
      <c r="W1" s="0" t="inlineStr">
        <is>
          <t>Dan Y Yao</t>
        </is>
      </c>
      <c r="X1" s="0" t="n">
        <v>0</v>
      </c>
      <c r="Y1" s="0" t="n">
        <v>1753261287755</v>
      </c>
      <c r="Z1" s="0" t="inlineStr">
        <is>
          <t>27MRN2CY230YGQCH5SHPY9FGVAKPSVTQCEV49DCFDFF8H9XCQEK0</t>
        </is>
      </c>
      <c r="AA1" s="0" t="inlineStr">
        <is>
          <t>Tian T Ma</t>
        </is>
      </c>
      <c r="AB1" s="0" t="n">
        <v>0</v>
      </c>
      <c r="AC1" s="0" t="n">
        <v>1753327234296</v>
      </c>
      <c r="AD1" s="0" t="inlineStr">
        <is>
          <t>NJCBKWVS3J4F3HCA2MJBBCQ6HKD0ZSBEP3AX4S89TK4M9EY3DH60</t>
        </is>
      </c>
      <c r="AE1" s="0" t="inlineStr">
        <is>
          <t>Phoebe YH Wang</t>
        </is>
      </c>
      <c r="AF1" s="0" t="n">
        <v>0</v>
      </c>
      <c r="AG1" s="0" t="n">
        <v>1753521120283</v>
      </c>
      <c r="AH1" s="0" t="inlineStr">
        <is>
          <t>0NH4V0JHYJAK9FNS2C3A0N364JCC7PKKF342WDR5FWZZYXJHKXA0</t>
        </is>
      </c>
      <c r="AI1" s="0" t="inlineStr">
        <is>
          <t>Trista CF Li</t>
        </is>
      </c>
      <c r="AJ1" s="0" t="n">
        <v>0</v>
      </c>
      <c r="AK1" s="0" t="n">
        <v>1753770431523</v>
      </c>
      <c r="AL1" s="0" t="inlineStr">
        <is>
          <t>T5WMV5MGJB59WZ0K302MPWMWM5G98C28W9B39WCZBPJXG5847NB0</t>
        </is>
      </c>
      <c r="AM1" s="0" t="inlineStr">
        <is>
          <t>Grace YT Dai</t>
        </is>
      </c>
      <c r="AN1" s="0" t="n">
        <v>0</v>
      </c>
      <c r="AO1" s="0" t="n">
        <v>1754012994953</v>
      </c>
      <c r="AP1" s="0" t="inlineStr">
        <is>
          <t>Q775XYNM7JGDVAMWSN3NR5KKNQM5NY4YPDM7W5EXVBGM3AB475NG</t>
        </is>
      </c>
      <c r="AQ1" s="0" t="inlineStr">
        <is>
          <t>Maikey Jin</t>
        </is>
      </c>
      <c r="AR1" s="0" t="n">
        <v>0</v>
      </c>
      <c r="AS1" s="0" t="n">
        <v>1754359855643</v>
      </c>
      <c r="AT1" s="0" t="inlineStr">
        <is>
          <t>MQFDQD6SPH3FMJP2N0PQQ3N4PZ6XNH4T373A7HWSDE5TZ4A7V1DG</t>
        </is>
      </c>
      <c r="AU1" s="0" t="inlineStr">
        <is>
          <t>Zelda Zhang</t>
        </is>
      </c>
      <c r="AV1" s="0" t="n">
        <v>0</v>
      </c>
      <c r="AW1" s="0" t="n">
        <v>1754466118503</v>
      </c>
      <c r="AX1" s="0" t="inlineStr">
        <is>
          <t>8X7PYVP8C2C8T1HKPQQ1PKFG36HNJ659HK0KPRNFKDH93TMYMDE0</t>
        </is>
      </c>
      <c r="AY1" s="0" t="inlineStr">
        <is>
          <t>Xiao Yu Q Quan</t>
        </is>
      </c>
      <c r="AZ1" s="0" t="n">
        <v>0</v>
      </c>
      <c r="BA1" s="0" t="n">
        <v>1754550754951</v>
      </c>
      <c r="BB1" s="0" t="inlineStr">
        <is>
          <t>EK1VPTZQYW1SK1ZCSSX1TFXSMTRW6EZZCSTEX1RCV91HG0PZA5VG</t>
        </is>
      </c>
      <c r="BC1" s="0" t="inlineStr">
        <is>
          <t>Emma JH He</t>
        </is>
      </c>
      <c r="BD1" s="0" t="n">
        <v>0</v>
      </c>
      <c r="BE1" s="0" t="n">
        <v>1754709799333</v>
      </c>
      <c r="BF1" s="0" t="inlineStr">
        <is>
          <t>N1FE23EA0HB4RD6ESRZ7MT3ECXZH00MXQ7GF84AR1B34JWH1CQMG</t>
        </is>
      </c>
      <c r="BG1" s="0" t="inlineStr">
        <is>
          <t>Ashley YT He</t>
        </is>
      </c>
      <c r="BH1" s="0" t="n">
        <v>0</v>
      </c>
      <c r="BI1" s="0" t="n">
        <v>1755076525699</v>
      </c>
      <c r="BJ1" s="0" t="inlineStr">
        <is>
          <t>1P2X1MX3XYWCZ8E2MX2Y07YGB3MV287QRPBD8BFP4A63CGJFS7B0</t>
        </is>
      </c>
      <c r="BK1" s="0" t="inlineStr">
        <is>
          <t>Evelyn Z Zhao</t>
        </is>
      </c>
      <c r="BL1" s="0" t="n">
        <v>0</v>
      </c>
      <c r="BM1" s="0" t="n">
        <v>1755243753142</v>
      </c>
      <c r="BN1" s="0" t="inlineStr">
        <is>
          <t>4Z823YQ6WWHKP2SQZKRFWA1MQC85C4TFW8ZXK53HW5GKX3JEZQ00</t>
        </is>
      </c>
      <c r="BO1" s="0" t="inlineStr">
        <is>
          <t>Nina XY Wang</t>
        </is>
      </c>
      <c r="BP1" s="0" t="n">
        <v>0</v>
      </c>
      <c r="BQ1" s="0" t="n">
        <v>1755761503365</v>
      </c>
      <c r="BR1" s="0" t="inlineStr">
        <is>
          <t>ESRXDMFF301213JT3ZH9F7ZDSK4QQHFF3A9ZCB0821P05Y900W90</t>
        </is>
      </c>
      <c r="BS1" s="0" t="inlineStr">
        <is>
          <t>Alina Ye</t>
        </is>
      </c>
      <c r="BT1" s="0" t="n">
        <v>0</v>
      </c>
      <c r="BU1" s="0" t="n">
        <v>1756273424871</v>
      </c>
      <c r="BV1" s="0" t="inlineStr">
        <is>
          <t>1JJHW2RA71BEV946RAW422BAFRW2GJRNFVYMYNDMNYRGVF7ER4E0</t>
        </is>
      </c>
      <c r="BW1" s="0" t="inlineStr">
        <is>
          <t>Summer CH Hu</t>
        </is>
      </c>
      <c r="BX1" s="0" t="n">
        <v>0</v>
      </c>
      <c r="BY1" s="0" t="n">
        <v>1756431653662</v>
      </c>
      <c r="BZ1" s="0" t="inlineStr">
        <is>
          <t>NCN9GVS7YB2ETCVN7MZBV9G447DJ76R2C78P4GRG46G7PJNY5X10</t>
        </is>
      </c>
      <c r="CA1" s="0" t="inlineStr">
        <is>
          <t>Ke Xin Fan</t>
        </is>
      </c>
      <c r="CB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428bcb0b-85f7-4c15-9140-3212e12d0e35</t>
        </is>
      </c>
      <c r="B1" s="0" t="inlineStr">
        <is>
          <t>EK1VPTZQYW1SK1ZCSSX1TFXSMTRW6EZZCSTEX1RCV91HG0PZA5VG</t>
        </is>
      </c>
      <c r="C1" s="0" t="inlineStr">
        <is>
          <t>Emma JH He</t>
        </is>
      </c>
      <c r="D1" s="0" t="n">
        <v>0</v>
      </c>
      <c r="E1" s="0" t="n">
        <v>1751464340332</v>
      </c>
      <c r="F1" s="0" t="inlineStr">
        <is>
          <t>P05SRP1JWHRBZSZJ6GRB81DBD3Q4W40RJFZ7YS60HXFQ91H292GG</t>
        </is>
      </c>
      <c r="G1" s="0" t="inlineStr">
        <is>
          <t>Johnny ZZ Zhang</t>
        </is>
      </c>
      <c r="H1" s="0" t="n">
        <v>0</v>
      </c>
      <c r="I1" s="0" t="n">
        <v>1751860621717</v>
      </c>
      <c r="J1" s="0" t="inlineStr">
        <is>
          <t>NR93MKF35EZT8NW1W2JRPKWHHB4VZTM96EX8FEVDTX6MGAD6996G</t>
        </is>
      </c>
      <c r="K1" s="0" t="inlineStr">
        <is>
          <t>Amanda Liang</t>
        </is>
      </c>
      <c r="L1" s="0" t="n">
        <v>0</v>
      </c>
      <c r="M1" s="0" t="n">
        <v>1752834134787</v>
      </c>
      <c r="N1" s="0" t="inlineStr">
        <is>
          <t>ZF1ETMEZC9QN6WPB23AEWKHPFR4F55CRNQ1D0B5WT7MED0ZKWWQG</t>
        </is>
      </c>
      <c r="O1" s="0" t="inlineStr">
        <is>
          <t>Amy LQ Chen</t>
        </is>
      </c>
      <c r="P1" s="0" t="n">
        <v>0</v>
      </c>
      <c r="Q1" s="0" t="n">
        <v>1753068567878</v>
      </c>
      <c r="R1" s="0" t="inlineStr">
        <is>
          <t>G8F8ENVNS6NVQW7T8WXX38NRT9C6F65ED0E0GS4RDRPHKPE6JYW0</t>
        </is>
      </c>
      <c r="S1" s="0" t="inlineStr">
        <is>
          <t>Yao CY C Chen</t>
        </is>
      </c>
      <c r="T1" s="0" t="n">
        <v>0</v>
      </c>
      <c r="U1" s="0" t="n">
        <v>1753077659559</v>
      </c>
      <c r="V1" s="0" t="inlineStr">
        <is>
          <t>9QKVRYJWFZ38Q15SSC9F8R37HJH3965E74F5R92CN1PGMMZQECQ0</t>
        </is>
      </c>
      <c r="W1" s="0" t="inlineStr">
        <is>
          <t>Dan Y Yao</t>
        </is>
      </c>
      <c r="X1" s="0" t="n">
        <v>0</v>
      </c>
      <c r="Y1" s="0" t="n">
        <v>1753261287771</v>
      </c>
      <c r="Z1" s="0" t="inlineStr">
        <is>
          <t>27MRN2CY230YGQCH5SHPY9FGVAKPSVTQCEV49DCFDFF8H9XCQEK0</t>
        </is>
      </c>
      <c r="AA1" s="0" t="inlineStr">
        <is>
          <t>Tian T Ma</t>
        </is>
      </c>
      <c r="AB1" s="0" t="n">
        <v>0</v>
      </c>
      <c r="AC1" s="0" t="n">
        <v>1753327234302</v>
      </c>
      <c r="AD1" s="0" t="inlineStr">
        <is>
          <t>NJCBKWVS3J4F3HCA2MJBBCQ6HKD0ZSBEP3AX4S89TK4M9EY3DH60</t>
        </is>
      </c>
      <c r="AE1" s="0" t="inlineStr">
        <is>
          <t>Phoebe YH Wang</t>
        </is>
      </c>
      <c r="AF1" s="0" t="n">
        <v>0</v>
      </c>
      <c r="AG1" s="0" t="n">
        <v>1753521120289</v>
      </c>
      <c r="AH1" s="0" t="inlineStr">
        <is>
          <t>0NH4V0JHYJAK9FNS2C3A0N364JCC7PKKF342WDR5FWZZYXJHKXA0</t>
        </is>
      </c>
      <c r="AI1" s="0" t="inlineStr">
        <is>
          <t>Trista CF Li</t>
        </is>
      </c>
      <c r="AJ1" s="0" t="n">
        <v>0</v>
      </c>
      <c r="AK1" s="0" t="n">
        <v>1753770431541</v>
      </c>
      <c r="AL1" s="0" t="inlineStr">
        <is>
          <t>T5WMV5MGJB59WZ0K302MPWMWM5G98C28W9B39WCZBPJXG5847NB0</t>
        </is>
      </c>
      <c r="AM1" s="0" t="inlineStr">
        <is>
          <t>Grace YT Dai</t>
        </is>
      </c>
      <c r="AN1" s="0" t="n">
        <v>0</v>
      </c>
      <c r="AO1" s="0" t="n">
        <v>1754012994970</v>
      </c>
      <c r="AP1" s="0" t="inlineStr">
        <is>
          <t>Q775XYNM7JGDVAMWSN3NR5KKNQM5NY4YPDM7W5EXVBGM3AB475NG</t>
        </is>
      </c>
      <c r="AQ1" s="0" t="inlineStr">
        <is>
          <t>Maikey Jin</t>
        </is>
      </c>
      <c r="AR1" s="0" t="n">
        <v>0</v>
      </c>
      <c r="AS1" s="0" t="n">
        <v>1754359855652</v>
      </c>
      <c r="AT1" s="0" t="inlineStr">
        <is>
          <t>MQFDQD6SPH3FMJP2N0PQQ3N4PZ6XNH4T373A7HWSDE5TZ4A7V1DG</t>
        </is>
      </c>
      <c r="AU1" s="0" t="inlineStr">
        <is>
          <t>Zelda Zhang</t>
        </is>
      </c>
      <c r="AV1" s="0" t="n">
        <v>0</v>
      </c>
      <c r="AW1" s="0" t="n">
        <v>1754466118551</v>
      </c>
      <c r="AX1" s="0" t="inlineStr">
        <is>
          <t>8X7PYVP8C2C8T1HKPQQ1PKFG36HNJ659HK0KPRNFKDH93TMYMDE0</t>
        </is>
      </c>
      <c r="AY1" s="0" t="inlineStr">
        <is>
          <t>Xiao Yu Q Quan</t>
        </is>
      </c>
      <c r="AZ1" s="0" t="n">
        <v>0</v>
      </c>
      <c r="BA1" s="0" t="n">
        <v>1754550754102</v>
      </c>
      <c r="BB1" s="0" t="inlineStr">
        <is>
          <t>EK1VPTZQYW1SK1ZCSSX1TFXSMTRW6EZZCSTEX1RCV91HG0PZA5VG</t>
        </is>
      </c>
      <c r="BC1" s="0" t="inlineStr">
        <is>
          <t>Emma JH He</t>
        </is>
      </c>
      <c r="BD1" s="0" t="n">
        <v>0</v>
      </c>
      <c r="BE1" s="0" t="n">
        <v>1754709799941</v>
      </c>
      <c r="BF1" s="0" t="inlineStr">
        <is>
          <t>N1FE23EA0HB4RD6ESRZ7MT3ECXZH00MXQ7GF84AR1B34JWH1CQMG</t>
        </is>
      </c>
      <c r="BG1" s="0" t="inlineStr">
        <is>
          <t>Ashley YT He</t>
        </is>
      </c>
      <c r="BH1" s="0" t="n">
        <v>0</v>
      </c>
      <c r="BI1" s="0" t="n">
        <v>1755076526111</v>
      </c>
      <c r="BJ1" s="0" t="inlineStr">
        <is>
          <t>1P2X1MX3XYWCZ8E2MX2Y07YGB3MV287QRPBD8BFP4A63CGJFS7B0</t>
        </is>
      </c>
      <c r="BK1" s="0" t="inlineStr">
        <is>
          <t>Evelyn Z Zhao</t>
        </is>
      </c>
      <c r="BL1" s="0" t="n">
        <v>0</v>
      </c>
      <c r="BM1" s="0" t="n">
        <v>1755243753257</v>
      </c>
      <c r="BN1" s="0" t="inlineStr">
        <is>
          <t>4Z823YQ6WWHKP2SQZKRFWA1MQC85C4TFW8ZXK53HW5GKX3JEZQ00</t>
        </is>
      </c>
      <c r="BO1" s="0" t="inlineStr">
        <is>
          <t>Nina XY Wang</t>
        </is>
      </c>
      <c r="BP1" s="0" t="n">
        <v>0</v>
      </c>
      <c r="BQ1" s="0" t="n">
        <v>1755761503383</v>
      </c>
      <c r="BR1" s="0" t="inlineStr">
        <is>
          <t>ESRXDMFF301213JT3ZH9F7ZDSK4QQHFF3A9ZCB0821P05Y900W90</t>
        </is>
      </c>
      <c r="BS1" s="0" t="inlineStr">
        <is>
          <t>Alina Ye</t>
        </is>
      </c>
      <c r="BT1" s="0" t="n">
        <v>0</v>
      </c>
      <c r="BU1" s="0" t="n">
        <v>1756273424897</v>
      </c>
      <c r="BV1" s="0" t="inlineStr">
        <is>
          <t>1JJHW2RA71BEV946RAW422BAFRW2GJRNFVYMYNDMNYRGVF7ER4E0</t>
        </is>
      </c>
      <c r="BW1" s="0" t="inlineStr">
        <is>
          <t>Summer CH Hu</t>
        </is>
      </c>
      <c r="BX1" s="0" t="n">
        <v>0</v>
      </c>
      <c r="BY1" s="0" t="n">
        <v>1756431654263</v>
      </c>
      <c r="BZ1" s="0" t="inlineStr">
        <is>
          <t>NCN9GVS7YB2ETCVN7MZBV9G447DJ76R2C78P4GRG46G7PJNY5X10</t>
        </is>
      </c>
      <c r="CA1" s="0" t="inlineStr">
        <is>
          <t>Ke Xin Fan</t>
        </is>
      </c>
      <c r="CB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B1"/>
  <sheetViews>
    <sheetView workbookViewId="0">
      <selection activeCell="A1" sqref="A1"/>
    </sheetView>
  </sheetViews>
  <sheetFormatPr baseColWidth="8" defaultColWidth="9" defaultRowHeight="14.25"/>
  <cols>
    <col width="13.125" bestFit="1" customWidth="1" style="726" min="17" max="17"/>
    <col width="12.25" bestFit="1" customWidth="1" style="726" min="49" max="49"/>
    <col width="9.125" bestFit="1" customWidth="1" style="726" min="52" max="52"/>
    <col width="12.25" bestFit="1" customWidth="1" style="726" min="53" max="53"/>
    <col width="9.125" bestFit="1" customWidth="1" style="726" min="56" max="56"/>
    <col width="12.375" bestFit="1" customWidth="1" style="726" min="65" max="65"/>
    <col width="9.125" bestFit="1" customWidth="1" style="726" min="68" max="68"/>
  </cols>
  <sheetData>
    <row r="1">
      <c r="A1" s="0" t="inlineStr">
        <is>
          <t>2387cfac-66ac-4135-8e2c-260239fd35f7</t>
        </is>
      </c>
      <c r="B1" s="0" t="inlineStr">
        <is>
          <t>EK1VPTZQYW1SK1ZCSSX1TFXSMTRW6EZZCSTEX1RCV91HG0PZA5VG</t>
        </is>
      </c>
      <c r="C1" s="0" t="inlineStr">
        <is>
          <t>Emma JH He</t>
        </is>
      </c>
      <c r="D1" s="0" t="n">
        <v>0</v>
      </c>
      <c r="E1" s="0" t="n">
        <v>1751464340337</v>
      </c>
      <c r="F1" s="0" t="inlineStr">
        <is>
          <t>P05SRP1JWHRBZSZJ6GRB81DBD3Q4W40RJFZ7YS60HXFQ91H292GG</t>
        </is>
      </c>
      <c r="G1" s="0" t="inlineStr">
        <is>
          <t>Johnny ZZ Zhang</t>
        </is>
      </c>
      <c r="H1" s="0" t="n">
        <v>0</v>
      </c>
      <c r="I1" s="0" t="n">
        <v>1751860621724</v>
      </c>
      <c r="J1" s="0" t="inlineStr">
        <is>
          <t>NR93MKF35EZT8NW1W2JRPKWHHB4VZTM96EX8FEVDTX6MGAD6996G</t>
        </is>
      </c>
      <c r="K1" s="0" t="inlineStr">
        <is>
          <t>Amanda Liang</t>
        </is>
      </c>
      <c r="L1" s="0" t="n">
        <v>0</v>
      </c>
      <c r="M1" s="0" t="n">
        <v>1752834134844</v>
      </c>
      <c r="N1" s="0" t="inlineStr">
        <is>
          <t>ZF1ETMEZC9QN6WPB23AEWKHPFR4F55CRNQ1D0B5WT7MED0ZKWWQG</t>
        </is>
      </c>
      <c r="O1" s="0" t="inlineStr">
        <is>
          <t>Amy LQ Chen</t>
        </is>
      </c>
      <c r="P1" s="0" t="n">
        <v>0</v>
      </c>
      <c r="Q1" s="0" t="n">
        <v>1753068567895</v>
      </c>
      <c r="R1" s="0" t="inlineStr">
        <is>
          <t>G8F8ENVNS6NVQW7T8WXX38NRT9C6F65ED0E0GS4RDRPHKPE6JYW0</t>
        </is>
      </c>
      <c r="S1" s="0" t="inlineStr">
        <is>
          <t>Yao CY C Chen</t>
        </is>
      </c>
      <c r="T1" s="0" t="n">
        <v>0</v>
      </c>
      <c r="U1" s="0" t="n">
        <v>1753077659566</v>
      </c>
      <c r="V1" s="0" t="inlineStr">
        <is>
          <t>9QKVRYJWFZ38Q15SSC9F8R37HJH3965E74F5R92CN1PGMMZQECQ0</t>
        </is>
      </c>
      <c r="W1" s="0" t="inlineStr">
        <is>
          <t>Dan Y Yao</t>
        </is>
      </c>
      <c r="X1" s="0" t="n">
        <v>0</v>
      </c>
      <c r="Y1" s="0" t="n">
        <v>1753261287783</v>
      </c>
      <c r="Z1" s="0" t="inlineStr">
        <is>
          <t>27MRN2CY230YGQCH5SHPY9FGVAKPSVTQCEV49DCFDFF8H9XCQEK0</t>
        </is>
      </c>
      <c r="AA1" s="0" t="inlineStr">
        <is>
          <t>Tian T Ma</t>
        </is>
      </c>
      <c r="AB1" s="0" t="n">
        <v>0</v>
      </c>
      <c r="AC1" s="0" t="n">
        <v>1753327234307</v>
      </c>
      <c r="AD1" s="0" t="inlineStr">
        <is>
          <t>NJCBKWVS3J4F3HCA2MJBBCQ6HKD0ZSBEP3AX4S89TK4M9EY3DH60</t>
        </is>
      </c>
      <c r="AE1" s="0" t="inlineStr">
        <is>
          <t>Phoebe YH Wang</t>
        </is>
      </c>
      <c r="AF1" s="0" t="n">
        <v>0</v>
      </c>
      <c r="AG1" s="0" t="n">
        <v>1753521120298</v>
      </c>
      <c r="AH1" s="0" t="inlineStr">
        <is>
          <t>0NH4V0JHYJAK9FNS2C3A0N364JCC7PKKF342WDR5FWZZYXJHKXA0</t>
        </is>
      </c>
      <c r="AI1" s="0" t="inlineStr">
        <is>
          <t>Trista CF Li</t>
        </is>
      </c>
      <c r="AJ1" s="0" t="n">
        <v>0</v>
      </c>
      <c r="AK1" s="0" t="n">
        <v>1753770431552</v>
      </c>
      <c r="AL1" s="0" t="inlineStr">
        <is>
          <t>T5WMV5MGJB59WZ0K302MPWMWM5G98C28W9B39WCZBPJXG5847NB0</t>
        </is>
      </c>
      <c r="AM1" s="0" t="inlineStr">
        <is>
          <t>Grace YT Dai</t>
        </is>
      </c>
      <c r="AN1" s="0" t="n">
        <v>0</v>
      </c>
      <c r="AO1" s="0" t="n">
        <v>1754012994982</v>
      </c>
      <c r="AP1" s="0" t="inlineStr">
        <is>
          <t>Q775XYNM7JGDVAMWSN3NR5KKNQM5NY4YPDM7W5EXVBGM3AB475NG</t>
        </is>
      </c>
      <c r="AQ1" s="0" t="inlineStr">
        <is>
          <t>Maikey Jin</t>
        </is>
      </c>
      <c r="AR1" s="0" t="n">
        <v>0</v>
      </c>
      <c r="AS1" s="0" t="n">
        <v>1754359855678</v>
      </c>
      <c r="AT1" s="0" t="inlineStr">
        <is>
          <t>MQFDQD6SPH3FMJP2N0PQQ3N4PZ6XNH4T373A7HWSDE5TZ4A7V1DG</t>
        </is>
      </c>
      <c r="AU1" s="0" t="inlineStr">
        <is>
          <t>Zelda Zhang</t>
        </is>
      </c>
      <c r="AV1" s="0" t="n">
        <v>0</v>
      </c>
      <c r="AW1" s="0" t="n">
        <v>1754466118600</v>
      </c>
      <c r="AX1" s="0" t="inlineStr">
        <is>
          <t>8X7PYVP8C2C8T1HKPQQ1PKFG36HNJ659HK0KPRNFKDH93TMYMDE0</t>
        </is>
      </c>
      <c r="AY1" s="0" t="inlineStr">
        <is>
          <t>Xiao Yu Q Quan</t>
        </is>
      </c>
      <c r="AZ1" s="0" t="n">
        <v>0</v>
      </c>
      <c r="BA1" s="0" t="n">
        <v>1754550755287</v>
      </c>
      <c r="BB1" s="0" t="inlineStr">
        <is>
          <t>EK1VPTZQYW1SK1ZCSSX1TFXSMTRW6EZZCSTEX1RCV91HG0PZA5VG</t>
        </is>
      </c>
      <c r="BC1" s="0" t="inlineStr">
        <is>
          <t>Emma JH He</t>
        </is>
      </c>
      <c r="BD1" s="0" t="n">
        <v>0</v>
      </c>
      <c r="BE1" s="0" t="n">
        <v>1754709799951</v>
      </c>
      <c r="BF1" s="0" t="inlineStr">
        <is>
          <t>N1FE23EA0HB4RD6ESRZ7MT3ECXZH00MXQ7GF84AR1B34JWH1CQMG</t>
        </is>
      </c>
      <c r="BG1" s="0" t="inlineStr">
        <is>
          <t>Ashley YT He</t>
        </is>
      </c>
      <c r="BH1" s="0" t="n">
        <v>0</v>
      </c>
      <c r="BI1" s="0" t="n">
        <v>1755076526124</v>
      </c>
      <c r="BJ1" s="0" t="inlineStr">
        <is>
          <t>1P2X1MX3XYWCZ8E2MX2Y07YGB3MV287QRPBD8BFP4A63CGJFS7B0</t>
        </is>
      </c>
      <c r="BK1" s="0" t="inlineStr">
        <is>
          <t>Evelyn Z Zhao</t>
        </is>
      </c>
      <c r="BL1" s="0" t="n">
        <v>0</v>
      </c>
      <c r="BM1" s="0" t="n">
        <v>1755243753321</v>
      </c>
      <c r="BN1" s="0" t="inlineStr">
        <is>
          <t>4Z823YQ6WWHKP2SQZKRFWA1MQC85C4TFW8ZXK53HW5GKX3JEZQ00</t>
        </is>
      </c>
      <c r="BO1" s="0" t="inlineStr">
        <is>
          <t>Nina XY Wang</t>
        </is>
      </c>
      <c r="BP1" s="0" t="n">
        <v>0</v>
      </c>
      <c r="BQ1" s="0" t="n">
        <v>1755761503402</v>
      </c>
      <c r="BR1" s="0" t="inlineStr">
        <is>
          <t>ESRXDMFF301213JT3ZH9F7ZDSK4QQHFF3A9ZCB0821P05Y900W90</t>
        </is>
      </c>
      <c r="BS1" s="0" t="inlineStr">
        <is>
          <t>Alina Ye</t>
        </is>
      </c>
      <c r="BT1" s="0" t="n">
        <v>0</v>
      </c>
      <c r="BU1" s="0" t="n">
        <v>1756273424921</v>
      </c>
      <c r="BV1" s="0" t="inlineStr">
        <is>
          <t>1JJHW2RA71BEV946RAW422BAFRW2GJRNFVYMYNDMNYRGVF7ER4E0</t>
        </is>
      </c>
      <c r="BW1" s="0" t="inlineStr">
        <is>
          <t>Summer CH Hu</t>
        </is>
      </c>
      <c r="BX1" s="0" t="n">
        <v>0</v>
      </c>
      <c r="BY1" s="0" t="n">
        <v>1756431654276</v>
      </c>
      <c r="BZ1" s="0" t="inlineStr">
        <is>
          <t>NCN9GVS7YB2ETCVN7MZBV9G447DJ76R2C78P4GRG46G7PJNY5X10</t>
        </is>
      </c>
      <c r="CA1" s="0" t="inlineStr">
        <is>
          <t>Ke Xin Fan</t>
        </is>
      </c>
      <c r="CB1" s="0" t="n">
        <v>0</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I21"/>
  <sheetViews>
    <sheetView showGridLines="0" zoomScale="70" zoomScaleNormal="70" zoomScaleSheetLayoutView="90" workbookViewId="0">
      <selection activeCell="E32" sqref="E32"/>
    </sheetView>
  </sheetViews>
  <sheetFormatPr baseColWidth="8" defaultColWidth="9.25" defaultRowHeight="15" customHeight="1"/>
  <cols>
    <col width="2.625" customWidth="1" style="140" min="1" max="1"/>
    <col width="22.25" customWidth="1" style="145" min="2" max="3"/>
    <col width="22.25" customWidth="1" style="128" min="4" max="4"/>
    <col width="23.625" customWidth="1" style="128" min="5" max="5"/>
    <col width="32.875" customWidth="1" style="128" min="6" max="6"/>
    <col width="33" customWidth="1" style="128" min="7" max="7"/>
    <col width="2.625" customWidth="1" style="128" min="8" max="8"/>
    <col width="1.625" customWidth="1" style="128" min="9" max="9"/>
    <col width="9.25" customWidth="1" style="129" min="10" max="10"/>
    <col width="9.25" customWidth="1" style="128" min="11" max="16384"/>
  </cols>
  <sheetData>
    <row r="1" ht="50.1" customFormat="1" customHeight="1" s="118">
      <c r="A1" s="323" t="inlineStr">
        <is>
          <t>cd8846d7-01cb-4e39-99f2-dd3fb53a39f3</t>
        </is>
      </c>
      <c r="B1" s="317" t="inlineStr">
        <is>
          <t>标准工作底稿: C SWP 货币资金</t>
        </is>
      </c>
      <c r="C1" s="318" t="n"/>
      <c r="D1" s="319" t="n"/>
      <c r="E1" s="319" t="n"/>
      <c r="F1" s="319" t="n"/>
      <c r="G1" s="354" t="n"/>
      <c r="H1" s="463" t="n"/>
      <c r="I1" s="464" t="n"/>
    </row>
    <row r="2" ht="30" customFormat="1" customHeight="1" s="121">
      <c r="A2" s="119" t="n"/>
      <c r="B2" s="321" t="inlineStr">
        <is>
          <t>C.02a 外币测算</t>
        </is>
      </c>
      <c r="C2" s="322" t="n"/>
      <c r="D2" s="322" t="n"/>
      <c r="E2" s="322" t="n"/>
      <c r="F2" s="322" t="n"/>
      <c r="G2" s="355" t="n"/>
      <c r="H2" s="119" t="n"/>
      <c r="I2" s="120" t="n"/>
    </row>
    <row r="3" ht="12.75" customFormat="1" customHeight="1" s="118">
      <c r="A3" s="122" t="n"/>
      <c r="H3" s="123" t="n"/>
      <c r="I3" s="124" t="n"/>
    </row>
    <row r="4" ht="16.5" customFormat="1" customHeight="1" s="118">
      <c r="A4" s="122" t="n"/>
      <c r="B4" s="147" t="inlineStr">
        <is>
          <t>返回汇总页</t>
        </is>
      </c>
      <c r="H4" s="123" t="n"/>
      <c r="I4" s="124" t="n"/>
    </row>
    <row r="5" ht="12.75" customFormat="1" customHeight="1" s="118">
      <c r="A5" s="122" t="n"/>
      <c r="H5" s="123" t="n"/>
      <c r="I5" s="124" t="n"/>
    </row>
    <row r="6" ht="16.5" customFormat="1" customHeight="1" s="118">
      <c r="A6" s="122" t="n"/>
      <c r="B6" s="180" t="inlineStr">
        <is>
          <t>外币测算</t>
        </is>
      </c>
      <c r="C6" s="180" t="n"/>
      <c r="D6" s="181" t="n"/>
      <c r="E6" s="181" t="n"/>
      <c r="F6" s="181" t="n"/>
      <c r="G6" s="182" t="n"/>
      <c r="H6" s="122" t="n"/>
      <c r="I6" s="124" t="n"/>
    </row>
    <row r="7" ht="12.75" customFormat="1" customHeight="1" s="129">
      <c r="A7" s="125" t="n"/>
      <c r="C7" s="126" t="n"/>
      <c r="D7" s="43" t="n"/>
      <c r="E7" s="127" t="n"/>
      <c r="F7" s="127" t="n"/>
      <c r="G7" s="127" t="n"/>
      <c r="I7" s="124" t="n"/>
    </row>
    <row r="8" ht="16.5" customHeight="1" s="726">
      <c r="B8" s="522" t="inlineStr">
        <is>
          <t>原币币种</t>
        </is>
      </c>
      <c r="C8" s="523" t="inlineStr">
        <is>
          <t>原币金额</t>
        </is>
      </c>
      <c r="D8" s="523" t="inlineStr">
        <is>
          <t>折算汇率</t>
        </is>
      </c>
      <c r="E8" s="523" t="inlineStr">
        <is>
          <t>折合本位币</t>
        </is>
      </c>
      <c r="F8" s="523" t="inlineStr">
        <is>
          <t>账面本位币金额</t>
        </is>
      </c>
      <c r="G8" s="524" t="inlineStr">
        <is>
          <t>差异</t>
        </is>
      </c>
      <c r="I8" s="124" t="n"/>
    </row>
    <row r="9" ht="12.75" customHeight="1" s="726">
      <c r="B9" s="867" t="inlineStr">
        <is>
          <t>USD</t>
        </is>
      </c>
      <c r="C9" s="868">
        <f>SUMIF('C.00 BKD'!F:F,'C.02a 外币测算'!B9,'C.00 BKD'!G:G)</f>
        <v/>
      </c>
      <c r="D9" s="869" t="n"/>
      <c r="E9" s="868">
        <f>C9*D9</f>
        <v/>
      </c>
      <c r="F9" s="868">
        <f>SUMIF('C.00 BKD'!F:F,'C.02a 外币测算'!B9,'C.00 BKD'!H:H)</f>
        <v/>
      </c>
      <c r="G9" s="870">
        <f>E9-F9</f>
        <v/>
      </c>
      <c r="I9" s="124" t="n"/>
    </row>
    <row r="10" ht="12.75" customHeight="1" s="726">
      <c r="B10" s="528" t="inlineStr">
        <is>
          <t>CNY</t>
        </is>
      </c>
      <c r="C10" s="868">
        <f>SUMIF('C.00 BKD'!F:F,'C.02a 外币测算'!B10,'C.00 BKD'!G:G)</f>
        <v/>
      </c>
      <c r="D10" s="869" t="n"/>
      <c r="E10" s="868">
        <f>C10*D10</f>
        <v/>
      </c>
      <c r="F10" s="868">
        <f>SUMIF('C.00 BKD'!F:F,'C.02a 外币测算'!B10,'C.00 BKD'!H:H)</f>
        <v/>
      </c>
      <c r="G10" s="870">
        <f>E10-F10</f>
        <v/>
      </c>
      <c r="I10" s="124" t="n"/>
    </row>
    <row r="11" ht="12.75" customHeight="1" s="726">
      <c r="B11" s="528" t="inlineStr">
        <is>
          <t>JPY</t>
        </is>
      </c>
      <c r="C11" s="868">
        <f>SUMIF('C.00 BKD'!F:F,'C.02a 外币测算'!B11,'C.00 BKD'!G:G)</f>
        <v/>
      </c>
      <c r="D11" s="869" t="n"/>
      <c r="E11" s="868">
        <f>C11*D11</f>
        <v/>
      </c>
      <c r="F11" s="868">
        <f>SUMIF('C.00 BKD'!F:F,'C.02a 外币测算'!B11,'C.00 BKD'!H:H)</f>
        <v/>
      </c>
      <c r="G11" s="870">
        <f>E11-F11</f>
        <v/>
      </c>
      <c r="I11" s="124" t="n"/>
    </row>
    <row r="12" ht="12.75" customHeight="1" s="726">
      <c r="B12" s="529" t="n"/>
      <c r="C12" s="871">
        <f>SUMIF('C.00 BKD'!F:F,'C.02a 外币测算'!B12,'C.00 BKD'!G:G)</f>
        <v/>
      </c>
      <c r="D12" s="872" t="n"/>
      <c r="E12" s="871">
        <f>C12*D12</f>
        <v/>
      </c>
      <c r="F12" s="871">
        <f>SUMIF('C.00 BKD'!F:F,'C.02a 外币测算'!B12,'C.00 BKD'!H:H)</f>
        <v/>
      </c>
      <c r="G12" s="873">
        <f>E12-F12</f>
        <v/>
      </c>
      <c r="I12" s="124" t="n"/>
    </row>
    <row r="13" ht="17.25" customHeight="1" s="726" thickBot="1">
      <c r="B13" s="45" t="n"/>
      <c r="C13" s="45" t="n"/>
      <c r="D13" s="45" t="n"/>
      <c r="E13" s="45" t="n"/>
      <c r="F13" s="45" t="inlineStr">
        <is>
          <t>合计</t>
        </is>
      </c>
      <c r="G13" s="874">
        <f>SUM(G9:G12)</f>
        <v/>
      </c>
      <c r="I13" s="124" t="n"/>
    </row>
    <row r="14" ht="13.5" customHeight="1" s="726" thickTop="1">
      <c r="B14" s="45" t="n"/>
      <c r="C14" s="45" t="n"/>
      <c r="D14" s="45" t="n"/>
      <c r="E14" s="45" t="n"/>
      <c r="F14" s="45" t="n"/>
      <c r="G14" s="797" t="inlineStr">
        <is>
          <t>RX</t>
        </is>
      </c>
      <c r="I14" s="124" t="n"/>
    </row>
    <row r="15" ht="12.75" customHeight="1" s="726">
      <c r="B15" s="45" t="n"/>
      <c r="C15" s="45" t="n"/>
      <c r="D15" s="45" t="n"/>
      <c r="E15" s="45" t="n"/>
      <c r="F15" s="45" t="n"/>
      <c r="G15" s="45" t="n"/>
      <c r="I15" s="124" t="n"/>
    </row>
    <row r="16" ht="16.5" customHeight="1" s="726">
      <c r="B16" s="142" t="inlineStr">
        <is>
          <t>Notes 我们记录了所使用的资产负债表日汇率来源：[添加资产负债表日汇率公告]</t>
        </is>
      </c>
      <c r="C16" s="142" t="n"/>
      <c r="G16" s="45" t="n"/>
      <c r="I16" s="124" t="n"/>
    </row>
    <row r="17" ht="12.75" customHeight="1" s="726">
      <c r="B17" s="825" t="n"/>
      <c r="C17" s="731" t="n"/>
      <c r="D17" s="731" t="n"/>
      <c r="E17" s="731" t="n"/>
      <c r="F17" s="732" t="n"/>
      <c r="G17" s="45" t="n"/>
      <c r="I17" s="124" t="n"/>
    </row>
    <row r="18" ht="12.75" customHeight="1" s="726">
      <c r="B18" s="769" t="n"/>
      <c r="F18" s="770" t="n"/>
      <c r="G18" s="45" t="n"/>
      <c r="I18" s="124" t="n"/>
    </row>
    <row r="19" ht="12.75" customHeight="1" s="726">
      <c r="B19" s="734" t="n"/>
      <c r="C19" s="735" t="n"/>
      <c r="D19" s="735" t="n"/>
      <c r="E19" s="735" t="n"/>
      <c r="F19" s="736" t="n"/>
      <c r="G19" s="45" t="n"/>
      <c r="I19" s="124" t="n"/>
    </row>
    <row r="20" ht="15" customHeight="1" s="726">
      <c r="I20" s="124" t="n"/>
    </row>
    <row r="21" ht="7.5" customHeight="1" s="726">
      <c r="A21" s="124" t="n"/>
      <c r="B21" s="124" t="n"/>
      <c r="C21" s="124" t="n"/>
      <c r="D21" s="124" t="n"/>
      <c r="E21" s="124" t="n"/>
      <c r="F21" s="124" t="n"/>
      <c r="G21" s="124" t="n"/>
      <c r="H21" s="124" t="n"/>
      <c r="I21" s="124" t="n"/>
    </row>
  </sheetData>
  <mergeCells count="1">
    <mergeCell ref="B17:F19"/>
  </mergeCells>
  <conditionalFormatting sqref="B17">
    <cfRule type="containsBlanks" priority="2" dxfId="0">
      <formula>LEN(TRIM(B17))=0</formula>
    </cfRule>
  </conditionalFormatting>
  <conditionalFormatting sqref="B9:D12 F9:F12">
    <cfRule type="containsBlanks" priority="1" dxfId="0">
      <formula>LEN(TRIM(B9))=0</formula>
    </cfRule>
  </conditionalFormatting>
  <hyperlinks>
    <hyperlink ref="B4" location="汇总!A1" display="返回汇总页"/>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S51"/>
  <sheetViews>
    <sheetView showGridLines="0" zoomScale="70" zoomScaleNormal="70" workbookViewId="0">
      <selection activeCell="G13" sqref="G13"/>
    </sheetView>
  </sheetViews>
  <sheetFormatPr baseColWidth="8" defaultColWidth="8.25" defaultRowHeight="15"/>
  <cols>
    <col width="2.625" customWidth="1" style="2" min="1" max="1"/>
    <col width="17.75" customWidth="1" style="3" min="2" max="15"/>
    <col width="7.25" bestFit="1" customWidth="1" style="3" min="16" max="16"/>
    <col width="2.625" customWidth="1" style="3" min="17" max="17"/>
    <col width="1.625" customWidth="1" style="3" min="18" max="18"/>
    <col width="8.25" customWidth="1" style="3" min="19" max="16384"/>
  </cols>
  <sheetData>
    <row r="1" ht="50.1" customFormat="1" customHeight="1" s="1">
      <c r="A1" s="243" t="inlineStr">
        <is>
          <t>3b806d45-7e94-48de-97e2-2cdb473926b5</t>
        </is>
      </c>
      <c r="B1" s="423" t="inlineStr">
        <is>
          <t>标准工作底稿: C SWP 货币资金</t>
        </is>
      </c>
      <c r="C1" s="424" t="n"/>
      <c r="D1" s="425" t="n"/>
      <c r="E1" s="425" t="n"/>
      <c r="F1" s="425" t="n"/>
      <c r="G1" s="425" t="n"/>
      <c r="H1" s="425" t="n"/>
      <c r="I1" s="425" t="n"/>
      <c r="J1" s="425" t="n"/>
      <c r="K1" s="426" t="n"/>
      <c r="L1" s="425" t="n"/>
      <c r="M1" s="425" t="n"/>
      <c r="N1" s="425" t="n"/>
      <c r="O1" s="425" t="n"/>
      <c r="P1" s="303" t="n"/>
      <c r="Q1" s="463" t="n"/>
      <c r="R1" s="464" t="n"/>
      <c r="S1" s="463" t="n"/>
    </row>
    <row r="2" ht="30" customFormat="1" customHeight="1" s="1">
      <c r="A2" s="6" t="n"/>
      <c r="B2" s="235" t="inlineStr">
        <is>
          <t>C.03 执行截止性测试</t>
        </is>
      </c>
      <c r="C2" s="7" t="n"/>
      <c r="D2" s="7" t="n"/>
      <c r="E2" s="7" t="n"/>
      <c r="F2" s="7" t="n"/>
      <c r="G2" s="7" t="n"/>
      <c r="H2" s="7" t="n"/>
      <c r="I2" s="7" t="n"/>
      <c r="J2" s="7" t="n"/>
      <c r="K2" s="7" t="n"/>
      <c r="L2" s="7" t="n"/>
      <c r="M2" s="7" t="n"/>
      <c r="N2" s="7" t="n"/>
      <c r="O2" s="7" t="n"/>
      <c r="P2" s="22" t="n"/>
      <c r="Q2" s="6" t="n"/>
      <c r="R2" s="464" t="n"/>
    </row>
    <row r="3" ht="14.25" customHeight="1" s="726">
      <c r="A3" s="8" t="n"/>
      <c r="B3" s="9" t="n"/>
      <c r="C3" s="9" t="n"/>
      <c r="D3" s="9" t="n"/>
      <c r="E3" s="9" t="n"/>
      <c r="F3" s="9" t="n"/>
      <c r="G3" s="9" t="n"/>
      <c r="H3" s="9" t="n"/>
      <c r="I3" s="9" t="n"/>
      <c r="J3" s="9" t="n"/>
      <c r="K3" s="9" t="n"/>
      <c r="L3" s="9" t="n"/>
      <c r="M3" s="9" t="n"/>
      <c r="N3" s="9" t="n"/>
      <c r="O3" s="9" t="n"/>
      <c r="P3" s="6" t="n"/>
      <c r="Q3" s="6" t="n"/>
      <c r="R3" s="464" t="n"/>
    </row>
    <row r="4" ht="16.5" customHeight="1" s="726">
      <c r="A4" s="8" t="n"/>
      <c r="B4" s="147" t="inlineStr">
        <is>
          <t>返回汇总页</t>
        </is>
      </c>
      <c r="C4" s="9" t="n"/>
      <c r="D4" s="9" t="n"/>
      <c r="E4" s="9" t="n"/>
      <c r="F4" s="9" t="n"/>
      <c r="G4" s="9" t="n"/>
      <c r="H4" s="9" t="n"/>
      <c r="I4" s="9" t="n"/>
      <c r="J4" s="9" t="n"/>
      <c r="K4" s="9" t="n"/>
      <c r="L4" s="9" t="n"/>
      <c r="M4" s="9" t="n"/>
      <c r="N4" s="9" t="n"/>
      <c r="O4" s="9" t="n"/>
      <c r="P4" s="6" t="n"/>
      <c r="Q4" s="6" t="n"/>
      <c r="R4" s="464" t="n"/>
    </row>
    <row r="5" ht="14.25" customHeight="1" s="726">
      <c r="A5" s="8" t="n"/>
      <c r="B5" s="9" t="n"/>
      <c r="C5" s="9" t="n"/>
      <c r="D5" s="9" t="n"/>
      <c r="E5" s="9" t="n"/>
      <c r="F5" s="9" t="n"/>
      <c r="G5" s="9" t="n"/>
      <c r="H5" s="9" t="n"/>
      <c r="I5" s="9" t="n"/>
      <c r="J5" s="9" t="n"/>
      <c r="K5" s="9" t="n"/>
      <c r="L5" s="9" t="n"/>
      <c r="M5" s="9" t="n"/>
      <c r="N5" s="9" t="n"/>
      <c r="O5" s="9" t="n"/>
      <c r="P5" s="6" t="n"/>
      <c r="Q5" s="6" t="n"/>
      <c r="R5" s="464" t="n"/>
    </row>
    <row r="6" ht="16.5" customHeight="1" s="726">
      <c r="A6" s="10" t="n"/>
      <c r="B6" s="11" t="inlineStr">
        <is>
          <t>表1.1 确定银行间转账测试的测试阈值和截止期间</t>
        </is>
      </c>
      <c r="C6" s="12" t="n"/>
      <c r="D6" s="12" t="n"/>
      <c r="E6" s="12" t="n"/>
      <c r="F6" s="12" t="n"/>
      <c r="G6" s="12" t="n"/>
      <c r="H6" s="12" t="n"/>
      <c r="I6" s="12" t="n"/>
      <c r="J6" s="12" t="n"/>
      <c r="K6" s="12" t="n"/>
      <c r="L6" s="12" t="n"/>
      <c r="M6" s="12" t="n"/>
      <c r="N6" s="12" t="n"/>
      <c r="O6" s="12" t="n"/>
      <c r="P6" s="6" t="n"/>
      <c r="Q6" s="6" t="n"/>
      <c r="R6" s="464" t="n"/>
    </row>
    <row r="7" ht="16.5" customHeight="1" s="726">
      <c r="A7" s="10" t="n"/>
      <c r="B7" s="875">
        <f>MIN('C.00 Lead'!$D$15,'C.00 Lead'!$D$16)</f>
        <v/>
      </c>
      <c r="C7" s="207" t="inlineStr">
        <is>
          <t>用于识别和测试银行转帐的测试阈值</t>
        </is>
      </c>
      <c r="D7" s="208" t="n"/>
      <c r="E7" s="12" t="n"/>
      <c r="F7" s="12" t="n"/>
      <c r="G7" s="12" t="n"/>
      <c r="H7" s="12" t="n"/>
      <c r="I7" s="12" t="n"/>
      <c r="J7" s="12" t="n"/>
      <c r="K7" s="12" t="n"/>
      <c r="L7" s="12" t="n"/>
      <c r="M7" s="12" t="n"/>
      <c r="N7" s="12" t="n"/>
      <c r="O7" s="12" t="n"/>
      <c r="P7" s="6" t="n"/>
      <c r="Q7" s="6" t="n"/>
      <c r="R7" s="464" t="n"/>
    </row>
    <row r="8" ht="14.25" customHeight="1" s="726">
      <c r="A8" s="10" t="n"/>
      <c r="B8" s="575" t="n"/>
      <c r="C8" s="722" t="inlineStr">
        <is>
          <t>使用的截止期间</t>
        </is>
      </c>
      <c r="D8" s="876" t="n"/>
      <c r="E8" s="12" t="n"/>
      <c r="F8" s="12" t="n"/>
      <c r="G8" s="12" t="n"/>
      <c r="H8" s="12" t="n"/>
      <c r="I8" s="12" t="n"/>
      <c r="J8" s="12" t="n"/>
      <c r="K8" s="12" t="n"/>
      <c r="L8" s="12" t="n"/>
      <c r="M8" s="12" t="n"/>
      <c r="N8" s="12" t="n"/>
      <c r="O8" s="12" t="n"/>
      <c r="P8" s="6" t="n"/>
      <c r="Q8" s="6" t="n"/>
      <c r="R8" s="464" t="n"/>
    </row>
    <row r="9" ht="14.25" customHeight="1" s="726">
      <c r="A9" s="10" t="n"/>
      <c r="B9" s="13" t="n"/>
      <c r="C9" s="13" t="n"/>
      <c r="D9" s="14" t="n"/>
      <c r="E9" s="12" t="n"/>
      <c r="F9" s="12" t="n"/>
      <c r="G9" s="12" t="n"/>
      <c r="H9" s="12" t="n"/>
      <c r="I9" s="12" t="n"/>
      <c r="J9" s="12" t="n"/>
      <c r="K9" s="12" t="n"/>
      <c r="L9" s="12" t="n"/>
      <c r="M9" s="12" t="n"/>
      <c r="N9" s="12" t="n"/>
      <c r="O9" s="12" t="n"/>
      <c r="P9" s="6" t="n"/>
      <c r="Q9" s="6" t="n"/>
      <c r="R9" s="464" t="n"/>
    </row>
    <row r="10" ht="16.5" customHeight="1" s="726">
      <c r="A10" s="10" t="n"/>
      <c r="B10" s="42" t="inlineStr">
        <is>
          <t>在下文中描述所使用截止期间的理由以及我们识别被认为异常或意料之外的银行转账的依据：</t>
        </is>
      </c>
      <c r="E10" s="12" t="n"/>
      <c r="F10" s="9" t="n"/>
      <c r="G10" s="12" t="n"/>
      <c r="H10" s="12" t="n"/>
      <c r="I10" s="12" t="n"/>
      <c r="J10" s="12" t="n"/>
      <c r="K10" s="12" t="n"/>
      <c r="L10" s="12" t="n"/>
      <c r="M10" s="12" t="n"/>
      <c r="N10" s="12" t="n"/>
      <c r="O10" s="12" t="n"/>
      <c r="P10" s="6" t="n"/>
      <c r="Q10" s="6" t="n"/>
      <c r="R10" s="464" t="n"/>
    </row>
    <row r="11" ht="14.25" customHeight="1" s="726">
      <c r="A11" s="10" t="n"/>
      <c r="B11" s="847" t="n"/>
      <c r="C11" s="731" t="n"/>
      <c r="D11" s="731" t="n"/>
      <c r="E11" s="731" t="n"/>
      <c r="F11" s="732" t="n"/>
      <c r="G11" s="12" t="n"/>
      <c r="H11" s="12" t="n"/>
      <c r="I11" s="12" t="n"/>
      <c r="J11" s="12" t="n"/>
      <c r="K11" s="12" t="n"/>
      <c r="L11" s="12" t="n"/>
      <c r="M11" s="12" t="n"/>
      <c r="N11" s="12" t="n"/>
      <c r="O11" s="12" t="n"/>
      <c r="P11" s="6" t="n"/>
      <c r="Q11" s="6" t="n"/>
      <c r="R11" s="464" t="n"/>
    </row>
    <row r="12" ht="14.25" customHeight="1" s="726">
      <c r="A12" s="10" t="n"/>
      <c r="B12" s="769" t="n"/>
      <c r="F12" s="770" t="n"/>
      <c r="G12" s="12" t="n"/>
      <c r="H12" s="12" t="n"/>
      <c r="I12" s="12" t="n"/>
      <c r="J12" s="12" t="n"/>
      <c r="K12" s="12" t="n"/>
      <c r="L12" s="12" t="n"/>
      <c r="M12" s="12" t="n"/>
      <c r="N12" s="12" t="n"/>
      <c r="O12" s="12" t="n"/>
      <c r="P12" s="6" t="n"/>
      <c r="Q12" s="6" t="n"/>
      <c r="R12" s="464" t="n"/>
    </row>
    <row r="13" ht="14.25" customHeight="1" s="726">
      <c r="A13" s="10" t="n"/>
      <c r="B13" s="734" t="n"/>
      <c r="C13" s="735" t="n"/>
      <c r="D13" s="735" t="n"/>
      <c r="E13" s="735" t="n"/>
      <c r="F13" s="736" t="n"/>
      <c r="G13" s="12" t="n"/>
      <c r="H13" s="12" t="n"/>
      <c r="I13" s="12" t="n"/>
      <c r="J13" s="12" t="n"/>
      <c r="K13" s="12" t="n"/>
      <c r="L13" s="12" t="n"/>
      <c r="M13" s="12" t="n"/>
      <c r="N13" s="12" t="n"/>
      <c r="O13" s="12" t="n"/>
      <c r="P13" s="6" t="n"/>
      <c r="Q13" s="6" t="n"/>
      <c r="R13" s="464" t="n"/>
    </row>
    <row r="14" ht="14.25" customHeight="1" s="726">
      <c r="A14" s="15" t="n"/>
      <c r="B14" s="9" t="n"/>
      <c r="C14" s="9" t="n"/>
      <c r="D14" s="9" t="n"/>
      <c r="E14" s="9" t="n"/>
      <c r="F14" s="9" t="n"/>
      <c r="G14" s="9" t="n"/>
      <c r="H14" s="9" t="n"/>
      <c r="I14" s="9" t="n"/>
      <c r="J14" s="9" t="n"/>
      <c r="K14" s="9" t="n"/>
      <c r="L14" s="9" t="n"/>
      <c r="M14" s="9" t="n"/>
      <c r="N14" s="9" t="n"/>
      <c r="O14" s="9" t="n"/>
      <c r="P14" s="6" t="n"/>
      <c r="Q14" s="6" t="n"/>
      <c r="R14" s="464" t="n"/>
    </row>
    <row r="15" ht="15" customFormat="1" customHeight="1" s="1">
      <c r="A15" s="6" t="n"/>
      <c r="B15" s="37" t="inlineStr">
        <is>
          <t>表1.2 根据表1.1确定的测试期间和测试阈值，对抽取的样本执行以下程序。</t>
        </is>
      </c>
      <c r="C15" s="37" t="n"/>
      <c r="D15" s="37" t="n"/>
      <c r="F15" s="38" t="n"/>
      <c r="G15" s="38" t="n"/>
      <c r="H15" s="38" t="n"/>
      <c r="I15" s="38" t="n"/>
      <c r="J15" s="38" t="n"/>
      <c r="K15" s="38" t="n"/>
      <c r="L15" s="38" t="n"/>
      <c r="P15" s="6" t="n"/>
      <c r="Q15" s="6" t="n"/>
      <c r="R15" s="464" t="n"/>
    </row>
    <row r="16" ht="15" customFormat="1" customHeight="1" s="1">
      <c r="A16" s="6" t="n"/>
      <c r="B16" s="239" t="inlineStr">
        <is>
          <t>此程序涉及被审计单位，在适用函证测试范围内的银行账户，与被审计单位的另一个银行账户（不局限于适用函证测试的银行账户）之间的转账。</t>
        </is>
      </c>
      <c r="C16" s="37" t="n"/>
      <c r="D16" s="37" t="n"/>
      <c r="F16" s="38" t="n"/>
      <c r="G16" s="38" t="n"/>
      <c r="H16" s="38" t="n"/>
      <c r="I16" s="38" t="n"/>
      <c r="J16" s="38" t="n"/>
      <c r="K16" s="38" t="n"/>
      <c r="L16" s="38" t="n"/>
      <c r="P16" s="6" t="n"/>
      <c r="Q16" s="6" t="n"/>
      <c r="R16" s="464" t="n"/>
    </row>
    <row r="17" ht="14.25" customHeight="1" s="726">
      <c r="A17" s="16" t="n"/>
      <c r="C17" s="12" t="n"/>
      <c r="D17" s="17" t="n"/>
      <c r="E17" s="17" t="n"/>
      <c r="F17" s="17" t="n"/>
      <c r="H17" s="17" t="n"/>
      <c r="I17" s="17" t="n"/>
      <c r="J17" s="17" t="n"/>
      <c r="K17" s="17" t="n"/>
      <c r="L17" s="17" t="n"/>
      <c r="M17" s="17" t="n"/>
      <c r="N17" s="17" t="n"/>
      <c r="O17" s="17" t="n"/>
      <c r="P17" s="6" t="n"/>
      <c r="Q17" s="6" t="n"/>
      <c r="R17" s="464" t="n"/>
    </row>
    <row r="18" ht="16.5" customHeight="1" s="726">
      <c r="A18" s="16" t="n"/>
      <c r="B18" s="11" t="inlineStr">
        <is>
          <t>期末前银行间转账测试：</t>
        </is>
      </c>
      <c r="C18" s="19" t="n"/>
      <c r="D18" s="19" t="n"/>
      <c r="E18" s="19" t="n"/>
      <c r="F18" s="20" t="n"/>
      <c r="G18" s="17" t="n"/>
      <c r="H18" s="17" t="n"/>
      <c r="I18" s="20" t="n"/>
      <c r="J18" s="18" t="n"/>
      <c r="K18" s="18" t="n"/>
      <c r="L18" s="18" t="n"/>
      <c r="M18" s="17" t="n"/>
      <c r="N18" s="17" t="n"/>
      <c r="O18" s="17" t="n"/>
      <c r="P18" s="6" t="n"/>
      <c r="Q18" s="6" t="n"/>
      <c r="R18" s="464" t="n"/>
    </row>
    <row r="19" ht="80.25" customHeight="1" s="726">
      <c r="A19" s="16" t="n"/>
      <c r="B19" s="209" t="inlineStr">
        <is>
          <t>样本编号</t>
        </is>
      </c>
      <c r="C19" s="210" t="inlineStr">
        <is>
          <t>公司名称</t>
        </is>
      </c>
      <c r="D19" s="210" t="inlineStr">
        <is>
          <t>银行名称</t>
        </is>
      </c>
      <c r="E19" s="210" t="inlineStr">
        <is>
          <t>银行账号</t>
        </is>
      </c>
      <c r="F19" s="210" t="inlineStr">
        <is>
          <t>收款/付款时间</t>
        </is>
      </c>
      <c r="G19" s="210" t="inlineStr">
        <is>
          <t>交易编号</t>
        </is>
      </c>
      <c r="H19" s="210" t="inlineStr">
        <is>
          <t>币种</t>
        </is>
      </c>
      <c r="I19" s="203" t="inlineStr">
        <is>
          <t>交易金额
(收款填列正数，付款填列负数）</t>
        </is>
      </c>
      <c r="J19" s="210" t="inlineStr">
        <is>
          <t>银行名称</t>
        </is>
      </c>
      <c r="K19" s="210" t="inlineStr">
        <is>
          <t>银行账号</t>
        </is>
      </c>
      <c r="L19" s="210" t="inlineStr">
        <is>
          <t>交易日期</t>
        </is>
      </c>
      <c r="M19" s="203" t="inlineStr">
        <is>
          <t>交易金额
(收款填列正数，付款填列负数）</t>
        </is>
      </c>
      <c r="N19" s="214" t="inlineStr">
        <is>
          <t>银行间转账如跨期
是否在余额调节表中体现</t>
        </is>
      </c>
      <c r="O19" s="213" t="inlineStr">
        <is>
          <t>备注</t>
        </is>
      </c>
      <c r="P19" s="23" t="inlineStr">
        <is>
          <t>Check</t>
        </is>
      </c>
      <c r="Q19" s="23" t="n"/>
      <c r="R19" s="464" t="n"/>
    </row>
    <row r="20" ht="14.25" customHeight="1" s="726">
      <c r="A20" s="16" t="n"/>
      <c r="B20" s="535" t="n"/>
      <c r="C20" s="343" t="n"/>
      <c r="D20" s="343" t="n"/>
      <c r="E20" s="540" t="n"/>
      <c r="F20" s="397" t="n"/>
      <c r="G20" s="343" t="n"/>
      <c r="H20" s="343" t="n"/>
      <c r="I20" s="877" t="n"/>
      <c r="J20" s="343" t="n"/>
      <c r="K20" s="540" t="n"/>
      <c r="L20" s="410" t="n"/>
      <c r="M20" s="877" t="n"/>
      <c r="N20" s="343" t="n"/>
      <c r="O20" s="538" t="n"/>
      <c r="P20" s="878">
        <f>M20+I20</f>
        <v/>
      </c>
      <c r="Q20" s="879" t="n"/>
      <c r="R20" s="464" t="n"/>
    </row>
    <row r="21" ht="14.25" customHeight="1" s="726">
      <c r="A21" s="16" t="n"/>
      <c r="B21" s="535" t="n"/>
      <c r="C21" s="343" t="n"/>
      <c r="D21" s="343" t="n"/>
      <c r="E21" s="540" t="n"/>
      <c r="F21" s="397" t="n"/>
      <c r="G21" s="343" t="n"/>
      <c r="H21" s="343" t="n"/>
      <c r="I21" s="877" t="n"/>
      <c r="J21" s="343" t="n"/>
      <c r="K21" s="540" t="n"/>
      <c r="L21" s="410" t="n"/>
      <c r="M21" s="877" t="n"/>
      <c r="N21" s="343" t="n"/>
      <c r="O21" s="538" t="n"/>
      <c r="P21" s="878">
        <f>M21+I21</f>
        <v/>
      </c>
      <c r="Q21" s="879" t="n"/>
      <c r="R21" s="464" t="n"/>
    </row>
    <row r="22" ht="14.25" customHeight="1" s="726">
      <c r="A22" s="16" t="n"/>
      <c r="B22" s="535" t="n"/>
      <c r="C22" s="343" t="n"/>
      <c r="D22" s="343" t="n"/>
      <c r="E22" s="540" t="n"/>
      <c r="F22" s="397" t="n"/>
      <c r="G22" s="343" t="n"/>
      <c r="H22" s="343" t="n"/>
      <c r="I22" s="877" t="n"/>
      <c r="J22" s="343" t="n"/>
      <c r="K22" s="540" t="n"/>
      <c r="L22" s="410" t="n"/>
      <c r="M22" s="877" t="n"/>
      <c r="N22" s="343" t="n"/>
      <c r="O22" s="538" t="n"/>
      <c r="P22" s="878">
        <f>M22+I22</f>
        <v/>
      </c>
      <c r="Q22" s="879" t="n"/>
      <c r="R22" s="464" t="n"/>
    </row>
    <row r="23" ht="14.25" customHeight="1" s="726">
      <c r="A23" s="16" t="n"/>
      <c r="B23" s="535" t="n"/>
      <c r="C23" s="343" t="n"/>
      <c r="D23" s="343" t="n"/>
      <c r="E23" s="540" t="n"/>
      <c r="F23" s="397" t="n"/>
      <c r="G23" s="343" t="n"/>
      <c r="H23" s="343" t="n"/>
      <c r="I23" s="877" t="n"/>
      <c r="J23" s="343" t="n"/>
      <c r="K23" s="540" t="n"/>
      <c r="L23" s="410" t="n"/>
      <c r="M23" s="877" t="n"/>
      <c r="N23" s="343" t="n"/>
      <c r="O23" s="538" t="n"/>
      <c r="P23" s="878">
        <f>M23+I23</f>
        <v/>
      </c>
      <c r="Q23" s="879" t="n"/>
      <c r="R23" s="464" t="n"/>
    </row>
    <row r="24" ht="14.25" customHeight="1" s="726">
      <c r="A24" s="16" t="n"/>
      <c r="B24" s="536" t="n"/>
      <c r="C24" s="537" t="n"/>
      <c r="D24" s="537" t="n"/>
      <c r="E24" s="541" t="n"/>
      <c r="F24" s="401" t="n"/>
      <c r="G24" s="537" t="n"/>
      <c r="H24" s="537" t="n"/>
      <c r="I24" s="880" t="n"/>
      <c r="J24" s="537" t="n"/>
      <c r="K24" s="541" t="n"/>
      <c r="L24" s="411" t="n"/>
      <c r="M24" s="880" t="n"/>
      <c r="N24" s="537" t="n"/>
      <c r="O24" s="539" t="n"/>
      <c r="P24" s="878">
        <f>M24+I24</f>
        <v/>
      </c>
      <c r="Q24" s="879" t="n"/>
      <c r="R24" s="464" t="n"/>
    </row>
    <row r="25" ht="14.25" customHeight="1" s="726">
      <c r="A25" s="16" t="n"/>
      <c r="B25" s="12" t="n"/>
      <c r="C25" s="12" t="n"/>
      <c r="D25" s="12" t="n"/>
      <c r="E25" s="12" t="n"/>
      <c r="F25" s="12" t="n"/>
      <c r="G25" s="12" t="n"/>
      <c r="H25" s="12" t="n"/>
      <c r="I25" s="12" t="n"/>
      <c r="J25" s="12" t="n"/>
      <c r="K25" s="12" t="n"/>
      <c r="L25" s="12" t="n"/>
      <c r="M25" s="12" t="n"/>
      <c r="N25" s="12" t="n"/>
      <c r="O25" s="12" t="n"/>
      <c r="P25" s="12" t="n"/>
      <c r="Q25" s="12" t="n"/>
      <c r="R25" s="464" t="n"/>
    </row>
    <row r="26" ht="14.25" customHeight="1" s="726">
      <c r="A26" s="16" t="n"/>
      <c r="C26" s="9" t="n"/>
      <c r="D26" s="9" t="n"/>
      <c r="E26" s="9" t="n"/>
      <c r="F26" s="12" t="n"/>
      <c r="G26" s="12" t="n"/>
      <c r="H26" s="12" t="n"/>
      <c r="I26" s="12" t="n"/>
      <c r="J26" s="12" t="n"/>
      <c r="K26" s="12" t="n"/>
      <c r="L26" s="12" t="n"/>
      <c r="M26" s="12" t="n"/>
      <c r="N26" s="12" t="n"/>
      <c r="O26" s="12" t="n"/>
      <c r="P26" s="12" t="n"/>
      <c r="Q26" s="12" t="n"/>
      <c r="R26" s="464" t="n"/>
    </row>
    <row r="27" ht="14.25" customHeight="1" s="726">
      <c r="A27" s="16" t="n"/>
      <c r="B27" s="534" t="inlineStr">
        <is>
          <t>期末后银行间转账测试：</t>
        </is>
      </c>
      <c r="C27" s="9" t="n"/>
      <c r="D27" s="9" t="n"/>
      <c r="E27" s="9" t="n"/>
      <c r="F27" s="12" t="n"/>
      <c r="G27" s="12" t="n"/>
      <c r="H27" s="12" t="n"/>
      <c r="I27" s="12" t="n"/>
      <c r="J27" s="18" t="n"/>
      <c r="K27" s="12" t="n"/>
      <c r="L27" s="18" t="n"/>
      <c r="M27" s="17" t="n"/>
      <c r="N27" s="12" t="n"/>
      <c r="O27" s="12" t="n"/>
      <c r="P27" s="12" t="n"/>
      <c r="Q27" s="12" t="n"/>
      <c r="R27" s="464" t="n"/>
    </row>
    <row r="28" ht="60" customHeight="1" s="726">
      <c r="A28" s="16" t="n"/>
      <c r="B28" s="209" t="inlineStr">
        <is>
          <t>样本编号</t>
        </is>
      </c>
      <c r="C28" s="210" t="inlineStr">
        <is>
          <t>公司名称</t>
        </is>
      </c>
      <c r="D28" s="210" t="inlineStr">
        <is>
          <t>银行名称</t>
        </is>
      </c>
      <c r="E28" s="210" t="inlineStr">
        <is>
          <t>银行账号</t>
        </is>
      </c>
      <c r="F28" s="210" t="inlineStr">
        <is>
          <t>收款/付款时间</t>
        </is>
      </c>
      <c r="G28" s="210" t="inlineStr">
        <is>
          <t>交易编号</t>
        </is>
      </c>
      <c r="H28" s="210" t="inlineStr">
        <is>
          <t>币种</t>
        </is>
      </c>
      <c r="I28" s="203" t="inlineStr">
        <is>
          <t>交易金额
(收款填列正数，付款填列负数）</t>
        </is>
      </c>
      <c r="J28" s="210" t="inlineStr">
        <is>
          <t>银行名称</t>
        </is>
      </c>
      <c r="K28" s="210" t="inlineStr">
        <is>
          <t>银行账号</t>
        </is>
      </c>
      <c r="L28" s="210" t="inlineStr">
        <is>
          <t>交易日期</t>
        </is>
      </c>
      <c r="M28" s="203" t="inlineStr">
        <is>
          <t>交易金额
(收款填列正数，付款填列负数）</t>
        </is>
      </c>
      <c r="N28" s="214" t="inlineStr">
        <is>
          <t>银行间转账如跨期
是否在余额调节表中体现</t>
        </is>
      </c>
      <c r="O28" s="213" t="inlineStr">
        <is>
          <t>备注</t>
        </is>
      </c>
      <c r="P28" s="23" t="inlineStr">
        <is>
          <t>Check</t>
        </is>
      </c>
      <c r="Q28" s="23" t="n"/>
      <c r="R28" s="464" t="n"/>
    </row>
    <row r="29" ht="14.25" customHeight="1" s="726">
      <c r="A29" s="16" t="n"/>
      <c r="B29" s="535" t="n"/>
      <c r="C29" s="343" t="n"/>
      <c r="D29" s="343" t="n"/>
      <c r="E29" s="540" t="n"/>
      <c r="F29" s="397" t="n"/>
      <c r="G29" s="343" t="n"/>
      <c r="H29" s="343" t="n"/>
      <c r="I29" s="877" t="n"/>
      <c r="J29" s="343" t="n"/>
      <c r="K29" s="540" t="n"/>
      <c r="L29" s="410" t="n"/>
      <c r="M29" s="877" t="n"/>
      <c r="N29" s="343" t="n"/>
      <c r="O29" s="538" t="n"/>
      <c r="P29" s="878">
        <f>M29+I29</f>
        <v/>
      </c>
      <c r="Q29" s="879" t="n"/>
      <c r="R29" s="464" t="n"/>
    </row>
    <row r="30" ht="14.25" customHeight="1" s="726">
      <c r="A30" s="16" t="n"/>
      <c r="B30" s="535" t="n"/>
      <c r="C30" s="343" t="n"/>
      <c r="D30" s="343" t="n"/>
      <c r="E30" s="540" t="n"/>
      <c r="F30" s="397" t="n"/>
      <c r="G30" s="343" t="n"/>
      <c r="H30" s="343" t="n"/>
      <c r="I30" s="877" t="n"/>
      <c r="J30" s="343" t="n"/>
      <c r="K30" s="540" t="n"/>
      <c r="L30" s="410" t="n"/>
      <c r="M30" s="877" t="n"/>
      <c r="N30" s="343" t="n"/>
      <c r="O30" s="538" t="n"/>
      <c r="P30" s="878">
        <f>M30+I30</f>
        <v/>
      </c>
      <c r="Q30" s="879" t="n"/>
      <c r="R30" s="464" t="n"/>
    </row>
    <row r="31" ht="14.25" customHeight="1" s="726">
      <c r="A31" s="16" t="n"/>
      <c r="B31" s="535" t="n"/>
      <c r="C31" s="343" t="n"/>
      <c r="D31" s="343" t="n"/>
      <c r="E31" s="540" t="n"/>
      <c r="F31" s="397" t="n"/>
      <c r="G31" s="343" t="n"/>
      <c r="H31" s="343" t="n"/>
      <c r="I31" s="877" t="n"/>
      <c r="J31" s="343" t="n"/>
      <c r="K31" s="540" t="n"/>
      <c r="L31" s="410" t="n"/>
      <c r="M31" s="877" t="n"/>
      <c r="N31" s="343" t="n"/>
      <c r="O31" s="538" t="n"/>
      <c r="P31" s="878">
        <f>M31+I31</f>
        <v/>
      </c>
      <c r="Q31" s="879" t="n"/>
      <c r="R31" s="464" t="n"/>
    </row>
    <row r="32" ht="14.25" customHeight="1" s="726">
      <c r="A32" s="16" t="n"/>
      <c r="B32" s="535" t="n"/>
      <c r="C32" s="343" t="n"/>
      <c r="D32" s="343" t="n"/>
      <c r="E32" s="540" t="n"/>
      <c r="F32" s="397" t="n"/>
      <c r="G32" s="343" t="n"/>
      <c r="H32" s="343" t="n"/>
      <c r="I32" s="877" t="n"/>
      <c r="J32" s="343" t="n"/>
      <c r="K32" s="540" t="n"/>
      <c r="L32" s="410" t="n"/>
      <c r="M32" s="877" t="n"/>
      <c r="N32" s="343" t="n"/>
      <c r="O32" s="538" t="n"/>
      <c r="P32" s="878">
        <f>M32+I32</f>
        <v/>
      </c>
      <c r="Q32" s="879" t="n"/>
      <c r="R32" s="464" t="n"/>
    </row>
    <row r="33" ht="14.25" customHeight="1" s="726">
      <c r="A33" s="16" t="n"/>
      <c r="B33" s="536" t="n"/>
      <c r="C33" s="537" t="n"/>
      <c r="D33" s="537" t="n"/>
      <c r="E33" s="541" t="n"/>
      <c r="F33" s="401" t="n"/>
      <c r="G33" s="537" t="n"/>
      <c r="H33" s="537" t="n"/>
      <c r="I33" s="880" t="n"/>
      <c r="J33" s="537" t="n"/>
      <c r="K33" s="541" t="n"/>
      <c r="L33" s="411" t="n"/>
      <c r="M33" s="880" t="n"/>
      <c r="N33" s="537" t="n"/>
      <c r="O33" s="539" t="n"/>
      <c r="P33" s="878">
        <f>M33+I33</f>
        <v/>
      </c>
      <c r="Q33" s="879" t="n"/>
      <c r="R33" s="464" t="n"/>
    </row>
    <row r="34" ht="15" customHeight="1" s="726">
      <c r="A34" s="3" t="n"/>
      <c r="R34" s="464" t="n"/>
    </row>
    <row r="35" ht="7.5" customHeight="1" s="726">
      <c r="A35" s="464" t="n"/>
      <c r="B35" s="464" t="n"/>
      <c r="C35" s="464" t="n"/>
      <c r="D35" s="464" t="n"/>
      <c r="E35" s="464" t="n"/>
      <c r="F35" s="464" t="n"/>
      <c r="G35" s="464" t="n"/>
      <c r="H35" s="464" t="n"/>
      <c r="I35" s="464" t="n"/>
      <c r="J35" s="464" t="n"/>
      <c r="K35" s="464" t="n"/>
      <c r="L35" s="464" t="n"/>
      <c r="M35" s="464" t="n"/>
      <c r="N35" s="464" t="n"/>
      <c r="O35" s="464" t="n"/>
      <c r="P35" s="464" t="n"/>
      <c r="Q35" s="464" t="n"/>
      <c r="R35" s="464" t="n"/>
    </row>
    <row r="36" ht="14.25" customHeight="1" s="726">
      <c r="A36" s="3" t="n"/>
    </row>
    <row r="37" ht="14.25" customHeight="1" s="726">
      <c r="A37" s="3" t="n"/>
    </row>
    <row r="38" ht="14.25" customHeight="1" s="726">
      <c r="A38" s="3" t="n"/>
    </row>
    <row r="39" ht="14.25" customHeight="1" s="726">
      <c r="A39" s="3" t="n"/>
    </row>
    <row r="40" ht="14.25" customHeight="1" s="726">
      <c r="A40" s="3" t="n"/>
    </row>
    <row r="41" ht="14.25" customHeight="1" s="726">
      <c r="A41" s="3" t="n"/>
    </row>
    <row r="42" ht="14.25" customHeight="1" s="726">
      <c r="A42" s="3" t="n"/>
    </row>
    <row r="43" ht="14.25" customHeight="1" s="726">
      <c r="A43" s="3" t="n"/>
    </row>
    <row r="44" ht="14.25" customHeight="1" s="726">
      <c r="A44" s="3" t="n"/>
    </row>
    <row r="45" ht="14.25" customHeight="1" s="726">
      <c r="A45" s="3" t="n"/>
    </row>
    <row r="46" ht="14.25" customHeight="1" s="726">
      <c r="A46" s="3" t="n"/>
    </row>
    <row r="47" ht="14.25" customHeight="1" s="726">
      <c r="A47" s="3" t="n"/>
    </row>
    <row r="48" ht="14.25" customHeight="1" s="726">
      <c r="A48" s="3" t="n"/>
    </row>
    <row r="49" ht="14.25" customHeight="1" s="726">
      <c r="A49" s="3" t="n"/>
    </row>
    <row r="50" ht="14.25" customHeight="1" s="726">
      <c r="A50" s="3" t="n"/>
    </row>
    <row r="51">
      <c r="B51" s="12" t="n"/>
    </row>
  </sheetData>
  <mergeCells count="2">
    <mergeCell ref="B11:F13"/>
    <mergeCell ref="C8:D8"/>
  </mergeCells>
  <conditionalFormatting sqref="B8 B11:F13 B20:N24 B29:N33">
    <cfRule type="containsBlanks" priority="1" dxfId="0">
      <formula>LEN(TRIM(B8))=0</formula>
    </cfRule>
  </conditionalFormatting>
  <dataValidations count="1">
    <dataValidation sqref="N20:N24 N29:N33" showDropDown="0" showInputMessage="1" showErrorMessage="0" allowBlank="1" type="list">
      <formula1>"是,否"</formula1>
    </dataValidation>
  </dataValidations>
  <hyperlinks>
    <hyperlink ref="B4" location="汇总!A1" display="返回汇总页"/>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Sandy Y Song</dc:creator>
  <dc:title>Skywind_C_货币资金_20191231_测试公司07.xlsx</dc:title>
  <dc:description>2A3F9CD9-957C-4AA1-8774-3BE90552149B</dc:description>
  <dcterms:created xsi:type="dcterms:W3CDTF">2019-02-28T05:41:00Z</dcterms:created>
  <dcterms:modified xsi:type="dcterms:W3CDTF">2026-05-27T06:32:38Z</dcterms:modified>
  <cp:lastModifiedBy>Dan Y Yao</cp:lastModifiedBy>
  <cp:keywords>Final Audit.V6.C.0901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SV_QUERY_LIST_4F35BF76-6C0D-4D9B-82B2-816C12CF3733" fmtid="{D5CDD505-2E9C-101B-9397-08002B2CF9AE}" pid="3">
    <vt:lpwstr>empty_477D106A-C0D6-4607-AEBD-E2C9D60EA279</vt:lpwstr>
  </property>
  <property name="ICV" fmtid="{D5CDD505-2E9C-101B-9397-08002B2CF9AE}" pid="4">
    <vt:lpwstr>35043ED6BACC4556B91B666CA617E00E_12</vt:lpwstr>
  </property>
  <property name="KSOProductBuildVer" fmtid="{D5CDD505-2E9C-101B-9397-08002B2CF9AE}" pid="5">
    <vt:lpwstr>2052-12.1.0.21915</vt:lpwstr>
  </property>
</Properties>
</file>
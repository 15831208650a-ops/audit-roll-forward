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xlnm._FilterDatabase" localSheetId="3" hidden="1">'N.01.01明细账'!$A$6:$X$222</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12">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 numFmtId="172" formatCode="yyyy-mm-dd h:mm:ss"/>
    <numFmt numFmtId="173" formatCode="_(&quot;¥&quot;* #,##0.00_);_(&quot;¥&quot;* \(#,##0.00\);_(&quot;¥&quot;* &quot;-&quot;??_);_(@_)"/>
    <numFmt numFmtId="174" formatCode="m/d/yy;@"/>
    <numFmt numFmtId="175" formatCode="yyyy/m/d;@"/>
  </numFmts>
  <fonts count="132">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
      <name val="Arial"/>
      <family val="2"/>
      <color theme="1"/>
      <sz val="9"/>
    </font>
    <font>
      <name val="Arial"/>
      <family val="2"/>
      <color indexed="8"/>
      <sz val="9"/>
    </font>
    <font>
      <name val="Arial"/>
      <family val="2"/>
      <color rgb="FF000000"/>
      <sz val="9"/>
    </font>
    <font>
      <name val="微软雅黑"/>
      <charset val="134"/>
      <family val="2"/>
      <color rgb="FF000000"/>
      <sz val="9"/>
    </font>
    <font>
      <name val="Arial"/>
      <family val="2"/>
      <b val="1"/>
      <color rgb="FFFF0000"/>
      <sz val="9"/>
    </font>
    <font>
      <name val="微软雅黑"/>
      <charset val="134"/>
      <family val="2"/>
      <color theme="1"/>
      <sz val="9"/>
    </font>
    <font>
      <name val="宋体"/>
      <charset val="134"/>
      <family val="2"/>
      <color rgb="FF000000"/>
      <sz val="9"/>
    </font>
    <font>
      <name val="Arial"/>
      <family val="2"/>
      <sz val="9"/>
    </font>
    <font>
      <name val="微软雅黑"/>
      <charset val="134"/>
      <family val="2"/>
      <color theme="1"/>
      <sz val="11"/>
    </font>
    <font>
      <name val="Arial"/>
      <family val="2"/>
      <color indexed="8"/>
      <sz val="10"/>
    </font>
    <font>
      <name val="Arial"/>
      <charset val="134"/>
      <family val="2"/>
      <color theme="1"/>
      <sz val="11"/>
    </font>
  </fonts>
  <fills count="21">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
      <patternFill patternType="solid">
        <fgColor theme="0" tint="-0.3498947111423078"/>
        <bgColor indexed="64"/>
      </patternFill>
    </fill>
    <fill>
      <patternFill patternType="solid">
        <fgColor theme="0" tint="-0.3499557481612598"/>
        <bgColor indexed="64"/>
      </patternFill>
    </fill>
  </fills>
  <borders count="108">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auto="1"/>
      </right>
      <top style="medium">
        <color indexed="64"/>
      </top>
      <bottom style="thin">
        <color auto="1"/>
      </bottom>
      <diagonal/>
    </border>
    <border>
      <left/>
      <right style="thin">
        <color auto="1"/>
      </right>
      <top style="medium">
        <color auto="1"/>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ouble">
        <color indexed="64"/>
      </bottom>
      <diagonal/>
    </border>
    <border>
      <left style="medium">
        <color indexed="64"/>
      </left>
      <right style="medium">
        <color indexed="64"/>
      </right>
      <top/>
      <bottom/>
      <diagonal/>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890">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113" fillId="0" borderId="0" pivotButton="0" quotePrefix="0" xfId="312"/>
    <xf numFmtId="0" fontId="121" fillId="3" borderId="83" applyAlignment="1" pivotButton="0" quotePrefix="0" xfId="0">
      <alignment horizontal="center" vertical="center" wrapText="1"/>
    </xf>
    <xf numFmtId="43" fontId="122" fillId="3" borderId="84" applyAlignment="1" applyProtection="1" pivotButton="0" quotePrefix="0" xfId="2">
      <alignment horizontal="center" vertical="center" wrapText="1"/>
      <protection locked="0" hidden="0"/>
    </xf>
    <xf numFmtId="43" fontId="123" fillId="3" borderId="84" applyAlignment="1" applyProtection="1" pivotButton="0" quotePrefix="0" xfId="2">
      <alignment horizontal="center" vertical="center" wrapText="1"/>
      <protection locked="0" hidden="0"/>
    </xf>
    <xf numFmtId="43" fontId="124" fillId="3" borderId="84" applyAlignment="1" applyProtection="1" pivotButton="0" quotePrefix="0" xfId="2">
      <alignment horizontal="center" vertical="center"/>
      <protection locked="0" hidden="0"/>
    </xf>
    <xf numFmtId="43" fontId="123" fillId="0" borderId="84" applyAlignment="1" applyProtection="1" pivotButton="0" quotePrefix="0" xfId="2">
      <alignment horizontal="center" vertical="center" wrapText="1"/>
      <protection locked="0" hidden="0"/>
    </xf>
    <xf numFmtId="43" fontId="123" fillId="3" borderId="85" applyAlignment="1" applyProtection="1" pivotButton="0" quotePrefix="0" xfId="2">
      <alignment horizontal="center" vertical="center" wrapText="1"/>
      <protection locked="0" hidden="0"/>
    </xf>
    <xf numFmtId="171" fontId="123" fillId="3" borderId="83" applyAlignment="1" applyProtection="1" pivotButton="0" quotePrefix="0" xfId="100">
      <alignment horizontal="center" vertical="center" wrapText="1"/>
      <protection locked="0" hidden="0"/>
    </xf>
    <xf numFmtId="0" fontId="0" fillId="0" borderId="86" applyProtection="1" pivotButton="0" quotePrefix="0" xfId="0">
      <protection locked="0" hidden="0"/>
    </xf>
    <xf numFmtId="0" fontId="0" fillId="0" borderId="87" applyProtection="1" pivotButton="0" quotePrefix="0" xfId="0">
      <protection locked="0" hidden="0"/>
    </xf>
    <xf numFmtId="171" fontId="123" fillId="3" borderId="88" applyProtection="1" pivotButton="0" quotePrefix="0" xfId="2">
      <protection locked="0" hidden="0"/>
    </xf>
    <xf numFmtId="43" fontId="123" fillId="0" borderId="89" applyAlignment="1" applyProtection="1" pivotButton="0" quotePrefix="0" xfId="2">
      <alignment horizontal="center" vertical="center" shrinkToFit="1"/>
      <protection locked="0" hidden="0"/>
    </xf>
    <xf numFmtId="0" fontId="0" fillId="0" borderId="89" applyProtection="1" pivotButton="0" quotePrefix="0" xfId="0">
      <protection locked="0" hidden="0"/>
    </xf>
    <xf numFmtId="43" fontId="125" fillId="19" borderId="84" applyAlignment="1" applyProtection="1" pivotButton="0" quotePrefix="0" xfId="2">
      <alignment horizontal="center" vertical="center" shrinkToFit="1"/>
      <protection locked="0" hidden="0"/>
    </xf>
    <xf numFmtId="43" fontId="126" fillId="2" borderId="84" pivotButton="0" quotePrefix="0" xfId="2"/>
    <xf numFmtId="0" fontId="0" fillId="0" borderId="86" pivotButton="0" quotePrefix="0" xfId="0"/>
    <xf numFmtId="0" fontId="0" fillId="0" borderId="87" pivotButton="0" quotePrefix="0" xfId="0"/>
    <xf numFmtId="0" fontId="0" fillId="0" borderId="90" pivotButton="0" quotePrefix="0" xfId="0"/>
    <xf numFmtId="0" fontId="0" fillId="0" borderId="2" applyProtection="1" pivotButton="0" quotePrefix="0" xfId="0">
      <protection locked="0" hidden="0"/>
    </xf>
    <xf numFmtId="0" fontId="0" fillId="0" borderId="91" applyProtection="1" pivotButton="0" quotePrefix="0" xfId="0">
      <protection locked="0" hidden="0"/>
    </xf>
    <xf numFmtId="0" fontId="122" fillId="0" borderId="3" applyAlignment="1" applyProtection="1" pivotButton="0" quotePrefix="0" xfId="100">
      <alignment horizontal="center" vertical="center" wrapText="1"/>
      <protection locked="0" hidden="0"/>
    </xf>
    <xf numFmtId="0" fontId="122" fillId="3" borderId="5" applyAlignment="1" applyProtection="1" pivotButton="0" quotePrefix="0" xfId="100">
      <alignment horizontal="center" vertical="center" wrapText="1"/>
      <protection locked="0" hidden="0"/>
    </xf>
    <xf numFmtId="43" fontId="123" fillId="19" borderId="5" applyAlignment="1" applyProtection="1" pivotButton="0" quotePrefix="0" xfId="2">
      <alignment horizontal="center" vertical="center" wrapText="1"/>
      <protection locked="0" hidden="0"/>
    </xf>
    <xf numFmtId="43" fontId="127" fillId="19" borderId="5" applyAlignment="1" applyProtection="1" pivotButton="0" quotePrefix="0" xfId="2">
      <alignment horizontal="center" vertical="center" wrapText="1"/>
      <protection locked="0" hidden="0"/>
    </xf>
    <xf numFmtId="43" fontId="122" fillId="0" borderId="92" applyAlignment="1" applyProtection="1" pivotButton="0" quotePrefix="0" xfId="2">
      <alignment horizontal="center" vertical="center" wrapText="1"/>
      <protection locked="0" hidden="0"/>
    </xf>
    <xf numFmtId="43" fontId="122" fillId="0" borderId="10" applyProtection="1" pivotButton="0" quotePrefix="0" xfId="2">
      <protection locked="0" hidden="0"/>
    </xf>
    <xf numFmtId="43" fontId="128" fillId="2" borderId="4" applyProtection="1" pivotButton="0" quotePrefix="0" xfId="2">
      <protection locked="0" hidden="0"/>
    </xf>
    <xf numFmtId="0" fontId="122" fillId="2" borderId="5" applyAlignment="1" applyProtection="1" pivotButton="0" quotePrefix="0" xfId="100">
      <alignment horizontal="center" vertical="center" wrapText="1"/>
      <protection locked="0" hidden="0"/>
    </xf>
    <xf numFmtId="43" fontId="128" fillId="3" borderId="5" pivotButton="0" quotePrefix="0" xfId="2"/>
    <xf numFmtId="43" fontId="128" fillId="0" borderId="92" pivotButton="0" quotePrefix="0" xfId="2"/>
    <xf numFmtId="0" fontId="129" fillId="0" borderId="3" pivotButton="0" quotePrefix="0" xfId="312"/>
    <xf numFmtId="49" fontId="126" fillId="0" borderId="5" applyAlignment="1" applyProtection="1" pivotButton="0" quotePrefix="0" xfId="2">
      <alignment horizontal="left" vertical="center" shrinkToFit="1"/>
      <protection locked="0" hidden="0"/>
    </xf>
    <xf numFmtId="49" fontId="126" fillId="0" borderId="5" applyAlignment="1" applyProtection="1" pivotButton="0" quotePrefix="0" xfId="2">
      <alignment vertical="center"/>
      <protection locked="0" hidden="0"/>
    </xf>
    <xf numFmtId="0" fontId="129" fillId="0" borderId="5" pivotButton="0" quotePrefix="0" xfId="312"/>
    <xf numFmtId="0" fontId="126" fillId="0" borderId="92" applyAlignment="1" pivotButton="0" quotePrefix="0" xfId="2">
      <alignment vertical="center" shrinkToFit="1"/>
    </xf>
    <xf numFmtId="49" fontId="121" fillId="0" borderId="3" applyAlignment="1" pivotButton="0" quotePrefix="0" xfId="2">
      <alignment horizontal="left" vertical="center" shrinkToFit="1"/>
    </xf>
    <xf numFmtId="43" fontId="121" fillId="0" borderId="5" applyProtection="1" pivotButton="0" quotePrefix="0" xfId="2">
      <protection locked="0" hidden="0"/>
    </xf>
    <xf numFmtId="49" fontId="121" fillId="0" borderId="5" applyAlignment="1" applyProtection="1" pivotButton="0" quotePrefix="0" xfId="2">
      <alignment horizontal="left" vertical="center" shrinkToFit="1"/>
      <protection locked="0" hidden="0"/>
    </xf>
    <xf numFmtId="43" fontId="121" fillId="0" borderId="5" applyAlignment="1" applyProtection="1" pivotButton="0" quotePrefix="0" xfId="2">
      <alignment horizontal="right" vertical="center" shrinkToFit="1"/>
      <protection locked="0" hidden="0"/>
    </xf>
    <xf numFmtId="43" fontId="121" fillId="0" borderId="92" applyAlignment="1" applyProtection="1" pivotButton="0" quotePrefix="0" xfId="2">
      <alignment horizontal="right" vertical="center" shrinkToFit="1"/>
      <protection locked="0" hidden="0"/>
    </xf>
    <xf numFmtId="43" fontId="121" fillId="0" borderId="10" applyProtection="1" pivotButton="0" quotePrefix="0" xfId="2">
      <protection locked="0" hidden="0"/>
    </xf>
    <xf numFmtId="43" fontId="121" fillId="0" borderId="4" applyProtection="1" pivotButton="0" quotePrefix="0" xfId="2">
      <protection locked="0" hidden="0"/>
    </xf>
    <xf numFmtId="10" fontId="121" fillId="0" borderId="5" applyAlignment="1" applyProtection="1" pivotButton="0" quotePrefix="0" xfId="2">
      <alignment horizontal="right" vertical="center" shrinkToFit="1"/>
      <protection locked="0" hidden="0"/>
    </xf>
    <xf numFmtId="43" fontId="121" fillId="0" borderId="92" applyProtection="1" pivotButton="0" quotePrefix="0" xfId="2">
      <protection locked="0" hidden="0"/>
    </xf>
    <xf numFmtId="43" fontId="94" fillId="0" borderId="0" pivotButton="0" quotePrefix="0" xfId="2"/>
    <xf numFmtId="0" fontId="19" fillId="0" borderId="5" pivotButton="0" quotePrefix="0" xfId="312"/>
    <xf numFmtId="43" fontId="4" fillId="0" borderId="5" pivotButton="0" quotePrefix="0" xfId="2"/>
    <xf numFmtId="43" fontId="94" fillId="0" borderId="10" pivotButton="0" quotePrefix="0" xfId="2"/>
    <xf numFmtId="0" fontId="129" fillId="0" borderId="5" applyAlignment="1" pivotButton="0" quotePrefix="0" xfId="312">
      <alignment horizontal="left"/>
    </xf>
    <xf numFmtId="0" fontId="129" fillId="0" borderId="93" pivotButton="0" quotePrefix="0" xfId="312"/>
    <xf numFmtId="49" fontId="126" fillId="0" borderId="94" applyAlignment="1" applyProtection="1" pivotButton="0" quotePrefix="0" xfId="2">
      <alignment horizontal="left" vertical="center" shrinkToFit="1"/>
      <protection locked="0" hidden="0"/>
    </xf>
    <xf numFmtId="0" fontId="129" fillId="0" borderId="94" pivotButton="0" quotePrefix="0" xfId="312"/>
    <xf numFmtId="0" fontId="126" fillId="0" borderId="95" applyAlignment="1" pivotButton="0" quotePrefix="0" xfId="2">
      <alignment vertical="center" shrinkToFit="1"/>
    </xf>
    <xf numFmtId="49" fontId="121" fillId="0" borderId="93" applyAlignment="1" pivotButton="0" quotePrefix="0" xfId="2">
      <alignment horizontal="left" vertical="center" shrinkToFit="1"/>
    </xf>
    <xf numFmtId="43" fontId="4" fillId="0" borderId="94" pivotButton="0" quotePrefix="0" xfId="2"/>
    <xf numFmtId="49" fontId="121" fillId="0" borderId="94" applyAlignment="1" applyProtection="1" pivotButton="0" quotePrefix="0" xfId="2">
      <alignment horizontal="left" vertical="center" shrinkToFit="1"/>
      <protection locked="0" hidden="0"/>
    </xf>
    <xf numFmtId="43" fontId="121" fillId="0" borderId="94" applyAlignment="1" applyProtection="1" pivotButton="0" quotePrefix="0" xfId="2">
      <alignment horizontal="right" vertical="center" shrinkToFit="1"/>
      <protection locked="0" hidden="0"/>
    </xf>
    <xf numFmtId="43" fontId="121" fillId="0" borderId="95" applyAlignment="1" applyProtection="1" pivotButton="0" quotePrefix="0" xfId="2">
      <alignment horizontal="right" vertical="center" shrinkToFit="1"/>
      <protection locked="0" hidden="0"/>
    </xf>
    <xf numFmtId="43" fontId="94" fillId="0" borderId="96" pivotButton="0" quotePrefix="0" xfId="2"/>
    <xf numFmtId="43" fontId="121" fillId="0" borderId="97" applyProtection="1" pivotButton="0" quotePrefix="0" xfId="2">
      <protection locked="0" hidden="0"/>
    </xf>
    <xf numFmtId="10" fontId="121" fillId="0" borderId="94" applyAlignment="1" applyProtection="1" pivotButton="0" quotePrefix="0" xfId="2">
      <alignment horizontal="right" vertical="center" shrinkToFit="1"/>
      <protection locked="0" hidden="0"/>
    </xf>
    <xf numFmtId="43" fontId="121" fillId="0" borderId="94" applyProtection="1" pivotButton="0" quotePrefix="0" xfId="2">
      <protection locked="0" hidden="0"/>
    </xf>
    <xf numFmtId="43" fontId="121" fillId="0" borderId="95" applyProtection="1" pivotButton="0" quotePrefix="0" xfId="2">
      <protection locked="0" hidden="0"/>
    </xf>
    <xf numFmtId="0" fontId="129" fillId="0" borderId="0" pivotButton="0" quotePrefix="0" xfId="312"/>
    <xf numFmtId="173" fontId="94" fillId="0" borderId="0" pivotButton="0" quotePrefix="0" xfId="312"/>
    <xf numFmtId="0" fontId="94" fillId="0" borderId="0" pivotButton="0" quotePrefix="0" xfId="312"/>
    <xf numFmtId="0" fontId="111" fillId="20" borderId="98" applyAlignment="1" pivotButton="0" quotePrefix="0" xfId="0">
      <alignment horizontal="center" vertical="center"/>
    </xf>
    <xf numFmtId="171" fontId="111" fillId="20" borderId="99" applyAlignment="1" pivotButton="0" quotePrefix="0" xfId="0">
      <alignment horizontal="center" vertical="center"/>
    </xf>
    <xf numFmtId="174" fontId="113" fillId="20" borderId="99" applyAlignment="1" pivotButton="0" quotePrefix="0" xfId="0">
      <alignment horizontal="center" vertical="center"/>
    </xf>
    <xf numFmtId="175" fontId="113" fillId="20" borderId="100" applyAlignment="1" pivotButton="0" quotePrefix="0" xfId="0">
      <alignment horizontal="center" vertical="center"/>
    </xf>
    <xf numFmtId="0" fontId="30" fillId="0" borderId="101" applyAlignment="1" pivotButton="0" quotePrefix="0" xfId="0">
      <alignment vertical="center"/>
    </xf>
    <xf numFmtId="10" fontId="111" fillId="2" borderId="0" applyAlignment="1" pivotButton="0" quotePrefix="0" xfId="0">
      <alignment vertical="center"/>
    </xf>
    <xf numFmtId="0" fontId="130" fillId="0" borderId="102" applyAlignment="1" pivotButton="0" quotePrefix="0" xfId="67">
      <alignment horizontal="center" vertical="center"/>
    </xf>
    <xf numFmtId="0" fontId="4" fillId="0" borderId="102" applyAlignment="1" pivotButton="0" quotePrefix="0" xfId="67">
      <alignment horizontal="center" vertical="center"/>
    </xf>
    <xf numFmtId="0" fontId="30" fillId="0" borderId="103" applyAlignment="1" pivotButton="0" quotePrefix="0" xfId="0">
      <alignment vertical="center"/>
    </xf>
    <xf numFmtId="0" fontId="111" fillId="2" borderId="104" applyAlignment="1" pivotButton="0" quotePrefix="0" xfId="0">
      <alignment vertical="center"/>
    </xf>
    <xf numFmtId="10" fontId="111" fillId="2" borderId="104" applyAlignment="1" pivotButton="0" quotePrefix="0" xfId="0">
      <alignment vertical="center"/>
    </xf>
    <xf numFmtId="0" fontId="111" fillId="2" borderId="105" applyAlignment="1" pivotButton="0" quotePrefix="0" xfId="0">
      <alignment vertical="center"/>
    </xf>
    <xf numFmtId="0" fontId="111" fillId="2" borderId="0" applyAlignment="1" pivotButton="0" quotePrefix="0" xfId="0">
      <alignment vertical="center"/>
    </xf>
    <xf numFmtId="43" fontId="113" fillId="2" borderId="0" applyAlignment="1" pivotButton="0" quotePrefix="0" xfId="105">
      <alignment horizontal="center" vertical="center"/>
    </xf>
    <xf numFmtId="43" fontId="111" fillId="0" borderId="106" applyAlignment="1" pivotButton="0" quotePrefix="0" xfId="2">
      <alignment vertical="center"/>
    </xf>
    <xf numFmtId="0" fontId="66" fillId="20" borderId="98" applyAlignment="1" pivotButton="0" quotePrefix="0" xfId="0">
      <alignment horizontal="center" vertical="center"/>
    </xf>
    <xf numFmtId="0" fontId="66" fillId="20" borderId="99" applyAlignment="1" pivotButton="0" quotePrefix="0" xfId="0">
      <alignment horizontal="center" vertical="center"/>
    </xf>
    <xf numFmtId="0" fontId="66" fillId="20" borderId="100" applyAlignment="1" pivotButton="0" quotePrefix="0" xfId="0">
      <alignment horizontal="center" vertical="center"/>
    </xf>
    <xf numFmtId="0" fontId="118" fillId="0" borderId="101" applyAlignment="1" pivotButton="0" quotePrefix="0" xfId="0">
      <alignment vertical="center" wrapText="1" shrinkToFit="1"/>
    </xf>
    <xf numFmtId="43" fontId="118" fillId="0" borderId="0" pivotButton="0" quotePrefix="0" xfId="2"/>
    <xf numFmtId="9" fontId="118" fillId="0" borderId="0" applyAlignment="1" pivotButton="0" quotePrefix="0" xfId="5">
      <alignment vertical="center" wrapText="1" shrinkToFit="1"/>
    </xf>
    <xf numFmtId="0" fontId="129" fillId="0" borderId="102" pivotButton="0" quotePrefix="0" xfId="312"/>
    <xf numFmtId="0" fontId="94" fillId="0" borderId="101" pivotButton="0" quotePrefix="0" xfId="312"/>
    <xf numFmtId="0" fontId="131" fillId="0" borderId="0" pivotButton="0" quotePrefix="0" xfId="312"/>
    <xf numFmtId="0" fontId="131" fillId="0" borderId="102" pivotButton="0" quotePrefix="0" xfId="312"/>
    <xf numFmtId="0" fontId="129" fillId="0" borderId="107" applyAlignment="1" pivotButton="0" quotePrefix="0" xfId="312">
      <alignment horizontal="left" vertical="top" wrapText="1"/>
    </xf>
    <xf numFmtId="0" fontId="0" fillId="0" borderId="102" pivotButton="0" quotePrefix="0" xfId="0"/>
    <xf numFmtId="0" fontId="0" fillId="0" borderId="101" pivotButton="0" quotePrefix="0" xfId="0"/>
    <xf numFmtId="0" fontId="129" fillId="0" borderId="101" pivotButton="0" quotePrefix="0" xfId="312"/>
    <xf numFmtId="0" fontId="94" fillId="0" borderId="102" pivotButton="0" quotePrefix="0" xfId="312"/>
    <xf numFmtId="0" fontId="129" fillId="5" borderId="101" pivotButton="0" quotePrefix="0" xfId="312"/>
    <xf numFmtId="0" fontId="129" fillId="5" borderId="0" pivotButton="0" quotePrefix="0" xfId="312"/>
    <xf numFmtId="171" fontId="129" fillId="5" borderId="0" pivotButton="0" quotePrefix="0" xfId="2"/>
    <xf numFmtId="43" fontId="129" fillId="5" borderId="0" applyAlignment="1" pivotButton="0" quotePrefix="0" xfId="2">
      <alignment horizontal="right"/>
    </xf>
    <xf numFmtId="43" fontId="118" fillId="5" borderId="0" pivotButton="0" quotePrefix="0" xfId="2"/>
    <xf numFmtId="0" fontId="94" fillId="5" borderId="102" pivotButton="0" quotePrefix="0" xfId="312"/>
    <xf numFmtId="43" fontId="129" fillId="0" borderId="0" pivotButton="0" quotePrefix="0" xfId="2"/>
    <xf numFmtId="0" fontId="94" fillId="0" borderId="103" pivotButton="0" quotePrefix="0" xfId="312"/>
    <xf numFmtId="0" fontId="94" fillId="0" borderId="104" pivotButton="0" quotePrefix="0" xfId="312"/>
    <xf numFmtId="0" fontId="94" fillId="0" borderId="105" pivotButton="0" quotePrefix="0" xfId="312"/>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tc={668FA237-424A-4BDB-AD82-53F2A9ADE947}</author>
    <author>tc={4821C6F6-7640-4971-87C9-72CDAC55A449}</author>
    <author>tc={222248E9-5385-4CB6-B652-6D5646CE7070}</author>
    <author>tc={3CF9B36D-D834-4B98-9665-EDC9B5E1E89A}</author>
    <author>tc={1D65A878-799B-4507-97F6-777CF93977D1}</author>
    <author>tc={507577BA-7187-422E-BE33-07D772D79CDD}</author>
    <author>tc={269D05AB-46F8-4474-A3C7-5FA7BF1C3CBB}</author>
    <author>tc={02C0EB77-B635-4979-B602-04EC3780621A}</author>
    <author>tc={1FD92BCB-0928-44A2-91CF-6A103EBC72E1}</author>
    <author>tc={3CF57968-194D-4E9D-851F-282BEFC9A369}</author>
    <author>tc={A57F8084-8C5C-4C69-94DD-15B221C0220F}</author>
    <author>tc={BB6BDDBF-2072-4C0D-A2AE-BB44372F9CFC}</author>
  </authors>
  <commentList>
    <comment ref="G11" authorId="0" shapeId="0">
      <text>
        <t>[线程批注]
你的Excel版本可读取此线程批注; 但如果在更新版本的Excel中打开文件，则对批注所作的任何改动都将被删除。了解详细信息: https://go.microsoft.com/fwlink/?linkid=870924
注释:
    这是关联方？</t>
      </text>
    </comment>
    <comment ref="G12" authorId="1" shapeId="0">
      <text>
        <t>[线程批注]
你的Excel版本可读取此线程批注; 但如果在更新版本的Excel中打开文件，则对批注所作的任何改动都将被删除。了解详细信息: https://go.microsoft.com/fwlink/?linkid=870924
注释:
    这是关联方/？</t>
      </text>
    </comment>
    <comment ref="G13" authorId="2" shapeId="0">
      <text>
        <t>[线程批注]
你的Excel版本可读取此线程批注; 但如果在更新版本的Excel中打开文件，则对批注所作的任何改动都将被删除。了解详细信息: https://go.microsoft.com/fwlink/?linkid=870924
注释:
    确定是关联方？</t>
      </text>
    </comment>
    <comment ref="B246" authorId="3" shapeId="0">
      <text>
        <t>[线程批注]
你的Excel版本可读取此线程批注; 但如果在更新版本的Excel中打开文件，则对批注所作的任何改动都将被删除。了解详细信息: https://go.microsoft.com/fwlink/?linkid=870924
注释:
    东风咨询有限公司系东风鸿远工程咨询的关联方供应商，主要承接鸿远工程包中符合其服务范围的业务。2024年，因整体业务规模较大，鸿远向其分包的工程包相应增加；2025年业务量有所减少，分包量也随之降低，对应应付东风咨询的款项余额同比下降约25%。</t>
      </text>
    </comment>
    <comment ref="B248" authorId="4" shapeId="0">
      <text>
        <t xml:space="preserve">[线程批注]
你的Excel版本可读取此线程批注; 但如果在更新版本的Excel中打开文件，则对批注所作的任何改动都将被删除。了解详细信息: https://go.microsoft.com/fwlink/?linkid=870924
注释:
    被审计单位对项目成本采取暂估入账方式。具体流程为：业务部门通过金慧项目管理系统进行项目申报与记录；财务部门依据项目预算，在收到发票前，将预估成本计入“应付账款—供应商”科目。
 对于非内部供应商的成本，在暂估阶段，财务系统未按实际供应商明细进行分拆，而是将同一项目下涉及不同供应商的预算成本，统一归集至“应付账款—供应商”科目​中。待项目完成、取得发票后，再冲销暂估，并依据发票信息将成本准确计入具体的供应商明细账户。
​ 因此，暂估科目余额的变动主要与项目预算总额及项目进度挂钩。2025年，因工程总包业务量减少，对应提报的暂估成本总额同步下降，导致“应付账款—暂估”科目余额出现显著减少。
</t>
      </text>
    </comment>
    <comment ref="B250" authorId="5" shapeId="0">
      <text>
        <t>[线程批注]
你的Excel版本可读取此线程批注; 但如果在更新版本的Excel中打开文件，则对批注所作的任何改动都将被删除。了解详细信息: https://go.microsoft.com/fwlink/?linkid=870924
注释:
    写的太口语化了，参考上方cmts修改描述</t>
      </text>
    </comment>
    <comment ref="B252" authorId="6" shapeId="0">
      <text>
        <t>[线程批注]
你的Excel版本可读取此线程批注; 但如果在更新版本的Excel中打开文件，则对批注所作的任何改动都将被删除。了解详细信息: https://go.microsoft.com/fwlink/?linkid=870924
注释:
    太口语化了，修改，”账面显示的变动较大“---是想表达什么</t>
      </text>
    </comment>
    <comment ref="B254" authorId="7" shapeId="0">
      <text>
        <t>[线程批注]
你的Excel版本可读取此线程批注; 但如果在更新版本的Excel中打开文件，则对批注所作的任何改动都将被删除。了解详细信息: https://go.microsoft.com/fwlink/?linkid=870924
注释:
    25年合作工程较24年量大----新增了什么合作工程？补充</t>
      </text>
    </comment>
    <comment ref="B257" authorId="8" shapeId="0">
      <text>
        <t xml:space="preserve">[线程批注]
你的Excel版本可读取此线程批注; 但如果在更新版本的Excel中打开文件，则对批注所作的任何改动都将被删除。了解详细信息: https://go.microsoft.com/fwlink/?linkid=870924
注释:
    为啥只有4个，上面的描述是说选取前五大
</t>
      </text>
    </comment>
    <comment ref="B263" authorId="9" shapeId="0">
      <text>
        <t>[线程批注]
你的Excel版本可读取此线程批注; 但如果在更新版本的Excel中打开文件，则对批注所作的任何改动都将被删除。了解详细信息: https://go.microsoft.com/fwlink/?linkid=870924
注释:
    补充资料（合同，工程形象进度，产值表，结算单等），下同</t>
      </text>
    </comment>
    <comment ref="B265" authorId="10" shapeId="0">
      <text>
        <t>[线程批注]
你的Excel版本可读取此线程批注; 但如果在更新版本的Excel中打开文件，则对批注所作的任何改动都将被删除。了解详细信息: https://go.microsoft.com/fwlink/?linkid=870924
注释:
    补充资料检查，这是还没分析完吗？</t>
      </text>
    </comment>
    <comment ref="B267" authorId="11" shapeId="0">
      <text>
        <t>[线程批注]
你的Excel版本可读取此线程批注; 但如果在更新版本的Excel中打开文件，则对批注所作的任何改动都将被删除。了解详细信息: https://go.microsoft.com/fwlink/?linkid=870924
注释:
    补充资料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46169.59591471701</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v>-60856880.625</v>
      </c>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v>64381069.15</v>
      </c>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t="n">
        <v>345.020076885831</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t="n">
        <v>1.057909450645623</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3:B55">
    <cfRule type="containsBlanks" priority="6" dxfId="4">
      <formula>LEN(TRIM(B52))=0</formula>
    </cfRule>
  </conditionalFormatting>
  <conditionalFormatting sqref="B60">
    <cfRule type="containsBlanks" priority="16" dxfId="4">
      <formula>LEN(TRIM(B59))=0</formula>
    </cfRule>
  </conditionalFormatting>
  <conditionalFormatting sqref="B39:D43">
    <cfRule type="containsBlanks" priority="13" dxfId="4">
      <formula>LEN(TRIM(B39))=0</formula>
    </cfRule>
  </conditionalFormatting>
  <conditionalFormatting sqref="B81:F81 B82:B84 C82:F82">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3:F84">
    <cfRule type="containsBlanks" priority="4" dxfId="13">
      <formula>LEN(TRIM(C82))=0</formula>
    </cfRule>
  </conditionalFormatting>
  <conditionalFormatting sqref="B76:F76 D70:E70">
    <cfRule type="containsBlanks" priority="35" dxfId="4">
      <formula>LEN(TRIM(B69))=0</formula>
    </cfRule>
  </conditionalFormatting>
  <conditionalFormatting sqref="E39">
    <cfRule type="containsBlanks" priority="25" dxfId="11">
      <formula>LEN(TRIM(E39))=0</formula>
    </cfRule>
  </conditionalFormatting>
  <conditionalFormatting sqref="E69">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8">
    <cfRule type="containsBlanks" priority="24" dxfId="4">
      <formula>LEN(TRIM(H47))=0</formula>
    </cfRule>
  </conditionalFormatting>
  <conditionalFormatting sqref="J48:K48">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6">
    <cfRule type="containsBlanks" priority="3" dxfId="4">
      <formula>LEN(TRIM(P45))=0</formula>
    </cfRule>
  </conditionalFormatting>
  <dataValidations count="4">
    <dataValidation sqref="P39:P43 P46"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P45" showDropDown="0" showInputMessage="1" showErrorMessage="1" allowBlank="1" type="list">
      <formula1>"Yes,No"</formula1>
    </dataValidation>
    <dataValidation sqref="B81:B84"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filterMode="1">
    <outlinePr summaryBelow="1" summaryRight="1"/>
    <pageSetUpPr/>
  </sheetPr>
  <dimension ref="A1:X270"/>
  <sheetViews>
    <sheetView showGridLines="0" zoomScale="70" zoomScaleNormal="70" workbookViewId="0">
      <pane xSplit="5" ySplit="243" topLeftCell="F244" activePane="bottomRight" state="frozen"/>
      <selection pane="topRight"/>
      <selection pane="bottomLeft"/>
      <selection pane="bottomRight" activeCell="A1" sqref="A1"/>
    </sheetView>
  </sheetViews>
  <sheetFormatPr baseColWidth="8" defaultColWidth="8.77734375" defaultRowHeight="13.8"/>
  <cols>
    <col width="2.5546875" customWidth="1" style="91" min="1" max="1"/>
    <col width="50.5546875" customWidth="1" style="91" min="2" max="2"/>
    <col width="33.88671875" customWidth="1" style="91" min="3" max="3"/>
    <col width="20.77734375" customWidth="1" style="91" min="4" max="4"/>
    <col width="40.6640625" customWidth="1" style="91" min="5" max="5"/>
    <col width="20.77734375" customWidth="1" style="91" min="6" max="7"/>
    <col width="9.6640625" customWidth="1" style="91" min="8" max="8"/>
    <col width="14.77734375" bestFit="1" customWidth="1" style="91" min="9" max="10"/>
    <col width="8.88671875" bestFit="1" customWidth="1" style="91" min="11" max="12"/>
    <col width="14.77734375" bestFit="1" customWidth="1" style="91" min="13" max="13"/>
    <col width="15.21875" customWidth="1" style="91" min="14" max="14"/>
    <col width="14.109375" customWidth="1" style="91" min="15" max="15"/>
    <col width="8.88671875" bestFit="1" customWidth="1" style="91" min="16" max="17"/>
    <col width="13.5546875" customWidth="1" style="91" min="18" max="18"/>
    <col width="13.6640625" bestFit="1" customWidth="1" style="91" min="19" max="19"/>
    <col width="14.77734375" bestFit="1" customWidth="1" style="91" min="20" max="20"/>
    <col width="13.6640625" bestFit="1" customWidth="1" style="91" min="21" max="21"/>
    <col width="14.77734375" bestFit="1" customWidth="1" style="91" min="22" max="22"/>
    <col width="8.88671875" bestFit="1" customWidth="1" style="91" min="23" max="23"/>
    <col width="16.77734375" customWidth="1" style="91" min="24" max="24"/>
    <col width="8.77734375" customWidth="1" style="91" min="25" max="16384"/>
  </cols>
  <sheetData>
    <row r="1" ht="50.1" customHeight="1">
      <c r="A1" s="30" t="n"/>
      <c r="B1" s="736" t="inlineStr">
        <is>
          <t>标准底稿: N SWP 应付账款</t>
        </is>
      </c>
      <c r="C1" s="737" t="n"/>
      <c r="D1" s="737" t="n"/>
      <c r="E1" s="737" t="n"/>
      <c r="F1" s="737" t="n"/>
      <c r="G1" s="737" t="n"/>
      <c r="H1" s="738" t="n"/>
      <c r="I1" s="30" t="n"/>
      <c r="J1" s="30" t="n"/>
      <c r="K1" s="30" t="n"/>
      <c r="L1" s="30" t="n"/>
    </row>
    <row r="2" ht="30" customFormat="1" customHeight="1" s="93">
      <c r="A2" s="32" t="n"/>
      <c r="B2" s="93" t="inlineStr">
        <is>
          <t>N.01.01 获取应付账款明细账</t>
        </is>
      </c>
      <c r="C2" s="33" t="n"/>
      <c r="D2" s="33" t="n"/>
      <c r="E2" s="33" t="n"/>
      <c r="F2" s="33" t="n"/>
      <c r="G2" s="33" t="n"/>
      <c r="H2" s="34" t="n"/>
      <c r="I2" s="32" t="n"/>
      <c r="J2" s="32" t="n"/>
      <c r="K2" s="32" t="n"/>
      <c r="L2" s="32" t="n"/>
    </row>
    <row r="3">
      <c r="A3" s="30" t="n"/>
      <c r="B3" s="36" t="n"/>
      <c r="C3" s="36" t="n"/>
      <c r="D3" s="30" t="n"/>
      <c r="E3" s="36" t="n"/>
      <c r="F3" s="739" t="n"/>
      <c r="G3" s="739" t="n"/>
      <c r="H3" s="30" t="n"/>
      <c r="I3" s="30" t="n"/>
      <c r="J3" s="30" t="n"/>
      <c r="K3" s="30" t="n"/>
      <c r="L3" s="30" t="n"/>
    </row>
    <row r="4" ht="14.4" customHeight="1" thickBot="1">
      <c r="A4" s="30" t="n"/>
      <c r="B4" s="30" t="n"/>
      <c r="C4" s="30" t="n"/>
      <c r="D4" s="30" t="n"/>
      <c r="E4" s="30" t="n"/>
      <c r="F4" s="30" t="n"/>
      <c r="G4" s="30" t="n"/>
      <c r="H4" s="30" t="n"/>
      <c r="I4" s="30" t="n"/>
      <c r="J4" s="30" t="n"/>
      <c r="K4" s="30" t="n"/>
      <c r="L4" s="30" t="n"/>
    </row>
    <row r="5" ht="14.4" customHeight="1">
      <c r="A5" s="30" t="n"/>
      <c r="B5" s="740" t="inlineStr">
        <is>
          <t xml:space="preserve">账套名称/账套编码 </t>
        </is>
      </c>
      <c r="C5" s="741" t="inlineStr">
        <is>
          <t>科目编码</t>
        </is>
      </c>
      <c r="D5" s="742" t="inlineStr">
        <is>
          <t>供应商代码</t>
        </is>
      </c>
      <c r="E5" s="743" t="inlineStr">
        <is>
          <t>供应商名称</t>
        </is>
      </c>
      <c r="F5" s="744" t="inlineStr">
        <is>
          <t>款项性质</t>
        </is>
      </c>
      <c r="G5" s="745" t="inlineStr">
        <is>
          <t>供应商性质</t>
        </is>
      </c>
      <c r="H5" s="746" t="n">
        <v>46387</v>
      </c>
      <c r="I5" s="747" t="n"/>
      <c r="J5" s="747" t="n"/>
      <c r="K5" s="747" t="n"/>
      <c r="L5" s="747" t="n"/>
      <c r="M5" s="748" t="n"/>
      <c r="N5" s="749" t="n">
        <v>46022</v>
      </c>
      <c r="O5" s="750" t="inlineStr">
        <is>
          <t>变动</t>
        </is>
      </c>
      <c r="P5" s="751" t="n"/>
      <c r="Q5" s="752" t="inlineStr">
        <is>
          <t>Notes</t>
        </is>
      </c>
      <c r="R5" s="753" t="inlineStr">
        <is>
          <t>应付账款分账龄</t>
        </is>
      </c>
      <c r="S5" s="754" t="n"/>
      <c r="T5" s="754" t="n"/>
      <c r="U5" s="754" t="n"/>
      <c r="V5" s="754" t="n"/>
      <c r="W5" s="755" t="n"/>
    </row>
    <row r="6" ht="22.8" customHeight="1">
      <c r="A6" s="30" t="n"/>
      <c r="B6" s="756" t="n"/>
      <c r="C6" s="757" t="n"/>
      <c r="D6" s="757" t="n"/>
      <c r="E6" s="757" t="n"/>
      <c r="F6" s="757" t="n"/>
      <c r="G6" s="758" t="n"/>
      <c r="H6" s="759" t="inlineStr">
        <is>
          <t>原币币种</t>
        </is>
      </c>
      <c r="I6" s="760" t="inlineStr">
        <is>
          <t>原币金额</t>
        </is>
      </c>
      <c r="J6" s="760" t="inlineStr">
        <is>
          <t>期末账面数</t>
        </is>
      </c>
      <c r="K6" s="761" t="inlineStr">
        <is>
          <t>本期审计调整编号</t>
        </is>
      </c>
      <c r="L6" s="762" t="inlineStr">
        <is>
          <t>重分类调整</t>
        </is>
      </c>
      <c r="M6" s="763" t="inlineStr">
        <is>
          <t>期末审定数</t>
        </is>
      </c>
      <c r="N6" s="764" t="inlineStr">
        <is>
          <t>上期末审定数</t>
        </is>
      </c>
      <c r="O6" s="765" t="inlineStr">
        <is>
          <t>金额</t>
        </is>
      </c>
      <c r="P6" s="766" t="inlineStr">
        <is>
          <t>%</t>
        </is>
      </c>
      <c r="Q6" s="757" t="n"/>
      <c r="R6" s="767" t="inlineStr">
        <is>
          <t>0-90天</t>
        </is>
      </c>
      <c r="S6" s="767" t="inlineStr">
        <is>
          <t>91-365天</t>
        </is>
      </c>
      <c r="T6" s="767" t="inlineStr">
        <is>
          <t>1年至2年</t>
        </is>
      </c>
      <c r="U6" s="767" t="inlineStr">
        <is>
          <t>2年至3年</t>
        </is>
      </c>
      <c r="V6" s="767" t="inlineStr">
        <is>
          <t>3年以上</t>
        </is>
      </c>
      <c r="W6" s="768" t="inlineStr">
        <is>
          <t>check</t>
        </is>
      </c>
    </row>
    <row r="7" hidden="1" ht="15.6" customHeight="1">
      <c r="A7" s="30" t="n"/>
      <c r="B7" s="769" t="inlineStr">
        <is>
          <t>东风鸿远工程咨询有限公司</t>
        </is>
      </c>
      <c r="C7" s="770" t="inlineStr">
        <is>
          <t>2121</t>
        </is>
      </c>
      <c r="D7" s="770" t="inlineStr">
        <is>
          <t>I_9202</t>
        </is>
      </c>
      <c r="E7" s="771" t="inlineStr">
        <is>
          <t>东风鸿远工程咨询有限公司监理分公司</t>
        </is>
      </c>
      <c r="F7" s="772" t="inlineStr">
        <is>
          <t>采购款</t>
        </is>
      </c>
      <c r="G7" s="773" t="inlineStr">
        <is>
          <t>关联方</t>
        </is>
      </c>
      <c r="H7" s="774" t="inlineStr">
        <is>
          <t>CNY</t>
        </is>
      </c>
      <c r="I7" s="775" t="n">
        <v>0</v>
      </c>
      <c r="J7" s="775" t="n"/>
      <c r="K7" s="776" t="n"/>
      <c r="L7" s="777" t="n"/>
      <c r="M7" s="778">
        <f>J7+L7</f>
        <v/>
      </c>
      <c r="N7" s="779" t="n">
        <v>0</v>
      </c>
      <c r="O7" s="780">
        <f>M7-N7</f>
        <v/>
      </c>
      <c r="P7" s="781">
        <f>IF(N7&lt;&gt;0,O7/N7,"")</f>
        <v/>
      </c>
      <c r="Q7" s="776" t="n"/>
      <c r="R7" s="775" t="n">
        <v>0</v>
      </c>
      <c r="S7" s="775" t="n">
        <v>0</v>
      </c>
      <c r="T7" s="775" t="n">
        <v>0</v>
      </c>
      <c r="U7" s="775" t="n">
        <v>0</v>
      </c>
      <c r="V7" s="775" t="n">
        <v>0</v>
      </c>
      <c r="W7" s="782">
        <f>SUM(R7:V7)-M7</f>
        <v/>
      </c>
      <c r="X7" s="783">
        <f>T7+U7+V7</f>
        <v/>
      </c>
    </row>
    <row r="8" ht="15.6" customHeight="1">
      <c r="A8" s="30" t="n"/>
      <c r="B8" s="769" t="inlineStr">
        <is>
          <t>东风鸿远工程咨询有限公司</t>
        </is>
      </c>
      <c r="C8" s="770" t="inlineStr">
        <is>
          <t>2121</t>
        </is>
      </c>
      <c r="D8" s="771" t="inlineStr">
        <is>
          <t>I_9149</t>
        </is>
      </c>
      <c r="E8" s="772" t="inlineStr">
        <is>
          <t>东风咨询有限公司</t>
        </is>
      </c>
      <c r="F8" s="772" t="inlineStr">
        <is>
          <t>采购款</t>
        </is>
      </c>
      <c r="G8" s="773" t="inlineStr">
        <is>
          <t>关联方</t>
        </is>
      </c>
      <c r="H8" s="774" t="inlineStr">
        <is>
          <t>CNY</t>
        </is>
      </c>
      <c r="I8" s="775" t="n">
        <v>-3874030.13</v>
      </c>
      <c r="J8" s="775" t="n"/>
      <c r="K8" s="776" t="n"/>
      <c r="L8" s="777" t="n"/>
      <c r="M8" s="778">
        <f>J8+L8</f>
        <v/>
      </c>
      <c r="N8" s="779" t="n">
        <v>-3874030.13</v>
      </c>
      <c r="O8" s="780">
        <f>M8-N8</f>
        <v/>
      </c>
      <c r="P8" s="781">
        <f>IF(N8&lt;&gt;0,O8/N8,"")</f>
        <v/>
      </c>
      <c r="Q8" s="776" t="inlineStr">
        <is>
          <t>NB1</t>
        </is>
      </c>
      <c r="R8" s="775" t="n">
        <v>17923.36</v>
      </c>
      <c r="S8" s="775" t="n">
        <v>-115904.15</v>
      </c>
      <c r="T8" s="775" t="n">
        <v>-3223581.11</v>
      </c>
      <c r="U8" s="775" t="n">
        <v>-552468.23</v>
      </c>
      <c r="V8" s="775" t="n">
        <v>0</v>
      </c>
      <c r="W8" s="782">
        <f>SUM(R8:V8)-M8</f>
        <v/>
      </c>
      <c r="X8" s="783">
        <f>T8+U8+V8</f>
        <v/>
      </c>
    </row>
    <row r="9" hidden="1" ht="15.6" customHeight="1">
      <c r="A9" s="30" t="n"/>
      <c r="B9" s="769" t="inlineStr">
        <is>
          <t>东风鸿远工程咨询有限公司</t>
        </is>
      </c>
      <c r="C9" s="770" t="inlineStr">
        <is>
          <t>2121</t>
        </is>
      </c>
      <c r="D9" s="784" t="inlineStr">
        <is>
          <t>I_9151</t>
        </is>
      </c>
      <c r="E9" s="784" t="inlineStr">
        <is>
          <t>东风国际招标有限公司</t>
        </is>
      </c>
      <c r="F9" s="772" t="inlineStr">
        <is>
          <t>采购款</t>
        </is>
      </c>
      <c r="G9" s="773" t="inlineStr">
        <is>
          <t>关联方</t>
        </is>
      </c>
      <c r="H9" s="774" t="inlineStr">
        <is>
          <t>CNY</t>
        </is>
      </c>
      <c r="I9" s="785" t="n">
        <v>-24168.87</v>
      </c>
      <c r="J9" s="785" t="n"/>
      <c r="K9" s="776" t="n"/>
      <c r="L9" s="777" t="n"/>
      <c r="M9" s="778">
        <f>J9+L9</f>
        <v/>
      </c>
      <c r="N9" s="786" t="n">
        <v>-24168.87</v>
      </c>
      <c r="O9" s="780">
        <f>M9-N9</f>
        <v/>
      </c>
      <c r="P9" s="781">
        <f>IF(N9&lt;&gt;0,O9/N9,"")</f>
        <v/>
      </c>
      <c r="Q9" s="776" t="n"/>
      <c r="R9" s="775" t="n">
        <v>0</v>
      </c>
      <c r="S9" s="775" t="n">
        <v>0</v>
      </c>
      <c r="T9" s="775" t="n">
        <v>0</v>
      </c>
      <c r="U9" s="775" t="n">
        <v>-24168.87</v>
      </c>
      <c r="V9" s="775" t="n">
        <v>0</v>
      </c>
      <c r="W9" s="782">
        <f>SUM(R9:V9)-M9</f>
        <v/>
      </c>
      <c r="X9" s="783">
        <f>T9+U9+V9</f>
        <v/>
      </c>
    </row>
    <row r="10" hidden="1" ht="15.6" customHeight="1">
      <c r="A10" s="30" t="n"/>
      <c r="B10" s="769" t="inlineStr">
        <is>
          <t>东风鸿远工程咨询有限公司</t>
        </is>
      </c>
      <c r="C10" s="770" t="inlineStr">
        <is>
          <t>2121</t>
        </is>
      </c>
      <c r="D10" s="784" t="inlineStr">
        <is>
          <t>I_9201</t>
        </is>
      </c>
      <c r="E10" s="784" t="inlineStr">
        <is>
          <t>东风鸿远工程咨询有限公司武汉分公司</t>
        </is>
      </c>
      <c r="F10" s="772" t="inlineStr">
        <is>
          <t>采购款</t>
        </is>
      </c>
      <c r="G10" s="773" t="inlineStr">
        <is>
          <t>关联方</t>
        </is>
      </c>
      <c r="H10" s="774" t="inlineStr">
        <is>
          <t>CNY</t>
        </is>
      </c>
      <c r="I10" s="785" t="n">
        <v>0</v>
      </c>
      <c r="J10" s="785" t="n"/>
      <c r="K10" s="776" t="n"/>
      <c r="L10" s="777" t="n"/>
      <c r="M10" s="778">
        <f>J10+L10</f>
        <v/>
      </c>
      <c r="N10" s="786" t="n">
        <v>0</v>
      </c>
      <c r="O10" s="780">
        <f>M10-N10</f>
        <v/>
      </c>
      <c r="P10" s="781">
        <f>IF(N10&lt;&gt;0,O10/N10,"")</f>
        <v/>
      </c>
      <c r="Q10" s="776" t="n"/>
      <c r="R10" s="775" t="n">
        <v>0</v>
      </c>
      <c r="S10" s="775" t="n">
        <v>0</v>
      </c>
      <c r="T10" s="775" t="n">
        <v>0</v>
      </c>
      <c r="U10" s="775" t="n">
        <v>0</v>
      </c>
      <c r="V10" s="775" t="n">
        <v>0</v>
      </c>
      <c r="W10" s="782">
        <f>SUM(R10:V10)-M10</f>
        <v/>
      </c>
      <c r="X10" s="783">
        <f>T10+U10+V10</f>
        <v/>
      </c>
    </row>
    <row r="11" hidden="1" ht="15.6" customHeight="1">
      <c r="B11" s="769" t="inlineStr">
        <is>
          <t>东风鸿远工程咨询有限公司</t>
        </is>
      </c>
      <c r="C11" s="770" t="inlineStr">
        <is>
          <t>2121</t>
        </is>
      </c>
      <c r="D11" s="772" t="inlineStr">
        <is>
          <t>I_9205</t>
        </is>
      </c>
      <c r="E11" s="772" t="inlineStr">
        <is>
          <t>上海东南联合工程设计有限公司武汉分公司</t>
        </is>
      </c>
      <c r="F11" s="772" t="inlineStr">
        <is>
          <t>采购款</t>
        </is>
      </c>
      <c r="G11" s="773" t="inlineStr">
        <is>
          <t>关联方</t>
        </is>
      </c>
      <c r="H11" s="774" t="inlineStr">
        <is>
          <t>CNY</t>
        </is>
      </c>
      <c r="I11" s="785" t="n">
        <v>-321415.1</v>
      </c>
      <c r="J11" s="785" t="n"/>
      <c r="K11" s="776" t="n"/>
      <c r="L11" s="777" t="n"/>
      <c r="M11" s="778">
        <f>J11+L11</f>
        <v/>
      </c>
      <c r="N11" s="786" t="n">
        <v>-321415.1</v>
      </c>
      <c r="O11" s="780">
        <f>M11-N11</f>
        <v/>
      </c>
      <c r="P11" s="781">
        <f>IF(N11&lt;&gt;0,O11/N11,"")</f>
        <v/>
      </c>
      <c r="Q11" s="776" t="n"/>
      <c r="R11" s="775" t="n">
        <v>-145000</v>
      </c>
      <c r="S11" s="775" t="n">
        <v>0</v>
      </c>
      <c r="T11" s="775" t="n">
        <v>-176415.1</v>
      </c>
      <c r="U11" s="775" t="n">
        <v>0</v>
      </c>
      <c r="V11" s="775" t="n">
        <v>0</v>
      </c>
      <c r="W11" s="782">
        <f>SUM(R11:V11)-M11</f>
        <v/>
      </c>
      <c r="X11" s="783">
        <f>T11+U11+V11</f>
        <v/>
      </c>
    </row>
    <row r="12" hidden="1" ht="15.6" customHeight="1">
      <c r="B12" s="769" t="inlineStr">
        <is>
          <t>东风鸿远工程咨询有限公司</t>
        </is>
      </c>
      <c r="C12" s="770" t="inlineStr">
        <is>
          <t>2121</t>
        </is>
      </c>
      <c r="D12" s="772" t="inlineStr">
        <is>
          <t>I_9204</t>
        </is>
      </c>
      <c r="E12" s="772" t="inlineStr">
        <is>
          <t>上海东南联合工程设计有限公司</t>
        </is>
      </c>
      <c r="F12" s="772" t="inlineStr">
        <is>
          <t>采购款</t>
        </is>
      </c>
      <c r="G12" s="773" t="inlineStr">
        <is>
          <t>关联方</t>
        </is>
      </c>
      <c r="H12" s="774" t="inlineStr">
        <is>
          <t>CNY</t>
        </is>
      </c>
      <c r="I12" s="785" t="n">
        <v>-188000</v>
      </c>
      <c r="J12" s="785" t="n"/>
      <c r="K12" s="776" t="n"/>
      <c r="L12" s="777" t="n"/>
      <c r="M12" s="778">
        <f>J12+L12</f>
        <v/>
      </c>
      <c r="N12" s="786" t="n">
        <v>-188000</v>
      </c>
      <c r="O12" s="780">
        <f>M12-N12</f>
        <v/>
      </c>
      <c r="P12" s="781">
        <f>IF(N12&lt;&gt;0,O12/N12,"")</f>
        <v/>
      </c>
      <c r="Q12" s="776" t="n"/>
      <c r="R12" s="775" t="n">
        <v>-188000</v>
      </c>
      <c r="S12" s="775" t="n">
        <v>0</v>
      </c>
      <c r="T12" s="775" t="n">
        <v>0</v>
      </c>
      <c r="U12" s="775" t="n">
        <v>0</v>
      </c>
      <c r="V12" s="775" t="n">
        <v>0</v>
      </c>
      <c r="W12" s="782">
        <f>SUM(R12:V12)-M12</f>
        <v/>
      </c>
      <c r="X12" s="783">
        <f>T12+U12+V12</f>
        <v/>
      </c>
    </row>
    <row r="13" hidden="1" ht="15.6" customHeight="1">
      <c r="B13" s="769" t="inlineStr">
        <is>
          <t>东风鸿远工程咨询有限公司</t>
        </is>
      </c>
      <c r="C13" s="770" t="inlineStr">
        <is>
          <t>2121</t>
        </is>
      </c>
      <c r="D13" s="772" t="inlineStr">
        <is>
          <t>I_2446</t>
        </is>
      </c>
      <c r="E13" s="772" t="inlineStr">
        <is>
          <t>联友智连科技有限公司</t>
        </is>
      </c>
      <c r="F13" s="772" t="inlineStr">
        <is>
          <t>采购款</t>
        </is>
      </c>
      <c r="G13" s="773" t="inlineStr">
        <is>
          <t>关联方</t>
        </is>
      </c>
      <c r="H13" s="774" t="inlineStr">
        <is>
          <t>CNY</t>
        </is>
      </c>
      <c r="I13" s="785" t="n">
        <v>-9744.98</v>
      </c>
      <c r="J13" s="785" t="n"/>
      <c r="K13" s="776" t="n"/>
      <c r="L13" s="777" t="n"/>
      <c r="M13" s="778">
        <f>J13+L13</f>
        <v/>
      </c>
      <c r="N13" s="786" t="n">
        <v>-9744.98</v>
      </c>
      <c r="O13" s="780">
        <f>M13-N13</f>
        <v/>
      </c>
      <c r="P13" s="781">
        <f>IF(N13&lt;&gt;0,O13/N13,"")</f>
        <v/>
      </c>
      <c r="Q13" s="776" t="n"/>
      <c r="R13" s="775" t="n">
        <v>-9744.98</v>
      </c>
      <c r="S13" s="775" t="n">
        <v>0</v>
      </c>
      <c r="T13" s="775" t="n">
        <v>0</v>
      </c>
      <c r="U13" s="775" t="n">
        <v>0</v>
      </c>
      <c r="V13" s="775" t="n">
        <v>0</v>
      </c>
      <c r="W13" s="782">
        <f>SUM(R13:V13)-M13</f>
        <v/>
      </c>
      <c r="X13" s="783">
        <f>T13+U13+V13</f>
        <v/>
      </c>
    </row>
    <row r="14" hidden="1" ht="15.6" customHeight="1">
      <c r="B14" s="769" t="inlineStr">
        <is>
          <t>东风鸿远工程咨询有限公司</t>
        </is>
      </c>
      <c r="C14" s="770" t="inlineStr">
        <is>
          <t>2121</t>
        </is>
      </c>
      <c r="D14" s="772" t="inlineStr">
        <is>
          <t>E_614092</t>
        </is>
      </c>
      <c r="E14" s="772" t="inlineStr">
        <is>
          <t>襄阳市市政工程设计院有限公司</t>
        </is>
      </c>
      <c r="F14" s="772" t="inlineStr">
        <is>
          <t>采购款</t>
        </is>
      </c>
      <c r="G14" s="773" t="inlineStr">
        <is>
          <t>供应商</t>
        </is>
      </c>
      <c r="H14" s="774" t="inlineStr">
        <is>
          <t>CNY</t>
        </is>
      </c>
      <c r="I14" s="785" t="n">
        <v>-1101157.36</v>
      </c>
      <c r="J14" s="785" t="n"/>
      <c r="K14" s="776" t="n"/>
      <c r="L14" s="777" t="n"/>
      <c r="M14" s="778">
        <f>J14+L14</f>
        <v/>
      </c>
      <c r="N14" s="786" t="n">
        <v>-1101157.36</v>
      </c>
      <c r="O14" s="780">
        <f>M14-N14</f>
        <v/>
      </c>
      <c r="P14" s="781">
        <f>IF(N14&lt;&gt;0,O14/N14,"")</f>
        <v/>
      </c>
      <c r="Q14" s="776" t="n"/>
      <c r="R14" s="775" t="n">
        <v>0</v>
      </c>
      <c r="S14" s="775" t="n">
        <v>0</v>
      </c>
      <c r="T14" s="775" t="n">
        <v>-183962.26</v>
      </c>
      <c r="U14" s="775" t="n">
        <v>0</v>
      </c>
      <c r="V14" s="775" t="n">
        <v>-917195.1</v>
      </c>
      <c r="W14" s="782">
        <f>SUM(R14:V14)-M14</f>
        <v/>
      </c>
      <c r="X14" s="783">
        <f>T14+U14+V14</f>
        <v/>
      </c>
    </row>
    <row r="15" hidden="1" ht="15.6" customHeight="1">
      <c r="B15" s="769" t="inlineStr">
        <is>
          <t>东风鸿远工程咨询有限公司</t>
        </is>
      </c>
      <c r="C15" s="770" t="inlineStr">
        <is>
          <t>2121</t>
        </is>
      </c>
      <c r="D15" s="772" t="inlineStr">
        <is>
          <t>E_625077</t>
        </is>
      </c>
      <c r="E15" s="772" t="inlineStr">
        <is>
          <t>中城科泽工程设计集团有限责任公司襄阳分院</t>
        </is>
      </c>
      <c r="F15" s="772" t="inlineStr">
        <is>
          <t>采购款</t>
        </is>
      </c>
      <c r="G15" s="773" t="inlineStr">
        <is>
          <t>供应商</t>
        </is>
      </c>
      <c r="H15" s="774" t="inlineStr">
        <is>
          <t>CNY</t>
        </is>
      </c>
      <c r="I15" s="785" t="n">
        <v>-19417.48</v>
      </c>
      <c r="J15" s="785" t="n"/>
      <c r="K15" s="776" t="n"/>
      <c r="L15" s="777" t="n"/>
      <c r="M15" s="778">
        <f>J15+L15</f>
        <v/>
      </c>
      <c r="N15" s="786" t="n">
        <v>-19417.48</v>
      </c>
      <c r="O15" s="780">
        <f>M15-N15</f>
        <v/>
      </c>
      <c r="P15" s="781">
        <f>IF(N15&lt;&gt;0,O15/N15,"")</f>
        <v/>
      </c>
      <c r="Q15" s="776" t="n"/>
      <c r="R15" s="775" t="n">
        <v>0</v>
      </c>
      <c r="S15" s="775" t="n">
        <v>0</v>
      </c>
      <c r="T15" s="775" t="n">
        <v>0</v>
      </c>
      <c r="U15" s="775" t="n">
        <v>0</v>
      </c>
      <c r="V15" s="775" t="n">
        <v>-19417.48</v>
      </c>
      <c r="W15" s="782">
        <f>SUM(R15:V15)-M15</f>
        <v/>
      </c>
      <c r="X15" s="783">
        <f>T15+U15+V15</f>
        <v/>
      </c>
    </row>
    <row r="16" hidden="1" ht="15.6" customHeight="1">
      <c r="B16" s="769" t="inlineStr">
        <is>
          <t>东风鸿远工程咨询有限公司</t>
        </is>
      </c>
      <c r="C16" s="770" t="inlineStr">
        <is>
          <t>2121</t>
        </is>
      </c>
      <c r="D16" s="772" t="inlineStr">
        <is>
          <t>E_624605</t>
        </is>
      </c>
      <c r="E16" s="772" t="inlineStr">
        <is>
          <t>湖北王壹建筑装饰工程有限公司</t>
        </is>
      </c>
      <c r="F16" s="772" t="inlineStr">
        <is>
          <t>采购款</t>
        </is>
      </c>
      <c r="G16" s="773" t="inlineStr">
        <is>
          <t>供应商</t>
        </is>
      </c>
      <c r="H16" s="774" t="inlineStr">
        <is>
          <t>CNY</t>
        </is>
      </c>
      <c r="I16" s="785" t="n">
        <v>0</v>
      </c>
      <c r="J16" s="785" t="n"/>
      <c r="K16" s="776" t="n"/>
      <c r="L16" s="777" t="n"/>
      <c r="M16" s="778">
        <f>J16+L16</f>
        <v/>
      </c>
      <c r="N16" s="786" t="n">
        <v>0</v>
      </c>
      <c r="O16" s="780">
        <f>M16-N16</f>
        <v/>
      </c>
      <c r="P16" s="781">
        <f>IF(N16&lt;&gt;0,O16/N16,"")</f>
        <v/>
      </c>
      <c r="Q16" s="776" t="n"/>
      <c r="R16" s="775" t="n">
        <v>0</v>
      </c>
      <c r="S16" s="775" t="n">
        <v>0</v>
      </c>
      <c r="T16" s="775" t="n">
        <v>0</v>
      </c>
      <c r="U16" s="775" t="n">
        <v>0</v>
      </c>
      <c r="V16" s="775" t="n">
        <v>0</v>
      </c>
      <c r="W16" s="782">
        <f>SUM(R16:V16)-M16</f>
        <v/>
      </c>
      <c r="X16" s="783">
        <f>T16+U16+V16</f>
        <v/>
      </c>
    </row>
    <row r="17" hidden="1" ht="15.6" customHeight="1">
      <c r="B17" s="769" t="inlineStr">
        <is>
          <t>东风鸿远工程咨询有限公司</t>
        </is>
      </c>
      <c r="C17" s="770" t="inlineStr">
        <is>
          <t>2121</t>
        </is>
      </c>
      <c r="D17" s="772" t="inlineStr">
        <is>
          <t>E_624955</t>
        </is>
      </c>
      <c r="E17" s="772" t="inlineStr">
        <is>
          <t>襄阳瑞喜钻探工程有限公司</t>
        </is>
      </c>
      <c r="F17" s="772" t="inlineStr">
        <is>
          <t>采购款</t>
        </is>
      </c>
      <c r="G17" s="773" t="inlineStr">
        <is>
          <t>供应商</t>
        </is>
      </c>
      <c r="H17" s="774" t="inlineStr">
        <is>
          <t>CNY</t>
        </is>
      </c>
      <c r="I17" s="785" t="n">
        <v>-937233.6800000001</v>
      </c>
      <c r="J17" s="785" t="n"/>
      <c r="K17" s="776" t="n"/>
      <c r="L17" s="777" t="n"/>
      <c r="M17" s="778">
        <f>J17+L17</f>
        <v/>
      </c>
      <c r="N17" s="786" t="n">
        <v>-937233.6800000001</v>
      </c>
      <c r="O17" s="780">
        <f>M17-N17</f>
        <v/>
      </c>
      <c r="P17" s="781">
        <f>IF(N17&lt;&gt;0,O17/N17,"")</f>
        <v/>
      </c>
      <c r="Q17" s="776" t="n"/>
      <c r="R17" s="775" t="n">
        <v>-383493.38</v>
      </c>
      <c r="S17" s="775" t="n">
        <v>-257373.5</v>
      </c>
      <c r="T17" s="775" t="n">
        <v>-296366.8</v>
      </c>
      <c r="U17" s="775" t="n">
        <v>0</v>
      </c>
      <c r="V17" s="775" t="n">
        <v>0</v>
      </c>
      <c r="W17" s="782">
        <f>SUM(R17:V17)-M17</f>
        <v/>
      </c>
      <c r="X17" s="783">
        <f>T17+U17+V17</f>
        <v/>
      </c>
    </row>
    <row r="18" hidden="1" ht="15.6" customHeight="1">
      <c r="B18" s="769" t="inlineStr">
        <is>
          <t>东风鸿远工程咨询有限公司</t>
        </is>
      </c>
      <c r="C18" s="770" t="inlineStr">
        <is>
          <t>2121</t>
        </is>
      </c>
      <c r="D18" s="772" t="inlineStr">
        <is>
          <t>E_175725</t>
        </is>
      </c>
      <c r="E18" s="772" t="inlineStr">
        <is>
          <t>中机三勘岩土工程有限公司</t>
        </is>
      </c>
      <c r="F18" s="772" t="inlineStr">
        <is>
          <t>采购款</t>
        </is>
      </c>
      <c r="G18" s="773" t="inlineStr">
        <is>
          <t>供应商</t>
        </is>
      </c>
      <c r="H18" s="774" t="inlineStr">
        <is>
          <t>CNY</t>
        </is>
      </c>
      <c r="I18" s="785" t="n">
        <v>-2565699.98</v>
      </c>
      <c r="J18" s="785" t="n"/>
      <c r="K18" s="776" t="n"/>
      <c r="L18" s="777" t="n"/>
      <c r="M18" s="778">
        <f>J18+L18</f>
        <v/>
      </c>
      <c r="N18" s="786" t="n">
        <v>-2565699.98</v>
      </c>
      <c r="O18" s="780">
        <f>M18-N18</f>
        <v/>
      </c>
      <c r="P18" s="781">
        <f>IF(N18&lt;&gt;0,O18/N18,"")</f>
        <v/>
      </c>
      <c r="Q18" s="776" t="inlineStr">
        <is>
          <t>NB6</t>
        </is>
      </c>
      <c r="R18" s="775" t="n">
        <v>-50754.7</v>
      </c>
      <c r="S18" s="775" t="n">
        <v>0</v>
      </c>
      <c r="T18" s="775" t="n">
        <v>0</v>
      </c>
      <c r="U18" s="775" t="n">
        <v>-2514945.28</v>
      </c>
      <c r="V18" s="775" t="n">
        <v>0</v>
      </c>
      <c r="W18" s="782">
        <f>SUM(R18:V18)-M18</f>
        <v/>
      </c>
      <c r="X18" s="783">
        <f>T18+U18+V18</f>
        <v/>
      </c>
    </row>
    <row r="19" hidden="1" ht="15.6" customHeight="1">
      <c r="B19" s="769" t="inlineStr">
        <is>
          <t>东风鸿远工程咨询有限公司</t>
        </is>
      </c>
      <c r="C19" s="770" t="inlineStr">
        <is>
          <t>2121</t>
        </is>
      </c>
      <c r="D19" s="772" t="inlineStr">
        <is>
          <t>E_622567</t>
        </is>
      </c>
      <c r="E19" s="772" t="inlineStr">
        <is>
          <t>湖北省地源洁能工程有限公司</t>
        </is>
      </c>
      <c r="F19" s="772" t="inlineStr">
        <is>
          <t>采购款</t>
        </is>
      </c>
      <c r="G19" s="773" t="inlineStr">
        <is>
          <t>供应商</t>
        </is>
      </c>
      <c r="H19" s="774" t="inlineStr">
        <is>
          <t>CNY</t>
        </is>
      </c>
      <c r="I19" s="785" t="n">
        <v>0</v>
      </c>
      <c r="J19" s="785" t="n"/>
      <c r="K19" s="776" t="n"/>
      <c r="L19" s="777" t="n"/>
      <c r="M19" s="778">
        <f>J19+L19</f>
        <v/>
      </c>
      <c r="N19" s="786" t="n">
        <v>0</v>
      </c>
      <c r="O19" s="780">
        <f>M19-N19</f>
        <v/>
      </c>
      <c r="P19" s="781">
        <f>IF(N19&lt;&gt;0,O19/N19,"")</f>
        <v/>
      </c>
      <c r="Q19" s="776" t="n"/>
      <c r="R19" s="775" t="n">
        <v>0</v>
      </c>
      <c r="S19" s="775" t="n">
        <v>0</v>
      </c>
      <c r="T19" s="775" t="n">
        <v>0</v>
      </c>
      <c r="U19" s="775" t="n">
        <v>0</v>
      </c>
      <c r="V19" s="775" t="n">
        <v>0</v>
      </c>
      <c r="W19" s="782">
        <f>SUM(R19:V19)-M19</f>
        <v/>
      </c>
      <c r="X19" s="783">
        <f>T19+U19+V19</f>
        <v/>
      </c>
    </row>
    <row r="20" hidden="1" ht="15.6" customHeight="1">
      <c r="B20" s="769" t="inlineStr">
        <is>
          <t>东风鸿远工程咨询有限公司</t>
        </is>
      </c>
      <c r="C20" s="770" t="inlineStr">
        <is>
          <t>2121</t>
        </is>
      </c>
      <c r="D20" s="772" t="inlineStr">
        <is>
          <t>E_612717</t>
        </is>
      </c>
      <c r="E20" s="772" t="inlineStr">
        <is>
          <t>湖北建研立科低碳科技有限公司</t>
        </is>
      </c>
      <c r="F20" s="772" t="inlineStr">
        <is>
          <t>采购款</t>
        </is>
      </c>
      <c r="G20" s="773" t="inlineStr">
        <is>
          <t>供应商</t>
        </is>
      </c>
      <c r="H20" s="774" t="inlineStr">
        <is>
          <t>CNY</t>
        </is>
      </c>
      <c r="I20" s="785" t="n">
        <v>-230500</v>
      </c>
      <c r="J20" s="785" t="n"/>
      <c r="K20" s="776" t="n"/>
      <c r="L20" s="777" t="n"/>
      <c r="M20" s="778">
        <f>J20+L20</f>
        <v/>
      </c>
      <c r="N20" s="786" t="n">
        <v>-230500</v>
      </c>
      <c r="O20" s="780">
        <f>M20-N20</f>
        <v/>
      </c>
      <c r="P20" s="781">
        <f>IF(N20&lt;&gt;0,O20/N20,"")</f>
        <v/>
      </c>
      <c r="Q20" s="776" t="n"/>
      <c r="R20" s="775" t="n">
        <v>-230500</v>
      </c>
      <c r="S20" s="775" t="n">
        <v>0</v>
      </c>
      <c r="T20" s="775" t="n">
        <v>0</v>
      </c>
      <c r="U20" s="775" t="n">
        <v>0</v>
      </c>
      <c r="V20" s="775" t="n">
        <v>0</v>
      </c>
      <c r="W20" s="782">
        <f>SUM(R20:V20)-M20</f>
        <v/>
      </c>
      <c r="X20" s="783">
        <f>T20+U20+V20</f>
        <v/>
      </c>
    </row>
    <row r="21" hidden="1" ht="15.6" customHeight="1">
      <c r="B21" s="769" t="inlineStr">
        <is>
          <t>东风鸿远工程咨询有限公司</t>
        </is>
      </c>
      <c r="C21" s="770" t="inlineStr">
        <is>
          <t>2121</t>
        </is>
      </c>
      <c r="D21" s="772" t="inlineStr">
        <is>
          <t>E_679403</t>
        </is>
      </c>
      <c r="E21" s="772" t="inlineStr">
        <is>
          <t>襄阳汇达讯财务咨询有限公司</t>
        </is>
      </c>
      <c r="F21" s="772" t="inlineStr">
        <is>
          <t>采购款</t>
        </is>
      </c>
      <c r="G21" s="773" t="inlineStr">
        <is>
          <t>供应商</t>
        </is>
      </c>
      <c r="H21" s="774" t="inlineStr">
        <is>
          <t>CNY</t>
        </is>
      </c>
      <c r="I21" s="785" t="n">
        <v>-16693.76</v>
      </c>
      <c r="J21" s="785" t="n"/>
      <c r="K21" s="776" t="n"/>
      <c r="L21" s="777" t="n"/>
      <c r="M21" s="778">
        <f>J21+L21</f>
        <v/>
      </c>
      <c r="N21" s="786" t="n">
        <v>-16693.76</v>
      </c>
      <c r="O21" s="780">
        <f>M21-N21</f>
        <v/>
      </c>
      <c r="P21" s="781">
        <f>IF(N21&lt;&gt;0,O21/N21,"")</f>
        <v/>
      </c>
      <c r="Q21" s="776" t="n"/>
      <c r="R21" s="775" t="n">
        <v>-16693.76</v>
      </c>
      <c r="S21" s="775" t="n">
        <v>0</v>
      </c>
      <c r="T21" s="775" t="n">
        <v>0</v>
      </c>
      <c r="U21" s="775" t="n">
        <v>0</v>
      </c>
      <c r="V21" s="775" t="n">
        <v>0</v>
      </c>
      <c r="W21" s="782">
        <f>SUM(R21:V21)-M21</f>
        <v/>
      </c>
      <c r="X21" s="783">
        <f>T21+U21+V21</f>
        <v/>
      </c>
    </row>
    <row r="22" hidden="1" ht="15.6" customHeight="1">
      <c r="B22" s="769" t="inlineStr">
        <is>
          <t>东风鸿远工程咨询有限公司</t>
        </is>
      </c>
      <c r="C22" s="770" t="inlineStr">
        <is>
          <t>2121</t>
        </is>
      </c>
      <c r="D22" s="787" t="n">
        <v>66666</v>
      </c>
      <c r="E22" s="772" t="inlineStr">
        <is>
          <t>虚拟客商</t>
        </is>
      </c>
      <c r="F22" s="772" t="inlineStr">
        <is>
          <t>采购款</t>
        </is>
      </c>
      <c r="G22" s="773" t="inlineStr">
        <is>
          <t>供应商</t>
        </is>
      </c>
      <c r="H22" s="774" t="inlineStr">
        <is>
          <t>CNY</t>
        </is>
      </c>
      <c r="I22" s="785" t="n">
        <v>0</v>
      </c>
      <c r="J22" s="785" t="n"/>
      <c r="K22" s="776" t="n"/>
      <c r="L22" s="777" t="n"/>
      <c r="M22" s="778">
        <f>J22+L22</f>
        <v/>
      </c>
      <c r="N22" s="786" t="n">
        <v>0</v>
      </c>
      <c r="O22" s="780">
        <f>M22-N22</f>
        <v/>
      </c>
      <c r="P22" s="781">
        <f>IF(N22&lt;&gt;0,O22/N22,"")</f>
        <v/>
      </c>
      <c r="Q22" s="776" t="n"/>
      <c r="R22" s="775" t="n">
        <v>0</v>
      </c>
      <c r="S22" s="775" t="n">
        <v>0</v>
      </c>
      <c r="T22" s="775" t="n">
        <v>0</v>
      </c>
      <c r="U22" s="775" t="n">
        <v>0</v>
      </c>
      <c r="V22" s="775" t="n">
        <v>0</v>
      </c>
      <c r="W22" s="782">
        <f>SUM(R22:V22)-M22</f>
        <v/>
      </c>
      <c r="X22" s="783">
        <f>T22+U22+V22</f>
        <v/>
      </c>
    </row>
    <row r="23" hidden="1" ht="15.6" customHeight="1">
      <c r="B23" s="769" t="inlineStr">
        <is>
          <t>东风鸿远工程咨询有限公司</t>
        </is>
      </c>
      <c r="C23" s="770" t="inlineStr">
        <is>
          <t>2121</t>
        </is>
      </c>
      <c r="D23" s="772" t="inlineStr">
        <is>
          <t>E_622929</t>
        </is>
      </c>
      <c r="E23" s="772" t="inlineStr">
        <is>
          <t>武汉管陈岩土工程有限公司</t>
        </is>
      </c>
      <c r="F23" s="772" t="inlineStr">
        <is>
          <t>采购款</t>
        </is>
      </c>
      <c r="G23" s="773" t="inlineStr">
        <is>
          <t>供应商</t>
        </is>
      </c>
      <c r="H23" s="774" t="inlineStr">
        <is>
          <t>CNY</t>
        </is>
      </c>
      <c r="I23" s="785" t="n">
        <v>-15125.25</v>
      </c>
      <c r="J23" s="785" t="n"/>
      <c r="K23" s="776" t="n"/>
      <c r="L23" s="777" t="n"/>
      <c r="M23" s="778">
        <f>J23+L23</f>
        <v/>
      </c>
      <c r="N23" s="786" t="n">
        <v>-15125.25</v>
      </c>
      <c r="O23" s="780">
        <f>M23-N23</f>
        <v/>
      </c>
      <c r="P23" s="781">
        <f>IF(N23&lt;&gt;0,O23/N23,"")</f>
        <v/>
      </c>
      <c r="Q23" s="776" t="n"/>
      <c r="R23" s="775" t="n">
        <v>0</v>
      </c>
      <c r="S23" s="775" t="n">
        <v>-5736.9</v>
      </c>
      <c r="T23" s="775" t="n">
        <v>-9388.35</v>
      </c>
      <c r="U23" s="775" t="n">
        <v>0</v>
      </c>
      <c r="V23" s="775" t="n">
        <v>0</v>
      </c>
      <c r="W23" s="782">
        <f>SUM(R23:V23)-M23</f>
        <v/>
      </c>
      <c r="X23" s="783">
        <f>T23+U23+V23</f>
        <v/>
      </c>
    </row>
    <row r="24" hidden="1" ht="15.6" customHeight="1">
      <c r="B24" s="769" t="inlineStr">
        <is>
          <t>东风鸿远工程咨询有限公司</t>
        </is>
      </c>
      <c r="C24" s="770" t="inlineStr">
        <is>
          <t>2121</t>
        </is>
      </c>
      <c r="D24" s="772" t="inlineStr">
        <is>
          <t>E_580949</t>
        </is>
      </c>
      <c r="E24" s="772" t="inlineStr">
        <is>
          <t>中建三局集团有限公司</t>
        </is>
      </c>
      <c r="F24" s="772" t="inlineStr">
        <is>
          <t>采购款</t>
        </is>
      </c>
      <c r="G24" s="773" t="inlineStr">
        <is>
          <t>供应商</t>
        </is>
      </c>
      <c r="H24" s="774" t="inlineStr">
        <is>
          <t>CNY</t>
        </is>
      </c>
      <c r="I24" s="785" t="n">
        <v>-1857538.49</v>
      </c>
      <c r="J24" s="785" t="n"/>
      <c r="K24" s="776" t="n"/>
      <c r="L24" s="777" t="n"/>
      <c r="M24" s="778">
        <f>J24+L24</f>
        <v/>
      </c>
      <c r="N24" s="786" t="n">
        <v>-1857538.49</v>
      </c>
      <c r="O24" s="780">
        <f>M24-N24</f>
        <v/>
      </c>
      <c r="P24" s="781">
        <f>IF(N24&lt;&gt;0,O24/N24,"")</f>
        <v/>
      </c>
      <c r="Q24" s="776" t="n"/>
      <c r="R24" s="775" t="n">
        <v>-789922.53</v>
      </c>
      <c r="S24" s="775" t="n">
        <v>-14566.72</v>
      </c>
      <c r="T24" s="775" t="n">
        <v>-265550.94</v>
      </c>
      <c r="U24" s="775" t="n">
        <v>-289366.8</v>
      </c>
      <c r="V24" s="775" t="n">
        <v>-498131.5</v>
      </c>
      <c r="W24" s="782">
        <f>SUM(R24:V24)-M24</f>
        <v/>
      </c>
      <c r="X24" s="783">
        <f>T24+U24+V24</f>
        <v/>
      </c>
    </row>
    <row r="25" hidden="1" ht="15.6" customHeight="1">
      <c r="B25" s="769" t="inlineStr">
        <is>
          <t>东风鸿远工程咨询有限公司</t>
        </is>
      </c>
      <c r="C25" s="770" t="inlineStr">
        <is>
          <t>2121</t>
        </is>
      </c>
      <c r="D25" s="772" t="inlineStr">
        <is>
          <t>E_622215</t>
        </is>
      </c>
      <c r="E25" s="772" t="inlineStr">
        <is>
          <t>山东庆辉联达地质勘察有限公司</t>
        </is>
      </c>
      <c r="F25" s="772" t="inlineStr">
        <is>
          <t>采购款</t>
        </is>
      </c>
      <c r="G25" s="773" t="inlineStr">
        <is>
          <t>供应商</t>
        </is>
      </c>
      <c r="H25" s="774" t="inlineStr">
        <is>
          <t>CNY</t>
        </is>
      </c>
      <c r="I25" s="785" t="n">
        <v>-100602</v>
      </c>
      <c r="J25" s="785" t="n"/>
      <c r="K25" s="776" t="n"/>
      <c r="L25" s="777" t="n"/>
      <c r="M25" s="778">
        <f>J25+L25</f>
        <v/>
      </c>
      <c r="N25" s="786" t="n">
        <v>-100602</v>
      </c>
      <c r="O25" s="780">
        <f>M25-N25</f>
        <v/>
      </c>
      <c r="P25" s="781">
        <f>IF(N25&lt;&gt;0,O25/N25,"")</f>
        <v/>
      </c>
      <c r="Q25" s="776" t="n"/>
      <c r="R25" s="775" t="n">
        <v>-79993.39999999999</v>
      </c>
      <c r="S25" s="775" t="n">
        <v>-20608.6</v>
      </c>
      <c r="T25" s="775" t="n">
        <v>0</v>
      </c>
      <c r="U25" s="775" t="n">
        <v>0</v>
      </c>
      <c r="V25" s="775" t="n">
        <v>0</v>
      </c>
      <c r="W25" s="782">
        <f>SUM(R25:V25)-M25</f>
        <v/>
      </c>
      <c r="X25" s="783">
        <f>T25+U25+V25</f>
        <v/>
      </c>
    </row>
    <row r="26" hidden="1" ht="15.6" customHeight="1">
      <c r="B26" s="769" t="inlineStr">
        <is>
          <t>东风鸿远工程咨询有限公司</t>
        </is>
      </c>
      <c r="C26" s="770" t="inlineStr">
        <is>
          <t>2121</t>
        </is>
      </c>
      <c r="D26" s="772" t="inlineStr">
        <is>
          <t>E_614445</t>
        </is>
      </c>
      <c r="E26" s="772" t="inlineStr">
        <is>
          <t>湖北襄拓建工程有限公司</t>
        </is>
      </c>
      <c r="F26" s="772" t="inlineStr">
        <is>
          <t>采购款</t>
        </is>
      </c>
      <c r="G26" s="773" t="inlineStr">
        <is>
          <t>供应商</t>
        </is>
      </c>
      <c r="H26" s="774" t="inlineStr">
        <is>
          <t>CNY</t>
        </is>
      </c>
      <c r="I26" s="785" t="n">
        <v>-380988.56</v>
      </c>
      <c r="J26" s="785" t="n"/>
      <c r="K26" s="776" t="n"/>
      <c r="L26" s="777" t="n"/>
      <c r="M26" s="778">
        <f>J26+L26</f>
        <v/>
      </c>
      <c r="N26" s="786" t="n">
        <v>-380988.56</v>
      </c>
      <c r="O26" s="780">
        <f>M26-N26</f>
        <v/>
      </c>
      <c r="P26" s="781">
        <f>IF(N26&lt;&gt;0,O26/N26,"")</f>
        <v/>
      </c>
      <c r="Q26" s="776" t="n"/>
      <c r="R26" s="775" t="n">
        <v>-149098.24</v>
      </c>
      <c r="S26" s="775" t="n">
        <v>-72086</v>
      </c>
      <c r="T26" s="775" t="n">
        <v>-53369.2</v>
      </c>
      <c r="U26" s="775" t="n">
        <v>-106435.12</v>
      </c>
      <c r="V26" s="775" t="n">
        <v>0</v>
      </c>
      <c r="W26" s="782">
        <f>SUM(R26:V26)-M26</f>
        <v/>
      </c>
      <c r="X26" s="783">
        <f>T26+U26+V26</f>
        <v/>
      </c>
    </row>
    <row r="27" hidden="1" ht="15.6" customHeight="1">
      <c r="B27" s="769" t="inlineStr">
        <is>
          <t>东风鸿远工程咨询有限公司</t>
        </is>
      </c>
      <c r="C27" s="770" t="inlineStr">
        <is>
          <t>2121</t>
        </is>
      </c>
      <c r="D27" s="772" t="inlineStr">
        <is>
          <t>E_598238</t>
        </is>
      </c>
      <c r="E27" s="772" t="inlineStr">
        <is>
          <t>中信建筑设计研究总院有限公司</t>
        </is>
      </c>
      <c r="F27" s="772" t="inlineStr">
        <is>
          <t>采购款</t>
        </is>
      </c>
      <c r="G27" s="773" t="inlineStr">
        <is>
          <t>供应商</t>
        </is>
      </c>
      <c r="H27" s="774" t="inlineStr">
        <is>
          <t>CNY</t>
        </is>
      </c>
      <c r="I27" s="785" t="n">
        <v>-124711.5</v>
      </c>
      <c r="J27" s="785" t="n"/>
      <c r="K27" s="776" t="n"/>
      <c r="L27" s="777" t="n"/>
      <c r="M27" s="778">
        <f>J27+L27</f>
        <v/>
      </c>
      <c r="N27" s="786" t="n">
        <v>-124711.5</v>
      </c>
      <c r="O27" s="780">
        <f>M27-N27</f>
        <v/>
      </c>
      <c r="P27" s="781">
        <f>IF(N27&lt;&gt;0,O27/N27,"")</f>
        <v/>
      </c>
      <c r="Q27" s="776" t="n"/>
      <c r="R27" s="775" t="n">
        <v>-47169.81</v>
      </c>
      <c r="S27" s="775" t="n">
        <v>0</v>
      </c>
      <c r="T27" s="775" t="n">
        <v>0</v>
      </c>
      <c r="U27" s="775" t="n">
        <v>-77541.69</v>
      </c>
      <c r="V27" s="775" t="n">
        <v>0</v>
      </c>
      <c r="W27" s="782">
        <f>SUM(R27:V27)-M27</f>
        <v/>
      </c>
      <c r="X27" s="783">
        <f>T27+U27+V27</f>
        <v/>
      </c>
    </row>
    <row r="28" hidden="1" ht="15.6" customHeight="1">
      <c r="B28" s="769" t="inlineStr">
        <is>
          <t>东风鸿远工程咨询有限公司</t>
        </is>
      </c>
      <c r="C28" s="770" t="inlineStr">
        <is>
          <t>2121</t>
        </is>
      </c>
      <c r="D28" s="772" t="inlineStr">
        <is>
          <t>E_601843</t>
        </is>
      </c>
      <c r="E28" s="772" t="inlineStr">
        <is>
          <t>中国建筑设计研究院有限公司</t>
        </is>
      </c>
      <c r="F28" s="772" t="inlineStr">
        <is>
          <t>采购款</t>
        </is>
      </c>
      <c r="G28" s="773" t="inlineStr">
        <is>
          <t>供应商</t>
        </is>
      </c>
      <c r="H28" s="774" t="inlineStr">
        <is>
          <t>CNY</t>
        </is>
      </c>
      <c r="I28" s="785" t="n">
        <v>0</v>
      </c>
      <c r="J28" s="785" t="n"/>
      <c r="K28" s="776" t="n"/>
      <c r="L28" s="777" t="n"/>
      <c r="M28" s="778">
        <f>J28+L28</f>
        <v/>
      </c>
      <c r="N28" s="786" t="n">
        <v>0</v>
      </c>
      <c r="O28" s="780">
        <f>M28-N28</f>
        <v/>
      </c>
      <c r="P28" s="781">
        <f>IF(N28&lt;&gt;0,O28/N28,"")</f>
        <v/>
      </c>
      <c r="Q28" s="776" t="n"/>
      <c r="R28" s="775" t="n">
        <v>0</v>
      </c>
      <c r="S28" s="775" t="n">
        <v>0</v>
      </c>
      <c r="T28" s="775" t="n">
        <v>0</v>
      </c>
      <c r="U28" s="775" t="n">
        <v>0</v>
      </c>
      <c r="V28" s="775" t="n">
        <v>0</v>
      </c>
      <c r="W28" s="782">
        <f>SUM(R28:V28)-M28</f>
        <v/>
      </c>
      <c r="X28" s="783">
        <f>T28+U28+V28</f>
        <v/>
      </c>
    </row>
    <row r="29" hidden="1" ht="15.6" customHeight="1">
      <c r="B29" s="769" t="inlineStr">
        <is>
          <t>东风鸿远工程咨询有限公司</t>
        </is>
      </c>
      <c r="C29" s="770" t="inlineStr">
        <is>
          <t>2121</t>
        </is>
      </c>
      <c r="D29" s="772" t="inlineStr">
        <is>
          <t>E_612459</t>
        </is>
      </c>
      <c r="E29" s="772" t="inlineStr">
        <is>
          <t>武汉狮山风景园林规划设计有限公司</t>
        </is>
      </c>
      <c r="F29" s="772" t="inlineStr">
        <is>
          <t>采购款</t>
        </is>
      </c>
      <c r="G29" s="773" t="inlineStr">
        <is>
          <t>供应商</t>
        </is>
      </c>
      <c r="H29" s="774" t="inlineStr">
        <is>
          <t>CNY</t>
        </is>
      </c>
      <c r="I29" s="785" t="n">
        <v>-1073083.28</v>
      </c>
      <c r="J29" s="785" t="n"/>
      <c r="K29" s="776" t="n"/>
      <c r="L29" s="777" t="n"/>
      <c r="M29" s="778">
        <f>J29+L29</f>
        <v/>
      </c>
      <c r="N29" s="786" t="n">
        <v>-1073083.28</v>
      </c>
      <c r="O29" s="780">
        <f>M29-N29</f>
        <v/>
      </c>
      <c r="P29" s="781">
        <f>IF(N29&lt;&gt;0,O29/N29,"")</f>
        <v/>
      </c>
      <c r="Q29" s="776" t="n"/>
      <c r="R29" s="775" t="n">
        <v>0</v>
      </c>
      <c r="S29" s="775" t="n">
        <v>-12400</v>
      </c>
      <c r="T29" s="775" t="n">
        <v>0</v>
      </c>
      <c r="U29" s="775" t="n">
        <v>-1060683.28</v>
      </c>
      <c r="V29" s="775" t="n">
        <v>0</v>
      </c>
      <c r="W29" s="782">
        <f>SUM(R29:V29)-M29</f>
        <v/>
      </c>
      <c r="X29" s="783">
        <f>T29+U29+V29</f>
        <v/>
      </c>
    </row>
    <row r="30" hidden="1" ht="15.6" customHeight="1">
      <c r="B30" s="769" t="inlineStr">
        <is>
          <t>东风鸿远工程咨询有限公司</t>
        </is>
      </c>
      <c r="C30" s="770" t="inlineStr">
        <is>
          <t>2121</t>
        </is>
      </c>
      <c r="D30" s="772" t="inlineStr">
        <is>
          <t>E_608358</t>
        </is>
      </c>
      <c r="E30" s="772" t="inlineStr">
        <is>
          <t>新泰市泉沟镇华中钻井队</t>
        </is>
      </c>
      <c r="F30" s="772" t="inlineStr">
        <is>
          <t>采购款</t>
        </is>
      </c>
      <c r="G30" s="773" t="inlineStr">
        <is>
          <t>供应商</t>
        </is>
      </c>
      <c r="H30" s="774" t="inlineStr">
        <is>
          <t>CNY</t>
        </is>
      </c>
      <c r="I30" s="785" t="n">
        <v>-43649.5</v>
      </c>
      <c r="J30" s="785" t="n"/>
      <c r="K30" s="776" t="n"/>
      <c r="L30" s="777" t="n"/>
      <c r="M30" s="778">
        <f>J30+L30</f>
        <v/>
      </c>
      <c r="N30" s="786" t="n">
        <v>-43649.5</v>
      </c>
      <c r="O30" s="780">
        <f>M30-N30</f>
        <v/>
      </c>
      <c r="P30" s="781">
        <f>IF(N30&lt;&gt;0,O30/N30,"")</f>
        <v/>
      </c>
      <c r="Q30" s="776" t="n"/>
      <c r="R30" s="775" t="n">
        <v>0</v>
      </c>
      <c r="S30" s="775" t="n">
        <v>-4005</v>
      </c>
      <c r="T30" s="775" t="n">
        <v>-39644.5</v>
      </c>
      <c r="U30" s="775" t="n">
        <v>0</v>
      </c>
      <c r="V30" s="775" t="n">
        <v>0</v>
      </c>
      <c r="W30" s="782">
        <f>SUM(R30:V30)-M30</f>
        <v/>
      </c>
      <c r="X30" s="783">
        <f>T30+U30+V30</f>
        <v/>
      </c>
    </row>
    <row r="31" hidden="1" ht="15.6" customHeight="1">
      <c r="B31" s="769" t="inlineStr">
        <is>
          <t>东风鸿远工程咨询有限公司</t>
        </is>
      </c>
      <c r="C31" s="770" t="inlineStr">
        <is>
          <t>2121</t>
        </is>
      </c>
      <c r="D31" s="772" t="inlineStr">
        <is>
          <t>E_468464</t>
        </is>
      </c>
      <c r="E31" s="772" t="inlineStr">
        <is>
          <t>湖北建科国际工程有限公司</t>
        </is>
      </c>
      <c r="F31" s="772" t="inlineStr">
        <is>
          <t>采购款</t>
        </is>
      </c>
      <c r="G31" s="773" t="inlineStr">
        <is>
          <t>供应商</t>
        </is>
      </c>
      <c r="H31" s="774" t="inlineStr">
        <is>
          <t>CNY</t>
        </is>
      </c>
      <c r="I31" s="785" t="n">
        <v>-33909.5</v>
      </c>
      <c r="J31" s="785" t="n"/>
      <c r="K31" s="776" t="n"/>
      <c r="L31" s="777" t="n"/>
      <c r="M31" s="778">
        <f>J31+L31</f>
        <v/>
      </c>
      <c r="N31" s="786" t="n">
        <v>-33909.5</v>
      </c>
      <c r="O31" s="780">
        <f>M31-N31</f>
        <v/>
      </c>
      <c r="P31" s="781">
        <f>IF(N31&lt;&gt;0,O31/N31,"")</f>
        <v/>
      </c>
      <c r="Q31" s="776" t="n"/>
      <c r="R31" s="775" t="n">
        <v>0</v>
      </c>
      <c r="S31" s="775" t="n">
        <v>0</v>
      </c>
      <c r="T31" s="775" t="n">
        <v>-33909.5</v>
      </c>
      <c r="U31" s="775" t="n">
        <v>0</v>
      </c>
      <c r="V31" s="775" t="n">
        <v>0</v>
      </c>
      <c r="W31" s="782">
        <f>SUM(R31:V31)-M31</f>
        <v/>
      </c>
      <c r="X31" s="783">
        <f>T31+U31+V31</f>
        <v/>
      </c>
    </row>
    <row r="32" hidden="1" ht="15.6" customHeight="1">
      <c r="B32" s="769" t="inlineStr">
        <is>
          <t>东风鸿远工程咨询有限公司</t>
        </is>
      </c>
      <c r="C32" s="770" t="inlineStr">
        <is>
          <t>2121</t>
        </is>
      </c>
      <c r="D32" s="772" t="inlineStr">
        <is>
          <t>E_625163</t>
        </is>
      </c>
      <c r="E32" s="772" t="inlineStr">
        <is>
          <t>老河口市蕴航工程勘察有限公司</t>
        </is>
      </c>
      <c r="F32" s="772" t="inlineStr">
        <is>
          <t>采购款</t>
        </is>
      </c>
      <c r="G32" s="773" t="inlineStr">
        <is>
          <t>供应商</t>
        </is>
      </c>
      <c r="H32" s="774" t="inlineStr">
        <is>
          <t>CNY</t>
        </is>
      </c>
      <c r="I32" s="785" t="n">
        <v>-269573.72</v>
      </c>
      <c r="J32" s="785" t="n"/>
      <c r="K32" s="776" t="n"/>
      <c r="L32" s="777" t="n"/>
      <c r="M32" s="778">
        <f>J32+L32</f>
        <v/>
      </c>
      <c r="N32" s="786" t="n">
        <v>-269573.72</v>
      </c>
      <c r="O32" s="780">
        <f>M32-N32</f>
        <v/>
      </c>
      <c r="P32" s="781">
        <f>IF(N32&lt;&gt;0,O32/N32,"")</f>
        <v/>
      </c>
      <c r="Q32" s="776" t="n"/>
      <c r="R32" s="775" t="n">
        <v>-6000.9</v>
      </c>
      <c r="S32" s="775" t="n">
        <v>0</v>
      </c>
      <c r="T32" s="775" t="n">
        <v>-11650.49</v>
      </c>
      <c r="U32" s="775" t="n">
        <v>-251922.33</v>
      </c>
      <c r="V32" s="775" t="n">
        <v>0</v>
      </c>
      <c r="W32" s="782">
        <f>SUM(R32:V32)-M32</f>
        <v/>
      </c>
      <c r="X32" s="783">
        <f>T32+U32+V32</f>
        <v/>
      </c>
    </row>
    <row r="33" hidden="1" ht="15.6" customHeight="1">
      <c r="B33" s="769" t="inlineStr">
        <is>
          <t>东风鸿远工程咨询有限公司</t>
        </is>
      </c>
      <c r="C33" s="770" t="inlineStr">
        <is>
          <t>2121</t>
        </is>
      </c>
      <c r="D33" s="772" t="inlineStr">
        <is>
          <t>E_623952</t>
        </is>
      </c>
      <c r="E33" s="772" t="inlineStr">
        <is>
          <t>武汉蕃华施工图设计审查有限公司</t>
        </is>
      </c>
      <c r="F33" s="772" t="inlineStr">
        <is>
          <t>采购款</t>
        </is>
      </c>
      <c r="G33" s="773" t="inlineStr">
        <is>
          <t>供应商</t>
        </is>
      </c>
      <c r="H33" s="774" t="inlineStr">
        <is>
          <t>CNY</t>
        </is>
      </c>
      <c r="I33" s="785" t="n">
        <v>-3883.5</v>
      </c>
      <c r="J33" s="785" t="n"/>
      <c r="K33" s="776" t="n"/>
      <c r="L33" s="777" t="n"/>
      <c r="M33" s="778">
        <f>J33+L33</f>
        <v/>
      </c>
      <c r="N33" s="786" t="n">
        <v>-3883.5</v>
      </c>
      <c r="O33" s="780">
        <f>M33-N33</f>
        <v/>
      </c>
      <c r="P33" s="781">
        <f>IF(N33&lt;&gt;0,O33/N33,"")</f>
        <v/>
      </c>
      <c r="Q33" s="776" t="n"/>
      <c r="R33" s="775" t="n">
        <v>0</v>
      </c>
      <c r="S33" s="775" t="n">
        <v>0</v>
      </c>
      <c r="T33" s="775" t="n">
        <v>0</v>
      </c>
      <c r="U33" s="775" t="n">
        <v>-3883.5</v>
      </c>
      <c r="V33" s="775" t="n">
        <v>0</v>
      </c>
      <c r="W33" s="782">
        <f>SUM(R33:V33)-M33</f>
        <v/>
      </c>
      <c r="X33" s="783">
        <f>T33+U33+V33</f>
        <v/>
      </c>
    </row>
    <row r="34" hidden="1" ht="15.6" customHeight="1">
      <c r="B34" s="769" t="inlineStr">
        <is>
          <t>东风鸿远工程咨询有限公司</t>
        </is>
      </c>
      <c r="C34" s="770" t="inlineStr">
        <is>
          <t>2121</t>
        </is>
      </c>
      <c r="D34" s="772" t="inlineStr">
        <is>
          <t>E_683167</t>
        </is>
      </c>
      <c r="E34" s="772" t="inlineStr">
        <is>
          <t>武汉企创通企业服务有限公司</t>
        </is>
      </c>
      <c r="F34" s="772" t="inlineStr">
        <is>
          <t>采购款</t>
        </is>
      </c>
      <c r="G34" s="773" t="inlineStr">
        <is>
          <t>供应商</t>
        </is>
      </c>
      <c r="H34" s="774" t="inlineStr">
        <is>
          <t>CNY</t>
        </is>
      </c>
      <c r="I34" s="785" t="n">
        <v>-3564.36</v>
      </c>
      <c r="J34" s="785" t="n"/>
      <c r="K34" s="776" t="n"/>
      <c r="L34" s="777" t="n"/>
      <c r="M34" s="778">
        <f>J34+L34</f>
        <v/>
      </c>
      <c r="N34" s="786" t="n">
        <v>-3564.36</v>
      </c>
      <c r="O34" s="780">
        <f>M34-N34</f>
        <v/>
      </c>
      <c r="P34" s="781">
        <f>IF(N34&lt;&gt;0,O34/N34,"")</f>
        <v/>
      </c>
      <c r="Q34" s="776" t="n"/>
      <c r="R34" s="775" t="n">
        <v>0</v>
      </c>
      <c r="S34" s="775" t="n">
        <v>-3564.36</v>
      </c>
      <c r="T34" s="775" t="n">
        <v>0</v>
      </c>
      <c r="U34" s="775" t="n">
        <v>0</v>
      </c>
      <c r="V34" s="775" t="n">
        <v>0</v>
      </c>
      <c r="W34" s="782">
        <f>SUM(R34:V34)-M34</f>
        <v/>
      </c>
      <c r="X34" s="783">
        <f>T34+U34+V34</f>
        <v/>
      </c>
    </row>
    <row r="35" hidden="1" ht="15.6" customHeight="1">
      <c r="B35" s="769" t="inlineStr">
        <is>
          <t>东风鸿远工程咨询有限公司</t>
        </is>
      </c>
      <c r="C35" s="770" t="inlineStr">
        <is>
          <t>2121</t>
        </is>
      </c>
      <c r="D35" s="772" t="inlineStr">
        <is>
          <t>E_146666</t>
        </is>
      </c>
      <c r="E35" s="772" t="inlineStr">
        <is>
          <t>襄阳市好邻居连锁超市有限公司</t>
        </is>
      </c>
      <c r="F35" s="772" t="inlineStr">
        <is>
          <t>采购款</t>
        </is>
      </c>
      <c r="G35" s="773" t="inlineStr">
        <is>
          <t>供应商</t>
        </is>
      </c>
      <c r="H35" s="774" t="inlineStr">
        <is>
          <t>CNY</t>
        </is>
      </c>
      <c r="I35" s="785" t="n">
        <v>-13500</v>
      </c>
      <c r="J35" s="785" t="n"/>
      <c r="K35" s="776" t="n"/>
      <c r="L35" s="777" t="n"/>
      <c r="M35" s="778">
        <f>J35+L35</f>
        <v/>
      </c>
      <c r="N35" s="786" t="n">
        <v>-13500</v>
      </c>
      <c r="O35" s="780">
        <f>M35-N35</f>
        <v/>
      </c>
      <c r="P35" s="781">
        <f>IF(N35&lt;&gt;0,O35/N35,"")</f>
        <v/>
      </c>
      <c r="Q35" s="776" t="n"/>
      <c r="R35" s="775" t="n">
        <v>-13500</v>
      </c>
      <c r="S35" s="775" t="n">
        <v>0</v>
      </c>
      <c r="T35" s="775" t="n">
        <v>0</v>
      </c>
      <c r="U35" s="775" t="n">
        <v>0</v>
      </c>
      <c r="V35" s="775" t="n">
        <v>0</v>
      </c>
      <c r="W35" s="782">
        <f>SUM(R35:V35)-M35</f>
        <v/>
      </c>
      <c r="X35" s="783">
        <f>T35+U35+V35</f>
        <v/>
      </c>
    </row>
    <row r="36" hidden="1" ht="15.6" customHeight="1">
      <c r="B36" s="769" t="inlineStr">
        <is>
          <t>东风鸿远工程咨询有限公司</t>
        </is>
      </c>
      <c r="C36" s="770" t="inlineStr">
        <is>
          <t>2121</t>
        </is>
      </c>
      <c r="D36" s="772" t="inlineStr">
        <is>
          <t>E_606612</t>
        </is>
      </c>
      <c r="E36" s="772" t="inlineStr">
        <is>
          <t>广州氢氦照明设计有限公司</t>
        </is>
      </c>
      <c r="F36" s="772" t="inlineStr">
        <is>
          <t>采购款</t>
        </is>
      </c>
      <c r="G36" s="773" t="inlineStr">
        <is>
          <t>供应商</t>
        </is>
      </c>
      <c r="H36" s="774" t="inlineStr">
        <is>
          <t>CNY</t>
        </is>
      </c>
      <c r="I36" s="785" t="n">
        <v>0</v>
      </c>
      <c r="J36" s="785" t="n"/>
      <c r="K36" s="776" t="n"/>
      <c r="L36" s="777" t="n"/>
      <c r="M36" s="778">
        <f>J36+L36</f>
        <v/>
      </c>
      <c r="N36" s="786" t="n">
        <v>0</v>
      </c>
      <c r="O36" s="780">
        <f>M36-N36</f>
        <v/>
      </c>
      <c r="P36" s="781">
        <f>IF(N36&lt;&gt;0,O36/N36,"")</f>
        <v/>
      </c>
      <c r="Q36" s="776" t="n"/>
      <c r="R36" s="775" t="n">
        <v>0</v>
      </c>
      <c r="S36" s="775" t="n">
        <v>0</v>
      </c>
      <c r="T36" s="775" t="n">
        <v>0</v>
      </c>
      <c r="U36" s="775" t="n">
        <v>0</v>
      </c>
      <c r="V36" s="775" t="n">
        <v>0</v>
      </c>
      <c r="W36" s="782">
        <f>SUM(R36:V36)-M36</f>
        <v/>
      </c>
      <c r="X36" s="783">
        <f>T36+U36+V36</f>
        <v/>
      </c>
    </row>
    <row r="37" hidden="1" ht="15.6" customHeight="1">
      <c r="B37" s="769" t="inlineStr">
        <is>
          <t>东风鸿远工程咨询有限公司</t>
        </is>
      </c>
      <c r="C37" s="770" t="inlineStr">
        <is>
          <t>2121</t>
        </is>
      </c>
      <c r="D37" s="772" t="inlineStr">
        <is>
          <t>E_614017</t>
        </is>
      </c>
      <c r="E37" s="772" t="inlineStr">
        <is>
          <t>襄阳市丹墨数码技术有限公司</t>
        </is>
      </c>
      <c r="F37" s="772" t="inlineStr">
        <is>
          <t>采购款</t>
        </is>
      </c>
      <c r="G37" s="773" t="inlineStr">
        <is>
          <t>供应商</t>
        </is>
      </c>
      <c r="H37" s="774" t="inlineStr">
        <is>
          <t>CNY</t>
        </is>
      </c>
      <c r="I37" s="785" t="n">
        <v>-206020.39</v>
      </c>
      <c r="J37" s="785" t="n"/>
      <c r="K37" s="776" t="n"/>
      <c r="L37" s="777" t="n"/>
      <c r="M37" s="778">
        <f>J37+L37</f>
        <v/>
      </c>
      <c r="N37" s="786" t="n">
        <v>-206020.39</v>
      </c>
      <c r="O37" s="780">
        <f>M37-N37</f>
        <v/>
      </c>
      <c r="P37" s="781">
        <f>IF(N37&lt;&gt;0,O37/N37,"")</f>
        <v/>
      </c>
      <c r="Q37" s="776" t="n"/>
      <c r="R37" s="775" t="n">
        <v>-26700</v>
      </c>
      <c r="S37" s="775" t="n">
        <v>-38543.69</v>
      </c>
      <c r="T37" s="775" t="n">
        <v>-140776.7</v>
      </c>
      <c r="U37" s="775" t="n">
        <v>0</v>
      </c>
      <c r="V37" s="775" t="n">
        <v>0</v>
      </c>
      <c r="W37" s="782">
        <f>SUM(R37:V37)-M37</f>
        <v/>
      </c>
      <c r="X37" s="783">
        <f>T37+U37+V37</f>
        <v/>
      </c>
    </row>
    <row r="38" hidden="1" ht="15.6" customHeight="1">
      <c r="B38" s="769" t="inlineStr">
        <is>
          <t>东风鸿远工程咨询有限公司</t>
        </is>
      </c>
      <c r="C38" s="770" t="inlineStr">
        <is>
          <t>2121</t>
        </is>
      </c>
      <c r="D38" s="772" t="inlineStr">
        <is>
          <t>E_176567</t>
        </is>
      </c>
      <c r="E38" s="772" t="inlineStr">
        <is>
          <t>中安广源检测评价技术服务股份有限公司湖北分公司</t>
        </is>
      </c>
      <c r="F38" s="772" t="inlineStr">
        <is>
          <t>采购款</t>
        </is>
      </c>
      <c r="G38" s="773" t="inlineStr">
        <is>
          <t>供应商</t>
        </is>
      </c>
      <c r="H38" s="774" t="inlineStr">
        <is>
          <t>CNY</t>
        </is>
      </c>
      <c r="I38" s="785" t="n">
        <v>0</v>
      </c>
      <c r="J38" s="785" t="n"/>
      <c r="K38" s="776" t="n"/>
      <c r="L38" s="777" t="n"/>
      <c r="M38" s="778">
        <f>J38+L38</f>
        <v/>
      </c>
      <c r="N38" s="786" t="n">
        <v>0</v>
      </c>
      <c r="O38" s="780">
        <f>M38-N38</f>
        <v/>
      </c>
      <c r="P38" s="781">
        <f>IF(N38&lt;&gt;0,O38/N38,"")</f>
        <v/>
      </c>
      <c r="Q38" s="776" t="n"/>
      <c r="R38" s="775" t="n">
        <v>0</v>
      </c>
      <c r="S38" s="775" t="n">
        <v>0</v>
      </c>
      <c r="T38" s="775" t="n">
        <v>0</v>
      </c>
      <c r="U38" s="775" t="n">
        <v>0</v>
      </c>
      <c r="V38" s="775" t="n">
        <v>0</v>
      </c>
      <c r="W38" s="782">
        <f>SUM(R38:V38)-M38</f>
        <v/>
      </c>
      <c r="X38" s="783">
        <f>T38+U38+V38</f>
        <v/>
      </c>
    </row>
    <row r="39" hidden="1" ht="15.6" customHeight="1">
      <c r="B39" s="769" t="inlineStr">
        <is>
          <t>东风鸿远工程咨询有限公司</t>
        </is>
      </c>
      <c r="C39" s="770" t="inlineStr">
        <is>
          <t>2121</t>
        </is>
      </c>
      <c r="D39" s="772" t="inlineStr">
        <is>
          <t>E_614610</t>
        </is>
      </c>
      <c r="E39" s="772" t="inlineStr">
        <is>
          <t>襄阳晨迪地质勘查技术服务有限公司</t>
        </is>
      </c>
      <c r="F39" s="772" t="inlineStr">
        <is>
          <t>采购款</t>
        </is>
      </c>
      <c r="G39" s="773" t="inlineStr">
        <is>
          <t>供应商</t>
        </is>
      </c>
      <c r="H39" s="774" t="inlineStr">
        <is>
          <t>CNY</t>
        </is>
      </c>
      <c r="I39" s="785" t="n">
        <v>-265379.3</v>
      </c>
      <c r="J39" s="785" t="n"/>
      <c r="K39" s="776" t="n"/>
      <c r="L39" s="777" t="n"/>
      <c r="M39" s="778">
        <f>J39+L39</f>
        <v/>
      </c>
      <c r="N39" s="786" t="n">
        <v>-265379.3</v>
      </c>
      <c r="O39" s="780">
        <f>M39-N39</f>
        <v/>
      </c>
      <c r="P39" s="781">
        <f>IF(N39&lt;&gt;0,O39/N39,"")</f>
        <v/>
      </c>
      <c r="Q39" s="776" t="n"/>
      <c r="R39" s="775" t="n">
        <v>-126360.51</v>
      </c>
      <c r="S39" s="775" t="n">
        <v>-124335.39</v>
      </c>
      <c r="T39" s="775" t="n">
        <v>-14683.4</v>
      </c>
      <c r="U39" s="775" t="n">
        <v>0</v>
      </c>
      <c r="V39" s="775" t="n">
        <v>0</v>
      </c>
      <c r="W39" s="782">
        <f>SUM(R39:V39)-M39</f>
        <v/>
      </c>
      <c r="X39" s="783">
        <f>T39+U39+V39</f>
        <v/>
      </c>
    </row>
    <row r="40" hidden="1" ht="15.6" customHeight="1">
      <c r="B40" s="769" t="inlineStr">
        <is>
          <t>东风鸿远工程咨询有限公司</t>
        </is>
      </c>
      <c r="C40" s="770" t="inlineStr">
        <is>
          <t>2121</t>
        </is>
      </c>
      <c r="D40" s="772" t="inlineStr">
        <is>
          <t>E_658681</t>
        </is>
      </c>
      <c r="E40" s="772" t="inlineStr">
        <is>
          <t>武汉固德孪生数据技术有限公司</t>
        </is>
      </c>
      <c r="F40" s="772" t="inlineStr">
        <is>
          <t>采购款</t>
        </is>
      </c>
      <c r="G40" s="773" t="inlineStr">
        <is>
          <t>供应商</t>
        </is>
      </c>
      <c r="H40" s="774" t="inlineStr">
        <is>
          <t>CNY</t>
        </is>
      </c>
      <c r="I40" s="785" t="n">
        <v>-8000</v>
      </c>
      <c r="J40" s="785" t="n"/>
      <c r="K40" s="776" t="n"/>
      <c r="L40" s="777" t="n"/>
      <c r="M40" s="778">
        <f>J40+L40</f>
        <v/>
      </c>
      <c r="N40" s="786" t="n">
        <v>-8000</v>
      </c>
      <c r="O40" s="780">
        <f>M40-N40</f>
        <v/>
      </c>
      <c r="P40" s="781">
        <f>IF(N40&lt;&gt;0,O40/N40,"")</f>
        <v/>
      </c>
      <c r="Q40" s="776" t="n"/>
      <c r="R40" s="775" t="n">
        <v>0</v>
      </c>
      <c r="S40" s="775" t="n">
        <v>0</v>
      </c>
      <c r="T40" s="775" t="n">
        <v>-8000</v>
      </c>
      <c r="U40" s="775" t="n">
        <v>0</v>
      </c>
      <c r="V40" s="775" t="n">
        <v>0</v>
      </c>
      <c r="W40" s="782">
        <f>SUM(R40:V40)-M40</f>
        <v/>
      </c>
      <c r="X40" s="783">
        <f>T40+U40+V40</f>
        <v/>
      </c>
    </row>
    <row r="41" hidden="1" ht="15.6" customHeight="1">
      <c r="B41" s="769" t="inlineStr">
        <is>
          <t>东风鸿远工程咨询有限公司</t>
        </is>
      </c>
      <c r="C41" s="770" t="inlineStr">
        <is>
          <t>2121</t>
        </is>
      </c>
      <c r="D41" s="772" t="inlineStr">
        <is>
          <t>E_014859</t>
        </is>
      </c>
      <c r="E41" s="772" t="inlineStr">
        <is>
          <t>湖北省建筑工程质量监督检验测试中心</t>
        </is>
      </c>
      <c r="F41" s="772" t="inlineStr">
        <is>
          <t>采购款</t>
        </is>
      </c>
      <c r="G41" s="773" t="inlineStr">
        <is>
          <t>供应商</t>
        </is>
      </c>
      <c r="H41" s="774" t="inlineStr">
        <is>
          <t>CNY</t>
        </is>
      </c>
      <c r="I41" s="785" t="n">
        <v>-23584.91</v>
      </c>
      <c r="J41" s="785" t="n"/>
      <c r="K41" s="776" t="n"/>
      <c r="L41" s="777" t="n"/>
      <c r="M41" s="778">
        <f>J41+L41</f>
        <v/>
      </c>
      <c r="N41" s="786" t="n">
        <v>-23584.91</v>
      </c>
      <c r="O41" s="780">
        <f>M41-N41</f>
        <v/>
      </c>
      <c r="P41" s="781">
        <f>IF(N41&lt;&gt;0,O41/N41,"")</f>
        <v/>
      </c>
      <c r="Q41" s="776" t="n"/>
      <c r="R41" s="775" t="n">
        <v>0</v>
      </c>
      <c r="S41" s="775" t="n">
        <v>0</v>
      </c>
      <c r="T41" s="775" t="n">
        <v>-23584.91</v>
      </c>
      <c r="U41" s="775" t="n">
        <v>0</v>
      </c>
      <c r="V41" s="775" t="n">
        <v>0</v>
      </c>
      <c r="W41" s="782">
        <f>SUM(R41:V41)-M41</f>
        <v/>
      </c>
      <c r="X41" s="783">
        <f>T41+U41+V41</f>
        <v/>
      </c>
    </row>
    <row r="42" hidden="1" ht="15.6" customHeight="1">
      <c r="B42" s="769" t="inlineStr">
        <is>
          <t>东风鸿远工程咨询有限公司</t>
        </is>
      </c>
      <c r="C42" s="770" t="inlineStr">
        <is>
          <t>2121</t>
        </is>
      </c>
      <c r="D42" s="772" t="inlineStr">
        <is>
          <t>E_624962</t>
        </is>
      </c>
      <c r="E42" s="772" t="inlineStr">
        <is>
          <t>湖北顺泰岩土工程勘察有限公司</t>
        </is>
      </c>
      <c r="F42" s="772" t="inlineStr">
        <is>
          <t>采购款</t>
        </is>
      </c>
      <c r="G42" s="773" t="inlineStr">
        <is>
          <t>供应商</t>
        </is>
      </c>
      <c r="H42" s="774" t="inlineStr">
        <is>
          <t>CNY</t>
        </is>
      </c>
      <c r="I42" s="785" t="n">
        <v>-151476.14</v>
      </c>
      <c r="J42" s="785" t="n"/>
      <c r="K42" s="776" t="n"/>
      <c r="L42" s="777" t="n"/>
      <c r="M42" s="778">
        <f>J42+L42</f>
        <v/>
      </c>
      <c r="N42" s="786" t="n">
        <v>-151476.14</v>
      </c>
      <c r="O42" s="780">
        <f>M42-N42</f>
        <v/>
      </c>
      <c r="P42" s="781">
        <f>IF(N42&lt;&gt;0,O42/N42,"")</f>
        <v/>
      </c>
      <c r="Q42" s="776" t="n"/>
      <c r="R42" s="775" t="n">
        <v>-23525.24</v>
      </c>
      <c r="S42" s="775" t="n">
        <v>-78213.5</v>
      </c>
      <c r="T42" s="775" t="n">
        <v>-49737.4</v>
      </c>
      <c r="U42" s="775" t="n">
        <v>0</v>
      </c>
      <c r="V42" s="775" t="n">
        <v>0</v>
      </c>
      <c r="W42" s="782">
        <f>SUM(R42:V42)-M42</f>
        <v/>
      </c>
      <c r="X42" s="783">
        <f>T42+U42+V42</f>
        <v/>
      </c>
    </row>
    <row r="43" hidden="1" ht="15.6" customHeight="1">
      <c r="B43" s="769" t="inlineStr">
        <is>
          <t>东风鸿远工程咨询有限公司</t>
        </is>
      </c>
      <c r="C43" s="770" t="inlineStr">
        <is>
          <t>2121</t>
        </is>
      </c>
      <c r="D43" s="772" t="inlineStr">
        <is>
          <t>E_617451</t>
        </is>
      </c>
      <c r="E43" s="772" t="inlineStr">
        <is>
          <t>城安工程技术集团有限公司即墨分公司</t>
        </is>
      </c>
      <c r="F43" s="772" t="inlineStr">
        <is>
          <t>采购款</t>
        </is>
      </c>
      <c r="G43" s="773" t="inlineStr">
        <is>
          <t>供应商</t>
        </is>
      </c>
      <c r="H43" s="774" t="inlineStr">
        <is>
          <t>CNY</t>
        </is>
      </c>
      <c r="I43" s="785" t="n">
        <v>0</v>
      </c>
      <c r="J43" s="785" t="n"/>
      <c r="K43" s="776" t="n"/>
      <c r="L43" s="777" t="n"/>
      <c r="M43" s="778">
        <f>J43+L43</f>
        <v/>
      </c>
      <c r="N43" s="786" t="n">
        <v>0</v>
      </c>
      <c r="O43" s="780">
        <f>M43-N43</f>
        <v/>
      </c>
      <c r="P43" s="781">
        <f>IF(N43&lt;&gt;0,O43/N43,"")</f>
        <v/>
      </c>
      <c r="Q43" s="776" t="n"/>
      <c r="R43" s="775" t="n">
        <v>0</v>
      </c>
      <c r="S43" s="775" t="n">
        <v>0</v>
      </c>
      <c r="T43" s="775" t="n">
        <v>0</v>
      </c>
      <c r="U43" s="775" t="n">
        <v>0</v>
      </c>
      <c r="V43" s="775" t="n">
        <v>0</v>
      </c>
      <c r="W43" s="782">
        <f>SUM(R43:V43)-M43</f>
        <v/>
      </c>
      <c r="X43" s="783">
        <f>T43+U43+V43</f>
        <v/>
      </c>
    </row>
    <row r="44" hidden="1" ht="15.6" customHeight="1">
      <c r="B44" s="769" t="inlineStr">
        <is>
          <t>东风鸿远工程咨询有限公司</t>
        </is>
      </c>
      <c r="C44" s="770" t="inlineStr">
        <is>
          <t>2121</t>
        </is>
      </c>
      <c r="D44" s="772" t="inlineStr">
        <is>
          <t>E_607903</t>
        </is>
      </c>
      <c r="E44" s="772" t="inlineStr">
        <is>
          <t>武汉力天视觉数字科技有限公司</t>
        </is>
      </c>
      <c r="F44" s="772" t="inlineStr">
        <is>
          <t>采购款</t>
        </is>
      </c>
      <c r="G44" s="773" t="inlineStr">
        <is>
          <t>供应商</t>
        </is>
      </c>
      <c r="H44" s="774" t="inlineStr">
        <is>
          <t>CNY</t>
        </is>
      </c>
      <c r="I44" s="785" t="n">
        <v>-27184.47</v>
      </c>
      <c r="J44" s="785" t="n"/>
      <c r="K44" s="776" t="n"/>
      <c r="L44" s="777" t="n"/>
      <c r="M44" s="778">
        <f>J44+L44</f>
        <v/>
      </c>
      <c r="N44" s="786" t="n">
        <v>-27184.47</v>
      </c>
      <c r="O44" s="780">
        <f>M44-N44</f>
        <v/>
      </c>
      <c r="P44" s="781">
        <f>IF(N44&lt;&gt;0,O44/N44,"")</f>
        <v/>
      </c>
      <c r="Q44" s="776" t="n"/>
      <c r="R44" s="775" t="n">
        <v>0</v>
      </c>
      <c r="S44" s="775" t="n">
        <v>-27184.47</v>
      </c>
      <c r="T44" s="775" t="n">
        <v>0</v>
      </c>
      <c r="U44" s="775" t="n">
        <v>0</v>
      </c>
      <c r="V44" s="775" t="n">
        <v>0</v>
      </c>
      <c r="W44" s="782">
        <f>SUM(R44:V44)-M44</f>
        <v/>
      </c>
      <c r="X44" s="783">
        <f>T44+U44+V44</f>
        <v/>
      </c>
    </row>
    <row r="45" hidden="1" ht="15.6" customHeight="1">
      <c r="B45" s="769" t="inlineStr">
        <is>
          <t>东风鸿远工程咨询有限公司</t>
        </is>
      </c>
      <c r="C45" s="770" t="inlineStr">
        <is>
          <t>2121</t>
        </is>
      </c>
      <c r="D45" s="772" t="inlineStr">
        <is>
          <t>E_624456</t>
        </is>
      </c>
      <c r="E45" s="772" t="inlineStr">
        <is>
          <t>湖北勤业会计师事务所（普通合伙）</t>
        </is>
      </c>
      <c r="F45" s="772" t="inlineStr">
        <is>
          <t>采购款</t>
        </is>
      </c>
      <c r="G45" s="773" t="inlineStr">
        <is>
          <t>供应商</t>
        </is>
      </c>
      <c r="H45" s="774" t="inlineStr">
        <is>
          <t>CNY</t>
        </is>
      </c>
      <c r="I45" s="785" t="n">
        <v>-28301.89</v>
      </c>
      <c r="J45" s="785" t="n"/>
      <c r="K45" s="776" t="n"/>
      <c r="L45" s="777" t="n"/>
      <c r="M45" s="778">
        <f>J45+L45</f>
        <v/>
      </c>
      <c r="N45" s="786" t="n">
        <v>-28301.89</v>
      </c>
      <c r="O45" s="780">
        <f>M45-N45</f>
        <v/>
      </c>
      <c r="P45" s="781">
        <f>IF(N45&lt;&gt;0,O45/N45,"")</f>
        <v/>
      </c>
      <c r="Q45" s="776" t="n"/>
      <c r="R45" s="775" t="n">
        <v>-28301.89</v>
      </c>
      <c r="S45" s="775" t="n">
        <v>0</v>
      </c>
      <c r="T45" s="775" t="n">
        <v>0</v>
      </c>
      <c r="U45" s="775" t="n">
        <v>0</v>
      </c>
      <c r="V45" s="775" t="n">
        <v>0</v>
      </c>
      <c r="W45" s="782">
        <f>SUM(R45:V45)-M45</f>
        <v/>
      </c>
      <c r="X45" s="783">
        <f>T45+U45+V45</f>
        <v/>
      </c>
    </row>
    <row r="46" hidden="1" ht="15.6" customHeight="1">
      <c r="B46" s="769" t="inlineStr">
        <is>
          <t>东风鸿远工程咨询有限公司</t>
        </is>
      </c>
      <c r="C46" s="770" t="inlineStr">
        <is>
          <t>2121</t>
        </is>
      </c>
      <c r="D46" s="772" t="inlineStr">
        <is>
          <t>E_602883</t>
        </is>
      </c>
      <c r="E46" s="772" t="inlineStr">
        <is>
          <t>中建三局工程设计有限公司</t>
        </is>
      </c>
      <c r="F46" s="772" t="inlineStr">
        <is>
          <t>采购款</t>
        </is>
      </c>
      <c r="G46" s="773" t="inlineStr">
        <is>
          <t>供应商</t>
        </is>
      </c>
      <c r="H46" s="774" t="inlineStr">
        <is>
          <t>CNY</t>
        </is>
      </c>
      <c r="I46" s="785" t="n">
        <v>-512090.16</v>
      </c>
      <c r="J46" s="785" t="n"/>
      <c r="K46" s="776" t="n"/>
      <c r="L46" s="777" t="n"/>
      <c r="M46" s="778">
        <f>J46+L46</f>
        <v/>
      </c>
      <c r="N46" s="786" t="n">
        <v>-512090.16</v>
      </c>
      <c r="O46" s="780">
        <f>M46-N46</f>
        <v/>
      </c>
      <c r="P46" s="781">
        <f>IF(N46&lt;&gt;0,O46/N46,"")</f>
        <v/>
      </c>
      <c r="Q46" s="776" t="n"/>
      <c r="R46" s="775" t="n">
        <v>0</v>
      </c>
      <c r="S46" s="775" t="n">
        <v>0</v>
      </c>
      <c r="T46" s="775" t="n">
        <v>-154253.56</v>
      </c>
      <c r="U46" s="775" t="n">
        <v>0</v>
      </c>
      <c r="V46" s="775" t="n">
        <v>-357836.6</v>
      </c>
      <c r="W46" s="782">
        <f>SUM(R46:V46)-M46</f>
        <v/>
      </c>
      <c r="X46" s="783">
        <f>T46+U46+V46</f>
        <v/>
      </c>
    </row>
    <row r="47" hidden="1" ht="15.6" customHeight="1">
      <c r="B47" s="769" t="inlineStr">
        <is>
          <t>东风鸿远工程咨询有限公司</t>
        </is>
      </c>
      <c r="C47" s="770" t="inlineStr">
        <is>
          <t>2121</t>
        </is>
      </c>
      <c r="D47" s="772" t="inlineStr">
        <is>
          <t>E_603120</t>
        </is>
      </c>
      <c r="E47" s="772" t="inlineStr">
        <is>
          <t>云龙区佳和雨建筑设计工作室</t>
        </is>
      </c>
      <c r="F47" s="772" t="inlineStr">
        <is>
          <t>采购款</t>
        </is>
      </c>
      <c r="G47" s="773" t="inlineStr">
        <is>
          <t>供应商</t>
        </is>
      </c>
      <c r="H47" s="774" t="inlineStr">
        <is>
          <t>CNY</t>
        </is>
      </c>
      <c r="I47" s="785" t="n">
        <v>-10660.19</v>
      </c>
      <c r="J47" s="785" t="n"/>
      <c r="K47" s="776" t="n"/>
      <c r="L47" s="777" t="n"/>
      <c r="M47" s="778">
        <f>J47+L47</f>
        <v/>
      </c>
      <c r="N47" s="786" t="n">
        <v>-10660.19</v>
      </c>
      <c r="O47" s="780">
        <f>M47-N47</f>
        <v/>
      </c>
      <c r="P47" s="781">
        <f>IF(N47&lt;&gt;0,O47/N47,"")</f>
        <v/>
      </c>
      <c r="Q47" s="776" t="n"/>
      <c r="R47" s="775" t="n">
        <v>-10660.19</v>
      </c>
      <c r="S47" s="775" t="n">
        <v>0</v>
      </c>
      <c r="T47" s="775" t="n">
        <v>0</v>
      </c>
      <c r="U47" s="775" t="n">
        <v>0</v>
      </c>
      <c r="V47" s="775" t="n">
        <v>0</v>
      </c>
      <c r="W47" s="782">
        <f>SUM(R47:V47)-M47</f>
        <v/>
      </c>
      <c r="X47" s="783">
        <f>T47+U47+V47</f>
        <v/>
      </c>
    </row>
    <row r="48" hidden="1" ht="15.6" customHeight="1">
      <c r="B48" s="769" t="inlineStr">
        <is>
          <t>东风鸿远工程咨询有限公司</t>
        </is>
      </c>
      <c r="C48" s="770" t="inlineStr">
        <is>
          <t>2121</t>
        </is>
      </c>
      <c r="D48" s="772" t="inlineStr">
        <is>
          <t>E_624681</t>
        </is>
      </c>
      <c r="E48" s="772" t="inlineStr">
        <is>
          <t>湖北南诚工程咨询有限公司</t>
        </is>
      </c>
      <c r="F48" s="772" t="inlineStr">
        <is>
          <t>采购款</t>
        </is>
      </c>
      <c r="G48" s="773" t="inlineStr">
        <is>
          <t>供应商</t>
        </is>
      </c>
      <c r="H48" s="774" t="inlineStr">
        <is>
          <t>CNY</t>
        </is>
      </c>
      <c r="I48" s="785" t="n">
        <v>-70000</v>
      </c>
      <c r="J48" s="785" t="n"/>
      <c r="K48" s="776" t="n"/>
      <c r="L48" s="777" t="n"/>
      <c r="M48" s="778">
        <f>J48+L48</f>
        <v/>
      </c>
      <c r="N48" s="786" t="n">
        <v>-70000</v>
      </c>
      <c r="O48" s="780">
        <f>M48-N48</f>
        <v/>
      </c>
      <c r="P48" s="781">
        <f>IF(N48&lt;&gt;0,O48/N48,"")</f>
        <v/>
      </c>
      <c r="Q48" s="776" t="n"/>
      <c r="R48" s="775" t="n">
        <v>0</v>
      </c>
      <c r="S48" s="775" t="n">
        <v>0</v>
      </c>
      <c r="T48" s="775" t="n">
        <v>-67961.17</v>
      </c>
      <c r="U48" s="775" t="n">
        <v>-2038.83</v>
      </c>
      <c r="V48" s="775" t="n">
        <v>0</v>
      </c>
      <c r="W48" s="782">
        <f>SUM(R48:V48)-M48</f>
        <v/>
      </c>
      <c r="X48" s="783">
        <f>T48+U48+V48</f>
        <v/>
      </c>
    </row>
    <row r="49" hidden="1" ht="15.6" customHeight="1">
      <c r="B49" s="769" t="inlineStr">
        <is>
          <t>东风鸿远工程咨询有限公司</t>
        </is>
      </c>
      <c r="C49" s="770" t="inlineStr">
        <is>
          <t>2121</t>
        </is>
      </c>
      <c r="D49" s="772" t="inlineStr">
        <is>
          <t>E_605958</t>
        </is>
      </c>
      <c r="E49" s="772" t="inlineStr">
        <is>
          <t>四川省建筑设计研究院有限公司</t>
        </is>
      </c>
      <c r="F49" s="772" t="inlineStr">
        <is>
          <t>采购款</t>
        </is>
      </c>
      <c r="G49" s="773" t="inlineStr">
        <is>
          <t>供应商</t>
        </is>
      </c>
      <c r="H49" s="774" t="inlineStr">
        <is>
          <t>CNY</t>
        </is>
      </c>
      <c r="I49" s="785" t="n">
        <v>-6146733.91</v>
      </c>
      <c r="J49" s="785" t="n"/>
      <c r="K49" s="776" t="n"/>
      <c r="L49" s="777" t="n"/>
      <c r="M49" s="778">
        <f>J49+L49</f>
        <v/>
      </c>
      <c r="N49" s="786" t="n">
        <v>-6146733.91</v>
      </c>
      <c r="O49" s="780">
        <f>M49-N49</f>
        <v/>
      </c>
      <c r="P49" s="781">
        <f>IF(N49&lt;&gt;0,O49/N49,"")</f>
        <v/>
      </c>
      <c r="Q49" s="776" t="inlineStr">
        <is>
          <t>NB7</t>
        </is>
      </c>
      <c r="R49" s="775" t="n">
        <v>-500000</v>
      </c>
      <c r="S49" s="775" t="n">
        <v>-13950</v>
      </c>
      <c r="T49" s="775" t="n">
        <v>0</v>
      </c>
      <c r="U49" s="775" t="n">
        <v>0</v>
      </c>
      <c r="V49" s="775" t="n">
        <v>-5632783.91</v>
      </c>
      <c r="W49" s="782">
        <f>SUM(R49:V49)-M49</f>
        <v/>
      </c>
      <c r="X49" s="783">
        <f>T49+U49+V49</f>
        <v/>
      </c>
    </row>
    <row r="50" hidden="1" ht="15.6" customHeight="1">
      <c r="B50" s="769" t="inlineStr">
        <is>
          <t>东风鸿远工程咨询有限公司</t>
        </is>
      </c>
      <c r="C50" s="770" t="inlineStr">
        <is>
          <t>2121</t>
        </is>
      </c>
      <c r="D50" s="772" t="inlineStr">
        <is>
          <t>E_622843</t>
        </is>
      </c>
      <c r="E50" s="772" t="inlineStr">
        <is>
          <t>武汉游途网络科技有限公司</t>
        </is>
      </c>
      <c r="F50" s="772" t="inlineStr">
        <is>
          <t>采购款</t>
        </is>
      </c>
      <c r="G50" s="773" t="inlineStr">
        <is>
          <t>供应商</t>
        </is>
      </c>
      <c r="H50" s="774" t="inlineStr">
        <is>
          <t>CNY</t>
        </is>
      </c>
      <c r="I50" s="785" t="n">
        <v>0</v>
      </c>
      <c r="J50" s="785" t="n"/>
      <c r="K50" s="776" t="n"/>
      <c r="L50" s="777" t="n"/>
      <c r="M50" s="778">
        <f>J50+L50</f>
        <v/>
      </c>
      <c r="N50" s="786" t="n">
        <v>0</v>
      </c>
      <c r="O50" s="780">
        <f>M50-N50</f>
        <v/>
      </c>
      <c r="P50" s="781">
        <f>IF(N50&lt;&gt;0,O50/N50,"")</f>
        <v/>
      </c>
      <c r="Q50" s="776" t="n"/>
      <c r="R50" s="775" t="n">
        <v>0</v>
      </c>
      <c r="S50" s="775" t="n">
        <v>0</v>
      </c>
      <c r="T50" s="775" t="n">
        <v>0</v>
      </c>
      <c r="U50" s="775" t="n">
        <v>0</v>
      </c>
      <c r="V50" s="775" t="n">
        <v>0</v>
      </c>
      <c r="W50" s="782">
        <f>SUM(R50:V50)-M50</f>
        <v/>
      </c>
      <c r="X50" s="783">
        <f>T50+U50+V50</f>
        <v/>
      </c>
    </row>
    <row r="51" hidden="1" ht="15.6" customHeight="1">
      <c r="B51" s="769" t="inlineStr">
        <is>
          <t>东风鸿远工程咨询有限公司</t>
        </is>
      </c>
      <c r="C51" s="770" t="inlineStr">
        <is>
          <t>2121</t>
        </is>
      </c>
      <c r="D51" s="772" t="inlineStr">
        <is>
          <t>E_618178</t>
        </is>
      </c>
      <c r="E51" s="772" t="inlineStr">
        <is>
          <t>北京盈建科软件股份有限公司</t>
        </is>
      </c>
      <c r="F51" s="772" t="inlineStr">
        <is>
          <t>采购款</t>
        </is>
      </c>
      <c r="G51" s="773" t="inlineStr">
        <is>
          <t>供应商</t>
        </is>
      </c>
      <c r="H51" s="774" t="inlineStr">
        <is>
          <t>CNY</t>
        </is>
      </c>
      <c r="I51" s="785" t="n">
        <v>-40000</v>
      </c>
      <c r="J51" s="785" t="n"/>
      <c r="K51" s="776" t="n"/>
      <c r="L51" s="777" t="n"/>
      <c r="M51" s="778">
        <f>J51+L51</f>
        <v/>
      </c>
      <c r="N51" s="786" t="n">
        <v>-40000</v>
      </c>
      <c r="O51" s="780">
        <f>M51-N51</f>
        <v/>
      </c>
      <c r="P51" s="781">
        <f>IF(N51&lt;&gt;0,O51/N51,"")</f>
        <v/>
      </c>
      <c r="Q51" s="776" t="n"/>
      <c r="R51" s="775" t="n">
        <v>0</v>
      </c>
      <c r="S51" s="775" t="n">
        <v>0</v>
      </c>
      <c r="T51" s="775" t="n">
        <v>-40000</v>
      </c>
      <c r="U51" s="775" t="n">
        <v>0</v>
      </c>
      <c r="V51" s="775" t="n">
        <v>0</v>
      </c>
      <c r="W51" s="782">
        <f>SUM(R51:V51)-M51</f>
        <v/>
      </c>
      <c r="X51" s="783">
        <f>T51+U51+V51</f>
        <v/>
      </c>
    </row>
    <row r="52" hidden="1" ht="15.6" customHeight="1">
      <c r="B52" s="769" t="inlineStr">
        <is>
          <t>东风鸿远工程咨询有限公司</t>
        </is>
      </c>
      <c r="C52" s="770" t="inlineStr">
        <is>
          <t>2121</t>
        </is>
      </c>
      <c r="D52" s="772" t="inlineStr">
        <is>
          <t>E_613804</t>
        </is>
      </c>
      <c r="E52" s="772" t="inlineStr">
        <is>
          <t>武汉意创格致建筑工程设计有限公司</t>
        </is>
      </c>
      <c r="F52" s="772" t="inlineStr">
        <is>
          <t>采购款</t>
        </is>
      </c>
      <c r="G52" s="773" t="inlineStr">
        <is>
          <t>供应商</t>
        </is>
      </c>
      <c r="H52" s="774" t="inlineStr">
        <is>
          <t>CNY</t>
        </is>
      </c>
      <c r="I52" s="785" t="n">
        <v>-15637.12</v>
      </c>
      <c r="J52" s="785" t="n"/>
      <c r="K52" s="776" t="n"/>
      <c r="L52" s="777" t="n"/>
      <c r="M52" s="778">
        <f>J52+L52</f>
        <v/>
      </c>
      <c r="N52" s="786" t="n">
        <v>-15637.12</v>
      </c>
      <c r="O52" s="780">
        <f>M52-N52</f>
        <v/>
      </c>
      <c r="P52" s="781">
        <f>IF(N52&lt;&gt;0,O52/N52,"")</f>
        <v/>
      </c>
      <c r="Q52" s="776" t="n"/>
      <c r="R52" s="775" t="n">
        <v>0</v>
      </c>
      <c r="S52" s="775" t="n">
        <v>0</v>
      </c>
      <c r="T52" s="775" t="n">
        <v>0</v>
      </c>
      <c r="U52" s="775" t="n">
        <v>0</v>
      </c>
      <c r="V52" s="775" t="n">
        <v>-15637.12</v>
      </c>
      <c r="W52" s="782">
        <f>SUM(R52:V52)-M52</f>
        <v/>
      </c>
      <c r="X52" s="783">
        <f>T52+U52+V52</f>
        <v/>
      </c>
    </row>
    <row r="53" hidden="1" ht="15.6" customHeight="1">
      <c r="B53" s="769" t="inlineStr">
        <is>
          <t>东风鸿远工程咨询有限公司</t>
        </is>
      </c>
      <c r="C53" s="770" t="inlineStr">
        <is>
          <t>2121</t>
        </is>
      </c>
      <c r="D53" s="772" t="inlineStr">
        <is>
          <t>E_614043</t>
        </is>
      </c>
      <c r="E53" s="772" t="inlineStr">
        <is>
          <t>汉江中保信保安服务集团有限公司</t>
        </is>
      </c>
      <c r="F53" s="772" t="inlineStr">
        <is>
          <t>采购款</t>
        </is>
      </c>
      <c r="G53" s="773" t="inlineStr">
        <is>
          <t>供应商</t>
        </is>
      </c>
      <c r="H53" s="774" t="inlineStr">
        <is>
          <t>CNY</t>
        </is>
      </c>
      <c r="I53" s="785" t="n">
        <v>-33300</v>
      </c>
      <c r="J53" s="785" t="n"/>
      <c r="K53" s="776" t="n"/>
      <c r="L53" s="777" t="n"/>
      <c r="M53" s="778">
        <f>J53+L53</f>
        <v/>
      </c>
      <c r="N53" s="786" t="n">
        <v>-33300</v>
      </c>
      <c r="O53" s="780">
        <f>M53-N53</f>
        <v/>
      </c>
      <c r="P53" s="781">
        <f>IF(N53&lt;&gt;0,O53/N53,"")</f>
        <v/>
      </c>
      <c r="Q53" s="776" t="n"/>
      <c r="R53" s="775" t="n">
        <v>-33300</v>
      </c>
      <c r="S53" s="775" t="n">
        <v>0</v>
      </c>
      <c r="T53" s="775" t="n">
        <v>0</v>
      </c>
      <c r="U53" s="775" t="n">
        <v>0</v>
      </c>
      <c r="V53" s="775" t="n">
        <v>0</v>
      </c>
      <c r="W53" s="782">
        <f>SUM(R53:V53)-M53</f>
        <v/>
      </c>
      <c r="X53" s="783">
        <f>T53+U53+V53</f>
        <v/>
      </c>
    </row>
    <row r="54" hidden="1" ht="15.6" customHeight="1">
      <c r="B54" s="769" t="inlineStr">
        <is>
          <t>东风鸿远工程咨询有限公司</t>
        </is>
      </c>
      <c r="C54" s="770" t="inlineStr">
        <is>
          <t>2121</t>
        </is>
      </c>
      <c r="D54" s="772" t="inlineStr">
        <is>
          <t>E_619093</t>
        </is>
      </c>
      <c r="E54" s="772" t="inlineStr">
        <is>
          <t>中兵北勘(河北)工程检测有限公司</t>
        </is>
      </c>
      <c r="F54" s="772" t="inlineStr">
        <is>
          <t>采购款</t>
        </is>
      </c>
      <c r="G54" s="773" t="inlineStr">
        <is>
          <t>供应商</t>
        </is>
      </c>
      <c r="H54" s="774" t="inlineStr">
        <is>
          <t>CNY</t>
        </is>
      </c>
      <c r="I54" s="785" t="n">
        <v>0</v>
      </c>
      <c r="J54" s="785" t="n"/>
      <c r="K54" s="776" t="n"/>
      <c r="L54" s="777" t="n"/>
      <c r="M54" s="778">
        <f>J54+L54</f>
        <v/>
      </c>
      <c r="N54" s="786" t="n">
        <v>0</v>
      </c>
      <c r="O54" s="780">
        <f>M54-N54</f>
        <v/>
      </c>
      <c r="P54" s="781">
        <f>IF(N54&lt;&gt;0,O54/N54,"")</f>
        <v/>
      </c>
      <c r="Q54" s="776" t="n"/>
      <c r="R54" s="775" t="n">
        <v>0</v>
      </c>
      <c r="S54" s="775" t="n">
        <v>0</v>
      </c>
      <c r="T54" s="775" t="n">
        <v>0</v>
      </c>
      <c r="U54" s="775" t="n">
        <v>0</v>
      </c>
      <c r="V54" s="775" t="n">
        <v>0</v>
      </c>
      <c r="W54" s="782">
        <f>SUM(R54:V54)-M54</f>
        <v/>
      </c>
      <c r="X54" s="783">
        <f>T54+U54+V54</f>
        <v/>
      </c>
    </row>
    <row r="55" hidden="1" ht="15.6" customHeight="1">
      <c r="B55" s="769" t="inlineStr">
        <is>
          <t>东风鸿远工程咨询有限公司</t>
        </is>
      </c>
      <c r="C55" s="770" t="inlineStr">
        <is>
          <t>2121</t>
        </is>
      </c>
      <c r="D55" s="772" t="inlineStr">
        <is>
          <t>E_600087</t>
        </is>
      </c>
      <c r="E55" s="772" t="inlineStr">
        <is>
          <t>湖北省鄂西北工程勘察有限责任公司</t>
        </is>
      </c>
      <c r="F55" s="772" t="inlineStr">
        <is>
          <t>采购款</t>
        </is>
      </c>
      <c r="G55" s="773" t="inlineStr">
        <is>
          <t>供应商</t>
        </is>
      </c>
      <c r="H55" s="774" t="inlineStr">
        <is>
          <t>CNY</t>
        </is>
      </c>
      <c r="I55" s="785" t="n">
        <v>-2189774.58</v>
      </c>
      <c r="J55" s="785" t="n"/>
      <c r="K55" s="776" t="n"/>
      <c r="L55" s="777" t="n"/>
      <c r="M55" s="778">
        <f>J55+L55</f>
        <v/>
      </c>
      <c r="N55" s="786" t="n">
        <v>-2189774.58</v>
      </c>
      <c r="O55" s="780">
        <f>M55-N55</f>
        <v/>
      </c>
      <c r="P55" s="781">
        <f>IF(N55&lt;&gt;0,O55/N55,"")</f>
        <v/>
      </c>
      <c r="Q55" s="776" t="inlineStr">
        <is>
          <t>NB8</t>
        </is>
      </c>
      <c r="R55" s="775" t="n">
        <v>0</v>
      </c>
      <c r="S55" s="775" t="n">
        <v>-70000</v>
      </c>
      <c r="T55" s="775" t="n">
        <v>-910671.6899999999</v>
      </c>
      <c r="U55" s="775" t="n">
        <v>-40377.35</v>
      </c>
      <c r="V55" s="775" t="n">
        <v>-1168725.54</v>
      </c>
      <c r="W55" s="782">
        <f>SUM(R55:V55)-M55</f>
        <v/>
      </c>
      <c r="X55" s="783">
        <f>T55+U55+V55</f>
        <v/>
      </c>
    </row>
    <row r="56" hidden="1" ht="15.6" customHeight="1">
      <c r="B56" s="769" t="inlineStr">
        <is>
          <t>东风鸿远工程咨询有限公司</t>
        </is>
      </c>
      <c r="C56" s="770" t="inlineStr">
        <is>
          <t>2121</t>
        </is>
      </c>
      <c r="D56" s="772" t="inlineStr">
        <is>
          <t>E_602726</t>
        </is>
      </c>
      <c r="E56" s="772" t="inlineStr">
        <is>
          <t>临海市华意建筑设计有限公司</t>
        </is>
      </c>
      <c r="F56" s="772" t="inlineStr">
        <is>
          <t>采购款</t>
        </is>
      </c>
      <c r="G56" s="773" t="inlineStr">
        <is>
          <t>供应商</t>
        </is>
      </c>
      <c r="H56" s="774" t="inlineStr">
        <is>
          <t>CNY</t>
        </is>
      </c>
      <c r="I56" s="785" t="n">
        <v>-28155.34</v>
      </c>
      <c r="J56" s="785" t="n"/>
      <c r="K56" s="776" t="n"/>
      <c r="L56" s="777" t="n"/>
      <c r="M56" s="778">
        <f>J56+L56</f>
        <v/>
      </c>
      <c r="N56" s="786" t="n">
        <v>-28155.34</v>
      </c>
      <c r="O56" s="780">
        <f>M56-N56</f>
        <v/>
      </c>
      <c r="P56" s="781">
        <f>IF(N56&lt;&gt;0,O56/N56,"")</f>
        <v/>
      </c>
      <c r="Q56" s="776" t="n"/>
      <c r="R56" s="775" t="n">
        <v>0</v>
      </c>
      <c r="S56" s="775" t="n">
        <v>-28155.34</v>
      </c>
      <c r="T56" s="775" t="n">
        <v>0</v>
      </c>
      <c r="U56" s="775" t="n">
        <v>0</v>
      </c>
      <c r="V56" s="775" t="n">
        <v>0</v>
      </c>
      <c r="W56" s="782">
        <f>SUM(R56:V56)-M56</f>
        <v/>
      </c>
      <c r="X56" s="783">
        <f>T56+U56+V56</f>
        <v/>
      </c>
    </row>
    <row r="57" hidden="1" ht="15.6" customHeight="1">
      <c r="B57" s="769" t="inlineStr">
        <is>
          <t>东风鸿远工程咨询有限公司</t>
        </is>
      </c>
      <c r="C57" s="770" t="inlineStr">
        <is>
          <t>2121</t>
        </is>
      </c>
      <c r="D57" s="772" t="inlineStr">
        <is>
          <t>E_614472</t>
        </is>
      </c>
      <c r="E57" s="772" t="inlineStr">
        <is>
          <t>湖北襄阳松涛建筑工程有限公司</t>
        </is>
      </c>
      <c r="F57" s="772" t="inlineStr">
        <is>
          <t>采购款</t>
        </is>
      </c>
      <c r="G57" s="773" t="inlineStr">
        <is>
          <t>供应商</t>
        </is>
      </c>
      <c r="H57" s="774" t="inlineStr">
        <is>
          <t>CNY</t>
        </is>
      </c>
      <c r="I57" s="785" t="n">
        <v>-216627.45</v>
      </c>
      <c r="J57" s="785" t="n"/>
      <c r="K57" s="776" t="n"/>
      <c r="L57" s="777" t="n"/>
      <c r="M57" s="778">
        <f>J57+L57</f>
        <v/>
      </c>
      <c r="N57" s="786" t="n">
        <v>-216627.45</v>
      </c>
      <c r="O57" s="780">
        <f>M57-N57</f>
        <v/>
      </c>
      <c r="P57" s="781">
        <f>IF(N57&lt;&gt;0,O57/N57,"")</f>
        <v/>
      </c>
      <c r="Q57" s="776" t="n"/>
      <c r="R57" s="775" t="n">
        <v>-91766.99000000001</v>
      </c>
      <c r="S57" s="775" t="n">
        <v>-114202.46</v>
      </c>
      <c r="T57" s="775" t="n">
        <v>-10658</v>
      </c>
      <c r="U57" s="775" t="n">
        <v>0</v>
      </c>
      <c r="V57" s="775" t="n">
        <v>0</v>
      </c>
      <c r="W57" s="782">
        <f>SUM(R57:V57)-M57</f>
        <v/>
      </c>
      <c r="X57" s="783">
        <f>T57+U57+V57</f>
        <v/>
      </c>
    </row>
    <row r="58" hidden="1" ht="15.6" customHeight="1">
      <c r="B58" s="769" t="inlineStr">
        <is>
          <t>东风鸿远工程咨询有限公司</t>
        </is>
      </c>
      <c r="C58" s="770" t="inlineStr">
        <is>
          <t>2121</t>
        </is>
      </c>
      <c r="D58" s="772" t="inlineStr">
        <is>
          <t>E_659776</t>
        </is>
      </c>
      <c r="E58" s="772" t="inlineStr">
        <is>
          <t>湖北永勘地质勘查技术有限公司</t>
        </is>
      </c>
      <c r="F58" s="772" t="inlineStr">
        <is>
          <t>采购款</t>
        </is>
      </c>
      <c r="G58" s="773" t="inlineStr">
        <is>
          <t>供应商</t>
        </is>
      </c>
      <c r="H58" s="774" t="inlineStr">
        <is>
          <t>CNY</t>
        </is>
      </c>
      <c r="I58" s="785" t="n">
        <v>-914.6</v>
      </c>
      <c r="J58" s="785" t="n"/>
      <c r="K58" s="776" t="n"/>
      <c r="L58" s="777" t="n"/>
      <c r="M58" s="778">
        <f>J58+L58</f>
        <v/>
      </c>
      <c r="N58" s="786" t="n">
        <v>-914.6</v>
      </c>
      <c r="O58" s="780">
        <f>M58-N58</f>
        <v/>
      </c>
      <c r="P58" s="781">
        <f>IF(N58&lt;&gt;0,O58/N58,"")</f>
        <v/>
      </c>
      <c r="Q58" s="776" t="n"/>
      <c r="R58" s="775" t="n">
        <v>0</v>
      </c>
      <c r="S58" s="775" t="n">
        <v>0</v>
      </c>
      <c r="T58" s="775" t="n">
        <v>-914.6</v>
      </c>
      <c r="U58" s="775" t="n">
        <v>0</v>
      </c>
      <c r="V58" s="775" t="n">
        <v>0</v>
      </c>
      <c r="W58" s="782">
        <f>SUM(R58:V58)-M58</f>
        <v/>
      </c>
      <c r="X58" s="783">
        <f>T58+U58+V58</f>
        <v/>
      </c>
    </row>
    <row r="59" hidden="1" ht="15.6" customHeight="1">
      <c r="B59" s="769" t="inlineStr">
        <is>
          <t>东风鸿远工程咨询有限公司</t>
        </is>
      </c>
      <c r="C59" s="770" t="inlineStr">
        <is>
          <t>2121</t>
        </is>
      </c>
      <c r="D59" s="772" t="inlineStr">
        <is>
          <t>E_614267</t>
        </is>
      </c>
      <c r="E59" s="772" t="inlineStr">
        <is>
          <t>湖北禾汇工程造价咨询有限公司</t>
        </is>
      </c>
      <c r="F59" s="772" t="inlineStr">
        <is>
          <t>采购款</t>
        </is>
      </c>
      <c r="G59" s="773" t="inlineStr">
        <is>
          <t>供应商</t>
        </is>
      </c>
      <c r="H59" s="774" t="inlineStr">
        <is>
          <t>CNY</t>
        </is>
      </c>
      <c r="I59" s="785" t="n">
        <v>-1588352.2</v>
      </c>
      <c r="J59" s="785" t="n"/>
      <c r="K59" s="776" t="n"/>
      <c r="L59" s="777" t="n"/>
      <c r="M59" s="778">
        <f>J59+L59</f>
        <v/>
      </c>
      <c r="N59" s="786" t="n">
        <v>-1588352.2</v>
      </c>
      <c r="O59" s="780">
        <f>M59-N59</f>
        <v/>
      </c>
      <c r="P59" s="781">
        <f>IF(N59&lt;&gt;0,O59/N59,"")</f>
        <v/>
      </c>
      <c r="Q59" s="776" t="n"/>
      <c r="R59" s="775" t="n">
        <v>-1372547.17</v>
      </c>
      <c r="S59" s="775" t="n">
        <v>-209675.3</v>
      </c>
      <c r="T59" s="775" t="n">
        <v>0</v>
      </c>
      <c r="U59" s="775" t="n">
        <v>-1760.8</v>
      </c>
      <c r="V59" s="775" t="n">
        <v>-4368.93</v>
      </c>
      <c r="W59" s="782">
        <f>SUM(R59:V59)-M59</f>
        <v/>
      </c>
      <c r="X59" s="783">
        <f>T59+U59+V59</f>
        <v/>
      </c>
    </row>
    <row r="60" hidden="1" ht="15.6" customHeight="1">
      <c r="B60" s="769" t="inlineStr">
        <is>
          <t>东风鸿远工程咨询有限公司</t>
        </is>
      </c>
      <c r="C60" s="770" t="inlineStr">
        <is>
          <t>2121</t>
        </is>
      </c>
      <c r="D60" s="772" t="inlineStr">
        <is>
          <t>E_602949</t>
        </is>
      </c>
      <c r="E60" s="772" t="inlineStr">
        <is>
          <t>亿企赢企业服务（广州）有限公司</t>
        </is>
      </c>
      <c r="F60" s="772" t="inlineStr">
        <is>
          <t>采购款</t>
        </is>
      </c>
      <c r="G60" s="773" t="inlineStr">
        <is>
          <t>供应商</t>
        </is>
      </c>
      <c r="H60" s="774" t="inlineStr">
        <is>
          <t>CNY</t>
        </is>
      </c>
      <c r="I60" s="785" t="n">
        <v>-157102.52</v>
      </c>
      <c r="J60" s="785" t="n"/>
      <c r="K60" s="776" t="n"/>
      <c r="L60" s="777" t="n"/>
      <c r="M60" s="778">
        <f>J60+L60</f>
        <v/>
      </c>
      <c r="N60" s="786" t="n">
        <v>-157102.52</v>
      </c>
      <c r="O60" s="780">
        <f>M60-N60</f>
        <v/>
      </c>
      <c r="P60" s="781">
        <f>IF(N60&lt;&gt;0,O60/N60,"")</f>
        <v/>
      </c>
      <c r="Q60" s="776" t="n"/>
      <c r="R60" s="775" t="n">
        <v>-157102.52</v>
      </c>
      <c r="S60" s="775" t="n">
        <v>0</v>
      </c>
      <c r="T60" s="775" t="n">
        <v>0</v>
      </c>
      <c r="U60" s="775" t="n">
        <v>0</v>
      </c>
      <c r="V60" s="775" t="n">
        <v>0</v>
      </c>
      <c r="W60" s="782">
        <f>SUM(R60:V60)-M60</f>
        <v/>
      </c>
      <c r="X60" s="783">
        <f>T60+U60+V60</f>
        <v/>
      </c>
    </row>
    <row r="61" hidden="1" ht="15.6" customHeight="1">
      <c r="B61" s="769" t="inlineStr">
        <is>
          <t>东风鸿远工程咨询有限公司</t>
        </is>
      </c>
      <c r="C61" s="770" t="inlineStr">
        <is>
          <t>2121</t>
        </is>
      </c>
      <c r="D61" s="772" t="inlineStr">
        <is>
          <t>E_227041</t>
        </is>
      </c>
      <c r="E61" s="772" t="inlineStr">
        <is>
          <t>中核勘察设计研究有限公司</t>
        </is>
      </c>
      <c r="F61" s="772" t="inlineStr">
        <is>
          <t>采购款</t>
        </is>
      </c>
      <c r="G61" s="773" t="inlineStr">
        <is>
          <t>供应商</t>
        </is>
      </c>
      <c r="H61" s="774" t="inlineStr">
        <is>
          <t>CNY</t>
        </is>
      </c>
      <c r="I61" s="785" t="n">
        <v>-319104.37</v>
      </c>
      <c r="J61" s="785" t="n"/>
      <c r="K61" s="776" t="n"/>
      <c r="L61" s="777" t="n"/>
      <c r="M61" s="778">
        <f>J61+L61</f>
        <v/>
      </c>
      <c r="N61" s="786" t="n">
        <v>-319104.37</v>
      </c>
      <c r="O61" s="780">
        <f>M61-N61</f>
        <v/>
      </c>
      <c r="P61" s="781">
        <f>IF(N61&lt;&gt;0,O61/N61,"")</f>
        <v/>
      </c>
      <c r="Q61" s="776" t="n"/>
      <c r="R61" s="775" t="n">
        <v>0</v>
      </c>
      <c r="S61" s="775" t="n">
        <v>-314250</v>
      </c>
      <c r="T61" s="775" t="n">
        <v>-4716.98</v>
      </c>
      <c r="U61" s="775" t="n">
        <v>-137.39</v>
      </c>
      <c r="V61" s="775" t="n">
        <v>0</v>
      </c>
      <c r="W61" s="782">
        <f>SUM(R61:V61)-M61</f>
        <v/>
      </c>
      <c r="X61" s="783">
        <f>T61+U61+V61</f>
        <v/>
      </c>
    </row>
    <row r="62" hidden="1" ht="15.6" customHeight="1">
      <c r="B62" s="769" t="inlineStr">
        <is>
          <t>东风鸿远工程咨询有限公司</t>
        </is>
      </c>
      <c r="C62" s="770" t="inlineStr">
        <is>
          <t>2121</t>
        </is>
      </c>
      <c r="D62" s="772" t="inlineStr">
        <is>
          <t>E_614102</t>
        </is>
      </c>
      <c r="E62" s="772" t="inlineStr">
        <is>
          <t>湖北伟利德商贸有限公司</t>
        </is>
      </c>
      <c r="F62" s="772" t="inlineStr">
        <is>
          <t>采购款</t>
        </is>
      </c>
      <c r="G62" s="773" t="inlineStr">
        <is>
          <t>供应商</t>
        </is>
      </c>
      <c r="H62" s="774" t="inlineStr">
        <is>
          <t>CNY</t>
        </is>
      </c>
      <c r="I62" s="785" t="n">
        <v>-13365</v>
      </c>
      <c r="J62" s="785" t="n"/>
      <c r="K62" s="776" t="n"/>
      <c r="L62" s="777" t="n"/>
      <c r="M62" s="778">
        <f>J62+L62</f>
        <v/>
      </c>
      <c r="N62" s="786" t="n">
        <v>-13365</v>
      </c>
      <c r="O62" s="780">
        <f>M62-N62</f>
        <v/>
      </c>
      <c r="P62" s="781">
        <f>IF(N62&lt;&gt;0,O62/N62,"")</f>
        <v/>
      </c>
      <c r="Q62" s="776" t="n"/>
      <c r="R62" s="775" t="n">
        <v>0</v>
      </c>
      <c r="S62" s="775" t="n">
        <v>0</v>
      </c>
      <c r="T62" s="775" t="n">
        <v>0</v>
      </c>
      <c r="U62" s="775" t="n">
        <v>0</v>
      </c>
      <c r="V62" s="775" t="n">
        <v>-13365</v>
      </c>
      <c r="W62" s="782">
        <f>SUM(R62:V62)-M62</f>
        <v/>
      </c>
      <c r="X62" s="783">
        <f>T62+U62+V62</f>
        <v/>
      </c>
    </row>
    <row r="63" hidden="1" ht="15.6" customHeight="1">
      <c r="B63" s="769" t="inlineStr">
        <is>
          <t>东风鸿远工程咨询有限公司</t>
        </is>
      </c>
      <c r="C63" s="770" t="inlineStr">
        <is>
          <t>2121</t>
        </is>
      </c>
      <c r="D63" s="772" t="inlineStr">
        <is>
          <t>E_613334</t>
        </is>
      </c>
      <c r="E63" s="772" t="inlineStr">
        <is>
          <t>武汉汇沐家居有限公司</t>
        </is>
      </c>
      <c r="F63" s="772" t="inlineStr">
        <is>
          <t>采购款</t>
        </is>
      </c>
      <c r="G63" s="773" t="inlineStr">
        <is>
          <t>供应商</t>
        </is>
      </c>
      <c r="H63" s="774" t="inlineStr">
        <is>
          <t>CNY</t>
        </is>
      </c>
      <c r="I63" s="785" t="n">
        <v>-25767.17</v>
      </c>
      <c r="J63" s="785" t="n"/>
      <c r="K63" s="776" t="n"/>
      <c r="L63" s="777" t="n"/>
      <c r="M63" s="778">
        <f>J63+L63</f>
        <v/>
      </c>
      <c r="N63" s="786" t="n">
        <v>-25767.17</v>
      </c>
      <c r="O63" s="780">
        <f>M63-N63</f>
        <v/>
      </c>
      <c r="P63" s="781">
        <f>IF(N63&lt;&gt;0,O63/N63,"")</f>
        <v/>
      </c>
      <c r="Q63" s="776" t="n"/>
      <c r="R63" s="775" t="n">
        <v>0</v>
      </c>
      <c r="S63" s="775" t="n">
        <v>0</v>
      </c>
      <c r="T63" s="775" t="n">
        <v>0</v>
      </c>
      <c r="U63" s="775" t="n">
        <v>0</v>
      </c>
      <c r="V63" s="775" t="n">
        <v>-25767.17</v>
      </c>
      <c r="W63" s="782">
        <f>SUM(R63:V63)-M63</f>
        <v/>
      </c>
      <c r="X63" s="783">
        <f>T63+U63+V63</f>
        <v/>
      </c>
    </row>
    <row r="64" hidden="1" ht="15.6" customHeight="1">
      <c r="B64" s="769" t="inlineStr">
        <is>
          <t>东风鸿远工程咨询有限公司</t>
        </is>
      </c>
      <c r="C64" s="770" t="inlineStr">
        <is>
          <t>2121</t>
        </is>
      </c>
      <c r="D64" s="772" t="inlineStr">
        <is>
          <t>E_629280</t>
        </is>
      </c>
      <c r="E64" s="772" t="inlineStr">
        <is>
          <t>武汉鸿利源岩土工程劳务有限公司</t>
        </is>
      </c>
      <c r="F64" s="772" t="inlineStr">
        <is>
          <t>采购款</t>
        </is>
      </c>
      <c r="G64" s="773" t="inlineStr">
        <is>
          <t>供应商</t>
        </is>
      </c>
      <c r="H64" s="774" t="inlineStr">
        <is>
          <t>CNY</t>
        </is>
      </c>
      <c r="I64" s="785" t="n">
        <v>-92679.61</v>
      </c>
      <c r="J64" s="785" t="n"/>
      <c r="K64" s="776" t="n"/>
      <c r="L64" s="777" t="n"/>
      <c r="M64" s="778">
        <f>J64+L64</f>
        <v/>
      </c>
      <c r="N64" s="786" t="n">
        <v>-92679.61</v>
      </c>
      <c r="O64" s="780">
        <f>M64-N64</f>
        <v/>
      </c>
      <c r="P64" s="781">
        <f>IF(N64&lt;&gt;0,O64/N64,"")</f>
        <v/>
      </c>
      <c r="Q64" s="776" t="n"/>
      <c r="R64" s="775" t="n">
        <v>0</v>
      </c>
      <c r="S64" s="775" t="n">
        <v>0</v>
      </c>
      <c r="T64" s="775" t="n">
        <v>-92679.61</v>
      </c>
      <c r="U64" s="775" t="n">
        <v>0</v>
      </c>
      <c r="V64" s="775" t="n">
        <v>0</v>
      </c>
      <c r="W64" s="782">
        <f>SUM(R64:V64)-M64</f>
        <v/>
      </c>
      <c r="X64" s="783">
        <f>T64+U64+V64</f>
        <v/>
      </c>
    </row>
    <row r="65" hidden="1" ht="15.6" customHeight="1">
      <c r="B65" s="769" t="inlineStr">
        <is>
          <t>东风鸿远工程咨询有限公司</t>
        </is>
      </c>
      <c r="C65" s="770" t="inlineStr">
        <is>
          <t>2121</t>
        </is>
      </c>
      <c r="D65" s="772" t="inlineStr">
        <is>
          <t>E_613970</t>
        </is>
      </c>
      <c r="E65" s="772" t="inlineStr">
        <is>
          <t>襄阳君和盛建筑装饰设计工程有限公司</t>
        </is>
      </c>
      <c r="F65" s="772" t="inlineStr">
        <is>
          <t>采购款</t>
        </is>
      </c>
      <c r="G65" s="773" t="inlineStr">
        <is>
          <t>供应商</t>
        </is>
      </c>
      <c r="H65" s="774" t="inlineStr">
        <is>
          <t>CNY</t>
        </is>
      </c>
      <c r="I65" s="785" t="n">
        <v>-1030997.95</v>
      </c>
      <c r="J65" s="785" t="n"/>
      <c r="K65" s="776" t="n"/>
      <c r="L65" s="777" t="n"/>
      <c r="M65" s="778">
        <f>J65+L65</f>
        <v/>
      </c>
      <c r="N65" s="786" t="n">
        <v>-1030997.95</v>
      </c>
      <c r="O65" s="780">
        <f>M65-N65</f>
        <v/>
      </c>
      <c r="P65" s="781">
        <f>IF(N65&lt;&gt;0,O65/N65,"")</f>
        <v/>
      </c>
      <c r="Q65" s="776" t="n"/>
      <c r="R65" s="775" t="n">
        <v>-986997.95</v>
      </c>
      <c r="S65" s="775" t="n">
        <v>0</v>
      </c>
      <c r="T65" s="775" t="n">
        <v>0</v>
      </c>
      <c r="U65" s="775" t="n">
        <v>-44000</v>
      </c>
      <c r="V65" s="775" t="n">
        <v>0</v>
      </c>
      <c r="W65" s="782">
        <f>SUM(R65:V65)-M65</f>
        <v/>
      </c>
      <c r="X65" s="783">
        <f>T65+U65+V65</f>
        <v/>
      </c>
    </row>
    <row r="66" hidden="1" ht="15.6" customHeight="1">
      <c r="B66" s="769" t="inlineStr">
        <is>
          <t>东风鸿远工程咨询有限公司</t>
        </is>
      </c>
      <c r="C66" s="770" t="inlineStr">
        <is>
          <t>2121</t>
        </is>
      </c>
      <c r="D66" s="772" t="inlineStr">
        <is>
          <t>E_659630</t>
        </is>
      </c>
      <c r="E66" s="772" t="inlineStr">
        <is>
          <t>武汉炽炫数字科技有限公司</t>
        </is>
      </c>
      <c r="F66" s="772" t="inlineStr">
        <is>
          <t>采购款</t>
        </is>
      </c>
      <c r="G66" s="773" t="inlineStr">
        <is>
          <t>供应商</t>
        </is>
      </c>
      <c r="H66" s="774" t="inlineStr">
        <is>
          <t>CNY</t>
        </is>
      </c>
      <c r="I66" s="785" t="n">
        <v>-78178.22</v>
      </c>
      <c r="J66" s="785" t="n"/>
      <c r="K66" s="776" t="n"/>
      <c r="L66" s="777" t="n"/>
      <c r="M66" s="778">
        <f>J66+L66</f>
        <v/>
      </c>
      <c r="N66" s="786" t="n">
        <v>-78178.22</v>
      </c>
      <c r="O66" s="780">
        <f>M66-N66</f>
        <v/>
      </c>
      <c r="P66" s="781">
        <f>IF(N66&lt;&gt;0,O66/N66,"")</f>
        <v/>
      </c>
      <c r="Q66" s="776" t="n"/>
      <c r="R66" s="775" t="n">
        <v>-15000</v>
      </c>
      <c r="S66" s="775" t="n">
        <v>-63178.22</v>
      </c>
      <c r="T66" s="775" t="n">
        <v>0</v>
      </c>
      <c r="U66" s="775" t="n">
        <v>0</v>
      </c>
      <c r="V66" s="775" t="n">
        <v>0</v>
      </c>
      <c r="W66" s="782">
        <f>SUM(R66:V66)-M66</f>
        <v/>
      </c>
      <c r="X66" s="783">
        <f>T66+U66+V66</f>
        <v/>
      </c>
    </row>
    <row r="67" hidden="1" ht="15.6" customHeight="1">
      <c r="B67" s="769" t="inlineStr">
        <is>
          <t>东风鸿远工程咨询有限公司</t>
        </is>
      </c>
      <c r="C67" s="770" t="inlineStr">
        <is>
          <t>2121</t>
        </is>
      </c>
      <c r="D67" s="772" t="inlineStr">
        <is>
          <t>E_614419</t>
        </is>
      </c>
      <c r="E67" s="772" t="inlineStr">
        <is>
          <t>襄阳市城市规划设计院有限公司</t>
        </is>
      </c>
      <c r="F67" s="772" t="inlineStr">
        <is>
          <t>采购款</t>
        </is>
      </c>
      <c r="G67" s="773" t="inlineStr">
        <is>
          <t>供应商</t>
        </is>
      </c>
      <c r="H67" s="774" t="inlineStr">
        <is>
          <t>CNY</t>
        </is>
      </c>
      <c r="I67" s="785" t="n">
        <v>-2130188.68</v>
      </c>
      <c r="J67" s="785" t="n"/>
      <c r="K67" s="776" t="n"/>
      <c r="L67" s="777" t="n"/>
      <c r="M67" s="778">
        <f>J67+L67</f>
        <v/>
      </c>
      <c r="N67" s="786" t="n">
        <v>-2130188.68</v>
      </c>
      <c r="O67" s="780">
        <f>M67-N67</f>
        <v/>
      </c>
      <c r="P67" s="781">
        <f>IF(N67&lt;&gt;0,O67/N67,"")</f>
        <v/>
      </c>
      <c r="Q67" s="776" t="n"/>
      <c r="R67" s="775" t="n">
        <v>0</v>
      </c>
      <c r="S67" s="775" t="n">
        <v>-1130188.68</v>
      </c>
      <c r="T67" s="775" t="n">
        <v>-1000000</v>
      </c>
      <c r="U67" s="775" t="n">
        <v>0</v>
      </c>
      <c r="V67" s="775" t="n">
        <v>0</v>
      </c>
      <c r="W67" s="782">
        <f>SUM(R67:V67)-M67</f>
        <v/>
      </c>
      <c r="X67" s="783">
        <f>T67+U67+V67</f>
        <v/>
      </c>
    </row>
    <row r="68" hidden="1" ht="15.6" customHeight="1">
      <c r="B68" s="769" t="inlineStr">
        <is>
          <t>东风鸿远工程咨询有限公司</t>
        </is>
      </c>
      <c r="C68" s="770" t="inlineStr">
        <is>
          <t>2121</t>
        </is>
      </c>
      <c r="D68" s="772" t="inlineStr">
        <is>
          <t>E_614093</t>
        </is>
      </c>
      <c r="E68" s="772" t="inlineStr">
        <is>
          <t>襄阳市水利规划设计院有限公司</t>
        </is>
      </c>
      <c r="F68" s="772" t="inlineStr">
        <is>
          <t>采购款</t>
        </is>
      </c>
      <c r="G68" s="773" t="inlineStr">
        <is>
          <t>供应商</t>
        </is>
      </c>
      <c r="H68" s="774" t="inlineStr">
        <is>
          <t>CNY</t>
        </is>
      </c>
      <c r="I68" s="785" t="n">
        <v>-1314960.69</v>
      </c>
      <c r="J68" s="785" t="n"/>
      <c r="K68" s="776" t="n"/>
      <c r="L68" s="777" t="n"/>
      <c r="M68" s="778">
        <f>J68+L68</f>
        <v/>
      </c>
      <c r="N68" s="786" t="n">
        <v>-1314960.69</v>
      </c>
      <c r="O68" s="780">
        <f>M68-N68</f>
        <v/>
      </c>
      <c r="P68" s="781">
        <f>IF(N68&lt;&gt;0,O68/N68,"")</f>
        <v/>
      </c>
      <c r="Q68" s="776" t="n"/>
      <c r="R68" s="775" t="n">
        <v>-938490.5699999999</v>
      </c>
      <c r="S68" s="775" t="n">
        <v>0</v>
      </c>
      <c r="T68" s="775" t="n">
        <v>0</v>
      </c>
      <c r="U68" s="775" t="n">
        <v>-103347.57</v>
      </c>
      <c r="V68" s="775" t="n">
        <v>-273122.55</v>
      </c>
      <c r="W68" s="782">
        <f>SUM(R68:V68)-M68</f>
        <v/>
      </c>
      <c r="X68" s="783">
        <f>T68+U68+V68</f>
        <v/>
      </c>
    </row>
    <row r="69" hidden="1" ht="15.6" customHeight="1">
      <c r="B69" s="769" t="inlineStr">
        <is>
          <t>东风鸿远工程咨询有限公司</t>
        </is>
      </c>
      <c r="C69" s="770" t="inlineStr">
        <is>
          <t>2121</t>
        </is>
      </c>
      <c r="D69" s="772" t="inlineStr">
        <is>
          <t>E_187830</t>
        </is>
      </c>
      <c r="E69" s="772" t="inlineStr">
        <is>
          <t>十堰城控建筑设计有限公司</t>
        </is>
      </c>
      <c r="F69" s="772" t="inlineStr">
        <is>
          <t>采购款</t>
        </is>
      </c>
      <c r="G69" s="773" t="inlineStr">
        <is>
          <t>供应商</t>
        </is>
      </c>
      <c r="H69" s="774" t="inlineStr">
        <is>
          <t>CNY</t>
        </is>
      </c>
      <c r="I69" s="785" t="n">
        <v>0</v>
      </c>
      <c r="J69" s="785" t="n"/>
      <c r="K69" s="776" t="n"/>
      <c r="L69" s="777" t="n"/>
      <c r="M69" s="778">
        <f>J69+L69</f>
        <v/>
      </c>
      <c r="N69" s="786" t="n">
        <v>0</v>
      </c>
      <c r="O69" s="780">
        <f>M69-N69</f>
        <v/>
      </c>
      <c r="P69" s="781">
        <f>IF(N69&lt;&gt;0,O69/N69,"")</f>
        <v/>
      </c>
      <c r="Q69" s="776" t="n"/>
      <c r="R69" s="775" t="n">
        <v>0</v>
      </c>
      <c r="S69" s="775" t="n">
        <v>0</v>
      </c>
      <c r="T69" s="775" t="n">
        <v>0</v>
      </c>
      <c r="U69" s="775" t="n">
        <v>0</v>
      </c>
      <c r="V69" s="775" t="n">
        <v>0</v>
      </c>
      <c r="W69" s="782">
        <f>SUM(R69:V69)-M69</f>
        <v/>
      </c>
      <c r="X69" s="783">
        <f>T69+U69+V69</f>
        <v/>
      </c>
    </row>
    <row r="70" hidden="1" ht="15.6" customHeight="1">
      <c r="B70" s="769" t="inlineStr">
        <is>
          <t>东风鸿远工程咨询有限公司</t>
        </is>
      </c>
      <c r="C70" s="770" t="inlineStr">
        <is>
          <t>2121</t>
        </is>
      </c>
      <c r="D70" s="772" t="inlineStr">
        <is>
          <t>E_608276</t>
        </is>
      </c>
      <c r="E70" s="772" t="inlineStr">
        <is>
          <t>智汇城设计咨询集团有限公司襄阳分公司</t>
        </is>
      </c>
      <c r="F70" s="772" t="inlineStr">
        <is>
          <t>采购款</t>
        </is>
      </c>
      <c r="G70" s="773" t="inlineStr">
        <is>
          <t>供应商</t>
        </is>
      </c>
      <c r="H70" s="774" t="inlineStr">
        <is>
          <t>CNY</t>
        </is>
      </c>
      <c r="I70" s="785" t="n">
        <v>-184903.7</v>
      </c>
      <c r="J70" s="785" t="n"/>
      <c r="K70" s="776" t="n"/>
      <c r="L70" s="777" t="n"/>
      <c r="M70" s="778">
        <f>J70+L70</f>
        <v/>
      </c>
      <c r="N70" s="786" t="n">
        <v>-184903.7</v>
      </c>
      <c r="O70" s="780">
        <f>M70-N70</f>
        <v/>
      </c>
      <c r="P70" s="781">
        <f>IF(N70&lt;&gt;0,O70/N70,"")</f>
        <v/>
      </c>
      <c r="Q70" s="776" t="n"/>
      <c r="R70" s="775" t="n">
        <v>0</v>
      </c>
      <c r="S70" s="775" t="n">
        <v>0</v>
      </c>
      <c r="T70" s="775" t="n">
        <v>0</v>
      </c>
      <c r="U70" s="775" t="n">
        <v>-58752.18</v>
      </c>
      <c r="V70" s="775" t="n">
        <v>-126151.52</v>
      </c>
      <c r="W70" s="782">
        <f>SUM(R70:V70)-M70</f>
        <v/>
      </c>
      <c r="X70" s="783">
        <f>T70+U70+V70</f>
        <v/>
      </c>
    </row>
    <row r="71" hidden="1" ht="15.6" customHeight="1">
      <c r="B71" s="769" t="inlineStr">
        <is>
          <t>东风鸿远工程咨询有限公司</t>
        </is>
      </c>
      <c r="C71" s="770" t="inlineStr">
        <is>
          <t>2121</t>
        </is>
      </c>
      <c r="D71" s="772" t="inlineStr">
        <is>
          <t>E_597680</t>
        </is>
      </c>
      <c r="E71" s="772" t="inlineStr">
        <is>
          <t>罗婷婷</t>
        </is>
      </c>
      <c r="F71" s="772" t="inlineStr">
        <is>
          <t>采购款</t>
        </is>
      </c>
      <c r="G71" s="773" t="inlineStr">
        <is>
          <t>供应商</t>
        </is>
      </c>
      <c r="H71" s="774" t="inlineStr">
        <is>
          <t>CNY</t>
        </is>
      </c>
      <c r="I71" s="785" t="n">
        <v>0</v>
      </c>
      <c r="J71" s="785" t="n"/>
      <c r="K71" s="776" t="n"/>
      <c r="L71" s="777" t="n"/>
      <c r="M71" s="778">
        <f>J71+L71</f>
        <v/>
      </c>
      <c r="N71" s="786" t="n">
        <v>0</v>
      </c>
      <c r="O71" s="780">
        <f>M71-N71</f>
        <v/>
      </c>
      <c r="P71" s="781">
        <f>IF(N71&lt;&gt;0,O71/N71,"")</f>
        <v/>
      </c>
      <c r="Q71" s="776" t="n"/>
      <c r="R71" s="775" t="n">
        <v>0</v>
      </c>
      <c r="S71" s="775" t="n">
        <v>0</v>
      </c>
      <c r="T71" s="775" t="n">
        <v>0</v>
      </c>
      <c r="U71" s="775" t="n">
        <v>0</v>
      </c>
      <c r="V71" s="775" t="n">
        <v>0</v>
      </c>
      <c r="W71" s="782">
        <f>SUM(R71:V71)-M71</f>
        <v/>
      </c>
      <c r="X71" s="783">
        <f>T71+U71+V71</f>
        <v/>
      </c>
    </row>
    <row r="72" hidden="1" ht="15.6" customHeight="1">
      <c r="B72" s="769" t="inlineStr">
        <is>
          <t>东风鸿远工程咨询有限公司</t>
        </is>
      </c>
      <c r="C72" s="770" t="inlineStr">
        <is>
          <t>2121</t>
        </is>
      </c>
      <c r="D72" s="772" t="inlineStr">
        <is>
          <t>E_616709</t>
        </is>
      </c>
      <c r="E72" s="772" t="inlineStr">
        <is>
          <t>襄阳市高新技术开发区典雅造型建材厂</t>
        </is>
      </c>
      <c r="F72" s="772" t="inlineStr">
        <is>
          <t>采购款</t>
        </is>
      </c>
      <c r="G72" s="773" t="inlineStr">
        <is>
          <t>供应商</t>
        </is>
      </c>
      <c r="H72" s="774" t="inlineStr">
        <is>
          <t>CNY</t>
        </is>
      </c>
      <c r="I72" s="785" t="n">
        <v>-2691.26</v>
      </c>
      <c r="J72" s="785" t="n"/>
      <c r="K72" s="776" t="n"/>
      <c r="L72" s="777" t="n"/>
      <c r="M72" s="778">
        <f>J72+L72</f>
        <v/>
      </c>
      <c r="N72" s="786" t="n">
        <v>-2691.26</v>
      </c>
      <c r="O72" s="780">
        <f>M72-N72</f>
        <v/>
      </c>
      <c r="P72" s="781">
        <f>IF(N72&lt;&gt;0,O72/N72,"")</f>
        <v/>
      </c>
      <c r="Q72" s="776" t="n"/>
      <c r="R72" s="775" t="n">
        <v>0</v>
      </c>
      <c r="S72" s="775" t="n">
        <v>0</v>
      </c>
      <c r="T72" s="775" t="n">
        <v>0</v>
      </c>
      <c r="U72" s="775" t="n">
        <v>0</v>
      </c>
      <c r="V72" s="775" t="n">
        <v>-2691.26</v>
      </c>
      <c r="W72" s="782">
        <f>SUM(R72:V72)-M72</f>
        <v/>
      </c>
      <c r="X72" s="783">
        <f>T72+U72+V72</f>
        <v/>
      </c>
    </row>
    <row r="73" hidden="1" ht="15.6" customHeight="1">
      <c r="B73" s="769" t="inlineStr">
        <is>
          <t>东风鸿远工程咨询有限公司</t>
        </is>
      </c>
      <c r="C73" s="770" t="inlineStr">
        <is>
          <t>2121</t>
        </is>
      </c>
      <c r="D73" s="772" t="inlineStr">
        <is>
          <t>E_623193</t>
        </is>
      </c>
      <c r="E73" s="772" t="inlineStr">
        <is>
          <t>武汉奥创世纪建筑工程有限公司</t>
        </is>
      </c>
      <c r="F73" s="772" t="inlineStr">
        <is>
          <t>采购款</t>
        </is>
      </c>
      <c r="G73" s="773" t="inlineStr">
        <is>
          <t>供应商</t>
        </is>
      </c>
      <c r="H73" s="774" t="inlineStr">
        <is>
          <t>CNY</t>
        </is>
      </c>
      <c r="I73" s="785" t="n">
        <v>-236929.84</v>
      </c>
      <c r="J73" s="785" t="n"/>
      <c r="K73" s="776" t="n"/>
      <c r="L73" s="777" t="n"/>
      <c r="M73" s="778">
        <f>J73+L73</f>
        <v/>
      </c>
      <c r="N73" s="786" t="n">
        <v>-236929.84</v>
      </c>
      <c r="O73" s="780">
        <f>M73-N73</f>
        <v/>
      </c>
      <c r="P73" s="781">
        <f>IF(N73&lt;&gt;0,O73/N73,"")</f>
        <v/>
      </c>
      <c r="Q73" s="776" t="n"/>
      <c r="R73" s="775" t="n">
        <v>0</v>
      </c>
      <c r="S73" s="775" t="n">
        <v>0</v>
      </c>
      <c r="T73" s="775" t="n">
        <v>-132075.47</v>
      </c>
      <c r="U73" s="775" t="n">
        <v>-104854.37</v>
      </c>
      <c r="V73" s="775" t="n">
        <v>0</v>
      </c>
      <c r="W73" s="782">
        <f>SUM(R73:V73)-M73</f>
        <v/>
      </c>
      <c r="X73" s="783">
        <f>T73+U73+V73</f>
        <v/>
      </c>
    </row>
    <row r="74" hidden="1" ht="15.6" customHeight="1">
      <c r="B74" s="769" t="inlineStr">
        <is>
          <t>东风鸿远工程咨询有限公司</t>
        </is>
      </c>
      <c r="C74" s="770" t="inlineStr">
        <is>
          <t>2121</t>
        </is>
      </c>
      <c r="D74" s="772" t="inlineStr">
        <is>
          <t>E_614460</t>
        </is>
      </c>
      <c r="E74" s="772" t="inlineStr">
        <is>
          <t>湖北精准四维勘测技术有限公司</t>
        </is>
      </c>
      <c r="F74" s="772" t="inlineStr">
        <is>
          <t>采购款</t>
        </is>
      </c>
      <c r="G74" s="773" t="inlineStr">
        <is>
          <t>供应商</t>
        </is>
      </c>
      <c r="H74" s="774" t="inlineStr">
        <is>
          <t>CNY</t>
        </is>
      </c>
      <c r="I74" s="785" t="n">
        <v>-805973.7</v>
      </c>
      <c r="J74" s="785" t="n"/>
      <c r="K74" s="776" t="n"/>
      <c r="L74" s="777" t="n"/>
      <c r="M74" s="778">
        <f>J74+L74</f>
        <v/>
      </c>
      <c r="N74" s="786" t="n">
        <v>-805973.7</v>
      </c>
      <c r="O74" s="780">
        <f>M74-N74</f>
        <v/>
      </c>
      <c r="P74" s="781">
        <f>IF(N74&lt;&gt;0,O74/N74,"")</f>
        <v/>
      </c>
      <c r="Q74" s="776" t="n"/>
      <c r="R74" s="775" t="n">
        <v>-465297.12</v>
      </c>
      <c r="S74" s="775" t="n">
        <v>-255788</v>
      </c>
      <c r="T74" s="775" t="n">
        <v>-69354.60000000001</v>
      </c>
      <c r="U74" s="775" t="n">
        <v>-15533.98</v>
      </c>
      <c r="V74" s="775" t="n">
        <v>0</v>
      </c>
      <c r="W74" s="782">
        <f>SUM(R74:V74)-M74</f>
        <v/>
      </c>
      <c r="X74" s="783">
        <f>T74+U74+V74</f>
        <v/>
      </c>
    </row>
    <row r="75" hidden="1" ht="15.6" customHeight="1">
      <c r="B75" s="769" t="inlineStr">
        <is>
          <t>东风鸿远工程咨询有限公司</t>
        </is>
      </c>
      <c r="C75" s="770" t="inlineStr">
        <is>
          <t>2121</t>
        </is>
      </c>
      <c r="D75" s="772" t="inlineStr">
        <is>
          <t>E_614367</t>
        </is>
      </c>
      <c r="E75" s="772" t="inlineStr">
        <is>
          <t>襄阳惠创劳务服务有限公司</t>
        </is>
      </c>
      <c r="F75" s="772" t="inlineStr">
        <is>
          <t>采购款</t>
        </is>
      </c>
      <c r="G75" s="773" t="inlineStr">
        <is>
          <t>供应商</t>
        </is>
      </c>
      <c r="H75" s="774" t="inlineStr">
        <is>
          <t>CNY</t>
        </is>
      </c>
      <c r="I75" s="785" t="n">
        <v>-620979.1899999999</v>
      </c>
      <c r="J75" s="785" t="n"/>
      <c r="K75" s="776" t="n"/>
      <c r="L75" s="777" t="n"/>
      <c r="M75" s="778">
        <f>J75+L75</f>
        <v/>
      </c>
      <c r="N75" s="786" t="n">
        <v>-620979.1899999999</v>
      </c>
      <c r="O75" s="780">
        <f>M75-N75</f>
        <v/>
      </c>
      <c r="P75" s="781">
        <f>IF(N75&lt;&gt;0,O75/N75,"")</f>
        <v/>
      </c>
      <c r="Q75" s="776" t="n"/>
      <c r="R75" s="775" t="n">
        <v>-373560.59</v>
      </c>
      <c r="S75" s="775" t="n">
        <v>-41071.5</v>
      </c>
      <c r="T75" s="775" t="n">
        <v>-113912.5</v>
      </c>
      <c r="U75" s="775" t="n">
        <v>-92434.60000000001</v>
      </c>
      <c r="V75" s="775" t="n">
        <v>0</v>
      </c>
      <c r="W75" s="782">
        <f>SUM(R75:V75)-M75</f>
        <v/>
      </c>
      <c r="X75" s="783">
        <f>T75+U75+V75</f>
        <v/>
      </c>
    </row>
    <row r="76" hidden="1" ht="15.6" customHeight="1">
      <c r="B76" s="769" t="inlineStr">
        <is>
          <t>东风鸿远工程咨询有限公司</t>
        </is>
      </c>
      <c r="C76" s="770" t="inlineStr">
        <is>
          <t>2121</t>
        </is>
      </c>
      <c r="D76" s="772" t="inlineStr">
        <is>
          <t>E_607980</t>
        </is>
      </c>
      <c r="E76" s="772" t="inlineStr">
        <is>
          <t>武汉实为信息技术股份有限公司</t>
        </is>
      </c>
      <c r="F76" s="772" t="inlineStr">
        <is>
          <t>采购款</t>
        </is>
      </c>
      <c r="G76" s="773" t="inlineStr">
        <is>
          <t>供应商</t>
        </is>
      </c>
      <c r="H76" s="774" t="inlineStr">
        <is>
          <t>CNY</t>
        </is>
      </c>
      <c r="I76" s="785" t="n">
        <v>-300000</v>
      </c>
      <c r="J76" s="785" t="n"/>
      <c r="K76" s="776" t="n"/>
      <c r="L76" s="777" t="n"/>
      <c r="M76" s="778">
        <f>J76+L76</f>
        <v/>
      </c>
      <c r="N76" s="786" t="n">
        <v>-300000</v>
      </c>
      <c r="O76" s="780">
        <f>M76-N76</f>
        <v/>
      </c>
      <c r="P76" s="781">
        <f>IF(N76&lt;&gt;0,O76/N76,"")</f>
        <v/>
      </c>
      <c r="Q76" s="776" t="n"/>
      <c r="R76" s="775" t="n">
        <v>0</v>
      </c>
      <c r="S76" s="775" t="n">
        <v>0</v>
      </c>
      <c r="T76" s="775" t="n">
        <v>0</v>
      </c>
      <c r="U76" s="775" t="n">
        <v>0</v>
      </c>
      <c r="V76" s="775" t="n">
        <v>-300000</v>
      </c>
      <c r="W76" s="782">
        <f>SUM(R76:V76)-M76</f>
        <v/>
      </c>
      <c r="X76" s="783">
        <f>T76+U76+V76</f>
        <v/>
      </c>
    </row>
    <row r="77" hidden="1" ht="15.6" customHeight="1">
      <c r="B77" s="769" t="inlineStr">
        <is>
          <t>东风鸿远工程咨询有限公司</t>
        </is>
      </c>
      <c r="C77" s="770" t="inlineStr">
        <is>
          <t>2121</t>
        </is>
      </c>
      <c r="D77" s="772" t="inlineStr">
        <is>
          <t>E_624233</t>
        </is>
      </c>
      <c r="E77" s="772" t="inlineStr">
        <is>
          <t>襄阳市盛世达人力资源服务有限公司</t>
        </is>
      </c>
      <c r="F77" s="772" t="inlineStr">
        <is>
          <t>采购款</t>
        </is>
      </c>
      <c r="G77" s="773" t="inlineStr">
        <is>
          <t>供应商</t>
        </is>
      </c>
      <c r="H77" s="774" t="inlineStr">
        <is>
          <t>CNY</t>
        </is>
      </c>
      <c r="I77" s="785" t="n">
        <v>-600800.55</v>
      </c>
      <c r="J77" s="785" t="n"/>
      <c r="K77" s="776" t="n"/>
      <c r="L77" s="777" t="n"/>
      <c r="M77" s="778">
        <f>J77+L77</f>
        <v/>
      </c>
      <c r="N77" s="786" t="n">
        <v>-600800.55</v>
      </c>
      <c r="O77" s="780">
        <f>M77-N77</f>
        <v/>
      </c>
      <c r="P77" s="781">
        <f>IF(N77&lt;&gt;0,O77/N77,"")</f>
        <v/>
      </c>
      <c r="Q77" s="776" t="n"/>
      <c r="R77" s="775" t="n">
        <v>-87800.55</v>
      </c>
      <c r="S77" s="775" t="n">
        <v>0</v>
      </c>
      <c r="T77" s="775" t="n">
        <v>0</v>
      </c>
      <c r="U77" s="775" t="n">
        <v>-183000</v>
      </c>
      <c r="V77" s="775" t="n">
        <v>-330000</v>
      </c>
      <c r="W77" s="782">
        <f>SUM(R77:V77)-M77</f>
        <v/>
      </c>
      <c r="X77" s="783">
        <f>T77+U77+V77</f>
        <v/>
      </c>
    </row>
    <row r="78" hidden="1" ht="15.6" customHeight="1">
      <c r="B78" s="769" t="inlineStr">
        <is>
          <t>东风鸿远工程咨询有限公司</t>
        </is>
      </c>
      <c r="C78" s="770" t="inlineStr">
        <is>
          <t>2121</t>
        </is>
      </c>
      <c r="D78" s="772" t="inlineStr">
        <is>
          <t>E_633694</t>
        </is>
      </c>
      <c r="E78" s="772" t="inlineStr">
        <is>
          <t>中招名鼎(泉州)项目管理有限公司</t>
        </is>
      </c>
      <c r="F78" s="772" t="inlineStr">
        <is>
          <t>采购款</t>
        </is>
      </c>
      <c r="G78" s="773" t="inlineStr">
        <is>
          <t>供应商</t>
        </is>
      </c>
      <c r="H78" s="774" t="inlineStr">
        <is>
          <t>CNY</t>
        </is>
      </c>
      <c r="I78" s="785" t="n">
        <v>-74519.42</v>
      </c>
      <c r="J78" s="785" t="n"/>
      <c r="K78" s="776" t="n"/>
      <c r="L78" s="777" t="n"/>
      <c r="M78" s="778">
        <f>J78+L78</f>
        <v/>
      </c>
      <c r="N78" s="786" t="n">
        <v>-74519.42</v>
      </c>
      <c r="O78" s="780">
        <f>M78-N78</f>
        <v/>
      </c>
      <c r="P78" s="781">
        <f>IF(N78&lt;&gt;0,O78/N78,"")</f>
        <v/>
      </c>
      <c r="Q78" s="776" t="n"/>
      <c r="R78" s="775" t="n">
        <v>0</v>
      </c>
      <c r="S78" s="775" t="n">
        <v>0</v>
      </c>
      <c r="T78" s="775" t="n">
        <v>0</v>
      </c>
      <c r="U78" s="775" t="n">
        <v>-74519.42</v>
      </c>
      <c r="V78" s="775" t="n">
        <v>0</v>
      </c>
      <c r="W78" s="782">
        <f>SUM(R78:V78)-M78</f>
        <v/>
      </c>
      <c r="X78" s="783">
        <f>T78+U78+V78</f>
        <v/>
      </c>
    </row>
    <row r="79" hidden="1" ht="15.6" customHeight="1">
      <c r="B79" s="769" t="inlineStr">
        <is>
          <t>东风鸿远工程咨询有限公司</t>
        </is>
      </c>
      <c r="C79" s="770" t="inlineStr">
        <is>
          <t>2121</t>
        </is>
      </c>
      <c r="D79" s="772" t="inlineStr">
        <is>
          <t>E_789192</t>
        </is>
      </c>
      <c r="E79" s="772" t="inlineStr">
        <is>
          <t>保定宏棠资本工程咨询有限公司</t>
        </is>
      </c>
      <c r="F79" s="772" t="inlineStr">
        <is>
          <t>采购款</t>
        </is>
      </c>
      <c r="G79" s="773" t="inlineStr">
        <is>
          <t>供应商</t>
        </is>
      </c>
      <c r="H79" s="774" t="inlineStr">
        <is>
          <t>CNY</t>
        </is>
      </c>
      <c r="I79" s="785" t="n">
        <v>-164584.25</v>
      </c>
      <c r="J79" s="785" t="n"/>
      <c r="K79" s="776" t="n"/>
      <c r="L79" s="777" t="n"/>
      <c r="M79" s="778">
        <f>J79+L79</f>
        <v/>
      </c>
      <c r="N79" s="786" t="n">
        <v>-164584.25</v>
      </c>
      <c r="O79" s="780">
        <f>M79-N79</f>
        <v/>
      </c>
      <c r="P79" s="781">
        <f>IF(N79&lt;&gt;0,O79/N79,"")</f>
        <v/>
      </c>
      <c r="Q79" s="776" t="n"/>
      <c r="R79" s="775" t="n">
        <v>0</v>
      </c>
      <c r="S79" s="775" t="n">
        <v>-164584.25</v>
      </c>
      <c r="T79" s="775" t="n">
        <v>0</v>
      </c>
      <c r="U79" s="775" t="n">
        <v>0</v>
      </c>
      <c r="V79" s="775" t="n">
        <v>0</v>
      </c>
      <c r="W79" s="782">
        <f>SUM(R79:V79)-M79</f>
        <v/>
      </c>
      <c r="X79" s="783">
        <f>T79+U79+V79</f>
        <v/>
      </c>
    </row>
    <row r="80" hidden="1" ht="15.6" customHeight="1">
      <c r="B80" s="769" t="inlineStr">
        <is>
          <t>东风鸿远工程咨询有限公司</t>
        </is>
      </c>
      <c r="C80" s="770" t="inlineStr">
        <is>
          <t>2121</t>
        </is>
      </c>
      <c r="D80" s="772" t="inlineStr">
        <is>
          <t>E_621353</t>
        </is>
      </c>
      <c r="E80" s="772" t="inlineStr">
        <is>
          <t>杭州熠然文化创意有限公司</t>
        </is>
      </c>
      <c r="F80" s="772" t="inlineStr">
        <is>
          <t>采购款</t>
        </is>
      </c>
      <c r="G80" s="773" t="inlineStr">
        <is>
          <t>供应商</t>
        </is>
      </c>
      <c r="H80" s="774" t="inlineStr">
        <is>
          <t>CNY</t>
        </is>
      </c>
      <c r="I80" s="785" t="n">
        <v>0</v>
      </c>
      <c r="J80" s="785" t="n"/>
      <c r="K80" s="776" t="n"/>
      <c r="L80" s="777" t="n"/>
      <c r="M80" s="778">
        <f>J80+L80</f>
        <v/>
      </c>
      <c r="N80" s="786" t="n">
        <v>0</v>
      </c>
      <c r="O80" s="780">
        <f>M80-N80</f>
        <v/>
      </c>
      <c r="P80" s="781">
        <f>IF(N80&lt;&gt;0,O80/N80,"")</f>
        <v/>
      </c>
      <c r="Q80" s="776" t="n"/>
      <c r="R80" s="775" t="n">
        <v>0</v>
      </c>
      <c r="S80" s="775" t="n">
        <v>0</v>
      </c>
      <c r="T80" s="775" t="n">
        <v>0</v>
      </c>
      <c r="U80" s="775" t="n">
        <v>0</v>
      </c>
      <c r="V80" s="775" t="n">
        <v>0</v>
      </c>
      <c r="W80" s="782">
        <f>SUM(R80:V80)-M80</f>
        <v/>
      </c>
      <c r="X80" s="783">
        <f>T80+U80+V80</f>
        <v/>
      </c>
    </row>
    <row r="81" hidden="1" ht="15.6" customHeight="1">
      <c r="B81" s="769" t="inlineStr">
        <is>
          <t>东风鸿远工程咨询有限公司</t>
        </is>
      </c>
      <c r="C81" s="770" t="inlineStr">
        <is>
          <t>2121</t>
        </is>
      </c>
      <c r="D81" s="772" t="inlineStr">
        <is>
          <t>E_169054</t>
        </is>
      </c>
      <c r="E81" s="772" t="inlineStr">
        <is>
          <t>湖北华炬会计师事务有限公司</t>
        </is>
      </c>
      <c r="F81" s="772" t="inlineStr">
        <is>
          <t>采购款</t>
        </is>
      </c>
      <c r="G81" s="773" t="inlineStr">
        <is>
          <t>供应商</t>
        </is>
      </c>
      <c r="H81" s="774" t="inlineStr">
        <is>
          <t>CNY</t>
        </is>
      </c>
      <c r="I81" s="785" t="n">
        <v>-42000</v>
      </c>
      <c r="J81" s="785" t="n"/>
      <c r="K81" s="776" t="n"/>
      <c r="L81" s="777" t="n"/>
      <c r="M81" s="778">
        <f>J81+L81</f>
        <v/>
      </c>
      <c r="N81" s="786" t="n">
        <v>-42000</v>
      </c>
      <c r="O81" s="780">
        <f>M81-N81</f>
        <v/>
      </c>
      <c r="P81" s="781">
        <f>IF(N81&lt;&gt;0,O81/N81,"")</f>
        <v/>
      </c>
      <c r="Q81" s="776" t="n"/>
      <c r="R81" s="775" t="n">
        <v>-42000</v>
      </c>
      <c r="S81" s="775" t="n">
        <v>0</v>
      </c>
      <c r="T81" s="775" t="n">
        <v>0</v>
      </c>
      <c r="U81" s="775" t="n">
        <v>0</v>
      </c>
      <c r="V81" s="775" t="n">
        <v>0</v>
      </c>
      <c r="W81" s="782">
        <f>SUM(R81:V81)-M81</f>
        <v/>
      </c>
      <c r="X81" s="783">
        <f>T81+U81+V81</f>
        <v/>
      </c>
    </row>
    <row r="82" hidden="1" ht="15.6" customHeight="1">
      <c r="B82" s="769" t="inlineStr">
        <is>
          <t>东风鸿远工程咨询有限公司</t>
        </is>
      </c>
      <c r="C82" s="770" t="inlineStr">
        <is>
          <t>2121</t>
        </is>
      </c>
      <c r="D82" s="772" t="inlineStr">
        <is>
          <t>E_614609</t>
        </is>
      </c>
      <c r="E82" s="772" t="inlineStr">
        <is>
          <t>襄阳科力电气化工程有限公司</t>
        </is>
      </c>
      <c r="F82" s="772" t="inlineStr">
        <is>
          <t>采购款</t>
        </is>
      </c>
      <c r="G82" s="773" t="inlineStr">
        <is>
          <t>供应商</t>
        </is>
      </c>
      <c r="H82" s="774" t="inlineStr">
        <is>
          <t>CNY</t>
        </is>
      </c>
      <c r="I82" s="785" t="n">
        <v>-39200.57</v>
      </c>
      <c r="J82" s="785" t="n"/>
      <c r="K82" s="776" t="n"/>
      <c r="L82" s="777" t="n"/>
      <c r="M82" s="778">
        <f>J82+L82</f>
        <v/>
      </c>
      <c r="N82" s="786" t="n">
        <v>-39200.57</v>
      </c>
      <c r="O82" s="780">
        <f>M82-N82</f>
        <v/>
      </c>
      <c r="P82" s="781">
        <f>IF(N82&lt;&gt;0,O82/N82,"")</f>
        <v/>
      </c>
      <c r="Q82" s="776" t="n"/>
      <c r="R82" s="775" t="n">
        <v>-4131.07</v>
      </c>
      <c r="S82" s="775" t="n">
        <v>-6306.6</v>
      </c>
      <c r="T82" s="775" t="n">
        <v>-28762.9</v>
      </c>
      <c r="U82" s="775" t="n">
        <v>0</v>
      </c>
      <c r="V82" s="775" t="n">
        <v>0</v>
      </c>
      <c r="W82" s="782">
        <f>SUM(R82:V82)-M82</f>
        <v/>
      </c>
      <c r="X82" s="783">
        <f>T82+U82+V82</f>
        <v/>
      </c>
    </row>
    <row r="83" hidden="1" ht="15.6" customHeight="1">
      <c r="B83" s="769" t="inlineStr">
        <is>
          <t>东风鸿远工程咨询有限公司</t>
        </is>
      </c>
      <c r="C83" s="770" t="inlineStr">
        <is>
          <t>2121</t>
        </is>
      </c>
      <c r="D83" s="772" t="inlineStr">
        <is>
          <t>E_613535</t>
        </is>
      </c>
      <c r="E83" s="772" t="inlineStr">
        <is>
          <t>湖北省林业勘察设计院</t>
        </is>
      </c>
      <c r="F83" s="772" t="inlineStr">
        <is>
          <t>采购款</t>
        </is>
      </c>
      <c r="G83" s="773" t="inlineStr">
        <is>
          <t>供应商</t>
        </is>
      </c>
      <c r="H83" s="774" t="inlineStr">
        <is>
          <t>CNY</t>
        </is>
      </c>
      <c r="I83" s="785" t="n">
        <v>0</v>
      </c>
      <c r="J83" s="785" t="n"/>
      <c r="K83" s="776" t="n"/>
      <c r="L83" s="777" t="n"/>
      <c r="M83" s="778">
        <f>J83+L83</f>
        <v/>
      </c>
      <c r="N83" s="786" t="n">
        <v>0</v>
      </c>
      <c r="O83" s="780">
        <f>M83-N83</f>
        <v/>
      </c>
      <c r="P83" s="781">
        <f>IF(N83&lt;&gt;0,O83/N83,"")</f>
        <v/>
      </c>
      <c r="Q83" s="776" t="n"/>
      <c r="R83" s="775" t="n">
        <v>0</v>
      </c>
      <c r="S83" s="775" t="n">
        <v>0</v>
      </c>
      <c r="T83" s="775" t="n">
        <v>0</v>
      </c>
      <c r="U83" s="775" t="n">
        <v>0</v>
      </c>
      <c r="V83" s="775" t="n">
        <v>0</v>
      </c>
      <c r="W83" s="782">
        <f>SUM(R83:V83)-M83</f>
        <v/>
      </c>
      <c r="X83" s="783">
        <f>T83+U83+V83</f>
        <v/>
      </c>
    </row>
    <row r="84" hidden="1" ht="15.6" customHeight="1">
      <c r="B84" s="769" t="inlineStr">
        <is>
          <t>东风鸿远工程咨询有限公司</t>
        </is>
      </c>
      <c r="C84" s="770" t="inlineStr">
        <is>
          <t>2121</t>
        </is>
      </c>
      <c r="D84" s="772" t="inlineStr">
        <is>
          <t>E_614590</t>
        </is>
      </c>
      <c r="E84" s="772" t="inlineStr">
        <is>
          <t>襄阳强力蒙劳务有限公司</t>
        </is>
      </c>
      <c r="F84" s="772" t="inlineStr">
        <is>
          <t>采购款</t>
        </is>
      </c>
      <c r="G84" s="773" t="inlineStr">
        <is>
          <t>供应商</t>
        </is>
      </c>
      <c r="H84" s="774" t="inlineStr">
        <is>
          <t>CNY</t>
        </is>
      </c>
      <c r="I84" s="785" t="n">
        <v>-301214.85</v>
      </c>
      <c r="J84" s="785" t="n"/>
      <c r="K84" s="776" t="n"/>
      <c r="L84" s="777" t="n"/>
      <c r="M84" s="778">
        <f>J84+L84</f>
        <v/>
      </c>
      <c r="N84" s="786" t="n">
        <v>-301214.85</v>
      </c>
      <c r="O84" s="780">
        <f>M84-N84</f>
        <v/>
      </c>
      <c r="P84" s="781">
        <f>IF(N84&lt;&gt;0,O84/N84,"")</f>
        <v/>
      </c>
      <c r="Q84" s="776" t="n"/>
      <c r="R84" s="775" t="n">
        <v>-93601.94</v>
      </c>
      <c r="S84" s="775" t="n">
        <v>-207612.91</v>
      </c>
      <c r="T84" s="775" t="n">
        <v>0</v>
      </c>
      <c r="U84" s="775" t="n">
        <v>0</v>
      </c>
      <c r="V84" s="775" t="n">
        <v>0</v>
      </c>
      <c r="W84" s="782">
        <f>SUM(R84:V84)-M84</f>
        <v/>
      </c>
      <c r="X84" s="783">
        <f>T84+U84+V84</f>
        <v/>
      </c>
    </row>
    <row r="85" hidden="1" ht="15.6" customHeight="1">
      <c r="B85" s="769" t="inlineStr">
        <is>
          <t>东风鸿远工程咨询有限公司</t>
        </is>
      </c>
      <c r="C85" s="770" t="inlineStr">
        <is>
          <t>2121</t>
        </is>
      </c>
      <c r="D85" s="772" t="inlineStr">
        <is>
          <t>E_562760</t>
        </is>
      </c>
      <c r="E85" s="772" t="inlineStr">
        <is>
          <t>武汉博理建筑工程质量检测有限公司</t>
        </is>
      </c>
      <c r="F85" s="772" t="inlineStr">
        <is>
          <t>采购款</t>
        </is>
      </c>
      <c r="G85" s="773" t="inlineStr">
        <is>
          <t>供应商</t>
        </is>
      </c>
      <c r="H85" s="774" t="inlineStr">
        <is>
          <t>CNY</t>
        </is>
      </c>
      <c r="I85" s="785" t="n">
        <v>0</v>
      </c>
      <c r="J85" s="785" t="n"/>
      <c r="K85" s="776" t="n"/>
      <c r="L85" s="777" t="n"/>
      <c r="M85" s="778">
        <f>J85+L85</f>
        <v/>
      </c>
      <c r="N85" s="786" t="n">
        <v>0</v>
      </c>
      <c r="O85" s="780">
        <f>M85-N85</f>
        <v/>
      </c>
      <c r="P85" s="781">
        <f>IF(N85&lt;&gt;0,O85/N85,"")</f>
        <v/>
      </c>
      <c r="Q85" s="776" t="n"/>
      <c r="R85" s="775" t="n">
        <v>0</v>
      </c>
      <c r="S85" s="775" t="n">
        <v>0</v>
      </c>
      <c r="T85" s="775" t="n">
        <v>0</v>
      </c>
      <c r="U85" s="775" t="n">
        <v>0</v>
      </c>
      <c r="V85" s="775" t="n">
        <v>0</v>
      </c>
      <c r="W85" s="782">
        <f>SUM(R85:V85)-M85</f>
        <v/>
      </c>
      <c r="X85" s="783">
        <f>T85+U85+V85</f>
        <v/>
      </c>
    </row>
    <row r="86" hidden="1" ht="15.6" customHeight="1">
      <c r="B86" s="769" t="inlineStr">
        <is>
          <t>东风鸿远工程咨询有限公司</t>
        </is>
      </c>
      <c r="C86" s="770" t="inlineStr">
        <is>
          <t>2121</t>
        </is>
      </c>
      <c r="D86" s="772" t="inlineStr">
        <is>
          <t>E_623978</t>
        </is>
      </c>
      <c r="E86" s="772" t="inlineStr">
        <is>
          <t>武汉天绘时空科技有限公司</t>
        </is>
      </c>
      <c r="F86" s="772" t="inlineStr">
        <is>
          <t>采购款</t>
        </is>
      </c>
      <c r="G86" s="773" t="inlineStr">
        <is>
          <t>供应商</t>
        </is>
      </c>
      <c r="H86" s="774" t="inlineStr">
        <is>
          <t>CNY</t>
        </is>
      </c>
      <c r="I86" s="785" t="n">
        <v>-13515</v>
      </c>
      <c r="J86" s="785" t="n"/>
      <c r="K86" s="776" t="n"/>
      <c r="L86" s="777" t="n"/>
      <c r="M86" s="778">
        <f>J86+L86</f>
        <v/>
      </c>
      <c r="N86" s="786" t="n">
        <v>-13515</v>
      </c>
      <c r="O86" s="780">
        <f>M86-N86</f>
        <v/>
      </c>
      <c r="P86" s="781">
        <f>IF(N86&lt;&gt;0,O86/N86,"")</f>
        <v/>
      </c>
      <c r="Q86" s="776" t="n"/>
      <c r="R86" s="775" t="n">
        <v>0</v>
      </c>
      <c r="S86" s="775" t="n">
        <v>-5280</v>
      </c>
      <c r="T86" s="775" t="n">
        <v>-8235</v>
      </c>
      <c r="U86" s="775" t="n">
        <v>0</v>
      </c>
      <c r="V86" s="775" t="n">
        <v>0</v>
      </c>
      <c r="W86" s="782">
        <f>SUM(R86:V86)-M86</f>
        <v/>
      </c>
      <c r="X86" s="783">
        <f>T86+U86+V86</f>
        <v/>
      </c>
    </row>
    <row r="87" hidden="1" ht="15.6" customHeight="1">
      <c r="B87" s="769" t="inlineStr">
        <is>
          <t>东风鸿远工程咨询有限公司</t>
        </is>
      </c>
      <c r="C87" s="770" t="inlineStr">
        <is>
          <t>2121</t>
        </is>
      </c>
      <c r="D87" s="772" t="inlineStr">
        <is>
          <t>E_612535</t>
        </is>
      </c>
      <c r="E87" s="772" t="inlineStr">
        <is>
          <t>艾比蒙（武汉）信息技术有限公司</t>
        </is>
      </c>
      <c r="F87" s="772" t="inlineStr">
        <is>
          <t>采购款</t>
        </is>
      </c>
      <c r="G87" s="773" t="inlineStr">
        <is>
          <t>供应商</t>
        </is>
      </c>
      <c r="H87" s="774" t="inlineStr">
        <is>
          <t>CNY</t>
        </is>
      </c>
      <c r="I87" s="785" t="n">
        <v>-14563.11</v>
      </c>
      <c r="J87" s="785" t="n"/>
      <c r="K87" s="776" t="n"/>
      <c r="L87" s="777" t="n"/>
      <c r="M87" s="778">
        <f>J87+L87</f>
        <v/>
      </c>
      <c r="N87" s="786" t="n">
        <v>-14563.11</v>
      </c>
      <c r="O87" s="780">
        <f>M87-N87</f>
        <v/>
      </c>
      <c r="P87" s="781">
        <f>IF(N87&lt;&gt;0,O87/N87,"")</f>
        <v/>
      </c>
      <c r="Q87" s="776" t="n"/>
      <c r="R87" s="775" t="n">
        <v>0</v>
      </c>
      <c r="S87" s="775" t="n">
        <v>0</v>
      </c>
      <c r="T87" s="775" t="n">
        <v>0</v>
      </c>
      <c r="U87" s="775" t="n">
        <v>0</v>
      </c>
      <c r="V87" s="775" t="n">
        <v>-14563.11</v>
      </c>
      <c r="W87" s="782">
        <f>SUM(R87:V87)-M87</f>
        <v/>
      </c>
      <c r="X87" s="783">
        <f>T87+U87+V87</f>
        <v/>
      </c>
    </row>
    <row r="88" hidden="1" ht="15.6" customHeight="1">
      <c r="B88" s="769" t="inlineStr">
        <is>
          <t>东风鸿远工程咨询有限公司</t>
        </is>
      </c>
      <c r="C88" s="770" t="inlineStr">
        <is>
          <t>2121</t>
        </is>
      </c>
      <c r="D88" s="772" t="inlineStr">
        <is>
          <t>E_668815</t>
        </is>
      </c>
      <c r="E88" s="772" t="inlineStr">
        <is>
          <t>亳州市谯城区恒研建筑设计中心</t>
        </is>
      </c>
      <c r="F88" s="772" t="inlineStr">
        <is>
          <t>采购款</t>
        </is>
      </c>
      <c r="G88" s="773" t="inlineStr">
        <is>
          <t>供应商</t>
        </is>
      </c>
      <c r="H88" s="774" t="inlineStr">
        <is>
          <t>CNY</t>
        </is>
      </c>
      <c r="I88" s="785" t="n">
        <v>-94289.94</v>
      </c>
      <c r="J88" s="785" t="n"/>
      <c r="K88" s="776" t="n"/>
      <c r="L88" s="777" t="n"/>
      <c r="M88" s="778">
        <f>J88+L88</f>
        <v/>
      </c>
      <c r="N88" s="786" t="n">
        <v>-94289.94</v>
      </c>
      <c r="O88" s="780">
        <f>M88-N88</f>
        <v/>
      </c>
      <c r="P88" s="781">
        <f>IF(N88&lt;&gt;0,O88/N88,"")</f>
        <v/>
      </c>
      <c r="Q88" s="776" t="n"/>
      <c r="R88" s="775" t="n">
        <v>0</v>
      </c>
      <c r="S88" s="775" t="n">
        <v>-69422.61</v>
      </c>
      <c r="T88" s="775" t="n">
        <v>-24867.33</v>
      </c>
      <c r="U88" s="775" t="n">
        <v>0</v>
      </c>
      <c r="V88" s="775" t="n">
        <v>0</v>
      </c>
      <c r="W88" s="782">
        <f>SUM(R88:V88)-M88</f>
        <v/>
      </c>
      <c r="X88" s="783">
        <f>T88+U88+V88</f>
        <v/>
      </c>
    </row>
    <row r="89" hidden="1" ht="15.6" customHeight="1">
      <c r="B89" s="769" t="inlineStr">
        <is>
          <t>东风鸿远工程咨询有限公司</t>
        </is>
      </c>
      <c r="C89" s="770" t="inlineStr">
        <is>
          <t>2121</t>
        </is>
      </c>
      <c r="D89" s="772" t="inlineStr">
        <is>
          <t>E_625279</t>
        </is>
      </c>
      <c r="E89" s="772" t="inlineStr">
        <is>
          <t>汉川市宏昌劳务有限责任公司</t>
        </is>
      </c>
      <c r="F89" s="772" t="inlineStr">
        <is>
          <t>采购款</t>
        </is>
      </c>
      <c r="G89" s="773" t="inlineStr">
        <is>
          <t>供应商</t>
        </is>
      </c>
      <c r="H89" s="774" t="inlineStr">
        <is>
          <t>CNY</t>
        </is>
      </c>
      <c r="I89" s="785" t="n">
        <v>-270000</v>
      </c>
      <c r="J89" s="785" t="n"/>
      <c r="K89" s="776" t="n"/>
      <c r="L89" s="777" t="n"/>
      <c r="M89" s="778">
        <f>J89+L89</f>
        <v/>
      </c>
      <c r="N89" s="786" t="n">
        <v>-270000</v>
      </c>
      <c r="O89" s="780">
        <f>M89-N89</f>
        <v/>
      </c>
      <c r="P89" s="781">
        <f>IF(N89&lt;&gt;0,O89/N89,"")</f>
        <v/>
      </c>
      <c r="Q89" s="776" t="n"/>
      <c r="R89" s="775" t="n">
        <v>0</v>
      </c>
      <c r="S89" s="775" t="n">
        <v>0</v>
      </c>
      <c r="T89" s="775" t="n">
        <v>0</v>
      </c>
      <c r="U89" s="775" t="n">
        <v>-270000</v>
      </c>
      <c r="V89" s="775" t="n">
        <v>0</v>
      </c>
      <c r="W89" s="782">
        <f>SUM(R89:V89)-M89</f>
        <v/>
      </c>
      <c r="X89" s="783">
        <f>T89+U89+V89</f>
        <v/>
      </c>
    </row>
    <row r="90" hidden="1" ht="15.6" customHeight="1">
      <c r="B90" s="769" t="inlineStr">
        <is>
          <t>东风鸿远工程咨询有限公司</t>
        </is>
      </c>
      <c r="C90" s="770" t="inlineStr">
        <is>
          <t>2121</t>
        </is>
      </c>
      <c r="D90" s="772" t="inlineStr">
        <is>
          <t>E_624966</t>
        </is>
      </c>
      <c r="E90" s="772" t="inlineStr">
        <is>
          <t>湖北省华亿达建筑劳务有限公司</t>
        </is>
      </c>
      <c r="F90" s="772" t="inlineStr">
        <is>
          <t>采购款</t>
        </is>
      </c>
      <c r="G90" s="773" t="inlineStr">
        <is>
          <t>供应商</t>
        </is>
      </c>
      <c r="H90" s="774" t="inlineStr">
        <is>
          <t>CNY</t>
        </is>
      </c>
      <c r="I90" s="785" t="n">
        <v>-363847.77</v>
      </c>
      <c r="J90" s="785" t="n"/>
      <c r="K90" s="776" t="n"/>
      <c r="L90" s="777" t="n"/>
      <c r="M90" s="778">
        <f>J90+L90</f>
        <v/>
      </c>
      <c r="N90" s="786" t="n">
        <v>-363847.77</v>
      </c>
      <c r="O90" s="780">
        <f>M90-N90</f>
        <v/>
      </c>
      <c r="P90" s="781">
        <f>IF(N90&lt;&gt;0,O90/N90,"")</f>
        <v/>
      </c>
      <c r="Q90" s="776" t="n"/>
      <c r="R90" s="775" t="n">
        <v>-323263.12</v>
      </c>
      <c r="S90" s="775" t="n">
        <v>-19492.55</v>
      </c>
      <c r="T90" s="775" t="n">
        <v>-21092.1</v>
      </c>
      <c r="U90" s="775" t="n">
        <v>0</v>
      </c>
      <c r="V90" s="775" t="n">
        <v>0</v>
      </c>
      <c r="W90" s="782">
        <f>SUM(R90:V90)-M90</f>
        <v/>
      </c>
      <c r="X90" s="783">
        <f>T90+U90+V90</f>
        <v/>
      </c>
    </row>
    <row r="91" hidden="1" ht="15.6" customHeight="1">
      <c r="B91" s="769" t="inlineStr">
        <is>
          <t>东风鸿远工程咨询有限公司</t>
        </is>
      </c>
      <c r="C91" s="770" t="inlineStr">
        <is>
          <t>2121</t>
        </is>
      </c>
      <c r="D91" s="772" t="inlineStr">
        <is>
          <t>E_599731</t>
        </is>
      </c>
      <c r="E91" s="772" t="inlineStr">
        <is>
          <t>江苏华里设计有限公司</t>
        </is>
      </c>
      <c r="F91" s="772" t="inlineStr">
        <is>
          <t>采购款</t>
        </is>
      </c>
      <c r="G91" s="773" t="inlineStr">
        <is>
          <t>供应商</t>
        </is>
      </c>
      <c r="H91" s="774" t="inlineStr">
        <is>
          <t>CNY</t>
        </is>
      </c>
      <c r="I91" s="785" t="n">
        <v>-55301.64</v>
      </c>
      <c r="J91" s="785" t="n"/>
      <c r="K91" s="776" t="n"/>
      <c r="L91" s="777" t="n"/>
      <c r="M91" s="778">
        <f>J91+L91</f>
        <v/>
      </c>
      <c r="N91" s="786" t="n">
        <v>-55301.64</v>
      </c>
      <c r="O91" s="780">
        <f>M91-N91</f>
        <v/>
      </c>
      <c r="P91" s="781">
        <f>IF(N91&lt;&gt;0,O91/N91,"")</f>
        <v/>
      </c>
      <c r="Q91" s="776" t="n"/>
      <c r="R91" s="775" t="n">
        <v>-55301.64</v>
      </c>
      <c r="S91" s="775" t="n">
        <v>0</v>
      </c>
      <c r="T91" s="775" t="n">
        <v>0</v>
      </c>
      <c r="U91" s="775" t="n">
        <v>0</v>
      </c>
      <c r="V91" s="775" t="n">
        <v>0</v>
      </c>
      <c r="W91" s="782">
        <f>SUM(R91:V91)-M91</f>
        <v/>
      </c>
      <c r="X91" s="783">
        <f>T91+U91+V91</f>
        <v/>
      </c>
    </row>
    <row r="92" hidden="1" ht="15.6" customHeight="1">
      <c r="B92" s="769" t="inlineStr">
        <is>
          <t>东风鸿远工程咨询有限公司</t>
        </is>
      </c>
      <c r="C92" s="770" t="inlineStr">
        <is>
          <t>2121</t>
        </is>
      </c>
      <c r="D92" s="772" t="inlineStr">
        <is>
          <t>E_600189</t>
        </is>
      </c>
      <c r="E92" s="772" t="inlineStr">
        <is>
          <t>湖北襄投物业管理有限公司</t>
        </is>
      </c>
      <c r="F92" s="772" t="inlineStr">
        <is>
          <t>采购款</t>
        </is>
      </c>
      <c r="G92" s="773" t="inlineStr">
        <is>
          <t>供应商</t>
        </is>
      </c>
      <c r="H92" s="774" t="inlineStr">
        <is>
          <t>CNY</t>
        </is>
      </c>
      <c r="I92" s="785" t="n">
        <v>-213710.64</v>
      </c>
      <c r="J92" s="785" t="n"/>
      <c r="K92" s="776" t="n"/>
      <c r="L92" s="777" t="n"/>
      <c r="M92" s="778">
        <f>J92+L92</f>
        <v/>
      </c>
      <c r="N92" s="786" t="n">
        <v>-213710.64</v>
      </c>
      <c r="O92" s="780">
        <f>M92-N92</f>
        <v/>
      </c>
      <c r="P92" s="781">
        <f>IF(N92&lt;&gt;0,O92/N92,"")</f>
        <v/>
      </c>
      <c r="Q92" s="776" t="n"/>
      <c r="R92" s="775" t="n">
        <v>-213710.64</v>
      </c>
      <c r="S92" s="775" t="n">
        <v>0</v>
      </c>
      <c r="T92" s="775" t="n">
        <v>0</v>
      </c>
      <c r="U92" s="775" t="n">
        <v>0</v>
      </c>
      <c r="V92" s="775" t="n">
        <v>0</v>
      </c>
      <c r="W92" s="782">
        <f>SUM(R92:V92)-M92</f>
        <v/>
      </c>
      <c r="X92" s="783">
        <f>T92+U92+V92</f>
        <v/>
      </c>
    </row>
    <row r="93" hidden="1" ht="15.6" customHeight="1">
      <c r="B93" s="769" t="inlineStr">
        <is>
          <t>东风鸿远工程咨询有限公司</t>
        </is>
      </c>
      <c r="C93" s="770" t="inlineStr">
        <is>
          <t>2121</t>
        </is>
      </c>
      <c r="D93" s="772" t="inlineStr">
        <is>
          <t>E_614306</t>
        </is>
      </c>
      <c r="E93" s="772" t="inlineStr">
        <is>
          <t>湖北铭盛博工程设计咨询有限公司</t>
        </is>
      </c>
      <c r="F93" s="772" t="inlineStr">
        <is>
          <t>采购款</t>
        </is>
      </c>
      <c r="G93" s="773" t="inlineStr">
        <is>
          <t>供应商</t>
        </is>
      </c>
      <c r="H93" s="774" t="inlineStr">
        <is>
          <t>CNY</t>
        </is>
      </c>
      <c r="I93" s="785" t="n">
        <v>-24271.84</v>
      </c>
      <c r="J93" s="785" t="n"/>
      <c r="K93" s="776" t="n"/>
      <c r="L93" s="777" t="n"/>
      <c r="M93" s="778">
        <f>J93+L93</f>
        <v/>
      </c>
      <c r="N93" s="786" t="n">
        <v>-24271.84</v>
      </c>
      <c r="O93" s="780">
        <f>M93-N93</f>
        <v/>
      </c>
      <c r="P93" s="781">
        <f>IF(N93&lt;&gt;0,O93/N93,"")</f>
        <v/>
      </c>
      <c r="Q93" s="776" t="n"/>
      <c r="R93" s="775" t="n">
        <v>0</v>
      </c>
      <c r="S93" s="775" t="n">
        <v>0</v>
      </c>
      <c r="T93" s="775" t="n">
        <v>0</v>
      </c>
      <c r="U93" s="775" t="n">
        <v>0</v>
      </c>
      <c r="V93" s="775" t="n">
        <v>-24271.84</v>
      </c>
      <c r="W93" s="782">
        <f>SUM(R93:V93)-M93</f>
        <v/>
      </c>
      <c r="X93" s="783">
        <f>T93+U93+V93</f>
        <v/>
      </c>
    </row>
    <row r="94" hidden="1" ht="15.6" customHeight="1">
      <c r="B94" s="769" t="inlineStr">
        <is>
          <t>东风鸿远工程咨询有限公司</t>
        </is>
      </c>
      <c r="C94" s="770" t="inlineStr">
        <is>
          <t>2121</t>
        </is>
      </c>
      <c r="D94" s="772" t="inlineStr">
        <is>
          <t>E_668731</t>
        </is>
      </c>
      <c r="E94" s="772" t="inlineStr">
        <is>
          <t>武汉江城建设咨询有限公司谷城分公司</t>
        </is>
      </c>
      <c r="F94" s="772" t="inlineStr">
        <is>
          <t>采购款</t>
        </is>
      </c>
      <c r="G94" s="773" t="inlineStr">
        <is>
          <t>供应商</t>
        </is>
      </c>
      <c r="H94" s="774" t="inlineStr">
        <is>
          <t>CNY</t>
        </is>
      </c>
      <c r="I94" s="785" t="n">
        <v>-27766.99</v>
      </c>
      <c r="J94" s="785" t="n"/>
      <c r="K94" s="776" t="n"/>
      <c r="L94" s="777" t="n"/>
      <c r="M94" s="778">
        <f>J94+L94</f>
        <v/>
      </c>
      <c r="N94" s="786" t="n">
        <v>-27766.99</v>
      </c>
      <c r="O94" s="780">
        <f>M94-N94</f>
        <v/>
      </c>
      <c r="P94" s="781">
        <f>IF(N94&lt;&gt;0,O94/N94,"")</f>
        <v/>
      </c>
      <c r="Q94" s="776" t="n"/>
      <c r="R94" s="775" t="n">
        <v>0</v>
      </c>
      <c r="S94" s="775" t="n">
        <v>0</v>
      </c>
      <c r="T94" s="775" t="n">
        <v>0</v>
      </c>
      <c r="U94" s="775" t="n">
        <v>-27766.99</v>
      </c>
      <c r="V94" s="775" t="n">
        <v>0</v>
      </c>
      <c r="W94" s="782">
        <f>SUM(R94:V94)-M94</f>
        <v/>
      </c>
      <c r="X94" s="783">
        <f>T94+U94+V94</f>
        <v/>
      </c>
    </row>
    <row r="95" ht="15.6" customHeight="1">
      <c r="B95" s="769" t="inlineStr">
        <is>
          <t>东风鸿远工程咨询有限公司</t>
        </is>
      </c>
      <c r="C95" s="770" t="inlineStr">
        <is>
          <t>2121</t>
        </is>
      </c>
      <c r="D95" s="772" t="inlineStr">
        <is>
          <t>E_628682</t>
        </is>
      </c>
      <c r="E95" s="772" t="inlineStr">
        <is>
          <t>供应商</t>
        </is>
      </c>
      <c r="F95" s="772" t="inlineStr">
        <is>
          <t>采购款</t>
        </is>
      </c>
      <c r="G95" s="773" t="inlineStr">
        <is>
          <t>供应商</t>
        </is>
      </c>
      <c r="H95" s="774" t="inlineStr">
        <is>
          <t>CNY</t>
        </is>
      </c>
      <c r="I95" s="785" t="n">
        <v>-2743396.23</v>
      </c>
      <c r="J95" s="785" t="n"/>
      <c r="K95" s="776" t="n"/>
      <c r="L95" s="777" t="n"/>
      <c r="M95" s="778">
        <f>J95+L95</f>
        <v/>
      </c>
      <c r="N95" s="786" t="n">
        <v>-2743396.23</v>
      </c>
      <c r="O95" s="780">
        <f>M95-N95</f>
        <v/>
      </c>
      <c r="P95" s="781">
        <f>IF(N95&lt;&gt;0,O95/N95,"")</f>
        <v/>
      </c>
      <c r="Q95" s="776" t="inlineStr">
        <is>
          <t>NB2</t>
        </is>
      </c>
      <c r="R95" s="775" t="n">
        <v>0</v>
      </c>
      <c r="S95" s="775" t="n">
        <v>-943396.23</v>
      </c>
      <c r="T95" s="775" t="n">
        <v>-1800000</v>
      </c>
      <c r="U95" s="775" t="n">
        <v>0</v>
      </c>
      <c r="V95" s="775" t="n">
        <v>0</v>
      </c>
      <c r="W95" s="782">
        <f>SUM(R95:V95)-M95</f>
        <v/>
      </c>
      <c r="X95" s="783">
        <f>T95+U95+V95</f>
        <v/>
      </c>
    </row>
    <row r="96" hidden="1" ht="15.6" customHeight="1">
      <c r="B96" s="769" t="inlineStr">
        <is>
          <t>东风鸿远工程咨询有限公司</t>
        </is>
      </c>
      <c r="C96" s="770" t="inlineStr">
        <is>
          <t>2121</t>
        </is>
      </c>
      <c r="D96" s="772" t="inlineStr">
        <is>
          <t>E_614845</t>
        </is>
      </c>
      <c r="E96" s="772" t="inlineStr">
        <is>
          <t>随州市宜鸿机电有限公司</t>
        </is>
      </c>
      <c r="F96" s="772" t="inlineStr">
        <is>
          <t>采购款</t>
        </is>
      </c>
      <c r="G96" s="773" t="inlineStr">
        <is>
          <t>供应商</t>
        </is>
      </c>
      <c r="H96" s="774" t="inlineStr">
        <is>
          <t>CNY</t>
        </is>
      </c>
      <c r="I96" s="785" t="n">
        <v>-16941.74</v>
      </c>
      <c r="J96" s="785" t="n"/>
      <c r="K96" s="776" t="n"/>
      <c r="L96" s="777" t="n"/>
      <c r="M96" s="778">
        <f>J96+L96</f>
        <v/>
      </c>
      <c r="N96" s="786" t="n">
        <v>-16941.74</v>
      </c>
      <c r="O96" s="780">
        <f>M96-N96</f>
        <v/>
      </c>
      <c r="P96" s="781">
        <f>IF(N96&lt;&gt;0,O96/N96,"")</f>
        <v/>
      </c>
      <c r="Q96" s="776" t="n"/>
      <c r="R96" s="775" t="n">
        <v>0</v>
      </c>
      <c r="S96" s="775" t="n">
        <v>0</v>
      </c>
      <c r="T96" s="775" t="n">
        <v>0</v>
      </c>
      <c r="U96" s="775" t="n">
        <v>0</v>
      </c>
      <c r="V96" s="775" t="n">
        <v>-16941.74</v>
      </c>
      <c r="W96" s="782">
        <f>SUM(R96:V96)-M96</f>
        <v/>
      </c>
      <c r="X96" s="783">
        <f>T96+U96+V96</f>
        <v/>
      </c>
    </row>
    <row r="97" hidden="1" ht="15.6" customHeight="1">
      <c r="B97" s="769" t="inlineStr">
        <is>
          <t>东风鸿远工程咨询有限公司</t>
        </is>
      </c>
      <c r="C97" s="770" t="inlineStr">
        <is>
          <t>2121</t>
        </is>
      </c>
      <c r="D97" s="772" t="inlineStr">
        <is>
          <t>E_624410</t>
        </is>
      </c>
      <c r="E97" s="772" t="inlineStr">
        <is>
          <t>襄阳市永通广告传播有限公司</t>
        </is>
      </c>
      <c r="F97" s="772" t="inlineStr">
        <is>
          <t>采购款</t>
        </is>
      </c>
      <c r="G97" s="773" t="inlineStr">
        <is>
          <t>供应商</t>
        </is>
      </c>
      <c r="H97" s="774" t="inlineStr">
        <is>
          <t>CNY</t>
        </is>
      </c>
      <c r="I97" s="785" t="n">
        <v>-16504.85</v>
      </c>
      <c r="J97" s="785" t="n"/>
      <c r="K97" s="776" t="n"/>
      <c r="L97" s="777" t="n"/>
      <c r="M97" s="778">
        <f>J97+L97</f>
        <v/>
      </c>
      <c r="N97" s="786" t="n">
        <v>-16504.85</v>
      </c>
      <c r="O97" s="780">
        <f>M97-N97</f>
        <v/>
      </c>
      <c r="P97" s="781">
        <f>IF(N97&lt;&gt;0,O97/N97,"")</f>
        <v/>
      </c>
      <c r="Q97" s="776" t="n"/>
      <c r="R97" s="775" t="n">
        <v>0</v>
      </c>
      <c r="S97" s="775" t="n">
        <v>0</v>
      </c>
      <c r="T97" s="775" t="n">
        <v>0</v>
      </c>
      <c r="U97" s="775" t="n">
        <v>0</v>
      </c>
      <c r="V97" s="775" t="n">
        <v>-16504.85</v>
      </c>
      <c r="W97" s="782">
        <f>SUM(R97:V97)-M97</f>
        <v/>
      </c>
      <c r="X97" s="783">
        <f>T97+U97+V97</f>
        <v/>
      </c>
    </row>
    <row r="98" hidden="1" ht="15.6" customHeight="1">
      <c r="B98" s="769" t="inlineStr">
        <is>
          <t>东风鸿远工程咨询有限公司</t>
        </is>
      </c>
      <c r="C98" s="770" t="inlineStr">
        <is>
          <t>2121</t>
        </is>
      </c>
      <c r="D98" s="772" t="inlineStr">
        <is>
          <t>E_598233</t>
        </is>
      </c>
      <c r="E98" s="772" t="inlineStr">
        <is>
          <t>中南建筑设计院股份有限公司</t>
        </is>
      </c>
      <c r="F98" s="772" t="inlineStr">
        <is>
          <t>采购款</t>
        </is>
      </c>
      <c r="G98" s="773" t="inlineStr">
        <is>
          <t>供应商</t>
        </is>
      </c>
      <c r="H98" s="774" t="inlineStr">
        <is>
          <t>CNY</t>
        </is>
      </c>
      <c r="I98" s="785" t="n">
        <v>-603784.91</v>
      </c>
      <c r="J98" s="785" t="n"/>
      <c r="K98" s="776" t="n"/>
      <c r="L98" s="777" t="n"/>
      <c r="M98" s="778">
        <f>J98+L98</f>
        <v/>
      </c>
      <c r="N98" s="786" t="n">
        <v>-603784.91</v>
      </c>
      <c r="O98" s="780">
        <f>M98-N98</f>
        <v/>
      </c>
      <c r="P98" s="781">
        <f>IF(N98&lt;&gt;0,O98/N98,"")</f>
        <v/>
      </c>
      <c r="Q98" s="776" t="n"/>
      <c r="R98" s="775" t="n">
        <v>0</v>
      </c>
      <c r="S98" s="775" t="n">
        <v>0</v>
      </c>
      <c r="T98" s="775" t="n">
        <v>0</v>
      </c>
      <c r="U98" s="775" t="n">
        <v>0</v>
      </c>
      <c r="V98" s="775" t="n">
        <v>-603784.91</v>
      </c>
      <c r="W98" s="782">
        <f>SUM(R98:V98)-M98</f>
        <v/>
      </c>
      <c r="X98" s="783">
        <f>T98+U98+V98</f>
        <v/>
      </c>
    </row>
    <row r="99" hidden="1" ht="15.6" customHeight="1">
      <c r="B99" s="769" t="inlineStr">
        <is>
          <t>东风鸿远工程咨询有限公司</t>
        </is>
      </c>
      <c r="C99" s="770" t="inlineStr">
        <is>
          <t>2121</t>
        </is>
      </c>
      <c r="D99" s="772" t="inlineStr">
        <is>
          <t>E_614260</t>
        </is>
      </c>
      <c r="E99" s="772" t="inlineStr">
        <is>
          <t>襄阳市金枫叶装饰设计工程有限公司</t>
        </is>
      </c>
      <c r="F99" s="772" t="inlineStr">
        <is>
          <t>采购款</t>
        </is>
      </c>
      <c r="G99" s="773" t="inlineStr">
        <is>
          <t>供应商</t>
        </is>
      </c>
      <c r="H99" s="774" t="inlineStr">
        <is>
          <t>CNY</t>
        </is>
      </c>
      <c r="I99" s="785" t="n">
        <v>-1053032.26</v>
      </c>
      <c r="J99" s="785" t="n"/>
      <c r="K99" s="776" t="n"/>
      <c r="L99" s="777" t="n"/>
      <c r="M99" s="778">
        <f>J99+L99</f>
        <v/>
      </c>
      <c r="N99" s="786" t="n">
        <v>-1053032.26</v>
      </c>
      <c r="O99" s="780">
        <f>M99-N99</f>
        <v/>
      </c>
      <c r="P99" s="781">
        <f>IF(N99&lt;&gt;0,O99/N99,"")</f>
        <v/>
      </c>
      <c r="Q99" s="776" t="n"/>
      <c r="R99" s="775" t="n">
        <v>-484230.24</v>
      </c>
      <c r="S99" s="775" t="n">
        <v>-436447.06</v>
      </c>
      <c r="T99" s="775" t="n">
        <v>0</v>
      </c>
      <c r="U99" s="775" t="n">
        <v>-55339.81</v>
      </c>
      <c r="V99" s="775" t="n">
        <v>-77015.14999999999</v>
      </c>
      <c r="W99" s="782">
        <f>SUM(R99:V99)-M99</f>
        <v/>
      </c>
      <c r="X99" s="783">
        <f>T99+U99+V99</f>
        <v/>
      </c>
    </row>
    <row r="100" hidden="1" ht="15.6" customHeight="1">
      <c r="B100" s="769" t="inlineStr">
        <is>
          <t>东风鸿远工程咨询有限公司</t>
        </is>
      </c>
      <c r="C100" s="770" t="inlineStr">
        <is>
          <t>2121</t>
        </is>
      </c>
      <c r="D100" s="772" t="inlineStr">
        <is>
          <t>E_622115</t>
        </is>
      </c>
      <c r="E100" s="772" t="inlineStr">
        <is>
          <t>城安工程技术集团有限公司</t>
        </is>
      </c>
      <c r="F100" s="772" t="inlineStr">
        <is>
          <t>采购款</t>
        </is>
      </c>
      <c r="G100" s="773" t="inlineStr">
        <is>
          <t>供应商</t>
        </is>
      </c>
      <c r="H100" s="774" t="inlineStr">
        <is>
          <t>CNY</t>
        </is>
      </c>
      <c r="I100" s="785" t="n">
        <v>-317036.99</v>
      </c>
      <c r="J100" s="785" t="n"/>
      <c r="K100" s="776" t="n"/>
      <c r="L100" s="777" t="n"/>
      <c r="M100" s="778">
        <f>J100+L100</f>
        <v/>
      </c>
      <c r="N100" s="786" t="n">
        <v>-317036.99</v>
      </c>
      <c r="O100" s="780">
        <f>M100-N100</f>
        <v/>
      </c>
      <c r="P100" s="781">
        <f>IF(N100&lt;&gt;0,O100/N100,"")</f>
        <v/>
      </c>
      <c r="Q100" s="776" t="n"/>
      <c r="R100" s="775" t="n">
        <v>-46770.75</v>
      </c>
      <c r="S100" s="775" t="n">
        <v>-20337.9</v>
      </c>
      <c r="T100" s="775" t="n">
        <v>-191866.99</v>
      </c>
      <c r="U100" s="775" t="n">
        <v>-58061.35</v>
      </c>
      <c r="V100" s="775" t="n">
        <v>0</v>
      </c>
      <c r="W100" s="782">
        <f>SUM(R100:V100)-M100</f>
        <v/>
      </c>
      <c r="X100" s="783">
        <f>T100+U100+V100</f>
        <v/>
      </c>
    </row>
    <row r="101" hidden="1" ht="15.6" customHeight="1">
      <c r="B101" s="769" t="inlineStr">
        <is>
          <t>东风鸿远工程咨询有限公司</t>
        </is>
      </c>
      <c r="C101" s="770" t="inlineStr">
        <is>
          <t>2121</t>
        </is>
      </c>
      <c r="D101" s="772" t="inlineStr">
        <is>
          <t>E_596969</t>
        </is>
      </c>
      <c r="E101" s="772" t="inlineStr">
        <is>
          <t>三峡大学</t>
        </is>
      </c>
      <c r="F101" s="772" t="inlineStr">
        <is>
          <t>采购款</t>
        </is>
      </c>
      <c r="G101" s="773" t="inlineStr">
        <is>
          <t>供应商</t>
        </is>
      </c>
      <c r="H101" s="774" t="inlineStr">
        <is>
          <t>CNY</t>
        </is>
      </c>
      <c r="I101" s="785" t="n">
        <v>-75471.7</v>
      </c>
      <c r="J101" s="785" t="n"/>
      <c r="K101" s="776" t="n"/>
      <c r="L101" s="777" t="n"/>
      <c r="M101" s="778">
        <f>J101+L101</f>
        <v/>
      </c>
      <c r="N101" s="786" t="n">
        <v>-75471.7</v>
      </c>
      <c r="O101" s="780">
        <f>M101-N101</f>
        <v/>
      </c>
      <c r="P101" s="781">
        <f>IF(N101&lt;&gt;0,O101/N101,"")</f>
        <v/>
      </c>
      <c r="Q101" s="776" t="n"/>
      <c r="R101" s="775" t="n">
        <v>0</v>
      </c>
      <c r="S101" s="775" t="n">
        <v>0</v>
      </c>
      <c r="T101" s="775" t="n">
        <v>0</v>
      </c>
      <c r="U101" s="775" t="n">
        <v>0</v>
      </c>
      <c r="V101" s="775" t="n">
        <v>-75471.7</v>
      </c>
      <c r="W101" s="782">
        <f>SUM(R101:V101)-M101</f>
        <v/>
      </c>
      <c r="X101" s="783">
        <f>T101+U101+V101</f>
        <v/>
      </c>
    </row>
    <row r="102" hidden="1" ht="15.6" customHeight="1">
      <c r="B102" s="769" t="inlineStr">
        <is>
          <t>东风鸿远工程咨询有限公司</t>
        </is>
      </c>
      <c r="C102" s="770" t="inlineStr">
        <is>
          <t>2121</t>
        </is>
      </c>
      <c r="D102" s="772" t="inlineStr">
        <is>
          <t>E_216546</t>
        </is>
      </c>
      <c r="E102" s="772" t="inlineStr">
        <is>
          <t>湖北志明电子科技有限公司</t>
        </is>
      </c>
      <c r="F102" s="772" t="inlineStr">
        <is>
          <t>采购款</t>
        </is>
      </c>
      <c r="G102" s="773" t="inlineStr">
        <is>
          <t>供应商</t>
        </is>
      </c>
      <c r="H102" s="774" t="inlineStr">
        <is>
          <t>CNY</t>
        </is>
      </c>
      <c r="I102" s="785" t="n">
        <v>-17287.55</v>
      </c>
      <c r="J102" s="785" t="n"/>
      <c r="K102" s="776" t="n"/>
      <c r="L102" s="777" t="n"/>
      <c r="M102" s="778">
        <f>J102+L102</f>
        <v/>
      </c>
      <c r="N102" s="786" t="n">
        <v>-17287.55</v>
      </c>
      <c r="O102" s="780">
        <f>M102-N102</f>
        <v/>
      </c>
      <c r="P102" s="781">
        <f>IF(N102&lt;&gt;0,O102/N102,"")</f>
        <v/>
      </c>
      <c r="Q102" s="776" t="n"/>
      <c r="R102" s="775" t="n">
        <v>0</v>
      </c>
      <c r="S102" s="775" t="n">
        <v>-17287.55</v>
      </c>
      <c r="T102" s="775" t="n">
        <v>0</v>
      </c>
      <c r="U102" s="775" t="n">
        <v>0</v>
      </c>
      <c r="V102" s="775" t="n">
        <v>0</v>
      </c>
      <c r="W102" s="782">
        <f>SUM(R102:V102)-M102</f>
        <v/>
      </c>
      <c r="X102" s="783">
        <f>T102+U102+V102</f>
        <v/>
      </c>
    </row>
    <row r="103" hidden="1" ht="15.6" customHeight="1">
      <c r="B103" s="769" t="inlineStr">
        <is>
          <t>东风鸿远工程咨询有限公司</t>
        </is>
      </c>
      <c r="C103" s="770" t="inlineStr">
        <is>
          <t>2121</t>
        </is>
      </c>
      <c r="D103" s="772" t="inlineStr">
        <is>
          <t>E_623582</t>
        </is>
      </c>
      <c r="E103" s="772" t="inlineStr">
        <is>
          <t>武汉固地鼎兴工程技术有限公司</t>
        </is>
      </c>
      <c r="F103" s="772" t="inlineStr">
        <is>
          <t>采购款</t>
        </is>
      </c>
      <c r="G103" s="773" t="inlineStr">
        <is>
          <t>供应商</t>
        </is>
      </c>
      <c r="H103" s="774" t="inlineStr">
        <is>
          <t>CNY</t>
        </is>
      </c>
      <c r="I103" s="785" t="n">
        <v>-0.5</v>
      </c>
      <c r="J103" s="785" t="n"/>
      <c r="K103" s="776" t="n"/>
      <c r="L103" s="777" t="n"/>
      <c r="M103" s="778">
        <f>J103+L103</f>
        <v/>
      </c>
      <c r="N103" s="786" t="n">
        <v>-0.5</v>
      </c>
      <c r="O103" s="780">
        <f>M103-N103</f>
        <v/>
      </c>
      <c r="P103" s="781">
        <f>IF(N103&lt;&gt;0,O103/N103,"")</f>
        <v/>
      </c>
      <c r="Q103" s="776" t="n"/>
      <c r="R103" s="775" t="n">
        <v>0</v>
      </c>
      <c r="S103" s="775" t="n">
        <v>0</v>
      </c>
      <c r="T103" s="775" t="n">
        <v>-0.5</v>
      </c>
      <c r="U103" s="775" t="n">
        <v>0</v>
      </c>
      <c r="V103" s="775" t="n">
        <v>0</v>
      </c>
      <c r="W103" s="782">
        <f>SUM(R103:V103)-M103</f>
        <v/>
      </c>
      <c r="X103" s="783">
        <f>T103+U103+V103</f>
        <v/>
      </c>
    </row>
    <row r="104" hidden="1" ht="15.6" customHeight="1">
      <c r="B104" s="769" t="inlineStr">
        <is>
          <t>东风鸿远工程咨询有限公司</t>
        </is>
      </c>
      <c r="C104" s="770" t="inlineStr">
        <is>
          <t>2121</t>
        </is>
      </c>
      <c r="D104" s="772" t="inlineStr">
        <is>
          <t>E_614195</t>
        </is>
      </c>
      <c r="E104" s="772" t="inlineStr">
        <is>
          <t>襄阳园冶风景园林集团有限公司</t>
        </is>
      </c>
      <c r="F104" s="772" t="inlineStr">
        <is>
          <t>采购款</t>
        </is>
      </c>
      <c r="G104" s="773" t="inlineStr">
        <is>
          <t>供应商</t>
        </is>
      </c>
      <c r="H104" s="774" t="inlineStr">
        <is>
          <t>CNY</t>
        </is>
      </c>
      <c r="I104" s="785" t="n">
        <v>-340862.27</v>
      </c>
      <c r="J104" s="785" t="n"/>
      <c r="K104" s="776" t="n"/>
      <c r="L104" s="777" t="n"/>
      <c r="M104" s="778">
        <f>J104+L104</f>
        <v/>
      </c>
      <c r="N104" s="786" t="n">
        <v>-340862.27</v>
      </c>
      <c r="O104" s="780">
        <f>M104-N104</f>
        <v/>
      </c>
      <c r="P104" s="781">
        <f>IF(N104&lt;&gt;0,O104/N104,"")</f>
        <v/>
      </c>
      <c r="Q104" s="776" t="n"/>
      <c r="R104" s="775" t="n">
        <v>-114000</v>
      </c>
      <c r="S104" s="775" t="n">
        <v>0</v>
      </c>
      <c r="T104" s="775" t="n">
        <v>-18773.59</v>
      </c>
      <c r="U104" s="775" t="n">
        <v>-113207.55</v>
      </c>
      <c r="V104" s="775" t="n">
        <v>-94881.13</v>
      </c>
      <c r="W104" s="782">
        <f>SUM(R104:V104)-M104</f>
        <v/>
      </c>
      <c r="X104" s="783">
        <f>T104+U104+V104</f>
        <v/>
      </c>
    </row>
    <row r="105" hidden="1" ht="15.6" customHeight="1">
      <c r="B105" s="769" t="inlineStr">
        <is>
          <t>东风鸿远工程咨询有限公司</t>
        </is>
      </c>
      <c r="C105" s="770" t="inlineStr">
        <is>
          <t>2121</t>
        </is>
      </c>
      <c r="D105" s="772" t="inlineStr">
        <is>
          <t>E_013569</t>
        </is>
      </c>
      <c r="E105" s="772" t="inlineStr">
        <is>
          <t>华诚博远工程技术集团有限公司</t>
        </is>
      </c>
      <c r="F105" s="772" t="inlineStr">
        <is>
          <t>采购款</t>
        </is>
      </c>
      <c r="G105" s="773" t="inlineStr">
        <is>
          <t>供应商</t>
        </is>
      </c>
      <c r="H105" s="774" t="inlineStr">
        <is>
          <t>CNY</t>
        </is>
      </c>
      <c r="I105" s="785" t="n">
        <v>-2830.19</v>
      </c>
      <c r="J105" s="785" t="n"/>
      <c r="K105" s="776" t="n"/>
      <c r="L105" s="777" t="n"/>
      <c r="M105" s="778">
        <f>J105+L105</f>
        <v/>
      </c>
      <c r="N105" s="786" t="n">
        <v>-2830.19</v>
      </c>
      <c r="O105" s="780">
        <f>M105-N105</f>
        <v/>
      </c>
      <c r="P105" s="781">
        <f>IF(N105&lt;&gt;0,O105/N105,"")</f>
        <v/>
      </c>
      <c r="Q105" s="776" t="n"/>
      <c r="R105" s="775" t="n">
        <v>-2830.19</v>
      </c>
      <c r="S105" s="775" t="n">
        <v>0</v>
      </c>
      <c r="T105" s="775" t="n">
        <v>0</v>
      </c>
      <c r="U105" s="775" t="n">
        <v>0</v>
      </c>
      <c r="V105" s="775" t="n">
        <v>0</v>
      </c>
      <c r="W105" s="782">
        <f>SUM(R105:V105)-M105</f>
        <v/>
      </c>
      <c r="X105" s="783">
        <f>T105+U105+V105</f>
        <v/>
      </c>
    </row>
    <row r="106" hidden="1" ht="15.6" customHeight="1">
      <c r="B106" s="769" t="inlineStr">
        <is>
          <t>东风鸿远工程咨询有限公司</t>
        </is>
      </c>
      <c r="C106" s="770" t="inlineStr">
        <is>
          <t>2121</t>
        </is>
      </c>
      <c r="D106" s="772" t="inlineStr">
        <is>
          <t>E_725139</t>
        </is>
      </c>
      <c r="E106" s="772" t="inlineStr">
        <is>
          <t>程晓明</t>
        </is>
      </c>
      <c r="F106" s="772" t="inlineStr">
        <is>
          <t>采购款</t>
        </is>
      </c>
      <c r="G106" s="773" t="inlineStr">
        <is>
          <t>供应商</t>
        </is>
      </c>
      <c r="H106" s="774" t="inlineStr">
        <is>
          <t>CNY</t>
        </is>
      </c>
      <c r="I106" s="785" t="n">
        <v>-9600</v>
      </c>
      <c r="J106" s="785" t="n"/>
      <c r="K106" s="776" t="n"/>
      <c r="L106" s="777" t="n"/>
      <c r="M106" s="778">
        <f>J106+L106</f>
        <v/>
      </c>
      <c r="N106" s="786" t="n">
        <v>-9600</v>
      </c>
      <c r="O106" s="780">
        <f>M106-N106</f>
        <v/>
      </c>
      <c r="P106" s="781">
        <f>IF(N106&lt;&gt;0,O106/N106,"")</f>
        <v/>
      </c>
      <c r="Q106" s="776" t="n"/>
      <c r="R106" s="775" t="n">
        <v>-9600</v>
      </c>
      <c r="S106" s="775" t="n">
        <v>0</v>
      </c>
      <c r="T106" s="775" t="n">
        <v>0</v>
      </c>
      <c r="U106" s="775" t="n">
        <v>0</v>
      </c>
      <c r="V106" s="775" t="n">
        <v>0</v>
      </c>
      <c r="W106" s="782">
        <f>SUM(R106:V106)-M106</f>
        <v/>
      </c>
      <c r="X106" s="783">
        <f>T106+U106+V106</f>
        <v/>
      </c>
    </row>
    <row r="107" hidden="1" ht="15.6" customHeight="1">
      <c r="B107" s="769" t="inlineStr">
        <is>
          <t>东风鸿远工程咨询有限公司</t>
        </is>
      </c>
      <c r="C107" s="770" t="inlineStr">
        <is>
          <t>2121</t>
        </is>
      </c>
      <c r="D107" s="772" t="inlineStr">
        <is>
          <t>E_466380</t>
        </is>
      </c>
      <c r="E107" s="772" t="inlineStr">
        <is>
          <t>襄阳富思特建设工程质量检测有限公司</t>
        </is>
      </c>
      <c r="F107" s="772" t="inlineStr">
        <is>
          <t>采购款</t>
        </is>
      </c>
      <c r="G107" s="773" t="inlineStr">
        <is>
          <t>供应商</t>
        </is>
      </c>
      <c r="H107" s="774" t="inlineStr">
        <is>
          <t>CNY</t>
        </is>
      </c>
      <c r="I107" s="785" t="n">
        <v>-406000</v>
      </c>
      <c r="J107" s="785" t="n"/>
      <c r="K107" s="776" t="n"/>
      <c r="L107" s="777" t="n"/>
      <c r="M107" s="778">
        <f>J107+L107</f>
        <v/>
      </c>
      <c r="N107" s="786" t="n">
        <v>-406000</v>
      </c>
      <c r="O107" s="780">
        <f>M107-N107</f>
        <v/>
      </c>
      <c r="P107" s="781">
        <f>IF(N107&lt;&gt;0,O107/N107,"")</f>
        <v/>
      </c>
      <c r="Q107" s="776" t="n"/>
      <c r="R107" s="775" t="n">
        <v>-406000</v>
      </c>
      <c r="S107" s="775" t="n">
        <v>0</v>
      </c>
      <c r="T107" s="775" t="n">
        <v>0</v>
      </c>
      <c r="U107" s="775" t="n">
        <v>0</v>
      </c>
      <c r="V107" s="775" t="n">
        <v>0</v>
      </c>
      <c r="W107" s="782">
        <f>SUM(R107:V107)-M107</f>
        <v/>
      </c>
      <c r="X107" s="783">
        <f>T107+U107+V107</f>
        <v/>
      </c>
    </row>
    <row r="108" hidden="1" ht="15.6" customHeight="1">
      <c r="B108" s="769" t="inlineStr">
        <is>
          <t>东风鸿远工程咨询有限公司</t>
        </is>
      </c>
      <c r="C108" s="770" t="inlineStr">
        <is>
          <t>2121</t>
        </is>
      </c>
      <c r="D108" s="772" t="inlineStr">
        <is>
          <t>E_606429</t>
        </is>
      </c>
      <c r="E108" s="772" t="inlineStr">
        <is>
          <t>广东建筑艺术设计院有限公司华中分公司</t>
        </is>
      </c>
      <c r="F108" s="772" t="inlineStr">
        <is>
          <t>采购款</t>
        </is>
      </c>
      <c r="G108" s="773" t="inlineStr">
        <is>
          <t>供应商</t>
        </is>
      </c>
      <c r="H108" s="774" t="inlineStr">
        <is>
          <t>CNY</t>
        </is>
      </c>
      <c r="I108" s="785" t="n">
        <v>-56000</v>
      </c>
      <c r="J108" s="785" t="n"/>
      <c r="K108" s="776" t="n"/>
      <c r="L108" s="777" t="n"/>
      <c r="M108" s="778">
        <f>J108+L108</f>
        <v/>
      </c>
      <c r="N108" s="786" t="n">
        <v>-56000</v>
      </c>
      <c r="O108" s="780">
        <f>M108-N108</f>
        <v/>
      </c>
      <c r="P108" s="781">
        <f>IF(N108&lt;&gt;0,O108/N108,"")</f>
        <v/>
      </c>
      <c r="Q108" s="776" t="n"/>
      <c r="R108" s="775" t="n">
        <v>0</v>
      </c>
      <c r="S108" s="775" t="n">
        <v>0</v>
      </c>
      <c r="T108" s="775" t="n">
        <v>0</v>
      </c>
      <c r="U108" s="775" t="n">
        <v>0</v>
      </c>
      <c r="V108" s="775" t="n">
        <v>-56000</v>
      </c>
      <c r="W108" s="782">
        <f>SUM(R108:V108)-M108</f>
        <v/>
      </c>
      <c r="X108" s="783">
        <f>T108+U108+V108</f>
        <v/>
      </c>
    </row>
    <row r="109" hidden="1" ht="15.6" customHeight="1">
      <c r="B109" s="769" t="inlineStr">
        <is>
          <t>东风鸿远工程咨询有限公司</t>
        </is>
      </c>
      <c r="C109" s="770" t="inlineStr">
        <is>
          <t>2121</t>
        </is>
      </c>
      <c r="D109" s="772" t="inlineStr">
        <is>
          <t>E_171469</t>
        </is>
      </c>
      <c r="E109" s="772" t="inlineStr">
        <is>
          <t>襄阳市测绘研究院</t>
        </is>
      </c>
      <c r="F109" s="772" t="inlineStr">
        <is>
          <t>采购款</t>
        </is>
      </c>
      <c r="G109" s="773" t="inlineStr">
        <is>
          <t>供应商</t>
        </is>
      </c>
      <c r="H109" s="774" t="inlineStr">
        <is>
          <t>CNY</t>
        </is>
      </c>
      <c r="I109" s="785" t="n">
        <v>-58419.81</v>
      </c>
      <c r="J109" s="785" t="n"/>
      <c r="K109" s="776" t="n"/>
      <c r="L109" s="777" t="n"/>
      <c r="M109" s="778">
        <f>J109+L109</f>
        <v/>
      </c>
      <c r="N109" s="786" t="n">
        <v>-58419.81</v>
      </c>
      <c r="O109" s="780">
        <f>M109-N109</f>
        <v/>
      </c>
      <c r="P109" s="781">
        <f>IF(N109&lt;&gt;0,O109/N109,"")</f>
        <v/>
      </c>
      <c r="Q109" s="776" t="n"/>
      <c r="R109" s="775" t="n">
        <v>-58419.81</v>
      </c>
      <c r="S109" s="775" t="n">
        <v>0</v>
      </c>
      <c r="T109" s="775" t="n">
        <v>0</v>
      </c>
      <c r="U109" s="775" t="n">
        <v>0</v>
      </c>
      <c r="V109" s="775" t="n">
        <v>0</v>
      </c>
      <c r="W109" s="782">
        <f>SUM(R109:V109)-M109</f>
        <v/>
      </c>
      <c r="X109" s="783">
        <f>T109+U109+V109</f>
        <v/>
      </c>
    </row>
    <row r="110" hidden="1" ht="15.6" customHeight="1">
      <c r="B110" s="769" t="inlineStr">
        <is>
          <t>东风鸿远工程咨询有限公司</t>
        </is>
      </c>
      <c r="C110" s="770" t="inlineStr">
        <is>
          <t>2121</t>
        </is>
      </c>
      <c r="D110" s="772" t="inlineStr">
        <is>
          <t>E_615147</t>
        </is>
      </c>
      <c r="E110" s="772" t="inlineStr">
        <is>
          <t>深圳市建筑设计��究总院有限公司</t>
        </is>
      </c>
      <c r="F110" s="772" t="inlineStr">
        <is>
          <t>采购款</t>
        </is>
      </c>
      <c r="G110" s="773" t="inlineStr">
        <is>
          <t>供应商</t>
        </is>
      </c>
      <c r="H110" s="774" t="inlineStr">
        <is>
          <t>CNY</t>
        </is>
      </c>
      <c r="I110" s="785" t="n">
        <v>-138134.91</v>
      </c>
      <c r="J110" s="785" t="n"/>
      <c r="K110" s="776" t="n"/>
      <c r="L110" s="777" t="n"/>
      <c r="M110" s="778">
        <f>J110+L110</f>
        <v/>
      </c>
      <c r="N110" s="786" t="n">
        <v>-138134.91</v>
      </c>
      <c r="O110" s="780">
        <f>M110-N110</f>
        <v/>
      </c>
      <c r="P110" s="781">
        <f>IF(N110&lt;&gt;0,O110/N110,"")</f>
        <v/>
      </c>
      <c r="Q110" s="776" t="n"/>
      <c r="R110" s="775" t="n">
        <v>0</v>
      </c>
      <c r="S110" s="775" t="n">
        <v>0</v>
      </c>
      <c r="T110" s="775" t="n">
        <v>0</v>
      </c>
      <c r="U110" s="775" t="n">
        <v>-138134.91</v>
      </c>
      <c r="V110" s="775" t="n">
        <v>0</v>
      </c>
      <c r="W110" s="782">
        <f>SUM(R110:V110)-M110</f>
        <v/>
      </c>
      <c r="X110" s="783">
        <f>T110+U110+V110</f>
        <v/>
      </c>
    </row>
    <row r="111" hidden="1" ht="15.6" customHeight="1">
      <c r="B111" s="769" t="inlineStr">
        <is>
          <t>东风鸿远工程咨询有限公司</t>
        </is>
      </c>
      <c r="C111" s="770" t="inlineStr">
        <is>
          <t>2121</t>
        </is>
      </c>
      <c r="D111" s="772" t="inlineStr">
        <is>
          <t>E_624759</t>
        </is>
      </c>
      <c r="E111" s="772" t="inlineStr">
        <is>
          <t>湖北路云信息技术有限公司</t>
        </is>
      </c>
      <c r="F111" s="772" t="inlineStr">
        <is>
          <t>采购款</t>
        </is>
      </c>
      <c r="G111" s="773" t="inlineStr">
        <is>
          <t>供应商</t>
        </is>
      </c>
      <c r="H111" s="774" t="inlineStr">
        <is>
          <t>CNY</t>
        </is>
      </c>
      <c r="I111" s="785" t="n">
        <v>-34346.54</v>
      </c>
      <c r="J111" s="785" t="n"/>
      <c r="K111" s="776" t="n"/>
      <c r="L111" s="777" t="n"/>
      <c r="M111" s="778">
        <f>J111+L111</f>
        <v/>
      </c>
      <c r="N111" s="786" t="n">
        <v>-34346.54</v>
      </c>
      <c r="O111" s="780">
        <f>M111-N111</f>
        <v/>
      </c>
      <c r="P111" s="781">
        <f>IF(N111&lt;&gt;0,O111/N111,"")</f>
        <v/>
      </c>
      <c r="Q111" s="776" t="n"/>
      <c r="R111" s="775" t="n">
        <v>-24752.48</v>
      </c>
      <c r="S111" s="775" t="n">
        <v>-9594.059999999999</v>
      </c>
      <c r="T111" s="775" t="n">
        <v>0</v>
      </c>
      <c r="U111" s="775" t="n">
        <v>0</v>
      </c>
      <c r="V111" s="775" t="n">
        <v>0</v>
      </c>
      <c r="W111" s="782">
        <f>SUM(R111:V111)-M111</f>
        <v/>
      </c>
      <c r="X111" s="783">
        <f>T111+U111+V111</f>
        <v/>
      </c>
    </row>
    <row r="112" hidden="1" ht="15.6" customHeight="1">
      <c r="B112" s="769" t="inlineStr">
        <is>
          <t>东风鸿远工程咨询有限公司</t>
        </is>
      </c>
      <c r="C112" s="770" t="inlineStr">
        <is>
          <t>2121</t>
        </is>
      </c>
      <c r="D112" s="772" t="inlineStr">
        <is>
          <t>E_599621</t>
        </is>
      </c>
      <c r="E112" s="772" t="inlineStr">
        <is>
          <t>湖北省地质局第八地质大队</t>
        </is>
      </c>
      <c r="F112" s="772" t="inlineStr">
        <is>
          <t>采购款</t>
        </is>
      </c>
      <c r="G112" s="773" t="inlineStr">
        <is>
          <t>供应商</t>
        </is>
      </c>
      <c r="H112" s="774" t="inlineStr">
        <is>
          <t>CNY</t>
        </is>
      </c>
      <c r="I112" s="785" t="n">
        <v>-645799.99</v>
      </c>
      <c r="J112" s="785" t="n"/>
      <c r="K112" s="776" t="n"/>
      <c r="L112" s="777" t="n"/>
      <c r="M112" s="778">
        <f>J112+L112</f>
        <v/>
      </c>
      <c r="N112" s="786" t="n">
        <v>-645799.99</v>
      </c>
      <c r="O112" s="780">
        <f>M112-N112</f>
        <v/>
      </c>
      <c r="P112" s="781">
        <f>IF(N112&lt;&gt;0,O112/N112,"")</f>
        <v/>
      </c>
      <c r="Q112" s="776" t="n"/>
      <c r="R112" s="775" t="n">
        <v>-645799.99</v>
      </c>
      <c r="S112" s="775" t="n">
        <v>0</v>
      </c>
      <c r="T112" s="775" t="n">
        <v>0</v>
      </c>
      <c r="U112" s="775" t="n">
        <v>0</v>
      </c>
      <c r="V112" s="775" t="n">
        <v>0</v>
      </c>
      <c r="W112" s="782">
        <f>SUM(R112:V112)-M112</f>
        <v/>
      </c>
      <c r="X112" s="783">
        <f>T112+U112+V112</f>
        <v/>
      </c>
    </row>
    <row r="113" hidden="1" ht="15.6" customHeight="1">
      <c r="B113" s="769" t="inlineStr">
        <is>
          <t>东风鸿远工程咨询有限公司</t>
        </is>
      </c>
      <c r="C113" s="770" t="inlineStr">
        <is>
          <t>2121</t>
        </is>
      </c>
      <c r="D113" s="772" t="inlineStr">
        <is>
          <t>E_617737</t>
        </is>
      </c>
      <c r="E113" s="772" t="inlineStr">
        <is>
          <t>建科环能科技有限公司</t>
        </is>
      </c>
      <c r="F113" s="772" t="inlineStr">
        <is>
          <t>采购款</t>
        </is>
      </c>
      <c r="G113" s="773" t="inlineStr">
        <is>
          <t>供应商</t>
        </is>
      </c>
      <c r="H113" s="774" t="inlineStr">
        <is>
          <t>CNY</t>
        </is>
      </c>
      <c r="I113" s="785" t="n">
        <v>-140000</v>
      </c>
      <c r="J113" s="785" t="n"/>
      <c r="K113" s="776" t="n"/>
      <c r="L113" s="777" t="n"/>
      <c r="M113" s="778">
        <f>J113+L113</f>
        <v/>
      </c>
      <c r="N113" s="786" t="n">
        <v>-140000</v>
      </c>
      <c r="O113" s="780">
        <f>M113-N113</f>
        <v/>
      </c>
      <c r="P113" s="781">
        <f>IF(N113&lt;&gt;0,O113/N113,"")</f>
        <v/>
      </c>
      <c r="Q113" s="776" t="n"/>
      <c r="R113" s="775" t="n">
        <v>-140000</v>
      </c>
      <c r="S113" s="775" t="n">
        <v>0</v>
      </c>
      <c r="T113" s="775" t="n">
        <v>0</v>
      </c>
      <c r="U113" s="775" t="n">
        <v>0</v>
      </c>
      <c r="V113" s="775" t="n">
        <v>0</v>
      </c>
      <c r="W113" s="782">
        <f>SUM(R113:V113)-M113</f>
        <v/>
      </c>
      <c r="X113" s="783">
        <f>T113+U113+V113</f>
        <v/>
      </c>
    </row>
    <row r="114" hidden="1" ht="15.6" customHeight="1">
      <c r="B114" s="769" t="inlineStr">
        <is>
          <t>东风鸿远工程咨询有限公司</t>
        </is>
      </c>
      <c r="C114" s="770" t="inlineStr">
        <is>
          <t>2121</t>
        </is>
      </c>
      <c r="D114" s="772" t="inlineStr">
        <is>
          <t>E_177127</t>
        </is>
      </c>
      <c r="E114" s="772" t="inlineStr">
        <is>
          <t>襄阳鑫瑞杰文化用品有限公司</t>
        </is>
      </c>
      <c r="F114" s="772" t="inlineStr">
        <is>
          <t>采购款</t>
        </is>
      </c>
      <c r="G114" s="773" t="inlineStr">
        <is>
          <t>供应商</t>
        </is>
      </c>
      <c r="H114" s="774" t="inlineStr">
        <is>
          <t>CNY</t>
        </is>
      </c>
      <c r="I114" s="785" t="n">
        <v>-1432.5</v>
      </c>
      <c r="J114" s="785" t="n"/>
      <c r="K114" s="776" t="n"/>
      <c r="L114" s="777" t="n"/>
      <c r="M114" s="778">
        <f>J114+L114</f>
        <v/>
      </c>
      <c r="N114" s="786" t="n">
        <v>-1432.5</v>
      </c>
      <c r="O114" s="780">
        <f>M114-N114</f>
        <v/>
      </c>
      <c r="P114" s="781">
        <f>IF(N114&lt;&gt;0,O114/N114,"")</f>
        <v/>
      </c>
      <c r="Q114" s="776" t="n"/>
      <c r="R114" s="775" t="n">
        <v>0</v>
      </c>
      <c r="S114" s="775" t="n">
        <v>-1432.5</v>
      </c>
      <c r="T114" s="775" t="n">
        <v>0</v>
      </c>
      <c r="U114" s="775" t="n">
        <v>0</v>
      </c>
      <c r="V114" s="775" t="n">
        <v>0</v>
      </c>
      <c r="W114" s="782">
        <f>SUM(R114:V114)-M114</f>
        <v/>
      </c>
      <c r="X114" s="783">
        <f>T114+U114+V114</f>
        <v/>
      </c>
    </row>
    <row r="115" hidden="1" ht="15.6" customHeight="1">
      <c r="B115" s="769" t="inlineStr">
        <is>
          <t>东风鸿远工程咨询有限公司</t>
        </is>
      </c>
      <c r="C115" s="770" t="inlineStr">
        <is>
          <t>2121</t>
        </is>
      </c>
      <c r="D115" s="772" t="inlineStr">
        <is>
          <t>E_627733</t>
        </is>
      </c>
      <c r="E115" s="772" t="inlineStr">
        <is>
          <t>中诚圣苑工程设计有限公司雁塔分公司</t>
        </is>
      </c>
      <c r="F115" s="772" t="inlineStr">
        <is>
          <t>采购款</t>
        </is>
      </c>
      <c r="G115" s="773" t="inlineStr">
        <is>
          <t>供应商</t>
        </is>
      </c>
      <c r="H115" s="774" t="inlineStr">
        <is>
          <t>CNY</t>
        </is>
      </c>
      <c r="I115" s="785" t="n">
        <v>-306852.1</v>
      </c>
      <c r="J115" s="785" t="n"/>
      <c r="K115" s="776" t="n"/>
      <c r="L115" s="777" t="n"/>
      <c r="M115" s="778">
        <f>J115+L115</f>
        <v/>
      </c>
      <c r="N115" s="786" t="n">
        <v>-306852.1</v>
      </c>
      <c r="O115" s="780">
        <f>M115-N115</f>
        <v/>
      </c>
      <c r="P115" s="781">
        <f>IF(N115&lt;&gt;0,O115/N115,"")</f>
        <v/>
      </c>
      <c r="Q115" s="776" t="n"/>
      <c r="R115" s="775" t="n">
        <v>0</v>
      </c>
      <c r="S115" s="775" t="n">
        <v>0</v>
      </c>
      <c r="T115" s="775" t="n">
        <v>-306852.1</v>
      </c>
      <c r="U115" s="775" t="n">
        <v>0</v>
      </c>
      <c r="V115" s="775" t="n">
        <v>0</v>
      </c>
      <c r="W115" s="782">
        <f>SUM(R115:V115)-M115</f>
        <v/>
      </c>
      <c r="X115" s="783">
        <f>T115+U115+V115</f>
        <v/>
      </c>
    </row>
    <row r="116" hidden="1" ht="15.6" customHeight="1">
      <c r="B116" s="769" t="inlineStr">
        <is>
          <t>东风鸿远工程咨询有限公司</t>
        </is>
      </c>
      <c r="C116" s="770" t="inlineStr">
        <is>
          <t>2121</t>
        </is>
      </c>
      <c r="D116" s="772" t="inlineStr">
        <is>
          <t>E_146627</t>
        </is>
      </c>
      <c r="E116" s="772" t="inlineStr">
        <is>
          <t>湖北华炬税务师事务有限公司</t>
        </is>
      </c>
      <c r="F116" s="772" t="inlineStr">
        <is>
          <t>采购款</t>
        </is>
      </c>
      <c r="G116" s="773" t="inlineStr">
        <is>
          <t>供应商</t>
        </is>
      </c>
      <c r="H116" s="774" t="inlineStr">
        <is>
          <t>CNY</t>
        </is>
      </c>
      <c r="I116" s="785" t="n">
        <v>-35000</v>
      </c>
      <c r="J116" s="785" t="n"/>
      <c r="K116" s="776" t="n"/>
      <c r="L116" s="777" t="n"/>
      <c r="M116" s="778">
        <f>J116+L116</f>
        <v/>
      </c>
      <c r="N116" s="786" t="n">
        <v>-35000</v>
      </c>
      <c r="O116" s="780">
        <f>M116-N116</f>
        <v/>
      </c>
      <c r="P116" s="781">
        <f>IF(N116&lt;&gt;0,O116/N116,"")</f>
        <v/>
      </c>
      <c r="Q116" s="776" t="n"/>
      <c r="R116" s="775" t="n">
        <v>-35000</v>
      </c>
      <c r="S116" s="775" t="n">
        <v>0</v>
      </c>
      <c r="T116" s="775" t="n">
        <v>0</v>
      </c>
      <c r="U116" s="775" t="n">
        <v>0</v>
      </c>
      <c r="V116" s="775" t="n">
        <v>0</v>
      </c>
      <c r="W116" s="782">
        <f>SUM(R116:V116)-M116</f>
        <v/>
      </c>
      <c r="X116" s="783">
        <f>T116+U116+V116</f>
        <v/>
      </c>
    </row>
    <row r="117" hidden="1" ht="15.6" customHeight="1">
      <c r="B117" s="769" t="inlineStr">
        <is>
          <t>东风鸿远工程咨询有限公司</t>
        </is>
      </c>
      <c r="C117" s="770" t="inlineStr">
        <is>
          <t>2121</t>
        </is>
      </c>
      <c r="D117" s="772" t="inlineStr">
        <is>
          <t>E_613979</t>
        </is>
      </c>
      <c r="E117" s="772" t="inlineStr">
        <is>
          <t>襄阳市环知管业有限公司</t>
        </is>
      </c>
      <c r="F117" s="772" t="inlineStr">
        <is>
          <t>采购款</t>
        </is>
      </c>
      <c r="G117" s="773" t="inlineStr">
        <is>
          <t>供应商</t>
        </is>
      </c>
      <c r="H117" s="774" t="inlineStr">
        <is>
          <t>CNY</t>
        </is>
      </c>
      <c r="I117" s="785" t="n">
        <v>-1458.41</v>
      </c>
      <c r="J117" s="785" t="n"/>
      <c r="K117" s="776" t="n"/>
      <c r="L117" s="777" t="n"/>
      <c r="M117" s="778">
        <f>J117+L117</f>
        <v/>
      </c>
      <c r="N117" s="786" t="n">
        <v>-1458.41</v>
      </c>
      <c r="O117" s="780">
        <f>M117-N117</f>
        <v/>
      </c>
      <c r="P117" s="781">
        <f>IF(N117&lt;&gt;0,O117/N117,"")</f>
        <v/>
      </c>
      <c r="Q117" s="776" t="n"/>
      <c r="R117" s="775" t="n">
        <v>0</v>
      </c>
      <c r="S117" s="775" t="n">
        <v>0</v>
      </c>
      <c r="T117" s="775" t="n">
        <v>0</v>
      </c>
      <c r="U117" s="775" t="n">
        <v>0</v>
      </c>
      <c r="V117" s="775" t="n">
        <v>-1458.41</v>
      </c>
      <c r="W117" s="782">
        <f>SUM(R117:V117)-M117</f>
        <v/>
      </c>
      <c r="X117" s="783">
        <f>T117+U117+V117</f>
        <v/>
      </c>
    </row>
    <row r="118" hidden="1" ht="15.6" customHeight="1">
      <c r="B118" s="769" t="inlineStr">
        <is>
          <t>东风鸿远工程咨询有限公司</t>
        </is>
      </c>
      <c r="C118" s="770" t="inlineStr">
        <is>
          <t>2121</t>
        </is>
      </c>
      <c r="D118" s="772" t="inlineStr">
        <is>
          <t>E_623969</t>
        </is>
      </c>
      <c r="E118" s="772" t="inlineStr">
        <is>
          <t>武汉源景实创数字科技有限公司</t>
        </is>
      </c>
      <c r="F118" s="772" t="inlineStr">
        <is>
          <t>采购款</t>
        </is>
      </c>
      <c r="G118" s="773" t="inlineStr">
        <is>
          <t>供应商</t>
        </is>
      </c>
      <c r="H118" s="774" t="inlineStr">
        <is>
          <t>CNY</t>
        </is>
      </c>
      <c r="I118" s="785" t="n">
        <v>-57915.09</v>
      </c>
      <c r="J118" s="785" t="n"/>
      <c r="K118" s="776" t="n"/>
      <c r="L118" s="777" t="n"/>
      <c r="M118" s="778">
        <f>J118+L118</f>
        <v/>
      </c>
      <c r="N118" s="786" t="n">
        <v>-57915.09</v>
      </c>
      <c r="O118" s="780">
        <f>M118-N118</f>
        <v/>
      </c>
      <c r="P118" s="781">
        <f>IF(N118&lt;&gt;0,O118/N118,"")</f>
        <v/>
      </c>
      <c r="Q118" s="776" t="n"/>
      <c r="R118" s="775" t="n">
        <v>-57915.09</v>
      </c>
      <c r="S118" s="775" t="n">
        <v>0</v>
      </c>
      <c r="T118" s="775" t="n">
        <v>0</v>
      </c>
      <c r="U118" s="775" t="n">
        <v>0</v>
      </c>
      <c r="V118" s="775" t="n">
        <v>0</v>
      </c>
      <c r="W118" s="782">
        <f>SUM(R118:V118)-M118</f>
        <v/>
      </c>
      <c r="X118" s="783">
        <f>T118+U118+V118</f>
        <v/>
      </c>
    </row>
    <row r="119" hidden="1" ht="15.6" customHeight="1">
      <c r="B119" s="769" t="inlineStr">
        <is>
          <t>东风鸿远工程咨询有限公司</t>
        </is>
      </c>
      <c r="C119" s="770" t="inlineStr">
        <is>
          <t>2121</t>
        </is>
      </c>
      <c r="D119" s="772" t="inlineStr">
        <is>
          <t>E_614350</t>
        </is>
      </c>
      <c r="E119" s="772" t="inlineStr">
        <is>
          <t>湖北省汉江亿辉工程有限公司</t>
        </is>
      </c>
      <c r="F119" s="772" t="inlineStr">
        <is>
          <t>采购款</t>
        </is>
      </c>
      <c r="G119" s="773" t="inlineStr">
        <is>
          <t>供应商</t>
        </is>
      </c>
      <c r="H119" s="774" t="inlineStr">
        <is>
          <t>CNY</t>
        </is>
      </c>
      <c r="I119" s="785" t="n">
        <v>0</v>
      </c>
      <c r="J119" s="785" t="n"/>
      <c r="K119" s="776" t="n"/>
      <c r="L119" s="777" t="n"/>
      <c r="M119" s="778">
        <f>J119+L119</f>
        <v/>
      </c>
      <c r="N119" s="786" t="n">
        <v>0</v>
      </c>
      <c r="O119" s="780">
        <f>M119-N119</f>
        <v/>
      </c>
      <c r="P119" s="781">
        <f>IF(N119&lt;&gt;0,O119/N119,"")</f>
        <v/>
      </c>
      <c r="Q119" s="776" t="n"/>
      <c r="R119" s="775" t="n">
        <v>0</v>
      </c>
      <c r="S119" s="775" t="n">
        <v>0</v>
      </c>
      <c r="T119" s="775" t="n">
        <v>0</v>
      </c>
      <c r="U119" s="775" t="n">
        <v>0</v>
      </c>
      <c r="V119" s="775" t="n">
        <v>0</v>
      </c>
      <c r="W119" s="782">
        <f>SUM(R119:V119)-M119</f>
        <v/>
      </c>
      <c r="X119" s="783">
        <f>T119+U119+V119</f>
        <v/>
      </c>
    </row>
    <row r="120" hidden="1" ht="15.6" customHeight="1">
      <c r="B120" s="769" t="inlineStr">
        <is>
          <t>东风鸿远工程咨询有限公司</t>
        </is>
      </c>
      <c r="C120" s="770" t="inlineStr">
        <is>
          <t>2121</t>
        </is>
      </c>
      <c r="D120" s="772" t="inlineStr">
        <is>
          <t>E_668714</t>
        </is>
      </c>
      <c r="E120" s="772" t="inlineStr">
        <is>
          <t>枣阳市建筑设计研究院</t>
        </is>
      </c>
      <c r="F120" s="772" t="inlineStr">
        <is>
          <t>采购款</t>
        </is>
      </c>
      <c r="G120" s="773" t="inlineStr">
        <is>
          <t>供应商</t>
        </is>
      </c>
      <c r="H120" s="774" t="inlineStr">
        <is>
          <t>CNY</t>
        </is>
      </c>
      <c r="I120" s="785" t="n">
        <v>-378207.55</v>
      </c>
      <c r="J120" s="785" t="n"/>
      <c r="K120" s="776" t="n"/>
      <c r="L120" s="777" t="n"/>
      <c r="M120" s="778">
        <f>J120+L120</f>
        <v/>
      </c>
      <c r="N120" s="786" t="n">
        <v>-378207.55</v>
      </c>
      <c r="O120" s="780">
        <f>M120-N120</f>
        <v/>
      </c>
      <c r="P120" s="781">
        <f>IF(N120&lt;&gt;0,O120/N120,"")</f>
        <v/>
      </c>
      <c r="Q120" s="776" t="n"/>
      <c r="R120" s="775" t="n">
        <v>0</v>
      </c>
      <c r="S120" s="775" t="n">
        <v>0</v>
      </c>
      <c r="T120" s="775" t="n">
        <v>0</v>
      </c>
      <c r="U120" s="775" t="n">
        <v>0</v>
      </c>
      <c r="V120" s="775" t="n">
        <v>-378207.55</v>
      </c>
      <c r="W120" s="782">
        <f>SUM(R120:V120)-M120</f>
        <v/>
      </c>
      <c r="X120" s="783">
        <f>T120+U120+V120</f>
        <v/>
      </c>
    </row>
    <row r="121" hidden="1" ht="15.6" customHeight="1">
      <c r="B121" s="769" t="inlineStr">
        <is>
          <t>东风鸿远工程咨询有限公司</t>
        </is>
      </c>
      <c r="C121" s="770" t="inlineStr">
        <is>
          <t>2121</t>
        </is>
      </c>
      <c r="D121" s="772" t="inlineStr">
        <is>
          <t>E_617035</t>
        </is>
      </c>
      <c r="E121" s="772" t="inlineStr">
        <is>
          <t>湖北地智劳务有限公司</t>
        </is>
      </c>
      <c r="F121" s="772" t="inlineStr">
        <is>
          <t>采购款</t>
        </is>
      </c>
      <c r="G121" s="773" t="inlineStr">
        <is>
          <t>供应商</t>
        </is>
      </c>
      <c r="H121" s="774" t="inlineStr">
        <is>
          <t>CNY</t>
        </is>
      </c>
      <c r="I121" s="785" t="n">
        <v>0</v>
      </c>
      <c r="J121" s="785" t="n"/>
      <c r="K121" s="776" t="n"/>
      <c r="L121" s="777" t="n"/>
      <c r="M121" s="778">
        <f>J121+L121</f>
        <v/>
      </c>
      <c r="N121" s="786" t="n">
        <v>0</v>
      </c>
      <c r="O121" s="780">
        <f>M121-N121</f>
        <v/>
      </c>
      <c r="P121" s="781">
        <f>IF(N121&lt;&gt;0,O121/N121,"")</f>
        <v/>
      </c>
      <c r="Q121" s="776" t="n"/>
      <c r="R121" s="775" t="n">
        <v>0</v>
      </c>
      <c r="S121" s="775" t="n">
        <v>0</v>
      </c>
      <c r="T121" s="775" t="n">
        <v>0</v>
      </c>
      <c r="U121" s="775" t="n">
        <v>0</v>
      </c>
      <c r="V121" s="775" t="n">
        <v>0</v>
      </c>
      <c r="W121" s="782">
        <f>SUM(R121:V121)-M121</f>
        <v/>
      </c>
      <c r="X121" s="783">
        <f>T121+U121+V121</f>
        <v/>
      </c>
    </row>
    <row r="122" hidden="1" ht="15.6" customHeight="1">
      <c r="B122" s="769" t="inlineStr">
        <is>
          <t>东风鸿远工程咨询有限公司</t>
        </is>
      </c>
      <c r="C122" s="770" t="inlineStr">
        <is>
          <t>2121</t>
        </is>
      </c>
      <c r="D122" s="772" t="inlineStr">
        <is>
          <t>E_765323</t>
        </is>
      </c>
      <c r="E122" s="772" t="inlineStr">
        <is>
          <t>秦皇岛市天垚地质勘查施工队</t>
        </is>
      </c>
      <c r="F122" s="772" t="inlineStr">
        <is>
          <t>采购款</t>
        </is>
      </c>
      <c r="G122" s="773" t="inlineStr">
        <is>
          <t>供应商</t>
        </is>
      </c>
      <c r="H122" s="774" t="inlineStr">
        <is>
          <t>CNY</t>
        </is>
      </c>
      <c r="I122" s="785" t="n">
        <v>-8453.4</v>
      </c>
      <c r="J122" s="785" t="n"/>
      <c r="K122" s="776" t="n"/>
      <c r="L122" s="777" t="n"/>
      <c r="M122" s="778">
        <f>J122+L122</f>
        <v/>
      </c>
      <c r="N122" s="786" t="n">
        <v>-8453.4</v>
      </c>
      <c r="O122" s="780">
        <f>M122-N122</f>
        <v/>
      </c>
      <c r="P122" s="781">
        <f>IF(N122&lt;&gt;0,O122/N122,"")</f>
        <v/>
      </c>
      <c r="Q122" s="776" t="n"/>
      <c r="R122" s="775" t="n">
        <v>0</v>
      </c>
      <c r="S122" s="775" t="n">
        <v>-8453.4</v>
      </c>
      <c r="T122" s="775" t="n">
        <v>0</v>
      </c>
      <c r="U122" s="775" t="n">
        <v>0</v>
      </c>
      <c r="V122" s="775" t="n">
        <v>0</v>
      </c>
      <c r="W122" s="782">
        <f>SUM(R122:V122)-M122</f>
        <v/>
      </c>
      <c r="X122" s="783">
        <f>T122+U122+V122</f>
        <v/>
      </c>
    </row>
    <row r="123" hidden="1" ht="15.6" customHeight="1">
      <c r="B123" s="769" t="inlineStr">
        <is>
          <t>东风鸿远工程咨询有限公司</t>
        </is>
      </c>
      <c r="C123" s="770" t="inlineStr">
        <is>
          <t>2121</t>
        </is>
      </c>
      <c r="D123" s="772" t="inlineStr">
        <is>
          <t>E_605798</t>
        </is>
      </c>
      <c r="E123" s="772" t="inlineStr">
        <is>
          <t>山东新岳工程勘察有限公司</t>
        </is>
      </c>
      <c r="F123" s="772" t="inlineStr">
        <is>
          <t>采购款</t>
        </is>
      </c>
      <c r="G123" s="773" t="inlineStr">
        <is>
          <t>供应商</t>
        </is>
      </c>
      <c r="H123" s="774" t="inlineStr">
        <is>
          <t>CNY</t>
        </is>
      </c>
      <c r="I123" s="785" t="n">
        <v>-50000</v>
      </c>
      <c r="J123" s="785" t="n"/>
      <c r="K123" s="776" t="n"/>
      <c r="L123" s="777" t="n"/>
      <c r="M123" s="778">
        <f>J123+L123</f>
        <v/>
      </c>
      <c r="N123" s="786" t="n">
        <v>-50000</v>
      </c>
      <c r="O123" s="780">
        <f>M123-N123</f>
        <v/>
      </c>
      <c r="P123" s="781">
        <f>IF(N123&lt;&gt;0,O123/N123,"")</f>
        <v/>
      </c>
      <c r="Q123" s="776" t="n"/>
      <c r="R123" s="775" t="n">
        <v>0</v>
      </c>
      <c r="S123" s="775" t="n">
        <v>0</v>
      </c>
      <c r="T123" s="775" t="n">
        <v>-50000</v>
      </c>
      <c r="U123" s="775" t="n">
        <v>0</v>
      </c>
      <c r="V123" s="775" t="n">
        <v>0</v>
      </c>
      <c r="W123" s="782">
        <f>SUM(R123:V123)-M123</f>
        <v/>
      </c>
      <c r="X123" s="783">
        <f>T123+U123+V123</f>
        <v/>
      </c>
    </row>
    <row r="124" hidden="1" ht="15.6" customHeight="1">
      <c r="B124" s="769" t="inlineStr">
        <is>
          <t>东风鸿远工程咨询有限公司</t>
        </is>
      </c>
      <c r="C124" s="770" t="inlineStr">
        <is>
          <t>2121</t>
        </is>
      </c>
      <c r="D124" s="772" t="inlineStr">
        <is>
          <t>E_736186</t>
        </is>
      </c>
      <c r="E124" s="772" t="inlineStr">
        <is>
          <t>湖北汉江京福科技发展有限公司</t>
        </is>
      </c>
      <c r="F124" s="772" t="inlineStr">
        <is>
          <t>采购款</t>
        </is>
      </c>
      <c r="G124" s="773" t="inlineStr">
        <is>
          <t>供应商</t>
        </is>
      </c>
      <c r="H124" s="774" t="inlineStr">
        <is>
          <t>CNY</t>
        </is>
      </c>
      <c r="I124" s="785" t="n">
        <v>-5400</v>
      </c>
      <c r="J124" s="785" t="n"/>
      <c r="K124" s="776" t="n"/>
      <c r="L124" s="777" t="n"/>
      <c r="M124" s="778">
        <f>J124+L124</f>
        <v/>
      </c>
      <c r="N124" s="786" t="n">
        <v>-5400</v>
      </c>
      <c r="O124" s="780">
        <f>M124-N124</f>
        <v/>
      </c>
      <c r="P124" s="781">
        <f>IF(N124&lt;&gt;0,O124/N124,"")</f>
        <v/>
      </c>
      <c r="Q124" s="776" t="n"/>
      <c r="R124" s="775" t="n">
        <v>-5400</v>
      </c>
      <c r="S124" s="775" t="n">
        <v>0</v>
      </c>
      <c r="T124" s="775" t="n">
        <v>0</v>
      </c>
      <c r="U124" s="775" t="n">
        <v>0</v>
      </c>
      <c r="V124" s="775" t="n">
        <v>0</v>
      </c>
      <c r="W124" s="782">
        <f>SUM(R124:V124)-M124</f>
        <v/>
      </c>
      <c r="X124" s="783">
        <f>T124+U124+V124</f>
        <v/>
      </c>
    </row>
    <row r="125" hidden="1" ht="15.6" customHeight="1">
      <c r="B125" s="769" t="inlineStr">
        <is>
          <t>东风鸿远工程咨询有限公司</t>
        </is>
      </c>
      <c r="C125" s="770" t="inlineStr">
        <is>
          <t>2121</t>
        </is>
      </c>
      <c r="D125" s="772" t="inlineStr">
        <is>
          <t>E_625115</t>
        </is>
      </c>
      <c r="E125" s="772" t="inlineStr">
        <is>
          <t>谷城县建筑设计院</t>
        </is>
      </c>
      <c r="F125" s="772" t="inlineStr">
        <is>
          <t>采购款</t>
        </is>
      </c>
      <c r="G125" s="773" t="inlineStr">
        <is>
          <t>供应商</t>
        </is>
      </c>
      <c r="H125" s="774" t="inlineStr">
        <is>
          <t>CNY</t>
        </is>
      </c>
      <c r="I125" s="785" t="n">
        <v>-91769.28999999999</v>
      </c>
      <c r="J125" s="785" t="n"/>
      <c r="K125" s="776" t="n"/>
      <c r="L125" s="777" t="n"/>
      <c r="M125" s="778">
        <f>J125+L125</f>
        <v/>
      </c>
      <c r="N125" s="786" t="n">
        <v>-91769.28999999999</v>
      </c>
      <c r="O125" s="780">
        <f>M125-N125</f>
        <v/>
      </c>
      <c r="P125" s="781">
        <f>IF(N125&lt;&gt;0,O125/N125,"")</f>
        <v/>
      </c>
      <c r="Q125" s="776" t="n"/>
      <c r="R125" s="775" t="n">
        <v>0</v>
      </c>
      <c r="S125" s="775" t="n">
        <v>0</v>
      </c>
      <c r="T125" s="775" t="n">
        <v>-91769.28999999999</v>
      </c>
      <c r="U125" s="775" t="n">
        <v>0</v>
      </c>
      <c r="V125" s="775" t="n">
        <v>0</v>
      </c>
      <c r="W125" s="782">
        <f>SUM(R125:V125)-M125</f>
        <v/>
      </c>
      <c r="X125" s="783">
        <f>T125+U125+V125</f>
        <v/>
      </c>
    </row>
    <row r="126" hidden="1" ht="15.6" customHeight="1">
      <c r="B126" s="769" t="inlineStr">
        <is>
          <t>东风鸿远工程咨询有限公司</t>
        </is>
      </c>
      <c r="C126" s="770" t="inlineStr">
        <is>
          <t>2121</t>
        </is>
      </c>
      <c r="D126" s="772" t="inlineStr">
        <is>
          <t>E_823758</t>
        </is>
      </c>
      <c r="E126" s="772" t="inlineStr">
        <is>
          <t>河北中天环保有限公司</t>
        </is>
      </c>
      <c r="F126" s="772" t="inlineStr">
        <is>
          <t>采购款</t>
        </is>
      </c>
      <c r="G126" s="773" t="inlineStr">
        <is>
          <t>供应商</t>
        </is>
      </c>
      <c r="H126" s="774" t="inlineStr">
        <is>
          <t>CNY</t>
        </is>
      </c>
      <c r="I126" s="785" t="n">
        <v>-192000</v>
      </c>
      <c r="J126" s="785" t="n"/>
      <c r="K126" s="776" t="n"/>
      <c r="L126" s="777" t="n"/>
      <c r="M126" s="778">
        <f>J126+L126</f>
        <v/>
      </c>
      <c r="N126" s="786" t="n">
        <v>-192000</v>
      </c>
      <c r="O126" s="780">
        <f>M126-N126</f>
        <v/>
      </c>
      <c r="P126" s="781">
        <f>IF(N126&lt;&gt;0,O126/N126,"")</f>
        <v/>
      </c>
      <c r="Q126" s="776" t="n"/>
      <c r="R126" s="775" t="n">
        <v>-192000</v>
      </c>
      <c r="S126" s="775" t="n">
        <v>0</v>
      </c>
      <c r="T126" s="775" t="n">
        <v>0</v>
      </c>
      <c r="U126" s="775" t="n">
        <v>0</v>
      </c>
      <c r="V126" s="775" t="n">
        <v>0</v>
      </c>
      <c r="W126" s="782">
        <f>SUM(R126:V126)-M126</f>
        <v/>
      </c>
      <c r="X126" s="783">
        <f>T126+U126+V126</f>
        <v/>
      </c>
    </row>
    <row r="127" hidden="1" ht="15.6" customHeight="1">
      <c r="B127" s="769" t="inlineStr">
        <is>
          <t>东风鸿远工程咨询有限公司</t>
        </is>
      </c>
      <c r="C127" s="770" t="inlineStr">
        <is>
          <t>2121</t>
        </is>
      </c>
      <c r="D127" s="772" t="inlineStr">
        <is>
          <t>E_699582</t>
        </is>
      </c>
      <c r="E127" s="772" t="inlineStr">
        <is>
          <t>襄阳云上家建筑装饰工程有限公司</t>
        </is>
      </c>
      <c r="F127" s="772" t="inlineStr">
        <is>
          <t>采购款</t>
        </is>
      </c>
      <c r="G127" s="773" t="inlineStr">
        <is>
          <t>供应商</t>
        </is>
      </c>
      <c r="H127" s="774" t="inlineStr">
        <is>
          <t>CNY</t>
        </is>
      </c>
      <c r="I127" s="785" t="n">
        <v>0</v>
      </c>
      <c r="J127" s="785" t="n"/>
      <c r="K127" s="776" t="n"/>
      <c r="L127" s="777" t="n"/>
      <c r="M127" s="778">
        <f>J127+L127</f>
        <v/>
      </c>
      <c r="N127" s="786" t="n">
        <v>0</v>
      </c>
      <c r="O127" s="780">
        <f>M127-N127</f>
        <v/>
      </c>
      <c r="P127" s="781">
        <f>IF(N127&lt;&gt;0,O127/N127,"")</f>
        <v/>
      </c>
      <c r="Q127" s="776" t="n"/>
      <c r="R127" s="775" t="n">
        <v>0</v>
      </c>
      <c r="S127" s="775" t="n">
        <v>0</v>
      </c>
      <c r="T127" s="775" t="n">
        <v>0</v>
      </c>
      <c r="U127" s="775" t="n">
        <v>0</v>
      </c>
      <c r="V127" s="775" t="n">
        <v>0</v>
      </c>
      <c r="W127" s="782">
        <f>SUM(R127:V127)-M127</f>
        <v/>
      </c>
      <c r="X127" s="783">
        <f>T127+U127+V127</f>
        <v/>
      </c>
    </row>
    <row r="128" hidden="1" ht="15.6" customHeight="1">
      <c r="B128" s="769" t="inlineStr">
        <is>
          <t>东风鸿远工程咨询有限公司</t>
        </is>
      </c>
      <c r="C128" s="770" t="inlineStr">
        <is>
          <t>2121</t>
        </is>
      </c>
      <c r="D128" s="772" t="inlineStr">
        <is>
          <t>E_624959</t>
        </is>
      </c>
      <c r="E128" s="772" t="inlineStr">
        <is>
          <t>湖北固石岩土工程勘察有限公司</t>
        </is>
      </c>
      <c r="F128" s="772" t="inlineStr">
        <is>
          <t>采购款</t>
        </is>
      </c>
      <c r="G128" s="773" t="inlineStr">
        <is>
          <t>供应商</t>
        </is>
      </c>
      <c r="H128" s="774" t="inlineStr">
        <is>
          <t>CNY</t>
        </is>
      </c>
      <c r="I128" s="785" t="n">
        <v>-248893.31</v>
      </c>
      <c r="J128" s="785" t="n"/>
      <c r="K128" s="776" t="n"/>
      <c r="L128" s="777" t="n"/>
      <c r="M128" s="778">
        <f>J128+L128</f>
        <v/>
      </c>
      <c r="N128" s="786" t="n">
        <v>-248893.31</v>
      </c>
      <c r="O128" s="780">
        <f>M128-N128</f>
        <v/>
      </c>
      <c r="P128" s="781">
        <f>IF(N128&lt;&gt;0,O128/N128,"")</f>
        <v/>
      </c>
      <c r="Q128" s="776" t="n"/>
      <c r="R128" s="775" t="n">
        <v>-144427.19</v>
      </c>
      <c r="S128" s="775" t="n">
        <v>-48261.42</v>
      </c>
      <c r="T128" s="775" t="n">
        <v>-56204.7</v>
      </c>
      <c r="U128" s="775" t="n">
        <v>0</v>
      </c>
      <c r="V128" s="775" t="n">
        <v>0</v>
      </c>
      <c r="W128" s="782">
        <f>SUM(R128:V128)-M128</f>
        <v/>
      </c>
      <c r="X128" s="783">
        <f>T128+U128+V128</f>
        <v/>
      </c>
    </row>
    <row r="129" hidden="1" ht="15.6" customHeight="1">
      <c r="B129" s="769" t="inlineStr">
        <is>
          <t>东风鸿远工程咨询有限公司</t>
        </is>
      </c>
      <c r="C129" s="770" t="inlineStr">
        <is>
          <t>2121</t>
        </is>
      </c>
      <c r="D129" s="772" t="inlineStr">
        <is>
          <t>E_857900</t>
        </is>
      </c>
      <c r="E129" s="772" t="inlineStr">
        <is>
          <t>湖北省锦安工程设计咨询有限公司</t>
        </is>
      </c>
      <c r="F129" s="772" t="inlineStr">
        <is>
          <t>采购款</t>
        </is>
      </c>
      <c r="G129" s="773" t="inlineStr">
        <is>
          <t>供应商</t>
        </is>
      </c>
      <c r="H129" s="774" t="inlineStr">
        <is>
          <t>CNY</t>
        </is>
      </c>
      <c r="I129" s="785" t="n">
        <v>-79207.92</v>
      </c>
      <c r="J129" s="785" t="n"/>
      <c r="K129" s="776" t="n"/>
      <c r="L129" s="777" t="n"/>
      <c r="M129" s="778">
        <f>J129+L129</f>
        <v/>
      </c>
      <c r="N129" s="786" t="n">
        <v>-79207.92</v>
      </c>
      <c r="O129" s="780">
        <f>M129-N129</f>
        <v/>
      </c>
      <c r="P129" s="781">
        <f>IF(N129&lt;&gt;0,O129/N129,"")</f>
        <v/>
      </c>
      <c r="Q129" s="776" t="n"/>
      <c r="R129" s="775" t="n">
        <v>-79207.92</v>
      </c>
      <c r="S129" s="775" t="n">
        <v>0</v>
      </c>
      <c r="T129" s="775" t="n">
        <v>0</v>
      </c>
      <c r="U129" s="775" t="n">
        <v>0</v>
      </c>
      <c r="V129" s="775" t="n">
        <v>0</v>
      </c>
      <c r="W129" s="782">
        <f>SUM(R129:V129)-M129</f>
        <v/>
      </c>
      <c r="X129" s="783">
        <f>T129+U129+V129</f>
        <v/>
      </c>
    </row>
    <row r="130" hidden="1" ht="15.6" customHeight="1">
      <c r="B130" s="769" t="inlineStr">
        <is>
          <t>东风鸿远工程咨询有限公司</t>
        </is>
      </c>
      <c r="C130" s="770" t="inlineStr">
        <is>
          <t>2121</t>
        </is>
      </c>
      <c r="D130" s="772" t="inlineStr">
        <is>
          <t>E_609898</t>
        </is>
      </c>
      <c r="E130" s="772" t="inlineStr">
        <is>
          <t>河北陆源土地规划咨询有限公司</t>
        </is>
      </c>
      <c r="F130" s="772" t="inlineStr">
        <is>
          <t>采购款</t>
        </is>
      </c>
      <c r="G130" s="773" t="inlineStr">
        <is>
          <t>供应商</t>
        </is>
      </c>
      <c r="H130" s="774" t="inlineStr">
        <is>
          <t>CNY</t>
        </is>
      </c>
      <c r="I130" s="785" t="n">
        <v>-112655.42</v>
      </c>
      <c r="J130" s="785" t="n"/>
      <c r="K130" s="776" t="n"/>
      <c r="L130" s="777" t="n"/>
      <c r="M130" s="778">
        <f>J130+L130</f>
        <v/>
      </c>
      <c r="N130" s="786" t="n">
        <v>-112655.42</v>
      </c>
      <c r="O130" s="780">
        <f>M130-N130</f>
        <v/>
      </c>
      <c r="P130" s="781">
        <f>IF(N130&lt;&gt;0,O130/N130,"")</f>
        <v/>
      </c>
      <c r="Q130" s="776" t="n"/>
      <c r="R130" s="775" t="n">
        <v>0</v>
      </c>
      <c r="S130" s="775" t="n">
        <v>-112655.42</v>
      </c>
      <c r="T130" s="775" t="n">
        <v>0</v>
      </c>
      <c r="U130" s="775" t="n">
        <v>0</v>
      </c>
      <c r="V130" s="775" t="n">
        <v>0</v>
      </c>
      <c r="W130" s="782">
        <f>SUM(R130:V130)-M130</f>
        <v/>
      </c>
      <c r="X130" s="783">
        <f>T130+U130+V130</f>
        <v/>
      </c>
    </row>
    <row r="131" hidden="1" ht="15.6" customHeight="1">
      <c r="B131" s="769" t="inlineStr">
        <is>
          <t>东风鸿远工程咨询有限公司</t>
        </is>
      </c>
      <c r="C131" s="770" t="inlineStr">
        <is>
          <t>2121</t>
        </is>
      </c>
      <c r="D131" s="772" t="inlineStr">
        <is>
          <t>E_598585</t>
        </is>
      </c>
      <c r="E131" s="772" t="inlineStr">
        <is>
          <t>容海川城乡规划设计有限公司</t>
        </is>
      </c>
      <c r="F131" s="772" t="inlineStr">
        <is>
          <t>采购款</t>
        </is>
      </c>
      <c r="G131" s="773" t="inlineStr">
        <is>
          <t>供应商</t>
        </is>
      </c>
      <c r="H131" s="774" t="inlineStr">
        <is>
          <t>CNY</t>
        </is>
      </c>
      <c r="I131" s="785" t="n">
        <v>-94339.62</v>
      </c>
      <c r="J131" s="785" t="n"/>
      <c r="K131" s="776" t="n"/>
      <c r="L131" s="777" t="n"/>
      <c r="M131" s="778">
        <f>J131+L131</f>
        <v/>
      </c>
      <c r="N131" s="786" t="n">
        <v>-94339.62</v>
      </c>
      <c r="O131" s="780">
        <f>M131-N131</f>
        <v/>
      </c>
      <c r="P131" s="781">
        <f>IF(N131&lt;&gt;0,O131/N131,"")</f>
        <v/>
      </c>
      <c r="Q131" s="776" t="n"/>
      <c r="R131" s="775" t="n">
        <v>0</v>
      </c>
      <c r="S131" s="775" t="n">
        <v>-94339.62</v>
      </c>
      <c r="T131" s="775" t="n">
        <v>0</v>
      </c>
      <c r="U131" s="775" t="n">
        <v>0</v>
      </c>
      <c r="V131" s="775" t="n">
        <v>0</v>
      </c>
      <c r="W131" s="782">
        <f>SUM(R131:V131)-M131</f>
        <v/>
      </c>
      <c r="X131" s="783">
        <f>T131+U131+V131</f>
        <v/>
      </c>
    </row>
    <row r="132" hidden="1" ht="15.6" customHeight="1">
      <c r="B132" s="769" t="inlineStr">
        <is>
          <t>东风鸿远工程咨询有限公司</t>
        </is>
      </c>
      <c r="C132" s="770" t="inlineStr">
        <is>
          <t>2121</t>
        </is>
      </c>
      <c r="D132" s="772" t="inlineStr">
        <is>
          <t>E_624793</t>
        </is>
      </c>
      <c r="E132" s="772" t="inlineStr">
        <is>
          <t>中伦国际设计集团有限公司襄阳分公司</t>
        </is>
      </c>
      <c r="F132" s="772" t="inlineStr">
        <is>
          <t>采购款</t>
        </is>
      </c>
      <c r="G132" s="773" t="inlineStr">
        <is>
          <t>供应商</t>
        </is>
      </c>
      <c r="H132" s="774" t="inlineStr">
        <is>
          <t>CNY</t>
        </is>
      </c>
      <c r="I132" s="785" t="n">
        <v>-5825.24</v>
      </c>
      <c r="J132" s="785" t="n"/>
      <c r="K132" s="776" t="n"/>
      <c r="L132" s="777" t="n"/>
      <c r="M132" s="778">
        <f>J132+L132</f>
        <v/>
      </c>
      <c r="N132" s="786" t="n">
        <v>-5825.24</v>
      </c>
      <c r="O132" s="780">
        <f>M132-N132</f>
        <v/>
      </c>
      <c r="P132" s="781">
        <f>IF(N132&lt;&gt;0,O132/N132,"")</f>
        <v/>
      </c>
      <c r="Q132" s="776" t="n"/>
      <c r="R132" s="775" t="n">
        <v>0</v>
      </c>
      <c r="S132" s="775" t="n">
        <v>0</v>
      </c>
      <c r="T132" s="775" t="n">
        <v>0</v>
      </c>
      <c r="U132" s="775" t="n">
        <v>-5825.24</v>
      </c>
      <c r="V132" s="775" t="n">
        <v>0</v>
      </c>
      <c r="W132" s="782">
        <f>SUM(R132:V132)-M132</f>
        <v/>
      </c>
      <c r="X132" s="783">
        <f>T132+U132+V132</f>
        <v/>
      </c>
    </row>
    <row r="133" hidden="1" ht="15.6" customHeight="1">
      <c r="B133" s="769" t="inlineStr">
        <is>
          <t>东风鸿远工程咨询有限公司</t>
        </is>
      </c>
      <c r="C133" s="770" t="inlineStr">
        <is>
          <t>2121</t>
        </is>
      </c>
      <c r="D133" s="772" t="inlineStr">
        <is>
          <t>E_614035</t>
        </is>
      </c>
      <c r="E133" s="772" t="inlineStr">
        <is>
          <t>襄阳佳珩商贸有限公司</t>
        </is>
      </c>
      <c r="F133" s="772" t="inlineStr">
        <is>
          <t>采购款</t>
        </is>
      </c>
      <c r="G133" s="773" t="inlineStr">
        <is>
          <t>供应商</t>
        </is>
      </c>
      <c r="H133" s="774" t="inlineStr">
        <is>
          <t>CNY</t>
        </is>
      </c>
      <c r="I133" s="785" t="n">
        <v>-10291.26</v>
      </c>
      <c r="J133" s="785" t="n"/>
      <c r="K133" s="776" t="n"/>
      <c r="L133" s="777" t="n"/>
      <c r="M133" s="778">
        <f>J133+L133</f>
        <v/>
      </c>
      <c r="N133" s="786" t="n">
        <v>-10291.26</v>
      </c>
      <c r="O133" s="780">
        <f>M133-N133</f>
        <v/>
      </c>
      <c r="P133" s="781">
        <f>IF(N133&lt;&gt;0,O133/N133,"")</f>
        <v/>
      </c>
      <c r="Q133" s="776" t="n"/>
      <c r="R133" s="775" t="n">
        <v>0</v>
      </c>
      <c r="S133" s="775" t="n">
        <v>0</v>
      </c>
      <c r="T133" s="775" t="n">
        <v>0</v>
      </c>
      <c r="U133" s="775" t="n">
        <v>0</v>
      </c>
      <c r="V133" s="775" t="n">
        <v>-10291.26</v>
      </c>
      <c r="W133" s="782">
        <f>SUM(R133:V133)-M133</f>
        <v/>
      </c>
      <c r="X133" s="783">
        <f>T133+U133+V133</f>
        <v/>
      </c>
    </row>
    <row r="134" hidden="1" ht="15.6" customHeight="1">
      <c r="B134" s="769" t="inlineStr">
        <is>
          <t>东风鸿远工程咨询有限公司</t>
        </is>
      </c>
      <c r="C134" s="770" t="inlineStr">
        <is>
          <t>2121</t>
        </is>
      </c>
      <c r="D134" s="772" t="inlineStr">
        <is>
          <t>E_686470</t>
        </is>
      </c>
      <c r="E134" s="772" t="inlineStr">
        <is>
          <t>湖北梵烨建筑装饰设计有限公司</t>
        </is>
      </c>
      <c r="F134" s="772" t="inlineStr">
        <is>
          <t>采购款</t>
        </is>
      </c>
      <c r="G134" s="773" t="inlineStr">
        <is>
          <t>供应商</t>
        </is>
      </c>
      <c r="H134" s="774" t="inlineStr">
        <is>
          <t>CNY</t>
        </is>
      </c>
      <c r="I134" s="785" t="n">
        <v>0</v>
      </c>
      <c r="J134" s="785" t="n"/>
      <c r="K134" s="776" t="n"/>
      <c r="L134" s="777" t="n"/>
      <c r="M134" s="778">
        <f>J134+L134</f>
        <v/>
      </c>
      <c r="N134" s="786" t="n">
        <v>0</v>
      </c>
      <c r="O134" s="780">
        <f>M134-N134</f>
        <v/>
      </c>
      <c r="P134" s="781">
        <f>IF(N134&lt;&gt;0,O134/N134,"")</f>
        <v/>
      </c>
      <c r="Q134" s="776" t="n"/>
      <c r="R134" s="775" t="n">
        <v>0</v>
      </c>
      <c r="S134" s="775" t="n">
        <v>0</v>
      </c>
      <c r="T134" s="775" t="n">
        <v>0</v>
      </c>
      <c r="U134" s="775" t="n">
        <v>0</v>
      </c>
      <c r="V134" s="775" t="n">
        <v>0</v>
      </c>
      <c r="W134" s="782">
        <f>SUM(R134:V134)-M134</f>
        <v/>
      </c>
      <c r="X134" s="783">
        <f>T134+U134+V134</f>
        <v/>
      </c>
    </row>
    <row r="135" hidden="1" ht="15.6" customHeight="1">
      <c r="B135" s="769" t="inlineStr">
        <is>
          <t>东风鸿远工程咨询有限公司</t>
        </is>
      </c>
      <c r="C135" s="770" t="inlineStr">
        <is>
          <t>2121</t>
        </is>
      </c>
      <c r="D135" s="772" t="inlineStr">
        <is>
          <t>E_007798</t>
        </is>
      </c>
      <c r="E135" s="772" t="inlineStr">
        <is>
          <t>湖北顺丰速运有限公司</t>
        </is>
      </c>
      <c r="F135" s="772" t="inlineStr">
        <is>
          <t>采购款</t>
        </is>
      </c>
      <c r="G135" s="773" t="inlineStr">
        <is>
          <t>供应商</t>
        </is>
      </c>
      <c r="H135" s="774" t="inlineStr">
        <is>
          <t>CNY</t>
        </is>
      </c>
      <c r="I135" s="785" t="n">
        <v>-1465.8</v>
      </c>
      <c r="J135" s="785" t="n"/>
      <c r="K135" s="776" t="n"/>
      <c r="L135" s="777" t="n"/>
      <c r="M135" s="778">
        <f>J135+L135</f>
        <v/>
      </c>
      <c r="N135" s="786" t="n">
        <v>-1465.8</v>
      </c>
      <c r="O135" s="780">
        <f>M135-N135</f>
        <v/>
      </c>
      <c r="P135" s="781">
        <f>IF(N135&lt;&gt;0,O135/N135,"")</f>
        <v/>
      </c>
      <c r="Q135" s="776" t="n"/>
      <c r="R135" s="775" t="n">
        <v>-1465.8</v>
      </c>
      <c r="S135" s="775" t="n">
        <v>0</v>
      </c>
      <c r="T135" s="775" t="n">
        <v>0</v>
      </c>
      <c r="U135" s="775" t="n">
        <v>0</v>
      </c>
      <c r="V135" s="775" t="n">
        <v>0</v>
      </c>
      <c r="W135" s="782">
        <f>SUM(R135:V135)-M135</f>
        <v/>
      </c>
      <c r="X135" s="783">
        <f>T135+U135+V135</f>
        <v/>
      </c>
    </row>
    <row r="136" hidden="1" ht="15.6" customHeight="1">
      <c r="B136" s="769" t="inlineStr">
        <is>
          <t>东风鸿远工程咨询有限公司</t>
        </is>
      </c>
      <c r="C136" s="770" t="inlineStr">
        <is>
          <t>2121</t>
        </is>
      </c>
      <c r="D136" s="772" t="inlineStr">
        <is>
          <t>E_171525</t>
        </is>
      </c>
      <c r="E136" s="772" t="inlineStr">
        <is>
          <t>湖北思扬律师事务所</t>
        </is>
      </c>
      <c r="F136" s="772" t="inlineStr">
        <is>
          <t>采购款</t>
        </is>
      </c>
      <c r="G136" s="773" t="inlineStr">
        <is>
          <t>供应商</t>
        </is>
      </c>
      <c r="H136" s="774" t="inlineStr">
        <is>
          <t>CNY</t>
        </is>
      </c>
      <c r="I136" s="785" t="n">
        <v>-82000</v>
      </c>
      <c r="J136" s="785" t="n"/>
      <c r="K136" s="776" t="n"/>
      <c r="L136" s="777" t="n"/>
      <c r="M136" s="778">
        <f>J136+L136</f>
        <v/>
      </c>
      <c r="N136" s="786" t="n">
        <v>-82000</v>
      </c>
      <c r="O136" s="780">
        <f>M136-N136</f>
        <v/>
      </c>
      <c r="P136" s="781">
        <f>IF(N136&lt;&gt;0,O136/N136,"")</f>
        <v/>
      </c>
      <c r="Q136" s="776" t="n"/>
      <c r="R136" s="775" t="n">
        <v>-82000</v>
      </c>
      <c r="S136" s="775" t="n">
        <v>0</v>
      </c>
      <c r="T136" s="775" t="n">
        <v>0</v>
      </c>
      <c r="U136" s="775" t="n">
        <v>0</v>
      </c>
      <c r="V136" s="775" t="n">
        <v>0</v>
      </c>
      <c r="W136" s="782">
        <f>SUM(R136:V136)-M136</f>
        <v/>
      </c>
      <c r="X136" s="783">
        <f>T136+U136+V136</f>
        <v/>
      </c>
    </row>
    <row r="137" hidden="1" ht="15.6" customHeight="1">
      <c r="B137" s="769" t="inlineStr">
        <is>
          <t>东风鸿远工程咨询有限公司</t>
        </is>
      </c>
      <c r="C137" s="770" t="inlineStr">
        <is>
          <t>2121</t>
        </is>
      </c>
      <c r="D137" s="772" t="inlineStr">
        <is>
          <t>E_658818</t>
        </is>
      </c>
      <c r="E137" s="772" t="inlineStr">
        <is>
          <t>中合一工程设计有限公司襄阳分公司</t>
        </is>
      </c>
      <c r="F137" s="772" t="inlineStr">
        <is>
          <t>采购款</t>
        </is>
      </c>
      <c r="G137" s="773" t="inlineStr">
        <is>
          <t>供应商</t>
        </is>
      </c>
      <c r="H137" s="774" t="inlineStr">
        <is>
          <t>CNY</t>
        </is>
      </c>
      <c r="I137" s="785" t="n">
        <v>-429441.19</v>
      </c>
      <c r="J137" s="785" t="n"/>
      <c r="K137" s="776" t="n"/>
      <c r="L137" s="777" t="n"/>
      <c r="M137" s="778">
        <f>J137+L137</f>
        <v/>
      </c>
      <c r="N137" s="786" t="n">
        <v>-429441.19</v>
      </c>
      <c r="O137" s="780">
        <f>M137-N137</f>
        <v/>
      </c>
      <c r="P137" s="781">
        <f>IF(N137&lt;&gt;0,O137/N137,"")</f>
        <v/>
      </c>
      <c r="Q137" s="776" t="n"/>
      <c r="R137" s="775" t="n">
        <v>-429441.19</v>
      </c>
      <c r="S137" s="775" t="n">
        <v>0</v>
      </c>
      <c r="T137" s="775" t="n">
        <v>0</v>
      </c>
      <c r="U137" s="775" t="n">
        <v>0</v>
      </c>
      <c r="V137" s="775" t="n">
        <v>0</v>
      </c>
      <c r="W137" s="782">
        <f>SUM(R137:V137)-M137</f>
        <v/>
      </c>
      <c r="X137" s="783">
        <f>T137+U137+V137</f>
        <v/>
      </c>
    </row>
    <row r="138" hidden="1" ht="15.6" customHeight="1">
      <c r="B138" s="769" t="inlineStr">
        <is>
          <t>东风鸿远工程咨询有限公司</t>
        </is>
      </c>
      <c r="C138" s="770" t="inlineStr">
        <is>
          <t>2121</t>
        </is>
      </c>
      <c r="D138" s="772" t="inlineStr">
        <is>
          <t>E_695163</t>
        </is>
      </c>
      <c r="E138" s="772" t="inlineStr">
        <is>
          <t>湖北纬屹测绘科技有限公司</t>
        </is>
      </c>
      <c r="F138" s="772" t="inlineStr">
        <is>
          <t>采购款</t>
        </is>
      </c>
      <c r="G138" s="773" t="inlineStr">
        <is>
          <t>供应商</t>
        </is>
      </c>
      <c r="H138" s="774" t="inlineStr">
        <is>
          <t>CNY</t>
        </is>
      </c>
      <c r="I138" s="785" t="n">
        <v>-21224.99</v>
      </c>
      <c r="J138" s="785" t="n"/>
      <c r="K138" s="776" t="n"/>
      <c r="L138" s="777" t="n"/>
      <c r="M138" s="778">
        <f>J138+L138</f>
        <v/>
      </c>
      <c r="N138" s="786" t="n">
        <v>-21224.99</v>
      </c>
      <c r="O138" s="780">
        <f>M138-N138</f>
        <v/>
      </c>
      <c r="P138" s="781">
        <f>IF(N138&lt;&gt;0,O138/N138,"")</f>
        <v/>
      </c>
      <c r="Q138" s="776" t="n"/>
      <c r="R138" s="775" t="n">
        <v>-7766.99</v>
      </c>
      <c r="S138" s="775" t="n">
        <v>-13458</v>
      </c>
      <c r="T138" s="775" t="n">
        <v>0</v>
      </c>
      <c r="U138" s="775" t="n">
        <v>0</v>
      </c>
      <c r="V138" s="775" t="n">
        <v>0</v>
      </c>
      <c r="W138" s="782">
        <f>SUM(R138:V138)-M138</f>
        <v/>
      </c>
      <c r="X138" s="783">
        <f>T138+U138+V138</f>
        <v/>
      </c>
    </row>
    <row r="139" hidden="1" ht="15.6" customHeight="1">
      <c r="B139" s="769" t="inlineStr">
        <is>
          <t>东风鸿远工程咨询有限公司</t>
        </is>
      </c>
      <c r="C139" s="770" t="inlineStr">
        <is>
          <t>2121</t>
        </is>
      </c>
      <c r="D139" s="772" t="inlineStr">
        <is>
          <t>E_625053</t>
        </is>
      </c>
      <c r="E139" s="772" t="inlineStr">
        <is>
          <t>襄阳虎威建筑工程有限公司</t>
        </is>
      </c>
      <c r="F139" s="772" t="inlineStr">
        <is>
          <t>采购款</t>
        </is>
      </c>
      <c r="G139" s="773" t="inlineStr">
        <is>
          <t>供应商</t>
        </is>
      </c>
      <c r="H139" s="774" t="inlineStr">
        <is>
          <t>CNY</t>
        </is>
      </c>
      <c r="I139" s="785" t="n">
        <v>-84407.77</v>
      </c>
      <c r="J139" s="785" t="n"/>
      <c r="K139" s="776" t="n"/>
      <c r="L139" s="777" t="n"/>
      <c r="M139" s="778">
        <f>J139+L139</f>
        <v/>
      </c>
      <c r="N139" s="786" t="n">
        <v>-84407.77</v>
      </c>
      <c r="O139" s="780">
        <f>M139-N139</f>
        <v/>
      </c>
      <c r="P139" s="781">
        <f>IF(N139&lt;&gt;0,O139/N139,"")</f>
        <v/>
      </c>
      <c r="Q139" s="776" t="n"/>
      <c r="R139" s="775" t="n">
        <v>-84407.77</v>
      </c>
      <c r="S139" s="775" t="n">
        <v>0</v>
      </c>
      <c r="T139" s="775" t="n">
        <v>0</v>
      </c>
      <c r="U139" s="775" t="n">
        <v>0</v>
      </c>
      <c r="V139" s="775" t="n">
        <v>0</v>
      </c>
      <c r="W139" s="782">
        <f>SUM(R139:V139)-M139</f>
        <v/>
      </c>
      <c r="X139" s="783">
        <f>T139+U139+V139</f>
        <v/>
      </c>
    </row>
    <row r="140" hidden="1" ht="15.6" customHeight="1">
      <c r="B140" s="769" t="inlineStr">
        <is>
          <t>东风鸿远工程咨询有限公司</t>
        </is>
      </c>
      <c r="C140" s="770" t="inlineStr">
        <is>
          <t>2121</t>
        </is>
      </c>
      <c r="D140" s="772" t="inlineStr">
        <is>
          <t>E_624758</t>
        </is>
      </c>
      <c r="E140" s="772" t="inlineStr">
        <is>
          <t>湖北重远岩土工程有限公司</t>
        </is>
      </c>
      <c r="F140" s="772" t="inlineStr">
        <is>
          <t>采购款</t>
        </is>
      </c>
      <c r="G140" s="773" t="inlineStr">
        <is>
          <t>供应商</t>
        </is>
      </c>
      <c r="H140" s="774" t="inlineStr">
        <is>
          <t>CNY</t>
        </is>
      </c>
      <c r="I140" s="785" t="n">
        <v>-1341571.95</v>
      </c>
      <c r="J140" s="785" t="n"/>
      <c r="K140" s="776" t="n"/>
      <c r="L140" s="777" t="n"/>
      <c r="M140" s="778">
        <f>J140+L140</f>
        <v/>
      </c>
      <c r="N140" s="786" t="n">
        <v>-1341571.95</v>
      </c>
      <c r="O140" s="780">
        <f>M140-N140</f>
        <v/>
      </c>
      <c r="P140" s="781">
        <f>IF(N140&lt;&gt;0,O140/N140,"")</f>
        <v/>
      </c>
      <c r="Q140" s="776" t="n"/>
      <c r="R140" s="775" t="n">
        <v>0</v>
      </c>
      <c r="S140" s="775" t="n">
        <v>0</v>
      </c>
      <c r="T140" s="775" t="n">
        <v>-867924.53</v>
      </c>
      <c r="U140" s="775" t="n">
        <v>-473647.42</v>
      </c>
      <c r="V140" s="775" t="n">
        <v>0</v>
      </c>
      <c r="W140" s="782">
        <f>SUM(R140:V140)-M140</f>
        <v/>
      </c>
      <c r="X140" s="783">
        <f>T140+U140+V140</f>
        <v/>
      </c>
    </row>
    <row r="141" hidden="1" ht="15.6" customHeight="1">
      <c r="B141" s="769" t="inlineStr">
        <is>
          <t>东风鸿远工程咨询有限公司</t>
        </is>
      </c>
      <c r="C141" s="770" t="inlineStr">
        <is>
          <t>2121</t>
        </is>
      </c>
      <c r="D141" s="772" t="inlineStr">
        <is>
          <t>E_605887</t>
        </is>
      </c>
      <c r="E141" s="772" t="inlineStr">
        <is>
          <t>北桥中七设计有限公司襄阳分公司</t>
        </is>
      </c>
      <c r="F141" s="772" t="inlineStr">
        <is>
          <t>采购款</t>
        </is>
      </c>
      <c r="G141" s="773" t="inlineStr">
        <is>
          <t>供应商</t>
        </is>
      </c>
      <c r="H141" s="774" t="inlineStr">
        <is>
          <t>CNY</t>
        </is>
      </c>
      <c r="I141" s="785" t="n">
        <v>-214690.58</v>
      </c>
      <c r="J141" s="785" t="n"/>
      <c r="K141" s="776" t="n"/>
      <c r="L141" s="777" t="n"/>
      <c r="M141" s="778">
        <f>J141+L141</f>
        <v/>
      </c>
      <c r="N141" s="786" t="n">
        <v>-214690.58</v>
      </c>
      <c r="O141" s="780">
        <f>M141-N141</f>
        <v/>
      </c>
      <c r="P141" s="781">
        <f>IF(N141&lt;&gt;0,O141/N141,"")</f>
        <v/>
      </c>
      <c r="Q141" s="776" t="n"/>
      <c r="R141" s="775" t="n">
        <v>0</v>
      </c>
      <c r="S141" s="775" t="n">
        <v>-26250</v>
      </c>
      <c r="T141" s="775" t="n">
        <v>0</v>
      </c>
      <c r="U141" s="775" t="n">
        <v>-39575.73</v>
      </c>
      <c r="V141" s="775" t="n">
        <v>-148864.85</v>
      </c>
      <c r="W141" s="782">
        <f>SUM(R141:V141)-M141</f>
        <v/>
      </c>
      <c r="X141" s="783">
        <f>T141+U141+V141</f>
        <v/>
      </c>
    </row>
    <row r="142" hidden="1" ht="15.6" customHeight="1">
      <c r="B142" s="769" t="inlineStr">
        <is>
          <t>东风鸿远工程咨询有限公司</t>
        </is>
      </c>
      <c r="C142" s="770" t="inlineStr">
        <is>
          <t>2121</t>
        </is>
      </c>
      <c r="D142" s="772" t="inlineStr">
        <is>
          <t>E_679789</t>
        </is>
      </c>
      <c r="E142" s="772" t="inlineStr">
        <is>
          <t>武汉德创志远科技有限公司</t>
        </is>
      </c>
      <c r="F142" s="772" t="inlineStr">
        <is>
          <t>采购款</t>
        </is>
      </c>
      <c r="G142" s="773" t="inlineStr">
        <is>
          <t>供应商</t>
        </is>
      </c>
      <c r="H142" s="774" t="inlineStr">
        <is>
          <t>CNY</t>
        </is>
      </c>
      <c r="I142" s="785" t="n">
        <v>0</v>
      </c>
      <c r="J142" s="785" t="n"/>
      <c r="K142" s="776" t="n"/>
      <c r="L142" s="777" t="n"/>
      <c r="M142" s="778">
        <f>J142+L142</f>
        <v/>
      </c>
      <c r="N142" s="786" t="n">
        <v>0</v>
      </c>
      <c r="O142" s="780">
        <f>M142-N142</f>
        <v/>
      </c>
      <c r="P142" s="781">
        <f>IF(N142&lt;&gt;0,O142/N142,"")</f>
        <v/>
      </c>
      <c r="Q142" s="776" t="n"/>
      <c r="R142" s="775" t="n">
        <v>0</v>
      </c>
      <c r="S142" s="775" t="n">
        <v>0</v>
      </c>
      <c r="T142" s="775" t="n">
        <v>0</v>
      </c>
      <c r="U142" s="775" t="n">
        <v>0</v>
      </c>
      <c r="V142" s="775" t="n">
        <v>0</v>
      </c>
      <c r="W142" s="782">
        <f>SUM(R142:V142)-M142</f>
        <v/>
      </c>
      <c r="X142" s="783">
        <f>T142+U142+V142</f>
        <v/>
      </c>
    </row>
    <row r="143" hidden="1" ht="15.6" customHeight="1">
      <c r="B143" s="769" t="inlineStr">
        <is>
          <t>东风鸿远工程咨询有限公司</t>
        </is>
      </c>
      <c r="C143" s="770" t="inlineStr">
        <is>
          <t>2121</t>
        </is>
      </c>
      <c r="D143" s="772" t="inlineStr">
        <is>
          <t>E_612422</t>
        </is>
      </c>
      <c r="E143" s="772" t="inlineStr">
        <is>
          <t>湖北盈创建筑装饰设计工程股份有限公司</t>
        </is>
      </c>
      <c r="F143" s="772" t="inlineStr">
        <is>
          <t>采购款</t>
        </is>
      </c>
      <c r="G143" s="773" t="inlineStr">
        <is>
          <t>供应商</t>
        </is>
      </c>
      <c r="H143" s="774" t="inlineStr">
        <is>
          <t>CNY</t>
        </is>
      </c>
      <c r="I143" s="785" t="n">
        <v>-124271.84</v>
      </c>
      <c r="J143" s="785" t="n"/>
      <c r="K143" s="776" t="n"/>
      <c r="L143" s="777" t="n"/>
      <c r="M143" s="778">
        <f>J143+L143</f>
        <v/>
      </c>
      <c r="N143" s="786" t="n">
        <v>-124271.84</v>
      </c>
      <c r="O143" s="780">
        <f>M143-N143</f>
        <v/>
      </c>
      <c r="P143" s="781">
        <f>IF(N143&lt;&gt;0,O143/N143,"")</f>
        <v/>
      </c>
      <c r="Q143" s="776" t="n"/>
      <c r="R143" s="775" t="n">
        <v>-124271.84</v>
      </c>
      <c r="S143" s="775" t="n">
        <v>0</v>
      </c>
      <c r="T143" s="775" t="n">
        <v>0</v>
      </c>
      <c r="U143" s="775" t="n">
        <v>0</v>
      </c>
      <c r="V143" s="775" t="n">
        <v>0</v>
      </c>
      <c r="W143" s="782">
        <f>SUM(R143:V143)-M143</f>
        <v/>
      </c>
      <c r="X143" s="783">
        <f>T143+U143+V143</f>
        <v/>
      </c>
    </row>
    <row r="144" hidden="1" ht="15.6" customHeight="1">
      <c r="B144" s="769" t="inlineStr">
        <is>
          <t>东风鸿远工程咨询有限公司</t>
        </is>
      </c>
      <c r="C144" s="770" t="inlineStr">
        <is>
          <t>2121</t>
        </is>
      </c>
      <c r="D144" s="772" t="inlineStr">
        <is>
          <t>E_719753</t>
        </is>
      </c>
      <c r="E144" s="772" t="inlineStr">
        <is>
          <t>普洛斯企业发展(上海)有限公司</t>
        </is>
      </c>
      <c r="F144" s="772" t="inlineStr">
        <is>
          <t>采购款</t>
        </is>
      </c>
      <c r="G144" s="773" t="inlineStr">
        <is>
          <t>供应商</t>
        </is>
      </c>
      <c r="H144" s="774" t="inlineStr">
        <is>
          <t>CNY</t>
        </is>
      </c>
      <c r="I144" s="785" t="n">
        <v>-150943.39</v>
      </c>
      <c r="J144" s="785" t="n"/>
      <c r="K144" s="776" t="n"/>
      <c r="L144" s="777" t="n"/>
      <c r="M144" s="778">
        <f>J144+L144</f>
        <v/>
      </c>
      <c r="N144" s="786" t="n">
        <v>-150943.39</v>
      </c>
      <c r="O144" s="780">
        <f>M144-N144</f>
        <v/>
      </c>
      <c r="P144" s="781">
        <f>IF(N144&lt;&gt;0,O144/N144,"")</f>
        <v/>
      </c>
      <c r="Q144" s="776" t="n"/>
      <c r="R144" s="775" t="n">
        <v>0</v>
      </c>
      <c r="S144" s="775" t="n">
        <v>-150943.39</v>
      </c>
      <c r="T144" s="775" t="n">
        <v>0</v>
      </c>
      <c r="U144" s="775" t="n">
        <v>0</v>
      </c>
      <c r="V144" s="775" t="n">
        <v>0</v>
      </c>
      <c r="W144" s="782">
        <f>SUM(R144:V144)-M144</f>
        <v/>
      </c>
      <c r="X144" s="783">
        <f>T144+U144+V144</f>
        <v/>
      </c>
    </row>
    <row r="145" hidden="1" ht="15.6" customHeight="1">
      <c r="B145" s="769" t="inlineStr">
        <is>
          <t>东风鸿远工程咨询有限公司</t>
        </is>
      </c>
      <c r="C145" s="770" t="inlineStr">
        <is>
          <t>2121</t>
        </is>
      </c>
      <c r="D145" s="772" t="inlineStr">
        <is>
          <t>E_614137</t>
        </is>
      </c>
      <c r="E145" s="772" t="inlineStr">
        <is>
          <t>湖北弘毅建设有限公司襄阳分公司</t>
        </is>
      </c>
      <c r="F145" s="772" t="inlineStr">
        <is>
          <t>采购款</t>
        </is>
      </c>
      <c r="G145" s="773" t="inlineStr">
        <is>
          <t>供应商</t>
        </is>
      </c>
      <c r="H145" s="774" t="inlineStr">
        <is>
          <t>CNY</t>
        </is>
      </c>
      <c r="I145" s="785" t="n">
        <v>-9708.74</v>
      </c>
      <c r="J145" s="785" t="n"/>
      <c r="K145" s="776" t="n"/>
      <c r="L145" s="777" t="n"/>
      <c r="M145" s="778">
        <f>J145+L145</f>
        <v/>
      </c>
      <c r="N145" s="786" t="n">
        <v>-9708.74</v>
      </c>
      <c r="O145" s="780">
        <f>M145-N145</f>
        <v/>
      </c>
      <c r="P145" s="781">
        <f>IF(N145&lt;&gt;0,O145/N145,"")</f>
        <v/>
      </c>
      <c r="Q145" s="776" t="n"/>
      <c r="R145" s="775" t="n">
        <v>0</v>
      </c>
      <c r="S145" s="775" t="n">
        <v>0</v>
      </c>
      <c r="T145" s="775" t="n">
        <v>0</v>
      </c>
      <c r="U145" s="775" t="n">
        <v>0</v>
      </c>
      <c r="V145" s="775" t="n">
        <v>-9708.74</v>
      </c>
      <c r="W145" s="782">
        <f>SUM(R145:V145)-M145</f>
        <v/>
      </c>
      <c r="X145" s="783">
        <f>T145+U145+V145</f>
        <v/>
      </c>
    </row>
    <row r="146" hidden="1" ht="15.6" customHeight="1">
      <c r="B146" s="769" t="inlineStr">
        <is>
          <t>东风鸿远工程咨询有限公司</t>
        </is>
      </c>
      <c r="C146" s="770" t="inlineStr">
        <is>
          <t>2121</t>
        </is>
      </c>
      <c r="D146" s="772" t="inlineStr">
        <is>
          <t>E_624858</t>
        </is>
      </c>
      <c r="E146" s="772" t="inlineStr">
        <is>
          <t>湖南筑龙工程项目管理有限公司襄阳分公司</t>
        </is>
      </c>
      <c r="F146" s="772" t="inlineStr">
        <is>
          <t>采购款</t>
        </is>
      </c>
      <c r="G146" s="773" t="inlineStr">
        <is>
          <t>供应商</t>
        </is>
      </c>
      <c r="H146" s="774" t="inlineStr">
        <is>
          <t>CNY</t>
        </is>
      </c>
      <c r="I146" s="785" t="n">
        <v>-306037.74</v>
      </c>
      <c r="J146" s="785" t="n"/>
      <c r="K146" s="776" t="n"/>
      <c r="L146" s="777" t="n"/>
      <c r="M146" s="778">
        <f>J146+L146</f>
        <v/>
      </c>
      <c r="N146" s="786" t="n">
        <v>-306037.74</v>
      </c>
      <c r="O146" s="780">
        <f>M146-N146</f>
        <v/>
      </c>
      <c r="P146" s="781">
        <f>IF(N146&lt;&gt;0,O146/N146,"")</f>
        <v/>
      </c>
      <c r="Q146" s="776" t="n"/>
      <c r="R146" s="775" t="n">
        <v>0</v>
      </c>
      <c r="S146" s="775" t="n">
        <v>0</v>
      </c>
      <c r="T146" s="775" t="n">
        <v>-194784.07</v>
      </c>
      <c r="U146" s="775" t="n">
        <v>-111253.67</v>
      </c>
      <c r="V146" s="775" t="n">
        <v>0</v>
      </c>
      <c r="W146" s="782">
        <f>SUM(R146:V146)-M146</f>
        <v/>
      </c>
      <c r="X146" s="783">
        <f>T146+U146+V146</f>
        <v/>
      </c>
    </row>
    <row r="147" hidden="1" ht="15.6" customHeight="1">
      <c r="B147" s="769" t="inlineStr">
        <is>
          <t>东风鸿远工程咨询有限公司</t>
        </is>
      </c>
      <c r="C147" s="770" t="inlineStr">
        <is>
          <t>2121</t>
        </is>
      </c>
      <c r="D147" s="772" t="inlineStr">
        <is>
          <t>E_625220</t>
        </is>
      </c>
      <c r="E147" s="772" t="inlineStr">
        <is>
          <t>枣阳瀚创项目管理有限公司</t>
        </is>
      </c>
      <c r="F147" s="772" t="inlineStr">
        <is>
          <t>采购款</t>
        </is>
      </c>
      <c r="G147" s="773" t="inlineStr">
        <is>
          <t>供应商</t>
        </is>
      </c>
      <c r="H147" s="774" t="inlineStr">
        <is>
          <t>CNY</t>
        </is>
      </c>
      <c r="I147" s="785" t="n">
        <v>-916791.51</v>
      </c>
      <c r="J147" s="785" t="n"/>
      <c r="K147" s="776" t="n"/>
      <c r="L147" s="777" t="n"/>
      <c r="M147" s="778">
        <f>J147+L147</f>
        <v/>
      </c>
      <c r="N147" s="786" t="n">
        <v>-916791.51</v>
      </c>
      <c r="O147" s="780">
        <f>M147-N147</f>
        <v/>
      </c>
      <c r="P147" s="781">
        <f>IF(N147&lt;&gt;0,O147/N147,"")</f>
        <v/>
      </c>
      <c r="Q147" s="776" t="n"/>
      <c r="R147" s="775" t="n">
        <v>0</v>
      </c>
      <c r="S147" s="775" t="n">
        <v>0</v>
      </c>
      <c r="T147" s="775" t="n">
        <v>-916791.51</v>
      </c>
      <c r="U147" s="775" t="n">
        <v>0</v>
      </c>
      <c r="V147" s="775" t="n">
        <v>0</v>
      </c>
      <c r="W147" s="782">
        <f>SUM(R147:V147)-M147</f>
        <v/>
      </c>
      <c r="X147" s="783">
        <f>T147+U147+V147</f>
        <v/>
      </c>
    </row>
    <row r="148" hidden="1" ht="15.6" customHeight="1">
      <c r="B148" s="769" t="inlineStr">
        <is>
          <t>东风鸿远工程咨询有限公司</t>
        </is>
      </c>
      <c r="C148" s="770" t="inlineStr">
        <is>
          <t>2121</t>
        </is>
      </c>
      <c r="D148" s="772" t="inlineStr">
        <is>
          <t>E_672185</t>
        </is>
      </c>
      <c r="E148" s="772" t="inlineStr">
        <is>
          <t>湖北州环建设工程有限公司</t>
        </is>
      </c>
      <c r="F148" s="772" t="inlineStr">
        <is>
          <t>采购款</t>
        </is>
      </c>
      <c r="G148" s="773" t="inlineStr">
        <is>
          <t>供应商</t>
        </is>
      </c>
      <c r="H148" s="774" t="inlineStr">
        <is>
          <t>CNY</t>
        </is>
      </c>
      <c r="I148" s="785" t="n">
        <v>-1118670.46</v>
      </c>
      <c r="J148" s="785" t="n"/>
      <c r="K148" s="776" t="n"/>
      <c r="L148" s="777" t="n"/>
      <c r="M148" s="778">
        <f>J148+L148</f>
        <v/>
      </c>
      <c r="N148" s="786" t="n">
        <v>-1118670.46</v>
      </c>
      <c r="O148" s="780">
        <f>M148-N148</f>
        <v/>
      </c>
      <c r="P148" s="781">
        <f>IF(N148&lt;&gt;0,O148/N148,"")</f>
        <v/>
      </c>
      <c r="Q148" s="776" t="n"/>
      <c r="R148" s="775" t="n">
        <v>-247024.28</v>
      </c>
      <c r="S148" s="775" t="n">
        <v>-871646.1800000001</v>
      </c>
      <c r="T148" s="775" t="n">
        <v>0</v>
      </c>
      <c r="U148" s="775" t="n">
        <v>0</v>
      </c>
      <c r="V148" s="775" t="n">
        <v>0</v>
      </c>
      <c r="W148" s="782">
        <f>SUM(R148:V148)-M148</f>
        <v/>
      </c>
      <c r="X148" s="783">
        <f>T148+U148+V148</f>
        <v/>
      </c>
    </row>
    <row r="149" hidden="1" ht="15.6" customHeight="1">
      <c r="B149" s="769" t="inlineStr">
        <is>
          <t>东风鸿远工程咨询有限公司</t>
        </is>
      </c>
      <c r="C149" s="770" t="inlineStr">
        <is>
          <t>2121</t>
        </is>
      </c>
      <c r="D149" s="772" t="inlineStr">
        <is>
          <t>E_601379</t>
        </is>
      </c>
      <c r="E149" s="772" t="inlineStr">
        <is>
          <t>上海赢顶标识有限公司</t>
        </is>
      </c>
      <c r="F149" s="772" t="inlineStr">
        <is>
          <t>采购款</t>
        </is>
      </c>
      <c r="G149" s="773" t="inlineStr">
        <is>
          <t>供应商</t>
        </is>
      </c>
      <c r="H149" s="774" t="inlineStr">
        <is>
          <t>CNY</t>
        </is>
      </c>
      <c r="I149" s="785" t="n">
        <v>-10603.3</v>
      </c>
      <c r="J149" s="785" t="n"/>
      <c r="K149" s="776" t="n"/>
      <c r="L149" s="777" t="n"/>
      <c r="M149" s="778">
        <f>J149+L149</f>
        <v/>
      </c>
      <c r="N149" s="786" t="n">
        <v>-10603.3</v>
      </c>
      <c r="O149" s="780">
        <f>M149-N149</f>
        <v/>
      </c>
      <c r="P149" s="781">
        <f>IF(N149&lt;&gt;0,O149/N149,"")</f>
        <v/>
      </c>
      <c r="Q149" s="776" t="n"/>
      <c r="R149" s="775" t="n">
        <v>0</v>
      </c>
      <c r="S149" s="775" t="n">
        <v>0</v>
      </c>
      <c r="T149" s="775" t="n">
        <v>0</v>
      </c>
      <c r="U149" s="775" t="n">
        <v>0</v>
      </c>
      <c r="V149" s="775" t="n">
        <v>-10603.3</v>
      </c>
      <c r="W149" s="782">
        <f>SUM(R149:V149)-M149</f>
        <v/>
      </c>
      <c r="X149" s="783">
        <f>T149+U149+V149</f>
        <v/>
      </c>
    </row>
    <row r="150" hidden="1" ht="15.6" customHeight="1">
      <c r="B150" s="769" t="inlineStr">
        <is>
          <t>东风鸿远工程咨询有限公司</t>
        </is>
      </c>
      <c r="C150" s="770" t="inlineStr">
        <is>
          <t>2121</t>
        </is>
      </c>
      <c r="D150" s="772" t="inlineStr">
        <is>
          <t>E_016087</t>
        </is>
      </c>
      <c r="E150" s="772" t="inlineStr">
        <is>
          <t>襄阳市建筑设计院</t>
        </is>
      </c>
      <c r="F150" s="772" t="inlineStr">
        <is>
          <t>采购款</t>
        </is>
      </c>
      <c r="G150" s="773" t="inlineStr">
        <is>
          <t>供应商</t>
        </is>
      </c>
      <c r="H150" s="774" t="inlineStr">
        <is>
          <t>CNY</t>
        </is>
      </c>
      <c r="I150" s="785" t="n">
        <v>-17516.04</v>
      </c>
      <c r="J150" s="785" t="n"/>
      <c r="K150" s="776" t="n"/>
      <c r="L150" s="777" t="n"/>
      <c r="M150" s="778">
        <f>J150+L150</f>
        <v/>
      </c>
      <c r="N150" s="786" t="n">
        <v>-17516.04</v>
      </c>
      <c r="O150" s="780">
        <f>M150-N150</f>
        <v/>
      </c>
      <c r="P150" s="781">
        <f>IF(N150&lt;&gt;0,O150/N150,"")</f>
        <v/>
      </c>
      <c r="Q150" s="776" t="n"/>
      <c r="R150" s="775" t="n">
        <v>0</v>
      </c>
      <c r="S150" s="775" t="n">
        <v>0</v>
      </c>
      <c r="T150" s="775" t="n">
        <v>0</v>
      </c>
      <c r="U150" s="775" t="n">
        <v>0</v>
      </c>
      <c r="V150" s="775" t="n">
        <v>-17516.04</v>
      </c>
      <c r="W150" s="782">
        <f>SUM(R150:V150)-M150</f>
        <v/>
      </c>
      <c r="X150" s="783">
        <f>T150+U150+V150</f>
        <v/>
      </c>
    </row>
    <row r="151" hidden="1" ht="15.6" customHeight="1">
      <c r="B151" s="769" t="inlineStr">
        <is>
          <t>东风鸿远工程咨询有限公司</t>
        </is>
      </c>
      <c r="C151" s="770" t="inlineStr">
        <is>
          <t>2121</t>
        </is>
      </c>
      <c r="D151" s="772" t="inlineStr">
        <is>
          <t>E_353446</t>
        </is>
      </c>
      <c r="E151" s="772" t="inlineStr">
        <is>
          <t>武汉地质工程勘察院有限公司</t>
        </is>
      </c>
      <c r="F151" s="772" t="inlineStr">
        <is>
          <t>采购款</t>
        </is>
      </c>
      <c r="G151" s="773" t="inlineStr">
        <is>
          <t>供应商</t>
        </is>
      </c>
      <c r="H151" s="774" t="inlineStr">
        <is>
          <t>CNY</t>
        </is>
      </c>
      <c r="I151" s="785" t="n">
        <v>-233490.57</v>
      </c>
      <c r="J151" s="785" t="n"/>
      <c r="K151" s="776" t="n"/>
      <c r="L151" s="777" t="n"/>
      <c r="M151" s="778">
        <f>J151+L151</f>
        <v/>
      </c>
      <c r="N151" s="786" t="n">
        <v>-233490.57</v>
      </c>
      <c r="O151" s="780">
        <f>M151-N151</f>
        <v/>
      </c>
      <c r="P151" s="781">
        <f>IF(N151&lt;&gt;0,O151/N151,"")</f>
        <v/>
      </c>
      <c r="Q151" s="776" t="n"/>
      <c r="R151" s="775" t="n">
        <v>0</v>
      </c>
      <c r="S151" s="775" t="n">
        <v>0</v>
      </c>
      <c r="T151" s="775" t="n">
        <v>-233490.57</v>
      </c>
      <c r="U151" s="775" t="n">
        <v>0</v>
      </c>
      <c r="V151" s="775" t="n">
        <v>0</v>
      </c>
      <c r="W151" s="782">
        <f>SUM(R151:V151)-M151</f>
        <v/>
      </c>
      <c r="X151" s="783">
        <f>T151+U151+V151</f>
        <v/>
      </c>
    </row>
    <row r="152" hidden="1" ht="15.6" customHeight="1">
      <c r="B152" s="769" t="inlineStr">
        <is>
          <t>东风鸿远工程咨询有限公司</t>
        </is>
      </c>
      <c r="C152" s="770" t="inlineStr">
        <is>
          <t>2121</t>
        </is>
      </c>
      <c r="D152" s="772" t="inlineStr">
        <is>
          <t>E_658821</t>
        </is>
      </c>
      <c r="E152" s="772" t="inlineStr">
        <is>
          <t>湖北岗达地信科技有限公司</t>
        </is>
      </c>
      <c r="F152" s="772" t="inlineStr">
        <is>
          <t>采购款</t>
        </is>
      </c>
      <c r="G152" s="773" t="inlineStr">
        <is>
          <t>供应商</t>
        </is>
      </c>
      <c r="H152" s="774" t="inlineStr">
        <is>
          <t>CNY</t>
        </is>
      </c>
      <c r="I152" s="785" t="n">
        <v>-211303.47</v>
      </c>
      <c r="J152" s="785" t="n"/>
      <c r="K152" s="776" t="n"/>
      <c r="L152" s="777" t="n"/>
      <c r="M152" s="778">
        <f>J152+L152</f>
        <v/>
      </c>
      <c r="N152" s="786" t="n">
        <v>-211303.47</v>
      </c>
      <c r="O152" s="780">
        <f>M152-N152</f>
        <v/>
      </c>
      <c r="P152" s="781">
        <f>IF(N152&lt;&gt;0,O152/N152,"")</f>
        <v/>
      </c>
      <c r="Q152" s="776" t="n"/>
      <c r="R152" s="775" t="n">
        <v>-159981.62</v>
      </c>
      <c r="S152" s="775" t="n">
        <v>0</v>
      </c>
      <c r="T152" s="775" t="n">
        <v>-51321.85</v>
      </c>
      <c r="U152" s="775" t="n">
        <v>0</v>
      </c>
      <c r="V152" s="775" t="n">
        <v>0</v>
      </c>
      <c r="W152" s="782">
        <f>SUM(R152:V152)-M152</f>
        <v/>
      </c>
      <c r="X152" s="783">
        <f>T152+U152+V152</f>
        <v/>
      </c>
    </row>
    <row r="153" hidden="1" ht="15.6" customHeight="1">
      <c r="B153" s="769" t="inlineStr">
        <is>
          <t>东风鸿远工程咨询有限公司</t>
        </is>
      </c>
      <c r="C153" s="770" t="inlineStr">
        <is>
          <t>2121</t>
        </is>
      </c>
      <c r="D153" s="772" t="inlineStr">
        <is>
          <t>E_605799</t>
        </is>
      </c>
      <c r="E153" s="772" t="inlineStr">
        <is>
          <t>山东昊立工程勘察有限公司</t>
        </is>
      </c>
      <c r="F153" s="772" t="inlineStr">
        <is>
          <t>采购款</t>
        </is>
      </c>
      <c r="G153" s="773" t="inlineStr">
        <is>
          <t>供应商</t>
        </is>
      </c>
      <c r="H153" s="774" t="inlineStr">
        <is>
          <t>CNY</t>
        </is>
      </c>
      <c r="I153" s="785" t="n">
        <v>-126214.56</v>
      </c>
      <c r="J153" s="785" t="n"/>
      <c r="K153" s="776" t="n"/>
      <c r="L153" s="777" t="n"/>
      <c r="M153" s="778">
        <f>J153+L153</f>
        <v/>
      </c>
      <c r="N153" s="786" t="n">
        <v>-126214.56</v>
      </c>
      <c r="O153" s="780">
        <f>M153-N153</f>
        <v/>
      </c>
      <c r="P153" s="781">
        <f>IF(N153&lt;&gt;0,O153/N153,"")</f>
        <v/>
      </c>
      <c r="Q153" s="776" t="n"/>
      <c r="R153" s="775" t="n">
        <v>0</v>
      </c>
      <c r="S153" s="775" t="n">
        <v>0</v>
      </c>
      <c r="T153" s="775" t="n">
        <v>0</v>
      </c>
      <c r="U153" s="775" t="n">
        <v>-126214.56</v>
      </c>
      <c r="V153" s="775" t="n">
        <v>0</v>
      </c>
      <c r="W153" s="782">
        <f>SUM(R153:V153)-M153</f>
        <v/>
      </c>
      <c r="X153" s="783">
        <f>T153+U153+V153</f>
        <v/>
      </c>
    </row>
    <row r="154" hidden="1" ht="15.6" customHeight="1">
      <c r="B154" s="769" t="inlineStr">
        <is>
          <t>东风鸿远工程咨询有限公司</t>
        </is>
      </c>
      <c r="C154" s="770" t="inlineStr">
        <is>
          <t>2121</t>
        </is>
      </c>
      <c r="D154" s="772" t="inlineStr">
        <is>
          <t>E_624644</t>
        </is>
      </c>
      <c r="E154" s="772" t="inlineStr">
        <is>
          <t>湖北津信项目管理有限公司</t>
        </is>
      </c>
      <c r="F154" s="772" t="inlineStr">
        <is>
          <t>采购款</t>
        </is>
      </c>
      <c r="G154" s="773" t="inlineStr">
        <is>
          <t>供应商</t>
        </is>
      </c>
      <c r="H154" s="774" t="inlineStr">
        <is>
          <t>CNY</t>
        </is>
      </c>
      <c r="I154" s="785" t="n">
        <v>0</v>
      </c>
      <c r="J154" s="785" t="n"/>
      <c r="K154" s="776" t="n"/>
      <c r="L154" s="777" t="n"/>
      <c r="M154" s="778">
        <f>J154+L154</f>
        <v/>
      </c>
      <c r="N154" s="786" t="n">
        <v>0</v>
      </c>
      <c r="O154" s="780">
        <f>M154-N154</f>
        <v/>
      </c>
      <c r="P154" s="781">
        <f>IF(N154&lt;&gt;0,O154/N154,"")</f>
        <v/>
      </c>
      <c r="Q154" s="776" t="n"/>
      <c r="R154" s="775" t="n">
        <v>0</v>
      </c>
      <c r="S154" s="775" t="n">
        <v>0</v>
      </c>
      <c r="T154" s="775" t="n">
        <v>0</v>
      </c>
      <c r="U154" s="775" t="n">
        <v>0</v>
      </c>
      <c r="V154" s="775" t="n">
        <v>0</v>
      </c>
      <c r="W154" s="782">
        <f>SUM(R154:V154)-M154</f>
        <v/>
      </c>
      <c r="X154" s="783">
        <f>T154+U154+V154</f>
        <v/>
      </c>
    </row>
    <row r="155" hidden="1" ht="15.6" customHeight="1">
      <c r="B155" s="769" t="inlineStr">
        <is>
          <t>东风鸿远工程咨询有限公司</t>
        </is>
      </c>
      <c r="C155" s="770" t="inlineStr">
        <is>
          <t>2121</t>
        </is>
      </c>
      <c r="D155" s="772" t="inlineStr">
        <is>
          <t>E_623726</t>
        </is>
      </c>
      <c r="E155" s="772" t="inlineStr">
        <is>
          <t>中瀚设计集团有限公司湖北分公司</t>
        </is>
      </c>
      <c r="F155" s="772" t="inlineStr">
        <is>
          <t>采购款</t>
        </is>
      </c>
      <c r="G155" s="773" t="inlineStr">
        <is>
          <t>供应商</t>
        </is>
      </c>
      <c r="H155" s="774" t="inlineStr">
        <is>
          <t>CNY</t>
        </is>
      </c>
      <c r="I155" s="785" t="n">
        <v>-101669.9</v>
      </c>
      <c r="J155" s="785" t="n"/>
      <c r="K155" s="776" t="n"/>
      <c r="L155" s="777" t="n"/>
      <c r="M155" s="778">
        <f>J155+L155</f>
        <v/>
      </c>
      <c r="N155" s="786" t="n">
        <v>-101669.9</v>
      </c>
      <c r="O155" s="780">
        <f>M155-N155</f>
        <v/>
      </c>
      <c r="P155" s="781">
        <f>IF(N155&lt;&gt;0,O155/N155,"")</f>
        <v/>
      </c>
      <c r="Q155" s="776" t="n"/>
      <c r="R155" s="775" t="n">
        <v>-77669.89999999999</v>
      </c>
      <c r="S155" s="775" t="n">
        <v>0</v>
      </c>
      <c r="T155" s="775" t="n">
        <v>-24000</v>
      </c>
      <c r="U155" s="775" t="n">
        <v>0</v>
      </c>
      <c r="V155" s="775" t="n">
        <v>0</v>
      </c>
      <c r="W155" s="782">
        <f>SUM(R155:V155)-M155</f>
        <v/>
      </c>
      <c r="X155" s="783">
        <f>T155+U155+V155</f>
        <v/>
      </c>
    </row>
    <row r="156" hidden="1" ht="15.6" customHeight="1">
      <c r="B156" s="769" t="inlineStr">
        <is>
          <t>东风鸿远工程咨询有限公司</t>
        </is>
      </c>
      <c r="C156" s="770" t="inlineStr">
        <is>
          <t>2121</t>
        </is>
      </c>
      <c r="D156" s="772" t="inlineStr">
        <is>
          <t>E_176980</t>
        </is>
      </c>
      <c r="E156" s="772" t="inlineStr">
        <is>
          <t>襄阳地质工程勘察院有限责任公司</t>
        </is>
      </c>
      <c r="F156" s="772" t="inlineStr">
        <is>
          <t>采购款</t>
        </is>
      </c>
      <c r="G156" s="773" t="inlineStr">
        <is>
          <t>供应商</t>
        </is>
      </c>
      <c r="H156" s="774" t="inlineStr">
        <is>
          <t>CNY</t>
        </is>
      </c>
      <c r="I156" s="785" t="n">
        <v>-1453930.12</v>
      </c>
      <c r="J156" s="785" t="n"/>
      <c r="K156" s="776" t="n"/>
      <c r="L156" s="777" t="n"/>
      <c r="M156" s="778">
        <f>J156+L156</f>
        <v/>
      </c>
      <c r="N156" s="786" t="n">
        <v>-1453930.12</v>
      </c>
      <c r="O156" s="780">
        <f>M156-N156</f>
        <v/>
      </c>
      <c r="P156" s="781">
        <f>IF(N156&lt;&gt;0,O156/N156,"")</f>
        <v/>
      </c>
      <c r="Q156" s="776" t="n"/>
      <c r="R156" s="775" t="n">
        <v>-62145.08</v>
      </c>
      <c r="S156" s="775" t="n">
        <v>0</v>
      </c>
      <c r="T156" s="775" t="n">
        <v>-164377.62</v>
      </c>
      <c r="U156" s="775" t="n">
        <v>-27311.32</v>
      </c>
      <c r="V156" s="775" t="n">
        <v>-1200096.1</v>
      </c>
      <c r="W156" s="782">
        <f>SUM(R156:V156)-M156</f>
        <v/>
      </c>
      <c r="X156" s="783">
        <f>T156+U156+V156</f>
        <v/>
      </c>
    </row>
    <row r="157" hidden="1" ht="15.6" customHeight="1">
      <c r="B157" s="769" t="inlineStr">
        <is>
          <t>东风鸿远工程咨询有限公司</t>
        </is>
      </c>
      <c r="C157" s="770" t="inlineStr">
        <is>
          <t>2121</t>
        </is>
      </c>
      <c r="D157" s="772" t="inlineStr">
        <is>
          <t>E_624647</t>
        </is>
      </c>
      <c r="E157" s="772" t="inlineStr">
        <is>
          <t>湖北大成嘉业建设工程有限公司襄阳分公司</t>
        </is>
      </c>
      <c r="F157" s="772" t="inlineStr">
        <is>
          <t>采购款</t>
        </is>
      </c>
      <c r="G157" s="773" t="inlineStr">
        <is>
          <t>供应商</t>
        </is>
      </c>
      <c r="H157" s="774" t="inlineStr">
        <is>
          <t>CNY</t>
        </is>
      </c>
      <c r="I157" s="785" t="n">
        <v>-107184.47</v>
      </c>
      <c r="J157" s="785" t="n"/>
      <c r="K157" s="776" t="n"/>
      <c r="L157" s="777" t="n"/>
      <c r="M157" s="778">
        <f>J157+L157</f>
        <v/>
      </c>
      <c r="N157" s="786" t="n">
        <v>-107184.47</v>
      </c>
      <c r="O157" s="780">
        <f>M157-N157</f>
        <v/>
      </c>
      <c r="P157" s="781">
        <f>IF(N157&lt;&gt;0,O157/N157,"")</f>
        <v/>
      </c>
      <c r="Q157" s="776" t="n"/>
      <c r="R157" s="775" t="n">
        <v>0</v>
      </c>
      <c r="S157" s="775" t="n">
        <v>0</v>
      </c>
      <c r="T157" s="775" t="n">
        <v>0</v>
      </c>
      <c r="U157" s="775" t="n">
        <v>-107184.47</v>
      </c>
      <c r="V157" s="775" t="n">
        <v>0</v>
      </c>
      <c r="W157" s="782">
        <f>SUM(R157:V157)-M157</f>
        <v/>
      </c>
      <c r="X157" s="783">
        <f>T157+U157+V157</f>
        <v/>
      </c>
    </row>
    <row r="158" hidden="1" ht="15.6" customHeight="1">
      <c r="B158" s="769" t="inlineStr">
        <is>
          <t>东风鸿远工程咨询有限公司</t>
        </is>
      </c>
      <c r="C158" s="770" t="inlineStr">
        <is>
          <t>2121</t>
        </is>
      </c>
      <c r="D158" s="772" t="inlineStr">
        <is>
          <t>E_151442</t>
        </is>
      </c>
      <c r="E158" s="772" t="inlineStr">
        <is>
          <t>武汉理工大设计研究院有限公司</t>
        </is>
      </c>
      <c r="F158" s="772" t="inlineStr">
        <is>
          <t>采购款</t>
        </is>
      </c>
      <c r="G158" s="773" t="inlineStr">
        <is>
          <t>供应商</t>
        </is>
      </c>
      <c r="H158" s="774" t="inlineStr">
        <is>
          <t>CNY</t>
        </is>
      </c>
      <c r="I158" s="785" t="n">
        <v>-14626.41</v>
      </c>
      <c r="J158" s="785" t="n"/>
      <c r="K158" s="776" t="n"/>
      <c r="L158" s="777" t="n"/>
      <c r="M158" s="778">
        <f>J158+L158</f>
        <v/>
      </c>
      <c r="N158" s="786" t="n">
        <v>-14626.41</v>
      </c>
      <c r="O158" s="780">
        <f>M158-N158</f>
        <v/>
      </c>
      <c r="P158" s="781">
        <f>IF(N158&lt;&gt;0,O158/N158,"")</f>
        <v/>
      </c>
      <c r="Q158" s="776" t="n"/>
      <c r="R158" s="775" t="n">
        <v>0</v>
      </c>
      <c r="S158" s="775" t="n">
        <v>-14626.41</v>
      </c>
      <c r="T158" s="775" t="n">
        <v>0</v>
      </c>
      <c r="U158" s="775" t="n">
        <v>0</v>
      </c>
      <c r="V158" s="775" t="n">
        <v>0</v>
      </c>
      <c r="W158" s="782">
        <f>SUM(R158:V158)-M158</f>
        <v/>
      </c>
      <c r="X158" s="783">
        <f>T158+U158+V158</f>
        <v/>
      </c>
    </row>
    <row r="159" hidden="1" ht="15.6" customHeight="1">
      <c r="B159" s="769" t="inlineStr">
        <is>
          <t>东风鸿远工程咨询有限公司</t>
        </is>
      </c>
      <c r="C159" s="770" t="inlineStr">
        <is>
          <t>2121</t>
        </is>
      </c>
      <c r="D159" s="772" t="inlineStr">
        <is>
          <t>E_614512</t>
        </is>
      </c>
      <c r="E159" s="772" t="inlineStr">
        <is>
          <t>湖北沃岱岩土工程勘察有限公司</t>
        </is>
      </c>
      <c r="F159" s="772" t="inlineStr">
        <is>
          <t>采购款</t>
        </is>
      </c>
      <c r="G159" s="773" t="inlineStr">
        <is>
          <t>供应商</t>
        </is>
      </c>
      <c r="H159" s="774" t="inlineStr">
        <is>
          <t>CNY</t>
        </is>
      </c>
      <c r="I159" s="785" t="n">
        <v>-2223</v>
      </c>
      <c r="J159" s="785" t="n"/>
      <c r="K159" s="776" t="n"/>
      <c r="L159" s="777" t="n"/>
      <c r="M159" s="778">
        <f>J159+L159</f>
        <v/>
      </c>
      <c r="N159" s="786" t="n">
        <v>-2223</v>
      </c>
      <c r="O159" s="780">
        <f>M159-N159</f>
        <v/>
      </c>
      <c r="P159" s="781">
        <f>IF(N159&lt;&gt;0,O159/N159,"")</f>
        <v/>
      </c>
      <c r="Q159" s="776" t="n"/>
      <c r="R159" s="775" t="n">
        <v>0</v>
      </c>
      <c r="S159" s="775" t="n">
        <v>-2223</v>
      </c>
      <c r="T159" s="775" t="n">
        <v>0</v>
      </c>
      <c r="U159" s="775" t="n">
        <v>0</v>
      </c>
      <c r="V159" s="775" t="n">
        <v>0</v>
      </c>
      <c r="W159" s="782">
        <f>SUM(R159:V159)-M159</f>
        <v/>
      </c>
      <c r="X159" s="783">
        <f>T159+U159+V159</f>
        <v/>
      </c>
    </row>
    <row r="160" hidden="1" ht="15.6" customHeight="1">
      <c r="B160" s="769" t="inlineStr">
        <is>
          <t>东风鸿远工程咨询有限公司</t>
        </is>
      </c>
      <c r="C160" s="770" t="inlineStr">
        <is>
          <t>2121</t>
        </is>
      </c>
      <c r="D160" s="772" t="inlineStr">
        <is>
          <t>E_614634</t>
        </is>
      </c>
      <c r="E160" s="772" t="inlineStr">
        <is>
          <t>谷城县今胜岩土工程有限责任公司</t>
        </is>
      </c>
      <c r="F160" s="772" t="inlineStr">
        <is>
          <t>采购款</t>
        </is>
      </c>
      <c r="G160" s="773" t="inlineStr">
        <is>
          <t>供应商</t>
        </is>
      </c>
      <c r="H160" s="774" t="inlineStr">
        <is>
          <t>CNY</t>
        </is>
      </c>
      <c r="I160" s="785" t="n">
        <v>-121749.06</v>
      </c>
      <c r="J160" s="785" t="n"/>
      <c r="K160" s="776" t="n"/>
      <c r="L160" s="777" t="n"/>
      <c r="M160" s="778">
        <f>J160+L160</f>
        <v/>
      </c>
      <c r="N160" s="786" t="n">
        <v>-121749.06</v>
      </c>
      <c r="O160" s="780">
        <f>M160-N160</f>
        <v/>
      </c>
      <c r="P160" s="781">
        <f>IF(N160&lt;&gt;0,O160/N160,"")</f>
        <v/>
      </c>
      <c r="Q160" s="776" t="n"/>
      <c r="R160" s="775" t="n">
        <v>0</v>
      </c>
      <c r="S160" s="775" t="n">
        <v>0</v>
      </c>
      <c r="T160" s="775" t="n">
        <v>0</v>
      </c>
      <c r="U160" s="775" t="n">
        <v>0</v>
      </c>
      <c r="V160" s="775" t="n">
        <v>-121749.06</v>
      </c>
      <c r="W160" s="782">
        <f>SUM(R160:V160)-M160</f>
        <v/>
      </c>
      <c r="X160" s="783">
        <f>T160+U160+V160</f>
        <v/>
      </c>
    </row>
    <row r="161" hidden="1" ht="15.6" customHeight="1">
      <c r="B161" s="769" t="inlineStr">
        <is>
          <t>东风鸿远工程咨询有限公司</t>
        </is>
      </c>
      <c r="C161" s="770" t="inlineStr">
        <is>
          <t>2121</t>
        </is>
      </c>
      <c r="D161" s="772" t="inlineStr">
        <is>
          <t>E_599743</t>
        </is>
      </c>
      <c r="E161" s="772" t="inlineStr">
        <is>
          <t>浙江城建规划设计院有限公司</t>
        </is>
      </c>
      <c r="F161" s="772" t="inlineStr">
        <is>
          <t>采购款</t>
        </is>
      </c>
      <c r="G161" s="773" t="inlineStr">
        <is>
          <t>供应商</t>
        </is>
      </c>
      <c r="H161" s="774" t="inlineStr">
        <is>
          <t>CNY</t>
        </is>
      </c>
      <c r="I161" s="785" t="n">
        <v>-88660.49000000001</v>
      </c>
      <c r="J161" s="785" t="n"/>
      <c r="K161" s="776" t="n"/>
      <c r="L161" s="777" t="n"/>
      <c r="M161" s="778">
        <f>J161+L161</f>
        <v/>
      </c>
      <c r="N161" s="786" t="n">
        <v>-88660.49000000001</v>
      </c>
      <c r="O161" s="780">
        <f>M161-N161</f>
        <v/>
      </c>
      <c r="P161" s="781">
        <f>IF(N161&lt;&gt;0,O161/N161,"")</f>
        <v/>
      </c>
      <c r="Q161" s="776" t="n"/>
      <c r="R161" s="775" t="n">
        <v>0</v>
      </c>
      <c r="S161" s="775" t="n">
        <v>-72952</v>
      </c>
      <c r="T161" s="775" t="n">
        <v>-15708.49</v>
      </c>
      <c r="U161" s="775" t="n">
        <v>0</v>
      </c>
      <c r="V161" s="775" t="n">
        <v>0</v>
      </c>
      <c r="W161" s="782">
        <f>SUM(R161:V161)-M161</f>
        <v/>
      </c>
      <c r="X161" s="783">
        <f>T161+U161+V161</f>
        <v/>
      </c>
    </row>
    <row r="162" hidden="1" ht="15.6" customHeight="1">
      <c r="B162" s="769" t="inlineStr">
        <is>
          <t>东风鸿远工程咨询有限公司</t>
        </is>
      </c>
      <c r="C162" s="770" t="inlineStr">
        <is>
          <t>2121</t>
        </is>
      </c>
      <c r="D162" s="772" t="inlineStr">
        <is>
          <t>E_310853</t>
        </is>
      </c>
      <c r="E162" s="772" t="inlineStr">
        <is>
          <t>武汉琴台生态环境建设有限公司</t>
        </is>
      </c>
      <c r="F162" s="772" t="inlineStr">
        <is>
          <t>采购款</t>
        </is>
      </c>
      <c r="G162" s="773" t="inlineStr">
        <is>
          <t>供应商</t>
        </is>
      </c>
      <c r="H162" s="774" t="inlineStr">
        <is>
          <t>CNY</t>
        </is>
      </c>
      <c r="I162" s="785" t="n">
        <v>-38400</v>
      </c>
      <c r="J162" s="785" t="n"/>
      <c r="K162" s="776" t="n"/>
      <c r="L162" s="777" t="n"/>
      <c r="M162" s="778">
        <f>J162+L162</f>
        <v/>
      </c>
      <c r="N162" s="786" t="n">
        <v>-38400</v>
      </c>
      <c r="O162" s="780">
        <f>M162-N162</f>
        <v/>
      </c>
      <c r="P162" s="781">
        <f>IF(N162&lt;&gt;0,O162/N162,"")</f>
        <v/>
      </c>
      <c r="Q162" s="776" t="n"/>
      <c r="R162" s="775" t="n">
        <v>-38400</v>
      </c>
      <c r="S162" s="775" t="n">
        <v>0</v>
      </c>
      <c r="T162" s="775" t="n">
        <v>0</v>
      </c>
      <c r="U162" s="775" t="n">
        <v>0</v>
      </c>
      <c r="V162" s="775" t="n">
        <v>0</v>
      </c>
      <c r="W162" s="782">
        <f>SUM(R162:V162)-M162</f>
        <v/>
      </c>
      <c r="X162" s="783">
        <f>T162+U162+V162</f>
        <v/>
      </c>
    </row>
    <row r="163" hidden="1" ht="15.6" customHeight="1">
      <c r="B163" s="769" t="inlineStr">
        <is>
          <t>东风鸿远工程咨询有限公司</t>
        </is>
      </c>
      <c r="C163" s="770" t="inlineStr">
        <is>
          <t>2121</t>
        </is>
      </c>
      <c r="D163" s="772" t="inlineStr">
        <is>
          <t>E_607898</t>
        </is>
      </c>
      <c r="E163" s="772" t="inlineStr">
        <is>
          <t>武汉峰境俪致园林景观工程设计有限公司</t>
        </is>
      </c>
      <c r="F163" s="772" t="inlineStr">
        <is>
          <t>采购款</t>
        </is>
      </c>
      <c r="G163" s="773" t="inlineStr">
        <is>
          <t>供应商</t>
        </is>
      </c>
      <c r="H163" s="774" t="inlineStr">
        <is>
          <t>CNY</t>
        </is>
      </c>
      <c r="I163" s="785" t="n">
        <v>-271844.66</v>
      </c>
      <c r="J163" s="785" t="n"/>
      <c r="K163" s="776" t="n"/>
      <c r="L163" s="777" t="n"/>
      <c r="M163" s="778">
        <f>J163+L163</f>
        <v/>
      </c>
      <c r="N163" s="786" t="n">
        <v>-271844.66</v>
      </c>
      <c r="O163" s="780">
        <f>M163-N163</f>
        <v/>
      </c>
      <c r="P163" s="781">
        <f>IF(N163&lt;&gt;0,O163/N163,"")</f>
        <v/>
      </c>
      <c r="Q163" s="776" t="n"/>
      <c r="R163" s="775" t="n">
        <v>0</v>
      </c>
      <c r="S163" s="775" t="n">
        <v>0</v>
      </c>
      <c r="T163" s="775" t="n">
        <v>0</v>
      </c>
      <c r="U163" s="775" t="n">
        <v>0</v>
      </c>
      <c r="V163" s="775" t="n">
        <v>-271844.66</v>
      </c>
      <c r="W163" s="782">
        <f>SUM(R163:V163)-M163</f>
        <v/>
      </c>
      <c r="X163" s="783">
        <f>T163+U163+V163</f>
        <v/>
      </c>
    </row>
    <row r="164" ht="15.6" customHeight="1">
      <c r="B164" s="769" t="inlineStr">
        <is>
          <t>东风鸿远工程咨询有限公司</t>
        </is>
      </c>
      <c r="C164" s="770" t="inlineStr">
        <is>
          <t>2121</t>
        </is>
      </c>
      <c r="D164" s="772" t="inlineStr">
        <is>
          <t>E_177287</t>
        </is>
      </c>
      <c r="E164" s="772" t="inlineStr">
        <is>
          <t>襄阳诚智电力设计有限公司</t>
        </is>
      </c>
      <c r="F164" s="772" t="inlineStr">
        <is>
          <t>采购款</t>
        </is>
      </c>
      <c r="G164" s="773" t="inlineStr">
        <is>
          <t>供应商</t>
        </is>
      </c>
      <c r="H164" s="774" t="inlineStr">
        <is>
          <t>CNY</t>
        </is>
      </c>
      <c r="I164" s="785" t="n">
        <v>-1160377.36</v>
      </c>
      <c r="J164" s="785" t="n"/>
      <c r="K164" s="776" t="n"/>
      <c r="L164" s="777" t="n"/>
      <c r="M164" s="778">
        <f>J164+L164</f>
        <v/>
      </c>
      <c r="N164" s="786" t="n">
        <v>-1160377.36</v>
      </c>
      <c r="O164" s="780">
        <f>M164-N164</f>
        <v/>
      </c>
      <c r="P164" s="781">
        <f>IF(N164&lt;&gt;0,O164/N164,"")</f>
        <v/>
      </c>
      <c r="Q164" s="776" t="inlineStr">
        <is>
          <t>NB3</t>
        </is>
      </c>
      <c r="R164" s="775" t="n">
        <v>0</v>
      </c>
      <c r="S164" s="775" t="n">
        <v>-1160377.36</v>
      </c>
      <c r="T164" s="775" t="n">
        <v>0</v>
      </c>
      <c r="U164" s="775" t="n">
        <v>0</v>
      </c>
      <c r="V164" s="775" t="n">
        <v>0</v>
      </c>
      <c r="W164" s="782">
        <f>SUM(R164:V164)-M164</f>
        <v/>
      </c>
      <c r="X164" s="783">
        <f>T164+U164+V164</f>
        <v/>
      </c>
    </row>
    <row r="165" hidden="1" ht="15.6" customHeight="1">
      <c r="B165" s="769" t="inlineStr">
        <is>
          <t>东风鸿远工程咨询有限公司</t>
        </is>
      </c>
      <c r="C165" s="770" t="inlineStr">
        <is>
          <t>2121</t>
        </is>
      </c>
      <c r="D165" s="772" t="inlineStr">
        <is>
          <t>E_599650</t>
        </is>
      </c>
      <c r="E165" s="772" t="inlineStr">
        <is>
          <t>清华大学建筑设计研究院有限公司</t>
        </is>
      </c>
      <c r="F165" s="772" t="inlineStr">
        <is>
          <t>采购款</t>
        </is>
      </c>
      <c r="G165" s="773" t="inlineStr">
        <is>
          <t>供应商</t>
        </is>
      </c>
      <c r="H165" s="774" t="inlineStr">
        <is>
          <t>CNY</t>
        </is>
      </c>
      <c r="I165" s="785" t="n">
        <v>-174528.3</v>
      </c>
      <c r="J165" s="785" t="n"/>
      <c r="K165" s="776" t="n"/>
      <c r="L165" s="777" t="n"/>
      <c r="M165" s="778">
        <f>J165+L165</f>
        <v/>
      </c>
      <c r="N165" s="786" t="n">
        <v>-174528.3</v>
      </c>
      <c r="O165" s="780">
        <f>M165-N165</f>
        <v/>
      </c>
      <c r="P165" s="781">
        <f>IF(N165&lt;&gt;0,O165/N165,"")</f>
        <v/>
      </c>
      <c r="Q165" s="776" t="n"/>
      <c r="R165" s="775" t="n">
        <v>0</v>
      </c>
      <c r="S165" s="775" t="n">
        <v>0</v>
      </c>
      <c r="T165" s="775" t="n">
        <v>-174528.3</v>
      </c>
      <c r="U165" s="775" t="n">
        <v>0</v>
      </c>
      <c r="V165" s="775" t="n">
        <v>0</v>
      </c>
      <c r="W165" s="782">
        <f>SUM(R165:V165)-M165</f>
        <v/>
      </c>
      <c r="X165" s="783">
        <f>T165+U165+V165</f>
        <v/>
      </c>
    </row>
    <row r="166" hidden="1" ht="15.6" customHeight="1">
      <c r="B166" s="769" t="inlineStr">
        <is>
          <t>东风鸿远工程咨询有限公司</t>
        </is>
      </c>
      <c r="C166" s="770" t="inlineStr">
        <is>
          <t>2121</t>
        </is>
      </c>
      <c r="D166" s="772" t="inlineStr">
        <is>
          <t>E_628037</t>
        </is>
      </c>
      <c r="E166" s="772" t="inlineStr">
        <is>
          <t>襄阳市高新技术开发区一米森林园艺商行</t>
        </is>
      </c>
      <c r="F166" s="772" t="inlineStr">
        <is>
          <t>采购款</t>
        </is>
      </c>
      <c r="G166" s="773" t="inlineStr">
        <is>
          <t>供应商</t>
        </is>
      </c>
      <c r="H166" s="774" t="inlineStr">
        <is>
          <t>CNY</t>
        </is>
      </c>
      <c r="I166" s="785" t="n">
        <v>-21636</v>
      </c>
      <c r="J166" s="785" t="n"/>
      <c r="K166" s="776" t="n"/>
      <c r="L166" s="777" t="n"/>
      <c r="M166" s="778">
        <f>J166+L166</f>
        <v/>
      </c>
      <c r="N166" s="786" t="n">
        <v>-21636</v>
      </c>
      <c r="O166" s="780">
        <f>M166-N166</f>
        <v/>
      </c>
      <c r="P166" s="781">
        <f>IF(N166&lt;&gt;0,O166/N166,"")</f>
        <v/>
      </c>
      <c r="Q166" s="776" t="n"/>
      <c r="R166" s="775" t="n">
        <v>-21636</v>
      </c>
      <c r="S166" s="775" t="n">
        <v>0</v>
      </c>
      <c r="T166" s="775" t="n">
        <v>0</v>
      </c>
      <c r="U166" s="775" t="n">
        <v>0</v>
      </c>
      <c r="V166" s="775" t="n">
        <v>0</v>
      </c>
      <c r="W166" s="782">
        <f>SUM(R166:V166)-M166</f>
        <v/>
      </c>
      <c r="X166" s="783">
        <f>T166+U166+V166</f>
        <v/>
      </c>
    </row>
    <row r="167" hidden="1" ht="15.6" customHeight="1">
      <c r="B167" s="769" t="inlineStr">
        <is>
          <t>东风鸿远工程咨询有限公司</t>
        </is>
      </c>
      <c r="C167" s="770" t="inlineStr">
        <is>
          <t>2121</t>
        </is>
      </c>
      <c r="D167" s="772" t="inlineStr">
        <is>
          <t>E_601027</t>
        </is>
      </c>
      <c r="E167" s="772" t="inlineStr">
        <is>
          <t>上海志贺建筑设计事务所（普通合伙）</t>
        </is>
      </c>
      <c r="F167" s="772" t="inlineStr">
        <is>
          <t>采购款</t>
        </is>
      </c>
      <c r="G167" s="773" t="inlineStr">
        <is>
          <t>供应商</t>
        </is>
      </c>
      <c r="H167" s="774" t="inlineStr">
        <is>
          <t>CNY</t>
        </is>
      </c>
      <c r="I167" s="785" t="n">
        <v>-48500</v>
      </c>
      <c r="J167" s="785" t="n"/>
      <c r="K167" s="776" t="n"/>
      <c r="L167" s="777" t="n"/>
      <c r="M167" s="778">
        <f>J167+L167</f>
        <v/>
      </c>
      <c r="N167" s="786" t="n">
        <v>-48500</v>
      </c>
      <c r="O167" s="780">
        <f>M167-N167</f>
        <v/>
      </c>
      <c r="P167" s="781">
        <f>IF(N167&lt;&gt;0,O167/N167,"")</f>
        <v/>
      </c>
      <c r="Q167" s="776" t="n"/>
      <c r="R167" s="775" t="n">
        <v>0</v>
      </c>
      <c r="S167" s="775" t="n">
        <v>-48500</v>
      </c>
      <c r="T167" s="775" t="n">
        <v>0</v>
      </c>
      <c r="U167" s="775" t="n">
        <v>0</v>
      </c>
      <c r="V167" s="775" t="n">
        <v>0</v>
      </c>
      <c r="W167" s="782">
        <f>SUM(R167:V167)-M167</f>
        <v/>
      </c>
      <c r="X167" s="783">
        <f>T167+U167+V167</f>
        <v/>
      </c>
    </row>
    <row r="168" hidden="1" ht="15.6" customHeight="1">
      <c r="B168" s="769" t="inlineStr">
        <is>
          <t>东风鸿远工程咨询有限公司</t>
        </is>
      </c>
      <c r="C168" s="770" t="inlineStr">
        <is>
          <t>2121</t>
        </is>
      </c>
      <c r="D168" s="772" t="inlineStr">
        <is>
          <t>E_032471</t>
        </is>
      </c>
      <c r="E168" s="772" t="inlineStr">
        <is>
          <t>罗蒙集团股份有限公司</t>
        </is>
      </c>
      <c r="F168" s="772" t="inlineStr">
        <is>
          <t>采购款</t>
        </is>
      </c>
      <c r="G168" s="773" t="inlineStr">
        <is>
          <t>供应商</t>
        </is>
      </c>
      <c r="H168" s="774" t="inlineStr">
        <is>
          <t>CNY</t>
        </is>
      </c>
      <c r="I168" s="785" t="n">
        <v>-52290</v>
      </c>
      <c r="J168" s="785" t="n"/>
      <c r="K168" s="776" t="n"/>
      <c r="L168" s="777" t="n"/>
      <c r="M168" s="778">
        <f>J168+L168</f>
        <v/>
      </c>
      <c r="N168" s="786" t="n">
        <v>-52290</v>
      </c>
      <c r="O168" s="780">
        <f>M168-N168</f>
        <v/>
      </c>
      <c r="P168" s="781">
        <f>IF(N168&lt;&gt;0,O168/N168,"")</f>
        <v/>
      </c>
      <c r="Q168" s="776" t="n"/>
      <c r="R168" s="775" t="n">
        <v>-52290</v>
      </c>
      <c r="S168" s="775" t="n">
        <v>0</v>
      </c>
      <c r="T168" s="775" t="n">
        <v>0</v>
      </c>
      <c r="U168" s="775" t="n">
        <v>0</v>
      </c>
      <c r="V168" s="775" t="n">
        <v>0</v>
      </c>
      <c r="W168" s="782">
        <f>SUM(R168:V168)-M168</f>
        <v/>
      </c>
      <c r="X168" s="783">
        <f>T168+U168+V168</f>
        <v/>
      </c>
    </row>
    <row r="169" hidden="1" ht="15.6" customHeight="1">
      <c r="B169" s="769" t="inlineStr">
        <is>
          <t>东风鸿远工程咨询有限公司</t>
        </is>
      </c>
      <c r="C169" s="770" t="inlineStr">
        <is>
          <t>2121</t>
        </is>
      </c>
      <c r="D169" s="772" t="inlineStr">
        <is>
          <t>E_617033</t>
        </is>
      </c>
      <c r="E169" s="772" t="inlineStr">
        <is>
          <t>襄阳市慢生活体育文化传媒有限公司</t>
        </is>
      </c>
      <c r="F169" s="772" t="inlineStr">
        <is>
          <t>采购款</t>
        </is>
      </c>
      <c r="G169" s="773" t="inlineStr">
        <is>
          <t>供应商</t>
        </is>
      </c>
      <c r="H169" s="774" t="inlineStr">
        <is>
          <t>CNY</t>
        </is>
      </c>
      <c r="I169" s="785" t="n">
        <v>-73640</v>
      </c>
      <c r="J169" s="785" t="n"/>
      <c r="K169" s="776" t="n"/>
      <c r="L169" s="777" t="n"/>
      <c r="M169" s="778">
        <f>J169+L169</f>
        <v/>
      </c>
      <c r="N169" s="786" t="n">
        <v>-73640</v>
      </c>
      <c r="O169" s="780">
        <f>M169-N169</f>
        <v/>
      </c>
      <c r="P169" s="781">
        <f>IF(N169&lt;&gt;0,O169/N169,"")</f>
        <v/>
      </c>
      <c r="Q169" s="776" t="n"/>
      <c r="R169" s="775" t="n">
        <v>-73640</v>
      </c>
      <c r="S169" s="775" t="n">
        <v>0</v>
      </c>
      <c r="T169" s="775" t="n">
        <v>0</v>
      </c>
      <c r="U169" s="775" t="n">
        <v>0</v>
      </c>
      <c r="V169" s="775" t="n">
        <v>0</v>
      </c>
      <c r="W169" s="782">
        <f>SUM(R169:V169)-M169</f>
        <v/>
      </c>
      <c r="X169" s="783">
        <f>T169+U169+V169</f>
        <v/>
      </c>
    </row>
    <row r="170" hidden="1" ht="15.6" customHeight="1">
      <c r="B170" s="769" t="inlineStr">
        <is>
          <t>东风鸿远工程咨询有限公司</t>
        </is>
      </c>
      <c r="C170" s="770" t="inlineStr">
        <is>
          <t>2121</t>
        </is>
      </c>
      <c r="D170" s="772" t="inlineStr">
        <is>
          <t>E_624943</t>
        </is>
      </c>
      <c r="E170" s="772" t="inlineStr">
        <is>
          <t>湖北筑美空间装饰设计有限公司</t>
        </is>
      </c>
      <c r="F170" s="772" t="inlineStr">
        <is>
          <t>采购款</t>
        </is>
      </c>
      <c r="G170" s="773" t="inlineStr">
        <is>
          <t>供应商</t>
        </is>
      </c>
      <c r="H170" s="774" t="inlineStr">
        <is>
          <t>CNY</t>
        </is>
      </c>
      <c r="I170" s="785" t="n">
        <v>0</v>
      </c>
      <c r="J170" s="785" t="n"/>
      <c r="K170" s="776" t="n"/>
      <c r="L170" s="777" t="n"/>
      <c r="M170" s="778">
        <f>J170+L170</f>
        <v/>
      </c>
      <c r="N170" s="786" t="n">
        <v>0</v>
      </c>
      <c r="O170" s="780">
        <f>M170-N170</f>
        <v/>
      </c>
      <c r="P170" s="781">
        <f>IF(N170&lt;&gt;0,O170/N170,"")</f>
        <v/>
      </c>
      <c r="Q170" s="776" t="n"/>
      <c r="R170" s="775" t="n">
        <v>0</v>
      </c>
      <c r="S170" s="775" t="n">
        <v>0</v>
      </c>
      <c r="T170" s="775" t="n">
        <v>0</v>
      </c>
      <c r="U170" s="775" t="n">
        <v>0</v>
      </c>
      <c r="V170" s="775" t="n">
        <v>0</v>
      </c>
      <c r="W170" s="782">
        <f>SUM(R170:V170)-M170</f>
        <v/>
      </c>
      <c r="X170" s="783">
        <f>T170+U170+V170</f>
        <v/>
      </c>
    </row>
    <row r="171" hidden="1" ht="15.6" customHeight="1">
      <c r="B171" s="769" t="inlineStr">
        <is>
          <t>东风鸿远工程咨询有限公司</t>
        </is>
      </c>
      <c r="C171" s="770" t="inlineStr">
        <is>
          <t>2121</t>
        </is>
      </c>
      <c r="D171" s="772" t="inlineStr">
        <is>
          <t>E_155145</t>
        </is>
      </c>
      <c r="E171" s="772" t="inlineStr">
        <is>
          <t>武汉市勘察设计有限公司</t>
        </is>
      </c>
      <c r="F171" s="772" t="inlineStr">
        <is>
          <t>采购款</t>
        </is>
      </c>
      <c r="G171" s="773" t="inlineStr">
        <is>
          <t>供应商</t>
        </is>
      </c>
      <c r="H171" s="774" t="inlineStr">
        <is>
          <t>CNY</t>
        </is>
      </c>
      <c r="I171" s="785" t="n">
        <v>-75471.7</v>
      </c>
      <c r="J171" s="785" t="n"/>
      <c r="K171" s="776" t="n"/>
      <c r="L171" s="777" t="n"/>
      <c r="M171" s="778">
        <f>J171+L171</f>
        <v/>
      </c>
      <c r="N171" s="786" t="n">
        <v>-75471.7</v>
      </c>
      <c r="O171" s="780">
        <f>M171-N171</f>
        <v/>
      </c>
      <c r="P171" s="781">
        <f>IF(N171&lt;&gt;0,O171/N171,"")</f>
        <v/>
      </c>
      <c r="Q171" s="776" t="n"/>
      <c r="R171" s="775" t="n">
        <v>0</v>
      </c>
      <c r="S171" s="775" t="n">
        <v>0</v>
      </c>
      <c r="T171" s="775" t="n">
        <v>0</v>
      </c>
      <c r="U171" s="775" t="n">
        <v>-75471.7</v>
      </c>
      <c r="V171" s="775" t="n">
        <v>0</v>
      </c>
      <c r="W171" s="782">
        <f>SUM(R171:V171)-M171</f>
        <v/>
      </c>
      <c r="X171" s="783">
        <f>T171+U171+V171</f>
        <v/>
      </c>
    </row>
    <row r="172" hidden="1" ht="15.6" customHeight="1">
      <c r="B172" s="769" t="inlineStr">
        <is>
          <t>东风鸿远工程咨询有限公司</t>
        </is>
      </c>
      <c r="C172" s="770" t="inlineStr">
        <is>
          <t>2121</t>
        </is>
      </c>
      <c r="D172" s="772" t="inlineStr">
        <is>
          <t>E_624672</t>
        </is>
      </c>
      <c r="E172" s="772" t="inlineStr">
        <is>
          <t>湖北广怡基础建筑劳务有限公司</t>
        </is>
      </c>
      <c r="F172" s="772" t="inlineStr">
        <is>
          <t>采购款</t>
        </is>
      </c>
      <c r="G172" s="773" t="inlineStr">
        <is>
          <t>供应商</t>
        </is>
      </c>
      <c r="H172" s="774" t="inlineStr">
        <is>
          <t>CNY</t>
        </is>
      </c>
      <c r="I172" s="785" t="n">
        <v>-430734.9</v>
      </c>
      <c r="J172" s="785" t="n"/>
      <c r="K172" s="776" t="n"/>
      <c r="L172" s="777" t="n"/>
      <c r="M172" s="778">
        <f>J172+L172</f>
        <v/>
      </c>
      <c r="N172" s="786" t="n">
        <v>-430734.9</v>
      </c>
      <c r="O172" s="780">
        <f>M172-N172</f>
        <v/>
      </c>
      <c r="P172" s="781">
        <f>IF(N172&lt;&gt;0,O172/N172,"")</f>
        <v/>
      </c>
      <c r="Q172" s="776" t="n"/>
      <c r="R172" s="775" t="n">
        <v>-199292.39</v>
      </c>
      <c r="S172" s="775" t="n">
        <v>-132416.61</v>
      </c>
      <c r="T172" s="775" t="n">
        <v>-99025.89999999999</v>
      </c>
      <c r="U172" s="775" t="n">
        <v>0</v>
      </c>
      <c r="V172" s="775" t="n">
        <v>0</v>
      </c>
      <c r="W172" s="782">
        <f>SUM(R172:V172)-M172</f>
        <v/>
      </c>
      <c r="X172" s="783">
        <f>T172+U172+V172</f>
        <v/>
      </c>
    </row>
    <row r="173" hidden="1" ht="15.6" customHeight="1">
      <c r="B173" s="769" t="inlineStr">
        <is>
          <t>东风鸿远工程咨询有限公司</t>
        </is>
      </c>
      <c r="C173" s="770" t="inlineStr">
        <is>
          <t>2121</t>
        </is>
      </c>
      <c r="D173" s="772" t="inlineStr">
        <is>
          <t>E_227520</t>
        </is>
      </c>
      <c r="E173" s="772" t="inlineStr">
        <is>
          <t>湖北科远环境检测有限公司</t>
        </is>
      </c>
      <c r="F173" s="772" t="inlineStr">
        <is>
          <t>采购款</t>
        </is>
      </c>
      <c r="G173" s="773" t="inlineStr">
        <is>
          <t>供应商</t>
        </is>
      </c>
      <c r="H173" s="774" t="inlineStr">
        <is>
          <t>CNY</t>
        </is>
      </c>
      <c r="I173" s="785" t="n">
        <v>-340776.7</v>
      </c>
      <c r="J173" s="785" t="n"/>
      <c r="K173" s="776" t="n"/>
      <c r="L173" s="777" t="n"/>
      <c r="M173" s="778">
        <f>J173+L173</f>
        <v/>
      </c>
      <c r="N173" s="786" t="n">
        <v>-340776.7</v>
      </c>
      <c r="O173" s="780">
        <f>M173-N173</f>
        <v/>
      </c>
      <c r="P173" s="781">
        <f>IF(N173&lt;&gt;0,O173/N173,"")</f>
        <v/>
      </c>
      <c r="Q173" s="776" t="n"/>
      <c r="R173" s="775" t="n">
        <v>0</v>
      </c>
      <c r="S173" s="775" t="n">
        <v>0</v>
      </c>
      <c r="T173" s="775" t="n">
        <v>0</v>
      </c>
      <c r="U173" s="775" t="n">
        <v>-340776.7</v>
      </c>
      <c r="V173" s="775" t="n">
        <v>0</v>
      </c>
      <c r="W173" s="782">
        <f>SUM(R173:V173)-M173</f>
        <v/>
      </c>
      <c r="X173" s="783">
        <f>T173+U173+V173</f>
        <v/>
      </c>
    </row>
    <row r="174" hidden="1" ht="15.6" customHeight="1">
      <c r="B174" s="769" t="inlineStr">
        <is>
          <t>东风鸿远工程咨询有限公司</t>
        </is>
      </c>
      <c r="C174" s="770" t="inlineStr">
        <is>
          <t>2121</t>
        </is>
      </c>
      <c r="D174" s="772" t="inlineStr">
        <is>
          <t>E_791242</t>
        </is>
      </c>
      <c r="E174" s="772" t="inlineStr">
        <is>
          <t>襄阳市高新区鑫永昌物流部</t>
        </is>
      </c>
      <c r="F174" s="772" t="inlineStr">
        <is>
          <t>采购款</t>
        </is>
      </c>
      <c r="G174" s="773" t="inlineStr">
        <is>
          <t>供应商</t>
        </is>
      </c>
      <c r="H174" s="774" t="inlineStr">
        <is>
          <t>CNY</t>
        </is>
      </c>
      <c r="I174" s="785" t="n">
        <v>-15200</v>
      </c>
      <c r="J174" s="785" t="n"/>
      <c r="K174" s="776" t="n"/>
      <c r="L174" s="777" t="n"/>
      <c r="M174" s="778">
        <f>J174+L174</f>
        <v/>
      </c>
      <c r="N174" s="786" t="n">
        <v>-15200</v>
      </c>
      <c r="O174" s="780">
        <f>M174-N174</f>
        <v/>
      </c>
      <c r="P174" s="781">
        <f>IF(N174&lt;&gt;0,O174/N174,"")</f>
        <v/>
      </c>
      <c r="Q174" s="776" t="n"/>
      <c r="R174" s="775" t="n">
        <v>-15200</v>
      </c>
      <c r="S174" s="775" t="n">
        <v>0</v>
      </c>
      <c r="T174" s="775" t="n">
        <v>0</v>
      </c>
      <c r="U174" s="775" t="n">
        <v>0</v>
      </c>
      <c r="V174" s="775" t="n">
        <v>0</v>
      </c>
      <c r="W174" s="782">
        <f>SUM(R174:V174)-M174</f>
        <v/>
      </c>
      <c r="X174" s="783">
        <f>T174+U174+V174</f>
        <v/>
      </c>
    </row>
    <row r="175" hidden="1" ht="15.6" customHeight="1">
      <c r="B175" s="769" t="inlineStr">
        <is>
          <t>东风鸿远工程咨询有限公司</t>
        </is>
      </c>
      <c r="C175" s="770" t="inlineStr">
        <is>
          <t>2121</t>
        </is>
      </c>
      <c r="D175" s="772" t="inlineStr">
        <is>
          <t>E_855078</t>
        </is>
      </c>
      <c r="E175" s="772" t="inlineStr">
        <is>
          <t>湖北星火合筑工程服务有限公司</t>
        </is>
      </c>
      <c r="F175" s="772" t="inlineStr">
        <is>
          <t>采购款</t>
        </is>
      </c>
      <c r="G175" s="773" t="inlineStr">
        <is>
          <t>供应商</t>
        </is>
      </c>
      <c r="H175" s="774" t="inlineStr">
        <is>
          <t>CNY</t>
        </is>
      </c>
      <c r="I175" s="785" t="n">
        <v>-15533.99</v>
      </c>
      <c r="J175" s="785" t="n"/>
      <c r="K175" s="776" t="n"/>
      <c r="L175" s="777" t="n"/>
      <c r="M175" s="778">
        <f>J175+L175</f>
        <v/>
      </c>
      <c r="N175" s="786" t="n">
        <v>-15533.99</v>
      </c>
      <c r="O175" s="780">
        <f>M175-N175</f>
        <v/>
      </c>
      <c r="P175" s="781">
        <f>IF(N175&lt;&gt;0,O175/N175,"")</f>
        <v/>
      </c>
      <c r="Q175" s="776" t="n"/>
      <c r="R175" s="775" t="n">
        <v>-15533.99</v>
      </c>
      <c r="S175" s="775" t="n">
        <v>0</v>
      </c>
      <c r="T175" s="775" t="n">
        <v>0</v>
      </c>
      <c r="U175" s="775" t="n">
        <v>0</v>
      </c>
      <c r="V175" s="775" t="n">
        <v>0</v>
      </c>
      <c r="W175" s="782">
        <f>SUM(R175:V175)-M175</f>
        <v/>
      </c>
      <c r="X175" s="783">
        <f>T175+U175+V175</f>
        <v/>
      </c>
    </row>
    <row r="176" hidden="1" ht="15.6" customHeight="1">
      <c r="B176" s="769" t="inlineStr">
        <is>
          <t>东风鸿远工程咨询有限公司</t>
        </is>
      </c>
      <c r="C176" s="770" t="inlineStr">
        <is>
          <t>2121</t>
        </is>
      </c>
      <c r="D176" s="772" t="inlineStr">
        <is>
          <t>E_146677</t>
        </is>
      </c>
      <c r="E176" s="772" t="inlineStr">
        <is>
          <t>湖北天洋机电工程有限公司</t>
        </is>
      </c>
      <c r="F176" s="772" t="inlineStr">
        <is>
          <t>采购款</t>
        </is>
      </c>
      <c r="G176" s="773" t="inlineStr">
        <is>
          <t>供应商</t>
        </is>
      </c>
      <c r="H176" s="774" t="inlineStr">
        <is>
          <t>CNY</t>
        </is>
      </c>
      <c r="I176" s="785" t="n">
        <v>-82964.60000000001</v>
      </c>
      <c r="J176" s="785" t="n"/>
      <c r="K176" s="776" t="n"/>
      <c r="L176" s="777" t="n"/>
      <c r="M176" s="778">
        <f>J176+L176</f>
        <v/>
      </c>
      <c r="N176" s="786" t="n">
        <v>-82964.60000000001</v>
      </c>
      <c r="O176" s="780">
        <f>M176-N176</f>
        <v/>
      </c>
      <c r="P176" s="781">
        <f>IF(N176&lt;&gt;0,O176/N176,"")</f>
        <v/>
      </c>
      <c r="Q176" s="776" t="n"/>
      <c r="R176" s="775" t="n">
        <v>0</v>
      </c>
      <c r="S176" s="775" t="n">
        <v>0</v>
      </c>
      <c r="T176" s="775" t="n">
        <v>0</v>
      </c>
      <c r="U176" s="775" t="n">
        <v>0</v>
      </c>
      <c r="V176" s="775" t="n">
        <v>-82964.60000000001</v>
      </c>
      <c r="W176" s="782">
        <f>SUM(R176:V176)-M176</f>
        <v/>
      </c>
      <c r="X176" s="783">
        <f>T176+U176+V176</f>
        <v/>
      </c>
    </row>
    <row r="177" hidden="1" ht="15.6" customHeight="1">
      <c r="B177" s="769" t="inlineStr">
        <is>
          <t>东风鸿远工程咨询有限公司</t>
        </is>
      </c>
      <c r="C177" s="770" t="inlineStr">
        <is>
          <t>2121</t>
        </is>
      </c>
      <c r="D177" s="772" t="inlineStr">
        <is>
          <t>E_120763</t>
        </is>
      </c>
      <c r="E177" s="772" t="inlineStr">
        <is>
          <t>杭萧钢构股份有限公司</t>
        </is>
      </c>
      <c r="F177" s="772" t="inlineStr">
        <is>
          <t>采购款</t>
        </is>
      </c>
      <c r="G177" s="773" t="inlineStr">
        <is>
          <t>供应商</t>
        </is>
      </c>
      <c r="H177" s="774" t="inlineStr">
        <is>
          <t>CNY</t>
        </is>
      </c>
      <c r="I177" s="785" t="n">
        <v>-306603.77</v>
      </c>
      <c r="J177" s="785" t="n"/>
      <c r="K177" s="776" t="n"/>
      <c r="L177" s="777" t="n"/>
      <c r="M177" s="778">
        <f>J177+L177</f>
        <v/>
      </c>
      <c r="N177" s="786" t="n">
        <v>-306603.77</v>
      </c>
      <c r="O177" s="780">
        <f>M177-N177</f>
        <v/>
      </c>
      <c r="P177" s="781">
        <f>IF(N177&lt;&gt;0,O177/N177,"")</f>
        <v/>
      </c>
      <c r="Q177" s="776" t="n"/>
      <c r="R177" s="775" t="n">
        <v>0</v>
      </c>
      <c r="S177" s="775" t="n">
        <v>0</v>
      </c>
      <c r="T177" s="775" t="n">
        <v>0</v>
      </c>
      <c r="U177" s="775" t="n">
        <v>0</v>
      </c>
      <c r="V177" s="775" t="n">
        <v>-306603.77</v>
      </c>
      <c r="W177" s="782">
        <f>SUM(R177:V177)-M177</f>
        <v/>
      </c>
      <c r="X177" s="783">
        <f>T177+U177+V177</f>
        <v/>
      </c>
    </row>
    <row r="178" hidden="1" ht="15.6" customHeight="1">
      <c r="B178" s="769" t="inlineStr">
        <is>
          <t>东风鸿远工程咨询有限公司</t>
        </is>
      </c>
      <c r="C178" s="770" t="inlineStr">
        <is>
          <t>2121</t>
        </is>
      </c>
      <c r="D178" s="772" t="inlineStr">
        <is>
          <t>E_623468</t>
        </is>
      </c>
      <c r="E178" s="772" t="inlineStr">
        <is>
          <t>武汉颠三文化传媒有限公司</t>
        </is>
      </c>
      <c r="F178" s="772" t="inlineStr">
        <is>
          <t>采购款</t>
        </is>
      </c>
      <c r="G178" s="773" t="inlineStr">
        <is>
          <t>供应商</t>
        </is>
      </c>
      <c r="H178" s="774" t="inlineStr">
        <is>
          <t>CNY</t>
        </is>
      </c>
      <c r="I178" s="785" t="n">
        <v>-63990.29</v>
      </c>
      <c r="J178" s="785" t="n"/>
      <c r="K178" s="776" t="n"/>
      <c r="L178" s="777" t="n"/>
      <c r="M178" s="778">
        <f>J178+L178</f>
        <v/>
      </c>
      <c r="N178" s="786" t="n">
        <v>-63990.29</v>
      </c>
      <c r="O178" s="780">
        <f>M178-N178</f>
        <v/>
      </c>
      <c r="P178" s="781">
        <f>IF(N178&lt;&gt;0,O178/N178,"")</f>
        <v/>
      </c>
      <c r="Q178" s="776" t="n"/>
      <c r="R178" s="775" t="n">
        <v>0</v>
      </c>
      <c r="S178" s="775" t="n">
        <v>-63990.29</v>
      </c>
      <c r="T178" s="775" t="n">
        <v>0</v>
      </c>
      <c r="U178" s="775" t="n">
        <v>0</v>
      </c>
      <c r="V178" s="775" t="n">
        <v>0</v>
      </c>
      <c r="W178" s="782">
        <f>SUM(R178:V178)-M178</f>
        <v/>
      </c>
      <c r="X178" s="783">
        <f>T178+U178+V178</f>
        <v/>
      </c>
    </row>
    <row r="179" hidden="1" ht="15.6" customHeight="1">
      <c r="B179" s="769" t="inlineStr">
        <is>
          <t>东风鸿远工程咨询有限公司</t>
        </is>
      </c>
      <c r="C179" s="770" t="inlineStr">
        <is>
          <t>2121</t>
        </is>
      </c>
      <c r="D179" s="772" t="inlineStr">
        <is>
          <t>E_787488</t>
        </is>
      </c>
      <c r="E179" s="772" t="inlineStr">
        <is>
          <t>襄阳立弘汽车服务有限公司</t>
        </is>
      </c>
      <c r="F179" s="772" t="inlineStr">
        <is>
          <t>采购款</t>
        </is>
      </c>
      <c r="G179" s="773" t="inlineStr">
        <is>
          <t>供应商</t>
        </is>
      </c>
      <c r="H179" s="774" t="inlineStr">
        <is>
          <t>CNY</t>
        </is>
      </c>
      <c r="I179" s="785" t="n">
        <v>-16000</v>
      </c>
      <c r="J179" s="785" t="n"/>
      <c r="K179" s="776" t="n"/>
      <c r="L179" s="777" t="n"/>
      <c r="M179" s="778">
        <f>J179+L179</f>
        <v/>
      </c>
      <c r="N179" s="786" t="n">
        <v>-16000</v>
      </c>
      <c r="O179" s="780">
        <f>M179-N179</f>
        <v/>
      </c>
      <c r="P179" s="781">
        <f>IF(N179&lt;&gt;0,O179/N179,"")</f>
        <v/>
      </c>
      <c r="Q179" s="776" t="n"/>
      <c r="R179" s="775" t="n">
        <v>-16000</v>
      </c>
      <c r="S179" s="775" t="n">
        <v>0</v>
      </c>
      <c r="T179" s="775" t="n">
        <v>0</v>
      </c>
      <c r="U179" s="775" t="n">
        <v>0</v>
      </c>
      <c r="V179" s="775" t="n">
        <v>0</v>
      </c>
      <c r="W179" s="782">
        <f>SUM(R179:V179)-M179</f>
        <v/>
      </c>
      <c r="X179" s="783">
        <f>T179+U179+V179</f>
        <v/>
      </c>
    </row>
    <row r="180" hidden="1" ht="15.6" customHeight="1">
      <c r="B180" s="769" t="inlineStr">
        <is>
          <t>东风鸿远工程咨询有限公司</t>
        </is>
      </c>
      <c r="C180" s="770" t="inlineStr">
        <is>
          <t>2121</t>
        </is>
      </c>
      <c r="D180" s="772" t="inlineStr">
        <is>
          <t>E_624564</t>
        </is>
      </c>
      <c r="E180" s="772" t="inlineStr">
        <is>
          <t>襄阳新航盛劳务有限公司</t>
        </is>
      </c>
      <c r="F180" s="772" t="inlineStr">
        <is>
          <t>采购款</t>
        </is>
      </c>
      <c r="G180" s="773" t="inlineStr">
        <is>
          <t>供应商</t>
        </is>
      </c>
      <c r="H180" s="774" t="inlineStr">
        <is>
          <t>CNY</t>
        </is>
      </c>
      <c r="I180" s="785" t="n">
        <v>-150000</v>
      </c>
      <c r="J180" s="785" t="n"/>
      <c r="K180" s="776" t="n"/>
      <c r="L180" s="777" t="n"/>
      <c r="M180" s="778">
        <f>J180+L180</f>
        <v/>
      </c>
      <c r="N180" s="786" t="n">
        <v>-150000</v>
      </c>
      <c r="O180" s="780">
        <f>M180-N180</f>
        <v/>
      </c>
      <c r="P180" s="781">
        <f>IF(N180&lt;&gt;0,O180/N180,"")</f>
        <v/>
      </c>
      <c r="Q180" s="776" t="n"/>
      <c r="R180" s="775" t="n">
        <v>-150000</v>
      </c>
      <c r="S180" s="775" t="n">
        <v>0</v>
      </c>
      <c r="T180" s="775" t="n">
        <v>0</v>
      </c>
      <c r="U180" s="775" t="n">
        <v>0</v>
      </c>
      <c r="V180" s="775" t="n">
        <v>0</v>
      </c>
      <c r="W180" s="782">
        <f>SUM(R180:V180)-M180</f>
        <v/>
      </c>
      <c r="X180" s="783">
        <f>T180+U180+V180</f>
        <v/>
      </c>
    </row>
    <row r="181" hidden="1" ht="15.6" customHeight="1">
      <c r="B181" s="769" t="inlineStr">
        <is>
          <t>东风鸿远工程咨询有限公司</t>
        </is>
      </c>
      <c r="C181" s="770" t="inlineStr">
        <is>
          <t>2121</t>
        </is>
      </c>
      <c r="D181" s="772" t="inlineStr">
        <is>
          <t>E_602987</t>
        </is>
      </c>
      <c r="E181" s="772" t="inlineStr">
        <is>
          <t>佛山市亿存新型材料有限公司</t>
        </is>
      </c>
      <c r="F181" s="772" t="inlineStr">
        <is>
          <t>采购款</t>
        </is>
      </c>
      <c r="G181" s="773" t="inlineStr">
        <is>
          <t>供应商</t>
        </is>
      </c>
      <c r="H181" s="774" t="inlineStr">
        <is>
          <t>CNY</t>
        </is>
      </c>
      <c r="I181" s="785" t="n">
        <v>-6924.78</v>
      </c>
      <c r="J181" s="785" t="n"/>
      <c r="K181" s="776" t="n"/>
      <c r="L181" s="777" t="n"/>
      <c r="M181" s="778">
        <f>J181+L181</f>
        <v/>
      </c>
      <c r="N181" s="786" t="n">
        <v>-6924.78</v>
      </c>
      <c r="O181" s="780">
        <f>M181-N181</f>
        <v/>
      </c>
      <c r="P181" s="781">
        <f>IF(N181&lt;&gt;0,O181/N181,"")</f>
        <v/>
      </c>
      <c r="Q181" s="776" t="n"/>
      <c r="R181" s="775" t="n">
        <v>0</v>
      </c>
      <c r="S181" s="775" t="n">
        <v>0</v>
      </c>
      <c r="T181" s="775" t="n">
        <v>0</v>
      </c>
      <c r="U181" s="775" t="n">
        <v>0</v>
      </c>
      <c r="V181" s="775" t="n">
        <v>-6924.78</v>
      </c>
      <c r="W181" s="782">
        <f>SUM(R181:V181)-M181</f>
        <v/>
      </c>
      <c r="X181" s="783">
        <f>T181+U181+V181</f>
        <v/>
      </c>
    </row>
    <row r="182" hidden="1" ht="15.6" customHeight="1">
      <c r="B182" s="769" t="inlineStr">
        <is>
          <t>东风鸿远工程咨询有限公司</t>
        </is>
      </c>
      <c r="C182" s="770" t="inlineStr">
        <is>
          <t>2121</t>
        </is>
      </c>
      <c r="D182" s="772" t="inlineStr">
        <is>
          <t>E_015226</t>
        </is>
      </c>
      <c r="E182" s="772" t="inlineStr">
        <is>
          <t>武汉金东方智能景观股份有限公司</t>
        </is>
      </c>
      <c r="F182" s="772" t="inlineStr">
        <is>
          <t>采购款</t>
        </is>
      </c>
      <c r="G182" s="773" t="inlineStr">
        <is>
          <t>供应商</t>
        </is>
      </c>
      <c r="H182" s="774" t="inlineStr">
        <is>
          <t>CNY</t>
        </is>
      </c>
      <c r="I182" s="785" t="n">
        <v>-60000</v>
      </c>
      <c r="J182" s="785" t="n"/>
      <c r="K182" s="776" t="n"/>
      <c r="L182" s="777" t="n"/>
      <c r="M182" s="778">
        <f>J182+L182</f>
        <v/>
      </c>
      <c r="N182" s="786" t="n">
        <v>-60000</v>
      </c>
      <c r="O182" s="780">
        <f>M182-N182</f>
        <v/>
      </c>
      <c r="P182" s="781">
        <f>IF(N182&lt;&gt;0,O182/N182,"")</f>
        <v/>
      </c>
      <c r="Q182" s="776" t="n"/>
      <c r="R182" s="775" t="n">
        <v>0</v>
      </c>
      <c r="S182" s="775" t="n">
        <v>0</v>
      </c>
      <c r="T182" s="775" t="n">
        <v>0</v>
      </c>
      <c r="U182" s="775" t="n">
        <v>0</v>
      </c>
      <c r="V182" s="775" t="n">
        <v>-60000</v>
      </c>
      <c r="W182" s="782">
        <f>SUM(R182:V182)-M182</f>
        <v/>
      </c>
      <c r="X182" s="783">
        <f>T182+U182+V182</f>
        <v/>
      </c>
    </row>
    <row r="183" hidden="1" ht="15.6" customHeight="1">
      <c r="B183" s="769" t="inlineStr">
        <is>
          <t>东风鸿远工程咨询有限公司</t>
        </is>
      </c>
      <c r="C183" s="770" t="inlineStr">
        <is>
          <t>2121</t>
        </is>
      </c>
      <c r="D183" s="772" t="inlineStr">
        <is>
          <t>E_628047</t>
        </is>
      </c>
      <c r="E183" s="772" t="inlineStr">
        <is>
          <t>襄城区隗鹏雕塑工作室</t>
        </is>
      </c>
      <c r="F183" s="772" t="inlineStr">
        <is>
          <t>采购款</t>
        </is>
      </c>
      <c r="G183" s="773" t="inlineStr">
        <is>
          <t>供应商</t>
        </is>
      </c>
      <c r="H183" s="774" t="inlineStr">
        <is>
          <t>CNY</t>
        </is>
      </c>
      <c r="I183" s="785" t="n">
        <v>0</v>
      </c>
      <c r="J183" s="785" t="n"/>
      <c r="K183" s="776" t="n"/>
      <c r="L183" s="777" t="n"/>
      <c r="M183" s="778">
        <f>J183+L183</f>
        <v/>
      </c>
      <c r="N183" s="786" t="n">
        <v>0</v>
      </c>
      <c r="O183" s="780">
        <f>M183-N183</f>
        <v/>
      </c>
      <c r="P183" s="781">
        <f>IF(N183&lt;&gt;0,O183/N183,"")</f>
        <v/>
      </c>
      <c r="Q183" s="776" t="n"/>
      <c r="R183" s="775" t="n">
        <v>0</v>
      </c>
      <c r="S183" s="775" t="n">
        <v>0</v>
      </c>
      <c r="T183" s="775" t="n">
        <v>0</v>
      </c>
      <c r="U183" s="775" t="n">
        <v>0</v>
      </c>
      <c r="V183" s="775" t="n">
        <v>0</v>
      </c>
      <c r="W183" s="782">
        <f>SUM(R183:V183)-M183</f>
        <v/>
      </c>
      <c r="X183" s="783">
        <f>T183+U183+V183</f>
        <v/>
      </c>
    </row>
    <row r="184" hidden="1" ht="15.6" customHeight="1">
      <c r="B184" s="769" t="inlineStr">
        <is>
          <t>东风鸿远工程咨询有限公司</t>
        </is>
      </c>
      <c r="C184" s="770" t="inlineStr">
        <is>
          <t>2121</t>
        </is>
      </c>
      <c r="D184" s="772" t="inlineStr">
        <is>
          <t>E_601503</t>
        </is>
      </c>
      <c r="E184" s="772" t="inlineStr">
        <is>
          <t>中交远洲交通科技集团有限公司湖北分公司</t>
        </is>
      </c>
      <c r="F184" s="772" t="inlineStr">
        <is>
          <t>采购款</t>
        </is>
      </c>
      <c r="G184" s="773" t="inlineStr">
        <is>
          <t>供应商</t>
        </is>
      </c>
      <c r="H184" s="774" t="inlineStr">
        <is>
          <t>CNY</t>
        </is>
      </c>
      <c r="I184" s="785" t="n">
        <v>-15094.34</v>
      </c>
      <c r="J184" s="785" t="n"/>
      <c r="K184" s="776" t="n"/>
      <c r="L184" s="777" t="n"/>
      <c r="M184" s="778">
        <f>J184+L184</f>
        <v/>
      </c>
      <c r="N184" s="786" t="n">
        <v>-15094.34</v>
      </c>
      <c r="O184" s="780">
        <f>M184-N184</f>
        <v/>
      </c>
      <c r="P184" s="781">
        <f>IF(N184&lt;&gt;0,O184/N184,"")</f>
        <v/>
      </c>
      <c r="Q184" s="776" t="n"/>
      <c r="R184" s="775" t="n">
        <v>0</v>
      </c>
      <c r="S184" s="775" t="n">
        <v>0</v>
      </c>
      <c r="T184" s="775" t="n">
        <v>0</v>
      </c>
      <c r="U184" s="775" t="n">
        <v>0</v>
      </c>
      <c r="V184" s="775" t="n">
        <v>-15094.34</v>
      </c>
      <c r="W184" s="782">
        <f>SUM(R184:V184)-M184</f>
        <v/>
      </c>
      <c r="X184" s="783">
        <f>T184+U184+V184</f>
        <v/>
      </c>
    </row>
    <row r="185" hidden="1" ht="15.6" customHeight="1">
      <c r="B185" s="769" t="inlineStr">
        <is>
          <t>东风鸿远工程咨询有限公司</t>
        </is>
      </c>
      <c r="C185" s="770" t="inlineStr">
        <is>
          <t>2121</t>
        </is>
      </c>
      <c r="D185" s="772" t="inlineStr">
        <is>
          <t>E_614310</t>
        </is>
      </c>
      <c r="E185" s="772" t="inlineStr">
        <is>
          <t>襄阳市金真彩广告印务有限公司</t>
        </is>
      </c>
      <c r="F185" s="772" t="inlineStr">
        <is>
          <t>采购款</t>
        </is>
      </c>
      <c r="G185" s="773" t="inlineStr">
        <is>
          <t>供应商</t>
        </is>
      </c>
      <c r="H185" s="774" t="inlineStr">
        <is>
          <t>CNY</t>
        </is>
      </c>
      <c r="I185" s="785" t="n">
        <v>-50200.94</v>
      </c>
      <c r="J185" s="785" t="n"/>
      <c r="K185" s="776" t="n"/>
      <c r="L185" s="777" t="n"/>
      <c r="M185" s="778">
        <f>J185+L185</f>
        <v/>
      </c>
      <c r="N185" s="786" t="n">
        <v>-50200.94</v>
      </c>
      <c r="O185" s="780">
        <f>M185-N185</f>
        <v/>
      </c>
      <c r="P185" s="781">
        <f>IF(N185&lt;&gt;0,O185/N185,"")</f>
        <v/>
      </c>
      <c r="Q185" s="776" t="n"/>
      <c r="R185" s="775" t="n">
        <v>0</v>
      </c>
      <c r="S185" s="775" t="n">
        <v>0</v>
      </c>
      <c r="T185" s="775" t="n">
        <v>-50200.94</v>
      </c>
      <c r="U185" s="775" t="n">
        <v>0</v>
      </c>
      <c r="V185" s="775" t="n">
        <v>0</v>
      </c>
      <c r="W185" s="782">
        <f>SUM(R185:V185)-M185</f>
        <v/>
      </c>
      <c r="X185" s="783">
        <f>T185+U185+V185</f>
        <v/>
      </c>
    </row>
    <row r="186" hidden="1" ht="15.6" customHeight="1">
      <c r="B186" s="769" t="inlineStr">
        <is>
          <t>东风鸿远工程咨询有限公司</t>
        </is>
      </c>
      <c r="C186" s="770" t="inlineStr">
        <is>
          <t>2121</t>
        </is>
      </c>
      <c r="D186" s="772" t="inlineStr">
        <is>
          <t>E_621398</t>
        </is>
      </c>
      <c r="E186" s="772" t="inlineStr">
        <is>
          <t>杭州瀚也文化创意有限公司</t>
        </is>
      </c>
      <c r="F186" s="772" t="inlineStr">
        <is>
          <t>采购款</t>
        </is>
      </c>
      <c r="G186" s="773" t="inlineStr">
        <is>
          <t>供应商</t>
        </is>
      </c>
      <c r="H186" s="774" t="inlineStr">
        <is>
          <t>CNY</t>
        </is>
      </c>
      <c r="I186" s="785" t="n">
        <v>0</v>
      </c>
      <c r="J186" s="785" t="n"/>
      <c r="K186" s="776" t="n"/>
      <c r="L186" s="777" t="n"/>
      <c r="M186" s="778">
        <f>J186+L186</f>
        <v/>
      </c>
      <c r="N186" s="786" t="n">
        <v>0</v>
      </c>
      <c r="O186" s="780">
        <f>M186-N186</f>
        <v/>
      </c>
      <c r="P186" s="781">
        <f>IF(N186&lt;&gt;0,O186/N186,"")</f>
        <v/>
      </c>
      <c r="Q186" s="776" t="n"/>
      <c r="R186" s="775" t="n">
        <v>0</v>
      </c>
      <c r="S186" s="775" t="n">
        <v>0</v>
      </c>
      <c r="T186" s="775" t="n">
        <v>0</v>
      </c>
      <c r="U186" s="775" t="n">
        <v>0</v>
      </c>
      <c r="V186" s="775" t="n">
        <v>0</v>
      </c>
      <c r="W186" s="782">
        <f>SUM(R186:V186)-M186</f>
        <v/>
      </c>
      <c r="X186" s="783">
        <f>T186+U186+V186</f>
        <v/>
      </c>
    </row>
    <row r="187" hidden="1" ht="15.6" customHeight="1">
      <c r="B187" s="769" t="inlineStr">
        <is>
          <t>东风鸿远工程咨询有限公司</t>
        </is>
      </c>
      <c r="C187" s="770" t="inlineStr">
        <is>
          <t>2121</t>
        </is>
      </c>
      <c r="D187" s="772" t="inlineStr">
        <is>
          <t>E_597576</t>
        </is>
      </c>
      <c r="E187" s="772" t="inlineStr">
        <is>
          <t>李晓微</t>
        </is>
      </c>
      <c r="F187" s="772" t="inlineStr">
        <is>
          <t>采购款</t>
        </is>
      </c>
      <c r="G187" s="773" t="inlineStr">
        <is>
          <t>供应商</t>
        </is>
      </c>
      <c r="H187" s="774" t="inlineStr">
        <is>
          <t>CNY</t>
        </is>
      </c>
      <c r="I187" s="785" t="n">
        <v>0</v>
      </c>
      <c r="J187" s="785" t="n"/>
      <c r="K187" s="776" t="n"/>
      <c r="L187" s="777" t="n"/>
      <c r="M187" s="778">
        <f>J187+L187</f>
        <v/>
      </c>
      <c r="N187" s="786" t="n">
        <v>0</v>
      </c>
      <c r="O187" s="780">
        <f>M187-N187</f>
        <v/>
      </c>
      <c r="P187" s="781">
        <f>IF(N187&lt;&gt;0,O187/N187,"")</f>
        <v/>
      </c>
      <c r="Q187" s="776" t="n"/>
      <c r="R187" s="775" t="n">
        <v>0</v>
      </c>
      <c r="S187" s="775" t="n">
        <v>0</v>
      </c>
      <c r="T187" s="775" t="n">
        <v>0</v>
      </c>
      <c r="U187" s="775" t="n">
        <v>0</v>
      </c>
      <c r="V187" s="775" t="n">
        <v>0</v>
      </c>
      <c r="W187" s="782">
        <f>SUM(R187:V187)-M187</f>
        <v/>
      </c>
      <c r="X187" s="783">
        <f>T187+U187+V187</f>
        <v/>
      </c>
    </row>
    <row r="188" hidden="1" ht="15.6" customHeight="1">
      <c r="B188" s="769" t="inlineStr">
        <is>
          <t>东风鸿远工程咨询有限公司</t>
        </is>
      </c>
      <c r="C188" s="770" t="inlineStr">
        <is>
          <t>2121</t>
        </is>
      </c>
      <c r="D188" s="772" t="inlineStr">
        <is>
          <t>E_624926</t>
        </is>
      </c>
      <c r="E188" s="772" t="inlineStr">
        <is>
          <t>襄阳市佰世欣广告传媒有限公司</t>
        </is>
      </c>
      <c r="F188" s="772" t="inlineStr">
        <is>
          <t>采购款</t>
        </is>
      </c>
      <c r="G188" s="773" t="inlineStr">
        <is>
          <t>供应商</t>
        </is>
      </c>
      <c r="H188" s="774" t="inlineStr">
        <is>
          <t>CNY</t>
        </is>
      </c>
      <c r="I188" s="785" t="n">
        <v>0</v>
      </c>
      <c r="J188" s="785" t="n"/>
      <c r="K188" s="776" t="n"/>
      <c r="L188" s="777" t="n"/>
      <c r="M188" s="778">
        <f>J188+L188</f>
        <v/>
      </c>
      <c r="N188" s="786" t="n">
        <v>0</v>
      </c>
      <c r="O188" s="780">
        <f>M188-N188</f>
        <v/>
      </c>
      <c r="P188" s="781">
        <f>IF(N188&lt;&gt;0,O188/N188,"")</f>
        <v/>
      </c>
      <c r="Q188" s="776" t="n"/>
      <c r="R188" s="775" t="n">
        <v>0</v>
      </c>
      <c r="S188" s="775" t="n">
        <v>0</v>
      </c>
      <c r="T188" s="775" t="n">
        <v>0</v>
      </c>
      <c r="U188" s="775" t="n">
        <v>0</v>
      </c>
      <c r="V188" s="775" t="n">
        <v>0</v>
      </c>
      <c r="W188" s="782">
        <f>SUM(R188:V188)-M188</f>
        <v/>
      </c>
      <c r="X188" s="783">
        <f>T188+U188+V188</f>
        <v/>
      </c>
    </row>
    <row r="189" hidden="1" ht="15.6" customHeight="1">
      <c r="B189" s="769" t="inlineStr">
        <is>
          <t>东风鸿远工程咨询有限公司</t>
        </is>
      </c>
      <c r="C189" s="770" t="inlineStr">
        <is>
          <t>2121</t>
        </is>
      </c>
      <c r="D189" s="772" t="inlineStr">
        <is>
          <t>E_614431</t>
        </is>
      </c>
      <c r="E189" s="772" t="inlineStr">
        <is>
          <t>襄阳刚威岩土工程有限公司</t>
        </is>
      </c>
      <c r="F189" s="772" t="inlineStr">
        <is>
          <t>采购款</t>
        </is>
      </c>
      <c r="G189" s="773" t="inlineStr">
        <is>
          <t>供应商</t>
        </is>
      </c>
      <c r="H189" s="774" t="inlineStr">
        <is>
          <t>CNY</t>
        </is>
      </c>
      <c r="I189" s="785" t="n">
        <v>-34766.02</v>
      </c>
      <c r="J189" s="785" t="n"/>
      <c r="K189" s="776" t="n"/>
      <c r="L189" s="777" t="n"/>
      <c r="M189" s="778">
        <f>J189+L189</f>
        <v/>
      </c>
      <c r="N189" s="786" t="n">
        <v>-34766.02</v>
      </c>
      <c r="O189" s="780">
        <f>M189-N189</f>
        <v/>
      </c>
      <c r="P189" s="781">
        <f>IF(N189&lt;&gt;0,O189/N189,"")</f>
        <v/>
      </c>
      <c r="Q189" s="776" t="n"/>
      <c r="R189" s="775" t="n">
        <v>0</v>
      </c>
      <c r="S189" s="775" t="n">
        <v>0</v>
      </c>
      <c r="T189" s="775" t="n">
        <v>0</v>
      </c>
      <c r="U189" s="775" t="n">
        <v>-34766.02</v>
      </c>
      <c r="V189" s="775" t="n">
        <v>0</v>
      </c>
      <c r="W189" s="782">
        <f>SUM(R189:V189)-M189</f>
        <v/>
      </c>
      <c r="X189" s="783">
        <f>T189+U189+V189</f>
        <v/>
      </c>
    </row>
    <row r="190" hidden="1" ht="15.6" customHeight="1">
      <c r="B190" s="769" t="inlineStr">
        <is>
          <t>东风鸿远工程咨询有限公司</t>
        </is>
      </c>
      <c r="C190" s="770" t="inlineStr">
        <is>
          <t>2121</t>
        </is>
      </c>
      <c r="D190" s="772" t="inlineStr">
        <is>
          <t>E_624348</t>
        </is>
      </c>
      <c r="E190" s="772" t="inlineStr">
        <is>
          <t>湖北省德易科技有限公司</t>
        </is>
      </c>
      <c r="F190" s="772" t="inlineStr">
        <is>
          <t>采购款</t>
        </is>
      </c>
      <c r="G190" s="773" t="inlineStr">
        <is>
          <t>供应商</t>
        </is>
      </c>
      <c r="H190" s="774" t="inlineStr">
        <is>
          <t>CNY</t>
        </is>
      </c>
      <c r="I190" s="785" t="n">
        <v>0</v>
      </c>
      <c r="J190" s="785" t="n"/>
      <c r="K190" s="776" t="n"/>
      <c r="L190" s="777" t="n"/>
      <c r="M190" s="778">
        <f>J190+L190</f>
        <v/>
      </c>
      <c r="N190" s="786" t="n">
        <v>0</v>
      </c>
      <c r="O190" s="780">
        <f>M190-N190</f>
        <v/>
      </c>
      <c r="P190" s="781">
        <f>IF(N190&lt;&gt;0,O190/N190,"")</f>
        <v/>
      </c>
      <c r="Q190" s="776" t="n"/>
      <c r="R190" s="775" t="n">
        <v>0</v>
      </c>
      <c r="S190" s="775" t="n">
        <v>0</v>
      </c>
      <c r="T190" s="775" t="n">
        <v>0</v>
      </c>
      <c r="U190" s="775" t="n">
        <v>0</v>
      </c>
      <c r="V190" s="775" t="n">
        <v>0</v>
      </c>
      <c r="W190" s="782">
        <f>SUM(R190:V190)-M190</f>
        <v/>
      </c>
      <c r="X190" s="783">
        <f>T190+U190+V190</f>
        <v/>
      </c>
    </row>
    <row r="191" hidden="1" ht="15.6" customHeight="1">
      <c r="B191" s="769" t="inlineStr">
        <is>
          <t>东风鸿远工程咨询有限公司</t>
        </is>
      </c>
      <c r="C191" s="770" t="inlineStr">
        <is>
          <t>2121</t>
        </is>
      </c>
      <c r="D191" s="772" t="inlineStr">
        <is>
          <t>E_628064</t>
        </is>
      </c>
      <c r="E191" s="772" t="inlineStr">
        <is>
          <t>襄阳市樊城区俊美新食代餐馆</t>
        </is>
      </c>
      <c r="F191" s="772" t="inlineStr">
        <is>
          <t>采购款</t>
        </is>
      </c>
      <c r="G191" s="773" t="inlineStr">
        <is>
          <t>供应商</t>
        </is>
      </c>
      <c r="H191" s="774" t="inlineStr">
        <is>
          <t>CNY</t>
        </is>
      </c>
      <c r="I191" s="785" t="n">
        <v>-109826</v>
      </c>
      <c r="J191" s="785" t="n"/>
      <c r="K191" s="776" t="n"/>
      <c r="L191" s="777" t="n"/>
      <c r="M191" s="778">
        <f>J191+L191</f>
        <v/>
      </c>
      <c r="N191" s="786" t="n">
        <v>-109826</v>
      </c>
      <c r="O191" s="780">
        <f>M191-N191</f>
        <v/>
      </c>
      <c r="P191" s="781">
        <f>IF(N191&lt;&gt;0,O191/N191,"")</f>
        <v/>
      </c>
      <c r="Q191" s="776" t="n"/>
      <c r="R191" s="775" t="n">
        <v>-109826</v>
      </c>
      <c r="S191" s="775" t="n">
        <v>0</v>
      </c>
      <c r="T191" s="775" t="n">
        <v>0</v>
      </c>
      <c r="U191" s="775" t="n">
        <v>0</v>
      </c>
      <c r="V191" s="775" t="n">
        <v>0</v>
      </c>
      <c r="W191" s="782">
        <f>SUM(R191:V191)-M191</f>
        <v/>
      </c>
      <c r="X191" s="783">
        <f>T191+U191+V191</f>
        <v/>
      </c>
    </row>
    <row r="192" hidden="1" ht="15.6" customHeight="1">
      <c r="B192" s="769" t="inlineStr">
        <is>
          <t>东风鸿远工程咨询有限公司</t>
        </is>
      </c>
      <c r="C192" s="770" t="inlineStr">
        <is>
          <t>2121</t>
        </is>
      </c>
      <c r="D192" s="772" t="inlineStr">
        <is>
          <t>E_623044</t>
        </is>
      </c>
      <c r="E192" s="772" t="inlineStr">
        <is>
          <t>长江地球物理探测（武汉）有限公司</t>
        </is>
      </c>
      <c r="F192" s="772" t="inlineStr">
        <is>
          <t>采购款</t>
        </is>
      </c>
      <c r="G192" s="773" t="inlineStr">
        <is>
          <t>供应商</t>
        </is>
      </c>
      <c r="H192" s="774" t="inlineStr">
        <is>
          <t>CNY</t>
        </is>
      </c>
      <c r="I192" s="785" t="n">
        <v>-29240</v>
      </c>
      <c r="J192" s="785" t="n"/>
      <c r="K192" s="776" t="n"/>
      <c r="L192" s="777" t="n"/>
      <c r="M192" s="778">
        <f>J192+L192</f>
        <v/>
      </c>
      <c r="N192" s="786" t="n">
        <v>-29240</v>
      </c>
      <c r="O192" s="780">
        <f>M192-N192</f>
        <v/>
      </c>
      <c r="P192" s="781">
        <f>IF(N192&lt;&gt;0,O192/N192,"")</f>
        <v/>
      </c>
      <c r="Q192" s="776" t="n"/>
      <c r="R192" s="775" t="n">
        <v>0</v>
      </c>
      <c r="S192" s="775" t="n">
        <v>0</v>
      </c>
      <c r="T192" s="775" t="n">
        <v>0</v>
      </c>
      <c r="U192" s="775" t="n">
        <v>-29240</v>
      </c>
      <c r="V192" s="775" t="n">
        <v>0</v>
      </c>
      <c r="W192" s="782">
        <f>SUM(R192:V192)-M192</f>
        <v/>
      </c>
      <c r="X192" s="783">
        <f>T192+U192+V192</f>
        <v/>
      </c>
    </row>
    <row r="193" hidden="1" ht="15.6" customHeight="1">
      <c r="B193" s="769" t="inlineStr">
        <is>
          <t>东风鸿远工程咨询有限公司</t>
        </is>
      </c>
      <c r="C193" s="770" t="inlineStr">
        <is>
          <t>2121</t>
        </is>
      </c>
      <c r="D193" s="772" t="inlineStr">
        <is>
          <t>E_624253</t>
        </is>
      </c>
      <c r="E193" s="772" t="inlineStr">
        <is>
          <t>中德华建（北京）国际工程技术有限公司襄阳分公司</t>
        </is>
      </c>
      <c r="F193" s="772" t="inlineStr">
        <is>
          <t>采购款</t>
        </is>
      </c>
      <c r="G193" s="773" t="inlineStr">
        <is>
          <t>供应商</t>
        </is>
      </c>
      <c r="H193" s="774" t="inlineStr">
        <is>
          <t>CNY</t>
        </is>
      </c>
      <c r="I193" s="785" t="n">
        <v>-48676.5</v>
      </c>
      <c r="J193" s="785" t="n"/>
      <c r="K193" s="776" t="n"/>
      <c r="L193" s="777" t="n"/>
      <c r="M193" s="778">
        <f>J193+L193</f>
        <v/>
      </c>
      <c r="N193" s="786" t="n">
        <v>-48676.5</v>
      </c>
      <c r="O193" s="780">
        <f>M193-N193</f>
        <v/>
      </c>
      <c r="P193" s="781">
        <f>IF(N193&lt;&gt;0,O193/N193,"")</f>
        <v/>
      </c>
      <c r="Q193" s="776" t="n"/>
      <c r="R193" s="775" t="n">
        <v>-48676.5</v>
      </c>
      <c r="S193" s="775" t="n">
        <v>0</v>
      </c>
      <c r="T193" s="775" t="n">
        <v>0</v>
      </c>
      <c r="U193" s="775" t="n">
        <v>0</v>
      </c>
      <c r="V193" s="775" t="n">
        <v>0</v>
      </c>
      <c r="W193" s="782">
        <f>SUM(R193:V193)-M193</f>
        <v/>
      </c>
      <c r="X193" s="783">
        <f>T193+U193+V193</f>
        <v/>
      </c>
    </row>
    <row r="194" hidden="1" ht="15.6" customHeight="1">
      <c r="B194" s="769" t="inlineStr">
        <is>
          <t>东风鸿远工程咨询有限公司</t>
        </is>
      </c>
      <c r="C194" s="770" t="inlineStr">
        <is>
          <t>2121</t>
        </is>
      </c>
      <c r="D194" s="772" t="inlineStr">
        <is>
          <t>E_614437</t>
        </is>
      </c>
      <c r="E194" s="772" t="inlineStr">
        <is>
          <t>武汉江城建设咨询有限公司襄阳分公司</t>
        </is>
      </c>
      <c r="F194" s="772" t="inlineStr">
        <is>
          <t>采购款</t>
        </is>
      </c>
      <c r="G194" s="773" t="inlineStr">
        <is>
          <t>供应商</t>
        </is>
      </c>
      <c r="H194" s="774" t="inlineStr">
        <is>
          <t>CNY</t>
        </is>
      </c>
      <c r="I194" s="785" t="n">
        <v>-27522.94</v>
      </c>
      <c r="J194" s="785" t="n"/>
      <c r="K194" s="776" t="n"/>
      <c r="L194" s="777" t="n"/>
      <c r="M194" s="778">
        <f>J194+L194</f>
        <v/>
      </c>
      <c r="N194" s="786" t="n">
        <v>-27522.94</v>
      </c>
      <c r="O194" s="780">
        <f>M194-N194</f>
        <v/>
      </c>
      <c r="P194" s="781">
        <f>IF(N194&lt;&gt;0,O194/N194,"")</f>
        <v/>
      </c>
      <c r="Q194" s="776" t="n"/>
      <c r="R194" s="775" t="n">
        <v>0</v>
      </c>
      <c r="S194" s="775" t="n">
        <v>0</v>
      </c>
      <c r="T194" s="775" t="n">
        <v>0</v>
      </c>
      <c r="U194" s="775" t="n">
        <v>0</v>
      </c>
      <c r="V194" s="775" t="n">
        <v>-27522.94</v>
      </c>
      <c r="W194" s="782">
        <f>SUM(R194:V194)-M194</f>
        <v/>
      </c>
      <c r="X194" s="783">
        <f>T194+U194+V194</f>
        <v/>
      </c>
    </row>
    <row r="195" hidden="1" ht="15.6" customHeight="1">
      <c r="B195" s="769" t="inlineStr">
        <is>
          <t>东风鸿远工程咨询有限公司</t>
        </is>
      </c>
      <c r="C195" s="770" t="inlineStr">
        <is>
          <t>2121</t>
        </is>
      </c>
      <c r="D195" s="772" t="inlineStr">
        <is>
          <t>E_613573</t>
        </is>
      </c>
      <c r="E195" s="772" t="inlineStr">
        <is>
          <t>湖北基纳于斯建筑劳务有限公司</t>
        </is>
      </c>
      <c r="F195" s="772" t="inlineStr">
        <is>
          <t>采购款</t>
        </is>
      </c>
      <c r="G195" s="773" t="inlineStr">
        <is>
          <t>供应商</t>
        </is>
      </c>
      <c r="H195" s="774" t="inlineStr">
        <is>
          <t>CNY</t>
        </is>
      </c>
      <c r="I195" s="785" t="n">
        <v>0</v>
      </c>
      <c r="J195" s="785" t="n"/>
      <c r="K195" s="776" t="n"/>
      <c r="L195" s="777" t="n"/>
      <c r="M195" s="778">
        <f>J195+L195</f>
        <v/>
      </c>
      <c r="N195" s="786" t="n">
        <v>0</v>
      </c>
      <c r="O195" s="780">
        <f>M195-N195</f>
        <v/>
      </c>
      <c r="P195" s="781">
        <f>IF(N195&lt;&gt;0,O195/N195,"")</f>
        <v/>
      </c>
      <c r="Q195" s="776" t="n"/>
      <c r="R195" s="775" t="n">
        <v>0</v>
      </c>
      <c r="S195" s="775" t="n">
        <v>0</v>
      </c>
      <c r="T195" s="775" t="n">
        <v>0</v>
      </c>
      <c r="U195" s="775" t="n">
        <v>0</v>
      </c>
      <c r="V195" s="775" t="n">
        <v>0</v>
      </c>
      <c r="W195" s="782">
        <f>SUM(R195:V195)-M195</f>
        <v/>
      </c>
      <c r="X195" s="783">
        <f>T195+U195+V195</f>
        <v/>
      </c>
    </row>
    <row r="196" hidden="1" ht="15.6" customHeight="1">
      <c r="B196" s="769" t="inlineStr">
        <is>
          <t>东风鸿远工程咨询有限公司</t>
        </is>
      </c>
      <c r="C196" s="770" t="inlineStr">
        <is>
          <t>2121</t>
        </is>
      </c>
      <c r="D196" s="772" t="inlineStr">
        <is>
          <t>E_659743</t>
        </is>
      </c>
      <c r="E196" s="772" t="inlineStr">
        <is>
          <t>湖北承信项目管理有限公司</t>
        </is>
      </c>
      <c r="F196" s="772" t="inlineStr">
        <is>
          <t>采购款</t>
        </is>
      </c>
      <c r="G196" s="773" t="inlineStr">
        <is>
          <t>供应商</t>
        </is>
      </c>
      <c r="H196" s="774" t="inlineStr">
        <is>
          <t>CNY</t>
        </is>
      </c>
      <c r="I196" s="785" t="n">
        <v>-125000</v>
      </c>
      <c r="J196" s="785" t="n"/>
      <c r="K196" s="776" t="n"/>
      <c r="L196" s="777" t="n"/>
      <c r="M196" s="778">
        <f>J196+L196</f>
        <v/>
      </c>
      <c r="N196" s="786" t="n">
        <v>-125000</v>
      </c>
      <c r="O196" s="780">
        <f>M196-N196</f>
        <v/>
      </c>
      <c r="P196" s="781">
        <f>IF(N196&lt;&gt;0,O196/N196,"")</f>
        <v/>
      </c>
      <c r="Q196" s="776" t="n"/>
      <c r="R196" s="775" t="n">
        <v>-125000</v>
      </c>
      <c r="S196" s="775" t="n">
        <v>0</v>
      </c>
      <c r="T196" s="775" t="n">
        <v>0</v>
      </c>
      <c r="U196" s="775" t="n">
        <v>0</v>
      </c>
      <c r="V196" s="775" t="n">
        <v>0</v>
      </c>
      <c r="W196" s="782">
        <f>SUM(R196:V196)-M196</f>
        <v/>
      </c>
      <c r="X196" s="783">
        <f>T196+U196+V196</f>
        <v/>
      </c>
    </row>
    <row r="197" hidden="1" ht="15.6" customHeight="1">
      <c r="B197" s="769" t="inlineStr">
        <is>
          <t>东风鸿远工程咨询有限公司</t>
        </is>
      </c>
      <c r="C197" s="770" t="inlineStr">
        <is>
          <t>2121</t>
        </is>
      </c>
      <c r="D197" s="772" t="inlineStr">
        <is>
          <t>E_614544</t>
        </is>
      </c>
      <c r="E197" s="772" t="inlineStr">
        <is>
          <t>湖北晋襄源工程机械制造有限公司</t>
        </is>
      </c>
      <c r="F197" s="772" t="inlineStr">
        <is>
          <t>采购款</t>
        </is>
      </c>
      <c r="G197" s="773" t="inlineStr">
        <is>
          <t>供应商</t>
        </is>
      </c>
      <c r="H197" s="774" t="inlineStr">
        <is>
          <t>CNY</t>
        </is>
      </c>
      <c r="I197" s="785" t="n">
        <v>-16407.77</v>
      </c>
      <c r="J197" s="785" t="n"/>
      <c r="K197" s="776" t="n"/>
      <c r="L197" s="777" t="n"/>
      <c r="M197" s="778">
        <f>J197+L197</f>
        <v/>
      </c>
      <c r="N197" s="786" t="n">
        <v>-16407.77</v>
      </c>
      <c r="O197" s="780">
        <f>M197-N197</f>
        <v/>
      </c>
      <c r="P197" s="781">
        <f>IF(N197&lt;&gt;0,O197/N197,"")</f>
        <v/>
      </c>
      <c r="Q197" s="776" t="n"/>
      <c r="R197" s="775" t="n">
        <v>0</v>
      </c>
      <c r="S197" s="775" t="n">
        <v>0</v>
      </c>
      <c r="T197" s="775" t="n">
        <v>0</v>
      </c>
      <c r="U197" s="775" t="n">
        <v>0</v>
      </c>
      <c r="V197" s="775" t="n">
        <v>-16407.77</v>
      </c>
      <c r="W197" s="782">
        <f>SUM(R197:V197)-M197</f>
        <v/>
      </c>
      <c r="X197" s="783">
        <f>T197+U197+V197</f>
        <v/>
      </c>
    </row>
    <row r="198" hidden="1" ht="15.6" customHeight="1">
      <c r="B198" s="769" t="inlineStr">
        <is>
          <t>东风鸿远工程咨询有限公司</t>
        </is>
      </c>
      <c r="C198" s="770" t="inlineStr">
        <is>
          <t>2121</t>
        </is>
      </c>
      <c r="D198" s="772" t="inlineStr">
        <is>
          <t>E_620049</t>
        </is>
      </c>
      <c r="E198" s="772" t="inlineStr">
        <is>
          <t>上海清映数字科技有限公司</t>
        </is>
      </c>
      <c r="F198" s="772" t="inlineStr">
        <is>
          <t>采购款</t>
        </is>
      </c>
      <c r="G198" s="773" t="inlineStr">
        <is>
          <t>供应商</t>
        </is>
      </c>
      <c r="H198" s="774" t="inlineStr">
        <is>
          <t>CNY</t>
        </is>
      </c>
      <c r="I198" s="785" t="n">
        <v>0</v>
      </c>
      <c r="J198" s="785" t="n"/>
      <c r="K198" s="776" t="n"/>
      <c r="L198" s="777" t="n"/>
      <c r="M198" s="778">
        <f>J198+L198</f>
        <v/>
      </c>
      <c r="N198" s="786" t="n">
        <v>0</v>
      </c>
      <c r="O198" s="780">
        <f>M198-N198</f>
        <v/>
      </c>
      <c r="P198" s="781">
        <f>IF(N198&lt;&gt;0,O198/N198,"")</f>
        <v/>
      </c>
      <c r="Q198" s="776" t="n"/>
      <c r="R198" s="775" t="n">
        <v>0</v>
      </c>
      <c r="S198" s="775" t="n">
        <v>0</v>
      </c>
      <c r="T198" s="775" t="n">
        <v>0</v>
      </c>
      <c r="U198" s="775" t="n">
        <v>0</v>
      </c>
      <c r="V198" s="775" t="n">
        <v>0</v>
      </c>
      <c r="W198" s="782">
        <f>SUM(R198:V198)-M198</f>
        <v/>
      </c>
      <c r="X198" s="783">
        <f>T198+U198+V198</f>
        <v/>
      </c>
    </row>
    <row r="199" ht="15.6" customHeight="1">
      <c r="B199" s="769" t="inlineStr">
        <is>
          <t>东风鸿远工程咨询有限公司</t>
        </is>
      </c>
      <c r="C199" s="770" t="inlineStr">
        <is>
          <t>2121</t>
        </is>
      </c>
      <c r="D199" s="772" t="inlineStr">
        <is>
          <t>E_626371</t>
        </is>
      </c>
      <c r="E199" s="772" t="inlineStr">
        <is>
          <t>深圳市景鸿建设工程有限公司</t>
        </is>
      </c>
      <c r="F199" s="772" t="inlineStr">
        <is>
          <t>采购款</t>
        </is>
      </c>
      <c r="G199" s="773" t="inlineStr">
        <is>
          <t>供应商</t>
        </is>
      </c>
      <c r="H199" s="774" t="inlineStr">
        <is>
          <t>CNY</t>
        </is>
      </c>
      <c r="I199" s="785" t="n">
        <v>0</v>
      </c>
      <c r="J199" s="785" t="n"/>
      <c r="K199" s="776" t="n"/>
      <c r="L199" s="777" t="n"/>
      <c r="M199" s="778">
        <f>J199+L199</f>
        <v/>
      </c>
      <c r="N199" s="786" t="n">
        <v>0</v>
      </c>
      <c r="O199" s="780">
        <f>M199-N199</f>
        <v/>
      </c>
      <c r="P199" s="781">
        <f>IF(N199&lt;&gt;0,O199/N199,"")</f>
        <v/>
      </c>
      <c r="Q199" s="776" t="inlineStr">
        <is>
          <t>NB4</t>
        </is>
      </c>
      <c r="R199" s="775" t="n">
        <v>0</v>
      </c>
      <c r="S199" s="775" t="n">
        <v>0</v>
      </c>
      <c r="T199" s="775" t="n">
        <v>0</v>
      </c>
      <c r="U199" s="775" t="n">
        <v>0</v>
      </c>
      <c r="V199" s="775" t="n">
        <v>0</v>
      </c>
      <c r="W199" s="782">
        <f>SUM(R199:V199)-M199</f>
        <v/>
      </c>
      <c r="X199" s="783">
        <f>T199+U199+V199</f>
        <v/>
      </c>
    </row>
    <row r="200" hidden="1" ht="15.6" customHeight="1">
      <c r="B200" s="769" t="inlineStr">
        <is>
          <t>东风鸿远工程咨询有限公司</t>
        </is>
      </c>
      <c r="C200" s="770" t="inlineStr">
        <is>
          <t>2121</t>
        </is>
      </c>
      <c r="D200" s="772" t="inlineStr">
        <is>
          <t>E_680313</t>
        </is>
      </c>
      <c r="E200" s="772" t="inlineStr">
        <is>
          <t>四川三问室内设计有限公司</t>
        </is>
      </c>
      <c r="F200" s="772" t="inlineStr">
        <is>
          <t>采购款</t>
        </is>
      </c>
      <c r="G200" s="773" t="inlineStr">
        <is>
          <t>供应商</t>
        </is>
      </c>
      <c r="H200" s="774" t="inlineStr">
        <is>
          <t>CNY</t>
        </is>
      </c>
      <c r="I200" s="785" t="n">
        <v>-251622.77</v>
      </c>
      <c r="J200" s="785" t="n"/>
      <c r="K200" s="776" t="n"/>
      <c r="L200" s="777" t="n"/>
      <c r="M200" s="778">
        <f>J200+L200</f>
        <v/>
      </c>
      <c r="N200" s="786" t="n">
        <v>-251622.77</v>
      </c>
      <c r="O200" s="780">
        <f>M200-N200</f>
        <v/>
      </c>
      <c r="P200" s="781">
        <f>IF(N200&lt;&gt;0,O200/N200,"")</f>
        <v/>
      </c>
      <c r="Q200" s="776" t="n"/>
      <c r="R200" s="775" t="n">
        <v>-251622.77</v>
      </c>
      <c r="S200" s="775" t="n">
        <v>0</v>
      </c>
      <c r="T200" s="775" t="n">
        <v>0</v>
      </c>
      <c r="U200" s="775" t="n">
        <v>0</v>
      </c>
      <c r="V200" s="775" t="n">
        <v>0</v>
      </c>
      <c r="W200" s="782">
        <f>SUM(R200:V200)-M200</f>
        <v/>
      </c>
      <c r="X200" s="783">
        <f>T200+U200+V200</f>
        <v/>
      </c>
    </row>
    <row r="201" hidden="1" ht="15.6" customHeight="1">
      <c r="B201" s="769" t="inlineStr">
        <is>
          <t>东风鸿远工程咨询有限公司</t>
        </is>
      </c>
      <c r="C201" s="770" t="inlineStr">
        <is>
          <t>2121</t>
        </is>
      </c>
      <c r="D201" s="772" t="inlineStr">
        <is>
          <t>E_600904</t>
        </is>
      </c>
      <c r="E201" s="772" t="inlineStr">
        <is>
          <t>上海邮电设计咨询研究院有限公司</t>
        </is>
      </c>
      <c r="F201" s="772" t="inlineStr">
        <is>
          <t>采购款</t>
        </is>
      </c>
      <c r="G201" s="773" t="inlineStr">
        <is>
          <t>供应商</t>
        </is>
      </c>
      <c r="H201" s="774" t="inlineStr">
        <is>
          <t>CNY</t>
        </is>
      </c>
      <c r="I201" s="785" t="n">
        <v>-184905.66</v>
      </c>
      <c r="J201" s="785" t="n"/>
      <c r="K201" s="776" t="n"/>
      <c r="L201" s="777" t="n"/>
      <c r="M201" s="778">
        <f>J201+L201</f>
        <v/>
      </c>
      <c r="N201" s="786" t="n">
        <v>-184905.66</v>
      </c>
      <c r="O201" s="780">
        <f>M201-N201</f>
        <v/>
      </c>
      <c r="P201" s="781">
        <f>IF(N201&lt;&gt;0,O201/N201,"")</f>
        <v/>
      </c>
      <c r="Q201" s="776" t="n"/>
      <c r="R201" s="775" t="n">
        <v>-92452.83</v>
      </c>
      <c r="S201" s="775" t="n">
        <v>0</v>
      </c>
      <c r="T201" s="775" t="n">
        <v>0</v>
      </c>
      <c r="U201" s="775" t="n">
        <v>-92452.83</v>
      </c>
      <c r="V201" s="775" t="n">
        <v>0</v>
      </c>
      <c r="W201" s="782">
        <f>SUM(R201:V201)-M201</f>
        <v/>
      </c>
      <c r="X201" s="783">
        <f>T201+U201+V201</f>
        <v/>
      </c>
    </row>
    <row r="202" ht="15.6" customHeight="1">
      <c r="B202" s="769" t="inlineStr">
        <is>
          <t>东风鸿远工程咨询有限公司</t>
        </is>
      </c>
      <c r="C202" s="770" t="inlineStr">
        <is>
          <t>2121</t>
        </is>
      </c>
      <c r="D202" s="772" t="inlineStr">
        <is>
          <t>E_014855</t>
        </is>
      </c>
      <c r="E202" s="772" t="inlineStr">
        <is>
          <t>湖北省工业建筑总承包集团</t>
        </is>
      </c>
      <c r="F202" s="772" t="inlineStr">
        <is>
          <t>采购款</t>
        </is>
      </c>
      <c r="G202" s="773" t="inlineStr">
        <is>
          <t>供应商</t>
        </is>
      </c>
      <c r="H202" s="774" t="inlineStr">
        <is>
          <t>CNY</t>
        </is>
      </c>
      <c r="I202" s="785" t="n">
        <v>-1477909.15</v>
      </c>
      <c r="J202" s="785" t="n"/>
      <c r="K202" s="776" t="n"/>
      <c r="L202" s="777" t="n"/>
      <c r="M202" s="778">
        <f>J202+L202</f>
        <v/>
      </c>
      <c r="N202" s="786" t="n">
        <v>-1477909.15</v>
      </c>
      <c r="O202" s="780">
        <f>M202-N202</f>
        <v/>
      </c>
      <c r="P202" s="781">
        <f>IF(N202&lt;&gt;0,O202/N202,"")</f>
        <v/>
      </c>
      <c r="Q202" s="776" t="inlineStr">
        <is>
          <t>NB5</t>
        </is>
      </c>
      <c r="R202" s="775" t="n">
        <v>0</v>
      </c>
      <c r="S202" s="775" t="n">
        <v>-1477909.15</v>
      </c>
      <c r="T202" s="775" t="n">
        <v>0</v>
      </c>
      <c r="U202" s="775" t="n">
        <v>0</v>
      </c>
      <c r="V202" s="775" t="n">
        <v>0</v>
      </c>
      <c r="W202" s="782">
        <f>SUM(R202:V202)-M202</f>
        <v/>
      </c>
      <c r="X202" s="783">
        <f>T202+U202+V202</f>
        <v/>
      </c>
    </row>
    <row r="203" hidden="1" ht="15.6" customHeight="1">
      <c r="B203" s="769" t="inlineStr">
        <is>
          <t>东风鸿远工程咨询有限公司</t>
        </is>
      </c>
      <c r="C203" s="770" t="inlineStr">
        <is>
          <t>2121</t>
        </is>
      </c>
      <c r="D203" s="772" t="inlineStr">
        <is>
          <t>E_614399</t>
        </is>
      </c>
      <c r="E203" s="772" t="inlineStr">
        <is>
          <t>襄阳绘景园艺设计工程有限公司</t>
        </is>
      </c>
      <c r="F203" s="772" t="inlineStr">
        <is>
          <t>采购款</t>
        </is>
      </c>
      <c r="G203" s="773" t="inlineStr">
        <is>
          <t>供应商</t>
        </is>
      </c>
      <c r="H203" s="774" t="inlineStr">
        <is>
          <t>CNY</t>
        </is>
      </c>
      <c r="I203" s="785" t="n">
        <v>-24466.02</v>
      </c>
      <c r="J203" s="785" t="n"/>
      <c r="K203" s="776" t="n"/>
      <c r="L203" s="777" t="n"/>
      <c r="M203" s="778">
        <f>J203+L203</f>
        <v/>
      </c>
      <c r="N203" s="786" t="n">
        <v>-24466.02</v>
      </c>
      <c r="O203" s="780">
        <f>M203-N203</f>
        <v/>
      </c>
      <c r="P203" s="781">
        <f>IF(N203&lt;&gt;0,O203/N203,"")</f>
        <v/>
      </c>
      <c r="Q203" s="776" t="n"/>
      <c r="R203" s="775" t="n">
        <v>0</v>
      </c>
      <c r="S203" s="775" t="n">
        <v>0</v>
      </c>
      <c r="T203" s="775" t="n">
        <v>0</v>
      </c>
      <c r="U203" s="775" t="n">
        <v>0</v>
      </c>
      <c r="V203" s="775" t="n">
        <v>-24466.02</v>
      </c>
      <c r="W203" s="782">
        <f>SUM(R203:V203)-M203</f>
        <v/>
      </c>
      <c r="X203" s="783">
        <f>T203+U203+V203</f>
        <v/>
      </c>
    </row>
    <row r="204" hidden="1" ht="15.6" customHeight="1">
      <c r="B204" s="769" t="inlineStr">
        <is>
          <t>东风鸿远工程咨询有限公司</t>
        </is>
      </c>
      <c r="C204" s="770" t="inlineStr">
        <is>
          <t>2121</t>
        </is>
      </c>
      <c r="D204" s="772" t="inlineStr">
        <is>
          <t>E_586904</t>
        </is>
      </c>
      <c r="E204" s="772" t="inlineStr">
        <is>
          <t>上木(武汉)建筑设计有限公司</t>
        </is>
      </c>
      <c r="F204" s="772" t="inlineStr">
        <is>
          <t>采购款</t>
        </is>
      </c>
      <c r="G204" s="773" t="inlineStr">
        <is>
          <t>供应商</t>
        </is>
      </c>
      <c r="H204" s="774" t="inlineStr">
        <is>
          <t>CNY</t>
        </is>
      </c>
      <c r="I204" s="785" t="n">
        <v>-69465.53999999999</v>
      </c>
      <c r="J204" s="785" t="n"/>
      <c r="K204" s="776" t="n"/>
      <c r="L204" s="777" t="n"/>
      <c r="M204" s="778">
        <f>J204+L204</f>
        <v/>
      </c>
      <c r="N204" s="786" t="n">
        <v>-69465.53999999999</v>
      </c>
      <c r="O204" s="780">
        <f>M204-N204</f>
        <v/>
      </c>
      <c r="P204" s="781">
        <f>IF(N204&lt;&gt;0,O204/N204,"")</f>
        <v/>
      </c>
      <c r="Q204" s="776" t="n"/>
      <c r="R204" s="775" t="n">
        <v>-69465.53999999999</v>
      </c>
      <c r="S204" s="775" t="n">
        <v>0</v>
      </c>
      <c r="T204" s="775" t="n">
        <v>0</v>
      </c>
      <c r="U204" s="775" t="n">
        <v>0</v>
      </c>
      <c r="V204" s="775" t="n">
        <v>0</v>
      </c>
      <c r="W204" s="782">
        <f>SUM(R204:V204)-M204</f>
        <v/>
      </c>
      <c r="X204" s="783">
        <f>T204+U204+V204</f>
        <v/>
      </c>
    </row>
    <row r="205" hidden="1" ht="15.6" customHeight="1">
      <c r="B205" s="769" t="inlineStr">
        <is>
          <t>东风鸿远工程咨询有限公司</t>
        </is>
      </c>
      <c r="C205" s="770" t="inlineStr">
        <is>
          <t>2121</t>
        </is>
      </c>
      <c r="D205" s="772" t="inlineStr">
        <is>
          <t>E_177460</t>
        </is>
      </c>
      <c r="E205" s="772" t="inlineStr">
        <is>
          <t>平安好医襄阳综合门诊部有限公司</t>
        </is>
      </c>
      <c r="F205" s="772" t="inlineStr">
        <is>
          <t>采购款</t>
        </is>
      </c>
      <c r="G205" s="773" t="inlineStr">
        <is>
          <t>供应商</t>
        </is>
      </c>
      <c r="H205" s="774" t="inlineStr">
        <is>
          <t>CNY</t>
        </is>
      </c>
      <c r="I205" s="785" t="n">
        <v>-259750</v>
      </c>
      <c r="J205" s="785" t="n"/>
      <c r="K205" s="776" t="n"/>
      <c r="L205" s="777" t="n"/>
      <c r="M205" s="778">
        <f>J205+L205</f>
        <v/>
      </c>
      <c r="N205" s="786" t="n">
        <v>-259750</v>
      </c>
      <c r="O205" s="780">
        <f>M205-N205</f>
        <v/>
      </c>
      <c r="P205" s="781">
        <f>IF(N205&lt;&gt;0,O205/N205,"")</f>
        <v/>
      </c>
      <c r="Q205" s="776" t="n"/>
      <c r="R205" s="775" t="n">
        <v>-259750</v>
      </c>
      <c r="S205" s="775" t="n">
        <v>0</v>
      </c>
      <c r="T205" s="775" t="n">
        <v>0</v>
      </c>
      <c r="U205" s="775" t="n">
        <v>0</v>
      </c>
      <c r="V205" s="775" t="n">
        <v>0</v>
      </c>
      <c r="W205" s="782">
        <f>SUM(R205:V205)-M205</f>
        <v/>
      </c>
      <c r="X205" s="783">
        <f>T205+U205+V205</f>
        <v/>
      </c>
    </row>
    <row r="206" hidden="1" ht="15.6" customHeight="1">
      <c r="B206" s="769" t="inlineStr">
        <is>
          <t>东风鸿远工程咨询有限公司</t>
        </is>
      </c>
      <c r="C206" s="770" t="inlineStr">
        <is>
          <t>2121</t>
        </is>
      </c>
      <c r="D206" s="772" t="inlineStr">
        <is>
          <t>E_619388</t>
        </is>
      </c>
      <c r="E206" s="772" t="inlineStr">
        <is>
          <t>保定岩墨工程勘察有限公司</t>
        </is>
      </c>
      <c r="F206" s="772" t="inlineStr">
        <is>
          <t>采购款</t>
        </is>
      </c>
      <c r="G206" s="773" t="inlineStr">
        <is>
          <t>供应商</t>
        </is>
      </c>
      <c r="H206" s="774" t="inlineStr">
        <is>
          <t>CNY</t>
        </is>
      </c>
      <c r="I206" s="785" t="n">
        <v>0</v>
      </c>
      <c r="J206" s="785" t="n"/>
      <c r="K206" s="776" t="n"/>
      <c r="L206" s="777" t="n"/>
      <c r="M206" s="778">
        <f>J206+L206</f>
        <v/>
      </c>
      <c r="N206" s="786" t="n">
        <v>0</v>
      </c>
      <c r="O206" s="780">
        <f>M206-N206</f>
        <v/>
      </c>
      <c r="P206" s="781">
        <f>IF(N206&lt;&gt;0,O206/N206,"")</f>
        <v/>
      </c>
      <c r="Q206" s="776" t="n"/>
      <c r="R206" s="775" t="n">
        <v>0</v>
      </c>
      <c r="S206" s="775" t="n">
        <v>0</v>
      </c>
      <c r="T206" s="775" t="n">
        <v>0</v>
      </c>
      <c r="U206" s="775" t="n">
        <v>0</v>
      </c>
      <c r="V206" s="775" t="n">
        <v>0</v>
      </c>
      <c r="W206" s="782">
        <f>SUM(R206:V206)-M206</f>
        <v/>
      </c>
      <c r="X206" s="783">
        <f>T206+U206+V206</f>
        <v/>
      </c>
    </row>
    <row r="207" hidden="1" ht="15.6" customHeight="1">
      <c r="B207" s="769" t="inlineStr">
        <is>
          <t>东风鸿远工程咨询有限公司</t>
        </is>
      </c>
      <c r="C207" s="770" t="inlineStr">
        <is>
          <t>2121</t>
        </is>
      </c>
      <c r="D207" s="772" t="inlineStr">
        <is>
          <t>E_616717</t>
        </is>
      </c>
      <c r="E207" s="772" t="inlineStr">
        <is>
          <t>襄州区嘉泰建材商行</t>
        </is>
      </c>
      <c r="F207" s="772" t="inlineStr">
        <is>
          <t>采购款</t>
        </is>
      </c>
      <c r="G207" s="773" t="inlineStr">
        <is>
          <t>供应商</t>
        </is>
      </c>
      <c r="H207" s="774" t="inlineStr">
        <is>
          <t>CNY</t>
        </is>
      </c>
      <c r="I207" s="785" t="n">
        <v>-46576.79</v>
      </c>
      <c r="J207" s="785" t="n"/>
      <c r="K207" s="776" t="n"/>
      <c r="L207" s="777" t="n"/>
      <c r="M207" s="778">
        <f>J207+L207</f>
        <v/>
      </c>
      <c r="N207" s="786" t="n">
        <v>-46576.79</v>
      </c>
      <c r="O207" s="780">
        <f>M207-N207</f>
        <v/>
      </c>
      <c r="P207" s="781">
        <f>IF(N207&lt;&gt;0,O207/N207,"")</f>
        <v/>
      </c>
      <c r="Q207" s="776" t="n"/>
      <c r="R207" s="775" t="n">
        <v>0</v>
      </c>
      <c r="S207" s="775" t="n">
        <v>0</v>
      </c>
      <c r="T207" s="775" t="n">
        <v>0</v>
      </c>
      <c r="U207" s="775" t="n">
        <v>0</v>
      </c>
      <c r="V207" s="775" t="n">
        <v>-46576.79</v>
      </c>
      <c r="W207" s="782">
        <f>SUM(R207:V207)-M207</f>
        <v/>
      </c>
      <c r="X207" s="783">
        <f>T207+U207+V207</f>
        <v/>
      </c>
    </row>
    <row r="208" hidden="1" ht="15.6" customHeight="1">
      <c r="B208" s="769" t="inlineStr">
        <is>
          <t>东风鸿远工程咨询有限公司</t>
        </is>
      </c>
      <c r="C208" s="770" t="inlineStr">
        <is>
          <t>2121</t>
        </is>
      </c>
      <c r="D208" s="772" t="inlineStr">
        <is>
          <t>E_627817</t>
        </is>
      </c>
      <c r="E208" s="772" t="inlineStr">
        <is>
          <t>陕西明远城乡规划咨询有限公司</t>
        </is>
      </c>
      <c r="F208" s="772" t="inlineStr">
        <is>
          <t>采购款</t>
        </is>
      </c>
      <c r="G208" s="773" t="inlineStr">
        <is>
          <t>供应商</t>
        </is>
      </c>
      <c r="H208" s="774" t="inlineStr">
        <is>
          <t>CNY</t>
        </is>
      </c>
      <c r="I208" s="785" t="n">
        <v>0</v>
      </c>
      <c r="J208" s="785" t="n"/>
      <c r="K208" s="776" t="n"/>
      <c r="L208" s="777" t="n"/>
      <c r="M208" s="778">
        <f>J208+L208</f>
        <v/>
      </c>
      <c r="N208" s="786" t="n">
        <v>0</v>
      </c>
      <c r="O208" s="780">
        <f>M208-N208</f>
        <v/>
      </c>
      <c r="P208" s="781">
        <f>IF(N208&lt;&gt;0,O208/N208,"")</f>
        <v/>
      </c>
      <c r="Q208" s="776" t="n"/>
      <c r="R208" s="775" t="n">
        <v>0</v>
      </c>
      <c r="S208" s="775" t="n">
        <v>0</v>
      </c>
      <c r="T208" s="775" t="n">
        <v>0</v>
      </c>
      <c r="U208" s="775" t="n">
        <v>0</v>
      </c>
      <c r="V208" s="775" t="n">
        <v>0</v>
      </c>
      <c r="W208" s="782">
        <f>SUM(R208:V208)-M208</f>
        <v/>
      </c>
      <c r="X208" s="783">
        <f>T208+U208+V208</f>
        <v/>
      </c>
    </row>
    <row r="209" hidden="1" ht="15.6" customHeight="1">
      <c r="B209" s="769" t="inlineStr">
        <is>
          <t>东风鸿远工程咨询有限公司</t>
        </is>
      </c>
      <c r="C209" s="770" t="inlineStr">
        <is>
          <t>2121</t>
        </is>
      </c>
      <c r="D209" s="772" t="inlineStr">
        <is>
          <t>E_614212</t>
        </is>
      </c>
      <c r="E209" s="772" t="inlineStr">
        <is>
          <t>襄阳路桥建设集团有限公司</t>
        </is>
      </c>
      <c r="F209" s="772" t="inlineStr">
        <is>
          <t>采购款</t>
        </is>
      </c>
      <c r="G209" s="773" t="inlineStr">
        <is>
          <t>供应商</t>
        </is>
      </c>
      <c r="H209" s="774" t="inlineStr">
        <is>
          <t>CNY</t>
        </is>
      </c>
      <c r="I209" s="785" t="n">
        <v>-875055.51</v>
      </c>
      <c r="J209" s="785" t="n"/>
      <c r="K209" s="776" t="n"/>
      <c r="L209" s="777" t="n"/>
      <c r="M209" s="778">
        <f>J209+L209</f>
        <v/>
      </c>
      <c r="N209" s="786" t="n">
        <v>-875055.51</v>
      </c>
      <c r="O209" s="780">
        <f>M209-N209</f>
        <v/>
      </c>
      <c r="P209" s="781">
        <f>IF(N209&lt;&gt;0,O209/N209,"")</f>
        <v/>
      </c>
      <c r="Q209" s="776" t="n"/>
      <c r="R209" s="775" t="n">
        <v>0</v>
      </c>
      <c r="S209" s="775" t="n">
        <v>0</v>
      </c>
      <c r="T209" s="775" t="n">
        <v>0</v>
      </c>
      <c r="U209" s="775" t="n">
        <v>0</v>
      </c>
      <c r="V209" s="775" t="n">
        <v>-875055.51</v>
      </c>
      <c r="W209" s="782">
        <f>SUM(R209:V209)-M209</f>
        <v/>
      </c>
      <c r="X209" s="783">
        <f>T209+U209+V209</f>
        <v/>
      </c>
    </row>
    <row r="210" hidden="1" ht="15.6" customHeight="1">
      <c r="B210" s="769" t="inlineStr">
        <is>
          <t>东风鸿远工程咨询有限公司</t>
        </is>
      </c>
      <c r="C210" s="770" t="inlineStr">
        <is>
          <t>2121</t>
        </is>
      </c>
      <c r="D210" s="772" t="inlineStr">
        <is>
          <t>E_843944</t>
        </is>
      </c>
      <c r="E210" s="772" t="inlineStr">
        <is>
          <t>武汉都市耕野建筑设计事务所（有限合伙）</t>
        </is>
      </c>
      <c r="F210" s="772" t="inlineStr">
        <is>
          <t>采购款</t>
        </is>
      </c>
      <c r="G210" s="773" t="inlineStr">
        <is>
          <t>供应商</t>
        </is>
      </c>
      <c r="H210" s="774" t="inlineStr">
        <is>
          <t>CNY</t>
        </is>
      </c>
      <c r="I210" s="785" t="n">
        <v>-52830.19</v>
      </c>
      <c r="J210" s="785" t="n"/>
      <c r="K210" s="776" t="n"/>
      <c r="L210" s="777" t="n"/>
      <c r="M210" s="778">
        <f>J210+L210</f>
        <v/>
      </c>
      <c r="N210" s="786" t="n">
        <v>-52830.19</v>
      </c>
      <c r="O210" s="780">
        <f>M210-N210</f>
        <v/>
      </c>
      <c r="P210" s="781">
        <f>IF(N210&lt;&gt;0,O210/N210,"")</f>
        <v/>
      </c>
      <c r="Q210" s="776" t="n"/>
      <c r="R210" s="775" t="n">
        <v>-52830.19</v>
      </c>
      <c r="S210" s="775" t="n">
        <v>0</v>
      </c>
      <c r="T210" s="775" t="n">
        <v>0</v>
      </c>
      <c r="U210" s="775" t="n">
        <v>0</v>
      </c>
      <c r="V210" s="775" t="n">
        <v>0</v>
      </c>
      <c r="W210" s="782">
        <f>SUM(R210:V210)-M210</f>
        <v/>
      </c>
      <c r="X210" s="783">
        <f>T210+U210+V210</f>
        <v/>
      </c>
    </row>
    <row r="211" hidden="1" ht="15.6" customHeight="1">
      <c r="B211" s="769" t="inlineStr">
        <is>
          <t>东风鸿远工程咨询有限公司</t>
        </is>
      </c>
      <c r="C211" s="770" t="inlineStr">
        <is>
          <t>2121</t>
        </is>
      </c>
      <c r="D211" s="772" t="inlineStr">
        <is>
          <t>E_789222</t>
        </is>
      </c>
      <c r="E211" s="772" t="inlineStr">
        <is>
          <t>湖北水之清环保工程有限公司</t>
        </is>
      </c>
      <c r="F211" s="772" t="inlineStr">
        <is>
          <t>采购款</t>
        </is>
      </c>
      <c r="G211" s="773" t="inlineStr">
        <is>
          <t>供应商</t>
        </is>
      </c>
      <c r="H211" s="774" t="inlineStr">
        <is>
          <t>CNY</t>
        </is>
      </c>
      <c r="I211" s="785" t="n">
        <v>-99873.78999999999</v>
      </c>
      <c r="J211" s="785" t="n"/>
      <c r="K211" s="776" t="n"/>
      <c r="L211" s="777" t="n"/>
      <c r="M211" s="778">
        <f>J211+L211</f>
        <v/>
      </c>
      <c r="N211" s="786" t="n">
        <v>-99873.78999999999</v>
      </c>
      <c r="O211" s="780">
        <f>M211-N211</f>
        <v/>
      </c>
      <c r="P211" s="781">
        <f>IF(N211&lt;&gt;0,O211/N211,"")</f>
        <v/>
      </c>
      <c r="Q211" s="776" t="n"/>
      <c r="R211" s="775" t="n">
        <v>-99873.78999999999</v>
      </c>
      <c r="S211" s="775" t="n">
        <v>0</v>
      </c>
      <c r="T211" s="775" t="n">
        <v>0</v>
      </c>
      <c r="U211" s="775" t="n">
        <v>0</v>
      </c>
      <c r="V211" s="775" t="n">
        <v>0</v>
      </c>
      <c r="W211" s="782">
        <f>SUM(R211:V211)-M211</f>
        <v/>
      </c>
      <c r="X211" s="783">
        <f>T211+U211+V211</f>
        <v/>
      </c>
    </row>
    <row r="212" hidden="1" ht="15.6" customHeight="1">
      <c r="B212" s="769" t="inlineStr">
        <is>
          <t>东风鸿远工程咨询有限公司</t>
        </is>
      </c>
      <c r="C212" s="770" t="inlineStr">
        <is>
          <t>2121</t>
        </is>
      </c>
      <c r="D212" s="772" t="inlineStr">
        <is>
          <t>E_689216</t>
        </is>
      </c>
      <c r="E212" s="772" t="inlineStr">
        <is>
          <t>南京优佳建筑设计有限公司湖北分公司</t>
        </is>
      </c>
      <c r="F212" s="772" t="inlineStr">
        <is>
          <t>采购款</t>
        </is>
      </c>
      <c r="G212" s="773" t="inlineStr">
        <is>
          <t>供应商</t>
        </is>
      </c>
      <c r="H212" s="774" t="inlineStr">
        <is>
          <t>CNY</t>
        </is>
      </c>
      <c r="I212" s="785" t="n">
        <v>-56863.85</v>
      </c>
      <c r="J212" s="785" t="n"/>
      <c r="K212" s="776" t="n"/>
      <c r="L212" s="777" t="n"/>
      <c r="M212" s="778">
        <f>J212+L212</f>
        <v/>
      </c>
      <c r="N212" s="786" t="n">
        <v>-56863.85</v>
      </c>
      <c r="O212" s="780">
        <f>M212-N212</f>
        <v/>
      </c>
      <c r="P212" s="781">
        <f>IF(N212&lt;&gt;0,O212/N212,"")</f>
        <v/>
      </c>
      <c r="Q212" s="776" t="n"/>
      <c r="R212" s="775" t="n">
        <v>-56863.85</v>
      </c>
      <c r="S212" s="775" t="n">
        <v>0</v>
      </c>
      <c r="T212" s="775" t="n">
        <v>0</v>
      </c>
      <c r="U212" s="775" t="n">
        <v>0</v>
      </c>
      <c r="V212" s="775" t="n">
        <v>0</v>
      </c>
      <c r="W212" s="782">
        <f>SUM(R212:V212)-M212</f>
        <v/>
      </c>
      <c r="X212" s="783">
        <f>T212+U212+V212</f>
        <v/>
      </c>
    </row>
    <row r="213" hidden="1" ht="15.6" customHeight="1">
      <c r="B213" s="769" t="inlineStr">
        <is>
          <t>东风鸿远工程咨询有限公司</t>
        </is>
      </c>
      <c r="C213" s="770" t="inlineStr">
        <is>
          <t>2121</t>
        </is>
      </c>
      <c r="D213" s="772" t="inlineStr">
        <is>
          <t>E_727626</t>
        </is>
      </c>
      <c r="E213" s="772" t="inlineStr">
        <is>
          <t>武汉融讯弘毅信息技术有限公司</t>
        </is>
      </c>
      <c r="F213" s="772" t="inlineStr">
        <is>
          <t>采购款</t>
        </is>
      </c>
      <c r="G213" s="773" t="inlineStr">
        <is>
          <t>供应商</t>
        </is>
      </c>
      <c r="H213" s="774" t="inlineStr">
        <is>
          <t>CNY</t>
        </is>
      </c>
      <c r="I213" s="785" t="n">
        <v>-74943.39999999999</v>
      </c>
      <c r="J213" s="785" t="n"/>
      <c r="K213" s="776" t="n"/>
      <c r="L213" s="777" t="n"/>
      <c r="M213" s="778">
        <f>J213+L213</f>
        <v/>
      </c>
      <c r="N213" s="786" t="n">
        <v>-74943.39999999999</v>
      </c>
      <c r="O213" s="780">
        <f>M213-N213</f>
        <v/>
      </c>
      <c r="P213" s="781">
        <f>IF(N213&lt;&gt;0,O213/N213,"")</f>
        <v/>
      </c>
      <c r="Q213" s="776" t="n"/>
      <c r="R213" s="775" t="n">
        <v>-74943.39999999999</v>
      </c>
      <c r="S213" s="775" t="n">
        <v>0</v>
      </c>
      <c r="T213" s="775" t="n">
        <v>0</v>
      </c>
      <c r="U213" s="775" t="n">
        <v>0</v>
      </c>
      <c r="V213" s="775" t="n">
        <v>0</v>
      </c>
      <c r="W213" s="782">
        <f>SUM(R213:V213)-M213</f>
        <v/>
      </c>
      <c r="X213" s="783">
        <f>T213+U213+V213</f>
        <v/>
      </c>
    </row>
    <row r="214" hidden="1" ht="15.6" customHeight="1">
      <c r="B214" s="769" t="inlineStr">
        <is>
          <t>东风鸿远工程咨询有限公司</t>
        </is>
      </c>
      <c r="C214" s="770" t="inlineStr">
        <is>
          <t>2121</t>
        </is>
      </c>
      <c r="D214" s="772" t="inlineStr">
        <is>
          <t>E_604466</t>
        </is>
      </c>
      <c r="E214" s="772" t="inlineStr">
        <is>
          <t>华信咨询设计研究院有限公司</t>
        </is>
      </c>
      <c r="F214" s="772" t="inlineStr">
        <is>
          <t>采购款</t>
        </is>
      </c>
      <c r="G214" s="773" t="inlineStr">
        <is>
          <t>供应商</t>
        </is>
      </c>
      <c r="H214" s="774" t="inlineStr">
        <is>
          <t>CNY</t>
        </is>
      </c>
      <c r="I214" s="785" t="n">
        <v>-126169.81</v>
      </c>
      <c r="J214" s="785" t="n"/>
      <c r="K214" s="776" t="n"/>
      <c r="L214" s="777" t="n"/>
      <c r="M214" s="778">
        <f>J214+L214</f>
        <v/>
      </c>
      <c r="N214" s="786" t="n">
        <v>-126169.81</v>
      </c>
      <c r="O214" s="780">
        <f>M214-N214</f>
        <v/>
      </c>
      <c r="P214" s="781">
        <f>IF(N214&lt;&gt;0,O214/N214,"")</f>
        <v/>
      </c>
      <c r="Q214" s="776" t="n"/>
      <c r="R214" s="775" t="n">
        <v>-126169.81</v>
      </c>
      <c r="S214" s="775" t="n">
        <v>0</v>
      </c>
      <c r="T214" s="775" t="n">
        <v>0</v>
      </c>
      <c r="U214" s="775" t="n">
        <v>0</v>
      </c>
      <c r="V214" s="775" t="n">
        <v>0</v>
      </c>
      <c r="W214" s="782">
        <f>SUM(R214:V214)-M214</f>
        <v/>
      </c>
      <c r="X214" s="783">
        <f>T214+U214+V214</f>
        <v/>
      </c>
    </row>
    <row r="215" hidden="1" ht="15.6" customHeight="1">
      <c r="B215" s="769" t="inlineStr">
        <is>
          <t>东风鸿远工程咨询有限公司</t>
        </is>
      </c>
      <c r="C215" s="770" t="inlineStr">
        <is>
          <t>2121</t>
        </is>
      </c>
      <c r="D215" s="772" t="inlineStr">
        <is>
          <t>E_676937</t>
        </is>
      </c>
      <c r="E215" s="772" t="inlineStr">
        <is>
          <t>湖北杰锐电力工程有限公司</t>
        </is>
      </c>
      <c r="F215" s="772" t="inlineStr">
        <is>
          <t>采购款</t>
        </is>
      </c>
      <c r="G215" s="773" t="inlineStr">
        <is>
          <t>供应商</t>
        </is>
      </c>
      <c r="H215" s="774" t="inlineStr">
        <is>
          <t>CNY</t>
        </is>
      </c>
      <c r="I215" s="785" t="n">
        <v>-19811.32</v>
      </c>
      <c r="J215" s="785" t="n"/>
      <c r="K215" s="776" t="n"/>
      <c r="L215" s="777" t="n"/>
      <c r="M215" s="778">
        <f>J215+L215</f>
        <v/>
      </c>
      <c r="N215" s="786" t="n">
        <v>-19811.32</v>
      </c>
      <c r="O215" s="780">
        <f>M215-N215</f>
        <v/>
      </c>
      <c r="P215" s="781">
        <f>IF(N215&lt;&gt;0,O215/N215,"")</f>
        <v/>
      </c>
      <c r="Q215" s="776" t="n"/>
      <c r="R215" s="775" t="n">
        <v>-19811.32</v>
      </c>
      <c r="S215" s="775" t="n">
        <v>0</v>
      </c>
      <c r="T215" s="775" t="n">
        <v>0</v>
      </c>
      <c r="U215" s="775" t="n">
        <v>0</v>
      </c>
      <c r="V215" s="775" t="n">
        <v>0</v>
      </c>
      <c r="W215" s="782">
        <f>SUM(R215:V215)-M215</f>
        <v/>
      </c>
      <c r="X215" s="783">
        <f>T215+U215+V215</f>
        <v/>
      </c>
    </row>
    <row r="216" hidden="1" ht="15.6" customHeight="1">
      <c r="B216" s="769" t="inlineStr">
        <is>
          <t>东风鸿远工程咨询有限公司</t>
        </is>
      </c>
      <c r="C216" s="770" t="inlineStr">
        <is>
          <t>2121</t>
        </is>
      </c>
      <c r="D216" s="772" t="inlineStr">
        <is>
          <t>E_791225</t>
        </is>
      </c>
      <c r="E216" s="772" t="inlineStr">
        <is>
          <t>湖北启盛丰建筑劳务分包有限公司</t>
        </is>
      </c>
      <c r="F216" s="772" t="inlineStr">
        <is>
          <t>采购款</t>
        </is>
      </c>
      <c r="G216" s="773" t="inlineStr">
        <is>
          <t>供应商</t>
        </is>
      </c>
      <c r="H216" s="774" t="inlineStr">
        <is>
          <t>CNY</t>
        </is>
      </c>
      <c r="I216" s="785" t="n">
        <v>-14640</v>
      </c>
      <c r="J216" s="785" t="n"/>
      <c r="K216" s="776" t="n"/>
      <c r="L216" s="777" t="n"/>
      <c r="M216" s="778">
        <f>J216+L216</f>
        <v/>
      </c>
      <c r="N216" s="786" t="n">
        <v>-14640</v>
      </c>
      <c r="O216" s="780">
        <f>M216-N216</f>
        <v/>
      </c>
      <c r="P216" s="781">
        <f>IF(N216&lt;&gt;0,O216/N216,"")</f>
        <v/>
      </c>
      <c r="Q216" s="776" t="n"/>
      <c r="R216" s="775" t="n">
        <v>-14640</v>
      </c>
      <c r="S216" s="775" t="n">
        <v>0</v>
      </c>
      <c r="T216" s="775" t="n">
        <v>0</v>
      </c>
      <c r="U216" s="775" t="n">
        <v>0</v>
      </c>
      <c r="V216" s="775" t="n">
        <v>0</v>
      </c>
      <c r="W216" s="782">
        <f>SUM(R216:V216)-M216</f>
        <v/>
      </c>
      <c r="X216" s="783">
        <f>T216+U216+V216</f>
        <v/>
      </c>
    </row>
    <row r="217" hidden="1" ht="15.6" customHeight="1">
      <c r="B217" s="769" t="inlineStr">
        <is>
          <t>东风鸿远工程咨询有限公司</t>
        </is>
      </c>
      <c r="C217" s="770" t="inlineStr">
        <is>
          <t>2121</t>
        </is>
      </c>
      <c r="D217" s="772" t="inlineStr">
        <is>
          <t>E_686451</t>
        </is>
      </c>
      <c r="E217" s="772" t="inlineStr">
        <is>
          <t>翰森（北京）建筑设计有限公司</t>
        </is>
      </c>
      <c r="F217" s="772" t="inlineStr">
        <is>
          <t>采购款</t>
        </is>
      </c>
      <c r="G217" s="773" t="inlineStr">
        <is>
          <t>供应商</t>
        </is>
      </c>
      <c r="H217" s="774" t="inlineStr">
        <is>
          <t>CNY</t>
        </is>
      </c>
      <c r="I217" s="785" t="n">
        <v>0</v>
      </c>
      <c r="J217" s="785" t="n"/>
      <c r="K217" s="776" t="n"/>
      <c r="L217" s="777" t="n"/>
      <c r="M217" s="778">
        <f>J217+L217</f>
        <v/>
      </c>
      <c r="N217" s="786" t="n">
        <v>0</v>
      </c>
      <c r="O217" s="780">
        <f>M217-N217</f>
        <v/>
      </c>
      <c r="P217" s="781">
        <f>IF(N217&lt;&gt;0,O217/N217,"")</f>
        <v/>
      </c>
      <c r="Q217" s="776" t="n"/>
      <c r="R217" s="775" t="n">
        <v>0</v>
      </c>
      <c r="S217" s="775" t="n">
        <v>0</v>
      </c>
      <c r="T217" s="775" t="n">
        <v>0</v>
      </c>
      <c r="U217" s="775" t="n">
        <v>0</v>
      </c>
      <c r="V217" s="775" t="n">
        <v>0</v>
      </c>
      <c r="W217" s="782">
        <f>SUM(R217:V217)-M217</f>
        <v/>
      </c>
      <c r="X217" s="783">
        <f>T217+U217+V217</f>
        <v/>
      </c>
    </row>
    <row r="218" hidden="1" ht="15.6" customHeight="1">
      <c r="B218" s="769" t="inlineStr">
        <is>
          <t>东风鸿远工程咨询有限公司</t>
        </is>
      </c>
      <c r="C218" s="770" t="inlineStr">
        <is>
          <t>2121</t>
        </is>
      </c>
      <c r="D218" s="772" t="inlineStr">
        <is>
          <t>E_614484</t>
        </is>
      </c>
      <c r="E218" s="772" t="inlineStr">
        <is>
          <t>湖北君邦工程咨询有限公司</t>
        </is>
      </c>
      <c r="F218" s="772" t="inlineStr">
        <is>
          <t>采购款</t>
        </is>
      </c>
      <c r="G218" s="773" t="inlineStr">
        <is>
          <t>供应商</t>
        </is>
      </c>
      <c r="H218" s="774" t="inlineStr">
        <is>
          <t>CNY</t>
        </is>
      </c>
      <c r="I218" s="785" t="n">
        <v>0</v>
      </c>
      <c r="J218" s="785" t="n"/>
      <c r="K218" s="776" t="n"/>
      <c r="L218" s="777" t="n"/>
      <c r="M218" s="778">
        <f>J218+L218</f>
        <v/>
      </c>
      <c r="N218" s="786" t="n">
        <v>0</v>
      </c>
      <c r="O218" s="780">
        <f>M218-N218</f>
        <v/>
      </c>
      <c r="P218" s="781">
        <f>IF(N218&lt;&gt;0,O218/N218,"")</f>
        <v/>
      </c>
      <c r="Q218" s="776" t="n"/>
      <c r="R218" s="775" t="n">
        <v>0</v>
      </c>
      <c r="S218" s="775" t="n">
        <v>0</v>
      </c>
      <c r="T218" s="775" t="n">
        <v>0</v>
      </c>
      <c r="U218" s="775" t="n">
        <v>0</v>
      </c>
      <c r="V218" s="775" t="n">
        <v>0</v>
      </c>
      <c r="W218" s="782">
        <f>SUM(R218:V218)-M218</f>
        <v/>
      </c>
      <c r="X218" s="783">
        <f>T218+U218+V218</f>
        <v/>
      </c>
    </row>
    <row r="219" hidden="1" ht="15.6" customHeight="1">
      <c r="B219" s="769" t="inlineStr">
        <is>
          <t>东风鸿远工程咨询有限公司</t>
        </is>
      </c>
      <c r="C219" s="770" t="inlineStr">
        <is>
          <t>2121</t>
        </is>
      </c>
      <c r="D219" s="772" t="inlineStr">
        <is>
          <t>E_686478</t>
        </is>
      </c>
      <c r="E219" s="772" t="inlineStr">
        <is>
          <t>正弘设计有限公司襄阳分公司</t>
        </is>
      </c>
      <c r="F219" s="772" t="inlineStr">
        <is>
          <t>采购款</t>
        </is>
      </c>
      <c r="G219" s="773" t="inlineStr">
        <is>
          <t>供应商</t>
        </is>
      </c>
      <c r="H219" s="774" t="inlineStr">
        <is>
          <t>CNY</t>
        </is>
      </c>
      <c r="I219" s="785" t="n">
        <v>0</v>
      </c>
      <c r="J219" s="785" t="n"/>
      <c r="K219" s="776" t="n"/>
      <c r="L219" s="777" t="n"/>
      <c r="M219" s="778">
        <f>J219+L219</f>
        <v/>
      </c>
      <c r="N219" s="786" t="n">
        <v>0</v>
      </c>
      <c r="O219" s="780">
        <f>M219-N219</f>
        <v/>
      </c>
      <c r="P219" s="781">
        <f>IF(N219&lt;&gt;0,O219/N219,"")</f>
        <v/>
      </c>
      <c r="Q219" s="776" t="n"/>
      <c r="R219" s="775" t="n">
        <v>0</v>
      </c>
      <c r="S219" s="775" t="n">
        <v>0</v>
      </c>
      <c r="T219" s="775" t="n">
        <v>0</v>
      </c>
      <c r="U219" s="775" t="n">
        <v>0</v>
      </c>
      <c r="V219" s="775" t="n">
        <v>0</v>
      </c>
      <c r="W219" s="782">
        <f>SUM(R219:V219)-M219</f>
        <v/>
      </c>
      <c r="X219" s="783">
        <f>T219+U219+V219</f>
        <v/>
      </c>
    </row>
    <row r="220" hidden="1" ht="16.2" customHeight="1" thickBot="1">
      <c r="B220" s="788" t="inlineStr">
        <is>
          <t>东风鸿远工程咨询有限公司</t>
        </is>
      </c>
      <c r="C220" s="789" t="inlineStr">
        <is>
          <t>2121</t>
        </is>
      </c>
      <c r="D220" s="790" t="inlineStr">
        <is>
          <t>E_006150</t>
        </is>
      </c>
      <c r="E220" s="790" t="inlineStr">
        <is>
          <t>湖北汽车工业学院</t>
        </is>
      </c>
      <c r="F220" s="790" t="inlineStr">
        <is>
          <t>采购款</t>
        </is>
      </c>
      <c r="G220" s="791" t="inlineStr">
        <is>
          <t>供应商</t>
        </is>
      </c>
      <c r="H220" s="792" t="inlineStr">
        <is>
          <t>CNY</t>
        </is>
      </c>
      <c r="I220" s="793" t="n">
        <v>0</v>
      </c>
      <c r="J220" s="793" t="n"/>
      <c r="K220" s="794" t="n"/>
      <c r="L220" s="795" t="n"/>
      <c r="M220" s="796">
        <f>J220+L220</f>
        <v/>
      </c>
      <c r="N220" s="797" t="n">
        <v>0</v>
      </c>
      <c r="O220" s="798">
        <f>M220-N220</f>
        <v/>
      </c>
      <c r="P220" s="799">
        <f>IF(N220&lt;&gt;0,O220/N220,"")</f>
        <v/>
      </c>
      <c r="Q220" s="794" t="n"/>
      <c r="R220" s="800" t="n">
        <v>0</v>
      </c>
      <c r="S220" s="800" t="n">
        <v>0</v>
      </c>
      <c r="T220" s="800" t="n">
        <v>0</v>
      </c>
      <c r="U220" s="800" t="n">
        <v>0</v>
      </c>
      <c r="V220" s="800" t="n">
        <v>0</v>
      </c>
      <c r="W220" s="801">
        <f>SUM(R220:V220)-M220</f>
        <v/>
      </c>
      <c r="X220" s="783">
        <f>T220+U220+V220</f>
        <v/>
      </c>
    </row>
    <row r="221" ht="15.6" customHeight="1">
      <c r="H221" s="802" t="inlineStr">
        <is>
          <t>合计</t>
        </is>
      </c>
      <c r="I221" s="783">
        <f>SUM(I7:I220)</f>
        <v/>
      </c>
      <c r="J221" s="783">
        <f>SUM(J7:J220)</f>
        <v/>
      </c>
      <c r="K221" s="783">
        <f>SUM(K7:K220)</f>
        <v/>
      </c>
      <c r="L221" s="783">
        <f>SUM(L7:L220)</f>
        <v/>
      </c>
      <c r="M221" s="783">
        <f>SUM(M7:M220)</f>
        <v/>
      </c>
      <c r="N221" s="783" t="n">
        <v>-57526376.38000003</v>
      </c>
      <c r="O221" s="783">
        <f>SUM(O7:O220)</f>
        <v/>
      </c>
      <c r="P221" s="783" t="n"/>
      <c r="Q221" s="783" t="n"/>
      <c r="R221" s="783">
        <f>SUM(R7:R220)</f>
        <v/>
      </c>
      <c r="S221" s="783">
        <f>SUM(S7:S220)</f>
        <v/>
      </c>
      <c r="T221" s="783">
        <f>SUM(T7:T220)</f>
        <v/>
      </c>
      <c r="U221" s="783">
        <f>SUM(U7:U220)</f>
        <v/>
      </c>
      <c r="V221" s="783">
        <f>SUM(V7:V220)</f>
        <v/>
      </c>
      <c r="W221" s="783">
        <f>SUM(W7:W220)</f>
        <v/>
      </c>
      <c r="X221" s="803" t="n"/>
    </row>
    <row r="222" hidden="1">
      <c r="H222" s="804" t="inlineStr">
        <is>
          <t>check</t>
        </is>
      </c>
      <c r="J222" s="783">
        <f>J221-'N.00 Lead sheet'!F46</f>
        <v/>
      </c>
      <c r="K222" s="783" t="n"/>
      <c r="L222" s="783" t="n"/>
      <c r="M222" s="783">
        <f>M221-'N.00 Lead sheet'!J46</f>
        <v/>
      </c>
      <c r="N222" s="783" t="n">
        <v>0</v>
      </c>
      <c r="O222" s="783" t="n"/>
      <c r="X222" s="783" t="n"/>
    </row>
    <row r="223"/>
    <row r="224" ht="15.6" customHeight="1" thickBot="1">
      <c r="B224" s="195" t="inlineStr">
        <is>
          <t>账龄汇总表</t>
        </is>
      </c>
      <c r="C224" s="195" t="n"/>
      <c r="D224" s="195" t="n"/>
      <c r="E224" s="195" t="n"/>
      <c r="F224" s="195" t="n"/>
    </row>
    <row r="225" ht="15" customHeight="1">
      <c r="B225" s="805" t="inlineStr">
        <is>
          <t>账龄段</t>
        </is>
      </c>
      <c r="C225" s="806" t="n">
        <v>46387</v>
      </c>
      <c r="D225" s="807" t="inlineStr">
        <is>
          <t>% Coverage</t>
        </is>
      </c>
      <c r="E225" s="806" t="n">
        <v>46022</v>
      </c>
      <c r="F225" s="808" t="inlineStr">
        <is>
          <t>合理性Check</t>
        </is>
      </c>
    </row>
    <row r="226">
      <c r="B226" s="809" t="inlineStr">
        <is>
          <t>0-90天</t>
        </is>
      </c>
      <c r="C226" s="783">
        <f>R221</f>
        <v/>
      </c>
      <c r="D226" s="810">
        <f>IFERROR(C226/$C$104,0)</f>
        <v/>
      </c>
      <c r="E226" s="783" t="n">
        <v>-18000340.15000001</v>
      </c>
      <c r="F226" s="811" t="n"/>
    </row>
    <row r="227">
      <c r="B227" s="809" t="inlineStr">
        <is>
          <t>91-365天</t>
        </is>
      </c>
      <c r="C227" s="783">
        <f>S221</f>
        <v/>
      </c>
      <c r="D227" s="810">
        <f>IFERROR(C227/$C$104,0)</f>
        <v/>
      </c>
      <c r="E227" s="783" t="n">
        <v>-14800560.53</v>
      </c>
      <c r="F227" s="812">
        <f>IF(ABS(C227)&lt;=(ABS(E226)+ABS(E227)),"True","请检查或说明原因")</f>
        <v/>
      </c>
    </row>
    <row r="228">
      <c r="B228" s="809" t="inlineStr">
        <is>
          <t>1年至2年</t>
        </is>
      </c>
      <c r="C228" s="783">
        <f>T221</f>
        <v/>
      </c>
      <c r="D228" s="810">
        <f>IFERROR(C228/$C$104,0)</f>
        <v/>
      </c>
      <c r="E228" s="783" t="n">
        <v>-15459187.84</v>
      </c>
      <c r="F228" s="812">
        <f>IF(ABS(C228)&lt;=(ABS(E227)+ABS(E228)),"True","请检查或说明原因")</f>
        <v/>
      </c>
    </row>
    <row r="229">
      <c r="B229" s="809" t="inlineStr">
        <is>
          <t>2年至3年</t>
        </is>
      </c>
      <c r="C229" s="783">
        <f>U221</f>
        <v/>
      </c>
      <c r="D229" s="810">
        <f>IFERROR(C229/$C$104,0)</f>
        <v/>
      </c>
      <c r="E229" s="783" t="n">
        <v>-6566550.779999999</v>
      </c>
      <c r="F229" s="812">
        <f>IF(ABS(C229)&lt;=(ABS(E228)+ABS(E229)),"True","请检查或说明原因")</f>
        <v/>
      </c>
    </row>
    <row r="230">
      <c r="B230" s="809" t="inlineStr">
        <is>
          <t>3年以上</t>
        </is>
      </c>
      <c r="C230" s="783">
        <f>V221</f>
        <v/>
      </c>
      <c r="D230" s="810">
        <f>IFERROR(C230/$C$104,0)</f>
        <v/>
      </c>
      <c r="E230" s="783" t="n">
        <v>-9360745.569999998</v>
      </c>
      <c r="F230" s="812">
        <f>IF(ABS(C230)&lt;=(ABS(E229)+ABS(E230)),"True","请检查或说明原因")</f>
        <v/>
      </c>
    </row>
    <row r="231" ht="14.4" customHeight="1" thickBot="1">
      <c r="B231" s="813" t="n"/>
      <c r="C231" s="814" t="n"/>
      <c r="D231" s="815" t="n"/>
      <c r="E231" s="814" t="n"/>
      <c r="F231" s="816" t="n"/>
    </row>
    <row r="232">
      <c r="B232" s="817" t="n"/>
      <c r="C232" s="817" t="n"/>
      <c r="D232" s="817" t="n"/>
      <c r="E232" s="817" t="n"/>
      <c r="F232" s="818" t="n"/>
    </row>
    <row r="233" ht="14.4" customHeight="1" thickBot="1">
      <c r="B233" s="342" t="inlineStr">
        <is>
          <t>Total</t>
        </is>
      </c>
      <c r="C233" s="819">
        <f>IFERROR(SUM(C226:C231),"")</f>
        <v/>
      </c>
      <c r="D233" s="195" t="n"/>
      <c r="E233" s="819">
        <f>IFERROR(SUM(E226:E231),"")</f>
        <v/>
      </c>
      <c r="F233" s="818" t="n"/>
    </row>
    <row r="234" ht="14.4" customHeight="1" thickTop="1">
      <c r="B234" s="804" t="inlineStr">
        <is>
          <t>check</t>
        </is>
      </c>
      <c r="C234" s="783">
        <f>C233-M221</f>
        <v/>
      </c>
      <c r="D234" s="783" t="n"/>
      <c r="E234" s="783">
        <f>E233-N221</f>
        <v/>
      </c>
      <c r="F234" s="783" t="n"/>
    </row>
    <row r="235"/>
    <row r="236"/>
    <row r="237"/>
    <row r="238" ht="16.2" customHeight="1" thickBot="1">
      <c r="B238" s="804" t="inlineStr">
        <is>
          <t>1.对于单项变动金额超过585,000元，或金额较大的长账龄的变动，筛选项较多，我们选取前五大在此处进行变动原因分析。</t>
        </is>
      </c>
    </row>
    <row r="239" ht="15" customHeight="1">
      <c r="B239" s="820" t="inlineStr">
        <is>
          <t>供应商代码</t>
        </is>
      </c>
      <c r="C239" s="821" t="inlineStr">
        <is>
          <t>供应商名称</t>
        </is>
      </c>
      <c r="D239" s="821" t="inlineStr">
        <is>
          <t>期末账面数</t>
        </is>
      </c>
      <c r="E239" s="821" t="inlineStr">
        <is>
          <t>上期末审定数</t>
        </is>
      </c>
      <c r="F239" s="821" t="inlineStr">
        <is>
          <t>变动金额</t>
        </is>
      </c>
      <c r="G239" s="821" t="inlineStr">
        <is>
          <t>变动比例</t>
        </is>
      </c>
      <c r="H239" s="822" t="n"/>
    </row>
    <row r="240" ht="15.6" customHeight="1">
      <c r="B240" s="823" t="inlineStr">
        <is>
          <t>I_9149</t>
        </is>
      </c>
      <c r="C240" s="824" t="inlineStr">
        <is>
          <t>东风咨询有限公司</t>
        </is>
      </c>
      <c r="D240" s="824" t="n">
        <v>-3874030.13</v>
      </c>
      <c r="E240" s="824" t="n">
        <v>-5153204.96</v>
      </c>
      <c r="F240" s="824">
        <f>D240-E240</f>
        <v/>
      </c>
      <c r="G240" s="825">
        <f>F240/E240</f>
        <v/>
      </c>
      <c r="H240" s="826" t="inlineStr">
        <is>
          <t>NB1</t>
        </is>
      </c>
    </row>
    <row r="241" ht="15.6" customHeight="1">
      <c r="B241" s="823" t="inlineStr">
        <is>
          <t>E_628682</t>
        </is>
      </c>
      <c r="C241" s="824" t="inlineStr">
        <is>
          <t>供应商</t>
        </is>
      </c>
      <c r="D241" s="824" t="n">
        <v>-2743396.23</v>
      </c>
      <c r="E241" s="824" t="n">
        <v>-7943396.23</v>
      </c>
      <c r="F241" s="824">
        <f>D241-E241</f>
        <v/>
      </c>
      <c r="G241" s="825">
        <f>F241/E241</f>
        <v/>
      </c>
      <c r="H241" s="826" t="inlineStr">
        <is>
          <t>NB2</t>
        </is>
      </c>
    </row>
    <row r="242" ht="15.6" customHeight="1">
      <c r="B242" s="823" t="inlineStr">
        <is>
          <t>E_177287</t>
        </is>
      </c>
      <c r="C242" s="824" t="inlineStr">
        <is>
          <t>襄阳诚智电力设计有限公司</t>
        </is>
      </c>
      <c r="D242" s="824" t="n">
        <v>-1160377.36</v>
      </c>
      <c r="E242" s="824" t="n">
        <v>0</v>
      </c>
      <c r="F242" s="824">
        <f>D242-E242</f>
        <v/>
      </c>
      <c r="G242" s="825" t="n">
        <v>0</v>
      </c>
      <c r="H242" s="826" t="inlineStr">
        <is>
          <t>NB3</t>
        </is>
      </c>
    </row>
    <row r="243" ht="15.6" customHeight="1">
      <c r="B243" s="823" t="inlineStr">
        <is>
          <t>E_626371</t>
        </is>
      </c>
      <c r="C243" s="824" t="inlineStr">
        <is>
          <t>深圳市景鸿建设工程有限公司</t>
        </is>
      </c>
      <c r="D243" s="824" t="n">
        <v>0</v>
      </c>
      <c r="E243" s="824" t="n">
        <v>-1220943.4</v>
      </c>
      <c r="F243" s="824">
        <f>D243-E243</f>
        <v/>
      </c>
      <c r="G243" s="825">
        <f>F243/E243</f>
        <v/>
      </c>
      <c r="H243" s="826" t="inlineStr">
        <is>
          <t>NB4</t>
        </is>
      </c>
    </row>
    <row r="244" ht="15.6" customHeight="1">
      <c r="B244" s="823" t="inlineStr">
        <is>
          <t>E_014855</t>
        </is>
      </c>
      <c r="C244" s="824" t="inlineStr">
        <is>
          <t>湖北省工业建筑总承包集团</t>
        </is>
      </c>
      <c r="D244" s="824" t="n">
        <v>-1477909.15</v>
      </c>
      <c r="E244" s="824" t="n">
        <v>-188679.24</v>
      </c>
      <c r="F244" s="824">
        <f>D244-E244</f>
        <v/>
      </c>
      <c r="G244" s="825">
        <f>F244/E244</f>
        <v/>
      </c>
      <c r="H244" s="826" t="inlineStr">
        <is>
          <t>NB5</t>
        </is>
      </c>
    </row>
    <row r="245" ht="15" customHeight="1">
      <c r="B245" s="827" t="n"/>
      <c r="C245" s="828" t="n"/>
      <c r="D245" s="783" t="n"/>
      <c r="E245" s="783" t="n"/>
      <c r="F245" s="824" t="n"/>
      <c r="G245" s="824" t="n"/>
      <c r="H245" s="829" t="n"/>
    </row>
    <row r="246" ht="15" customHeight="1">
      <c r="B246" s="830" t="inlineStr">
        <is>
          <t>NB1：东风咨询有限公司系东风鸿远工程咨询的内部关联方供应商，对于满足鸿远工程包需求的业务，鸿远会选择咨询提供服务。24年业务量较大，分给咨询的工程包也多，25年有所减少，对应的应付款项也减少了25%。</t>
        </is>
      </c>
      <c r="H246" s="831" t="n"/>
    </row>
    <row r="247" ht="15" customHeight="1">
      <c r="B247" s="832" t="n"/>
      <c r="H247" s="831" t="n"/>
    </row>
    <row r="248" ht="19.5" customHeight="1">
      <c r="B248" s="830" t="inlineStr">
        <is>
          <t>NB2：该项系被审计单位根据项目预算提的暂估成本科目，鸿远业务系统使用金慧软件平台，业务在该平台对项目进行申报、记录，待项目完成财务收到发票后，冲减暂估，再依据发票中实际供应商，把账做进对应的供应商中。由于将除了内部供应商之外的供应商成本依据项目预算统一将暂估成本记在【供应商】中，因做账程序按照项目入账，无法对应具体的客商。且因为本年工程总包量的减少，导致账面对应的暂估成本也有明显的减少。</t>
        </is>
      </c>
      <c r="H248" s="831" t="n"/>
    </row>
    <row r="249" ht="19.5" customHeight="1">
      <c r="B249" s="832" t="n"/>
      <c r="H249" s="831" t="n"/>
    </row>
    <row r="250" ht="15" customHeight="1">
      <c r="B250" s="830" t="inlineStr">
        <is>
          <t>NB3：该供应商系被审计单位本年新纳入供应商体系的公司，由于24年没有与该供应商的业务往来，24年末就没有对其的应付款项，25年因为工程包有对应的业务合作，才导致25年末对其的应付款项较24年末增加1,160k。</t>
        </is>
      </c>
      <c r="H250" s="831" t="n"/>
    </row>
    <row r="251" ht="15" customHeight="1">
      <c r="B251" s="832" t="n"/>
      <c r="H251" s="831" t="n"/>
    </row>
    <row r="252">
      <c r="B252" s="830" t="inlineStr">
        <is>
          <t>NB4：该供应商系被审计单位24年合作的供应商，由于24年工程包合作结束后没有再进行业务往来，导致25年末对其应付款项减少较多，账面显示的变动较大。</t>
        </is>
      </c>
      <c r="H252" s="831" t="n"/>
    </row>
    <row r="253">
      <c r="B253" s="832" t="n"/>
      <c r="H253" s="831" t="n"/>
    </row>
    <row r="254" ht="18.45" customHeight="1">
      <c r="B254" s="830" t="inlineStr">
        <is>
          <t>NB5：该供应商系被审计单位与该供应商及襄阳市政共同合作签订的设计采购施工(EPC)总承包合同等，主要系湖北省鄂西北(襄阳)重大疫情救治基地项目等，与其合作多个项目，25年合作工程较24年量大，导致对应25年的应付款项较24年有明显增加。</t>
        </is>
      </c>
      <c r="H254" s="831" t="n"/>
    </row>
    <row r="255" ht="18.45" customHeight="1">
      <c r="B255" s="832" t="n"/>
      <c r="H255" s="831" t="n"/>
    </row>
    <row r="256" ht="15.6" customHeight="1">
      <c r="B256" s="833" t="inlineStr">
        <is>
          <t>长账龄分析：</t>
        </is>
      </c>
      <c r="D256" s="783" t="n"/>
      <c r="E256" s="783" t="n"/>
      <c r="F256" s="824" t="n"/>
      <c r="G256" s="824" t="n"/>
      <c r="H256" s="834" t="n"/>
    </row>
    <row r="257" ht="15.6" customHeight="1">
      <c r="B257" s="835" t="inlineStr">
        <is>
          <t>供应商代码</t>
        </is>
      </c>
      <c r="C257" s="836" t="inlineStr">
        <is>
          <t>供应商名称</t>
        </is>
      </c>
      <c r="D257" s="837" t="n">
        <v>46387</v>
      </c>
      <c r="E257" s="838" t="inlineStr">
        <is>
          <t>1年以上账龄</t>
        </is>
      </c>
      <c r="F257" s="839" t="n"/>
      <c r="G257" s="839" t="n"/>
      <c r="H257" s="840" t="n"/>
    </row>
    <row r="258" ht="15.6" customHeight="1">
      <c r="B258" s="833" t="inlineStr">
        <is>
          <t>I_9149</t>
        </is>
      </c>
      <c r="C258" s="802" t="inlineStr">
        <is>
          <t>东风咨询有限公司</t>
        </is>
      </c>
      <c r="D258" s="841" t="n">
        <v>-3874030.13</v>
      </c>
      <c r="E258" s="841" t="n">
        <v>-3776049.34</v>
      </c>
      <c r="F258" s="824" t="inlineStr">
        <is>
          <t>NB1</t>
        </is>
      </c>
      <c r="G258" s="824" t="n"/>
      <c r="H258" s="834" t="n"/>
    </row>
    <row r="259" ht="15.6" customHeight="1">
      <c r="B259" s="833" t="inlineStr">
        <is>
          <t>E_175725</t>
        </is>
      </c>
      <c r="C259" s="802" t="inlineStr">
        <is>
          <t>中机三勘岩土工程有限公司</t>
        </is>
      </c>
      <c r="D259" s="841" t="n">
        <v>-2565699.98</v>
      </c>
      <c r="E259" s="841" t="n">
        <v>-2514945.28</v>
      </c>
      <c r="F259" s="824" t="inlineStr">
        <is>
          <t>NB6</t>
        </is>
      </c>
      <c r="G259" s="824" t="n"/>
      <c r="H259" s="834" t="n"/>
    </row>
    <row r="260" ht="15.6" customHeight="1">
      <c r="B260" s="833" t="inlineStr">
        <is>
          <t>E_605958</t>
        </is>
      </c>
      <c r="C260" s="802" t="inlineStr">
        <is>
          <t>四川省建筑设计研究院有限公司</t>
        </is>
      </c>
      <c r="D260" s="841" t="n">
        <v>-6146733.91</v>
      </c>
      <c r="E260" s="841" t="n">
        <v>-5632783.91</v>
      </c>
      <c r="F260" s="824" t="inlineStr">
        <is>
          <t>NB7</t>
        </is>
      </c>
      <c r="G260" s="824" t="n"/>
      <c r="H260" s="834" t="n"/>
    </row>
    <row r="261" ht="15.6" customHeight="1">
      <c r="B261" s="833" t="inlineStr">
        <is>
          <t>E_600087</t>
        </is>
      </c>
      <c r="C261" s="802" t="inlineStr">
        <is>
          <t>湖北省鄂西北工程勘察有限责任公司</t>
        </is>
      </c>
      <c r="D261" s="841" t="n">
        <v>-2189774.58</v>
      </c>
      <c r="E261" s="841" t="n">
        <v>-2119774.58</v>
      </c>
      <c r="F261" s="824" t="inlineStr">
        <is>
          <t>NB8</t>
        </is>
      </c>
      <c r="G261" s="824" t="n"/>
      <c r="H261" s="834" t="n"/>
    </row>
    <row r="262" ht="15" customHeight="1">
      <c r="B262" s="827" t="n"/>
      <c r="D262" s="783" t="n"/>
      <c r="E262" s="783" t="n"/>
      <c r="F262" s="824" t="n"/>
      <c r="G262" s="824" t="n"/>
      <c r="H262" s="834" t="n"/>
    </row>
    <row r="263" ht="18.45" customHeight="1">
      <c r="B263" s="830" t="inlineStr">
        <is>
          <t>NB6：对该供应商的余额系往年分包确认的应付款项。负责襄城经开区产业园基础设施提档升级项目定制化厂房（东风鸿泰项目一期）等勘察项目抽水试验任务等</t>
        </is>
      </c>
      <c r="H263" s="831" t="n"/>
    </row>
    <row r="264" ht="18.45" customHeight="1">
      <c r="B264" s="832" t="n"/>
      <c r="H264" s="831" t="n"/>
    </row>
    <row r="265" ht="18.45" customHeight="1">
      <c r="B265" s="830" t="inlineStr">
        <is>
          <t>NB7：对该供应商的余额系往年分包确认的应付款项。湖北文理学院迁建项目设计</t>
        </is>
      </c>
      <c r="H265" s="831" t="n"/>
    </row>
    <row r="266" ht="18.45" customHeight="1">
      <c r="B266" s="832" t="n"/>
      <c r="H266" s="831" t="n"/>
    </row>
    <row r="267" ht="16.95" customHeight="1">
      <c r="B267" s="830" t="inlineStr">
        <is>
          <t>NB8：对该供应商的余额系往年分包确认的应付款项。主要系湖北省科技工程学校实训基地及附属建设项目、襄阳市汉江水环境保护建设项目（襄阳市第二期乡镇污水收集处理工程）工程相关款项</t>
        </is>
      </c>
      <c r="H267" s="831" t="n"/>
    </row>
    <row r="268" ht="16.95" customHeight="1">
      <c r="B268" s="832" t="n"/>
      <c r="H268" s="831" t="n"/>
    </row>
    <row r="269" ht="15" customHeight="1">
      <c r="B269" s="827" t="n"/>
      <c r="D269" s="783" t="n"/>
      <c r="E269" s="783" t="n"/>
      <c r="F269" s="824" t="n"/>
      <c r="G269" s="824" t="n"/>
      <c r="H269" s="834" t="n"/>
    </row>
    <row r="270" ht="14.4" customHeight="1" thickBot="1">
      <c r="B270" s="842" t="n"/>
      <c r="C270" s="843" t="n"/>
      <c r="D270" s="843" t="n"/>
      <c r="E270" s="843" t="n"/>
      <c r="F270" s="843" t="n"/>
      <c r="G270" s="843" t="n"/>
      <c r="H270" s="844" t="n"/>
    </row>
  </sheetData>
  <autoFilter ref="A6:X222"/>
  <mergeCells count="19">
    <mergeCell ref="E5:E6"/>
    <mergeCell ref="B248:H249"/>
    <mergeCell ref="Q5:Q6"/>
    <mergeCell ref="B263:H264"/>
    <mergeCell ref="F5:F6"/>
    <mergeCell ref="O5:P5"/>
    <mergeCell ref="B250:H251"/>
    <mergeCell ref="B267:H268"/>
    <mergeCell ref="G5:G6"/>
    <mergeCell ref="B246:H247"/>
    <mergeCell ref="H5:M5"/>
    <mergeCell ref="B254:H255"/>
    <mergeCell ref="R5:W5"/>
    <mergeCell ref="B5:B6"/>
    <mergeCell ref="D5:D6"/>
    <mergeCell ref="B265:H266"/>
    <mergeCell ref="B1:H1"/>
    <mergeCell ref="B252:H253"/>
    <mergeCell ref="C5:C6"/>
  </mergeCells>
  <conditionalFormatting sqref="B240:E244 G240:G244">
    <cfRule type="containsBlanks" priority="1" dxfId="4">
      <formula>LEN(TRIM(B240))=0</formula>
    </cfRule>
  </conditionalFormatting>
  <conditionalFormatting sqref="G7:H220">
    <cfRule type="cellIs" priority="2" operator="equal" dxfId="13">
      <formula>0</formula>
    </cfRule>
  </conditionalFormatting>
  <dataValidations count="2">
    <dataValidation sqref="G7:G220" showDropDown="0" showInputMessage="1" showErrorMessage="0" allowBlank="1" type="list">
      <formula1>"供应商,关联方,自定义"</formula1>
    </dataValidation>
    <dataValidation sqref="H7:H220" showDropDown="0" showInputMessage="1" showErrorMessage="1" allowBlank="1" type="list">
      <formula1>$C$2078:$C$2078</formula1>
    </dataValidation>
  </dataValidations>
  <pageMargins left="0.7" right="0.7" top="0.75" bottom="0.75" header="0.3" footer="0.3"/>
  <pageSetup orientation="portrait" paperSize="9" horizontalDpi="300"/>
  <headerFooter>
    <oddHeader/>
    <oddFooter>&amp;LPAL SWP Accrued Liabilities_x000a_(24 June 2025)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845" t="inlineStr">
        <is>
          <t>安永属性测试说明：</t>
        </is>
      </c>
      <c r="C8" s="846" t="n"/>
      <c r="D8" s="846" t="n"/>
      <c r="E8" s="846" t="n"/>
      <c r="F8" s="847" t="n"/>
      <c r="G8" s="848" t="n"/>
      <c r="H8" s="848" t="n"/>
      <c r="I8" s="848" t="n"/>
      <c r="J8" s="848" t="n"/>
      <c r="K8" s="848" t="n"/>
      <c r="L8" s="848" t="n"/>
      <c r="M8" s="848" t="n"/>
      <c r="N8" s="848" t="n"/>
      <c r="O8" s="848" t="n"/>
      <c r="P8" s="10" t="n"/>
      <c r="Q8" s="17" t="n"/>
      <c r="R8" s="848" t="n"/>
      <c r="S8" s="848" t="n"/>
      <c r="T8" s="848" t="n"/>
      <c r="U8" s="848" t="n"/>
      <c r="V8" s="848" t="n"/>
      <c r="W8" s="848" t="n"/>
      <c r="X8" s="848" t="n"/>
      <c r="Y8" s="848" t="n"/>
      <c r="Z8" s="848"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849"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848" t="n"/>
      <c r="H9" s="848" t="n"/>
      <c r="I9" s="848" t="n"/>
      <c r="J9" s="848" t="n"/>
      <c r="K9" s="848" t="n"/>
      <c r="L9" s="848" t="n"/>
      <c r="M9" s="848" t="n"/>
      <c r="N9" s="848" t="n"/>
      <c r="O9" s="848" t="n"/>
      <c r="P9" s="10" t="n"/>
      <c r="Q9" s="17" t="n"/>
      <c r="R9" s="848" t="n"/>
      <c r="S9" s="848" t="n"/>
      <c r="T9" s="848" t="n"/>
      <c r="U9" s="848" t="n"/>
      <c r="V9" s="848" t="n"/>
      <c r="W9" s="848" t="n"/>
      <c r="X9" s="848" t="n"/>
      <c r="Y9" s="848" t="n"/>
      <c r="Z9" s="848"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850" t="inlineStr">
        <is>
          <t>2） 我们获取了与所选交易相关的记账分录。我们确认应付账款记账分录的对方科目账务处理正确‌。</t>
        </is>
      </c>
      <c r="C10" s="658" t="n"/>
      <c r="D10" s="658" t="n"/>
      <c r="E10" s="658" t="n"/>
      <c r="F10" s="659" t="n"/>
      <c r="G10" s="848" t="n"/>
      <c r="H10" s="848" t="n"/>
      <c r="I10" s="848" t="n"/>
      <c r="J10" s="848" t="n"/>
      <c r="K10" s="848" t="n"/>
      <c r="L10" s="848" t="n"/>
      <c r="M10" s="848" t="n"/>
      <c r="N10" s="848" t="n"/>
      <c r="O10" s="848" t="n"/>
      <c r="P10" s="10" t="n"/>
      <c r="Q10" s="17" t="n"/>
      <c r="R10" s="848" t="n"/>
      <c r="S10" s="848" t="n"/>
      <c r="T10" s="848" t="n"/>
      <c r="U10" s="848" t="n"/>
      <c r="V10" s="848" t="n"/>
      <c r="W10" s="848" t="n"/>
      <c r="X10" s="848" t="n"/>
      <c r="Y10" s="848" t="n"/>
      <c r="Z10" s="848"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851" t="inlineStr">
        <is>
          <t>3） 根据我们对支持性文件（包括记账分录）的审查，得出结论认为，所选交易在应付账款中的分类是适当的。</t>
        </is>
      </c>
      <c r="C11" s="661" t="n"/>
      <c r="D11" s="661" t="n"/>
      <c r="E11" s="661" t="n"/>
      <c r="F11" s="662" t="n"/>
      <c r="G11" s="848" t="n"/>
      <c r="H11" s="848" t="n"/>
      <c r="I11" s="848" t="n"/>
      <c r="J11" s="848" t="n"/>
      <c r="K11" s="848" t="n"/>
      <c r="L11" s="848" t="n"/>
      <c r="M11" s="848" t="n"/>
      <c r="N11" s="848" t="n"/>
      <c r="O11" s="848" t="n"/>
      <c r="P11" s="10" t="n"/>
      <c r="Q11" s="17" t="n"/>
      <c r="R11" s="848" t="n"/>
      <c r="S11" s="848" t="n"/>
      <c r="T11" s="848" t="n"/>
      <c r="U11" s="848" t="n"/>
      <c r="V11" s="848" t="n"/>
      <c r="W11" s="848" t="n"/>
      <c r="X11" s="848" t="n"/>
      <c r="Y11" s="848" t="n"/>
      <c r="Z11" s="848"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848" t="n"/>
      <c r="H12" s="848" t="n"/>
      <c r="I12" s="848" t="n"/>
      <c r="J12" s="848" t="n"/>
      <c r="K12" s="848" t="n"/>
      <c r="L12" s="848" t="n"/>
      <c r="M12" s="848" t="n"/>
      <c r="N12" s="848" t="n"/>
      <c r="O12" s="848" t="n"/>
      <c r="P12" s="10" t="n"/>
      <c r="Q12" s="17" t="n"/>
      <c r="R12" s="848" t="n"/>
      <c r="S12" s="848" t="n"/>
      <c r="T12" s="848" t="n"/>
      <c r="U12" s="848" t="n"/>
      <c r="V12" s="848" t="n"/>
      <c r="W12" s="848" t="n"/>
      <c r="X12" s="848" t="n"/>
      <c r="Y12" s="848" t="n"/>
      <c r="Z12" s="848" t="n"/>
      <c r="AA12" s="848" t="n"/>
      <c r="AB12" s="848" t="n"/>
      <c r="AC12" s="848" t="n"/>
      <c r="AD12" s="848" t="n"/>
      <c r="AE12" s="848" t="n"/>
      <c r="AF12" s="848"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852" t="n"/>
      <c r="H13" s="852" t="n"/>
      <c r="I13" s="852" t="n"/>
      <c r="J13" s="852" t="n"/>
      <c r="K13" s="852" t="n"/>
      <c r="L13" s="852" t="n"/>
      <c r="M13" s="852" t="n"/>
      <c r="N13" s="852" t="n"/>
      <c r="O13" s="852" t="n"/>
      <c r="P13" s="10" t="n"/>
      <c r="Q13" s="17" t="n"/>
      <c r="R13" s="848" t="n"/>
      <c r="S13" s="848" t="n"/>
      <c r="T13" s="848" t="n"/>
      <c r="U13" s="848" t="n"/>
      <c r="V13" s="848" t="n"/>
      <c r="W13" s="848" t="n"/>
      <c r="X13" s="848" t="n"/>
      <c r="Y13" s="848" t="n"/>
      <c r="Z13" s="848" t="n"/>
      <c r="AA13" s="848" t="n"/>
      <c r="AB13" s="848" t="n"/>
      <c r="AC13" s="848" t="n"/>
      <c r="AD13" s="848" t="n"/>
      <c r="AE13" s="848" t="n"/>
      <c r="AF13" s="848" t="n"/>
      <c r="AG13" s="848" t="n"/>
      <c r="AH13" s="848" t="n"/>
      <c r="AI13" s="848" t="n"/>
      <c r="AJ13" s="848" t="n"/>
      <c r="AK13" s="848"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848" t="n"/>
      <c r="H14" s="848" t="n"/>
      <c r="I14" s="848" t="n"/>
      <c r="J14" s="848" t="n"/>
      <c r="K14" s="848" t="n"/>
      <c r="L14" s="848" t="n"/>
      <c r="M14" s="848" t="n"/>
      <c r="N14" s="848" t="n"/>
      <c r="O14" s="848" t="n"/>
      <c r="P14" s="10" t="n"/>
      <c r="Q14" s="17" t="n"/>
      <c r="R14" s="848" t="n"/>
      <c r="S14" s="848" t="n"/>
      <c r="T14" s="848" t="n"/>
      <c r="U14" s="848" t="n"/>
      <c r="V14" s="848" t="n"/>
      <c r="W14" s="848" t="n"/>
      <c r="X14" s="848" t="n"/>
      <c r="Y14" s="848" t="n"/>
      <c r="Z14" s="848" t="n"/>
      <c r="AA14" s="848" t="n"/>
      <c r="AB14" s="848" t="n"/>
      <c r="AC14" s="848" t="n"/>
      <c r="AD14" s="848" t="n"/>
      <c r="AE14" s="848" t="n"/>
      <c r="AF14" s="848" t="n"/>
      <c r="AG14" s="848" t="n"/>
      <c r="AH14" s="848" t="n"/>
      <c r="AI14" s="848" t="n"/>
      <c r="AJ14" s="848" t="n"/>
      <c r="AK14" s="848"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848" t="n"/>
      <c r="H15" s="848" t="n"/>
      <c r="I15" s="848" t="n"/>
      <c r="J15" s="848" t="n"/>
      <c r="K15" s="848" t="n"/>
      <c r="L15" s="848" t="n"/>
      <c r="M15" s="848" t="n"/>
      <c r="N15" s="848" t="n"/>
      <c r="O15" s="848" t="n"/>
      <c r="P15" s="10" t="n"/>
      <c r="Q15" s="17" t="n"/>
      <c r="R15" s="848" t="n"/>
      <c r="S15" s="848" t="n"/>
      <c r="T15" s="848" t="n"/>
      <c r="U15" s="848" t="n"/>
      <c r="V15" s="848" t="n"/>
      <c r="W15" s="848" t="n"/>
      <c r="X15" s="848" t="n"/>
      <c r="Y15" s="848" t="n"/>
      <c r="Z15" s="848" t="n"/>
      <c r="AA15" s="848" t="n"/>
      <c r="AB15" s="848" t="n"/>
      <c r="AC15" s="848" t="n"/>
      <c r="AD15" s="848" t="n"/>
      <c r="AE15" s="848" t="n"/>
      <c r="AF15" s="848" t="n"/>
      <c r="AG15" s="848" t="n"/>
      <c r="AH15" s="848" t="n"/>
      <c r="AI15" s="848" t="n"/>
      <c r="AJ15" s="848" t="n"/>
      <c r="AK15" s="848"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853" t="n"/>
      <c r="D16" s="356" t="n"/>
      <c r="E16" s="163" t="n"/>
      <c r="F16" s="357" t="n"/>
      <c r="G16" s="345" t="n"/>
      <c r="H16" s="345" t="n"/>
      <c r="I16" s="345" t="n"/>
      <c r="J16" s="345" t="n"/>
      <c r="K16" s="345" t="n"/>
      <c r="L16" s="345" t="n"/>
      <c r="M16" s="345" t="n"/>
      <c r="N16" s="345" t="n"/>
      <c r="O16" s="345" t="n"/>
      <c r="P16" s="10" t="n"/>
      <c r="Q16" s="17" t="n"/>
      <c r="R16" s="848" t="n"/>
      <c r="S16" s="848" t="n"/>
      <c r="T16" s="848" t="n"/>
      <c r="U16" s="848" t="n"/>
      <c r="V16" s="848" t="n"/>
      <c r="W16" s="848" t="n"/>
      <c r="X16" s="848" t="n"/>
      <c r="Y16" s="848" t="n"/>
      <c r="Z16" s="848" t="n"/>
      <c r="AA16" s="848" t="n"/>
      <c r="AB16" s="848" t="n"/>
      <c r="AC16" s="848" t="n"/>
      <c r="AD16" s="848" t="n"/>
      <c r="AE16" s="848" t="n"/>
      <c r="AF16" s="848" t="n"/>
      <c r="AG16" s="848" t="n"/>
      <c r="AH16" s="848" t="n"/>
      <c r="AI16" s="848" t="n"/>
      <c r="AJ16" s="848" t="n"/>
      <c r="AK16" s="848"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848" t="n"/>
      <c r="S17" s="848" t="n"/>
      <c r="T17" s="848" t="n"/>
      <c r="U17" s="848" t="n"/>
      <c r="V17" s="848" t="n"/>
      <c r="W17" s="848" t="n"/>
      <c r="X17" s="848" t="n"/>
      <c r="Y17" s="848" t="n"/>
      <c r="Z17" s="848" t="n"/>
      <c r="AA17" s="848" t="n"/>
      <c r="AB17" s="848" t="n"/>
      <c r="AC17" s="848" t="n"/>
      <c r="AD17" s="848" t="n"/>
      <c r="AE17" s="848" t="n"/>
      <c r="AF17" s="848" t="n"/>
      <c r="AG17" s="848" t="n"/>
      <c r="AH17" s="848" t="n"/>
      <c r="AI17" s="848" t="n"/>
      <c r="AJ17" s="848" t="n"/>
      <c r="AK17" s="848"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848" t="n"/>
      <c r="S18" s="848" t="n"/>
      <c r="T18" s="848" t="n"/>
      <c r="U18" s="848" t="n"/>
      <c r="V18" s="848" t="n"/>
      <c r="W18" s="848" t="n"/>
      <c r="X18" s="848" t="n"/>
      <c r="Y18" s="848" t="n"/>
      <c r="Z18" s="848" t="n"/>
      <c r="AA18" s="848" t="n"/>
      <c r="AB18" s="848" t="n"/>
      <c r="AC18" s="848" t="n"/>
      <c r="AD18" s="848" t="n"/>
      <c r="AE18" s="848" t="n"/>
      <c r="AF18" s="848" t="n"/>
      <c r="AG18" s="848" t="n"/>
      <c r="AH18" s="848" t="n"/>
      <c r="AI18" s="848" t="n"/>
      <c r="AJ18" s="848" t="n"/>
      <c r="AK18" s="848"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848" t="n"/>
      <c r="S19" s="848" t="n"/>
      <c r="T19" s="848" t="n"/>
      <c r="U19" s="848" t="n"/>
      <c r="V19" s="848" t="n"/>
      <c r="W19" s="848" t="n"/>
      <c r="X19" s="848" t="n"/>
      <c r="Y19" s="848" t="n"/>
      <c r="Z19" s="848" t="n"/>
      <c r="AA19" s="848" t="n"/>
      <c r="AB19" s="848" t="n"/>
      <c r="AC19" s="848" t="n"/>
      <c r="AD19" s="848" t="n"/>
      <c r="AE19" s="848" t="n"/>
      <c r="AF19" s="848"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848" t="n"/>
      <c r="S20" s="848" t="n"/>
      <c r="T20" s="848" t="n"/>
      <c r="U20" s="848" t="n"/>
      <c r="V20" s="848" t="n"/>
      <c r="W20" s="848" t="n"/>
      <c r="X20" s="848" t="n"/>
      <c r="Y20" s="848" t="n"/>
      <c r="Z20" s="848" t="n"/>
      <c r="AA20" s="848" t="n"/>
      <c r="AB20" s="848" t="n"/>
      <c r="AC20" s="848" t="n"/>
      <c r="AD20" s="848" t="n"/>
      <c r="AE20" s="848" t="n"/>
      <c r="AF20" s="848" t="n"/>
      <c r="AG20" s="848"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848" t="n"/>
      <c r="S21" s="848" t="n"/>
      <c r="T21" s="848" t="n"/>
      <c r="U21" s="848" t="n"/>
      <c r="V21" s="848" t="n"/>
      <c r="W21" s="848" t="n"/>
      <c r="X21" s="848" t="n"/>
      <c r="Y21" s="848" t="n"/>
      <c r="Z21" s="848" t="n"/>
      <c r="AA21" s="848" t="n"/>
      <c r="AB21" s="848" t="n"/>
      <c r="AC21" s="848" t="n"/>
      <c r="AD21" s="848" t="n"/>
      <c r="AE21" s="848" t="n"/>
      <c r="AF21" s="848" t="n"/>
      <c r="AG21" s="848"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848" t="n"/>
      <c r="L22" s="577" t="inlineStr">
        <is>
          <t>EY Works</t>
        </is>
      </c>
      <c r="M22" s="635" t="n"/>
      <c r="N22" s="636" t="n"/>
      <c r="O22" s="848" t="n"/>
      <c r="P22" s="10" t="n"/>
      <c r="Q22" s="17" t="n"/>
      <c r="R22" s="848" t="n"/>
      <c r="S22" s="848" t="n"/>
      <c r="T22" s="848" t="n"/>
      <c r="U22" s="848" t="n"/>
      <c r="V22" s="848" t="n"/>
      <c r="W22" s="848" t="n"/>
      <c r="X22" s="848" t="n"/>
      <c r="Y22" s="848" t="n"/>
      <c r="Z22" s="848" t="n"/>
      <c r="AA22" s="848" t="n"/>
      <c r="AB22" s="848" t="n"/>
      <c r="AC22" s="848" t="n"/>
      <c r="AD22" s="848" t="n"/>
      <c r="AE22" s="848" t="n"/>
      <c r="AF22" s="848" t="n"/>
      <c r="AG22" s="848"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854" t="inlineStr">
        <is>
          <t>供应商名称</t>
        </is>
      </c>
      <c r="C23" s="855"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856" t="n"/>
      <c r="S23" s="856" t="n"/>
      <c r="T23" s="856" t="n"/>
      <c r="U23" s="856" t="n"/>
      <c r="V23" s="856" t="n"/>
      <c r="W23" s="856" t="n"/>
      <c r="X23" s="856" t="n"/>
      <c r="Y23" s="856" t="n"/>
      <c r="Z23" s="856" t="n"/>
      <c r="AA23" s="856" t="n"/>
      <c r="AB23" s="856"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857"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856" t="n"/>
      <c r="S24" s="856" t="n"/>
      <c r="T24" s="856" t="n"/>
      <c r="U24" s="856" t="n"/>
      <c r="V24" s="856" t="n"/>
      <c r="W24" s="856" t="n"/>
      <c r="X24" s="856" t="n"/>
      <c r="Y24" s="856" t="n"/>
      <c r="Z24" s="856" t="n"/>
      <c r="AA24" s="856" t="n"/>
      <c r="AB24" s="856"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858" t="n"/>
      <c r="D25" s="375" t="n"/>
      <c r="E25" s="376" t="n"/>
      <c r="F25" s="859" t="n"/>
      <c r="G25" s="375" t="n"/>
      <c r="H25" s="375" t="n"/>
      <c r="I25" s="375" t="n"/>
      <c r="J25" s="376" t="n"/>
      <c r="K25" s="859" t="n"/>
      <c r="L25" s="374" t="n"/>
      <c r="M25" s="378" t="n"/>
      <c r="N25" s="379" t="n"/>
      <c r="O25" s="437" t="n"/>
      <c r="P25" s="10" t="n"/>
      <c r="Q25" s="17" t="n"/>
      <c r="R25" s="860" t="n"/>
      <c r="S25" s="860" t="n"/>
      <c r="T25" s="860" t="n"/>
      <c r="U25" s="860" t="n"/>
      <c r="V25" s="860" t="n"/>
      <c r="W25" s="860" t="n"/>
      <c r="X25" s="860" t="n"/>
      <c r="Y25" s="860" t="n"/>
      <c r="Z25" s="860" t="n"/>
      <c r="AA25" s="860" t="n"/>
      <c r="AB25" s="860"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858" t="n"/>
      <c r="D26" s="375" t="n"/>
      <c r="E26" s="376" t="n"/>
      <c r="F26" s="859" t="n"/>
      <c r="G26" s="375" t="n"/>
      <c r="H26" s="375" t="n"/>
      <c r="I26" s="375" t="n"/>
      <c r="J26" s="376" t="n"/>
      <c r="K26" s="859" t="n"/>
      <c r="L26" s="374" t="n"/>
      <c r="M26" s="378" t="n"/>
      <c r="N26" s="379" t="n"/>
      <c r="O26" s="438" t="n"/>
      <c r="P26" s="10" t="n"/>
      <c r="Q26" s="17" t="n"/>
      <c r="R26" s="860" t="n"/>
      <c r="S26" s="860" t="n"/>
      <c r="T26" s="860" t="n"/>
      <c r="U26" s="860" t="n"/>
      <c r="V26" s="860" t="n"/>
      <c r="W26" s="860" t="n"/>
      <c r="X26" s="860" t="n"/>
      <c r="Y26" s="860" t="n"/>
      <c r="Z26" s="860" t="n"/>
      <c r="AA26" s="860" t="n"/>
      <c r="AB26" s="860"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858" t="n"/>
      <c r="D27" s="375" t="n"/>
      <c r="E27" s="376" t="n"/>
      <c r="F27" s="859" t="n"/>
      <c r="G27" s="375" t="n"/>
      <c r="H27" s="375" t="n"/>
      <c r="I27" s="375" t="n"/>
      <c r="J27" s="376" t="n"/>
      <c r="K27" s="859" t="n"/>
      <c r="L27" s="374" t="n"/>
      <c r="M27" s="378" t="n"/>
      <c r="N27" s="379" t="n"/>
      <c r="O27" s="438" t="n"/>
      <c r="P27" s="10" t="n"/>
      <c r="Q27" s="17" t="n"/>
      <c r="R27" s="860" t="n"/>
      <c r="S27" s="860" t="n"/>
      <c r="T27" s="860" t="n"/>
      <c r="U27" s="860" t="n"/>
      <c r="V27" s="860" t="n"/>
      <c r="W27" s="860" t="n"/>
      <c r="X27" s="860" t="n"/>
      <c r="Y27" s="860" t="n"/>
      <c r="Z27" s="860" t="n"/>
      <c r="AA27" s="860" t="n"/>
      <c r="AB27" s="860"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858" t="n"/>
      <c r="D28" s="375" t="n"/>
      <c r="E28" s="376" t="n"/>
      <c r="F28" s="859" t="n"/>
      <c r="G28" s="375" t="n"/>
      <c r="H28" s="375" t="n"/>
      <c r="I28" s="375" t="n"/>
      <c r="J28" s="376" t="n"/>
      <c r="K28" s="859" t="n"/>
      <c r="L28" s="374" t="n"/>
      <c r="M28" s="378" t="n"/>
      <c r="N28" s="379" t="n"/>
      <c r="O28" s="438" t="n"/>
      <c r="P28" s="10" t="n"/>
      <c r="Q28" s="17" t="n"/>
      <c r="R28" s="860" t="n"/>
      <c r="S28" s="860" t="n"/>
      <c r="T28" s="860" t="n"/>
      <c r="U28" s="860" t="n"/>
      <c r="V28" s="860" t="n"/>
      <c r="W28" s="860" t="n"/>
      <c r="X28" s="860" t="n"/>
      <c r="Y28" s="860" t="n"/>
      <c r="Z28" s="860" t="n"/>
      <c r="AA28" s="860" t="n"/>
      <c r="AB28" s="860" t="n"/>
      <c r="AC28" s="860" t="n"/>
      <c r="AD28" s="860" t="n"/>
      <c r="AE28" s="860" t="n"/>
      <c r="AF28" s="860" t="n"/>
      <c r="AG28" s="860"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858" t="n"/>
      <c r="D29" s="375" t="n"/>
      <c r="E29" s="376" t="n"/>
      <c r="F29" s="859" t="n"/>
      <c r="G29" s="375" t="n"/>
      <c r="H29" s="375" t="n"/>
      <c r="I29" s="375" t="n"/>
      <c r="J29" s="376" t="n"/>
      <c r="K29" s="859" t="n"/>
      <c r="L29" s="374" t="n"/>
      <c r="M29" s="378" t="n"/>
      <c r="N29" s="379" t="n"/>
      <c r="O29" s="438" t="n"/>
      <c r="P29" s="10" t="n"/>
      <c r="Q29" s="17" t="n"/>
      <c r="R29" s="860" t="n"/>
      <c r="S29" s="860" t="n"/>
      <c r="T29" s="860" t="n"/>
      <c r="U29" s="860" t="n"/>
      <c r="V29" s="860" t="n"/>
      <c r="W29" s="860" t="n"/>
      <c r="X29" s="860" t="n"/>
      <c r="Y29" s="860" t="n"/>
      <c r="Z29" s="860" t="n"/>
      <c r="AA29" s="860" t="n"/>
      <c r="AB29" s="860" t="n"/>
      <c r="AC29" s="860" t="n"/>
      <c r="AD29" s="860" t="n"/>
      <c r="AE29" s="860" t="n"/>
      <c r="AF29" s="860" t="n"/>
      <c r="AG29" s="860"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858" t="n"/>
      <c r="D30" s="375" t="n"/>
      <c r="E30" s="376" t="n"/>
      <c r="F30" s="859" t="n"/>
      <c r="G30" s="375" t="n"/>
      <c r="H30" s="375" t="n"/>
      <c r="I30" s="375" t="n"/>
      <c r="J30" s="376" t="n"/>
      <c r="K30" s="859" t="n"/>
      <c r="L30" s="374" t="n"/>
      <c r="M30" s="378" t="n"/>
      <c r="N30" s="379" t="n"/>
      <c r="O30" s="438" t="n"/>
      <c r="P30" s="10" t="n"/>
      <c r="Q30" s="17" t="n"/>
      <c r="R30" s="860" t="n"/>
      <c r="S30" s="860" t="n"/>
      <c r="T30" s="860" t="n"/>
      <c r="U30" s="860" t="n"/>
      <c r="V30" s="860" t="n"/>
      <c r="W30" s="860" t="n"/>
      <c r="X30" s="860" t="n"/>
      <c r="Y30" s="860" t="n"/>
      <c r="Z30" s="860" t="n"/>
      <c r="AA30" s="860" t="n"/>
      <c r="AB30" s="860" t="n"/>
      <c r="AC30" s="860" t="n"/>
      <c r="AD30" s="860" t="n"/>
      <c r="AE30" s="860" t="n"/>
      <c r="AF30" s="860" t="n"/>
      <c r="AG30" s="860"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861" t="n"/>
      <c r="D31" s="382" t="n"/>
      <c r="E31" s="376" t="n"/>
      <c r="F31" s="859" t="n"/>
      <c r="G31" s="375" t="n"/>
      <c r="H31" s="375" t="n"/>
      <c r="I31" s="375" t="n"/>
      <c r="J31" s="376" t="n"/>
      <c r="K31" s="859" t="n"/>
      <c r="L31" s="381" t="n"/>
      <c r="M31" s="383" t="n"/>
      <c r="N31" s="384" t="n"/>
      <c r="O31" s="438" t="n"/>
      <c r="P31" s="10" t="n"/>
      <c r="Q31" s="17" t="n"/>
      <c r="R31" s="860" t="n"/>
      <c r="S31" s="860" t="n"/>
      <c r="T31" s="860" t="n"/>
      <c r="U31" s="860" t="n"/>
      <c r="V31" s="860" t="n"/>
      <c r="W31" s="860" t="n"/>
      <c r="X31" s="860" t="n"/>
      <c r="Y31" s="860" t="n"/>
      <c r="Z31" s="860" t="n"/>
      <c r="AA31" s="860" t="n"/>
      <c r="AB31" s="860" t="n"/>
      <c r="AC31" s="860" t="n"/>
      <c r="AD31" s="860" t="n"/>
      <c r="AE31" s="860" t="n"/>
      <c r="AF31" s="860" t="n"/>
      <c r="AG31" s="860"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848" t="n"/>
      <c r="S32" s="848" t="n"/>
      <c r="T32" s="848" t="n"/>
      <c r="U32" s="848" t="n"/>
      <c r="V32" s="848" t="n"/>
      <c r="W32" s="848" t="n"/>
      <c r="X32" s="848" t="n"/>
      <c r="Y32" s="848" t="n"/>
      <c r="Z32" s="848" t="n"/>
      <c r="AA32" s="848" t="n"/>
      <c r="AB32" s="848" t="n"/>
      <c r="AC32" s="848" t="n"/>
      <c r="AD32" s="848" t="n"/>
      <c r="AE32" s="848" t="n"/>
      <c r="AF32" s="848" t="n"/>
      <c r="AG32" s="848" t="n"/>
      <c r="AH32" s="848" t="n"/>
      <c r="AI32" s="848" t="n"/>
      <c r="AJ32" s="848" t="n"/>
      <c r="AK32" s="848"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848" t="n"/>
      <c r="S33" s="848" t="n"/>
      <c r="T33" s="848" t="n"/>
      <c r="U33" s="848" t="n"/>
      <c r="V33" s="848" t="n"/>
      <c r="W33" s="848" t="n"/>
      <c r="X33" s="848" t="n"/>
      <c r="Y33" s="848" t="n"/>
      <c r="Z33" s="848" t="n"/>
      <c r="AA33" s="848" t="n"/>
      <c r="AB33" s="848" t="n"/>
      <c r="AC33" s="848" t="n"/>
      <c r="AD33" s="848" t="n"/>
      <c r="AE33" s="848" t="n"/>
      <c r="AF33" s="848" t="n"/>
      <c r="AG33" s="848" t="n"/>
      <c r="AH33" s="848" t="n"/>
      <c r="AI33" s="848" t="n"/>
      <c r="AJ33" s="848" t="n"/>
      <c r="AK33" s="848"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848" t="n"/>
      <c r="S34" s="848" t="n"/>
      <c r="T34" s="848" t="n"/>
      <c r="U34" s="848" t="n"/>
      <c r="V34" s="848" t="n"/>
      <c r="W34" s="848" t="n"/>
      <c r="X34" s="848" t="n"/>
      <c r="Y34" s="848" t="n"/>
      <c r="Z34" s="848" t="n"/>
      <c r="AA34" s="848" t="n"/>
      <c r="AB34" s="848" t="n"/>
      <c r="AC34" s="848" t="n"/>
      <c r="AD34" s="848" t="n"/>
      <c r="AE34" s="848" t="n"/>
      <c r="AF34" s="848" t="n"/>
      <c r="AG34" s="848" t="n"/>
      <c r="AH34" s="848" t="n"/>
      <c r="AI34" s="848" t="n"/>
      <c r="AJ34" s="848" t="n"/>
      <c r="AK34" s="848"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848" t="n"/>
      <c r="S35" s="848" t="n"/>
      <c r="T35" s="848" t="n"/>
      <c r="U35" s="848" t="n"/>
      <c r="V35" s="848" t="n"/>
      <c r="W35" s="848" t="n"/>
      <c r="X35" s="848" t="n"/>
      <c r="Y35" s="848" t="n"/>
      <c r="Z35" s="848" t="n"/>
      <c r="AA35" s="848" t="n"/>
      <c r="AB35" s="848" t="n"/>
      <c r="AC35" s="848" t="n"/>
      <c r="AD35" s="848" t="n"/>
      <c r="AE35" s="848" t="n"/>
      <c r="AF35" s="848" t="n"/>
      <c r="AG35" s="848" t="n"/>
      <c r="AH35" s="848" t="n"/>
      <c r="AI35" s="848" t="n"/>
      <c r="AJ35" s="848" t="n"/>
      <c r="AK35" s="848"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862" t="n"/>
      <c r="D36" s="862" t="n"/>
      <c r="E36" s="862" t="n"/>
      <c r="F36" s="862"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863" t="n"/>
      <c r="D41" s="863" t="n"/>
      <c r="E41" s="863" t="n"/>
      <c r="F41" s="863"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864" t="inlineStr">
        <is>
          <t>支持性证据信息
（确认控制权转移/接受服务的交易凭据，如提单、运输单据（GDN)、第三方交货证明等）</t>
        </is>
      </c>
      <c r="H42" s="648" t="n"/>
      <c r="I42" s="648" t="n"/>
      <c r="J42" s="648" t="n"/>
      <c r="K42" s="865" t="n"/>
      <c r="L42" s="866" t="n">
        <v>1</v>
      </c>
      <c r="M42" s="867" t="n">
        <v>2</v>
      </c>
      <c r="N42" s="867" t="n">
        <v>3</v>
      </c>
      <c r="O42" s="867"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868" t="n"/>
      <c r="G44" s="393" t="n"/>
      <c r="H44" s="393" t="n"/>
      <c r="I44" s="393" t="n"/>
      <c r="J44" s="394" t="n"/>
      <c r="K44" s="868"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868" t="n"/>
      <c r="G45" s="393" t="n"/>
      <c r="H45" s="393" t="n"/>
      <c r="I45" s="393" t="n"/>
      <c r="J45" s="394" t="n"/>
      <c r="K45" s="868"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868" t="n"/>
      <c r="G46" s="393" t="n"/>
      <c r="H46" s="393" t="n"/>
      <c r="I46" s="393" t="n"/>
      <c r="J46" s="394" t="n"/>
      <c r="K46" s="868"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868" t="n"/>
      <c r="G47" s="393" t="n"/>
      <c r="H47" s="393" t="n"/>
      <c r="I47" s="393" t="n"/>
      <c r="J47" s="394" t="n"/>
      <c r="K47" s="868"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869" t="n"/>
      <c r="G48" s="397" t="n"/>
      <c r="H48" s="397" t="n"/>
      <c r="I48" s="397" t="n"/>
      <c r="J48" s="398" t="n"/>
      <c r="K48" s="870"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871"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872" t="n"/>
      <c r="D6" s="872" t="n"/>
      <c r="E6" s="872" t="n"/>
      <c r="F6" s="872" t="n"/>
      <c r="G6" s="872" t="n"/>
      <c r="H6" s="872"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873"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874" t="n"/>
      <c r="C17" s="874" t="n"/>
      <c r="D17" s="872" t="n"/>
      <c r="E17" s="872" t="n"/>
      <c r="F17" s="872"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875" t="inlineStr">
        <is>
          <t xml:space="preserve">根据支持性证据（例如，提单、运输单据（GDN)、第三方交货证明等）确定所选交易已记录在适当会计期间，包含所有关联的总账账户（如，资产负债表和利润表账户）中。 </t>
        </is>
      </c>
      <c r="C21" s="876" t="n"/>
      <c r="D21" s="876" t="n"/>
      <c r="E21" s="876" t="n"/>
      <c r="F21" s="877"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878"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879" t="n"/>
      <c r="D23" s="879" t="n"/>
      <c r="E23" s="879" t="n"/>
      <c r="F23" s="880" t="inlineStr">
        <is>
          <t>支持性证据信息
（确认控制权转移/接受服务的交易凭据，如提单、运输单据（GDN)、第三方交货证明等）</t>
        </is>
      </c>
      <c r="G23" s="879" t="n"/>
      <c r="H23" s="881" t="n"/>
      <c r="I23" s="882" t="inlineStr">
        <is>
          <t>金额涉及：
（用“√”标记）</t>
        </is>
      </c>
      <c r="J23" s="881" t="n"/>
      <c r="K23" s="178" t="inlineStr">
        <is>
          <t>EY Works</t>
        </is>
      </c>
      <c r="L23" s="883"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884"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885" t="n"/>
      <c r="D25" s="876" t="n"/>
      <c r="E25" s="876" t="n"/>
      <c r="F25" s="876" t="n"/>
      <c r="G25" s="876" t="n"/>
      <c r="H25" s="876" t="n"/>
      <c r="I25" s="876" t="n"/>
      <c r="J25" s="876" t="n"/>
      <c r="K25" s="876" t="n"/>
      <c r="L25" s="886"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887"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887"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887"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887"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887"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887"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887"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887"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887"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887"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885" t="n"/>
      <c r="D36" s="876" t="n"/>
      <c r="E36" s="876" t="n"/>
      <c r="F36" s="876" t="n"/>
      <c r="G36" s="876" t="n"/>
      <c r="H36" s="876" t="n"/>
      <c r="I36" s="876" t="n"/>
      <c r="J36" s="876" t="n"/>
      <c r="K36" s="876" t="n"/>
      <c r="L36" s="886"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887"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887"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887"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887"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887"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887"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887"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887"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887"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887"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888"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888"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889"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888"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2026-05-27T06:18:11Z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
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20" yWindow="-120" windowWidth="29040" windowHeight="15720" tabRatio="824" firstSheet="0" activeTab="0" autoFilterDateGrouping="1"/>
  </bookViews>
  <sheets>
    <sheet name="汇总" sheetId="1" state="visible" r:id="rId1"/>
    <sheet name="N.00 Lead sheet" sheetId="2" state="visible" r:id="rId2"/>
    <sheet name="N.01 明细账与总账核对" sheetId="3" state="visible" r:id="rId3"/>
    <sheet name="N.01.01明细账" sheetId="4" state="visible" r:id="rId4"/>
    <sheet name="N.02 异常项复核" sheetId="5" state="visible" r:id="rId5"/>
    <sheet name="N.03 截止测试" sheetId="6" state="visible" r:id="rId6"/>
    <sheet name="N.04 寻找未入账负债" sheetId="7" state="visible" r:id="rId7"/>
    <sheet name="SkywindSettingSheet" sheetId="8" state="veryHidden" r:id="rId8"/>
    <sheet name="DS_INTERNAL_SETTINGS_STORAGE" sheetId="9" state="veryHidden" r:id="rId9"/>
    <sheet name="DS_INTERNAL_DOCGROUP_STORAGE" sheetId="10" state="veryHidden" r:id="rId10"/>
    <sheet name="DS_INTERNAL_DOCUMENT_STORAGE" sheetId="11" state="veryHidden" r:id="rId11"/>
    <sheet name="DS_INTERNAL_SNIP_STORAGE" sheetId="12" state="veryHidden" r:id="rId12"/>
  </sheets>
  <definedNames>
    <definedName name="_____dod1" hidden="1">{#N/A,#N/A,TRUE,"CPRD";#N/A,#N/A,TRUE,"BCCPDR";#N/A,#N/A,TRUE,"EWRD";#N/A,#N/A,TRUE,"5100";#N/A,#N/A,TRUE,"5110"}</definedName>
    <definedName name="____dod1" hidden="1">{#N/A,#N/A,TRUE,"CPRD";#N/A,#N/A,TRUE,"BCCPDR";#N/A,#N/A,TRUE,"EWRD";#N/A,#N/A,TRUE,"5100";#N/A,#N/A,TRUE,"5110"}</definedName>
    <definedName name="___dod1" hidden="1">{#N/A,#N/A,TRUE,"CPRD";#N/A,#N/A,TRUE,"BCCPDR";#N/A,#N/A,TRUE,"EWRD";#N/A,#N/A,TRUE,"5100";#N/A,#N/A,TRUE,"5110"}</definedName>
    <definedName name="___dog1" hidden="1">{#N/A,#N/A,TRUE,"CPRD";#N/A,#N/A,TRUE,"BCCPDR";#N/A,#N/A,TRUE,"EWRD";#N/A,#N/A,TRUE,"5100";#N/A,#N/A,TRUE,"5110"}</definedName>
    <definedName name="__123Graph_A" hidden="1">#REF!</definedName>
    <definedName name="__123Graph_AGraph1" hidden="1">#REF!</definedName>
    <definedName name="__123Graph_B" hidden="1">#REF!</definedName>
    <definedName name="__123Graph_BGraph1" hidden="1">#REF!</definedName>
    <definedName name="__123Graph_C" hidden="1">#REF!</definedName>
    <definedName name="__123Graph_CGraph1" hidden="1">#REF!</definedName>
    <definedName name="__123Graph_D" hidden="1">#REF!</definedName>
    <definedName name="__123Graph_DGraph1" hidden="1">#REF!</definedName>
    <definedName name="__123Graph_E" hidden="1">#REF!</definedName>
    <definedName name="__123Graph_EGraph1" hidden="1">#REF!</definedName>
    <definedName name="__123Graph_F" hidden="1">#REF!</definedName>
    <definedName name="__123Graph_X" hidden="1">#REF!</definedName>
    <definedName name="__123Graph_XGraph1" hidden="1">#REF!</definedName>
    <definedName name="__dod1" hidden="1">{#N/A,#N/A,TRUE,"CPRD";#N/A,#N/A,TRUE,"BCCPDR";#N/A,#N/A,TRUE,"EWRD";#N/A,#N/A,TRUE,"5100";#N/A,#N/A,TRUE,"5110"}</definedName>
    <definedName name="__dog1" hidden="1">{#N/A,#N/A,TRUE,"CPRD";#N/A,#N/A,TRUE,"BCCPDR";#N/A,#N/A,TRUE,"EWRD";#N/A,#N/A,TRUE,"5100";#N/A,#N/A,TRUE,"5110"}</definedName>
    <definedName name="__FDS_HYPERLINK_TOGGLE_STATE__" hidden="1">"ON"</definedName>
    <definedName name="__IntlFixup" hidden="1">TRUE</definedName>
    <definedName name="_1__123Graph_ACHART_3" hidden="1">#REF!</definedName>
    <definedName name="_15wrn.²Ä1­Ó¤ë1_Ü20¤H." hidden="1">{#N/A,#N/A,FALSE,"²Ä1­Ó¤ë"}</definedName>
    <definedName name="_16wrn.²Ä1­Ó¤ë1_Ü20¤H." hidden="1">{#N/A,#N/A,FALSE,"²Ä1­Ó¤ë"}</definedName>
    <definedName name="_2__123Graph_BCHART_2" hidden="1">#REF!</definedName>
    <definedName name="_3__123Graph_BCHART_3" hidden="1">#REF!</definedName>
    <definedName name="_4__123Graph_CCHART_3" hidden="1">#REF!</definedName>
    <definedName name="_5__123Graph_DCHART_2" hidden="1">#REF!</definedName>
    <definedName name="_57__123Graph_ACHART_1" hidden="1">#REF!</definedName>
    <definedName name="_6__123Graph_DCHART_3" hidden="1">#REF!</definedName>
    <definedName name="_60__123Graph_BCHART_1" hidden="1">#REF!</definedName>
    <definedName name="_63__123Graph_CCHART_1" hidden="1">#REF!</definedName>
    <definedName name="_66__123Graph_DCHART_1" hidden="1">#REF!</definedName>
    <definedName name="_69__123Graph_XCHART_1" hidden="1">#REF!</definedName>
    <definedName name="_bdm.5010A66FDA1D4A5C89B061EBD267E018.edm" hidden="1">#REF!</definedName>
    <definedName name="_bdm.810D9907712147CCB68C743A02D482F7.edm" hidden="1">#REF!</definedName>
    <definedName name="_bdm.BC73C1315733463ABA8F35CF36E670D2.edm" hidden="1">#REF!</definedName>
    <definedName name="_bdm.E7D4F600AEB946A6B094878EBFE48A39.edm" hidden="1">#REF!</definedName>
    <definedName name="_bdm.F4DFCF610F804F0EBC635163893E69C5.edm" hidden="1">#REF!</definedName>
    <definedName name="_dod1" hidden="1">{#N/A,#N/A,TRUE,"CPRD";#N/A,#N/A,TRUE,"BCCPDR";#N/A,#N/A,TRUE,"EWRD";#N/A,#N/A,TRUE,"5100";#N/A,#N/A,TRUE,"5110"}</definedName>
    <definedName name="_dog1" hidden="1">{#N/A,#N/A,TRUE,"CPRD";#N/A,#N/A,TRUE,"BCCPDR";#N/A,#N/A,TRUE,"EWRD";#N/A,#N/A,TRUE,"5100";#N/A,#N/A,TRUE,"5110"}</definedName>
    <definedName name="_Fill" hidden="1">#REF!</definedName>
    <definedName name="_Key1" hidden="1">#REF!</definedName>
    <definedName name="_Key2" hidden="1">#REF!</definedName>
    <definedName name="_Key3" hidden="1">#REF!</definedName>
    <definedName name="_O1" hidden="1">{#N/A,#N/A,FALSE,"970301";#N/A,#N/A,FALSE,"970302";#N/A,#N/A,FALSE,"970303";#N/A,#N/A,FALSE,"970304";#N/A,#N/A,FALSE,"COM1";#N/A,#N/A,FALSE,"COM2"}</definedName>
    <definedName name="_Order1" hidden="1">255</definedName>
    <definedName name="_Order2" hidden="1">255</definedName>
    <definedName name="_Regression_Int" hidden="1">1</definedName>
    <definedName name="_Sort" hidden="1">#REF!</definedName>
    <definedName name="_Table1_In1" hidden="1">#REF!</definedName>
    <definedName name="_Table1_Out" hidden="1">#REF!</definedName>
    <definedName name="_Table2_In1" hidden="1">#REF!</definedName>
    <definedName name="_Table2_In2" hidden="1">#REF!</definedName>
    <definedName name="AAA_DOCTOPS" hidden="1">"AAA_SET"</definedName>
    <definedName name="AAA_duser" hidden="1">"OFF"</definedName>
    <definedName name="AAB_Addin5" hidden="1">"AAB_Description for addin 5,Description for addin 5,Description for addin 5,Description for addin 5,Description for addin 5,Description for addin 5"</definedName>
    <definedName name="aavbrdf" hidden="1">{#N/A,#N/A,FALSE,"OffAdvance";#N/A,#N/A,FALSE,"OffExpRprt";#N/A,#N/A,FALSE,"Travelling";#N/A,#N/A,FALSE,"Entertmnt";#N/A,#N/A,FALSE,"Promotion"}</definedName>
    <definedName name="aaz" hidden="1">{#N/A,#N/A,FALSE,"资产负债表";#N/A,#N/A,FALSE,"资产负债表"}</definedName>
    <definedName name="AccessDatabase" hidden="1">"F:\Track-Pur\Sachs-2000.mdb"</definedName>
    <definedName name="ada" hidden="1">{#N/A,#N/A,FALSE,"资产负债表";#N/A,#N/A,FALSE,"资产负债表"}</definedName>
    <definedName name="adaf" hidden="1">{#N/A,#N/A,FALSE,"资产负债表";#N/A,#N/A,FALSE,"资产负债表"}</definedName>
    <definedName name="adas" hidden="1">{"M1Print",#N/A,TRUE,"M1";"M2Print",#N/A,TRUE,"M2";"M1sPrint",#N/A,TRUE,"M1s";"M2aPrint",#N/A,TRUE,"M2a";"M4Print",#N/A,TRUE,"M4";"M5Print",#N/A,TRUE,"M5";"M6Print",#N/A,TRUE,"M6";"M6_1Print",#N/A,TRUE,"M6_1";"M6_2Print",#N/A,TRUE,"M6_2";"M7_1Print",#N/A,TRUE,"M7_1";"M7_2Print",#N/A,TRUE,"M7_2"}</definedName>
    <definedName name="adf" hidden="1">{"toptrial",#N/A,TRUE,"toptrial";"adjustment",#N/A,TRUE,"toptrial";"voucher",#N/A,TRUE,"toptrial"}</definedName>
    <definedName name="afhai" hidden="1">{#N/A,#N/A,FALSE,"资产负债表";#N/A,#N/A,FALSE,"资产负债表"}</definedName>
    <definedName name="afsdavad" hidden="1">#REF!</definedName>
    <definedName name="AGEDDATABASE" hidden="1">{#N/A,#N/A,FALSE,"970301";#N/A,#N/A,FALSE,"970302";#N/A,#N/A,FALSE,"970303";#N/A,#N/A,FALSE,"970304";#N/A,#N/A,FALSE,"COM1";#N/A,#N/A,FALSE,"COM2"}</definedName>
    <definedName name="aidhaif" hidden="1">{#N/A,#N/A,FALSE,"资产负债表";#N/A,#N/A,FALSE,"资产负债表"}</definedName>
    <definedName name="anakf" hidden="1">{#N/A,#N/A,FALSE,"资产负债表";#N/A,#N/A,FALSE,"资产负债表"}</definedName>
    <definedName name="AS2DocOpenMode" hidden="1">"AS2DocumentEdit"</definedName>
    <definedName name="AS2HasNoAutoHeaderFooter" hidden="1">" "</definedName>
    <definedName name="AS2NamedRange" hidden="1">7</definedName>
    <definedName name="AS2ReportLS" hidden="1">1</definedName>
    <definedName name="AS2SyncStepLS" hidden="1">0</definedName>
    <definedName name="AS2TickmarkLS" hidden="1">#REF!</definedName>
    <definedName name="AS2VersionLS" hidden="1">300</definedName>
    <definedName name="asdas" hidden="1">{#N/A,#N/A,FALSE,"Marketing";#N/A,#N/A,FALSE,"Selling";#N/A,#N/A,FALSE,"Promotional";#N/A,#N/A,FALSE,"Advertising"}</definedName>
    <definedName name="asdg" hidden="1">{#N/A,#N/A,FALSE,"资产负债表";#N/A,#N/A,FALSE,"资产负债表"}</definedName>
    <definedName name="ass" hidden="1">{#N/A,#N/A,TRUE,"CPRD";#N/A,#N/A,TRUE,"BCCPDR";#N/A,#N/A,TRUE,"EWRD";#N/A,#N/A,TRUE,"5100";#N/A,#N/A,TRUE,"5110"}</definedName>
    <definedName name="BG_Del" hidden="1">15</definedName>
    <definedName name="BG_Ins" hidden="1">4</definedName>
    <definedName name="BG_Mod" hidden="1">6</definedName>
    <definedName name="BLPH6" hidden="1">#REF!</definedName>
    <definedName name="BNE_MESSAGES_HIDDEN" hidden="1">#REF!</definedName>
    <definedName name="book" hidden="1">{#N/A,#N/A,FALSE,"OffAdvance";#N/A,#N/A,FALSE,"OffExpRprt";#N/A,#N/A,FALSE,"Entertmnt";#N/A,#N/A,FALSE,"Promotion";#N/A,#N/A,FALSE,"Travelling"}</definedName>
    <definedName name="book.2" hidden="1">{#N/A,#N/A,FALSE,"OffAdvance";#N/A,#N/A,FALSE,"OffExpRprt";#N/A,#N/A,FALSE,"Travelling";#N/A,#N/A,FALSE,"Entertmnt";#N/A,#N/A,FALSE,"Promotion"}</definedName>
    <definedName name="BYD" hidden="1">{#N/A,#N/A,FALSE,"Earn'gs &amp; Val'n";#N/A,#N/A,FALSE,"Interim"}</definedName>
    <definedName name="cashflow20030930" hidden="1">{"M1Print",#N/A,TRUE,"M1";"M2Print",#N/A,TRUE,"M2";"M1sPrint",#N/A,TRUE,"M1s";"M2aPrint",#N/A,TRUE,"M2a";"M4Print",#N/A,TRUE,"M4";"M5Print",#N/A,TRUE,"M5";"M6Print",#N/A,TRUE,"M6";"M6_1Print",#N/A,TRUE,"M6_1";"M6_2Print",#N/A,TRUE,"M6_2";"M7_1Print",#N/A,TRUE,"M7_1";"M7_2Print",#N/A,TRUE,"M7_2"}</definedName>
    <definedName name="cbx" hidden="1">{#N/A,#N/A,FALSE,"M1s Board";#N/A,#N/A,FALSE,"M3 Board";#N/A,#N/A,FALSE,"M6 Board";#N/A,#N/A,FALSE,"M7";#N/A,#N/A,FALSE,"M7B";#N/A,#N/A,FALSE,"M8";#N/A,#N/A,FALSE,"M8A Board";#N/A,#N/A,FALSE,"AF1 Board"}</definedName>
    <definedName name="cccvb" hidden="1">{#N/A,#N/A,FALSE,"资产负债表";#N/A,#N/A,FALSE,"资产负债表"}</definedName>
    <definedName name="CFVVHH" hidden="1">{#N/A,#N/A,FALSE,"资产负债表";#N/A,#N/A,FALSE,"资产负债表"}</definedName>
    <definedName name="cfyik" hidden="1">{#N/A,#N/A,FALSE,"资产负债表";#N/A,#N/A,FALSE,"资产负债表"}</definedName>
    <definedName name="cgul" hidden="1">{#N/A,#N/A,FALSE,"资产负债表";#N/A,#N/A,FALSE,"资产负债表"}</definedName>
    <definedName name="cguocnbnl" hidden="1">{#N/A,#N/A,FALSE,"资产负债表";#N/A,#N/A,FALSE,"资产负债表"}</definedName>
    <definedName name="Coll" hidden="1">{#N/A,#N/A,FALSE,"970301";#N/A,#N/A,FALSE,"970302";#N/A,#N/A,FALSE,"970303";#N/A,#N/A,FALSE,"970304";#N/A,#N/A,FALSE,"COM1";#N/A,#N/A,FALSE,"COM2"}</definedName>
    <definedName name="DBS" hidden="1">#REF!</definedName>
    <definedName name="dcca" hidden="1">{#N/A,#N/A,FALSE,"资产负债表";#N/A,#N/A,FALSE,"资产负债表"}</definedName>
    <definedName name="dfgdafsg" hidden="1">{#N/A,#N/A,FALSE,"OffAdvance";#N/A,#N/A,FALSE,"OffExpRprt";#N/A,#N/A,FALSE,"Travelling";#N/A,#N/A,FALSE,"Entertmnt";#N/A,#N/A,FALSE,"Promotion"}</definedName>
    <definedName name="dfv" hidden="1">{"M1Print",#N/A,TRUE,"M1";"M2Print",#N/A,TRUE,"M2";"M1sPrint",#N/A,TRUE,"M1s";"M2aPrint",#N/A,TRUE,"M2a";"M4Print",#N/A,TRUE,"M4";"M5Print",#N/A,TRUE,"M5";"M6Print",#N/A,TRUE,"M6";"M6_1Print",#N/A,TRUE,"M6_1";"M6_2Print",#N/A,TRUE,"M6_2";"M7_1Print",#N/A,TRUE,"M7_1";"M7_2Print",#N/A,TRUE,"M7_2"}</definedName>
    <definedName name="dh" hidden="1">{"M4Print",#N/A,FALSE,"M4"}</definedName>
    <definedName name="display_area_2" hidden="1">#REF!</definedName>
    <definedName name="dlf" hidden="1">{"M4Print",#N/A,FALSE,"M4"}</definedName>
    <definedName name="DME_Dirty" hidden="1">"False"</definedName>
    <definedName name="DME_ODMALinks1" hidden="1">"::ODMA\DME-MSE\ECU1-46342=C:\DOCUME~1\ec01309\LOCALS~1\Temp\Dme\DME46342.xls"</definedName>
    <definedName name="DME_ODMALinksCount" hidden="1">"1"</definedName>
    <definedName name="doddd" hidden="1">{#N/A,#N/A,TRUE,"CPRD";#N/A,#N/A,TRUE,"BCCPDR";#N/A,#N/A,TRUE,"EWRD";#N/A,#N/A,TRUE,"5100";#N/A,#N/A,TRUE,"5110"}</definedName>
    <definedName name="dog" hidden="1">{#N/A,#N/A,TRUE,"CPRD";#N/A,#N/A,TRUE,"BCCPDR";#N/A,#N/A,TRUE,"EWRD";#N/A,#N/A,TRUE,"5100";#N/A,#N/A,TRUE,"5110"}</definedName>
    <definedName name="DPL" hidden="1">#REF!</definedName>
    <definedName name="dsd是" hidden="1">#REF!</definedName>
    <definedName name="dvbm" hidden="1">{#N/A,#N/A,FALSE,"资产负债表";#N/A,#N/A,FALSE,"资产负债表"}</definedName>
    <definedName name="ehdg" hidden="1">{#N/A,#N/A,FALSE,"Jan"}</definedName>
    <definedName name="erf" hidden="1">{#N/A,#N/A,FALSE,"970301";#N/A,#N/A,FALSE,"970302";#N/A,#N/A,FALSE,"970303";#N/A,#N/A,FALSE,"970304";#N/A,#N/A,FALSE,"COM1";#N/A,#N/A,FALSE,"COM2"}</definedName>
    <definedName name="eryj" hidden="1">{#N/A,#N/A,FALSE,"资产负债表";#N/A,#N/A,FALSE,"资产负债表"}</definedName>
    <definedName name="EV__LASTREFTIME__" hidden="1">39274.4724884259</definedName>
    <definedName name="ExpenseUpload" hidden="1">{#N/A,#N/A,TRUE,"CPRD";#N/A,#N/A,TRUE,"BCCPDR";#N/A,#N/A,TRUE,"EWRD";#N/A,#N/A,TRUE,"5100";#N/A,#N/A,TRUE,"5110"}</definedName>
    <definedName name="f" hidden="1">#REF!</definedName>
    <definedName name="faif" hidden="1">{#N/A,#N/A,FALSE,"资产负债表";#N/A,#N/A,FALSE,"资产负债表"}</definedName>
    <definedName name="FCode" hidden="1">#REF!</definedName>
    <definedName name="fd" hidden="1">{"M1sPrint",#N/A,FALSE,"M1s"}</definedName>
    <definedName name="feedback" hidden="1">{#N/A,#N/A,TRUE,"CPRD";#N/A,#N/A,TRUE,"BCCPDR";#N/A,#N/A,TRUE,"EWRD";#N/A,#N/A,TRUE,"5100";#N/A,#N/A,TRUE,"5110"}</definedName>
    <definedName name="fgdg" hidden="1">{"M1Print",#N/A,TRUE,"M1";"M2Print",#N/A,TRUE,"M2";"M1sPrint",#N/A,TRUE,"M1s";"M2aPrint",#N/A,TRUE,"M2a";"M4Print",#N/A,TRUE,"M4";"M5Print",#N/A,TRUE,"M5";"M6Print",#N/A,TRUE,"M6";"M6_1Print",#N/A,TRUE,"M6_1";"M6_2Print",#N/A,TRUE,"M6_2";"M7_1Print",#N/A,TRUE,"M7_1";"M7_2Print",#N/A,TRUE,"M7_2"}</definedName>
    <definedName name="fvb" hidden="1">{#N/A,#N/A,FALSE,"资产负债表";#N/A,#N/A,FALSE,"资产负债表"}</definedName>
    <definedName name="G9IJGF" hidden="1">{#N/A,#N/A,FALSE,"资产负债表";#N/A,#N/A,FALSE,"资产负债表"}</definedName>
    <definedName name="hadiah" hidden="1">{#N/A,#N/A,FALSE,"资产负债表";#N/A,#N/A,FALSE,"资产负债表"}</definedName>
    <definedName name="HdctTrnd" hidden="1">{#N/A,#N/A,TRUE,"CPRD";#N/A,#N/A,TRUE,"BCCPDR";#N/A,#N/A,TRUE,"EWRD";#N/A,#N/A,TRUE,"5100";#N/A,#N/A,TRUE,"5110"}</definedName>
    <definedName name="HiddenRows" hidden="1">#REF!</definedName>
    <definedName name="HTL_Cotrol1" hidden="1">{"'Sheet3'!$A$47:$M$47"}</definedName>
    <definedName name="HTML_CodePage" hidden="1">1252</definedName>
    <definedName name="HTML_Control" hidden="1">{"'Vxxe_times_J750 (2)'!$A$3:$E$14"}</definedName>
    <definedName name="HTML_Description" hidden="1">""</definedName>
    <definedName name="HTML_Email" hidden="1">""</definedName>
    <definedName name="HTML_Header" hidden="1">"Vxxe_times_J750 (2)"</definedName>
    <definedName name="HTML_LastUpdate" hidden="1">"9/6/00"</definedName>
    <definedName name="HTML_LineAfter" hidden="1">FALSE</definedName>
    <definedName name="HTML_LineBefore" hidden="1">FALSE</definedName>
    <definedName name="HTML_Name" hidden="1">"bob"</definedName>
    <definedName name="HTML_OBDlg2" hidden="1">TRUE</definedName>
    <definedName name="HTML_OBDlg4" hidden="1">TRUE</definedName>
    <definedName name="HTML_OS" hidden="1">0</definedName>
    <definedName name="HTML_PathFile" hidden="1">"H:\spartan\j750_virtexE_quad"</definedName>
    <definedName name="HTML_Title" hidden="1">"virtexE_j750_wolf_comparison"</definedName>
    <definedName name="HTML1_11" hidden="1">1</definedName>
    <definedName name="HTML1_12" hidden="1">"C:\Irasia\mactopc\firstpachk\webpages\page 58 p and l 0713c.htm"</definedName>
    <definedName name="HTML1_2" hidden="1">-4146</definedName>
    <definedName name="HTML1_3" hidden="1">"C:\Irasia\mactopc\firstpachk\webpages\page 58 p and l 0713b.htm"</definedName>
    <definedName name="HTML2_11" hidden="1">1</definedName>
    <definedName name="HTML2_12" hidden="1">"C:\Irasia\mactopc\firstpachk\webpages\page 58 p and l 0713b.htm"</definedName>
    <definedName name="HTML2_2" hidden="1">-4146</definedName>
    <definedName name="HTML2_3" hidden="1">"C:\Irasia\mactopc\firstpachk\webpages\page 58 p and l 0713.htm"</definedName>
    <definedName name="HTMLCount" hidden="1">1</definedName>
    <definedName name="hueoa" hidden="1">{#N/A,#N/A,FALSE,"资产负债表";#N/A,#N/A,FALSE,"资产负债表"}</definedName>
    <definedName name="ieji" hidden="1">{#N/A,#N/A,FALSE,"970301";#N/A,#N/A,FALSE,"970302";#N/A,#N/A,FALSE,"970303";#N/A,#N/A,FALSE,"970304";#N/A,#N/A,FALSE,"COM1";#N/A,#N/A,FALSE,"COM2"}</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L_DATE_SCHEDULE" hidden="1">"c2481"</definedName>
    <definedName name="IQ_CALL_FEATURE" hidden="1">"c2197"</definedName>
    <definedName name="IQ_CALL_PRICE_SCHEDULE" hidden="1">"c2482"</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ED" hidden="1">"c2681"</definedName>
    <definedName name="IQ_CLASSA_OPTIONS_GRANTED" hidden="1">"c2680"</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PORT_PCT" hidden="1">"c2541"</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PAYOUT" hidden="1">"c3005"</definedName>
    <definedName name="IQ_DISTRIBUTABLE_CASH_SHARE" hidden="1">"c3003"</definedName>
    <definedName name="IQ_DIV_AMOUNT" hidden="1">"c3041"</definedName>
    <definedName name="IQ_DIV_PAYMENT_DATE" hidden="1">"c2106"</definedName>
    <definedName name="IQ_DIV_RECORD_DATE" hidden="1">"c2105"</definedName>
    <definedName name="IQ_DIV_SHARE" hidden="1">"c330"</definedName>
    <definedName name="IQ_DIVEST_CF" hidden="1">"c331"</definedName>
    <definedName name="IQ_DIVID_SHARE" hidden="1">"c1366"</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ITDAR" hidden="1">"c2989"</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 hidden="1">"IQ_EPS"</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Y" hidden="1">1000</definedName>
    <definedName name="IQ_FY_DATE" hidden="1">"IQ_FY_DATE"</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K" hidden="1">1000</definedName>
    <definedName name="IQ_LATESTKFR" hidden="1">"100"</definedName>
    <definedName name="IQ_LATESTQ" hidden="1">500</definedName>
    <definedName name="IQ_LATESTQFR" hidden="1">"50"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"c1437"</definedName>
    <definedName name="IQ_LTMMONTH" hidden="1">120000</definedName>
    <definedName name="IQ_MACHINERY" hidden="1">"c711"</definedName>
    <definedName name="IQ_MAINT_CAPEX" hidden="1">"c2947"</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"06/27/2022 08:50:24"</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EBITDA" hidden="1">"c750"</definedName>
    <definedName name="IQ_NET_DEBT_EBITDA_CAPEX" hidden="1">"c2949"</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GRANTED" hidden="1">"c2673"</definedName>
    <definedName name="IQ_OPTIONS_ISSUED" hidden="1">"c857"</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ED" hidden="1">"c2688"</definedName>
    <definedName name="IQ_OTHER_OPTIONS_GRANTED" hidden="1">"c2687"</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EDATETIME" hidden="1">"IQ_PRICEDATETIME"</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REVISION_DATE_" hidden="1">39097.571875</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PCT" hidden="1">"c2539"</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GA" hidden="1">"c2993"</definedName>
    <definedName name="IQ_STOCK_BASED_OTHER" hidden="1">"c2995"</definedName>
    <definedName name="IQ_STOCK_BASED_RD" hidden="1">"c2991"</definedName>
    <definedName name="IQ_STOCK_BASED_SGA" hidden="1">"c2994"</definedName>
    <definedName name="IQ_STOCK_BASED_SM" hidden="1">"c2992"</definedName>
    <definedName name="IQ_STOCK_BASED_TOTAL" hidden="1">"c3040"</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XCL_FIN" hidden="1">"c2937"</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DA" hidden="1">"c2381"</definedName>
    <definedName name="IQ_TR_ACQ_FILING_CURRENCY" hidden="1">"c3033"</definedName>
    <definedName name="IQ_TR_ACQ_MCAP_1DAY" hidden="1">"c2345"</definedName>
    <definedName name="IQ_TR_ACQ_MIN_INT" hidden="1">"c2374"</definedName>
    <definedName name="IQ_TR_ACQ_NET_DEBT" hidden="1">"c2373"</definedName>
    <definedName name="IQ_TR_ACQ_NI" hidden="1">"c2378"</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DA" hidden="1">"c2334"</definedName>
    <definedName name="IQ_TR_TARGET_FILING_CURRENCY" hidden="1">"c3034"</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MEN_WRITTEN" hidden="1">"c1336"</definedName>
    <definedName name="IQ_XDIV_DATE" hidden="1">"c2104"</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ShowHideColumns" hidden="1">"iQShowQuarterlyAnnual"</definedName>
    <definedName name="jdda" hidden="1">{"M4Print",#N/A,FALSE,"M4"}</definedName>
    <definedName name="jdfslsajdflasdkjpf" hidden="1">{#N/A,#N/A,FALSE,"OffAdvance";#N/A,#N/A,FALSE,"OffExpRprt";#N/A,#N/A,FALSE,"Entertmnt";#N/A,#N/A,FALSE,"Promotion";#N/A,#N/A,FALSE,"Travelling"}</definedName>
    <definedName name="jfgh" hidden="1">{"M1sPrint",#N/A,FALSE,"M1s"}</definedName>
    <definedName name="jgfhfg" hidden="1">{"M1sPrint",#N/A,FALSE,"M1s"}</definedName>
    <definedName name="jlj" hidden="1">{"M2aPrint",#N/A,FALSE,"M2a"}</definedName>
    <definedName name="jughn" hidden="1">{"M7_1Print",#N/A,TRUE,"M7_1";"M7_2Print",#N/A,TRUE,"M7_2"}</definedName>
    <definedName name="jytj" hidden="1">{"M7_1Print",#N/A,TRUE,"M7_1";"M7_2Print",#N/A,TRUE,"M7_2"}</definedName>
    <definedName name="K2_WBEVMODE" hidden="1">-1</definedName>
    <definedName name="kljik" hidden="1">{#N/A,#N/A,FALSE,"OffAdvance";#N/A,#N/A,FALSE,"OffExpRprt";#N/A,#N/A,FALSE,"Entertmnt";#N/A,#N/A,FALSE,"Promotion";#N/A,#N/A,FALSE,"Travelling"}</definedName>
    <definedName name="kuj" hidden="1">{"M6Print",#N/A,FALSE,"M6";"M6_1Print",#N/A,FALSE,"M6_1";"M6_2Print",#N/A,FALSE,"M6_2"}</definedName>
    <definedName name="LotusGraphChart1" hidden="1">#REF!</definedName>
    <definedName name="lotusgraphchart1b" hidden="1">#REF!</definedName>
    <definedName name="lotusgraphchart1x" hidden="1">#REF!</definedName>
    <definedName name="lu" hidden="1">{"M1sPrint",#N/A,FALSE,"M1s"}</definedName>
    <definedName name="M_PlaceofPath" hidden="1">"F:\danders\COMPANY\HET\HET_VDF.XLS"</definedName>
    <definedName name="n" hidden="1">{"M2Print",#N/A,FALSE,"M2"}</definedName>
    <definedName name="new" hidden="1">{#N/A,#N/A,FALSE,"Jan"}</definedName>
    <definedName name="ngn" hidden="1">{"M1Print",#N/A,TRUE,"M1";"M2Print",#N/A,TRUE,"M2";"M1sPrint",#N/A,TRUE,"M1s";"M2aPrint",#N/A,TRUE,"M2a";"M4Print",#N/A,TRUE,"M4";"M5Print",#N/A,TRUE,"M5";"M6Print",#N/A,TRUE,"M6";"M6_1Print",#N/A,TRUE,"M6_1";"M6_2Print",#N/A,TRUE,"M6_2";"M7_1Print",#N/A,TRUE,"M7_1";"M7_2Print",#N/A,TRUE,"M7_2"}</definedName>
    <definedName name="notused" hidden="1">{#N/A,#N/A,TRUE,"CPRD";#N/A,#N/A,TRUE,"BCCPDR";#N/A,#N/A,TRUE,"EWRD";#N/A,#N/A,TRUE,"5100";#N/A,#N/A,TRUE,"5110"}</definedName>
    <definedName name="ooo" hidden="1">{#N/A,#N/A,FALSE,"Sales  total 9712";#N/A,#N/A,FALSE,"Sales  total 9712";#N/A,#N/A,FALSE,"Sales  total 9712";#N/A,#N/A,FALSE,"Sales  total 9712"}</definedName>
    <definedName name="OrderTable" hidden="1">#REF!</definedName>
    <definedName name="ProdForm" hidden="1">#REF!</definedName>
    <definedName name="Product" hidden="1">#REF!</definedName>
    <definedName name="qwertyuiopasdfghjkl" hidden="1">{"M2aPrint",#N/A,FALSE,"M2a"}</definedName>
    <definedName name="qwwertyuiop" hidden="1">{"M2Print",#N/A,FALSE,"M2"}</definedName>
    <definedName name="RCArea" hidden="1">#REF!</definedName>
    <definedName name="RJE" hidden="1">{"toptrial",#N/A,TRUE,"toptrial";"adjustment",#N/A,TRUE,"toptrial";"voucher",#N/A,TRUE,"toptrial"}</definedName>
    <definedName name="SAPBEXdnldView" hidden="1">"4D4WVRAZFXWLPKS3R52UJB0QG"</definedName>
    <definedName name="SAPBEXrevision" hidden="1">1</definedName>
    <definedName name="SAPBEXsysID" hidden="1">"PE4"</definedName>
    <definedName name="SAPBEXwbID" hidden="1">"3Q4R7W3VD66V3CXTGQHGIRCBE"</definedName>
    <definedName name="sdfs" hidden="1">{"M1sPrint",#N/A,FALSE,"M1s"}</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 hidden="1">#REF!</definedName>
    <definedName name="Sheet1_GL_INTERFACE_REFERENCE10" hidden="1">#REF!</definedName>
    <definedName name="Sheet1_GL_INTERFACE_REFERENCE4" hidden="1">#REF!</definedName>
    <definedName name="Sheet1_GL_INTERFACE_REFERENCE5" hidden="1">#REF!</definedName>
    <definedName name="Sheet1_GL_INTERFACE_REFERENCE6"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GMENT6" hidden="1">#REF!</definedName>
    <definedName name="Sheet1_GL_INTERFACE_SET_OF_BOOKS_ID" hidden="1">#REF!</definedName>
    <definedName name="Sheet1_GL_INTERFACE_USER_JE_CATEGORY_NAME" hidden="1">#REF!</definedName>
    <definedName name="Sheet1_GL_INTERFACE_USER_JE_SOURCE_NAME" hidden="1">#REF!</definedName>
    <definedName name="SpecialPrice" hidden="1">#REF!</definedName>
    <definedName name="sssz" hidden="1">{#N/A,#N/A,FALSE,"资产负债表";#N/A,#N/A,FALSE,"资产负债表"}</definedName>
    <definedName name="tbl_ProdInfo" hidden="1">#REF!</definedName>
    <definedName name="terh" hidden="1">{#N/A,#N/A,FALSE,"OffAdvance";#N/A,#N/A,FALSE,"OffExpRprt";#N/A,#N/A,FALSE,"Entertmnt";#N/A,#N/A,FALSE,"Promotion";#N/A,#N/A,FALSE,"Travelling"}</definedName>
    <definedName name="TextRefCopyRangeCount" hidden="1">5</definedName>
    <definedName name="tfhg" hidden="1">{"M1Print",#N/A,FALSE,"M1"}</definedName>
    <definedName name="the" hidden="1">{#N/A,#N/A,FALSE,"Marketing";#N/A,#N/A,FALSE,"Selling";#N/A,#N/A,FALSE,"Promotional";#N/A,#N/A,FALSE,"Advertising"}</definedName>
    <definedName name="ulead" hidden="1">{#N/A,#N/A,FALSE,"970301";#N/A,#N/A,FALSE,"970302";#N/A,#N/A,FALSE,"970303";#N/A,#N/A,FALSE,"970304";#N/A,#N/A,FALSE,"COM1";#N/A,#N/A,FALSE,"COM2"}</definedName>
    <definedName name="uygh" hidden="1">{"M6Print",#N/A,FALSE,"M6";"M6_1Print",#N/A,FALSE,"M6_1";"M6_2Print",#N/A,FALSE,"M6_2"}</definedName>
    <definedName name="vhvkb" hidden="1">{#N/A,#N/A,FALSE,"资产负债表";#N/A,#N/A,FALSE,"资产负债表"}</definedName>
    <definedName name="werwefasd" hidden="1">#REF!</definedName>
    <definedName name="wrn.Aging._.and._.Trend._.Analysis." hidden="1">{#N/A,#N/A,FALSE,"Aging Summary";#N/A,#N/A,FALSE,"Ratio Analysis";#N/A,#N/A,FALSE,"Test 120 Day Accts";#N/A,#N/A,FALSE,"Tickmarks"}</definedName>
    <definedName name="wrn.ALL." hidden="1">{#N/A,#N/A,FALSE,"SUM";#N/A,#N/A,FALSE,"SK_TOT";#N/A,#N/A,FALSE,"YM";#N/A,#N/A,FALSE,"TSMC";#N/A,#N/A,FALSE,"ICW";#N/A,#N/A,FALSE,"Sheet1"}</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all._M._.Scheduleds。1" hidden="1">{"M1Print",#N/A,TRUE,"M1";"M2Print",#N/A,TRUE,"M2";"M1sPrint",#N/A,TRUE,"M1s";"M2aPrint",#N/A,TRUE,"M2a";"M4Print",#N/A,TRUE,"M4";"M5Print",#N/A,TRUE,"M5";"M6Print",#N/A,TRUE,"M6";"M6_1Print",#N/A,TRUE,"M6_1";"M6_2Print",#N/A,TRUE,"M6_2";"M7_1Print",#N/A,TRUE,"M7_1";"M7_2Print",#N/A,TRUE,"M7_2"}</definedName>
    <definedName name="wrn.BC._.Telfast."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C._.Tritace." hidden="1">{#N/A,#N/A,FALSE,"Approval Matrix";#N/A,#N/A,FALSE,"KeyAss";#N/A,#N/A,FALSE,"Medical Info";#N/A,#N/A,FALSE,"New Product Sourcing";#N/A,#N/A,FALSE,"SWOT";#N/A,#N/A,FALSE,"IMSMktMS";#N/A,#N/A,FALSE,"Pricing Analysis";#N/A,#N/A,FALSE,"Promotion Strategy";#N/A,#N/A,FALSE,"Sales Team Allocation";#N/A,#N/A,FALSE,"Backward Calculation";#N/A,#N/A,FALSE,"Volume Growth Forecasts";#N/A,#N/A,FALSE,"Product Contribution"}</definedName>
    <definedName name="wrn.Board._.Reports." hidden="1">{#N/A,#N/A,FALSE,"M1s Board";#N/A,#N/A,FALSE,"M3 Board";#N/A,#N/A,FALSE,"M6 Board";#N/A,#N/A,FALSE,"M7";#N/A,#N/A,FALSE,"M7B";#N/A,#N/A,FALSE,"M8";#N/A,#N/A,FALSE,"M8A Board";#N/A,#N/A,FALSE,"AF1 Board"}</definedName>
    <definedName name="wrn.Deposit._.By._.Day." hidden="1">{#N/A,#N/A,FALSE,"Deposits by day"}</definedName>
    <definedName name="wrn.Deptartment._.Expenses." hidden="1">{#N/A,#N/A,TRUE,"CPRD";#N/A,#N/A,TRUE,"BCCPDR";#N/A,#N/A,TRUE,"EWRD";#N/A,#N/A,TRUE,"5100";#N/A,#N/A,TRUE,"5110"}</definedName>
    <definedName name="wrn.ERNST." hidden="1">{#N/A,#N/A,FALSE,"YTCHAN";#N/A,#N/A,FALSE,"TOMMY";#N/A,#N/A,FALSE,"REP.OFFICE";#N/A,#N/A,FALSE,"E&amp;Y_CONSULTANT";#N/A,#N/A,FALSE,"BT &amp; CIT"}</definedName>
    <definedName name="wrn.Financial._.Report." hidden="1">{"Fin_China",#N/A,FALSE,"中國區";"Fin_游汝謙",#N/A,FALSE,"游汝謙";"Fin_姚民僕",#N/A,FALSE,"姚民僕";"Fin_相福利",#N/A,FALSE,"相福利";"Fin_何炎光",#N/A,FALSE,"何炎光";"Fin_黃元安",#N/A,FALSE,"黃元安";"Fin_黃安楠",#N/A,FALSE,"黃安楠";"Fin_北京",#N/A,FALSE,"北京";"Fin_柳勤齡",#N/A,FALSE,"柳勤齡"}</definedName>
    <definedName name="wrn.form." hidden="1">{#N/A,#N/A,FALSE,"OffAdvance";#N/A,#N/A,FALSE,"OffExpRprt";#N/A,#N/A,FALSE,"Entertmnt";#N/A,#N/A,FALSE,"Promotion";#N/A,#N/A,FALSE,"Travelling"}</definedName>
    <definedName name="wrn.gb." hidden="1">{#N/A,#N/A,FALSE,"资产负债表";#N/A,#N/A,FALSE,"资产负债表"}</definedName>
    <definedName name="wrn.Input._.Data." hidden="1">{"Input_Fin",#N/A,FALSE,"By Code";"Input_Opt",#N/A,FALSE,"By Code"}</definedName>
    <definedName name="wrn.jan." hidden="1">{#N/A,#N/A,FALSE,"Jan"}</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wrn.Monthly._.Report." hidden="1">{#N/A,#N/A,FALSE,"comments";#N/A,#N/A,FALSE,"P&amp;L";#N/A,#N/A,FALSE,"SALES BY PRODT";#N/A,#N/A,FALSE,"DSO&amp;DSII";#N/A,#N/A,FALSE,"PRICE&amp;VOL BY PRODT.";#N/A,#N/A,FALSE,"IMSMKT";#N/A,#N/A,FALSE,"HEADCOUNT";#N/A,#N/A,FALSE,"REGPLAN";#N/A,#N/A,FALSE,"FX CHART";#N/A,#N/A,FALSE,"SALES CHART";#N/A,#N/A,FALSE,"VOL-PRICE CHART";#N/A,#N/A,FALSE,"DEBT LEVEL CHART";#N/A,#N/A,FALSE,"PRICE&amp;VOL BY PACK"}</definedName>
    <definedName name="wrn.Office." hidden="1">{#N/A,#N/A,FALSE,"OffAdvance";#N/A,#N/A,FALSE,"OffExpRprt";#N/A,#N/A,FALSE,"Travelling";#N/A,#N/A,FALSE,"Entertmnt";#N/A,#N/A,FALSE,"Promotion"}</definedName>
    <definedName name="wrn.Operation._.Report." hidden="1">{"Opt_China",#N/A,FALSE,"中國區";"Opt_游汝謙",#N/A,FALSE,"游汝謙";"Opt_姚民僕",#N/A,FALSE,"姚民僕";"Opt_相福利",#N/A,FALSE,"相福利";"Opt_何炎光",#N/A,FALSE,"何炎光";"Opt_黃元安",#N/A,FALSE,"黃元安";"Opt_黃安楠",#N/A,FALSE,"黃安楠";"Opt_北京",#N/A,FALSE,"北京";"Opt_柳勤齡",#N/A,FALSE,"柳勤齡"}</definedName>
    <definedName name="wrn.REPORT." hidden="1">{#N/A,#N/A,FALSE,"Sales  total 9712";#N/A,#N/A,FALSE,"Sales  total 9712";#N/A,#N/A,FALSE,"Sales  total 9712";#N/A,#N/A,FALSE,"Sales  total 9712"}</definedName>
    <definedName name="wrn.Sales." hidden="1">{#N/A,#N/A,FALSE,"Marketing";#N/A,#N/A,FALSE,"Selling";#N/A,#N/A,FALSE,"Promotional";#N/A,#N/A,FALSE,"Advertising"}</definedName>
    <definedName name="wrn.sunmicro." hidden="1">{#N/A,#N/A,FALSE,"FREEMAN";#N/A,#N/A,FALSE,"STEPHEN";#N/A,#N/A,FALSE,"VICTOR"}</definedName>
    <definedName name="wrn.test1." hidden="1">{#N/A,#N/A,FALSE,"Earn'gs &amp; Val'n";#N/A,#N/A,FALSE,"Interim"}</definedName>
    <definedName name="wrn.tope" hidden="1">{"toptrial",#N/A,TRUE,"toptrial";"adjustment",#N/A,TRUE,"toptrial";"voucher",#N/A,TRUE,"toptrial"}</definedName>
    <definedName name="wrn.toptrial." hidden="1">{"toptrial",#N/A,TRUE,"toptrial";"adjustment",#N/A,TRUE,"toptrial";"voucher",#N/A,TRUE,"toptrial"}</definedName>
    <definedName name="wrn.voucher9703." hidden="1">{#N/A,#N/A,FALSE,"970301";#N/A,#N/A,FALSE,"970302";#N/A,#N/A,FALSE,"970303";#N/A,#N/A,FALSE,"970304";#N/A,#N/A,FALSE,"COM1";#N/A,#N/A,FALSE,"COM2"}</definedName>
    <definedName name="wrn.ytd." hidden="1">{#N/A,#N/A,FALSE,"YTD"}</definedName>
    <definedName name="wrn100.gb" hidden="1">{#N/A,#N/A,FALSE,"资产负债表";#N/A,#N/A,FALSE,"资产负债表"}</definedName>
    <definedName name="wrnn.all." hidden="1">{#N/A,#N/A,FALSE,"SUM";#N/A,#N/A,FALSE,"SK_TOT";#N/A,#N/A,FALSE,"YM";#N/A,#N/A,FALSE,"TSMC";#N/A,#N/A,FALSE,"ICW";#N/A,#N/A,FALSE,"Sheet1"}</definedName>
    <definedName name="wtr" hidden="1">{#N/A,#N/A,FALSE,"资产负债表";#N/A,#N/A,FALSE,"资产负债表"}</definedName>
    <definedName name="xdsdgfdh" hidden="1">#REF!</definedName>
    <definedName name="XREF_COLUMN_1" hidden="1">#REF!</definedName>
    <definedName name="XREF_COLUMN_10" hidden="1">#REF!</definedName>
    <definedName name="XREF_COLUMN_11" hidden="1">#REF!</definedName>
    <definedName name="XREF_COLUMN_12" hidden="1">#REF!</definedName>
    <definedName name="XREF_COLUMN_19" hidden="1">#REF!</definedName>
    <definedName name="XREF_COLUMN_2" hidden="1">#REF!</definedName>
    <definedName name="XREF_COLUMN_20" hidden="1">#REF!</definedName>
    <definedName name="XREF_COLUMN_21"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ActiveRow" hidden="1">#REF!</definedName>
    <definedName name="XRefColumnsCount" hidden="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3" hidden="1">#REF!</definedName>
    <definedName name="XRefCopy13Row" hidden="1">#REF!</definedName>
    <definedName name="XRefCopy14" hidden="1">#REF!</definedName>
    <definedName name="XRefCopy15" hidden="1">#REF!</definedName>
    <definedName name="XRefCopy16Row" hidden="1">#REF!</definedName>
    <definedName name="XRefCopy1Row" hidden="1">#REF!</definedName>
    <definedName name="XRefCopy2" hidden="1">#REF!</definedName>
    <definedName name="XRefCopy2Row" hidden="1">#REF!</definedName>
    <definedName name="XRefCopy3" hidden="1">#REF!</definedName>
    <definedName name="XRefCopy3Row" hidden="1">#REF!</definedName>
    <definedName name="XRefCopy4" hidden="1">#REF!</definedName>
    <definedName name="XRefCopy46"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3</definedName>
    <definedName name="XRefPaste1" hidden="1">#REF!</definedName>
    <definedName name="XRefPaste10" hidden="1">#REF!</definedName>
    <definedName name="XRefPaste11" hidden="1">#REF!</definedName>
    <definedName name="XRefPaste1Row" hidden="1">#REF!</definedName>
    <definedName name="XRefPaste2"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6Row" hidden="1">#REF!</definedName>
    <definedName name="XRefPaste7" hidden="1">#REF!</definedName>
    <definedName name="XRefPaste8" hidden="1">#REF!</definedName>
    <definedName name="XRefPaste9" hidden="1">#REF!</definedName>
    <definedName name="XRefPasteRangeCount" hidden="1">1</definedName>
    <definedName name="xsd" hidden="1">#REF!</definedName>
    <definedName name="XXXXXXXXXXXX" hidden="1">#REF!</definedName>
    <definedName name="xyz" hidden="1">#REF!</definedName>
    <definedName name="xzxsfd" hidden="1">{"M1Print",#N/A,FALSE,"M1"}</definedName>
    <definedName name="y" hidden="1">{#N/A,#N/A,FALSE,"970301";#N/A,#N/A,FALSE,"970302";#N/A,#N/A,FALSE,"970303";#N/A,#N/A,FALSE,"970304";#N/A,#N/A,FALSE,"COM1";#N/A,#N/A,FALSE,"COM2"}</definedName>
    <definedName name="Z_1711050D_B2D8_42FB_A40D_E4BD90297684_.wvu.Cols" hidden="1">#REF!,#REF!,#REF!,#REF!,#REF!</definedName>
    <definedName name="Z_5B0018AC_ED7C_43A5_8355_57F537E03D3C_.wvu.Cols" hidden="1">#REF!</definedName>
    <definedName name="Z_5B0018AC_ED7C_43A5_8355_57F537E03D3C_.wvu.PrintArea" hidden="1">#REF!</definedName>
    <definedName name="Z_5B0018AC_ED7C_43A5_8355_57F537E03D3C_.wvu.PrintTitles" hidden="1">#REF!</definedName>
    <definedName name="Z_5B0018AC_ED7C_43A5_8355_57F537E03D3C_.wvu.Rows" hidden="1">#REF!</definedName>
    <definedName name="Z_CB0E8320_907C_11D8_8F9A_003018607B51_.wvu.Cols"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zdry" hidden="1">{#N/A,#N/A,FALSE,"资产负债表";#N/A,#N/A,FALSE,"资产负债表"}</definedName>
    <definedName name="zerey" hidden="1">{#N/A,#N/A,FALSE,"资产负债表";#N/A,#N/A,FALSE,"资产负债表"}</definedName>
    <definedName name="ZZZZZZZZZZZZZ" hidden="1">#REF!</definedName>
    <definedName name="啊" hidden="1">{#N/A,#N/A,FALSE,"970301";#N/A,#N/A,FALSE,"970302";#N/A,#N/A,FALSE,"970303";#N/A,#N/A,FALSE,"970304";#N/A,#N/A,FALSE,"COM1";#N/A,#N/A,FALSE,"COM2"}</definedName>
    <definedName name="备用" hidden="1">{#N/A,#N/A,FALSE,"OffAdvance";#N/A,#N/A,FALSE,"OffExpRprt";#N/A,#N/A,FALSE,"Entertmnt";#N/A,#N/A,FALSE,"Promotion";#N/A,#N/A,FALSE,"Travelling"}</definedName>
    <definedName name="借款" hidden="1">{#N/A,#N/A,FALSE,"970301";#N/A,#N/A,FALSE,"970302";#N/A,#N/A,FALSE,"970303";#N/A,#N/A,FALSE,"970304";#N/A,#N/A,FALSE,"COM1";#N/A,#N/A,FALSE,"COM2"}</definedName>
    <definedName name="苛" hidden="1">{"M1sPrint",#N/A,FALSE,"M1s"}</definedName>
    <definedName name="试验" hidden="1">{#N/A,#N/A,FALSE,"OffAdvance";#N/A,#N/A,FALSE,"OffExpRprt";#N/A,#N/A,FALSE,"Travelling";#N/A,#N/A,FALSE,"Entertmnt";#N/A,#N/A,FALSE,"Promotion"}</definedName>
    <definedName name="已05" hidden="1">{"M1Print",#N/A,TRUE,"M1";"M2Print",#N/A,TRUE,"M2";"M1sPrint",#N/A,TRUE,"M1s";"M2aPrint",#N/A,TRUE,"M2a";"M4Print",#N/A,TRUE,"M4";"M5Print",#N/A,TRUE,"M5";"M6Print",#N/A,TRUE,"M6";"M6_1Print",#N/A,TRUE,"M6_1";"M6_2Print",#N/A,TRUE,"M6_2";"M7_1Print",#N/A,TRUE,"M7_1";"M7_2Print",#N/A,TRUE,"M7_2"}</definedName>
    <definedName name="应手款" hidden="1">{#N/A,#N/A,FALSE,"970301";#N/A,#N/A,FALSE,"970302";#N/A,#N/A,FALSE,"970303";#N/A,#N/A,FALSE,"970304";#N/A,#N/A,FALSE,"COM1";#N/A,#N/A,FALSE,"COM2"}</definedName>
    <definedName name="应手款1月" hidden="1">{#N/A,#N/A,FALSE,"Marketing";#N/A,#N/A,FALSE,"Selling";#N/A,#N/A,FALSE,"Promotional";#N/A,#N/A,FALSE,"Advertising"}</definedName>
    <definedName name="_____dod1" localSheetId="0" hidden="1">{#N/A,#N/A,TRUE,"CPRD";#N/A,#N/A,TRUE,"BCCPDR";#N/A,#N/A,TRUE,"EWRD";#N/A,#N/A,TRUE,"5100";#N/A,#N/A,TRUE,"5110"}</definedName>
    <definedName name="____dod1" localSheetId="0" hidden="1">{#N/A,#N/A,TRUE,"CPRD";#N/A,#N/A,TRUE,"BCCPDR";#N/A,#N/A,TRUE,"EWRD";#N/A,#N/A,TRUE,"5100";#N/A,#N/A,TRUE,"5110"}</definedName>
    <definedName name="___dod1" localSheetId="0" hidden="1">{#N/A,#N/A,TRUE,"CPRD";#N/A,#N/A,TRUE,"BCCPDR";#N/A,#N/A,TRUE,"EWRD";#N/A,#N/A,TRUE,"5100";#N/A,#N/A,TRUE,"5110"}</definedName>
    <definedName name="___dog1" localSheetId="0" hidden="1">{#N/A,#N/A,TRUE,"CPRD";#N/A,#N/A,TRUE,"BCCPDR";#N/A,#N/A,TRUE,"EWRD";#N/A,#N/A,TRUE,"5100";#N/A,#N/A,TRUE,"5110"}</definedName>
    <definedName name="__dod1" localSheetId="0" hidden="1">{#N/A,#N/A,TRUE,"CPRD";#N/A,#N/A,TRUE,"BCCPDR";#N/A,#N/A,TRUE,"EWRD";#N/A,#N/A,TRUE,"5100";#N/A,#N/A,TRUE,"5110"}</definedName>
    <definedName name="__dog1" localSheetId="0" hidden="1">{#N/A,#N/A,TRUE,"CPRD";#N/A,#N/A,TRUE,"BCCPDR";#N/A,#N/A,TRUE,"EWRD";#N/A,#N/A,TRUE,"5100";#N/A,#N/A,TRUE,"5110"}</definedName>
    <definedName name="_dod1" localSheetId="0" hidden="1">{#N/A,#N/A,TRUE,"CPRD";#N/A,#N/A,TRUE,"BCCPDR";#N/A,#N/A,TRUE,"EWRD";#N/A,#N/A,TRUE,"5100";#N/A,#N/A,TRUE,"5110"}</definedName>
    <definedName name="_dog1" localSheetId="0" hidden="1">{#N/A,#N/A,TRUE,"CPRD";#N/A,#N/A,TRUE,"BCCPDR";#N/A,#N/A,TRUE,"EWRD";#N/A,#N/A,TRUE,"5100";#N/A,#N/A,TRUE,"5110"}</definedName>
    <definedName name="adas" localSheetId="0" hidden="1">{"M1Print",#N/A,TRUE,"M1";"M2Print",#N/A,TRUE,"M2";"M1sPrint",#N/A,TRUE,"M1s";"M2aPrint",#N/A,TRUE,"M2a";"M4Print",#N/A,TRUE,"M4";"M5Print",#N/A,TRUE,"M5";"M6Print",#N/A,TRUE,"M6";"M6_1Print",#N/A,TRUE,"M6_1";"M6_2Print",#N/A,TRUE,"M6_2";"M7_1Print",#N/A,TRUE,"M7_1";"M7_2Print",#N/A,TRUE,"M7_2"}</definedName>
    <definedName name="ass" localSheetId="0" hidden="1">{#N/A,#N/A,TRUE,"CPRD";#N/A,#N/A,TRUE,"BCCPDR";#N/A,#N/A,TRUE,"EWRD";#N/A,#N/A,TRUE,"5100";#N/A,#N/A,TRUE,"5110"}</definedName>
    <definedName name="cashflow20030930" localSheetId="0" hidden="1">{"M1Print",#N/A,TRUE,"M1";"M2Print",#N/A,TRUE,"M2";"M1sPrint",#N/A,TRUE,"M1s";"M2aPrint",#N/A,TRUE,"M2a";"M4Print",#N/A,TRUE,"M4";"M5Print",#N/A,TRUE,"M5";"M6Print",#N/A,TRUE,"M6";"M6_1Print",#N/A,TRUE,"M6_1";"M6_2Print",#N/A,TRUE,"M6_2";"M7_1Print",#N/A,TRUE,"M7_1";"M7_2Print",#N/A,TRUE,"M7_2"}</definedName>
    <definedName name="doddd" localSheetId="0" hidden="1">{#N/A,#N/A,TRUE,"CPRD";#N/A,#N/A,TRUE,"BCCPDR";#N/A,#N/A,TRUE,"EWRD";#N/A,#N/A,TRUE,"5100";#N/A,#N/A,TRUE,"5110"}</definedName>
    <definedName name="dog" localSheetId="0" hidden="1">{#N/A,#N/A,TRUE,"CPRD";#N/A,#N/A,TRUE,"BCCPDR";#N/A,#N/A,TRUE,"EWRD";#N/A,#N/A,TRUE,"5100";#N/A,#N/A,TRUE,"5110"}</definedName>
    <definedName name="ehdg" localSheetId="0" hidden="1">{#N/A,#N/A,FALSE,"Jan"}</definedName>
    <definedName name="ExpenseUpload" localSheetId="0" hidden="1">{#N/A,#N/A,TRUE,"CPRD";#N/A,#N/A,TRUE,"BCCPDR";#N/A,#N/A,TRUE,"EWRD";#N/A,#N/A,TRUE,"5100";#N/A,#N/A,TRUE,"5110"}</definedName>
    <definedName name="feedback" localSheetId="0" hidden="1">{#N/A,#N/A,TRUE,"CPRD";#N/A,#N/A,TRUE,"BCCPDR";#N/A,#N/A,TRUE,"EWRD";#N/A,#N/A,TRUE,"5100";#N/A,#N/A,TRUE,"5110"}</definedName>
    <definedName name="HdctTrnd" localSheetId="0" hidden="1">{#N/A,#N/A,TRUE,"CPRD";#N/A,#N/A,TRUE,"BCCPDR";#N/A,#N/A,TRUE,"EWRD";#N/A,#N/A,TRUE,"5100";#N/A,#N/A,TRUE,"5110"}</definedName>
    <definedName name="HTML_Control" localSheetId="0" hidden="1">{"'Vxxe_times_J750 (2)'!$A$3:$E$14"}</definedName>
    <definedName name="notused" localSheetId="0" hidden="1">{#N/A,#N/A,TRUE,"CPRD";#N/A,#N/A,TRUE,"BCCPDR";#N/A,#N/A,TRUE,"EWRD";#N/A,#N/A,TRUE,"5100";#N/A,#N/A,TRUE,"5110"}</definedName>
    <definedName name="qwertyuiopasdfghjkl" localSheetId="0" hidden="1">{"M2aPrint",#N/A,FALSE,"M2a"}</definedName>
    <definedName name="qwwertyuiop" localSheetId="0" hidden="1">{"M2Print",#N/A,FALSE,"M2"}</definedName>
    <definedName name="wrn.Aging._.and._.Trend._.Analysis." localSheetId="0" hidden="1">{#N/A,#N/A,FALSE,"Aging Summary";#N/A,#N/A,FALSE,"Ratio Analysis";#N/A,#N/A,FALSE,"Test 120 Day Accts";#N/A,#N/A,FALSE,"Tickmarks"}</definedName>
    <definedName name="wrn.ALL." localSheetId="0" hidden="1">{#N/A,#N/A,FALSE,"SUM";#N/A,#N/A,FALSE,"SK_TOT";#N/A,#N/A,FALSE,"YM";#N/A,#N/A,FALSE,"TSMC";#N/A,#N/A,FALSE,"ICW";#N/A,#N/A,FALSE,"Sheet1"}</definedName>
    <definedName name="wrn.All._.M._.Schedules." localSheetId="0" hidden="1">{"M1Print",#N/A,TRUE,"M1";"M2Print",#N/A,TRUE,"M2";"M1sPrint",#N/A,TRUE,"M1s";"M2aPrint",#N/A,TRUE,"M2a";"M4Print",#N/A,TRUE,"M4";"M5Print",#N/A,TRUE,"M5";"M6Print",#N/A,TRUE,"M6";"M6_1Print",#N/A,TRUE,"M6_1";"M6_2Print",#N/A,TRUE,"M6_2";"M7_1Print",#N/A,TRUE,"M7_1";"M7_2Print",#N/A,TRUE,"M7_2"}</definedName>
    <definedName name="wrn.all._.M._.Schedules.1" localSheetId="0" hidden="1">{"M1Print",#N/A,TRUE,"M1";"M2Print",#N/A,TRUE,"M2";"M1sPrint",#N/A,TRUE,"M1s";"M2aPrint",#N/A,TRUE,"M2a";"M4Print",#N/A,TRUE,"M4";"M5Print",#N/A,TRUE,"M5";"M6Print",#N/A,TRUE,"M6";"M6_1Print",#N/A,TRUE,"M6_1";"M6_2Print",#N/A,TRUE,"M6_2";"M7_1Print",#N/A,TRUE,"M7_1";"M7_2Print",#N/A,TRUE,"M7_2"}</definedName>
    <definedName name="wrn.Board._.Reports." localSheetId="0" hidden="1">{#N/A,#N/A,FALSE,"M1s Board";#N/A,#N/A,FALSE,"M3 Board";#N/A,#N/A,FALSE,"M6 Board";#N/A,#N/A,FALSE,"M7";#N/A,#N/A,FALSE,"M7B";#N/A,#N/A,FALSE,"M8";#N/A,#N/A,FALSE,"M8A Board";#N/A,#N/A,FALSE,"AF1 Board"}</definedName>
    <definedName name="wrn.Deposit._.By._.Day." localSheetId="0" hidden="1">{#N/A,#N/A,FALSE,"Deposits by day"}</definedName>
    <definedName name="wrn.Deptartment._.Expenses." localSheetId="0" hidden="1">{#N/A,#N/A,TRUE,"CPRD";#N/A,#N/A,TRUE,"BCCPDR";#N/A,#N/A,TRUE,"EWRD";#N/A,#N/A,TRUE,"5100";#N/A,#N/A,TRUE,"5110"}</definedName>
    <definedName name="wrn.jan." localSheetId="0" hidden="1">{#N/A,#N/A,FALSE,"Jan"}</definedName>
    <definedName name="wrn.M1._.Operating._.Statement." localSheetId="0" hidden="1">{"M1Print",#N/A,FALSE,"M1"}</definedName>
    <definedName name="wrn.M1s._.Statistics." localSheetId="0" hidden="1">{"M1sPrint",#N/A,FALSE,"M1s"}</definedName>
    <definedName name="wrn.M2._.Balance._.Sheet." localSheetId="0" hidden="1">{"M2Print",#N/A,FALSE,"M2"}</definedName>
    <definedName name="wrn.M2a._.Cashflow." localSheetId="0" hidden="1">{"M2aPrint",#N/A,FALSE,"M2a"}</definedName>
    <definedName name="wrn.M4._.Inventories." localSheetId="0" hidden="1">{"M4Print",#N/A,FALSE,"M4"}</definedName>
    <definedName name="wrn.M5._.Flash._.and._.Forecast." localSheetId="0" hidden="1">{"M5Print",#N/A,FALSE,"M5"}</definedName>
    <definedName name="wrn.M6._.Management._.Summary." localSheetId="0" hidden="1">{"M6Print",#N/A,FALSE,"M6";"M6_1Print",#N/A,FALSE,"M6_1";"M6_2Print",#N/A,FALSE,"M6_2"}</definedName>
    <definedName name="wrn.M7._.Financial._.Controllers._.report." localSheetId="0" hidden="1">{"M7_1Print",#N/A,TRUE,"M7_1";"M7_2Print",#N/A,TRUE,"M7_2"}</definedName>
    <definedName name="wrn.ytd." localSheetId="0" hidden="1">{#N/A,#N/A,FALSE,"YTD"}</definedName>
    <definedName name="wrnn.all." localSheetId="0" hidden="1">{#N/A,#N/A,FALSE,"SUM";#N/A,#N/A,FALSE,"SK_TOT";#N/A,#N/A,FALSE,"YM";#N/A,#N/A,FALSE,"TSMC";#N/A,#N/A,FALSE,"ICW";#N/A,#N/A,FALSE,"Sheet1"}</definedName>
    <definedName name="xzxsfd" localSheetId="0" hidden="1">{"M1Print",#N/A,FALSE,"M1"}</definedName>
    <definedName name="苛" localSheetId="0" hidden="1">{"M1sPrint",#N/A,FALSE,"M1s"}</definedName>
    <definedName name="_____dod1" localSheetId="3" hidden="1">{#N/A,#N/A,TRUE,"CPRD";#N/A,#N/A,TRUE,"BCCPDR";#N/A,#N/A,TRUE,"EWRD";#N/A,#N/A,TRUE,"5100";#N/A,#N/A,TRUE,"5110"}</definedName>
    <definedName name="____dod1" localSheetId="3" hidden="1">{#N/A,#N/A,TRUE,"CPRD";#N/A,#N/A,TRUE,"BCCPDR";#N/A,#N/A,TRUE,"EWRD";#N/A,#N/A,TRUE,"5100";#N/A,#N/A,TRUE,"5110"}</definedName>
    <definedName name="___dod1" localSheetId="3" hidden="1">{#N/A,#N/A,TRUE,"CPRD";#N/A,#N/A,TRUE,"BCCPDR";#N/A,#N/A,TRUE,"EWRD";#N/A,#N/A,TRUE,"5100";#N/A,#N/A,TRUE,"5110"}</definedName>
    <definedName name="___dog1" localSheetId="3" hidden="1">{#N/A,#N/A,TRUE,"CPRD";#N/A,#N/A,TRUE,"BCCPDR";#N/A,#N/A,TRUE,"EWRD";#N/A,#N/A,TRUE,"5100";#N/A,#N/A,TRUE,"5110"}</definedName>
    <definedName name="__dod1" localSheetId="3" hidden="1">{#N/A,#N/A,TRUE,"CPRD";#N/A,#N/A,TRUE,"BCCPDR";#N/A,#N/A,TRUE,"EWRD";#N/A,#N/A,TRUE,"5100";#N/A,#N/A,TRUE,"5110"}</definedName>
    <definedName name="__dog1" localSheetId="3" hidden="1">{#N/A,#N/A,TRUE,"CPRD";#N/A,#N/A,TRUE,"BCCPDR";#N/A,#N/A,TRUE,"EWRD";#N/A,#N/A,TRUE,"5100";#N/A,#N/A,TRUE,"5110"}</definedName>
    <definedName name="_dod1" localSheetId="3" hidden="1">{#N/A,#N/A,TRUE,"CPRD";#N/A,#N/A,TRUE,"BCCPDR";#N/A,#N/A,TRUE,"EWRD";#N/A,#N/A,TRUE,"5100";#N/A,#N/A,TRUE,"5110"}</definedName>
    <definedName name="_dog1" localSheetId="3" hidden="1">{#N/A,#N/A,TRUE,"CPRD";#N/A,#N/A,TRUE,"BCCPDR";#N/A,#N/A,TRUE,"EWRD";#N/A,#N/A,TRUE,"5100";#N/A,#N/A,TRUE,"5110"}</definedName>
    <definedName name="adas" localSheetId="3" hidden="1">{"M1Print",#N/A,TRUE,"M1";"M2Print",#N/A,TRUE,"M2";"M1sPrint",#N/A,TRUE,"M1s";"M2aPrint",#N/A,TRUE,"M2a";"M4Print",#N/A,TRUE,"M4";"M5Print",#N/A,TRUE,"M5";"M6Print",#N/A,TRUE,"M6";"M6_1Print",#N/A,TRUE,"M6_1";"M6_2Print",#N/A,TRUE,"M6_2";"M7_1Print",#N/A,TRUE,"M7_1";"M7_2Print",#N/A,TRUE,"M7_2"}</definedName>
    <definedName name="ass" localSheetId="3" hidden="1">{#N/A,#N/A,TRUE,"CPRD";#N/A,#N/A,TRUE,"BCCPDR";#N/A,#N/A,TRUE,"EWRD";#N/A,#N/A,TRUE,"5100";#N/A,#N/A,TRUE,"5110"}</definedName>
    <definedName name="cashflow20030930" localSheetId="3" hidden="1">{"M1Print",#N/A,TRUE,"M1";"M2Print",#N/A,TRUE,"M2";"M1sPrint",#N/A,TRUE,"M1s";"M2aPrint",#N/A,TRUE,"M2a";"M4Print",#N/A,TRUE,"M4";"M5Print",#N/A,TRUE,"M5";"M6Print",#N/A,TRUE,"M6";"M6_1Print",#N/A,TRUE,"M6_1";"M6_2Print",#N/A,TRUE,"M6_2";"M7_1Print",#N/A,TRUE,"M7_1";"M7_2Print",#N/A,TRUE,"M7_2"}</definedName>
    <definedName name="doddd" localSheetId="3" hidden="1">{#N/A,#N/A,TRUE,"CPRD";#N/A,#N/A,TRUE,"BCCPDR";#N/A,#N/A,TRUE,"EWRD";#N/A,#N/A,TRUE,"5100";#N/A,#N/A,TRUE,"5110"}</definedName>
    <definedName name="dog" localSheetId="3" hidden="1">{#N/A,#N/A,TRUE,"CPRD";#N/A,#N/A,TRUE,"BCCPDR";#N/A,#N/A,TRUE,"EWRD";#N/A,#N/A,TRUE,"5100";#N/A,#N/A,TRUE,"5110"}</definedName>
    <definedName name="ehdg" localSheetId="3" hidden="1">{#N/A,#N/A,FALSE,"Jan"}</definedName>
    <definedName name="ExpenseUpload" localSheetId="3" hidden="1">{#N/A,#N/A,TRUE,"CPRD";#N/A,#N/A,TRUE,"BCCPDR";#N/A,#N/A,TRUE,"EWRD";#N/A,#N/A,TRUE,"5100";#N/A,#N/A,TRUE,"5110"}</definedName>
    <definedName name="feedback" localSheetId="3" hidden="1">{#N/A,#N/A,TRUE,"CPRD";#N/A,#N/A,TRUE,"BCCPDR";#N/A,#N/A,TRUE,"EWRD";#N/A,#N/A,TRUE,"5100";#N/A,#N/A,TRUE,"5110"}</definedName>
    <definedName name="HdctTrnd" localSheetId="3" hidden="1">{#N/A,#N/A,TRUE,"CPRD";#N/A,#N/A,TRUE,"BCCPDR";#N/A,#N/A,TRUE,"EWRD";#N/A,#N/A,TRUE,"5100";#N/A,#N/A,TRUE,"5110"}</definedName>
    <definedName name="HTML_Control" localSheetId="3" hidden="1">{"'Vxxe_times_J750 (2)'!$A$3:$E$14"}</definedName>
    <definedName name="notused" localSheetId="3" hidden="1">{#N/A,#N/A,TRUE,"CPRD";#N/A,#N/A,TRUE,"BCCPDR";#N/A,#N/A,TRUE,"EWRD";#N/A,#N/A,TRUE,"5100";#N/A,#N/A,TRUE,"5110"}</definedName>
    <definedName name="qwertyuiopasdfghjkl" localSheetId="3" hidden="1">{"M2aPrint",#N/A,FALSE,"M2a"}</definedName>
    <definedName name="qwwertyuiop" localSheetId="3" hidden="1">{"M2Print",#N/A,FALSE,"M2"}</definedName>
    <definedName name="wrn.Aging._.and._.Trend._.Analysis." localSheetId="3" hidden="1">{#N/A,#N/A,FALSE,"Aging Summary";#N/A,#N/A,FALSE,"Ratio Analysis";#N/A,#N/A,FALSE,"Test 120 Day Accts";#N/A,#N/A,FALSE,"Tickmarks"}</definedName>
    <definedName name="wrn.ALL." localSheetId="3" hidden="1">{#N/A,#N/A,FALSE,"SUM";#N/A,#N/A,FALSE,"SK_TOT";#N/A,#N/A,FALSE,"YM";#N/A,#N/A,FALSE,"TSMC";#N/A,#N/A,FALSE,"ICW";#N/A,#N/A,FALSE,"Sheet1"}</definedName>
    <definedName name="wrn.All._.M._.Schedules." localSheetId="3" hidden="1">{"M1Print",#N/A,TRUE,"M1";"M2Print",#N/A,TRUE,"M2";"M1sPrint",#N/A,TRUE,"M1s";"M2aPrint",#N/A,TRUE,"M2a";"M4Print",#N/A,TRUE,"M4";"M5Print",#N/A,TRUE,"M5";"M6Print",#N/A,TRUE,"M6";"M6_1Print",#N/A,TRUE,"M6_1";"M6_2Print",#N/A,TRUE,"M6_2";"M7_1Print",#N/A,TRUE,"M7_1";"M7_2Print",#N/A,TRUE,"M7_2"}</definedName>
    <definedName name="wrn.all._.M._.Schedules.1" localSheetId="3" hidden="1">{"M1Print",#N/A,TRUE,"M1";"M2Print",#N/A,TRUE,"M2";"M1sPrint",#N/A,TRUE,"M1s";"M2aPrint",#N/A,TRUE,"M2a";"M4Print",#N/A,TRUE,"M4";"M5Print",#N/A,TRUE,"M5";"M6Print",#N/A,TRUE,"M6";"M6_1Print",#N/A,TRUE,"M6_1";"M6_2Print",#N/A,TRUE,"M6_2";"M7_1Print",#N/A,TRUE,"M7_1";"M7_2Print",#N/A,TRUE,"M7_2"}</definedName>
    <definedName name="wrn.Board._.Reports." localSheetId="3" hidden="1">{#N/A,#N/A,FALSE,"M1s Board";#N/A,#N/A,FALSE,"M3 Board";#N/A,#N/A,FALSE,"M6 Board";#N/A,#N/A,FALSE,"M7";#N/A,#N/A,FALSE,"M7B";#N/A,#N/A,FALSE,"M8";#N/A,#N/A,FALSE,"M8A Board";#N/A,#N/A,FALSE,"AF1 Board"}</definedName>
    <definedName name="wrn.Deposit._.By._.Day." localSheetId="3" hidden="1">{#N/A,#N/A,FALSE,"Deposits by day"}</definedName>
    <definedName name="wrn.Deptartment._.Expenses." localSheetId="3" hidden="1">{#N/A,#N/A,TRUE,"CPRD";#N/A,#N/A,TRUE,"BCCPDR";#N/A,#N/A,TRUE,"EWRD";#N/A,#N/A,TRUE,"5100";#N/A,#N/A,TRUE,"5110"}</definedName>
    <definedName name="wrn.jan." localSheetId="3" hidden="1">{#N/A,#N/A,FALSE,"Jan"}</definedName>
    <definedName name="wrn.M1._.Operating._.Statement." localSheetId="3" hidden="1">{"M1Print",#N/A,FALSE,"M1"}</definedName>
    <definedName name="wrn.M1s._.Statistics." localSheetId="3" hidden="1">{"M1sPrint",#N/A,FALSE,"M1s"}</definedName>
    <definedName name="wrn.M2._.Balance._.Sheet." localSheetId="3" hidden="1">{"M2Print",#N/A,FALSE,"M2"}</definedName>
    <definedName name="wrn.M2a._.Cashflow." localSheetId="3" hidden="1">{"M2aPrint",#N/A,FALSE,"M2a"}</definedName>
    <definedName name="wrn.M4._.Inventories." localSheetId="3" hidden="1">{"M4Print",#N/A,FALSE,"M4"}</definedName>
    <definedName name="wrn.M5._.Flash._.and._.Forecast." localSheetId="3" hidden="1">{"M5Print",#N/A,FALSE,"M5"}</definedName>
    <definedName name="wrn.M6._.Management._.Summary." localSheetId="3" hidden="1">{"M6Print",#N/A,FALSE,"M6";"M6_1Print",#N/A,FALSE,"M6_1";"M6_2Print",#N/A,FALSE,"M6_2"}</definedName>
    <definedName name="wrn.M7._.Financial._.Controllers._.report." localSheetId="3" hidden="1">{"M7_1Print",#N/A,TRUE,"M7_1";"M7_2Print",#N/A,TRUE,"M7_2"}</definedName>
    <definedName name="wrn.ytd." localSheetId="3" hidden="1">{#N/A,#N/A,FALSE,"YTD"}</definedName>
    <definedName name="wrnn.all." localSheetId="3" hidden="1">{#N/A,#N/A,FALSE,"SUM";#N/A,#N/A,FALSE,"SK_TOT";#N/A,#N/A,FALSE,"YM";#N/A,#N/A,FALSE,"TSMC";#N/A,#N/A,FALSE,"ICW";#N/A,#N/A,FALSE,"Sheet1"}</definedName>
    <definedName name="xzxsfd" localSheetId="3" hidden="1">{"M1Print",#N/A,FALSE,"M1"}</definedName>
    <definedName name="苛" localSheetId="3" hidden="1">{"M1sPrint",#N/A,FALSE,"M1s"}</definedName>
    <definedName name="_____dod1" localSheetId="6" hidden="1">{#N/A,#N/A,TRUE,"CPRD";#N/A,#N/A,TRUE,"BCCPDR";#N/A,#N/A,TRUE,"EWRD";#N/A,#N/A,TRUE,"5100";#N/A,#N/A,TRUE,"5110"}</definedName>
    <definedName name="____dod1" localSheetId="6" hidden="1">{#N/A,#N/A,TRUE,"CPRD";#N/A,#N/A,TRUE,"BCCPDR";#N/A,#N/A,TRUE,"EWRD";#N/A,#N/A,TRUE,"5100";#N/A,#N/A,TRUE,"5110"}</definedName>
    <definedName name="___dod1" localSheetId="6" hidden="1">{#N/A,#N/A,TRUE,"CPRD";#N/A,#N/A,TRUE,"BCCPDR";#N/A,#N/A,TRUE,"EWRD";#N/A,#N/A,TRUE,"5100";#N/A,#N/A,TRUE,"5110"}</definedName>
    <definedName name="___dog1" localSheetId="6" hidden="1">{#N/A,#N/A,TRUE,"CPRD";#N/A,#N/A,TRUE,"BCCPDR";#N/A,#N/A,TRUE,"EWRD";#N/A,#N/A,TRUE,"5100";#N/A,#N/A,TRUE,"5110"}</definedName>
    <definedName name="__123Graph_A" localSheetId="6" hidden="1">#REF!</definedName>
    <definedName name="__123Graph_AGraph1" localSheetId="6" hidden="1">#REF!</definedName>
    <definedName name="__123Graph_B" localSheetId="6" hidden="1">#REF!</definedName>
    <definedName name="__123Graph_BGraph1" localSheetId="6" hidden="1">#REF!</definedName>
    <definedName name="__123Graph_D" localSheetId="6" hidden="1">#REF!</definedName>
    <definedName name="__dod1" localSheetId="6" hidden="1">{#N/A,#N/A,TRUE,"CPRD";#N/A,#N/A,TRUE,"BCCPDR";#N/A,#N/A,TRUE,"EWRD";#N/A,#N/A,TRUE,"5100";#N/A,#N/A,TRUE,"5110"}</definedName>
    <definedName name="__dog1" localSheetId="6" hidden="1">{#N/A,#N/A,TRUE,"CPRD";#N/A,#N/A,TRUE,"BCCPDR";#N/A,#N/A,TRUE,"EWRD";#N/A,#N/A,TRUE,"5100";#N/A,#N/A,TRUE,"5110"}</definedName>
    <definedName name="_dod1" localSheetId="6" hidden="1">{#N/A,#N/A,TRUE,"CPRD";#N/A,#N/A,TRUE,"BCCPDR";#N/A,#N/A,TRUE,"EWRD";#N/A,#N/A,TRUE,"5100";#N/A,#N/A,TRUE,"5110"}</definedName>
    <definedName name="_dog1" localSheetId="6" hidden="1">{#N/A,#N/A,TRUE,"CPRD";#N/A,#N/A,TRUE,"BCCPDR";#N/A,#N/A,TRUE,"EWRD";#N/A,#N/A,TRUE,"5100";#N/A,#N/A,TRUE,"5110"}</definedName>
    <definedName name="_Fill" localSheetId="6" hidden="1">#REF!</definedName>
    <definedName name="_Key1" localSheetId="6" hidden="1">#REF!</definedName>
    <definedName name="_Key2" localSheetId="6" hidden="1">#REF!</definedName>
    <definedName name="_Sort" localSheetId="6" hidden="1">#REF!</definedName>
    <definedName name="adas" localSheetId="6" hidden="1">{"M1Print",#N/A,TRUE,"M1";"M2Print",#N/A,TRUE,"M2";"M1sPrint",#N/A,TRUE,"M1s";"M2aPrint",#N/A,TRUE,"M2a";"M4Print",#N/A,TRUE,"M4";"M5Print",#N/A,TRUE,"M5";"M6Print",#N/A,TRUE,"M6";"M6_1Print",#N/A,TRUE,"M6_1";"M6_2Print",#N/A,TRUE,"M6_2";"M7_1Print",#N/A,TRUE,"M7_1";"M7_2Print",#N/A,TRUE,"M7_2"}</definedName>
    <definedName name="AS2TickmarkLS" localSheetId="6" hidden="1">#REF!</definedName>
    <definedName name="ass" localSheetId="6" hidden="1">{#N/A,#N/A,TRUE,"CPRD";#N/A,#N/A,TRUE,"BCCPDR";#N/A,#N/A,TRUE,"EWRD";#N/A,#N/A,TRUE,"5100";#N/A,#N/A,TRUE,"5110"}</definedName>
    <definedName name="BNE_MESSAGES_HIDDEN" localSheetId="6" hidden="1">#REF!</definedName>
    <definedName name="cashflow20030930" localSheetId="6" hidden="1">{"M1Print",#N/A,TRUE,"M1";"M2Print",#N/A,TRUE,"M2";"M1sPrint",#N/A,TRUE,"M1s";"M2aPrint",#N/A,TRUE,"M2a";"M4Print",#N/A,TRUE,"M4";"M5Print",#N/A,TRUE,"M5";"M6Print",#N/A,TRUE,"M6";"M6_1Print",#N/A,TRUE,"M6_1";"M6_2Print",#N/A,TRUE,"M6_2";"M7_1Print",#N/A,TRUE,"M7_1";"M7_2Print",#N/A,TRUE,"M7_2"}</definedName>
    <definedName name="doddd" localSheetId="6" hidden="1">{#N/A,#N/A,TRUE,"CPRD";#N/A,#N/A,TRUE,"BCCPDR";#N/A,#N/A,TRUE,"EWRD";#N/A,#N/A,TRUE,"5100";#N/A,#N/A,TRUE,"5110"}</definedName>
    <definedName name="dog" localSheetId="6" hidden="1">{#N/A,#N/A,TRUE,"CPRD";#N/A,#N/A,TRUE,"BCCPDR";#N/A,#N/A,TRUE,"EWRD";#N/A,#N/A,TRUE,"5100";#N/A,#N/A,TRUE,"5110"}</definedName>
    <definedName name="ehdg" localSheetId="6" hidden="1">{#N/A,#N/A,FALSE,"Jan"}</definedName>
    <definedName name="ExpenseUpload" localSheetId="6" hidden="1">{#N/A,#N/A,TRUE,"CPRD";#N/A,#N/A,TRUE,"BCCPDR";#N/A,#N/A,TRUE,"EWRD";#N/A,#N/A,TRUE,"5100";#N/A,#N/A,TRUE,"5110"}</definedName>
    <definedName name="feedback" localSheetId="6" hidden="1">{#N/A,#N/A,TRUE,"CPRD";#N/A,#N/A,TRUE,"BCCPDR";#N/A,#N/A,TRUE,"EWRD";#N/A,#N/A,TRUE,"5100";#N/A,#N/A,TRUE,"5110"}</definedName>
    <definedName name="HdctTrnd" localSheetId="6" hidden="1">{#N/A,#N/A,TRUE,"CPRD";#N/A,#N/A,TRUE,"BCCPDR";#N/A,#N/A,TRUE,"EWRD";#N/A,#N/A,TRUE,"5100";#N/A,#N/A,TRUE,"5110"}</definedName>
    <definedName name="HTML_Control" localSheetId="6" hidden="1">{"'Vxxe_times_J750 (2)'!$A$3:$E$14"}</definedName>
    <definedName name="LotusGraphChart1" localSheetId="6" hidden="1">#REF!</definedName>
    <definedName name="lotusgraphchart1b" localSheetId="6" hidden="1">#REF!</definedName>
    <definedName name="lotusgraphchart1x" localSheetId="6" hidden="1">#REF!</definedName>
    <definedName name="notused" localSheetId="6" hidden="1">{#N/A,#N/A,TRUE,"CPRD";#N/A,#N/A,TRUE,"BCCPDR";#N/A,#N/A,TRUE,"EWRD";#N/A,#N/A,TRUE,"5100";#N/A,#N/A,TRUE,"5110"}</definedName>
    <definedName name="qwertyuiopasdfghjkl" localSheetId="6" hidden="1">{"M2aPrint",#N/A,FALSE,"M2a"}</definedName>
    <definedName name="qwwertyuiop" localSheetId="6" hidden="1">{"M2Print",#N/A,FALSE,"M2"}</definedName>
    <definedName name="Sheet1_BNE_MESSAGES" localSheetId="6" hidden="1">#REF!</definedName>
    <definedName name="Sheet1_BNE_MESSAGES_HIDDEN" localSheetId="6" hidden="1">#REF!</definedName>
    <definedName name="Sheet1_BNE_MESSAGES_LAMP" localSheetId="6" hidden="1">#REF!</definedName>
    <definedName name="Sheet1_BNE_UPLOAD" localSheetId="6" hidden="1">#REF!</definedName>
    <definedName name="Sheet1_GL_INTERFACE_ACCOUNTING_DATE" localSheetId="6" hidden="1">#REF!</definedName>
    <definedName name="Sheet1_GL_INTERFACE_ACTUAL_FLAG" localSheetId="6" hidden="1">#REF!</definedName>
    <definedName name="Sheet1_GL_INTERFACE_CURRENCY_CODE" localSheetId="6" hidden="1">#REF!</definedName>
    <definedName name="Sheet1_GL_INTERFACE_DATABASE" localSheetId="6" hidden="1">#REF!</definedName>
    <definedName name="Sheet1_GL_INTERFACE_ENTERED_CR" localSheetId="6" hidden="1">#REF!</definedName>
    <definedName name="Sheet1_GL_INTERFACE_ENTERED_DR" localSheetId="6" hidden="1">#REF!</definedName>
    <definedName name="Sheet1_GL_INTERFACE_REFERENCE1" localSheetId="6" hidden="1">#REF!</definedName>
    <definedName name="Sheet1_GL_INTERFACE_REFERENCE10" localSheetId="6" hidden="1">#REF!</definedName>
    <definedName name="Sheet1_GL_INTERFACE_REFERENCE4" localSheetId="6" hidden="1">#REF!</definedName>
    <definedName name="Sheet1_GL_INTERFACE_REFERENCE5" localSheetId="6" hidden="1">#REF!</definedName>
    <definedName name="Sheet1_GL_INTERFACE_REFERENCE6" localSheetId="6" hidden="1">#REF!</definedName>
    <definedName name="Sheet1_GL_INTERFACE_REFERENCE7" localSheetId="6" hidden="1">#REF!</definedName>
    <definedName name="Sheet1_GL_INTERFACE_REFERENCE8" localSheetId="6" hidden="1">#REF!</definedName>
    <definedName name="Sheet1_GL_INTERFACE_SEGMENT1" localSheetId="6" hidden="1">#REF!</definedName>
    <definedName name="Sheet1_GL_INTERFACE_SEGMENT2" localSheetId="6" hidden="1">#REF!</definedName>
    <definedName name="Sheet1_GL_INTERFACE_SEGMENT3" localSheetId="6" hidden="1">#REF!</definedName>
    <definedName name="Sheet1_GL_INTERFACE_SEGMENT4" localSheetId="6" hidden="1">#REF!</definedName>
    <definedName name="Sheet1_GL_INTERFACE_SEGMENT5" localSheetId="6" hidden="1">#REF!</definedName>
    <definedName name="Sheet1_GL_INTERFACE_SEGMENT6" localSheetId="6" hidden="1">#REF!</definedName>
    <definedName name="Sheet1_GL_INTERFACE_SET_OF_BOOKS_ID" localSheetId="6" hidden="1">#REF!</definedName>
    <definedName name="Sheet1_GL_INTERFACE_USER_JE_CATEGORY_NAME" localSheetId="6" hidden="1">#REF!</definedName>
    <definedName name="Sheet1_GL_INTERFACE_USER_JE_SOURCE_NAME" localSheetId="6" hidden="1">#REF!</definedName>
    <definedName name="wrn.Aging._.and._.Trend._.Analysis." localSheetId="6" hidden="1">{#N/A,#N/A,FALSE,"Aging Summary";#N/A,#N/A,FALSE,"Ratio Analysis";#N/A,#N/A,FALSE,"Test 120 Day Accts";#N/A,#N/A,FALSE,"Tickmarks"}</definedName>
    <definedName name="wrn.ALL." localSheetId="6" hidden="1">{#N/A,#N/A,FALSE,"SUM";#N/A,#N/A,FALSE,"SK_TOT";#N/A,#N/A,FALSE,"YM";#N/A,#N/A,FALSE,"TSMC";#N/A,#N/A,FALSE,"ICW";#N/A,#N/A,FALSE,"Sheet1"}</definedName>
    <definedName name="wrn.All._.M._.Schedules." localSheetId="6" hidden="1">{"M1Print",#N/A,TRUE,"M1";"M2Print",#N/A,TRUE,"M2";"M1sPrint",#N/A,TRUE,"M1s";"M2aPrint",#N/A,TRUE,"M2a";"M4Print",#N/A,TRUE,"M4";"M5Print",#N/A,TRUE,"M5";"M6Print",#N/A,TRUE,"M6";"M6_1Print",#N/A,TRUE,"M6_1";"M6_2Print",#N/A,TRUE,"M6_2";"M7_1Print",#N/A,TRUE,"M7_1";"M7_2Print",#N/A,TRUE,"M7_2"}</definedName>
    <definedName name="wrn.all._.M._.Schedules.1" localSheetId="6" hidden="1">{"M1Print",#N/A,TRUE,"M1";"M2Print",#N/A,TRUE,"M2";"M1sPrint",#N/A,TRUE,"M1s";"M2aPrint",#N/A,TRUE,"M2a";"M4Print",#N/A,TRUE,"M4";"M5Print",#N/A,TRUE,"M5";"M6Print",#N/A,TRUE,"M6";"M6_1Print",#N/A,TRUE,"M6_1";"M6_2Print",#N/A,TRUE,"M6_2";"M7_1Print",#N/A,TRUE,"M7_1";"M7_2Print",#N/A,TRUE,"M7_2"}</definedName>
    <definedName name="wrn.Board._.Reports." localSheetId="6" hidden="1">{#N/A,#N/A,FALSE,"M1s Board";#N/A,#N/A,FALSE,"M3 Board";#N/A,#N/A,FALSE,"M6 Board";#N/A,#N/A,FALSE,"M7";#N/A,#N/A,FALSE,"M7B";#N/A,#N/A,FALSE,"M8";#N/A,#N/A,FALSE,"M8A Board";#N/A,#N/A,FALSE,"AF1 Board"}</definedName>
    <definedName name="wrn.Deposit._.By._.Day." localSheetId="6" hidden="1">{#N/A,#N/A,FALSE,"Deposits by day"}</definedName>
    <definedName name="wrn.Deptartment._.Expenses." localSheetId="6" hidden="1">{#N/A,#N/A,TRUE,"CPRD";#N/A,#N/A,TRUE,"BCCPDR";#N/A,#N/A,TRUE,"EWRD";#N/A,#N/A,TRUE,"5100";#N/A,#N/A,TRUE,"5110"}</definedName>
    <definedName name="wrn.jan." localSheetId="6" hidden="1">{#N/A,#N/A,FALSE,"Jan"}</definedName>
    <definedName name="wrn.M1._.Operating._.Statement." localSheetId="6" hidden="1">{"M1Print",#N/A,FALSE,"M1"}</definedName>
    <definedName name="wrn.M1s._.Statistics." localSheetId="6" hidden="1">{"M1sPrint",#N/A,FALSE,"M1s"}</definedName>
    <definedName name="wrn.M2._.Balance._.Sheet." localSheetId="6" hidden="1">{"M2Print",#N/A,FALSE,"M2"}</definedName>
    <definedName name="wrn.M2a._.Cashflow." localSheetId="6" hidden="1">{"M2aPrint",#N/A,FALSE,"M2a"}</definedName>
    <definedName name="wrn.M4._.Inventories." localSheetId="6" hidden="1">{"M4Print",#N/A,FALSE,"M4"}</definedName>
    <definedName name="wrn.M5._.Flash._.and._.Forecast." localSheetId="6" hidden="1">{"M5Print",#N/A,FALSE,"M5"}</definedName>
    <definedName name="wrn.M6._.Management._.Summary." localSheetId="6" hidden="1">{"M6Print",#N/A,FALSE,"M6";"M6_1Print",#N/A,FALSE,"M6_1";"M6_2Print",#N/A,FALSE,"M6_2"}</definedName>
    <definedName name="wrn.M7._.Financial._.Controllers._.report." localSheetId="6" hidden="1">{"M7_1Print",#N/A,TRUE,"M7_1";"M7_2Print",#N/A,TRUE,"M7_2"}</definedName>
    <definedName name="wrn.ytd." localSheetId="6" hidden="1">{#N/A,#N/A,FALSE,"YTD"}</definedName>
    <definedName name="wrnn.all." localSheetId="6" hidden="1">{#N/A,#N/A,FALSE,"SUM";#N/A,#N/A,FALSE,"SK_TOT";#N/A,#N/A,FALSE,"YM";#N/A,#N/A,FALSE,"TSMC";#N/A,#N/A,FALSE,"ICW";#N/A,#N/A,FALSE,"Sheet1"}</definedName>
    <definedName name="XREF_COLUMN_1" localSheetId="6" hidden="1">#REF!</definedName>
    <definedName name="XREF_COLUMN_10" localSheetId="6" hidden="1">#REF!</definedName>
    <definedName name="XREF_COLUMN_11" localSheetId="6" hidden="1">#REF!</definedName>
    <definedName name="XREF_COLUMN_12" localSheetId="6" hidden="1">#REF!</definedName>
    <definedName name="XREF_COLUMN_19" localSheetId="6" hidden="1">#REF!</definedName>
    <definedName name="XREF_COLUMN_2" localSheetId="6" hidden="1">#REF!</definedName>
    <definedName name="XREF_COLUMN_20" localSheetId="6" hidden="1">#REF!</definedName>
    <definedName name="XREF_COLUMN_21" localSheetId="6" hidden="1">#REF!</definedName>
    <definedName name="XREF_COLUMN_3" localSheetId="6" hidden="1">#REF!</definedName>
    <definedName name="XREF_COLUMN_4" localSheetId="6" hidden="1">#REF!</definedName>
    <definedName name="XREF_COLUMN_5" localSheetId="6" hidden="1">#REF!</definedName>
    <definedName name="XREF_COLUMN_6" localSheetId="6" hidden="1">#REF!</definedName>
    <definedName name="XREF_COLUMN_7" localSheetId="6" hidden="1">#REF!</definedName>
    <definedName name="XRefActiveRow" localSheetId="6" hidden="1">#REF!</definedName>
    <definedName name="XRefCopy1" localSheetId="6" hidden="1">#REF!</definedName>
    <definedName name="XRefCopy10" localSheetId="6" hidden="1">#REF!</definedName>
    <definedName name="XRefCopy10Row" localSheetId="6" hidden="1">#REF!</definedName>
    <definedName name="XRefCopy11" localSheetId="6" hidden="1">#REF!</definedName>
    <definedName name="XRefCopy11Row" localSheetId="6" hidden="1">#REF!</definedName>
    <definedName name="XRefCopy12" localSheetId="6" hidden="1">#REF!</definedName>
    <definedName name="XRefCopy13" localSheetId="6" hidden="1">#REF!</definedName>
    <definedName name="XRefCopy13Row" localSheetId="6" hidden="1">#REF!</definedName>
    <definedName name="XRefCopy14" localSheetId="6" hidden="1">#REF!</definedName>
    <definedName name="XRefCopy15" localSheetId="6" hidden="1">#REF!</definedName>
    <definedName name="XRefCopy16Row" localSheetId="6" hidden="1">#REF!</definedName>
    <definedName name="XRefCopy1Row" localSheetId="6" hidden="1">#REF!</definedName>
    <definedName name="XRefCopy2" localSheetId="6" hidden="1">#REF!</definedName>
    <definedName name="XRefCopy2Row" localSheetId="6" hidden="1">#REF!</definedName>
    <definedName name="XRefCopy3" localSheetId="6" hidden="1">#REF!</definedName>
    <definedName name="XRefCopy3Row" localSheetId="6" hidden="1">#REF!</definedName>
    <definedName name="XRefCopy4" localSheetId="6" hidden="1">#REF!</definedName>
    <definedName name="XRefCopy46" localSheetId="6" hidden="1">#REF!</definedName>
    <definedName name="XRefCopy47" localSheetId="6" hidden="1">#REF!</definedName>
    <definedName name="XRefCopy47Row" localSheetId="6" hidden="1">#REF!</definedName>
    <definedName name="XRefCopy48" localSheetId="6" hidden="1">#REF!</definedName>
    <definedName name="XRefCopy48Row" localSheetId="6" hidden="1">#REF!</definedName>
    <definedName name="XRefCopy49" localSheetId="6" hidden="1">#REF!</definedName>
    <definedName name="XRefCopy49Row" localSheetId="6" hidden="1">#REF!</definedName>
    <definedName name="XRefCopy4Row" localSheetId="6" hidden="1">#REF!</definedName>
    <definedName name="XRefCopy5" localSheetId="6" hidden="1">#REF!</definedName>
    <definedName name="XRefCopy50" localSheetId="6" hidden="1">#REF!</definedName>
    <definedName name="XRefCopy50Row" localSheetId="6" hidden="1">#REF!</definedName>
    <definedName name="XRefCopy51" localSheetId="6" hidden="1">#REF!</definedName>
    <definedName name="XRefCopy52" localSheetId="6" hidden="1">#REF!</definedName>
    <definedName name="XRefCopy52Row" localSheetId="6" hidden="1">#REF!</definedName>
    <definedName name="XRefCopy53" localSheetId="6" hidden="1">#REF!</definedName>
    <definedName name="XRefCopy53Row" localSheetId="6" hidden="1">#REF!</definedName>
    <definedName name="XRefCopy54" localSheetId="6" hidden="1">#REF!</definedName>
    <definedName name="XRefCopy54Row" localSheetId="6" hidden="1">#REF!</definedName>
    <definedName name="XRefCopy55" localSheetId="6" hidden="1">#REF!</definedName>
    <definedName name="XRefCopy55Row" localSheetId="6" hidden="1">#REF!</definedName>
    <definedName name="XRefCopy56" localSheetId="6" hidden="1">#REF!</definedName>
    <definedName name="XRefCopy56Row" localSheetId="6" hidden="1">#REF!</definedName>
    <definedName name="XRefCopy57" localSheetId="6" hidden="1">#REF!</definedName>
    <definedName name="XRefCopy57Row" localSheetId="6" hidden="1">#REF!</definedName>
    <definedName name="XRefCopy5Row" localSheetId="6" hidden="1">#REF!</definedName>
    <definedName name="XRefCopy6" localSheetId="6" hidden="1">#REF!</definedName>
    <definedName name="XRefCopy6Row" localSheetId="6" hidden="1">#REF!</definedName>
    <definedName name="XRefCopy7" localSheetId="6" hidden="1">#REF!</definedName>
    <definedName name="XRefCopy7Row" localSheetId="6" hidden="1">#REF!</definedName>
    <definedName name="XRefCopy8" localSheetId="6" hidden="1">#REF!</definedName>
    <definedName name="XRefCopy8Row" localSheetId="6" hidden="1">#REF!</definedName>
    <definedName name="XRefCopy9" localSheetId="6" hidden="1">#REF!</definedName>
    <definedName name="XRefCopy9Row" localSheetId="6" hidden="1">#REF!</definedName>
    <definedName name="XRefPaste1" localSheetId="6" hidden="1">#REF!</definedName>
    <definedName name="XRefPaste10" localSheetId="6" hidden="1">#REF!</definedName>
    <definedName name="XRefPaste11" localSheetId="6" hidden="1">#REF!</definedName>
    <definedName name="XRefPaste1Row" localSheetId="6" hidden="1">#REF!</definedName>
    <definedName name="XRefPaste2" localSheetId="6" hidden="1">#REF!</definedName>
    <definedName name="XRefPaste24" localSheetId="6" hidden="1">#REF!</definedName>
    <definedName name="XRefPaste24Row" localSheetId="6" hidden="1">#REF!</definedName>
    <definedName name="XRefPaste25" localSheetId="6" hidden="1">#REF!</definedName>
    <definedName name="XRefPaste25Row" localSheetId="6" hidden="1">#REF!</definedName>
    <definedName name="XRefPaste26" localSheetId="6" hidden="1">#REF!</definedName>
    <definedName name="XRefPaste26Row" localSheetId="6" hidden="1">#REF!</definedName>
    <definedName name="XRefPaste27" localSheetId="6" hidden="1">#REF!</definedName>
    <definedName name="XRefPaste27Row" localSheetId="6" hidden="1">#REF!</definedName>
    <definedName name="XRefPaste28" localSheetId="6" hidden="1">#REF!</definedName>
    <definedName name="XRefPaste28Row" localSheetId="6" hidden="1">#REF!</definedName>
    <definedName name="XRefPaste29" localSheetId="6" hidden="1">#REF!</definedName>
    <definedName name="XRefPaste29Row" localSheetId="6" hidden="1">#REF!</definedName>
    <definedName name="XRefPaste2Row" localSheetId="6" hidden="1">#REF!</definedName>
    <definedName name="XRefPaste3" localSheetId="6" hidden="1">#REF!</definedName>
    <definedName name="XRefPaste3Row" localSheetId="6" hidden="1">#REF!</definedName>
    <definedName name="XRefPaste4" localSheetId="6" hidden="1">#REF!</definedName>
    <definedName name="XRefPaste4Row" localSheetId="6" hidden="1">#REF!</definedName>
    <definedName name="XRefPaste5" localSheetId="6" hidden="1">#REF!</definedName>
    <definedName name="XRefPaste6" localSheetId="6" hidden="1">#REF!</definedName>
    <definedName name="XRefPaste6Row" localSheetId="6" hidden="1">#REF!</definedName>
    <definedName name="XRefPaste7" localSheetId="6" hidden="1">#REF!</definedName>
    <definedName name="XRefPaste8" localSheetId="6" hidden="1">#REF!</definedName>
    <definedName name="XRefPaste9" localSheetId="6" hidden="1">#REF!</definedName>
    <definedName name="xzxsfd" localSheetId="6" hidden="1">{"M1Print",#N/A,FALSE,"M1"}</definedName>
    <definedName name="Z_1711050D_B2D8_42FB_A40D_E4BD90297684_.wvu.Cols" localSheetId="6" hidden="1">#REF!,#REF!,#REF!,#REF!,#REF!</definedName>
    <definedName name="Z_E738B51C_56AE_4F9F_8D8A_36AD6137B90D_.wvu.Cols" localSheetId="6" hidden="1">#REF!</definedName>
    <definedName name="Z_E738B51C_56AE_4F9F_8D8A_36AD6137B90D_.wvu.PrintArea" localSheetId="6" hidden="1">#REF!</definedName>
    <definedName name="Z_E738B51C_56AE_4F9F_8D8A_36AD6137B90D_.wvu.PrintTitles" localSheetId="6" hidden="1">#REF!,#REF!</definedName>
    <definedName name="Z_E738B51C_56AE_4F9F_8D8A_36AD6137B90D_.wvu.Rows" localSheetId="6" hidden="1">#REF!</definedName>
    <definedName name="苛" localSheetId="6" hidden="1">{"M1sPrint",#N/A,FALSE,"M1s"}</definedName>
  </definedNames>
  <calcPr calcId="191028" calcMode="auto" fullCalcOnLoad="1" forceFullCalc="1"/>
</workbook>
</file>

<file path=xl/styles.xml><?xml version="1.0" encoding="utf-8"?>
<styleSheet xmlns="http://schemas.openxmlformats.org/spreadsheetml/2006/main">
  <numFmts count="8">
    <numFmt numFmtId="164" formatCode="_(&quot;$&quot;* #,##0_);_(&quot;$&quot;* \(#,##0\);_(&quot;$&quot;* &quot;-&quot;??_);_(@_)"/>
    <numFmt numFmtId="165" formatCode="_(* #,##0_);_(* \(#,##0\);_(* &quot;-&quot;??_);_(@_)"/>
    <numFmt numFmtId="166" formatCode="_ * #,##0.00_ ;_ * \-#,##0.00_ ;_ * &quot;-&quot;??_ ;_ @_ "/>
    <numFmt numFmtId="167" formatCode="#,##0;\(#,##0\);\-#,##0"/>
    <numFmt numFmtId="168" formatCode="0.0%"/>
    <numFmt numFmtId="169" formatCode="_([$€-2]* #,##0.00000_);_([$€-2]* \(#,##0.00000\);_([$€-2]* &quot;-&quot;??_)"/>
    <numFmt numFmtId="170" formatCode="_(&quot;$&quot;* #,##0.00_);_(&quot;$&quot;* \(#,##0.00\);_(&quot;$&quot;* &quot;-&quot;??_);_(@_)"/>
    <numFmt numFmtId="171" formatCode="yyyy/mm/dd"/>
  </numFmts>
  <fonts count="121">
    <font>
      <name val="等线"/>
      <charset val="134"/>
      <color theme="1"/>
      <sz val="11"/>
      <scheme val="minor"/>
    </font>
    <font>
      <name val="等线"/>
      <charset val="134"/>
      <family val="2"/>
      <color theme="1"/>
      <sz val="11"/>
      <scheme val="minor"/>
    </font>
    <font>
      <name val="等线"/>
      <charset val="134"/>
      <family val="2"/>
      <color theme="1"/>
      <sz val="11"/>
      <scheme val="minor"/>
    </font>
    <font>
      <name val="Arial"/>
      <family val="2"/>
      <color theme="1"/>
      <sz val="11"/>
    </font>
    <font>
      <name val="Arial"/>
      <family val="2"/>
      <color rgb="FF000000"/>
      <sz val="10"/>
    </font>
    <font>
      <name val="Arial"/>
      <family val="2"/>
      <sz val="10"/>
    </font>
    <font>
      <name val="Arial"/>
      <family val="2"/>
      <color theme="1"/>
      <sz val="10"/>
    </font>
    <font>
      <name val="Arial"/>
      <family val="2"/>
      <b val="1"/>
      <color rgb="FF000000"/>
      <sz val="10"/>
    </font>
    <font>
      <name val="等线"/>
      <charset val="134"/>
      <family val="3"/>
      <color theme="10"/>
      <sz val="11"/>
      <u val="single"/>
      <scheme val="minor"/>
    </font>
    <font>
      <name val="宋体"/>
      <charset val="134"/>
      <family val="3"/>
      <sz val="12"/>
    </font>
    <font>
      <name val="等线"/>
      <charset val="134"/>
      <family val="3"/>
      <b val="1"/>
      <color theme="0"/>
      <sz val="11"/>
      <scheme val="minor"/>
    </font>
    <font>
      <name val="Calibri"/>
      <family val="2"/>
      <color rgb="FF000000"/>
      <sz val="11"/>
    </font>
    <font>
      <name val="等线"/>
      <charset val="134"/>
      <family val="3"/>
      <color rgb="FF006100"/>
      <sz val="11"/>
      <scheme val="minor"/>
    </font>
    <font>
      <name val="EYInterstate Light"/>
      <sz val="8"/>
    </font>
    <font>
      <name val="宋体"/>
      <charset val="134"/>
      <family val="3"/>
      <sz val="10"/>
    </font>
    <font>
      <name val="Arial"/>
      <family val="2"/>
      <strike val="1"/>
      <sz val="10"/>
    </font>
    <font>
      <name val="等线"/>
      <charset val="134"/>
      <family val="3"/>
      <sz val="10"/>
      <scheme val="minor"/>
    </font>
    <font>
      <name val="Calibri"/>
      <family val="2"/>
      <color indexed="8"/>
      <sz val="11"/>
    </font>
    <font>
      <name val="楷体"/>
      <charset val="134"/>
      <family val="3"/>
      <sz val="12"/>
    </font>
    <font>
      <name val="微软雅黑"/>
      <charset val="134"/>
      <family val="2"/>
      <color rgb="FF000000"/>
      <sz val="10"/>
    </font>
    <font>
      <name val="微软雅黑"/>
      <charset val="134"/>
      <family val="2"/>
      <color theme="1"/>
      <sz val="10"/>
    </font>
    <font>
      <name val="微软雅黑"/>
      <charset val="134"/>
      <family val="2"/>
      <b val="1"/>
      <color rgb="FFFF0000"/>
      <sz val="10"/>
    </font>
    <font>
      <name val="微软雅黑"/>
      <charset val="134"/>
      <family val="2"/>
      <b val="1"/>
      <color theme="1"/>
      <sz val="10"/>
    </font>
    <font>
      <name val="微软雅黑"/>
      <charset val="134"/>
      <family val="2"/>
      <b val="1"/>
      <sz val="10"/>
    </font>
    <font>
      <name val="等线"/>
      <charset val="134"/>
      <family val="3"/>
      <color theme="1"/>
      <sz val="11"/>
      <scheme val="minor"/>
    </font>
    <font>
      <name val="等线"/>
      <charset val="134"/>
      <family val="3"/>
      <sz val="9"/>
      <scheme val="minor"/>
    </font>
    <font>
      <name val="等线"/>
      <charset val="134"/>
      <family val="2"/>
      <color theme="1"/>
      <sz val="11"/>
      <scheme val="minor"/>
    </font>
    <font>
      <name val="宋体"/>
      <charset val="134"/>
      <family val="3"/>
      <color indexed="12"/>
      <sz val="10"/>
      <u val="single"/>
    </font>
    <font>
      <name val="等线"/>
      <charset val="134"/>
      <family val="2"/>
      <sz val="9"/>
      <scheme val="minor"/>
    </font>
    <font>
      <name val="Arial"/>
      <family val="2"/>
      <b val="1"/>
      <color rgb="FFFF0000"/>
      <sz val="10"/>
    </font>
    <font>
      <name val="Arial"/>
      <family val="2"/>
      <color rgb="FFFF0000"/>
      <sz val="10"/>
    </font>
    <font>
      <name val="Arial"/>
      <family val="2"/>
      <b val="1"/>
      <sz val="10"/>
    </font>
    <font>
      <name val="Arial"/>
      <family val="2"/>
      <color theme="10"/>
      <sz val="11"/>
      <u val="single"/>
    </font>
    <font>
      <name val="Arial"/>
      <family val="2"/>
      <color theme="1"/>
      <sz val="14"/>
    </font>
    <font>
      <name val="Arial"/>
      <family val="2"/>
      <b val="1"/>
      <color indexed="10"/>
      <sz val="10"/>
    </font>
    <font>
      <name val="Arial"/>
      <family val="2"/>
      <b val="1"/>
      <color theme="1"/>
      <sz val="10"/>
    </font>
    <font>
      <name val="等线"/>
      <family val="2"/>
      <color theme="1"/>
      <sz val="11"/>
      <scheme val="minor"/>
    </font>
    <font>
      <name val="Arial"/>
      <charset val="134"/>
      <family val="2"/>
      <b val="1"/>
      <color theme="1"/>
      <sz val="10"/>
    </font>
    <font>
      <name val="Arial"/>
      <family val="2"/>
      <b val="1"/>
      <color theme="0"/>
      <sz val="14"/>
    </font>
    <font>
      <name val="等线"/>
      <charset val="128"/>
      <family val="3"/>
      <sz val="6"/>
      <scheme val="minor"/>
    </font>
    <font>
      <name val="Arial"/>
      <family val="2"/>
      <b val="1"/>
      <color rgb="FFFFC000"/>
      <sz val="14"/>
    </font>
    <font>
      <name val="Arial"/>
      <family val="2"/>
      <b val="1"/>
      <color rgb="FF000000"/>
      <sz val="12"/>
    </font>
    <font>
      <name val="EYInterstate Light"/>
      <family val="2"/>
      <sz val="8"/>
    </font>
    <font>
      <name val="Arial"/>
      <family val="2"/>
      <b val="1"/>
      <i val="1"/>
      <color rgb="FFFF0000"/>
      <sz val="10"/>
    </font>
    <font>
      <name val="EYInterstate Light"/>
      <b val="1"/>
      <i val="1"/>
      <color theme="0"/>
      <sz val="10"/>
    </font>
    <font>
      <name val="SimSun"/>
      <charset val="134"/>
      <family val="3"/>
      <color theme="1"/>
      <sz val="11"/>
    </font>
    <font>
      <name val="SimSun"/>
      <charset val="134"/>
      <family val="3"/>
      <color theme="10"/>
      <sz val="11"/>
      <u val="single"/>
    </font>
    <font>
      <name val="SimSun"/>
      <charset val="134"/>
      <family val="3"/>
      <color theme="1"/>
      <sz val="11"/>
    </font>
    <font>
      <name val="等线"/>
      <family val="2"/>
      <sz val="8"/>
      <scheme val="minor"/>
    </font>
    <font>
      <name val="Arial"/>
      <family val="2"/>
      <b val="1"/>
      <color indexed="8"/>
      <sz val="12"/>
    </font>
    <font>
      <name val="Arial"/>
      <family val="2"/>
      <b val="1"/>
      <color indexed="8"/>
      <sz val="18"/>
    </font>
    <font>
      <name val="等线"/>
      <family val="2"/>
      <color theme="10"/>
      <sz val="11"/>
      <u val="single"/>
      <scheme val="minor"/>
    </font>
    <font>
      <name val="Arial"/>
      <family val="2"/>
      <b val="1"/>
      <strike val="1"/>
      <color rgb="FFFF0000"/>
      <sz val="10"/>
    </font>
    <font>
      <name val="Arial"/>
      <family val="2"/>
      <b val="1"/>
      <color rgb="FFFFFFFF"/>
      <sz val="14"/>
    </font>
    <font>
      <name val="Arial"/>
      <family val="2"/>
      <color rgb="FFFFFFFF"/>
      <sz val="10"/>
    </font>
    <font>
      <name val="Arial"/>
      <family val="2"/>
      <color theme="10"/>
      <sz val="10"/>
      <u val="single"/>
    </font>
    <font>
      <name val="等线"/>
      <charset val="134"/>
      <family val="3"/>
      <color rgb="FFFF0000"/>
      <sz val="11"/>
      <u val="single"/>
      <scheme val="minor"/>
    </font>
    <font>
      <name val="Arial"/>
      <family val="2"/>
      <color rgb="FFFF0000"/>
      <sz val="11"/>
      <u val="single"/>
    </font>
    <font>
      <name val="Arial"/>
      <family val="2"/>
      <i val="1"/>
      <sz val="10"/>
    </font>
    <font>
      <name val="微软雅黑"/>
      <charset val="134"/>
      <family val="2"/>
      <b val="1"/>
      <color rgb="FFFF0000"/>
      <sz val="14"/>
    </font>
    <font>
      <name val="Arial"/>
      <family val="2"/>
      <b val="1"/>
      <color rgb="FF000000"/>
      <sz val="14"/>
    </font>
    <font>
      <name val="Arial"/>
      <family val="2"/>
      <b val="1"/>
      <color theme="4"/>
      <sz val="10"/>
      <u val="single"/>
    </font>
    <font>
      <name val="微软雅黑"/>
      <charset val="134"/>
      <family val="2"/>
      <color rgb="FFFF0000"/>
      <sz val="11"/>
      <u val="single"/>
    </font>
    <font>
      <name val="微软雅黑"/>
      <family val="2"/>
      <color rgb="FF000000"/>
      <sz val="10"/>
    </font>
    <font>
      <name val="微软雅黑"/>
      <family val="2"/>
      <sz val="10"/>
    </font>
    <font>
      <name val="Arial"/>
      <family val="2"/>
      <b val="1"/>
      <sz val="14"/>
    </font>
    <font>
      <name val="微软雅黑"/>
      <charset val="134"/>
      <family val="2"/>
      <color theme="1"/>
      <sz val="10"/>
    </font>
    <font>
      <name val="微软雅黑"/>
      <family val="2"/>
      <color theme="1"/>
      <sz val="10"/>
    </font>
    <font>
      <name val="微软雅黑"/>
      <family val="2"/>
      <b val="1"/>
      <color rgb="FFFF0000"/>
      <sz val="10"/>
    </font>
    <font>
      <name val="微软雅黑"/>
      <family val="2"/>
      <b val="1"/>
      <color theme="1"/>
      <sz val="10"/>
    </font>
    <font>
      <name val="微软雅黑"/>
      <family val="2"/>
      <color rgb="FFFF0000"/>
      <sz val="10"/>
    </font>
    <font>
      <name val="微软雅黑"/>
      <charset val="134"/>
      <family val="2"/>
      <b val="1"/>
      <color rgb="FF000000"/>
      <sz val="14"/>
    </font>
    <font>
      <name val="微软雅黑"/>
      <family val="2"/>
      <b val="1"/>
      <color rgb="FF000000"/>
      <sz val="14"/>
    </font>
    <font>
      <name val="微软雅黑"/>
      <family val="2"/>
      <b val="1"/>
      <color rgb="FF000000"/>
      <sz val="10"/>
    </font>
    <font>
      <name val="微软雅黑"/>
      <family val="2"/>
      <b val="1"/>
      <sz val="10"/>
    </font>
    <font>
      <name val="微软雅黑"/>
      <family val="2"/>
      <b val="1"/>
      <color theme="4"/>
      <sz val="10"/>
      <u val="single"/>
    </font>
    <font>
      <name val="微软雅黑"/>
      <charset val="134"/>
      <family val="2"/>
      <b val="1"/>
      <color theme="0"/>
      <sz val="14"/>
    </font>
    <font>
      <name val="微软雅黑"/>
      <family val="2"/>
      <color theme="1"/>
      <sz val="14"/>
    </font>
    <font>
      <name val="微软雅黑"/>
      <family val="2"/>
      <b val="1"/>
      <color rgb="FFFFC000"/>
      <sz val="14"/>
    </font>
    <font>
      <name val="微软雅黑"/>
      <family val="2"/>
      <b val="1"/>
      <color rgb="FF000000"/>
      <sz val="12"/>
    </font>
    <font>
      <name val="微软雅黑"/>
      <family val="2"/>
      <color theme="1"/>
      <sz val="11"/>
    </font>
    <font>
      <name val="微软雅黑"/>
      <family val="2"/>
      <color rgb="FFFF0000"/>
      <sz val="11"/>
      <u val="single"/>
    </font>
    <font>
      <name val="微软雅黑"/>
      <family val="2"/>
      <b val="1"/>
      <color indexed="10"/>
      <sz val="10"/>
    </font>
    <font>
      <name val="微软雅黑"/>
      <family val="2"/>
      <b val="1"/>
      <i val="1"/>
      <color rgb="FFFF0000"/>
      <sz val="10"/>
    </font>
    <font>
      <name val="微软雅黑"/>
      <family val="2"/>
      <i val="1"/>
      <sz val="10"/>
    </font>
    <font>
      <name val="微软雅黑"/>
      <family val="2"/>
      <b val="1"/>
      <color theme="0"/>
      <sz val="14"/>
    </font>
    <font>
      <name val="微软雅黑"/>
      <family val="2"/>
      <b val="1"/>
      <color indexed="8"/>
      <sz val="12"/>
    </font>
    <font>
      <name val="微软雅黑"/>
      <family val="2"/>
      <b val="1"/>
      <color rgb="FFFFFFFF"/>
      <sz val="14"/>
    </font>
    <font>
      <name val="微软雅黑"/>
      <family val="2"/>
      <b val="1"/>
      <i val="1"/>
      <sz val="10"/>
    </font>
    <font>
      <name val="微软雅黑"/>
      <family val="2"/>
      <b val="1"/>
      <color indexed="8"/>
      <sz val="18"/>
    </font>
    <font>
      <name val="微软雅黑"/>
      <family val="2"/>
      <color rgb="FF2E2E38"/>
      <sz val="7"/>
    </font>
    <font>
      <name val="Arial"/>
      <family val="2"/>
      <color theme="1"/>
      <sz val="10"/>
    </font>
    <font>
      <name val="Arial"/>
      <family val="2"/>
      <color rgb="FF000000"/>
      <sz val="12"/>
    </font>
    <font>
      <name val="Arial"/>
      <family val="2"/>
      <color theme="1"/>
      <sz val="12"/>
    </font>
    <font>
      <name val="Arial"/>
      <family val="2"/>
      <color theme="1"/>
      <sz val="11"/>
    </font>
    <font>
      <name val="Arial"/>
      <family val="2"/>
      <color indexed="10"/>
      <sz val="10"/>
    </font>
    <font>
      <name val="Arial"/>
      <family val="2"/>
      <color rgb="FF242424"/>
      <sz val="10"/>
    </font>
    <font>
      <name val="Arial"/>
      <family val="2"/>
      <b val="1"/>
      <sz val="12"/>
    </font>
    <font>
      <name val="Arial"/>
      <family val="2"/>
      <b val="1"/>
      <color rgb="FFFF0000"/>
      <sz val="12"/>
    </font>
    <font>
      <name val="Arial"/>
      <family val="2"/>
      <b val="1"/>
      <color rgb="FFFF0000"/>
      <sz val="10"/>
      <vertAlign val="superscript"/>
    </font>
    <font>
      <name val="Arial"/>
      <family val="2"/>
      <b val="1"/>
      <color rgb="FF0000FF"/>
      <sz val="10"/>
    </font>
    <font>
      <name val="Arial"/>
      <family val="2"/>
      <b val="1"/>
      <strike val="1"/>
      <color rgb="FF0000FF"/>
      <sz val="10"/>
    </font>
    <font>
      <name val="Arial"/>
      <family val="2"/>
      <b val="1"/>
      <color indexed="10"/>
      <sz val="10"/>
    </font>
    <font>
      <name val="Arial"/>
      <family val="2"/>
      <i val="1"/>
      <color rgb="FF000000"/>
      <sz val="10"/>
    </font>
    <font>
      <name val="Arial"/>
      <family val="2"/>
      <b val="1"/>
      <i val="1"/>
      <color theme="1"/>
      <sz val="10"/>
    </font>
    <font>
      <name val="微软雅黑"/>
      <charset val="134"/>
      <family val="2"/>
      <b val="1"/>
      <color indexed="8"/>
      <sz val="12"/>
    </font>
    <font>
      <name val="微软雅黑"/>
      <charset val="134"/>
      <family val="2"/>
      <b val="1"/>
      <color rgb="FF000000"/>
      <sz val="12"/>
    </font>
    <font>
      <name val="微软雅黑"/>
      <charset val="134"/>
      <family val="2"/>
      <color theme="1"/>
      <sz val="14"/>
    </font>
    <font>
      <name val="微软雅黑"/>
      <charset val="134"/>
      <family val="2"/>
      <b val="1"/>
      <color rgb="FFFFC000"/>
      <sz val="14"/>
    </font>
    <font>
      <name val="微软雅黑"/>
      <charset val="134"/>
      <family val="2"/>
      <b val="1"/>
      <color indexed="8"/>
      <sz val="18"/>
    </font>
    <font>
      <name val="Arial"/>
      <family val="2"/>
      <b val="1"/>
      <i val="1"/>
      <color rgb="FFFF0000"/>
      <sz val="9"/>
    </font>
    <font>
      <name val="Arial"/>
      <family val="2"/>
      <color theme="1"/>
      <sz val="10"/>
    </font>
    <font>
      <name val="Arial"/>
      <family val="2"/>
      <b val="1"/>
      <color indexed="10"/>
      <sz val="10"/>
    </font>
    <font>
      <name val="Arial"/>
      <family val="2"/>
      <sz val="10"/>
    </font>
    <font>
      <name val="Arial"/>
      <family val="2"/>
      <i val="1"/>
      <color theme="1"/>
      <sz val="10"/>
    </font>
    <font>
      <name val="Arial"/>
      <family val="2"/>
      <color rgb="FFFF0000"/>
      <sz val="10"/>
      <u val="single"/>
    </font>
    <font>
      <name val="微软雅黑"/>
      <charset val="134"/>
      <family val="2"/>
      <b val="1"/>
      <color rgb="FF000000"/>
      <sz val="10"/>
    </font>
    <font>
      <name val="等线"/>
      <charset val="134"/>
      <family val="3"/>
      <color theme="10"/>
      <sz val="11"/>
      <u val="single"/>
      <scheme val="minor"/>
    </font>
    <font>
      <name val="微软雅黑"/>
      <charset val="134"/>
      <family val="2"/>
      <sz val="10"/>
    </font>
    <font>
      <name val="等线"/>
      <charset val="134"/>
      <family val="3"/>
      <color theme="10"/>
      <sz val="11"/>
      <u val="single"/>
      <scheme val="minor"/>
    </font>
    <font>
      <name val="Arial"/>
      <family val="2"/>
      <b val="1"/>
      <color rgb="FFFF0000"/>
      <sz val="16"/>
    </font>
  </fonts>
  <fills count="19">
    <fill>
      <patternFill/>
    </fill>
    <fill>
      <patternFill patternType="gray125"/>
    </fill>
    <fill>
      <patternFill patternType="solid">
        <fgColor theme="0"/>
        <bgColor indexed="64"/>
      </patternFill>
    </fill>
    <fill>
      <patternFill patternType="solid">
        <fgColor rgb="FFFFFFFF"/>
        <bgColor indexed="64"/>
      </patternFill>
    </fill>
    <fill>
      <patternFill patternType="solid">
        <fgColor indexed="65"/>
        <bgColor indexed="64"/>
      </patternFill>
    </fill>
    <fill>
      <patternFill patternType="solid">
        <fgColor theme="0" tint="-0.3499862666707358"/>
        <bgColor indexed="64"/>
      </patternFill>
    </fill>
    <fill>
      <patternFill patternType="solid">
        <fgColor rgb="FFA5A5A5"/>
        <bgColor indexed="64"/>
      </patternFill>
    </fill>
    <fill>
      <patternFill patternType="solid">
        <fgColor rgb="FFC6EFCE"/>
        <bgColor indexed="64"/>
      </patternFill>
    </fill>
    <fill>
      <patternFill patternType="solid">
        <fgColor theme="4" tint="0.7999816888943144"/>
        <bgColor indexed="64"/>
      </patternFill>
    </fill>
    <fill>
      <patternFill patternType="solid">
        <fgColor rgb="FFD9E1F2"/>
        <bgColor rgb="FF000000"/>
      </patternFill>
    </fill>
    <fill>
      <patternFill patternType="solid">
        <fgColor theme="1"/>
        <bgColor indexed="64"/>
      </patternFill>
    </fill>
    <fill>
      <patternFill patternType="solid">
        <fgColor rgb="FF000000"/>
        <bgColor rgb="FF000000"/>
      </patternFill>
    </fill>
    <fill>
      <patternFill patternType="solid">
        <fgColor rgb="FF333399"/>
        <bgColor rgb="FF000000"/>
      </patternFill>
    </fill>
    <fill>
      <patternFill patternType="solid">
        <fgColor theme="0" tint="-0.0499893185216834"/>
        <bgColor indexed="64"/>
      </patternFill>
    </fill>
    <fill>
      <patternFill patternType="solid">
        <fgColor rgb="FF333399"/>
        <bgColor indexed="64"/>
      </patternFill>
    </fill>
    <fill>
      <patternFill patternType="solid">
        <fgColor rgb="FF000099"/>
        <bgColor rgb="FF000000"/>
      </patternFill>
    </fill>
    <fill>
      <patternFill patternType="solid">
        <fgColor theme="0" tint="-0.3499862666707358"/>
        <bgColor rgb="FF000000"/>
      </patternFill>
    </fill>
    <fill>
      <patternFill patternType="solid">
        <fgColor rgb="FFFFFFFF"/>
        <bgColor rgb="FF000000"/>
      </patternFill>
    </fill>
    <fill>
      <patternFill patternType="solid">
        <fgColor rgb="FFFFFFCC"/>
        <bgColor indexed="64"/>
      </patternFill>
    </fill>
  </fills>
  <borders count="83">
    <border>
      <left/>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auto="1"/>
      </top>
      <bottom style="double">
        <color auto="1"/>
      </bottom>
      <diagonal/>
    </border>
    <border>
      <left style="medium">
        <color auto="1"/>
      </left>
      <right style="medium">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bottom/>
      <diagonal/>
    </border>
    <border>
      <left style="thin">
        <color rgb="FF000000"/>
      </left>
      <right style="thin">
        <color rgb="FF000000"/>
      </right>
      <top style="thin">
        <color rgb="FF000000"/>
      </top>
      <bottom style="thin">
        <color rgb="FF000000"/>
      </bottom>
      <diagonal/>
    </border>
    <border>
      <left style="thin">
        <color auto="1"/>
      </left>
      <right/>
      <top/>
      <bottom style="thin">
        <color auto="1"/>
      </bottom>
      <diagonal/>
    </border>
    <border>
      <left style="thin">
        <color rgb="FF000000"/>
      </left>
      <right style="thin">
        <color rgb="FF000000"/>
      </right>
      <top style="thin">
        <color rgb="FF000000"/>
      </top>
      <bottom/>
      <diagonal/>
    </border>
    <border>
      <left style="thin">
        <color auto="1"/>
      </left>
      <right/>
      <top style="thin">
        <color auto="1"/>
      </top>
      <bottom/>
      <diagonal/>
    </border>
    <border>
      <left/>
      <right/>
      <top style="thin">
        <color auto="1"/>
      </top>
      <bottom/>
      <diagonal/>
    </border>
    <border>
      <left/>
      <right style="thin">
        <color auto="1"/>
      </right>
      <top/>
      <bottom/>
      <diagonal/>
    </border>
    <border>
      <left style="thin">
        <color auto="1"/>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right/>
      <top style="thin">
        <color rgb="FF000000"/>
      </top>
      <bottom/>
      <diagonal/>
    </border>
    <border>
      <left/>
      <right/>
      <top style="thin">
        <color rgb="FF000000"/>
      </top>
      <bottom style="thin">
        <color rgb="FF000000"/>
      </bottom>
      <diagonal/>
    </border>
    <border>
      <left style="thin">
        <color auto="1"/>
      </left>
      <right style="thin">
        <color auto="1"/>
      </right>
      <top style="thin">
        <color auto="1"/>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diagonal/>
    </border>
    <border>
      <left style="thin">
        <color auto="1"/>
      </left>
      <right style="thin">
        <color rgb="FF000000"/>
      </right>
      <top style="thin">
        <color rgb="FF000000"/>
      </top>
      <bottom style="thin">
        <color auto="1"/>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rgb="FF000000"/>
      </left>
      <right style="thin">
        <color auto="1"/>
      </right>
      <top style="thin">
        <color auto="1"/>
      </top>
      <bottom style="thin">
        <color rgb="FF000000"/>
      </bottom>
      <diagonal/>
    </border>
    <border>
      <left style="thin">
        <color auto="1"/>
      </left>
      <right style="thin">
        <color rgb="FF000000"/>
      </right>
      <top style="thin">
        <color auto="1"/>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auto="1"/>
      </right>
      <top style="thin">
        <color rgb="FF000000"/>
      </top>
      <bottom/>
      <diagonal/>
    </border>
    <border>
      <left style="thin">
        <color auto="1"/>
      </left>
      <right style="thin">
        <color auto="1"/>
      </right>
      <top style="thin">
        <color rgb="FF000000"/>
      </top>
      <bottom/>
      <diagonal/>
    </border>
    <border>
      <left/>
      <right style="thin">
        <color auto="1"/>
      </right>
      <top style="thin">
        <color rgb="FF000000"/>
      </top>
      <bottom/>
      <diagonal/>
    </border>
    <border>
      <left style="thin">
        <color rgb="FF000000"/>
      </left>
      <right style="thin">
        <color auto="1"/>
      </right>
      <top/>
      <bottom style="thin">
        <color auto="1"/>
      </bottom>
      <diagonal/>
    </border>
    <border>
      <left style="thin">
        <color auto="1"/>
      </left>
      <right/>
      <top style="thin">
        <color rgb="FF000000"/>
      </top>
      <bottom/>
      <diagonal/>
    </border>
    <border>
      <left style="thin">
        <color auto="1"/>
      </left>
      <right style="thin">
        <color auto="1"/>
      </right>
      <top/>
      <bottom style="thin">
        <color rgb="FF000000"/>
      </bottom>
      <diagonal/>
    </border>
    <border>
      <left/>
      <right style="thin">
        <color rgb="FF000000"/>
      </right>
      <top style="thin">
        <color auto="1"/>
      </top>
      <bottom style="thin">
        <color auto="1"/>
      </bottom>
      <diagonal/>
    </border>
    <border>
      <left/>
      <right style="thin">
        <color rgb="FF000000"/>
      </right>
      <top style="thin">
        <color auto="1"/>
      </top>
      <bottom style="thin">
        <color rgb="FF000000"/>
      </bottom>
      <diagonal/>
    </border>
    <border>
      <left style="thin">
        <color rgb="FF000000"/>
      </left>
      <right/>
      <top style="thin">
        <color auto="1"/>
      </top>
      <bottom style="thin">
        <color rgb="FF000000"/>
      </bottom>
      <diagonal/>
    </border>
    <border>
      <left style="medium">
        <color indexed="64"/>
      </left>
      <right style="medium">
        <color indexed="64"/>
      </right>
      <top style="thin">
        <color rgb="FF000000"/>
      </top>
      <bottom/>
      <diagonal/>
    </border>
    <border>
      <left style="medium">
        <color auto="1"/>
      </left>
      <right style="thin">
        <color rgb="FF000000"/>
      </right>
      <top style="thin">
        <color rgb="FF000000"/>
      </top>
      <bottom/>
      <diagonal/>
    </border>
    <border>
      <left style="thin">
        <color rgb="FF000000"/>
      </left>
      <right/>
      <top style="thin">
        <color auto="1"/>
      </top>
      <bottom/>
      <diagonal/>
    </border>
    <border>
      <left style="thin">
        <color rgb="FF000000"/>
      </left>
      <right/>
      <top/>
      <bottom style="thin">
        <color auto="1"/>
      </bottom>
      <diagonal/>
    </border>
    <border>
      <left/>
      <right style="thin">
        <color rgb="FF000000"/>
      </right>
      <top/>
      <bottom style="thin">
        <color auto="1"/>
      </bottom>
      <diagonal/>
    </border>
    <border>
      <left style="thin">
        <color rgb="FF000000"/>
      </left>
      <right style="thin">
        <color rgb="FF000000"/>
      </right>
      <top/>
      <bottom style="thin">
        <color auto="1"/>
      </bottom>
      <diagonal/>
    </border>
    <border>
      <left style="thin">
        <color rgb="FF000000"/>
      </left>
      <right/>
      <top style="thin">
        <color rgb="FF000000"/>
      </top>
      <bottom style="thin">
        <color indexed="64"/>
      </bottom>
      <diagonal/>
    </border>
    <border>
      <left style="thin">
        <color rgb="FF000000"/>
      </left>
      <right/>
      <top style="thin">
        <color auto="1"/>
      </top>
      <bottom style="thin">
        <color indexed="64"/>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auto="1"/>
      </left>
      <right style="thin">
        <color rgb="FF000000"/>
      </right>
      <top style="thin">
        <color auto="1"/>
      </top>
      <bottom/>
      <diagonal/>
    </border>
    <border>
      <left style="thin">
        <color auto="1"/>
      </left>
      <right style="thin">
        <color rgb="FF000000"/>
      </right>
      <top/>
      <bottom style="thin">
        <color auto="1"/>
      </bottom>
      <diagonal/>
    </border>
    <border>
      <left style="medium">
        <color auto="1"/>
      </left>
      <right style="medium">
        <color auto="1"/>
      </right>
      <top style="thin">
        <color rgb="FF000000"/>
      </top>
      <bottom style="thin">
        <color auto="1"/>
      </bottom>
      <diagonal/>
    </border>
    <border>
      <left style="medium">
        <color indexed="64"/>
      </left>
      <right/>
      <top style="thin">
        <color rgb="FF000000"/>
      </top>
      <bottom style="thin">
        <color indexed="64"/>
      </bottom>
      <diagonal/>
    </border>
    <border>
      <left style="medium">
        <color indexed="64"/>
      </left>
      <right style="thin">
        <color rgb="FF000000"/>
      </right>
      <top style="thin">
        <color rgb="FF000000"/>
      </top>
      <bottom style="thin">
        <color indexed="64"/>
      </bottom>
      <diagonal/>
    </border>
    <border>
      <left style="thin">
        <color auto="1"/>
      </left>
      <right style="thin">
        <color rgb="FF000000"/>
      </right>
      <top/>
      <bottom/>
      <diagonal/>
    </border>
    <border>
      <left style="thin">
        <color indexed="64"/>
      </left>
      <right style="thin">
        <color indexed="64"/>
      </right>
      <top style="thin">
        <color rgb="FF000000"/>
      </top>
      <bottom style="thin">
        <color indexed="64"/>
      </bottom>
      <diagonal/>
    </border>
    <border>
      <left/>
      <right style="thin">
        <color indexed="64"/>
      </right>
      <top style="thin">
        <color rgb="FF000000"/>
      </top>
      <bottom/>
      <diagonal/>
    </border>
    <border>
      <left style="thin">
        <color auto="1"/>
      </left>
      <right style="thin">
        <color auto="1"/>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indexed="64"/>
      </left>
      <right style="thin">
        <color indexed="64"/>
      </right>
      <top style="thin">
        <color indexed="64"/>
      </top>
      <bottom style="thin">
        <color rgb="FF000000"/>
      </bottom>
      <diagonal/>
    </border>
    <border>
      <left/>
      <right/>
      <top style="thin">
        <color indexed="64"/>
      </top>
      <bottom/>
      <diagonal/>
    </border>
    <border>
      <left/>
      <right style="thin">
        <color indexed="64"/>
      </right>
      <top style="thin">
        <color indexed="64"/>
      </top>
      <bottom/>
      <diagonal/>
    </border>
    <border>
      <left style="thin">
        <color rgb="FF000000"/>
      </left>
      <right style="thin">
        <color auto="1"/>
      </right>
      <top style="thin">
        <color rgb="FF000000"/>
      </top>
      <bottom style="thin">
        <color auto="1"/>
      </bottom>
      <diagonal/>
    </border>
    <border>
      <left style="thin">
        <color rgb="FF000000"/>
      </left>
      <right style="thin">
        <color auto="1"/>
      </right>
      <top/>
      <bottom/>
      <diagonal/>
    </border>
    <border>
      <left/>
      <right style="thin">
        <color rgb="FF000000"/>
      </right>
      <top style="thin">
        <color auto="1"/>
      </top>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auto="1"/>
      </bottom>
      <diagonal/>
    </border>
  </borders>
  <cellStyleXfs count="337">
    <xf numFmtId="0" fontId="0" fillId="0" borderId="0" applyAlignment="1">
      <alignment vertical="center"/>
    </xf>
    <xf numFmtId="0" fontId="24" fillId="0" borderId="0"/>
    <xf numFmtId="43" fontId="24" fillId="0" borderId="0"/>
    <xf numFmtId="41" fontId="9" fillId="0" borderId="0"/>
    <xf numFmtId="0" fontId="10" fillId="6" borderId="11"/>
    <xf numFmtId="9" fontId="24" fillId="0" borderId="0"/>
    <xf numFmtId="41" fontId="24" fillId="0" borderId="0"/>
    <xf numFmtId="41" fontId="24" fillId="0" borderId="0"/>
    <xf numFmtId="41" fontId="24" fillId="0" borderId="0"/>
    <xf numFmtId="41" fontId="24" fillId="0" borderId="0"/>
    <xf numFmtId="41" fontId="24" fillId="0" borderId="0"/>
    <xf numFmtId="41" fontId="24" fillId="0" borderId="0"/>
    <xf numFmtId="0" fontId="24" fillId="0" borderId="0"/>
    <xf numFmtId="0" fontId="24" fillId="0" borderId="0"/>
    <xf numFmtId="41" fontId="9" fillId="0" borderId="0"/>
    <xf numFmtId="0" fontId="119" fillId="0" borderId="0"/>
    <xf numFmtId="0" fontId="119" fillId="0" borderId="0"/>
    <xf numFmtId="4" fontId="24" fillId="0" borderId="5" applyAlignment="1">
      <alignment horizontal="right"/>
    </xf>
    <xf numFmtId="0" fontId="24" fillId="0" borderId="0"/>
    <xf numFmtId="0" fontId="10" fillId="6" borderId="11"/>
    <xf numFmtId="43" fontId="24" fillId="0" borderId="0"/>
    <xf numFmtId="41" fontId="24" fillId="0" borderId="0"/>
    <xf numFmtId="41" fontId="24" fillId="0" borderId="0"/>
    <xf numFmtId="41" fontId="24" fillId="0" borderId="0"/>
    <xf numFmtId="0"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11" fillId="0" borderId="0"/>
    <xf numFmtId="43" fontId="24" fillId="0" borderId="0"/>
    <xf numFmtId="43" fontId="24" fillId="0" borderId="0"/>
    <xf numFmtId="43" fontId="9" fillId="0" borderId="0"/>
    <xf numFmtId="0" fontId="24" fillId="0" borderId="5"/>
    <xf numFmtId="0" fontId="24" fillId="0" borderId="5"/>
    <xf numFmtId="0" fontId="12" fillId="7" borderId="0"/>
    <xf numFmtId="0" fontId="12" fillId="7" borderId="0"/>
    <xf numFmtId="0" fontId="119" fillId="0" borderId="0"/>
    <xf numFmtId="0" fontId="119" fillId="0" borderId="0"/>
    <xf numFmtId="0" fontId="24" fillId="0" borderId="0"/>
    <xf numFmtId="0" fontId="113"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applyProtection="1">
      <protection locked="0" hidden="0"/>
    </xf>
    <xf numFmtId="0" fontId="24" fillId="0" borderId="0" applyProtection="1">
      <protection locked="0" hidden="0"/>
    </xf>
    <xf numFmtId="0" fontId="24" fillId="0" borderId="0"/>
    <xf numFmtId="0" fontId="24" fillId="0" borderId="0"/>
    <xf numFmtId="0" fontId="113" fillId="0" borderId="0"/>
    <xf numFmtId="0" fontId="13" fillId="0" borderId="0" applyAlignment="1">
      <alignment vertical="center"/>
    </xf>
    <xf numFmtId="0" fontId="13" fillId="0" borderId="0" applyAlignment="1">
      <alignment vertical="center"/>
    </xf>
    <xf numFmtId="0" fontId="13" fillId="0" borderId="0" applyAlignment="1">
      <alignment vertical="center"/>
    </xf>
    <xf numFmtId="0" fontId="11"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14" fillId="0" borderId="0"/>
    <xf numFmtId="0" fontId="111" fillId="0" borderId="0"/>
    <xf numFmtId="0" fontId="9" fillId="0" borderId="0"/>
    <xf numFmtId="0" fontId="24" fillId="0" borderId="0"/>
    <xf numFmtId="0" fontId="24" fillId="0" borderId="0"/>
    <xf numFmtId="0" fontId="14" fillId="0" borderId="0"/>
    <xf numFmtId="0" fontId="24" fillId="0" borderId="0" applyAlignment="1">
      <alignment vertical="center"/>
    </xf>
    <xf numFmtId="9" fontId="9" fillId="0" borderId="0"/>
    <xf numFmtId="0" fontId="113" fillId="0" borderId="0"/>
    <xf numFmtId="0" fontId="15" fillId="0" borderId="0"/>
    <xf numFmtId="168" fontId="24" fillId="0" borderId="0"/>
    <xf numFmtId="168" fontId="24" fillId="0" borderId="0"/>
    <xf numFmtId="9" fontId="24" fillId="0" borderId="0"/>
    <xf numFmtId="9" fontId="24" fillId="0" borderId="0"/>
    <xf numFmtId="9" fontId="113" fillId="0" borderId="0"/>
    <xf numFmtId="9" fontId="24" fillId="0" borderId="0"/>
    <xf numFmtId="9" fontId="24" fillId="0" borderId="0"/>
    <xf numFmtId="169" fontId="14" fillId="0" borderId="0"/>
    <xf numFmtId="169" fontId="16" fillId="0" borderId="0"/>
    <xf numFmtId="169" fontId="16" fillId="0" borderId="0"/>
    <xf numFmtId="0" fontId="113" fillId="0" borderId="0" applyProtection="1">
      <protection locked="0" hidden="0"/>
    </xf>
    <xf numFmtId="0" fontId="17" fillId="0" borderId="0" applyProtection="1">
      <protection locked="0" hidden="0"/>
    </xf>
    <xf numFmtId="0" fontId="24" fillId="0" borderId="0"/>
    <xf numFmtId="0" fontId="17" fillId="0" borderId="0" applyProtection="1">
      <protection locked="0" hidden="0"/>
    </xf>
    <xf numFmtId="0" fontId="17" fillId="0" borderId="0" applyProtection="1">
      <protection locked="0" hidden="0"/>
    </xf>
    <xf numFmtId="0" fontId="9" fillId="0" borderId="0"/>
    <xf numFmtId="0" fontId="17" fillId="0" borderId="0" applyProtection="1">
      <protection locked="0" hidden="0"/>
    </xf>
    <xf numFmtId="0" fontId="113" fillId="0" borderId="0" applyProtection="1">
      <protection locked="0" hidden="0"/>
    </xf>
    <xf numFmtId="0" fontId="14" fillId="0" borderId="0"/>
    <xf numFmtId="0" fontId="24" fillId="0" borderId="0"/>
    <xf numFmtId="0" fontId="24" fillId="0" borderId="0"/>
    <xf numFmtId="0" fontId="119" fillId="0" borderId="0"/>
    <xf numFmtId="0" fontId="18"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14" fillId="0" borderId="0"/>
    <xf numFmtId="0" fontId="14" fillId="0" borderId="0"/>
    <xf numFmtId="0" fontId="26" fillId="0" borderId="0" applyAlignment="1">
      <alignment vertical="center"/>
    </xf>
    <xf numFmtId="0" fontId="27" fillId="0" borderId="0" applyProtection="1">
      <protection locked="0" hidden="0"/>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4" fillId="0" borderId="0" applyAlignment="1">
      <alignment vertical="center"/>
    </xf>
    <xf numFmtId="0" fontId="24" fillId="0" borderId="0" applyAlignment="1">
      <alignment vertical="center"/>
    </xf>
    <xf numFmtId="0" fontId="24" fillId="0" borderId="0" applyAlignment="1">
      <alignment vertical="center"/>
    </xf>
    <xf numFmtId="0" fontId="24" fillId="0" borderId="0"/>
    <xf numFmtId="0" fontId="24" fillId="0" borderId="0"/>
    <xf numFmtId="0" fontId="26" fillId="0" borderId="0"/>
    <xf numFmtId="0" fontId="24" fillId="0" borderId="0"/>
    <xf numFmtId="0" fontId="24" fillId="0" borderId="0" applyAlignment="1">
      <alignment vertical="center"/>
    </xf>
    <xf numFmtId="0" fontId="26" fillId="0" borderId="0" applyAlignment="1">
      <alignment vertical="center"/>
    </xf>
    <xf numFmtId="0" fontId="24" fillId="0" borderId="0"/>
    <xf numFmtId="0" fontId="24" fillId="0" borderId="0" applyAlignment="1">
      <alignment vertical="center"/>
    </xf>
    <xf numFmtId="0" fontId="13" fillId="0" borderId="0" applyAlignment="1">
      <alignment vertical="center"/>
    </xf>
    <xf numFmtId="0" fontId="26" fillId="0" borderId="0" applyAlignment="1">
      <alignment vertical="center"/>
    </xf>
    <xf numFmtId="0" fontId="113" fillId="0" borderId="0"/>
    <xf numFmtId="0" fontId="13" fillId="0" borderId="0" applyAlignment="1">
      <alignment vertical="center"/>
    </xf>
    <xf numFmtId="0" fontId="119" fillId="0" borderId="0"/>
    <xf numFmtId="0" fontId="24" fillId="0" borderId="0" applyAlignment="1">
      <alignment vertical="center"/>
    </xf>
    <xf numFmtId="9" fontId="24" fillId="0" borderId="0"/>
    <xf numFmtId="0" fontId="24" fillId="0" borderId="0" applyAlignment="1">
      <alignment vertical="center"/>
    </xf>
    <xf numFmtId="0" fontId="24" fillId="0" borderId="0"/>
    <xf numFmtId="0" fontId="119" fillId="0" borderId="0" applyAlignment="1">
      <alignment vertical="center"/>
    </xf>
    <xf numFmtId="0" fontId="26" fillId="0" borderId="0"/>
    <xf numFmtId="0" fontId="26" fillId="0" borderId="0" applyAlignment="1">
      <alignment vertical="center"/>
    </xf>
    <xf numFmtId="0" fontId="36" fillId="0" borderId="0"/>
    <xf numFmtId="0"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26" fillId="0" borderId="0" applyAlignment="1">
      <alignment vertical="center"/>
    </xf>
    <xf numFmtId="0" fontId="26" fillId="0" borderId="0" applyAlignment="1">
      <alignment vertical="center"/>
    </xf>
    <xf numFmtId="0" fontId="26" fillId="0" borderId="0"/>
    <xf numFmtId="0" fontId="26" fillId="0" borderId="0" applyAlignment="1">
      <alignment vertical="center"/>
    </xf>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43" fontId="24" fillId="0" borderId="0"/>
    <xf numFmtId="41" fontId="9" fillId="0" borderId="0"/>
    <xf numFmtId="41" fontId="24" fillId="0" borderId="0"/>
    <xf numFmtId="41" fontId="24" fillId="0" borderId="0"/>
    <xf numFmtId="41" fontId="24" fillId="0" borderId="0"/>
    <xf numFmtId="41" fontId="24" fillId="0" borderId="0"/>
    <xf numFmtId="41" fontId="24" fillId="0" borderId="0"/>
    <xf numFmtId="41" fontId="24" fillId="0" borderId="0"/>
    <xf numFmtId="41" fontId="9" fillId="0" borderId="0"/>
    <xf numFmtId="43" fontId="24" fillId="0" borderId="0"/>
    <xf numFmtId="41" fontId="24" fillId="0" borderId="0"/>
    <xf numFmtId="41" fontId="24" fillId="0" borderId="0"/>
    <xf numFmtId="41" fontId="24" fillId="0" borderId="0"/>
    <xf numFmtId="43" fontId="24" fillId="0" borderId="0"/>
    <xf numFmtId="43" fontId="24" fillId="0" borderId="0"/>
    <xf numFmtId="41" fontId="24" fillId="0" borderId="0"/>
    <xf numFmtId="43" fontId="24" fillId="0" borderId="0"/>
    <xf numFmtId="41" fontId="24" fillId="0" borderId="0"/>
    <xf numFmtId="43" fontId="113" fillId="0" borderId="0"/>
    <xf numFmtId="43" fontId="24" fillId="0" borderId="0"/>
    <xf numFmtId="43" fontId="24" fillId="0" borderId="0"/>
    <xf numFmtId="43" fontId="9" fillId="0" borderId="0"/>
    <xf numFmtId="43" fontId="113" fillId="0" borderId="0"/>
    <xf numFmtId="43" fontId="113" fillId="0" borderId="0"/>
    <xf numFmtId="43" fontId="17" fillId="0" borderId="0"/>
    <xf numFmtId="43" fontId="24" fillId="0" borderId="0"/>
    <xf numFmtId="43" fontId="24" fillId="0" borderId="0"/>
    <xf numFmtId="43" fontId="9" fillId="0" borderId="0"/>
    <xf numFmtId="43" fontId="24" fillId="0" borderId="0"/>
    <xf numFmtId="43" fontId="26" fillId="0" borderId="0"/>
    <xf numFmtId="0" fontId="36" fillId="0" borderId="0"/>
    <xf numFmtId="0" fontId="42" fillId="0" borderId="0" applyAlignment="1">
      <alignment vertical="center"/>
    </xf>
    <xf numFmtId="0" fontId="94" fillId="0" borderId="0"/>
    <xf numFmtId="43" fontId="36" fillId="0" borderId="0"/>
    <xf numFmtId="0" fontId="47" fillId="0" borderId="0"/>
    <xf numFmtId="0" fontId="46" fillId="0" borderId="0"/>
    <xf numFmtId="0" fontId="47" fillId="0" borderId="0"/>
    <xf numFmtId="43" fontId="47" fillId="0" borderId="0"/>
    <xf numFmtId="38" fontId="47" fillId="0" borderId="0" applyAlignment="1">
      <alignment vertical="center"/>
    </xf>
    <xf numFmtId="170" fontId="47" fillId="0" borderId="0"/>
    <xf numFmtId="0" fontId="51" fillId="0" borderId="0"/>
    <xf numFmtId="38" fontId="36" fillId="0" borderId="0" applyAlignment="1">
      <alignment vertical="center"/>
    </xf>
    <xf numFmtId="170" fontId="36" fillId="0" borderId="0"/>
    <xf numFmtId="0" fontId="36" fillId="0" borderId="0"/>
    <xf numFmtId="41" fontId="9" fillId="0" borderId="0"/>
    <xf numFmtId="43" fontId="24" fillId="0" borderId="0"/>
    <xf numFmtId="43" fontId="24" fillId="0" borderId="0"/>
    <xf numFmtId="43" fontId="24" fillId="0" borderId="0"/>
    <xf numFmtId="0" fontId="55" fillId="0" borderId="0"/>
    <xf numFmtId="0" fontId="26" fillId="0" borderId="0" applyAlignment="1">
      <alignment vertical="center"/>
    </xf>
    <xf numFmtId="0" fontId="14" fillId="0" borderId="0"/>
    <xf numFmtId="0" fontId="42" fillId="0" borderId="0" applyAlignment="1">
      <alignment vertical="center"/>
    </xf>
    <xf numFmtId="0" fontId="26" fillId="0" borderId="0"/>
    <xf numFmtId="0" fontId="26" fillId="0" borderId="0"/>
    <xf numFmtId="0" fontId="17" fillId="0" borderId="0"/>
    <xf numFmtId="9" fontId="24" fillId="0" borderId="0"/>
    <xf numFmtId="9" fontId="24" fillId="0" borderId="0"/>
    <xf numFmtId="0" fontId="9" fillId="0" borderId="0"/>
    <xf numFmtId="0" fontId="26" fillId="0" borderId="0" applyAlignment="1">
      <alignment vertical="center"/>
    </xf>
    <xf numFmtId="0" fontId="26" fillId="0" borderId="0" applyAlignment="1">
      <alignment vertical="center"/>
    </xf>
    <xf numFmtId="0" fontId="26" fillId="0" borderId="0" applyAlignment="1">
      <alignment vertical="center"/>
    </xf>
    <xf numFmtId="0" fontId="26" fillId="0" borderId="0"/>
    <xf numFmtId="43" fontId="113" fillId="0" borderId="0"/>
    <xf numFmtId="43" fontId="26" fillId="0" borderId="0"/>
    <xf numFmtId="0" fontId="36" fillId="0" borderId="0"/>
    <xf numFmtId="43" fontId="36" fillId="0" borderId="0" applyAlignment="1">
      <alignment vertical="center"/>
    </xf>
    <xf numFmtId="0" fontId="119" fillId="0" borderId="0" applyAlignment="1">
      <alignment vertical="center"/>
    </xf>
    <xf numFmtId="0" fontId="119" fillId="0" borderId="0" applyAlignment="1">
      <alignment vertical="center"/>
    </xf>
  </cellStyleXfs>
  <cellXfs count="785">
    <xf numFmtId="0" fontId="0" fillId="0" borderId="0" applyAlignment="1" pivotButton="0" quotePrefix="0" xfId="0">
      <alignment vertical="center"/>
    </xf>
    <xf numFmtId="49" fontId="0" fillId="0" borderId="0" applyAlignment="1" pivotButton="0" quotePrefix="0" xfId="0">
      <alignment vertical="center"/>
    </xf>
    <xf numFmtId="0" fontId="6" fillId="0" borderId="0" applyAlignment="1" pivotButton="0" quotePrefix="0" xfId="0">
      <alignment vertical="center"/>
    </xf>
    <xf numFmtId="0" fontId="5" fillId="0" borderId="0" applyAlignment="1" pivotButton="0" quotePrefix="0" xfId="0">
      <alignment vertical="center"/>
    </xf>
    <xf numFmtId="0" fontId="5" fillId="0" borderId="0" applyAlignment="1" pivotButton="0" quotePrefix="0" xfId="0">
      <alignment horizontal="left" vertical="center"/>
    </xf>
    <xf numFmtId="0" fontId="6" fillId="2" borderId="0" applyAlignment="1" pivotButton="0" quotePrefix="0" xfId="164">
      <alignment vertical="center"/>
    </xf>
    <xf numFmtId="0" fontId="6" fillId="0" borderId="0" applyAlignment="1" applyProtection="1" pivotButton="0" quotePrefix="0" xfId="100">
      <alignment vertical="center"/>
      <protection locked="0" hidden="0"/>
    </xf>
    <xf numFmtId="0" fontId="5" fillId="0" borderId="0" applyAlignment="1" applyProtection="1" pivotButton="0" quotePrefix="0" xfId="100">
      <alignment vertical="center"/>
      <protection locked="0" hidden="0"/>
    </xf>
    <xf numFmtId="9" fontId="6" fillId="0" borderId="0" applyAlignment="1" applyProtection="1" pivotButton="0" quotePrefix="0" xfId="165">
      <alignment vertical="center"/>
      <protection locked="0" hidden="0"/>
    </xf>
    <xf numFmtId="0" fontId="29" fillId="2" borderId="0" applyAlignment="1" pivotButton="0" quotePrefix="0" xfId="164">
      <alignment vertical="center"/>
    </xf>
    <xf numFmtId="0" fontId="6" fillId="0" borderId="0" applyAlignment="1" applyProtection="1" pivotButton="0" quotePrefix="0" xfId="171">
      <alignment vertical="center"/>
      <protection locked="0" hidden="0"/>
    </xf>
    <xf numFmtId="0" fontId="6" fillId="0" borderId="0" applyAlignment="1" applyProtection="1" pivotButton="0" quotePrefix="0" xfId="171">
      <alignment horizontal="center" vertical="center" wrapText="1"/>
      <protection locked="0" hidden="0"/>
    </xf>
    <xf numFmtId="0" fontId="4" fillId="0" borderId="0" applyAlignment="1" applyProtection="1" pivotButton="0" quotePrefix="0" xfId="171">
      <alignment horizontal="left" vertical="center"/>
      <protection locked="0" hidden="0"/>
    </xf>
    <xf numFmtId="0" fontId="29" fillId="0" borderId="0" applyAlignment="1" applyProtection="1" pivotButton="0" quotePrefix="0" xfId="171">
      <alignment horizontal="center" vertical="center"/>
      <protection locked="0" hidden="0"/>
    </xf>
    <xf numFmtId="0" fontId="33" fillId="10" borderId="8" applyAlignment="1" applyProtection="1" pivotButton="0" quotePrefix="0" xfId="171">
      <alignment horizontal="centerContinuous" vertical="center"/>
      <protection locked="0" hidden="0"/>
    </xf>
    <xf numFmtId="0" fontId="40" fillId="11" borderId="10" applyAlignment="1" applyProtection="1" pivotButton="0" quotePrefix="0" xfId="171">
      <alignment horizontal="centerContinuous" vertical="center"/>
      <protection locked="0" hidden="0"/>
    </xf>
    <xf numFmtId="0" fontId="40" fillId="11" borderId="3" applyAlignment="1" applyProtection="1" pivotButton="0" quotePrefix="0" xfId="171">
      <alignment horizontal="centerContinuous" vertical="center"/>
      <protection locked="0" hidden="0"/>
    </xf>
    <xf numFmtId="0" fontId="6" fillId="14" borderId="0" applyAlignment="1" applyProtection="1" pivotButton="0" quotePrefix="0" xfId="171">
      <alignment vertical="center"/>
      <protection locked="0" hidden="0"/>
    </xf>
    <xf numFmtId="0" fontId="49" fillId="13" borderId="7" applyAlignment="1" applyProtection="1" pivotButton="0" quotePrefix="0" xfId="171">
      <alignment vertical="center"/>
      <protection locked="0" hidden="0"/>
    </xf>
    <xf numFmtId="0" fontId="49" fillId="13" borderId="8" applyAlignment="1" applyProtection="1" pivotButton="0" quotePrefix="0" xfId="171">
      <alignment vertical="center"/>
      <protection locked="0" hidden="0"/>
    </xf>
    <xf numFmtId="0" fontId="49" fillId="13" borderId="4" applyAlignment="1" applyProtection="1" pivotButton="0" quotePrefix="0" xfId="171">
      <alignment vertical="center"/>
      <protection locked="0" hidden="0"/>
    </xf>
    <xf numFmtId="0" fontId="50" fillId="0" borderId="0" applyAlignment="1" applyProtection="1" pivotButton="0" quotePrefix="0" xfId="171">
      <alignment vertical="center" wrapText="1"/>
      <protection locked="0" hidden="0"/>
    </xf>
    <xf numFmtId="0" fontId="35" fillId="0" borderId="0" applyAlignment="1" applyProtection="1" pivotButton="0" quotePrefix="0" xfId="171">
      <alignment vertical="center"/>
      <protection locked="0" hidden="0"/>
    </xf>
    <xf numFmtId="0" fontId="52" fillId="0" borderId="0" applyAlignment="1" applyProtection="1" pivotButton="0" quotePrefix="0" xfId="171">
      <alignment horizontal="center" vertical="center"/>
      <protection locked="0" hidden="0"/>
    </xf>
    <xf numFmtId="0" fontId="29" fillId="0" borderId="5" applyAlignment="1" applyProtection="1" pivotButton="0" quotePrefix="0" xfId="302">
      <alignment vertical="center"/>
      <protection locked="0" hidden="0"/>
    </xf>
    <xf numFmtId="164" fontId="4" fillId="0" borderId="0" applyAlignment="1" applyProtection="1" pivotButton="0" quotePrefix="0" xfId="311">
      <alignment horizontal="center" vertical="center"/>
      <protection locked="0" hidden="0"/>
    </xf>
    <xf numFmtId="0" fontId="3"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5" fontId="29" fillId="0" borderId="0" applyAlignment="1" applyProtection="1" pivotButton="0" quotePrefix="0" xfId="171">
      <alignment horizontal="center" vertical="center"/>
      <protection locked="0" hidden="0"/>
    </xf>
    <xf numFmtId="0" fontId="6" fillId="0" borderId="0" applyAlignment="1" applyProtection="1" pivotButton="0" quotePrefix="0" xfId="312">
      <alignment vertical="center"/>
      <protection locked="0" hidden="0"/>
    </xf>
    <xf numFmtId="0" fontId="4" fillId="0" borderId="0" pivotButton="0" quotePrefix="0" xfId="312"/>
    <xf numFmtId="0" fontId="4" fillId="15" borderId="0" pivotButton="0" quotePrefix="0" xfId="312"/>
    <xf numFmtId="0" fontId="4" fillId="0" borderId="0" applyAlignment="1" pivotButton="0" quotePrefix="0" xfId="312">
      <alignment vertical="center"/>
    </xf>
    <xf numFmtId="0" fontId="41" fillId="13" borderId="26" applyAlignment="1" pivotButton="0" quotePrefix="0" xfId="312">
      <alignment vertical="center"/>
    </xf>
    <xf numFmtId="0" fontId="41" fillId="13" borderId="27" applyAlignment="1" pivotButton="0" quotePrefix="0" xfId="312">
      <alignment vertical="center"/>
    </xf>
    <xf numFmtId="0" fontId="4" fillId="15" borderId="0" applyAlignment="1" pivotButton="0" quotePrefix="0" xfId="312">
      <alignment vertical="center"/>
    </xf>
    <xf numFmtId="0" fontId="54" fillId="0" borderId="0" pivotButton="0" quotePrefix="0" xfId="312"/>
    <xf numFmtId="0" fontId="5" fillId="0" borderId="0" pivotButton="0" quotePrefix="0" xfId="312"/>
    <xf numFmtId="0" fontId="49" fillId="0" borderId="0" applyAlignment="1" applyProtection="1" pivotButton="0" quotePrefix="0" xfId="171">
      <alignment vertical="center"/>
      <protection locked="0" hidden="0"/>
    </xf>
    <xf numFmtId="0" fontId="5" fillId="0" borderId="0" applyAlignment="1" applyProtection="1" pivotButton="0" quotePrefix="0" xfId="58">
      <alignment horizontal="left" vertical="top" wrapText="1"/>
      <protection locked="0" hidden="0"/>
    </xf>
    <xf numFmtId="0" fontId="4" fillId="0" borderId="0" applyAlignment="1" pivotButton="0" quotePrefix="0" xfId="150">
      <alignment vertical="center"/>
    </xf>
    <xf numFmtId="0" fontId="6" fillId="0" borderId="0" applyAlignment="1" pivotButton="0" quotePrefix="0" xfId="150">
      <alignment horizontal="center" vertical="center"/>
    </xf>
    <xf numFmtId="0" fontId="6" fillId="0" borderId="0" applyAlignment="1" pivotButton="0" quotePrefix="0" xfId="150">
      <alignment vertical="center"/>
    </xf>
    <xf numFmtId="0" fontId="35" fillId="0" borderId="0" applyAlignment="1" pivotButton="0" quotePrefix="0" xfId="150">
      <alignment horizontal="center" vertical="center"/>
    </xf>
    <xf numFmtId="0" fontId="30" fillId="0" borderId="0" applyAlignment="1" pivotButton="0" quotePrefix="0" xfId="150">
      <alignment vertical="center"/>
    </xf>
    <xf numFmtId="0" fontId="6" fillId="0" borderId="0" applyAlignment="1" pivotButton="0" quotePrefix="0" xfId="150">
      <alignment horizontal="left" vertical="center"/>
    </xf>
    <xf numFmtId="0" fontId="57" fillId="5" borderId="0" applyAlignment="1" applyProtection="1" pivotButton="0" quotePrefix="0" xfId="335">
      <alignment vertical="center"/>
      <protection locked="0" hidden="0"/>
    </xf>
    <xf numFmtId="0" fontId="6" fillId="5" borderId="4" applyAlignment="1" applyProtection="1" pivotButton="0" quotePrefix="0" xfId="171">
      <alignment vertical="center"/>
      <protection locked="0" hidden="0"/>
    </xf>
    <xf numFmtId="0" fontId="5" fillId="0" borderId="5" applyAlignment="1" pivotButton="0" quotePrefix="0" xfId="2">
      <alignment horizontal="left" vertical="center" shrinkToFit="1"/>
    </xf>
    <xf numFmtId="0" fontId="6" fillId="14" borderId="18" applyAlignment="1" applyProtection="1" pivotButton="0" quotePrefix="0" xfId="171">
      <alignment vertical="center"/>
      <protection locked="0" hidden="0"/>
    </xf>
    <xf numFmtId="0" fontId="29" fillId="0" borderId="0" applyAlignment="1" applyProtection="1" pivotButton="0" quotePrefix="0" xfId="0">
      <alignment horizontal="center" vertical="center"/>
      <protection locked="0" hidden="0"/>
    </xf>
    <xf numFmtId="0" fontId="56" fillId="0" borderId="0" applyAlignment="1" applyProtection="1" pivotButton="0" quotePrefix="0" xfId="335">
      <alignment vertical="center"/>
      <protection locked="0" hidden="0"/>
    </xf>
    <xf numFmtId="0" fontId="59" fillId="0" borderId="0" pivotButton="0" quotePrefix="0" xfId="0"/>
    <xf numFmtId="0" fontId="6" fillId="0" borderId="13" applyAlignment="1" applyProtection="1" pivotButton="0" quotePrefix="0" xfId="0">
      <alignment horizontal="left" vertical="center"/>
      <protection locked="0" hidden="0"/>
    </xf>
    <xf numFmtId="0" fontId="6" fillId="0" borderId="0" applyAlignment="1" pivotButton="0" quotePrefix="0" xfId="333">
      <alignment vertical="center"/>
    </xf>
    <xf numFmtId="166" fontId="6" fillId="0" borderId="5" applyAlignment="1" pivotButton="0" quotePrefix="0" xfId="334">
      <alignment vertical="center" shrinkToFit="1"/>
    </xf>
    <xf numFmtId="166" fontId="6" fillId="0" borderId="5" applyAlignment="1" pivotButton="0" quotePrefix="0" xfId="333">
      <alignment vertical="center" shrinkToFit="1"/>
    </xf>
    <xf numFmtId="0" fontId="5" fillId="0" borderId="4" applyAlignment="1" pivotButton="0" quotePrefix="0" xfId="2">
      <alignment horizontal="left" vertical="center" shrinkToFit="1"/>
    </xf>
    <xf numFmtId="0" fontId="5" fillId="0" borderId="24" applyAlignment="1" pivotButton="0" quotePrefix="0" xfId="2">
      <alignment horizontal="left" vertical="center" shrinkToFit="1"/>
    </xf>
    <xf numFmtId="0" fontId="35" fillId="8" borderId="13" applyAlignment="1" pivotButton="0" quotePrefix="0" xfId="150">
      <alignment horizontal="center" vertical="center"/>
    </xf>
    <xf numFmtId="0" fontId="31" fillId="8" borderId="13" applyAlignment="1" pivotButton="0" quotePrefix="0" xfId="169">
      <alignment horizontal="center" vertical="center" wrapText="1"/>
    </xf>
    <xf numFmtId="0" fontId="5" fillId="0" borderId="13" applyAlignment="1" pivotButton="0" quotePrefix="0" xfId="150">
      <alignment horizontal="center" vertical="center"/>
    </xf>
    <xf numFmtId="0" fontId="6" fillId="0" borderId="13" applyAlignment="1" pivotButton="0" quotePrefix="0" xfId="150">
      <alignment horizontal="center" vertical="center"/>
    </xf>
    <xf numFmtId="0" fontId="5" fillId="0" borderId="13" applyAlignment="1" pivotButton="0" quotePrefix="0" xfId="150">
      <alignment horizontal="center" vertical="center" wrapText="1"/>
    </xf>
    <xf numFmtId="0" fontId="30" fillId="0" borderId="13" applyAlignment="1" pivotButton="0" quotePrefix="0" xfId="150">
      <alignment horizontal="center" vertical="center" wrapText="1"/>
    </xf>
    <xf numFmtId="0" fontId="61" fillId="0" borderId="13" applyAlignment="1" pivotButton="0" quotePrefix="1" xfId="335">
      <alignment horizontal="center" vertical="center" wrapText="1"/>
    </xf>
    <xf numFmtId="0" fontId="65" fillId="0" borderId="0" applyAlignment="1" pivotButton="0" quotePrefix="0" xfId="0">
      <alignment vertical="center"/>
    </xf>
    <xf numFmtId="0" fontId="67" fillId="0" borderId="0" applyAlignment="1" pivotButton="0" quotePrefix="0" xfId="0">
      <alignment vertical="center"/>
    </xf>
    <xf numFmtId="0" fontId="69" fillId="0" borderId="0" applyAlignment="1" pivotButton="0" quotePrefix="0" xfId="0">
      <alignment vertical="center"/>
    </xf>
    <xf numFmtId="0" fontId="32" fillId="0" borderId="0" applyAlignment="1" pivotButton="0" quotePrefix="0" xfId="335">
      <alignment vertical="center"/>
    </xf>
    <xf numFmtId="0" fontId="66" fillId="0" borderId="0" applyAlignment="1" applyProtection="1" pivotButton="0" quotePrefix="0" xfId="171">
      <alignment vertical="center"/>
      <protection locked="0" hidden="0"/>
    </xf>
    <xf numFmtId="0" fontId="81" fillId="5" borderId="0" applyAlignment="1" applyProtection="1" pivotButton="0" quotePrefix="0" xfId="335">
      <alignment vertical="center"/>
      <protection locked="0" hidden="0"/>
    </xf>
    <xf numFmtId="0" fontId="67" fillId="0" borderId="0" applyAlignment="1" applyProtection="1" pivotButton="0" quotePrefix="0" xfId="0">
      <alignment vertical="center"/>
      <protection locked="0" hidden="0"/>
    </xf>
    <xf numFmtId="0" fontId="67" fillId="2" borderId="0" applyAlignment="1" pivotButton="0" quotePrefix="0" xfId="0">
      <alignment vertical="center"/>
    </xf>
    <xf numFmtId="0" fontId="82" fillId="2" borderId="0" applyAlignment="1" pivotButton="0" quotePrefix="0" xfId="0">
      <alignment vertical="center"/>
    </xf>
    <xf numFmtId="0" fontId="67" fillId="0" borderId="0" applyAlignment="1" pivotButton="0" quotePrefix="0" xfId="0">
      <alignment vertical="center" shrinkToFit="1"/>
    </xf>
    <xf numFmtId="0" fontId="64" fillId="0" borderId="0" applyAlignment="1" pivotButton="0" quotePrefix="0" xfId="0">
      <alignment horizontal="left" vertical="center"/>
    </xf>
    <xf numFmtId="0" fontId="76" fillId="10" borderId="7" applyAlignment="1" applyProtection="1" pivotButton="0" quotePrefix="0" xfId="171">
      <alignment horizontal="centerContinuous" vertical="center"/>
      <protection locked="0" hidden="0"/>
    </xf>
    <xf numFmtId="0" fontId="77" fillId="10" borderId="8" applyAlignment="1" applyProtection="1" pivotButton="0" quotePrefix="0" xfId="171">
      <alignment horizontal="centerContinuous" vertical="center"/>
      <protection locked="0" hidden="0"/>
    </xf>
    <xf numFmtId="0" fontId="78" fillId="11" borderId="10" applyAlignment="1" applyProtection="1" pivotButton="0" quotePrefix="0" xfId="171">
      <alignment horizontal="centerContinuous" vertical="center"/>
      <protection locked="0" hidden="0"/>
    </xf>
    <xf numFmtId="0" fontId="78" fillId="11" borderId="3" applyAlignment="1" applyProtection="1" pivotButton="0" quotePrefix="0" xfId="171">
      <alignment horizontal="centerContinuous" vertical="center"/>
      <protection locked="0" hidden="0"/>
    </xf>
    <xf numFmtId="0" fontId="67" fillId="14" borderId="0" applyAlignment="1" applyProtection="1" pivotButton="0" quotePrefix="0" xfId="171">
      <alignment vertical="center"/>
      <protection locked="0" hidden="0"/>
    </xf>
    <xf numFmtId="0" fontId="86" fillId="13" borderId="7" applyAlignment="1" applyProtection="1" pivotButton="0" quotePrefix="0" xfId="171">
      <alignment vertical="center"/>
      <protection locked="0" hidden="0"/>
    </xf>
    <xf numFmtId="0" fontId="86" fillId="13" borderId="8" applyAlignment="1" applyProtection="1" pivotButton="0" quotePrefix="0" xfId="171">
      <alignment vertical="center"/>
      <protection locked="0" hidden="0"/>
    </xf>
    <xf numFmtId="0" fontId="86" fillId="13" borderId="4" applyAlignment="1" applyProtection="1" pivotButton="0" quotePrefix="0" xfId="171">
      <alignment vertical="center"/>
      <protection locked="0" hidden="0"/>
    </xf>
    <xf numFmtId="0" fontId="38" fillId="10" borderId="7" applyAlignment="1" applyProtection="1" pivotButton="0" quotePrefix="0" xfId="171">
      <alignment horizontal="centerContinuous" vertical="center"/>
      <protection locked="0" hidden="0"/>
    </xf>
    <xf numFmtId="0" fontId="35" fillId="5" borderId="7" applyAlignment="1" pivotButton="0" quotePrefix="0" xfId="171">
      <alignment vertical="center"/>
    </xf>
    <xf numFmtId="0" fontId="35" fillId="0" borderId="0" applyAlignment="1" applyProtection="1" pivotButton="0" quotePrefix="0" xfId="171">
      <alignment horizontal="center" vertical="center"/>
      <protection locked="0" hidden="0"/>
    </xf>
    <xf numFmtId="0" fontId="6" fillId="0" borderId="2" applyAlignment="1" applyProtection="1" pivotButton="0" quotePrefix="0" xfId="301">
      <alignment horizontal="center" vertical="center"/>
      <protection locked="0" hidden="0"/>
    </xf>
    <xf numFmtId="0" fontId="6" fillId="0" borderId="50" applyAlignment="1" applyProtection="1" pivotButton="0" quotePrefix="0" xfId="301">
      <alignment horizontal="center" vertical="center"/>
      <protection locked="0" hidden="0"/>
    </xf>
    <xf numFmtId="0" fontId="30" fillId="0" borderId="5" applyAlignment="1" pivotButton="0" quotePrefix="0" xfId="333">
      <alignment vertical="center"/>
    </xf>
    <xf numFmtId="0" fontId="6" fillId="2" borderId="5" applyAlignment="1" pivotButton="0" quotePrefix="0" xfId="333">
      <alignment vertical="center"/>
    </xf>
    <xf numFmtId="0" fontId="3" fillId="0" borderId="0" pivotButton="0" quotePrefix="0" xfId="312"/>
    <xf numFmtId="0" fontId="41" fillId="13" borderId="25" applyAlignment="1" pivotButton="0" quotePrefix="0" xfId="312">
      <alignment vertical="center"/>
    </xf>
    <xf numFmtId="0" fontId="3" fillId="0" borderId="0" applyAlignment="1" pivotButton="0" quotePrefix="0" xfId="312">
      <alignment vertical="center"/>
    </xf>
    <xf numFmtId="0" fontId="89" fillId="0" borderId="0" applyAlignment="1" applyProtection="1" pivotButton="0" quotePrefix="0" xfId="171">
      <alignment vertical="center" wrapText="1"/>
      <protection locked="0" hidden="0"/>
    </xf>
    <xf numFmtId="0" fontId="67" fillId="0" borderId="0" applyAlignment="1" pivotButton="0" quotePrefix="0" xfId="100">
      <alignment vertical="center"/>
    </xf>
    <xf numFmtId="9" fontId="67" fillId="0" borderId="0" applyAlignment="1" pivotButton="0" quotePrefix="0" xfId="5">
      <alignment vertical="center"/>
    </xf>
    <xf numFmtId="0" fontId="82" fillId="2" borderId="0" applyAlignment="1" pivotButton="0" quotePrefix="0" xfId="65">
      <alignment vertical="center"/>
    </xf>
    <xf numFmtId="0" fontId="74" fillId="0" borderId="0" applyAlignment="1" pivotButton="0" quotePrefix="0" xfId="0">
      <alignment vertical="center"/>
    </xf>
    <xf numFmtId="41" fontId="67" fillId="2" borderId="0" applyAlignment="1" pivotButton="0" quotePrefix="0" xfId="7">
      <alignment vertical="center"/>
    </xf>
    <xf numFmtId="0" fontId="67" fillId="2" borderId="0" applyAlignment="1" pivotButton="0" quotePrefix="0" xfId="65">
      <alignment vertical="center"/>
    </xf>
    <xf numFmtId="0" fontId="67" fillId="0" borderId="0" applyAlignment="1" applyProtection="1" pivotButton="0" quotePrefix="0" xfId="100">
      <alignment vertical="center"/>
      <protection locked="0" hidden="0"/>
    </xf>
    <xf numFmtId="9" fontId="67" fillId="0" borderId="0" applyAlignment="1" applyProtection="1" pivotButton="0" quotePrefix="0" xfId="87">
      <alignment vertical="center"/>
      <protection locked="0" hidden="0"/>
    </xf>
    <xf numFmtId="0" fontId="64" fillId="0" borderId="0" applyAlignment="1" applyProtection="1" pivotButton="0" quotePrefix="0" xfId="100">
      <alignment vertical="center"/>
      <protection locked="0" hidden="0"/>
    </xf>
    <xf numFmtId="0" fontId="82" fillId="0" borderId="0" applyAlignment="1" pivotButton="0" quotePrefix="0" xfId="65">
      <alignment vertical="center"/>
    </xf>
    <xf numFmtId="0" fontId="67" fillId="0" borderId="0" applyAlignment="1" pivotButton="0" quotePrefix="0" xfId="65">
      <alignment vertical="center"/>
    </xf>
    <xf numFmtId="9" fontId="67" fillId="0" borderId="0" applyAlignment="1" applyProtection="1" pivotButton="0" quotePrefix="0" xfId="87">
      <alignment vertical="center"/>
      <protection locked="0" hidden="0"/>
    </xf>
    <xf numFmtId="0" fontId="68" fillId="17" borderId="0" applyAlignment="1" pivotButton="0" quotePrefix="0" xfId="0">
      <alignment vertical="center"/>
    </xf>
    <xf numFmtId="0" fontId="63" fillId="17" borderId="0" applyAlignment="1" pivotButton="0" quotePrefix="0" xfId="0">
      <alignment vertical="center"/>
    </xf>
    <xf numFmtId="0" fontId="63" fillId="0" borderId="0" applyAlignment="1" pivotButton="0" quotePrefix="0" xfId="0">
      <alignment vertical="center"/>
    </xf>
    <xf numFmtId="0" fontId="67" fillId="0" borderId="0" applyAlignment="1" pivotButton="0" quotePrefix="0" xfId="164">
      <alignment vertical="center"/>
    </xf>
    <xf numFmtId="0" fontId="67" fillId="2" borderId="0" applyAlignment="1" pivotButton="0" quotePrefix="0" xfId="164">
      <alignment vertical="center"/>
    </xf>
    <xf numFmtId="0" fontId="82" fillId="2" borderId="0" applyAlignment="1" pivotButton="0" quotePrefix="0" xfId="164">
      <alignment vertical="center"/>
    </xf>
    <xf numFmtId="9" fontId="67" fillId="0" borderId="0" applyAlignment="1" pivotButton="0" quotePrefix="0" xfId="165">
      <alignment vertical="center"/>
    </xf>
    <xf numFmtId="41" fontId="67" fillId="0" borderId="0" applyAlignment="1" pivotButton="0" quotePrefix="0" xfId="7">
      <alignment vertical="center"/>
    </xf>
    <xf numFmtId="0" fontId="73" fillId="17" borderId="0" applyAlignment="1" pivotButton="0" quotePrefix="0" xfId="0">
      <alignment vertical="center"/>
    </xf>
    <xf numFmtId="0" fontId="73" fillId="0" borderId="0" applyAlignment="1" pivotButton="0" quotePrefix="0" xfId="0">
      <alignment vertical="center"/>
    </xf>
    <xf numFmtId="0" fontId="67" fillId="0" borderId="0" applyAlignment="1" applyProtection="1" pivotButton="0" quotePrefix="0" xfId="0">
      <alignment horizontal="center" vertical="center"/>
      <protection locked="0" hidden="0"/>
    </xf>
    <xf numFmtId="43" fontId="64" fillId="2" borderId="0" applyAlignment="1" pivotButton="0" quotePrefix="0" xfId="111">
      <alignment vertical="center"/>
    </xf>
    <xf numFmtId="0" fontId="74" fillId="5" borderId="36" applyAlignment="1" pivotButton="0" quotePrefix="0" xfId="0">
      <alignment horizontal="center" vertical="center"/>
    </xf>
    <xf numFmtId="14" fontId="88" fillId="5" borderId="35" applyAlignment="1" pivotButton="0" quotePrefix="0" xfId="0">
      <alignment vertical="center"/>
    </xf>
    <xf numFmtId="0" fontId="64" fillId="0" borderId="5" applyAlignment="1" pivotButton="0" quotePrefix="0" xfId="0">
      <alignment horizontal="left" vertical="center" wrapText="1" shrinkToFit="1"/>
    </xf>
    <xf numFmtId="0" fontId="64" fillId="0" borderId="36" applyAlignment="1" pivotButton="0" quotePrefix="0" xfId="0">
      <alignment horizontal="left" vertical="center" wrapText="1" shrinkToFit="1"/>
    </xf>
    <xf numFmtId="14" fontId="88" fillId="0" borderId="0" applyAlignment="1" pivotButton="0" quotePrefix="0" xfId="0">
      <alignment horizontal="center" vertical="center"/>
    </xf>
    <xf numFmtId="14" fontId="64" fillId="0" borderId="0" applyAlignment="1" pivotButton="0" quotePrefix="0" xfId="0">
      <alignment vertical="center"/>
    </xf>
    <xf numFmtId="9" fontId="64" fillId="0" borderId="0" applyAlignment="1" pivotButton="0" quotePrefix="0" xfId="0">
      <alignment vertical="center"/>
    </xf>
    <xf numFmtId="43" fontId="64" fillId="0" borderId="0" applyAlignment="1" pivotButton="0" quotePrefix="0" xfId="111">
      <alignment vertical="center"/>
    </xf>
    <xf numFmtId="0" fontId="64" fillId="0" borderId="0" applyAlignment="1" pivotButton="0" quotePrefix="0" xfId="100">
      <alignment vertical="center"/>
    </xf>
    <xf numFmtId="0" fontId="80" fillId="3" borderId="0" applyAlignment="1" pivotButton="0" quotePrefix="0" xfId="0">
      <alignment vertical="center" wrapText="1"/>
    </xf>
    <xf numFmtId="0" fontId="90" fillId="3" borderId="0" applyAlignment="1" pivotButton="0" quotePrefix="0" xfId="0">
      <alignment vertical="center" wrapText="1"/>
    </xf>
    <xf numFmtId="0" fontId="30" fillId="0" borderId="13" applyAlignment="1" pivotButton="0" quotePrefix="0" xfId="0">
      <alignment vertical="center" wrapText="1"/>
    </xf>
    <xf numFmtId="0" fontId="91" fillId="0" borderId="0" applyAlignment="1" applyProtection="1" pivotButton="0" quotePrefix="0" xfId="171">
      <alignment vertical="center"/>
      <protection locked="0" hidden="0"/>
    </xf>
    <xf numFmtId="0" fontId="92" fillId="0" borderId="0" applyAlignment="1" pivotButton="0" quotePrefix="0" xfId="171">
      <alignment vertical="center"/>
    </xf>
    <xf numFmtId="0" fontId="92" fillId="12" borderId="18" applyAlignment="1" pivotButton="0" quotePrefix="0" xfId="171">
      <alignment vertical="center"/>
    </xf>
    <xf numFmtId="0" fontId="93" fillId="0" borderId="0" applyAlignment="1" applyProtection="1" pivotButton="0" quotePrefix="0" xfId="171">
      <alignment vertical="center"/>
      <protection locked="0" hidden="0"/>
    </xf>
    <xf numFmtId="0" fontId="94" fillId="0" borderId="0" applyAlignment="1" applyProtection="1" pivotButton="0" quotePrefix="0" xfId="171">
      <alignment vertical="center"/>
      <protection locked="0" hidden="0"/>
    </xf>
    <xf numFmtId="0" fontId="91" fillId="0" borderId="0" applyAlignment="1" applyProtection="1" pivotButton="0" quotePrefix="0" xfId="300">
      <alignment vertical="center"/>
      <protection locked="0" hidden="0"/>
    </xf>
    <xf numFmtId="0" fontId="91" fillId="2" borderId="0" applyAlignment="1" pivotButton="0" quotePrefix="0" xfId="0">
      <alignment vertical="center"/>
    </xf>
    <xf numFmtId="0" fontId="91" fillId="0" borderId="0" applyAlignment="1" applyProtection="1" pivotButton="0" quotePrefix="0" xfId="171">
      <alignment horizontal="left" vertical="center"/>
      <protection locked="0" hidden="0"/>
    </xf>
    <xf numFmtId="0" fontId="91" fillId="0" borderId="0" applyAlignment="1" applyProtection="1" pivotButton="0" quotePrefix="0" xfId="171">
      <alignment horizontal="left" vertical="center" wrapText="1"/>
      <protection locked="0" hidden="0"/>
    </xf>
    <xf numFmtId="0" fontId="96" fillId="0" borderId="0" applyAlignment="1" applyProtection="1" pivotButton="0" quotePrefix="0" xfId="0">
      <alignment horizontal="center" vertical="center"/>
      <protection locked="0" hidden="0"/>
    </xf>
    <xf numFmtId="0" fontId="91" fillId="2" borderId="0" applyAlignment="1" pivotButton="0" quotePrefix="0" xfId="171">
      <alignment vertical="center"/>
    </xf>
    <xf numFmtId="0" fontId="91" fillId="0" borderId="0" applyAlignment="1" applyProtection="1" pivotButton="0" quotePrefix="0" xfId="312">
      <alignment vertical="center"/>
      <protection locked="0" hidden="0"/>
    </xf>
    <xf numFmtId="43" fontId="95" fillId="0" borderId="0" applyAlignment="1" pivotButton="0" quotePrefix="0" xfId="80">
      <alignment horizontal="left" shrinkToFit="1"/>
    </xf>
    <xf numFmtId="0" fontId="97" fillId="0" borderId="56" applyAlignment="1" pivotButton="0" quotePrefix="0" xfId="171">
      <alignment horizontal="left" vertical="center"/>
    </xf>
    <xf numFmtId="0" fontId="97" fillId="0" borderId="33" applyAlignment="1" pivotButton="0" quotePrefix="0" xfId="171">
      <alignment horizontal="left" vertical="center"/>
    </xf>
    <xf numFmtId="14" fontId="97" fillId="13" borderId="12" applyAlignment="1" applyProtection="1" pivotButton="0" quotePrefix="0" xfId="161">
      <alignment horizontal="right" vertical="center"/>
      <protection locked="0" hidden="0"/>
    </xf>
    <xf numFmtId="0" fontId="97" fillId="0" borderId="57" applyAlignment="1" pivotButton="0" quotePrefix="0" xfId="171">
      <alignment horizontal="left" vertical="center"/>
    </xf>
    <xf numFmtId="0" fontId="100" fillId="0" borderId="5" applyAlignment="1" pivotButton="0" quotePrefix="0" xfId="0">
      <alignment horizontal="center" vertical="center"/>
    </xf>
    <xf numFmtId="0" fontId="101" fillId="0" borderId="5" applyAlignment="1" pivotButton="0" quotePrefix="0" xfId="0">
      <alignment horizontal="center" vertical="center"/>
    </xf>
    <xf numFmtId="0" fontId="102" fillId="2" borderId="0" applyAlignment="1" pivotButton="0" quotePrefix="0" xfId="0">
      <alignment vertical="center"/>
    </xf>
    <xf numFmtId="0" fontId="103" fillId="0" borderId="0" applyAlignment="1" applyProtection="1" pivotButton="0" quotePrefix="0" xfId="171">
      <alignment horizontal="left" vertical="center" wrapText="1"/>
      <protection locked="0" hidden="0"/>
    </xf>
    <xf numFmtId="0" fontId="100" fillId="0" borderId="0" applyAlignment="1" applyProtection="1" pivotButton="0" quotePrefix="0" xfId="0">
      <alignment horizontal="center" vertical="center"/>
      <protection locked="0" hidden="0"/>
    </xf>
    <xf numFmtId="0" fontId="104" fillId="0" borderId="0" applyAlignment="1" applyProtection="1" pivotButton="0" quotePrefix="0" xfId="301">
      <alignment horizontal="right" vertical="center"/>
      <protection locked="0" hidden="0"/>
    </xf>
    <xf numFmtId="43" fontId="100" fillId="0" borderId="0" applyAlignment="1" pivotButton="0" quotePrefix="0" xfId="105">
      <alignment horizontal="center" shrinkToFit="1"/>
    </xf>
    <xf numFmtId="0" fontId="20" fillId="0" borderId="0" applyAlignment="1" applyProtection="1" pivotButton="0" quotePrefix="0" xfId="171">
      <alignment vertical="center"/>
      <protection locked="0" hidden="0"/>
    </xf>
    <xf numFmtId="0" fontId="31" fillId="0" borderId="0" applyAlignment="1" pivotButton="0" quotePrefix="0" xfId="100">
      <alignment horizontal="left" vertical="center"/>
    </xf>
    <xf numFmtId="0" fontId="68" fillId="0" borderId="0" applyAlignment="1" pivotButton="0" quotePrefix="0" xfId="0">
      <alignment vertical="center"/>
    </xf>
    <xf numFmtId="0" fontId="74" fillId="5" borderId="16" applyAlignment="1" applyProtection="1" pivotButton="0" quotePrefix="0" xfId="0">
      <alignment vertical="center"/>
      <protection locked="0" hidden="0"/>
    </xf>
    <xf numFmtId="0" fontId="74" fillId="5" borderId="17" applyAlignment="1" applyProtection="1" pivotButton="0" quotePrefix="0" xfId="0">
      <alignment vertical="center"/>
      <protection locked="0" hidden="0"/>
    </xf>
    <xf numFmtId="0" fontId="74" fillId="5" borderId="20" applyAlignment="1" applyProtection="1" pivotButton="0" quotePrefix="0" xfId="0">
      <alignment vertical="center"/>
      <protection locked="0" hidden="0"/>
    </xf>
    <xf numFmtId="0" fontId="74" fillId="5" borderId="5" applyAlignment="1" pivotButton="0" quotePrefix="0" xfId="0">
      <alignment horizontal="center" vertical="center"/>
    </xf>
    <xf numFmtId="0" fontId="6" fillId="0" borderId="17" applyAlignment="1" pivotButton="0" quotePrefix="0" xfId="0">
      <alignment vertical="center"/>
    </xf>
    <xf numFmtId="0" fontId="6" fillId="2" borderId="0" applyAlignment="1" pivotButton="0" quotePrefix="0" xfId="0">
      <alignment vertical="center"/>
    </xf>
    <xf numFmtId="0" fontId="6" fillId="0" borderId="1" applyAlignment="1" pivotButton="0" quotePrefix="0" xfId="0">
      <alignment vertical="center"/>
    </xf>
    <xf numFmtId="0" fontId="6" fillId="0" borderId="21" applyAlignment="1" pivotButton="0" quotePrefix="0" xfId="0">
      <alignment vertical="center"/>
    </xf>
    <xf numFmtId="0" fontId="20" fillId="14" borderId="18" applyAlignment="1" applyProtection="1" pivotButton="0" quotePrefix="0" xfId="171">
      <alignment vertical="center"/>
      <protection locked="0" hidden="0"/>
    </xf>
    <xf numFmtId="0" fontId="109" fillId="0" borderId="0" applyAlignment="1" applyProtection="1" pivotButton="0" quotePrefix="0" xfId="171">
      <alignment vertical="center" wrapText="1"/>
      <protection locked="0" hidden="0"/>
    </xf>
    <xf numFmtId="0" fontId="4" fillId="0" borderId="0" applyAlignment="1" pivotButton="0" quotePrefix="0" xfId="0">
      <alignment vertical="center"/>
    </xf>
    <xf numFmtId="0" fontId="73" fillId="5" borderId="43" applyAlignment="1" pivotButton="0" quotePrefix="0" xfId="0">
      <alignment vertical="center"/>
    </xf>
    <xf numFmtId="14" fontId="97" fillId="13" borderId="12" applyAlignment="1" pivotButton="0" quotePrefix="0" xfId="173">
      <alignment horizontal="right" vertical="center" shrinkToFit="1"/>
    </xf>
    <xf numFmtId="0" fontId="97" fillId="13" borderId="6" applyAlignment="1" pivotButton="0" quotePrefix="0" xfId="173">
      <alignment horizontal="right" vertical="center" shrinkToFit="1"/>
    </xf>
    <xf numFmtId="166" fontId="97" fillId="13" borderId="12" applyAlignment="1" pivotButton="0" quotePrefix="0" xfId="173">
      <alignment horizontal="right" vertical="center" shrinkToFit="1"/>
    </xf>
    <xf numFmtId="0" fontId="97" fillId="13" borderId="12" applyAlignment="1" pivotButton="0" quotePrefix="0" xfId="173">
      <alignment horizontal="right" vertical="center" shrinkToFit="1"/>
    </xf>
    <xf numFmtId="0" fontId="97" fillId="13" borderId="2" applyAlignment="1" pivotButton="0" quotePrefix="0" xfId="173">
      <alignment horizontal="right" vertical="center" shrinkToFit="1"/>
    </xf>
    <xf numFmtId="0" fontId="110" fillId="0" borderId="0" applyAlignment="1" pivotButton="0" quotePrefix="0" xfId="0">
      <alignment vertical="center"/>
    </xf>
    <xf numFmtId="0" fontId="64" fillId="0" borderId="35" applyAlignment="1" pivotButton="0" quotePrefix="0" xfId="0">
      <alignment horizontal="left" vertical="center" wrapText="1" shrinkToFit="1"/>
    </xf>
    <xf numFmtId="0" fontId="68" fillId="5" borderId="34" applyAlignment="1" pivotButton="0" quotePrefix="0" xfId="0">
      <alignment horizontal="center" vertical="center" wrapText="1"/>
    </xf>
    <xf numFmtId="12" fontId="4" fillId="5" borderId="5" applyAlignment="1" pivotButton="0" quotePrefix="0" xfId="333">
      <alignment horizontal="left" vertical="center" wrapText="1"/>
    </xf>
    <xf numFmtId="12" fontId="4" fillId="5" borderId="5" applyAlignment="1" pivotButton="0" quotePrefix="0" xfId="333">
      <alignment horizontal="center" vertical="center" wrapText="1"/>
    </xf>
    <xf numFmtId="14" fontId="31" fillId="5" borderId="63" applyAlignment="1" applyProtection="1" pivotButton="0" quotePrefix="0" xfId="0">
      <alignment horizontal="center" vertical="center"/>
      <protection locked="0" hidden="0"/>
    </xf>
    <xf numFmtId="0" fontId="31" fillId="5" borderId="62" applyAlignment="1" pivotButton="0" quotePrefix="0" xfId="0">
      <alignment horizontal="center" vertical="center" wrapText="1"/>
    </xf>
    <xf numFmtId="0" fontId="31" fillId="5" borderId="63" applyAlignment="1" pivotButton="0" quotePrefix="0" xfId="0">
      <alignment horizontal="center" vertical="center" wrapText="1"/>
    </xf>
    <xf numFmtId="0" fontId="31" fillId="5" borderId="16" applyAlignment="1" applyProtection="1" pivotButton="0" quotePrefix="0" xfId="0">
      <alignment horizontal="centerContinuous" vertical="center"/>
      <protection locked="0" hidden="0"/>
    </xf>
    <xf numFmtId="0" fontId="31" fillId="5" borderId="17" applyAlignment="1" applyProtection="1" pivotButton="0" quotePrefix="0" xfId="0">
      <alignment horizontal="centerContinuous" vertical="center"/>
      <protection locked="0" hidden="0"/>
    </xf>
    <xf numFmtId="0" fontId="31" fillId="5" borderId="20" applyAlignment="1" applyProtection="1" pivotButton="0" quotePrefix="0" xfId="0">
      <alignment horizontal="centerContinuous" vertical="center"/>
      <protection locked="0" hidden="0"/>
    </xf>
    <xf numFmtId="0" fontId="29" fillId="0" borderId="5" applyAlignment="1" applyProtection="1" pivotButton="0" quotePrefix="0" xfId="302">
      <alignment horizontal="left" vertical="center"/>
      <protection locked="0" hidden="0"/>
    </xf>
    <xf numFmtId="0" fontId="29" fillId="0" borderId="5" applyAlignment="1" applyProtection="1" pivotButton="0" quotePrefix="0" xfId="302">
      <alignment horizontal="center" vertical="center"/>
      <protection locked="0" hidden="0"/>
    </xf>
    <xf numFmtId="0" fontId="74" fillId="5" borderId="35" applyAlignment="1" pivotButton="0" quotePrefix="0" xfId="0">
      <alignment horizontal="center" vertical="center"/>
    </xf>
    <xf numFmtId="0" fontId="74" fillId="5" borderId="5" applyAlignment="1" pivotButton="0" quotePrefix="0" xfId="0">
      <alignment horizontal="center" vertical="center" wrapText="1"/>
    </xf>
    <xf numFmtId="0" fontId="73" fillId="5" borderId="5" applyAlignment="1" pivotButton="0" quotePrefix="0" xfId="0">
      <alignment horizontal="center" vertical="center" wrapText="1"/>
    </xf>
    <xf numFmtId="14" fontId="69" fillId="5" borderId="5" applyAlignment="1" pivotButton="0" quotePrefix="0" xfId="0">
      <alignment horizontal="center" vertical="center" wrapText="1"/>
    </xf>
    <xf numFmtId="0" fontId="111" fillId="0" borderId="0" applyAlignment="1" applyProtection="1" pivotButton="0" quotePrefix="0" xfId="171">
      <alignment vertical="center"/>
      <protection locked="0" hidden="0"/>
    </xf>
    <xf numFmtId="0" fontId="112" fillId="0" borderId="0" applyAlignment="1" pivotButton="0" quotePrefix="0" xfId="0">
      <alignment vertical="center"/>
    </xf>
    <xf numFmtId="0" fontId="111" fillId="0" borderId="0" applyAlignment="1" pivotButton="0" quotePrefix="0" xfId="0">
      <alignment vertical="center"/>
    </xf>
    <xf numFmtId="0" fontId="111" fillId="0" borderId="0" applyAlignment="1" pivotButton="0" quotePrefix="0" xfId="100">
      <alignment vertical="center"/>
    </xf>
    <xf numFmtId="9" fontId="111" fillId="0" borderId="0" applyAlignment="1" pivotButton="0" quotePrefix="0" xfId="85">
      <alignment vertical="center"/>
    </xf>
    <xf numFmtId="0" fontId="113" fillId="0" borderId="0" applyAlignment="1" pivotButton="0" quotePrefix="0" xfId="100">
      <alignment vertical="center"/>
    </xf>
    <xf numFmtId="0" fontId="111" fillId="0" borderId="0" applyAlignment="1" pivotButton="0" quotePrefix="0" xfId="0">
      <alignment horizontal="right" vertical="center"/>
    </xf>
    <xf numFmtId="0" fontId="111" fillId="0" borderId="0" applyAlignment="1" pivotButton="0" quotePrefix="0" xfId="100">
      <alignment horizontal="center" vertical="center"/>
    </xf>
    <xf numFmtId="0" fontId="115" fillId="5" borderId="0" applyAlignment="1" applyProtection="1" pivotButton="0" quotePrefix="0" xfId="335">
      <alignment vertical="center"/>
      <protection locked="0" hidden="0"/>
    </xf>
    <xf numFmtId="166" fontId="64" fillId="0" borderId="5" applyAlignment="1" pivotButton="0" quotePrefix="0" xfId="0">
      <alignment horizontal="right" vertical="center" wrapText="1" shrinkToFit="1"/>
    </xf>
    <xf numFmtId="0" fontId="76" fillId="10" borderId="60" applyAlignment="1" applyProtection="1" pivotButton="0" quotePrefix="0" xfId="171">
      <alignment horizontal="centerContinuous" vertical="center"/>
      <protection locked="0" hidden="0"/>
    </xf>
    <xf numFmtId="0" fontId="76" fillId="10" borderId="26" applyAlignment="1" applyProtection="1" pivotButton="0" quotePrefix="0" xfId="171">
      <alignment horizontal="centerContinuous" vertical="center"/>
      <protection locked="0" hidden="0"/>
    </xf>
    <xf numFmtId="0" fontId="107" fillId="10" borderId="26" applyAlignment="1" applyProtection="1" pivotButton="0" quotePrefix="0" xfId="171">
      <alignment horizontal="centerContinuous" vertical="center"/>
      <protection locked="0" hidden="0"/>
    </xf>
    <xf numFmtId="0" fontId="108" fillId="11" borderId="66" applyAlignment="1" applyProtection="1" pivotButton="0" quotePrefix="0" xfId="171">
      <alignment horizontal="centerContinuous" vertical="center"/>
      <protection locked="0" hidden="0"/>
    </xf>
    <xf numFmtId="0" fontId="108" fillId="11" borderId="68" applyAlignment="1" applyProtection="1" pivotButton="0" quotePrefix="0" xfId="171">
      <alignment horizontal="centerContinuous" vertical="center"/>
      <protection locked="0" hidden="0"/>
    </xf>
    <xf numFmtId="0" fontId="105" fillId="13" borderId="53" applyAlignment="1" applyProtection="1" pivotButton="0" quotePrefix="0" xfId="171">
      <alignment vertical="center"/>
      <protection locked="0" hidden="0"/>
    </xf>
    <xf numFmtId="0" fontId="105" fillId="13" borderId="23" applyAlignment="1" applyProtection="1" pivotButton="0" quotePrefix="0" xfId="171">
      <alignment vertical="center"/>
      <protection locked="0" hidden="0"/>
    </xf>
    <xf numFmtId="0" fontId="105" fillId="13" borderId="52" applyAlignment="1" applyProtection="1" pivotButton="0" quotePrefix="0" xfId="171">
      <alignment vertical="center"/>
      <protection locked="0" hidden="0"/>
    </xf>
    <xf numFmtId="0" fontId="5" fillId="0" borderId="2" applyAlignment="1" pivotButton="0" quotePrefix="0" xfId="2">
      <alignment horizontal="left" vertical="center" shrinkToFit="1"/>
    </xf>
    <xf numFmtId="0" fontId="37" fillId="5" borderId="0" applyAlignment="1" applyProtection="1" pivotButton="0" quotePrefix="0" xfId="171">
      <alignment vertical="center"/>
      <protection locked="0" hidden="0"/>
    </xf>
    <xf numFmtId="0" fontId="6" fillId="5" borderId="0" applyAlignment="1" applyProtection="1" pivotButton="0" quotePrefix="0" xfId="171">
      <alignment vertical="center"/>
      <protection locked="0" hidden="0"/>
    </xf>
    <xf numFmtId="0" fontId="38" fillId="10" borderId="39" applyAlignment="1" applyProtection="1" pivotButton="0" quotePrefix="0" xfId="171">
      <alignment horizontal="centerContinuous" vertical="center"/>
      <protection locked="0" hidden="0"/>
    </xf>
    <xf numFmtId="0" fontId="33" fillId="10" borderId="28" applyAlignment="1" applyProtection="1" pivotButton="0" quotePrefix="0" xfId="171">
      <alignment horizontal="centerContinuous" vertical="center"/>
      <protection locked="0" hidden="0"/>
    </xf>
    <xf numFmtId="0" fontId="40" fillId="11" borderId="54" applyAlignment="1" applyProtection="1" pivotButton="0" quotePrefix="0" xfId="171">
      <alignment horizontal="centerContinuous" vertical="center"/>
      <protection locked="0" hidden="0"/>
    </xf>
    <xf numFmtId="0" fontId="40" fillId="11" borderId="55" applyAlignment="1" applyProtection="1" pivotButton="0" quotePrefix="0" xfId="171">
      <alignment horizontal="centerContinuous" vertical="center"/>
      <protection locked="0" hidden="0"/>
    </xf>
    <xf numFmtId="0" fontId="4" fillId="0" borderId="0" applyAlignment="1" pivotButton="0" quotePrefix="0" xfId="171">
      <alignment vertical="center"/>
    </xf>
    <xf numFmtId="0" fontId="4" fillId="12" borderId="18" applyAlignment="1" pivotButton="0" quotePrefix="0" xfId="171">
      <alignment vertical="center"/>
    </xf>
    <xf numFmtId="0" fontId="41" fillId="13" borderId="53" applyAlignment="1" applyProtection="1" pivotButton="0" quotePrefix="0" xfId="171">
      <alignment vertical="center"/>
      <protection locked="0" hidden="0"/>
    </xf>
    <xf numFmtId="0" fontId="41" fillId="13" borderId="23" applyAlignment="1" applyProtection="1" pivotButton="0" quotePrefix="0" xfId="171">
      <alignment vertical="center" wrapText="1"/>
      <protection locked="0" hidden="0"/>
    </xf>
    <xf numFmtId="0" fontId="41" fillId="13" borderId="52" applyAlignment="1" applyProtection="1" pivotButton="0" quotePrefix="0" xfId="171">
      <alignment vertical="center" wrapText="1"/>
      <protection locked="0" hidden="0"/>
    </xf>
    <xf numFmtId="0" fontId="6" fillId="0" borderId="0" applyAlignment="1" applyProtection="1" pivotButton="0" quotePrefix="0" xfId="0">
      <alignment vertical="center"/>
      <protection locked="0" hidden="0"/>
    </xf>
    <xf numFmtId="0" fontId="31" fillId="5" borderId="7" applyAlignment="1" pivotButton="0" quotePrefix="0" xfId="0">
      <alignment horizontal="centerContinuous" vertical="center"/>
    </xf>
    <xf numFmtId="0" fontId="31" fillId="5" borderId="4" applyAlignment="1" pivotButton="0" quotePrefix="0" xfId="0">
      <alignment horizontal="centerContinuous" vertical="center"/>
    </xf>
    <xf numFmtId="0" fontId="29" fillId="0" borderId="5" applyAlignment="1" pivotButton="0" quotePrefix="0" xfId="0">
      <alignment horizontal="center" vertical="center"/>
    </xf>
    <xf numFmtId="0" fontId="6" fillId="0" borderId="7" applyAlignment="1" pivotButton="0" quotePrefix="0" xfId="0">
      <alignment vertical="center"/>
    </xf>
    <xf numFmtId="0" fontId="5" fillId="0" borderId="5" applyAlignment="1" pivotButton="0" quotePrefix="0" xfId="173">
      <alignment horizontal="left" vertical="center" shrinkToFit="1"/>
    </xf>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0" fontId="6" fillId="0" borderId="8" applyAlignment="1" pivotButton="0" quotePrefix="0" xfId="0">
      <alignment vertical="center"/>
    </xf>
    <xf numFmtId="0" fontId="6" fillId="0" borderId="4" applyAlignment="1" pivotButton="0" quotePrefix="0" xfId="0">
      <alignment vertical="center"/>
    </xf>
    <xf numFmtId="165" fontId="6" fillId="2" borderId="31" applyAlignment="1" applyProtection="1" pivotButton="0" quotePrefix="0" xfId="173">
      <alignment vertical="center"/>
      <protection locked="0" hidden="0"/>
    </xf>
    <xf numFmtId="0" fontId="5" fillId="0" borderId="7" applyAlignment="1" pivotButton="0" quotePrefix="0" xfId="167">
      <alignment vertical="center"/>
    </xf>
    <xf numFmtId="0" fontId="6" fillId="0" borderId="28" applyAlignment="1" pivotButton="0" quotePrefix="0" xfId="0">
      <alignment vertical="center"/>
    </xf>
    <xf numFmtId="0" fontId="6" fillId="0" borderId="29" applyAlignment="1" pivotButton="0" quotePrefix="0" xfId="0">
      <alignment vertical="center"/>
    </xf>
    <xf numFmtId="0" fontId="29" fillId="0" borderId="5" applyAlignment="1" applyProtection="1" pivotButton="0" quotePrefix="0" xfId="0">
      <alignment horizontal="center" vertical="center"/>
      <protection locked="0" hidden="0"/>
    </xf>
    <xf numFmtId="0" fontId="6" fillId="0" borderId="1" applyAlignment="1" applyProtection="1" pivotButton="0" quotePrefix="0" xfId="0">
      <alignment vertical="center"/>
      <protection locked="0" hidden="0"/>
    </xf>
    <xf numFmtId="0" fontId="6" fillId="0" borderId="8" applyAlignment="1" applyProtection="1" pivotButton="0" quotePrefix="0" xfId="0">
      <alignment vertical="center"/>
      <protection locked="0" hidden="0"/>
    </xf>
    <xf numFmtId="0" fontId="6" fillId="0" borderId="4" applyAlignment="1" applyProtection="1" pivotButton="0" quotePrefix="0" xfId="0">
      <alignment vertical="center"/>
      <protection locked="0" hidden="0"/>
    </xf>
    <xf numFmtId="0" fontId="5" fillId="0" borderId="30" applyAlignment="1" pivotButton="0" quotePrefix="0" xfId="173">
      <alignment horizontal="left" vertical="center" shrinkToFit="1"/>
    </xf>
    <xf numFmtId="165" fontId="6" fillId="2" borderId="32" applyAlignment="1" applyProtection="1" pivotButton="0" quotePrefix="0" xfId="173">
      <alignment vertical="center"/>
      <protection locked="0" hidden="0"/>
    </xf>
    <xf numFmtId="0" fontId="6" fillId="0" borderId="0" applyAlignment="1" applyProtection="1" pivotButton="0" quotePrefix="0" xfId="300">
      <alignment vertical="center"/>
      <protection locked="0" hidden="0"/>
    </xf>
    <xf numFmtId="0" fontId="29" fillId="0" borderId="34" applyAlignment="1" pivotButton="0" quotePrefix="0" xfId="0">
      <alignment horizontal="center" vertical="center"/>
    </xf>
    <xf numFmtId="0" fontId="4" fillId="0" borderId="61" applyAlignment="1" pivotButton="0" quotePrefix="0" xfId="0">
      <alignment vertical="center"/>
    </xf>
    <xf numFmtId="0" fontId="6" fillId="0" borderId="21" applyAlignment="1" applyProtection="1" pivotButton="0" quotePrefix="0" xfId="0">
      <alignment vertical="center"/>
      <protection locked="0" hidden="0"/>
    </xf>
    <xf numFmtId="0" fontId="29" fillId="0" borderId="0" applyAlignment="1" pivotButton="0" quotePrefix="0" xfId="0">
      <alignment horizontal="center" vertical="center"/>
    </xf>
    <xf numFmtId="0" fontId="31" fillId="0" borderId="0" applyAlignment="1" pivotButton="0" quotePrefix="0" xfId="171">
      <alignment vertical="center"/>
    </xf>
    <xf numFmtId="0" fontId="43" fillId="0" borderId="0" applyAlignment="1" applyProtection="1" pivotButton="0" quotePrefix="0" xfId="171">
      <alignment vertical="center" wrapText="1"/>
      <protection locked="0" hidden="0"/>
    </xf>
    <xf numFmtId="0" fontId="31" fillId="5" borderId="7" applyAlignment="1" pivotButton="0" quotePrefix="0" xfId="171">
      <alignment horizontal="centerContinuous" vertical="center"/>
    </xf>
    <xf numFmtId="0" fontId="31" fillId="5" borderId="4" applyAlignment="1" pivotButton="0" quotePrefix="0" xfId="171">
      <alignment horizontal="centerContinuous" vertical="center"/>
    </xf>
    <xf numFmtId="165" fontId="5" fillId="0" borderId="0" applyAlignment="1" applyProtection="1" pivotButton="0" quotePrefix="0" xfId="173">
      <alignment vertical="center" wrapText="1"/>
      <protection locked="0" hidden="0"/>
    </xf>
    <xf numFmtId="0" fontId="5" fillId="0" borderId="0" applyAlignment="1" applyProtection="1" pivotButton="0" quotePrefix="0" xfId="162">
      <alignment horizontal="center" vertical="center" wrapText="1"/>
      <protection locked="0" hidden="0"/>
    </xf>
    <xf numFmtId="0" fontId="30" fillId="0" borderId="0" applyAlignment="1" applyProtection="1" pivotButton="0" quotePrefix="0" xfId="171">
      <alignment vertical="center"/>
      <protection locked="0" hidden="0"/>
    </xf>
    <xf numFmtId="0" fontId="31" fillId="5" borderId="5" applyAlignment="1" pivotButton="0" quotePrefix="0" xfId="161">
      <alignment horizontal="left" vertical="center"/>
    </xf>
    <xf numFmtId="165" fontId="5" fillId="2" borderId="5" applyAlignment="1" applyProtection="1" pivotButton="0" quotePrefix="0" xfId="173">
      <alignment horizontal="right" vertical="center" wrapText="1"/>
      <protection locked="0" hidden="0"/>
    </xf>
    <xf numFmtId="9" fontId="5" fillId="0" borderId="0" applyAlignment="1" applyProtection="1" pivotButton="0" quotePrefix="0" xfId="162">
      <alignment vertical="center" wrapText="1"/>
      <protection locked="0" hidden="0"/>
    </xf>
    <xf numFmtId="9" fontId="5" fillId="0" borderId="5" applyAlignment="1" pivotButton="0" quotePrefix="0" xfId="173">
      <alignment horizontal="right" vertical="center" shrinkToFit="1"/>
    </xf>
    <xf numFmtId="9" fontId="5" fillId="0" borderId="0" applyAlignment="1" applyProtection="1" pivotButton="0" quotePrefix="0" xfId="162">
      <alignment horizontal="left" vertical="center" wrapText="1"/>
      <protection locked="0" hidden="0"/>
    </xf>
    <xf numFmtId="0" fontId="6"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protection locked="0" hidden="0"/>
    </xf>
    <xf numFmtId="0" fontId="31" fillId="0" borderId="0" applyAlignment="1" pivotButton="0" quotePrefix="0" xfId="161">
      <alignment horizontal="left" vertical="center"/>
    </xf>
    <xf numFmtId="9" fontId="5" fillId="0" borderId="0" applyAlignment="1" applyProtection="1" pivotButton="0" quotePrefix="0" xfId="161">
      <alignment horizontal="right" vertical="center" wrapText="1"/>
      <protection locked="0" hidden="0"/>
    </xf>
    <xf numFmtId="0" fontId="29" fillId="0" borderId="0" applyAlignment="1" applyProtection="1" pivotButton="0" quotePrefix="0" xfId="171">
      <alignment horizontal="left" vertical="center"/>
      <protection locked="0" hidden="0"/>
    </xf>
    <xf numFmtId="0" fontId="30" fillId="0" borderId="0" applyAlignment="1" applyProtection="1" pivotButton="0" quotePrefix="0" xfId="171">
      <alignment horizontal="left" vertical="center" wrapText="1"/>
      <protection locked="0" hidden="0"/>
    </xf>
    <xf numFmtId="0" fontId="6" fillId="0" borderId="0" applyAlignment="1" applyProtection="1" pivotButton="0" quotePrefix="0" xfId="171">
      <alignment horizontal="left" vertical="center" wrapText="1"/>
      <protection locked="0" hidden="0"/>
    </xf>
    <xf numFmtId="0" fontId="4" fillId="0" borderId="0" applyAlignment="1" pivotButton="0" quotePrefix="0" xfId="171">
      <alignment vertical="center" wrapText="1"/>
    </xf>
    <xf numFmtId="0" fontId="5" fillId="0" borderId="0" applyAlignment="1" pivotButton="0" quotePrefix="0" xfId="173">
      <alignment horizontal="left" vertical="center" shrinkToFit="1"/>
    </xf>
    <xf numFmtId="0" fontId="29" fillId="0" borderId="0" applyAlignment="1" applyProtection="1" pivotButton="0" quotePrefix="0" xfId="0">
      <alignment horizontal="left" vertical="center"/>
      <protection locked="0" hidden="0"/>
    </xf>
    <xf numFmtId="10" fontId="5" fillId="0" borderId="0" applyAlignment="1" applyProtection="1" pivotButton="0" quotePrefix="0" xfId="5">
      <alignment horizontal="center"/>
      <protection locked="0" hidden="0"/>
    </xf>
    <xf numFmtId="0" fontId="29" fillId="0" borderId="0" applyAlignment="1" applyProtection="1" pivotButton="0" quotePrefix="0" xfId="301">
      <alignment horizontal="left" vertical="center"/>
      <protection locked="0" hidden="0"/>
    </xf>
    <xf numFmtId="0" fontId="4" fillId="0" borderId="0" applyAlignment="1" pivotButton="0" quotePrefix="0" xfId="0">
      <alignment horizontal="center" vertical="center"/>
    </xf>
    <xf numFmtId="0" fontId="6" fillId="0" borderId="0" applyAlignment="1" applyProtection="1" pivotButton="0" quotePrefix="0" xfId="301">
      <alignment horizontal="left" vertical="center"/>
      <protection locked="0" hidden="0"/>
    </xf>
    <xf numFmtId="0" fontId="5" fillId="0" borderId="0" applyAlignment="1" applyProtection="1" pivotButton="0" quotePrefix="0" xfId="301">
      <alignment horizontal="right" vertical="center"/>
      <protection locked="0" hidden="0"/>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10" fontId="6" fillId="0" borderId="0" applyAlignment="1" applyProtection="1" pivotButton="0" quotePrefix="0" xfId="5">
      <alignment horizontal="center"/>
      <protection locked="0" hidden="0"/>
    </xf>
    <xf numFmtId="0" fontId="30" fillId="0" borderId="0" applyAlignment="1" applyProtection="1" pivotButton="0" quotePrefix="0" xfId="301">
      <alignment vertical="center"/>
      <protection locked="0" hidden="0"/>
    </xf>
    <xf numFmtId="9" fontId="6" fillId="0" borderId="0" applyAlignment="1" applyProtection="1" pivotButton="0" quotePrefix="0" xfId="301">
      <alignment horizontal="center" vertical="center"/>
      <protection locked="0" hidden="0"/>
    </xf>
    <xf numFmtId="0" fontId="35" fillId="0" borderId="0" applyAlignment="1" pivotButton="0" quotePrefix="0" xfId="0">
      <alignment horizontal="right" vertical="center"/>
    </xf>
    <xf numFmtId="0" fontId="35" fillId="0" borderId="0" applyAlignment="1" pivotButton="0" quotePrefix="0" xfId="0">
      <alignment horizontal="left" vertical="center"/>
    </xf>
    <xf numFmtId="10" fontId="6" fillId="0" borderId="9" applyAlignment="1" applyProtection="1" pivotButton="0" quotePrefix="0" xfId="5">
      <alignment horizont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0" fontId="29" fillId="0" borderId="0" applyAlignment="1" applyProtection="1" pivotButton="0" quotePrefix="0" xfId="171">
      <alignment horizontal="right" vertical="center"/>
      <protection locked="0" hidden="0"/>
    </xf>
    <xf numFmtId="0" fontId="6" fillId="2" borderId="0" applyAlignment="1" pivotButton="0" quotePrefix="0" xfId="171">
      <alignment vertical="center"/>
    </xf>
    <xf numFmtId="0" fontId="29" fillId="2" borderId="0" applyAlignment="1" pivotButton="0" quotePrefix="0" xfId="171">
      <alignment horizontal="center" vertical="center"/>
    </xf>
    <xf numFmtId="0" fontId="6" fillId="2" borderId="0" applyAlignment="1" pivotButton="0" quotePrefix="0" xfId="171">
      <alignment horizontal="center" vertical="center"/>
    </xf>
    <xf numFmtId="167" fontId="31" fillId="0" borderId="0" applyAlignment="1" pivotButton="0" quotePrefix="0" xfId="81">
      <alignment vertical="center" wrapText="1"/>
    </xf>
    <xf numFmtId="0" fontId="29" fillId="0" borderId="0" applyAlignment="1" applyProtection="1" pivotButton="0" quotePrefix="0" xfId="8">
      <alignment horizontal="left" vertical="center"/>
      <protection locked="0" hidden="0"/>
    </xf>
    <xf numFmtId="0" fontId="29" fillId="2" borderId="0" applyAlignment="1" pivotButton="0" quotePrefix="0" xfId="0">
      <alignment horizontal="right" vertical="center"/>
    </xf>
    <xf numFmtId="0" fontId="30" fillId="2" borderId="0" applyAlignment="1" pivotButton="0" quotePrefix="0" xfId="0">
      <alignment vertical="center"/>
    </xf>
    <xf numFmtId="41" fontId="30" fillId="2" borderId="0" applyAlignment="1" pivotButton="0" quotePrefix="0" xfId="0">
      <alignment vertical="center"/>
    </xf>
    <xf numFmtId="0" fontId="34" fillId="2" borderId="0" applyAlignment="1" pivotButton="0" quotePrefix="0" xfId="0">
      <alignment vertical="center"/>
    </xf>
    <xf numFmtId="0" fontId="30" fillId="0" borderId="0" applyAlignment="1" pivotButton="0" quotePrefix="0" xfId="0">
      <alignment vertical="top"/>
    </xf>
    <xf numFmtId="0" fontId="31" fillId="5" borderId="0" applyAlignment="1" pivotButton="0" quotePrefix="0" xfId="0">
      <alignment vertical="center"/>
    </xf>
    <xf numFmtId="0" fontId="6" fillId="0" borderId="0" applyAlignment="1" pivotButton="0" quotePrefix="0" xfId="0">
      <alignment vertical="center" shrinkToFit="1"/>
    </xf>
    <xf numFmtId="0" fontId="31" fillId="5" borderId="39" applyAlignment="1" pivotButton="0" quotePrefix="0" xfId="0">
      <alignment vertical="center"/>
    </xf>
    <xf numFmtId="0" fontId="31" fillId="5" borderId="28" applyAlignment="1" pivotButton="0" quotePrefix="0" xfId="0">
      <alignment vertical="center"/>
    </xf>
    <xf numFmtId="14" fontId="31" fillId="5" borderId="28" applyAlignment="1" pivotButton="0" quotePrefix="0" xfId="0">
      <alignment horizontal="center" vertical="center"/>
    </xf>
    <xf numFmtId="0" fontId="31" fillId="5" borderId="40" applyAlignment="1" pivotButton="0" quotePrefix="0" xfId="0">
      <alignment horizontal="center" vertical="center"/>
    </xf>
    <xf numFmtId="0" fontId="5" fillId="0" borderId="33" applyAlignment="1" pivotButton="0" quotePrefix="0" xfId="80">
      <alignment shrinkToFit="1"/>
    </xf>
    <xf numFmtId="0" fontId="5" fillId="0" borderId="0" applyAlignment="1" pivotButton="0" quotePrefix="0" xfId="80">
      <alignment shrinkToFit="1"/>
    </xf>
    <xf numFmtId="9" fontId="6" fillId="0" borderId="41" applyAlignment="1" pivotButton="0" quotePrefix="0" xfId="80">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29" fillId="0" borderId="0" applyAlignment="1" pivotButton="0" quotePrefix="0" xfId="140">
      <alignment vertical="top" shrinkToFit="1"/>
    </xf>
    <xf numFmtId="43" fontId="5" fillId="0" borderId="0" applyAlignment="1" pivotButton="0" quotePrefix="0" xfId="0">
      <alignment horizontal="center" shrinkToFit="1"/>
    </xf>
    <xf numFmtId="10" fontId="6" fillId="2" borderId="41" applyAlignment="1" pivotButton="0" quotePrefix="0" xfId="5">
      <alignment horizontal="center" shrinkToFit="1"/>
    </xf>
    <xf numFmtId="165" fontId="5" fillId="0" borderId="0" pivotButton="0" quotePrefix="0" xfId="2"/>
    <xf numFmtId="10" fontId="5" fillId="2" borderId="41" applyAlignment="1" pivotButton="0" quotePrefix="0" xfId="5">
      <alignment horizontal="center" shrinkToFit="1"/>
    </xf>
    <xf numFmtId="0" fontId="5" fillId="0" borderId="33" applyAlignment="1" pivotButton="0" quotePrefix="0" xfId="0">
      <alignment vertical="center"/>
    </xf>
    <xf numFmtId="41" fontId="5" fillId="4" borderId="0" applyAlignment="1" pivotButton="0" quotePrefix="0" xfId="0">
      <alignment vertical="center"/>
    </xf>
    <xf numFmtId="41" fontId="5" fillId="0" borderId="41" applyAlignment="1" pivotButton="0" quotePrefix="0" xfId="0">
      <alignment vertical="center"/>
    </xf>
    <xf numFmtId="0" fontId="31" fillId="0" borderId="33" applyAlignment="1" pivotButton="0" quotePrefix="0" xfId="0">
      <alignment horizontal="left" vertical="center"/>
    </xf>
    <xf numFmtId="0" fontId="31" fillId="0" borderId="0" applyAlignment="1" pivotButton="0" quotePrefix="0" xfId="0">
      <alignment horizontal="left" vertical="center"/>
    </xf>
    <xf numFmtId="0" fontId="5" fillId="0" borderId="41" applyAlignment="1" pivotButton="0" quotePrefix="0" xfId="0">
      <alignment horizontal="left" vertical="center"/>
    </xf>
    <xf numFmtId="0" fontId="31" fillId="0" borderId="0" applyAlignment="1" applyProtection="1" pivotButton="0" quotePrefix="0" xfId="100">
      <alignment horizontal="left" vertical="center"/>
      <protection locked="0" hidden="0"/>
    </xf>
    <xf numFmtId="0" fontId="29" fillId="0" borderId="0" applyAlignment="1" applyProtection="1" pivotButton="0" quotePrefix="0" xfId="100">
      <alignment horizontal="left" vertical="center"/>
      <protection locked="0" hidden="0"/>
    </xf>
    <xf numFmtId="0" fontId="5" fillId="0" borderId="0" applyAlignment="1" applyProtection="1" pivotButton="0" quotePrefix="0" xfId="100">
      <alignment horizontal="center" vertical="center"/>
      <protection locked="0" hidden="0"/>
    </xf>
    <xf numFmtId="0" fontId="5" fillId="0" borderId="0" applyAlignment="1" applyProtection="1" pivotButton="0" quotePrefix="0" xfId="0">
      <alignment horizontal="left" vertical="center"/>
      <protection locked="0" hidden="0"/>
    </xf>
    <xf numFmtId="43" fontId="5" fillId="0" borderId="0" applyAlignment="1" applyProtection="1" pivotButton="0" quotePrefix="0" xfId="2">
      <alignment horizontal="left" vertical="center" shrinkToFit="1"/>
      <protection locked="0" hidden="0"/>
    </xf>
    <xf numFmtId="0" fontId="29" fillId="0" borderId="0" applyAlignment="1" applyProtection="1" pivotButton="0" quotePrefix="0" xfId="100">
      <alignment horizontal="center" vertical="center"/>
      <protection locked="0" hidden="0"/>
    </xf>
    <xf numFmtId="0" fontId="31" fillId="0" borderId="0" applyAlignment="1" applyProtection="1" pivotButton="0" quotePrefix="0" xfId="100">
      <alignment horizontal="center" vertical="center"/>
      <protection locked="0" hidden="0"/>
    </xf>
    <xf numFmtId="0" fontId="4" fillId="0" borderId="39" applyAlignment="1" applyProtection="1" pivotButton="0" quotePrefix="0" xfId="100">
      <alignment horizontal="left" vertical="center"/>
      <protection locked="0" hidden="0"/>
    </xf>
    <xf numFmtId="0" fontId="5" fillId="0" borderId="28" applyAlignment="1" applyProtection="1" pivotButton="0" quotePrefix="0" xfId="100">
      <alignment horizontal="left" vertical="center"/>
      <protection locked="0" hidden="0"/>
    </xf>
    <xf numFmtId="0" fontId="4" fillId="0" borderId="33" applyAlignment="1" applyProtection="1" pivotButton="0" quotePrefix="0" xfId="100">
      <alignment horizontal="left" vertical="center"/>
      <protection locked="0" hidden="0"/>
    </xf>
    <xf numFmtId="0" fontId="4" fillId="0" borderId="42" applyAlignment="1" applyProtection="1" pivotButton="0" quotePrefix="0" xfId="100">
      <alignment horizontal="left" vertical="center"/>
      <protection locked="0" hidden="0"/>
    </xf>
    <xf numFmtId="0" fontId="4" fillId="12" borderId="0" applyAlignment="1" pivotButton="0" quotePrefix="0" xfId="171">
      <alignment vertical="center"/>
    </xf>
    <xf numFmtId="0" fontId="38" fillId="10" borderId="60" applyAlignment="1" applyProtection="1" pivotButton="0" quotePrefix="0" xfId="171">
      <alignment horizontal="centerContinuous" vertical="center"/>
      <protection locked="0" hidden="0"/>
    </xf>
    <xf numFmtId="0" fontId="33" fillId="10" borderId="26" applyAlignment="1" applyProtection="1" pivotButton="0" quotePrefix="0" xfId="171">
      <alignment horizontal="centerContinuous" vertical="center"/>
      <protection locked="0" hidden="0"/>
    </xf>
    <xf numFmtId="0" fontId="40" fillId="11" borderId="66" applyAlignment="1" applyProtection="1" pivotButton="0" quotePrefix="0" xfId="171">
      <alignment horizontal="centerContinuous" vertical="center"/>
      <protection locked="0" hidden="0"/>
    </xf>
    <xf numFmtId="0" fontId="40" fillId="11" borderId="67" applyAlignment="1" applyProtection="1" pivotButton="0" quotePrefix="0" xfId="171">
      <alignment horizontal="centerContinuous" vertical="center"/>
      <protection locked="0" hidden="0"/>
    </xf>
    <xf numFmtId="0" fontId="40" fillId="11" borderId="68" applyAlignment="1" applyProtection="1" pivotButton="0" quotePrefix="0" xfId="171">
      <alignment horizontal="centerContinuous" vertical="center"/>
      <protection locked="0" hidden="0"/>
    </xf>
    <xf numFmtId="0" fontId="49" fillId="13" borderId="53" applyAlignment="1" applyProtection="1" pivotButton="0" quotePrefix="0" xfId="171">
      <alignment vertical="center"/>
      <protection locked="0" hidden="0"/>
    </xf>
    <xf numFmtId="0" fontId="49" fillId="13" borderId="23" applyAlignment="1" applyProtection="1" pivotButton="0" quotePrefix="0" xfId="171">
      <alignment vertical="center"/>
      <protection locked="0" hidden="0"/>
    </xf>
    <xf numFmtId="0" fontId="49" fillId="13" borderId="52" applyAlignment="1" applyProtection="1" pivotButton="0" quotePrefix="0" xfId="171">
      <alignment vertical="center"/>
      <protection locked="0" hidden="0"/>
    </xf>
    <xf numFmtId="0" fontId="32" fillId="0" borderId="0" applyAlignment="1" applyProtection="1" pivotButton="0" quotePrefix="0" xfId="309">
      <alignment horizontal="right" vertical="center"/>
      <protection locked="0" hidden="0"/>
    </xf>
    <xf numFmtId="0" fontId="55" fillId="0" borderId="0" applyAlignment="1" applyProtection="1" pivotButton="0" quotePrefix="0" xfId="309">
      <alignment horizontal="right" vertical="center"/>
      <protection locked="0" hidden="0"/>
    </xf>
    <xf numFmtId="0" fontId="34" fillId="0" borderId="0" applyAlignment="1" pivotButton="0" quotePrefix="0" xfId="0">
      <alignment vertical="center"/>
    </xf>
    <xf numFmtId="0" fontId="35" fillId="0" borderId="0" applyAlignment="1" pivotButton="0" quotePrefix="0" xfId="0">
      <alignment vertical="center"/>
    </xf>
    <xf numFmtId="0" fontId="6" fillId="0" borderId="0" applyAlignment="1" pivotButton="0" quotePrefix="0" xfId="78">
      <alignment vertical="center"/>
    </xf>
    <xf numFmtId="0" fontId="6" fillId="0" borderId="0" applyAlignment="1" pivotButton="0" quotePrefix="0" xfId="56">
      <alignment horizontal="left" vertical="top" wrapText="1"/>
    </xf>
    <xf numFmtId="0" fontId="6" fillId="0" borderId="0" applyAlignment="1" pivotButton="0" quotePrefix="0" xfId="100">
      <alignment vertical="center"/>
    </xf>
    <xf numFmtId="9" fontId="6" fillId="0" borderId="0" applyAlignment="1" pivotButton="0" quotePrefix="0" xfId="85">
      <alignment vertical="center"/>
    </xf>
    <xf numFmtId="0" fontId="34" fillId="0" borderId="0" applyAlignment="1" pivotButton="0" quotePrefix="0" xfId="100">
      <alignment vertical="center"/>
    </xf>
    <xf numFmtId="43" fontId="6" fillId="0" borderId="0" applyAlignment="1" pivotButton="0" quotePrefix="0" xfId="2">
      <alignment horizontal="left" vertical="top" wrapText="1"/>
    </xf>
    <xf numFmtId="9" fontId="6" fillId="0" borderId="0" applyAlignment="1" pivotButton="0" quotePrefix="0" xfId="85">
      <alignment vertical="center"/>
    </xf>
    <xf numFmtId="0" fontId="5" fillId="0" borderId="0" applyAlignment="1" pivotButton="0" quotePrefix="0" xfId="100">
      <alignment vertical="center"/>
    </xf>
    <xf numFmtId="43" fontId="6" fillId="0" borderId="0" applyAlignment="1" pivotButton="0" quotePrefix="0" xfId="2">
      <alignment horizontal="left" vertical="top" wrapText="1"/>
    </xf>
    <xf numFmtId="0" fontId="35" fillId="5" borderId="43" applyAlignment="1" pivotButton="0" quotePrefix="0" xfId="0">
      <alignment vertical="center"/>
    </xf>
    <xf numFmtId="0" fontId="6" fillId="5" borderId="43" applyAlignment="1" applyProtection="1" pivotButton="0" quotePrefix="0" xfId="0">
      <alignment vertical="center"/>
      <protection locked="0" hidden="0"/>
    </xf>
    <xf numFmtId="43" fontId="6" fillId="5" borderId="43" applyAlignment="1" pivotButton="0" quotePrefix="0" xfId="2">
      <alignment horizontal="left" vertical="top" wrapText="1"/>
    </xf>
    <xf numFmtId="0" fontId="6" fillId="0" borderId="16" applyAlignment="1" pivotButton="0" quotePrefix="0" xfId="0">
      <alignment vertical="center"/>
    </xf>
    <xf numFmtId="0" fontId="30" fillId="0" borderId="17" applyAlignment="1" pivotButton="0" quotePrefix="0" xfId="0">
      <alignment vertical="center"/>
    </xf>
    <xf numFmtId="0" fontId="35" fillId="0" borderId="20" applyAlignment="1" pivotButton="0" quotePrefix="0" xfId="0">
      <alignment vertical="center"/>
    </xf>
    <xf numFmtId="0" fontId="6" fillId="0" borderId="19" applyAlignment="1" pivotButton="0" quotePrefix="0" xfId="0">
      <alignment vertical="center"/>
    </xf>
    <xf numFmtId="0" fontId="6" fillId="0" borderId="0" applyAlignment="1" pivotButton="0" quotePrefix="0" xfId="0">
      <alignment horizontal="right" vertical="center"/>
    </xf>
    <xf numFmtId="0" fontId="6" fillId="0" borderId="18" applyAlignment="1" pivotButton="0" quotePrefix="0" xfId="0">
      <alignment vertical="center"/>
    </xf>
    <xf numFmtId="0" fontId="6" fillId="2" borderId="14" applyAlignment="1" pivotButton="0" quotePrefix="0" xfId="0">
      <alignment vertical="center"/>
    </xf>
    <xf numFmtId="0" fontId="6" fillId="2" borderId="1" applyAlignment="1" pivotButton="0" quotePrefix="0" xfId="0">
      <alignment horizontal="right" vertical="center"/>
    </xf>
    <xf numFmtId="0" fontId="6" fillId="2" borderId="1" applyAlignment="1" pivotButton="0" quotePrefix="0" xfId="0">
      <alignment vertical="center"/>
    </xf>
    <xf numFmtId="0" fontId="6" fillId="5" borderId="43" applyAlignment="1" pivotButton="0" quotePrefix="0" xfId="0">
      <alignment vertical="center"/>
    </xf>
    <xf numFmtId="0" fontId="6" fillId="5" borderId="43" applyAlignment="1" pivotButton="0" quotePrefix="0" xfId="100">
      <alignment vertical="center"/>
    </xf>
    <xf numFmtId="0" fontId="34" fillId="0" borderId="0" applyAlignment="1" pivotButton="0" quotePrefix="0" xfId="100">
      <alignment horizontal="center" vertical="center"/>
    </xf>
    <xf numFmtId="43" fontId="6" fillId="0" borderId="0" applyAlignment="1" pivotButton="0" quotePrefix="0" xfId="2">
      <alignment horizontal="center" vertical="center" wrapText="1"/>
    </xf>
    <xf numFmtId="0" fontId="6" fillId="0" borderId="0" applyAlignment="1" pivotButton="0" quotePrefix="0" xfId="0">
      <alignment horizontal="center" vertical="center"/>
    </xf>
    <xf numFmtId="0" fontId="6" fillId="0" borderId="0" applyAlignment="1" pivotButton="0" quotePrefix="0" xfId="100">
      <alignment horizontal="center" vertical="center"/>
    </xf>
    <xf numFmtId="9" fontId="6" fillId="0" borderId="0" applyAlignment="1" pivotButton="0" quotePrefix="0" xfId="85">
      <alignment horizontal="center" vertical="center"/>
    </xf>
    <xf numFmtId="0" fontId="5" fillId="0" borderId="0" applyAlignment="1" pivotButton="0" quotePrefix="0" xfId="100">
      <alignment horizontal="center" vertical="center"/>
    </xf>
    <xf numFmtId="0" fontId="7" fillId="5" borderId="5" applyAlignment="1" pivotButton="0" quotePrefix="0" xfId="0">
      <alignment horizontal="center" vertical="center"/>
    </xf>
    <xf numFmtId="0" fontId="7" fillId="5" borderId="14" applyAlignment="1" pivotButton="0" quotePrefix="0" xfId="0">
      <alignment horizontal="center" vertical="center" wrapText="1"/>
    </xf>
    <xf numFmtId="0" fontId="6" fillId="0" borderId="35" applyAlignment="1" pivotButton="0" quotePrefix="0" xfId="0">
      <alignment horizontal="left" vertical="center"/>
    </xf>
    <xf numFmtId="0" fontId="6" fillId="0" borderId="7" applyAlignment="1" pivotButton="0" quotePrefix="0" xfId="0">
      <alignment horizontal="left" vertical="center"/>
    </xf>
    <xf numFmtId="14" fontId="6" fillId="0" borderId="7" applyAlignment="1" pivotButton="0" quotePrefix="0" xfId="0">
      <alignment horizontal="left" vertical="center"/>
    </xf>
    <xf numFmtId="166" fontId="6" fillId="0" borderId="7" applyAlignment="1" pivotButton="0" quotePrefix="0" xfId="0">
      <alignment horizontal="right" vertical="center"/>
    </xf>
    <xf numFmtId="0" fontId="6" fillId="0" borderId="8" applyAlignment="1" pivotButton="0" quotePrefix="0" xfId="0">
      <alignment horizontal="left" vertical="center"/>
    </xf>
    <xf numFmtId="0" fontId="6" fillId="0" borderId="36" applyAlignment="1" pivotButton="0" quotePrefix="0" xfId="0">
      <alignment horizontal="left" vertical="center"/>
    </xf>
    <xf numFmtId="43" fontId="6" fillId="0" borderId="0" applyAlignment="1" pivotButton="0" quotePrefix="0" xfId="2">
      <alignment horizontal="left" vertical="center" wrapText="1"/>
    </xf>
    <xf numFmtId="0" fontId="6" fillId="0" borderId="37" applyAlignment="1" pivotButton="0" quotePrefix="0" xfId="0">
      <alignment horizontal="left" vertical="center"/>
    </xf>
    <xf numFmtId="0" fontId="6" fillId="0" borderId="22" applyAlignment="1" pivotButton="0" quotePrefix="0" xfId="0">
      <alignment horizontal="left" vertical="center"/>
    </xf>
    <xf numFmtId="0" fontId="6" fillId="0" borderId="23" applyAlignment="1" pivotButton="0" quotePrefix="0" xfId="0">
      <alignment horizontal="left" vertical="center"/>
    </xf>
    <xf numFmtId="0" fontId="6" fillId="0" borderId="38" applyAlignment="1" pivotButton="0" quotePrefix="0" xfId="0">
      <alignment horizontal="left" vertical="center"/>
    </xf>
    <xf numFmtId="0" fontId="6" fillId="0" borderId="0" pivotButton="0" quotePrefix="0" xfId="0"/>
    <xf numFmtId="0" fontId="35" fillId="0" borderId="0" applyAlignment="1" pivotButton="0" quotePrefix="0" xfId="100">
      <alignment horizontal="left" vertical="center"/>
    </xf>
    <xf numFmtId="41" fontId="5" fillId="0" borderId="0" applyAlignment="1" pivotButton="0" quotePrefix="0" xfId="0">
      <alignment vertical="center"/>
    </xf>
    <xf numFmtId="0" fontId="31" fillId="0" borderId="0" applyAlignment="1" pivotButton="0" quotePrefix="0" xfId="0">
      <alignment vertical="center"/>
    </xf>
    <xf numFmtId="41" fontId="31" fillId="0" borderId="0" applyAlignment="1" pivotButton="0" quotePrefix="0" xfId="0">
      <alignment vertical="center"/>
    </xf>
    <xf numFmtId="9" fontId="6" fillId="0" borderId="0" applyAlignment="1" pivotButton="0" quotePrefix="0" xfId="85">
      <alignment vertical="center"/>
    </xf>
    <xf numFmtId="0" fontId="31" fillId="16" borderId="5" applyAlignment="1" pivotButton="0" quotePrefix="0" xfId="0">
      <alignment horizontal="center" vertical="center" wrapText="1"/>
    </xf>
    <xf numFmtId="0" fontId="7" fillId="16" borderId="5" applyAlignment="1" pivotButton="0" quotePrefix="0" xfId="0">
      <alignment horizontal="center" vertical="center" wrapText="1"/>
    </xf>
    <xf numFmtId="0" fontId="6" fillId="0" borderId="5" applyAlignment="1" pivotButton="0" quotePrefix="0" xfId="0">
      <alignment horizontal="left" vertical="center"/>
    </xf>
    <xf numFmtId="14" fontId="6" fillId="0" borderId="5" applyAlignment="1" pivotButton="0" quotePrefix="0" xfId="0">
      <alignment horizontal="left" vertical="center"/>
    </xf>
    <xf numFmtId="166" fontId="6" fillId="0" borderId="5" applyAlignment="1" pivotButton="0" quotePrefix="0" xfId="0">
      <alignment horizontal="left" vertical="center"/>
    </xf>
    <xf numFmtId="0" fontId="6" fillId="0" borderId="13" applyAlignment="1" pivotButton="0" quotePrefix="0" xfId="0">
      <alignment horizontal="left" vertical="center"/>
    </xf>
    <xf numFmtId="0" fontId="6" fillId="0" borderId="30" applyAlignment="1" pivotButton="0" quotePrefix="0" xfId="0">
      <alignment horizontal="left" vertical="center"/>
    </xf>
    <xf numFmtId="14" fontId="6" fillId="0" borderId="30" applyAlignment="1" pivotButton="0" quotePrefix="0" xfId="0">
      <alignment horizontal="left" vertical="center"/>
    </xf>
    <xf numFmtId="166" fontId="6" fillId="0" borderId="30" applyAlignment="1" pivotButton="0" quotePrefix="0" xfId="0">
      <alignment horizontal="left" vertical="center"/>
    </xf>
    <xf numFmtId="0" fontId="34" fillId="0" borderId="0" applyAlignment="1" pivotButton="0" quotePrefix="0" xfId="0">
      <alignment horizontal="right" vertical="center"/>
    </xf>
    <xf numFmtId="0" fontId="29" fillId="0" borderId="0" applyAlignment="1" pivotButton="0" quotePrefix="0" xfId="0">
      <alignment horizontal="left" vertical="center"/>
    </xf>
    <xf numFmtId="0" fontId="30" fillId="0" borderId="0" applyAlignment="1" pivotButton="0" quotePrefix="0" xfId="0">
      <alignment vertical="center"/>
    </xf>
    <xf numFmtId="0" fontId="5" fillId="0" borderId="0" pivotButton="0" quotePrefix="0" xfId="0"/>
    <xf numFmtId="0" fontId="21" fillId="0" borderId="0" applyAlignment="1" pivotButton="0" quotePrefix="0" xfId="0">
      <alignment vertical="center"/>
    </xf>
    <xf numFmtId="0" fontId="31" fillId="5" borderId="5" applyAlignment="1" pivotButton="0" quotePrefix="0" xfId="0">
      <alignment horizontal="center" vertical="center"/>
    </xf>
    <xf numFmtId="0" fontId="31" fillId="5" borderId="6" applyAlignment="1" pivotButton="0" quotePrefix="0" xfId="0">
      <alignment horizontal="center" vertical="center"/>
    </xf>
    <xf numFmtId="0" fontId="4" fillId="0" borderId="5" applyAlignment="1" pivotButton="0" quotePrefix="0" xfId="0">
      <alignment horizontal="center" vertical="center"/>
    </xf>
    <xf numFmtId="0" fontId="4" fillId="0" borderId="5" applyAlignment="1" pivotButton="0" quotePrefix="0" xfId="0">
      <alignment horizontal="center" vertical="center" wrapText="1"/>
    </xf>
    <xf numFmtId="0" fontId="84" fillId="0" borderId="0" applyAlignment="1" pivotButton="0" quotePrefix="0" xfId="0">
      <alignment horizontal="center" vertical="center" wrapText="1" shrinkToFit="1"/>
    </xf>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43" fontId="35" fillId="0" borderId="9" applyAlignment="1" applyProtection="1" pivotButton="0" quotePrefix="0" xfId="302">
      <alignment horizontal="right" vertical="center"/>
      <protection locked="0" hidden="0"/>
    </xf>
    <xf numFmtId="43" fontId="5" fillId="0" borderId="0" applyAlignment="1" pivotButton="0" quotePrefix="0" xfId="2">
      <alignment vertical="center"/>
    </xf>
    <xf numFmtId="43" fontId="5" fillId="0" borderId="1" applyAlignment="1" pivotButton="0" quotePrefix="0" xfId="0">
      <alignment horizontal="right" vertical="center"/>
    </xf>
    <xf numFmtId="43" fontId="5" fillId="0" borderId="0" applyAlignment="1" pivotButton="0" quotePrefix="0" xfId="80">
      <alignment horizontal="right" shrinkToFit="1"/>
    </xf>
    <xf numFmtId="0" fontId="6" fillId="0" borderId="28" applyAlignment="1" pivotButton="0" quotePrefix="0" xfId="0">
      <alignment horizontal="left" vertical="center"/>
    </xf>
    <xf numFmtId="0" fontId="6" fillId="0" borderId="40" applyAlignment="1" pivotButton="0" quotePrefix="0" xfId="0">
      <alignment horizontal="left" vertical="center"/>
    </xf>
    <xf numFmtId="0" fontId="5" fillId="0" borderId="0" applyAlignment="1" applyProtection="1" pivotButton="0" quotePrefix="0" xfId="100">
      <alignment horizontal="left" vertical="center"/>
      <protection locked="0" hidden="0"/>
    </xf>
    <xf numFmtId="0" fontId="6" fillId="0" borderId="0" applyAlignment="1" pivotButton="0" quotePrefix="0" xfId="0">
      <alignment horizontal="left" vertical="center"/>
    </xf>
    <xf numFmtId="0" fontId="6" fillId="0" borderId="41" applyAlignment="1" pivotButton="0" quotePrefix="0" xfId="0">
      <alignment horizontal="left" vertical="center"/>
    </xf>
    <xf numFmtId="0" fontId="5" fillId="0" borderId="43" applyAlignment="1" applyProtection="1" pivotButton="0" quotePrefix="0" xfId="100">
      <alignment horizontal="left" vertical="center"/>
      <protection locked="0" hidden="0"/>
    </xf>
    <xf numFmtId="0" fontId="5" fillId="0" borderId="44" applyAlignment="1" applyProtection="1" pivotButton="0" quotePrefix="0" xfId="100">
      <alignment horizontal="left" vertical="center"/>
      <protection locked="0" hidden="0"/>
    </xf>
    <xf numFmtId="0" fontId="5" fillId="0" borderId="30" applyAlignment="1" pivotButton="0" quotePrefix="0" xfId="2">
      <alignment horizontal="left" vertical="center" shrinkToFit="1"/>
    </xf>
    <xf numFmtId="43" fontId="6" fillId="0" borderId="5" applyAlignment="1" pivotButton="0" quotePrefix="0" xfId="333">
      <alignment horizontal="right" vertical="center" shrinkToFit="1"/>
    </xf>
    <xf numFmtId="43" fontId="5" fillId="0" borderId="5" applyAlignment="1" applyProtection="1" pivotButton="0" quotePrefix="0" xfId="302">
      <alignment horizontal="right" vertical="center" shrinkToFit="1"/>
      <protection locked="0" hidden="0"/>
    </xf>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43" fontId="6" fillId="0" borderId="7" applyAlignment="1" applyProtection="1" pivotButton="0" quotePrefix="0" xfId="171">
      <alignment vertical="center"/>
      <protection locked="0" hidden="0"/>
    </xf>
    <xf numFmtId="43" fontId="6" fillId="0" borderId="17" applyAlignment="1" pivotButton="0" quotePrefix="0" xfId="0">
      <alignment horizontal="right"/>
    </xf>
    <xf numFmtId="43" fontId="6" fillId="0" borderId="5" applyAlignment="1" pivotButton="0" quotePrefix="0" xfId="0">
      <alignment horizontal="right" vertical="center"/>
    </xf>
    <xf numFmtId="43" fontId="6" fillId="0" borderId="30" applyAlignment="1" pivotButton="0" quotePrefix="0" xfId="0">
      <alignment horizontal="right" vertical="center"/>
    </xf>
    <xf numFmtId="0" fontId="6" fillId="0" borderId="58" applyAlignment="1" pivotButton="0" quotePrefix="0" xfId="0">
      <alignment horizontal="left" vertical="center"/>
    </xf>
    <xf numFmtId="0" fontId="6" fillId="0" borderId="51" applyAlignment="1" pivotButton="0" quotePrefix="0" xfId="0">
      <alignment horizontal="left" vertical="center"/>
    </xf>
    <xf numFmtId="43" fontId="6" fillId="0" borderId="30" applyAlignment="1" pivotButton="0" quotePrefix="0" xfId="0">
      <alignment horizontal="left" vertical="center"/>
    </xf>
    <xf numFmtId="14" fontId="64" fillId="0" borderId="5" applyAlignment="1" pivotButton="0" quotePrefix="0" xfId="2">
      <alignment horizontal="left" shrinkToFit="1"/>
    </xf>
    <xf numFmtId="14" fontId="64" fillId="0" borderId="5" applyAlignment="1" pivotButton="0" quotePrefix="0" xfId="0">
      <alignment horizontal="left" vertical="center" shrinkToFit="1"/>
    </xf>
    <xf numFmtId="0" fontId="67" fillId="0" borderId="5" applyAlignment="1" pivotButton="0" quotePrefix="0" xfId="164">
      <alignment horizontal="left" vertical="center"/>
    </xf>
    <xf numFmtId="0" fontId="60" fillId="0" borderId="0" applyAlignment="1" pivotButton="0" quotePrefix="0" xfId="0">
      <alignment vertical="center"/>
    </xf>
    <xf numFmtId="0" fontId="55" fillId="0" borderId="0" applyAlignment="1" pivotButton="0" quotePrefix="0" xfId="336">
      <alignment vertical="center"/>
    </xf>
    <xf numFmtId="0" fontId="61" fillId="0" borderId="13" applyAlignment="1" pivotButton="0" quotePrefix="1" xfId="335">
      <alignment horizontal="center" vertical="center"/>
    </xf>
    <xf numFmtId="0" fontId="110" fillId="0" borderId="0" applyAlignment="1" pivotButton="0" quotePrefix="0" xfId="0">
      <alignment vertical="center" wrapText="1"/>
    </xf>
    <xf numFmtId="0" fontId="31" fillId="5" borderId="13" applyAlignment="1" pivotButton="0" quotePrefix="0" xfId="0">
      <alignment horizontal="center" vertical="center" wrapText="1"/>
    </xf>
    <xf numFmtId="0" fontId="31" fillId="5" borderId="2" applyAlignment="1" pivotButton="0" quotePrefix="0" xfId="171">
      <alignment horizontal="center" vertical="center" wrapText="1"/>
    </xf>
    <xf numFmtId="0" fontId="31" fillId="5" borderId="14" applyAlignment="1" pivotButton="0" quotePrefix="0" xfId="0">
      <alignment horizontal="center" vertical="center" wrapText="1"/>
    </xf>
    <xf numFmtId="0" fontId="35" fillId="5" borderId="5" applyAlignment="1" pivotButton="0" quotePrefix="0" xfId="0">
      <alignment horizontal="center" vertical="center"/>
    </xf>
    <xf numFmtId="0" fontId="120" fillId="0" borderId="0" applyAlignment="1" pivotButton="0" quotePrefix="0" xfId="150">
      <alignment vertical="center"/>
    </xf>
    <xf numFmtId="0" fontId="29" fillId="0" borderId="2" applyAlignment="1" applyProtection="1" pivotButton="0" quotePrefix="0" xfId="301">
      <alignment horizontal="left" vertical="center"/>
      <protection locked="0" hidden="0"/>
    </xf>
    <xf numFmtId="0" fontId="61" fillId="0" borderId="13" applyAlignment="1" pivotButton="0" quotePrefix="1" xfId="335">
      <alignment horizontal="center" vertical="center"/>
    </xf>
    <xf numFmtId="0" fontId="61" fillId="0" borderId="13" applyAlignment="1" pivotButton="0" quotePrefix="0" xfId="335">
      <alignment horizontal="center" vertical="center"/>
    </xf>
    <xf numFmtId="0" fontId="7" fillId="8" borderId="13" applyAlignment="1" pivotButton="0" quotePrefix="0" xfId="150">
      <alignment horizontal="left" vertical="center"/>
    </xf>
    <xf numFmtId="0" fontId="31" fillId="8" borderId="13" applyAlignment="1" pivotButton="0" quotePrefix="0" xfId="150">
      <alignment horizontal="left" vertical="center"/>
    </xf>
    <xf numFmtId="0" fontId="6" fillId="0" borderId="13" applyAlignment="1" pivotButton="0" quotePrefix="0" xfId="150">
      <alignment vertical="center" wrapText="1"/>
    </xf>
    <xf numFmtId="0" fontId="6" fillId="0" borderId="13" applyAlignment="1" pivotButton="0" quotePrefix="0" xfId="150">
      <alignment horizontal="left" vertical="center" wrapText="1"/>
    </xf>
    <xf numFmtId="0" fontId="31" fillId="8" borderId="13" applyAlignment="1" pivotButton="0" quotePrefix="0" xfId="150">
      <alignment horizontal="left" vertical="center" wrapText="1"/>
    </xf>
    <xf numFmtId="0" fontId="5" fillId="0" borderId="13" applyAlignment="1" pivotButton="0" quotePrefix="0" xfId="148">
      <alignment horizontal="left" vertical="center" wrapText="1"/>
    </xf>
    <xf numFmtId="0" fontId="31" fillId="9" borderId="13" applyAlignment="1" pivotButton="0" quotePrefix="0" xfId="150">
      <alignment horizontal="left" vertical="center" wrapText="1"/>
    </xf>
    <xf numFmtId="0" fontId="4" fillId="0" borderId="13" applyAlignment="1" pivotButton="0" quotePrefix="0" xfId="150">
      <alignment horizontal="left" vertical="center" wrapText="1"/>
    </xf>
    <xf numFmtId="0" fontId="4" fillId="0" borderId="13" applyAlignment="1" pivotButton="0" quotePrefix="0" xfId="148">
      <alignment horizontal="left" vertical="center" wrapText="1"/>
    </xf>
    <xf numFmtId="0" fontId="31" fillId="0" borderId="13" applyAlignment="1" pivotButton="0" quotePrefix="0" xfId="148">
      <alignment horizontal="left" vertical="center" wrapText="1"/>
    </xf>
    <xf numFmtId="0" fontId="7" fillId="8" borderId="13" applyAlignment="1" pivotButton="0" quotePrefix="0" xfId="150">
      <alignment horizontal="left" vertical="center" wrapText="1"/>
    </xf>
    <xf numFmtId="0" fontId="29" fillId="5" borderId="13" applyAlignment="1" pivotButton="0" quotePrefix="0" xfId="0">
      <alignment horizontal="center" vertical="center" wrapText="1"/>
    </xf>
    <xf numFmtId="0" fontId="41" fillId="13" borderId="19" applyAlignment="1" pivotButton="0" quotePrefix="0" xfId="171">
      <alignment horizontal="left" vertical="center" wrapText="1" indent="16"/>
    </xf>
    <xf numFmtId="0" fontId="41" fillId="13" borderId="0" applyAlignment="1" pivotButton="0" quotePrefix="0" xfId="171">
      <alignment horizontal="left" vertical="center" wrapText="1" indent="16"/>
    </xf>
    <xf numFmtId="0" fontId="41" fillId="13" borderId="41" applyAlignment="1" pivotButton="0" quotePrefix="0" xfId="171">
      <alignment horizontal="left" vertical="center" wrapText="1" indent="16"/>
    </xf>
    <xf numFmtId="0" fontId="41" fillId="13" borderId="14" applyAlignment="1" pivotButton="0" quotePrefix="0" xfId="171">
      <alignment horizontal="left" vertical="center" wrapText="1" indent="16"/>
    </xf>
    <xf numFmtId="0" fontId="41" fillId="13" borderId="1" applyAlignment="1" pivotButton="0" quotePrefix="0" xfId="171">
      <alignment horizontal="left" vertical="center" wrapText="1" indent="16"/>
    </xf>
    <xf numFmtId="0" fontId="41" fillId="13" borderId="58" applyAlignment="1" pivotButton="0" quotePrefix="0" xfId="171">
      <alignment horizontal="left" vertical="center" wrapText="1" indent="16"/>
    </xf>
    <xf numFmtId="0" fontId="5" fillId="0" borderId="39" applyAlignment="1" applyProtection="1" pivotButton="0" quotePrefix="0" xfId="171">
      <alignment horizontal="left" vertical="center" wrapText="1"/>
      <protection locked="0" hidden="0"/>
    </xf>
    <xf numFmtId="0" fontId="5" fillId="0" borderId="28" applyAlignment="1" applyProtection="1" pivotButton="0" quotePrefix="0" xfId="171">
      <alignment horizontal="left" vertical="center" wrapText="1"/>
      <protection locked="0" hidden="0"/>
    </xf>
    <xf numFmtId="0" fontId="5" fillId="0" borderId="40" applyAlignment="1" applyProtection="1" pivotButton="0" quotePrefix="0" xfId="171">
      <alignment horizontal="left" vertical="center" wrapText="1"/>
      <protection locked="0" hidden="0"/>
    </xf>
    <xf numFmtId="0" fontId="5" fillId="0" borderId="33" applyAlignment="1" applyProtection="1" pivotButton="0" quotePrefix="0" xfId="171">
      <alignment horizontal="left" vertical="center" wrapText="1"/>
      <protection locked="0" hidden="0"/>
    </xf>
    <xf numFmtId="0" fontId="5" fillId="0" borderId="0" applyAlignment="1" applyProtection="1" pivotButton="0" quotePrefix="0" xfId="171">
      <alignment horizontal="left" vertical="center" wrapText="1"/>
      <protection locked="0" hidden="0"/>
    </xf>
    <xf numFmtId="0" fontId="5" fillId="0" borderId="41" applyAlignment="1" applyProtection="1" pivotButton="0" quotePrefix="0" xfId="171">
      <alignment horizontal="left" vertical="center" wrapText="1"/>
      <protection locked="0" hidden="0"/>
    </xf>
    <xf numFmtId="0" fontId="5" fillId="0" borderId="42" applyAlignment="1" applyProtection="1" pivotButton="0" quotePrefix="0" xfId="171">
      <alignment horizontal="left" vertical="center" wrapText="1"/>
      <protection locked="0" hidden="0"/>
    </xf>
    <xf numFmtId="0" fontId="5" fillId="0" borderId="43" applyAlignment="1" applyProtection="1" pivotButton="0" quotePrefix="0" xfId="171">
      <alignment horizontal="left" vertical="center" wrapText="1"/>
      <protection locked="0" hidden="0"/>
    </xf>
    <xf numFmtId="0" fontId="5" fillId="0" borderId="44" applyAlignment="1" applyProtection="1" pivotButton="0" quotePrefix="0" xfId="171">
      <alignment horizontal="left" vertical="center" wrapText="1"/>
      <protection locked="0" hidden="0"/>
    </xf>
    <xf numFmtId="0" fontId="58" fillId="0" borderId="39" applyAlignment="1" pivotButton="0" quotePrefix="0" xfId="0">
      <alignment horizontal="left" vertical="center" wrapText="1"/>
    </xf>
    <xf numFmtId="0" fontId="58" fillId="0" borderId="28" applyAlignment="1" pivotButton="0" quotePrefix="0" xfId="0">
      <alignment horizontal="left" vertical="center" wrapText="1"/>
    </xf>
    <xf numFmtId="0" fontId="58" fillId="0" borderId="40" applyAlignment="1" pivotButton="0" quotePrefix="0" xfId="0">
      <alignment horizontal="left" vertical="center" wrapText="1"/>
    </xf>
    <xf numFmtId="0" fontId="58" fillId="0" borderId="33" applyAlignment="1" pivotButton="0" quotePrefix="0" xfId="0">
      <alignment horizontal="left" vertical="center" wrapText="1"/>
    </xf>
    <xf numFmtId="0" fontId="58" fillId="0" borderId="0" applyAlignment="1" pivotButton="0" quotePrefix="0" xfId="0">
      <alignment horizontal="left" vertical="center" wrapText="1"/>
    </xf>
    <xf numFmtId="0" fontId="58" fillId="0" borderId="41" applyAlignment="1" pivotButton="0" quotePrefix="0" xfId="0">
      <alignment horizontal="left" vertical="center" wrapText="1"/>
    </xf>
    <xf numFmtId="0" fontId="58" fillId="0" borderId="42" applyAlignment="1" pivotButton="0" quotePrefix="0" xfId="0">
      <alignment horizontal="left" vertical="center" wrapText="1"/>
    </xf>
    <xf numFmtId="0" fontId="58" fillId="0" borderId="43" applyAlignment="1" pivotButton="0" quotePrefix="0" xfId="0">
      <alignment horizontal="left" vertical="center" wrapText="1"/>
    </xf>
    <xf numFmtId="0" fontId="58" fillId="0" borderId="44" applyAlignment="1" pivotButton="0" quotePrefix="0" xfId="0">
      <alignment horizontal="left" vertical="center" wrapText="1"/>
    </xf>
    <xf numFmtId="0" fontId="31" fillId="16" borderId="7" applyAlignment="1" pivotButton="0" quotePrefix="0" xfId="0">
      <alignment horizontal="center" vertical="center"/>
    </xf>
    <xf numFmtId="0" fontId="31" fillId="16" borderId="8" applyAlignment="1" pivotButton="0" quotePrefix="0" xfId="0">
      <alignment horizontal="center" vertical="center"/>
    </xf>
    <xf numFmtId="0" fontId="31" fillId="16" borderId="4" applyAlignment="1" pivotButton="0" quotePrefix="0" xfId="0">
      <alignment horizontal="center" vertical="center"/>
    </xf>
    <xf numFmtId="0" fontId="43" fillId="0" borderId="42" applyAlignment="1" pivotButton="0" quotePrefix="0" xfId="0">
      <alignment horizontal="left" vertical="top" wrapText="1"/>
    </xf>
    <xf numFmtId="0" fontId="43" fillId="0" borderId="43" applyAlignment="1" pivotButton="0" quotePrefix="0" xfId="0">
      <alignment horizontal="left" vertical="top" wrapText="1"/>
    </xf>
    <xf numFmtId="0" fontId="43" fillId="0" borderId="44" applyAlignment="1" pivotButton="0" quotePrefix="0" xfId="0">
      <alignment horizontal="left" vertical="top" wrapText="1"/>
    </xf>
    <xf numFmtId="0" fontId="7" fillId="5" borderId="13" applyAlignment="1" pivotButton="0" quotePrefix="0" xfId="0">
      <alignment horizontal="center" vertical="center" wrapText="1"/>
    </xf>
    <xf numFmtId="0" fontId="110" fillId="0" borderId="0" applyAlignment="1" pivotButton="0" quotePrefix="0" xfId="0">
      <alignment vertical="center" wrapText="1"/>
    </xf>
    <xf numFmtId="0" fontId="23" fillId="5" borderId="13" applyAlignment="1" pivotButton="0" quotePrefix="0" xfId="0">
      <alignment horizontal="center" vertical="center" wrapText="1"/>
    </xf>
    <xf numFmtId="0" fontId="31" fillId="5" borderId="13" applyAlignment="1" pivotButton="0" quotePrefix="0" xfId="0">
      <alignment horizontal="center" vertical="center" wrapText="1"/>
    </xf>
    <xf numFmtId="14" fontId="31" fillId="5" borderId="62" applyAlignment="1" pivotButton="0" quotePrefix="0" xfId="0">
      <alignment horizontal="center" vertical="center"/>
    </xf>
    <xf numFmtId="14" fontId="31" fillId="5" borderId="13" applyAlignment="1" pivotButton="0" quotePrefix="0" xfId="0">
      <alignment horizontal="center" vertical="center"/>
    </xf>
    <xf numFmtId="0" fontId="43" fillId="0" borderId="16" applyAlignment="1" pivotButton="0" quotePrefix="0" xfId="2">
      <alignment horizontal="left" vertical="center" wrapText="1" shrinkToFit="1"/>
    </xf>
    <xf numFmtId="0" fontId="5" fillId="0" borderId="17" applyAlignment="1" pivotButton="0" quotePrefix="0" xfId="2">
      <alignment horizontal="left" vertical="center" wrapText="1" shrinkToFit="1"/>
    </xf>
    <xf numFmtId="0" fontId="5" fillId="0" borderId="20" applyAlignment="1" pivotButton="0" quotePrefix="0" xfId="2">
      <alignment horizontal="left" vertical="center" wrapText="1" shrinkToFit="1"/>
    </xf>
    <xf numFmtId="0" fontId="5" fillId="0" borderId="19" applyAlignment="1" pivotButton="0" quotePrefix="0" xfId="2">
      <alignment horizontal="left" vertical="center" wrapText="1" shrinkToFit="1"/>
    </xf>
    <xf numFmtId="0" fontId="5" fillId="0" borderId="0" applyAlignment="1" pivotButton="0" quotePrefix="0" xfId="2">
      <alignment horizontal="left" vertical="center" wrapText="1" shrinkToFit="1"/>
    </xf>
    <xf numFmtId="0" fontId="5" fillId="0" borderId="18" applyAlignment="1" pivotButton="0" quotePrefix="0" xfId="2">
      <alignment horizontal="left" vertical="center" wrapText="1" shrinkToFit="1"/>
    </xf>
    <xf numFmtId="0" fontId="5" fillId="0" borderId="14" applyAlignment="1" pivotButton="0" quotePrefix="0" xfId="2">
      <alignment horizontal="left" vertical="center" wrapText="1" shrinkToFit="1"/>
    </xf>
    <xf numFmtId="0" fontId="5" fillId="0" borderId="1" applyAlignment="1" pivotButton="0" quotePrefix="0" xfId="2">
      <alignment horizontal="left" vertical="center" wrapText="1" shrinkToFit="1"/>
    </xf>
    <xf numFmtId="0" fontId="5" fillId="0" borderId="21" applyAlignment="1" pivotButton="0" quotePrefix="0" xfId="2">
      <alignment horizontal="left" vertical="center" wrapText="1" shrinkToFit="1"/>
    </xf>
    <xf numFmtId="0" fontId="31" fillId="5" borderId="64" applyAlignment="1" pivotButton="0" quotePrefix="0" xfId="0">
      <alignment horizontal="center" vertical="center" wrapText="1"/>
    </xf>
    <xf numFmtId="0" fontId="31" fillId="5" borderId="65" applyAlignment="1" pivotButton="0" quotePrefix="0" xfId="0">
      <alignment horizontal="center" vertical="center" wrapText="1"/>
    </xf>
    <xf numFmtId="0" fontId="31" fillId="5" borderId="15" applyAlignment="1" pivotButton="0" quotePrefix="0" xfId="0">
      <alignment horizontal="center" vertical="center" wrapText="1"/>
    </xf>
    <xf numFmtId="0" fontId="31" fillId="5" borderId="32" applyAlignment="1" pivotButton="0" quotePrefix="0" xfId="0">
      <alignment horizontal="center" vertical="center" wrapText="1"/>
    </xf>
    <xf numFmtId="0" fontId="29" fillId="5" borderId="7" applyAlignment="1" pivotButton="0" quotePrefix="0" xfId="333">
      <alignment horizontal="center" vertical="center"/>
    </xf>
    <xf numFmtId="0" fontId="29" fillId="5" borderId="4" applyAlignment="1" pivotButton="0" quotePrefix="0" xfId="333">
      <alignment horizontal="center" vertical="center"/>
    </xf>
    <xf numFmtId="0" fontId="31" fillId="5" borderId="25" applyAlignment="1" applyProtection="1" pivotButton="0" quotePrefix="0" xfId="171">
      <alignment horizontal="center" vertical="center"/>
      <protection locked="0" hidden="0"/>
    </xf>
    <xf numFmtId="0" fontId="31" fillId="5" borderId="27" applyAlignment="1" applyProtection="1" pivotButton="0" quotePrefix="0" xfId="171">
      <alignment horizontal="center" vertical="center"/>
      <protection locked="0" hidden="0"/>
    </xf>
    <xf numFmtId="0" fontId="31" fillId="5" borderId="46" applyAlignment="1" pivotButton="0" quotePrefix="0" xfId="171">
      <alignment horizontal="center" vertical="center" wrapText="1"/>
    </xf>
    <xf numFmtId="0" fontId="31" fillId="5" borderId="2" applyAlignment="1" pivotButton="0" quotePrefix="0" xfId="171">
      <alignment horizontal="center" vertical="center" wrapText="1"/>
    </xf>
    <xf numFmtId="0" fontId="31" fillId="5" borderId="15" applyAlignment="1" pivotButton="0" quotePrefix="0" xfId="171">
      <alignment horizontal="center" vertical="center" wrapText="1"/>
    </xf>
    <xf numFmtId="0" fontId="31" fillId="5" borderId="32" applyAlignment="1" pivotButton="0" quotePrefix="0" xfId="171">
      <alignment horizontal="center" vertical="center" wrapText="1"/>
    </xf>
    <xf numFmtId="0" fontId="58" fillId="0" borderId="16" applyAlignment="1" pivotButton="0" quotePrefix="0" xfId="2">
      <alignment horizontal="left" vertical="center" wrapText="1" shrinkToFit="1"/>
    </xf>
    <xf numFmtId="0" fontId="58" fillId="0" borderId="17" applyAlignment="1" pivotButton="0" quotePrefix="0" xfId="2">
      <alignment horizontal="left" vertical="center" wrapText="1" shrinkToFit="1"/>
    </xf>
    <xf numFmtId="0" fontId="58" fillId="0" borderId="20" applyAlignment="1" pivotButton="0" quotePrefix="0" xfId="2">
      <alignment horizontal="left" vertical="center" wrapText="1" shrinkToFit="1"/>
    </xf>
    <xf numFmtId="0" fontId="58" fillId="0" borderId="19" applyAlignment="1" pivotButton="0" quotePrefix="0" xfId="2">
      <alignment horizontal="left" vertical="center" wrapText="1" shrinkToFit="1"/>
    </xf>
    <xf numFmtId="0" fontId="58" fillId="0" borderId="0" applyAlignment="1" pivotButton="0" quotePrefix="0" xfId="2">
      <alignment horizontal="left" vertical="center" wrapText="1" shrinkToFit="1"/>
    </xf>
    <xf numFmtId="0" fontId="58" fillId="0" borderId="18" applyAlignment="1" pivotButton="0" quotePrefix="0" xfId="2">
      <alignment horizontal="left" vertical="center" wrapText="1" shrinkToFit="1"/>
    </xf>
    <xf numFmtId="0" fontId="58" fillId="0" borderId="14" applyAlignment="1" pivotButton="0" quotePrefix="0" xfId="2">
      <alignment horizontal="left" vertical="center" wrapText="1" shrinkToFit="1"/>
    </xf>
    <xf numFmtId="0" fontId="58" fillId="0" borderId="1" applyAlignment="1" pivotButton="0" quotePrefix="0" xfId="2">
      <alignment horizontal="left" vertical="center" wrapText="1" shrinkToFit="1"/>
    </xf>
    <xf numFmtId="0" fontId="58" fillId="0" borderId="21" applyAlignment="1" pivotButton="0" quotePrefix="0" xfId="2">
      <alignment horizontal="left" vertical="center" wrapText="1" shrinkToFit="1"/>
    </xf>
    <xf numFmtId="0" fontId="31" fillId="5" borderId="47" applyAlignment="1" pivotButton="0" quotePrefix="0" xfId="171">
      <alignment horizontal="center" vertical="center" wrapText="1"/>
    </xf>
    <xf numFmtId="0" fontId="31" fillId="5" borderId="21" applyAlignment="1" pivotButton="0" quotePrefix="0" xfId="171">
      <alignment horizontal="center" vertical="center" wrapText="1"/>
    </xf>
    <xf numFmtId="0" fontId="31" fillId="5" borderId="49" applyAlignment="1" pivotButton="0" quotePrefix="0" xfId="171">
      <alignment horizontal="center" vertical="center"/>
    </xf>
    <xf numFmtId="0" fontId="31" fillId="5" borderId="14" applyAlignment="1" pivotButton="0" quotePrefix="0" xfId="171">
      <alignment horizontal="center" vertical="center"/>
    </xf>
    <xf numFmtId="0" fontId="31" fillId="5" borderId="49" applyAlignment="1" pivotButton="0" quotePrefix="0" xfId="171">
      <alignment horizontal="center" vertical="center" wrapText="1"/>
    </xf>
    <xf numFmtId="0" fontId="31" fillId="5" borderId="14" applyAlignment="1" pivotButton="0" quotePrefix="0" xfId="171">
      <alignment horizontal="center" vertical="center" wrapText="1"/>
    </xf>
    <xf numFmtId="0" fontId="53" fillId="11" borderId="22" applyAlignment="1" pivotButton="0" quotePrefix="0" xfId="312">
      <alignment horizontal="center" vertical="center"/>
    </xf>
    <xf numFmtId="0" fontId="53" fillId="11" borderId="23" applyAlignment="1" pivotButton="0" quotePrefix="0" xfId="312">
      <alignment horizontal="center" vertical="center"/>
    </xf>
    <xf numFmtId="0" fontId="53" fillId="11" borderId="24" applyAlignment="1" pivotButton="0" quotePrefix="0" xfId="312">
      <alignment horizontal="center" vertical="center"/>
    </xf>
    <xf numFmtId="0" fontId="0" fillId="18" borderId="16" applyAlignment="1" pivotButton="0" quotePrefix="0" xfId="0">
      <alignment horizontal="center" vertical="center"/>
    </xf>
    <xf numFmtId="0" fontId="0" fillId="18" borderId="17" applyAlignment="1" pivotButton="0" quotePrefix="0" xfId="0">
      <alignment horizontal="center" vertical="center"/>
    </xf>
    <xf numFmtId="0" fontId="0" fillId="18" borderId="20" applyAlignment="1" pivotButton="0" quotePrefix="0" xfId="0">
      <alignment horizontal="center" vertical="center"/>
    </xf>
    <xf numFmtId="0" fontId="0" fillId="18" borderId="19" applyAlignment="1" pivotButton="0" quotePrefix="0" xfId="0">
      <alignment horizontal="center" vertical="center"/>
    </xf>
    <xf numFmtId="0" fontId="0" fillId="18" borderId="0" applyAlignment="1" pivotButton="0" quotePrefix="0" xfId="0">
      <alignment horizontal="center" vertical="center"/>
    </xf>
    <xf numFmtId="0" fontId="0" fillId="18" borderId="18" applyAlignment="1" pivotButton="0" quotePrefix="0" xfId="0">
      <alignment horizontal="center" vertical="center"/>
    </xf>
    <xf numFmtId="0" fontId="0" fillId="18" borderId="14" applyAlignment="1" pivotButton="0" quotePrefix="0" xfId="0">
      <alignment horizontal="center" vertical="center"/>
    </xf>
    <xf numFmtId="0" fontId="0" fillId="18" borderId="1" applyAlignment="1" pivotButton="0" quotePrefix="0" xfId="0">
      <alignment horizontal="center" vertical="center"/>
    </xf>
    <xf numFmtId="0" fontId="0" fillId="18" borderId="21" applyAlignment="1" pivotButton="0" quotePrefix="0" xfId="0">
      <alignment horizontal="center" vertical="center"/>
    </xf>
    <xf numFmtId="0" fontId="31" fillId="5" borderId="13" applyAlignment="1" pivotButton="0" quotePrefix="0" xfId="100">
      <alignment horizontal="center" vertical="center"/>
    </xf>
    <xf numFmtId="0" fontId="29" fillId="5" borderId="13" applyAlignment="1" pivotButton="0" quotePrefix="0" xfId="0">
      <alignment horizontal="center" vertical="center"/>
    </xf>
    <xf numFmtId="0" fontId="35" fillId="5" borderId="40" applyAlignment="1" pivotButton="0" quotePrefix="0" xfId="0">
      <alignment horizontal="center" vertical="center" wrapText="1"/>
    </xf>
    <xf numFmtId="0" fontId="35" fillId="5" borderId="44" applyAlignment="1" pivotButton="0" quotePrefix="0" xfId="0">
      <alignment horizontal="center" vertical="center" wrapText="1"/>
    </xf>
    <xf numFmtId="0" fontId="35" fillId="5" borderId="15" applyAlignment="1" pivotButton="0" quotePrefix="0" xfId="0">
      <alignment horizontal="center" vertical="center" wrapText="1"/>
    </xf>
    <xf numFmtId="0" fontId="35" fillId="5" borderId="32" applyAlignment="1" pivotButton="0" quotePrefix="0" xfId="0">
      <alignment horizontal="center" vertical="center" wrapText="1"/>
    </xf>
    <xf numFmtId="0" fontId="114" fillId="0" borderId="16" applyAlignment="1" pivotButton="0" quotePrefix="0" xfId="0">
      <alignment horizontal="left" vertical="center" wrapText="1"/>
    </xf>
    <xf numFmtId="0" fontId="114" fillId="0" borderId="17" applyAlignment="1" pivotButton="0" quotePrefix="0" xfId="0">
      <alignment horizontal="left" vertical="center" wrapText="1"/>
    </xf>
    <xf numFmtId="0" fontId="114" fillId="0" borderId="20" applyAlignment="1" pivotButton="0" quotePrefix="0" xfId="0">
      <alignment horizontal="left" vertical="center" wrapText="1"/>
    </xf>
    <xf numFmtId="0" fontId="114" fillId="0" borderId="19" applyAlignment="1" pivotButton="0" quotePrefix="0" xfId="0">
      <alignment horizontal="left" vertical="center" wrapText="1"/>
    </xf>
    <xf numFmtId="0" fontId="114" fillId="0" borderId="0" applyAlignment="1" pivotButton="0" quotePrefix="0" xfId="0">
      <alignment horizontal="left" vertical="center" wrapText="1"/>
    </xf>
    <xf numFmtId="0" fontId="114" fillId="0" borderId="18" applyAlignment="1" pivotButton="0" quotePrefix="0" xfId="0">
      <alignment horizontal="left" vertical="center" wrapText="1"/>
    </xf>
    <xf numFmtId="0" fontId="114" fillId="0" borderId="14" applyAlignment="1" pivotButton="0" quotePrefix="0" xfId="0">
      <alignment horizontal="left" vertical="center" wrapText="1"/>
    </xf>
    <xf numFmtId="0" fontId="114" fillId="0" borderId="1" applyAlignment="1" pivotButton="0" quotePrefix="0" xfId="0">
      <alignment horizontal="left" vertical="center" wrapText="1"/>
    </xf>
    <xf numFmtId="0" fontId="114" fillId="0" borderId="21" applyAlignment="1" pivotButton="0" quotePrefix="0" xfId="0">
      <alignment horizontal="left" vertical="center" wrapText="1"/>
    </xf>
    <xf numFmtId="0" fontId="35" fillId="5" borderId="5" applyAlignment="1" pivotButton="0" quotePrefix="0" xfId="0">
      <alignment horizontal="center" vertical="center"/>
    </xf>
    <xf numFmtId="0" fontId="35" fillId="5" borderId="16" applyAlignment="1" pivotButton="0" quotePrefix="0" xfId="0">
      <alignment horizontal="center" vertical="center"/>
    </xf>
    <xf numFmtId="0" fontId="35" fillId="5" borderId="17" applyAlignment="1" pivotButton="0" quotePrefix="0" xfId="0">
      <alignment horizontal="center" vertical="center"/>
    </xf>
    <xf numFmtId="0" fontId="7" fillId="16" borderId="7" applyAlignment="1" pivotButton="0" quotePrefix="0" xfId="0">
      <alignment horizontal="center" vertical="center" wrapText="1"/>
    </xf>
    <xf numFmtId="0" fontId="7" fillId="16" borderId="8" applyAlignment="1" pivotButton="0" quotePrefix="0" xfId="0">
      <alignment horizontal="center" vertical="center" wrapText="1"/>
    </xf>
    <xf numFmtId="0" fontId="7" fillId="16" borderId="51" applyAlignment="1" pivotButton="0" quotePrefix="0" xfId="0">
      <alignment horizontal="center" vertical="center" wrapText="1"/>
    </xf>
    <xf numFmtId="0" fontId="35" fillId="5" borderId="6" applyAlignment="1" pivotButton="0" quotePrefix="0" xfId="0">
      <alignment horizontal="center" vertical="center"/>
    </xf>
    <xf numFmtId="0" fontId="35" fillId="5" borderId="2" applyAlignment="1" pivotButton="0" quotePrefix="0" xfId="0">
      <alignment horizontal="center" vertical="center"/>
    </xf>
    <xf numFmtId="0" fontId="31" fillId="5" borderId="63" applyAlignment="1" applyProtection="1" pivotButton="0" quotePrefix="0" xfId="0">
      <alignment horizontal="left" vertical="center"/>
      <protection locked="0" hidden="0"/>
    </xf>
    <xf numFmtId="0" fontId="31" fillId="5" borderId="29" applyAlignment="1" applyProtection="1" pivotButton="0" quotePrefix="0" xfId="0">
      <alignment horizontal="left" vertical="center"/>
      <protection locked="0" hidden="0"/>
    </xf>
    <xf numFmtId="0" fontId="31" fillId="5" borderId="62" applyAlignment="1" applyProtection="1" pivotButton="0" quotePrefix="0" xfId="0">
      <alignment horizontal="left" vertical="center"/>
      <protection locked="0" hidden="0"/>
    </xf>
    <xf numFmtId="0" fontId="29" fillId="5" borderId="13" applyAlignment="1" pivotButton="0" quotePrefix="0" xfId="100">
      <alignment horizontal="center" vertical="center"/>
    </xf>
    <xf numFmtId="0" fontId="31" fillId="5" borderId="21" applyAlignment="1" pivotButton="0" quotePrefix="0" xfId="0">
      <alignment horizontal="center" vertical="center" wrapText="1"/>
    </xf>
    <xf numFmtId="0" fontId="31" fillId="5" borderId="5" applyAlignment="1" pivotButton="0" quotePrefix="0" xfId="0">
      <alignment horizontal="center" vertical="center" wrapText="1"/>
    </xf>
    <xf numFmtId="0" fontId="31" fillId="5" borderId="2" applyAlignment="1" pivotButton="0" quotePrefix="0" xfId="100">
      <alignment horizontal="center" vertical="center"/>
    </xf>
    <xf numFmtId="0" fontId="31" fillId="5" borderId="5" applyAlignment="1" pivotButton="0" quotePrefix="0" xfId="100">
      <alignment horizontal="center" vertical="center"/>
    </xf>
    <xf numFmtId="0" fontId="31" fillId="5" borderId="14" applyAlignment="1" pivotButton="0" quotePrefix="0" xfId="0">
      <alignment horizontal="center" vertical="center" wrapText="1"/>
    </xf>
    <xf numFmtId="0" fontId="31" fillId="5" borderId="7" applyAlignment="1" pivotButton="0" quotePrefix="0" xfId="0">
      <alignment horizontal="center" vertical="center" wrapText="1"/>
    </xf>
    <xf numFmtId="0" fontId="5" fillId="0" borderId="33" applyAlignment="1" applyProtection="1" pivotButton="0" quotePrefix="0" xfId="0">
      <alignment horizontal="left" vertical="center" wrapText="1"/>
      <protection locked="0" hidden="0"/>
    </xf>
    <xf numFmtId="0" fontId="5" fillId="0" borderId="0" applyAlignment="1" applyProtection="1" pivotButton="0" quotePrefix="0" xfId="0">
      <alignment horizontal="left" vertical="center" wrapText="1"/>
      <protection locked="0" hidden="0"/>
    </xf>
    <xf numFmtId="0" fontId="5" fillId="0" borderId="41" applyAlignment="1" applyProtection="1" pivotButton="0" quotePrefix="0" xfId="0">
      <alignment horizontal="left" vertical="center" wrapText="1"/>
      <protection locked="0" hidden="0"/>
    </xf>
    <xf numFmtId="0" fontId="6" fillId="0" borderId="42" applyAlignment="1" applyProtection="1" pivotButton="0" quotePrefix="0" xfId="0">
      <alignment horizontal="left" vertical="center" wrapText="1"/>
      <protection locked="0" hidden="0"/>
    </xf>
    <xf numFmtId="0" fontId="5" fillId="0" borderId="43" applyAlignment="1" applyProtection="1" pivotButton="0" quotePrefix="0" xfId="0">
      <alignment horizontal="left" vertical="center" wrapText="1"/>
      <protection locked="0" hidden="0"/>
    </xf>
    <xf numFmtId="0" fontId="5" fillId="0" borderId="44" applyAlignment="1" applyProtection="1" pivotButton="0" quotePrefix="0" xfId="0">
      <alignment horizontal="left" vertical="center" wrapText="1"/>
      <protection locked="0" hidden="0"/>
    </xf>
    <xf numFmtId="0" fontId="6" fillId="0" borderId="33" applyAlignment="1" applyProtection="1" pivotButton="0" quotePrefix="0" xfId="0">
      <alignment horizontal="left" vertical="center"/>
      <protection locked="0" hidden="0"/>
    </xf>
    <xf numFmtId="0" fontId="6" fillId="0" borderId="0" applyAlignment="1" applyProtection="1" pivotButton="0" quotePrefix="0" xfId="0">
      <alignment horizontal="left" vertical="center"/>
      <protection locked="0" hidden="0"/>
    </xf>
    <xf numFmtId="0" fontId="6" fillId="0" borderId="41" applyAlignment="1" applyProtection="1" pivotButton="0" quotePrefix="0" xfId="0">
      <alignment horizontal="left" vertical="center"/>
      <protection locked="0" hidden="0"/>
    </xf>
    <xf numFmtId="0" fontId="31" fillId="5" borderId="45" applyAlignment="1" pivotButton="0" quotePrefix="0" xfId="100">
      <alignment horizontal="center" vertical="center"/>
    </xf>
    <xf numFmtId="0" fontId="31" fillId="5" borderId="48" applyAlignment="1" pivotButton="0" quotePrefix="0" xfId="100">
      <alignment horizontal="center" vertical="center"/>
    </xf>
    <xf numFmtId="0" fontId="31" fillId="5" borderId="46" applyAlignment="1" pivotButton="0" quotePrefix="0" xfId="100">
      <alignment horizontal="center" vertical="center"/>
    </xf>
    <xf numFmtId="0" fontId="6" fillId="0" borderId="0" applyAlignment="1" pivotButton="0" quotePrefix="0" xfId="0">
      <alignment horizontal="left" vertical="center" wrapText="1"/>
    </xf>
    <xf numFmtId="0" fontId="84" fillId="0" borderId="16" applyAlignment="1" pivotButton="0" quotePrefix="0" xfId="0">
      <alignment horizontal="left" vertical="center" wrapText="1" shrinkToFit="1"/>
    </xf>
    <xf numFmtId="0" fontId="84" fillId="0" borderId="17" applyAlignment="1" pivotButton="0" quotePrefix="0" xfId="0">
      <alignment horizontal="left" vertical="center" wrapText="1" shrinkToFit="1"/>
    </xf>
    <xf numFmtId="0" fontId="84" fillId="0" borderId="20" applyAlignment="1" pivotButton="0" quotePrefix="0" xfId="0">
      <alignment horizontal="left" vertical="center" wrapText="1" shrinkToFit="1"/>
    </xf>
    <xf numFmtId="0" fontId="84" fillId="0" borderId="19" applyAlignment="1" pivotButton="0" quotePrefix="0" xfId="0">
      <alignment horizontal="left" vertical="center" wrapText="1" shrinkToFit="1"/>
    </xf>
    <xf numFmtId="0" fontId="84" fillId="0" borderId="0" applyAlignment="1" pivotButton="0" quotePrefix="0" xfId="0">
      <alignment horizontal="left" vertical="center" wrapText="1" shrinkToFit="1"/>
    </xf>
    <xf numFmtId="0" fontId="84" fillId="0" borderId="18" applyAlignment="1" pivotButton="0" quotePrefix="0" xfId="0">
      <alignment horizontal="left" vertical="center" wrapText="1" shrinkToFit="1"/>
    </xf>
    <xf numFmtId="0" fontId="84" fillId="0" borderId="14" applyAlignment="1" pivotButton="0" quotePrefix="0" xfId="0">
      <alignment horizontal="left" vertical="center" wrapText="1" shrinkToFit="1"/>
    </xf>
    <xf numFmtId="0" fontId="84" fillId="0" borderId="1" applyAlignment="1" pivotButton="0" quotePrefix="0" xfId="0">
      <alignment horizontal="left" vertical="center" wrapText="1" shrinkToFit="1"/>
    </xf>
    <xf numFmtId="0" fontId="84" fillId="0" borderId="21" applyAlignment="1" pivotButton="0" quotePrefix="0" xfId="0">
      <alignment horizontal="left" vertical="center" wrapText="1" shrinkToFit="1"/>
    </xf>
    <xf numFmtId="0" fontId="118" fillId="0" borderId="16" applyAlignment="1" pivotButton="0" quotePrefix="0" xfId="0">
      <alignment horizontal="left" vertical="center" wrapText="1" shrinkToFit="1"/>
    </xf>
    <xf numFmtId="0" fontId="118" fillId="0" borderId="17" applyAlignment="1" pivotButton="0" quotePrefix="0" xfId="0">
      <alignment horizontal="left" vertical="center" wrapText="1" shrinkToFit="1"/>
    </xf>
    <xf numFmtId="0" fontId="118" fillId="0" borderId="20" applyAlignment="1" pivotButton="0" quotePrefix="0" xfId="0">
      <alignment horizontal="left" vertical="center" wrapText="1" shrinkToFit="1"/>
    </xf>
    <xf numFmtId="0" fontId="118" fillId="0" borderId="19" applyAlignment="1" pivotButton="0" quotePrefix="0" xfId="0">
      <alignment horizontal="left" vertical="center" wrapText="1" shrinkToFit="1"/>
    </xf>
    <xf numFmtId="0" fontId="118" fillId="0" borderId="0" applyAlignment="1" pivotButton="0" quotePrefix="0" xfId="0">
      <alignment horizontal="left" vertical="center" wrapText="1" shrinkToFit="1"/>
    </xf>
    <xf numFmtId="0" fontId="118" fillId="0" borderId="18" applyAlignment="1" pivotButton="0" quotePrefix="0" xfId="0">
      <alignment horizontal="left" vertical="center" wrapText="1" shrinkToFit="1"/>
    </xf>
    <xf numFmtId="0" fontId="118" fillId="0" borderId="14" applyAlignment="1" pivotButton="0" quotePrefix="0" xfId="0">
      <alignment horizontal="left" vertical="center" wrapText="1" shrinkToFit="1"/>
    </xf>
    <xf numFmtId="0" fontId="118" fillId="0" borderId="1" applyAlignment="1" pivotButton="0" quotePrefix="0" xfId="0">
      <alignment horizontal="left" vertical="center" wrapText="1" shrinkToFit="1"/>
    </xf>
    <xf numFmtId="0" fontId="118" fillId="0" borderId="21" applyAlignment="1" pivotButton="0" quotePrefix="0" xfId="0">
      <alignment horizontal="left" vertical="center" wrapText="1" shrinkToFit="1"/>
    </xf>
    <xf numFmtId="0" fontId="73" fillId="5" borderId="60" applyAlignment="1" pivotButton="0" quotePrefix="0" xfId="0">
      <alignment horizontal="center" vertical="center" wrapText="1"/>
    </xf>
    <xf numFmtId="0" fontId="73" fillId="5" borderId="26" applyAlignment="1" pivotButton="0" quotePrefix="0" xfId="0">
      <alignment horizontal="center" vertical="center" wrapText="1"/>
    </xf>
    <xf numFmtId="0" fontId="73" fillId="5" borderId="27" applyAlignment="1" pivotButton="0" quotePrefix="0" xfId="0">
      <alignment horizontal="center" vertical="center" wrapText="1"/>
    </xf>
    <xf numFmtId="0" fontId="73" fillId="5" borderId="25" applyAlignment="1" pivotButton="0" quotePrefix="0" xfId="0">
      <alignment horizontal="center" vertical="center" wrapText="1"/>
    </xf>
    <xf numFmtId="0" fontId="69" fillId="5" borderId="27" applyAlignment="1" pivotButton="0" quotePrefix="0" xfId="0">
      <alignment horizontal="center" vertical="center" wrapText="1"/>
    </xf>
    <xf numFmtId="0" fontId="74" fillId="5" borderId="7" applyAlignment="1" pivotButton="0" quotePrefix="0" xfId="0">
      <alignment horizontal="center" vertical="center"/>
    </xf>
    <xf numFmtId="0" fontId="74" fillId="5" borderId="8" applyAlignment="1" pivotButton="0" quotePrefix="0" xfId="0">
      <alignment horizontal="center" vertical="center"/>
    </xf>
    <xf numFmtId="0" fontId="74" fillId="5" borderId="4" applyAlignment="1" pivotButton="0" quotePrefix="0" xfId="0">
      <alignment horizontal="center" vertical="center"/>
    </xf>
    <xf numFmtId="14" fontId="88" fillId="5" borderId="7" applyAlignment="1" applyProtection="1" pivotButton="0" quotePrefix="0" xfId="0">
      <alignment horizontal="center" vertical="center"/>
      <protection locked="0" hidden="0"/>
    </xf>
    <xf numFmtId="14" fontId="88" fillId="5" borderId="8" applyAlignment="1" applyProtection="1" pivotButton="0" quotePrefix="0" xfId="0">
      <alignment horizontal="center" vertical="center"/>
      <protection locked="0" hidden="0"/>
    </xf>
    <xf numFmtId="14" fontId="88" fillId="5" borderId="51" applyAlignment="1" applyProtection="1" pivotButton="0" quotePrefix="0" xfId="0">
      <alignment horizontal="center" vertical="center"/>
      <protection locked="0" hidden="0"/>
    </xf>
    <xf numFmtId="0" fontId="69" fillId="5" borderId="15" applyAlignment="1" pivotButton="0" quotePrefix="0" xfId="0">
      <alignment horizontal="center" vertical="center" wrapText="1"/>
    </xf>
    <xf numFmtId="0" fontId="69" fillId="5" borderId="59" applyAlignment="1" pivotButton="0" quotePrefix="0" xfId="0">
      <alignment horizontal="center" vertical="center" wrapText="1"/>
    </xf>
    <xf numFmtId="0" fontId="63" fillId="0" borderId="7" applyAlignment="1" applyProtection="1" pivotButton="0" quotePrefix="0" xfId="0">
      <alignment horizontal="left" vertical="center" wrapText="1"/>
      <protection locked="0" hidden="0"/>
    </xf>
    <xf numFmtId="0" fontId="63" fillId="0" borderId="8" applyAlignment="1" applyProtection="1" pivotButton="0" quotePrefix="0" xfId="0">
      <alignment horizontal="left" vertical="center" wrapText="1"/>
      <protection locked="0" hidden="0"/>
    </xf>
    <xf numFmtId="0" fontId="63" fillId="0" borderId="4" applyAlignment="1" applyProtection="1" pivotButton="0" quotePrefix="0" xfId="0">
      <alignment horizontal="left" vertical="center" wrapText="1"/>
      <protection locked="0" hidden="0"/>
    </xf>
    <xf numFmtId="0" fontId="67" fillId="0" borderId="7" applyAlignment="1" pivotButton="0" quotePrefix="0" xfId="164">
      <alignment horizontal="left" vertical="center"/>
    </xf>
    <xf numFmtId="0" fontId="67" fillId="0" borderId="8" applyAlignment="1" pivotButton="0" quotePrefix="0" xfId="164">
      <alignment horizontal="left" vertical="center"/>
    </xf>
    <xf numFmtId="0" fontId="67" fillId="0" borderId="4" applyAlignment="1" pivotButton="0" quotePrefix="0" xfId="164">
      <alignment horizontal="left" vertical="center"/>
    </xf>
    <xf numFmtId="0" fontId="0" fillId="0" borderId="0" pivotButton="0" quotePrefix="0" xfId="0"/>
    <xf numFmtId="0" fontId="0" fillId="0" borderId="29" pivotButton="0" quotePrefix="0" xfId="0"/>
    <xf numFmtId="0" fontId="0" fillId="0" borderId="62" pivotButton="0" quotePrefix="0" xfId="0"/>
    <xf numFmtId="0" fontId="0" fillId="0" borderId="32" pivotButton="0" quotePrefix="0" xfId="0"/>
    <xf numFmtId="0" fontId="41" fillId="13" borderId="65" applyAlignment="1" pivotButton="0" quotePrefix="0" xfId="171">
      <alignment horizontal="left" vertical="center" wrapText="1" indent="16"/>
    </xf>
    <xf numFmtId="0" fontId="0" fillId="0" borderId="41" pivotButton="0" quotePrefix="0" xfId="0"/>
    <xf numFmtId="171" fontId="97" fillId="13" borderId="12" applyAlignment="1" applyProtection="1" pivotButton="0" quotePrefix="0" xfId="161">
      <alignment horizontal="right" vertical="center"/>
      <protection locked="0" hidden="0"/>
    </xf>
    <xf numFmtId="0" fontId="0" fillId="0" borderId="19" pivotButton="0" quotePrefix="0" xfId="0"/>
    <xf numFmtId="171" fontId="97" fillId="13" borderId="12" applyAlignment="1" pivotButton="0" quotePrefix="0" xfId="173">
      <alignment horizontal="right" vertical="center" shrinkToFit="1"/>
    </xf>
    <xf numFmtId="166" fontId="97" fillId="13" borderId="12" applyAlignment="1" pivotButton="0" quotePrefix="0" xfId="173">
      <alignment horizontal="right" vertical="center" shrinkToFit="1"/>
    </xf>
    <xf numFmtId="0" fontId="0" fillId="0" borderId="14" pivotButton="0" quotePrefix="0" xfId="0"/>
    <xf numFmtId="0" fontId="0" fillId="0" borderId="1" pivotButton="0" quotePrefix="0" xfId="0"/>
    <xf numFmtId="0" fontId="0" fillId="0" borderId="58" pivotButton="0" quotePrefix="0" xfId="0"/>
    <xf numFmtId="0" fontId="31" fillId="16" borderId="5" applyAlignment="1" pivotButton="0" quotePrefix="0" xfId="0">
      <alignment horizontal="center" vertical="center"/>
    </xf>
    <xf numFmtId="0" fontId="0" fillId="0" borderId="8" pivotButton="0" quotePrefix="0" xfId="0"/>
    <xf numFmtId="0" fontId="0" fillId="0" borderId="4" pivotButton="0" quotePrefix="0" xfId="0"/>
    <xf numFmtId="165" fontId="4" fillId="2" borderId="7" applyAlignment="1" applyProtection="1" pivotButton="0" quotePrefix="0" xfId="173">
      <alignment horizontal="right" vertical="center"/>
      <protection locked="0" hidden="0"/>
    </xf>
    <xf numFmtId="165" fontId="6" fillId="2" borderId="15" applyAlignment="1" applyProtection="1" pivotButton="0" quotePrefix="0" xfId="173">
      <alignment vertical="center"/>
      <protection locked="0" hidden="0"/>
    </xf>
    <xf numFmtId="165" fontId="6" fillId="2" borderId="31" applyAlignment="1" applyProtection="1" pivotButton="0" quotePrefix="0" xfId="173">
      <alignment vertical="center"/>
      <protection locked="0" hidden="0"/>
    </xf>
    <xf numFmtId="165" fontId="6" fillId="2" borderId="32" applyAlignment="1" applyProtection="1" pivotButton="0" quotePrefix="0" xfId="173">
      <alignment vertical="center"/>
      <protection locked="0" hidden="0"/>
    </xf>
    <xf numFmtId="0" fontId="5" fillId="0" borderId="13" applyAlignment="1" applyProtection="1" pivotButton="0" quotePrefix="0" xfId="171">
      <alignment horizontal="left" vertical="center" wrapText="1"/>
      <protection locked="0" hidden="0"/>
    </xf>
    <xf numFmtId="0" fontId="0" fillId="0" borderId="28" applyProtection="1" pivotButton="0" quotePrefix="0" xfId="0">
      <protection locked="0" hidden="0"/>
    </xf>
    <xf numFmtId="0" fontId="0" fillId="0" borderId="40" applyProtection="1" pivotButton="0" quotePrefix="0" xfId="0">
      <protection locked="0" hidden="0"/>
    </xf>
    <xf numFmtId="0" fontId="0" fillId="0" borderId="33" applyProtection="1" pivotButton="0" quotePrefix="0" xfId="0">
      <protection locked="0" hidden="0"/>
    </xf>
    <xf numFmtId="0" fontId="0" fillId="0" borderId="0"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43" applyProtection="1" pivotButton="0" quotePrefix="0" xfId="0">
      <protection locked="0" hidden="0"/>
    </xf>
    <xf numFmtId="0" fontId="0" fillId="0" borderId="44" applyProtection="1" pivotButton="0" quotePrefix="0" xfId="0">
      <protection locked="0" hidden="0"/>
    </xf>
    <xf numFmtId="165" fontId="5" fillId="0" borderId="0" applyAlignment="1" applyProtection="1" pivotButton="0" quotePrefix="0" xfId="173">
      <alignment vertical="center" wrapText="1"/>
      <protection locked="0" hidden="0"/>
    </xf>
    <xf numFmtId="165" fontId="5" fillId="2" borderId="5" applyAlignment="1" applyProtection="1" pivotButton="0" quotePrefix="0" xfId="173">
      <alignment horizontal="right" vertical="center" wrapText="1"/>
      <protection locked="0" hidden="0"/>
    </xf>
    <xf numFmtId="0" fontId="31" fillId="5" borderId="36" applyAlignment="1" pivotButton="0" quotePrefix="0" xfId="0">
      <alignment horizontal="center" vertical="center" wrapText="1"/>
    </xf>
    <xf numFmtId="171" fontId="31" fillId="5" borderId="63" applyAlignment="1" applyProtection="1" pivotButton="0" quotePrefix="0" xfId="0">
      <alignment horizontal="center" vertical="center"/>
      <protection locked="0" hidden="0"/>
    </xf>
    <xf numFmtId="0" fontId="0" fillId="0" borderId="65" pivotButton="0" quotePrefix="0" xfId="0"/>
    <xf numFmtId="43" fontId="5" fillId="0" borderId="0" applyAlignment="1" pivotButton="0" quotePrefix="0" xfId="173">
      <alignment horizontal="right" vertical="center" shrinkToFit="1"/>
    </xf>
    <xf numFmtId="43" fontId="5" fillId="0" borderId="0" applyAlignment="1" pivotButton="0" quotePrefix="0" xfId="0">
      <alignment horizontal="right" vertical="center"/>
    </xf>
    <xf numFmtId="43" fontId="5" fillId="0" borderId="0" applyAlignment="1" applyProtection="1" pivotButton="0" quotePrefix="0" xfId="302">
      <alignment vertical="center"/>
      <protection locked="0" hidden="0"/>
    </xf>
    <xf numFmtId="43" fontId="6" fillId="0" borderId="0" applyAlignment="1" applyProtection="1" pivotButton="0" quotePrefix="0" xfId="302">
      <alignment vertical="center"/>
      <protection locked="0" hidden="0"/>
    </xf>
    <xf numFmtId="171" fontId="4" fillId="0" borderId="0" applyAlignment="1" pivotButton="0" quotePrefix="0" xfId="0">
      <alignment horizontal="center" vertical="center"/>
    </xf>
    <xf numFmtId="165" fontId="6" fillId="0" borderId="0" applyAlignment="1" applyProtection="1" pivotButton="0" quotePrefix="0" xfId="302">
      <alignment horizontal="right" vertical="center"/>
      <protection locked="0" hidden="0"/>
    </xf>
    <xf numFmtId="165" fontId="6" fillId="0" borderId="0" applyAlignment="1" applyProtection="1" pivotButton="0" quotePrefix="0" xfId="302">
      <alignment vertical="center"/>
      <protection locked="0" hidden="0"/>
    </xf>
    <xf numFmtId="0" fontId="111" fillId="0" borderId="0" applyAlignment="1" applyProtection="1" pivotButton="0" quotePrefix="0" xfId="171">
      <alignment horizontal="left" vertical="center"/>
      <protection locked="0" hidden="0"/>
    </xf>
    <xf numFmtId="0" fontId="111" fillId="0" borderId="0" applyAlignment="1" applyProtection="1" pivotButton="0" quotePrefix="0" xfId="301">
      <alignment horizontal="left" vertical="center"/>
      <protection locked="0" hidden="0"/>
    </xf>
    <xf numFmtId="0" fontId="113" fillId="0" borderId="0" applyAlignment="1" applyProtection="1" pivotButton="0" quotePrefix="0" xfId="301">
      <alignment horizontal="right" vertical="center"/>
      <protection locked="0" hidden="0"/>
    </xf>
    <xf numFmtId="165" fontId="111" fillId="0" borderId="0" applyAlignment="1" applyProtection="1" pivotButton="0" quotePrefix="0" xfId="302">
      <alignment horizontal="right" vertical="center"/>
      <protection locked="0" hidden="0"/>
    </xf>
    <xf numFmtId="165" fontId="111" fillId="0" borderId="0" applyAlignment="1" applyProtection="1" pivotButton="0" quotePrefix="0" xfId="302">
      <alignment vertical="center"/>
      <protection locked="0" hidden="0"/>
    </xf>
    <xf numFmtId="10" fontId="111" fillId="0" borderId="0" applyAlignment="1" applyProtection="1" pivotButton="0" quotePrefix="0" xfId="5">
      <alignment horizontal="center"/>
      <protection locked="0" hidden="0"/>
    </xf>
    <xf numFmtId="9" fontId="111" fillId="0" borderId="0" applyAlignment="1" applyProtection="1" pivotButton="0" quotePrefix="0" xfId="301">
      <alignment horizontal="center" vertical="center"/>
      <protection locked="0" hidden="0"/>
    </xf>
    <xf numFmtId="43" fontId="35" fillId="0" borderId="9" applyAlignment="1" applyProtection="1" pivotButton="0" quotePrefix="0" xfId="302">
      <alignment horizontal="right" vertical="center"/>
      <protection locked="0" hidden="0"/>
    </xf>
    <xf numFmtId="43" fontId="34" fillId="0" borderId="0" applyAlignment="1" pivotButton="0" quotePrefix="0" xfId="100">
      <alignment horizontal="center" vertical="center" shrinkToFit="1"/>
    </xf>
    <xf numFmtId="43" fontId="5" fillId="0" borderId="0" applyAlignment="1" pivotButton="0" quotePrefix="0" xfId="56">
      <alignment horizontal="right" vertical="center" shrinkToFit="1"/>
    </xf>
    <xf numFmtId="43" fontId="6" fillId="0" borderId="0" applyAlignment="1" pivotButton="0" quotePrefix="0" xfId="33">
      <alignment horizontal="right" vertical="center" shrinkToFit="1"/>
    </xf>
    <xf numFmtId="167" fontId="31" fillId="0" borderId="0" applyAlignment="1" pivotButton="0" quotePrefix="0" xfId="81">
      <alignment vertical="center" wrapText="1"/>
    </xf>
    <xf numFmtId="0" fontId="43" fillId="0" borderId="5" applyAlignment="1" pivotButton="0" quotePrefix="0" xfId="2">
      <alignment horizontal="left" vertical="center" wrapText="1" shrinkToFit="1"/>
    </xf>
    <xf numFmtId="0" fontId="0" fillId="0" borderId="17" pivotButton="0" quotePrefix="0" xfId="0"/>
    <xf numFmtId="0" fontId="0" fillId="0" borderId="20" pivotButton="0" quotePrefix="0" xfId="0"/>
    <xf numFmtId="0" fontId="0" fillId="0" borderId="18" pivotButton="0" quotePrefix="0" xfId="0"/>
    <xf numFmtId="0" fontId="0" fillId="0" borderId="21" pivotButton="0" quotePrefix="0" xfId="0"/>
    <xf numFmtId="0" fontId="58" fillId="0" borderId="13" applyAlignment="1" pivotButton="0" quotePrefix="0" xfId="0">
      <alignment horizontal="left" vertical="center" wrapText="1"/>
    </xf>
    <xf numFmtId="0" fontId="0" fillId="0" borderId="28" pivotButton="0" quotePrefix="0" xfId="0"/>
    <xf numFmtId="0" fontId="0" fillId="0" borderId="40" pivotButton="0" quotePrefix="0" xfId="0"/>
    <xf numFmtId="0" fontId="0" fillId="0" borderId="33" pivotButton="0" quotePrefix="0" xfId="0"/>
    <xf numFmtId="0" fontId="0" fillId="0" borderId="42" pivotButton="0" quotePrefix="0" xfId="0"/>
    <xf numFmtId="0" fontId="0" fillId="0" borderId="43" pivotButton="0" quotePrefix="0" xfId="0"/>
    <xf numFmtId="0" fontId="0" fillId="0" borderId="44" pivotButton="0" quotePrefix="0" xfId="0"/>
    <xf numFmtId="41" fontId="30" fillId="2" borderId="0" applyAlignment="1" pivotButton="0" quotePrefix="0" xfId="0">
      <alignment vertical="center"/>
    </xf>
    <xf numFmtId="43" fontId="95" fillId="0" borderId="0" applyAlignment="1" pivotButton="0" quotePrefix="0" xfId="80">
      <alignment horizontal="left" shrinkToFit="1"/>
    </xf>
    <xf numFmtId="43" fontId="100" fillId="0" borderId="0" applyAlignment="1" pivotButton="0" quotePrefix="0" xfId="105">
      <alignment horizontal="center" shrinkToFit="1"/>
    </xf>
    <xf numFmtId="43" fontId="31" fillId="0" borderId="33" applyAlignment="1" pivotButton="0" quotePrefix="0" xfId="105">
      <alignment vertical="top" shrinkToFit="1"/>
    </xf>
    <xf numFmtId="43" fontId="31" fillId="0" borderId="0" applyAlignment="1" pivotButton="0" quotePrefix="0" xfId="105">
      <alignment vertical="top" shrinkToFit="1"/>
    </xf>
    <xf numFmtId="43" fontId="5" fillId="0" borderId="0" applyAlignment="1" pivotButton="0" quotePrefix="0" xfId="2">
      <alignment vertical="center"/>
    </xf>
    <xf numFmtId="43" fontId="29" fillId="0" borderId="0" applyAlignment="1" pivotButton="0" quotePrefix="0" xfId="140">
      <alignment vertical="top" shrinkToFit="1"/>
    </xf>
    <xf numFmtId="43" fontId="5" fillId="0" borderId="1" applyAlignment="1" pivotButton="0" quotePrefix="0" xfId="0">
      <alignment horizontal="right" vertical="center"/>
    </xf>
    <xf numFmtId="43" fontId="5" fillId="0" borderId="0" applyAlignment="1" pivotButton="0" quotePrefix="0" xfId="0">
      <alignment horizontal="center" shrinkToFit="1"/>
    </xf>
    <xf numFmtId="165" fontId="5" fillId="0" borderId="0" pivotButton="0" quotePrefix="0" xfId="2"/>
    <xf numFmtId="43" fontId="5" fillId="0" borderId="0" applyAlignment="1" pivotButton="0" quotePrefix="0" xfId="80">
      <alignment horizontal="right" shrinkToFit="1"/>
    </xf>
    <xf numFmtId="41" fontId="5" fillId="4" borderId="0" applyAlignment="1" pivotButton="0" quotePrefix="0" xfId="0">
      <alignment vertical="center"/>
    </xf>
    <xf numFmtId="41" fontId="5" fillId="0" borderId="41" applyAlignment="1" pivotButton="0" quotePrefix="0" xfId="0">
      <alignment vertical="center"/>
    </xf>
    <xf numFmtId="0" fontId="43" fillId="0" borderId="32" applyAlignment="1" pivotButton="0" quotePrefix="0" xfId="0">
      <alignment horizontal="left" vertical="top" wrapText="1"/>
    </xf>
    <xf numFmtId="43" fontId="5" fillId="0" borderId="0" applyAlignment="1" applyProtection="1" pivotButton="0" quotePrefix="0" xfId="2">
      <alignment horizontal="left" vertical="center" shrinkToFit="1"/>
      <protection locked="0" hidden="0"/>
    </xf>
    <xf numFmtId="43" fontId="6" fillId="0" borderId="7" applyAlignment="1" applyProtection="1" pivotButton="0" quotePrefix="0" xfId="171">
      <alignment vertical="center"/>
      <protection locked="0" hidden="0"/>
    </xf>
    <xf numFmtId="0" fontId="31" fillId="5" borderId="13" applyAlignment="1" pivotButton="0" quotePrefix="0" xfId="171">
      <alignment horizontal="center" vertical="center" wrapText="1"/>
    </xf>
    <xf numFmtId="0" fontId="31" fillId="5" borderId="73" applyAlignment="1" pivotButton="0" quotePrefix="0" xfId="171">
      <alignment horizontal="center" vertical="center" wrapText="1"/>
    </xf>
    <xf numFmtId="0" fontId="31" fillId="5" borderId="74" applyAlignment="1" pivotButton="0" quotePrefix="0" xfId="171">
      <alignment horizontal="center" vertical="center"/>
    </xf>
    <xf numFmtId="0" fontId="31" fillId="5" borderId="74" applyAlignment="1" pivotButton="0" quotePrefix="0" xfId="171">
      <alignment horizontal="center" vertical="center" wrapText="1"/>
    </xf>
    <xf numFmtId="0" fontId="31" fillId="5" borderId="72" applyAlignment="1" pivotButton="0" quotePrefix="0" xfId="171">
      <alignment horizontal="center" vertical="center" wrapText="1"/>
    </xf>
    <xf numFmtId="0" fontId="31" fillId="5" borderId="70" applyAlignment="1" applyProtection="1" pivotButton="0" quotePrefix="0" xfId="171">
      <alignment horizontal="center" vertical="center"/>
      <protection locked="0" hidden="0"/>
    </xf>
    <xf numFmtId="0" fontId="0" fillId="0" borderId="27" applyProtection="1" pivotButton="0" quotePrefix="0" xfId="0">
      <protection locked="0" hidden="0"/>
    </xf>
    <xf numFmtId="0" fontId="0" fillId="0" borderId="2" pivotButton="0" quotePrefix="0" xfId="0"/>
    <xf numFmtId="43" fontId="5" fillId="0" borderId="5" applyAlignment="1" applyProtection="1" pivotButton="0" quotePrefix="0" xfId="302">
      <alignment horizontal="right" vertical="center" shrinkToFit="1"/>
      <protection locked="0" hidden="0"/>
    </xf>
    <xf numFmtId="43" fontId="31" fillId="0" borderId="4" applyAlignment="1" pivotButton="0" quotePrefix="0" xfId="0">
      <alignment horizontal="right" vertical="center" shrinkToFit="1"/>
    </xf>
    <xf numFmtId="43" fontId="5" fillId="0" borderId="4" applyAlignment="1" pivotButton="0" quotePrefix="0" xfId="0">
      <alignment horizontal="right" vertical="center" shrinkToFit="1"/>
    </xf>
    <xf numFmtId="43" fontId="5" fillId="0" borderId="24" applyAlignment="1" pivotButton="0" quotePrefix="0" xfId="0">
      <alignment horizontal="right" vertical="center" shrinkToFit="1"/>
    </xf>
    <xf numFmtId="43" fontId="35" fillId="0" borderId="9" applyAlignment="1" applyProtection="1" pivotButton="0" quotePrefix="0" xfId="171">
      <alignment horizontal="right" vertical="center" shrinkToFit="1"/>
      <protection locked="0" hidden="0"/>
    </xf>
    <xf numFmtId="165" fontId="29" fillId="0" borderId="0" applyAlignment="1" applyProtection="1" pivotButton="0" quotePrefix="0" xfId="171">
      <alignment horizontal="center" vertical="center"/>
      <protection locked="0" hidden="0"/>
    </xf>
    <xf numFmtId="165" fontId="35" fillId="0" borderId="0" applyAlignment="1" applyProtection="1" pivotButton="0" quotePrefix="0" xfId="171">
      <alignment vertical="center"/>
      <protection locked="0" hidden="0"/>
    </xf>
    <xf numFmtId="164" fontId="4" fillId="0" borderId="0" applyAlignment="1" applyProtection="1" pivotButton="0" quotePrefix="0" xfId="311">
      <alignment horizontal="center" vertical="center"/>
      <protection locked="0" hidden="0"/>
    </xf>
    <xf numFmtId="0" fontId="58" fillId="0" borderId="5" applyAlignment="1" pivotButton="0" quotePrefix="0" xfId="2">
      <alignment horizontal="left" vertical="center" wrapText="1" shrinkToFit="1"/>
    </xf>
    <xf numFmtId="0" fontId="29" fillId="5" borderId="5" applyAlignment="1" pivotButton="0" quotePrefix="0" xfId="333">
      <alignment horizontal="center" vertical="center"/>
    </xf>
    <xf numFmtId="166" fontId="6" fillId="0" borderId="5" applyAlignment="1" pivotButton="0" quotePrefix="0" xfId="334">
      <alignment vertical="center" shrinkToFit="1"/>
    </xf>
    <xf numFmtId="43" fontId="6" fillId="0" borderId="5" applyAlignment="1" pivotButton="0" quotePrefix="0" xfId="333">
      <alignment horizontal="right" vertical="center" shrinkToFit="1"/>
    </xf>
    <xf numFmtId="166" fontId="6" fillId="0" borderId="5" applyAlignment="1" pivotButton="0" quotePrefix="0" xfId="333">
      <alignment vertical="center" shrinkToFit="1"/>
    </xf>
    <xf numFmtId="0" fontId="53" fillId="11" borderId="75" applyAlignment="1" pivotButton="0" quotePrefix="0" xfId="312">
      <alignment horizontal="center" vertical="center"/>
    </xf>
    <xf numFmtId="0" fontId="0" fillId="0" borderId="23" pivotButton="0" quotePrefix="0" xfId="0"/>
    <xf numFmtId="0" fontId="0" fillId="0" borderId="24" pivotButton="0" quotePrefix="0" xfId="0"/>
    <xf numFmtId="0" fontId="0" fillId="18" borderId="5" applyAlignment="1" pivotButton="0" quotePrefix="0" xfId="0">
      <alignment horizontal="center" vertical="center"/>
    </xf>
    <xf numFmtId="0" fontId="31" fillId="5" borderId="13" applyAlignment="1" applyProtection="1" pivotButton="0" quotePrefix="0" xfId="0">
      <alignment horizontal="left" vertical="center"/>
      <protection locked="0" hidden="0"/>
    </xf>
    <xf numFmtId="0" fontId="0" fillId="0" borderId="29" applyProtection="1" pivotButton="0" quotePrefix="0" xfId="0">
      <protection locked="0" hidden="0"/>
    </xf>
    <xf numFmtId="0" fontId="0" fillId="0" borderId="62" applyProtection="1" pivotButton="0" quotePrefix="0" xfId="0">
      <protection locked="0" hidden="0"/>
    </xf>
    <xf numFmtId="43" fontId="6" fillId="0" borderId="0" applyAlignment="1" pivotButton="0" quotePrefix="0" xfId="2">
      <alignment horizontal="left" vertical="top" wrapText="1"/>
    </xf>
    <xf numFmtId="0" fontId="5" fillId="0" borderId="31" applyAlignment="1" applyProtection="1" pivotButton="0" quotePrefix="0" xfId="0">
      <alignment horizontal="left" vertical="center" wrapText="1"/>
      <protection locked="0" hidden="0"/>
    </xf>
    <xf numFmtId="0" fontId="6" fillId="0" borderId="31" applyAlignment="1" applyProtection="1" pivotButton="0" quotePrefix="0" xfId="0">
      <alignment horizontal="left" vertical="center"/>
      <protection locked="0" hidden="0"/>
    </xf>
    <xf numFmtId="0" fontId="6" fillId="0" borderId="32" applyAlignment="1" applyProtection="1" pivotButton="0" quotePrefix="0" xfId="0">
      <alignment horizontal="left" vertical="center" wrapText="1"/>
      <protection locked="0" hidden="0"/>
    </xf>
    <xf numFmtId="43" fontId="6" fillId="5" borderId="43" applyAlignment="1" pivotButton="0" quotePrefix="0" xfId="2">
      <alignment horizontal="left" vertical="top" wrapText="1"/>
    </xf>
    <xf numFmtId="43" fontId="6" fillId="0" borderId="17" applyAlignment="1" pivotButton="0" quotePrefix="0" xfId="0">
      <alignment horizontal="right"/>
    </xf>
    <xf numFmtId="0" fontId="31" fillId="5" borderId="78" applyAlignment="1" pivotButton="0" quotePrefix="0" xfId="100">
      <alignment horizontal="center" vertical="center"/>
    </xf>
    <xf numFmtId="0" fontId="31" fillId="5" borderId="72" applyAlignment="1" pivotButton="0" quotePrefix="0" xfId="100">
      <alignment horizontal="center" vertical="center"/>
    </xf>
    <xf numFmtId="43" fontId="6" fillId="0" borderId="0" applyAlignment="1" pivotButton="0" quotePrefix="0" xfId="2">
      <alignment horizontal="center" vertical="center" wrapText="1"/>
    </xf>
    <xf numFmtId="0" fontId="0" fillId="0" borderId="48" pivotButton="0" quotePrefix="0" xfId="0"/>
    <xf numFmtId="43" fontId="6" fillId="0" borderId="5" applyAlignment="1" pivotButton="0" quotePrefix="0" xfId="0">
      <alignment horizontal="right" vertical="center"/>
    </xf>
    <xf numFmtId="166" fontId="6" fillId="0" borderId="7" applyAlignment="1" pivotButton="0" quotePrefix="0" xfId="0">
      <alignment horizontal="right" vertical="center"/>
    </xf>
    <xf numFmtId="43" fontId="6" fillId="0" borderId="0" applyAlignment="1" pivotButton="0" quotePrefix="0" xfId="2">
      <alignment horizontal="left" vertical="center" wrapText="1"/>
    </xf>
    <xf numFmtId="43" fontId="6" fillId="0" borderId="30" applyAlignment="1" pivotButton="0" quotePrefix="0" xfId="0">
      <alignment horizontal="right" vertical="center"/>
    </xf>
    <xf numFmtId="41" fontId="5" fillId="0" borderId="0" applyAlignment="1" pivotButton="0" quotePrefix="0" xfId="0">
      <alignment vertical="center"/>
    </xf>
    <xf numFmtId="41" fontId="31" fillId="0" borderId="0" applyAlignment="1" pivotButton="0" quotePrefix="0" xfId="0">
      <alignment vertical="center"/>
    </xf>
    <xf numFmtId="0" fontId="7" fillId="16" borderId="36" applyAlignment="1" pivotButton="0" quotePrefix="0" xfId="0">
      <alignment horizontal="center" vertical="center" wrapText="1"/>
    </xf>
    <xf numFmtId="0" fontId="0" fillId="0" borderId="51" pivotButton="0" quotePrefix="0" xfId="0"/>
    <xf numFmtId="0" fontId="35" fillId="5" borderId="62" applyAlignment="1" pivotButton="0" quotePrefix="0" xfId="0">
      <alignment horizontal="center" vertical="center" wrapText="1"/>
    </xf>
    <xf numFmtId="0" fontId="35" fillId="5" borderId="13" applyAlignment="1" pivotButton="0" quotePrefix="0" xfId="0">
      <alignment horizontal="center" vertical="center" wrapText="1"/>
    </xf>
    <xf numFmtId="166" fontId="6" fillId="0" borderId="5" applyAlignment="1" pivotButton="0" quotePrefix="0" xfId="0">
      <alignment horizontal="left" vertical="center"/>
    </xf>
    <xf numFmtId="166" fontId="6" fillId="0" borderId="30" applyAlignment="1" pivotButton="0" quotePrefix="0" xfId="0">
      <alignment horizontal="left" vertical="center"/>
    </xf>
    <xf numFmtId="43" fontId="6" fillId="0" borderId="30" applyAlignment="1" pivotButton="0" quotePrefix="0" xfId="0">
      <alignment horizontal="left" vertical="center"/>
    </xf>
    <xf numFmtId="0" fontId="114" fillId="0" borderId="5" applyAlignment="1" pivotButton="0" quotePrefix="0" xfId="0">
      <alignment horizontal="left" vertical="center" wrapText="1"/>
    </xf>
    <xf numFmtId="41" fontId="67" fillId="2" borderId="0" applyAlignment="1" pivotButton="0" quotePrefix="0" xfId="7">
      <alignment vertical="center"/>
    </xf>
    <xf numFmtId="0" fontId="118" fillId="0" borderId="5" applyAlignment="1" pivotButton="0" quotePrefix="0" xfId="0">
      <alignment horizontal="left" vertical="center" wrapText="1" shrinkToFit="1"/>
    </xf>
    <xf numFmtId="41" fontId="67" fillId="0" borderId="0" applyAlignment="1" pivotButton="0" quotePrefix="0" xfId="7">
      <alignment vertical="center"/>
    </xf>
    <xf numFmtId="0" fontId="63" fillId="0" borderId="5" applyAlignment="1" applyProtection="1" pivotButton="0" quotePrefix="0" xfId="0">
      <alignment horizontal="left" vertical="center" wrapText="1"/>
      <protection locked="0" hidden="0"/>
    </xf>
    <xf numFmtId="0" fontId="0" fillId="0" borderId="8" applyProtection="1" pivotButton="0" quotePrefix="0" xfId="0">
      <protection locked="0" hidden="0"/>
    </xf>
    <xf numFmtId="0" fontId="0" fillId="0" borderId="4" applyProtection="1" pivotButton="0" quotePrefix="0" xfId="0">
      <protection locked="0" hidden="0"/>
    </xf>
    <xf numFmtId="43" fontId="64" fillId="2" borderId="0" applyAlignment="1" pivotButton="0" quotePrefix="0" xfId="111">
      <alignment vertical="center"/>
    </xf>
    <xf numFmtId="0" fontId="0" fillId="0" borderId="26" pivotButton="0" quotePrefix="0" xfId="0"/>
    <xf numFmtId="0" fontId="73" fillId="5" borderId="81" applyAlignment="1" pivotButton="0" quotePrefix="0" xfId="0">
      <alignment horizontal="center" vertical="center" wrapText="1"/>
    </xf>
    <xf numFmtId="0" fontId="0" fillId="0" borderId="27" pivotButton="0" quotePrefix="0" xfId="0"/>
    <xf numFmtId="0" fontId="73" fillId="5" borderId="70" applyAlignment="1" pivotButton="0" quotePrefix="0" xfId="0">
      <alignment horizontal="center" vertical="center" wrapText="1"/>
    </xf>
    <xf numFmtId="0" fontId="69" fillId="5" borderId="82" applyAlignment="1" pivotButton="0" quotePrefix="0" xfId="0">
      <alignment horizontal="center" vertical="center" wrapText="1"/>
    </xf>
    <xf numFmtId="0" fontId="0" fillId="0" borderId="59" pivotButton="0" quotePrefix="0" xfId="0"/>
    <xf numFmtId="14" fontId="88" fillId="5" borderId="36" applyAlignment="1" applyProtection="1" pivotButton="0" quotePrefix="0" xfId="0">
      <alignment horizontal="center" vertical="center"/>
      <protection locked="0" hidden="0"/>
    </xf>
    <xf numFmtId="0" fontId="0" fillId="0" borderId="51" applyProtection="1" pivotButton="0" quotePrefix="0" xfId="0">
      <protection locked="0" hidden="0"/>
    </xf>
    <xf numFmtId="166" fontId="64" fillId="0" borderId="5" applyAlignment="1" pivotButton="0" quotePrefix="0" xfId="0">
      <alignment horizontal="right" vertical="center" wrapText="1" shrinkToFit="1"/>
    </xf>
    <xf numFmtId="43" fontId="64" fillId="0" borderId="0" applyAlignment="1" pivotButton="0" quotePrefix="0" xfId="111">
      <alignment vertical="center"/>
    </xf>
    <xf numFmtId="0" fontId="84" fillId="0" borderId="5" applyAlignment="1" pivotButton="0" quotePrefix="0" xfId="0">
      <alignment horizontal="left" vertical="center" wrapText="1" shrinkToFit="1"/>
    </xf>
  </cellXfs>
  <cellStyles count="337">
    <cellStyle name="常规" xfId="0" builtinId="0"/>
    <cellStyle name="Normal 126" xfId="1"/>
    <cellStyle name="千位分隔" xfId="2" builtinId="3"/>
    <cellStyle name="Comma [0] 3" xfId="3"/>
    <cellStyle name="Check Cell 2" xfId="4"/>
    <cellStyle name="百分比" xfId="5" builtinId="5"/>
    <cellStyle name="Comma [0] 2 3" xfId="6"/>
    <cellStyle name="Comma 2" xfId="7"/>
    <cellStyle name="Comma [0] 2" xfId="8"/>
    <cellStyle name="Comma [0] 2 2 2" xfId="9"/>
    <cellStyle name="Comma [0] 2 2 2 2" xfId="10"/>
    <cellStyle name="Comma [0] 2 2 3" xfId="11"/>
    <cellStyle name="Normal 2 3 2 2" xfId="12"/>
    <cellStyle name="Normal 125" xfId="13"/>
    <cellStyle name="千位分隔[0] 2" xfId="14"/>
    <cellStyle name="Hyperlink 2" xfId="15"/>
    <cellStyle name="Hyperlink 4" xfId="16"/>
    <cellStyle name="cellStyleNum 2" xfId="17"/>
    <cellStyle name="Normal 12 2" xfId="18"/>
    <cellStyle name="Check Cell 2 2" xfId="19"/>
    <cellStyle name="千位分隔 3" xfId="20"/>
    <cellStyle name="Comma 2 2" xfId="21"/>
    <cellStyle name="Comma [0] 2 2" xfId="22"/>
    <cellStyle name="Comma [0] 2 4" xfId="23"/>
    <cellStyle name="Normal 2 3 2 4" xfId="24"/>
    <cellStyle name="Comma 12" xfId="25"/>
    <cellStyle name="Comma 15" xfId="26"/>
    <cellStyle name="Comma 2 2 2" xfId="27"/>
    <cellStyle name="千位分隔 4" xfId="28"/>
    <cellStyle name="Comma 2 3" xfId="29"/>
    <cellStyle name="Comma 2 4" xfId="30"/>
    <cellStyle name="Comma 2_1" xfId="31"/>
    <cellStyle name="Comma 3" xfId="32"/>
    <cellStyle name="Comma 4" xfId="33"/>
    <cellStyle name="Comma 5" xfId="34"/>
    <cellStyle name="dataStyle 2" xfId="35"/>
    <cellStyle name="dataStyle 3" xfId="36"/>
    <cellStyle name="Good 2" xfId="37"/>
    <cellStyle name="Good 2 2" xfId="38"/>
    <cellStyle name="Hyperlink 2 2" xfId="39"/>
    <cellStyle name="Hyperlink 4 2" xfId="40"/>
    <cellStyle name="Normal 10" xfId="41"/>
    <cellStyle name="Normal 10 10" xfId="42"/>
    <cellStyle name="Normal 103" xfId="43"/>
    <cellStyle name="Normal 103 2" xfId="44"/>
    <cellStyle name="Normal 103 3" xfId="45"/>
    <cellStyle name="Normal 11" xfId="46"/>
    <cellStyle name="Normal 121 2" xfId="47"/>
    <cellStyle name="Normal 121 2 2" xfId="48"/>
    <cellStyle name="Normal 121 2 2 2" xfId="49"/>
    <cellStyle name="Normal 121 2 3" xfId="50"/>
    <cellStyle name="Normal 125 2" xfId="51"/>
    <cellStyle name="Normal 126 2" xfId="52"/>
    <cellStyle name="Normal 13" xfId="53"/>
    <cellStyle name="Normal 13 2" xfId="54"/>
    <cellStyle name="Normal 2 3 5" xfId="55"/>
    <cellStyle name="Normal 2" xfId="56"/>
    <cellStyle name="Normal 2 10 2" xfId="57"/>
    <cellStyle name="Normal 2 2" xfId="58"/>
    <cellStyle name="Normal 2 2 2" xfId="59"/>
    <cellStyle name="Normal 2 2 3 2" xfId="60"/>
    <cellStyle name="Normal 2 2_1" xfId="61"/>
    <cellStyle name="Normal 2 3" xfId="62"/>
    <cellStyle name="Normal 2 3 2" xfId="63"/>
    <cellStyle name="Normal 2 3 2 2 3" xfId="64"/>
    <cellStyle name="Normal 2 3 3" xfId="65"/>
    <cellStyle name="Normal 2 3 3 2" xfId="66"/>
    <cellStyle name="Normal 2 3 4" xfId="67"/>
    <cellStyle name="Normal 2 4" xfId="68"/>
    <cellStyle name="Normal 3" xfId="69"/>
    <cellStyle name="Normal 3 2" xfId="70"/>
    <cellStyle name="Normal 3 3" xfId="71"/>
    <cellStyle name="Normal 4" xfId="72"/>
    <cellStyle name="Normal 4 3" xfId="73"/>
    <cellStyle name="Normal 5" xfId="74"/>
    <cellStyle name="Normal 6" xfId="75"/>
    <cellStyle name="Normal 7" xfId="76"/>
    <cellStyle name="Normal 8" xfId="77"/>
    <cellStyle name="Normal 9" xfId="78"/>
    <cellStyle name="Percent 5" xfId="79"/>
    <cellStyle name="Normal_N" xfId="80"/>
    <cellStyle name="Normal_Sheet2" xfId="81"/>
    <cellStyle name="Percent 2" xfId="82"/>
    <cellStyle name="Percent 2 2" xfId="83"/>
    <cellStyle name="Percent 3" xfId="84"/>
    <cellStyle name="Percent 4" xfId="85"/>
    <cellStyle name="百分比 2" xfId="86"/>
    <cellStyle name="百分比 2 2" xfId="87"/>
    <cellStyle name="百分比 3" xfId="88"/>
    <cellStyle name="常规 2" xfId="89"/>
    <cellStyle name="常规 2- " xfId="90"/>
    <cellStyle name="常规 2-  2" xfId="91"/>
    <cellStyle name="常规 2 2" xfId="92"/>
    <cellStyle name="常规 2 2 2" xfId="93"/>
    <cellStyle name="常规 2 2 2 2" xfId="94"/>
    <cellStyle name="常规 2 2 2 3" xfId="95"/>
    <cellStyle name="常规 2 2 2 3 2" xfId="96"/>
    <cellStyle name="常规 2 2 3" xfId="97"/>
    <cellStyle name="常规 2 3" xfId="98"/>
    <cellStyle name="常规 3" xfId="99"/>
    <cellStyle name="常规 3 2" xfId="100"/>
    <cellStyle name="常规 3 2 2" xfId="101"/>
    <cellStyle name="常规 4" xfId="102"/>
    <cellStyle name="超链接 2" xfId="103"/>
    <cellStyle name="普通_附23_PBC4" xfId="104"/>
    <cellStyle name="千位分隔 2" xfId="105"/>
    <cellStyle name="千位分隔 2 2" xfId="106"/>
    <cellStyle name="千位分隔 2 2 2" xfId="107"/>
    <cellStyle name="千位分隔 2 2 3" xfId="108"/>
    <cellStyle name="千位分隔 2 3" xfId="109"/>
    <cellStyle name="千位分隔 2 7" xfId="110"/>
    <cellStyle name="千位分隔 3 4" xfId="111"/>
    <cellStyle name="Comma 7" xfId="112"/>
    <cellStyle name="Normal 14" xfId="113"/>
    <cellStyle name="常规 3 2 3" xfId="114"/>
    <cellStyle name="常规 2 4" xfId="115"/>
    <cellStyle name="超链接 3" xfId="116"/>
    <cellStyle name="常规 2 2 5" xfId="117"/>
    <cellStyle name="千位分隔 5" xfId="118"/>
    <cellStyle name="Comma [0] 3 2" xfId="119"/>
    <cellStyle name="Comma [0] 2 3 2" xfId="120"/>
    <cellStyle name="Comma 2 5" xfId="121"/>
    <cellStyle name="Comma [0] 2 5" xfId="122"/>
    <cellStyle name="Comma [0] 2 2 2 3" xfId="123"/>
    <cellStyle name="Comma [0] 2 2 2 2 2" xfId="124"/>
    <cellStyle name="Comma [0] 2 2 3 2" xfId="125"/>
    <cellStyle name="千位分隔[0] 2 2" xfId="126"/>
    <cellStyle name="千位分隔 3 2" xfId="127"/>
    <cellStyle name="Comma 2 2 3" xfId="128"/>
    <cellStyle name="Comma [0] 2 2 4" xfId="129"/>
    <cellStyle name="Comma [0] 2 4 2" xfId="130"/>
    <cellStyle name="Comma 12 2" xfId="131"/>
    <cellStyle name="Comma 15 2" xfId="132"/>
    <cellStyle name="Comma 2 2 2 2" xfId="133"/>
    <cellStyle name="千位分隔 4 2" xfId="134"/>
    <cellStyle name="Comma 2 3 2" xfId="135"/>
    <cellStyle name="Comma 2 4 2" xfId="136"/>
    <cellStyle name="Comma 3 2" xfId="137"/>
    <cellStyle name="Comma 4 2" xfId="138"/>
    <cellStyle name="Comma 5 2" xfId="139"/>
    <cellStyle name="千位分隔 2 4" xfId="140"/>
    <cellStyle name="千位分隔 2 2 4" xfId="141"/>
    <cellStyle name="千位分隔 2 2 2 2" xfId="142"/>
    <cellStyle name="千位分隔 2 2 3 2" xfId="143"/>
    <cellStyle name="千位分隔 2 3 2" xfId="144"/>
    <cellStyle name="千位分隔 2 7 2" xfId="145"/>
    <cellStyle name="千位分隔 3 4 2" xfId="146"/>
    <cellStyle name="Comma 7 2" xfId="147"/>
    <cellStyle name="Normal 12" xfId="148"/>
    <cellStyle name="常规 5" xfId="149"/>
    <cellStyle name="常规 10" xfId="150"/>
    <cellStyle name="Normal 2 3 2 2 4" xfId="151"/>
    <cellStyle name="Normal 121 4" xfId="152"/>
    <cellStyle name="Normal 2 3 6" xfId="153"/>
    <cellStyle name="Normal 12 2 3" xfId="154"/>
    <cellStyle name="Normal 16" xfId="155"/>
    <cellStyle name="常规 2 2 5 2" xfId="156"/>
    <cellStyle name="Normal 12 2 2 2 2" xfId="157"/>
    <cellStyle name="Normal 9 2 2" xfId="158"/>
    <cellStyle name="Normal 2 2 2 2" xfId="159"/>
    <cellStyle name="常规 2 2 5 2 2" xfId="160"/>
    <cellStyle name="Normal 2 2 3" xfId="161"/>
    <cellStyle name="Normal 2 2 4" xfId="162"/>
    <cellStyle name="Hyperlink 2 2 3" xfId="163"/>
    <cellStyle name="常规 7" xfId="164"/>
    <cellStyle name="百分比 4" xfId="165"/>
    <cellStyle name="Normal 12 5" xfId="166"/>
    <cellStyle name="Normal 121 2 2 2 4" xfId="167"/>
    <cellStyle name="超链接 4" xfId="168"/>
    <cellStyle name="Normal 2 3 6 2" xfId="169"/>
    <cellStyle name="常规 2 2 5 3" xfId="170"/>
    <cellStyle name="常规 6" xfId="171"/>
    <cellStyle name="Normal 2 3 6 3" xfId="172"/>
    <cellStyle name="千位分隔 6" xfId="173"/>
    <cellStyle name="Comma [0] 3 3" xfId="174"/>
    <cellStyle name="Comma [0] 2 3 3" xfId="175"/>
    <cellStyle name="Comma 2 6" xfId="176"/>
    <cellStyle name="Comma [0] 2 6" xfId="177"/>
    <cellStyle name="Comma [0] 2 2 2 4" xfId="178"/>
    <cellStyle name="Comma [0] 2 2 2 2 3" xfId="179"/>
    <cellStyle name="Comma [0] 2 2 3 3" xfId="180"/>
    <cellStyle name="千位分隔[0] 2 3" xfId="181"/>
    <cellStyle name="千位分隔 3 3" xfId="182"/>
    <cellStyle name="Comma 2 2 4" xfId="183"/>
    <cellStyle name="Comma [0] 2 2 5" xfId="184"/>
    <cellStyle name="Comma [0] 2 4 3" xfId="185"/>
    <cellStyle name="Comma 12 3" xfId="186"/>
    <cellStyle name="Comma 15 3" xfId="187"/>
    <cellStyle name="Comma 2 2 2 3" xfId="188"/>
    <cellStyle name="千位分隔 4 3" xfId="189"/>
    <cellStyle name="Comma 2 3 3" xfId="190"/>
    <cellStyle name="Comma 2 4 3" xfId="191"/>
    <cellStyle name="Comma 3 3" xfId="192"/>
    <cellStyle name="Comma 4 3" xfId="193"/>
    <cellStyle name="Comma 5 3" xfId="194"/>
    <cellStyle name="千位分隔 2 5" xfId="195"/>
    <cellStyle name="千位分隔 2 2 5" xfId="196"/>
    <cellStyle name="千位分隔 2 2 2 3" xfId="197"/>
    <cellStyle name="千位分隔 2 2 3 3" xfId="198"/>
    <cellStyle name="千位分隔 2 3 3" xfId="199"/>
    <cellStyle name="千位分隔 2 7 3" xfId="200"/>
    <cellStyle name="千位分隔 3 4 3" xfId="201"/>
    <cellStyle name="Comma 7 3" xfId="202"/>
    <cellStyle name="常规 2 4 2" xfId="203"/>
    <cellStyle name="常规 2 2 5 4" xfId="204"/>
    <cellStyle name="千位分隔 5 2" xfId="205"/>
    <cellStyle name="Comma [0] 3 2 2" xfId="206"/>
    <cellStyle name="Comma [0] 2 3 2 2" xfId="207"/>
    <cellStyle name="Comma 2 5 2" xfId="208"/>
    <cellStyle name="Comma [0] 2 5 2" xfId="209"/>
    <cellStyle name="Comma [0] 2 2 2 3 2" xfId="210"/>
    <cellStyle name="Comma [0] 2 2 2 2 2 2" xfId="211"/>
    <cellStyle name="Comma [0] 2 2 3 2 2" xfId="212"/>
    <cellStyle name="千位分隔[0] 2 2 2" xfId="213"/>
    <cellStyle name="千位分隔 3 2 2" xfId="214"/>
    <cellStyle name="Comma 2 2 3 2" xfId="215"/>
    <cellStyle name="Comma [0] 2 2 4 2" xfId="216"/>
    <cellStyle name="Comma [0] 2 4 2 2" xfId="217"/>
    <cellStyle name="Comma 12 2 2" xfId="218"/>
    <cellStyle name="Comma 15 2 2" xfId="219"/>
    <cellStyle name="Comma 2 2 2 2 2" xfId="220"/>
    <cellStyle name="千位分隔 4 2 2" xfId="221"/>
    <cellStyle name="Comma 2 3 2 2" xfId="222"/>
    <cellStyle name="Comma 2 4 2 2" xfId="223"/>
    <cellStyle name="Comma 3 2 2" xfId="224"/>
    <cellStyle name="Comma 4 2 2" xfId="225"/>
    <cellStyle name="Comma 5 2 2" xfId="226"/>
    <cellStyle name="千位分隔 2 4 2" xfId="227"/>
    <cellStyle name="千位分隔 2 2 4 2" xfId="228"/>
    <cellStyle name="千位分隔 2 2 2 2 2" xfId="229"/>
    <cellStyle name="千位分隔 2 2 3 2 2" xfId="230"/>
    <cellStyle name="千位分隔 2 3 2 2" xfId="231"/>
    <cellStyle name="千位分隔 2 7 2 2" xfId="232"/>
    <cellStyle name="千位分隔 3 4 2 2" xfId="233"/>
    <cellStyle name="Comma 7 2 2" xfId="234"/>
    <cellStyle name="常规 2 2 5 2 3" xfId="235"/>
    <cellStyle name="常规 2 2 5 2 2 2" xfId="236"/>
    <cellStyle name="Normal 2 3 6 2 2" xfId="237"/>
    <cellStyle name="常规 2 2 5 3 2" xfId="238"/>
    <cellStyle name="千位分隔 6 2" xfId="239"/>
    <cellStyle name="Comma [0] 3 3 2" xfId="240"/>
    <cellStyle name="Comma [0] 2 3 3 2" xfId="241"/>
    <cellStyle name="Comma 2 6 2" xfId="242"/>
    <cellStyle name="Comma [0] 2 6 2" xfId="243"/>
    <cellStyle name="Comma [0] 2 2 2 4 2" xfId="244"/>
    <cellStyle name="Comma [0] 2 2 2 2 3 2" xfId="245"/>
    <cellStyle name="Comma [0] 2 2 3 3 2" xfId="246"/>
    <cellStyle name="千位分隔[0] 2 3 2" xfId="247"/>
    <cellStyle name="千位分隔 3 3 2" xfId="248"/>
    <cellStyle name="Comma 2 2 4 2" xfId="249"/>
    <cellStyle name="Comma [0] 2 2 5 2" xfId="250"/>
    <cellStyle name="Comma [0] 2 4 3 2" xfId="251"/>
    <cellStyle name="Comma 12 3 2" xfId="252"/>
    <cellStyle name="Comma 15 3 2" xfId="253"/>
    <cellStyle name="Comma 2 2 2 3 2" xfId="254"/>
    <cellStyle name="千位分隔 4 3 2" xfId="255"/>
    <cellStyle name="Comma 2 3 3 2" xfId="256"/>
    <cellStyle name="Comma 2 4 3 2" xfId="257"/>
    <cellStyle name="Comma 3 3 2" xfId="258"/>
    <cellStyle name="Comma 4 3 2" xfId="259"/>
    <cellStyle name="Comma 5 3 2" xfId="260"/>
    <cellStyle name="千位分隔 2 5 2" xfId="261"/>
    <cellStyle name="千位分隔 2 2 5 2" xfId="262"/>
    <cellStyle name="千位分隔 2 2 2 3 2" xfId="263"/>
    <cellStyle name="千位分隔 2 2 3 3 2" xfId="264"/>
    <cellStyle name="千位分隔 2 3 3 2" xfId="265"/>
    <cellStyle name="千位分隔 2 7 3 2" xfId="266"/>
    <cellStyle name="千位分隔 3 4 3 2" xfId="267"/>
    <cellStyle name="Comma 7 3 2" xfId="268"/>
    <cellStyle name="千位分隔 5 2 2" xfId="269"/>
    <cellStyle name="Comma [0] 3 2 2 2" xfId="270"/>
    <cellStyle name="Comma [0] 2 3 2 2 2" xfId="271"/>
    <cellStyle name="Comma 2 5 2 2" xfId="272"/>
    <cellStyle name="Comma [0] 2 5 2 2" xfId="273"/>
    <cellStyle name="Comma [0] 2 2 2 3 2 2" xfId="274"/>
    <cellStyle name="Comma [0] 2 2 2 2 2 2 2" xfId="275"/>
    <cellStyle name="Comma [0] 2 2 3 2 2 2" xfId="276"/>
    <cellStyle name="千位分隔[0] 2 2 2 2" xfId="277"/>
    <cellStyle name="千位分隔 3 2 2 2" xfId="278"/>
    <cellStyle name="Comma 2 2 3 2 2" xfId="279"/>
    <cellStyle name="Comma [0] 2 2 4 2 2" xfId="280"/>
    <cellStyle name="Comma [0] 2 4 2 2 2" xfId="281"/>
    <cellStyle name="Comma 12 2 2 2" xfId="282"/>
    <cellStyle name="Comma 15 2 2 2" xfId="283"/>
    <cellStyle name="Comma 2 2 2 2 2 2" xfId="284"/>
    <cellStyle name="千位分隔 4 2 2 2" xfId="285"/>
    <cellStyle name="Comma 2 3 2 2 2" xfId="286"/>
    <cellStyle name="Comma 2 4 2 2 2" xfId="287"/>
    <cellStyle name="Comma 3 2 2 2" xfId="288"/>
    <cellStyle name="Comma 4 2 2 2" xfId="289"/>
    <cellStyle name="Comma 5 2 2 2" xfId="290"/>
    <cellStyle name="千位分隔 2 4 2 2" xfId="291"/>
    <cellStyle name="千位分隔 2 2 4 2 2" xfId="292"/>
    <cellStyle name="千位分隔 2 2 2 2 2 2" xfId="293"/>
    <cellStyle name="千位分隔 2 2 3 2 2 2" xfId="294"/>
    <cellStyle name="千位分隔 2 3 2 2 2" xfId="295"/>
    <cellStyle name="千位分隔 2 7 2 2 2" xfId="296"/>
    <cellStyle name="千位分隔 3 4 2 2 2" xfId="297"/>
    <cellStyle name="Comma 7 2 2 2" xfId="298"/>
    <cellStyle name="Normal 19" xfId="299"/>
    <cellStyle name="Normal 2 5" xfId="300"/>
    <cellStyle name="Normal 2 6" xfId="301"/>
    <cellStyle name="千位分隔 7" xfId="302"/>
    <cellStyle name="常规 8" xfId="303"/>
    <cellStyle name="超链接 5" xfId="304"/>
    <cellStyle name="Normal 2 7" xfId="305"/>
    <cellStyle name="千位分隔 8" xfId="306"/>
    <cellStyle name="千位分隔[0] 3" xfId="307"/>
    <cellStyle name="货币 2" xfId="308"/>
    <cellStyle name="超链接 6" xfId="309"/>
    <cellStyle name="千位分隔[0] 4" xfId="310"/>
    <cellStyle name="货币 3" xfId="311"/>
    <cellStyle name="Normal 17" xfId="312"/>
    <cellStyle name="Comma [0] 3 2 3" xfId="313"/>
    <cellStyle name="Comma 15 2 3" xfId="314"/>
    <cellStyle name="Comma 2 7" xfId="315"/>
    <cellStyle name="Comma 4 2 3" xfId="316"/>
    <cellStyle name="Hyperlink 2 2 4" xfId="317"/>
    <cellStyle name="Normal 12 3" xfId="318"/>
    <cellStyle name="Normal 2 10" xfId="319"/>
    <cellStyle name="Normal 2 2 2 3" xfId="320"/>
    <cellStyle name="Normal 2 3 6 2 3" xfId="321"/>
    <cellStyle name="Normal 2 3 6 4" xfId="322"/>
    <cellStyle name="Normal 3 2 2 2 2" xfId="323"/>
    <cellStyle name="Percent 2 3" xfId="324"/>
    <cellStyle name="百分比 2 3" xfId="325"/>
    <cellStyle name="常规 2 14" xfId="326"/>
    <cellStyle name="常规 2 2 5 2 4" xfId="327"/>
    <cellStyle name="常规 2 2 5 3 3" xfId="328"/>
    <cellStyle name="常规 2 2 5 5" xfId="329"/>
    <cellStyle name="常规 6 2" xfId="330"/>
    <cellStyle name="千位分隔 2 2 6" xfId="331"/>
    <cellStyle name="千位分隔 6 3" xfId="332"/>
    <cellStyle name="常规 9" xfId="333"/>
    <cellStyle name="千位分隔 9" xfId="334"/>
    <cellStyle name="Hyperlink" xfId="335"/>
    <cellStyle name="超链接" xfId="336" builtinId="8"/>
  </cellStyles>
  <dxfs count="44">
    <dxf>
      <font>
        <color rgb="FFFFFFCC"/>
      </font>
    </dxf>
    <dxf>
      <fill>
        <patternFill>
          <bgColor theme="0" tint="-0.3499862666707358"/>
        </patternFill>
      </fill>
    </dxf>
    <dxf>
      <fill>
        <patternFill>
          <bgColor theme="0" tint="-0.3499862666707358"/>
        </patternFill>
      </fill>
    </dxf>
    <dxf>
      <fill>
        <patternFill>
          <bgColor theme="0" tint="-0.3499862666707358"/>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ont>
        <color rgb="FFFFFFCC"/>
      </font>
    </dxf>
    <dxf>
      <fill>
        <patternFill>
          <bgColor rgb="FFFFFFCC"/>
        </patternFill>
      </fill>
    </dxf>
    <dxf>
      <fill>
        <patternFill>
          <bgColor rgb="FFFFFFCC"/>
        </patternFill>
      </fill>
    </dxf>
    <dxf>
      <fill>
        <patternFill>
          <bgColor rgb="FFFFFF00"/>
        </patternFill>
      </fill>
    </dxf>
    <dxf>
      <fill>
        <patternFill>
          <bgColor rgb="FFFFFFCC"/>
        </patternFill>
      </fill>
    </dxf>
    <dxf>
      <fill>
        <patternFill patternType="solid">
          <bgColor rgb="FFFFFFCC"/>
        </patternFill>
      </fill>
    </dxf>
    <dxf>
      <fill>
        <patternFill>
          <bgColor rgb="FFFFFFCC"/>
        </patternFill>
      </fill>
    </dxf>
    <dxf>
      <fill>
        <patternFill>
          <bgColor rgb="FFFFFFCC"/>
        </patternFill>
      </fill>
    </dxf>
    <dxf>
      <fill>
        <patternFill>
          <bgColor rgb="FFFFFFCC"/>
        </patternFill>
      </fill>
    </dxf>
    <dxf>
      <fill>
        <patternFill>
          <bgColor rgb="FFFFFF00"/>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ont>
        <color auto="1"/>
      </font>
    </dxf>
    <dxf>
      <fill>
        <patternFill>
          <bgColor rgb="FFFFFFCC"/>
        </patternFill>
      </fill>
    </dxf>
    <dxf>
      <font>
        <color auto="1"/>
      </font>
    </dxf>
    <dxf>
      <fill>
        <patternFill patternType="solid">
          <bgColor rgb="FFFFFFCC"/>
        </patternFill>
      </fill>
    </dxf>
    <dxf>
      <fill>
        <patternFill>
          <bgColor rgb="FFFFFFCC"/>
        </patternFill>
      </fill>
    </dxf>
    <dxf>
      <fill>
        <patternFill>
          <bgColor rgb="FFFFFFCC"/>
        </patternFill>
      </fill>
    </dxf>
    <dxf>
      <fill>
        <patternFill>
          <bgColor rgb="FFFFFFCC"/>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4%BA%94%E7%89%88-%E4%BD%BF%E7%94%A8%E7%89%88/OSP/OSP%20N%20SWP%20%E5%BA%94%E4%BB%98%E8%B4%A6%E6%AC%BE%E8%B4%A6%E9%BE%84%E5%A4%8D%E6%A0%B8%20202YMMDD%20XYZ%E5%85%AC%E5%8F%B8.xlsx?d=wbaf427bca11842b3800de5f38ba2cd51&amp;csf=1&amp;web=1&amp;e=QG5BJl" TargetMode="External" Id="rId1" /><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E5%87%BD%E8%AF%81%20SWP%20%E8%B4%9F%E5%80%BA%E7%B1%BB%E7%A7%91%E7%9B%AE%20202YMMDD%20XYZ%E5%85%AC%E5%8F%B8.xlsx?d=w3d16851f9f4b42cdb1b3e5783b626bed&amp;csf=1&amp;web=1&amp;e=qqqCpZ" TargetMode="External" Id="rId2" /></Relationships>
</file>

<file path=xl/worksheets/_rels/sheet7.xml.rels><Relationships xmlns="http://schemas.openxmlformats.org/package/2006/relationships"><Relationship Type="http://schemas.openxmlformats.org/officeDocument/2006/relationships/hyperlink" Target="https://eychinamanaged.sharepoint.cn/:x:/r/sites/GCknowledgecenter/Shared%20Documents/%E5%AE%A1%E8%AE%A1%E6%A0%87%E5%87%86%E5%BA%95%E7%A8%BF/%E6%A0%87%E5%87%86%E5%AE%A1%E8%AE%A1%E5%BA%95%E7%A8%BF%E6%A8%A1%E6%9D%BF%E7%AC%AC%E5%85%AD%E7%89%88-%E4%BD%BF%E7%94%A8%E7%89%88/N%26P%20SURL%20SWP%20%E5%AF%BB%E6%89%BE%E6%9C%AA%E5%85%A5%E8%B4%A6%E8%B4%9F%E5%80%BA%20202YMMDD%20XYZ%E5%85%AC%E5%8F%B8.xlsx?d=wfa981cbde0e54153a730db72e2d8a746&amp;csf=1&amp;web=1&amp;e=1Owq15" TargetMode="External" Id="rId1" /></Relationships>
</file>

<file path=xl/worksheets/sheet1.xml><?xml version="1.0" encoding="utf-8"?>
<worksheet xmlns="http://schemas.openxmlformats.org/spreadsheetml/2006/main">
  <sheetPr>
    <outlinePr summaryBelow="1" summaryRight="1"/>
    <pageSetUpPr/>
  </sheetPr>
  <dimension ref="A1:J20"/>
  <sheetViews>
    <sheetView showGridLines="0" tabSelected="1" zoomScale="70" zoomScaleNormal="70" workbookViewId="0">
      <selection activeCell="D2" sqref="D2"/>
    </sheetView>
  </sheetViews>
  <sheetFormatPr baseColWidth="8" defaultColWidth="9" defaultRowHeight="14.25" customHeight="1"/>
  <cols>
    <col width="4.625" customWidth="1" style="42" min="1" max="1"/>
    <col width="11.875" customWidth="1" style="41" min="2" max="2"/>
    <col width="14.625" customWidth="1" style="45" min="3" max="3"/>
    <col width="16.625" customWidth="1" style="42" min="4" max="4"/>
    <col width="25.125" customWidth="1" style="42" min="5" max="5"/>
    <col width="18.75" customWidth="1" style="43" min="6" max="6"/>
    <col width="12.625" customWidth="1" style="41" min="7" max="7"/>
    <col width="21.625" customWidth="1" style="42" min="8" max="8"/>
    <col width="30.75" customWidth="1" style="41" min="9" max="9"/>
    <col width="9" customWidth="1" style="42" min="10" max="16384"/>
  </cols>
  <sheetData>
    <row r="1" ht="27.95" customHeight="1" s="634">
      <c r="A1" s="451" t="inlineStr">
        <is>
          <t>V6 SWP</t>
        </is>
      </c>
    </row>
    <row r="2" ht="21" customHeight="1" s="634">
      <c r="A2" s="40" t="n"/>
      <c r="B2" s="443" t="inlineStr">
        <is>
          <t>该科目涉及OSP底稿及函证底稿可参考此链接</t>
        </is>
      </c>
      <c r="C2" s="66" t="n"/>
      <c r="F2" s="69" t="inlineStr">
        <is>
          <t>OSP N SWP 应付账款账龄复核 202YMMDD XYZ公司.xlsx</t>
        </is>
      </c>
    </row>
    <row r="3" ht="18" customHeight="1" s="634">
      <c r="A3" s="40" t="n"/>
      <c r="B3" s="66" t="n"/>
      <c r="F3" s="69" t="inlineStr">
        <is>
          <t>函证 SWP 负债类科目 202YMMDD XYZ公司.xlsx</t>
        </is>
      </c>
    </row>
    <row r="4" ht="18" customHeight="1" s="634">
      <c r="A4" s="40" t="n"/>
      <c r="B4" s="66" t="n"/>
    </row>
    <row r="5" ht="18" customHeight="1" s="634">
      <c r="B5" s="59" t="inlineStr">
        <is>
          <t>N.00</t>
        </is>
      </c>
      <c r="C5" s="455" t="inlineStr">
        <is>
          <t>N.00 应付账款引导表（认定：E、C）</t>
        </is>
      </c>
      <c r="D5" s="635" t="n"/>
      <c r="E5" s="636" t="n"/>
      <c r="F5" s="60" t="inlineStr">
        <is>
          <t>程序页</t>
        </is>
      </c>
      <c r="G5" s="60" t="inlineStr">
        <is>
          <t>执行</t>
        </is>
      </c>
      <c r="H5" s="60" t="inlineStr">
        <is>
          <t>不执行的原因</t>
        </is>
      </c>
      <c r="I5" s="60" t="inlineStr">
        <is>
          <t>注意事项</t>
        </is>
      </c>
    </row>
    <row r="6" ht="33" customHeight="1" s="634">
      <c r="B6" s="61" t="n">
        <v>1</v>
      </c>
      <c r="C6" s="457" t="inlineStr">
        <is>
          <t>我们将两期金额进行比对，对那些变动大于范围或异常的事项，获得管理层解释并对解释是否合理进行调查并获取相关的支持性文件。</t>
        </is>
      </c>
      <c r="D6" s="635" t="n"/>
      <c r="E6" s="636" t="n"/>
      <c r="F6" s="453" t="inlineStr">
        <is>
          <t>N.00 Lead sheet</t>
        </is>
      </c>
      <c r="G6" s="62" t="n"/>
      <c r="H6" s="53" t="n"/>
      <c r="I6" s="62" t="n"/>
    </row>
    <row r="7" ht="33" customHeight="1" s="634">
      <c r="B7" s="61" t="n">
        <v>2</v>
      </c>
      <c r="C7" s="460" t="inlineStr">
        <is>
          <t>如果项目仅对部分总账科目执行程序，需评估未执行程序的总账科目加总金额是否大于TE，如大于TE，请项目组执行额外的测试程序。</t>
        </is>
      </c>
      <c r="D7" s="635" t="n"/>
      <c r="E7" s="636" t="n"/>
      <c r="F7" s="637" t="n"/>
      <c r="G7" s="62" t="n"/>
      <c r="H7" s="53" t="n"/>
      <c r="I7" s="62" t="n"/>
    </row>
    <row r="8" ht="15" customHeight="1" s="634">
      <c r="B8" s="59" t="inlineStr">
        <is>
          <t>N.01</t>
        </is>
      </c>
      <c r="C8" s="459" t="inlineStr">
        <is>
          <t>N.01 将明细账与总账核对一致（认定：E、C、V）</t>
        </is>
      </c>
      <c r="D8" s="635" t="n"/>
      <c r="E8" s="636" t="n"/>
      <c r="F8" s="60" t="inlineStr">
        <is>
          <t>程序页</t>
        </is>
      </c>
      <c r="G8" s="60" t="inlineStr">
        <is>
          <t>执行</t>
        </is>
      </c>
      <c r="H8" s="60" t="inlineStr">
        <is>
          <t>不执行的原因</t>
        </is>
      </c>
      <c r="I8" s="60" t="inlineStr">
        <is>
          <t>注意事项</t>
        </is>
      </c>
    </row>
    <row r="9" ht="74.09999999999999" customHeight="1" s="634">
      <c r="B9" s="61" t="n">
        <v>1</v>
      </c>
      <c r="C9" s="463" t="inlineStr">
        <is>
          <t>获取应付账款明细账（列示至各供应商的余额）N.01.01明细账BKD，与总账核对，如差异大于SAD，获取差异差异调节表并对调节项金额大于测试阈值及性质异常的项目执行进一步测试。</t>
        </is>
      </c>
      <c r="D9" s="635" t="n"/>
      <c r="E9" s="636" t="n"/>
      <c r="F9" s="453" t="inlineStr">
        <is>
          <t>N.01 明细账与总账核对</t>
        </is>
      </c>
      <c r="G9" s="62" t="n"/>
      <c r="H9" s="53" t="n"/>
      <c r="I9" s="62" t="n"/>
    </row>
    <row r="10" ht="47.45" customHeight="1" s="634">
      <c r="B10" s="61" t="n">
        <v>2</v>
      </c>
      <c r="C10" s="458" t="inlineStr">
        <is>
          <t>对应付账款外币余额，我们使用第三方汇率(独立于被审计单位获得汇率)重新计算，并将重新计算的余额与被审计单位的余额进行比较。</t>
        </is>
      </c>
      <c r="D10" s="635" t="n"/>
      <c r="E10" s="636" t="n"/>
      <c r="F10" s="637" t="n"/>
      <c r="G10" s="62" t="n"/>
      <c r="H10" s="53" t="n"/>
      <c r="I10" s="62" t="n"/>
    </row>
    <row r="11" ht="15" customHeight="1" s="634">
      <c r="B11" s="59" t="inlineStr">
        <is>
          <t>N.02</t>
        </is>
      </c>
      <c r="C11" s="465" t="inlineStr">
        <is>
          <t>N.02 异常项复核（认定：E、C、V、R&amp;O、P&amp;D）</t>
        </is>
      </c>
      <c r="D11" s="635" t="n"/>
      <c r="E11" s="636" t="n"/>
      <c r="F11" s="60" t="inlineStr">
        <is>
          <t>程序页</t>
        </is>
      </c>
      <c r="G11" s="60" t="inlineStr">
        <is>
          <t>执行</t>
        </is>
      </c>
      <c r="H11" s="60" t="inlineStr">
        <is>
          <t>不执行的原因</t>
        </is>
      </c>
      <c r="I11" s="60" t="inlineStr">
        <is>
          <t>注意事项</t>
        </is>
      </c>
    </row>
    <row r="12" ht="70.5" customHeight="1" s="634">
      <c r="B12" s="63" t="n">
        <v>1</v>
      </c>
      <c r="C12" s="457" t="inlineStr">
        <is>
          <t>对（单独或合计）大于测试阈值的借方余额，获取记账分录并检查对应支持性文件，确定对方科目账务处理是否正确，应付账款借方余额是否有必要根据名义金额进行重分类调整。</t>
        </is>
      </c>
      <c r="D12" s="635" t="n"/>
      <c r="E12" s="636" t="n"/>
      <c r="F12" s="453" t="inlineStr">
        <is>
          <t>N.02 异常项复核</t>
        </is>
      </c>
      <c r="G12" s="62" t="n"/>
      <c r="H12" s="53" t="n"/>
      <c r="I12" s="64" t="n"/>
      <c r="J12" s="44" t="n"/>
    </row>
    <row r="13" ht="70.5" customHeight="1" s="634">
      <c r="A13" s="0" t="n"/>
      <c r="B13" s="63" t="n">
        <v>2</v>
      </c>
      <c r="C13" s="458" t="inlineStr">
        <is>
          <t>根据应付账款明细账，我们识别金额、供应商或其他被认为异常或预期外的项目（例如，关联方、员工、客户、严重逾期余额），选择项目并记录做出此决定的依据；我们获取这些项目的支持性证据并记录检查结果。</t>
        </is>
      </c>
      <c r="D13" s="635" t="n"/>
      <c r="E13" s="636" t="n"/>
      <c r="F13" s="637" t="n"/>
      <c r="G13" s="62" t="n"/>
      <c r="H13" s="53" t="n"/>
      <c r="I13" s="64" t="n"/>
      <c r="J13" s="44" t="n"/>
    </row>
    <row r="14" ht="15" customHeight="1" s="634">
      <c r="A14" s="0" t="n"/>
      <c r="B14" s="59" t="inlineStr">
        <is>
          <t>N.03</t>
        </is>
      </c>
      <c r="C14" s="459" t="inlineStr">
        <is>
          <t>N.03 应付账款截止测试（认定：E、C、R&amp;O）</t>
        </is>
      </c>
      <c r="D14" s="635" t="n"/>
      <c r="E14" s="636" t="n"/>
      <c r="F14" s="60" t="inlineStr">
        <is>
          <t>程序页</t>
        </is>
      </c>
      <c r="G14" s="60" t="inlineStr">
        <is>
          <t>执行</t>
        </is>
      </c>
      <c r="H14" s="60" t="inlineStr">
        <is>
          <t>不执行的原因</t>
        </is>
      </c>
      <c r="I14" s="60" t="inlineStr">
        <is>
          <t>注意事项</t>
        </is>
      </c>
      <c r="J14" s="44" t="n"/>
    </row>
    <row r="15" ht="124.5" customHeight="1" s="634">
      <c r="A15" s="0" t="n"/>
      <c r="B15" s="63" t="n">
        <v>1</v>
      </c>
      <c r="C15" s="462" t="inlineStr">
        <is>
          <t>若我们从其他程序中获得一部分审计证据（交叉索引至相关底稿）或未获取审计证据时，需结合我们对于被审计单位业务的了解，考虑截止性测试的范围与涵盖期间，基于风险评估确定样本策略，并记录我们认为影响我们确定截止时间、样本策略的因素。
IPE 考虑：</t>
        </is>
      </c>
      <c r="D15" s="635" t="n"/>
      <c r="E15" s="636" t="n"/>
      <c r="F15" s="453" t="inlineStr">
        <is>
          <t>N.03 截止测试</t>
        </is>
      </c>
      <c r="G15" s="62" t="n"/>
      <c r="H15" s="53" t="n"/>
      <c r="I15" s="131" t="inlineStr">
        <is>
          <t>若我们已从其他程序中获得了充分适当的审计证据，以应对应付账款截止风险时，无需执行本程序，并交叉索引至相关底稿；</t>
        </is>
      </c>
      <c r="J15" s="44" t="n"/>
    </row>
    <row r="16" ht="15" customHeight="1" s="634">
      <c r="A16" s="0" t="n"/>
      <c r="B16" s="59" t="inlineStr">
        <is>
          <t>N.04</t>
        </is>
      </c>
      <c r="C16" s="461" t="inlineStr">
        <is>
          <t>N.04寻找未入账负债（认定：C、V）</t>
        </is>
      </c>
      <c r="D16" s="635" t="n"/>
      <c r="E16" s="636" t="n"/>
      <c r="F16" s="60" t="inlineStr">
        <is>
          <t>程序页</t>
        </is>
      </c>
      <c r="G16" s="60" t="inlineStr">
        <is>
          <t>执行</t>
        </is>
      </c>
      <c r="H16" s="60" t="inlineStr">
        <is>
          <t>不执行的原因</t>
        </is>
      </c>
      <c r="I16" s="60" t="inlineStr">
        <is>
          <t>注意事项</t>
        </is>
      </c>
    </row>
    <row r="17" ht="40.5" customHeight="1" s="634">
      <c r="A17" s="0" t="n"/>
      <c r="B17" s="63" t="n">
        <v>1</v>
      </c>
      <c r="C17" s="462" t="inlineStr">
        <is>
          <t>通过寻找未入账的应付账款，验证资产负债表日应付账款的计价和完整性。</t>
        </is>
      </c>
      <c r="D17" s="635" t="n"/>
      <c r="E17" s="636" t="n"/>
      <c r="F17" s="65" t="inlineStr">
        <is>
          <t>N.04 寻找未入账负债</t>
        </is>
      </c>
      <c r="G17" s="62" t="n"/>
      <c r="H17" s="53" t="n"/>
      <c r="I17" s="62" t="n"/>
    </row>
    <row r="18" ht="14.25" customHeight="1" s="634">
      <c r="A18" s="0" t="n"/>
    </row>
    <row r="19" ht="14.25" customHeight="1" s="634">
      <c r="A19" s="0" t="n"/>
    </row>
    <row r="20" ht="14.25" customHeight="1" s="634">
      <c r="A20" s="0" t="n"/>
    </row>
  </sheetData>
  <mergeCells count="16">
    <mergeCell ref="C16:E16"/>
    <mergeCell ref="C14:E14"/>
    <mergeCell ref="C11:E11"/>
    <mergeCell ref="F9:F10"/>
    <mergeCell ref="C13:E13"/>
    <mergeCell ref="C5:E5"/>
    <mergeCell ref="F12:F13"/>
    <mergeCell ref="C8:E8"/>
    <mergeCell ref="C9:E9"/>
    <mergeCell ref="F6:F7"/>
    <mergeCell ref="C17:E17"/>
    <mergeCell ref="C7:E7"/>
    <mergeCell ref="C15:E15"/>
    <mergeCell ref="C12:E12"/>
    <mergeCell ref="C6:E6"/>
    <mergeCell ref="C10:E10"/>
  </mergeCells>
  <conditionalFormatting sqref="F6 F9 F12 F15:G15 G9:G10 G12:G13">
    <cfRule type="containsBlanks" priority="27" dxfId="4">
      <formula>LEN(TRIM(F6))=0</formula>
    </cfRule>
  </conditionalFormatting>
  <conditionalFormatting sqref="F17:G17">
    <cfRule type="containsBlanks" priority="1" dxfId="4">
      <formula>LEN(TRIM(F17))=0</formula>
    </cfRule>
  </conditionalFormatting>
  <conditionalFormatting sqref="G6:G7">
    <cfRule type="containsBlanks" priority="23" dxfId="4">
      <formula>LEN(TRIM(G6))=0</formula>
    </cfRule>
  </conditionalFormatting>
  <conditionalFormatting sqref="H6:H7 H9:H10 H12:H13 H15 H17">
    <cfRule type="expression" priority="10" dxfId="13">
      <formula>SUMPRODUCT((G6="否")*(LEN(H6)=0))</formula>
    </cfRule>
  </conditionalFormatting>
  <dataValidations disablePrompts="1" count="1">
    <dataValidation sqref="G6:G7 G9:G10 G12:G13 G15 G17" showDropDown="0" showInputMessage="1" showErrorMessage="0" allowBlank="1" type="list">
      <formula1>"是,否"</formula1>
    </dataValidation>
  </dataValidations>
  <hyperlinks>
    <hyperlink xmlns:r="http://schemas.openxmlformats.org/officeDocument/2006/relationships" ref="F2" display="https://eychinamanaged.sharepoint.cn/:x:/r/sites/GCknowledgecenter/Shared Documents/%E5%AE%A1%E8%AE%A1%E6%A0%87%E5%87%86%E5%BA%95%E7%A8%BF/%E6%A0%87%E5%87%86%E5%AE%A1%E8%AE%A1%E5%BA%95%E7%A8%BF%E6%A8%A1%E6%9D%BF%E7%AC%AC%E4%BA%94%E7%89%88-%E4%BD%BF%E7%94%A8%E7%89%88/OSP/OSP N SWP %E5%BA%94%E4%BB%98%E8%B4%A6%E6%AC%BE%E8%B4%A6%E9%BE%84%E5%A4%8D%E6%A0%B8 202YMMDD XYZ%E5%85%AC%E5%8F%B8.xlsx?d=wbaf427bca11842b3800de5f38ba2cd51&amp;csf=1&amp;web=1&amp;e=QG5BJl" r:id="rId1"/>
    <hyperlink xmlns:r="http://schemas.openxmlformats.org/officeDocument/2006/relationships" ref="F3" display="https://eychinamanaged.sharepoint.cn/:x:/r/sites/GCknowledgecenter/Shared Documents/%E5%AE%A1%E8%AE%A1%E6%A0%87%E5%87%86%E5%BA%95%E7%A8%BF/%E6%A0%87%E5%87%86%E5%AE%A1%E8%AE%A1%E5%BA%95%E7%A8%BF%E6%A8%A1%E6%9D%BF%E7%AC%AC%E5%85%AD%E7%89%88-%E4%BD%BF%E7%94%A8%E7%89%88/%E5%87%BD%E8%AF%81 SWP %E8%B4%9F%E5%80%BA%E7%B1%BB%E7%A7%91%E7%9B%AE 202YMMDD XYZ%E5%85%AC%E5%8F%B8.xlsx?d=w3d16851f9f4b42cdb1b3e5783b626bed&amp;csf=1&amp;web=1&amp;e=qqqCpZ" r:id="rId2"/>
    <hyperlink ref="F6" location="'N.00 Lead sheet'!A1" display="N.00 Lead sheet"/>
    <hyperlink ref="F9" location="'N.01 明细账与总账核对'!A1" display="'N.01 明细账与总账核对'!A1"/>
    <hyperlink ref="F12" location="'N.02 异常项复核'!A1" display="'N.02 异常项复核'!A1"/>
    <hyperlink ref="F15" location="'N.03 截止测试'!A1" display="'N.03 截止测试'!A1"/>
    <hyperlink ref="F17" location="'N.04 寻找未入账负债'!A1" display="N.04 寻找未入账的负债"/>
  </hyperlinks>
  <pageMargins left="0.7" right="0.7" top="0.75" bottom="0.75" header="0.3" footer="0.3"/>
</worksheet>
</file>

<file path=xl/worksheets/sheet2.xml><?xml version="1.0" encoding="utf-8"?>
<worksheet xmlns="http://schemas.openxmlformats.org/spreadsheetml/2006/main">
  <sheetPr codeName="Sheet3">
    <outlinePr summaryBelow="1" summaryRight="1"/>
    <pageSetUpPr/>
  </sheetPr>
  <dimension ref="A1:AL92"/>
  <sheetViews>
    <sheetView showGridLines="0" zoomScale="70" zoomScaleNormal="70" workbookViewId="0">
      <selection activeCell="G72" sqref="G72"/>
    </sheetView>
  </sheetViews>
  <sheetFormatPr baseColWidth="8" defaultColWidth="8.75" defaultRowHeight="12.75" customHeight="1"/>
  <cols>
    <col width="2.625" customWidth="1" style="151" min="1" max="1"/>
    <col width="29" customWidth="1" style="138" min="2" max="2"/>
    <col width="23.375" customWidth="1" style="138" min="3" max="3"/>
    <col width="29.25" customWidth="1" style="138" min="4" max="4"/>
    <col width="15.25" customWidth="1" style="138" min="5" max="5"/>
    <col width="16.125" customWidth="1" style="138" min="6" max="6"/>
    <col width="15" customWidth="1" style="138" min="7" max="11"/>
    <col width="14.25" customWidth="1" style="138" min="12" max="12"/>
    <col width="13.125" customWidth="1" style="138" min="13" max="13"/>
    <col width="14.125" customWidth="1" style="138" min="14" max="14"/>
    <col width="15.625" customWidth="1" style="138" min="15" max="15"/>
    <col width="17.625" customWidth="1" style="138" min="16" max="16"/>
    <col width="2.625" customWidth="1" style="138" min="17" max="17"/>
    <col width="1.625" customWidth="1" style="138" min="18" max="18"/>
    <col width="11.125" customWidth="1" style="138" min="19" max="19"/>
    <col width="12.75" customWidth="1" style="138" min="20" max="20"/>
    <col width="8.75" customWidth="1" style="138" min="21" max="16384"/>
  </cols>
  <sheetData>
    <row r="1" ht="50.1" customFormat="1" customHeight="1" s="132">
      <c r="B1" s="214" t="inlineStr">
        <is>
          <t>标准工作底稿: N SWP 应付账款</t>
        </is>
      </c>
      <c r="C1" s="215" t="n"/>
      <c r="D1" s="216" t="n"/>
      <c r="E1" s="216" t="n"/>
      <c r="F1" s="216" t="n"/>
      <c r="G1" s="216" t="n"/>
      <c r="H1" s="216" t="n"/>
      <c r="I1" s="216" t="n"/>
      <c r="J1" s="216" t="n"/>
      <c r="K1" s="216" t="n"/>
      <c r="L1" s="216" t="n"/>
      <c r="M1" s="216" t="n"/>
      <c r="N1" s="216" t="n"/>
      <c r="O1" s="216" t="n"/>
      <c r="P1" s="217" t="n"/>
      <c r="Q1" s="218" t="n"/>
      <c r="R1" s="219" t="n"/>
    </row>
    <row r="2" ht="25.9" customFormat="1" customHeight="1" s="135">
      <c r="B2" s="145" t="inlineStr">
        <is>
          <t>客户名称</t>
        </is>
      </c>
      <c r="C2" s="172" t="inlineStr">
        <is>
          <t>东风鸿远工程咨询有限公司</t>
        </is>
      </c>
      <c r="D2" s="638" t="inlineStr">
        <is>
          <t>此工作底稿需要与以下 Canvas PSP guided workflow forms一起使用：
     •N.00应付账款引导表
     •N.01将明细账与总账核对一致
     •N.02异常项复核
     •N.03应付账款截止测试
     •N.04寻找未入账负债
     •账户结论</t>
        </is>
      </c>
      <c r="P2" s="639" t="n"/>
      <c r="Q2" s="133" t="n"/>
      <c r="R2" s="134" t="n"/>
    </row>
    <row r="3" ht="21.75" customFormat="1" customHeight="1" s="135">
      <c r="B3" s="146" t="inlineStr">
        <is>
          <t>期末</t>
        </is>
      </c>
      <c r="C3" s="640" t="n">
        <v>46387</v>
      </c>
      <c r="D3" s="641" t="n"/>
      <c r="P3" s="639" t="n"/>
      <c r="Q3" s="133" t="n"/>
      <c r="R3" s="134" t="n"/>
    </row>
    <row r="4" ht="21.75" customFormat="1" customHeight="1" s="135">
      <c r="B4" s="146" t="inlineStr">
        <is>
          <t>分析日期</t>
        </is>
      </c>
      <c r="C4" s="642" t="n">
        <v>46168.7296347251</v>
      </c>
      <c r="D4" s="641" t="n"/>
      <c r="P4" s="639" t="n"/>
      <c r="Q4" s="133" t="n"/>
      <c r="R4" s="134" t="n"/>
    </row>
    <row r="5" ht="21.75" customFormat="1" customHeight="1" s="135">
      <c r="B5" s="146" t="inlineStr">
        <is>
          <t>可容忍误差（TE）</t>
        </is>
      </c>
      <c r="C5" s="643" t="n"/>
      <c r="D5" s="641" t="n"/>
      <c r="P5" s="639" t="n"/>
      <c r="Q5" s="133" t="n"/>
      <c r="R5" s="134" t="n"/>
    </row>
    <row r="6" ht="21.75" customFormat="1" customHeight="1" s="135">
      <c r="B6" s="146" t="inlineStr">
        <is>
          <t>名义金额（SAD）</t>
        </is>
      </c>
      <c r="C6" s="643" t="n"/>
      <c r="D6" s="641" t="n"/>
      <c r="P6" s="639" t="n"/>
      <c r="Q6" s="133" t="n"/>
      <c r="R6" s="134" t="n"/>
    </row>
    <row r="7" ht="21.75" customFormat="1" customHeight="1" s="135">
      <c r="B7" s="146" t="inlineStr">
        <is>
          <t>适用会计准则</t>
        </is>
      </c>
      <c r="C7" s="174" t="inlineStr">
        <is>
          <t>PRC</t>
        </is>
      </c>
      <c r="D7" s="641" t="n"/>
      <c r="P7" s="639" t="n"/>
      <c r="Q7" s="133" t="n"/>
      <c r="R7" s="134" t="n"/>
    </row>
    <row r="8" ht="21.75" customFormat="1" customHeight="1" s="135">
      <c r="B8" s="148" t="inlineStr">
        <is>
          <t>记账本位币</t>
        </is>
      </c>
      <c r="C8" s="175" t="inlineStr">
        <is>
          <t>CNY</t>
        </is>
      </c>
      <c r="D8" s="644" t="n"/>
      <c r="E8" s="645" t="n"/>
      <c r="F8" s="645" t="n"/>
      <c r="G8" s="645" t="n"/>
      <c r="H8" s="645" t="n"/>
      <c r="I8" s="645" t="n"/>
      <c r="J8" s="645" t="n"/>
      <c r="K8" s="645" t="n"/>
      <c r="L8" s="645" t="n"/>
      <c r="M8" s="645" t="n"/>
      <c r="N8" s="645" t="n"/>
      <c r="O8" s="645" t="n"/>
      <c r="P8" s="646" t="n"/>
      <c r="Q8" s="133" t="n"/>
      <c r="R8" s="134" t="n"/>
    </row>
    <row r="9" ht="30" customFormat="1" customHeight="1" s="136">
      <c r="B9" s="220" t="inlineStr">
        <is>
          <t>N.00 编制引导表并比较余额</t>
        </is>
      </c>
      <c r="C9" s="221" t="n"/>
      <c r="D9" s="221" t="n"/>
      <c r="E9" s="221" t="n"/>
      <c r="F9" s="221" t="n"/>
      <c r="G9" s="221" t="n"/>
      <c r="H9" s="221" t="n"/>
      <c r="I9" s="221" t="n"/>
      <c r="J9" s="221" t="n"/>
      <c r="K9" s="221" t="n"/>
      <c r="L9" s="221" t="n"/>
      <c r="M9" s="221" t="n"/>
      <c r="N9" s="221" t="n"/>
      <c r="O9" s="221" t="n"/>
      <c r="P9" s="222" t="n"/>
      <c r="Q9" s="218" t="n"/>
      <c r="R9" s="219" t="n"/>
    </row>
    <row r="10" ht="15" customFormat="1" customHeight="1" s="132">
      <c r="B10" s="10" t="n"/>
      <c r="C10" s="10" t="n"/>
      <c r="D10" s="10" t="n"/>
      <c r="E10" s="10" t="n"/>
      <c r="F10" s="10" t="n"/>
      <c r="G10" s="10" t="n"/>
      <c r="H10" s="10" t="n"/>
      <c r="I10" s="10" t="n"/>
      <c r="J10" s="10" t="n"/>
      <c r="K10" s="10" t="n"/>
      <c r="L10" s="10" t="n"/>
      <c r="M10" s="10" t="n"/>
      <c r="N10" s="10" t="n"/>
      <c r="O10" s="10" t="n"/>
      <c r="P10" s="10" t="n"/>
      <c r="Q10" s="218" t="n"/>
      <c r="R10" s="219" t="n"/>
    </row>
    <row r="11" ht="15" customFormat="1" customHeight="1" s="132">
      <c r="B11" s="46" t="inlineStr">
        <is>
          <t>返回汇总页</t>
        </is>
      </c>
      <c r="C11" s="10" t="n"/>
      <c r="D11" s="10" t="n"/>
      <c r="E11" s="10" t="n"/>
      <c r="F11" s="10" t="n"/>
      <c r="G11" s="10" t="n"/>
      <c r="H11" s="10" t="n"/>
      <c r="I11" s="10" t="n"/>
      <c r="J11" s="10" t="n"/>
      <c r="K11" s="10" t="n"/>
      <c r="L11" s="10" t="n"/>
      <c r="M11" s="10" t="n"/>
      <c r="N11" s="10" t="n"/>
      <c r="O11" s="10" t="n"/>
      <c r="P11" s="10" t="n"/>
      <c r="Q11" s="218" t="n"/>
      <c r="R11" s="219" t="n"/>
    </row>
    <row r="12" ht="15" customFormat="1" customHeight="1" s="132">
      <c r="B12" s="10" t="n"/>
      <c r="C12" s="10" t="n"/>
      <c r="D12" s="10" t="n"/>
      <c r="E12" s="10" t="n"/>
      <c r="F12" s="10" t="n"/>
      <c r="G12" s="10" t="n"/>
      <c r="H12" s="10" t="n"/>
      <c r="I12" s="10" t="n"/>
      <c r="J12" s="10" t="n"/>
      <c r="K12" s="10" t="n"/>
      <c r="L12" s="10" t="n"/>
      <c r="M12" s="10" t="n"/>
      <c r="N12" s="10" t="n"/>
      <c r="O12" s="10" t="n"/>
      <c r="P12" s="10" t="n"/>
      <c r="Q12" s="218" t="n"/>
      <c r="R12" s="219" t="n"/>
    </row>
    <row r="13" ht="15" customFormat="1" customHeight="1" s="132">
      <c r="B13" s="223" t="n"/>
      <c r="C13" s="223" t="n"/>
      <c r="D13" s="224" t="inlineStr">
        <is>
          <t>Threshold(s)</t>
        </is>
      </c>
      <c r="E13" s="225" t="n"/>
      <c r="F13" s="10" t="n"/>
      <c r="G13" s="10" t="n"/>
      <c r="H13" s="647" t="inlineStr">
        <is>
          <t>安永标记</t>
        </is>
      </c>
      <c r="I13" s="648" t="n"/>
      <c r="J13" s="648" t="n"/>
      <c r="K13" s="648" t="n"/>
      <c r="L13" s="649" t="n"/>
      <c r="M13" s="10" t="n"/>
      <c r="N13" s="10" t="n"/>
      <c r="O13" s="10" t="n"/>
      <c r="P13" s="10" t="n"/>
      <c r="Q13" s="218" t="n"/>
      <c r="R13" s="219" t="n"/>
    </row>
    <row r="14" ht="15" customFormat="1" customHeight="1" s="132">
      <c r="B14" s="405" t="inlineStr">
        <is>
          <t>认定</t>
        </is>
      </c>
      <c r="C14" s="405" t="inlineStr">
        <is>
          <t>CRA</t>
        </is>
      </c>
      <c r="D14" s="405" t="inlineStr">
        <is>
          <t>各项认定1</t>
        </is>
      </c>
      <c r="E14" s="406" t="inlineStr">
        <is>
          <t>所有相关认定 2</t>
        </is>
      </c>
      <c r="F14" s="10" t="n"/>
      <c r="G14" s="10" t="n"/>
      <c r="H14" s="226" t="inlineStr">
        <is>
          <t>TB</t>
        </is>
      </c>
      <c r="I14" s="227" t="inlineStr">
        <is>
          <t>已与科目余额表核对无误</t>
        </is>
      </c>
      <c r="J14" s="165" t="n"/>
      <c r="K14" s="165" t="n"/>
      <c r="L14" s="166" t="n"/>
      <c r="M14" s="10" t="n"/>
      <c r="N14" s="10" t="n"/>
      <c r="O14" s="10" t="n"/>
      <c r="P14" s="10" t="n"/>
      <c r="Q14" s="218" t="n"/>
      <c r="R14" s="219" t="n"/>
    </row>
    <row r="15" ht="15" customFormat="1" customHeight="1" s="132">
      <c r="B15" s="407" t="inlineStr">
        <is>
          <t>完整性 (C)</t>
        </is>
      </c>
      <c r="C15" s="228" t="n"/>
      <c r="D15" s="650">
        <f>IF(C15="Minimal",$C$5*50%,IF(C15="Low",$C$5*25%,IF(C15="Moderate",$C$5*15%,IF(C15="High",$C$5*10%,IF(C15="N/A","-",)))))</f>
        <v/>
      </c>
      <c r="E15" s="651">
        <f>MIN($D$15:$D$19)</f>
        <v/>
      </c>
      <c r="F15" s="10" t="n"/>
      <c r="G15" s="10" t="n"/>
      <c r="H15" s="149" t="inlineStr">
        <is>
          <t>PY</t>
        </is>
      </c>
      <c r="I15" s="227" t="inlineStr">
        <is>
          <t>与上年最终审定数核对一致</t>
        </is>
      </c>
      <c r="J15" s="163" t="n"/>
      <c r="K15" s="231" t="n"/>
      <c r="L15" s="232" t="n"/>
      <c r="M15" s="10" t="n"/>
      <c r="N15" s="10" t="n"/>
      <c r="O15" s="10" t="n"/>
      <c r="P15" s="10" t="n"/>
      <c r="Q15" s="218" t="n"/>
      <c r="R15" s="219" t="n"/>
    </row>
    <row r="16" ht="15" customFormat="1" customHeight="1" s="132">
      <c r="B16" s="407" t="inlineStr">
        <is>
          <t>存在性 (E)</t>
        </is>
      </c>
      <c r="C16" s="228" t="n"/>
      <c r="D16" s="650">
        <f>IF(C16="Minimal",$C$5*100%,IF(C16="Low",$C$5*75%,IF(C16="Moderate",$C$5*50%,IF(C16="High",$C$5*25%,IF(C16="N/A","-",)))))</f>
        <v/>
      </c>
      <c r="E16" s="652" t="n"/>
      <c r="F16" s="10" t="n"/>
      <c r="G16" s="10" t="n"/>
      <c r="H16" s="226" t="inlineStr">
        <is>
          <t>A3</t>
        </is>
      </c>
      <c r="I16" s="234" t="inlineStr">
        <is>
          <t>与未审数、审定数核对一致</t>
        </is>
      </c>
      <c r="J16" s="235" t="n"/>
      <c r="K16" s="231" t="n"/>
      <c r="L16" s="232" t="n"/>
      <c r="M16" s="10" t="n"/>
      <c r="N16" s="10" t="n"/>
      <c r="O16" s="10" t="n"/>
      <c r="P16" s="10" t="n"/>
      <c r="Q16" s="218" t="n"/>
      <c r="R16" s="219" t="n"/>
    </row>
    <row r="17" ht="15" customFormat="1" customHeight="1" s="132">
      <c r="B17" s="407" t="inlineStr">
        <is>
          <t>计价（V）</t>
        </is>
      </c>
      <c r="C17" s="228" t="n"/>
      <c r="D17" s="650">
        <f>IF(C17="Minimal",$C$5*100%,IF(C17="Low",$C$5*75%,IF(C17="Moderate",$C$5*50%,IF(C17="High",$C$5*25%,IF(C17="N/A","-",)))))</f>
        <v/>
      </c>
      <c r="E17" s="652" t="n"/>
      <c r="F17" s="10" t="n"/>
      <c r="G17" s="10" t="n"/>
      <c r="H17" s="226" t="inlineStr">
        <is>
          <t>A5</t>
        </is>
      </c>
      <c r="I17" s="234" t="inlineStr">
        <is>
          <t>与审计调整核对一致</t>
        </is>
      </c>
      <c r="J17" s="236" t="n"/>
      <c r="K17" s="231" t="n"/>
      <c r="L17" s="232" t="n"/>
      <c r="M17" s="10" t="n"/>
      <c r="N17" s="10" t="n"/>
      <c r="O17" s="10" t="n"/>
      <c r="P17" s="10" t="n"/>
      <c r="Q17" s="218" t="n"/>
      <c r="R17" s="219" t="n"/>
    </row>
    <row r="18" ht="15" customFormat="1" customHeight="1" s="132">
      <c r="B18" s="407" t="inlineStr">
        <is>
          <t>权利和义务（R&amp;O）</t>
        </is>
      </c>
      <c r="C18" s="228" t="n"/>
      <c r="D18" s="650">
        <f>IF(C18="Minimal",$C$5*100%,IF(C18="Low",$C$5*75%,IF(C18="Moderate",$C$5*50%,IF(C18="High",$C$5*25%,IF(C18="N/A","-",)))))</f>
        <v/>
      </c>
      <c r="E18" s="652" t="n"/>
      <c r="F18" s="10" t="n"/>
      <c r="G18" s="10" t="n"/>
      <c r="H18" s="237" t="inlineStr">
        <is>
          <t>FS</t>
        </is>
      </c>
      <c r="I18" s="227" t="inlineStr">
        <is>
          <t>与FS.0x与财务报表核对无误</t>
        </is>
      </c>
      <c r="J18" s="238" t="n"/>
      <c r="K18" s="239" t="n"/>
      <c r="L18" s="240" t="n"/>
      <c r="M18" s="10" t="n"/>
      <c r="N18" s="10" t="n"/>
      <c r="O18" s="10" t="n"/>
      <c r="P18" s="10" t="n"/>
      <c r="Q18" s="218" t="n"/>
      <c r="R18" s="219" t="n"/>
    </row>
    <row r="19" ht="15" customFormat="1" customHeight="1" s="132">
      <c r="B19" s="408" t="inlineStr">
        <is>
          <t>列报和披露（P&amp;D）</t>
        </is>
      </c>
      <c r="C19" s="241" t="n"/>
      <c r="D19" s="650">
        <f>IF(C19="Minimal",$C$5*100%,IF(C19="Low",$C$5*75%,IF(C19="Moderate",$C$5*50%,IF(C19="High",$C$5*25%,IF(C19="N/A","-",)))))</f>
        <v/>
      </c>
      <c r="E19" s="653" t="n"/>
      <c r="F19" s="10" t="n"/>
      <c r="G19" s="10" t="n"/>
      <c r="H19" s="150" t="inlineStr">
        <is>
          <t>w</t>
        </is>
      </c>
      <c r="I19" s="227" t="inlineStr">
        <is>
          <t>低于SAD的金额——放弃进一步调查</t>
        </is>
      </c>
      <c r="J19" s="231" t="n"/>
      <c r="K19" s="231" t="n"/>
      <c r="L19" s="232" t="n"/>
      <c r="M19" s="10" t="n"/>
      <c r="N19" s="10" t="n"/>
      <c r="O19" s="10" t="n"/>
      <c r="P19" s="10" t="n"/>
      <c r="Q19" s="218" t="n"/>
      <c r="R19" s="219" t="n"/>
    </row>
    <row r="20" ht="15" customFormat="1" customHeight="1" s="132">
      <c r="B20" s="498" t="inlineStr">
        <is>
          <t xml:space="preserve">1 各项认定的测试阈值，是根据EY GAM SUBSTANTIVE DESIGN 2.2.1 </t>
        </is>
      </c>
      <c r="F20" s="10" t="n"/>
      <c r="G20" s="10" t="n"/>
      <c r="H20" s="226" t="inlineStr">
        <is>
          <t>Rx</t>
        </is>
      </c>
      <c r="I20" s="227" t="inlineStr">
        <is>
          <t>重新计算，无异常</t>
        </is>
      </c>
      <c r="J20" s="231" t="n"/>
      <c r="K20" s="231" t="n"/>
      <c r="L20" s="232" t="n"/>
      <c r="M20" s="243" t="n"/>
      <c r="N20" s="243" t="n"/>
      <c r="O20" s="243" t="n"/>
      <c r="P20" s="243" t="n"/>
      <c r="Q20" s="218" t="n"/>
      <c r="R20" s="219" t="n"/>
    </row>
    <row r="21" ht="15" customFormat="1" customHeight="1" s="132">
      <c r="B21" s="176" t="inlineStr">
        <is>
          <t>中的示例测试阈值（用占TE的百分比表示）在相应风险等级（CRA）区间的上限计算得出的。</t>
        </is>
      </c>
      <c r="C21" s="498" t="n"/>
      <c r="D21" s="498" t="n"/>
      <c r="E21" s="498" t="n"/>
      <c r="F21" s="10" t="n"/>
      <c r="G21" s="10" t="n"/>
      <c r="H21" s="150" t="inlineStr">
        <is>
          <t>m</t>
        </is>
      </c>
      <c r="I21" s="227" t="inlineStr">
        <is>
          <t>余额/活动不符合测试范围–无需进一步调查</t>
        </is>
      </c>
      <c r="J21" s="231" t="n"/>
      <c r="K21" s="231" t="n"/>
      <c r="L21" s="232" t="n"/>
      <c r="M21" s="243" t="n"/>
      <c r="N21" s="243" t="n"/>
      <c r="O21" s="243" t="n"/>
      <c r="P21" s="243" t="n"/>
      <c r="Q21" s="218" t="n"/>
      <c r="R21" s="219" t="n"/>
    </row>
    <row r="22" ht="15" customFormat="1" customHeight="1" s="132">
      <c r="B22" s="176" t="inlineStr">
        <is>
          <t>除负债/费用类别账户的完整性认定应当使用负债/费用账户表之外，其他类别账户和认定均可使用资产/收入账户表。</t>
        </is>
      </c>
      <c r="C22" s="498" t="n"/>
      <c r="D22" s="498" t="n"/>
      <c r="E22" s="498" t="n"/>
      <c r="F22" s="10" t="n"/>
      <c r="G22" s="10" t="n"/>
      <c r="H22" s="244" t="inlineStr">
        <is>
          <t>SL</t>
        </is>
      </c>
      <c r="I22" s="245" t="inlineStr">
        <is>
          <t>已与明细账核对无误</t>
        </is>
      </c>
      <c r="J22" s="238" t="n"/>
      <c r="K22" s="238" t="n"/>
      <c r="L22" s="246" t="n"/>
      <c r="M22" s="243" t="n"/>
      <c r="N22" s="243" t="n"/>
      <c r="O22" s="243" t="n"/>
      <c r="P22" s="243" t="n"/>
      <c r="Q22" s="218" t="n"/>
      <c r="R22" s="219" t="n"/>
    </row>
    <row r="23" ht="31.5" customFormat="1" customHeight="1" s="132">
      <c r="B23" s="498" t="inlineStr">
        <is>
          <t>2 所有相关认定的测试阈值，是所有有效认定对应之测试阈值的最小值。我们在 Lead中使用该测试阈值：（a）作为选取总账账户进行测试的起点；（b）作为（需要进一步调查的）金额波动范围的起点。</t>
        </is>
      </c>
      <c r="F23" s="10" t="n"/>
      <c r="G23" s="10" t="n"/>
      <c r="H23" s="247" t="n"/>
      <c r="I23" s="169" t="n"/>
      <c r="J23" s="223" t="n"/>
      <c r="K23" s="223" t="n"/>
      <c r="L23" s="223" t="n"/>
      <c r="M23" s="243" t="n"/>
      <c r="N23" s="243" t="n"/>
      <c r="O23" s="243" t="n"/>
      <c r="P23" s="243" t="n"/>
      <c r="Q23" s="218" t="n"/>
      <c r="R23" s="219" t="n"/>
    </row>
    <row r="24" ht="12.75" customHeight="1" s="634">
      <c r="B24" s="164" t="n"/>
      <c r="C24" s="164" t="n"/>
      <c r="D24" s="164" t="n"/>
      <c r="E24" s="164" t="n"/>
      <c r="F24" s="164" t="n"/>
      <c r="G24" s="164" t="n"/>
      <c r="H24" s="164" t="n"/>
      <c r="I24" s="164" t="n"/>
      <c r="J24" s="164" t="n"/>
      <c r="K24" s="164" t="n"/>
      <c r="L24" s="164" t="n"/>
      <c r="M24" s="164" t="n"/>
      <c r="N24" s="164" t="n"/>
      <c r="O24" s="164" t="n"/>
      <c r="P24" s="164" t="n"/>
      <c r="Q24" s="164" t="n"/>
      <c r="R24" s="219" t="n"/>
    </row>
    <row r="25" ht="15" customFormat="1" customHeight="1" s="137">
      <c r="B25" s="248" t="inlineStr">
        <is>
          <t>在下文中描述我们对应付账款在此期间的相关账户余额和相关波动的预期，以及我们对这些预期的依据和理由。</t>
        </is>
      </c>
      <c r="C25" s="152" t="n"/>
      <c r="D25" s="152" t="n"/>
      <c r="E25" s="152" t="n"/>
      <c r="F25" s="152" t="n"/>
      <c r="G25" s="164" t="n"/>
      <c r="H25" s="164" t="n"/>
      <c r="I25" s="164" t="n"/>
      <c r="J25" s="164" t="n"/>
      <c r="K25" s="164" t="n"/>
      <c r="L25" s="164" t="n"/>
      <c r="M25" s="164" t="n"/>
      <c r="N25" s="164" t="n"/>
      <c r="O25" s="164" t="n"/>
      <c r="P25" s="164" t="n"/>
      <c r="Q25" s="218" t="n"/>
      <c r="R25" s="219" t="n"/>
    </row>
    <row r="26" ht="15" customFormat="1" customHeight="1" s="132">
      <c r="B26" s="654" t="n"/>
      <c r="C26" s="655" t="n"/>
      <c r="D26" s="655" t="n"/>
      <c r="E26" s="655" t="n"/>
      <c r="F26" s="656" t="n"/>
      <c r="G26" s="164" t="n"/>
      <c r="H26" s="164" t="n"/>
      <c r="I26" s="164" t="n"/>
      <c r="J26" s="164" t="n"/>
      <c r="K26" s="164" t="n"/>
      <c r="L26" s="164" t="n"/>
      <c r="M26" s="164" t="n"/>
      <c r="N26" s="164" t="n"/>
      <c r="O26" s="164" t="n"/>
      <c r="P26" s="164" t="n"/>
      <c r="Q26" s="218" t="n"/>
      <c r="R26" s="219" t="n"/>
    </row>
    <row r="27" ht="12.95" customFormat="1" customHeight="1" s="132">
      <c r="B27" s="657" t="n"/>
      <c r="C27" s="658" t="n"/>
      <c r="D27" s="658" t="n"/>
      <c r="E27" s="658" t="n"/>
      <c r="F27" s="659" t="n"/>
      <c r="G27" s="164" t="n"/>
      <c r="H27" s="164" t="n"/>
      <c r="I27" s="164" t="n"/>
      <c r="J27" s="164" t="n"/>
      <c r="K27" s="164" t="n"/>
      <c r="L27" s="164" t="n"/>
      <c r="M27" s="164" t="n"/>
      <c r="N27" s="164" t="n"/>
      <c r="O27" s="164" t="n"/>
      <c r="P27" s="164" t="n"/>
      <c r="Q27" s="218" t="n"/>
      <c r="R27" s="219" t="n"/>
    </row>
    <row r="28" ht="12.95" customFormat="1" customHeight="1" s="132">
      <c r="B28" s="660" t="n"/>
      <c r="C28" s="661" t="n"/>
      <c r="D28" s="661" t="n"/>
      <c r="E28" s="661" t="n"/>
      <c r="F28" s="662" t="n"/>
      <c r="G28" s="164" t="n"/>
      <c r="H28" s="164" t="n"/>
      <c r="I28" s="164" t="n"/>
      <c r="J28" s="164" t="n"/>
      <c r="K28" s="164" t="n"/>
      <c r="L28" s="164" t="n"/>
      <c r="M28" s="164" t="n"/>
      <c r="N28" s="164" t="n"/>
      <c r="O28" s="164" t="n"/>
      <c r="P28" s="164" t="n"/>
      <c r="Q28" s="218" t="n"/>
      <c r="R28" s="219" t="n"/>
    </row>
    <row r="29" ht="15" customFormat="1" customHeight="1" s="132">
      <c r="B29" s="12" t="n"/>
      <c r="C29" s="249" t="n"/>
      <c r="D29" s="249" t="n"/>
      <c r="E29" s="249" t="n"/>
      <c r="F29" s="249" t="n"/>
      <c r="G29" s="164" t="n"/>
      <c r="H29" s="164" t="n"/>
      <c r="I29" s="164" t="n"/>
      <c r="J29" s="164" t="n"/>
      <c r="K29" s="164" t="n"/>
      <c r="L29" s="164" t="n"/>
      <c r="M29" s="164" t="n"/>
      <c r="N29" s="164" t="n"/>
      <c r="O29" s="164" t="n"/>
      <c r="P29" s="164" t="n"/>
      <c r="Q29" s="218" t="n"/>
      <c r="R29" s="219" t="n"/>
    </row>
    <row r="30" ht="15" customFormat="1" customHeight="1" s="132">
      <c r="B30" s="250" t="inlineStr">
        <is>
          <t>波动范围</t>
        </is>
      </c>
      <c r="C30" s="251" t="n"/>
      <c r="D30" s="663" t="n"/>
      <c r="E30" s="253" t="n"/>
      <c r="F30" s="253" t="n"/>
      <c r="G30" s="253" t="n"/>
      <c r="H30" s="253" t="n"/>
      <c r="I30" s="253" t="n"/>
      <c r="J30" s="253" t="n"/>
      <c r="K30" s="253" t="n"/>
      <c r="L30" s="10" t="n"/>
      <c r="M30" s="10" t="n"/>
      <c r="N30" s="254" t="n"/>
      <c r="O30" s="10" t="n"/>
      <c r="P30" s="10" t="n"/>
      <c r="Q30" s="218" t="n"/>
      <c r="R30" s="219" t="n"/>
    </row>
    <row r="31" ht="15" customFormat="1" customHeight="1" s="132">
      <c r="B31" s="255">
        <f>"波动幅度 ("&amp;C8&amp; "):"</f>
        <v/>
      </c>
      <c r="C31" s="664">
        <f>$E$15</f>
        <v/>
      </c>
      <c r="D31" s="257" t="n"/>
      <c r="E31" s="10" t="n"/>
      <c r="F31" s="10" t="n"/>
      <c r="G31" s="10" t="n"/>
      <c r="H31" s="10" t="n"/>
      <c r="I31" s="10" t="n"/>
      <c r="J31" s="10" t="n"/>
      <c r="K31" s="10" t="n"/>
      <c r="L31" s="10" t="n"/>
      <c r="M31" s="10" t="n"/>
      <c r="N31" s="254" t="n"/>
      <c r="O31" s="10" t="n"/>
      <c r="P31" s="10" t="n"/>
      <c r="Q31" s="218" t="n"/>
      <c r="R31" s="219" t="n"/>
    </row>
    <row r="32" ht="15" customFormat="1" customHeight="1" s="139">
      <c r="B32" s="255" t="inlineStr">
        <is>
          <t>波动幅度 (%):</t>
        </is>
      </c>
      <c r="C32" s="258" t="n">
        <v>0.1</v>
      </c>
      <c r="D32" s="259" t="n"/>
      <c r="E32" s="260" t="n"/>
      <c r="F32" s="260" t="n"/>
      <c r="G32" s="260" t="n"/>
      <c r="H32" s="260" t="n"/>
      <c r="I32" s="260" t="n"/>
      <c r="J32" s="260" t="n"/>
      <c r="K32" s="260" t="n"/>
      <c r="L32" s="260" t="n"/>
      <c r="M32" s="10" t="n"/>
      <c r="N32" s="261" t="n"/>
      <c r="O32" s="260" t="n"/>
      <c r="P32" s="260" t="n"/>
      <c r="Q32" s="218" t="n"/>
      <c r="R32" s="219" t="n"/>
    </row>
    <row r="33" ht="15" customFormat="1" customHeight="1" s="139">
      <c r="B33" s="262" t="n"/>
      <c r="C33" s="263" t="n"/>
      <c r="D33" s="259" t="n"/>
      <c r="E33" s="260" t="n"/>
      <c r="F33" s="260" t="n"/>
      <c r="G33" s="260" t="n"/>
      <c r="H33" s="260" t="n"/>
      <c r="I33" s="260" t="n"/>
      <c r="J33" s="260" t="n"/>
      <c r="K33" s="260" t="n"/>
      <c r="L33" s="260" t="n"/>
      <c r="M33" s="260" t="n"/>
      <c r="N33" s="10" t="n"/>
      <c r="O33" s="261" t="n"/>
      <c r="P33" s="260" t="n"/>
      <c r="Q33" s="260" t="n"/>
      <c r="R33" s="219" t="n"/>
      <c r="S33" s="260" t="n"/>
      <c r="T33" s="260" t="n"/>
      <c r="U33" s="260" t="n"/>
      <c r="V33" s="260" t="n"/>
    </row>
    <row r="34" ht="15" customFormat="1" customHeight="1" s="139">
      <c r="B34" s="260" t="n"/>
      <c r="C34" s="223" t="n"/>
      <c r="D34" s="223" t="n"/>
      <c r="E34" s="223" t="n"/>
      <c r="F34" s="260" t="n"/>
      <c r="G34" s="50" t="n"/>
      <c r="H34" s="50" t="n"/>
      <c r="I34" s="50" t="n"/>
      <c r="J34" s="50" t="n"/>
      <c r="K34" s="260" t="n"/>
      <c r="L34" s="223" t="n"/>
      <c r="M34" s="223" t="n"/>
      <c r="N34" s="223" t="n"/>
      <c r="O34" s="223" t="n"/>
      <c r="P34" s="223" t="n"/>
      <c r="Q34" s="261" t="n"/>
      <c r="R34" s="219" t="n"/>
      <c r="S34" s="260" t="n"/>
      <c r="T34" s="260" t="n"/>
      <c r="U34" s="260" t="n"/>
      <c r="V34" s="218" t="n"/>
    </row>
    <row r="35" ht="15" customFormat="1" customHeight="1" s="139">
      <c r="B35" s="260" t="n"/>
      <c r="C35" s="223" t="n"/>
      <c r="D35" s="223" t="n"/>
      <c r="E35" s="223" t="n"/>
      <c r="F35" s="50" t="inlineStr">
        <is>
          <t>|------- TB -------|</t>
        </is>
      </c>
      <c r="G35" s="153" t="n"/>
      <c r="H35" s="153" t="n"/>
      <c r="I35" s="153" t="n"/>
      <c r="J35" s="153" t="n"/>
      <c r="K35" s="153" t="inlineStr">
        <is>
          <t>|------- PY -------|</t>
        </is>
      </c>
      <c r="L35" s="153" t="n"/>
      <c r="M35" s="153" t="n"/>
      <c r="N35" s="223" t="n"/>
      <c r="O35" s="223" t="n"/>
      <c r="P35" s="223" t="n"/>
      <c r="Q35" s="261" t="n"/>
      <c r="R35" s="219" t="n"/>
      <c r="S35" s="260" t="n"/>
      <c r="T35" s="260" t="n"/>
      <c r="U35" s="260" t="n"/>
      <c r="V35" s="218" t="n"/>
    </row>
    <row r="36" ht="15" customFormat="1" customHeight="1" s="139">
      <c r="B36" s="264" t="inlineStr">
        <is>
          <t>表1</t>
        </is>
      </c>
      <c r="C36" s="223" t="n"/>
      <c r="D36" s="223" t="n"/>
      <c r="E36" s="223" t="n"/>
      <c r="F36" s="184">
        <f>"货币/单位: "&amp;C8</f>
        <v/>
      </c>
      <c r="G36" s="185" t="n"/>
      <c r="H36" s="185" t="n"/>
      <c r="I36" s="185" t="n"/>
      <c r="J36" s="185" t="n"/>
      <c r="K36" s="186" t="n"/>
      <c r="L36" s="153" t="n"/>
      <c r="M36" s="153" t="n"/>
      <c r="N36" s="223" t="n"/>
      <c r="O36" s="223" t="n"/>
      <c r="P36" s="223" t="n"/>
      <c r="Q36" s="261" t="n"/>
      <c r="R36" s="219" t="n"/>
      <c r="S36" s="260" t="n"/>
      <c r="T36" s="260" t="n"/>
      <c r="U36" s="260" t="n"/>
      <c r="V36" s="218" t="n"/>
    </row>
    <row r="37" ht="15" customFormat="1" customHeight="1" s="139">
      <c r="B37" s="665" t="inlineStr">
        <is>
          <t>账套名称/账套编码</t>
        </is>
      </c>
      <c r="C37" s="500" t="inlineStr">
        <is>
          <t>总账科目编码</t>
        </is>
      </c>
      <c r="D37" s="500" t="inlineStr">
        <is>
          <t>科目名称</t>
        </is>
      </c>
      <c r="E37" s="500" t="inlineStr">
        <is>
          <t>索引号</t>
        </is>
      </c>
      <c r="F37" s="501">
        <f>C3</f>
        <v/>
      </c>
      <c r="G37" s="635" t="n"/>
      <c r="H37" s="635" t="n"/>
      <c r="I37" s="635" t="n"/>
      <c r="J37" s="636" t="n"/>
      <c r="K37" s="666">
        <f>DATE(YEAR($C$3)-1,12,31)</f>
        <v/>
      </c>
      <c r="L37" s="499" t="inlineStr">
        <is>
          <t>本期和上期期末余额</t>
        </is>
      </c>
      <c r="M37" s="636" t="n"/>
      <c r="N37" s="466" t="inlineStr">
        <is>
          <t>Notes</t>
        </is>
      </c>
      <c r="O37" s="497" t="inlineStr">
        <is>
          <t>基于波动幅度判断，是否进一步调查？</t>
        </is>
      </c>
      <c r="P37" s="497" t="inlineStr">
        <is>
          <t>基于定性考虑判断，是否进一步调查？</t>
        </is>
      </c>
      <c r="Q37" s="261" t="n"/>
      <c r="R37" s="219" t="n"/>
      <c r="S37" s="260" t="n"/>
      <c r="T37" s="260" t="n"/>
      <c r="U37" s="260" t="n"/>
      <c r="V37" s="218" t="n"/>
    </row>
    <row r="38" ht="23.45" customFormat="1" customHeight="1" s="140">
      <c r="B38" s="667" t="n"/>
      <c r="C38" s="637" t="n"/>
      <c r="D38" s="637" t="n"/>
      <c r="E38" s="637" t="n"/>
      <c r="F38" s="182" t="inlineStr">
        <is>
          <t>期末账面数</t>
        </is>
      </c>
      <c r="G38" s="500" t="inlineStr">
        <is>
          <t>账表调整数</t>
        </is>
      </c>
      <c r="H38" s="500" t="inlineStr">
        <is>
          <t>期末未审数</t>
        </is>
      </c>
      <c r="I38" s="500" t="inlineStr">
        <is>
          <t>审计调整数</t>
        </is>
      </c>
      <c r="J38" s="500" t="inlineStr">
        <is>
          <t>期末审定数</t>
        </is>
      </c>
      <c r="K38" s="183" t="inlineStr">
        <is>
          <t>上期末审定数</t>
        </is>
      </c>
      <c r="L38" s="500" t="inlineStr">
        <is>
          <t>变动金额</t>
        </is>
      </c>
      <c r="M38" s="500" t="inlineStr">
        <is>
          <t>变动%</t>
        </is>
      </c>
      <c r="N38" s="637" t="n"/>
      <c r="O38" s="637" t="n"/>
      <c r="P38" s="637" t="n"/>
      <c r="Q38" s="265" t="n"/>
      <c r="R38" s="219" t="n"/>
      <c r="S38" s="266" t="n"/>
      <c r="T38" s="266" t="n"/>
      <c r="U38" s="266" t="n"/>
      <c r="V38" s="267" t="n"/>
    </row>
    <row r="39" ht="15" customFormat="1" customHeight="1" s="139">
      <c r="B39" s="268" t="inlineStr">
        <is>
          <t>东风鸿远工程咨询有限公司</t>
        </is>
      </c>
      <c r="C39" s="268" t="n">
        <v>2121</v>
      </c>
      <c r="D39" s="268" t="inlineStr">
        <is>
          <t>应付账款</t>
        </is>
      </c>
      <c r="E39" s="269" t="inlineStr">
        <is>
          <t>N.01/</t>
        </is>
      </c>
      <c r="F39" s="668" t="n"/>
      <c r="G39" s="669" t="n"/>
      <c r="H39" s="670">
        <f>F39+G39</f>
        <v/>
      </c>
      <c r="I39" s="669" t="n"/>
      <c r="J39" s="670">
        <f>H39+I39</f>
        <v/>
      </c>
      <c r="K39" s="668" t="n">
        <v>-57526376.38</v>
      </c>
      <c r="L39" s="671">
        <f>J39-K39</f>
        <v/>
      </c>
      <c r="M39" s="270">
        <f>IFERROR(L39/K39,1)</f>
        <v/>
      </c>
      <c r="N39" s="271" t="inlineStr">
        <is>
          <t>[A]</t>
        </is>
      </c>
      <c r="O39" s="672">
        <f>IF(AND(ABS(L39)&gt;=$C$31,ABS(M39)&gt;=$C$32),"是","否")</f>
        <v/>
      </c>
      <c r="P39" s="268" t="n"/>
      <c r="Q39" s="261" t="n"/>
      <c r="R39" s="219" t="n"/>
      <c r="S39" s="260" t="n"/>
      <c r="T39" s="260" t="n"/>
      <c r="U39" s="260" t="n"/>
      <c r="V39" s="218" t="n"/>
    </row>
    <row r="40" ht="15" customFormat="1" customHeight="1" s="139">
      <c r="B40" s="268" t="n"/>
      <c r="C40" s="268" t="n"/>
      <c r="D40" s="268" t="n"/>
      <c r="E40" s="269" t="n"/>
      <c r="F40" s="668" t="n"/>
      <c r="G40" s="669" t="n"/>
      <c r="H40" s="670">
        <f>F40+G40</f>
        <v/>
      </c>
      <c r="I40" s="669" t="n"/>
      <c r="J40" s="670">
        <f>H40+I40</f>
        <v/>
      </c>
      <c r="K40" s="668" t="n">
        <v>0</v>
      </c>
      <c r="L40" s="671">
        <f>J40-K40</f>
        <v/>
      </c>
      <c r="M40" s="270">
        <f>IFERROR(L40/K40,1)</f>
        <v/>
      </c>
      <c r="N40" s="271" t="n"/>
      <c r="O40" s="672">
        <f>IF(AND(ABS(L40)&gt;=$C$31,ABS(M40)&gt;=$C$32),"是","否")</f>
        <v/>
      </c>
      <c r="P40" s="268" t="n"/>
      <c r="Q40" s="261" t="n"/>
      <c r="R40" s="219" t="n"/>
      <c r="S40" s="260" t="n"/>
      <c r="T40" s="260" t="n"/>
      <c r="U40" s="260" t="n"/>
      <c r="V40" s="218" t="n"/>
    </row>
    <row r="41" ht="15" customFormat="1" customHeight="1" s="139">
      <c r="B41" s="268" t="n"/>
      <c r="C41" s="268" t="n"/>
      <c r="D41" s="268" t="n"/>
      <c r="E41" s="269" t="n"/>
      <c r="F41" s="668" t="n"/>
      <c r="G41" s="669" t="n"/>
      <c r="H41" s="670">
        <f>F41+G41</f>
        <v/>
      </c>
      <c r="I41" s="669" t="n"/>
      <c r="J41" s="670">
        <f>H41+I41</f>
        <v/>
      </c>
      <c r="K41" s="668" t="n"/>
      <c r="L41" s="671">
        <f>J41-K41</f>
        <v/>
      </c>
      <c r="M41" s="270">
        <f>IFERROR(L41/K41,1)</f>
        <v/>
      </c>
      <c r="N41" s="271" t="n"/>
      <c r="O41" s="672">
        <f>IF(AND(ABS(L41)&gt;=$C$31,ABS(M41)&gt;=$C$32),"是","否")</f>
        <v/>
      </c>
      <c r="P41" s="268" t="n"/>
      <c r="Q41" s="261" t="n"/>
      <c r="R41" s="219" t="n"/>
      <c r="S41" s="260" t="n"/>
      <c r="T41" s="260" t="n"/>
      <c r="U41" s="260" t="n"/>
      <c r="V41" s="218" t="n"/>
    </row>
    <row r="42" ht="15" customFormat="1" customHeight="1" s="139">
      <c r="B42" s="268" t="n"/>
      <c r="C42" s="268" t="n"/>
      <c r="D42" s="268" t="n"/>
      <c r="E42" s="269" t="n"/>
      <c r="F42" s="668" t="n"/>
      <c r="G42" s="669" t="n"/>
      <c r="H42" s="670">
        <f>F42+G42</f>
        <v/>
      </c>
      <c r="I42" s="669" t="n"/>
      <c r="J42" s="670">
        <f>H42+I42</f>
        <v/>
      </c>
      <c r="K42" s="668" t="n"/>
      <c r="L42" s="671">
        <f>J42-K42</f>
        <v/>
      </c>
      <c r="M42" s="270">
        <f>IFERROR(L42/K42,1)</f>
        <v/>
      </c>
      <c r="N42" s="271" t="n"/>
      <c r="O42" s="672">
        <f>IF(AND(ABS(L42)&gt;=$C$31,ABS(M42)&gt;=$C$32),"是","否")</f>
        <v/>
      </c>
      <c r="P42" s="268" t="n"/>
      <c r="Q42" s="261" t="n"/>
      <c r="R42" s="219" t="n"/>
      <c r="S42" s="260" t="n"/>
      <c r="T42" s="260" t="n"/>
      <c r="U42" s="260" t="n"/>
      <c r="V42" s="218" t="n"/>
    </row>
    <row r="43" ht="15" customFormat="1" customHeight="1" s="139">
      <c r="B43" s="268" t="n"/>
      <c r="C43" s="268" t="n"/>
      <c r="D43" s="268" t="n"/>
      <c r="E43" s="269" t="n"/>
      <c r="F43" s="668" t="n"/>
      <c r="G43" s="669" t="n"/>
      <c r="H43" s="670">
        <f>F43+G43</f>
        <v/>
      </c>
      <c r="I43" s="669" t="n"/>
      <c r="J43" s="670">
        <f>H43+I43</f>
        <v/>
      </c>
      <c r="K43" s="668" t="n"/>
      <c r="L43" s="671">
        <f>J43-K43</f>
        <v/>
      </c>
      <c r="M43" s="270">
        <f>IFERROR(L43/K43,1)</f>
        <v/>
      </c>
      <c r="N43" s="271" t="n"/>
      <c r="O43" s="672">
        <f>IF(AND(ABS(L43)&gt;=$C$31,ABS(M43)&gt;=$C$32),"是","否")</f>
        <v/>
      </c>
      <c r="P43" s="268" t="n"/>
      <c r="Q43" s="261" t="n"/>
      <c r="R43" s="219" t="n"/>
      <c r="S43" s="260" t="n"/>
      <c r="T43" s="260" t="n"/>
      <c r="U43" s="260" t="n"/>
      <c r="V43" s="218" t="n"/>
    </row>
    <row r="44" ht="15" customFormat="1" customHeight="1" s="139">
      <c r="B44" s="260" t="n"/>
      <c r="C44" s="273" t="n"/>
      <c r="D44" s="274" t="n"/>
      <c r="E44" s="274" t="n"/>
      <c r="F44" s="673" t="n"/>
      <c r="G44" s="673" t="n"/>
      <c r="H44" s="673" t="n"/>
      <c r="I44" s="673" t="n"/>
      <c r="J44" s="673" t="n"/>
      <c r="K44" s="673" t="n"/>
      <c r="L44" s="674" t="n"/>
      <c r="M44" s="277" t="n"/>
      <c r="N44" s="278" t="n"/>
      <c r="O44" s="279" t="n"/>
      <c r="P44" s="141" t="n"/>
      <c r="Q44" s="261" t="n"/>
      <c r="R44" s="219" t="n"/>
      <c r="S44" s="260" t="n"/>
      <c r="T44" s="260" t="n"/>
      <c r="U44" s="260" t="n"/>
      <c r="V44" s="218" t="n"/>
    </row>
    <row r="45" ht="15" customFormat="1" customHeight="1" s="139">
      <c r="B45" s="675" t="n"/>
      <c r="C45" s="676" t="n"/>
      <c r="D45" s="677" t="n"/>
      <c r="E45" s="677" t="n"/>
      <c r="F45" s="678" t="n"/>
      <c r="G45" s="678" t="n"/>
      <c r="H45" s="678" t="n"/>
      <c r="I45" s="678" t="n"/>
      <c r="J45" s="678" t="n"/>
      <c r="K45" s="678" t="n"/>
      <c r="L45" s="679" t="n"/>
      <c r="M45" s="680" t="n"/>
      <c r="N45" s="278" t="n"/>
      <c r="O45" s="681" t="n"/>
      <c r="P45" s="141" t="n"/>
      <c r="Q45" s="261" t="n"/>
      <c r="R45" s="219" t="n"/>
      <c r="S45" s="675" t="n"/>
      <c r="T45" s="675" t="n"/>
      <c r="U45" s="675" t="n"/>
      <c r="V45" s="218" t="n"/>
    </row>
    <row r="46" ht="15" customFormat="1" customHeight="1" s="139">
      <c r="B46" s="260" t="n"/>
      <c r="C46" s="154" t="n"/>
      <c r="D46" s="280" t="inlineStr">
        <is>
          <t>合计</t>
        </is>
      </c>
      <c r="E46" s="281" t="n"/>
      <c r="F46" s="682">
        <f>SUM(F39:F43)</f>
        <v/>
      </c>
      <c r="G46" s="682">
        <f>SUM(G39:G43)</f>
        <v/>
      </c>
      <c r="H46" s="682">
        <f>SUM(H39:H43)</f>
        <v/>
      </c>
      <c r="I46" s="682">
        <f>SUM(I39:I43)</f>
        <v/>
      </c>
      <c r="J46" s="682">
        <f>SUM(J39:J43)</f>
        <v/>
      </c>
      <c r="K46" s="682">
        <f>SUM(K39:K43)</f>
        <v/>
      </c>
      <c r="L46" s="682">
        <f>J46-K46</f>
        <v/>
      </c>
      <c r="M46" s="282">
        <f>IFERROR(L46/K46,1)</f>
        <v/>
      </c>
      <c r="N46" s="278" t="n"/>
      <c r="O46" s="672">
        <f>IF(AND(ABS(L46)&gt;=$C$31,ABS(M46)&gt;=$C$32),"是","否")</f>
        <v/>
      </c>
      <c r="P46" s="268" t="n"/>
      <c r="Q46" s="261" t="n"/>
      <c r="R46" s="219" t="n"/>
      <c r="S46" s="260" t="n"/>
      <c r="T46" s="260" t="n"/>
      <c r="U46" s="260" t="n"/>
      <c r="V46" s="218" t="n"/>
    </row>
    <row r="47" ht="15" customFormat="1" customHeight="1" s="139">
      <c r="B47" s="260" t="n"/>
      <c r="C47" s="262" t="n"/>
      <c r="D47" s="263" t="n"/>
      <c r="E47" s="259" t="n"/>
      <c r="F47" s="13" t="inlineStr">
        <is>
          <t>RX</t>
        </is>
      </c>
      <c r="G47" s="13" t="inlineStr">
        <is>
          <t>RX</t>
        </is>
      </c>
      <c r="H47" s="13" t="inlineStr">
        <is>
          <t>RX</t>
        </is>
      </c>
      <c r="I47" s="13" t="inlineStr">
        <is>
          <t>RX</t>
        </is>
      </c>
      <c r="J47" s="13" t="inlineStr">
        <is>
          <t>RX</t>
        </is>
      </c>
      <c r="K47" s="13" t="inlineStr">
        <is>
          <t>RX</t>
        </is>
      </c>
      <c r="L47" s="10" t="n"/>
      <c r="M47" s="260" t="n"/>
      <c r="N47" s="278" t="n"/>
      <c r="O47" s="279" t="n"/>
      <c r="P47" s="247" t="n"/>
      <c r="Q47" s="261" t="n"/>
      <c r="R47" s="219" t="n"/>
      <c r="S47" s="260" t="n"/>
      <c r="T47" s="260" t="n"/>
      <c r="U47" s="260" t="n"/>
      <c r="V47" s="218" t="n"/>
    </row>
    <row r="48" ht="15" customFormat="1" customHeight="1" s="139">
      <c r="B48" s="262" t="n"/>
      <c r="C48" s="263" t="n"/>
      <c r="D48" s="259" t="n"/>
      <c r="E48" s="260" t="n"/>
      <c r="F48" s="260" t="n"/>
      <c r="G48" s="683" t="inlineStr">
        <is>
          <t>A3</t>
        </is>
      </c>
      <c r="H48" s="684" t="n"/>
      <c r="I48" s="260" t="n"/>
      <c r="J48" s="684" t="n"/>
      <c r="K48" s="684" t="n"/>
      <c r="L48" s="10" t="n"/>
      <c r="M48" s="261" t="n"/>
      <c r="N48" s="278" t="n"/>
      <c r="O48" s="279" t="n"/>
      <c r="P48" s="247" t="n"/>
      <c r="Q48" s="261" t="n"/>
      <c r="R48" s="219" t="n"/>
      <c r="S48" s="260" t="n"/>
      <c r="T48" s="260" t="n"/>
      <c r="U48" s="260" t="n"/>
      <c r="V48" s="260" t="n"/>
    </row>
    <row r="49" customFormat="1" s="142">
      <c r="B49" s="262" t="n"/>
      <c r="C49" s="263" t="n"/>
      <c r="D49" s="259" t="n"/>
      <c r="E49" s="260" t="n"/>
      <c r="F49" s="260" t="n"/>
      <c r="G49" s="683" t="inlineStr">
        <is>
          <t>Diff</t>
        </is>
      </c>
      <c r="H49" s="685">
        <f>H46-H48</f>
        <v/>
      </c>
      <c r="I49" s="260" t="n"/>
      <c r="J49" s="685">
        <f>J46-J48</f>
        <v/>
      </c>
      <c r="K49" s="685">
        <f>K46-K48</f>
        <v/>
      </c>
      <c r="L49" s="10" t="n"/>
      <c r="M49" s="261" t="n"/>
      <c r="N49" s="260" t="n"/>
      <c r="O49" s="260" t="n"/>
      <c r="P49" s="247" t="n"/>
      <c r="Q49" s="261" t="n"/>
      <c r="R49" s="219" t="n"/>
      <c r="S49" s="260" t="n"/>
      <c r="T49" s="260" t="n"/>
      <c r="U49" s="260" t="n"/>
      <c r="V49" s="260" t="n"/>
    </row>
    <row r="50" customFormat="1" s="142">
      <c r="A50" s="164" t="n"/>
      <c r="B50" s="10" t="n"/>
      <c r="C50" s="264" t="n"/>
      <c r="D50" s="286" t="n"/>
      <c r="E50" s="286" t="inlineStr">
        <is>
          <t>未执行程序的总账科目加总金额是否大于TE</t>
        </is>
      </c>
      <c r="F50" s="13">
        <f>IF(ABS(F45-'N.01 明细账与总账核对'!E18)&gt;'N.00 Lead sheet'!$C$5,"是","否")</f>
        <v/>
      </c>
      <c r="G50" s="247" t="inlineStr">
        <is>
          <t>Note2</t>
        </is>
      </c>
      <c r="H50" s="247" t="n"/>
      <c r="I50" s="247" t="n"/>
      <c r="J50" s="287" t="n"/>
      <c r="K50" s="288" t="n"/>
      <c r="L50" s="247" t="n"/>
      <c r="M50" s="261" t="n"/>
      <c r="N50" s="260" t="n"/>
      <c r="O50" s="260" t="n"/>
      <c r="P50" s="247" t="n"/>
      <c r="Q50" s="261" t="n"/>
      <c r="R50" s="219" t="n"/>
      <c r="S50" s="260" t="n"/>
      <c r="T50" s="287" t="n"/>
      <c r="U50" s="287" t="n"/>
      <c r="V50" s="287" t="n"/>
      <c r="W50" s="287" t="n"/>
      <c r="X50" s="287" t="n"/>
      <c r="Y50" s="287" t="n"/>
      <c r="Z50" s="287" t="n"/>
      <c r="AA50" s="287" t="n"/>
      <c r="AB50" s="287" t="n"/>
      <c r="AC50" s="287" t="n"/>
      <c r="AD50" s="287" t="n"/>
      <c r="AE50" s="287" t="n"/>
      <c r="AF50" s="287" t="n"/>
      <c r="AG50" s="288" t="n"/>
      <c r="AH50" s="289" t="n"/>
      <c r="AI50" s="287" t="n"/>
      <c r="AJ50" s="287" t="n"/>
      <c r="AK50" s="287" t="n"/>
      <c r="AL50" s="287" t="n"/>
    </row>
    <row r="51" ht="15" customFormat="1" customHeight="1" s="143">
      <c r="A51" s="164" t="n"/>
      <c r="B51" s="247" t="n"/>
      <c r="C51" s="247" t="n"/>
      <c r="D51" s="247" t="n"/>
      <c r="E51" s="686" t="n"/>
      <c r="F51" s="10" t="n"/>
      <c r="G51" s="264" t="n"/>
      <c r="H51" s="286" t="n"/>
      <c r="I51" s="286" t="n"/>
      <c r="J51" s="13" t="n"/>
      <c r="K51" s="247" t="n"/>
      <c r="L51" s="247" t="n"/>
      <c r="M51" s="247" t="n"/>
      <c r="N51" s="260" t="n"/>
      <c r="O51" s="260" t="n"/>
      <c r="P51" s="247" t="n"/>
      <c r="Q51" s="261" t="n"/>
      <c r="R51" s="219" t="n"/>
      <c r="S51" s="260" t="n"/>
      <c r="T51" s="289" t="n"/>
      <c r="U51" s="287" t="n"/>
      <c r="V51" s="287" t="n"/>
      <c r="W51" s="287" t="n"/>
      <c r="X51" s="287" t="n"/>
      <c r="Y51" s="287" t="n"/>
      <c r="Z51" s="287" t="n"/>
      <c r="AA51" s="287" t="n"/>
      <c r="AB51" s="287" t="n"/>
      <c r="AC51" s="287" t="n"/>
      <c r="AD51" s="287" t="n"/>
      <c r="AE51" s="287" t="n"/>
      <c r="AF51" s="287" t="n"/>
      <c r="AG51" s="287" t="n"/>
      <c r="AH51" s="287" t="n"/>
      <c r="AI51" s="287" t="n"/>
      <c r="AJ51" s="287" t="n"/>
      <c r="AK51" s="288" t="n"/>
      <c r="AL51" s="289" t="n"/>
    </row>
    <row r="52" ht="15" customFormat="1" customHeight="1" s="143">
      <c r="A52" s="29" t="n"/>
      <c r="B52" s="291" t="inlineStr">
        <is>
          <t>波动说明</t>
        </is>
      </c>
      <c r="C52" s="29" t="n"/>
      <c r="D52" s="29" t="n"/>
      <c r="E52" s="29" t="n"/>
      <c r="F52" s="29" t="n"/>
      <c r="G52" s="686" t="n"/>
      <c r="H52" s="29" t="n"/>
      <c r="I52" s="26" t="n"/>
      <c r="J52" s="29" t="n"/>
      <c r="K52" s="29" t="n"/>
      <c r="L52" s="29" t="n"/>
      <c r="M52" s="29" t="n"/>
      <c r="N52" s="260" t="n"/>
      <c r="O52" s="260" t="n"/>
      <c r="P52" s="247" t="n"/>
      <c r="Q52" s="261" t="n"/>
      <c r="R52" s="219" t="n"/>
      <c r="S52" s="260" t="n"/>
      <c r="T52" s="29" t="n"/>
      <c r="U52" s="29" t="n"/>
      <c r="V52" s="29" t="n"/>
      <c r="W52" s="29" t="n"/>
      <c r="X52" s="29" t="n"/>
      <c r="Y52" s="29" t="n"/>
      <c r="Z52" s="29" t="n"/>
      <c r="AA52" s="29" t="n"/>
      <c r="AB52" s="29" t="n"/>
      <c r="AC52" s="29" t="n"/>
      <c r="AD52" s="29" t="n"/>
      <c r="AE52" s="29" t="n"/>
      <c r="AF52" s="29" t="n"/>
      <c r="AG52" s="29" t="n"/>
      <c r="AH52" s="29" t="n"/>
      <c r="AI52" s="29" t="n"/>
      <c r="AJ52" s="29" t="n"/>
      <c r="AK52" s="29" t="n"/>
      <c r="AL52" s="29" t="n"/>
    </row>
    <row r="53" ht="15" customFormat="1" customHeight="1" s="143">
      <c r="A53" s="29" t="n"/>
      <c r="B53" s="687" t="inlineStr">
        <is>
          <t>[A]</t>
        </is>
      </c>
      <c r="C53" s="688" t="n"/>
      <c r="D53" s="688" t="n"/>
      <c r="E53" s="688" t="n"/>
      <c r="F53" s="689" t="n"/>
      <c r="G53" s="686" t="n"/>
      <c r="H53" s="29" t="n"/>
      <c r="I53" s="26" t="n"/>
      <c r="J53" s="29" t="n"/>
      <c r="K53" s="29" t="n"/>
      <c r="L53" s="29" t="n"/>
      <c r="M53" s="29" t="n"/>
      <c r="N53" s="260" t="n"/>
      <c r="O53" s="260" t="n"/>
      <c r="P53" s="247" t="n"/>
      <c r="Q53" s="261" t="n"/>
      <c r="R53" s="219" t="n"/>
      <c r="S53" s="260" t="n"/>
      <c r="T53" s="29" t="n"/>
      <c r="U53" s="29" t="n"/>
      <c r="V53" s="29" t="n"/>
      <c r="W53" s="29" t="n"/>
      <c r="X53" s="29" t="n"/>
      <c r="Y53" s="29" t="n"/>
      <c r="Z53" s="29" t="n"/>
      <c r="AA53" s="29" t="n"/>
      <c r="AB53" s="29" t="n"/>
      <c r="AC53" s="29" t="n"/>
      <c r="AD53" s="29" t="n"/>
      <c r="AE53" s="29" t="n"/>
      <c r="AF53" s="29" t="n"/>
      <c r="AG53" s="29" t="n"/>
      <c r="AH53" s="29" t="n"/>
      <c r="AI53" s="29" t="n"/>
      <c r="AJ53" s="29" t="n"/>
      <c r="AK53" s="29" t="n"/>
      <c r="AL53" s="29" t="n"/>
    </row>
    <row r="54" ht="15" customFormat="1" customHeight="1" s="143">
      <c r="A54" s="29" t="n"/>
      <c r="B54" s="641" t="n"/>
      <c r="F54" s="690" t="n"/>
      <c r="G54" s="686" t="n"/>
      <c r="H54" s="29" t="n"/>
      <c r="I54" s="26" t="n"/>
      <c r="J54" s="29" t="n"/>
      <c r="K54" s="29" t="n"/>
      <c r="L54" s="29" t="n"/>
      <c r="M54" s="29" t="n"/>
      <c r="N54" s="260" t="n"/>
      <c r="O54" s="260" t="n"/>
      <c r="P54" s="247" t="n"/>
      <c r="Q54" s="261" t="n"/>
      <c r="R54" s="219" t="n"/>
      <c r="S54" s="260" t="n"/>
      <c r="T54" s="29" t="n"/>
      <c r="U54" s="29" t="n"/>
      <c r="V54" s="29" t="n"/>
      <c r="W54" s="29" t="n"/>
      <c r="X54" s="29" t="n"/>
      <c r="Y54" s="29" t="n"/>
      <c r="Z54" s="29" t="n"/>
      <c r="AA54" s="29" t="n"/>
      <c r="AB54" s="29" t="n"/>
      <c r="AC54" s="29" t="n"/>
      <c r="AD54" s="29" t="n"/>
      <c r="AE54" s="29" t="n"/>
      <c r="AF54" s="29" t="n"/>
      <c r="AG54" s="29" t="n"/>
      <c r="AH54" s="29" t="n"/>
      <c r="AI54" s="29" t="n"/>
      <c r="AJ54" s="29" t="n"/>
      <c r="AK54" s="29" t="n"/>
      <c r="AL54" s="29" t="n"/>
    </row>
    <row r="55" ht="15" customFormat="1" customHeight="1" s="143">
      <c r="A55" s="29" t="n"/>
      <c r="B55" s="641" t="n"/>
      <c r="F55" s="690" t="n"/>
      <c r="G55" s="686" t="n"/>
      <c r="H55" s="29" t="n"/>
      <c r="I55" s="26" t="n"/>
      <c r="J55" s="29" t="n"/>
      <c r="K55" s="29" t="n"/>
      <c r="L55" s="29" t="n"/>
      <c r="M55" s="29" t="n"/>
      <c r="N55" s="260" t="n"/>
      <c r="O55" s="260" t="n"/>
      <c r="P55" s="247" t="n"/>
      <c r="Q55" s="261" t="n"/>
      <c r="R55" s="219" t="n"/>
      <c r="S55" s="260" t="n"/>
      <c r="T55" s="29" t="n"/>
      <c r="U55" s="29" t="n"/>
      <c r="V55" s="29" t="n"/>
      <c r="W55" s="29" t="n"/>
      <c r="X55" s="29" t="n"/>
      <c r="Y55" s="29" t="n"/>
      <c r="Z55" s="29" t="n"/>
      <c r="AA55" s="29" t="n"/>
      <c r="AB55" s="29" t="n"/>
      <c r="AC55" s="29" t="n"/>
      <c r="AD55" s="29" t="n"/>
      <c r="AE55" s="29" t="n"/>
      <c r="AF55" s="29" t="n"/>
      <c r="AG55" s="29" t="n"/>
      <c r="AH55" s="29" t="n"/>
      <c r="AI55" s="29" t="n"/>
      <c r="AJ55" s="29" t="n"/>
      <c r="AK55" s="29" t="n"/>
      <c r="AL55" s="29" t="n"/>
    </row>
    <row r="56" ht="15" customFormat="1" customHeight="1" s="143">
      <c r="A56" s="29" t="n"/>
      <c r="B56" s="644" t="n"/>
      <c r="C56" s="645" t="n"/>
      <c r="D56" s="645" t="n"/>
      <c r="E56" s="645" t="n"/>
      <c r="F56" s="691" t="n"/>
      <c r="G56" s="686" t="n"/>
      <c r="H56" s="29" t="n"/>
      <c r="I56" s="26" t="n"/>
      <c r="J56" s="29" t="n"/>
      <c r="K56" s="29" t="n"/>
      <c r="L56" s="29" t="n"/>
      <c r="M56" s="29" t="n"/>
      <c r="N56" s="29" t="n"/>
      <c r="O56" s="29" t="n"/>
      <c r="P56" s="247" t="n"/>
      <c r="Q56" s="261" t="n"/>
      <c r="R56" s="219" t="n"/>
      <c r="S56" s="260" t="n"/>
      <c r="T56" s="29" t="n"/>
      <c r="U56" s="29" t="n"/>
      <c r="V56" s="29" t="n"/>
      <c r="W56" s="29" t="n"/>
      <c r="X56" s="29" t="n"/>
      <c r="Y56" s="29" t="n"/>
      <c r="Z56" s="29" t="n"/>
      <c r="AA56" s="29" t="n"/>
      <c r="AB56" s="29" t="n"/>
      <c r="AC56" s="29" t="n"/>
      <c r="AD56" s="29" t="n"/>
      <c r="AE56" s="29" t="n"/>
      <c r="AF56" s="29" t="n"/>
      <c r="AG56" s="29" t="n"/>
      <c r="AH56" s="29" t="n"/>
      <c r="AI56" s="29" t="n"/>
      <c r="AJ56" s="29" t="n"/>
      <c r="AK56" s="29" t="n"/>
      <c r="AL56" s="29" t="n"/>
    </row>
    <row r="57" customFormat="1" s="142">
      <c r="A57" s="29" t="n"/>
      <c r="B57" s="39" t="n"/>
      <c r="C57" s="39" t="n"/>
      <c r="D57" s="39" t="n"/>
      <c r="E57" s="39" t="n"/>
      <c r="F57" s="39" t="n"/>
      <c r="G57" s="686" t="n"/>
      <c r="H57" s="29" t="n"/>
      <c r="I57" s="26" t="n"/>
      <c r="J57" s="29" t="n"/>
      <c r="K57" s="29" t="n"/>
      <c r="L57" s="29" t="n"/>
      <c r="M57" s="29" t="n"/>
      <c r="N57" s="29" t="n"/>
      <c r="O57" s="29" t="n"/>
      <c r="P57" s="247" t="n"/>
      <c r="Q57" s="261" t="n"/>
      <c r="R57" s="219" t="n"/>
      <c r="S57" s="260" t="n"/>
      <c r="T57" s="29" t="n"/>
      <c r="U57" s="29" t="n"/>
      <c r="V57" s="29" t="n"/>
      <c r="W57" s="29" t="n"/>
      <c r="X57" s="29" t="n"/>
      <c r="Y57" s="29" t="n"/>
      <c r="Z57" s="29" t="n"/>
      <c r="AA57" s="29" t="n"/>
      <c r="AB57" s="29" t="n"/>
      <c r="AC57" s="29" t="n"/>
      <c r="AD57" s="29" t="n"/>
      <c r="AE57" s="29" t="n"/>
      <c r="AF57" s="29" t="n"/>
      <c r="AG57" s="29" t="n"/>
      <c r="AH57" s="29" t="n"/>
      <c r="AI57" s="29" t="n"/>
      <c r="AJ57" s="29" t="n"/>
      <c r="AK57" s="29" t="n"/>
      <c r="AL57" s="29" t="n"/>
    </row>
    <row r="58" customFormat="1" s="142">
      <c r="A58" s="164" t="n"/>
      <c r="B58" s="247" t="n"/>
      <c r="C58" s="247" t="n"/>
      <c r="D58" s="247" t="n"/>
      <c r="E58" s="686" t="n"/>
      <c r="F58" s="247" t="n"/>
      <c r="G58" s="686" t="n"/>
      <c r="H58" s="686" t="n"/>
      <c r="I58" s="686" t="n"/>
      <c r="J58" s="247" t="n"/>
      <c r="K58" s="247" t="n"/>
      <c r="L58" s="247" t="n"/>
      <c r="M58" s="247" t="n"/>
      <c r="N58" s="287" t="n"/>
      <c r="O58" s="288" t="n"/>
      <c r="P58" s="247" t="n"/>
      <c r="Q58" s="261" t="n"/>
      <c r="R58" s="219" t="n"/>
      <c r="S58" s="260" t="n"/>
      <c r="T58" s="289" t="n"/>
      <c r="U58" s="287" t="n"/>
      <c r="V58" s="287" t="n"/>
      <c r="W58" s="287" t="n"/>
      <c r="X58" s="287" t="n"/>
      <c r="Y58" s="287" t="n"/>
      <c r="Z58" s="287" t="n"/>
      <c r="AA58" s="287" t="n"/>
      <c r="AB58" s="287" t="n"/>
      <c r="AC58" s="287" t="n"/>
      <c r="AD58" s="287" t="n"/>
      <c r="AE58" s="287" t="n"/>
      <c r="AF58" s="287" t="n"/>
      <c r="AG58" s="287" t="n"/>
      <c r="AH58" s="287" t="n"/>
      <c r="AI58" s="287" t="n"/>
      <c r="AJ58" s="287" t="n"/>
      <c r="AK58" s="288" t="n"/>
      <c r="AL58" s="289" t="n"/>
    </row>
    <row r="59" ht="14.1" customFormat="1" customHeight="1" s="142">
      <c r="A59" s="292" t="n"/>
      <c r="B59" s="29" t="inlineStr">
        <is>
          <t>Note2：如果项目仅对部分总账科目执行程序，需评估未执行程序的总账科目加总金额是否大于TE，如大于TE，请项目组执行额外的测试程序。(如不适用请删除）</t>
        </is>
      </c>
      <c r="C59" s="247" t="n"/>
      <c r="D59" s="247" t="n"/>
      <c r="E59" s="686" t="n"/>
      <c r="F59" s="247" t="n"/>
      <c r="G59" s="686" t="n"/>
      <c r="H59" s="686" t="n"/>
      <c r="I59" s="686" t="n"/>
      <c r="J59" s="247" t="n"/>
      <c r="K59" s="247" t="n"/>
      <c r="L59" s="247" t="n"/>
      <c r="M59" s="247" t="n"/>
      <c r="N59" s="287" t="n"/>
      <c r="O59" s="288" t="n"/>
      <c r="P59" s="247" t="n"/>
      <c r="Q59" s="261" t="n"/>
      <c r="R59" s="219" t="n"/>
      <c r="S59" s="260" t="n"/>
      <c r="T59" s="289" t="n"/>
      <c r="U59" s="287" t="n"/>
      <c r="V59" s="287" t="n"/>
      <c r="W59" s="287" t="n"/>
      <c r="X59" s="287" t="n"/>
      <c r="Y59" s="287" t="n"/>
      <c r="Z59" s="287" t="n"/>
      <c r="AA59" s="287" t="n"/>
      <c r="AB59" s="287" t="n"/>
      <c r="AC59" s="287" t="n"/>
      <c r="AD59" s="287" t="n"/>
      <c r="AE59" s="287" t="n"/>
      <c r="AF59" s="287" t="n"/>
      <c r="AG59" s="287" t="n"/>
      <c r="AH59" s="287" t="n"/>
      <c r="AI59" s="287" t="n"/>
      <c r="AJ59" s="287" t="n"/>
      <c r="AK59" s="288" t="n"/>
      <c r="AL59" s="289" t="n"/>
    </row>
    <row r="60" ht="14.1" customFormat="1" customHeight="1" s="142">
      <c r="A60" s="164" t="n"/>
      <c r="B60" s="692" t="n"/>
      <c r="C60" s="693" t="n"/>
      <c r="D60" s="693" t="n"/>
      <c r="E60" s="693" t="n"/>
      <c r="F60" s="694" t="n"/>
      <c r="G60" s="686" t="n"/>
      <c r="H60" s="686" t="n"/>
      <c r="I60" s="686" t="n"/>
      <c r="J60" s="247" t="n"/>
      <c r="K60" s="247" t="n"/>
      <c r="L60" s="247" t="n"/>
      <c r="M60" s="247" t="n"/>
      <c r="N60" s="287" t="n"/>
      <c r="O60" s="288" t="n"/>
      <c r="P60" s="247" t="n"/>
      <c r="Q60" s="261" t="n"/>
      <c r="R60" s="219" t="n"/>
      <c r="S60" s="260" t="n"/>
      <c r="T60" s="289" t="n"/>
      <c r="U60" s="287" t="n"/>
      <c r="V60" s="287" t="n"/>
      <c r="W60" s="287" t="n"/>
      <c r="X60" s="287" t="n"/>
      <c r="Y60" s="287" t="n"/>
      <c r="Z60" s="287" t="n"/>
      <c r="AA60" s="287" t="n"/>
      <c r="AB60" s="287" t="n"/>
      <c r="AC60" s="287" t="n"/>
      <c r="AD60" s="287" t="n"/>
      <c r="AE60" s="287" t="n"/>
      <c r="AF60" s="287" t="n"/>
      <c r="AG60" s="287" t="n"/>
      <c r="AH60" s="287" t="n"/>
      <c r="AI60" s="287" t="n"/>
      <c r="AJ60" s="287" t="n"/>
      <c r="AK60" s="288" t="n"/>
      <c r="AL60" s="289" t="n"/>
    </row>
    <row r="61" ht="14.1" customFormat="1" customHeight="1" s="142">
      <c r="A61" s="164" t="n"/>
      <c r="B61" s="695" t="n"/>
      <c r="F61" s="639" t="n"/>
      <c r="G61" s="686" t="n"/>
      <c r="H61" s="686" t="n"/>
      <c r="I61" s="686" t="n"/>
      <c r="J61" s="247" t="n"/>
      <c r="K61" s="247" t="n"/>
      <c r="L61" s="247" t="n"/>
      <c r="M61" s="247" t="n"/>
      <c r="N61" s="287" t="n"/>
      <c r="O61" s="288" t="n"/>
      <c r="P61" s="247" t="n"/>
      <c r="Q61" s="261" t="n"/>
      <c r="R61" s="219" t="n"/>
      <c r="S61" s="260" t="n"/>
      <c r="T61" s="289" t="n"/>
      <c r="U61" s="287" t="n"/>
      <c r="V61" s="287" t="n"/>
      <c r="W61" s="287" t="n"/>
      <c r="X61" s="287" t="n"/>
      <c r="Y61" s="287" t="n"/>
      <c r="Z61" s="287" t="n"/>
      <c r="AA61" s="287" t="n"/>
      <c r="AB61" s="287" t="n"/>
      <c r="AC61" s="287" t="n"/>
      <c r="AD61" s="287" t="n"/>
      <c r="AE61" s="287" t="n"/>
      <c r="AF61" s="287" t="n"/>
      <c r="AG61" s="287" t="n"/>
      <c r="AH61" s="287" t="n"/>
      <c r="AI61" s="287" t="n"/>
      <c r="AJ61" s="287" t="n"/>
      <c r="AK61" s="288" t="n"/>
      <c r="AL61" s="289" t="n"/>
    </row>
    <row r="62" ht="14.1" customFormat="1" customHeight="1" s="142">
      <c r="A62" s="164" t="n"/>
      <c r="B62" s="695" t="n"/>
      <c r="F62" s="639" t="n"/>
      <c r="G62" s="686" t="n"/>
      <c r="H62" s="686" t="n"/>
      <c r="I62" s="686" t="n"/>
      <c r="J62" s="247" t="n"/>
      <c r="K62" s="247" t="n"/>
      <c r="L62" s="247" t="n"/>
      <c r="M62" s="247" t="n"/>
      <c r="N62" s="287" t="n"/>
      <c r="O62" s="288" t="n"/>
      <c r="P62" s="247" t="n"/>
      <c r="Q62" s="261" t="n"/>
      <c r="R62" s="219" t="n"/>
      <c r="S62" s="260" t="n"/>
      <c r="T62" s="289" t="n"/>
      <c r="U62" s="287" t="n"/>
      <c r="V62" s="287" t="n"/>
      <c r="W62" s="287" t="n"/>
      <c r="X62" s="287" t="n"/>
      <c r="Y62" s="287" t="n"/>
      <c r="Z62" s="287" t="n"/>
      <c r="AA62" s="287" t="n"/>
      <c r="AB62" s="287" t="n"/>
      <c r="AC62" s="287" t="n"/>
      <c r="AD62" s="287" t="n"/>
      <c r="AE62" s="287" t="n"/>
      <c r="AF62" s="287" t="n"/>
      <c r="AG62" s="287" t="n"/>
      <c r="AH62" s="287" t="n"/>
      <c r="AI62" s="287" t="n"/>
      <c r="AJ62" s="287" t="n"/>
      <c r="AK62" s="288" t="n"/>
      <c r="AL62" s="289" t="n"/>
    </row>
    <row r="63" customFormat="1" s="142">
      <c r="A63" s="164" t="n"/>
      <c r="B63" s="696" t="n"/>
      <c r="C63" s="697" t="n"/>
      <c r="D63" s="697" t="n"/>
      <c r="E63" s="697" t="n"/>
      <c r="F63" s="698" t="n"/>
      <c r="G63" s="686" t="n"/>
      <c r="H63" s="686" t="n"/>
      <c r="I63" s="686" t="n"/>
      <c r="J63" s="247" t="n"/>
      <c r="K63" s="247" t="n"/>
      <c r="L63" s="287" t="n"/>
      <c r="M63" s="247" t="n"/>
      <c r="N63" s="287" t="n"/>
      <c r="O63" s="288" t="n"/>
      <c r="P63" s="247" t="n"/>
      <c r="Q63" s="261" t="n"/>
      <c r="R63" s="219" t="n"/>
      <c r="S63" s="260" t="n"/>
      <c r="T63" s="289" t="n"/>
      <c r="U63" s="287" t="n"/>
      <c r="V63" s="287" t="n"/>
      <c r="W63" s="287" t="n"/>
      <c r="X63" s="287" t="n"/>
      <c r="Y63" s="287" t="n"/>
      <c r="Z63" s="287" t="n"/>
      <c r="AA63" s="287" t="n"/>
      <c r="AB63" s="287" t="n"/>
      <c r="AC63" s="287" t="n"/>
      <c r="AD63" s="287" t="n"/>
      <c r="AE63" s="287" t="n"/>
      <c r="AF63" s="287" t="n"/>
      <c r="AG63" s="287" t="n"/>
      <c r="AH63" s="287" t="n"/>
      <c r="AI63" s="287" t="n"/>
      <c r="AJ63" s="287" t="n"/>
      <c r="AK63" s="288" t="n"/>
      <c r="AL63" s="289" t="n"/>
    </row>
    <row r="64" ht="12.75" customHeight="1" s="634">
      <c r="A64" s="164" t="n"/>
      <c r="B64" s="293" t="n"/>
      <c r="C64" s="699" t="n"/>
      <c r="D64" s="699" t="n"/>
      <c r="E64" s="699" t="n"/>
      <c r="F64" s="699" t="n"/>
      <c r="G64" s="686" t="n"/>
      <c r="H64" s="686" t="n"/>
      <c r="I64" s="686" t="n"/>
      <c r="J64" s="247" t="n"/>
      <c r="K64" s="247" t="n"/>
      <c r="L64" s="247" t="n"/>
      <c r="M64" s="247" t="n"/>
      <c r="N64" s="287" t="n"/>
      <c r="O64" s="288" t="n"/>
      <c r="P64" s="247" t="n"/>
      <c r="Q64" s="261" t="n"/>
      <c r="R64" s="219" t="n"/>
      <c r="S64" s="260" t="n"/>
      <c r="T64" s="289" t="n"/>
      <c r="U64" s="287" t="n"/>
      <c r="V64" s="287" t="n"/>
      <c r="W64" s="287" t="n"/>
      <c r="X64" s="287" t="n"/>
      <c r="Y64" s="287" t="n"/>
      <c r="Z64" s="287" t="n"/>
      <c r="AA64" s="287" t="n"/>
      <c r="AB64" s="287" t="n"/>
      <c r="AC64" s="287" t="n"/>
      <c r="AD64" s="287" t="n"/>
      <c r="AE64" s="287" t="n"/>
      <c r="AF64" s="287" t="n"/>
      <c r="AG64" s="287" t="n"/>
      <c r="AH64" s="287" t="n"/>
      <c r="AI64" s="287" t="n"/>
      <c r="AJ64" s="287" t="n"/>
      <c r="AK64" s="288" t="n"/>
      <c r="AL64" s="289" t="n"/>
    </row>
    <row r="65" ht="22.5" customHeight="1" s="634">
      <c r="A65" s="295" t="n"/>
      <c r="B65" s="164" t="n"/>
      <c r="C65" s="293" t="n"/>
      <c r="D65" s="699" t="n"/>
      <c r="E65" s="699" t="n"/>
      <c r="F65" s="699" t="n"/>
      <c r="G65" s="686" t="n"/>
      <c r="H65" s="686" t="n"/>
      <c r="I65" s="686" t="n"/>
      <c r="J65" s="247" t="n"/>
      <c r="K65" s="247" t="n"/>
      <c r="L65" s="247" t="n"/>
      <c r="M65" s="247" t="n"/>
      <c r="N65" s="287" t="n"/>
      <c r="O65" s="288" t="n"/>
      <c r="P65" s="247" t="n"/>
      <c r="Q65" s="261" t="n"/>
      <c r="R65" s="219" t="n"/>
      <c r="S65" s="260" t="n"/>
      <c r="T65" s="2" t="n"/>
      <c r="U65" s="296" t="n"/>
      <c r="V65" s="164" t="n"/>
      <c r="W65" s="164" t="n"/>
      <c r="X65" s="164" t="n"/>
      <c r="Y65" s="164" t="n"/>
      <c r="Z65" s="164" t="n"/>
      <c r="AA65" s="164" t="n"/>
      <c r="AB65" s="164" t="n"/>
      <c r="AC65" s="164" t="n"/>
      <c r="AD65" s="164" t="n"/>
      <c r="AE65" s="164" t="n"/>
      <c r="AF65" s="164" t="n"/>
      <c r="AG65" s="164" t="n"/>
      <c r="AH65" s="164" t="n"/>
      <c r="AI65" s="164" t="n"/>
      <c r="AJ65" s="164" t="n"/>
      <c r="AK65" s="164" t="n"/>
      <c r="AL65" s="164" t="n"/>
    </row>
    <row r="66" ht="12.75" customHeight="1" s="634">
      <c r="B66" s="297" t="inlineStr">
        <is>
          <t>表2 应付账款周转率分析</t>
        </is>
      </c>
      <c r="C66" s="298" t="n"/>
      <c r="D66" s="298" t="n"/>
      <c r="E66" s="298" t="n"/>
      <c r="F66" s="699" t="n"/>
      <c r="G66" s="686" t="n"/>
      <c r="H66" s="686" t="n"/>
      <c r="I66" s="686" t="n"/>
      <c r="J66" s="247" t="n"/>
      <c r="K66" s="247" t="n"/>
      <c r="L66" s="247" t="n"/>
      <c r="M66" s="247" t="n"/>
      <c r="N66" s="287" t="n"/>
      <c r="O66" s="288" t="n"/>
      <c r="P66" s="247" t="n"/>
      <c r="Q66" s="261" t="n"/>
      <c r="R66" s="219" t="n"/>
      <c r="S66" s="260" t="n"/>
      <c r="T66" s="296" t="n"/>
      <c r="U66" s="164" t="n"/>
    </row>
    <row r="67" ht="12.75" customHeight="1" s="634">
      <c r="B67" s="299" t="n"/>
      <c r="C67" s="300" t="n"/>
      <c r="D67" s="301">
        <f>C3</f>
        <v/>
      </c>
      <c r="E67" s="301">
        <f>K37</f>
        <v/>
      </c>
      <c r="F67" s="302" t="inlineStr">
        <is>
          <t>变动%</t>
        </is>
      </c>
      <c r="G67" s="699" t="n"/>
      <c r="H67" s="686" t="n"/>
      <c r="I67" s="686" t="n"/>
      <c r="J67" s="247" t="n"/>
      <c r="K67" s="247" t="n"/>
      <c r="L67" s="247" t="n"/>
      <c r="M67" s="247" t="n"/>
      <c r="N67" s="247" t="n"/>
      <c r="O67" s="247" t="n"/>
      <c r="P67" s="247" t="n"/>
      <c r="Q67" s="261" t="n"/>
      <c r="R67" s="219" t="n"/>
      <c r="S67" s="260" t="n"/>
      <c r="T67" s="2" t="n"/>
      <c r="U67" s="296" t="n"/>
    </row>
    <row r="68" ht="12.75" customHeight="1" s="634">
      <c r="B68" s="303" t="n"/>
      <c r="C68" s="304" t="n"/>
      <c r="D68" s="700" t="n"/>
      <c r="E68" s="701" t="inlineStr">
        <is>
          <t>PY</t>
        </is>
      </c>
      <c r="F68" s="305" t="n"/>
      <c r="G68" s="699" t="n"/>
      <c r="H68" s="686" t="n"/>
      <c r="I68" s="686" t="n"/>
      <c r="J68" s="247" t="n"/>
      <c r="K68" s="247" t="n"/>
      <c r="L68" s="247" t="n"/>
      <c r="M68" s="247" t="n"/>
      <c r="N68" s="247" t="n"/>
      <c r="O68" s="247" t="n"/>
      <c r="P68" s="247" t="n"/>
      <c r="Q68" s="261" t="n"/>
      <c r="R68" s="219" t="n"/>
      <c r="S68" s="260" t="n"/>
      <c r="T68" s="2" t="n"/>
      <c r="U68" s="296" t="n"/>
    </row>
    <row r="69" ht="12.75" customHeight="1" s="634">
      <c r="B69" s="702" t="inlineStr">
        <is>
          <t>应付账款平均余额 a</t>
        </is>
      </c>
      <c r="C69" s="703" t="n"/>
      <c r="D69" s="704">
        <f>(J46+K46)/2</f>
        <v/>
      </c>
      <c r="E69" s="669" t="n"/>
      <c r="F69" s="312">
        <f>IFERROR((D69-E69)/E69,"")</f>
        <v/>
      </c>
      <c r="G69" s="699" t="n"/>
      <c r="H69" s="686" t="n"/>
      <c r="I69" s="686" t="n"/>
      <c r="J69" s="247" t="n"/>
      <c r="K69" s="247" t="n"/>
      <c r="L69" s="247" t="n"/>
      <c r="M69" s="247" t="n"/>
      <c r="N69" s="247" t="n"/>
      <c r="O69" s="247" t="n"/>
      <c r="P69" s="247" t="n"/>
      <c r="Q69" s="261" t="n"/>
      <c r="R69" s="219" t="n"/>
      <c r="S69" s="260" t="n"/>
      <c r="T69" s="2" t="n"/>
      <c r="U69" s="296" t="n"/>
    </row>
    <row r="70" ht="12.75" customHeight="1" s="634">
      <c r="B70" s="702" t="inlineStr">
        <is>
          <t>销售成本 b</t>
        </is>
      </c>
      <c r="C70" s="705" t="inlineStr">
        <is>
          <t>/UGP_Lead</t>
        </is>
      </c>
      <c r="D70" s="706" t="n"/>
      <c r="E70" s="706" t="n"/>
      <c r="F70" s="312">
        <f>IFERROR((D70-E70)/E70,"")</f>
        <v/>
      </c>
      <c r="G70" s="699" t="n"/>
      <c r="H70" s="686" t="n"/>
      <c r="I70" s="686" t="n"/>
      <c r="J70" s="247" t="n"/>
      <c r="K70" s="247" t="n"/>
      <c r="L70" s="247" t="n"/>
      <c r="M70" s="247" t="n"/>
      <c r="N70" s="247" t="n"/>
      <c r="O70" s="247" t="n"/>
      <c r="P70" s="247" t="n"/>
      <c r="Q70" s="261" t="n"/>
      <c r="R70" s="219" t="n"/>
      <c r="S70" s="260" t="n"/>
      <c r="T70" s="2" t="n"/>
      <c r="U70" s="296" t="n"/>
    </row>
    <row r="71" ht="12.75" customHeight="1" s="634">
      <c r="B71" s="702" t="n"/>
      <c r="C71" s="703" t="n"/>
      <c r="D71" s="707" t="n"/>
      <c r="E71" s="707" t="n"/>
      <c r="F71" s="310" t="n"/>
      <c r="G71" s="699" t="n"/>
      <c r="H71" s="686" t="n"/>
      <c r="I71" s="686" t="n"/>
      <c r="J71" s="247" t="n"/>
      <c r="K71" s="247" t="n"/>
      <c r="L71" s="247" t="n"/>
      <c r="M71" s="247" t="n"/>
      <c r="N71" s="247" t="n"/>
      <c r="O71" s="247" t="n"/>
      <c r="P71" s="247" t="n"/>
      <c r="Q71" s="261" t="n"/>
      <c r="R71" s="219" t="n"/>
      <c r="S71" s="260" t="n"/>
      <c r="T71" s="2" t="n"/>
      <c r="U71" s="296" t="n"/>
    </row>
    <row r="72" ht="12.75" customHeight="1" s="634">
      <c r="B72" s="702" t="inlineStr">
        <is>
          <t>周转天数 c=a/b*365</t>
        </is>
      </c>
      <c r="C72" s="703" t="n"/>
      <c r="D72" s="708">
        <f>IFERROR(ABS(D69)/ABS(D70)*365,0)</f>
        <v/>
      </c>
      <c r="E72" s="708">
        <f>IFERROR(ABS(E69)/ABS(E70)*365,0)</f>
        <v/>
      </c>
      <c r="F72" s="310">
        <f>IFERROR((D72-E72)/E72,"")</f>
        <v/>
      </c>
      <c r="G72" s="699" t="n"/>
      <c r="H72" s="686" t="n"/>
      <c r="I72" s="686" t="n"/>
      <c r="J72" s="247" t="n"/>
      <c r="K72" s="247" t="n"/>
      <c r="L72" s="247" t="n"/>
      <c r="M72" s="247" t="n"/>
      <c r="N72" s="247" t="n"/>
      <c r="O72" s="247" t="n"/>
      <c r="P72" s="247" t="n"/>
      <c r="Q72" s="261" t="n"/>
      <c r="R72" s="219" t="n"/>
      <c r="S72" s="260" t="n"/>
      <c r="T72" s="2" t="n"/>
      <c r="U72" s="296" t="n"/>
    </row>
    <row r="73" ht="12.75" customHeight="1" s="634">
      <c r="B73" s="702" t="inlineStr">
        <is>
          <t>周转率 d=b/a</t>
        </is>
      </c>
      <c r="C73" s="703" t="n"/>
      <c r="D73" s="709">
        <f>IFERROR(ABS(D70)/ABS(D69),0)</f>
        <v/>
      </c>
      <c r="E73" s="709">
        <f>IFERROR(ABS(E70)/ABS(E69),0)</f>
        <v/>
      </c>
      <c r="F73" s="312">
        <f>IFERROR((D73-E73)/E73,"")</f>
        <v/>
      </c>
      <c r="G73" s="699" t="n"/>
      <c r="H73" s="686" t="n"/>
      <c r="I73" s="686" t="n"/>
      <c r="J73" s="247" t="n"/>
      <c r="K73" s="247" t="n"/>
      <c r="L73" s="247" t="n"/>
      <c r="M73" s="247" t="n"/>
      <c r="N73" s="247" t="n"/>
      <c r="O73" s="247" t="n"/>
      <c r="P73" s="247" t="n"/>
      <c r="Q73" s="261" t="n"/>
      <c r="R73" s="219" t="n"/>
      <c r="S73" s="260" t="n"/>
      <c r="T73" s="2" t="n"/>
      <c r="U73" s="296" t="n"/>
    </row>
    <row r="74" ht="12.75" customHeight="1" s="634">
      <c r="B74" s="313" t="n"/>
      <c r="C74" s="3" t="n"/>
      <c r="D74" s="710" t="n"/>
      <c r="E74" s="710" t="n"/>
      <c r="F74" s="711" t="n"/>
      <c r="G74" s="699" t="n"/>
      <c r="H74" s="686" t="n"/>
      <c r="I74" s="686" t="n"/>
      <c r="J74" s="247" t="n"/>
      <c r="K74" s="247" t="n"/>
      <c r="L74" s="247" t="n"/>
      <c r="M74" s="247" t="n"/>
      <c r="N74" s="247" t="n"/>
      <c r="O74" s="247" t="n"/>
      <c r="P74" s="247" t="n"/>
      <c r="Q74" s="261" t="n"/>
      <c r="R74" s="219" t="n"/>
      <c r="S74" s="260" t="n"/>
      <c r="T74" s="2" t="n"/>
      <c r="U74" s="296" t="n"/>
    </row>
    <row r="75" ht="47.85" customHeight="1" s="634">
      <c r="B75" s="316" t="inlineStr">
        <is>
          <t>分析:</t>
        </is>
      </c>
      <c r="C75" s="317" t="n"/>
      <c r="D75" s="4" t="n"/>
      <c r="E75" s="4" t="n"/>
      <c r="F75" s="318" t="n"/>
      <c r="G75" s="699" t="n"/>
      <c r="H75" s="686" t="n"/>
      <c r="I75" s="686" t="n"/>
      <c r="J75" s="247" t="n"/>
      <c r="K75" s="247" t="n"/>
      <c r="L75" s="247" t="n"/>
      <c r="M75" s="247" t="n"/>
      <c r="N75" s="247" t="n"/>
      <c r="O75" s="247" t="n"/>
      <c r="P75" s="247" t="n"/>
      <c r="Q75" s="261" t="n"/>
      <c r="R75" s="219" t="n"/>
      <c r="S75" s="260" t="n"/>
      <c r="T75" s="2" t="n"/>
      <c r="U75" s="296" t="n"/>
    </row>
    <row r="76" ht="12.75" customHeight="1" s="634">
      <c r="B76" s="712" t="inlineStr">
        <is>
          <t>在此输入分析。</t>
        </is>
      </c>
      <c r="C76" s="697" t="n"/>
      <c r="D76" s="697" t="n"/>
      <c r="E76" s="697" t="n"/>
      <c r="F76" s="698" t="n"/>
      <c r="G76" s="699" t="n"/>
      <c r="H76" s="686" t="n"/>
      <c r="I76" s="686" t="n"/>
      <c r="J76" s="247" t="n"/>
      <c r="K76" s="247" t="n"/>
      <c r="L76" s="247" t="n"/>
      <c r="M76" s="247" t="n"/>
      <c r="N76" s="247" t="n"/>
      <c r="O76" s="247" t="n"/>
      <c r="P76" s="247" t="n"/>
      <c r="Q76" s="261" t="n"/>
      <c r="R76" s="219" t="n"/>
      <c r="S76" s="260" t="n"/>
      <c r="T76" s="2" t="n"/>
      <c r="U76" s="296" t="n"/>
    </row>
    <row r="77" ht="15" customFormat="1" customHeight="1" s="143">
      <c r="B77" s="293" t="n"/>
      <c r="C77" s="699" t="n"/>
      <c r="D77" s="699" t="n"/>
      <c r="E77" s="699" t="n"/>
      <c r="F77" s="699" t="n"/>
      <c r="G77" s="686" t="n"/>
      <c r="H77" s="686" t="n"/>
      <c r="I77" s="247" t="n"/>
      <c r="J77" s="247" t="n"/>
      <c r="K77" s="247" t="n"/>
      <c r="L77" s="247" t="n"/>
      <c r="M77" s="247" t="n"/>
      <c r="N77" s="247" t="n"/>
      <c r="O77" s="247" t="n"/>
      <c r="P77" s="247" t="n"/>
      <c r="Q77" s="261" t="n"/>
      <c r="R77" s="219" t="n"/>
      <c r="S77" s="260" t="n"/>
      <c r="T77" s="296" t="n"/>
      <c r="U77" s="164" t="n"/>
    </row>
    <row r="78" ht="12.75" customHeight="1" s="634">
      <c r="B78" s="39" t="n"/>
      <c r="C78" s="39" t="n"/>
      <c r="D78" s="39" t="n"/>
      <c r="E78" s="39" t="n"/>
      <c r="F78" s="39" t="n"/>
      <c r="G78" s="686" t="n"/>
      <c r="H78" s="29" t="n"/>
      <c r="I78" s="26" t="n"/>
      <c r="J78" s="29" t="n"/>
      <c r="K78" s="29" t="n"/>
      <c r="L78" s="29" t="n"/>
      <c r="M78" s="29" t="n"/>
      <c r="N78" s="29" t="n"/>
      <c r="O78" s="29" t="n"/>
      <c r="P78" s="247" t="n"/>
      <c r="Q78" s="261" t="n"/>
      <c r="R78" s="219" t="n"/>
      <c r="S78" s="260" t="n"/>
      <c r="T78" s="29" t="n"/>
      <c r="U78" s="29" t="n"/>
    </row>
    <row r="79" ht="12.75" customHeight="1" s="634">
      <c r="B79" s="319" t="inlineStr">
        <is>
          <t>调整汇总表（如不适用请删除）</t>
        </is>
      </c>
      <c r="C79" s="320" t="n"/>
      <c r="D79" s="320" t="n"/>
      <c r="E79" s="321" t="n"/>
      <c r="F79" s="322" t="n"/>
      <c r="G79" s="699" t="n"/>
      <c r="H79" s="686" t="n"/>
      <c r="I79" s="686" t="n"/>
      <c r="J79" s="247" t="n"/>
      <c r="K79" s="247" t="n"/>
      <c r="L79" s="247" t="n"/>
      <c r="M79" s="247" t="n"/>
      <c r="N79" s="247" t="n"/>
      <c r="O79" s="247" t="n"/>
      <c r="P79" s="247" t="n"/>
      <c r="Q79" s="261" t="n"/>
      <c r="R79" s="219" t="n"/>
      <c r="S79" s="260" t="n"/>
      <c r="T79" s="296" t="n"/>
      <c r="U79" s="164" t="n"/>
    </row>
    <row r="80" ht="12.75" customHeight="1" s="634">
      <c r="B80" s="713" t="inlineStr">
        <is>
          <t>调整类型</t>
        </is>
      </c>
      <c r="C80" s="324" t="n"/>
      <c r="D80" s="324" t="n"/>
      <c r="E80" s="325" t="n"/>
      <c r="F80" s="325" t="n"/>
      <c r="G80" s="699" t="n"/>
      <c r="H80" s="686" t="n"/>
      <c r="I80" s="686" t="n"/>
      <c r="J80" s="247" t="n"/>
      <c r="K80" s="247" t="n"/>
      <c r="L80" s="247" t="n"/>
      <c r="M80" s="247" t="n"/>
      <c r="N80" s="247" t="n"/>
      <c r="O80" s="247" t="n"/>
      <c r="P80" s="247" t="n"/>
      <c r="Q80" s="261" t="n"/>
      <c r="R80" s="219" t="n"/>
      <c r="S80" s="260" t="n"/>
      <c r="T80" s="296" t="n"/>
      <c r="U80" s="164" t="n"/>
    </row>
    <row r="81" ht="12.75" customHeight="1" s="634">
      <c r="B81" s="326" t="n"/>
      <c r="C81" s="327" t="n"/>
      <c r="D81" s="327" t="n"/>
      <c r="E81" s="418" t="n"/>
      <c r="F81" s="419" t="n"/>
      <c r="G81" s="699" t="n"/>
      <c r="H81" s="686" t="n"/>
      <c r="I81" s="686" t="n"/>
      <c r="J81" s="247" t="n"/>
      <c r="K81" s="247" t="n"/>
      <c r="L81" s="247" t="n"/>
      <c r="M81" s="247" t="n"/>
      <c r="N81" s="247" t="n"/>
      <c r="O81" s="247" t="n"/>
      <c r="P81" s="247" t="n"/>
      <c r="Q81" s="261" t="n"/>
      <c r="R81" s="219" t="n"/>
      <c r="S81" s="260" t="n"/>
      <c r="T81" s="296" t="n"/>
      <c r="U81" s="164" t="n"/>
    </row>
    <row r="82" ht="12.75" customHeight="1" s="634">
      <c r="A82" s="295" t="n"/>
      <c r="B82" s="328" t="n"/>
      <c r="C82" s="420" t="n"/>
      <c r="D82" s="420" t="n"/>
      <c r="E82" s="421" t="n"/>
      <c r="F82" s="422" t="n"/>
      <c r="G82" s="699" t="n"/>
      <c r="H82" s="686" t="n"/>
      <c r="I82" s="686" t="n"/>
      <c r="J82" s="247" t="n"/>
      <c r="K82" s="247" t="n"/>
      <c r="L82" s="247" t="n"/>
      <c r="M82" s="247" t="n"/>
      <c r="N82" s="247" t="n"/>
      <c r="O82" s="247" t="n"/>
      <c r="P82" s="247" t="n"/>
      <c r="Q82" s="247" t="n"/>
      <c r="R82" s="219" t="n"/>
      <c r="S82" s="2" t="n"/>
      <c r="T82" s="296" t="n"/>
    </row>
    <row r="83" ht="12.6" customHeight="1" s="634">
      <c r="A83" s="295" t="n"/>
      <c r="B83" s="328" t="n"/>
      <c r="C83" s="420" t="n"/>
      <c r="D83" s="420" t="n"/>
      <c r="E83" s="421" t="n"/>
      <c r="F83" s="422" t="n"/>
      <c r="G83" s="699" t="n"/>
      <c r="H83" s="686" t="n"/>
      <c r="I83" s="686" t="n"/>
      <c r="J83" s="247" t="n"/>
      <c r="K83" s="247" t="n"/>
      <c r="L83" s="247" t="n"/>
      <c r="M83" s="247" t="n"/>
      <c r="N83" s="247" t="n"/>
      <c r="O83" s="247" t="n"/>
      <c r="P83" s="247" t="n"/>
      <c r="Q83" s="247" t="n"/>
      <c r="R83" s="219" t="n"/>
      <c r="S83" s="2" t="n"/>
      <c r="T83" s="296" t="n"/>
    </row>
    <row r="84" ht="15" customHeight="1" s="634">
      <c r="A84" s="295" t="n"/>
      <c r="B84" s="329" t="n"/>
      <c r="C84" s="423" t="n"/>
      <c r="D84" s="423" t="n"/>
      <c r="E84" s="423" t="n"/>
      <c r="F84" s="424" t="n"/>
      <c r="G84" s="293" t="n"/>
      <c r="H84" s="686" t="n"/>
      <c r="I84" s="686" t="n"/>
      <c r="J84" s="247" t="n"/>
      <c r="K84" s="247" t="n"/>
      <c r="L84" s="247" t="n"/>
      <c r="M84" s="247" t="n"/>
      <c r="N84" s="247" t="n"/>
      <c r="O84" s="247" t="n"/>
      <c r="P84" s="247" t="n"/>
      <c r="Q84" s="247" t="n"/>
      <c r="R84" s="219" t="n"/>
      <c r="S84" s="2" t="n"/>
      <c r="T84" s="296" t="n"/>
    </row>
    <row r="85" ht="7.5" customHeight="1" s="634">
      <c r="A85" s="295" t="n"/>
      <c r="B85" s="164" t="n"/>
      <c r="C85" s="293" t="n"/>
      <c r="D85" s="699" t="n"/>
      <c r="E85" s="293" t="n"/>
      <c r="F85" s="164" t="n"/>
      <c r="G85" s="164" t="n"/>
      <c r="H85" s="164" t="n"/>
      <c r="I85" s="164" t="n"/>
      <c r="J85" s="164" t="n"/>
      <c r="K85" s="164" t="n"/>
      <c r="L85" s="164" t="n"/>
      <c r="M85" s="164" t="n"/>
      <c r="N85" s="164" t="n"/>
      <c r="O85" s="164" t="n"/>
      <c r="P85" s="164" t="n"/>
      <c r="Q85" s="164" t="n"/>
      <c r="R85" s="219" t="n"/>
      <c r="S85" s="164" t="n"/>
      <c r="T85" s="164" t="n"/>
    </row>
    <row r="86">
      <c r="A86" s="330" t="n"/>
      <c r="B86" s="330" t="n"/>
      <c r="C86" s="330" t="n"/>
      <c r="D86" s="330" t="n"/>
      <c r="E86" s="330" t="n"/>
      <c r="F86" s="330" t="n"/>
      <c r="G86" s="330" t="n"/>
      <c r="H86" s="330" t="n"/>
      <c r="I86" s="330" t="n"/>
      <c r="J86" s="330" t="n"/>
      <c r="K86" s="330" t="n"/>
      <c r="L86" s="330" t="n"/>
      <c r="M86" s="330" t="n"/>
      <c r="N86" s="330" t="n"/>
      <c r="O86" s="330" t="n"/>
      <c r="P86" s="330" t="n"/>
      <c r="Q86" s="330" t="n"/>
      <c r="R86" s="219" t="n"/>
      <c r="S86" s="164" t="n"/>
      <c r="T86" s="164" t="n"/>
    </row>
    <row r="87" ht="12.75" customHeight="1" s="634">
      <c r="A87" s="295" t="n"/>
      <c r="B87" s="164" t="n"/>
      <c r="C87" s="293" t="n"/>
      <c r="D87" s="699" t="n"/>
      <c r="E87" s="293" t="n"/>
      <c r="F87" s="164" t="n"/>
      <c r="G87" s="164" t="n"/>
      <c r="H87" s="164" t="n"/>
      <c r="I87" s="164" t="n"/>
      <c r="J87" s="164" t="n"/>
      <c r="K87" s="164" t="n"/>
      <c r="L87" s="164" t="n"/>
      <c r="M87" s="164" t="n"/>
      <c r="N87" s="164" t="n"/>
      <c r="O87" s="164" t="n"/>
      <c r="P87" s="164" t="n"/>
      <c r="Q87" s="164" t="n"/>
      <c r="R87" s="164" t="n"/>
      <c r="S87" s="164" t="n"/>
      <c r="T87" s="164" t="n"/>
    </row>
    <row r="88" ht="12.75" customHeight="1" s="634">
      <c r="A88" s="295" t="n"/>
      <c r="B88" s="164" t="n"/>
      <c r="C88" s="293" t="n"/>
      <c r="D88" s="699" t="n"/>
      <c r="E88" s="293" t="n"/>
      <c r="F88" s="164" t="n"/>
      <c r="G88" s="164" t="n"/>
      <c r="H88" s="164" t="n"/>
      <c r="I88" s="164" t="n"/>
      <c r="J88" s="164" t="n"/>
      <c r="K88" s="164" t="n"/>
      <c r="L88" s="164" t="n"/>
      <c r="M88" s="164" t="n"/>
      <c r="N88" s="164" t="n"/>
      <c r="O88" s="164" t="n"/>
      <c r="P88" s="164" t="n"/>
      <c r="Q88" s="164" t="n"/>
      <c r="R88" s="164" t="n"/>
      <c r="S88" s="164" t="n"/>
      <c r="T88" s="164" t="n"/>
    </row>
    <row r="89" ht="12.75" customHeight="1" s="634">
      <c r="A89" s="295" t="n"/>
      <c r="B89" s="164" t="n"/>
      <c r="C89" s="293" t="n"/>
      <c r="D89" s="699" t="n"/>
      <c r="E89" s="293" t="n"/>
      <c r="F89" s="164" t="n"/>
      <c r="G89" s="164" t="n"/>
      <c r="H89" s="164" t="n"/>
      <c r="I89" s="164" t="n"/>
      <c r="J89" s="164" t="n"/>
      <c r="K89" s="164" t="n"/>
      <c r="L89" s="164" t="n"/>
      <c r="M89" s="164" t="n"/>
      <c r="N89" s="164" t="n"/>
      <c r="O89" s="164" t="n"/>
      <c r="P89" s="164" t="n"/>
      <c r="Q89" s="164" t="n"/>
      <c r="R89" s="164" t="n"/>
      <c r="S89" s="164" t="n"/>
      <c r="T89" s="164" t="n"/>
    </row>
    <row r="90" ht="12.75" customHeight="1" s="634">
      <c r="A90" s="295" t="n"/>
      <c r="B90" s="164" t="n"/>
      <c r="C90" s="293" t="n"/>
      <c r="D90" s="699" t="n"/>
      <c r="E90" s="164" t="n"/>
      <c r="F90" s="164" t="n"/>
      <c r="G90" s="164" t="n"/>
      <c r="H90" s="164" t="n"/>
      <c r="I90" s="164" t="n"/>
      <c r="J90" s="164" t="n"/>
      <c r="K90" s="164" t="n"/>
      <c r="L90" s="164" t="n"/>
      <c r="M90" s="164" t="n"/>
      <c r="N90" s="164" t="n"/>
      <c r="O90" s="164" t="n"/>
      <c r="P90" s="164" t="n"/>
      <c r="Q90" s="164" t="n"/>
      <c r="R90" s="164" t="n"/>
      <c r="S90" s="164" t="n"/>
      <c r="T90" s="164" t="n"/>
    </row>
    <row r="91" ht="12.75" customHeight="1" s="634">
      <c r="A91" s="295" t="n"/>
      <c r="B91" s="164" t="n"/>
      <c r="C91" s="293" t="n"/>
      <c r="D91" s="699" t="n"/>
      <c r="E91" s="164" t="n"/>
      <c r="F91" s="164" t="n"/>
      <c r="G91" s="164" t="n"/>
      <c r="H91" s="164" t="n"/>
      <c r="I91" s="164" t="n"/>
      <c r="J91" s="164" t="n"/>
      <c r="K91" s="164" t="n"/>
      <c r="L91" s="164" t="n"/>
      <c r="M91" s="164" t="n"/>
      <c r="N91" s="164" t="n"/>
      <c r="O91" s="164" t="n"/>
      <c r="P91" s="164" t="n"/>
      <c r="Q91" s="164" t="n"/>
      <c r="R91" s="164" t="n"/>
      <c r="S91" s="164" t="n"/>
      <c r="T91" s="164" t="n"/>
    </row>
    <row r="92">
      <c r="A92" s="295" t="n"/>
      <c r="B92" s="164" t="n"/>
      <c r="C92" s="293" t="n"/>
      <c r="D92" s="699" t="n"/>
      <c r="E92" s="164" t="n"/>
      <c r="F92" s="164" t="n"/>
      <c r="G92" s="164" t="n"/>
      <c r="H92" s="164" t="n"/>
      <c r="I92" s="164" t="n"/>
      <c r="J92" s="164" t="n"/>
      <c r="K92" s="164" t="n"/>
      <c r="L92" s="164" t="n"/>
      <c r="M92" s="164" t="n"/>
      <c r="N92" s="164" t="n"/>
      <c r="O92" s="164" t="n"/>
      <c r="P92" s="164" t="n"/>
      <c r="Q92" s="164" t="n"/>
      <c r="R92" s="164" t="n"/>
      <c r="S92" s="164" t="n"/>
      <c r="T92" s="164" t="n"/>
    </row>
  </sheetData>
  <mergeCells count="17">
    <mergeCell ref="D2:P8"/>
    <mergeCell ref="B26:F28"/>
    <mergeCell ref="B76:F76"/>
    <mergeCell ref="B23:E23"/>
    <mergeCell ref="F37:J37"/>
    <mergeCell ref="B60:F63"/>
    <mergeCell ref="C37:C38"/>
    <mergeCell ref="D37:D38"/>
    <mergeCell ref="E37:E38"/>
    <mergeCell ref="L37:M37"/>
    <mergeCell ref="B20:E20"/>
    <mergeCell ref="B53:F56"/>
    <mergeCell ref="P37:P38"/>
    <mergeCell ref="O37:O38"/>
    <mergeCell ref="N37:N38"/>
    <mergeCell ref="B37:B38"/>
    <mergeCell ref="H13:L13"/>
  </mergeCells>
  <conditionalFormatting sqref="B26">
    <cfRule type="cellIs" priority="17" operator="equal" dxfId="37">
      <formula>0</formula>
    </cfRule>
    <cfRule type="containsBlanks" priority="27" dxfId="4">
      <formula>LEN(TRIM(B26))=0</formula>
    </cfRule>
    <cfRule type="containsBlanks" priority="36" dxfId="37">
      <formula>LEN(TRIM(B26))=0</formula>
    </cfRule>
  </conditionalFormatting>
  <conditionalFormatting sqref="B52:B54">
    <cfRule type="containsBlanks" priority="6" dxfId="4">
      <formula>LEN(TRIM(B52))=0</formula>
    </cfRule>
  </conditionalFormatting>
  <conditionalFormatting sqref="B59">
    <cfRule type="containsBlanks" priority="16" dxfId="4">
      <formula>LEN(TRIM(B59))=0</formula>
    </cfRule>
  </conditionalFormatting>
  <conditionalFormatting sqref="B39:D43">
    <cfRule type="containsBlanks" priority="13" dxfId="4">
      <formula>LEN(TRIM(B39))=0</formula>
    </cfRule>
  </conditionalFormatting>
  <conditionalFormatting sqref="B80:F80 B81:B83 C81:F81">
    <cfRule type="containsBlanks" priority="5" dxfId="4">
      <formula>LEN(TRIM(B80))=0</formula>
    </cfRule>
  </conditionalFormatting>
  <conditionalFormatting sqref="C2">
    <cfRule type="containsBlanks" priority="29" dxfId="4">
      <formula>LEN(TRIM(C2))=0</formula>
    </cfRule>
  </conditionalFormatting>
  <conditionalFormatting sqref="C3">
    <cfRule type="containsBlanks" priority="32" dxfId="11">
      <formula>LEN(TRIM(C3))=0</formula>
    </cfRule>
  </conditionalFormatting>
  <conditionalFormatting sqref="C4:C8">
    <cfRule type="containsBlanks" priority="30" dxfId="4">
      <formula>LEN(TRIM(C4))=0</formula>
    </cfRule>
  </conditionalFormatting>
  <conditionalFormatting sqref="C15:C19">
    <cfRule type="containsBlanks" priority="31" dxfId="4">
      <formula>LEN(TRIM(C15))=0</formula>
    </cfRule>
  </conditionalFormatting>
  <conditionalFormatting sqref="C32">
    <cfRule type="containsBlanks" priority="14" dxfId="4">
      <formula>LEN(TRIM(C32))=0</formula>
    </cfRule>
  </conditionalFormatting>
  <conditionalFormatting sqref="C82:F83">
    <cfRule type="containsBlanks" priority="4" dxfId="13">
      <formula>LEN(TRIM(C82))=0</formula>
    </cfRule>
  </conditionalFormatting>
  <conditionalFormatting sqref="B75:F75 D69:E69">
    <cfRule type="containsBlanks" priority="35" dxfId="4">
      <formula>LEN(TRIM(B69))=0</formula>
    </cfRule>
  </conditionalFormatting>
  <conditionalFormatting sqref="E39">
    <cfRule type="containsBlanks" priority="25" dxfId="11">
      <formula>LEN(TRIM(E39))=0</formula>
    </cfRule>
  </conditionalFormatting>
  <conditionalFormatting sqref="E68">
    <cfRule type="containsBlanks" priority="1" dxfId="4">
      <formula>LEN(TRIM(E68))=0</formula>
    </cfRule>
  </conditionalFormatting>
  <conditionalFormatting sqref="F39:F43">
    <cfRule type="containsBlanks" priority="12" dxfId="4">
      <formula>LEN(TRIM(F39))=0</formula>
    </cfRule>
  </conditionalFormatting>
  <conditionalFormatting sqref="H30">
    <cfRule type="containsBlanks" priority="20" dxfId="0">
      <formula>LEN(TRIM(H30))=0</formula>
    </cfRule>
  </conditionalFormatting>
  <conditionalFormatting sqref="H39:H43 J39:J43">
    <cfRule type="containsBlanks" priority="28" dxfId="11">
      <formula>LEN(TRIM(H39))=0</formula>
    </cfRule>
  </conditionalFormatting>
  <conditionalFormatting sqref="H47">
    <cfRule type="containsBlanks" priority="24" dxfId="4">
      <formula>LEN(TRIM(H47))=0</formula>
    </cfRule>
  </conditionalFormatting>
  <conditionalFormatting sqref="J47:K47">
    <cfRule type="containsBlanks" priority="2" dxfId="4">
      <formula>LEN(TRIM(J47))=0</formula>
    </cfRule>
  </conditionalFormatting>
  <conditionalFormatting sqref="K39:K43">
    <cfRule type="containsBlanks" priority="11" dxfId="4">
      <formula>LEN(TRIM(K39))=0</formula>
    </cfRule>
  </conditionalFormatting>
  <conditionalFormatting sqref="P39:P43">
    <cfRule type="containsBlanks" priority="7" dxfId="4">
      <formula>LEN(TRIM(P39))=0</formula>
    </cfRule>
  </conditionalFormatting>
  <conditionalFormatting sqref="P45">
    <cfRule type="containsBlanks" priority="3" dxfId="4">
      <formula>LEN(TRIM(P45))=0</formula>
    </cfRule>
  </conditionalFormatting>
  <dataValidations count="4">
    <dataValidation sqref="P39:P43 P45" showDropDown="0" showInputMessage="1" showErrorMessage="1" allowBlank="1" type="list">
      <formula1>"是,否"</formula1>
    </dataValidation>
    <dataValidation sqref="C15:C19" showDropDown="0" showInputMessage="1" showErrorMessage="0" allowBlank="1" type="list">
      <formula1>"Minimal,Low,Moderate,High,N/A"</formula1>
    </dataValidation>
    <dataValidation sqref="P44" showDropDown="0" showInputMessage="1" showErrorMessage="1" allowBlank="1" type="list">
      <formula1>"Yes,No"</formula1>
    </dataValidation>
    <dataValidation sqref="B80:B83" showDropDown="0" showInputMessage="1" showErrorMessage="0" allowBlank="1" type="list">
      <formula1>"管理层账表调整(CLA),已更正审计调整(AA/RA/OA),未更正审计调整(SAD)"</formula1>
    </dataValidation>
  </dataValidations>
  <hyperlinks>
    <hyperlink ref="B11" location="汇总!A1" display="返回汇总页"/>
  </hyperlinks>
  <pageMargins left="0.7" right="0.7" top="0.75" bottom="0.75" header="0.3" footer="0.3"/>
  <pageSetup orientation="portrait" paperSize="9" horizontalDpi="300" verticalDpi="300"/>
</worksheet>
</file>

<file path=xl/worksheets/sheet3.xml><?xml version="1.0" encoding="utf-8"?>
<worksheet xmlns="http://schemas.openxmlformats.org/spreadsheetml/2006/main">
  <sheetPr>
    <outlinePr summaryBelow="1" summaryRight="1"/>
    <pageSetUpPr/>
  </sheetPr>
  <dimension ref="A1:P33"/>
  <sheetViews>
    <sheetView showGridLines="0" zoomScale="70" zoomScaleNormal="70" workbookViewId="0">
      <selection activeCell="K24" sqref="K24"/>
    </sheetView>
  </sheetViews>
  <sheetFormatPr baseColWidth="8" defaultColWidth="8.875" defaultRowHeight="15" customHeight="1"/>
  <cols>
    <col width="2.625" customWidth="1" style="10" min="1" max="1"/>
    <col width="24" customWidth="1" style="10" min="2" max="2"/>
    <col width="25.625" customWidth="1" style="10" min="3" max="6"/>
    <col width="15.875" customWidth="1" style="10" min="7" max="7"/>
    <col width="15.625" customWidth="1" style="10" min="8" max="8"/>
    <col width="19.625" customWidth="1" style="10" min="9" max="9"/>
    <col width="20.5" customWidth="1" style="10" min="10" max="11"/>
    <col width="2.625" customWidth="1" style="10" min="12" max="12"/>
    <col width="1.625" customWidth="1" style="10" min="13" max="13"/>
    <col width="2.875" customWidth="1" style="10" min="14" max="16"/>
    <col width="11.375" customWidth="1" style="10" min="17" max="17"/>
    <col width="8.875" customWidth="1" style="10" min="18" max="18"/>
    <col width="9.875" customWidth="1" style="10" min="19" max="21"/>
    <col width="8.875" customWidth="1" style="10" min="22" max="699"/>
    <col width="9.125" customWidth="1" style="10" min="700" max="700"/>
    <col width="8.875" customWidth="1" style="10" min="701" max="16384"/>
  </cols>
  <sheetData>
    <row r="1" ht="50.1" customHeight="1" s="634">
      <c r="B1" s="85" t="inlineStr">
        <is>
          <t>标准工作底稿: N SWP 应付账款</t>
        </is>
      </c>
      <c r="C1" s="14" t="n"/>
      <c r="D1" s="15" t="n"/>
      <c r="E1" s="15" t="n"/>
      <c r="F1" s="15" t="n"/>
      <c r="G1" s="15" t="n"/>
      <c r="H1" s="15" t="n"/>
      <c r="I1" s="15" t="n"/>
      <c r="J1" s="15" t="n"/>
      <c r="K1" s="16" t="n"/>
      <c r="M1" s="17" t="n"/>
    </row>
    <row r="2" ht="30" customHeight="1" s="634">
      <c r="B2" s="18" t="inlineStr">
        <is>
          <t>N.01: 明细账与总账核对并执行细节测试</t>
        </is>
      </c>
      <c r="C2" s="19" t="n"/>
      <c r="D2" s="19" t="n"/>
      <c r="E2" s="19" t="n"/>
      <c r="F2" s="19" t="n"/>
      <c r="G2" s="19" t="n"/>
      <c r="H2" s="19" t="n"/>
      <c r="I2" s="19" t="n"/>
      <c r="J2" s="19" t="n"/>
      <c r="K2" s="20" t="n"/>
      <c r="M2" s="17" t="n"/>
    </row>
    <row r="3" ht="15" customHeight="1" s="634">
      <c r="M3" s="17" t="n"/>
    </row>
    <row r="4" ht="15" customHeight="1" s="634">
      <c r="B4" s="46" t="inlineStr">
        <is>
          <t>返回汇总页</t>
        </is>
      </c>
      <c r="M4" s="17" t="n"/>
    </row>
    <row r="5" ht="15" customHeight="1" s="634">
      <c r="M5" s="17" t="n"/>
    </row>
    <row r="6" ht="15" customHeight="1" s="634">
      <c r="B6" s="714">
        <f>MIN('N.00 Lead sheet'!$D$15,'N.00 Lead sheet'!$D$16)</f>
        <v/>
      </c>
      <c r="C6" s="86" t="inlineStr">
        <is>
          <t>用于识别总账和明细账之间差异的测试阈值</t>
        </is>
      </c>
      <c r="D6" s="47" t="n"/>
      <c r="M6" s="17" t="n"/>
    </row>
    <row r="7" ht="15" customHeight="1" s="634">
      <c r="M7" s="17" t="n"/>
    </row>
    <row r="8" ht="15" customHeight="1" s="634">
      <c r="B8" s="22" t="n"/>
      <c r="F8" s="23" t="n"/>
      <c r="G8" s="13" t="n"/>
      <c r="J8" s="13" t="n"/>
      <c r="M8" s="17" t="n"/>
    </row>
    <row r="9" ht="19.5" customHeight="1" s="634">
      <c r="B9" s="212" t="inlineStr">
        <is>
          <t>表1 将明细账与总账核对一致。</t>
        </is>
      </c>
      <c r="C9" s="213" t="n"/>
      <c r="D9" s="213" t="n"/>
      <c r="E9" s="13" t="n"/>
      <c r="F9" s="13" t="n"/>
      <c r="H9" s="13" t="n"/>
      <c r="I9" s="13" t="inlineStr">
        <is>
          <t>|------- Rx -------|</t>
        </is>
      </c>
      <c r="J9" s="13" t="n"/>
      <c r="M9" s="17" t="n"/>
    </row>
    <row r="10" ht="15" customHeight="1" s="634">
      <c r="B10" s="715" t="inlineStr">
        <is>
          <t>账套名称/账套编码</t>
        </is>
      </c>
      <c r="C10" s="716" t="inlineStr">
        <is>
          <t>总账科目编码</t>
        </is>
      </c>
      <c r="D10" s="717" t="inlineStr">
        <is>
          <t>科目名称</t>
        </is>
      </c>
      <c r="E10" s="718" t="inlineStr">
        <is>
          <t>Lead页余额</t>
        </is>
      </c>
      <c r="F10" s="719" t="inlineStr">
        <is>
          <t>索引号</t>
        </is>
      </c>
      <c r="G10" s="719" t="inlineStr">
        <is>
          <t>明细账余额</t>
        </is>
      </c>
      <c r="H10" s="719" t="inlineStr">
        <is>
          <t>明细账索引</t>
        </is>
      </c>
      <c r="I10" s="719" t="inlineStr">
        <is>
          <t>差异重新计算
（Note1）</t>
        </is>
      </c>
      <c r="J10" s="720" t="inlineStr">
        <is>
          <t>外币余额</t>
        </is>
      </c>
      <c r="K10" s="721" t="n"/>
      <c r="M10" s="17" t="n"/>
    </row>
    <row r="11" ht="31.5" customHeight="1" s="634">
      <c r="B11" s="637" t="n"/>
      <c r="C11" s="691" t="n"/>
      <c r="D11" s="644" t="n"/>
      <c r="E11" s="644" t="n"/>
      <c r="F11" s="722" t="n"/>
      <c r="G11" s="722" t="n"/>
      <c r="H11" s="722" t="n"/>
      <c r="I11" s="722" t="n"/>
      <c r="J11" s="521" t="inlineStr">
        <is>
          <t>是否适当重新计量?
(使用下拉列表)</t>
        </is>
      </c>
      <c r="K11" s="521" t="inlineStr">
        <is>
          <t>工作底稿参考</t>
        </is>
      </c>
      <c r="M11" s="17" t="n"/>
    </row>
    <row r="12" ht="15" customHeight="1" s="634">
      <c r="B12" s="211" t="n"/>
      <c r="C12" s="57" t="n"/>
      <c r="D12" s="48" t="n"/>
      <c r="E12" s="723">
        <f>-IFERROR(_xlfn.XLOOKUP(C12,'N.00 Lead sheet'!$C$39:$C$43,'N.00 Lead sheet'!$F$39:$F$43),0)</f>
        <v/>
      </c>
      <c r="F12" s="187" t="inlineStr">
        <is>
          <t xml:space="preserve">/N.00 </t>
        </is>
      </c>
      <c r="G12" s="724" t="n"/>
      <c r="H12" s="188" t="inlineStr">
        <is>
          <t>/N.01.01明细账</t>
        </is>
      </c>
      <c r="I12" s="723">
        <f>E12-G12</f>
        <v/>
      </c>
      <c r="J12" s="88" t="n"/>
      <c r="K12" s="452">
        <f>IF(J12="","",IF(J12="是","Note2",IF(J12="否","Note2","不适用")))</f>
        <v/>
      </c>
      <c r="M12" s="17" t="n"/>
    </row>
    <row r="13" ht="15" customHeight="1" s="634">
      <c r="B13" s="48" t="n"/>
      <c r="C13" s="57" t="n"/>
      <c r="D13" s="48" t="n"/>
      <c r="E13" s="723">
        <f>-IFERROR(_xlfn.XLOOKUP(C13,'N.00 Lead sheet'!$C$39:$C$43,'N.00 Lead sheet'!$F$39:$F$43),0)</f>
        <v/>
      </c>
      <c r="F13" s="24" t="n"/>
      <c r="G13" s="725" t="n"/>
      <c r="H13" s="24" t="n"/>
      <c r="I13" s="723">
        <f>E13-G13</f>
        <v/>
      </c>
      <c r="J13" s="88" t="n"/>
      <c r="K13" s="452">
        <f>IF(J13="","",IF(J13="是","Note2",IF(J13="否","Note2","不适用")))</f>
        <v/>
      </c>
      <c r="M13" s="17" t="n"/>
    </row>
    <row r="14" ht="15" customHeight="1" s="634">
      <c r="B14" s="48" t="n"/>
      <c r="C14" s="57" t="n"/>
      <c r="D14" s="48" t="n"/>
      <c r="E14" s="723">
        <f>-IFERROR(_xlfn.XLOOKUP(C14,'N.00 Lead sheet'!$C$39:$C$43,'N.00 Lead sheet'!$F$39:$F$43),0)</f>
        <v/>
      </c>
      <c r="F14" s="24" t="n"/>
      <c r="G14" s="725" t="n"/>
      <c r="H14" s="24" t="n"/>
      <c r="I14" s="723">
        <f>E14-G14</f>
        <v/>
      </c>
      <c r="J14" s="88" t="n"/>
      <c r="K14" s="452">
        <f>IF(J14="","",IF(J14="是","Note2",IF(J14="否","Note2","不适用")))</f>
        <v/>
      </c>
      <c r="M14" s="17" t="n"/>
    </row>
    <row r="15" ht="15" customHeight="1" s="634">
      <c r="B15" s="48" t="n"/>
      <c r="C15" s="57" t="n"/>
      <c r="D15" s="48" t="n"/>
      <c r="E15" s="723">
        <f>-IFERROR(_xlfn.XLOOKUP(C15,'N.00 Lead sheet'!$C$39:$C$43,'N.00 Lead sheet'!$F$39:$F$43),0)</f>
        <v/>
      </c>
      <c r="F15" s="24" t="n"/>
      <c r="G15" s="725" t="n"/>
      <c r="H15" s="24" t="n"/>
      <c r="I15" s="723">
        <f>E15-G15</f>
        <v/>
      </c>
      <c r="J15" s="88" t="n"/>
      <c r="K15" s="452">
        <f>IF(J15="","",IF(J15="是","Note2",IF(J15="否","Note2","不适用")))</f>
        <v/>
      </c>
      <c r="M15" s="17" t="n"/>
    </row>
    <row r="16" ht="15" customHeight="1" s="634">
      <c r="B16" s="48" t="n"/>
      <c r="C16" s="58" t="n"/>
      <c r="D16" s="425" t="n"/>
      <c r="E16" s="723">
        <f>-IFERROR(_xlfn.XLOOKUP(C16,'N.00 Lead sheet'!$C$39:$C$43,'N.00 Lead sheet'!$F$39:$F$43),0)</f>
        <v/>
      </c>
      <c r="F16" s="24" t="n"/>
      <c r="G16" s="726" t="n"/>
      <c r="H16" s="24" t="n"/>
      <c r="I16" s="723">
        <f>E16-G16</f>
        <v/>
      </c>
      <c r="J16" s="89" t="n"/>
      <c r="K16" s="452">
        <f>IF(J16="","",IF(J16="是","Note2",IF(J16="否","Note2","不适用")))</f>
        <v/>
      </c>
      <c r="M16" s="17" t="n"/>
    </row>
    <row r="17" ht="15" customHeight="1" s="634">
      <c r="M17" s="17" t="n"/>
    </row>
    <row r="18" ht="15" customHeight="1" s="634">
      <c r="D18" s="87" t="inlineStr">
        <is>
          <t>合计</t>
        </is>
      </c>
      <c r="E18" s="727">
        <f>SUM(E12:E16)</f>
        <v/>
      </c>
      <c r="G18" s="727">
        <f>SUM(G12:G16)</f>
        <v/>
      </c>
      <c r="I18" s="727">
        <f>SUM(I12:I16)</f>
        <v/>
      </c>
      <c r="J18" s="728" t="n"/>
      <c r="M18" s="17" t="n"/>
    </row>
    <row r="19" ht="15" customHeight="1" s="634">
      <c r="D19" s="87" t="n"/>
      <c r="E19" s="13" t="inlineStr">
        <is>
          <t>RX</t>
        </is>
      </c>
      <c r="F19" s="729" t="n"/>
      <c r="G19" s="13" t="inlineStr">
        <is>
          <t>RX</t>
        </is>
      </c>
      <c r="H19" s="13" t="n"/>
      <c r="I19" s="13" t="inlineStr">
        <is>
          <t>RX</t>
        </is>
      </c>
      <c r="M19" s="17" t="n"/>
    </row>
    <row r="20" ht="15" customHeight="1" s="634">
      <c r="B20" s="12" t="n"/>
      <c r="C20" s="11" t="n"/>
      <c r="D20" s="730" t="n"/>
      <c r="E20" s="730" t="n"/>
      <c r="F20" s="730" t="n"/>
      <c r="G20" s="730" t="n"/>
      <c r="H20" s="26" t="n"/>
      <c r="I20" s="26" t="n"/>
      <c r="J20" s="26" t="n"/>
      <c r="M20" s="17" t="n"/>
    </row>
    <row r="21" ht="15" customFormat="1" customHeight="1" s="29">
      <c r="B21" s="29" t="inlineStr">
        <is>
          <t>Note1：如果总账和明细账差异金额大于SAD请在以下解释差异并执行相应的程序：针对金额大于测试阈值及性质异常的项目我们需进一步进行测试。(如不适用请删除）</t>
        </is>
      </c>
      <c r="I21" s="26" t="n"/>
      <c r="M21" s="17" t="n"/>
      <c r="N21" s="10" t="n"/>
      <c r="O21" s="10" t="n"/>
      <c r="P21" s="10" t="n"/>
    </row>
    <row r="22" ht="15" customFormat="1" customHeight="1" s="29">
      <c r="B22" s="731" t="n"/>
      <c r="C22" s="688" t="n"/>
      <c r="D22" s="688" t="n"/>
      <c r="E22" s="688" t="n"/>
      <c r="F22" s="688" t="n"/>
      <c r="G22" s="689" t="n"/>
      <c r="I22" s="26" t="n"/>
      <c r="M22" s="17" t="n"/>
      <c r="N22" s="10" t="n"/>
      <c r="O22" s="10" t="n"/>
      <c r="P22" s="10" t="n"/>
    </row>
    <row r="23" ht="15" customFormat="1" customHeight="1" s="29">
      <c r="B23" s="641" t="n"/>
      <c r="G23" s="690" t="n"/>
      <c r="I23" s="26" t="n"/>
      <c r="M23" s="17" t="n"/>
      <c r="N23" s="10" t="n"/>
      <c r="O23" s="10" t="n"/>
      <c r="P23" s="10" t="n"/>
    </row>
    <row r="24" ht="15" customFormat="1" customHeight="1" s="29">
      <c r="B24" s="644" t="n"/>
      <c r="C24" s="645" t="n"/>
      <c r="D24" s="645" t="n"/>
      <c r="E24" s="645" t="n"/>
      <c r="F24" s="645" t="n"/>
      <c r="G24" s="691" t="n"/>
      <c r="I24" s="26" t="n"/>
      <c r="M24" s="17" t="n"/>
      <c r="N24" s="10" t="n"/>
      <c r="O24" s="10" t="n"/>
      <c r="P24" s="10" t="n"/>
    </row>
    <row r="25" ht="15" customFormat="1" customHeight="1" s="29">
      <c r="B25" s="39" t="n"/>
      <c r="C25" s="39" t="n"/>
      <c r="D25" s="39" t="n"/>
      <c r="E25" s="39" t="n"/>
      <c r="F25" s="39" t="n"/>
      <c r="I25" s="26" t="n"/>
      <c r="M25" s="17" t="n"/>
      <c r="N25" s="10" t="n"/>
      <c r="O25" s="10" t="n"/>
      <c r="P25" s="10" t="n"/>
    </row>
    <row r="26" ht="15" customFormat="1" customHeight="1" s="29">
      <c r="B26" s="29" t="inlineStr">
        <is>
          <t>Note2：对外币余额，我们使用第三方汇率（独立于客户获得汇率）重新计算，并将重新计算的余额与客户的余额进行比较。(如不适用请删除）</t>
        </is>
      </c>
      <c r="I26" s="26" t="n"/>
      <c r="M26" s="17" t="n"/>
      <c r="N26" s="10" t="n"/>
      <c r="O26" s="10" t="n"/>
      <c r="P26" s="10" t="n"/>
    </row>
    <row r="27" ht="15" customFormat="1" customHeight="1" s="29">
      <c r="B27" s="157" t="n"/>
      <c r="C27" s="50" t="inlineStr">
        <is>
          <t>|------- N.01.01明细账 -------|</t>
        </is>
      </c>
      <c r="D27" s="732" t="inlineStr">
        <is>
          <t>EY Works</t>
        </is>
      </c>
      <c r="E27" s="649" t="n"/>
      <c r="F27" s="50" t="inlineStr">
        <is>
          <t>|------- N.01.01明细账 -------|</t>
        </is>
      </c>
      <c r="G27" s="54" t="n"/>
      <c r="I27" s="26" t="n"/>
      <c r="M27" s="17" t="n"/>
      <c r="N27" s="10" t="n"/>
      <c r="O27" s="10" t="n"/>
      <c r="P27" s="10" t="n"/>
    </row>
    <row r="28" ht="15" customFormat="1" customHeight="1" s="29">
      <c r="B28" s="179" t="inlineStr">
        <is>
          <t>原币币种</t>
        </is>
      </c>
      <c r="C28" s="180" t="inlineStr">
        <is>
          <t>原币金额</t>
        </is>
      </c>
      <c r="D28" s="180" t="inlineStr">
        <is>
          <t>折算汇率</t>
        </is>
      </c>
      <c r="E28" s="180" t="inlineStr">
        <is>
          <t>折合本位币</t>
        </is>
      </c>
      <c r="F28" s="180" t="inlineStr">
        <is>
          <t>账面本位币金额</t>
        </is>
      </c>
      <c r="G28" s="180" t="inlineStr">
        <is>
          <t>差异</t>
        </is>
      </c>
      <c r="I28" s="26" t="n"/>
      <c r="M28" s="17" t="n"/>
      <c r="N28" s="10" t="n"/>
      <c r="O28" s="10" t="n"/>
      <c r="P28" s="10" t="n"/>
    </row>
    <row r="29" ht="15" customFormat="1" customHeight="1" s="29">
      <c r="B29" s="90" t="inlineStr">
        <is>
          <t>USD</t>
        </is>
      </c>
      <c r="C29" s="733" t="n"/>
      <c r="D29" s="734" t="n"/>
      <c r="E29" s="735">
        <f>C29*D29</f>
        <v/>
      </c>
      <c r="F29" s="733" t="n"/>
      <c r="G29" s="733">
        <f>E29-F29</f>
        <v/>
      </c>
      <c r="I29" s="26" t="n"/>
      <c r="M29" s="17" t="n"/>
      <c r="N29" s="10" t="n"/>
      <c r="O29" s="10" t="n"/>
      <c r="P29" s="10" t="n"/>
    </row>
    <row r="30" ht="15" customFormat="1" customHeight="1" s="29">
      <c r="B30" s="90" t="inlineStr">
        <is>
          <t>CNY</t>
        </is>
      </c>
      <c r="C30" s="733" t="n"/>
      <c r="D30" s="734" t="n"/>
      <c r="E30" s="735">
        <f>C30*D30</f>
        <v/>
      </c>
      <c r="F30" s="733" t="n"/>
      <c r="G30" s="733">
        <f>E30-F30</f>
        <v/>
      </c>
      <c r="I30" s="26" t="n"/>
      <c r="M30" s="17" t="n"/>
      <c r="N30" s="10" t="n"/>
      <c r="O30" s="10" t="n"/>
      <c r="P30" s="10" t="n"/>
    </row>
    <row r="31" ht="15" customFormat="1" customHeight="1" s="29">
      <c r="B31" s="91" t="n"/>
      <c r="C31" s="733" t="n"/>
      <c r="D31" s="734" t="n"/>
      <c r="E31" s="735">
        <f>C31*D31</f>
        <v/>
      </c>
      <c r="F31" s="733" t="n"/>
      <c r="G31" s="733">
        <f>E31-F31</f>
        <v/>
      </c>
      <c r="I31" s="26" t="n"/>
      <c r="M31" s="17" t="n"/>
      <c r="N31" s="10" t="n"/>
      <c r="O31" s="10" t="n"/>
      <c r="P31" s="10" t="n"/>
    </row>
    <row r="32" ht="15" customHeight="1" s="634">
      <c r="G32" s="29" t="n"/>
      <c r="H32" s="29" t="n"/>
      <c r="I32" s="26" t="n"/>
      <c r="J32" s="29" t="n"/>
      <c r="K32" s="29" t="n"/>
      <c r="L32" s="29" t="n"/>
      <c r="M32" s="17" t="n"/>
    </row>
    <row r="33" ht="7.5" customHeight="1" s="634">
      <c r="A33" s="17" t="n"/>
      <c r="B33" s="17" t="n"/>
      <c r="C33" s="17" t="n"/>
      <c r="D33" s="17" t="n"/>
      <c r="E33" s="17" t="n"/>
      <c r="F33" s="17" t="n"/>
      <c r="G33" s="17" t="n"/>
      <c r="H33" s="17" t="n"/>
      <c r="I33" s="17" t="n"/>
      <c r="J33" s="17" t="n"/>
      <c r="K33" s="17" t="n"/>
      <c r="L33" s="17" t="n"/>
      <c r="M33" s="17" t="n"/>
    </row>
  </sheetData>
  <mergeCells count="11">
    <mergeCell ref="D10:D11"/>
    <mergeCell ref="I10:I11"/>
    <mergeCell ref="F10:F11"/>
    <mergeCell ref="B22:G24"/>
    <mergeCell ref="D27:E27"/>
    <mergeCell ref="J10:K10"/>
    <mergeCell ref="C10:C11"/>
    <mergeCell ref="B10:B11"/>
    <mergeCell ref="E10:E11"/>
    <mergeCell ref="H10:H11"/>
    <mergeCell ref="G10:G11"/>
  </mergeCells>
  <conditionalFormatting sqref="B22:B23">
    <cfRule type="containsBlanks" priority="8" dxfId="4">
      <formula>LEN(TRIM(B22))=0</formula>
    </cfRule>
  </conditionalFormatting>
  <conditionalFormatting sqref="B12:D16">
    <cfRule type="containsBlanks" priority="3" dxfId="4">
      <formula>LEN(TRIM(B12))=0</formula>
    </cfRule>
  </conditionalFormatting>
  <conditionalFormatting sqref="B29:D31 F29:F31">
    <cfRule type="containsBlanks" priority="1" dxfId="13">
      <formula>LEN(TRIM(B29))=0</formula>
    </cfRule>
  </conditionalFormatting>
  <conditionalFormatting sqref="G12:G16 J12:J16">
    <cfRule type="containsBlanks" priority="2" dxfId="4">
      <formula>LEN(TRIM(G12))=0</formula>
    </cfRule>
  </conditionalFormatting>
  <conditionalFormatting sqref="E12:E16 H12 I12:I16">
    <cfRule type="containsBlanks" priority="4" dxfId="11">
      <formula>LEN(TRIM(E12))=0</formula>
    </cfRule>
  </conditionalFormatting>
  <dataValidations count="1">
    <dataValidation sqref="J12:J16" showDropDown="0" showInputMessage="1" showErrorMessage="0" allowBlank="1" type="list">
      <formula1>"是,否,不适用"</formula1>
    </dataValidation>
  </dataValidations>
  <hyperlinks>
    <hyperlink ref="B4" location="汇总!A1" display="返回汇总页"/>
  </hyperlinks>
  <pageMargins left="0.7" right="0.7" top="0.75" bottom="0.75" header="0.3" footer="0.3"/>
  <pageSetup orientation="landscape" paperSize="9" scale="57" fitToHeight="0" horizontalDpi="300"/>
  <headerFooter>
    <oddHeader/>
    <oddFooter>&amp;LN SWP Trade Payables_x000a_(24 June 2025)</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L24"/>
  <sheetViews>
    <sheetView showGridLines="0" zoomScale="70" zoomScaleNormal="70" workbookViewId="0">
      <selection activeCell="A1" sqref="A1"/>
    </sheetView>
  </sheetViews>
  <sheetFormatPr baseColWidth="8" defaultColWidth="8.875" defaultRowHeight="14.25"/>
  <cols>
    <col width="2.625" customWidth="1" style="92" min="1" max="1"/>
    <col width="50.625" customWidth="1" style="92" min="2" max="2"/>
    <col width="20.75" customWidth="1" style="92" min="3" max="8"/>
    <col width="2.625" customWidth="1" style="92" min="9" max="9"/>
    <col width="1.625" customWidth="1" style="92" min="10" max="10"/>
    <col width="8.875" customWidth="1" style="92" min="11" max="16384"/>
  </cols>
  <sheetData>
    <row r="1" ht="50.1" customHeight="1" s="634">
      <c r="A1" s="30" t="n"/>
      <c r="B1" s="736" t="inlineStr">
        <is>
          <t>标准底稿: N SWP 应付账款</t>
        </is>
      </c>
      <c r="C1" s="737" t="n"/>
      <c r="D1" s="737" t="n"/>
      <c r="E1" s="737" t="n"/>
      <c r="F1" s="737" t="n"/>
      <c r="G1" s="737" t="n"/>
      <c r="H1" s="738" t="n"/>
      <c r="I1" s="30" t="n"/>
      <c r="J1" s="31" t="inlineStr">
        <is>
          <t> </t>
        </is>
      </c>
      <c r="K1" s="30" t="n"/>
      <c r="L1" s="30" t="n"/>
    </row>
    <row r="2" ht="30" customFormat="1" customHeight="1" s="94">
      <c r="A2" s="32" t="n"/>
      <c r="B2" s="93" t="inlineStr">
        <is>
          <t>N.01.01 获取应付账款明细账</t>
        </is>
      </c>
      <c r="C2" s="33" t="n"/>
      <c r="D2" s="33" t="n"/>
      <c r="E2" s="33" t="n"/>
      <c r="F2" s="33" t="n"/>
      <c r="G2" s="33" t="n"/>
      <c r="H2" s="34" t="n"/>
      <c r="I2" s="32" t="n"/>
      <c r="J2" s="35" t="inlineStr">
        <is>
          <t> </t>
        </is>
      </c>
      <c r="K2" s="32" t="n"/>
      <c r="L2" s="32" t="n"/>
    </row>
    <row r="3">
      <c r="A3" s="30" t="n"/>
      <c r="B3" s="36" t="n"/>
      <c r="C3" s="36" t="n"/>
      <c r="D3" s="30" t="n"/>
      <c r="E3" s="36" t="n"/>
      <c r="F3" s="37" t="n"/>
      <c r="G3" s="37" t="n"/>
      <c r="H3" s="30" t="n"/>
      <c r="I3" s="30" t="n"/>
      <c r="J3" s="31" t="inlineStr">
        <is>
          <t> </t>
        </is>
      </c>
      <c r="K3" s="30" t="n"/>
      <c r="L3" s="30" t="n"/>
    </row>
    <row r="4" ht="14.1" customHeight="1" s="634">
      <c r="A4" s="30" t="n"/>
      <c r="B4" s="739" t="n"/>
      <c r="C4" s="688" t="n"/>
      <c r="D4" s="688" t="n"/>
      <c r="E4" s="688" t="n"/>
      <c r="F4" s="688" t="n"/>
      <c r="G4" s="688" t="n"/>
      <c r="H4" s="689" t="n"/>
      <c r="I4" s="30" t="n"/>
      <c r="J4" s="31" t="n"/>
      <c r="K4" s="30" t="n"/>
      <c r="L4" s="30" t="n"/>
    </row>
    <row r="5" ht="14.1" customHeight="1" s="634">
      <c r="A5" s="30" t="n"/>
      <c r="B5" s="641" t="n"/>
      <c r="H5" s="690" t="n"/>
      <c r="I5" s="30" t="n"/>
      <c r="J5" s="31" t="n"/>
      <c r="K5" s="30" t="n"/>
      <c r="L5" s="30" t="n"/>
    </row>
    <row r="6" ht="14.1" customHeight="1" s="634">
      <c r="A6" s="30" t="n"/>
      <c r="B6" s="641" t="n"/>
      <c r="H6" s="690" t="n"/>
      <c r="I6" s="30" t="n"/>
      <c r="J6" s="31" t="n"/>
      <c r="K6" s="30" t="n"/>
      <c r="L6" s="30" t="n"/>
    </row>
    <row r="7" ht="14.1" customHeight="1" s="634">
      <c r="A7" s="30" t="n"/>
      <c r="B7" s="641" t="n"/>
      <c r="H7" s="690" t="n"/>
      <c r="I7" s="30" t="n"/>
      <c r="J7" s="31" t="n"/>
      <c r="K7" s="30" t="n"/>
      <c r="L7" s="30" t="n"/>
    </row>
    <row r="8" ht="14.1" customHeight="1" s="634">
      <c r="A8" s="30" t="n"/>
      <c r="B8" s="641" t="n"/>
      <c r="H8" s="690" t="n"/>
      <c r="I8" s="30" t="n"/>
      <c r="J8" s="31" t="n"/>
      <c r="K8" s="30" t="n"/>
      <c r="L8" s="30" t="n"/>
    </row>
    <row r="9" ht="14.1" customHeight="1" s="634">
      <c r="A9" s="30" t="n"/>
      <c r="B9" s="641" t="n"/>
      <c r="H9" s="690" t="n"/>
      <c r="I9" s="30" t="n"/>
      <c r="J9" s="31" t="n"/>
      <c r="K9" s="30" t="n"/>
      <c r="L9" s="30" t="n"/>
    </row>
    <row r="10" ht="14.1" customHeight="1" s="634">
      <c r="A10" s="30" t="n"/>
      <c r="B10" s="641" t="n"/>
      <c r="H10" s="690" t="n"/>
      <c r="I10" s="30" t="n"/>
      <c r="J10" s="31" t="n"/>
      <c r="K10" s="30" t="n"/>
      <c r="L10" s="30" t="n"/>
    </row>
    <row r="11" ht="14.1" customHeight="1" s="634">
      <c r="A11" s="30" t="n"/>
      <c r="B11" s="641" t="n"/>
      <c r="H11" s="690" t="n"/>
      <c r="I11" s="30" t="n"/>
      <c r="J11" s="31" t="n"/>
      <c r="K11" s="30" t="n"/>
      <c r="L11" s="30" t="n"/>
    </row>
    <row r="12" ht="14.1" customHeight="1" s="634">
      <c r="A12" s="30" t="n"/>
      <c r="B12" s="641" t="n"/>
      <c r="H12" s="690" t="n"/>
      <c r="I12" s="30" t="n"/>
      <c r="J12" s="31" t="n"/>
      <c r="K12" s="30" t="n"/>
      <c r="L12" s="30" t="n"/>
    </row>
    <row r="13" ht="14.1" customHeight="1" s="634">
      <c r="A13" s="30" t="n"/>
      <c r="B13" s="641" t="n"/>
      <c r="H13" s="690" t="n"/>
      <c r="I13" s="30" t="n"/>
      <c r="J13" s="31" t="inlineStr">
        <is>
          <t> </t>
        </is>
      </c>
      <c r="K13" s="30" t="n"/>
      <c r="L13" s="30" t="n"/>
    </row>
    <row r="14" ht="14.1" customHeight="1" s="634">
      <c r="A14" s="30" t="n"/>
      <c r="B14" s="641" t="n"/>
      <c r="H14" s="690" t="n"/>
      <c r="I14" s="30" t="n"/>
      <c r="J14" s="31" t="n"/>
      <c r="K14" s="30" t="n"/>
      <c r="L14" s="30" t="n"/>
    </row>
    <row r="15" ht="14.1" customHeight="1" s="634">
      <c r="A15" s="30" t="n"/>
      <c r="B15" s="644" t="n"/>
      <c r="C15" s="645" t="n"/>
      <c r="D15" s="645" t="n"/>
      <c r="E15" s="645" t="n"/>
      <c r="F15" s="645" t="n"/>
      <c r="G15" s="645" t="n"/>
      <c r="H15" s="691" t="n"/>
      <c r="I15" s="30" t="n"/>
      <c r="J15" s="31" t="n"/>
      <c r="K15" s="30" t="n"/>
      <c r="L15" s="30" t="n"/>
    </row>
    <row r="16" ht="15" customHeight="1" s="634">
      <c r="A16" s="30" t="n"/>
      <c r="B16" s="30" t="n"/>
      <c r="C16" s="30" t="n"/>
      <c r="D16" s="30" t="n"/>
      <c r="E16" s="30" t="n"/>
      <c r="F16" s="30" t="n"/>
      <c r="G16" s="30" t="n"/>
      <c r="H16" s="30" t="n"/>
      <c r="I16" s="30" t="n"/>
      <c r="J16" s="31" t="n"/>
      <c r="K16" s="30" t="n"/>
      <c r="L16" s="30" t="n"/>
    </row>
    <row r="17" ht="7.5" customHeight="1" s="634">
      <c r="A17" s="31" t="inlineStr">
        <is>
          <t> </t>
        </is>
      </c>
      <c r="B17" s="31" t="inlineStr">
        <is>
          <t> </t>
        </is>
      </c>
      <c r="C17" s="31" t="inlineStr">
        <is>
          <t> </t>
        </is>
      </c>
      <c r="D17" s="31" t="inlineStr">
        <is>
          <t> </t>
        </is>
      </c>
      <c r="E17" s="31" t="inlineStr">
        <is>
          <t> </t>
        </is>
      </c>
      <c r="F17" s="31" t="inlineStr">
        <is>
          <t> </t>
        </is>
      </c>
      <c r="G17" s="31" t="inlineStr">
        <is>
          <t> </t>
        </is>
      </c>
      <c r="H17" s="31" t="inlineStr">
        <is>
          <t> </t>
        </is>
      </c>
      <c r="I17" s="31" t="inlineStr">
        <is>
          <t> </t>
        </is>
      </c>
      <c r="J17" s="31" t="inlineStr">
        <is>
          <t> </t>
        </is>
      </c>
      <c r="K17" s="30" t="n"/>
      <c r="L17" s="30" t="n"/>
    </row>
    <row r="18">
      <c r="A18" s="30" t="n"/>
      <c r="B18" s="30" t="n"/>
      <c r="C18" s="30" t="n"/>
      <c r="D18" s="30" t="n"/>
      <c r="E18" s="30" t="n"/>
      <c r="F18" s="30" t="n"/>
      <c r="G18" s="30" t="n"/>
      <c r="H18" s="30" t="n"/>
      <c r="I18" s="30" t="n"/>
      <c r="J18" s="30" t="n"/>
      <c r="K18" s="30" t="n"/>
      <c r="L18" s="30" t="n"/>
    </row>
    <row r="19">
      <c r="A19" s="30" t="n"/>
      <c r="B19" s="30" t="n"/>
      <c r="C19" s="30" t="n"/>
      <c r="D19" s="30" t="n"/>
      <c r="E19" s="30" t="n"/>
      <c r="F19" s="30" t="n"/>
      <c r="G19" s="30" t="n"/>
      <c r="H19" s="30" t="n"/>
      <c r="I19" s="30" t="n"/>
      <c r="J19" s="30" t="n"/>
      <c r="K19" s="30" t="n"/>
      <c r="L19" s="30" t="n"/>
    </row>
    <row r="20">
      <c r="A20" s="30" t="n"/>
      <c r="B20" s="30" t="n"/>
      <c r="C20" s="30" t="n"/>
      <c r="D20" s="30" t="n"/>
      <c r="E20" s="30" t="n"/>
      <c r="F20" s="30" t="n"/>
      <c r="G20" s="30" t="n"/>
      <c r="H20" s="30" t="n"/>
      <c r="I20" s="30" t="n"/>
      <c r="J20" s="30" t="n"/>
      <c r="K20" s="30" t="n"/>
      <c r="L20" s="30" t="n"/>
    </row>
    <row r="21">
      <c r="A21" s="30" t="n"/>
      <c r="B21" s="30" t="n"/>
      <c r="C21" s="30" t="n"/>
      <c r="D21" s="30" t="n"/>
      <c r="E21" s="30" t="n"/>
      <c r="F21" s="30" t="n"/>
      <c r="G21" s="30" t="n"/>
      <c r="H21" s="30" t="n"/>
      <c r="I21" s="30" t="n"/>
      <c r="J21" s="30" t="n"/>
      <c r="K21" s="30" t="n"/>
      <c r="L21" s="30" t="n"/>
    </row>
    <row r="22">
      <c r="A22" s="30" t="n"/>
      <c r="B22" s="30" t="n"/>
      <c r="C22" s="30" t="n"/>
      <c r="D22" s="30" t="n"/>
      <c r="E22" s="30" t="n"/>
      <c r="F22" s="30" t="n"/>
      <c r="G22" s="30" t="n"/>
      <c r="H22" s="30" t="n"/>
      <c r="I22" s="30" t="n"/>
      <c r="J22" s="30" t="n"/>
      <c r="K22" s="30" t="n"/>
      <c r="L22" s="30" t="n"/>
    </row>
    <row r="23">
      <c r="A23" s="30" t="n"/>
      <c r="B23" s="30" t="n"/>
      <c r="C23" s="30" t="n"/>
      <c r="D23" s="30" t="n"/>
      <c r="E23" s="30" t="n"/>
      <c r="F23" s="30" t="n"/>
      <c r="G23" s="30" t="n"/>
      <c r="H23" s="30" t="n"/>
      <c r="I23" s="30" t="n"/>
      <c r="J23" s="30" t="n"/>
      <c r="K23" s="30" t="n"/>
      <c r="L23" s="30" t="n"/>
    </row>
    <row r="24">
      <c r="A24" s="30" t="n"/>
      <c r="B24" s="30" t="n"/>
      <c r="C24" s="30" t="n"/>
      <c r="D24" s="30" t="n"/>
      <c r="E24" s="30" t="n"/>
      <c r="F24" s="30" t="n"/>
      <c r="G24" s="30" t="n"/>
      <c r="H24" s="30" t="n"/>
      <c r="I24" s="30" t="n"/>
      <c r="J24" s="30" t="n"/>
      <c r="K24" s="30" t="n"/>
      <c r="L24" s="30" t="n"/>
    </row>
  </sheetData>
  <mergeCells count="2">
    <mergeCell ref="B1:H1"/>
    <mergeCell ref="B4:H15"/>
  </mergeCells>
  <conditionalFormatting sqref="B4">
    <cfRule type="containsBlanks" priority="1" dxfId="4">
      <formula>LEN(TRIM(B4))=0</formula>
    </cfRule>
  </conditionalFormatting>
  <pageMargins left="0.7" right="0.7" top="0.75" bottom="0.75" header="0.3" footer="0.3"/>
  <pageSetup orientation="portrait" paperSize="9" horizontalDpi="300"/>
  <headerFooter>
    <oddHeader/>
    <oddFooter>&amp;LPAL SWP Accrued Liabilities_x000a_(24 June 2025)</oddFooter>
    <evenHeader/>
    <evenFooter/>
    <firstHeader/>
    <firstFooter/>
  </headerFooter>
</worksheet>
</file>

<file path=xl/worksheets/sheet5.xml><?xml version="1.0" encoding="utf-8"?>
<worksheet xmlns="http://schemas.openxmlformats.org/spreadsheetml/2006/main">
  <sheetPr codeName="Sheet6">
    <outlinePr summaryBelow="1" summaryRight="1"/>
    <pageSetUpPr/>
  </sheetPr>
  <dimension ref="A1:DX93"/>
  <sheetViews>
    <sheetView showGridLines="0" zoomScale="70" zoomScaleNormal="70" workbookViewId="0">
      <selection activeCell="A1" sqref="A1"/>
    </sheetView>
  </sheetViews>
  <sheetFormatPr baseColWidth="8" defaultColWidth="8.75" defaultRowHeight="13.35" customHeight="1"/>
  <cols>
    <col width="2.625" customWidth="1" style="194" min="1" max="1"/>
    <col width="20.875" customWidth="1" style="199" min="2" max="2"/>
    <col width="17.75" customWidth="1" style="195" min="3" max="3"/>
    <col width="26" customWidth="1" style="195" min="4" max="4"/>
    <col width="20.125" customWidth="1" style="195" min="5" max="5"/>
    <col width="17.375" customWidth="1" style="195" min="6" max="6"/>
    <col width="18.125" customWidth="1" style="195" min="7" max="9"/>
    <col width="15.5" customWidth="1" style="195" min="10" max="10"/>
    <col width="17.125" customWidth="1" style="195" min="11" max="11"/>
    <col width="9.5" customWidth="1" style="195" min="12" max="12"/>
    <col width="9.375" customWidth="1" style="195" min="13" max="13"/>
    <col width="9.25" customWidth="1" style="195" min="14" max="14"/>
    <col width="25.5" customWidth="1" style="195" min="15" max="15"/>
    <col width="2.625" customWidth="1" style="195" min="16" max="16"/>
    <col width="1.625" customWidth="1" style="195" min="17" max="17"/>
    <col width="12.75" customWidth="1" style="195" min="18" max="18"/>
    <col width="8.375" customWidth="1" style="195" min="19" max="19"/>
    <col width="9.375" customWidth="1" style="195" min="20" max="20"/>
    <col width="9.75" customWidth="1" style="195" min="21" max="21"/>
    <col width="12.375" customWidth="1" style="195" min="22" max="22"/>
    <col width="10.375" customWidth="1" style="195" min="23" max="23"/>
    <col width="12.375" customWidth="1" style="195" min="24" max="24"/>
    <col width="8.375" customWidth="1" style="195" min="25" max="25"/>
    <col width="9.375" customWidth="1" style="195" min="26" max="26"/>
    <col width="8.375" customWidth="1" style="195" min="27" max="28"/>
    <col width="10.75" customWidth="1" style="195" min="29" max="29"/>
    <col width="10.375" customWidth="1" style="195" min="30" max="30"/>
    <col width="12" customWidth="1" style="195" min="31" max="31"/>
    <col width="8.375" customWidth="1" style="195" min="32" max="32"/>
    <col width="10.125" customWidth="1" style="195" min="33" max="33"/>
    <col width="11.125" customWidth="1" style="195" min="34" max="34"/>
    <col width="8.375" customWidth="1" style="195" min="35" max="37"/>
    <col width="21.375" customWidth="1" style="195" min="38" max="38"/>
    <col width="19.75" customWidth="1" style="195" min="39" max="39"/>
    <col width="20.75" customWidth="1" style="195" min="40" max="40"/>
    <col width="17.375" customWidth="1" style="195" min="41" max="41"/>
    <col width="14.375" customWidth="1" style="195" min="42" max="42"/>
    <col width="13.75" customWidth="1" style="195" min="43" max="43"/>
    <col width="9.375" customWidth="1" style="195" min="44" max="44"/>
    <col width="8.75" customWidth="1" style="195" min="45" max="98"/>
    <col width="13.125" customWidth="1" style="196" min="99" max="99"/>
    <col width="7.375" customWidth="1" style="196" min="100" max="100"/>
    <col width="8.75" customWidth="1" style="196" min="101" max="110"/>
    <col width="14.375" customWidth="1" style="196" min="111" max="111"/>
    <col width="8.75" customWidth="1" style="196" min="112" max="117"/>
    <col width="10.375" customWidth="1" style="196" min="118" max="118"/>
    <col width="8.75" customWidth="1" style="196" min="119" max="122"/>
    <col width="10.125" customWidth="1" style="196" min="123" max="123"/>
    <col width="12.375" customWidth="1" style="196" min="124" max="124"/>
    <col width="8.75" customWidth="1" style="197" min="125" max="125"/>
    <col width="8.75" customWidth="1" style="196" min="126" max="126"/>
    <col width="8.75" customWidth="1" style="198" min="127" max="127"/>
    <col width="8.75" customWidth="1" style="195" min="128" max="16384"/>
  </cols>
  <sheetData>
    <row r="1" ht="50.1" customFormat="1" customHeight="1" s="193">
      <c r="A1" s="10" t="n"/>
      <c r="B1" s="331" t="inlineStr">
        <is>
          <t>标准工作底稿: N SWP 应付账款</t>
        </is>
      </c>
      <c r="C1" s="332" t="n"/>
      <c r="D1" s="333" t="n"/>
      <c r="E1" s="333" t="n"/>
      <c r="F1" s="333" t="n"/>
      <c r="G1" s="333" t="n"/>
      <c r="H1" s="333" t="n"/>
      <c r="I1" s="333" t="n"/>
      <c r="J1" s="333" t="n"/>
      <c r="K1" s="333" t="n"/>
      <c r="L1" s="333" t="n"/>
      <c r="M1" s="333" t="n"/>
      <c r="N1" s="334" t="n"/>
      <c r="O1" s="335" t="n"/>
      <c r="P1" s="10" t="n"/>
      <c r="Q1" s="17" t="n"/>
      <c r="R1" s="10" t="n"/>
      <c r="S1" s="10" t="n"/>
      <c r="T1" s="10" t="n"/>
      <c r="U1" s="10" t="n"/>
      <c r="V1" s="10" t="n"/>
      <c r="W1" s="10" t="n"/>
      <c r="X1" s="10" t="n"/>
      <c r="Y1" s="10" t="n"/>
      <c r="Z1" s="10" t="n"/>
      <c r="AA1" s="10" t="n"/>
      <c r="AB1" s="10" t="n"/>
      <c r="AC1" s="10" t="n"/>
      <c r="AD1" s="10" t="n"/>
      <c r="AE1" s="10" t="n"/>
      <c r="AF1" s="10" t="n"/>
      <c r="AG1" s="10" t="n"/>
      <c r="AH1" s="10" t="n"/>
      <c r="AI1" s="10" t="n"/>
      <c r="AJ1" s="10" t="n"/>
      <c r="AK1" s="10" t="n"/>
      <c r="AL1" s="10" t="n"/>
      <c r="AM1" s="10" t="n"/>
      <c r="AN1" s="10" t="n"/>
      <c r="AO1" s="10" t="n"/>
      <c r="AP1" s="10" t="n"/>
      <c r="AQ1" s="10" t="n"/>
      <c r="AR1" s="10" t="n"/>
      <c r="AS1" s="10" t="n"/>
      <c r="AT1" s="10" t="n"/>
      <c r="AU1" s="10" t="n"/>
      <c r="AV1" s="10" t="n"/>
      <c r="AW1" s="10" t="n"/>
      <c r="AX1" s="10" t="n"/>
      <c r="AY1" s="10" t="n"/>
      <c r="AZ1" s="10" t="n"/>
      <c r="BA1" s="10" t="n"/>
      <c r="BB1" s="10" t="n"/>
      <c r="BC1" s="10" t="n"/>
      <c r="BD1" s="10" t="n"/>
      <c r="BE1" s="10" t="n"/>
      <c r="BF1" s="10" t="n"/>
      <c r="BG1" s="10" t="n"/>
      <c r="BH1" s="10" t="n"/>
      <c r="BI1" s="10" t="n"/>
      <c r="BJ1" s="10" t="n"/>
      <c r="BK1" s="10" t="n"/>
      <c r="BL1" s="10" t="n"/>
      <c r="BM1" s="10" t="n"/>
      <c r="BN1" s="10" t="n"/>
      <c r="BO1" s="10" t="n"/>
      <c r="BP1" s="10" t="n"/>
      <c r="BQ1" s="10" t="n"/>
      <c r="BR1" s="10" t="n"/>
      <c r="BS1" s="10" t="n"/>
      <c r="BT1" s="10" t="n"/>
      <c r="BU1" s="10" t="n"/>
      <c r="BV1" s="10" t="n"/>
      <c r="BW1" s="10" t="n"/>
      <c r="BX1" s="10" t="n"/>
      <c r="BY1" s="10" t="n"/>
      <c r="BZ1" s="10" t="n"/>
      <c r="CA1" s="10" t="n"/>
      <c r="CB1" s="10" t="n"/>
      <c r="CC1" s="10" t="n"/>
      <c r="CD1" s="10" t="n"/>
      <c r="CE1" s="10" t="n"/>
      <c r="CF1" s="10" t="n"/>
      <c r="CG1" s="10" t="n"/>
      <c r="CH1" s="10" t="n"/>
      <c r="CI1" s="10" t="n"/>
      <c r="CJ1" s="10" t="n"/>
      <c r="CK1" s="10" t="n"/>
      <c r="CL1" s="10" t="n"/>
      <c r="CM1" s="10" t="n"/>
      <c r="CN1" s="10" t="n"/>
      <c r="CO1" s="10" t="n"/>
      <c r="CP1" s="10" t="n"/>
      <c r="CQ1" s="10" t="n"/>
      <c r="CR1" s="10" t="n"/>
      <c r="CS1" s="10" t="n"/>
      <c r="CT1" s="10" t="n"/>
      <c r="CU1" s="10" t="n"/>
      <c r="CV1" s="10" t="n"/>
      <c r="CW1" s="10" t="n"/>
      <c r="CX1" s="10" t="n"/>
      <c r="CY1" s="10" t="n"/>
      <c r="CZ1" s="10" t="n"/>
      <c r="DA1" s="10" t="n"/>
      <c r="DB1" s="10" t="n"/>
      <c r="DC1" s="10" t="n"/>
      <c r="DD1" s="10" t="n"/>
      <c r="DE1" s="10" t="n"/>
      <c r="DF1" s="10" t="n"/>
      <c r="DG1" s="10" t="n"/>
      <c r="DH1" s="10" t="n"/>
      <c r="DI1" s="10" t="n"/>
      <c r="DJ1" s="10" t="n"/>
      <c r="DK1" s="10" t="n"/>
      <c r="DL1" s="10" t="n"/>
      <c r="DM1" s="10" t="n"/>
      <c r="DN1" s="10" t="n"/>
      <c r="DO1" s="10" t="n"/>
      <c r="DP1" s="10" t="n"/>
      <c r="DQ1" s="10" t="n"/>
      <c r="DR1" s="10" t="n"/>
      <c r="DS1" s="10" t="n"/>
      <c r="DT1" s="10" t="n"/>
      <c r="DU1" s="10" t="n"/>
      <c r="DV1" s="10" t="n"/>
      <c r="DW1" s="10" t="n"/>
    </row>
    <row r="2" ht="30" customFormat="1" customHeight="1" s="193">
      <c r="A2" s="10" t="n"/>
      <c r="B2" s="336" t="inlineStr">
        <is>
          <t>N.02: 借方余额测试和异常项目复核</t>
        </is>
      </c>
      <c r="C2" s="337" t="n"/>
      <c r="D2" s="337" t="n"/>
      <c r="E2" s="337" t="n"/>
      <c r="F2" s="337" t="n"/>
      <c r="G2" s="337" t="n"/>
      <c r="H2" s="337" t="n"/>
      <c r="I2" s="337" t="n"/>
      <c r="J2" s="337" t="n"/>
      <c r="K2" s="337" t="n"/>
      <c r="L2" s="337" t="n"/>
      <c r="M2" s="337" t="n"/>
      <c r="N2" s="337" t="n"/>
      <c r="O2" s="338" t="n"/>
      <c r="P2" s="10" t="n"/>
      <c r="Q2" s="17" t="n"/>
      <c r="R2" s="10" t="n"/>
      <c r="S2" s="10" t="n"/>
      <c r="T2" s="10" t="n"/>
      <c r="U2" s="10" t="n"/>
      <c r="V2" s="10" t="n"/>
      <c r="W2" s="10" t="n"/>
      <c r="X2" s="10" t="n"/>
      <c r="Y2" s="10" t="n"/>
      <c r="Z2" s="10" t="n"/>
      <c r="AA2" s="10" t="n"/>
      <c r="AB2" s="10" t="n"/>
      <c r="AC2" s="10" t="n"/>
      <c r="AD2" s="10" t="n"/>
      <c r="AE2" s="10" t="n"/>
      <c r="AF2" s="10" t="n"/>
      <c r="AG2" s="10" t="n"/>
      <c r="AH2" s="10" t="n"/>
      <c r="AI2" s="10" t="n"/>
      <c r="AJ2" s="10" t="n"/>
      <c r="AK2" s="10" t="n"/>
      <c r="AL2" s="10" t="n"/>
      <c r="AM2" s="10" t="n"/>
      <c r="AN2" s="10" t="n"/>
      <c r="AO2" s="10" t="n"/>
      <c r="AP2" s="10" t="n"/>
      <c r="AQ2" s="10" t="n"/>
      <c r="AR2" s="10" t="n"/>
      <c r="AS2" s="10" t="n"/>
      <c r="AT2" s="10" t="n"/>
      <c r="AU2" s="10" t="n"/>
      <c r="AV2" s="10" t="n"/>
      <c r="AW2" s="10" t="n"/>
      <c r="AX2" s="10" t="n"/>
      <c r="AY2" s="10" t="n"/>
      <c r="AZ2" s="10" t="n"/>
      <c r="BA2" s="10" t="n"/>
      <c r="BB2" s="10" t="n"/>
      <c r="BC2" s="10" t="n"/>
      <c r="BD2" s="10" t="n"/>
      <c r="BE2" s="10" t="n"/>
      <c r="BF2" s="10" t="n"/>
      <c r="BG2" s="10" t="n"/>
      <c r="BH2" s="10" t="n"/>
      <c r="BI2" s="10" t="n"/>
      <c r="BJ2" s="10" t="n"/>
      <c r="BK2" s="10" t="n"/>
      <c r="BL2" s="10" t="n"/>
      <c r="BM2" s="10" t="n"/>
      <c r="BN2" s="10" t="n"/>
      <c r="BO2" s="10" t="n"/>
      <c r="BP2" s="10" t="n"/>
      <c r="BQ2" s="10" t="n"/>
      <c r="BR2" s="10" t="n"/>
      <c r="BS2" s="10" t="n"/>
      <c r="BT2" s="10" t="n"/>
      <c r="BU2" s="10" t="n"/>
      <c r="BV2" s="10" t="n"/>
      <c r="BW2" s="10" t="n"/>
      <c r="BX2" s="10" t="n"/>
      <c r="BY2" s="10" t="n"/>
      <c r="BZ2" s="10" t="n"/>
      <c r="CA2" s="10" t="n"/>
      <c r="CB2" s="10" t="n"/>
      <c r="CC2" s="10" t="n"/>
      <c r="CD2" s="10" t="n"/>
      <c r="CE2" s="10" t="n"/>
      <c r="CF2" s="10" t="n"/>
      <c r="CG2" s="10" t="n"/>
      <c r="CH2" s="10" t="n"/>
      <c r="CI2" s="10" t="n"/>
      <c r="CJ2" s="10" t="n"/>
      <c r="CK2" s="10" t="n"/>
      <c r="CL2" s="10" t="n"/>
      <c r="CM2" s="10" t="n"/>
      <c r="CN2" s="10" t="n"/>
      <c r="CO2" s="10" t="n"/>
      <c r="CP2" s="10" t="n"/>
      <c r="CQ2" s="10" t="n"/>
      <c r="CR2" s="10" t="n"/>
      <c r="CS2" s="10" t="n"/>
      <c r="CT2" s="10" t="n"/>
      <c r="CU2" s="10" t="n"/>
      <c r="CV2" s="10" t="n"/>
      <c r="CW2" s="10" t="n"/>
      <c r="CX2" s="10" t="n"/>
      <c r="CY2" s="10" t="n"/>
      <c r="CZ2" s="10" t="n"/>
      <c r="DA2" s="10" t="n"/>
      <c r="DB2" s="10" t="n"/>
      <c r="DC2" s="10" t="n"/>
      <c r="DD2" s="10" t="n"/>
      <c r="DE2" s="10" t="n"/>
      <c r="DF2" s="10" t="n"/>
      <c r="DG2" s="10" t="n"/>
      <c r="DH2" s="10" t="n"/>
      <c r="DI2" s="10" t="n"/>
      <c r="DJ2" s="10" t="n"/>
      <c r="DK2" s="10" t="n"/>
      <c r="DL2" s="10" t="n"/>
      <c r="DM2" s="10" t="n"/>
      <c r="DN2" s="10" t="n"/>
      <c r="DO2" s="10" t="n"/>
      <c r="DP2" s="10" t="n"/>
      <c r="DQ2" s="10" t="n"/>
      <c r="DR2" s="10" t="n"/>
      <c r="DS2" s="10" t="n"/>
      <c r="DT2" s="10" t="n"/>
      <c r="DU2" s="10" t="n"/>
      <c r="DV2" s="10" t="n"/>
      <c r="DW2" s="10" t="n"/>
    </row>
    <row r="3" ht="15" customFormat="1" customHeight="1" s="193">
      <c r="A3" s="10" t="n"/>
      <c r="B3" s="10" t="n"/>
      <c r="C3" s="10" t="n"/>
      <c r="D3" s="10" t="n"/>
      <c r="E3" s="10" t="n"/>
      <c r="F3" s="10" t="n"/>
      <c r="G3" s="10" t="n"/>
      <c r="H3" s="10" t="n"/>
      <c r="I3" s="10" t="n"/>
      <c r="J3" s="10" t="n"/>
      <c r="K3" s="10" t="n"/>
      <c r="L3" s="10" t="n"/>
      <c r="M3" s="339" t="n"/>
      <c r="N3" s="339" t="n"/>
      <c r="O3" s="339" t="n"/>
      <c r="P3" s="10" t="n"/>
      <c r="Q3" s="17" t="n"/>
      <c r="R3" s="10" t="n"/>
      <c r="S3" s="10" t="n"/>
      <c r="T3" s="10" t="n"/>
      <c r="U3" s="10" t="n"/>
      <c r="V3" s="10" t="n"/>
      <c r="W3" s="10" t="n"/>
      <c r="X3" s="10" t="n"/>
      <c r="Y3" s="10" t="n"/>
      <c r="Z3" s="10" t="n"/>
      <c r="AA3" s="10" t="n"/>
      <c r="AB3" s="10" t="n"/>
      <c r="AC3" s="10" t="n"/>
      <c r="AD3" s="10" t="n"/>
      <c r="AE3" s="10" t="n"/>
      <c r="AF3" s="10" t="n"/>
      <c r="AG3" s="10" t="n"/>
      <c r="AH3" s="10" t="n"/>
      <c r="AI3" s="10" t="n"/>
      <c r="AJ3" s="10" t="n"/>
      <c r="AK3" s="10" t="n"/>
      <c r="AL3" s="10" t="n"/>
      <c r="AM3" s="10" t="n"/>
      <c r="AN3" s="10" t="n"/>
      <c r="AO3" s="10" t="n"/>
      <c r="AP3" s="10" t="n"/>
      <c r="AQ3" s="10" t="n"/>
      <c r="AR3" s="10" t="n"/>
      <c r="AS3" s="10" t="n"/>
      <c r="AT3" s="10" t="n"/>
      <c r="AU3" s="10" t="n"/>
      <c r="AV3" s="10" t="n"/>
      <c r="AW3" s="10" t="n"/>
      <c r="AX3" s="10" t="n"/>
      <c r="AY3" s="10" t="n"/>
      <c r="AZ3" s="10" t="n"/>
      <c r="BA3" s="10" t="n"/>
      <c r="BB3" s="10" t="n"/>
      <c r="BC3" s="10" t="n"/>
      <c r="BD3" s="10" t="n"/>
      <c r="BE3" s="10" t="n"/>
      <c r="BF3" s="10" t="n"/>
      <c r="BG3" s="10" t="n"/>
      <c r="BH3" s="10" t="n"/>
      <c r="BI3" s="10" t="n"/>
      <c r="BJ3" s="10" t="n"/>
      <c r="BK3" s="10" t="n"/>
      <c r="BL3" s="10" t="n"/>
      <c r="BM3" s="10" t="n"/>
      <c r="BN3" s="10" t="n"/>
      <c r="BO3" s="10" t="n"/>
      <c r="BP3" s="10" t="n"/>
      <c r="BQ3" s="10" t="n"/>
      <c r="BR3" s="10" t="n"/>
      <c r="BS3" s="10" t="n"/>
      <c r="BT3" s="10" t="n"/>
      <c r="BU3" s="10" t="n"/>
      <c r="BV3" s="10" t="n"/>
      <c r="BW3" s="10" t="n"/>
      <c r="BX3" s="10" t="n"/>
      <c r="BY3" s="10" t="n"/>
      <c r="BZ3" s="10" t="n"/>
      <c r="CA3" s="10" t="n"/>
      <c r="CB3" s="10" t="n"/>
      <c r="CC3" s="10" t="n"/>
      <c r="CD3" s="10" t="n"/>
      <c r="CE3" s="10" t="n"/>
      <c r="CF3" s="10" t="n"/>
      <c r="CG3" s="10" t="n"/>
      <c r="CH3" s="10" t="n"/>
      <c r="CI3" s="10" t="n"/>
      <c r="CJ3" s="10" t="n"/>
      <c r="CK3" s="10" t="n"/>
      <c r="CL3" s="10" t="n"/>
      <c r="CM3" s="10" t="n"/>
      <c r="CN3" s="10" t="n"/>
      <c r="CO3" s="10" t="n"/>
      <c r="CP3" s="10" t="n"/>
      <c r="CQ3" s="10" t="n"/>
      <c r="CR3" s="10" t="n"/>
      <c r="CS3" s="10" t="n"/>
      <c r="CT3" s="10" t="n"/>
      <c r="CU3" s="10" t="n"/>
      <c r="CV3" s="10" t="n"/>
      <c r="CW3" s="10" t="n"/>
      <c r="CX3" s="10" t="n"/>
      <c r="CY3" s="10" t="n"/>
      <c r="CZ3" s="10" t="n"/>
      <c r="DA3" s="10" t="n"/>
      <c r="DB3" s="10" t="n"/>
      <c r="DC3" s="10" t="n"/>
      <c r="DD3" s="10" t="n"/>
      <c r="DE3" s="10" t="n"/>
      <c r="DF3" s="10" t="n"/>
      <c r="DG3" s="10" t="n"/>
      <c r="DH3" s="10" t="n"/>
      <c r="DI3" s="10" t="n"/>
      <c r="DJ3" s="10" t="n"/>
      <c r="DK3" s="10" t="n"/>
      <c r="DL3" s="10" t="n"/>
      <c r="DM3" s="10" t="n"/>
      <c r="DN3" s="10" t="n"/>
      <c r="DO3" s="10" t="n"/>
      <c r="DP3" s="10" t="n"/>
      <c r="DQ3" s="10" t="n"/>
      <c r="DR3" s="10" t="n"/>
      <c r="DS3" s="10" t="n"/>
      <c r="DT3" s="10" t="n"/>
      <c r="DU3" s="10" t="n"/>
      <c r="DV3" s="10" t="n"/>
      <c r="DW3" s="10" t="n"/>
    </row>
    <row r="4" ht="15" customFormat="1" customHeight="1" s="193">
      <c r="A4" s="10" t="n"/>
      <c r="B4" s="201" t="inlineStr">
        <is>
          <t>返回汇总页</t>
        </is>
      </c>
      <c r="C4" s="10" t="n"/>
      <c r="D4" s="10" t="n"/>
      <c r="E4" s="10" t="n"/>
      <c r="F4" s="10" t="n"/>
      <c r="G4" s="10" t="n"/>
      <c r="H4" s="10" t="n"/>
      <c r="I4" s="10" t="n"/>
      <c r="J4" s="10" t="n"/>
      <c r="K4" s="10" t="n"/>
      <c r="L4" s="10" t="n"/>
      <c r="M4" s="340" t="n"/>
      <c r="N4" s="340" t="n"/>
      <c r="O4" s="340" t="n"/>
      <c r="P4" s="10" t="n"/>
      <c r="Q4" s="17" t="n"/>
      <c r="R4" s="10" t="n"/>
      <c r="S4" s="10" t="n"/>
      <c r="T4" s="10" t="n"/>
      <c r="U4" s="10" t="n"/>
      <c r="V4" s="10" t="n"/>
      <c r="W4" s="10" t="n"/>
      <c r="X4" s="10" t="n"/>
      <c r="Y4" s="10" t="n"/>
      <c r="Z4" s="10" t="n"/>
      <c r="AA4" s="10" t="n"/>
      <c r="AB4" s="10" t="n"/>
      <c r="AC4" s="10" t="n"/>
      <c r="AD4" s="10" t="n"/>
      <c r="AE4" s="10" t="n"/>
      <c r="AF4" s="10" t="n"/>
      <c r="AG4" s="10" t="n"/>
      <c r="AH4" s="10" t="n"/>
      <c r="AI4" s="10" t="n"/>
      <c r="AJ4" s="10" t="n"/>
      <c r="AK4" s="10" t="n"/>
      <c r="AL4" s="10" t="n"/>
      <c r="AM4" s="10" t="n"/>
      <c r="AN4" s="10" t="n"/>
      <c r="AO4" s="10" t="n"/>
      <c r="AP4" s="10" t="n"/>
      <c r="AQ4" s="10" t="n"/>
      <c r="AR4" s="10" t="n"/>
      <c r="AS4" s="10" t="n"/>
      <c r="AT4" s="10" t="n"/>
      <c r="AU4" s="10" t="n"/>
      <c r="AV4" s="10" t="n"/>
      <c r="AW4" s="10" t="n"/>
      <c r="AX4" s="10" t="n"/>
      <c r="AY4" s="10" t="n"/>
      <c r="AZ4" s="10" t="n"/>
      <c r="BA4" s="10" t="n"/>
      <c r="BB4" s="10" t="n"/>
      <c r="BC4" s="10" t="n"/>
      <c r="BD4" s="10" t="n"/>
      <c r="BE4" s="10" t="n"/>
      <c r="BF4" s="10" t="n"/>
      <c r="BG4" s="10" t="n"/>
      <c r="BH4" s="10" t="n"/>
      <c r="BI4" s="10" t="n"/>
      <c r="BJ4" s="10" t="n"/>
      <c r="BK4" s="10" t="n"/>
      <c r="BL4" s="10" t="n"/>
      <c r="BM4" s="10" t="n"/>
      <c r="BN4" s="10" t="n"/>
      <c r="BO4" s="10" t="n"/>
      <c r="BP4" s="10" t="n"/>
      <c r="BQ4" s="10" t="n"/>
      <c r="BR4" s="10" t="n"/>
      <c r="BS4" s="10" t="n"/>
      <c r="BT4" s="10" t="n"/>
      <c r="BU4" s="10" t="n"/>
      <c r="BV4" s="10" t="n"/>
      <c r="BW4" s="10" t="n"/>
      <c r="BX4" s="10" t="n"/>
      <c r="BY4" s="10" t="n"/>
      <c r="BZ4" s="10" t="n"/>
      <c r="CA4" s="10" t="n"/>
      <c r="CB4" s="10" t="n"/>
      <c r="CC4" s="10" t="n"/>
      <c r="CD4" s="10" t="n"/>
      <c r="CE4" s="10" t="n"/>
      <c r="CF4" s="10" t="n"/>
      <c r="CG4" s="10" t="n"/>
      <c r="CH4" s="10" t="n"/>
      <c r="CI4" s="10" t="n"/>
      <c r="CJ4" s="10" t="n"/>
      <c r="CK4" s="10" t="n"/>
      <c r="CL4" s="10" t="n"/>
      <c r="CM4" s="10" t="n"/>
      <c r="CN4" s="10" t="n"/>
      <c r="CO4" s="10" t="n"/>
      <c r="CP4" s="10" t="n"/>
      <c r="CQ4" s="10" t="n"/>
      <c r="CR4" s="10" t="n"/>
      <c r="CS4" s="10" t="n"/>
      <c r="CT4" s="10" t="n"/>
      <c r="CU4" s="10" t="n"/>
      <c r="CV4" s="10" t="n"/>
      <c r="CW4" s="10" t="n"/>
      <c r="CX4" s="10" t="n"/>
      <c r="CY4" s="10" t="n"/>
      <c r="CZ4" s="10" t="n"/>
      <c r="DA4" s="10" t="n"/>
      <c r="DB4" s="10" t="n"/>
      <c r="DC4" s="10" t="n"/>
      <c r="DD4" s="10" t="n"/>
      <c r="DE4" s="10" t="n"/>
      <c r="DF4" s="10" t="n"/>
      <c r="DG4" s="10" t="n"/>
      <c r="DH4" s="10" t="n"/>
      <c r="DI4" s="10" t="n"/>
      <c r="DJ4" s="10" t="n"/>
      <c r="DK4" s="10" t="n"/>
      <c r="DL4" s="10" t="n"/>
      <c r="DM4" s="10" t="n"/>
      <c r="DN4" s="10" t="n"/>
      <c r="DO4" s="10" t="n"/>
      <c r="DP4" s="10" t="n"/>
      <c r="DQ4" s="10" t="n"/>
      <c r="DR4" s="10" t="n"/>
      <c r="DS4" s="10" t="n"/>
      <c r="DT4" s="10" t="n"/>
      <c r="DU4" s="10" t="n"/>
      <c r="DV4" s="10" t="n"/>
      <c r="DW4" s="10" t="n"/>
    </row>
    <row r="5" ht="15" customFormat="1" customHeight="1" s="193">
      <c r="A5" s="10" t="n"/>
      <c r="B5" s="10" t="n"/>
      <c r="C5" s="10" t="n"/>
      <c r="D5" s="10" t="n"/>
      <c r="E5" s="10" t="n"/>
      <c r="F5" s="10" t="n"/>
      <c r="G5" s="10" t="n"/>
      <c r="H5" s="10" t="n"/>
      <c r="I5" s="10" t="n"/>
      <c r="J5" s="10" t="n"/>
      <c r="K5" s="10" t="n"/>
      <c r="L5" s="10" t="n"/>
      <c r="M5" s="340" t="n"/>
      <c r="N5" s="340" t="n"/>
      <c r="O5" s="340" t="n"/>
      <c r="P5" s="10" t="n"/>
      <c r="Q5" s="17" t="n"/>
      <c r="R5" s="10" t="n"/>
      <c r="S5" s="10" t="n"/>
      <c r="T5" s="10" t="n"/>
      <c r="U5" s="10" t="n"/>
      <c r="V5" s="10" t="n"/>
      <c r="W5" s="10" t="n"/>
      <c r="X5" s="10" t="n"/>
      <c r="Y5" s="10" t="n"/>
      <c r="Z5" s="10" t="n"/>
      <c r="AA5" s="10" t="n"/>
      <c r="AB5" s="10" t="n"/>
      <c r="AC5" s="10" t="n"/>
      <c r="AD5" s="10" t="n"/>
      <c r="AE5" s="10" t="n"/>
      <c r="AF5" s="10" t="n"/>
      <c r="AG5" s="10" t="n"/>
      <c r="AH5" s="10" t="n"/>
      <c r="AI5" s="10" t="n"/>
      <c r="AJ5" s="10" t="n"/>
      <c r="AK5" s="10" t="n"/>
      <c r="AL5" s="10" t="n"/>
      <c r="AM5" s="10" t="n"/>
      <c r="AN5" s="10" t="n"/>
      <c r="AO5" s="10" t="n"/>
      <c r="AP5" s="10" t="n"/>
      <c r="AQ5" s="10" t="n"/>
      <c r="AR5" s="10" t="n"/>
      <c r="AS5" s="10" t="n"/>
      <c r="AT5" s="10" t="n"/>
      <c r="AU5" s="10" t="n"/>
      <c r="AV5" s="10" t="n"/>
      <c r="AW5" s="10" t="n"/>
      <c r="AX5" s="10" t="n"/>
      <c r="AY5" s="10" t="n"/>
      <c r="AZ5" s="10" t="n"/>
      <c r="BA5" s="10" t="n"/>
      <c r="BB5" s="10" t="n"/>
      <c r="BC5" s="10" t="n"/>
      <c r="BD5" s="10" t="n"/>
      <c r="BE5" s="10" t="n"/>
      <c r="BF5" s="10" t="n"/>
      <c r="BG5" s="10" t="n"/>
      <c r="BH5" s="10" t="n"/>
      <c r="BI5" s="10" t="n"/>
      <c r="BJ5" s="10" t="n"/>
      <c r="BK5" s="10" t="n"/>
      <c r="BL5" s="10" t="n"/>
      <c r="BM5" s="10" t="n"/>
      <c r="BN5" s="10" t="n"/>
      <c r="BO5" s="10" t="n"/>
      <c r="BP5" s="10" t="n"/>
      <c r="BQ5" s="10" t="n"/>
      <c r="BR5" s="10" t="n"/>
      <c r="BS5" s="10" t="n"/>
      <c r="BT5" s="10" t="n"/>
      <c r="BU5" s="10" t="n"/>
      <c r="BV5" s="10" t="n"/>
      <c r="BW5" s="10" t="n"/>
      <c r="BX5" s="10" t="n"/>
      <c r="BY5" s="10" t="n"/>
      <c r="BZ5" s="10" t="n"/>
      <c r="CA5" s="10" t="n"/>
      <c r="CB5" s="10" t="n"/>
      <c r="CC5" s="10" t="n"/>
      <c r="CD5" s="10" t="n"/>
      <c r="CE5" s="10" t="n"/>
      <c r="CF5" s="10" t="n"/>
      <c r="CG5" s="10" t="n"/>
      <c r="CH5" s="10" t="n"/>
      <c r="CI5" s="10" t="n"/>
      <c r="CJ5" s="10" t="n"/>
      <c r="CK5" s="10" t="n"/>
      <c r="CL5" s="10" t="n"/>
      <c r="CM5" s="10" t="n"/>
      <c r="CN5" s="10" t="n"/>
      <c r="CO5" s="10" t="n"/>
      <c r="CP5" s="10" t="n"/>
      <c r="CQ5" s="10" t="n"/>
      <c r="CR5" s="10" t="n"/>
      <c r="CS5" s="10" t="n"/>
      <c r="CT5" s="10" t="n"/>
      <c r="CU5" s="10" t="n"/>
      <c r="CV5" s="10" t="n"/>
      <c r="CW5" s="10" t="n"/>
      <c r="CX5" s="10" t="n"/>
      <c r="CY5" s="10" t="n"/>
      <c r="CZ5" s="10" t="n"/>
      <c r="DA5" s="10" t="n"/>
      <c r="DB5" s="10" t="n"/>
      <c r="DC5" s="10" t="n"/>
      <c r="DD5" s="10" t="n"/>
      <c r="DE5" s="10" t="n"/>
      <c r="DF5" s="10" t="n"/>
      <c r="DG5" s="10" t="n"/>
      <c r="DH5" s="10" t="n"/>
      <c r="DI5" s="10" t="n"/>
      <c r="DJ5" s="10" t="n"/>
      <c r="DK5" s="10" t="n"/>
      <c r="DL5" s="10" t="n"/>
      <c r="DM5" s="10" t="n"/>
      <c r="DN5" s="10" t="n"/>
      <c r="DO5" s="10" t="n"/>
      <c r="DP5" s="10" t="n"/>
      <c r="DQ5" s="10" t="n"/>
      <c r="DR5" s="10" t="n"/>
      <c r="DS5" s="10" t="n"/>
      <c r="DT5" s="10" t="n"/>
      <c r="DU5" s="10" t="n"/>
      <c r="DV5" s="10" t="n"/>
      <c r="DW5" s="10" t="n"/>
    </row>
    <row r="6" ht="15" customFormat="1" customHeight="1" s="193">
      <c r="A6" s="10" t="n"/>
      <c r="B6" s="714">
        <f>'N.00 Lead sheet'!E15</f>
        <v/>
      </c>
      <c r="C6" s="86" t="inlineStr">
        <is>
          <t>用于识别和测试项目的测试阈值</t>
        </is>
      </c>
      <c r="D6" s="47" t="n"/>
      <c r="E6" s="10" t="n"/>
      <c r="F6" s="10" t="n"/>
      <c r="G6" s="10" t="n"/>
      <c r="H6" s="10" t="n"/>
      <c r="I6" s="10" t="n"/>
      <c r="J6" s="10" t="n"/>
      <c r="K6" s="10" t="n"/>
      <c r="L6" s="10" t="n"/>
      <c r="M6" s="10" t="n"/>
      <c r="N6" s="10" t="n"/>
      <c r="O6" s="10" t="n"/>
      <c r="P6" s="10" t="n"/>
      <c r="Q6" s="17" t="n"/>
      <c r="R6" s="10" t="n"/>
      <c r="S6" s="10" t="n"/>
      <c r="T6" s="10" t="n"/>
      <c r="U6" s="10" t="n"/>
      <c r="V6" s="10" t="n"/>
      <c r="W6" s="10" t="n"/>
      <c r="X6" s="10" t="n"/>
      <c r="Y6" s="10" t="n"/>
      <c r="Z6" s="10" t="n"/>
      <c r="AA6" s="10" t="n"/>
      <c r="AB6" s="10" t="n"/>
      <c r="AC6" s="10" t="n"/>
      <c r="AD6" s="10" t="n"/>
      <c r="AE6" s="10" t="n"/>
      <c r="AF6" s="10" t="n"/>
      <c r="AG6" s="10" t="n"/>
      <c r="AH6" s="10" t="n"/>
      <c r="AI6" s="10" t="n"/>
      <c r="AJ6" s="10" t="n"/>
      <c r="AK6" s="10" t="n"/>
      <c r="AL6" s="10" t="n"/>
      <c r="AM6" s="10" t="n"/>
      <c r="AN6" s="10" t="n"/>
      <c r="AO6" s="10" t="n"/>
      <c r="AP6" s="10" t="n"/>
      <c r="AQ6" s="10" t="n"/>
      <c r="AR6" s="10" t="n"/>
      <c r="AS6" s="10" t="n"/>
      <c r="AT6" s="10" t="n"/>
      <c r="AU6" s="10" t="n"/>
      <c r="AV6" s="10" t="n"/>
      <c r="AW6" s="10" t="n"/>
      <c r="AX6" s="10" t="n"/>
      <c r="AY6" s="10" t="n"/>
      <c r="AZ6" s="10" t="n"/>
      <c r="BA6" s="10" t="n"/>
      <c r="BB6" s="10" t="n"/>
      <c r="BC6" s="10" t="n"/>
      <c r="BD6" s="10" t="n"/>
      <c r="BE6" s="10" t="n"/>
      <c r="BF6" s="10" t="n"/>
      <c r="BG6" s="10" t="n"/>
      <c r="BH6" s="10" t="n"/>
      <c r="BI6" s="10" t="n"/>
      <c r="BJ6" s="10" t="n"/>
      <c r="BK6" s="10" t="n"/>
      <c r="BL6" s="10" t="n"/>
      <c r="BM6" s="10" t="n"/>
      <c r="BN6" s="10" t="n"/>
      <c r="BO6" s="10" t="n"/>
      <c r="BP6" s="10" t="n"/>
      <c r="BQ6" s="10" t="n"/>
      <c r="BR6" s="10" t="n"/>
      <c r="BS6" s="10" t="n"/>
      <c r="BT6" s="10" t="n"/>
      <c r="BU6" s="10" t="n"/>
      <c r="BV6" s="10" t="n"/>
      <c r="BW6" s="10" t="n"/>
      <c r="BX6" s="10" t="n"/>
      <c r="BY6" s="10" t="n"/>
      <c r="BZ6" s="10" t="n"/>
      <c r="CA6" s="10" t="n"/>
      <c r="CB6" s="10" t="n"/>
      <c r="CC6" s="10" t="n"/>
      <c r="CD6" s="10" t="n"/>
      <c r="CE6" s="10" t="n"/>
      <c r="CF6" s="10" t="n"/>
      <c r="CG6" s="10" t="n"/>
      <c r="CH6" s="10" t="n"/>
      <c r="CI6" s="10" t="n"/>
      <c r="CJ6" s="10" t="n"/>
      <c r="CK6" s="10" t="n"/>
      <c r="CL6" s="10" t="n"/>
      <c r="CM6" s="10" t="n"/>
      <c r="CN6" s="10" t="n"/>
      <c r="CO6" s="10" t="n"/>
      <c r="CP6" s="10" t="n"/>
      <c r="CQ6" s="10" t="n"/>
      <c r="CR6" s="10" t="n"/>
      <c r="CS6" s="10" t="n"/>
      <c r="CT6" s="10" t="n"/>
      <c r="CU6" s="10" t="n"/>
      <c r="CV6" s="10" t="n"/>
      <c r="CW6" s="10" t="n"/>
      <c r="CX6" s="10" t="n"/>
      <c r="CY6" s="10" t="n"/>
      <c r="CZ6" s="10" t="n"/>
      <c r="DA6" s="10" t="n"/>
      <c r="DB6" s="10" t="n"/>
      <c r="DC6" s="10" t="n"/>
      <c r="DD6" s="10" t="n"/>
      <c r="DE6" s="10" t="n"/>
      <c r="DF6" s="10" t="n"/>
      <c r="DG6" s="10" t="n"/>
      <c r="DH6" s="10" t="n"/>
      <c r="DI6" s="10" t="n"/>
      <c r="DJ6" s="10" t="n"/>
      <c r="DK6" s="10" t="n"/>
      <c r="DL6" s="10" t="n"/>
      <c r="DM6" s="10" t="n"/>
      <c r="DN6" s="10" t="n"/>
      <c r="DO6" s="10" t="n"/>
      <c r="DP6" s="10" t="n"/>
      <c r="DQ6" s="10" t="n"/>
      <c r="DR6" s="10" t="n"/>
      <c r="DS6" s="10" t="n"/>
      <c r="DT6" s="10" t="n"/>
      <c r="DU6" s="10" t="n"/>
      <c r="DV6" s="10" t="n"/>
      <c r="DW6" s="10" t="n"/>
    </row>
    <row r="7" ht="15" customHeight="1" s="634">
      <c r="A7" s="341" t="n"/>
      <c r="B7" s="342" t="n"/>
      <c r="C7" s="343" t="n"/>
      <c r="D7" s="344" t="n"/>
      <c r="E7" s="344" t="n"/>
      <c r="F7" s="344" t="n"/>
      <c r="G7" s="344" t="n"/>
      <c r="H7" s="344" t="n"/>
      <c r="I7" s="344" t="n"/>
      <c r="J7" s="344" t="n"/>
      <c r="K7" s="2" t="n"/>
      <c r="L7" s="2" t="n"/>
      <c r="M7" s="2" t="n"/>
      <c r="N7" s="2" t="n"/>
      <c r="O7" s="2" t="n"/>
      <c r="P7" s="10" t="n"/>
      <c r="Q7" s="17" t="n"/>
      <c r="R7" s="2" t="n"/>
      <c r="S7" s="2" t="n"/>
      <c r="T7" s="344" t="n"/>
      <c r="U7" s="2" t="n"/>
      <c r="V7" s="2" t="n"/>
      <c r="W7" s="2" t="n"/>
      <c r="X7" s="2" t="n"/>
      <c r="Y7" s="2" t="n"/>
      <c r="Z7" s="2" t="n"/>
      <c r="AA7" s="2" t="n"/>
      <c r="AB7" s="2" t="n"/>
      <c r="AC7" s="344" t="n"/>
      <c r="AD7" s="2" t="n"/>
      <c r="AE7" s="2" t="n"/>
      <c r="AF7" s="2" t="n"/>
      <c r="AG7" s="2" t="n"/>
      <c r="AH7" s="2" t="n"/>
      <c r="AI7" s="2" t="n"/>
      <c r="AJ7" s="2" t="n"/>
      <c r="AK7" s="2" t="n"/>
      <c r="AL7" s="2" t="n"/>
      <c r="AM7" s="2" t="n"/>
      <c r="AN7" s="2" t="n"/>
      <c r="AO7" s="2" t="n"/>
      <c r="AP7" s="2" t="n"/>
      <c r="AQ7" s="2" t="n"/>
      <c r="AR7" s="2" t="n"/>
      <c r="AS7" s="2" t="n"/>
      <c r="AT7" s="2" t="n"/>
      <c r="AU7" s="2" t="n"/>
      <c r="AV7" s="2" t="n"/>
      <c r="AW7" s="2" t="n"/>
      <c r="AX7" s="2" t="n"/>
      <c r="AY7" s="2" t="n"/>
      <c r="AZ7" s="2" t="n"/>
      <c r="BA7" s="2" t="n"/>
      <c r="BB7" s="2" t="n"/>
      <c r="BC7" s="2" t="n"/>
      <c r="BD7" s="2" t="n"/>
      <c r="BE7" s="2" t="n"/>
      <c r="BF7" s="2" t="n"/>
      <c r="BG7" s="2" t="n"/>
      <c r="BH7" s="2" t="n"/>
      <c r="BI7" s="2" t="n"/>
      <c r="BJ7" s="2" t="n"/>
      <c r="BK7" s="2" t="n"/>
      <c r="BL7" s="2" t="n"/>
      <c r="BM7" s="2" t="n"/>
      <c r="BN7" s="2" t="n"/>
      <c r="BO7" s="2" t="n"/>
      <c r="BP7" s="2" t="n"/>
      <c r="BQ7" s="2" t="n"/>
      <c r="BR7" s="2" t="n"/>
      <c r="BS7" s="2" t="n"/>
      <c r="BT7" s="2" t="n"/>
      <c r="BU7" s="2" t="n"/>
      <c r="BV7" s="2" t="n"/>
      <c r="BW7" s="2" t="n"/>
      <c r="BX7" s="2" t="n"/>
      <c r="BY7" s="2" t="n"/>
      <c r="BZ7" s="2" t="n"/>
      <c r="CA7" s="2" t="n"/>
      <c r="CB7" s="2" t="n"/>
      <c r="CC7" s="2" t="n"/>
      <c r="CD7" s="2" t="n"/>
      <c r="CE7" s="2" t="n"/>
      <c r="CF7" s="2" t="n"/>
      <c r="CG7" s="2" t="n"/>
      <c r="CH7" s="2" t="n"/>
      <c r="CI7" s="2" t="n"/>
      <c r="CJ7" s="2" t="n"/>
      <c r="CK7" s="2" t="n"/>
      <c r="CL7" s="2" t="n"/>
      <c r="CM7" s="2" t="n"/>
      <c r="CN7" s="2" t="n"/>
      <c r="CO7" s="2" t="n"/>
      <c r="CP7" s="2" t="n"/>
      <c r="CQ7" s="2" t="n"/>
      <c r="CR7" s="2" t="n"/>
      <c r="CS7" s="2" t="n"/>
      <c r="CT7" s="2" t="n"/>
      <c r="CU7" s="2" t="n"/>
      <c r="CV7" s="2" t="n"/>
      <c r="CW7" s="345" t="n"/>
      <c r="CX7" s="345" t="n"/>
      <c r="CY7" s="345" t="n"/>
      <c r="CZ7" s="345" t="n"/>
      <c r="DA7" s="345" t="n"/>
      <c r="DB7" s="345" t="n"/>
      <c r="DC7" s="345" t="n"/>
      <c r="DD7" s="345" t="n"/>
      <c r="DE7" s="2" t="n"/>
      <c r="DF7" s="345" t="n"/>
      <c r="DG7" s="345" t="n"/>
      <c r="DH7" s="345" t="n"/>
      <c r="DI7" s="345" t="n"/>
      <c r="DJ7" s="345" t="n"/>
      <c r="DK7" s="2" t="n"/>
      <c r="DL7" s="2" t="n"/>
      <c r="DM7" s="2" t="n"/>
      <c r="DN7" s="2" t="n"/>
      <c r="DO7" s="2" t="n"/>
      <c r="DP7" s="2" t="n"/>
      <c r="DQ7" s="2" t="n"/>
      <c r="DR7" s="2" t="n"/>
      <c r="DS7" s="2" t="n"/>
      <c r="DT7" s="390" t="n"/>
      <c r="DU7" s="2" t="n"/>
      <c r="DV7" s="2" t="n"/>
      <c r="DW7" s="2" t="n"/>
    </row>
    <row r="8" ht="13.35" customFormat="1" customHeight="1" s="196">
      <c r="A8" s="347" t="n"/>
      <c r="B8" s="740" t="inlineStr">
        <is>
          <t>安永属性测试说明：</t>
        </is>
      </c>
      <c r="C8" s="741" t="n"/>
      <c r="D8" s="741" t="n"/>
      <c r="E8" s="741" t="n"/>
      <c r="F8" s="742" t="n"/>
      <c r="G8" s="743" t="n"/>
      <c r="H8" s="743" t="n"/>
      <c r="I8" s="743" t="n"/>
      <c r="J8" s="743" t="n"/>
      <c r="K8" s="743" t="n"/>
      <c r="L8" s="743" t="n"/>
      <c r="M8" s="743" t="n"/>
      <c r="N8" s="743" t="n"/>
      <c r="O8" s="743" t="n"/>
      <c r="P8" s="10" t="n"/>
      <c r="Q8" s="17" t="n"/>
      <c r="R8" s="743" t="n"/>
      <c r="S8" s="743" t="n"/>
      <c r="T8" s="743" t="n"/>
      <c r="U8" s="743" t="n"/>
      <c r="V8" s="743" t="n"/>
      <c r="W8" s="743" t="n"/>
      <c r="X8" s="743" t="n"/>
      <c r="Y8" s="743" t="n"/>
      <c r="Z8" s="743" t="n"/>
      <c r="AA8" s="2" t="n"/>
      <c r="AB8" s="2" t="n"/>
      <c r="AC8" s="2" t="n"/>
      <c r="AD8" s="2" t="n"/>
      <c r="AE8" s="2" t="n"/>
      <c r="AF8" s="2" t="n"/>
      <c r="AG8" s="2" t="n"/>
      <c r="AH8" s="2" t="n"/>
      <c r="AI8" s="345" t="n"/>
      <c r="AJ8" s="345" t="n"/>
      <c r="AK8" s="345" t="n"/>
      <c r="AL8" s="2" t="n"/>
      <c r="AM8" s="2" t="n"/>
      <c r="AN8" s="2" t="n"/>
      <c r="AO8" s="2" t="n"/>
      <c r="AP8" s="2" t="n"/>
      <c r="AQ8" s="2" t="n"/>
      <c r="AR8" s="2" t="n"/>
      <c r="AS8" s="2" t="n"/>
      <c r="AT8" s="2" t="n"/>
      <c r="AU8" s="2" t="n"/>
      <c r="AV8" s="2" t="n"/>
      <c r="AW8" s="2" t="n"/>
      <c r="AX8" s="2" t="n"/>
      <c r="AY8" s="2" t="n"/>
      <c r="AZ8" s="2" t="n"/>
      <c r="BA8" s="2" t="n"/>
      <c r="BB8" s="2" t="n"/>
      <c r="BC8" s="2" t="n"/>
      <c r="BD8" s="2" t="n"/>
      <c r="BE8" s="2" t="n"/>
      <c r="BF8" s="2" t="n"/>
      <c r="BG8" s="2" t="n"/>
      <c r="BH8" s="2" t="n"/>
      <c r="BI8" s="2" t="n"/>
      <c r="BJ8" s="2" t="n"/>
      <c r="BK8" s="2" t="n"/>
      <c r="BL8" s="2" t="n"/>
      <c r="BM8" s="2" t="n"/>
      <c r="BN8" s="2" t="n"/>
      <c r="BO8" s="2" t="n"/>
      <c r="BP8" s="2" t="n"/>
      <c r="BQ8" s="2" t="n"/>
      <c r="BR8" s="2" t="n"/>
      <c r="BS8" s="2" t="n"/>
      <c r="BT8" s="2" t="n"/>
      <c r="BU8" s="2" t="n"/>
      <c r="BV8" s="2" t="n"/>
      <c r="BW8" s="2" t="n"/>
      <c r="BX8" s="2" t="n"/>
      <c r="BY8" s="2" t="n"/>
      <c r="BZ8" s="2" t="n"/>
      <c r="CA8" s="2" t="n"/>
      <c r="CB8" s="2" t="n"/>
      <c r="CC8" s="2" t="n"/>
      <c r="CD8" s="2" t="n"/>
      <c r="CE8" s="2" t="n"/>
      <c r="CF8" s="2" t="n"/>
      <c r="CG8" s="345" t="n"/>
      <c r="CH8" s="345" t="n"/>
      <c r="CI8" s="345" t="n"/>
      <c r="CJ8" s="345" t="n"/>
      <c r="CK8" s="345" t="n"/>
      <c r="CL8" s="345" t="n"/>
      <c r="CM8" s="345" t="n"/>
      <c r="CN8" s="345" t="n"/>
      <c r="CO8" s="345" t="n"/>
      <c r="CP8" s="345" t="n"/>
      <c r="CQ8" s="345" t="n"/>
      <c r="CR8" s="345" t="n"/>
      <c r="CS8" s="345" t="n"/>
      <c r="CT8" s="345" t="n"/>
      <c r="CU8" s="345" t="n"/>
      <c r="CV8" s="345" t="n"/>
      <c r="CW8" s="345" t="n"/>
      <c r="CX8" s="345" t="n"/>
      <c r="CY8" s="345" t="n"/>
      <c r="CZ8" s="345" t="n"/>
      <c r="DA8" s="345" t="n"/>
      <c r="DB8" s="345" t="n"/>
      <c r="DC8" s="345" t="n"/>
      <c r="DD8" s="345" t="n"/>
      <c r="DE8" s="345" t="n"/>
      <c r="DF8" s="345" t="n"/>
      <c r="DG8" s="390" t="n"/>
      <c r="DH8" s="345" t="n"/>
      <c r="DI8" s="350" t="n"/>
      <c r="DJ8" s="345" t="n"/>
      <c r="DK8" s="345" t="n"/>
      <c r="DL8" s="345" t="n"/>
      <c r="DM8" s="345" t="n"/>
      <c r="DN8" s="345" t="n"/>
      <c r="DO8" s="345" t="n"/>
      <c r="DP8" s="345" t="n"/>
      <c r="DQ8" s="345" t="n"/>
      <c r="DR8" s="345" t="n"/>
      <c r="DS8" s="345" t="n"/>
      <c r="DT8" s="345" t="n"/>
      <c r="DU8" s="345" t="n"/>
      <c r="DV8" s="345" t="n"/>
      <c r="DW8" s="345" t="n"/>
    </row>
    <row r="9" ht="30" customFormat="1" customHeight="1" s="196">
      <c r="A9" s="347" t="n"/>
      <c r="B9" s="744" t="inlineStr">
        <is>
          <t>1）获取并检查支持异常项目/借方余额的文档（例如，供应商发票、合同、采购订单、付款水单等），以及与应付账款明细账的相关详细信息（例如，供应商名称、发票编号、发票金额和商品/服务的性质）核对一致。</t>
        </is>
      </c>
      <c r="C9" s="658" t="n"/>
      <c r="D9" s="658" t="n"/>
      <c r="E9" s="658" t="n"/>
      <c r="F9" s="659" t="n"/>
      <c r="G9" s="743" t="n"/>
      <c r="H9" s="743" t="n"/>
      <c r="I9" s="743" t="n"/>
      <c r="J9" s="743" t="n"/>
      <c r="K9" s="743" t="n"/>
      <c r="L9" s="743" t="n"/>
      <c r="M9" s="743" t="n"/>
      <c r="N9" s="743" t="n"/>
      <c r="O9" s="743" t="n"/>
      <c r="P9" s="10" t="n"/>
      <c r="Q9" s="17" t="n"/>
      <c r="R9" s="743" t="n"/>
      <c r="S9" s="743" t="n"/>
      <c r="T9" s="743" t="n"/>
      <c r="U9" s="743" t="n"/>
      <c r="V9" s="743" t="n"/>
      <c r="W9" s="743" t="n"/>
      <c r="X9" s="743" t="n"/>
      <c r="Y9" s="743" t="n"/>
      <c r="Z9" s="743" t="n"/>
      <c r="AA9" s="2" t="n"/>
      <c r="AB9" s="2" t="n"/>
      <c r="AC9" s="2" t="n"/>
      <c r="AD9" s="2" t="n"/>
      <c r="AE9" s="2" t="n"/>
      <c r="AF9" s="2" t="n"/>
      <c r="AG9" s="2" t="n"/>
      <c r="AH9" s="2" t="n"/>
      <c r="AI9" s="345" t="n"/>
      <c r="AJ9" s="345" t="n"/>
      <c r="AK9" s="345" t="n"/>
      <c r="AL9" s="2" t="n"/>
      <c r="AM9" s="2" t="n"/>
      <c r="AN9" s="2" t="n"/>
      <c r="AO9" s="2" t="n"/>
      <c r="AP9" s="2" t="n"/>
      <c r="AQ9" s="2" t="n"/>
      <c r="AR9" s="2" t="n"/>
      <c r="AS9" s="2" t="n"/>
      <c r="AT9" s="2" t="n"/>
      <c r="AU9" s="2" t="n"/>
      <c r="AV9" s="2" t="n"/>
      <c r="AW9" s="2" t="n"/>
      <c r="AX9" s="2" t="n"/>
      <c r="AY9" s="2" t="n"/>
      <c r="AZ9" s="2" t="n"/>
      <c r="BA9" s="2" t="n"/>
      <c r="BB9" s="2" t="n"/>
      <c r="BC9" s="2" t="n"/>
      <c r="BD9" s="2" t="n"/>
      <c r="BE9" s="2" t="n"/>
      <c r="BF9" s="2" t="n"/>
      <c r="BG9" s="2" t="n"/>
      <c r="BH9" s="2" t="n"/>
      <c r="BI9" s="2" t="n"/>
      <c r="BJ9" s="2" t="n"/>
      <c r="BK9" s="2" t="n"/>
      <c r="BL9" s="2" t="n"/>
      <c r="BM9" s="2" t="n"/>
      <c r="BN9" s="2" t="n"/>
      <c r="BO9" s="2" t="n"/>
      <c r="BP9" s="2" t="n"/>
      <c r="BQ9" s="2" t="n"/>
      <c r="BR9" s="2" t="n"/>
      <c r="BS9" s="2" t="n"/>
      <c r="BT9" s="2" t="n"/>
      <c r="BU9" s="2" t="n"/>
      <c r="BV9" s="2" t="n"/>
      <c r="BW9" s="2" t="n"/>
      <c r="BX9" s="2" t="n"/>
      <c r="BY9" s="2" t="n"/>
      <c r="BZ9" s="2" t="n"/>
      <c r="CA9" s="2" t="n"/>
      <c r="CB9" s="2" t="n"/>
      <c r="CC9" s="2" t="n"/>
      <c r="CD9" s="2" t="n"/>
      <c r="CE9" s="2" t="n"/>
      <c r="CF9" s="2" t="n"/>
      <c r="CG9" s="345" t="n"/>
      <c r="CH9" s="345" t="n"/>
      <c r="CI9" s="345" t="n"/>
      <c r="CJ9" s="345" t="n"/>
      <c r="CK9" s="345" t="n"/>
      <c r="CL9" s="345" t="n"/>
      <c r="CM9" s="345" t="n"/>
      <c r="CN9" s="345" t="n"/>
      <c r="CO9" s="345" t="n"/>
      <c r="CP9" s="345" t="n"/>
      <c r="CQ9" s="345" t="n"/>
      <c r="CR9" s="345" t="n"/>
      <c r="CS9" s="345" t="n"/>
      <c r="CT9" s="345" t="n"/>
      <c r="CU9" s="345" t="n"/>
      <c r="CV9" s="345" t="n"/>
      <c r="CW9" s="345" t="n"/>
      <c r="CX9" s="345" t="n"/>
      <c r="CY9" s="345" t="n"/>
      <c r="CZ9" s="345" t="n"/>
      <c r="DA9" s="345" t="n"/>
      <c r="DB9" s="345" t="n"/>
      <c r="DC9" s="345" t="n"/>
      <c r="DD9" s="345" t="n"/>
      <c r="DE9" s="345" t="n"/>
      <c r="DF9" s="345" t="n"/>
      <c r="DG9" s="390" t="n"/>
      <c r="DH9" s="345" t="n"/>
      <c r="DI9" s="350" t="n"/>
      <c r="DJ9" s="345" t="n"/>
      <c r="DK9" s="345" t="n"/>
      <c r="DL9" s="345" t="n"/>
      <c r="DM9" s="345" t="n"/>
      <c r="DN9" s="345" t="n"/>
      <c r="DO9" s="345" t="n"/>
      <c r="DP9" s="345" t="n"/>
      <c r="DQ9" s="345" t="n"/>
      <c r="DR9" s="345" t="n"/>
      <c r="DS9" s="345" t="n"/>
      <c r="DT9" s="345" t="n"/>
      <c r="DU9" s="345" t="n"/>
      <c r="DV9" s="345" t="n"/>
      <c r="DW9" s="345" t="n"/>
    </row>
    <row r="10" ht="15" customFormat="1" customHeight="1" s="196">
      <c r="A10" s="347" t="n"/>
      <c r="B10" s="745" t="inlineStr">
        <is>
          <t>2） 我们获取了与所选交易相关的记账分录。我们确认应付账款记账分录的对方科目账务处理正确‌。</t>
        </is>
      </c>
      <c r="C10" s="658" t="n"/>
      <c r="D10" s="658" t="n"/>
      <c r="E10" s="658" t="n"/>
      <c r="F10" s="659" t="n"/>
      <c r="G10" s="743" t="n"/>
      <c r="H10" s="743" t="n"/>
      <c r="I10" s="743" t="n"/>
      <c r="J10" s="743" t="n"/>
      <c r="K10" s="743" t="n"/>
      <c r="L10" s="743" t="n"/>
      <c r="M10" s="743" t="n"/>
      <c r="N10" s="743" t="n"/>
      <c r="O10" s="743" t="n"/>
      <c r="P10" s="10" t="n"/>
      <c r="Q10" s="17" t="n"/>
      <c r="R10" s="743" t="n"/>
      <c r="S10" s="743" t="n"/>
      <c r="T10" s="743" t="n"/>
      <c r="U10" s="743" t="n"/>
      <c r="V10" s="743" t="n"/>
      <c r="W10" s="743" t="n"/>
      <c r="X10" s="743" t="n"/>
      <c r="Y10" s="743" t="n"/>
      <c r="Z10" s="743" t="n"/>
      <c r="AA10" s="2" t="n"/>
      <c r="AB10" s="2" t="n"/>
      <c r="AC10" s="2" t="n"/>
      <c r="AD10" s="2" t="n"/>
      <c r="AE10" s="2" t="n"/>
      <c r="AF10" s="2" t="n"/>
      <c r="AG10" s="2" t="n"/>
      <c r="AH10" s="2" t="n"/>
      <c r="AI10" s="345" t="n"/>
      <c r="AJ10" s="345" t="n"/>
      <c r="AK10" s="345" t="n"/>
      <c r="AL10" s="2" t="n"/>
      <c r="AM10" s="2" t="n"/>
      <c r="AN10" s="2" t="n"/>
      <c r="AO10" s="2" t="n"/>
      <c r="AP10" s="2" t="n"/>
      <c r="AQ10" s="2" t="n"/>
      <c r="AR10" s="2" t="n"/>
      <c r="AS10" s="2" t="n"/>
      <c r="AT10" s="2" t="n"/>
      <c r="AU10" s="2" t="n"/>
      <c r="AV10" s="2" t="n"/>
      <c r="AW10" s="2" t="n"/>
      <c r="AX10" s="2" t="n"/>
      <c r="AY10" s="2" t="n"/>
      <c r="AZ10" s="2" t="n"/>
      <c r="BA10" s="2" t="n"/>
      <c r="BB10" s="2" t="n"/>
      <c r="BC10" s="2" t="n"/>
      <c r="BD10" s="2" t="n"/>
      <c r="BE10" s="2" t="n"/>
      <c r="BF10" s="2" t="n"/>
      <c r="BG10" s="2" t="n"/>
      <c r="BH10" s="2" t="n"/>
      <c r="BI10" s="2" t="n"/>
      <c r="BJ10" s="2" t="n"/>
      <c r="BK10" s="2" t="n"/>
      <c r="BL10" s="2" t="n"/>
      <c r="BM10" s="2" t="n"/>
      <c r="BN10" s="2" t="n"/>
      <c r="BO10" s="2" t="n"/>
      <c r="BP10" s="2" t="n"/>
      <c r="BQ10" s="2" t="n"/>
      <c r="BR10" s="2" t="n"/>
      <c r="BS10" s="2" t="n"/>
      <c r="BT10" s="2" t="n"/>
      <c r="BU10" s="2" t="n"/>
      <c r="BV10" s="2" t="n"/>
      <c r="BW10" s="2" t="n"/>
      <c r="BX10" s="2" t="n"/>
      <c r="BY10" s="2" t="n"/>
      <c r="BZ10" s="2" t="n"/>
      <c r="CA10" s="2" t="n"/>
      <c r="CB10" s="2" t="n"/>
      <c r="CC10" s="2" t="n"/>
      <c r="CD10" s="2" t="n"/>
      <c r="CE10" s="2" t="n"/>
      <c r="CF10" s="2" t="n"/>
      <c r="CG10" s="345" t="n"/>
      <c r="CH10" s="345" t="n"/>
      <c r="CI10" s="345" t="n"/>
      <c r="CJ10" s="345" t="n"/>
      <c r="CK10" s="345" t="n"/>
      <c r="CL10" s="345" t="n"/>
      <c r="CM10" s="345" t="n"/>
      <c r="CN10" s="345" t="n"/>
      <c r="CO10" s="345" t="n"/>
      <c r="CP10" s="345" t="n"/>
      <c r="CQ10" s="345" t="n"/>
      <c r="CR10" s="345" t="n"/>
      <c r="CS10" s="345" t="n"/>
      <c r="CT10" s="345" t="n"/>
      <c r="CU10" s="345" t="n"/>
      <c r="CV10" s="345" t="n"/>
      <c r="CW10" s="345" t="n"/>
      <c r="CX10" s="345" t="n"/>
      <c r="CY10" s="345" t="n"/>
      <c r="CZ10" s="345" t="n"/>
      <c r="DA10" s="345" t="n"/>
      <c r="DB10" s="345" t="n"/>
      <c r="DC10" s="345" t="n"/>
      <c r="DD10" s="345" t="n"/>
      <c r="DE10" s="345" t="n"/>
      <c r="DF10" s="345" t="n"/>
      <c r="DG10" s="390" t="n"/>
      <c r="DH10" s="345" t="n"/>
      <c r="DI10" s="350" t="n"/>
      <c r="DJ10" s="345" t="n"/>
      <c r="DK10" s="345" t="n"/>
      <c r="DL10" s="345" t="n"/>
      <c r="DM10" s="345" t="n"/>
      <c r="DN10" s="345" t="n"/>
      <c r="DO10" s="345" t="n"/>
      <c r="DP10" s="345" t="n"/>
      <c r="DQ10" s="345" t="n"/>
      <c r="DR10" s="345" t="n"/>
      <c r="DS10" s="345" t="n"/>
      <c r="DT10" s="345" t="n"/>
      <c r="DU10" s="345" t="n"/>
      <c r="DV10" s="345" t="n"/>
      <c r="DW10" s="345" t="n"/>
    </row>
    <row r="11" ht="15" customFormat="1" customHeight="1" s="196">
      <c r="A11" s="347" t="n"/>
      <c r="B11" s="746" t="inlineStr">
        <is>
          <t>3） 根据我们对支持性文件（包括记账分录）的审查，得出结论认为，所选交易在应付账款中的分类是适当的。</t>
        </is>
      </c>
      <c r="C11" s="661" t="n"/>
      <c r="D11" s="661" t="n"/>
      <c r="E11" s="661" t="n"/>
      <c r="F11" s="662" t="n"/>
      <c r="G11" s="743" t="n"/>
      <c r="H11" s="743" t="n"/>
      <c r="I11" s="743" t="n"/>
      <c r="J11" s="743" t="n"/>
      <c r="K11" s="743" t="n"/>
      <c r="L11" s="743" t="n"/>
      <c r="M11" s="743" t="n"/>
      <c r="N11" s="743" t="n"/>
      <c r="O11" s="743" t="n"/>
      <c r="P11" s="10" t="n"/>
      <c r="Q11" s="17" t="n"/>
      <c r="R11" s="743" t="n"/>
      <c r="S11" s="743" t="n"/>
      <c r="T11" s="743" t="n"/>
      <c r="U11" s="743" t="n"/>
      <c r="V11" s="743" t="n"/>
      <c r="W11" s="743" t="n"/>
      <c r="X11" s="743" t="n"/>
      <c r="Y11" s="743" t="n"/>
      <c r="Z11" s="743" t="n"/>
      <c r="AA11" s="2" t="n"/>
      <c r="AB11" s="2" t="n"/>
      <c r="AC11" s="2" t="n"/>
      <c r="AD11" s="2" t="n"/>
      <c r="AE11" s="2" t="n"/>
      <c r="AF11" s="2" t="n"/>
      <c r="AG11" s="2" t="n"/>
      <c r="AH11" s="2" t="n"/>
      <c r="AI11" s="345" t="n"/>
      <c r="AJ11" s="345" t="n"/>
      <c r="AK11" s="345" t="n"/>
      <c r="AL11" s="2" t="n"/>
      <c r="AM11" s="2" t="n"/>
      <c r="AN11" s="2" t="n"/>
      <c r="AO11" s="2" t="n"/>
      <c r="AP11" s="2" t="n"/>
      <c r="AQ11" s="2" t="n"/>
      <c r="AR11" s="2" t="n"/>
      <c r="AS11" s="2" t="n"/>
      <c r="AT11" s="2" t="n"/>
      <c r="AU11" s="2" t="n"/>
      <c r="AV11" s="2" t="n"/>
      <c r="AW11" s="2" t="n"/>
      <c r="AX11" s="2" t="n"/>
      <c r="AY11" s="2" t="n"/>
      <c r="AZ11" s="2" t="n"/>
      <c r="BA11" s="2" t="n"/>
      <c r="BB11" s="2" t="n"/>
      <c r="BC11" s="2" t="n"/>
      <c r="BD11" s="2" t="n"/>
      <c r="BE11" s="2" t="n"/>
      <c r="BF11" s="2" t="n"/>
      <c r="BG11" s="2" t="n"/>
      <c r="BH11" s="2" t="n"/>
      <c r="BI11" s="2" t="n"/>
      <c r="BJ11" s="2" t="n"/>
      <c r="BK11" s="2" t="n"/>
      <c r="BL11" s="2" t="n"/>
      <c r="BM11" s="2" t="n"/>
      <c r="BN11" s="2" t="n"/>
      <c r="BO11" s="2" t="n"/>
      <c r="BP11" s="2" t="n"/>
      <c r="BQ11" s="2" t="n"/>
      <c r="BR11" s="2" t="n"/>
      <c r="BS11" s="2" t="n"/>
      <c r="BT11" s="2" t="n"/>
      <c r="BU11" s="2" t="n"/>
      <c r="BV11" s="2" t="n"/>
      <c r="BW11" s="2" t="n"/>
      <c r="BX11" s="2" t="n"/>
      <c r="BY11" s="2" t="n"/>
      <c r="BZ11" s="2" t="n"/>
      <c r="CA11" s="2" t="n"/>
      <c r="CB11" s="2" t="n"/>
      <c r="CC11" s="2" t="n"/>
      <c r="CD11" s="2" t="n"/>
      <c r="CE11" s="2" t="n"/>
      <c r="CF11" s="2" t="n"/>
      <c r="CG11" s="345" t="n"/>
      <c r="CH11" s="345" t="n"/>
      <c r="CI11" s="345" t="n"/>
      <c r="CJ11" s="345" t="n"/>
      <c r="CK11" s="345" t="n"/>
      <c r="CL11" s="345" t="n"/>
      <c r="CM11" s="345" t="n"/>
      <c r="CN11" s="345" t="n"/>
      <c r="CO11" s="345" t="n"/>
      <c r="CP11" s="345" t="n"/>
      <c r="CQ11" s="345" t="n"/>
      <c r="CR11" s="345" t="n"/>
      <c r="CS11" s="345" t="n"/>
      <c r="CT11" s="345" t="n"/>
      <c r="CU11" s="345" t="n"/>
      <c r="CV11" s="345" t="n"/>
      <c r="CW11" s="345" t="n"/>
      <c r="CX11" s="345" t="n"/>
      <c r="CY11" s="345" t="n"/>
      <c r="CZ11" s="345" t="n"/>
      <c r="DA11" s="345" t="n"/>
      <c r="DB11" s="345" t="n"/>
      <c r="DC11" s="345" t="n"/>
      <c r="DD11" s="345" t="n"/>
      <c r="DE11" s="345" t="n"/>
      <c r="DF11" s="345" t="n"/>
      <c r="DG11" s="390" t="n"/>
      <c r="DH11" s="345" t="n"/>
      <c r="DI11" s="350" t="n"/>
      <c r="DJ11" s="345" t="n"/>
      <c r="DK11" s="345" t="n"/>
      <c r="DL11" s="345" t="n"/>
      <c r="DM11" s="345" t="n"/>
      <c r="DN11" s="345" t="n"/>
      <c r="DO11" s="345" t="n"/>
      <c r="DP11" s="345" t="n"/>
      <c r="DQ11" s="345" t="n"/>
      <c r="DR11" s="345" t="n"/>
      <c r="DS11" s="345" t="n"/>
      <c r="DT11" s="345" t="n"/>
      <c r="DU11" s="345" t="n"/>
      <c r="DV11" s="345" t="n"/>
      <c r="DW11" s="345" t="n"/>
    </row>
    <row r="12" ht="15" customFormat="1" customHeight="1" s="196">
      <c r="A12" s="347" t="n"/>
      <c r="B12" s="2" t="n"/>
      <c r="C12" s="2" t="n"/>
      <c r="D12" s="2" t="n"/>
      <c r="E12" s="2" t="n"/>
      <c r="F12" s="2" t="n"/>
      <c r="G12" s="743" t="n"/>
      <c r="H12" s="743" t="n"/>
      <c r="I12" s="743" t="n"/>
      <c r="J12" s="743" t="n"/>
      <c r="K12" s="743" t="n"/>
      <c r="L12" s="743" t="n"/>
      <c r="M12" s="743" t="n"/>
      <c r="N12" s="743" t="n"/>
      <c r="O12" s="743" t="n"/>
      <c r="P12" s="10" t="n"/>
      <c r="Q12" s="17" t="n"/>
      <c r="R12" s="743" t="n"/>
      <c r="S12" s="743" t="n"/>
      <c r="T12" s="743" t="n"/>
      <c r="U12" s="743" t="n"/>
      <c r="V12" s="743" t="n"/>
      <c r="W12" s="743" t="n"/>
      <c r="X12" s="743" t="n"/>
      <c r="Y12" s="743" t="n"/>
      <c r="Z12" s="743" t="n"/>
      <c r="AA12" s="743" t="n"/>
      <c r="AB12" s="743" t="n"/>
      <c r="AC12" s="743" t="n"/>
      <c r="AD12" s="743" t="n"/>
      <c r="AE12" s="743" t="n"/>
      <c r="AF12" s="743" t="n"/>
      <c r="AG12" s="2" t="n"/>
      <c r="AH12" s="2" t="n"/>
      <c r="AI12" s="2" t="n"/>
      <c r="AJ12" s="2" t="n"/>
      <c r="AK12" s="2" t="n"/>
      <c r="AL12" s="2" t="n"/>
      <c r="AM12" s="2" t="n"/>
      <c r="AN12" s="2" t="n"/>
      <c r="AO12" s="345" t="n"/>
      <c r="AP12" s="345" t="n"/>
      <c r="AQ12" s="345" t="n"/>
      <c r="AR12" s="2" t="n"/>
      <c r="AS12" s="2" t="n"/>
      <c r="AT12" s="2" t="n"/>
      <c r="AU12" s="2" t="n"/>
      <c r="AV12" s="2" t="n"/>
      <c r="AW12" s="2" t="n"/>
      <c r="AX12" s="2" t="n"/>
      <c r="AY12" s="2" t="n"/>
      <c r="AZ12" s="2" t="n"/>
      <c r="BA12" s="2" t="n"/>
      <c r="BB12" s="2" t="n"/>
      <c r="BC12" s="2" t="n"/>
      <c r="BD12" s="2" t="n"/>
      <c r="BE12" s="2" t="n"/>
      <c r="BF12" s="2" t="n"/>
      <c r="BG12" s="2" t="n"/>
      <c r="BH12" s="2" t="n"/>
      <c r="BI12" s="2" t="n"/>
      <c r="BJ12" s="2" t="n"/>
      <c r="BK12" s="2" t="n"/>
      <c r="BL12" s="2" t="n"/>
      <c r="BM12" s="2" t="n"/>
      <c r="BN12" s="2" t="n"/>
      <c r="BO12" s="2" t="n"/>
      <c r="BP12" s="2" t="n"/>
      <c r="BQ12" s="2" t="n"/>
      <c r="BR12" s="2" t="n"/>
      <c r="BS12" s="2" t="n"/>
      <c r="BT12" s="2" t="n"/>
      <c r="BU12" s="2" t="n"/>
      <c r="BV12" s="2" t="n"/>
      <c r="BW12" s="2" t="n"/>
      <c r="BX12" s="2" t="n"/>
      <c r="BY12" s="2" t="n"/>
      <c r="BZ12" s="2" t="n"/>
      <c r="CA12" s="2" t="n"/>
      <c r="CB12" s="2" t="n"/>
      <c r="CC12" s="2" t="n"/>
      <c r="CD12" s="2" t="n"/>
      <c r="CE12" s="2" t="n"/>
      <c r="CF12" s="2" t="n"/>
      <c r="CG12" s="2" t="n"/>
      <c r="CH12" s="2" t="n"/>
      <c r="CI12" s="2" t="n"/>
      <c r="CJ12" s="2" t="n"/>
      <c r="CK12" s="2" t="n"/>
      <c r="CL12" s="2" t="n"/>
      <c r="CM12" s="345" t="n"/>
      <c r="CN12" s="345" t="n"/>
      <c r="CO12" s="345" t="n"/>
      <c r="CP12" s="345" t="n"/>
      <c r="CQ12" s="345" t="n"/>
      <c r="CR12" s="345" t="n"/>
      <c r="CS12" s="345" t="n"/>
      <c r="CT12" s="345" t="n"/>
      <c r="CU12" s="345" t="n"/>
      <c r="CV12" s="345" t="n"/>
      <c r="CW12" s="345" t="n"/>
      <c r="CX12" s="345" t="n"/>
      <c r="CY12" s="345" t="n"/>
      <c r="CZ12" s="345" t="n"/>
      <c r="DA12" s="345" t="n"/>
      <c r="DB12" s="345" t="n"/>
      <c r="DC12" s="345" t="n"/>
      <c r="DD12" s="345" t="n"/>
      <c r="DE12" s="345" t="n"/>
      <c r="DF12" s="345" t="n"/>
      <c r="DG12" s="345" t="n"/>
      <c r="DH12" s="345" t="n"/>
      <c r="DI12" s="345" t="n"/>
      <c r="DJ12" s="345" t="n"/>
      <c r="DK12" s="345" t="n"/>
      <c r="DL12" s="345" t="n"/>
      <c r="DM12" s="390" t="n"/>
      <c r="DN12" s="345" t="n"/>
      <c r="DO12" s="350" t="n"/>
      <c r="DP12" s="345" t="n"/>
      <c r="DQ12" s="345" t="n"/>
      <c r="DR12" s="345" t="n"/>
      <c r="DS12" s="345" t="n"/>
      <c r="DT12" s="345" t="n"/>
      <c r="DU12" s="345" t="n"/>
      <c r="DV12" s="345" t="n"/>
      <c r="DW12" s="345" t="n"/>
    </row>
    <row r="13" ht="20.45" customFormat="1" customHeight="1" s="196">
      <c r="A13" s="347" t="n"/>
      <c r="B13" s="352" t="inlineStr">
        <is>
          <t>借方余额测试</t>
        </is>
      </c>
      <c r="C13" s="353" t="n"/>
      <c r="D13" s="353" t="n"/>
      <c r="E13" s="353" t="n"/>
      <c r="F13" s="353" t="n"/>
      <c r="G13" s="747" t="n"/>
      <c r="H13" s="747" t="n"/>
      <c r="I13" s="747" t="n"/>
      <c r="J13" s="747" t="n"/>
      <c r="K13" s="747" t="n"/>
      <c r="L13" s="747" t="n"/>
      <c r="M13" s="747" t="n"/>
      <c r="N13" s="747" t="n"/>
      <c r="O13" s="747" t="n"/>
      <c r="P13" s="10" t="n"/>
      <c r="Q13" s="17" t="n"/>
      <c r="R13" s="743" t="n"/>
      <c r="S13" s="743" t="n"/>
      <c r="T13" s="743" t="n"/>
      <c r="U13" s="743" t="n"/>
      <c r="V13" s="743" t="n"/>
      <c r="W13" s="743" t="n"/>
      <c r="X13" s="743" t="n"/>
      <c r="Y13" s="743" t="n"/>
      <c r="Z13" s="743" t="n"/>
      <c r="AA13" s="743" t="n"/>
      <c r="AB13" s="743" t="n"/>
      <c r="AC13" s="743" t="n"/>
      <c r="AD13" s="743" t="n"/>
      <c r="AE13" s="743" t="n"/>
      <c r="AF13" s="743" t="n"/>
      <c r="AG13" s="743" t="n"/>
      <c r="AH13" s="743" t="n"/>
      <c r="AI13" s="743" t="n"/>
      <c r="AJ13" s="743" t="n"/>
      <c r="AK13" s="743" t="n"/>
      <c r="AL13" s="2" t="n"/>
      <c r="AM13" s="2" t="n"/>
      <c r="AN13" s="2" t="n"/>
      <c r="AO13" s="2" t="n"/>
      <c r="AP13" s="2" t="n"/>
      <c r="AQ13" s="2" t="n"/>
      <c r="AR13" s="2" t="n"/>
      <c r="AS13" s="2" t="n"/>
      <c r="AT13" s="345" t="n"/>
      <c r="AU13" s="345" t="n"/>
      <c r="AV13" s="345" t="n"/>
      <c r="AW13" s="2" t="n"/>
      <c r="AX13" s="2" t="n"/>
      <c r="AY13" s="2" t="n"/>
      <c r="AZ13" s="2" t="n"/>
      <c r="BA13" s="2" t="n"/>
      <c r="BB13" s="2" t="n"/>
      <c r="BC13" s="2" t="n"/>
      <c r="BD13" s="2" t="n"/>
      <c r="BE13" s="2" t="n"/>
      <c r="BF13" s="2" t="n"/>
      <c r="BG13" s="2" t="n"/>
      <c r="BH13" s="2" t="n"/>
      <c r="BI13" s="2" t="n"/>
      <c r="BJ13" s="2" t="n"/>
      <c r="BK13" s="2" t="n"/>
      <c r="BL13" s="2" t="n"/>
      <c r="BM13" s="2" t="n"/>
      <c r="BN13" s="2" t="n"/>
      <c r="BO13" s="2" t="n"/>
      <c r="BP13" s="2" t="n"/>
      <c r="BQ13" s="2" t="n"/>
      <c r="BR13" s="2" t="n"/>
      <c r="BS13" s="2" t="n"/>
      <c r="BT13" s="2" t="n"/>
      <c r="BU13" s="2" t="n"/>
      <c r="BV13" s="2" t="n"/>
      <c r="BW13" s="2" t="n"/>
      <c r="BX13" s="2" t="n"/>
      <c r="BY13" s="2" t="n"/>
      <c r="BZ13" s="2" t="n"/>
      <c r="CA13" s="2" t="n"/>
      <c r="CB13" s="2" t="n"/>
      <c r="CC13" s="2" t="n"/>
      <c r="CD13" s="2" t="n"/>
      <c r="CE13" s="2" t="n"/>
      <c r="CF13" s="2" t="n"/>
      <c r="CG13" s="2" t="n"/>
      <c r="CH13" s="2" t="n"/>
      <c r="CI13" s="2" t="n"/>
      <c r="CJ13" s="2" t="n"/>
      <c r="CK13" s="2" t="n"/>
      <c r="CL13" s="2" t="n"/>
      <c r="CM13" s="2" t="n"/>
      <c r="CN13" s="2" t="n"/>
      <c r="CO13" s="2" t="n"/>
      <c r="CP13" s="2" t="n"/>
      <c r="CQ13" s="2" t="n"/>
      <c r="CR13" s="345" t="n"/>
      <c r="CS13" s="345" t="n"/>
      <c r="CT13" s="345" t="n"/>
      <c r="CU13" s="345" t="n"/>
      <c r="CV13" s="345" t="n"/>
      <c r="CW13" s="345" t="n"/>
      <c r="CX13" s="345" t="n"/>
      <c r="CY13" s="345" t="n"/>
      <c r="CZ13" s="345" t="n"/>
      <c r="DA13" s="345" t="n"/>
      <c r="DB13" s="345" t="n"/>
      <c r="DC13" s="345" t="n"/>
      <c r="DD13" s="345" t="n"/>
      <c r="DE13" s="345" t="n"/>
      <c r="DF13" s="345" t="n"/>
      <c r="DG13" s="345" t="n"/>
      <c r="DH13" s="345" t="n"/>
      <c r="DI13" s="345" t="n"/>
      <c r="DJ13" s="345" t="n"/>
      <c r="DK13" s="345" t="n"/>
      <c r="DL13" s="345" t="n"/>
      <c r="DM13" s="345" t="n"/>
      <c r="DN13" s="345" t="n"/>
      <c r="DO13" s="345" t="n"/>
      <c r="DP13" s="345" t="n"/>
      <c r="DQ13" s="345" t="n"/>
      <c r="DR13" s="390" t="n"/>
      <c r="DS13" s="345" t="n"/>
      <c r="DT13" s="350" t="n"/>
      <c r="DU13" s="345" t="n"/>
      <c r="DV13" s="345" t="n"/>
      <c r="DW13" s="345" t="n"/>
    </row>
    <row r="14" ht="15" customFormat="1" customHeight="1" s="196">
      <c r="A14" s="347" t="n"/>
      <c r="B14" s="596" t="inlineStr">
        <is>
          <t>表1 我们获取了N.01.01明细账BKD中期末余额为借方的供应商，对（单独或合计）大于测试阈值的借方余额，检查了对应的支持文件，确认是否需要进行重分类。</t>
        </is>
      </c>
      <c r="G14" s="743" t="n"/>
      <c r="H14" s="743" t="n"/>
      <c r="I14" s="743" t="n"/>
      <c r="J14" s="743" t="n"/>
      <c r="K14" s="743" t="n"/>
      <c r="L14" s="743" t="n"/>
      <c r="M14" s="743" t="n"/>
      <c r="N14" s="743" t="n"/>
      <c r="O14" s="743" t="n"/>
      <c r="P14" s="10" t="n"/>
      <c r="Q14" s="17" t="n"/>
      <c r="R14" s="743" t="n"/>
      <c r="S14" s="743" t="n"/>
      <c r="T14" s="743" t="n"/>
      <c r="U14" s="743" t="n"/>
      <c r="V14" s="743" t="n"/>
      <c r="W14" s="743" t="n"/>
      <c r="X14" s="743" t="n"/>
      <c r="Y14" s="743" t="n"/>
      <c r="Z14" s="743" t="n"/>
      <c r="AA14" s="743" t="n"/>
      <c r="AB14" s="743" t="n"/>
      <c r="AC14" s="743" t="n"/>
      <c r="AD14" s="743" t="n"/>
      <c r="AE14" s="743" t="n"/>
      <c r="AF14" s="743" t="n"/>
      <c r="AG14" s="743" t="n"/>
      <c r="AH14" s="743" t="n"/>
      <c r="AI14" s="743" t="n"/>
      <c r="AJ14" s="743" t="n"/>
      <c r="AK14" s="743" t="n"/>
      <c r="AL14" s="2" t="n"/>
      <c r="AM14" s="2" t="n"/>
      <c r="AN14" s="2" t="n"/>
      <c r="AO14" s="2" t="n"/>
      <c r="AP14" s="2" t="n"/>
      <c r="AQ14" s="2" t="n"/>
      <c r="AR14" s="2" t="n"/>
      <c r="AS14" s="2" t="n"/>
      <c r="AT14" s="345" t="n"/>
      <c r="AU14" s="345" t="n"/>
      <c r="AV14" s="345" t="n"/>
      <c r="AW14" s="2" t="n"/>
      <c r="AX14" s="2" t="n"/>
      <c r="AY14" s="2" t="n"/>
      <c r="AZ14" s="2" t="n"/>
      <c r="BA14" s="2" t="n"/>
      <c r="BB14" s="2" t="n"/>
      <c r="BC14" s="2" t="n"/>
      <c r="BD14" s="2" t="n"/>
      <c r="BE14" s="2" t="n"/>
      <c r="BF14" s="2" t="n"/>
      <c r="BG14" s="2" t="n"/>
      <c r="BH14" s="2" t="n"/>
      <c r="BI14" s="2" t="n"/>
      <c r="BJ14" s="2" t="n"/>
      <c r="BK14" s="2" t="n"/>
      <c r="BL14" s="2" t="n"/>
      <c r="BM14" s="2" t="n"/>
      <c r="BN14" s="2" t="n"/>
      <c r="BO14" s="2" t="n"/>
      <c r="BP14" s="2" t="n"/>
      <c r="BQ14" s="2" t="n"/>
      <c r="BR14" s="2" t="n"/>
      <c r="BS14" s="2" t="n"/>
      <c r="BT14" s="2" t="n"/>
      <c r="BU14" s="2" t="n"/>
      <c r="BV14" s="2" t="n"/>
      <c r="BW14" s="2" t="n"/>
      <c r="BX14" s="2" t="n"/>
      <c r="BY14" s="2" t="n"/>
      <c r="BZ14" s="2" t="n"/>
      <c r="CA14" s="2" t="n"/>
      <c r="CB14" s="2" t="n"/>
      <c r="CC14" s="2" t="n"/>
      <c r="CD14" s="2" t="n"/>
      <c r="CE14" s="2" t="n"/>
      <c r="CF14" s="2" t="n"/>
      <c r="CG14" s="2" t="n"/>
      <c r="CH14" s="2" t="n"/>
      <c r="CI14" s="2" t="n"/>
      <c r="CJ14" s="2" t="n"/>
      <c r="CK14" s="2" t="n"/>
      <c r="CL14" s="2" t="n"/>
      <c r="CM14" s="2" t="n"/>
      <c r="CN14" s="2" t="n"/>
      <c r="CO14" s="2" t="n"/>
      <c r="CP14" s="2" t="n"/>
      <c r="CQ14" s="2" t="n"/>
      <c r="CR14" s="345" t="n"/>
      <c r="CS14" s="345" t="n"/>
      <c r="CT14" s="345" t="n"/>
      <c r="CU14" s="345" t="n"/>
      <c r="CV14" s="345" t="n"/>
      <c r="CW14" s="345" t="n"/>
      <c r="CX14" s="345" t="n"/>
      <c r="CY14" s="345" t="n"/>
      <c r="CZ14" s="345" t="n"/>
      <c r="DA14" s="345" t="n"/>
      <c r="DB14" s="345" t="n"/>
      <c r="DC14" s="345" t="n"/>
      <c r="DD14" s="345" t="n"/>
      <c r="DE14" s="345" t="n"/>
      <c r="DF14" s="345" t="n"/>
      <c r="DG14" s="345" t="n"/>
      <c r="DH14" s="345" t="n"/>
      <c r="DI14" s="345" t="n"/>
      <c r="DJ14" s="345" t="n"/>
      <c r="DK14" s="345" t="n"/>
      <c r="DL14" s="345" t="n"/>
      <c r="DM14" s="345" t="n"/>
      <c r="DN14" s="345" t="n"/>
      <c r="DO14" s="345" t="n"/>
      <c r="DP14" s="345" t="n"/>
      <c r="DQ14" s="345" t="n"/>
      <c r="DR14" s="390" t="n"/>
      <c r="DS14" s="345" t="n"/>
      <c r="DT14" s="350" t="n"/>
      <c r="DU14" s="345" t="n"/>
      <c r="DV14" s="345" t="n"/>
      <c r="DW14" s="345" t="n"/>
    </row>
    <row r="15" ht="31.5" customFormat="1" customHeight="1" s="196">
      <c r="A15" s="347" t="n"/>
      <c r="G15" s="743" t="n"/>
      <c r="H15" s="743" t="n"/>
      <c r="I15" s="743" t="n"/>
      <c r="J15" s="743" t="n"/>
      <c r="K15" s="743" t="n"/>
      <c r="L15" s="743" t="n"/>
      <c r="M15" s="743" t="n"/>
      <c r="N15" s="743" t="n"/>
      <c r="O15" s="743" t="n"/>
      <c r="P15" s="10" t="n"/>
      <c r="Q15" s="17" t="n"/>
      <c r="R15" s="743" t="n"/>
      <c r="S15" s="743" t="n"/>
      <c r="T15" s="743" t="n"/>
      <c r="U15" s="743" t="n"/>
      <c r="V15" s="743" t="n"/>
      <c r="W15" s="743" t="n"/>
      <c r="X15" s="743" t="n"/>
      <c r="Y15" s="743" t="n"/>
      <c r="Z15" s="743" t="n"/>
      <c r="AA15" s="743" t="n"/>
      <c r="AB15" s="743" t="n"/>
      <c r="AC15" s="743" t="n"/>
      <c r="AD15" s="743" t="n"/>
      <c r="AE15" s="743" t="n"/>
      <c r="AF15" s="743" t="n"/>
      <c r="AG15" s="743" t="n"/>
      <c r="AH15" s="743" t="n"/>
      <c r="AI15" s="743" t="n"/>
      <c r="AJ15" s="743" t="n"/>
      <c r="AK15" s="743" t="n"/>
      <c r="AL15" s="2" t="n"/>
      <c r="AM15" s="2" t="n"/>
      <c r="AN15" s="2" t="n"/>
      <c r="AO15" s="2" t="n"/>
      <c r="AP15" s="2" t="n"/>
      <c r="AQ15" s="2" t="n"/>
      <c r="AR15" s="2" t="n"/>
      <c r="AS15" s="2" t="n"/>
      <c r="AT15" s="345" t="n"/>
      <c r="AU15" s="345" t="n"/>
      <c r="AV15" s="345" t="n"/>
      <c r="AW15" s="2" t="n"/>
      <c r="AX15" s="2" t="n"/>
      <c r="AY15" s="2" t="n"/>
      <c r="AZ15" s="2" t="n"/>
      <c r="BA15" s="2" t="n"/>
      <c r="BB15" s="2" t="n"/>
      <c r="BC15" s="2" t="n"/>
      <c r="BD15" s="2" t="n"/>
      <c r="BE15" s="2" t="n"/>
      <c r="BF15" s="2" t="n"/>
      <c r="BG15" s="2" t="n"/>
      <c r="BH15" s="2" t="n"/>
      <c r="BI15" s="2" t="n"/>
      <c r="BJ15" s="2" t="n"/>
      <c r="BK15" s="2" t="n"/>
      <c r="BL15" s="2" t="n"/>
      <c r="BM15" s="2" t="n"/>
      <c r="BN15" s="2" t="n"/>
      <c r="BO15" s="2" t="n"/>
      <c r="BP15" s="2" t="n"/>
      <c r="BQ15" s="2" t="n"/>
      <c r="BR15" s="2" t="n"/>
      <c r="BS15" s="2" t="n"/>
      <c r="BT15" s="2" t="n"/>
      <c r="BU15" s="2" t="n"/>
      <c r="BV15" s="2" t="n"/>
      <c r="BW15" s="2" t="n"/>
      <c r="BX15" s="2" t="n"/>
      <c r="BY15" s="2" t="n"/>
      <c r="BZ15" s="2" t="n"/>
      <c r="CA15" s="2" t="n"/>
      <c r="CB15" s="2" t="n"/>
      <c r="CC15" s="2" t="n"/>
      <c r="CD15" s="2" t="n"/>
      <c r="CE15" s="2" t="n"/>
      <c r="CF15" s="2" t="n"/>
      <c r="CG15" s="2" t="n"/>
      <c r="CH15" s="2" t="n"/>
      <c r="CI15" s="2" t="n"/>
      <c r="CJ15" s="2" t="n"/>
      <c r="CK15" s="2" t="n"/>
      <c r="CL15" s="2" t="n"/>
      <c r="CM15" s="2" t="n"/>
      <c r="CN15" s="2" t="n"/>
      <c r="CO15" s="2" t="n"/>
      <c r="CP15" s="2" t="n"/>
      <c r="CQ15" s="2" t="n"/>
      <c r="CR15" s="345" t="n"/>
      <c r="CS15" s="345" t="n"/>
      <c r="CT15" s="345" t="n"/>
      <c r="CU15" s="345" t="n"/>
      <c r="CV15" s="345" t="n"/>
      <c r="CW15" s="345" t="n"/>
      <c r="CX15" s="345" t="n"/>
      <c r="CY15" s="345" t="n"/>
      <c r="CZ15" s="345" t="n"/>
      <c r="DA15" s="345" t="n"/>
      <c r="DB15" s="345" t="n"/>
      <c r="DC15" s="345" t="n"/>
      <c r="DD15" s="345" t="n"/>
      <c r="DE15" s="345" t="n"/>
      <c r="DF15" s="345" t="n"/>
      <c r="DG15" s="345" t="n"/>
      <c r="DH15" s="345" t="n"/>
      <c r="DI15" s="345" t="n"/>
      <c r="DJ15" s="345" t="n"/>
      <c r="DK15" s="345" t="n"/>
      <c r="DL15" s="345" t="n"/>
      <c r="DM15" s="345" t="n"/>
      <c r="DN15" s="345" t="n"/>
      <c r="DO15" s="345" t="n"/>
      <c r="DP15" s="345" t="n"/>
      <c r="DQ15" s="345" t="n"/>
      <c r="DR15" s="390" t="n"/>
      <c r="DS15" s="345" t="n"/>
      <c r="DT15" s="350" t="n"/>
      <c r="DU15" s="345" t="n"/>
      <c r="DV15" s="345" t="n"/>
      <c r="DW15" s="345" t="n"/>
    </row>
    <row r="16" ht="15" customFormat="1" customHeight="1" s="196">
      <c r="A16" s="347" t="n"/>
      <c r="B16" s="355" t="inlineStr">
        <is>
          <t>借项期末余额合计</t>
        </is>
      </c>
      <c r="C16" s="748" t="n"/>
      <c r="D16" s="356" t="n"/>
      <c r="E16" s="163" t="n"/>
      <c r="F16" s="357" t="n"/>
      <c r="G16" s="345" t="n"/>
      <c r="H16" s="345" t="n"/>
      <c r="I16" s="345" t="n"/>
      <c r="J16" s="345" t="n"/>
      <c r="K16" s="345" t="n"/>
      <c r="L16" s="345" t="n"/>
      <c r="M16" s="345" t="n"/>
      <c r="N16" s="345" t="n"/>
      <c r="O16" s="345" t="n"/>
      <c r="P16" s="10" t="n"/>
      <c r="Q16" s="17" t="n"/>
      <c r="R16" s="743" t="n"/>
      <c r="S16" s="743" t="n"/>
      <c r="T16" s="743" t="n"/>
      <c r="U16" s="743" t="n"/>
      <c r="V16" s="743" t="n"/>
      <c r="W16" s="743" t="n"/>
      <c r="X16" s="743" t="n"/>
      <c r="Y16" s="743" t="n"/>
      <c r="Z16" s="743" t="n"/>
      <c r="AA16" s="743" t="n"/>
      <c r="AB16" s="743" t="n"/>
      <c r="AC16" s="743" t="n"/>
      <c r="AD16" s="743" t="n"/>
      <c r="AE16" s="743" t="n"/>
      <c r="AF16" s="743" t="n"/>
      <c r="AG16" s="743" t="n"/>
      <c r="AH16" s="743" t="n"/>
      <c r="AI16" s="743" t="n"/>
      <c r="AJ16" s="743" t="n"/>
      <c r="AK16" s="743" t="n"/>
      <c r="AL16" s="2" t="n"/>
      <c r="AM16" s="2" t="n"/>
      <c r="AN16" s="2" t="n"/>
      <c r="AO16" s="2" t="n"/>
      <c r="AP16" s="2" t="n"/>
      <c r="AQ16" s="2" t="n"/>
      <c r="AR16" s="2" t="n"/>
      <c r="AS16" s="2" t="n"/>
      <c r="AT16" s="345" t="n"/>
      <c r="AU16" s="345" t="n"/>
      <c r="AV16" s="345" t="n"/>
      <c r="AW16" s="2" t="n"/>
      <c r="AX16" s="2" t="n"/>
      <c r="AY16" s="2" t="n"/>
      <c r="AZ16" s="2" t="n"/>
      <c r="BA16" s="2" t="n"/>
      <c r="BB16" s="2" t="n"/>
      <c r="BC16" s="2" t="n"/>
      <c r="BD16" s="2" t="n"/>
      <c r="BE16" s="2" t="n"/>
      <c r="BF16" s="2" t="n"/>
      <c r="BG16" s="2" t="n"/>
      <c r="BH16" s="2" t="n"/>
      <c r="BI16" s="2" t="n"/>
      <c r="BJ16" s="2" t="n"/>
      <c r="BK16" s="2" t="n"/>
      <c r="BL16" s="2" t="n"/>
      <c r="BM16" s="2" t="n"/>
      <c r="BN16" s="2" t="n"/>
      <c r="BO16" s="2" t="n"/>
      <c r="BP16" s="2" t="n"/>
      <c r="BQ16" s="2" t="n"/>
      <c r="BR16" s="2" t="n"/>
      <c r="BS16" s="2" t="n"/>
      <c r="BT16" s="2" t="n"/>
      <c r="BU16" s="2" t="n"/>
      <c r="BV16" s="2" t="n"/>
      <c r="BW16" s="2" t="n"/>
      <c r="BX16" s="2" t="n"/>
      <c r="BY16" s="2" t="n"/>
      <c r="BZ16" s="2" t="n"/>
      <c r="CA16" s="2" t="n"/>
      <c r="CB16" s="2" t="n"/>
      <c r="CC16" s="2" t="n"/>
      <c r="CD16" s="2" t="n"/>
      <c r="CE16" s="2" t="n"/>
      <c r="CF16" s="2" t="n"/>
      <c r="CG16" s="2" t="n"/>
      <c r="CH16" s="2" t="n"/>
      <c r="CI16" s="2" t="n"/>
      <c r="CJ16" s="2" t="n"/>
      <c r="CK16" s="2" t="n"/>
      <c r="CL16" s="2" t="n"/>
      <c r="CM16" s="2" t="n"/>
      <c r="CN16" s="2" t="n"/>
      <c r="CO16" s="2" t="n"/>
      <c r="CP16" s="2" t="n"/>
      <c r="CQ16" s="2" t="n"/>
      <c r="CR16" s="345" t="n"/>
      <c r="CS16" s="345" t="n"/>
      <c r="CT16" s="345" t="n"/>
      <c r="CU16" s="345" t="n"/>
      <c r="CV16" s="345" t="n"/>
      <c r="CW16" s="345" t="n"/>
      <c r="CX16" s="345" t="n"/>
      <c r="CY16" s="345" t="n"/>
      <c r="CZ16" s="345" t="n"/>
      <c r="DA16" s="345" t="n"/>
      <c r="DB16" s="345" t="n"/>
      <c r="DC16" s="345" t="n"/>
      <c r="DD16" s="345" t="n"/>
      <c r="DE16" s="345" t="n"/>
      <c r="DF16" s="345" t="n"/>
      <c r="DG16" s="345" t="n"/>
      <c r="DH16" s="345" t="n"/>
      <c r="DI16" s="345" t="n"/>
      <c r="DJ16" s="345" t="n"/>
      <c r="DK16" s="345" t="n"/>
      <c r="DL16" s="345" t="n"/>
      <c r="DM16" s="345" t="n"/>
      <c r="DN16" s="345" t="n"/>
      <c r="DO16" s="345" t="n"/>
      <c r="DP16" s="345" t="n"/>
      <c r="DQ16" s="345" t="n"/>
      <c r="DR16" s="390" t="n"/>
      <c r="DS16" s="345" t="n"/>
      <c r="DT16" s="350" t="n"/>
      <c r="DU16" s="345" t="n"/>
      <c r="DV16" s="345" t="n"/>
      <c r="DW16" s="345" t="n"/>
    </row>
    <row r="17" ht="15" customFormat="1" customHeight="1" s="196">
      <c r="A17" s="347" t="n"/>
      <c r="B17" s="358" t="inlineStr">
        <is>
          <t>是否执行借方余额测试</t>
        </is>
      </c>
      <c r="C17" s="359">
        <f>IF(C16&gt;'N.00 Lead sheet'!$E$15,"是","否")</f>
        <v/>
      </c>
      <c r="D17" s="164" t="n"/>
      <c r="E17" s="2" t="n"/>
      <c r="F17" s="360" t="n"/>
      <c r="G17" s="345" t="n"/>
      <c r="H17" s="345" t="n"/>
      <c r="I17" s="345" t="n"/>
      <c r="J17" s="345" t="n"/>
      <c r="K17" s="345" t="n"/>
      <c r="L17" s="345" t="n"/>
      <c r="M17" s="345" t="n"/>
      <c r="N17" s="345" t="n"/>
      <c r="O17" s="345" t="n"/>
      <c r="P17" s="10" t="n"/>
      <c r="Q17" s="17" t="n"/>
      <c r="R17" s="743" t="n"/>
      <c r="S17" s="743" t="n"/>
      <c r="T17" s="743" t="n"/>
      <c r="U17" s="743" t="n"/>
      <c r="V17" s="743" t="n"/>
      <c r="W17" s="743" t="n"/>
      <c r="X17" s="743" t="n"/>
      <c r="Y17" s="743" t="n"/>
      <c r="Z17" s="743" t="n"/>
      <c r="AA17" s="743" t="n"/>
      <c r="AB17" s="743" t="n"/>
      <c r="AC17" s="743" t="n"/>
      <c r="AD17" s="743" t="n"/>
      <c r="AE17" s="743" t="n"/>
      <c r="AF17" s="743" t="n"/>
      <c r="AG17" s="743" t="n"/>
      <c r="AH17" s="743" t="n"/>
      <c r="AI17" s="743" t="n"/>
      <c r="AJ17" s="743" t="n"/>
      <c r="AK17" s="743" t="n"/>
      <c r="AL17" s="2" t="n"/>
      <c r="AM17" s="2" t="n"/>
      <c r="AN17" s="2" t="n"/>
      <c r="AO17" s="2" t="n"/>
      <c r="AP17" s="2" t="n"/>
      <c r="AQ17" s="2" t="n"/>
      <c r="AR17" s="2" t="n"/>
      <c r="AS17" s="2" t="n"/>
      <c r="AT17" s="345" t="n"/>
      <c r="AU17" s="345" t="n"/>
      <c r="AV17" s="345" t="n"/>
      <c r="AW17" s="2" t="n"/>
      <c r="AX17" s="2" t="n"/>
      <c r="AY17" s="2" t="n"/>
      <c r="AZ17" s="2" t="n"/>
      <c r="BA17" s="2" t="n"/>
      <c r="BB17" s="2" t="n"/>
      <c r="BC17" s="2" t="n"/>
      <c r="BD17" s="2" t="n"/>
      <c r="BE17" s="2" t="n"/>
      <c r="BF17" s="2" t="n"/>
      <c r="BG17" s="2" t="n"/>
      <c r="BH17" s="2" t="n"/>
      <c r="BI17" s="2" t="n"/>
      <c r="BJ17" s="2" t="n"/>
      <c r="BK17" s="2" t="n"/>
      <c r="BL17" s="2" t="n"/>
      <c r="BM17" s="2" t="n"/>
      <c r="BN17" s="2" t="n"/>
      <c r="BO17" s="2" t="n"/>
      <c r="BP17" s="2" t="n"/>
      <c r="BQ17" s="2" t="n"/>
      <c r="BR17" s="2" t="n"/>
      <c r="BS17" s="2" t="n"/>
      <c r="BT17" s="2" t="n"/>
      <c r="BU17" s="2" t="n"/>
      <c r="BV17" s="2" t="n"/>
      <c r="BW17" s="2" t="n"/>
      <c r="BX17" s="2" t="n"/>
      <c r="BY17" s="2" t="n"/>
      <c r="BZ17" s="2" t="n"/>
      <c r="CA17" s="2" t="n"/>
      <c r="CB17" s="2" t="n"/>
      <c r="CC17" s="2" t="n"/>
      <c r="CD17" s="2" t="n"/>
      <c r="CE17" s="2" t="n"/>
      <c r="CF17" s="2" t="n"/>
      <c r="CG17" s="2" t="n"/>
      <c r="CH17" s="2" t="n"/>
      <c r="CI17" s="2" t="n"/>
      <c r="CJ17" s="2" t="n"/>
      <c r="CK17" s="2" t="n"/>
      <c r="CL17" s="2" t="n"/>
      <c r="CM17" s="2" t="n"/>
      <c r="CN17" s="2" t="n"/>
      <c r="CO17" s="2" t="n"/>
      <c r="CP17" s="2" t="n"/>
      <c r="CQ17" s="2" t="n"/>
      <c r="CR17" s="345" t="n"/>
      <c r="CS17" s="345" t="n"/>
      <c r="CT17" s="345" t="n"/>
      <c r="CU17" s="345" t="n"/>
      <c r="CV17" s="345" t="n"/>
      <c r="CW17" s="345" t="n"/>
      <c r="CX17" s="345" t="n"/>
      <c r="CY17" s="345" t="n"/>
      <c r="CZ17" s="345" t="n"/>
      <c r="DA17" s="345" t="n"/>
      <c r="DB17" s="345" t="n"/>
      <c r="DC17" s="345" t="n"/>
      <c r="DD17" s="345" t="n"/>
      <c r="DE17" s="345" t="n"/>
      <c r="DF17" s="345" t="n"/>
      <c r="DG17" s="345" t="n"/>
      <c r="DH17" s="345" t="n"/>
      <c r="DI17" s="345" t="n"/>
      <c r="DJ17" s="345" t="n"/>
      <c r="DK17" s="345" t="n"/>
      <c r="DL17" s="345" t="n"/>
      <c r="DM17" s="345" t="n"/>
      <c r="DN17" s="345" t="n"/>
      <c r="DO17" s="345" t="n"/>
      <c r="DP17" s="345" t="n"/>
      <c r="DQ17" s="345" t="n"/>
      <c r="DR17" s="390" t="n"/>
      <c r="DS17" s="345" t="n"/>
      <c r="DT17" s="350" t="n"/>
    </row>
    <row r="18" ht="15" customFormat="1" customHeight="1" s="196">
      <c r="A18" s="347" t="n"/>
      <c r="B18" s="361" t="inlineStr">
        <is>
          <t>是否调整</t>
        </is>
      </c>
      <c r="C18" s="362">
        <f>IF(C16&gt;'N.00 Lead sheet'!$C$6,"是","否")</f>
        <v/>
      </c>
      <c r="D18" s="363" t="n"/>
      <c r="E18" s="165" t="n"/>
      <c r="F18" s="166" t="n"/>
      <c r="G18" s="345" t="n"/>
      <c r="H18" s="345" t="n"/>
      <c r="I18" s="345" t="n"/>
      <c r="J18" s="345" t="n"/>
      <c r="K18" s="345" t="n"/>
      <c r="L18" s="345" t="n"/>
      <c r="M18" s="345" t="n"/>
      <c r="N18" s="345" t="n"/>
      <c r="O18" s="345" t="n"/>
      <c r="P18" s="10" t="n"/>
      <c r="Q18" s="17" t="n"/>
      <c r="R18" s="743" t="n"/>
      <c r="S18" s="743" t="n"/>
      <c r="T18" s="743" t="n"/>
      <c r="U18" s="743" t="n"/>
      <c r="V18" s="743" t="n"/>
      <c r="W18" s="743" t="n"/>
      <c r="X18" s="743" t="n"/>
      <c r="Y18" s="743" t="n"/>
      <c r="Z18" s="743" t="n"/>
      <c r="AA18" s="743" t="n"/>
      <c r="AB18" s="743" t="n"/>
      <c r="AC18" s="743" t="n"/>
      <c r="AD18" s="743" t="n"/>
      <c r="AE18" s="743" t="n"/>
      <c r="AF18" s="743" t="n"/>
      <c r="AG18" s="743" t="n"/>
      <c r="AH18" s="743" t="n"/>
      <c r="AI18" s="743" t="n"/>
      <c r="AJ18" s="743" t="n"/>
      <c r="AK18" s="743" t="n"/>
      <c r="AL18" s="2" t="n"/>
      <c r="AM18" s="2" t="n"/>
      <c r="AN18" s="2" t="n"/>
      <c r="AO18" s="2" t="n"/>
      <c r="AP18" s="2" t="n"/>
      <c r="AQ18" s="2" t="n"/>
      <c r="AR18" s="2" t="n"/>
      <c r="AS18" s="2" t="n"/>
      <c r="AT18" s="345" t="n"/>
      <c r="AU18" s="345" t="n"/>
      <c r="AV18" s="345" t="n"/>
      <c r="AW18" s="2" t="n"/>
      <c r="AX18" s="2" t="n"/>
      <c r="AY18" s="2" t="n"/>
      <c r="AZ18" s="2" t="n"/>
      <c r="BA18" s="2" t="n"/>
      <c r="BB18" s="2" t="n"/>
      <c r="BC18" s="2" t="n"/>
      <c r="BD18" s="2" t="n"/>
      <c r="BE18" s="2" t="n"/>
      <c r="BF18" s="2" t="n"/>
      <c r="BG18" s="2" t="n"/>
      <c r="BH18" s="2" t="n"/>
      <c r="BI18" s="2" t="n"/>
      <c r="BJ18" s="2" t="n"/>
      <c r="BK18" s="2" t="n"/>
      <c r="BL18" s="2" t="n"/>
      <c r="BM18" s="2" t="n"/>
      <c r="BN18" s="2" t="n"/>
      <c r="BO18" s="2" t="n"/>
      <c r="BP18" s="2" t="n"/>
      <c r="BQ18" s="2" t="n"/>
      <c r="BR18" s="2" t="n"/>
      <c r="BS18" s="2" t="n"/>
      <c r="BT18" s="2" t="n"/>
      <c r="BU18" s="2" t="n"/>
      <c r="BV18" s="2" t="n"/>
      <c r="BW18" s="2" t="n"/>
      <c r="BX18" s="2" t="n"/>
      <c r="BY18" s="2" t="n"/>
      <c r="BZ18" s="2" t="n"/>
      <c r="CA18" s="2" t="n"/>
      <c r="CB18" s="2" t="n"/>
      <c r="CC18" s="2" t="n"/>
      <c r="CD18" s="2" t="n"/>
      <c r="CE18" s="2" t="n"/>
      <c r="CF18" s="2" t="n"/>
      <c r="CG18" s="2" t="n"/>
      <c r="CH18" s="2" t="n"/>
      <c r="CI18" s="2" t="n"/>
      <c r="CJ18" s="2" t="n"/>
      <c r="CK18" s="2" t="n"/>
      <c r="CL18" s="2" t="n"/>
      <c r="CM18" s="2" t="n"/>
      <c r="CN18" s="2" t="n"/>
      <c r="CO18" s="2" t="n"/>
      <c r="CP18" s="2" t="n"/>
      <c r="CQ18" s="2" t="n"/>
      <c r="CR18" s="345" t="n"/>
      <c r="CS18" s="345" t="n"/>
      <c r="CT18" s="345" t="n"/>
      <c r="CU18" s="345" t="n"/>
      <c r="CV18" s="345" t="n"/>
      <c r="CW18" s="345" t="n"/>
      <c r="CX18" s="345" t="n"/>
      <c r="CY18" s="345" t="n"/>
      <c r="CZ18" s="345" t="n"/>
      <c r="DA18" s="345" t="n"/>
      <c r="DB18" s="345" t="n"/>
      <c r="DC18" s="345" t="n"/>
      <c r="DD18" s="345" t="n"/>
      <c r="DE18" s="345" t="n"/>
      <c r="DF18" s="345" t="n"/>
      <c r="DG18" s="345" t="n"/>
      <c r="DH18" s="345" t="n"/>
      <c r="DI18" s="345" t="n"/>
      <c r="DJ18" s="345" t="n"/>
      <c r="DK18" s="345" t="n"/>
      <c r="DL18" s="345" t="n"/>
      <c r="DM18" s="345" t="n"/>
      <c r="DN18" s="345" t="n"/>
      <c r="DO18" s="345" t="n"/>
      <c r="DP18" s="345" t="n"/>
      <c r="DQ18" s="345" t="n"/>
      <c r="DR18" s="390" t="n"/>
      <c r="DS18" s="345" t="n"/>
      <c r="DT18" s="350" t="n"/>
    </row>
    <row r="19" ht="15" customFormat="1" customHeight="1" s="196">
      <c r="A19" s="347" t="n"/>
      <c r="B19" s="2" t="n"/>
      <c r="C19" s="2" t="n"/>
      <c r="D19" s="2" t="n"/>
      <c r="E19" s="2" t="n"/>
      <c r="F19" s="2" t="n"/>
      <c r="G19" s="345" t="n"/>
      <c r="H19" s="345" t="n"/>
      <c r="I19" s="345" t="n"/>
      <c r="J19" s="345" t="n"/>
      <c r="K19" s="345" t="n"/>
      <c r="L19" s="345" t="n"/>
      <c r="M19" s="345" t="n"/>
      <c r="N19" s="345" t="n"/>
      <c r="O19" s="345" t="n"/>
      <c r="P19" s="10" t="n"/>
      <c r="Q19" s="17" t="n"/>
      <c r="R19" s="743" t="n"/>
      <c r="S19" s="743" t="n"/>
      <c r="T19" s="743" t="n"/>
      <c r="U19" s="743" t="n"/>
      <c r="V19" s="743" t="n"/>
      <c r="W19" s="743" t="n"/>
      <c r="X19" s="743" t="n"/>
      <c r="Y19" s="743" t="n"/>
      <c r="Z19" s="743" t="n"/>
      <c r="AA19" s="743" t="n"/>
      <c r="AB19" s="743" t="n"/>
      <c r="AC19" s="743" t="n"/>
      <c r="AD19" s="743" t="n"/>
      <c r="AE19" s="743" t="n"/>
      <c r="AF19" s="743" t="n"/>
      <c r="AG19" s="2" t="n"/>
      <c r="AH19" s="2" t="n"/>
      <c r="AI19" s="2" t="n"/>
      <c r="AJ19" s="2" t="n"/>
      <c r="AK19" s="2" t="n"/>
      <c r="AL19" s="2" t="n"/>
      <c r="AM19" s="2" t="n"/>
      <c r="AN19" s="2" t="n"/>
      <c r="AO19" s="345" t="n"/>
      <c r="AP19" s="345" t="n"/>
      <c r="AQ19" s="345" t="n"/>
      <c r="AR19" s="2" t="n"/>
      <c r="AS19" s="2" t="n"/>
      <c r="AT19" s="2" t="n"/>
      <c r="AU19" s="2" t="n"/>
      <c r="AV19" s="2" t="n"/>
      <c r="AW19" s="2" t="n"/>
      <c r="AX19" s="2" t="n"/>
      <c r="AY19" s="2" t="n"/>
      <c r="AZ19" s="2" t="n"/>
      <c r="BA19" s="2" t="n"/>
      <c r="BB19" s="2" t="n"/>
      <c r="BC19" s="2" t="n"/>
      <c r="BD19" s="2" t="n"/>
      <c r="BE19" s="2" t="n"/>
      <c r="BF19" s="2" t="n"/>
      <c r="BG19" s="2" t="n"/>
      <c r="BH19" s="2" t="n"/>
      <c r="BI19" s="2" t="n"/>
      <c r="BJ19" s="2" t="n"/>
      <c r="BK19" s="2" t="n"/>
      <c r="BL19" s="2" t="n"/>
      <c r="BM19" s="2" t="n"/>
      <c r="BN19" s="2" t="n"/>
      <c r="BO19" s="2" t="n"/>
      <c r="BP19" s="2" t="n"/>
      <c r="BQ19" s="2" t="n"/>
      <c r="BR19" s="2" t="n"/>
      <c r="BS19" s="2" t="n"/>
      <c r="BT19" s="2" t="n"/>
      <c r="BU19" s="2" t="n"/>
      <c r="BV19" s="2" t="n"/>
      <c r="BW19" s="2" t="n"/>
      <c r="BX19" s="2" t="n"/>
      <c r="BY19" s="2" t="n"/>
      <c r="BZ19" s="2" t="n"/>
      <c r="CA19" s="2" t="n"/>
      <c r="CB19" s="2" t="n"/>
      <c r="CC19" s="2" t="n"/>
      <c r="CD19" s="2" t="n"/>
      <c r="CE19" s="2" t="n"/>
      <c r="CF19" s="2" t="n"/>
      <c r="CG19" s="2" t="n"/>
      <c r="CH19" s="2" t="n"/>
      <c r="CI19" s="2" t="n"/>
      <c r="CJ19" s="2" t="n"/>
      <c r="CK19" s="2" t="n"/>
      <c r="CL19" s="2" t="n"/>
      <c r="CM19" s="345" t="n"/>
      <c r="CN19" s="345" t="n"/>
      <c r="CO19" s="345" t="n"/>
      <c r="CP19" s="345" t="n"/>
      <c r="CQ19" s="345" t="n"/>
      <c r="CR19" s="345" t="n"/>
      <c r="CS19" s="345" t="n"/>
      <c r="CT19" s="345" t="n"/>
      <c r="CU19" s="345" t="n"/>
      <c r="CV19" s="345" t="n"/>
      <c r="CW19" s="345" t="n"/>
      <c r="CX19" s="345" t="n"/>
      <c r="CY19" s="345" t="n"/>
      <c r="CZ19" s="345" t="n"/>
      <c r="DA19" s="345" t="n"/>
      <c r="DB19" s="345" t="n"/>
      <c r="DC19" s="345" t="n"/>
      <c r="DD19" s="345" t="n"/>
      <c r="DE19" s="345" t="n"/>
      <c r="DF19" s="345" t="n"/>
      <c r="DG19" s="345" t="n"/>
      <c r="DH19" s="345" t="n"/>
      <c r="DI19" s="345" t="n"/>
      <c r="DJ19" s="345" t="n"/>
      <c r="DK19" s="345" t="n"/>
      <c r="DL19" s="345" t="n"/>
      <c r="DM19" s="390" t="n"/>
      <c r="DN19" s="345" t="n"/>
      <c r="DO19" s="350" t="n"/>
      <c r="DP19" s="345" t="n"/>
      <c r="DQ19" s="345" t="n"/>
      <c r="DR19" s="345" t="n"/>
      <c r="DS19" s="345" t="n"/>
      <c r="DT19" s="345" t="n"/>
    </row>
    <row r="20" ht="15" customFormat="1" customHeight="1" s="196">
      <c r="A20" s="347" t="n"/>
      <c r="B20" s="352" t="inlineStr">
        <is>
          <t>分析所选项目，以进行了解和正确分类。</t>
        </is>
      </c>
      <c r="C20" s="364" t="n"/>
      <c r="D20" s="364" t="n"/>
      <c r="E20" s="364" t="n"/>
      <c r="F20" s="364" t="n"/>
      <c r="G20" s="365" t="n"/>
      <c r="H20" s="365" t="n"/>
      <c r="I20" s="365" t="n"/>
      <c r="J20" s="365" t="n"/>
      <c r="K20" s="365" t="n"/>
      <c r="L20" s="365" t="n"/>
      <c r="M20" s="365" t="n"/>
      <c r="N20" s="365" t="n"/>
      <c r="O20" s="365" t="n"/>
      <c r="P20" s="10" t="n"/>
      <c r="Q20" s="17" t="n"/>
      <c r="R20" s="743" t="n"/>
      <c r="S20" s="743" t="n"/>
      <c r="T20" s="743" t="n"/>
      <c r="U20" s="743" t="n"/>
      <c r="V20" s="743" t="n"/>
      <c r="W20" s="743" t="n"/>
      <c r="X20" s="743" t="n"/>
      <c r="Y20" s="743" t="n"/>
      <c r="Z20" s="743" t="n"/>
      <c r="AA20" s="743" t="n"/>
      <c r="AB20" s="743" t="n"/>
      <c r="AC20" s="743" t="n"/>
      <c r="AD20" s="743" t="n"/>
      <c r="AE20" s="743" t="n"/>
      <c r="AF20" s="743" t="n"/>
      <c r="AG20" s="743" t="n"/>
      <c r="AH20" s="2" t="n"/>
      <c r="AI20" s="2" t="n"/>
      <c r="AJ20" s="2" t="n"/>
      <c r="AK20" s="2" t="n"/>
      <c r="AL20" s="2" t="n"/>
      <c r="AM20" s="2" t="n"/>
      <c r="AN20" s="2" t="n"/>
      <c r="AO20" s="2" t="n"/>
      <c r="AP20" s="345" t="n"/>
      <c r="AQ20" s="345" t="n"/>
      <c r="AR20" s="345" t="n"/>
      <c r="AS20" s="2" t="n"/>
      <c r="AT20" s="2" t="n"/>
      <c r="AU20" s="2" t="n"/>
      <c r="AV20" s="2" t="n"/>
      <c r="AW20" s="2" t="n"/>
      <c r="AX20" s="2" t="n"/>
      <c r="AY20" s="2" t="n"/>
      <c r="AZ20" s="2" t="n"/>
      <c r="BA20" s="2" t="n"/>
      <c r="BB20" s="2" t="n"/>
      <c r="BC20" s="2" t="n"/>
      <c r="BD20" s="2" t="n"/>
      <c r="BE20" s="2" t="n"/>
      <c r="BF20" s="2" t="n"/>
      <c r="BG20" s="2" t="n"/>
      <c r="BH20" s="2" t="n"/>
      <c r="BI20" s="2" t="n"/>
      <c r="BJ20" s="2" t="n"/>
      <c r="BK20" s="2" t="n"/>
      <c r="BL20" s="2" t="n"/>
      <c r="BM20" s="2" t="n"/>
      <c r="BN20" s="2" t="n"/>
      <c r="BO20" s="2" t="n"/>
      <c r="BP20" s="2" t="n"/>
      <c r="BQ20" s="2" t="n"/>
      <c r="BR20" s="2" t="n"/>
      <c r="BS20" s="2" t="n"/>
      <c r="BT20" s="2" t="n"/>
      <c r="BU20" s="2" t="n"/>
      <c r="BV20" s="2" t="n"/>
      <c r="BW20" s="2" t="n"/>
      <c r="BX20" s="2" t="n"/>
      <c r="BY20" s="2" t="n"/>
      <c r="BZ20" s="2" t="n"/>
      <c r="CA20" s="2" t="n"/>
      <c r="CB20" s="2" t="n"/>
      <c r="CC20" s="2" t="n"/>
      <c r="CD20" s="2" t="n"/>
      <c r="CE20" s="2" t="n"/>
      <c r="CF20" s="2" t="n"/>
      <c r="CG20" s="2" t="n"/>
      <c r="CH20" s="2" t="n"/>
      <c r="CI20" s="2" t="n"/>
      <c r="CJ20" s="2" t="n"/>
      <c r="CK20" s="2" t="n"/>
      <c r="CL20" s="2" t="n"/>
      <c r="CM20" s="2" t="n"/>
      <c r="CN20" s="345" t="n"/>
      <c r="CO20" s="345" t="n"/>
      <c r="CP20" s="345" t="n"/>
      <c r="CQ20" s="345" t="n"/>
      <c r="CR20" s="345" t="n"/>
      <c r="CS20" s="345" t="n"/>
      <c r="CT20" s="345" t="n"/>
      <c r="CU20" s="345" t="n"/>
      <c r="CV20" s="345" t="n"/>
      <c r="CW20" s="345" t="n"/>
      <c r="CX20" s="345" t="n"/>
      <c r="CY20" s="345" t="n"/>
      <c r="CZ20" s="345" t="n"/>
      <c r="DA20" s="345" t="n"/>
      <c r="DB20" s="345" t="n"/>
      <c r="DC20" s="345" t="n"/>
      <c r="DD20" s="345" t="n"/>
      <c r="DE20" s="345" t="n"/>
      <c r="DF20" s="345" t="n"/>
      <c r="DG20" s="345" t="n"/>
      <c r="DH20" s="345" t="n"/>
      <c r="DI20" s="345" t="n"/>
      <c r="DJ20" s="345" t="n"/>
      <c r="DK20" s="345" t="n"/>
      <c r="DL20" s="345" t="n"/>
      <c r="DM20" s="345" t="n"/>
      <c r="DN20" s="390" t="n"/>
      <c r="DO20" s="345" t="n"/>
      <c r="DP20" s="350" t="n"/>
      <c r="DQ20" s="345" t="n"/>
      <c r="DR20" s="345" t="n"/>
      <c r="DS20" s="345" t="n"/>
      <c r="DT20" s="345" t="n"/>
    </row>
    <row r="21" ht="15" customFormat="1" customHeight="1" s="196">
      <c r="A21" s="347" t="n"/>
      <c r="B21" s="342" t="n"/>
      <c r="C21" s="2" t="n"/>
      <c r="D21" s="2" t="n"/>
      <c r="E21" s="2" t="n"/>
      <c r="F21" s="2" t="n"/>
      <c r="G21" s="345" t="n"/>
      <c r="H21" s="345" t="n"/>
      <c r="I21" s="345" t="n"/>
      <c r="J21" s="345" t="n"/>
      <c r="K21" s="345" t="n"/>
      <c r="L21" s="345" t="n"/>
      <c r="M21" s="345" t="n"/>
      <c r="N21" s="345" t="n"/>
      <c r="O21" s="345" t="n"/>
      <c r="P21" s="10" t="n"/>
      <c r="Q21" s="17" t="n"/>
      <c r="R21" s="743" t="n"/>
      <c r="S21" s="743" t="n"/>
      <c r="T21" s="743" t="n"/>
      <c r="U21" s="743" t="n"/>
      <c r="V21" s="743" t="n"/>
      <c r="W21" s="743" t="n"/>
      <c r="X21" s="743" t="n"/>
      <c r="Y21" s="743" t="n"/>
      <c r="Z21" s="743" t="n"/>
      <c r="AA21" s="743" t="n"/>
      <c r="AB21" s="743" t="n"/>
      <c r="AC21" s="743" t="n"/>
      <c r="AD21" s="743" t="n"/>
      <c r="AE21" s="743" t="n"/>
      <c r="AF21" s="743" t="n"/>
      <c r="AG21" s="743" t="n"/>
      <c r="AH21" s="2" t="n"/>
      <c r="AI21" s="2" t="n"/>
      <c r="AJ21" s="2" t="n"/>
      <c r="AK21" s="2" t="n"/>
      <c r="AL21" s="2" t="n"/>
      <c r="AM21" s="2" t="n"/>
      <c r="AN21" s="2" t="n"/>
      <c r="AO21" s="2" t="n"/>
      <c r="AP21" s="345" t="n"/>
      <c r="AQ21" s="345" t="n"/>
      <c r="AR21" s="345" t="n"/>
      <c r="AS21" s="2" t="n"/>
      <c r="AT21" s="2" t="n"/>
      <c r="AU21" s="2" t="n"/>
      <c r="AV21" s="2" t="n"/>
      <c r="AW21" s="2" t="n"/>
      <c r="AX21" s="2" t="n"/>
      <c r="AY21" s="2" t="n"/>
      <c r="AZ21" s="2" t="n"/>
      <c r="BA21" s="2" t="n"/>
      <c r="BB21" s="2" t="n"/>
      <c r="BC21" s="2" t="n"/>
      <c r="BD21" s="2" t="n"/>
      <c r="BE21" s="2" t="n"/>
      <c r="BF21" s="2" t="n"/>
      <c r="BG21" s="2" t="n"/>
      <c r="BH21" s="2" t="n"/>
      <c r="BI21" s="2" t="n"/>
      <c r="BJ21" s="2" t="n"/>
      <c r="BK21" s="2" t="n"/>
      <c r="BL21" s="2" t="n"/>
      <c r="BM21" s="2" t="n"/>
      <c r="BN21" s="2" t="n"/>
      <c r="BO21" s="2" t="n"/>
      <c r="BP21" s="2" t="n"/>
      <c r="BQ21" s="2" t="n"/>
      <c r="BR21" s="2" t="n"/>
      <c r="BS21" s="2" t="n"/>
      <c r="BT21" s="2" t="n"/>
      <c r="BU21" s="2" t="n"/>
      <c r="BV21" s="2" t="n"/>
      <c r="BW21" s="2" t="n"/>
      <c r="BX21" s="2" t="n"/>
      <c r="BY21" s="2" t="n"/>
      <c r="BZ21" s="2" t="n"/>
      <c r="CA21" s="2" t="n"/>
      <c r="CB21" s="2" t="n"/>
      <c r="CC21" s="2" t="n"/>
      <c r="CD21" s="2" t="n"/>
      <c r="CE21" s="2" t="n"/>
      <c r="CF21" s="2" t="n"/>
      <c r="CG21" s="2" t="n"/>
      <c r="CH21" s="2" t="n"/>
      <c r="CI21" s="2" t="n"/>
      <c r="CJ21" s="2" t="n"/>
      <c r="CK21" s="2" t="n"/>
      <c r="CL21" s="2" t="n"/>
      <c r="CM21" s="2" t="n"/>
      <c r="CN21" s="345" t="n"/>
      <c r="CO21" s="345" t="n"/>
      <c r="CP21" s="345" t="n"/>
      <c r="CQ21" s="345" t="n"/>
      <c r="CR21" s="345" t="n"/>
      <c r="CS21" s="345" t="n"/>
      <c r="CT21" s="345" t="n"/>
      <c r="CU21" s="345" t="n"/>
      <c r="CV21" s="345" t="n"/>
      <c r="CW21" s="345" t="n"/>
      <c r="CX21" s="345" t="n"/>
      <c r="CY21" s="345" t="n"/>
      <c r="CZ21" s="345" t="n"/>
      <c r="DA21" s="345" t="n"/>
      <c r="DB21" s="345" t="n"/>
      <c r="DC21" s="345" t="n"/>
      <c r="DD21" s="345" t="n"/>
      <c r="DE21" s="345" t="n"/>
      <c r="DF21" s="345" t="n"/>
      <c r="DG21" s="345" t="n"/>
      <c r="DH21" s="345" t="n"/>
      <c r="DI21" s="345" t="n"/>
      <c r="DJ21" s="345" t="n"/>
      <c r="DK21" s="345" t="n"/>
      <c r="DL21" s="345" t="n"/>
      <c r="DM21" s="345" t="n"/>
      <c r="DN21" s="390" t="n"/>
      <c r="DO21" s="345" t="n"/>
      <c r="DP21" s="350" t="n"/>
      <c r="DQ21" s="345" t="n"/>
      <c r="DR21" s="345" t="n"/>
      <c r="DS21" s="345" t="n"/>
      <c r="DT21" s="345" t="n"/>
    </row>
    <row r="22" ht="18" customFormat="1" customHeight="1" s="196">
      <c r="A22" s="347" t="n"/>
      <c r="B22" s="2" t="n"/>
      <c r="C22" s="2" t="n"/>
      <c r="D22" s="2" t="n"/>
      <c r="E22" s="2" t="n"/>
      <c r="F22" s="2" t="n"/>
      <c r="G22" s="345" t="n"/>
      <c r="H22" s="345" t="n"/>
      <c r="I22" s="345" t="n"/>
      <c r="J22" s="345" t="n"/>
      <c r="K22" s="743" t="n"/>
      <c r="L22" s="577" t="inlineStr">
        <is>
          <t>EY Works</t>
        </is>
      </c>
      <c r="M22" s="635" t="n"/>
      <c r="N22" s="636" t="n"/>
      <c r="O22" s="743" t="n"/>
      <c r="P22" s="10" t="n"/>
      <c r="Q22" s="17" t="n"/>
      <c r="R22" s="743" t="n"/>
      <c r="S22" s="743" t="n"/>
      <c r="T22" s="743" t="n"/>
      <c r="U22" s="743" t="n"/>
      <c r="V22" s="743" t="n"/>
      <c r="W22" s="743" t="n"/>
      <c r="X22" s="743" t="n"/>
      <c r="Y22" s="743" t="n"/>
      <c r="Z22" s="743" t="n"/>
      <c r="AA22" s="743" t="n"/>
      <c r="AB22" s="743" t="n"/>
      <c r="AC22" s="743" t="n"/>
      <c r="AD22" s="743" t="n"/>
      <c r="AE22" s="743" t="n"/>
      <c r="AF22" s="743" t="n"/>
      <c r="AG22" s="743" t="n"/>
      <c r="AH22" s="2" t="n"/>
      <c r="AI22" s="2" t="n"/>
      <c r="AJ22" s="2" t="n"/>
      <c r="AK22" s="2" t="n"/>
      <c r="AL22" s="2" t="n"/>
      <c r="AM22" s="2" t="n"/>
      <c r="AN22" s="2" t="n"/>
      <c r="AO22" s="2" t="n"/>
      <c r="AP22" s="345" t="n"/>
      <c r="AQ22" s="345" t="n"/>
      <c r="AR22" s="345" t="n"/>
      <c r="AS22" s="2" t="n"/>
      <c r="AT22" s="2" t="n"/>
      <c r="AU22" s="2" t="n"/>
      <c r="AV22" s="2" t="n"/>
      <c r="AW22" s="2" t="n"/>
      <c r="AX22" s="2" t="n"/>
      <c r="AY22" s="2" t="n"/>
      <c r="AZ22" s="2" t="n"/>
      <c r="BA22" s="2" t="n"/>
      <c r="BB22" s="2" t="n"/>
      <c r="BC22" s="2" t="n"/>
      <c r="BD22" s="2" t="n"/>
      <c r="BE22" s="2" t="n"/>
      <c r="BF22" s="2" t="n"/>
      <c r="BG22" s="2" t="n"/>
      <c r="BH22" s="2" t="n"/>
      <c r="BI22" s="2" t="n"/>
      <c r="BJ22" s="2" t="n"/>
      <c r="BK22" s="2" t="n"/>
      <c r="BL22" s="2" t="n"/>
      <c r="BM22" s="2" t="n"/>
      <c r="BN22" s="2" t="n"/>
      <c r="BO22" s="2" t="n"/>
      <c r="BP22" s="2" t="n"/>
      <c r="BQ22" s="2" t="n"/>
      <c r="BR22" s="2" t="n"/>
      <c r="BS22" s="2" t="n"/>
      <c r="BT22" s="2" t="n"/>
      <c r="BU22" s="2" t="n"/>
      <c r="BV22" s="2" t="n"/>
      <c r="BW22" s="2" t="n"/>
      <c r="BX22" s="2" t="n"/>
      <c r="BY22" s="2" t="n"/>
      <c r="BZ22" s="2" t="n"/>
      <c r="CA22" s="2" t="n"/>
      <c r="CB22" s="2" t="n"/>
      <c r="CC22" s="2" t="n"/>
      <c r="CD22" s="2" t="n"/>
      <c r="CE22" s="2" t="n"/>
      <c r="CF22" s="2" t="n"/>
      <c r="CG22" s="2" t="n"/>
      <c r="CH22" s="2" t="n"/>
      <c r="CI22" s="2" t="n"/>
      <c r="CJ22" s="2" t="n"/>
      <c r="CK22" s="2" t="n"/>
      <c r="CL22" s="2" t="n"/>
      <c r="CM22" s="2" t="n"/>
      <c r="CN22" s="345" t="n"/>
      <c r="CO22" s="345" t="n"/>
      <c r="CP22" s="345" t="n"/>
      <c r="CQ22" s="345" t="n"/>
      <c r="CR22" s="345" t="n"/>
      <c r="CS22" s="345" t="n"/>
      <c r="CT22" s="345" t="n"/>
      <c r="CU22" s="345" t="n"/>
      <c r="CV22" s="345" t="n"/>
      <c r="CW22" s="345" t="n"/>
      <c r="CX22" s="345" t="n"/>
      <c r="CY22" s="345" t="n"/>
      <c r="CZ22" s="345" t="n"/>
      <c r="DA22" s="345" t="n"/>
      <c r="DB22" s="345" t="n"/>
      <c r="DC22" s="345" t="n"/>
      <c r="DD22" s="345" t="n"/>
      <c r="DE22" s="345" t="n"/>
      <c r="DF22" s="345" t="n"/>
      <c r="DG22" s="345" t="n"/>
      <c r="DH22" s="345" t="n"/>
      <c r="DI22" s="345" t="n"/>
      <c r="DJ22" s="345" t="n"/>
      <c r="DK22" s="345" t="n"/>
      <c r="DL22" s="345" t="n"/>
      <c r="DM22" s="345" t="n"/>
      <c r="DN22" s="390" t="n"/>
      <c r="DO22" s="345" t="n"/>
      <c r="DP22" s="350" t="n"/>
      <c r="DQ22" s="345" t="n"/>
      <c r="DR22" s="345" t="n"/>
      <c r="DS22" s="345" t="n"/>
      <c r="DT22" s="345" t="n"/>
    </row>
    <row r="23" ht="25.5" customFormat="1" customHeight="1" s="200">
      <c r="A23" s="366" t="n"/>
      <c r="B23" s="749" t="inlineStr">
        <is>
          <t>供应商名称</t>
        </is>
      </c>
      <c r="C23" s="750" t="inlineStr">
        <is>
          <t>借方余额</t>
        </is>
      </c>
      <c r="D23" s="567" t="inlineStr">
        <is>
          <t>形成应付账款借方余额入账凭证</t>
        </is>
      </c>
      <c r="E23" s="688" t="n"/>
      <c r="F23" s="688" t="n"/>
      <c r="G23" s="497" t="inlineStr">
        <is>
          <t>根据交易性质获取的支持性证据信息</t>
        </is>
      </c>
      <c r="H23" s="635" t="n"/>
      <c r="I23" s="635" t="n"/>
      <c r="J23" s="635" t="n"/>
      <c r="K23" s="636" t="n"/>
      <c r="L23" s="578" t="n">
        <v>1</v>
      </c>
      <c r="M23" s="580" t="n">
        <v>2</v>
      </c>
      <c r="N23" s="582" t="n">
        <v>3</v>
      </c>
      <c r="O23" s="551" t="inlineStr">
        <is>
          <t>备注</t>
        </is>
      </c>
      <c r="P23" s="10" t="n"/>
      <c r="Q23" s="17" t="n"/>
      <c r="R23" s="751" t="n"/>
      <c r="S23" s="751" t="n"/>
      <c r="T23" s="751" t="n"/>
      <c r="U23" s="751" t="n"/>
      <c r="V23" s="751" t="n"/>
      <c r="W23" s="751" t="n"/>
      <c r="X23" s="751" t="n"/>
      <c r="Y23" s="751" t="n"/>
      <c r="Z23" s="751" t="n"/>
      <c r="AA23" s="751" t="n"/>
      <c r="AB23" s="751" t="n"/>
      <c r="AC23" s="368" t="n"/>
      <c r="AD23" s="368" t="n"/>
      <c r="AE23" s="368" t="n"/>
      <c r="AF23" s="368" t="n"/>
      <c r="AG23" s="368" t="n"/>
      <c r="AH23" s="368" t="n"/>
      <c r="AI23" s="368" t="n"/>
      <c r="AJ23" s="368" t="n"/>
      <c r="AK23" s="369" t="n"/>
      <c r="AL23" s="369" t="n"/>
      <c r="AM23" s="369" t="n"/>
      <c r="AN23" s="368" t="n"/>
      <c r="AO23" s="368" t="n"/>
      <c r="AP23" s="368" t="n"/>
      <c r="AQ23" s="368" t="n"/>
      <c r="AR23" s="368" t="n"/>
      <c r="AS23" s="368" t="n"/>
      <c r="AT23" s="368" t="n"/>
      <c r="AU23" s="368" t="n"/>
      <c r="AV23" s="368" t="n"/>
      <c r="AW23" s="368" t="n"/>
      <c r="AX23" s="368" t="n"/>
      <c r="AY23" s="368" t="n"/>
      <c r="AZ23" s="368" t="n"/>
      <c r="BA23" s="368" t="n"/>
      <c r="BB23" s="368" t="n"/>
      <c r="BC23" s="368" t="n"/>
      <c r="BD23" s="368" t="n"/>
      <c r="BE23" s="368" t="n"/>
      <c r="BF23" s="368" t="n"/>
      <c r="BG23" s="368" t="n"/>
      <c r="BH23" s="368" t="n"/>
      <c r="BI23" s="368" t="n"/>
      <c r="BJ23" s="368" t="n"/>
      <c r="BK23" s="368" t="n"/>
      <c r="BL23" s="368" t="n"/>
      <c r="BM23" s="368" t="n"/>
      <c r="BN23" s="368" t="n"/>
      <c r="BO23" s="368" t="n"/>
      <c r="BP23" s="368" t="n"/>
      <c r="BQ23" s="368" t="n"/>
      <c r="BR23" s="368" t="n"/>
      <c r="BS23" s="368" t="n"/>
      <c r="BT23" s="368" t="n"/>
      <c r="BU23" s="368" t="n"/>
      <c r="BV23" s="368" t="n"/>
      <c r="BW23" s="368" t="n"/>
      <c r="BX23" s="368" t="n"/>
      <c r="BY23" s="368" t="n"/>
      <c r="BZ23" s="368" t="n"/>
      <c r="CA23" s="368" t="n"/>
      <c r="CB23" s="368" t="n"/>
      <c r="CC23" s="368" t="n"/>
      <c r="CD23" s="368" t="n"/>
      <c r="CE23" s="368" t="n"/>
      <c r="CF23" s="368" t="n"/>
      <c r="CG23" s="368" t="n"/>
      <c r="CH23" s="368" t="n"/>
      <c r="CI23" s="369" t="n"/>
      <c r="CJ23" s="369" t="n"/>
      <c r="CK23" s="369" t="n"/>
      <c r="CL23" s="369" t="n"/>
      <c r="CM23" s="369" t="n"/>
      <c r="CN23" s="369" t="n"/>
      <c r="CO23" s="369" t="n"/>
      <c r="CP23" s="369" t="n"/>
      <c r="CQ23" s="369" t="n"/>
      <c r="CR23" s="369" t="n"/>
      <c r="CS23" s="369" t="n"/>
      <c r="CT23" s="369" t="n"/>
      <c r="CU23" s="369" t="n"/>
      <c r="CV23" s="369" t="n"/>
      <c r="CW23" s="369" t="n"/>
      <c r="CX23" s="369" t="n"/>
      <c r="CY23" s="369" t="n"/>
      <c r="CZ23" s="369" t="n"/>
      <c r="DA23" s="369" t="n"/>
      <c r="DB23" s="369" t="n"/>
      <c r="DC23" s="369" t="n"/>
      <c r="DD23" s="369" t="n"/>
      <c r="DE23" s="369" t="n"/>
      <c r="DF23" s="369" t="n"/>
      <c r="DG23" s="369" t="n"/>
      <c r="DH23" s="369" t="n"/>
      <c r="DI23" s="370" t="n"/>
      <c r="DJ23" s="369" t="n"/>
      <c r="DK23" s="371" t="n"/>
      <c r="DL23" s="369" t="n"/>
      <c r="DM23" s="369" t="n"/>
      <c r="DN23" s="369" t="n"/>
      <c r="DO23" s="369" t="n"/>
      <c r="DP23" s="369" t="n"/>
      <c r="DQ23" s="369" t="n"/>
      <c r="DR23" s="369" t="n"/>
      <c r="DS23" s="369" t="n"/>
      <c r="DT23" s="369" t="n"/>
    </row>
    <row r="24" ht="23.25" customFormat="1" customHeight="1" s="200">
      <c r="A24" s="366" t="n"/>
      <c r="B24" s="752" t="n"/>
      <c r="C24" s="722" t="n"/>
      <c r="D24" s="566" t="inlineStr">
        <is>
          <t>凭证编号</t>
        </is>
      </c>
      <c r="E24" s="372" t="inlineStr">
        <is>
          <t>日期</t>
        </is>
      </c>
      <c r="F24" s="566" t="inlineStr">
        <is>
          <t>金额</t>
        </is>
      </c>
      <c r="G24" s="582" t="inlineStr">
        <is>
          <t>交易性质</t>
        </is>
      </c>
      <c r="H24" s="582" t="inlineStr">
        <is>
          <t>交易凭据名称</t>
        </is>
      </c>
      <c r="I24" s="582" t="inlineStr">
        <is>
          <t>交易凭据编号</t>
        </is>
      </c>
      <c r="J24" s="582" t="inlineStr">
        <is>
          <t>交易凭据日期</t>
        </is>
      </c>
      <c r="K24" s="373" t="inlineStr">
        <is>
          <t>交易凭据金额</t>
        </is>
      </c>
      <c r="L24" s="691" t="n"/>
      <c r="M24" s="722" t="n"/>
      <c r="N24" s="644" t="n"/>
      <c r="O24" s="637" t="n"/>
      <c r="P24" s="10" t="n"/>
      <c r="Q24" s="17" t="n"/>
      <c r="R24" s="751" t="n"/>
      <c r="S24" s="751" t="n"/>
      <c r="T24" s="751" t="n"/>
      <c r="U24" s="751" t="n"/>
      <c r="V24" s="751" t="n"/>
      <c r="W24" s="751" t="n"/>
      <c r="X24" s="751" t="n"/>
      <c r="Y24" s="751" t="n"/>
      <c r="Z24" s="751" t="n"/>
      <c r="AA24" s="751" t="n"/>
      <c r="AB24" s="751" t="n"/>
      <c r="AC24" s="368" t="n"/>
      <c r="AD24" s="368" t="n"/>
      <c r="AE24" s="368" t="n"/>
      <c r="AF24" s="368" t="n"/>
      <c r="AG24" s="368" t="n"/>
      <c r="AH24" s="368" t="n"/>
      <c r="AI24" s="368" t="n"/>
      <c r="AJ24" s="368" t="n"/>
      <c r="AK24" s="369" t="n"/>
      <c r="AL24" s="369" t="n"/>
      <c r="AM24" s="369" t="n"/>
      <c r="AN24" s="368" t="n"/>
      <c r="AO24" s="368" t="n"/>
      <c r="AP24" s="368" t="n"/>
      <c r="AQ24" s="368" t="n"/>
      <c r="AR24" s="368" t="n"/>
      <c r="AS24" s="368" t="n"/>
      <c r="AT24" s="368" t="n"/>
      <c r="AU24" s="368" t="n"/>
      <c r="AV24" s="368" t="n"/>
      <c r="AW24" s="368" t="n"/>
      <c r="AX24" s="368" t="n"/>
      <c r="AY24" s="368" t="n"/>
      <c r="AZ24" s="368" t="n"/>
      <c r="BA24" s="368" t="n"/>
      <c r="BB24" s="368" t="n"/>
      <c r="BC24" s="368" t="n"/>
      <c r="BD24" s="368" t="n"/>
      <c r="BE24" s="368" t="n"/>
      <c r="BF24" s="368" t="n"/>
      <c r="BG24" s="368" t="n"/>
      <c r="BH24" s="368" t="n"/>
      <c r="BI24" s="368" t="n"/>
      <c r="BJ24" s="368" t="n"/>
      <c r="BK24" s="368" t="n"/>
      <c r="BL24" s="368" t="n"/>
      <c r="BM24" s="368" t="n"/>
      <c r="BN24" s="368" t="n"/>
      <c r="BO24" s="368" t="n"/>
      <c r="BP24" s="368" t="n"/>
      <c r="BQ24" s="368" t="n"/>
      <c r="BR24" s="368" t="n"/>
      <c r="BS24" s="368" t="n"/>
      <c r="BT24" s="368" t="n"/>
      <c r="BU24" s="368" t="n"/>
      <c r="BV24" s="368" t="n"/>
      <c r="BW24" s="368" t="n"/>
      <c r="BX24" s="368" t="n"/>
      <c r="BY24" s="368" t="n"/>
      <c r="BZ24" s="368" t="n"/>
      <c r="CA24" s="368" t="n"/>
      <c r="CB24" s="368" t="n"/>
      <c r="CC24" s="368" t="n"/>
      <c r="CD24" s="368" t="n"/>
      <c r="CE24" s="368" t="n"/>
      <c r="CF24" s="368" t="n"/>
      <c r="CG24" s="368" t="n"/>
      <c r="CH24" s="368" t="n"/>
      <c r="CI24" s="369" t="n"/>
      <c r="CJ24" s="369" t="n"/>
      <c r="CK24" s="369" t="n"/>
      <c r="CL24" s="369" t="n"/>
      <c r="CM24" s="369" t="n"/>
      <c r="CN24" s="369" t="n"/>
      <c r="CO24" s="369" t="n"/>
      <c r="CP24" s="369" t="n"/>
      <c r="CQ24" s="369" t="n"/>
      <c r="CR24" s="369" t="n"/>
      <c r="CS24" s="369" t="n"/>
      <c r="CT24" s="369" t="n"/>
      <c r="CU24" s="369" t="n"/>
      <c r="CV24" s="369" t="n"/>
      <c r="CW24" s="369" t="n"/>
      <c r="CX24" s="369" t="n"/>
      <c r="CY24" s="369" t="n"/>
      <c r="CZ24" s="369" t="n"/>
      <c r="DA24" s="369" t="n"/>
      <c r="DB24" s="369" t="n"/>
      <c r="DC24" s="369" t="n"/>
      <c r="DD24" s="369" t="n"/>
      <c r="DE24" s="369" t="n"/>
      <c r="DF24" s="369" t="n"/>
      <c r="DG24" s="369" t="n"/>
      <c r="DH24" s="369" t="n"/>
      <c r="DI24" s="370" t="n"/>
      <c r="DJ24" s="369" t="n"/>
      <c r="DK24" s="371" t="n"/>
      <c r="DL24" s="369" t="n"/>
      <c r="DM24" s="369" t="n"/>
      <c r="DN24" s="369" t="n"/>
      <c r="DO24" s="369" t="n"/>
      <c r="DP24" s="369" t="n"/>
      <c r="DQ24" s="369" t="n"/>
      <c r="DR24" s="369" t="n"/>
      <c r="DS24" s="369" t="n"/>
      <c r="DT24" s="369" t="n"/>
    </row>
    <row r="25" ht="15" customFormat="1" customHeight="1" s="196">
      <c r="A25" s="347" t="n"/>
      <c r="B25" s="374" t="n"/>
      <c r="C25" s="753" t="n"/>
      <c r="D25" s="375" t="n"/>
      <c r="E25" s="376" t="n"/>
      <c r="F25" s="754" t="n"/>
      <c r="G25" s="375" t="n"/>
      <c r="H25" s="375" t="n"/>
      <c r="I25" s="375" t="n"/>
      <c r="J25" s="376" t="n"/>
      <c r="K25" s="754" t="n"/>
      <c r="L25" s="374" t="n"/>
      <c r="M25" s="378" t="n"/>
      <c r="N25" s="379" t="n"/>
      <c r="O25" s="437" t="n"/>
      <c r="P25" s="10" t="n"/>
      <c r="Q25" s="17" t="n"/>
      <c r="R25" s="755" t="n"/>
      <c r="S25" s="755" t="n"/>
      <c r="T25" s="755" t="n"/>
      <c r="U25" s="755" t="n"/>
      <c r="V25" s="755" t="n"/>
      <c r="W25" s="755" t="n"/>
      <c r="X25" s="755" t="n"/>
      <c r="Y25" s="755" t="n"/>
      <c r="Z25" s="755" t="n"/>
      <c r="AA25" s="755" t="n"/>
      <c r="AB25" s="755" t="n"/>
      <c r="AC25" s="2" t="n"/>
      <c r="AD25" s="2" t="n"/>
      <c r="AE25" s="2" t="n"/>
      <c r="AF25" s="2" t="n"/>
      <c r="AG25" s="2" t="n"/>
      <c r="AH25" s="2" t="n"/>
      <c r="AI25" s="2" t="n"/>
      <c r="AJ25" s="2" t="n"/>
      <c r="AK25" s="345" t="n"/>
      <c r="AL25" s="345" t="n"/>
      <c r="AM25" s="345" t="n"/>
      <c r="AN25" s="2" t="n"/>
      <c r="AO25" s="2" t="n"/>
      <c r="AP25" s="2" t="n"/>
      <c r="AQ25" s="2" t="n"/>
      <c r="AR25" s="2" t="n"/>
      <c r="AS25" s="2" t="n"/>
      <c r="AT25" s="2" t="n"/>
      <c r="AU25" s="2" t="n"/>
      <c r="AV25" s="2" t="n"/>
      <c r="AW25" s="2" t="n"/>
      <c r="AX25" s="2" t="n"/>
      <c r="AY25" s="2" t="n"/>
      <c r="AZ25" s="2" t="n"/>
      <c r="BA25" s="2" t="n"/>
      <c r="BB25" s="2" t="n"/>
      <c r="BC25" s="2" t="n"/>
      <c r="BD25" s="2" t="n"/>
      <c r="BE25" s="2" t="n"/>
      <c r="BF25" s="2" t="n"/>
      <c r="BG25" s="2" t="n"/>
      <c r="BH25" s="2" t="n"/>
      <c r="BI25" s="2" t="n"/>
      <c r="BJ25" s="2" t="n"/>
      <c r="BK25" s="2" t="n"/>
      <c r="BL25" s="2" t="n"/>
      <c r="BM25" s="2" t="n"/>
      <c r="BN25" s="2" t="n"/>
      <c r="BO25" s="2" t="n"/>
      <c r="BP25" s="2" t="n"/>
      <c r="BQ25" s="2" t="n"/>
      <c r="BR25" s="2" t="n"/>
      <c r="BS25" s="2" t="n"/>
      <c r="BT25" s="2" t="n"/>
      <c r="BU25" s="2" t="n"/>
      <c r="BV25" s="2" t="n"/>
      <c r="BW25" s="2" t="n"/>
      <c r="BX25" s="2" t="n"/>
      <c r="BY25" s="2" t="n"/>
      <c r="BZ25" s="2" t="n"/>
      <c r="CA25" s="2" t="n"/>
      <c r="CB25" s="2" t="n"/>
      <c r="CC25" s="2" t="n"/>
      <c r="CD25" s="2" t="n"/>
      <c r="CE25" s="2" t="n"/>
      <c r="CF25" s="2" t="n"/>
      <c r="CG25" s="2" t="n"/>
      <c r="CH25" s="2" t="n"/>
      <c r="CI25" s="345" t="n"/>
      <c r="CJ25" s="345" t="n"/>
      <c r="CK25" s="345" t="n"/>
      <c r="CL25" s="345" t="n"/>
      <c r="CM25" s="345" t="n"/>
      <c r="CN25" s="345" t="n"/>
      <c r="CO25" s="345" t="n"/>
      <c r="CP25" s="345" t="n"/>
      <c r="CQ25" s="345" t="n"/>
      <c r="CR25" s="345" t="n"/>
      <c r="CS25" s="345" t="n"/>
      <c r="CT25" s="345" t="n"/>
      <c r="CU25" s="345" t="n"/>
      <c r="CV25" s="345" t="n"/>
      <c r="CW25" s="345" t="n"/>
      <c r="CX25" s="345" t="n"/>
      <c r="CY25" s="345" t="n"/>
      <c r="CZ25" s="345" t="n"/>
      <c r="DA25" s="345" t="n"/>
      <c r="DB25" s="345" t="n"/>
      <c r="DC25" s="345" t="n"/>
      <c r="DD25" s="345" t="n"/>
      <c r="DE25" s="345" t="n"/>
      <c r="DF25" s="345" t="n"/>
      <c r="DG25" s="345" t="n"/>
      <c r="DH25" s="345" t="n"/>
      <c r="DI25" s="390" t="n"/>
      <c r="DJ25" s="345" t="n"/>
      <c r="DK25" s="350" t="n"/>
      <c r="DL25" s="345" t="n"/>
      <c r="DM25" s="345" t="n"/>
      <c r="DN25" s="345" t="n"/>
      <c r="DO25" s="345" t="n"/>
      <c r="DP25" s="345" t="n"/>
      <c r="DQ25" s="345" t="n"/>
      <c r="DR25" s="345" t="n"/>
      <c r="DS25" s="345" t="n"/>
      <c r="DT25" s="345" t="n"/>
    </row>
    <row r="26" ht="15" customFormat="1" customHeight="1" s="196">
      <c r="A26" s="347" t="n"/>
      <c r="B26" s="374" t="n"/>
      <c r="C26" s="753" t="n"/>
      <c r="D26" s="375" t="n"/>
      <c r="E26" s="376" t="n"/>
      <c r="F26" s="754" t="n"/>
      <c r="G26" s="375" t="n"/>
      <c r="H26" s="375" t="n"/>
      <c r="I26" s="375" t="n"/>
      <c r="J26" s="376" t="n"/>
      <c r="K26" s="754" t="n"/>
      <c r="L26" s="374" t="n"/>
      <c r="M26" s="378" t="n"/>
      <c r="N26" s="379" t="n"/>
      <c r="O26" s="438" t="n"/>
      <c r="P26" s="10" t="n"/>
      <c r="Q26" s="17" t="n"/>
      <c r="R26" s="755" t="n"/>
      <c r="S26" s="755" t="n"/>
      <c r="T26" s="755" t="n"/>
      <c r="U26" s="755" t="n"/>
      <c r="V26" s="755" t="n"/>
      <c r="W26" s="755" t="n"/>
      <c r="X26" s="755" t="n"/>
      <c r="Y26" s="755" t="n"/>
      <c r="Z26" s="755" t="n"/>
      <c r="AA26" s="755" t="n"/>
      <c r="AB26" s="755" t="n"/>
      <c r="AC26" s="2" t="n"/>
      <c r="AD26" s="2" t="n"/>
      <c r="AE26" s="2" t="n"/>
      <c r="AF26" s="2" t="n"/>
      <c r="AG26" s="2" t="n"/>
      <c r="AH26" s="2" t="n"/>
      <c r="AI26" s="2" t="n"/>
      <c r="AJ26" s="2" t="n"/>
      <c r="AK26" s="345" t="n"/>
      <c r="AL26" s="345" t="n"/>
      <c r="AM26" s="345" t="n"/>
      <c r="AN26" s="2" t="n"/>
      <c r="AO26" s="2" t="n"/>
      <c r="AP26" s="2" t="n"/>
      <c r="AQ26" s="2" t="n"/>
      <c r="AR26" s="2" t="n"/>
      <c r="AS26" s="2" t="n"/>
      <c r="AT26" s="2" t="n"/>
      <c r="AU26" s="2" t="n"/>
      <c r="AV26" s="2" t="n"/>
      <c r="AW26" s="2" t="n"/>
      <c r="AX26" s="2" t="n"/>
      <c r="AY26" s="2" t="n"/>
      <c r="AZ26" s="2" t="n"/>
      <c r="BA26" s="2" t="n"/>
      <c r="BB26" s="2" t="n"/>
      <c r="BC26" s="2" t="n"/>
      <c r="BD26" s="2" t="n"/>
      <c r="BE26" s="2" t="n"/>
      <c r="BF26" s="2" t="n"/>
      <c r="BG26" s="2" t="n"/>
      <c r="BH26" s="2" t="n"/>
      <c r="BI26" s="2" t="n"/>
      <c r="BJ26" s="2" t="n"/>
      <c r="BK26" s="2" t="n"/>
      <c r="BL26" s="2" t="n"/>
      <c r="BM26" s="2" t="n"/>
      <c r="BN26" s="2" t="n"/>
      <c r="BO26" s="2" t="n"/>
      <c r="BP26" s="2" t="n"/>
      <c r="BQ26" s="2" t="n"/>
      <c r="BR26" s="2" t="n"/>
      <c r="BS26" s="2" t="n"/>
      <c r="BT26" s="2" t="n"/>
      <c r="BU26" s="2" t="n"/>
      <c r="BV26" s="2" t="n"/>
      <c r="BW26" s="2" t="n"/>
      <c r="BX26" s="2" t="n"/>
      <c r="BY26" s="2" t="n"/>
      <c r="BZ26" s="2" t="n"/>
      <c r="CA26" s="2" t="n"/>
      <c r="CB26" s="2" t="n"/>
      <c r="CC26" s="2" t="n"/>
      <c r="CD26" s="2" t="n"/>
      <c r="CE26" s="2" t="n"/>
      <c r="CF26" s="2" t="n"/>
      <c r="CG26" s="2" t="n"/>
      <c r="CH26" s="2" t="n"/>
      <c r="CI26" s="345" t="n"/>
      <c r="CJ26" s="345" t="n"/>
      <c r="CK26" s="345" t="n"/>
      <c r="CL26" s="345" t="n"/>
      <c r="CM26" s="345" t="n"/>
      <c r="CN26" s="345" t="n"/>
      <c r="CO26" s="345" t="n"/>
      <c r="CP26" s="345" t="n"/>
      <c r="CQ26" s="345" t="n"/>
      <c r="CR26" s="345" t="n"/>
      <c r="CS26" s="345" t="n"/>
      <c r="CT26" s="345" t="n"/>
      <c r="CU26" s="345" t="n"/>
      <c r="CV26" s="345" t="n"/>
      <c r="CW26" s="345" t="n"/>
      <c r="CX26" s="345" t="n"/>
      <c r="CY26" s="345" t="n"/>
      <c r="CZ26" s="345" t="n"/>
      <c r="DA26" s="345" t="n"/>
      <c r="DB26" s="345" t="n"/>
      <c r="DC26" s="345" t="n"/>
      <c r="DD26" s="345" t="n"/>
      <c r="DE26" s="345" t="n"/>
      <c r="DF26" s="345" t="n"/>
      <c r="DG26" s="345" t="n"/>
      <c r="DH26" s="345" t="n"/>
      <c r="DI26" s="390" t="n"/>
      <c r="DJ26" s="345" t="n"/>
      <c r="DK26" s="350" t="n"/>
      <c r="DL26" s="345" t="n"/>
      <c r="DM26" s="345" t="n"/>
      <c r="DN26" s="345" t="n"/>
      <c r="DO26" s="345" t="n"/>
      <c r="DP26" s="345" t="n"/>
      <c r="DQ26" s="345" t="n"/>
      <c r="DR26" s="345" t="n"/>
      <c r="DS26" s="345" t="n"/>
      <c r="DT26" s="345" t="n"/>
    </row>
    <row r="27" ht="15" customFormat="1" customHeight="1" s="196">
      <c r="A27" s="347" t="n"/>
      <c r="B27" s="374" t="n"/>
      <c r="C27" s="753" t="n"/>
      <c r="D27" s="375" t="n"/>
      <c r="E27" s="376" t="n"/>
      <c r="F27" s="754" t="n"/>
      <c r="G27" s="375" t="n"/>
      <c r="H27" s="375" t="n"/>
      <c r="I27" s="375" t="n"/>
      <c r="J27" s="376" t="n"/>
      <c r="K27" s="754" t="n"/>
      <c r="L27" s="374" t="n"/>
      <c r="M27" s="378" t="n"/>
      <c r="N27" s="379" t="n"/>
      <c r="O27" s="438" t="n"/>
      <c r="P27" s="10" t="n"/>
      <c r="Q27" s="17" t="n"/>
      <c r="R27" s="755" t="n"/>
      <c r="S27" s="755" t="n"/>
      <c r="T27" s="755" t="n"/>
      <c r="U27" s="755" t="n"/>
      <c r="V27" s="755" t="n"/>
      <c r="W27" s="755" t="n"/>
      <c r="X27" s="755" t="n"/>
      <c r="Y27" s="755" t="n"/>
      <c r="Z27" s="755" t="n"/>
      <c r="AA27" s="755" t="n"/>
      <c r="AB27" s="755" t="n"/>
      <c r="AC27" s="2" t="n"/>
      <c r="AD27" s="2" t="n"/>
      <c r="AE27" s="2" t="n"/>
      <c r="AF27" s="2" t="n"/>
      <c r="AG27" s="2" t="n"/>
      <c r="AH27" s="2" t="n"/>
      <c r="AI27" s="2" t="n"/>
      <c r="AJ27" s="2" t="n"/>
      <c r="AK27" s="345" t="n"/>
      <c r="AL27" s="345" t="n"/>
      <c r="AM27" s="345" t="n"/>
      <c r="AN27" s="2" t="n"/>
      <c r="AO27" s="2" t="n"/>
      <c r="AP27" s="2" t="n"/>
      <c r="AQ27" s="2" t="n"/>
      <c r="AR27" s="2" t="n"/>
      <c r="AS27" s="2" t="n"/>
      <c r="AT27" s="2" t="n"/>
      <c r="AU27" s="2" t="n"/>
      <c r="AV27" s="2" t="n"/>
      <c r="AW27" s="2" t="n"/>
      <c r="AX27" s="2" t="n"/>
      <c r="AY27" s="2" t="n"/>
      <c r="AZ27" s="2" t="n"/>
      <c r="BA27" s="2" t="n"/>
      <c r="BB27" s="2" t="n"/>
      <c r="BC27" s="2" t="n"/>
      <c r="BD27" s="2" t="n"/>
      <c r="BE27" s="2" t="n"/>
      <c r="BF27" s="2" t="n"/>
      <c r="BG27" s="2" t="n"/>
      <c r="BH27" s="2" t="n"/>
      <c r="BI27" s="2" t="n"/>
      <c r="BJ27" s="2" t="n"/>
      <c r="BK27" s="2" t="n"/>
      <c r="BL27" s="2" t="n"/>
      <c r="BM27" s="2" t="n"/>
      <c r="BN27" s="2" t="n"/>
      <c r="BO27" s="2" t="n"/>
      <c r="BP27" s="2" t="n"/>
      <c r="BQ27" s="2" t="n"/>
      <c r="BR27" s="2" t="n"/>
      <c r="BS27" s="2" t="n"/>
      <c r="BT27" s="2" t="n"/>
      <c r="BU27" s="2" t="n"/>
      <c r="BV27" s="2" t="n"/>
      <c r="BW27" s="2" t="n"/>
      <c r="BX27" s="2" t="n"/>
      <c r="BY27" s="2" t="n"/>
      <c r="BZ27" s="2" t="n"/>
      <c r="CA27" s="2" t="n"/>
      <c r="CB27" s="2" t="n"/>
      <c r="CC27" s="2" t="n"/>
      <c r="CD27" s="2" t="n"/>
      <c r="CE27" s="2" t="n"/>
      <c r="CF27" s="2" t="n"/>
      <c r="CG27" s="2" t="n"/>
      <c r="CH27" s="2" t="n"/>
      <c r="CI27" s="345" t="n"/>
      <c r="CJ27" s="345" t="n"/>
      <c r="CK27" s="345" t="n"/>
      <c r="CL27" s="345" t="n"/>
      <c r="CM27" s="345" t="n"/>
      <c r="CN27" s="345" t="n"/>
      <c r="CO27" s="345" t="n"/>
      <c r="CP27" s="345" t="n"/>
      <c r="CQ27" s="345" t="n"/>
      <c r="CR27" s="345" t="n"/>
      <c r="CS27" s="345" t="n"/>
      <c r="CT27" s="345" t="n"/>
      <c r="CU27" s="345" t="n"/>
      <c r="CV27" s="345" t="n"/>
      <c r="CW27" s="345" t="n"/>
      <c r="CX27" s="345" t="n"/>
      <c r="CY27" s="345" t="n"/>
      <c r="CZ27" s="345" t="n"/>
      <c r="DA27" s="345" t="n"/>
      <c r="DB27" s="345" t="n"/>
      <c r="DC27" s="345" t="n"/>
      <c r="DD27" s="345" t="n"/>
      <c r="DE27" s="345" t="n"/>
      <c r="DF27" s="345" t="n"/>
      <c r="DG27" s="345" t="n"/>
      <c r="DH27" s="345" t="n"/>
      <c r="DI27" s="390" t="n"/>
      <c r="DJ27" s="345" t="n"/>
      <c r="DK27" s="350" t="n"/>
      <c r="DL27" s="345" t="n"/>
      <c r="DM27" s="345" t="n"/>
      <c r="DN27" s="345" t="n"/>
      <c r="DO27" s="345" t="n"/>
      <c r="DP27" s="345" t="n"/>
      <c r="DQ27" s="345" t="n"/>
      <c r="DR27" s="345" t="n"/>
      <c r="DS27" s="345" t="n"/>
      <c r="DT27" s="345" t="n"/>
    </row>
    <row r="28" ht="15" customFormat="1" customHeight="1" s="196">
      <c r="A28" s="347" t="n"/>
      <c r="B28" s="374" t="n"/>
      <c r="C28" s="753" t="n"/>
      <c r="D28" s="375" t="n"/>
      <c r="E28" s="376" t="n"/>
      <c r="F28" s="754" t="n"/>
      <c r="G28" s="375" t="n"/>
      <c r="H28" s="375" t="n"/>
      <c r="I28" s="375" t="n"/>
      <c r="J28" s="376" t="n"/>
      <c r="K28" s="754" t="n"/>
      <c r="L28" s="374" t="n"/>
      <c r="M28" s="378" t="n"/>
      <c r="N28" s="379" t="n"/>
      <c r="O28" s="438" t="n"/>
      <c r="P28" s="10" t="n"/>
      <c r="Q28" s="17" t="n"/>
      <c r="R28" s="755" t="n"/>
      <c r="S28" s="755" t="n"/>
      <c r="T28" s="755" t="n"/>
      <c r="U28" s="755" t="n"/>
      <c r="V28" s="755" t="n"/>
      <c r="W28" s="755" t="n"/>
      <c r="X28" s="755" t="n"/>
      <c r="Y28" s="755" t="n"/>
      <c r="Z28" s="755" t="n"/>
      <c r="AA28" s="755" t="n"/>
      <c r="AB28" s="755" t="n"/>
      <c r="AC28" s="755" t="n"/>
      <c r="AD28" s="755" t="n"/>
      <c r="AE28" s="755" t="n"/>
      <c r="AF28" s="755" t="n"/>
      <c r="AG28" s="755" t="n"/>
      <c r="AH28" s="2" t="n"/>
      <c r="AI28" s="2" t="n"/>
      <c r="AJ28" s="2" t="n"/>
      <c r="AK28" s="2" t="n"/>
      <c r="AL28" s="2" t="n"/>
      <c r="AM28" s="2" t="n"/>
      <c r="AN28" s="2" t="n"/>
      <c r="AO28" s="2" t="n"/>
      <c r="AP28" s="345" t="n"/>
      <c r="AQ28" s="345" t="n"/>
      <c r="AR28" s="345" t="n"/>
      <c r="AS28" s="2" t="n"/>
      <c r="AT28" s="2" t="n"/>
      <c r="AU28" s="2" t="n"/>
      <c r="AV28" s="2" t="n"/>
      <c r="AW28" s="2" t="n"/>
      <c r="AX28" s="2" t="n"/>
      <c r="AY28" s="2" t="n"/>
      <c r="AZ28" s="2" t="n"/>
      <c r="BA28" s="2" t="n"/>
      <c r="BB28" s="2" t="n"/>
      <c r="BC28" s="2" t="n"/>
      <c r="BD28" s="2" t="n"/>
      <c r="BE28" s="2" t="n"/>
      <c r="BF28" s="2" t="n"/>
      <c r="BG28" s="2" t="n"/>
      <c r="BH28" s="2" t="n"/>
      <c r="BI28" s="2" t="n"/>
      <c r="BJ28" s="2" t="n"/>
      <c r="BK28" s="2" t="n"/>
      <c r="BL28" s="2" t="n"/>
      <c r="BM28" s="2" t="n"/>
      <c r="BN28" s="2" t="n"/>
      <c r="BO28" s="2" t="n"/>
      <c r="BP28" s="2" t="n"/>
      <c r="BQ28" s="2" t="n"/>
      <c r="BR28" s="2" t="n"/>
      <c r="BS28" s="2" t="n"/>
      <c r="BT28" s="2" t="n"/>
      <c r="BU28" s="2" t="n"/>
      <c r="BV28" s="2" t="n"/>
      <c r="BW28" s="2" t="n"/>
      <c r="BX28" s="2" t="n"/>
      <c r="BY28" s="2" t="n"/>
      <c r="BZ28" s="2" t="n"/>
      <c r="CA28" s="2" t="n"/>
      <c r="CB28" s="2" t="n"/>
      <c r="CC28" s="2" t="n"/>
      <c r="CD28" s="2" t="n"/>
      <c r="CE28" s="2" t="n"/>
      <c r="CF28" s="2" t="n"/>
      <c r="CG28" s="2" t="n"/>
      <c r="CH28" s="2" t="n"/>
      <c r="CI28" s="2" t="n"/>
      <c r="CJ28" s="2" t="n"/>
      <c r="CK28" s="2" t="n"/>
      <c r="CL28" s="2" t="n"/>
      <c r="CM28" s="2" t="n"/>
      <c r="CN28" s="345" t="n"/>
      <c r="CO28" s="345" t="n"/>
      <c r="CP28" s="345" t="n"/>
      <c r="CQ28" s="345" t="n"/>
      <c r="CR28" s="345" t="n"/>
      <c r="CS28" s="345" t="n"/>
      <c r="CT28" s="345" t="n"/>
      <c r="CU28" s="345" t="n"/>
      <c r="CV28" s="345" t="n"/>
      <c r="CW28" s="345" t="n"/>
      <c r="CX28" s="345" t="n"/>
      <c r="CY28" s="345" t="n"/>
      <c r="CZ28" s="345" t="n"/>
      <c r="DA28" s="345" t="n"/>
      <c r="DB28" s="345" t="n"/>
      <c r="DC28" s="345" t="n"/>
      <c r="DD28" s="345" t="n"/>
      <c r="DE28" s="345" t="n"/>
      <c r="DF28" s="345" t="n"/>
      <c r="DG28" s="345" t="n"/>
      <c r="DH28" s="345" t="n"/>
      <c r="DI28" s="345" t="n"/>
      <c r="DJ28" s="345" t="n"/>
      <c r="DK28" s="345" t="n"/>
      <c r="DL28" s="345" t="n"/>
      <c r="DM28" s="345" t="n"/>
      <c r="DN28" s="390" t="n"/>
      <c r="DO28" s="345" t="n"/>
      <c r="DP28" s="350" t="n"/>
      <c r="DQ28" s="345" t="n"/>
      <c r="DR28" s="345" t="n"/>
      <c r="DS28" s="345" t="n"/>
      <c r="DT28" s="345" t="n"/>
    </row>
    <row r="29" ht="15" customFormat="1" customHeight="1" s="196">
      <c r="A29" s="347" t="n"/>
      <c r="B29" s="374" t="n"/>
      <c r="C29" s="753" t="n"/>
      <c r="D29" s="375" t="n"/>
      <c r="E29" s="376" t="n"/>
      <c r="F29" s="754" t="n"/>
      <c r="G29" s="375" t="n"/>
      <c r="H29" s="375" t="n"/>
      <c r="I29" s="375" t="n"/>
      <c r="J29" s="376" t="n"/>
      <c r="K29" s="754" t="n"/>
      <c r="L29" s="374" t="n"/>
      <c r="M29" s="378" t="n"/>
      <c r="N29" s="379" t="n"/>
      <c r="O29" s="438" t="n"/>
      <c r="P29" s="10" t="n"/>
      <c r="Q29" s="17" t="n"/>
      <c r="R29" s="755" t="n"/>
      <c r="S29" s="755" t="n"/>
      <c r="T29" s="755" t="n"/>
      <c r="U29" s="755" t="n"/>
      <c r="V29" s="755" t="n"/>
      <c r="W29" s="755" t="n"/>
      <c r="X29" s="755" t="n"/>
      <c r="Y29" s="755" t="n"/>
      <c r="Z29" s="755" t="n"/>
      <c r="AA29" s="755" t="n"/>
      <c r="AB29" s="755" t="n"/>
      <c r="AC29" s="755" t="n"/>
      <c r="AD29" s="755" t="n"/>
      <c r="AE29" s="755" t="n"/>
      <c r="AF29" s="755" t="n"/>
      <c r="AG29" s="755" t="n"/>
      <c r="AH29" s="2" t="n"/>
      <c r="AI29" s="2" t="n"/>
      <c r="AJ29" s="2" t="n"/>
      <c r="AK29" s="2" t="n"/>
      <c r="AL29" s="2" t="n"/>
      <c r="AM29" s="2" t="n"/>
      <c r="AN29" s="2" t="n"/>
      <c r="AO29" s="2" t="n"/>
      <c r="AP29" s="345" t="n"/>
      <c r="AQ29" s="345" t="n"/>
      <c r="AR29" s="345" t="n"/>
      <c r="AS29" s="2" t="n"/>
      <c r="AT29" s="2" t="n"/>
      <c r="AU29" s="2" t="n"/>
      <c r="AV29" s="2" t="n"/>
      <c r="AW29" s="2" t="n"/>
      <c r="AX29" s="2" t="n"/>
      <c r="AY29" s="2" t="n"/>
      <c r="AZ29" s="2" t="n"/>
      <c r="BA29" s="2" t="n"/>
      <c r="BB29" s="2" t="n"/>
      <c r="BC29" s="2" t="n"/>
      <c r="BD29" s="2" t="n"/>
      <c r="BE29" s="2" t="n"/>
      <c r="BF29" s="2" t="n"/>
      <c r="BG29" s="2" t="n"/>
      <c r="BH29" s="2" t="n"/>
      <c r="BI29" s="2" t="n"/>
      <c r="BJ29" s="2" t="n"/>
      <c r="BK29" s="2" t="n"/>
      <c r="BL29" s="2" t="n"/>
      <c r="BM29" s="2" t="n"/>
      <c r="BN29" s="2" t="n"/>
      <c r="BO29" s="2" t="n"/>
      <c r="BP29" s="2" t="n"/>
      <c r="BQ29" s="2" t="n"/>
      <c r="BR29" s="2" t="n"/>
      <c r="BS29" s="2" t="n"/>
      <c r="BT29" s="2" t="n"/>
      <c r="BU29" s="2" t="n"/>
      <c r="BV29" s="2" t="n"/>
      <c r="BW29" s="2" t="n"/>
      <c r="BX29" s="2" t="n"/>
      <c r="BY29" s="2" t="n"/>
      <c r="BZ29" s="2" t="n"/>
      <c r="CA29" s="2" t="n"/>
      <c r="CB29" s="2" t="n"/>
      <c r="CC29" s="2" t="n"/>
      <c r="CD29" s="2" t="n"/>
      <c r="CE29" s="2" t="n"/>
      <c r="CF29" s="2" t="n"/>
      <c r="CG29" s="2" t="n"/>
      <c r="CH29" s="2" t="n"/>
      <c r="CI29" s="2" t="n"/>
      <c r="CJ29" s="2" t="n"/>
      <c r="CK29" s="2" t="n"/>
      <c r="CL29" s="2" t="n"/>
      <c r="CM29" s="2" t="n"/>
      <c r="CN29" s="345" t="n"/>
      <c r="CO29" s="345" t="n"/>
      <c r="CP29" s="345" t="n"/>
      <c r="CQ29" s="345" t="n"/>
      <c r="CR29" s="345" t="n"/>
      <c r="CS29" s="345" t="n"/>
      <c r="CT29" s="345" t="n"/>
      <c r="CU29" s="345" t="n"/>
      <c r="CV29" s="345" t="n"/>
      <c r="CW29" s="345" t="n"/>
      <c r="CX29" s="345" t="n"/>
      <c r="CY29" s="345" t="n"/>
      <c r="CZ29" s="345" t="n"/>
      <c r="DA29" s="345" t="n"/>
      <c r="DB29" s="345" t="n"/>
      <c r="DC29" s="345" t="n"/>
      <c r="DD29" s="345" t="n"/>
      <c r="DE29" s="345" t="n"/>
      <c r="DF29" s="345" t="n"/>
      <c r="DG29" s="345" t="n"/>
      <c r="DH29" s="345" t="n"/>
      <c r="DI29" s="345" t="n"/>
      <c r="DJ29" s="345" t="n"/>
      <c r="DK29" s="345" t="n"/>
      <c r="DL29" s="345" t="n"/>
      <c r="DM29" s="345" t="n"/>
      <c r="DN29" s="390" t="n"/>
      <c r="DO29" s="345" t="n"/>
      <c r="DP29" s="350" t="n"/>
      <c r="DQ29" s="345" t="n"/>
      <c r="DR29" s="345" t="n"/>
      <c r="DS29" s="345" t="n"/>
      <c r="DT29" s="345" t="n"/>
    </row>
    <row r="30" ht="15" customFormat="1" customHeight="1" s="196">
      <c r="A30" s="347" t="n"/>
      <c r="B30" s="374" t="n"/>
      <c r="C30" s="753" t="n"/>
      <c r="D30" s="375" t="n"/>
      <c r="E30" s="376" t="n"/>
      <c r="F30" s="754" t="n"/>
      <c r="G30" s="375" t="n"/>
      <c r="H30" s="375" t="n"/>
      <c r="I30" s="375" t="n"/>
      <c r="J30" s="376" t="n"/>
      <c r="K30" s="754" t="n"/>
      <c r="L30" s="374" t="n"/>
      <c r="M30" s="378" t="n"/>
      <c r="N30" s="379" t="n"/>
      <c r="O30" s="438" t="n"/>
      <c r="P30" s="10" t="n"/>
      <c r="Q30" s="17" t="n"/>
      <c r="R30" s="755" t="n"/>
      <c r="S30" s="755" t="n"/>
      <c r="T30" s="755" t="n"/>
      <c r="U30" s="755" t="n"/>
      <c r="V30" s="755" t="n"/>
      <c r="W30" s="755" t="n"/>
      <c r="X30" s="755" t="n"/>
      <c r="Y30" s="755" t="n"/>
      <c r="Z30" s="755" t="n"/>
      <c r="AA30" s="755" t="n"/>
      <c r="AB30" s="755" t="n"/>
      <c r="AC30" s="755" t="n"/>
      <c r="AD30" s="755" t="n"/>
      <c r="AE30" s="755" t="n"/>
      <c r="AF30" s="755" t="n"/>
      <c r="AG30" s="755" t="n"/>
      <c r="AH30" s="2" t="n"/>
      <c r="AI30" s="2" t="n"/>
      <c r="AJ30" s="2" t="n"/>
      <c r="AK30" s="2" t="n"/>
      <c r="AL30" s="2" t="n"/>
      <c r="AM30" s="2" t="n"/>
      <c r="AN30" s="2" t="n"/>
      <c r="AO30" s="2" t="n"/>
      <c r="AP30" s="345" t="n"/>
      <c r="AQ30" s="345" t="n"/>
      <c r="AR30" s="345" t="n"/>
      <c r="AS30" s="2" t="n"/>
      <c r="AT30" s="2" t="n"/>
      <c r="AU30" s="2" t="n"/>
      <c r="AV30" s="2" t="n"/>
      <c r="AW30" s="2" t="n"/>
      <c r="AX30" s="2" t="n"/>
      <c r="AY30" s="2" t="n"/>
      <c r="AZ30" s="2" t="n"/>
      <c r="BA30" s="2" t="n"/>
      <c r="BB30" s="2" t="n"/>
      <c r="BC30" s="2" t="n"/>
      <c r="BD30" s="2" t="n"/>
      <c r="BE30" s="2" t="n"/>
      <c r="BF30" s="2" t="n"/>
      <c r="BG30" s="2" t="n"/>
      <c r="BH30" s="2" t="n"/>
      <c r="BI30" s="2" t="n"/>
      <c r="BJ30" s="2" t="n"/>
      <c r="BK30" s="2" t="n"/>
      <c r="BL30" s="2" t="n"/>
      <c r="BM30" s="2" t="n"/>
      <c r="BN30" s="2" t="n"/>
      <c r="BO30" s="2" t="n"/>
      <c r="BP30" s="2" t="n"/>
      <c r="BQ30" s="2" t="n"/>
      <c r="BR30" s="2" t="n"/>
      <c r="BS30" s="2" t="n"/>
      <c r="BT30" s="2" t="n"/>
      <c r="BU30" s="2" t="n"/>
      <c r="BV30" s="2" t="n"/>
      <c r="BW30" s="2" t="n"/>
      <c r="BX30" s="2" t="n"/>
      <c r="BY30" s="2" t="n"/>
      <c r="BZ30" s="2" t="n"/>
      <c r="CA30" s="2" t="n"/>
      <c r="CB30" s="2" t="n"/>
      <c r="CC30" s="2" t="n"/>
      <c r="CD30" s="2" t="n"/>
      <c r="CE30" s="2" t="n"/>
      <c r="CF30" s="2" t="n"/>
      <c r="CG30" s="2" t="n"/>
      <c r="CH30" s="2" t="n"/>
      <c r="CI30" s="2" t="n"/>
      <c r="CJ30" s="2" t="n"/>
      <c r="CK30" s="2" t="n"/>
      <c r="CL30" s="2" t="n"/>
      <c r="CM30" s="2" t="n"/>
      <c r="CN30" s="345" t="n"/>
      <c r="CO30" s="345" t="n"/>
      <c r="CP30" s="345" t="n"/>
      <c r="CQ30" s="345" t="n"/>
      <c r="CR30" s="345" t="n"/>
      <c r="CS30" s="345" t="n"/>
      <c r="CT30" s="345" t="n"/>
      <c r="CU30" s="345" t="n"/>
      <c r="CV30" s="345" t="n"/>
      <c r="CW30" s="345" t="n"/>
      <c r="CX30" s="345" t="n"/>
      <c r="CY30" s="345" t="n"/>
      <c r="CZ30" s="345" t="n"/>
      <c r="DA30" s="345" t="n"/>
      <c r="DB30" s="345" t="n"/>
      <c r="DC30" s="345" t="n"/>
      <c r="DD30" s="345" t="n"/>
      <c r="DE30" s="345" t="n"/>
      <c r="DF30" s="345" t="n"/>
      <c r="DG30" s="345" t="n"/>
      <c r="DH30" s="345" t="n"/>
      <c r="DI30" s="345" t="n"/>
      <c r="DJ30" s="345" t="n"/>
      <c r="DK30" s="345" t="n"/>
      <c r="DL30" s="345" t="n"/>
      <c r="DM30" s="345" t="n"/>
      <c r="DN30" s="390" t="n"/>
      <c r="DO30" s="345" t="n"/>
      <c r="DP30" s="350" t="n"/>
      <c r="DQ30" s="345" t="n"/>
      <c r="DR30" s="345" t="n"/>
      <c r="DS30" s="345" t="n"/>
      <c r="DT30" s="345" t="n"/>
    </row>
    <row r="31" ht="15" customFormat="1" customHeight="1" s="196">
      <c r="A31" s="347" t="n"/>
      <c r="B31" s="381" t="n"/>
      <c r="C31" s="756" t="n"/>
      <c r="D31" s="382" t="n"/>
      <c r="E31" s="376" t="n"/>
      <c r="F31" s="754" t="n"/>
      <c r="G31" s="375" t="n"/>
      <c r="H31" s="375" t="n"/>
      <c r="I31" s="375" t="n"/>
      <c r="J31" s="376" t="n"/>
      <c r="K31" s="754" t="n"/>
      <c r="L31" s="381" t="n"/>
      <c r="M31" s="383" t="n"/>
      <c r="N31" s="384" t="n"/>
      <c r="O31" s="438" t="n"/>
      <c r="P31" s="10" t="n"/>
      <c r="Q31" s="17" t="n"/>
      <c r="R31" s="755" t="n"/>
      <c r="S31" s="755" t="n"/>
      <c r="T31" s="755" t="n"/>
      <c r="U31" s="755" t="n"/>
      <c r="V31" s="755" t="n"/>
      <c r="W31" s="755" t="n"/>
      <c r="X31" s="755" t="n"/>
      <c r="Y31" s="755" t="n"/>
      <c r="Z31" s="755" t="n"/>
      <c r="AA31" s="755" t="n"/>
      <c r="AB31" s="755" t="n"/>
      <c r="AC31" s="755" t="n"/>
      <c r="AD31" s="755" t="n"/>
      <c r="AE31" s="755" t="n"/>
      <c r="AF31" s="755" t="n"/>
      <c r="AG31" s="755" t="n"/>
      <c r="AH31" s="2" t="n"/>
      <c r="AI31" s="2" t="n"/>
      <c r="AJ31" s="2" t="n"/>
      <c r="AK31" s="2" t="n"/>
      <c r="AL31" s="2" t="n"/>
      <c r="AM31" s="2" t="n"/>
      <c r="AN31" s="2" t="n"/>
      <c r="AO31" s="2" t="n"/>
      <c r="AP31" s="345" t="n"/>
      <c r="AQ31" s="345" t="n"/>
      <c r="AR31" s="345" t="n"/>
      <c r="AS31" s="2" t="n"/>
      <c r="AT31" s="2" t="n"/>
      <c r="AU31" s="2" t="n"/>
      <c r="AV31" s="2" t="n"/>
      <c r="AW31" s="2" t="n"/>
      <c r="AX31" s="2" t="n"/>
      <c r="AY31" s="2" t="n"/>
      <c r="AZ31" s="2" t="n"/>
      <c r="BA31" s="2" t="n"/>
      <c r="BB31" s="2" t="n"/>
      <c r="BC31" s="2" t="n"/>
      <c r="BD31" s="2" t="n"/>
      <c r="BE31" s="2" t="n"/>
      <c r="BF31" s="2" t="n"/>
      <c r="BG31" s="2" t="n"/>
      <c r="BH31" s="2" t="n"/>
      <c r="BI31" s="2" t="n"/>
      <c r="BJ31" s="2" t="n"/>
      <c r="BK31" s="2" t="n"/>
      <c r="BL31" s="2" t="n"/>
      <c r="BM31" s="2" t="n"/>
      <c r="BN31" s="2" t="n"/>
      <c r="BO31" s="2" t="n"/>
      <c r="BP31" s="2" t="n"/>
      <c r="BQ31" s="2" t="n"/>
      <c r="BR31" s="2" t="n"/>
      <c r="BS31" s="2" t="n"/>
      <c r="BT31" s="2" t="n"/>
      <c r="BU31" s="2" t="n"/>
      <c r="BV31" s="2" t="n"/>
      <c r="BW31" s="2" t="n"/>
      <c r="BX31" s="2" t="n"/>
      <c r="BY31" s="2" t="n"/>
      <c r="BZ31" s="2" t="n"/>
      <c r="CA31" s="2" t="n"/>
      <c r="CB31" s="2" t="n"/>
      <c r="CC31" s="2" t="n"/>
      <c r="CD31" s="2" t="n"/>
      <c r="CE31" s="2" t="n"/>
      <c r="CF31" s="2" t="n"/>
      <c r="CG31" s="2" t="n"/>
      <c r="CH31" s="2" t="n"/>
      <c r="CI31" s="2" t="n"/>
      <c r="CJ31" s="2" t="n"/>
      <c r="CK31" s="2" t="n"/>
      <c r="CL31" s="2" t="n"/>
      <c r="CM31" s="2" t="n"/>
      <c r="CN31" s="345" t="n"/>
      <c r="CO31" s="345" t="n"/>
      <c r="CP31" s="345" t="n"/>
      <c r="CQ31" s="345" t="n"/>
      <c r="CR31" s="345" t="n"/>
      <c r="CS31" s="345" t="n"/>
      <c r="CT31" s="345" t="n"/>
      <c r="CU31" s="345" t="n"/>
      <c r="CV31" s="345" t="n"/>
      <c r="CW31" s="345" t="n"/>
      <c r="CX31" s="345" t="n"/>
      <c r="CY31" s="345" t="n"/>
      <c r="CZ31" s="345" t="n"/>
      <c r="DA31" s="345" t="n"/>
      <c r="DB31" s="345" t="n"/>
      <c r="DC31" s="345" t="n"/>
      <c r="DD31" s="345" t="n"/>
      <c r="DE31" s="345" t="n"/>
      <c r="DF31" s="345" t="n"/>
      <c r="DG31" s="345" t="n"/>
      <c r="DH31" s="345" t="n"/>
      <c r="DI31" s="345" t="n"/>
      <c r="DJ31" s="345" t="n"/>
      <c r="DK31" s="345" t="n"/>
      <c r="DL31" s="345" t="n"/>
      <c r="DM31" s="345" t="n"/>
      <c r="DN31" s="390" t="n"/>
      <c r="DO31" s="345" t="n"/>
      <c r="DP31" s="350" t="n"/>
      <c r="DQ31" s="345" t="n"/>
      <c r="DR31" s="345" t="n"/>
      <c r="DS31" s="345" t="n"/>
      <c r="DT31" s="345" t="n"/>
    </row>
    <row r="32" ht="15" customFormat="1" customHeight="1" s="196">
      <c r="A32" s="347" t="n"/>
      <c r="B32" s="385" t="n"/>
      <c r="C32" s="385" t="n"/>
      <c r="D32" s="385" t="n"/>
      <c r="E32" s="385" t="n"/>
      <c r="F32" s="385" t="n"/>
      <c r="G32" s="385" t="n"/>
      <c r="H32" s="385" t="n"/>
      <c r="I32" s="385" t="n"/>
      <c r="J32" s="385" t="n"/>
      <c r="K32" s="345" t="n"/>
      <c r="L32" s="345" t="n"/>
      <c r="M32" s="345" t="n"/>
      <c r="N32" s="345" t="n"/>
      <c r="O32" s="345" t="n"/>
      <c r="P32" s="10" t="n"/>
      <c r="Q32" s="17" t="n"/>
      <c r="R32" s="743" t="n"/>
      <c r="S32" s="743" t="n"/>
      <c r="T32" s="743" t="n"/>
      <c r="U32" s="743" t="n"/>
      <c r="V32" s="743" t="n"/>
      <c r="W32" s="743" t="n"/>
      <c r="X32" s="743" t="n"/>
      <c r="Y32" s="743" t="n"/>
      <c r="Z32" s="743" t="n"/>
      <c r="AA32" s="743" t="n"/>
      <c r="AB32" s="743" t="n"/>
      <c r="AC32" s="743" t="n"/>
      <c r="AD32" s="743" t="n"/>
      <c r="AE32" s="743" t="n"/>
      <c r="AF32" s="743" t="n"/>
      <c r="AG32" s="743" t="n"/>
      <c r="AH32" s="743" t="n"/>
      <c r="AI32" s="743" t="n"/>
      <c r="AJ32" s="743" t="n"/>
      <c r="AK32" s="743" t="n"/>
      <c r="AL32" s="2" t="n"/>
      <c r="AM32" s="2" t="n"/>
      <c r="AN32" s="2" t="n"/>
      <c r="AO32" s="2" t="n"/>
      <c r="AP32" s="2" t="n"/>
      <c r="AQ32" s="2" t="n"/>
      <c r="AR32" s="2" t="n"/>
      <c r="AS32" s="2" t="n"/>
      <c r="AT32" s="345" t="n"/>
      <c r="AU32" s="345" t="n"/>
      <c r="AV32" s="345" t="n"/>
      <c r="AW32" s="2" t="n"/>
      <c r="AX32" s="2" t="n"/>
      <c r="AY32" s="2" t="n"/>
      <c r="AZ32" s="2" t="n"/>
      <c r="BA32" s="2" t="n"/>
      <c r="BB32" s="2" t="n"/>
      <c r="BC32" s="2" t="n"/>
      <c r="BD32" s="2" t="n"/>
      <c r="BE32" s="2" t="n"/>
      <c r="BF32" s="2" t="n"/>
      <c r="BG32" s="2" t="n"/>
      <c r="BH32" s="2" t="n"/>
      <c r="BI32" s="2" t="n"/>
      <c r="BJ32" s="2" t="n"/>
      <c r="BK32" s="2" t="n"/>
      <c r="BL32" s="2" t="n"/>
      <c r="BM32" s="2" t="n"/>
      <c r="BN32" s="2" t="n"/>
      <c r="BO32" s="2" t="n"/>
      <c r="BP32" s="2" t="n"/>
      <c r="BQ32" s="2" t="n"/>
      <c r="BR32" s="2" t="n"/>
      <c r="BS32" s="2" t="n"/>
      <c r="BT32" s="2" t="n"/>
      <c r="BU32" s="2" t="n"/>
      <c r="BV32" s="2" t="n"/>
      <c r="BW32" s="2" t="n"/>
      <c r="BX32" s="2" t="n"/>
      <c r="BY32" s="2" t="n"/>
      <c r="BZ32" s="2" t="n"/>
      <c r="CA32" s="2" t="n"/>
      <c r="CB32" s="2" t="n"/>
      <c r="CC32" s="2" t="n"/>
      <c r="CD32" s="2" t="n"/>
      <c r="CE32" s="2" t="n"/>
      <c r="CF32" s="2" t="n"/>
      <c r="CG32" s="2" t="n"/>
      <c r="CH32" s="2" t="n"/>
      <c r="CI32" s="2" t="n"/>
      <c r="CJ32" s="2" t="n"/>
      <c r="CK32" s="2" t="n"/>
      <c r="CL32" s="2" t="n"/>
      <c r="CM32" s="2" t="n"/>
      <c r="CN32" s="2" t="n"/>
      <c r="CO32" s="2" t="n"/>
      <c r="CP32" s="2" t="n"/>
      <c r="CQ32" s="2" t="n"/>
      <c r="CR32" s="345" t="n"/>
      <c r="CS32" s="345" t="n"/>
      <c r="CT32" s="345" t="n"/>
      <c r="CU32" s="345" t="n"/>
      <c r="CV32" s="345" t="n"/>
      <c r="CW32" s="345" t="n"/>
      <c r="CX32" s="345" t="n"/>
      <c r="CY32" s="345" t="n"/>
      <c r="CZ32" s="345" t="n"/>
      <c r="DA32" s="345" t="n"/>
      <c r="DB32" s="345" t="n"/>
      <c r="DC32" s="345" t="n"/>
      <c r="DD32" s="345" t="n"/>
      <c r="DE32" s="345" t="n"/>
      <c r="DF32" s="345" t="n"/>
      <c r="DG32" s="345" t="n"/>
      <c r="DH32" s="345" t="n"/>
      <c r="DI32" s="345" t="n"/>
      <c r="DJ32" s="345" t="n"/>
      <c r="DK32" s="345" t="n"/>
      <c r="DL32" s="345" t="n"/>
      <c r="DM32" s="345" t="n"/>
      <c r="DN32" s="345" t="n"/>
      <c r="DO32" s="345" t="n"/>
      <c r="DP32" s="345" t="n"/>
      <c r="DQ32" s="345" t="n"/>
      <c r="DR32" s="390" t="n"/>
      <c r="DS32" s="345" t="n"/>
      <c r="DT32" s="350" t="n"/>
    </row>
    <row r="33" ht="15" customFormat="1" customHeight="1" s="196">
      <c r="A33" s="347" t="n"/>
      <c r="B33" s="4" t="n"/>
      <c r="C33" s="4" t="n"/>
      <c r="D33" s="4" t="n"/>
      <c r="E33" s="4" t="n"/>
      <c r="F33" s="4" t="n"/>
      <c r="G33" s="345" t="n"/>
      <c r="H33" s="345" t="n"/>
      <c r="I33" s="345" t="n"/>
      <c r="J33" s="345" t="n"/>
      <c r="K33" s="345" t="n"/>
      <c r="L33" s="345" t="n"/>
      <c r="M33" s="345" t="n"/>
      <c r="N33" s="345" t="n"/>
      <c r="O33" s="345" t="n"/>
      <c r="P33" s="10" t="n"/>
      <c r="Q33" s="17" t="n"/>
      <c r="R33" s="743" t="n"/>
      <c r="S33" s="743" t="n"/>
      <c r="T33" s="743" t="n"/>
      <c r="U33" s="743" t="n"/>
      <c r="V33" s="743" t="n"/>
      <c r="W33" s="743" t="n"/>
      <c r="X33" s="743" t="n"/>
      <c r="Y33" s="743" t="n"/>
      <c r="Z33" s="743" t="n"/>
      <c r="AA33" s="743" t="n"/>
      <c r="AB33" s="743" t="n"/>
      <c r="AC33" s="743" t="n"/>
      <c r="AD33" s="743" t="n"/>
      <c r="AE33" s="743" t="n"/>
      <c r="AF33" s="743" t="n"/>
      <c r="AG33" s="743" t="n"/>
      <c r="AH33" s="743" t="n"/>
      <c r="AI33" s="743" t="n"/>
      <c r="AJ33" s="743" t="n"/>
      <c r="AK33" s="743" t="n"/>
      <c r="AL33" s="2" t="n"/>
      <c r="AM33" s="2" t="n"/>
      <c r="AN33" s="2" t="n"/>
      <c r="AO33" s="2" t="n"/>
      <c r="AP33" s="2" t="n"/>
      <c r="AQ33" s="2" t="n"/>
      <c r="AR33" s="2" t="n"/>
      <c r="AS33" s="2" t="n"/>
      <c r="AT33" s="345" t="n"/>
      <c r="AU33" s="345" t="n"/>
      <c r="AV33" s="345" t="n"/>
      <c r="AW33" s="2" t="n"/>
      <c r="AX33" s="2" t="n"/>
      <c r="AY33" s="2" t="n"/>
      <c r="AZ33" s="2" t="n"/>
      <c r="BA33" s="2" t="n"/>
      <c r="BB33" s="2" t="n"/>
      <c r="BC33" s="2" t="n"/>
      <c r="BD33" s="2" t="n"/>
      <c r="BE33" s="2" t="n"/>
      <c r="BF33" s="2" t="n"/>
      <c r="BG33" s="2" t="n"/>
      <c r="BH33" s="2" t="n"/>
      <c r="BI33" s="2" t="n"/>
      <c r="BJ33" s="2" t="n"/>
      <c r="BK33" s="2" t="n"/>
      <c r="BL33" s="2" t="n"/>
      <c r="BM33" s="2" t="n"/>
      <c r="BN33" s="2" t="n"/>
      <c r="BO33" s="2" t="n"/>
      <c r="BP33" s="2" t="n"/>
      <c r="BQ33" s="2" t="n"/>
      <c r="BR33" s="2" t="n"/>
      <c r="BS33" s="2" t="n"/>
      <c r="BT33" s="2" t="n"/>
      <c r="BU33" s="2" t="n"/>
      <c r="BV33" s="2" t="n"/>
      <c r="BW33" s="2" t="n"/>
      <c r="BX33" s="2" t="n"/>
      <c r="BY33" s="2" t="n"/>
      <c r="BZ33" s="2" t="n"/>
      <c r="CA33" s="2" t="n"/>
      <c r="CB33" s="2" t="n"/>
      <c r="CC33" s="2" t="n"/>
      <c r="CD33" s="2" t="n"/>
      <c r="CE33" s="2" t="n"/>
      <c r="CF33" s="2" t="n"/>
      <c r="CG33" s="2" t="n"/>
      <c r="CH33" s="2" t="n"/>
      <c r="CI33" s="2" t="n"/>
      <c r="CJ33" s="2" t="n"/>
      <c r="CK33" s="2" t="n"/>
      <c r="CL33" s="2" t="n"/>
      <c r="CM33" s="2" t="n"/>
      <c r="CN33" s="2" t="n"/>
      <c r="CO33" s="2" t="n"/>
      <c r="CP33" s="2" t="n"/>
      <c r="CQ33" s="2" t="n"/>
      <c r="CR33" s="345" t="n"/>
      <c r="CS33" s="345" t="n"/>
      <c r="CT33" s="345" t="n"/>
      <c r="CU33" s="345" t="n"/>
      <c r="CV33" s="345" t="n"/>
      <c r="CW33" s="345" t="n"/>
      <c r="CX33" s="345" t="n"/>
      <c r="CY33" s="345" t="n"/>
      <c r="CZ33" s="345" t="n"/>
      <c r="DA33" s="345" t="n"/>
      <c r="DB33" s="345" t="n"/>
      <c r="DC33" s="345" t="n"/>
      <c r="DD33" s="345" t="n"/>
      <c r="DE33" s="345" t="n"/>
      <c r="DF33" s="345" t="n"/>
      <c r="DG33" s="345" t="n"/>
      <c r="DH33" s="345" t="n"/>
      <c r="DI33" s="345" t="n"/>
      <c r="DJ33" s="345" t="n"/>
      <c r="DK33" s="345" t="n"/>
      <c r="DL33" s="345" t="n"/>
      <c r="DM33" s="345" t="n"/>
      <c r="DN33" s="345" t="n"/>
      <c r="DO33" s="345" t="n"/>
      <c r="DP33" s="345" t="n"/>
      <c r="DQ33" s="345" t="n"/>
      <c r="DR33" s="390" t="n"/>
      <c r="DS33" s="345" t="n"/>
      <c r="DT33" s="350" t="n"/>
      <c r="DU33" s="345" t="n"/>
      <c r="DV33" s="345" t="n"/>
      <c r="DW33" s="345" t="n"/>
      <c r="DX33" s="345" t="n"/>
    </row>
    <row r="34" ht="24.95" customFormat="1" customHeight="1" s="196">
      <c r="A34" s="347" t="n"/>
      <c r="B34" s="352" t="inlineStr">
        <is>
          <t>其他异常项测试</t>
        </is>
      </c>
      <c r="C34" s="353" t="n"/>
      <c r="D34" s="353" t="n"/>
      <c r="E34" s="353" t="n"/>
      <c r="F34" s="353" t="n"/>
      <c r="G34" s="365" t="n"/>
      <c r="H34" s="365" t="n"/>
      <c r="I34" s="365" t="n"/>
      <c r="J34" s="365" t="n"/>
      <c r="K34" s="365" t="n"/>
      <c r="L34" s="365" t="n"/>
      <c r="M34" s="365" t="n"/>
      <c r="N34" s="365" t="n"/>
      <c r="O34" s="365" t="n"/>
      <c r="P34" s="10" t="n"/>
      <c r="Q34" s="17" t="n"/>
      <c r="R34" s="743" t="n"/>
      <c r="S34" s="743" t="n"/>
      <c r="T34" s="743" t="n"/>
      <c r="U34" s="743" t="n"/>
      <c r="V34" s="743" t="n"/>
      <c r="W34" s="743" t="n"/>
      <c r="X34" s="743" t="n"/>
      <c r="Y34" s="743" t="n"/>
      <c r="Z34" s="743" t="n"/>
      <c r="AA34" s="743" t="n"/>
      <c r="AB34" s="743" t="n"/>
      <c r="AC34" s="743" t="n"/>
      <c r="AD34" s="743" t="n"/>
      <c r="AE34" s="743" t="n"/>
      <c r="AF34" s="743" t="n"/>
      <c r="AG34" s="743" t="n"/>
      <c r="AH34" s="743" t="n"/>
      <c r="AI34" s="743" t="n"/>
      <c r="AJ34" s="743" t="n"/>
      <c r="AK34" s="743" t="n"/>
      <c r="AL34" s="2" t="n"/>
      <c r="AM34" s="2" t="n"/>
      <c r="AN34" s="2" t="n"/>
      <c r="AO34" s="2" t="n"/>
      <c r="AP34" s="2" t="n"/>
      <c r="AQ34" s="2" t="n"/>
      <c r="AR34" s="2" t="n"/>
      <c r="AS34" s="2" t="n"/>
      <c r="AT34" s="345" t="n"/>
      <c r="AU34" s="345" t="n"/>
      <c r="AV34" s="345" t="n"/>
      <c r="AW34" s="2" t="n"/>
      <c r="AX34" s="2" t="n"/>
      <c r="AY34" s="2" t="n"/>
      <c r="AZ34" s="2" t="n"/>
      <c r="BA34" s="2" t="n"/>
      <c r="BB34" s="2" t="n"/>
      <c r="BC34" s="2" t="n"/>
      <c r="BD34" s="2" t="n"/>
      <c r="BE34" s="2" t="n"/>
      <c r="BF34" s="2" t="n"/>
      <c r="BG34" s="2" t="n"/>
      <c r="BH34" s="2" t="n"/>
      <c r="BI34" s="2" t="n"/>
      <c r="BJ34" s="2" t="n"/>
      <c r="BK34" s="2" t="n"/>
      <c r="BL34" s="2" t="n"/>
      <c r="BM34" s="2" t="n"/>
      <c r="BN34" s="2" t="n"/>
      <c r="BO34" s="2" t="n"/>
      <c r="BP34" s="2" t="n"/>
      <c r="BQ34" s="2" t="n"/>
      <c r="BR34" s="2" t="n"/>
      <c r="BS34" s="2" t="n"/>
      <c r="BT34" s="2" t="n"/>
      <c r="BU34" s="2" t="n"/>
      <c r="BV34" s="2" t="n"/>
      <c r="BW34" s="2" t="n"/>
      <c r="BX34" s="2" t="n"/>
      <c r="BY34" s="2" t="n"/>
      <c r="BZ34" s="2" t="n"/>
      <c r="CA34" s="2" t="n"/>
      <c r="CB34" s="2" t="n"/>
      <c r="CC34" s="2" t="n"/>
      <c r="CD34" s="2" t="n"/>
      <c r="CE34" s="2" t="n"/>
      <c r="CF34" s="2" t="n"/>
      <c r="CG34" s="2" t="n"/>
      <c r="CH34" s="2" t="n"/>
      <c r="CI34" s="2" t="n"/>
      <c r="CJ34" s="2" t="n"/>
      <c r="CK34" s="2" t="n"/>
      <c r="CL34" s="2" t="n"/>
      <c r="CM34" s="2" t="n"/>
      <c r="CN34" s="2" t="n"/>
      <c r="CO34" s="2" t="n"/>
      <c r="CP34" s="2" t="n"/>
      <c r="CQ34" s="2" t="n"/>
      <c r="CR34" s="345" t="n"/>
      <c r="CS34" s="345" t="n"/>
      <c r="CT34" s="345" t="n"/>
      <c r="CU34" s="345" t="n"/>
      <c r="CV34" s="345" t="n"/>
      <c r="CW34" s="345" t="n"/>
      <c r="CX34" s="345" t="n"/>
      <c r="CY34" s="345" t="n"/>
      <c r="CZ34" s="345" t="n"/>
      <c r="DA34" s="345" t="n"/>
      <c r="DB34" s="345" t="n"/>
      <c r="DC34" s="345" t="n"/>
      <c r="DD34" s="345" t="n"/>
      <c r="DE34" s="345" t="n"/>
      <c r="DF34" s="345" t="n"/>
      <c r="DG34" s="345" t="n"/>
      <c r="DH34" s="345" t="n"/>
      <c r="DI34" s="345" t="n"/>
      <c r="DJ34" s="345" t="n"/>
      <c r="DK34" s="345" t="n"/>
      <c r="DL34" s="345" t="n"/>
      <c r="DM34" s="345" t="n"/>
      <c r="DN34" s="345" t="n"/>
      <c r="DO34" s="345" t="n"/>
      <c r="DP34" s="345" t="n"/>
      <c r="DQ34" s="345" t="n"/>
      <c r="DR34" s="390" t="n"/>
      <c r="DS34" s="345" t="n"/>
      <c r="DT34" s="350" t="n"/>
      <c r="DU34" s="345" t="n"/>
      <c r="DV34" s="345" t="n"/>
      <c r="DW34" s="345" t="n"/>
      <c r="DX34" s="345" t="n"/>
    </row>
    <row r="35" ht="15" customFormat="1" customHeight="1" s="196">
      <c r="A35" s="347" t="n"/>
      <c r="B35" s="386" t="n"/>
      <c r="C35" s="2" t="n"/>
      <c r="D35" s="2" t="n"/>
      <c r="E35" s="2" t="n"/>
      <c r="F35" s="2" t="n"/>
      <c r="G35" s="345" t="n"/>
      <c r="H35" s="345" t="n"/>
      <c r="I35" s="345" t="n"/>
      <c r="J35" s="345" t="n"/>
      <c r="K35" s="345" t="n"/>
      <c r="L35" s="345" t="n"/>
      <c r="M35" s="345" t="n"/>
      <c r="N35" s="345" t="n"/>
      <c r="O35" s="345" t="n"/>
      <c r="P35" s="10" t="n"/>
      <c r="Q35" s="17" t="n"/>
      <c r="R35" s="743" t="n"/>
      <c r="S35" s="743" t="n"/>
      <c r="T35" s="743" t="n"/>
      <c r="U35" s="743" t="n"/>
      <c r="V35" s="743" t="n"/>
      <c r="W35" s="743" t="n"/>
      <c r="X35" s="743" t="n"/>
      <c r="Y35" s="743" t="n"/>
      <c r="Z35" s="743" t="n"/>
      <c r="AA35" s="743" t="n"/>
      <c r="AB35" s="743" t="n"/>
      <c r="AC35" s="743" t="n"/>
      <c r="AD35" s="743" t="n"/>
      <c r="AE35" s="743" t="n"/>
      <c r="AF35" s="743" t="n"/>
      <c r="AG35" s="743" t="n"/>
      <c r="AH35" s="743" t="n"/>
      <c r="AI35" s="743" t="n"/>
      <c r="AJ35" s="743" t="n"/>
      <c r="AK35" s="743" t="n"/>
      <c r="AL35" s="2" t="n"/>
      <c r="AM35" s="2" t="n"/>
      <c r="AN35" s="2" t="n"/>
      <c r="AO35" s="2" t="n"/>
      <c r="AP35" s="2" t="n"/>
      <c r="AQ35" s="2" t="n"/>
      <c r="AR35" s="2" t="n"/>
      <c r="AS35" s="2" t="n"/>
      <c r="AT35" s="345" t="n"/>
      <c r="AU35" s="345" t="n"/>
      <c r="AV35" s="345" t="n"/>
      <c r="AW35" s="2" t="n"/>
      <c r="AX35" s="2" t="n"/>
      <c r="AY35" s="2" t="n"/>
      <c r="AZ35" s="2" t="n"/>
      <c r="BA35" s="2" t="n"/>
      <c r="BB35" s="2" t="n"/>
      <c r="BC35" s="2" t="n"/>
      <c r="BD35" s="2" t="n"/>
      <c r="BE35" s="2" t="n"/>
      <c r="BF35" s="2" t="n"/>
      <c r="BG35" s="2" t="n"/>
      <c r="BH35" s="2" t="n"/>
      <c r="BI35" s="2" t="n"/>
      <c r="BJ35" s="2" t="n"/>
      <c r="BK35" s="2" t="n"/>
      <c r="BL35" s="2" t="n"/>
      <c r="BM35" s="2" t="n"/>
      <c r="BN35" s="2" t="n"/>
      <c r="BO35" s="2" t="n"/>
      <c r="BP35" s="2" t="n"/>
      <c r="BQ35" s="2" t="n"/>
      <c r="BR35" s="2" t="n"/>
      <c r="BS35" s="2" t="n"/>
      <c r="BT35" s="2" t="n"/>
      <c r="BU35" s="2" t="n"/>
      <c r="BV35" s="2" t="n"/>
      <c r="BW35" s="2" t="n"/>
      <c r="BX35" s="2" t="n"/>
      <c r="BY35" s="2" t="n"/>
      <c r="BZ35" s="2" t="n"/>
      <c r="CA35" s="2" t="n"/>
      <c r="CB35" s="2" t="n"/>
      <c r="CC35" s="2" t="n"/>
      <c r="CD35" s="2" t="n"/>
      <c r="CE35" s="2" t="n"/>
      <c r="CF35" s="2" t="n"/>
      <c r="CG35" s="2" t="n"/>
      <c r="CH35" s="2" t="n"/>
      <c r="CI35" s="2" t="n"/>
      <c r="CJ35" s="2" t="n"/>
      <c r="CK35" s="2" t="n"/>
      <c r="CL35" s="2" t="n"/>
      <c r="CM35" s="2" t="n"/>
      <c r="CN35" s="2" t="n"/>
      <c r="CO35" s="2" t="n"/>
      <c r="CP35" s="2" t="n"/>
      <c r="CQ35" s="2" t="n"/>
      <c r="CR35" s="345" t="n"/>
      <c r="CS35" s="345" t="n"/>
      <c r="CT35" s="345" t="n"/>
      <c r="CU35" s="345" t="n"/>
      <c r="CV35" s="345" t="n"/>
      <c r="CW35" s="345" t="n"/>
      <c r="CX35" s="345" t="n"/>
      <c r="CY35" s="345" t="n"/>
      <c r="CZ35" s="345" t="n"/>
      <c r="DA35" s="345" t="n"/>
      <c r="DB35" s="345" t="n"/>
      <c r="DC35" s="345" t="n"/>
      <c r="DD35" s="345" t="n"/>
      <c r="DE35" s="345" t="n"/>
      <c r="DF35" s="345" t="n"/>
      <c r="DG35" s="345" t="n"/>
      <c r="DH35" s="345" t="n"/>
      <c r="DI35" s="345" t="n"/>
      <c r="DJ35" s="345" t="n"/>
      <c r="DK35" s="345" t="n"/>
      <c r="DL35" s="345" t="n"/>
      <c r="DM35" s="345" t="n"/>
      <c r="DN35" s="345" t="n"/>
      <c r="DO35" s="345" t="n"/>
      <c r="DP35" s="345" t="n"/>
      <c r="DQ35" s="345" t="n"/>
      <c r="DR35" s="390" t="n"/>
      <c r="DS35" s="345" t="n"/>
      <c r="DT35" s="350" t="n"/>
      <c r="DU35" s="345" t="n"/>
      <c r="DV35" s="345" t="n"/>
      <c r="DW35" s="345" t="n"/>
      <c r="DX35" s="345" t="n"/>
    </row>
    <row r="36" ht="15" customHeight="1" s="634">
      <c r="A36" s="341" t="n"/>
      <c r="B36" s="169" t="inlineStr">
        <is>
          <t>表2 在下面记录选择关键项目的理由</t>
        </is>
      </c>
      <c r="C36" s="757" t="n"/>
      <c r="D36" s="757" t="n"/>
      <c r="E36" s="757" t="n"/>
      <c r="F36" s="757" t="n"/>
      <c r="G36" s="2" t="n"/>
      <c r="H36" s="2" t="n"/>
      <c r="I36" s="2" t="n"/>
      <c r="J36" s="2" t="n"/>
      <c r="K36" s="2" t="n"/>
      <c r="L36" s="2" t="n"/>
      <c r="M36" s="2" t="n"/>
      <c r="N36" s="2" t="n"/>
      <c r="O36" s="2" t="n"/>
      <c r="P36" s="10" t="n"/>
      <c r="Q36" s="17" t="n"/>
      <c r="R36" s="2" t="n"/>
      <c r="S36" s="2" t="n"/>
      <c r="T36" s="2" t="n"/>
      <c r="U36" s="2" t="n"/>
      <c r="V36" s="2" t="n"/>
      <c r="W36" s="2" t="n"/>
      <c r="X36" s="2" t="n"/>
      <c r="Y36" s="2" t="n"/>
      <c r="Z36" s="2" t="n"/>
      <c r="AA36" s="2" t="n"/>
      <c r="AB36" s="2" t="n"/>
      <c r="AC36" s="2" t="n"/>
      <c r="AD36" s="2" t="n"/>
      <c r="AE36" s="2" t="n"/>
      <c r="AF36" s="2" t="n"/>
      <c r="AG36" s="2" t="n"/>
      <c r="AH36" s="2" t="n"/>
      <c r="AI36" s="2" t="n"/>
      <c r="AJ36" s="2" t="n"/>
      <c r="AK36" s="2" t="n"/>
      <c r="AL36" s="2" t="n"/>
      <c r="AM36" s="2" t="n"/>
      <c r="AN36" s="2" t="n"/>
      <c r="AO36" s="2" t="n"/>
      <c r="AP36" s="2" t="n"/>
      <c r="AQ36" s="2" t="n"/>
      <c r="AR36" s="2" t="n"/>
      <c r="AS36" s="2" t="n"/>
      <c r="AT36" s="2" t="n"/>
      <c r="AU36" s="2" t="n"/>
      <c r="AV36" s="2" t="n"/>
      <c r="AW36" s="2" t="n"/>
      <c r="AX36" s="2" t="n"/>
      <c r="AY36" s="2" t="n"/>
      <c r="AZ36" s="2" t="n"/>
      <c r="BA36" s="2" t="n"/>
      <c r="BB36" s="2" t="n"/>
      <c r="BC36" s="2" t="n"/>
      <c r="BD36" s="2" t="n"/>
      <c r="BE36" s="2" t="n"/>
      <c r="BF36" s="2" t="n"/>
      <c r="BG36" s="2" t="n"/>
      <c r="BH36" s="2" t="n"/>
      <c r="BI36" s="2" t="n"/>
      <c r="BJ36" s="2" t="n"/>
      <c r="BK36" s="2" t="n"/>
      <c r="BL36" s="2" t="n"/>
      <c r="BM36" s="2" t="n"/>
      <c r="BN36" s="2" t="n"/>
      <c r="BO36" s="2" t="n"/>
      <c r="BP36" s="2" t="n"/>
      <c r="BQ36" s="2" t="n"/>
      <c r="BR36" s="2" t="n"/>
      <c r="BS36" s="2" t="n"/>
      <c r="BT36" s="2" t="n"/>
      <c r="BU36" s="2" t="n"/>
      <c r="BV36" s="2" t="n"/>
      <c r="BW36" s="2" t="n"/>
      <c r="BX36" s="2" t="n"/>
      <c r="BY36" s="2" t="n"/>
      <c r="BZ36" s="2" t="n"/>
      <c r="CA36" s="2" t="n"/>
      <c r="CB36" s="2" t="n"/>
      <c r="CC36" s="2" t="n"/>
      <c r="CD36" s="2" t="n"/>
      <c r="CE36" s="2" t="n"/>
      <c r="CF36" s="2" t="n"/>
      <c r="CG36" s="2" t="n"/>
      <c r="CH36" s="2" t="n"/>
      <c r="CI36" s="2" t="n"/>
      <c r="CJ36" s="2" t="n"/>
      <c r="CK36" s="2" t="n"/>
      <c r="CL36" s="2" t="n"/>
      <c r="CM36" s="2" t="n"/>
      <c r="CN36" s="2" t="n"/>
      <c r="CO36" s="2" t="n"/>
      <c r="CP36" s="2" t="n"/>
      <c r="CQ36" s="2" t="n"/>
      <c r="CR36" s="2" t="n"/>
      <c r="CS36" s="2" t="n"/>
      <c r="CT36" s="2" t="n"/>
      <c r="CU36" s="345" t="n"/>
      <c r="CV36" s="345" t="n"/>
      <c r="CW36" s="345" t="n"/>
      <c r="CX36" s="345" t="n"/>
      <c r="CY36" s="345" t="n"/>
      <c r="CZ36" s="345" t="n"/>
      <c r="DA36" s="345" t="n"/>
      <c r="DB36" s="345" t="n"/>
      <c r="DC36" s="345" t="n"/>
      <c r="DD36" s="345" t="n"/>
      <c r="DE36" s="345" t="n"/>
      <c r="DF36" s="345" t="n"/>
      <c r="DG36" s="345" t="n"/>
      <c r="DH36" s="345" t="n"/>
      <c r="DI36" s="345" t="n"/>
      <c r="DJ36" s="345" t="n"/>
      <c r="DK36" s="345" t="n"/>
      <c r="DL36" s="345" t="n"/>
      <c r="DM36" s="345" t="n"/>
      <c r="DN36" s="345" t="n"/>
      <c r="DO36" s="345" t="n"/>
      <c r="DP36" s="345" t="n"/>
      <c r="DQ36" s="345" t="n"/>
      <c r="DR36" s="345" t="n"/>
      <c r="DS36" s="345" t="n"/>
      <c r="DT36" s="345" t="n"/>
      <c r="DU36" s="390" t="n"/>
      <c r="DV36" s="345" t="n"/>
      <c r="DW36" s="350" t="n"/>
      <c r="DX36" s="2" t="n"/>
    </row>
    <row r="37" ht="14.25" customHeight="1" s="634">
      <c r="A37" s="341" t="n"/>
      <c r="B37" s="692" t="n"/>
      <c r="C37" s="693" t="n"/>
      <c r="D37" s="693" t="n"/>
      <c r="E37" s="693" t="n"/>
      <c r="F37" s="694" t="n"/>
      <c r="G37" s="2" t="n"/>
      <c r="H37" s="2" t="n"/>
      <c r="I37" s="2" t="n"/>
      <c r="J37" s="2" t="n"/>
      <c r="K37" s="2" t="n"/>
      <c r="L37" s="2" t="n"/>
      <c r="M37" s="2" t="n"/>
      <c r="N37" s="2" t="n"/>
      <c r="O37" s="2" t="n"/>
      <c r="P37" s="10" t="n"/>
      <c r="Q37" s="17" t="n"/>
      <c r="R37" s="2" t="n"/>
      <c r="S37" s="2" t="n"/>
      <c r="T37" s="2" t="n"/>
      <c r="U37" s="2" t="n"/>
      <c r="V37" s="2" t="n"/>
      <c r="W37" s="2" t="n"/>
      <c r="X37" s="2" t="n"/>
      <c r="Y37" s="2" t="n"/>
      <c r="Z37" s="2" t="n"/>
      <c r="AA37" s="2" t="n"/>
      <c r="AB37" s="2" t="n"/>
      <c r="AC37" s="2" t="n"/>
      <c r="AD37" s="2" t="n"/>
      <c r="AE37" s="2" t="n"/>
      <c r="AF37" s="2" t="n"/>
      <c r="AG37" s="2" t="n"/>
      <c r="AH37" s="2" t="n"/>
      <c r="AI37" s="2" t="n"/>
      <c r="AJ37" s="2" t="n"/>
      <c r="AK37" s="2" t="n"/>
      <c r="AL37" s="2" t="n"/>
      <c r="AM37" s="2" t="n"/>
      <c r="AN37" s="2" t="n"/>
      <c r="AO37" s="2" t="n"/>
      <c r="AP37" s="2" t="n"/>
      <c r="AQ37" s="2" t="n"/>
      <c r="AR37" s="2" t="n"/>
      <c r="AS37" s="2" t="n"/>
      <c r="AT37" s="2" t="n"/>
      <c r="AU37" s="2" t="n"/>
      <c r="AV37" s="2" t="n"/>
      <c r="AW37" s="2" t="n"/>
      <c r="AX37" s="2" t="n"/>
      <c r="AY37" s="2" t="n"/>
      <c r="AZ37" s="2" t="n"/>
      <c r="BA37" s="2" t="n"/>
      <c r="BB37" s="2" t="n"/>
      <c r="BC37" s="2" t="n"/>
      <c r="BD37" s="2" t="n"/>
      <c r="BE37" s="2" t="n"/>
      <c r="BF37" s="2" t="n"/>
      <c r="BG37" s="2" t="n"/>
      <c r="BH37" s="2" t="n"/>
      <c r="BI37" s="2" t="n"/>
      <c r="BJ37" s="2" t="n"/>
      <c r="BK37" s="2" t="n"/>
      <c r="BL37" s="2" t="n"/>
      <c r="BM37" s="2" t="n"/>
      <c r="BN37" s="2" t="n"/>
      <c r="BO37" s="2" t="n"/>
      <c r="BP37" s="2" t="n"/>
      <c r="BQ37" s="2" t="n"/>
      <c r="BR37" s="2" t="n"/>
      <c r="BS37" s="2" t="n"/>
      <c r="BT37" s="2" t="n"/>
      <c r="BU37" s="2" t="n"/>
      <c r="BV37" s="2" t="n"/>
      <c r="BW37" s="2" t="n"/>
      <c r="BX37" s="2" t="n"/>
      <c r="BY37" s="2" t="n"/>
      <c r="BZ37" s="2" t="n"/>
      <c r="CA37" s="2" t="n"/>
      <c r="CB37" s="2" t="n"/>
      <c r="CC37" s="2" t="n"/>
      <c r="CD37" s="2" t="n"/>
      <c r="CE37" s="2" t="n"/>
      <c r="CF37" s="2" t="n"/>
      <c r="CG37" s="2" t="n"/>
      <c r="CH37" s="2" t="n"/>
      <c r="CI37" s="2" t="n"/>
      <c r="CJ37" s="2" t="n"/>
      <c r="CK37" s="2" t="n"/>
      <c r="CL37" s="2" t="n"/>
      <c r="CM37" s="2" t="n"/>
      <c r="CN37" s="2" t="n"/>
      <c r="CO37" s="2" t="n"/>
      <c r="CP37" s="2" t="n"/>
      <c r="CQ37" s="2" t="n"/>
      <c r="CR37" s="2" t="n"/>
      <c r="CS37" s="2" t="n"/>
      <c r="CT37" s="2" t="n"/>
      <c r="CU37" s="345" t="n"/>
      <c r="CV37" s="345" t="n"/>
      <c r="CW37" s="345" t="n"/>
      <c r="CX37" s="345" t="n"/>
      <c r="CY37" s="345" t="n"/>
      <c r="CZ37" s="345" t="n"/>
      <c r="DA37" s="345" t="n"/>
      <c r="DB37" s="345" t="n"/>
      <c r="DC37" s="345" t="n"/>
      <c r="DD37" s="345" t="n"/>
      <c r="DE37" s="345" t="n"/>
      <c r="DF37" s="345" t="n"/>
      <c r="DG37" s="345" t="n"/>
      <c r="DH37" s="345" t="n"/>
      <c r="DI37" s="345" t="n"/>
      <c r="DJ37" s="345" t="n"/>
      <c r="DK37" s="345" t="n"/>
      <c r="DL37" s="345" t="n"/>
      <c r="DM37" s="345" t="n"/>
      <c r="DN37" s="345" t="n"/>
      <c r="DO37" s="345" t="n"/>
      <c r="DP37" s="345" t="n"/>
      <c r="DQ37" s="345" t="n"/>
      <c r="DR37" s="345" t="n"/>
      <c r="DS37" s="345" t="n"/>
      <c r="DT37" s="345" t="n"/>
      <c r="DU37" s="390" t="n"/>
      <c r="DV37" s="345" t="n"/>
      <c r="DW37" s="350" t="n"/>
      <c r="DX37" s="2" t="n"/>
    </row>
    <row r="38" ht="14.25" customHeight="1" s="634">
      <c r="A38" s="341" t="n"/>
      <c r="B38" s="695" t="n"/>
      <c r="F38" s="639" t="n"/>
      <c r="G38" s="2" t="n"/>
      <c r="H38" s="2" t="n"/>
      <c r="I38" s="2" t="n"/>
      <c r="J38" s="2" t="n"/>
      <c r="K38" s="2" t="n"/>
      <c r="L38" s="2" t="n"/>
      <c r="M38" s="2" t="n"/>
      <c r="N38" s="2" t="n"/>
      <c r="O38" s="2" t="n"/>
      <c r="P38" s="10" t="n"/>
      <c r="Q38" s="17" t="n"/>
      <c r="R38" s="2" t="n"/>
      <c r="S38" s="2" t="n"/>
      <c r="T38" s="2" t="n"/>
      <c r="U38" s="2" t="n"/>
      <c r="V38" s="2" t="n"/>
      <c r="W38" s="2" t="n"/>
      <c r="X38" s="2" t="n"/>
      <c r="Y38" s="2" t="n"/>
      <c r="Z38" s="2" t="n"/>
      <c r="AA38" s="2" t="n"/>
      <c r="AB38" s="2" t="n"/>
      <c r="AC38" s="2" t="n"/>
      <c r="AD38" s="2" t="n"/>
      <c r="AE38" s="2" t="n"/>
      <c r="AF38" s="2" t="n"/>
      <c r="AG38" s="2" t="n"/>
      <c r="AH38" s="2" t="n"/>
      <c r="AI38" s="2" t="n"/>
      <c r="AJ38" s="2" t="n"/>
      <c r="AK38" s="2" t="n"/>
      <c r="AL38" s="2" t="n"/>
      <c r="AM38" s="2" t="n"/>
      <c r="AN38" s="2" t="n"/>
      <c r="AO38" s="2" t="n"/>
      <c r="AP38" s="2" t="n"/>
      <c r="AQ38" s="2" t="n"/>
      <c r="AR38" s="2" t="n"/>
      <c r="AS38" s="2" t="n"/>
      <c r="AT38" s="2" t="n"/>
      <c r="AU38" s="2" t="n"/>
      <c r="AV38" s="2" t="n"/>
      <c r="AW38" s="2" t="n"/>
      <c r="AX38" s="2" t="n"/>
      <c r="AY38" s="2" t="n"/>
      <c r="AZ38" s="2" t="n"/>
      <c r="BA38" s="2" t="n"/>
      <c r="BB38" s="2" t="n"/>
      <c r="BC38" s="2" t="n"/>
      <c r="BD38" s="2" t="n"/>
      <c r="BE38" s="2" t="n"/>
      <c r="BF38" s="2" t="n"/>
      <c r="BG38" s="2" t="n"/>
      <c r="BH38" s="2" t="n"/>
      <c r="BI38" s="2" t="n"/>
      <c r="BJ38" s="2" t="n"/>
      <c r="BK38" s="2" t="n"/>
      <c r="BL38" s="2" t="n"/>
      <c r="BM38" s="2" t="n"/>
      <c r="BN38" s="2" t="n"/>
      <c r="BO38" s="2" t="n"/>
      <c r="BP38" s="2" t="n"/>
      <c r="BQ38" s="2" t="n"/>
      <c r="BR38" s="2" t="n"/>
      <c r="BS38" s="2" t="n"/>
      <c r="BT38" s="2" t="n"/>
      <c r="BU38" s="2" t="n"/>
      <c r="BV38" s="2" t="n"/>
      <c r="BW38" s="2" t="n"/>
      <c r="BX38" s="2" t="n"/>
      <c r="BY38" s="2" t="n"/>
      <c r="BZ38" s="2" t="n"/>
      <c r="CA38" s="2" t="n"/>
      <c r="CB38" s="2" t="n"/>
      <c r="CC38" s="2" t="n"/>
      <c r="CD38" s="2" t="n"/>
      <c r="CE38" s="2" t="n"/>
      <c r="CF38" s="2" t="n"/>
      <c r="CG38" s="2" t="n"/>
      <c r="CH38" s="2" t="n"/>
      <c r="CI38" s="2" t="n"/>
      <c r="CJ38" s="2" t="n"/>
      <c r="CK38" s="2" t="n"/>
      <c r="CL38" s="2" t="n"/>
      <c r="CM38" s="2" t="n"/>
      <c r="CN38" s="2" t="n"/>
      <c r="CO38" s="2" t="n"/>
      <c r="CP38" s="2" t="n"/>
      <c r="CQ38" s="2" t="n"/>
      <c r="CR38" s="2" t="n"/>
      <c r="CS38" s="2" t="n"/>
      <c r="CT38" s="2" t="n"/>
      <c r="CU38" s="345" t="n"/>
      <c r="CV38" s="345" t="n"/>
      <c r="CW38" s="345" t="n"/>
      <c r="CX38" s="345" t="n"/>
      <c r="CY38" s="345" t="n"/>
      <c r="CZ38" s="345" t="n"/>
      <c r="DA38" s="345" t="n"/>
      <c r="DB38" s="345" t="n"/>
      <c r="DC38" s="345" t="n"/>
      <c r="DD38" s="345" t="n"/>
      <c r="DE38" s="345" t="n"/>
      <c r="DF38" s="345" t="n"/>
      <c r="DG38" s="345" t="n"/>
      <c r="DH38" s="345" t="n"/>
      <c r="DI38" s="345" t="n"/>
      <c r="DJ38" s="345" t="n"/>
      <c r="DK38" s="345" t="n"/>
      <c r="DL38" s="345" t="n"/>
      <c r="DM38" s="345" t="n"/>
      <c r="DN38" s="345" t="n"/>
      <c r="DO38" s="345" t="n"/>
      <c r="DP38" s="345" t="n"/>
      <c r="DQ38" s="345" t="n"/>
      <c r="DR38" s="345" t="n"/>
      <c r="DS38" s="345" t="n"/>
      <c r="DT38" s="345" t="n"/>
      <c r="DU38" s="390" t="n"/>
      <c r="DV38" s="345" t="n"/>
      <c r="DW38" s="350" t="n"/>
      <c r="DX38" s="2" t="n"/>
    </row>
    <row r="39" ht="14.25" customHeight="1" s="634">
      <c r="A39" s="341" t="n"/>
      <c r="B39" s="695" t="n"/>
      <c r="F39" s="639" t="n"/>
      <c r="G39" s="2" t="n"/>
      <c r="H39" s="2" t="n"/>
      <c r="I39" s="2" t="n"/>
      <c r="J39" s="2" t="n"/>
      <c r="K39" s="2" t="n"/>
      <c r="L39" s="2" t="n"/>
      <c r="M39" s="2" t="n"/>
      <c r="N39" s="2" t="n"/>
      <c r="O39" s="2" t="n"/>
      <c r="P39" s="10" t="n"/>
      <c r="Q39" s="17" t="n"/>
      <c r="R39" s="2" t="n"/>
      <c r="S39" s="2" t="n"/>
      <c r="T39" s="2" t="n"/>
      <c r="U39" s="2" t="n"/>
      <c r="V39" s="2" t="n"/>
      <c r="W39" s="2" t="n"/>
      <c r="X39" s="2" t="n"/>
      <c r="Y39" s="2" t="n"/>
      <c r="Z39" s="2" t="n"/>
      <c r="AA39" s="2" t="n"/>
      <c r="AB39" s="2" t="n"/>
      <c r="AC39" s="2" t="n"/>
      <c r="AD39" s="2" t="n"/>
      <c r="AE39" s="2" t="n"/>
      <c r="AF39" s="2" t="n"/>
      <c r="AG39" s="2" t="n"/>
      <c r="AH39" s="2" t="n"/>
      <c r="AI39" s="2" t="n"/>
      <c r="AJ39" s="2" t="n"/>
      <c r="AK39" s="2" t="n"/>
      <c r="AL39" s="2" t="n"/>
      <c r="AM39" s="2" t="n"/>
      <c r="AN39" s="2" t="n"/>
      <c r="AO39" s="2" t="n"/>
      <c r="AP39" s="2" t="n"/>
      <c r="AQ39" s="2" t="n"/>
      <c r="AR39" s="2" t="n"/>
      <c r="AS39" s="2" t="n"/>
      <c r="AT39" s="2" t="n"/>
      <c r="AU39" s="2" t="n"/>
      <c r="AV39" s="2" t="n"/>
      <c r="AW39" s="2" t="n"/>
      <c r="AX39" s="2" t="n"/>
      <c r="AY39" s="2" t="n"/>
      <c r="AZ39" s="2" t="n"/>
      <c r="BA39" s="2" t="n"/>
      <c r="BB39" s="2" t="n"/>
      <c r="BC39" s="2" t="n"/>
      <c r="BD39" s="2" t="n"/>
      <c r="BE39" s="2" t="n"/>
      <c r="BF39" s="2" t="n"/>
      <c r="BG39" s="2" t="n"/>
      <c r="BH39" s="2" t="n"/>
      <c r="BI39" s="2" t="n"/>
      <c r="BJ39" s="2" t="n"/>
      <c r="BK39" s="2" t="n"/>
      <c r="BL39" s="2" t="n"/>
      <c r="BM39" s="2" t="n"/>
      <c r="BN39" s="2" t="n"/>
      <c r="BO39" s="2" t="n"/>
      <c r="BP39" s="2" t="n"/>
      <c r="BQ39" s="2" t="n"/>
      <c r="BR39" s="2" t="n"/>
      <c r="BS39" s="2" t="n"/>
      <c r="BT39" s="2" t="n"/>
      <c r="BU39" s="2" t="n"/>
      <c r="BV39" s="2" t="n"/>
      <c r="BW39" s="2" t="n"/>
      <c r="BX39" s="2" t="n"/>
      <c r="BY39" s="2" t="n"/>
      <c r="BZ39" s="2" t="n"/>
      <c r="CA39" s="2" t="n"/>
      <c r="CB39" s="2" t="n"/>
      <c r="CC39" s="2" t="n"/>
      <c r="CD39" s="2" t="n"/>
      <c r="CE39" s="2" t="n"/>
      <c r="CF39" s="2" t="n"/>
      <c r="CG39" s="2" t="n"/>
      <c r="CH39" s="2" t="n"/>
      <c r="CI39" s="2" t="n"/>
      <c r="CJ39" s="2" t="n"/>
      <c r="CK39" s="2" t="n"/>
      <c r="CL39" s="2" t="n"/>
      <c r="CM39" s="2" t="n"/>
      <c r="CN39" s="2" t="n"/>
      <c r="CO39" s="2" t="n"/>
      <c r="CP39" s="2" t="n"/>
      <c r="CQ39" s="2" t="n"/>
      <c r="CR39" s="2" t="n"/>
      <c r="CS39" s="2" t="n"/>
      <c r="CT39" s="2" t="n"/>
      <c r="CU39" s="345" t="n"/>
      <c r="CV39" s="345" t="n"/>
      <c r="CW39" s="345" t="n"/>
      <c r="CX39" s="345" t="n"/>
      <c r="CY39" s="345" t="n"/>
      <c r="CZ39" s="345" t="n"/>
      <c r="DA39" s="345" t="n"/>
      <c r="DB39" s="345" t="n"/>
      <c r="DC39" s="345" t="n"/>
      <c r="DD39" s="345" t="n"/>
      <c r="DE39" s="345" t="n"/>
      <c r="DF39" s="345" t="n"/>
      <c r="DG39" s="345" t="n"/>
      <c r="DH39" s="345" t="n"/>
      <c r="DI39" s="345" t="n"/>
      <c r="DJ39" s="345" t="n"/>
      <c r="DK39" s="345" t="n"/>
      <c r="DL39" s="345" t="n"/>
      <c r="DM39" s="345" t="n"/>
      <c r="DN39" s="345" t="n"/>
      <c r="DO39" s="345" t="n"/>
      <c r="DP39" s="345" t="n"/>
      <c r="DQ39" s="345" t="n"/>
      <c r="DR39" s="345" t="n"/>
      <c r="DS39" s="345" t="n"/>
      <c r="DT39" s="345" t="n"/>
      <c r="DU39" s="390" t="n"/>
      <c r="DV39" s="345" t="n"/>
      <c r="DW39" s="350" t="n"/>
      <c r="DX39" s="2" t="n"/>
    </row>
    <row r="40" ht="14.25" customHeight="1" s="634">
      <c r="A40" s="341" t="n"/>
      <c r="B40" s="696" t="n"/>
      <c r="C40" s="697" t="n"/>
      <c r="D40" s="697" t="n"/>
      <c r="E40" s="697" t="n"/>
      <c r="F40" s="698" t="n"/>
      <c r="G40" s="2" t="n"/>
      <c r="H40" s="2" t="n"/>
      <c r="I40" s="2" t="n"/>
      <c r="J40" s="2" t="n"/>
      <c r="K40" s="2" t="n"/>
      <c r="L40" s="2" t="n"/>
      <c r="M40" s="2" t="n"/>
      <c r="N40" s="2" t="n"/>
      <c r="O40" s="2" t="n"/>
      <c r="P40" s="10" t="n"/>
      <c r="Q40" s="17" t="n"/>
      <c r="R40" s="2" t="n"/>
      <c r="S40" s="2" t="n"/>
      <c r="T40" s="2" t="n"/>
      <c r="U40" s="2" t="n"/>
      <c r="V40" s="2" t="n"/>
      <c r="W40" s="2" t="n"/>
      <c r="X40" s="2" t="n"/>
      <c r="Y40" s="2" t="n"/>
      <c r="Z40" s="2" t="n"/>
      <c r="AA40" s="2" t="n"/>
      <c r="AB40" s="2" t="n"/>
      <c r="AC40" s="2" t="n"/>
      <c r="AD40" s="2" t="n"/>
      <c r="AE40" s="2" t="n"/>
      <c r="AF40" s="2" t="n"/>
      <c r="AG40" s="2" t="n"/>
      <c r="AH40" s="2" t="n"/>
      <c r="AI40" s="2" t="n"/>
      <c r="AJ40" s="2" t="n"/>
      <c r="AK40" s="2" t="n"/>
      <c r="AL40" s="2" t="n"/>
      <c r="AM40" s="2" t="n"/>
      <c r="AN40" s="2" t="n"/>
      <c r="AO40" s="2" t="n"/>
      <c r="AP40" s="2" t="n"/>
      <c r="AQ40" s="2" t="n"/>
      <c r="AR40" s="2" t="n"/>
      <c r="AS40" s="2" t="n"/>
      <c r="AT40" s="2" t="n"/>
      <c r="AU40" s="2" t="n"/>
      <c r="AV40" s="2" t="n"/>
      <c r="AW40" s="2" t="n"/>
      <c r="AX40" s="2" t="n"/>
      <c r="AY40" s="2" t="n"/>
      <c r="AZ40" s="2" t="n"/>
      <c r="BA40" s="2" t="n"/>
      <c r="BB40" s="2" t="n"/>
      <c r="BC40" s="2" t="n"/>
      <c r="BD40" s="2" t="n"/>
      <c r="BE40" s="2" t="n"/>
      <c r="BF40" s="2" t="n"/>
      <c r="BG40" s="2" t="n"/>
      <c r="BH40" s="2" t="n"/>
      <c r="BI40" s="2" t="n"/>
      <c r="BJ40" s="2" t="n"/>
      <c r="BK40" s="2" t="n"/>
      <c r="BL40" s="2" t="n"/>
      <c r="BM40" s="2" t="n"/>
      <c r="BN40" s="2" t="n"/>
      <c r="BO40" s="2" t="n"/>
      <c r="BP40" s="2" t="n"/>
      <c r="BQ40" s="2" t="n"/>
      <c r="BR40" s="2" t="n"/>
      <c r="BS40" s="2" t="n"/>
      <c r="BT40" s="2" t="n"/>
      <c r="BU40" s="2" t="n"/>
      <c r="BV40" s="2" t="n"/>
      <c r="BW40" s="2" t="n"/>
      <c r="BX40" s="2" t="n"/>
      <c r="BY40" s="2" t="n"/>
      <c r="BZ40" s="2" t="n"/>
      <c r="CA40" s="2" t="n"/>
      <c r="CB40" s="2" t="n"/>
      <c r="CC40" s="2" t="n"/>
      <c r="CD40" s="2" t="n"/>
      <c r="CE40" s="2" t="n"/>
      <c r="CF40" s="2" t="n"/>
      <c r="CG40" s="2" t="n"/>
      <c r="CH40" s="2" t="n"/>
      <c r="CI40" s="2" t="n"/>
      <c r="CJ40" s="2" t="n"/>
      <c r="CK40" s="2" t="n"/>
      <c r="CL40" s="2" t="n"/>
      <c r="CM40" s="2" t="n"/>
      <c r="CN40" s="2" t="n"/>
      <c r="CO40" s="2" t="n"/>
      <c r="CP40" s="2" t="n"/>
      <c r="CQ40" s="2" t="n"/>
      <c r="CR40" s="2" t="n"/>
      <c r="CS40" s="2" t="n"/>
      <c r="CT40" s="2" t="n"/>
      <c r="CU40" s="345" t="n"/>
      <c r="CV40" s="345" t="n"/>
      <c r="CW40" s="345" t="n"/>
      <c r="CX40" s="345" t="n"/>
      <c r="CY40" s="345" t="n"/>
      <c r="CZ40" s="345" t="n"/>
      <c r="DA40" s="345" t="n"/>
      <c r="DB40" s="345" t="n"/>
      <c r="DC40" s="345" t="n"/>
      <c r="DD40" s="345" t="n"/>
      <c r="DE40" s="345" t="n"/>
      <c r="DF40" s="345" t="n"/>
      <c r="DG40" s="345" t="n"/>
      <c r="DH40" s="345" t="n"/>
      <c r="DI40" s="345" t="n"/>
      <c r="DJ40" s="345" t="n"/>
      <c r="DK40" s="345" t="n"/>
      <c r="DL40" s="345" t="n"/>
      <c r="DM40" s="345" t="n"/>
      <c r="DN40" s="345" t="n"/>
      <c r="DO40" s="345" t="n"/>
      <c r="DP40" s="345" t="n"/>
      <c r="DQ40" s="345" t="n"/>
      <c r="DR40" s="345" t="n"/>
      <c r="DS40" s="345" t="n"/>
      <c r="DT40" s="345" t="n"/>
      <c r="DU40" s="390" t="n"/>
      <c r="DV40" s="345" t="n"/>
      <c r="DW40" s="350" t="n"/>
      <c r="DX40" s="2" t="n"/>
    </row>
    <row r="41" ht="18" customHeight="1" s="634">
      <c r="A41" s="341" t="n"/>
      <c r="B41" s="388" t="n"/>
      <c r="C41" s="758" t="n"/>
      <c r="D41" s="758" t="n"/>
      <c r="E41" s="758" t="n"/>
      <c r="F41" s="758" t="n"/>
      <c r="G41" s="342" t="n"/>
      <c r="H41" s="342" t="n"/>
      <c r="I41" s="342" t="n"/>
      <c r="J41" s="342" t="n"/>
      <c r="K41" s="342" t="n"/>
      <c r="L41" s="552" t="inlineStr">
        <is>
          <t>EY Works</t>
        </is>
      </c>
      <c r="M41" s="635" t="n"/>
      <c r="N41" s="636" t="n"/>
      <c r="O41" s="342" t="n"/>
      <c r="P41" s="10" t="n"/>
      <c r="Q41" s="17" t="n"/>
      <c r="R41" s="2" t="n"/>
      <c r="S41" s="2" t="n"/>
      <c r="T41" s="2" t="n"/>
      <c r="U41" s="2" t="n"/>
      <c r="V41" s="2" t="n"/>
      <c r="W41" s="2" t="n"/>
      <c r="X41" s="2" t="n"/>
      <c r="Y41" s="2" t="n"/>
      <c r="Z41" s="2" t="n"/>
      <c r="AA41" s="2" t="n"/>
      <c r="AB41" s="2" t="n"/>
      <c r="AC41" s="2" t="n"/>
      <c r="AD41" s="2" t="n"/>
      <c r="AE41" s="2" t="n"/>
      <c r="AF41" s="2" t="n"/>
      <c r="AG41" s="2" t="n"/>
      <c r="AH41" s="2" t="n"/>
      <c r="AI41" s="2" t="n"/>
      <c r="AJ41" s="2" t="n"/>
      <c r="AK41" s="2" t="n"/>
      <c r="AL41" s="2" t="n"/>
      <c r="AM41" s="2" t="n"/>
      <c r="AN41" s="2" t="n"/>
      <c r="AO41" s="2" t="n"/>
      <c r="AP41" s="2" t="n"/>
      <c r="AQ41" s="2" t="n"/>
      <c r="AR41" s="2" t="n"/>
      <c r="AS41" s="2" t="n"/>
      <c r="AT41" s="2" t="n"/>
      <c r="AU41" s="2" t="n"/>
      <c r="AV41" s="2" t="n"/>
      <c r="AW41" s="2" t="n"/>
      <c r="AX41" s="2" t="n"/>
      <c r="AY41" s="2" t="n"/>
      <c r="AZ41" s="2" t="n"/>
      <c r="BA41" s="2" t="n"/>
      <c r="BB41" s="2" t="n"/>
      <c r="BC41" s="2" t="n"/>
      <c r="BD41" s="2" t="n"/>
      <c r="BE41" s="2" t="n"/>
      <c r="BF41" s="2" t="n"/>
      <c r="BG41" s="2" t="n"/>
      <c r="BH41" s="2" t="n"/>
      <c r="BI41" s="2" t="n"/>
      <c r="BJ41" s="2" t="n"/>
      <c r="BK41" s="2" t="n"/>
      <c r="BL41" s="2" t="n"/>
      <c r="BM41" s="2" t="n"/>
      <c r="BN41" s="2" t="n"/>
      <c r="BO41" s="2" t="n"/>
      <c r="BP41" s="2" t="n"/>
      <c r="BQ41" s="2" t="n"/>
      <c r="BR41" s="2" t="n"/>
      <c r="BS41" s="2" t="n"/>
      <c r="BT41" s="2" t="n"/>
      <c r="BU41" s="2" t="n"/>
      <c r="BV41" s="2" t="n"/>
      <c r="BW41" s="2" t="n"/>
      <c r="BX41" s="2" t="n"/>
      <c r="BY41" s="2" t="n"/>
      <c r="BZ41" s="2" t="n"/>
      <c r="CA41" s="2" t="n"/>
      <c r="CB41" s="2" t="n"/>
      <c r="CC41" s="2" t="n"/>
      <c r="CD41" s="2" t="n"/>
      <c r="CE41" s="2" t="n"/>
      <c r="CF41" s="2" t="n"/>
      <c r="CG41" s="2" t="n"/>
      <c r="CH41" s="2" t="n"/>
      <c r="CI41" s="2" t="n"/>
      <c r="CJ41" s="2" t="n"/>
      <c r="CK41" s="2" t="n"/>
      <c r="CL41" s="2" t="n"/>
      <c r="CM41" s="2" t="n"/>
      <c r="CN41" s="2" t="n"/>
      <c r="CO41" s="2" t="n"/>
      <c r="CP41" s="2" t="n"/>
      <c r="CQ41" s="2" t="n"/>
      <c r="CR41" s="2" t="n"/>
      <c r="CS41" s="2" t="n"/>
      <c r="CT41" s="2" t="n"/>
      <c r="CU41" s="345" t="n"/>
      <c r="CV41" s="345" t="n"/>
      <c r="CW41" s="345" t="n"/>
      <c r="CX41" s="345" t="n"/>
      <c r="CY41" s="345" t="n"/>
      <c r="CZ41" s="345" t="n"/>
      <c r="DA41" s="345" t="n"/>
      <c r="DB41" s="345" t="n"/>
      <c r="DC41" s="345" t="n"/>
      <c r="DD41" s="345" t="n"/>
      <c r="DE41" s="345" t="n"/>
      <c r="DF41" s="345" t="n"/>
      <c r="DG41" s="345" t="n"/>
      <c r="DH41" s="345" t="n"/>
      <c r="DI41" s="345" t="n"/>
      <c r="DJ41" s="345" t="n"/>
      <c r="DK41" s="345" t="n"/>
      <c r="DL41" s="345" t="n"/>
      <c r="DM41" s="345" t="n"/>
      <c r="DN41" s="345" t="n"/>
      <c r="DO41" s="345" t="n"/>
      <c r="DP41" s="345" t="n"/>
      <c r="DQ41" s="345" t="n"/>
      <c r="DR41" s="345" t="n"/>
      <c r="DS41" s="345" t="n"/>
      <c r="DT41" s="345" t="n"/>
      <c r="DU41" s="390" t="n"/>
      <c r="DV41" s="345" t="n"/>
      <c r="DW41" s="350" t="n"/>
      <c r="DX41" s="2" t="n"/>
    </row>
    <row r="42" ht="30.75" customHeight="1" s="634">
      <c r="A42" s="341" t="n"/>
      <c r="B42" s="566" t="inlineStr">
        <is>
          <t>选择标准</t>
        </is>
      </c>
      <c r="C42" s="566" t="inlineStr">
        <is>
          <t>供应商名称</t>
        </is>
      </c>
      <c r="D42" s="567" t="inlineStr">
        <is>
          <t>应付账款入账凭证</t>
        </is>
      </c>
      <c r="E42" s="688" t="n"/>
      <c r="F42" s="688" t="n"/>
      <c r="G42" s="759" t="inlineStr">
        <is>
          <t>支持性证据信息
（确认控制权转移/接受服务的交易凭据，如提单、运输单据（GDN)、第三方交货证明等）</t>
        </is>
      </c>
      <c r="H42" s="648" t="n"/>
      <c r="I42" s="648" t="n"/>
      <c r="J42" s="648" t="n"/>
      <c r="K42" s="760" t="n"/>
      <c r="L42" s="761" t="n">
        <v>1</v>
      </c>
      <c r="M42" s="762" t="n">
        <v>2</v>
      </c>
      <c r="N42" s="762" t="n">
        <v>3</v>
      </c>
      <c r="O42" s="762" t="inlineStr">
        <is>
          <t>备注</t>
        </is>
      </c>
      <c r="P42" s="10" t="n"/>
      <c r="Q42" s="17" t="n"/>
      <c r="R42" s="2" t="n"/>
      <c r="S42" s="2" t="n"/>
      <c r="T42" s="2" t="n"/>
      <c r="U42" s="2" t="n"/>
      <c r="V42" s="2" t="n"/>
      <c r="W42" s="2" t="n"/>
      <c r="X42" s="2" t="n"/>
      <c r="Y42" s="2" t="n"/>
      <c r="Z42" s="2" t="n"/>
      <c r="AA42" s="2" t="n"/>
      <c r="AB42" s="2" t="n"/>
      <c r="AC42" s="2" t="n"/>
      <c r="AD42" s="2" t="n"/>
      <c r="AE42" s="2" t="n"/>
      <c r="AF42" s="2" t="n"/>
      <c r="AG42" s="2" t="n"/>
      <c r="AH42" s="2" t="n"/>
      <c r="AI42" s="2" t="n"/>
      <c r="AJ42" s="2" t="n"/>
      <c r="AK42" s="2" t="n"/>
      <c r="AL42" s="2" t="n"/>
      <c r="AM42" s="2" t="n"/>
      <c r="AN42" s="2" t="n"/>
      <c r="AO42" s="2" t="n"/>
      <c r="AP42" s="2" t="n"/>
      <c r="AQ42" s="2" t="n"/>
      <c r="AR42" s="2" t="n"/>
      <c r="AS42" s="2" t="n"/>
      <c r="AT42" s="2" t="n"/>
      <c r="AU42" s="2" t="n"/>
      <c r="AV42" s="2" t="n"/>
      <c r="AW42" s="2" t="n"/>
      <c r="AX42" s="2" t="n"/>
      <c r="AY42" s="2" t="n"/>
      <c r="AZ42" s="2" t="n"/>
      <c r="BA42" s="2" t="n"/>
      <c r="BB42" s="2" t="n"/>
      <c r="BC42" s="2" t="n"/>
      <c r="BD42" s="2" t="n"/>
      <c r="BE42" s="2" t="n"/>
      <c r="BF42" s="2" t="n"/>
      <c r="BG42" s="2" t="n"/>
      <c r="BH42" s="2" t="n"/>
      <c r="BI42" s="2" t="n"/>
      <c r="BJ42" s="2" t="n"/>
      <c r="BK42" s="2" t="n"/>
      <c r="BL42" s="2" t="n"/>
      <c r="BM42" s="2" t="n"/>
      <c r="BN42" s="2" t="n"/>
      <c r="BO42" s="2" t="n"/>
      <c r="BP42" s="2" t="n"/>
      <c r="BQ42" s="2" t="n"/>
      <c r="BR42" s="2" t="n"/>
      <c r="BS42" s="2" t="n"/>
      <c r="BT42" s="2" t="n"/>
      <c r="BU42" s="2" t="n"/>
      <c r="BV42" s="2" t="n"/>
      <c r="BW42" s="2" t="n"/>
      <c r="BX42" s="2" t="n"/>
      <c r="BY42" s="2" t="n"/>
      <c r="BZ42" s="2" t="n"/>
      <c r="CA42" s="2" t="n"/>
      <c r="CB42" s="2" t="n"/>
      <c r="CC42" s="2" t="n"/>
      <c r="CD42" s="2" t="n"/>
      <c r="CE42" s="2" t="n"/>
      <c r="CF42" s="2" t="n"/>
      <c r="CG42" s="2" t="n"/>
      <c r="CH42" s="2" t="n"/>
      <c r="CI42" s="2" t="n"/>
      <c r="CJ42" s="2" t="n"/>
      <c r="CK42" s="2" t="n"/>
      <c r="CL42" s="2" t="n"/>
      <c r="CM42" s="2" t="n"/>
      <c r="CN42" s="2" t="n"/>
      <c r="CO42" s="2" t="n"/>
      <c r="CP42" s="2" t="n"/>
      <c r="CQ42" s="2" t="n"/>
      <c r="CR42" s="2" t="n"/>
      <c r="CS42" s="2" t="n"/>
      <c r="CT42" s="2" t="n"/>
      <c r="CU42" s="2" t="n"/>
      <c r="CV42" s="345" t="n"/>
      <c r="CW42" s="345" t="n"/>
      <c r="CX42" s="345" t="n"/>
      <c r="CY42" s="345" t="n"/>
      <c r="CZ42" s="345" t="n"/>
      <c r="DA42" s="345" t="n"/>
      <c r="DB42" s="345" t="n"/>
      <c r="DC42" s="345" t="n"/>
      <c r="DD42" s="345" t="n"/>
      <c r="DE42" s="345" t="n"/>
      <c r="DF42" s="345" t="n"/>
      <c r="DG42" s="345" t="n"/>
      <c r="DH42" s="345" t="n"/>
      <c r="DI42" s="345" t="n"/>
      <c r="DJ42" s="345" t="n"/>
      <c r="DK42" s="345" t="n"/>
      <c r="DL42" s="345" t="n"/>
      <c r="DM42" s="345" t="n"/>
      <c r="DN42" s="345" t="n"/>
      <c r="DO42" s="345" t="n"/>
      <c r="DP42" s="345" t="n"/>
      <c r="DQ42" s="345" t="n"/>
      <c r="DR42" s="345" t="n"/>
      <c r="DS42" s="345" t="n"/>
      <c r="DT42" s="345" t="n"/>
      <c r="DU42" s="345" t="n"/>
      <c r="DV42" s="390" t="n"/>
      <c r="DW42" s="345" t="n"/>
      <c r="DX42" s="350" t="n"/>
    </row>
    <row r="43" ht="19.5" customHeight="1" s="634">
      <c r="A43" s="341" t="n"/>
      <c r="B43" s="722" t="n"/>
      <c r="C43" s="722" t="n"/>
      <c r="D43" s="566" t="inlineStr">
        <is>
          <t>凭证编号</t>
        </is>
      </c>
      <c r="E43" s="372" t="inlineStr">
        <is>
          <t>日期</t>
        </is>
      </c>
      <c r="F43" s="566" t="inlineStr">
        <is>
          <t>金额</t>
        </is>
      </c>
      <c r="G43" s="391" t="inlineStr">
        <is>
          <t>交易性质</t>
        </is>
      </c>
      <c r="H43" s="392" t="inlineStr">
        <is>
          <t>交易凭据名称</t>
        </is>
      </c>
      <c r="I43" s="392" t="inlineStr">
        <is>
          <t>交易凭据编号</t>
        </is>
      </c>
      <c r="J43" s="392" t="inlineStr">
        <is>
          <t>交易凭据日期</t>
        </is>
      </c>
      <c r="K43" s="392" t="inlineStr">
        <is>
          <t>交易凭据金额</t>
        </is>
      </c>
      <c r="L43" s="698" t="n"/>
      <c r="M43" s="637" t="n"/>
      <c r="N43" s="637" t="n"/>
      <c r="O43" s="637" t="n"/>
      <c r="P43" s="10" t="n"/>
      <c r="Q43" s="17" t="n"/>
      <c r="R43" s="2" t="n"/>
      <c r="S43" s="2" t="n"/>
      <c r="T43" s="2" t="n"/>
      <c r="U43" s="2" t="n"/>
      <c r="V43" s="2" t="n"/>
      <c r="W43" s="2" t="n"/>
      <c r="X43" s="2" t="n"/>
      <c r="Y43" s="2" t="n"/>
      <c r="Z43" s="2" t="n"/>
      <c r="AA43" s="2" t="n"/>
      <c r="AB43" s="2" t="n"/>
      <c r="AC43" s="2" t="n"/>
      <c r="AD43" s="2" t="n"/>
      <c r="AE43" s="2" t="n"/>
      <c r="AF43" s="2" t="n"/>
      <c r="AG43" s="2" t="n"/>
      <c r="AH43" s="2" t="n"/>
      <c r="AI43" s="2" t="n"/>
      <c r="AJ43" s="2" t="n"/>
      <c r="AK43" s="2" t="n"/>
      <c r="AL43" s="2" t="n"/>
      <c r="AM43" s="2" t="n"/>
      <c r="AN43" s="2" t="n"/>
      <c r="AO43" s="2" t="n"/>
      <c r="AP43" s="2" t="n"/>
      <c r="AQ43" s="2" t="n"/>
      <c r="AR43" s="2" t="n"/>
      <c r="AS43" s="2" t="n"/>
      <c r="AT43" s="2" t="n"/>
      <c r="AU43" s="2" t="n"/>
      <c r="AV43" s="2" t="n"/>
      <c r="AW43" s="2" t="n"/>
      <c r="AX43" s="2" t="n"/>
      <c r="AY43" s="2" t="n"/>
      <c r="AZ43" s="2" t="n"/>
      <c r="BA43" s="2" t="n"/>
      <c r="BB43" s="2" t="n"/>
      <c r="BC43" s="2" t="n"/>
      <c r="BD43" s="2" t="n"/>
      <c r="BE43" s="2" t="n"/>
      <c r="BF43" s="2" t="n"/>
      <c r="BG43" s="2" t="n"/>
      <c r="BH43" s="2" t="n"/>
      <c r="BI43" s="2" t="n"/>
      <c r="BJ43" s="2" t="n"/>
      <c r="BK43" s="2" t="n"/>
      <c r="BL43" s="2" t="n"/>
      <c r="BM43" s="2" t="n"/>
      <c r="BN43" s="2" t="n"/>
      <c r="BO43" s="2" t="n"/>
      <c r="BP43" s="2" t="n"/>
      <c r="BQ43" s="2" t="n"/>
      <c r="BR43" s="2" t="n"/>
      <c r="BS43" s="2" t="n"/>
      <c r="BT43" s="2" t="n"/>
      <c r="BU43" s="2" t="n"/>
      <c r="BV43" s="2" t="n"/>
      <c r="BW43" s="2" t="n"/>
      <c r="BX43" s="2" t="n"/>
      <c r="BY43" s="2" t="n"/>
      <c r="BZ43" s="2" t="n"/>
      <c r="CA43" s="2" t="n"/>
      <c r="CB43" s="2" t="n"/>
      <c r="CC43" s="2" t="n"/>
      <c r="CD43" s="2" t="n"/>
      <c r="CE43" s="2" t="n"/>
      <c r="CF43" s="2" t="n"/>
      <c r="CG43" s="2" t="n"/>
      <c r="CH43" s="2" t="n"/>
      <c r="CI43" s="2" t="n"/>
      <c r="CJ43" s="2" t="n"/>
      <c r="CK43" s="2" t="n"/>
      <c r="CL43" s="2" t="n"/>
      <c r="CM43" s="2" t="n"/>
      <c r="CN43" s="2" t="n"/>
      <c r="CO43" s="2" t="n"/>
      <c r="CP43" s="2" t="n"/>
      <c r="CQ43" s="2" t="n"/>
      <c r="CR43" s="2" t="n"/>
      <c r="CS43" s="2" t="n"/>
      <c r="CT43" s="2" t="n"/>
      <c r="CU43" s="2" t="n"/>
      <c r="CV43" s="345" t="n"/>
      <c r="CW43" s="345" t="n"/>
      <c r="CX43" s="345" t="n"/>
      <c r="CY43" s="345" t="n"/>
      <c r="CZ43" s="345" t="n"/>
      <c r="DA43" s="345" t="n"/>
      <c r="DB43" s="345" t="n"/>
      <c r="DC43" s="345" t="n"/>
      <c r="DD43" s="345" t="n"/>
      <c r="DE43" s="345" t="n"/>
      <c r="DF43" s="345" t="n"/>
      <c r="DG43" s="345" t="n"/>
      <c r="DH43" s="345" t="n"/>
      <c r="DI43" s="345" t="n"/>
      <c r="DJ43" s="345" t="n"/>
      <c r="DK43" s="345" t="n"/>
      <c r="DL43" s="345" t="n"/>
      <c r="DM43" s="345" t="n"/>
      <c r="DN43" s="345" t="n"/>
      <c r="DO43" s="345" t="n"/>
      <c r="DP43" s="345" t="n"/>
      <c r="DQ43" s="345" t="n"/>
      <c r="DR43" s="345" t="n"/>
      <c r="DS43" s="345" t="n"/>
      <c r="DT43" s="345" t="n"/>
      <c r="DU43" s="345" t="n"/>
      <c r="DV43" s="390" t="n"/>
      <c r="DW43" s="345" t="n"/>
      <c r="DX43" s="345" t="n"/>
    </row>
    <row r="44" ht="15" customHeight="1" s="634">
      <c r="A44" s="341" t="n"/>
      <c r="B44" s="393" t="n"/>
      <c r="C44" s="374" t="n"/>
      <c r="D44" s="393" t="n"/>
      <c r="E44" s="394" t="n"/>
      <c r="F44" s="763" t="n"/>
      <c r="G44" s="393" t="n"/>
      <c r="H44" s="393" t="n"/>
      <c r="I44" s="393" t="n"/>
      <c r="J44" s="394" t="n"/>
      <c r="K44" s="763" t="n"/>
      <c r="L44" s="396" t="n"/>
      <c r="M44" s="396" t="n"/>
      <c r="N44" s="396" t="n"/>
      <c r="O44" s="396" t="n"/>
      <c r="P44" s="10" t="n"/>
      <c r="Q44" s="17" t="n"/>
      <c r="R44" s="2" t="n"/>
      <c r="S44" s="2" t="n"/>
      <c r="T44" s="2" t="n"/>
      <c r="U44" s="2" t="n"/>
      <c r="V44" s="2" t="n"/>
      <c r="W44" s="2" t="n"/>
      <c r="X44" s="2" t="n"/>
      <c r="Y44" s="2" t="n"/>
      <c r="Z44" s="2" t="n"/>
      <c r="AA44" s="2" t="n"/>
      <c r="AB44" s="2" t="n"/>
      <c r="AC44" s="2" t="n"/>
      <c r="AD44" s="2" t="n"/>
      <c r="AE44" s="2" t="n"/>
      <c r="AF44" s="2" t="n"/>
      <c r="AG44" s="2" t="n"/>
      <c r="AH44" s="2" t="n"/>
      <c r="AI44" s="2" t="n"/>
      <c r="AJ44" s="2" t="n"/>
      <c r="AK44" s="2" t="n"/>
      <c r="AL44" s="2" t="n"/>
      <c r="AM44" s="2" t="n"/>
      <c r="AN44" s="2" t="n"/>
      <c r="AO44" s="2" t="n"/>
      <c r="AP44" s="2" t="n"/>
      <c r="AQ44" s="2" t="n"/>
      <c r="AR44" s="2" t="n"/>
      <c r="AS44" s="2" t="n"/>
      <c r="AT44" s="2" t="n"/>
      <c r="AU44" s="2" t="n"/>
      <c r="AV44" s="2" t="n"/>
      <c r="AW44" s="2" t="n"/>
      <c r="AX44" s="2" t="n"/>
      <c r="AY44" s="2" t="n"/>
      <c r="AZ44" s="2" t="n"/>
      <c r="BA44" s="2" t="n"/>
      <c r="BB44" s="2" t="n"/>
      <c r="BC44" s="2" t="n"/>
      <c r="BD44" s="2" t="n"/>
      <c r="BE44" s="2" t="n"/>
      <c r="BF44" s="2" t="n"/>
      <c r="BG44" s="2" t="n"/>
      <c r="BH44" s="2" t="n"/>
      <c r="BI44" s="2" t="n"/>
      <c r="BJ44" s="2" t="n"/>
      <c r="BK44" s="2" t="n"/>
      <c r="BL44" s="2" t="n"/>
      <c r="BM44" s="2" t="n"/>
      <c r="BN44" s="2" t="n"/>
      <c r="BO44" s="2" t="n"/>
      <c r="BP44" s="2" t="n"/>
      <c r="BQ44" s="2" t="n"/>
      <c r="BR44" s="2" t="n"/>
      <c r="BS44" s="2" t="n"/>
      <c r="BT44" s="2" t="n"/>
      <c r="BU44" s="2" t="n"/>
      <c r="BV44" s="2" t="n"/>
      <c r="BW44" s="2" t="n"/>
      <c r="BX44" s="2" t="n"/>
      <c r="BY44" s="2" t="n"/>
      <c r="BZ44" s="2" t="n"/>
      <c r="CA44" s="2" t="n"/>
      <c r="CB44" s="2" t="n"/>
      <c r="CC44" s="2" t="n"/>
      <c r="CD44" s="2" t="n"/>
      <c r="CE44" s="2" t="n"/>
      <c r="CF44" s="2" t="n"/>
      <c r="CG44" s="2" t="n"/>
      <c r="CH44" s="2" t="n"/>
      <c r="CI44" s="2" t="n"/>
      <c r="CJ44" s="2" t="n"/>
      <c r="CK44" s="2" t="n"/>
      <c r="CL44" s="2" t="n"/>
      <c r="CM44" s="2" t="n"/>
      <c r="CN44" s="2" t="n"/>
      <c r="CO44" s="2" t="n"/>
      <c r="CP44" s="2" t="n"/>
      <c r="CQ44" s="2" t="n"/>
      <c r="CR44" s="2" t="n"/>
      <c r="CS44" s="2" t="n"/>
      <c r="CT44" s="2" t="n"/>
      <c r="CU44" s="2" t="n"/>
      <c r="CV44" s="345" t="n"/>
      <c r="CW44" s="345" t="n"/>
      <c r="CX44" s="345" t="n"/>
      <c r="CY44" s="345" t="n"/>
      <c r="CZ44" s="345" t="n"/>
      <c r="DA44" s="345" t="n"/>
      <c r="DB44" s="345" t="n"/>
      <c r="DC44" s="345" t="n"/>
      <c r="DD44" s="345" t="n"/>
      <c r="DE44" s="345" t="n"/>
      <c r="DF44" s="345" t="n"/>
      <c r="DG44" s="345" t="n"/>
      <c r="DH44" s="345" t="n"/>
      <c r="DI44" s="345" t="n"/>
      <c r="DJ44" s="345" t="n"/>
      <c r="DK44" s="345" t="n"/>
      <c r="DL44" s="345" t="n"/>
      <c r="DM44" s="345" t="n"/>
      <c r="DN44" s="345" t="n"/>
      <c r="DO44" s="345" t="n"/>
      <c r="DP44" s="345" t="n"/>
      <c r="DQ44" s="345" t="n"/>
      <c r="DR44" s="345" t="n"/>
      <c r="DS44" s="345" t="n"/>
      <c r="DT44" s="345" t="n"/>
      <c r="DU44" s="345" t="n"/>
      <c r="DV44" s="390" t="n"/>
      <c r="DW44" s="345" t="n"/>
      <c r="DX44" s="350" t="n"/>
    </row>
    <row r="45" ht="15" customHeight="1" s="634">
      <c r="A45" s="341" t="n"/>
      <c r="B45" s="393" t="n"/>
      <c r="C45" s="374" t="n"/>
      <c r="D45" s="393" t="n"/>
      <c r="E45" s="394" t="n"/>
      <c r="F45" s="763" t="n"/>
      <c r="G45" s="393" t="n"/>
      <c r="H45" s="393" t="n"/>
      <c r="I45" s="393" t="n"/>
      <c r="J45" s="394" t="n"/>
      <c r="K45" s="763" t="n"/>
      <c r="L45" s="396" t="n"/>
      <c r="M45" s="396" t="n"/>
      <c r="N45" s="396" t="n"/>
      <c r="O45" s="396" t="n"/>
      <c r="P45" s="10" t="n"/>
      <c r="Q45" s="17" t="n"/>
      <c r="R45" s="2" t="n"/>
      <c r="S45" s="2" t="n"/>
      <c r="T45" s="2" t="n"/>
      <c r="U45" s="2" t="n"/>
      <c r="V45" s="2" t="n"/>
      <c r="W45" s="2" t="n"/>
      <c r="X45" s="2" t="n"/>
      <c r="Y45" s="2" t="n"/>
      <c r="Z45" s="2" t="n"/>
      <c r="AA45" s="2" t="n"/>
      <c r="AB45" s="2" t="n"/>
      <c r="AC45" s="2" t="n"/>
      <c r="AD45" s="2" t="n"/>
      <c r="AE45" s="2" t="n"/>
      <c r="AF45" s="2" t="n"/>
      <c r="AG45" s="2" t="n"/>
      <c r="AH45" s="2" t="n"/>
      <c r="AI45" s="2" t="n"/>
      <c r="AJ45" s="2" t="n"/>
      <c r="AK45" s="2" t="n"/>
      <c r="AL45" s="2" t="n"/>
      <c r="AM45" s="2" t="n"/>
      <c r="AN45" s="2" t="n"/>
      <c r="AO45" s="2" t="n"/>
      <c r="AP45" s="2" t="n"/>
      <c r="AQ45" s="2" t="n"/>
      <c r="AR45" s="2" t="n"/>
      <c r="AS45" s="2" t="n"/>
      <c r="AT45" s="2" t="n"/>
      <c r="AU45" s="2" t="n"/>
      <c r="AV45" s="2" t="n"/>
      <c r="AW45" s="2" t="n"/>
      <c r="AX45" s="2" t="n"/>
      <c r="AY45" s="2" t="n"/>
      <c r="AZ45" s="2" t="n"/>
      <c r="BA45" s="2" t="n"/>
      <c r="BB45" s="2" t="n"/>
      <c r="BC45" s="2" t="n"/>
      <c r="BD45" s="2" t="n"/>
      <c r="BE45" s="2" t="n"/>
      <c r="BF45" s="2" t="n"/>
      <c r="BG45" s="2" t="n"/>
      <c r="BH45" s="2" t="n"/>
      <c r="BI45" s="2" t="n"/>
      <c r="BJ45" s="2" t="n"/>
      <c r="BK45" s="2" t="n"/>
      <c r="BL45" s="2" t="n"/>
      <c r="BM45" s="2" t="n"/>
      <c r="BN45" s="2" t="n"/>
      <c r="BO45" s="2" t="n"/>
      <c r="BP45" s="2" t="n"/>
      <c r="BQ45" s="2" t="n"/>
      <c r="BR45" s="2" t="n"/>
      <c r="BS45" s="2" t="n"/>
      <c r="BT45" s="2" t="n"/>
      <c r="BU45" s="2" t="n"/>
      <c r="BV45" s="2" t="n"/>
      <c r="BW45" s="2" t="n"/>
      <c r="BX45" s="2" t="n"/>
      <c r="BY45" s="2" t="n"/>
      <c r="BZ45" s="2" t="n"/>
      <c r="CA45" s="2" t="n"/>
      <c r="CB45" s="2" t="n"/>
      <c r="CC45" s="2" t="n"/>
      <c r="CD45" s="2" t="n"/>
      <c r="CE45" s="2" t="n"/>
      <c r="CF45" s="2" t="n"/>
      <c r="CG45" s="2" t="n"/>
      <c r="CH45" s="2" t="n"/>
      <c r="CI45" s="2" t="n"/>
      <c r="CJ45" s="2" t="n"/>
      <c r="CK45" s="2" t="n"/>
      <c r="CL45" s="2" t="n"/>
      <c r="CM45" s="2" t="n"/>
      <c r="CN45" s="2" t="n"/>
      <c r="CO45" s="2" t="n"/>
      <c r="CP45" s="2" t="n"/>
      <c r="CQ45" s="2" t="n"/>
      <c r="CR45" s="2" t="n"/>
      <c r="CS45" s="2" t="n"/>
      <c r="CT45" s="2" t="n"/>
      <c r="CU45" s="2" t="n"/>
      <c r="CV45" s="345" t="n"/>
      <c r="CW45" s="345" t="n"/>
      <c r="CX45" s="345" t="n"/>
      <c r="CY45" s="345" t="n"/>
      <c r="CZ45" s="345" t="n"/>
      <c r="DA45" s="345" t="n"/>
      <c r="DB45" s="345" t="n"/>
      <c r="DC45" s="345" t="n"/>
      <c r="DD45" s="345" t="n"/>
      <c r="DE45" s="345" t="n"/>
      <c r="DF45" s="345" t="n"/>
      <c r="DG45" s="345" t="n"/>
      <c r="DH45" s="345" t="n"/>
      <c r="DI45" s="345" t="n"/>
      <c r="DJ45" s="345" t="n"/>
      <c r="DK45" s="345" t="n"/>
      <c r="DL45" s="345" t="n"/>
      <c r="DM45" s="345" t="n"/>
      <c r="DN45" s="345" t="n"/>
      <c r="DO45" s="345" t="n"/>
      <c r="DP45" s="345" t="n"/>
      <c r="DQ45" s="345" t="n"/>
      <c r="DR45" s="345" t="n"/>
      <c r="DS45" s="345" t="n"/>
      <c r="DT45" s="345" t="n"/>
      <c r="DU45" s="345" t="n"/>
      <c r="DV45" s="390" t="n"/>
      <c r="DW45" s="345" t="n"/>
      <c r="DX45" s="350" t="n"/>
    </row>
    <row r="46" ht="15" customHeight="1" s="634">
      <c r="A46" s="341" t="n"/>
      <c r="B46" s="393" t="n"/>
      <c r="C46" s="374" t="n"/>
      <c r="D46" s="393" t="n"/>
      <c r="E46" s="394" t="n"/>
      <c r="F46" s="763" t="n"/>
      <c r="G46" s="393" t="n"/>
      <c r="H46" s="393" t="n"/>
      <c r="I46" s="393" t="n"/>
      <c r="J46" s="394" t="n"/>
      <c r="K46" s="763" t="n"/>
      <c r="L46" s="396" t="n"/>
      <c r="M46" s="396" t="n"/>
      <c r="N46" s="396" t="n"/>
      <c r="O46" s="396" t="n"/>
      <c r="P46" s="10" t="n"/>
      <c r="Q46" s="17" t="n"/>
      <c r="R46" s="2" t="n"/>
      <c r="S46" s="2" t="n"/>
      <c r="T46" s="2" t="n"/>
      <c r="U46" s="2" t="n"/>
      <c r="V46" s="2" t="n"/>
      <c r="W46" s="2" t="n"/>
      <c r="X46" s="2" t="n"/>
      <c r="Y46" s="2" t="n"/>
      <c r="Z46" s="2" t="n"/>
      <c r="AA46" s="2" t="n"/>
      <c r="AB46" s="2" t="n"/>
      <c r="AC46" s="2" t="n"/>
      <c r="AD46" s="2" t="n"/>
      <c r="AE46" s="2" t="n"/>
      <c r="AF46" s="2" t="n"/>
      <c r="AG46" s="2" t="n"/>
      <c r="AH46" s="2" t="n"/>
      <c r="AI46" s="2" t="n"/>
      <c r="AJ46" s="2" t="n"/>
      <c r="AK46" s="2" t="n"/>
      <c r="AL46" s="2" t="n"/>
      <c r="AM46" s="2" t="n"/>
      <c r="AN46" s="2" t="n"/>
      <c r="AO46" s="2" t="n"/>
      <c r="AP46" s="2" t="n"/>
      <c r="AQ46" s="2" t="n"/>
      <c r="AR46" s="2" t="n"/>
      <c r="AS46" s="2" t="n"/>
      <c r="AT46" s="2" t="n"/>
      <c r="AU46" s="2" t="n"/>
      <c r="AV46" s="2" t="n"/>
      <c r="AW46" s="2" t="n"/>
      <c r="AX46" s="2" t="n"/>
      <c r="AY46" s="2" t="n"/>
      <c r="AZ46" s="2" t="n"/>
      <c r="BA46" s="2" t="n"/>
      <c r="BB46" s="2" t="n"/>
      <c r="BC46" s="2" t="n"/>
      <c r="BD46" s="2" t="n"/>
      <c r="BE46" s="2" t="n"/>
      <c r="BF46" s="2" t="n"/>
      <c r="BG46" s="2" t="n"/>
      <c r="BH46" s="2" t="n"/>
      <c r="BI46" s="2" t="n"/>
      <c r="BJ46" s="2" t="n"/>
      <c r="BK46" s="2" t="n"/>
      <c r="BL46" s="2" t="n"/>
      <c r="BM46" s="2" t="n"/>
      <c r="BN46" s="2" t="n"/>
      <c r="BO46" s="2" t="n"/>
      <c r="BP46" s="2" t="n"/>
      <c r="BQ46" s="2" t="n"/>
      <c r="BR46" s="2" t="n"/>
      <c r="BS46" s="2" t="n"/>
      <c r="BT46" s="2" t="n"/>
      <c r="BU46" s="2" t="n"/>
      <c r="BV46" s="2" t="n"/>
      <c r="BW46" s="2" t="n"/>
      <c r="BX46" s="2" t="n"/>
      <c r="BY46" s="2" t="n"/>
      <c r="BZ46" s="2" t="n"/>
      <c r="CA46" s="2" t="n"/>
      <c r="CB46" s="2" t="n"/>
      <c r="CC46" s="2" t="n"/>
      <c r="CD46" s="2" t="n"/>
      <c r="CE46" s="2" t="n"/>
      <c r="CF46" s="2" t="n"/>
      <c r="CG46" s="2" t="n"/>
      <c r="CH46" s="2" t="n"/>
      <c r="CI46" s="2" t="n"/>
      <c r="CJ46" s="2" t="n"/>
      <c r="CK46" s="2" t="n"/>
      <c r="CL46" s="2" t="n"/>
      <c r="CM46" s="2" t="n"/>
      <c r="CN46" s="2" t="n"/>
      <c r="CO46" s="2" t="n"/>
      <c r="CP46" s="2" t="n"/>
      <c r="CQ46" s="2" t="n"/>
      <c r="CR46" s="2" t="n"/>
      <c r="CS46" s="2" t="n"/>
      <c r="CT46" s="2" t="n"/>
      <c r="CU46" s="2" t="n"/>
      <c r="CV46" s="345" t="n"/>
      <c r="CW46" s="345" t="n"/>
      <c r="CX46" s="345" t="n"/>
      <c r="CY46" s="345" t="n"/>
      <c r="CZ46" s="345" t="n"/>
      <c r="DA46" s="345" t="n"/>
      <c r="DB46" s="345" t="n"/>
      <c r="DC46" s="345" t="n"/>
      <c r="DD46" s="345" t="n"/>
      <c r="DE46" s="345" t="n"/>
      <c r="DF46" s="345" t="n"/>
      <c r="DG46" s="345" t="n"/>
      <c r="DH46" s="345" t="n"/>
      <c r="DI46" s="345" t="n"/>
      <c r="DJ46" s="345" t="n"/>
      <c r="DK46" s="345" t="n"/>
      <c r="DL46" s="345" t="n"/>
      <c r="DM46" s="345" t="n"/>
      <c r="DN46" s="345" t="n"/>
      <c r="DO46" s="345" t="n"/>
      <c r="DP46" s="345" t="n"/>
      <c r="DQ46" s="345" t="n"/>
      <c r="DR46" s="345" t="n"/>
      <c r="DS46" s="345" t="n"/>
      <c r="DT46" s="345" t="n"/>
      <c r="DU46" s="345" t="n"/>
      <c r="DV46" s="390" t="n"/>
      <c r="DW46" s="345" t="n"/>
      <c r="DX46" s="350" t="n"/>
    </row>
    <row r="47" ht="15" customHeight="1" s="634">
      <c r="A47" s="341" t="n"/>
      <c r="B47" s="393" t="n"/>
      <c r="C47" s="374" t="n"/>
      <c r="D47" s="393" t="n"/>
      <c r="E47" s="394" t="n"/>
      <c r="F47" s="763" t="n"/>
      <c r="G47" s="393" t="n"/>
      <c r="H47" s="393" t="n"/>
      <c r="I47" s="393" t="n"/>
      <c r="J47" s="394" t="n"/>
      <c r="K47" s="763" t="n"/>
      <c r="L47" s="396" t="n"/>
      <c r="M47" s="396" t="n"/>
      <c r="N47" s="396" t="n"/>
      <c r="O47" s="396" t="n"/>
      <c r="P47" s="10" t="n"/>
      <c r="Q47" s="17" t="n"/>
      <c r="R47" s="2" t="n"/>
      <c r="S47" s="2" t="n"/>
      <c r="T47" s="2" t="n"/>
      <c r="U47" s="2" t="n"/>
      <c r="V47" s="2" t="n"/>
      <c r="W47" s="2" t="n"/>
      <c r="X47" s="2" t="n"/>
      <c r="Y47" s="2" t="n"/>
      <c r="Z47" s="2" t="n"/>
      <c r="AA47" s="2" t="n"/>
      <c r="AB47" s="2" t="n"/>
      <c r="AC47" s="2" t="n"/>
      <c r="AD47" s="2" t="n"/>
      <c r="AE47" s="2" t="n"/>
      <c r="AF47" s="2" t="n"/>
      <c r="AG47" s="2" t="n"/>
      <c r="AH47" s="2" t="n"/>
      <c r="AI47" s="2" t="n"/>
      <c r="AJ47" s="2" t="n"/>
      <c r="AK47" s="2" t="n"/>
      <c r="AL47" s="2" t="n"/>
      <c r="AM47" s="2" t="n"/>
      <c r="AN47" s="2" t="n"/>
      <c r="AO47" s="2" t="n"/>
      <c r="AP47" s="2" t="n"/>
      <c r="AQ47" s="2" t="n"/>
      <c r="AR47" s="2" t="n"/>
      <c r="AS47" s="2" t="n"/>
      <c r="AT47" s="2" t="n"/>
      <c r="AU47" s="2" t="n"/>
      <c r="AV47" s="2" t="n"/>
      <c r="AW47" s="2" t="n"/>
      <c r="AX47" s="2" t="n"/>
      <c r="AY47" s="2" t="n"/>
      <c r="AZ47" s="2" t="n"/>
      <c r="BA47" s="2" t="n"/>
      <c r="BB47" s="2" t="n"/>
      <c r="BC47" s="2" t="n"/>
      <c r="BD47" s="2" t="n"/>
      <c r="BE47" s="2" t="n"/>
      <c r="BF47" s="2" t="n"/>
      <c r="BG47" s="2" t="n"/>
      <c r="BH47" s="2" t="n"/>
      <c r="BI47" s="2" t="n"/>
      <c r="BJ47" s="2" t="n"/>
      <c r="BK47" s="2" t="n"/>
      <c r="BL47" s="2" t="n"/>
      <c r="BM47" s="2" t="n"/>
      <c r="BN47" s="2" t="n"/>
      <c r="BO47" s="2" t="n"/>
      <c r="BP47" s="2" t="n"/>
      <c r="BQ47" s="2" t="n"/>
      <c r="BR47" s="2" t="n"/>
      <c r="BS47" s="2" t="n"/>
      <c r="BT47" s="2" t="n"/>
      <c r="BU47" s="2" t="n"/>
      <c r="BV47" s="2" t="n"/>
      <c r="BW47" s="2" t="n"/>
      <c r="BX47" s="2" t="n"/>
      <c r="BY47" s="2" t="n"/>
      <c r="BZ47" s="2" t="n"/>
      <c r="CA47" s="2" t="n"/>
      <c r="CB47" s="2" t="n"/>
      <c r="CC47" s="2" t="n"/>
      <c r="CD47" s="2" t="n"/>
      <c r="CE47" s="2" t="n"/>
      <c r="CF47" s="2" t="n"/>
      <c r="CG47" s="2" t="n"/>
      <c r="CH47" s="2" t="n"/>
      <c r="CI47" s="2" t="n"/>
      <c r="CJ47" s="2" t="n"/>
      <c r="CK47" s="2" t="n"/>
      <c r="CL47" s="2" t="n"/>
      <c r="CM47" s="2" t="n"/>
      <c r="CN47" s="2" t="n"/>
      <c r="CO47" s="2" t="n"/>
      <c r="CP47" s="2" t="n"/>
      <c r="CQ47" s="2" t="n"/>
      <c r="CR47" s="2" t="n"/>
      <c r="CS47" s="2" t="n"/>
      <c r="CT47" s="2" t="n"/>
      <c r="CU47" s="2" t="n"/>
      <c r="CV47" s="345" t="n"/>
      <c r="CW47" s="345" t="n"/>
      <c r="CX47" s="345" t="n"/>
      <c r="CY47" s="345" t="n"/>
      <c r="CZ47" s="345" t="n"/>
      <c r="DA47" s="345" t="n"/>
      <c r="DB47" s="345" t="n"/>
      <c r="DC47" s="345" t="n"/>
      <c r="DD47" s="345" t="n"/>
      <c r="DE47" s="345" t="n"/>
      <c r="DF47" s="345" t="n"/>
      <c r="DG47" s="345" t="n"/>
      <c r="DH47" s="345" t="n"/>
      <c r="DI47" s="345" t="n"/>
      <c r="DJ47" s="345" t="n"/>
      <c r="DK47" s="345" t="n"/>
      <c r="DL47" s="345" t="n"/>
      <c r="DM47" s="345" t="n"/>
      <c r="DN47" s="345" t="n"/>
      <c r="DO47" s="345" t="n"/>
      <c r="DP47" s="345" t="n"/>
      <c r="DQ47" s="345" t="n"/>
      <c r="DR47" s="345" t="n"/>
      <c r="DS47" s="345" t="n"/>
      <c r="DT47" s="345" t="n"/>
      <c r="DU47" s="345" t="n"/>
      <c r="DV47" s="390" t="n"/>
      <c r="DW47" s="345" t="n"/>
      <c r="DX47" s="350" t="n"/>
    </row>
    <row r="48" ht="15" customHeight="1" s="634">
      <c r="A48" s="341" t="n"/>
      <c r="B48" s="397" t="n"/>
      <c r="C48" s="381" t="n"/>
      <c r="D48" s="397" t="n"/>
      <c r="E48" s="398" t="n"/>
      <c r="F48" s="764" t="n"/>
      <c r="G48" s="397" t="n"/>
      <c r="H48" s="397" t="n"/>
      <c r="I48" s="397" t="n"/>
      <c r="J48" s="398" t="n"/>
      <c r="K48" s="765" t="n"/>
      <c r="L48" s="396" t="n"/>
      <c r="M48" s="396" t="n"/>
      <c r="N48" s="396" t="n"/>
      <c r="O48" s="396" t="n"/>
      <c r="P48" s="10" t="n"/>
      <c r="Q48" s="17" t="n"/>
      <c r="R48" s="2" t="n"/>
      <c r="S48" s="2" t="n"/>
      <c r="T48" s="2" t="n"/>
      <c r="U48" s="2" t="n"/>
      <c r="V48" s="2" t="n"/>
      <c r="W48" s="2" t="n"/>
      <c r="X48" s="2" t="n"/>
      <c r="Y48" s="2" t="n"/>
      <c r="Z48" s="2" t="n"/>
      <c r="AA48" s="2" t="n"/>
      <c r="AB48" s="2" t="n"/>
      <c r="AC48" s="2" t="n"/>
      <c r="AD48" s="2" t="n"/>
      <c r="AE48" s="2" t="n"/>
      <c r="AF48" s="2" t="n"/>
      <c r="AG48" s="2" t="n"/>
      <c r="AH48" s="2" t="n"/>
      <c r="AI48" s="2" t="n"/>
      <c r="AJ48" s="2" t="n"/>
      <c r="AK48" s="2" t="n"/>
      <c r="AL48" s="2" t="n"/>
      <c r="AM48" s="2" t="n"/>
      <c r="AN48" s="2" t="n"/>
      <c r="AO48" s="2" t="n"/>
      <c r="AP48" s="2" t="n"/>
      <c r="AQ48" s="2" t="n"/>
      <c r="AR48" s="2" t="n"/>
      <c r="AS48" s="2" t="n"/>
      <c r="AT48" s="2" t="n"/>
      <c r="AU48" s="2" t="n"/>
      <c r="AV48" s="2" t="n"/>
      <c r="AW48" s="2" t="n"/>
      <c r="AX48" s="2" t="n"/>
      <c r="AY48" s="2" t="n"/>
      <c r="AZ48" s="2" t="n"/>
      <c r="BA48" s="2" t="n"/>
      <c r="BB48" s="2" t="n"/>
      <c r="BC48" s="2" t="n"/>
      <c r="BD48" s="2" t="n"/>
      <c r="BE48" s="2" t="n"/>
      <c r="BF48" s="2" t="n"/>
      <c r="BG48" s="2" t="n"/>
      <c r="BH48" s="2" t="n"/>
      <c r="BI48" s="2" t="n"/>
      <c r="BJ48" s="2" t="n"/>
      <c r="BK48" s="2" t="n"/>
      <c r="BL48" s="2" t="n"/>
      <c r="BM48" s="2" t="n"/>
      <c r="BN48" s="2" t="n"/>
      <c r="BO48" s="2" t="n"/>
      <c r="BP48" s="2" t="n"/>
      <c r="BQ48" s="2" t="n"/>
      <c r="BR48" s="2" t="n"/>
      <c r="BS48" s="2" t="n"/>
      <c r="BT48" s="2" t="n"/>
      <c r="BU48" s="2" t="n"/>
      <c r="BV48" s="2" t="n"/>
      <c r="BW48" s="2" t="n"/>
      <c r="BX48" s="2" t="n"/>
      <c r="BY48" s="2" t="n"/>
      <c r="BZ48" s="2" t="n"/>
      <c r="CA48" s="2" t="n"/>
      <c r="CB48" s="2" t="n"/>
      <c r="CC48" s="2" t="n"/>
      <c r="CD48" s="2" t="n"/>
      <c r="CE48" s="2" t="n"/>
      <c r="CF48" s="2" t="n"/>
      <c r="CG48" s="2" t="n"/>
      <c r="CH48" s="2" t="n"/>
      <c r="CI48" s="2" t="n"/>
      <c r="CJ48" s="2" t="n"/>
      <c r="CK48" s="2" t="n"/>
      <c r="CL48" s="2" t="n"/>
      <c r="CM48" s="2" t="n"/>
      <c r="CN48" s="2" t="n"/>
      <c r="CO48" s="2" t="n"/>
      <c r="CP48" s="2" t="n"/>
      <c r="CQ48" s="2" t="n"/>
      <c r="CR48" s="2" t="n"/>
      <c r="CS48" s="2" t="n"/>
      <c r="CT48" s="2" t="n"/>
      <c r="CU48" s="2" t="n"/>
      <c r="CV48" s="345" t="n"/>
      <c r="CW48" s="345" t="n"/>
      <c r="CX48" s="345" t="n"/>
      <c r="CY48" s="345" t="n"/>
      <c r="CZ48" s="345" t="n"/>
      <c r="DA48" s="345" t="n"/>
      <c r="DB48" s="345" t="n"/>
      <c r="DC48" s="345" t="n"/>
      <c r="DD48" s="345" t="n"/>
      <c r="DE48" s="345" t="n"/>
      <c r="DF48" s="345" t="n"/>
      <c r="DG48" s="345" t="n"/>
      <c r="DH48" s="345" t="n"/>
      <c r="DI48" s="345" t="n"/>
      <c r="DJ48" s="345" t="n"/>
      <c r="DK48" s="345" t="n"/>
      <c r="DL48" s="345" t="n"/>
      <c r="DM48" s="345" t="n"/>
      <c r="DN48" s="345" t="n"/>
      <c r="DO48" s="345" t="n"/>
      <c r="DP48" s="345" t="n"/>
      <c r="DQ48" s="345" t="n"/>
      <c r="DR48" s="345" t="n"/>
      <c r="DS48" s="345" t="n"/>
      <c r="DT48" s="345" t="n"/>
      <c r="DU48" s="345" t="n"/>
      <c r="DV48" s="390" t="n"/>
      <c r="DW48" s="345" t="n"/>
      <c r="DX48" s="350" t="n"/>
    </row>
    <row r="49" ht="15" customHeight="1" s="634">
      <c r="A49" s="341" t="n"/>
      <c r="B49" s="400" t="n"/>
      <c r="C49" s="2" t="n"/>
      <c r="D49" s="2" t="n"/>
      <c r="E49" s="2" t="n"/>
      <c r="F49" s="2" t="n"/>
      <c r="G49" s="2" t="n"/>
      <c r="H49" s="2" t="n"/>
      <c r="I49" s="2" t="n"/>
      <c r="J49" s="2" t="n"/>
      <c r="K49" s="2" t="n"/>
      <c r="L49" s="2" t="n"/>
      <c r="M49" s="2" t="n"/>
      <c r="N49" s="2" t="n"/>
      <c r="O49" s="2" t="n"/>
      <c r="P49" s="10" t="n"/>
      <c r="Q49" s="17" t="n"/>
      <c r="R49" s="2" t="n"/>
      <c r="S49" s="2" t="n"/>
      <c r="T49" s="2" t="n"/>
      <c r="U49" s="2" t="n"/>
      <c r="V49" s="2" t="n"/>
      <c r="W49" s="2" t="n"/>
      <c r="X49" s="2" t="n"/>
      <c r="Y49" s="2" t="n"/>
      <c r="Z49" s="2" t="n"/>
      <c r="AA49" s="2" t="n"/>
      <c r="AB49" s="2" t="n"/>
      <c r="AC49" s="2" t="n"/>
      <c r="AD49" s="2" t="n"/>
      <c r="AE49" s="2" t="n"/>
      <c r="AF49" s="2" t="n"/>
      <c r="AG49" s="2" t="n"/>
      <c r="AH49" s="2" t="n"/>
      <c r="AI49" s="2" t="n"/>
      <c r="AJ49" s="2" t="n"/>
      <c r="AK49" s="2" t="n"/>
      <c r="AL49" s="2" t="n"/>
      <c r="AM49" s="2" t="n"/>
      <c r="AN49" s="2" t="n"/>
      <c r="AO49" s="2" t="n"/>
      <c r="AP49" s="2" t="n"/>
      <c r="AQ49" s="2" t="n"/>
      <c r="AR49" s="2" t="n"/>
      <c r="AS49" s="2" t="n"/>
      <c r="AT49" s="2" t="n"/>
      <c r="AU49" s="2" t="n"/>
      <c r="AV49" s="2" t="n"/>
      <c r="AW49" s="2" t="n"/>
      <c r="AX49" s="2" t="n"/>
      <c r="AY49" s="2" t="n"/>
      <c r="AZ49" s="2" t="n"/>
      <c r="BA49" s="2" t="n"/>
      <c r="BB49" s="2" t="n"/>
      <c r="BC49" s="2" t="n"/>
      <c r="BD49" s="2" t="n"/>
      <c r="BE49" s="2" t="n"/>
      <c r="BF49" s="2" t="n"/>
      <c r="BG49" s="2" t="n"/>
      <c r="BH49" s="2" t="n"/>
      <c r="BI49" s="2" t="n"/>
      <c r="BJ49" s="2" t="n"/>
      <c r="BK49" s="2" t="n"/>
      <c r="BL49" s="2" t="n"/>
      <c r="BM49" s="2" t="n"/>
      <c r="BN49" s="2" t="n"/>
      <c r="BO49" s="2" t="n"/>
      <c r="BP49" s="2" t="n"/>
      <c r="BQ49" s="2" t="n"/>
      <c r="BR49" s="2" t="n"/>
      <c r="BS49" s="2" t="n"/>
      <c r="BT49" s="2" t="n"/>
      <c r="BU49" s="2" t="n"/>
      <c r="BV49" s="2" t="n"/>
      <c r="BW49" s="2" t="n"/>
      <c r="BX49" s="2" t="n"/>
      <c r="BY49" s="2" t="n"/>
      <c r="BZ49" s="2" t="n"/>
      <c r="CA49" s="2" t="n"/>
      <c r="CB49" s="2" t="n"/>
      <c r="CC49" s="2" t="n"/>
      <c r="CD49" s="2" t="n"/>
      <c r="CE49" s="2" t="n"/>
      <c r="CF49" s="2" t="n"/>
      <c r="CG49" s="2" t="n"/>
      <c r="CH49" s="2" t="n"/>
      <c r="CI49" s="2" t="n"/>
      <c r="CJ49" s="2" t="n"/>
      <c r="CK49" s="2" t="n"/>
      <c r="CL49" s="2" t="n"/>
      <c r="CM49" s="2" t="n"/>
      <c r="CN49" s="2" t="n"/>
      <c r="CO49" s="2" t="n"/>
      <c r="CP49" s="2" t="n"/>
      <c r="CQ49" s="2" t="n"/>
      <c r="CR49" s="2" t="n"/>
      <c r="CS49" s="2" t="n"/>
      <c r="CT49" s="2" t="n"/>
      <c r="CU49" s="2" t="n"/>
      <c r="CV49" s="345" t="n"/>
      <c r="CW49" s="345" t="n"/>
      <c r="CX49" s="345" t="n"/>
      <c r="CY49" s="345" t="n"/>
      <c r="CZ49" s="345" t="n"/>
      <c r="DA49" s="345" t="n"/>
      <c r="DB49" s="345" t="n"/>
      <c r="DC49" s="345" t="n"/>
      <c r="DD49" s="345" t="n"/>
      <c r="DE49" s="345" t="n"/>
      <c r="DF49" s="345" t="n"/>
      <c r="DG49" s="345" t="n"/>
      <c r="DH49" s="345" t="n"/>
      <c r="DI49" s="345" t="n"/>
      <c r="DJ49" s="345" t="n"/>
      <c r="DK49" s="345" t="n"/>
      <c r="DL49" s="345" t="n"/>
      <c r="DM49" s="345" t="n"/>
      <c r="DN49" s="345" t="n"/>
      <c r="DO49" s="345" t="n"/>
      <c r="DP49" s="345" t="n"/>
      <c r="DQ49" s="345" t="n"/>
      <c r="DR49" s="345" t="n"/>
      <c r="DS49" s="345" t="n"/>
      <c r="DT49" s="345" t="n"/>
      <c r="DU49" s="345" t="n"/>
      <c r="DV49" s="390" t="n"/>
      <c r="DW49" s="345" t="n"/>
      <c r="DX49" s="350" t="n"/>
    </row>
    <row r="50" ht="15" customHeight="1" s="634">
      <c r="A50" s="341" t="n"/>
      <c r="B50" s="401" t="inlineStr">
        <is>
          <t>Notes：记录识别的异常情况的详细信息以及如何解决这些异常情况，包括执行的额外实质性程序</t>
        </is>
      </c>
      <c r="C50" s="2" t="n"/>
      <c r="D50" s="2" t="n"/>
      <c r="E50" s="2" t="n"/>
      <c r="F50" s="2" t="n"/>
      <c r="G50" s="2" t="n"/>
      <c r="H50" s="2" t="n"/>
      <c r="I50" s="2" t="n"/>
      <c r="J50" s="2" t="n"/>
      <c r="K50" s="2" t="n"/>
      <c r="L50" s="2" t="n"/>
      <c r="M50" s="2" t="n"/>
      <c r="N50" s="2" t="n"/>
      <c r="O50" s="2" t="n"/>
      <c r="P50" s="10" t="n"/>
      <c r="Q50" s="17" t="n"/>
      <c r="R50" s="2" t="n"/>
      <c r="S50" s="2" t="n"/>
      <c r="T50" s="2" t="n"/>
      <c r="U50" s="2" t="n"/>
      <c r="V50" s="2" t="n"/>
      <c r="W50" s="2" t="n"/>
      <c r="X50" s="2" t="n"/>
      <c r="Y50" s="2" t="n"/>
      <c r="Z50" s="2" t="n"/>
      <c r="AA50" s="2" t="n"/>
      <c r="AB50" s="2" t="n"/>
      <c r="AC50" s="2" t="n"/>
      <c r="AD50" s="2" t="n"/>
      <c r="AE50" s="2" t="n"/>
      <c r="AF50" s="2" t="n"/>
      <c r="AG50" s="2" t="n"/>
      <c r="AH50" s="2" t="n"/>
      <c r="AI50" s="2" t="n"/>
      <c r="AJ50" s="2" t="n"/>
      <c r="AK50" s="2" t="n"/>
      <c r="AL50" s="2" t="n"/>
      <c r="AM50" s="2" t="n"/>
      <c r="AN50" s="2" t="n"/>
      <c r="AO50" s="2" t="n"/>
      <c r="AP50" s="2" t="n"/>
      <c r="AQ50" s="2" t="n"/>
      <c r="AR50" s="2" t="n"/>
      <c r="AS50" s="2" t="n"/>
      <c r="AT50" s="2" t="n"/>
      <c r="AU50" s="2" t="n"/>
      <c r="AV50" s="2" t="n"/>
      <c r="AW50" s="2" t="n"/>
      <c r="AX50" s="2" t="n"/>
      <c r="AY50" s="2" t="n"/>
      <c r="AZ50" s="2" t="n"/>
      <c r="BA50" s="2" t="n"/>
      <c r="BB50" s="2" t="n"/>
      <c r="BC50" s="2" t="n"/>
      <c r="BD50" s="2" t="n"/>
      <c r="BE50" s="2" t="n"/>
      <c r="BF50" s="2" t="n"/>
      <c r="BG50" s="2" t="n"/>
      <c r="BH50" s="2" t="n"/>
      <c r="BI50" s="2" t="n"/>
      <c r="BJ50" s="2" t="n"/>
      <c r="BK50" s="2" t="n"/>
      <c r="BL50" s="2" t="n"/>
      <c r="BM50" s="2" t="n"/>
      <c r="BN50" s="2" t="n"/>
      <c r="BO50" s="2" t="n"/>
      <c r="BP50" s="2" t="n"/>
      <c r="BQ50" s="2" t="n"/>
      <c r="BR50" s="2" t="n"/>
      <c r="BS50" s="2" t="n"/>
      <c r="BT50" s="2" t="n"/>
      <c r="BU50" s="2" t="n"/>
      <c r="BV50" s="2" t="n"/>
      <c r="BW50" s="2" t="n"/>
      <c r="BX50" s="2" t="n"/>
      <c r="BY50" s="2" t="n"/>
      <c r="BZ50" s="2" t="n"/>
      <c r="CA50" s="2" t="n"/>
      <c r="CB50" s="2" t="n"/>
      <c r="CC50" s="2" t="n"/>
      <c r="CD50" s="2" t="n"/>
      <c r="CE50" s="2" t="n"/>
      <c r="CF50" s="2" t="n"/>
      <c r="CG50" s="2" t="n"/>
      <c r="CH50" s="2" t="n"/>
      <c r="CI50" s="2" t="n"/>
      <c r="CJ50" s="2" t="n"/>
      <c r="CK50" s="2" t="n"/>
      <c r="CL50" s="2" t="n"/>
      <c r="CM50" s="2" t="n"/>
      <c r="CN50" s="2" t="n"/>
      <c r="CO50" s="2" t="n"/>
      <c r="CP50" s="2" t="n"/>
      <c r="CQ50" s="2" t="n"/>
      <c r="CR50" s="2" t="n"/>
      <c r="CS50" s="2" t="n"/>
      <c r="CT50" s="2" t="n"/>
      <c r="CU50" s="2" t="n"/>
      <c r="CV50" s="345" t="n"/>
      <c r="CW50" s="345" t="n"/>
      <c r="CX50" s="345" t="n"/>
      <c r="CY50" s="345" t="n"/>
      <c r="CZ50" s="345" t="n"/>
      <c r="DA50" s="345" t="n"/>
      <c r="DB50" s="345" t="n"/>
      <c r="DC50" s="345" t="n"/>
      <c r="DD50" s="345" t="n"/>
      <c r="DE50" s="345" t="n"/>
      <c r="DF50" s="345" t="n"/>
      <c r="DG50" s="345" t="n"/>
      <c r="DH50" s="345" t="n"/>
      <c r="DI50" s="345" t="n"/>
      <c r="DJ50" s="345" t="n"/>
      <c r="DK50" s="345" t="n"/>
      <c r="DL50" s="345" t="n"/>
      <c r="DM50" s="345" t="n"/>
      <c r="DN50" s="345" t="n"/>
      <c r="DO50" s="345" t="n"/>
      <c r="DP50" s="345" t="n"/>
      <c r="DQ50" s="345" t="n"/>
      <c r="DR50" s="345" t="n"/>
      <c r="DS50" s="345" t="n"/>
      <c r="DT50" s="345" t="n"/>
      <c r="DU50" s="345" t="n"/>
      <c r="DV50" s="390" t="n"/>
      <c r="DW50" s="345" t="n"/>
      <c r="DX50" s="350" t="n"/>
    </row>
    <row r="51" ht="13.35" customHeight="1" s="634">
      <c r="A51" s="341" t="n"/>
      <c r="B51" s="766" t="n"/>
      <c r="C51" s="688" t="n"/>
      <c r="D51" s="688" t="n"/>
      <c r="E51" s="688" t="n"/>
      <c r="F51" s="689" t="n"/>
      <c r="G51" s="2" t="n"/>
      <c r="H51" s="2" t="n"/>
      <c r="I51" s="2" t="n"/>
      <c r="J51" s="2" t="n"/>
      <c r="K51" s="2" t="n"/>
      <c r="L51" s="2" t="n"/>
      <c r="M51" s="2" t="n"/>
      <c r="N51" s="2" t="n"/>
      <c r="O51" s="2" t="n"/>
      <c r="P51" s="10" t="n"/>
      <c r="Q51" s="17" t="n"/>
      <c r="R51" s="2" t="n"/>
      <c r="S51" s="2" t="n"/>
      <c r="T51" s="2" t="n"/>
      <c r="U51" s="2" t="n"/>
      <c r="V51" s="2" t="n"/>
      <c r="W51" s="2" t="n"/>
      <c r="X51" s="2" t="n"/>
      <c r="Y51" s="2" t="n"/>
      <c r="Z51" s="2" t="n"/>
      <c r="AA51" s="2" t="n"/>
      <c r="AB51" s="2" t="n"/>
      <c r="AC51" s="2" t="n"/>
      <c r="AD51" s="2" t="n"/>
      <c r="AE51" s="2" t="n"/>
      <c r="AF51" s="2" t="n"/>
      <c r="AG51" s="2" t="n"/>
      <c r="AH51" s="2" t="n"/>
      <c r="AI51" s="2" t="n"/>
      <c r="AJ51" s="2" t="n"/>
      <c r="AK51" s="2" t="n"/>
      <c r="AL51" s="2" t="n"/>
      <c r="AM51" s="2" t="n"/>
      <c r="AN51" s="2" t="n"/>
      <c r="AO51" s="2" t="n"/>
      <c r="AP51" s="2" t="n"/>
      <c r="AQ51" s="2" t="n"/>
      <c r="AR51" s="2" t="n"/>
      <c r="AS51" s="2" t="n"/>
      <c r="AT51" s="2" t="n"/>
      <c r="AU51" s="2" t="n"/>
      <c r="AV51" s="2" t="n"/>
      <c r="AW51" s="2" t="n"/>
      <c r="AX51" s="2" t="n"/>
      <c r="AY51" s="2" t="n"/>
      <c r="AZ51" s="2" t="n"/>
      <c r="BA51" s="2" t="n"/>
      <c r="BB51" s="2" t="n"/>
      <c r="BC51" s="2" t="n"/>
      <c r="BD51" s="2" t="n"/>
      <c r="BE51" s="2" t="n"/>
      <c r="BF51" s="2" t="n"/>
      <c r="BG51" s="2" t="n"/>
      <c r="BH51" s="2" t="n"/>
      <c r="BI51" s="2" t="n"/>
      <c r="BJ51" s="2" t="n"/>
      <c r="BK51" s="2" t="n"/>
      <c r="BL51" s="2" t="n"/>
      <c r="BM51" s="2" t="n"/>
      <c r="BN51" s="2" t="n"/>
      <c r="BO51" s="2" t="n"/>
      <c r="BP51" s="2" t="n"/>
      <c r="BQ51" s="2" t="n"/>
      <c r="BR51" s="2" t="n"/>
      <c r="BS51" s="2" t="n"/>
      <c r="BT51" s="2" t="n"/>
      <c r="BU51" s="2" t="n"/>
      <c r="BV51" s="2" t="n"/>
      <c r="BW51" s="2" t="n"/>
      <c r="BX51" s="2" t="n"/>
      <c r="BY51" s="2" t="n"/>
      <c r="BZ51" s="2" t="n"/>
      <c r="CA51" s="2" t="n"/>
      <c r="CB51" s="2" t="n"/>
      <c r="CC51" s="2" t="n"/>
      <c r="CD51" s="2" t="n"/>
      <c r="CE51" s="2" t="n"/>
      <c r="CF51" s="2" t="n"/>
      <c r="CG51" s="2" t="n"/>
      <c r="CH51" s="2" t="n"/>
      <c r="CI51" s="2" t="n"/>
      <c r="CJ51" s="2" t="n"/>
      <c r="CK51" s="2" t="n"/>
      <c r="CL51" s="2" t="n"/>
      <c r="CM51" s="2" t="n"/>
      <c r="CN51" s="2" t="n"/>
      <c r="CO51" s="2" t="n"/>
      <c r="CP51" s="2" t="n"/>
      <c r="CQ51" s="2" t="n"/>
      <c r="CR51" s="2" t="n"/>
      <c r="CS51" s="2" t="n"/>
      <c r="CT51" s="2" t="n"/>
      <c r="CU51" s="2" t="n"/>
      <c r="CV51" s="345" t="n"/>
      <c r="CW51" s="345" t="n"/>
      <c r="CX51" s="345" t="n"/>
      <c r="CY51" s="345" t="n"/>
      <c r="CZ51" s="345" t="n"/>
      <c r="DA51" s="345" t="n"/>
      <c r="DB51" s="345" t="n"/>
      <c r="DC51" s="345" t="n"/>
      <c r="DD51" s="345" t="n"/>
      <c r="DE51" s="345" t="n"/>
      <c r="DF51" s="345" t="n"/>
      <c r="DG51" s="345" t="n"/>
      <c r="DH51" s="345" t="n"/>
      <c r="DI51" s="345" t="n"/>
      <c r="DJ51" s="345" t="n"/>
      <c r="DK51" s="345" t="n"/>
      <c r="DL51" s="345" t="n"/>
      <c r="DM51" s="345" t="n"/>
      <c r="DN51" s="345" t="n"/>
      <c r="DO51" s="345" t="n"/>
      <c r="DP51" s="345" t="n"/>
      <c r="DQ51" s="345" t="n"/>
      <c r="DR51" s="345" t="n"/>
      <c r="DS51" s="345" t="n"/>
      <c r="DT51" s="345" t="n"/>
      <c r="DU51" s="345" t="n"/>
      <c r="DV51" s="390" t="n"/>
      <c r="DW51" s="345" t="n"/>
      <c r="DX51" s="350" t="n"/>
    </row>
    <row r="52" ht="13.35" customHeight="1" s="634">
      <c r="A52" s="341" t="n"/>
      <c r="B52" s="641" t="n"/>
      <c r="F52" s="690" t="n"/>
      <c r="G52" s="2" t="n"/>
      <c r="H52" s="2" t="n"/>
      <c r="I52" s="2" t="n"/>
      <c r="J52" s="2" t="n"/>
      <c r="K52" s="2" t="n"/>
      <c r="L52" s="2" t="n"/>
      <c r="M52" s="2" t="n"/>
      <c r="N52" s="2" t="n"/>
      <c r="O52" s="2" t="n"/>
      <c r="P52" s="10" t="n"/>
      <c r="Q52" s="17" t="n"/>
      <c r="R52" s="2" t="n"/>
      <c r="S52" s="2" t="n"/>
      <c r="T52" s="2" t="n"/>
      <c r="U52" s="2" t="n"/>
      <c r="V52" s="2" t="n"/>
      <c r="W52" s="2" t="n"/>
      <c r="X52" s="2" t="n"/>
      <c r="Y52" s="2" t="n"/>
      <c r="Z52" s="2" t="n"/>
      <c r="AA52" s="2" t="n"/>
      <c r="AB52" s="2" t="n"/>
      <c r="AC52" s="2" t="n"/>
      <c r="AD52" s="2" t="n"/>
      <c r="AE52" s="2" t="n"/>
      <c r="AF52" s="2" t="n"/>
      <c r="AG52" s="2" t="n"/>
      <c r="AH52" s="2" t="n"/>
      <c r="AI52" s="2" t="n"/>
      <c r="AJ52" s="2" t="n"/>
      <c r="AK52" s="2" t="n"/>
      <c r="AL52" s="2" t="n"/>
      <c r="AM52" s="2" t="n"/>
      <c r="AN52" s="2" t="n"/>
      <c r="AO52" s="2" t="n"/>
      <c r="AP52" s="2" t="n"/>
      <c r="AQ52" s="2" t="n"/>
      <c r="AR52" s="2" t="n"/>
      <c r="AS52" s="2" t="n"/>
      <c r="AT52" s="2" t="n"/>
      <c r="AU52" s="2" t="n"/>
      <c r="AV52" s="2" t="n"/>
      <c r="AW52" s="2" t="n"/>
      <c r="AX52" s="2" t="n"/>
      <c r="AY52" s="2" t="n"/>
      <c r="AZ52" s="2" t="n"/>
      <c r="BA52" s="2" t="n"/>
      <c r="BB52" s="2" t="n"/>
      <c r="BC52" s="2" t="n"/>
      <c r="BD52" s="2" t="n"/>
      <c r="BE52" s="2" t="n"/>
      <c r="BF52" s="2" t="n"/>
      <c r="BG52" s="2" t="n"/>
      <c r="BH52" s="2" t="n"/>
      <c r="BI52" s="2" t="n"/>
      <c r="BJ52" s="2" t="n"/>
      <c r="BK52" s="2" t="n"/>
      <c r="BL52" s="2" t="n"/>
      <c r="BM52" s="2" t="n"/>
      <c r="BN52" s="2" t="n"/>
      <c r="BO52" s="2" t="n"/>
      <c r="BP52" s="2" t="n"/>
      <c r="BQ52" s="2" t="n"/>
      <c r="BR52" s="2" t="n"/>
      <c r="BS52" s="2" t="n"/>
      <c r="BT52" s="2" t="n"/>
      <c r="BU52" s="2" t="n"/>
      <c r="BV52" s="2" t="n"/>
      <c r="BW52" s="2" t="n"/>
      <c r="BX52" s="2" t="n"/>
      <c r="BY52" s="2" t="n"/>
      <c r="BZ52" s="2" t="n"/>
      <c r="CA52" s="2" t="n"/>
      <c r="CB52" s="2" t="n"/>
      <c r="CC52" s="2" t="n"/>
      <c r="CD52" s="2" t="n"/>
      <c r="CE52" s="2" t="n"/>
      <c r="CF52" s="2" t="n"/>
      <c r="CG52" s="2" t="n"/>
      <c r="CH52" s="2" t="n"/>
      <c r="CI52" s="2" t="n"/>
      <c r="CJ52" s="2" t="n"/>
      <c r="CK52" s="2" t="n"/>
      <c r="CL52" s="2" t="n"/>
      <c r="CM52" s="2" t="n"/>
      <c r="CN52" s="2" t="n"/>
      <c r="CO52" s="2" t="n"/>
      <c r="CP52" s="2" t="n"/>
      <c r="CQ52" s="2" t="n"/>
      <c r="CR52" s="2" t="n"/>
      <c r="CS52" s="2" t="n"/>
      <c r="CT52" s="2" t="n"/>
      <c r="CU52" s="2" t="n"/>
      <c r="CV52" s="345" t="n"/>
      <c r="CW52" s="345" t="n"/>
      <c r="CX52" s="345" t="n"/>
      <c r="CY52" s="345" t="n"/>
      <c r="CZ52" s="345" t="n"/>
      <c r="DA52" s="345" t="n"/>
      <c r="DB52" s="345" t="n"/>
      <c r="DC52" s="345" t="n"/>
      <c r="DD52" s="345" t="n"/>
      <c r="DE52" s="345" t="n"/>
      <c r="DF52" s="345" t="n"/>
      <c r="DG52" s="345" t="n"/>
      <c r="DH52" s="345" t="n"/>
      <c r="DI52" s="345" t="n"/>
      <c r="DJ52" s="345" t="n"/>
      <c r="DK52" s="345" t="n"/>
      <c r="DL52" s="345" t="n"/>
      <c r="DM52" s="345" t="n"/>
      <c r="DN52" s="345" t="n"/>
      <c r="DO52" s="345" t="n"/>
      <c r="DP52" s="345" t="n"/>
      <c r="DQ52" s="345" t="n"/>
      <c r="DR52" s="345" t="n"/>
      <c r="DS52" s="345" t="n"/>
      <c r="DT52" s="345" t="n"/>
      <c r="DU52" s="345" t="n"/>
      <c r="DV52" s="390" t="n"/>
      <c r="DW52" s="345" t="n"/>
      <c r="DX52" s="350" t="n"/>
    </row>
    <row r="53" ht="13.35" customHeight="1" s="634">
      <c r="A53" s="341" t="n"/>
      <c r="B53" s="641" t="n"/>
      <c r="F53" s="690" t="n"/>
      <c r="G53" s="2" t="n"/>
      <c r="H53" s="2" t="n"/>
      <c r="I53" s="2" t="n"/>
      <c r="J53" s="2" t="n"/>
      <c r="K53" s="2" t="n"/>
      <c r="L53" s="2" t="n"/>
      <c r="M53" s="2" t="n"/>
      <c r="N53" s="2" t="n"/>
      <c r="O53" s="2" t="n"/>
      <c r="P53" s="10" t="n"/>
      <c r="Q53" s="17" t="n"/>
      <c r="R53" s="2" t="n"/>
      <c r="S53" s="2" t="n"/>
      <c r="T53" s="2" t="n"/>
      <c r="U53" s="2" t="n"/>
      <c r="V53" s="2" t="n"/>
      <c r="W53" s="2" t="n"/>
      <c r="X53" s="2" t="n"/>
      <c r="Y53" s="2" t="n"/>
      <c r="Z53" s="2" t="n"/>
      <c r="AA53" s="2" t="n"/>
      <c r="AB53" s="2" t="n"/>
      <c r="AC53" s="2" t="n"/>
      <c r="AD53" s="2" t="n"/>
      <c r="AE53" s="2" t="n"/>
      <c r="AF53" s="2" t="n"/>
      <c r="AG53" s="2" t="n"/>
      <c r="AH53" s="2" t="n"/>
      <c r="AI53" s="2" t="n"/>
      <c r="AJ53" s="2" t="n"/>
      <c r="AK53" s="2" t="n"/>
      <c r="AL53" s="2" t="n"/>
      <c r="AM53" s="2" t="n"/>
      <c r="AN53" s="2" t="n"/>
      <c r="AO53" s="2" t="n"/>
      <c r="AP53" s="2" t="n"/>
      <c r="AQ53" s="2" t="n"/>
      <c r="AR53" s="2" t="n"/>
      <c r="AS53" s="2" t="n"/>
      <c r="AT53" s="2" t="n"/>
      <c r="AU53" s="2" t="n"/>
      <c r="AV53" s="2" t="n"/>
      <c r="AW53" s="2" t="n"/>
      <c r="AX53" s="2" t="n"/>
      <c r="AY53" s="2" t="n"/>
      <c r="AZ53" s="2" t="n"/>
      <c r="BA53" s="2" t="n"/>
      <c r="BB53" s="2" t="n"/>
      <c r="BC53" s="2" t="n"/>
      <c r="BD53" s="2" t="n"/>
      <c r="BE53" s="2" t="n"/>
      <c r="BF53" s="2" t="n"/>
      <c r="BG53" s="2" t="n"/>
      <c r="BH53" s="2" t="n"/>
      <c r="BI53" s="2" t="n"/>
      <c r="BJ53" s="2" t="n"/>
      <c r="BK53" s="2" t="n"/>
      <c r="BL53" s="2" t="n"/>
      <c r="BM53" s="2" t="n"/>
      <c r="BN53" s="2" t="n"/>
      <c r="BO53" s="2" t="n"/>
      <c r="BP53" s="2" t="n"/>
      <c r="BQ53" s="2" t="n"/>
      <c r="BR53" s="2" t="n"/>
      <c r="BS53" s="2" t="n"/>
      <c r="BT53" s="2" t="n"/>
      <c r="BU53" s="2" t="n"/>
      <c r="BV53" s="2" t="n"/>
      <c r="BW53" s="2" t="n"/>
      <c r="BX53" s="2" t="n"/>
      <c r="BY53" s="2" t="n"/>
      <c r="BZ53" s="2" t="n"/>
      <c r="CA53" s="2" t="n"/>
      <c r="CB53" s="2" t="n"/>
      <c r="CC53" s="2" t="n"/>
      <c r="CD53" s="2" t="n"/>
      <c r="CE53" s="2" t="n"/>
      <c r="CF53" s="2" t="n"/>
      <c r="CG53" s="2" t="n"/>
      <c r="CH53" s="2" t="n"/>
      <c r="CI53" s="2" t="n"/>
      <c r="CJ53" s="2" t="n"/>
      <c r="CK53" s="2" t="n"/>
      <c r="CL53" s="2" t="n"/>
      <c r="CM53" s="2" t="n"/>
      <c r="CN53" s="2" t="n"/>
      <c r="CO53" s="2" t="n"/>
      <c r="CP53" s="2" t="n"/>
      <c r="CQ53" s="2" t="n"/>
      <c r="CR53" s="2" t="n"/>
      <c r="CS53" s="2" t="n"/>
      <c r="CT53" s="2" t="n"/>
      <c r="CU53" s="2" t="n"/>
      <c r="CV53" s="345" t="n"/>
      <c r="CW53" s="345" t="n"/>
      <c r="CX53" s="345" t="n"/>
      <c r="CY53" s="345" t="n"/>
      <c r="CZ53" s="345" t="n"/>
      <c r="DA53" s="345" t="n"/>
      <c r="DB53" s="345" t="n"/>
      <c r="DC53" s="345" t="n"/>
      <c r="DD53" s="345" t="n"/>
      <c r="DE53" s="345" t="n"/>
      <c r="DF53" s="345" t="n"/>
      <c r="DG53" s="345" t="n"/>
      <c r="DH53" s="345" t="n"/>
      <c r="DI53" s="345" t="n"/>
      <c r="DJ53" s="345" t="n"/>
      <c r="DK53" s="345" t="n"/>
      <c r="DL53" s="345" t="n"/>
      <c r="DM53" s="345" t="n"/>
      <c r="DN53" s="345" t="n"/>
      <c r="DO53" s="345" t="n"/>
      <c r="DP53" s="345" t="n"/>
      <c r="DQ53" s="345" t="n"/>
      <c r="DR53" s="345" t="n"/>
      <c r="DS53" s="345" t="n"/>
      <c r="DT53" s="345" t="n"/>
      <c r="DU53" s="345" t="n"/>
      <c r="DV53" s="390" t="n"/>
      <c r="DW53" s="345" t="n"/>
      <c r="DX53" s="350" t="n"/>
    </row>
    <row r="54" ht="13.35" customHeight="1" s="634">
      <c r="A54" s="341" t="n"/>
      <c r="B54" s="644" t="n"/>
      <c r="C54" s="645" t="n"/>
      <c r="D54" s="645" t="n"/>
      <c r="E54" s="645" t="n"/>
      <c r="F54" s="691" t="n"/>
      <c r="G54" s="2" t="n"/>
      <c r="H54" s="2" t="n"/>
      <c r="I54" s="2" t="n"/>
      <c r="J54" s="2" t="n"/>
      <c r="K54" s="2" t="n"/>
      <c r="L54" s="2" t="n"/>
      <c r="M54" s="2" t="n"/>
      <c r="N54" s="2" t="n"/>
      <c r="O54" s="2" t="n"/>
      <c r="P54" s="10" t="n"/>
      <c r="Q54" s="17" t="n"/>
      <c r="R54" s="2" t="n"/>
      <c r="S54" s="2" t="n"/>
      <c r="T54" s="2" t="n"/>
      <c r="U54" s="2" t="n"/>
      <c r="V54" s="2" t="n"/>
      <c r="W54" s="2" t="n"/>
      <c r="X54" s="2" t="n"/>
      <c r="Y54" s="2" t="n"/>
      <c r="Z54" s="2" t="n"/>
      <c r="AA54" s="2" t="n"/>
      <c r="AB54" s="2" t="n"/>
      <c r="AC54" s="2" t="n"/>
      <c r="AD54" s="2" t="n"/>
      <c r="AE54" s="2" t="n"/>
      <c r="AF54" s="2" t="n"/>
      <c r="AG54" s="2" t="n"/>
      <c r="AH54" s="2" t="n"/>
      <c r="AI54" s="2" t="n"/>
      <c r="AJ54" s="2" t="n"/>
      <c r="AK54" s="2" t="n"/>
      <c r="AL54" s="2" t="n"/>
      <c r="AM54" s="2" t="n"/>
      <c r="AN54" s="2" t="n"/>
      <c r="AO54" s="2" t="n"/>
      <c r="AP54" s="2" t="n"/>
      <c r="AQ54" s="2" t="n"/>
      <c r="AR54" s="2" t="n"/>
      <c r="AS54" s="2" t="n"/>
      <c r="AT54" s="2" t="n"/>
      <c r="AU54" s="2" t="n"/>
      <c r="AV54" s="2" t="n"/>
      <c r="AW54" s="2" t="n"/>
      <c r="AX54" s="2" t="n"/>
      <c r="AY54" s="2" t="n"/>
      <c r="AZ54" s="2" t="n"/>
      <c r="BA54" s="2" t="n"/>
      <c r="BB54" s="2" t="n"/>
      <c r="BC54" s="2" t="n"/>
      <c r="BD54" s="2" t="n"/>
      <c r="BE54" s="2" t="n"/>
      <c r="BF54" s="2" t="n"/>
      <c r="BG54" s="2" t="n"/>
      <c r="BH54" s="2" t="n"/>
      <c r="BI54" s="2" t="n"/>
      <c r="BJ54" s="2" t="n"/>
      <c r="BK54" s="2" t="n"/>
      <c r="BL54" s="2" t="n"/>
      <c r="BM54" s="2" t="n"/>
      <c r="BN54" s="2" t="n"/>
      <c r="BO54" s="2" t="n"/>
      <c r="BP54" s="2" t="n"/>
      <c r="BQ54" s="2" t="n"/>
      <c r="BR54" s="2" t="n"/>
      <c r="BS54" s="2" t="n"/>
      <c r="BT54" s="2" t="n"/>
      <c r="BU54" s="2" t="n"/>
      <c r="BV54" s="2" t="n"/>
      <c r="BW54" s="2" t="n"/>
      <c r="BX54" s="2" t="n"/>
      <c r="BY54" s="2" t="n"/>
      <c r="BZ54" s="2" t="n"/>
      <c r="CA54" s="2" t="n"/>
      <c r="CB54" s="2" t="n"/>
      <c r="CC54" s="2" t="n"/>
      <c r="CD54" s="2" t="n"/>
      <c r="CE54" s="2" t="n"/>
      <c r="CF54" s="2" t="n"/>
      <c r="CG54" s="2" t="n"/>
      <c r="CH54" s="2" t="n"/>
      <c r="CI54" s="2" t="n"/>
      <c r="CJ54" s="2" t="n"/>
      <c r="CK54" s="2" t="n"/>
      <c r="CL54" s="2" t="n"/>
      <c r="CM54" s="2" t="n"/>
      <c r="CN54" s="2" t="n"/>
      <c r="CO54" s="2" t="n"/>
      <c r="CP54" s="2" t="n"/>
      <c r="CQ54" s="2" t="n"/>
      <c r="CR54" s="2" t="n"/>
      <c r="CS54" s="2" t="n"/>
      <c r="CT54" s="2" t="n"/>
      <c r="CU54" s="2" t="n"/>
      <c r="CV54" s="345" t="n"/>
      <c r="CW54" s="345" t="n"/>
      <c r="CX54" s="345" t="n"/>
      <c r="CY54" s="345" t="n"/>
      <c r="CZ54" s="345" t="n"/>
      <c r="DA54" s="345" t="n"/>
      <c r="DB54" s="345" t="n"/>
      <c r="DC54" s="345" t="n"/>
      <c r="DD54" s="345" t="n"/>
      <c r="DE54" s="345" t="n"/>
      <c r="DF54" s="345" t="n"/>
      <c r="DG54" s="345" t="n"/>
      <c r="DH54" s="345" t="n"/>
      <c r="DI54" s="345" t="n"/>
      <c r="DJ54" s="345" t="n"/>
      <c r="DK54" s="345" t="n"/>
      <c r="DL54" s="345" t="n"/>
      <c r="DM54" s="345" t="n"/>
      <c r="DN54" s="345" t="n"/>
      <c r="DO54" s="345" t="n"/>
      <c r="DP54" s="345" t="n"/>
      <c r="DQ54" s="345" t="n"/>
      <c r="DR54" s="345" t="n"/>
      <c r="DS54" s="345" t="n"/>
      <c r="DT54" s="345" t="n"/>
      <c r="DU54" s="345" t="n"/>
      <c r="DV54" s="390" t="n"/>
      <c r="DW54" s="345" t="n"/>
      <c r="DX54" s="350" t="n"/>
    </row>
    <row r="55" ht="15" customHeight="1" s="634">
      <c r="A55" s="341" t="n"/>
      <c r="B55" s="400" t="n"/>
      <c r="C55" s="2" t="n"/>
      <c r="D55" s="2" t="n"/>
      <c r="E55" s="2" t="n"/>
      <c r="F55" s="402" t="n"/>
      <c r="G55" s="2" t="n"/>
      <c r="H55" s="2" t="n"/>
      <c r="I55" s="2" t="n"/>
      <c r="J55" s="2" t="n"/>
      <c r="K55" s="2" t="n"/>
      <c r="L55" s="2" t="n"/>
      <c r="M55" s="2" t="n"/>
      <c r="N55" s="2" t="n"/>
      <c r="O55" s="2" t="n"/>
      <c r="P55" s="10" t="n"/>
      <c r="Q55" s="17" t="n"/>
      <c r="R55" s="2" t="n"/>
      <c r="S55" s="2" t="n"/>
      <c r="T55" s="2" t="n"/>
      <c r="U55" s="2" t="n"/>
      <c r="V55" s="2" t="n"/>
      <c r="W55" s="2" t="n"/>
      <c r="X55" s="2" t="n"/>
      <c r="Y55" s="2" t="n"/>
      <c r="Z55" s="2" t="n"/>
      <c r="AA55" s="2" t="n"/>
      <c r="AB55" s="2" t="n"/>
      <c r="AC55" s="2" t="n"/>
      <c r="AD55" s="2" t="n"/>
      <c r="AE55" s="2" t="n"/>
      <c r="AF55" s="2" t="n"/>
      <c r="AG55" s="2" t="n"/>
      <c r="AH55" s="2" t="n"/>
      <c r="AI55" s="2" t="n"/>
      <c r="AJ55" s="2" t="n"/>
      <c r="AK55" s="2" t="n"/>
      <c r="AL55" s="2" t="n"/>
      <c r="AM55" s="2" t="n"/>
      <c r="AN55" s="2" t="n"/>
      <c r="AO55" s="2" t="n"/>
      <c r="AP55" s="2" t="n"/>
      <c r="AQ55" s="2" t="n"/>
      <c r="AR55" s="2" t="n"/>
      <c r="AS55" s="2" t="n"/>
      <c r="AT55" s="2" t="n"/>
      <c r="AU55" s="2" t="n"/>
      <c r="AV55" s="2" t="n"/>
      <c r="AW55" s="2" t="n"/>
      <c r="AX55" s="2" t="n"/>
      <c r="AY55" s="2" t="n"/>
      <c r="AZ55" s="2" t="n"/>
      <c r="BA55" s="2" t="n"/>
      <c r="BB55" s="2" t="n"/>
      <c r="BC55" s="2" t="n"/>
      <c r="BD55" s="2" t="n"/>
      <c r="BE55" s="2" t="n"/>
      <c r="BF55" s="2" t="n"/>
      <c r="BG55" s="2" t="n"/>
      <c r="BH55" s="2" t="n"/>
      <c r="BI55" s="2" t="n"/>
      <c r="BJ55" s="2" t="n"/>
      <c r="BK55" s="2" t="n"/>
      <c r="BL55" s="2" t="n"/>
      <c r="BM55" s="2" t="n"/>
      <c r="BN55" s="2" t="n"/>
      <c r="BO55" s="2" t="n"/>
      <c r="BP55" s="2" t="n"/>
      <c r="BQ55" s="2" t="n"/>
      <c r="BR55" s="2" t="n"/>
      <c r="BS55" s="2" t="n"/>
      <c r="BT55" s="2" t="n"/>
      <c r="BU55" s="2" t="n"/>
      <c r="BV55" s="2" t="n"/>
      <c r="BW55" s="2" t="n"/>
      <c r="BX55" s="2" t="n"/>
      <c r="BY55" s="2" t="n"/>
      <c r="BZ55" s="2" t="n"/>
      <c r="CA55" s="2" t="n"/>
      <c r="CB55" s="2" t="n"/>
      <c r="CC55" s="2" t="n"/>
      <c r="CD55" s="2" t="n"/>
      <c r="CE55" s="2" t="n"/>
      <c r="CF55" s="2" t="n"/>
      <c r="CG55" s="2" t="n"/>
      <c r="CH55" s="2" t="n"/>
      <c r="CI55" s="2" t="n"/>
      <c r="CJ55" s="2" t="n"/>
      <c r="CK55" s="2" t="n"/>
      <c r="CL55" s="2" t="n"/>
      <c r="CM55" s="2" t="n"/>
      <c r="CN55" s="2" t="n"/>
      <c r="CO55" s="2" t="n"/>
      <c r="CP55" s="2" t="n"/>
      <c r="CQ55" s="2" t="n"/>
      <c r="CR55" s="2" t="n"/>
      <c r="CS55" s="2" t="n"/>
      <c r="CT55" s="2" t="n"/>
      <c r="CU55" s="2" t="n"/>
      <c r="CV55" s="345" t="n"/>
      <c r="CW55" s="345" t="n"/>
      <c r="CX55" s="345" t="n"/>
      <c r="CY55" s="345" t="n"/>
      <c r="CZ55" s="345" t="n"/>
      <c r="DA55" s="345" t="n"/>
      <c r="DB55" s="345" t="n"/>
      <c r="DC55" s="345" t="n"/>
      <c r="DD55" s="345" t="n"/>
      <c r="DE55" s="345" t="n"/>
      <c r="DF55" s="345" t="n"/>
      <c r="DG55" s="345" t="n"/>
      <c r="DH55" s="345" t="n"/>
      <c r="DI55" s="345" t="n"/>
      <c r="DJ55" s="345" t="n"/>
      <c r="DK55" s="345" t="n"/>
      <c r="DL55" s="345" t="n"/>
      <c r="DM55" s="345" t="n"/>
      <c r="DN55" s="345" t="n"/>
      <c r="DO55" s="345" t="n"/>
      <c r="DP55" s="345" t="n"/>
      <c r="DQ55" s="345" t="n"/>
      <c r="DR55" s="345" t="n"/>
      <c r="DS55" s="345" t="n"/>
      <c r="DT55" s="345" t="n"/>
      <c r="DU55" s="345" t="n"/>
      <c r="DV55" s="390" t="n"/>
      <c r="DW55" s="345" t="n"/>
      <c r="DX55" s="350" t="n"/>
    </row>
    <row r="56" ht="7.5" customHeight="1" s="634">
      <c r="A56" s="17" t="n"/>
      <c r="B56" s="17" t="n"/>
      <c r="C56" s="17" t="n"/>
      <c r="D56" s="17" t="n"/>
      <c r="E56" s="17" t="n"/>
      <c r="F56" s="17" t="n"/>
      <c r="G56" s="17" t="n"/>
      <c r="H56" s="17" t="n"/>
      <c r="I56" s="17" t="n"/>
      <c r="J56" s="17" t="n"/>
      <c r="K56" s="17" t="n"/>
      <c r="L56" s="17" t="n"/>
      <c r="M56" s="17" t="n"/>
      <c r="N56" s="17" t="n"/>
      <c r="O56" s="17" t="n"/>
      <c r="P56" s="17" t="n"/>
      <c r="Q56" s="17" t="n"/>
      <c r="R56" s="2" t="n"/>
      <c r="S56" s="2" t="n"/>
      <c r="T56" s="2" t="n"/>
      <c r="U56" s="2" t="n"/>
      <c r="V56" s="2" t="n"/>
      <c r="W56" s="2" t="n"/>
      <c r="X56" s="2" t="n"/>
      <c r="Y56" s="2" t="n"/>
      <c r="Z56" s="2" t="n"/>
      <c r="AA56" s="2" t="n"/>
      <c r="AB56" s="2" t="n"/>
      <c r="AC56" s="2" t="n"/>
      <c r="AD56" s="2" t="n"/>
      <c r="AE56" s="2" t="n"/>
      <c r="AF56" s="2" t="n"/>
      <c r="AG56" s="2" t="n"/>
      <c r="AH56" s="2" t="n"/>
      <c r="AI56" s="2" t="n"/>
      <c r="AJ56" s="2" t="n"/>
      <c r="AK56" s="2" t="n"/>
      <c r="AL56" s="2" t="n"/>
      <c r="AM56" s="2" t="n"/>
      <c r="AN56" s="2" t="n"/>
      <c r="AO56" s="2" t="n"/>
      <c r="AP56" s="2" t="n"/>
      <c r="AQ56" s="2" t="n"/>
      <c r="AR56" s="2" t="n"/>
      <c r="AS56" s="2" t="n"/>
      <c r="AT56" s="2" t="n"/>
      <c r="AU56" s="2" t="n"/>
      <c r="AV56" s="2" t="n"/>
      <c r="AW56" s="2" t="n"/>
      <c r="AX56" s="2" t="n"/>
      <c r="AY56" s="2" t="n"/>
      <c r="AZ56" s="2" t="n"/>
      <c r="BA56" s="2" t="n"/>
      <c r="BB56" s="2" t="n"/>
      <c r="BC56" s="2" t="n"/>
      <c r="BD56" s="2" t="n"/>
      <c r="BE56" s="2" t="n"/>
      <c r="BF56" s="2" t="n"/>
      <c r="BG56" s="2" t="n"/>
      <c r="BH56" s="2" t="n"/>
      <c r="BI56" s="2" t="n"/>
      <c r="BJ56" s="2" t="n"/>
      <c r="BK56" s="2" t="n"/>
      <c r="BL56" s="2" t="n"/>
      <c r="BM56" s="2" t="n"/>
      <c r="BN56" s="2" t="n"/>
      <c r="BO56" s="2" t="n"/>
      <c r="BP56" s="2" t="n"/>
      <c r="BQ56" s="2" t="n"/>
      <c r="BR56" s="2" t="n"/>
      <c r="BS56" s="2" t="n"/>
      <c r="BT56" s="2" t="n"/>
      <c r="BU56" s="2" t="n"/>
      <c r="BV56" s="2" t="n"/>
      <c r="BW56" s="2" t="n"/>
      <c r="BX56" s="2" t="n"/>
      <c r="BY56" s="2" t="n"/>
      <c r="BZ56" s="2" t="n"/>
      <c r="CA56" s="2" t="n"/>
      <c r="CB56" s="2" t="n"/>
      <c r="CC56" s="2" t="n"/>
      <c r="CD56" s="2" t="n"/>
      <c r="CE56" s="2" t="n"/>
      <c r="CF56" s="2" t="n"/>
      <c r="CG56" s="2" t="n"/>
      <c r="CH56" s="2" t="n"/>
      <c r="CI56" s="2" t="n"/>
      <c r="CJ56" s="2" t="n"/>
      <c r="CK56" s="2" t="n"/>
      <c r="CL56" s="2" t="n"/>
      <c r="CM56" s="2" t="n"/>
      <c r="CN56" s="2" t="n"/>
      <c r="CO56" s="2" t="n"/>
      <c r="CP56" s="2" t="n"/>
      <c r="CQ56" s="2" t="n"/>
      <c r="CR56" s="2" t="n"/>
      <c r="CS56" s="2" t="n"/>
      <c r="CT56" s="345" t="n"/>
      <c r="CU56" s="345" t="n"/>
      <c r="CV56" s="345" t="n"/>
      <c r="CW56" s="345" t="n"/>
      <c r="CX56" s="345" t="n"/>
      <c r="CY56" s="345" t="n"/>
      <c r="CZ56" s="345" t="n"/>
      <c r="DA56" s="345" t="n"/>
      <c r="DB56" s="345" t="n"/>
      <c r="DC56" s="345" t="n"/>
      <c r="DD56" s="345" t="n"/>
      <c r="DE56" s="345" t="n"/>
      <c r="DF56" s="345" t="n"/>
      <c r="DG56" s="345" t="n"/>
      <c r="DH56" s="345" t="n"/>
      <c r="DI56" s="345" t="n"/>
      <c r="DJ56" s="345" t="n"/>
      <c r="DK56" s="345" t="n"/>
      <c r="DL56" s="345" t="n"/>
      <c r="DM56" s="345" t="n"/>
      <c r="DN56" s="345" t="n"/>
      <c r="DO56" s="345" t="n"/>
      <c r="DP56" s="345" t="n"/>
      <c r="DQ56" s="345" t="n"/>
      <c r="DR56" s="345" t="n"/>
      <c r="DS56" s="345" t="n"/>
      <c r="DT56" s="390" t="n"/>
      <c r="DU56" s="345" t="n"/>
      <c r="DV56" s="350" t="n"/>
      <c r="DW56" s="2" t="n"/>
      <c r="DX56" s="2" t="n"/>
    </row>
    <row r="57" ht="13.35" customHeight="1" s="634">
      <c r="A57" s="341" t="n"/>
      <c r="B57" s="359" t="n"/>
      <c r="C57" s="2" t="n"/>
      <c r="D57" s="2" t="n"/>
      <c r="E57" s="2" t="n"/>
      <c r="F57" s="402" t="n"/>
      <c r="G57" s="2" t="n"/>
      <c r="H57" s="2" t="n"/>
      <c r="I57" s="2" t="n"/>
      <c r="J57" s="2" t="n"/>
      <c r="K57" s="2" t="n"/>
      <c r="L57" s="2" t="n"/>
      <c r="M57" s="2" t="n"/>
      <c r="N57" s="2" t="n"/>
      <c r="O57" s="2" t="n"/>
      <c r="P57" s="2" t="n"/>
      <c r="Q57" s="2" t="n"/>
      <c r="R57" s="2" t="n"/>
      <c r="S57" s="2" t="n"/>
      <c r="T57" s="2" t="n"/>
      <c r="U57" s="2" t="n"/>
      <c r="V57" s="2" t="n"/>
      <c r="W57" s="2" t="n"/>
      <c r="X57" s="2" t="n"/>
      <c r="Y57" s="2" t="n"/>
      <c r="Z57" s="2" t="n"/>
      <c r="AA57" s="2" t="n"/>
      <c r="AB57" s="2" t="n"/>
      <c r="AC57" s="2" t="n"/>
      <c r="AD57" s="2" t="n"/>
      <c r="AE57" s="2" t="n"/>
      <c r="AF57" s="2" t="n"/>
      <c r="AG57" s="2" t="n"/>
      <c r="AH57" s="2" t="n"/>
      <c r="AI57" s="2" t="n"/>
      <c r="AJ57" s="2" t="n"/>
      <c r="AK57" s="2" t="n"/>
      <c r="AL57" s="2" t="n"/>
      <c r="AM57" s="2" t="n"/>
      <c r="AN57" s="2" t="n"/>
      <c r="AO57" s="2" t="n"/>
      <c r="AP57" s="2" t="n"/>
      <c r="AQ57" s="2" t="n"/>
      <c r="AR57" s="2" t="n"/>
      <c r="AS57" s="2" t="n"/>
      <c r="AT57" s="2" t="n"/>
      <c r="AU57" s="2" t="n"/>
      <c r="AV57" s="2" t="n"/>
      <c r="AW57" s="2" t="n"/>
      <c r="AX57" s="2" t="n"/>
      <c r="AY57" s="2" t="n"/>
      <c r="AZ57" s="2" t="n"/>
      <c r="BA57" s="2" t="n"/>
      <c r="BB57" s="2" t="n"/>
      <c r="BC57" s="2" t="n"/>
      <c r="BD57" s="2" t="n"/>
      <c r="BE57" s="2" t="n"/>
      <c r="BF57" s="2" t="n"/>
      <c r="BG57" s="2" t="n"/>
      <c r="BH57" s="2" t="n"/>
      <c r="BI57" s="2" t="n"/>
      <c r="BJ57" s="2" t="n"/>
      <c r="BK57" s="2" t="n"/>
      <c r="BL57" s="2" t="n"/>
      <c r="BM57" s="2" t="n"/>
      <c r="BN57" s="2" t="n"/>
      <c r="BO57" s="2" t="n"/>
      <c r="BP57" s="2" t="n"/>
      <c r="BQ57" s="2" t="n"/>
      <c r="BR57" s="2" t="n"/>
      <c r="BS57" s="2" t="n"/>
      <c r="BT57" s="2" t="n"/>
      <c r="BU57" s="2" t="n"/>
      <c r="BV57" s="2" t="n"/>
      <c r="BW57" s="2" t="n"/>
      <c r="BX57" s="2" t="n"/>
      <c r="BY57" s="2" t="n"/>
      <c r="BZ57" s="2" t="n"/>
      <c r="CA57" s="2" t="n"/>
      <c r="CB57" s="2" t="n"/>
      <c r="CC57" s="2" t="n"/>
      <c r="CD57" s="2" t="n"/>
      <c r="CE57" s="2" t="n"/>
      <c r="CF57" s="2" t="n"/>
      <c r="CG57" s="2" t="n"/>
      <c r="CH57" s="2" t="n"/>
      <c r="CI57" s="2" t="n"/>
      <c r="CJ57" s="2" t="n"/>
      <c r="CK57" s="2" t="n"/>
      <c r="CL57" s="2" t="n"/>
      <c r="CM57" s="2" t="n"/>
      <c r="CN57" s="2" t="n"/>
      <c r="CO57" s="2" t="n"/>
      <c r="CP57" s="2" t="n"/>
      <c r="CQ57" s="2" t="n"/>
      <c r="CR57" s="2" t="n"/>
      <c r="CS57" s="2" t="n"/>
      <c r="CT57" s="2" t="n"/>
      <c r="CU57" s="345" t="n"/>
      <c r="CV57" s="345" t="n"/>
      <c r="CW57" s="345" t="n"/>
      <c r="CX57" s="345" t="n"/>
      <c r="CY57" s="345" t="n"/>
      <c r="CZ57" s="345" t="n"/>
      <c r="DA57" s="345" t="n"/>
      <c r="DB57" s="345" t="n"/>
      <c r="DC57" s="345" t="n"/>
      <c r="DD57" s="345" t="n"/>
      <c r="DE57" s="345" t="n"/>
      <c r="DF57" s="345" t="n"/>
      <c r="DG57" s="345" t="n"/>
      <c r="DH57" s="345" t="n"/>
      <c r="DI57" s="345" t="n"/>
      <c r="DJ57" s="345" t="n"/>
      <c r="DK57" s="345" t="n"/>
      <c r="DL57" s="345" t="n"/>
      <c r="DM57" s="345" t="n"/>
      <c r="DN57" s="345" t="n"/>
      <c r="DO57" s="345" t="n"/>
      <c r="DP57" s="345" t="n"/>
      <c r="DQ57" s="345" t="n"/>
      <c r="DR57" s="345" t="n"/>
      <c r="DS57" s="345" t="n"/>
      <c r="DT57" s="345" t="n"/>
      <c r="DU57" s="390" t="n"/>
      <c r="DV57" s="345" t="n"/>
      <c r="DW57" s="350" t="n"/>
      <c r="DX57" s="2" t="n"/>
    </row>
    <row r="58" ht="13.35" customHeight="1" s="634">
      <c r="A58" s="341" t="n"/>
      <c r="B58" s="359" t="n"/>
      <c r="C58" s="2" t="n"/>
      <c r="D58" s="2" t="n"/>
      <c r="E58" s="2" t="n"/>
      <c r="F58" s="402" t="n"/>
      <c r="G58" s="2" t="n"/>
      <c r="H58" s="2" t="n"/>
      <c r="I58" s="2" t="n"/>
      <c r="J58" s="2" t="n"/>
      <c r="K58" s="2" t="n"/>
      <c r="L58" s="2" t="n"/>
      <c r="M58" s="2" t="n"/>
      <c r="N58" s="2" t="n"/>
      <c r="O58" s="2" t="n"/>
      <c r="P58" s="2" t="n"/>
      <c r="Q58" s="2" t="n"/>
      <c r="R58" s="2" t="n"/>
      <c r="S58" s="2" t="n"/>
      <c r="T58" s="2" t="n"/>
      <c r="U58" s="2" t="n"/>
      <c r="V58" s="2" t="n"/>
      <c r="W58" s="2" t="n"/>
      <c r="X58" s="2" t="n"/>
      <c r="Y58" s="2" t="n"/>
      <c r="Z58" s="2" t="n"/>
      <c r="AA58" s="2" t="n"/>
      <c r="AB58" s="2" t="n"/>
      <c r="AC58" s="2" t="n"/>
      <c r="AD58" s="2" t="n"/>
      <c r="AE58" s="2" t="n"/>
      <c r="AF58" s="2" t="n"/>
      <c r="AG58" s="2" t="n"/>
      <c r="AH58" s="2" t="n"/>
      <c r="AI58" s="2" t="n"/>
      <c r="AJ58" s="2" t="n"/>
      <c r="AK58" s="2" t="n"/>
      <c r="AL58" s="2" t="n"/>
      <c r="AM58" s="2" t="n"/>
      <c r="AN58" s="2" t="n"/>
      <c r="AO58" s="2" t="n"/>
      <c r="AP58" s="2" t="n"/>
      <c r="AQ58" s="2" t="n"/>
      <c r="AR58" s="2" t="n"/>
      <c r="AS58" s="2" t="n"/>
      <c r="AT58" s="2" t="n"/>
      <c r="AU58" s="2" t="n"/>
      <c r="AV58" s="2" t="n"/>
      <c r="AW58" s="2" t="n"/>
      <c r="AX58" s="2" t="n"/>
      <c r="AY58" s="2" t="n"/>
      <c r="AZ58" s="2" t="n"/>
      <c r="BA58" s="2" t="n"/>
      <c r="BB58" s="2" t="n"/>
      <c r="BC58" s="2" t="n"/>
      <c r="BD58" s="2" t="n"/>
      <c r="BE58" s="2" t="n"/>
      <c r="BF58" s="2" t="n"/>
      <c r="BG58" s="2" t="n"/>
      <c r="BH58" s="2" t="n"/>
      <c r="BI58" s="2" t="n"/>
      <c r="BJ58" s="2" t="n"/>
      <c r="BK58" s="2" t="n"/>
      <c r="BL58" s="2" t="n"/>
      <c r="BM58" s="2" t="n"/>
      <c r="BN58" s="2" t="n"/>
      <c r="BO58" s="2" t="n"/>
      <c r="BP58" s="2" t="n"/>
      <c r="BQ58" s="2" t="n"/>
      <c r="BR58" s="2" t="n"/>
      <c r="BS58" s="2" t="n"/>
      <c r="BT58" s="2" t="n"/>
      <c r="BU58" s="2" t="n"/>
      <c r="BV58" s="2" t="n"/>
      <c r="BW58" s="2" t="n"/>
      <c r="BX58" s="2" t="n"/>
      <c r="BY58" s="2" t="n"/>
      <c r="BZ58" s="2" t="n"/>
      <c r="CA58" s="2" t="n"/>
      <c r="CB58" s="2" t="n"/>
      <c r="CC58" s="2" t="n"/>
      <c r="CD58" s="2" t="n"/>
      <c r="CE58" s="2" t="n"/>
      <c r="CF58" s="2" t="n"/>
      <c r="CG58" s="2" t="n"/>
      <c r="CH58" s="2" t="n"/>
      <c r="CI58" s="2" t="n"/>
      <c r="CJ58" s="2" t="n"/>
      <c r="CK58" s="2" t="n"/>
      <c r="CL58" s="2" t="n"/>
      <c r="CM58" s="2" t="n"/>
      <c r="CN58" s="2" t="n"/>
      <c r="CO58" s="2" t="n"/>
      <c r="CP58" s="2" t="n"/>
      <c r="CQ58" s="2" t="n"/>
      <c r="CR58" s="2" t="n"/>
      <c r="CS58" s="2" t="n"/>
      <c r="CT58" s="2" t="n"/>
      <c r="CU58" s="345" t="n"/>
      <c r="CV58" s="345" t="n"/>
      <c r="CW58" s="345" t="n"/>
      <c r="CX58" s="345" t="n"/>
      <c r="CY58" s="345" t="n"/>
      <c r="CZ58" s="345" t="n"/>
      <c r="DA58" s="345" t="n"/>
      <c r="DB58" s="345" t="n"/>
      <c r="DC58" s="345" t="n"/>
      <c r="DD58" s="345" t="n"/>
      <c r="DE58" s="345" t="n"/>
      <c r="DF58" s="345" t="n"/>
      <c r="DG58" s="345" t="n"/>
      <c r="DH58" s="345" t="n"/>
      <c r="DI58" s="345" t="n"/>
      <c r="DJ58" s="345" t="n"/>
      <c r="DK58" s="345" t="n"/>
      <c r="DL58" s="345" t="n"/>
      <c r="DM58" s="345" t="n"/>
      <c r="DN58" s="345" t="n"/>
      <c r="DO58" s="345" t="n"/>
      <c r="DP58" s="345" t="n"/>
      <c r="DQ58" s="345" t="n"/>
      <c r="DR58" s="345" t="n"/>
      <c r="DS58" s="345" t="n"/>
      <c r="DT58" s="345" t="n"/>
      <c r="DU58" s="390" t="n"/>
      <c r="DV58" s="345" t="n"/>
      <c r="DW58" s="350" t="n"/>
      <c r="DX58" s="2" t="n"/>
    </row>
    <row r="59" ht="13.35" customHeight="1" s="634">
      <c r="A59" s="341" t="n"/>
      <c r="B59" s="359" t="n"/>
      <c r="C59" s="2" t="n"/>
      <c r="D59" s="2" t="n"/>
      <c r="E59" s="2" t="n"/>
      <c r="F59" s="402" t="n"/>
      <c r="G59" s="2" t="n"/>
      <c r="H59" s="2" t="n"/>
      <c r="I59" s="2" t="n"/>
      <c r="J59" s="2" t="n"/>
      <c r="K59" s="2" t="n"/>
      <c r="L59" s="2" t="n"/>
      <c r="M59" s="2" t="n"/>
      <c r="N59" s="2" t="n"/>
      <c r="O59" s="2" t="n"/>
      <c r="P59" s="2" t="n"/>
      <c r="Q59" s="2" t="n"/>
      <c r="R59" s="2" t="n"/>
      <c r="S59" s="2" t="n"/>
      <c r="T59" s="2" t="n"/>
      <c r="U59" s="2" t="n"/>
      <c r="V59" s="2" t="n"/>
      <c r="W59" s="2" t="n"/>
      <c r="X59" s="2" t="n"/>
      <c r="Y59" s="2" t="n"/>
      <c r="Z59" s="2" t="n"/>
      <c r="AA59" s="2" t="n"/>
      <c r="AB59" s="2" t="n"/>
      <c r="AC59" s="2" t="n"/>
      <c r="AD59" s="2" t="n"/>
      <c r="AE59" s="2" t="n"/>
      <c r="AF59" s="2" t="n"/>
      <c r="AG59" s="2" t="n"/>
      <c r="AH59" s="2" t="n"/>
      <c r="AI59" s="2" t="n"/>
      <c r="AJ59" s="2" t="n"/>
      <c r="AK59" s="2" t="n"/>
      <c r="AL59" s="2" t="n"/>
      <c r="AM59" s="2" t="n"/>
      <c r="AN59" s="2" t="n"/>
      <c r="AO59" s="2" t="n"/>
      <c r="AP59" s="2" t="n"/>
      <c r="AQ59" s="2" t="n"/>
      <c r="AR59" s="2" t="n"/>
      <c r="AS59" s="2" t="n"/>
      <c r="AT59" s="2" t="n"/>
      <c r="AU59" s="2" t="n"/>
      <c r="AV59" s="2" t="n"/>
      <c r="AW59" s="2" t="n"/>
      <c r="AX59" s="2" t="n"/>
      <c r="AY59" s="2" t="n"/>
      <c r="AZ59" s="2" t="n"/>
      <c r="BA59" s="2" t="n"/>
      <c r="BB59" s="2" t="n"/>
      <c r="BC59" s="2" t="n"/>
      <c r="BD59" s="2" t="n"/>
      <c r="BE59" s="2" t="n"/>
      <c r="BF59" s="2" t="n"/>
      <c r="BG59" s="2" t="n"/>
      <c r="BH59" s="2" t="n"/>
      <c r="BI59" s="2" t="n"/>
      <c r="BJ59" s="2" t="n"/>
      <c r="BK59" s="2" t="n"/>
      <c r="BL59" s="2" t="n"/>
      <c r="BM59" s="2" t="n"/>
      <c r="BN59" s="2" t="n"/>
      <c r="BO59" s="2" t="n"/>
      <c r="BP59" s="2" t="n"/>
      <c r="BQ59" s="2" t="n"/>
      <c r="BR59" s="2" t="n"/>
      <c r="BS59" s="2" t="n"/>
      <c r="BT59" s="2" t="n"/>
      <c r="BU59" s="2" t="n"/>
      <c r="BV59" s="2" t="n"/>
      <c r="BW59" s="2" t="n"/>
      <c r="BX59" s="2" t="n"/>
      <c r="BY59" s="2" t="n"/>
      <c r="BZ59" s="2" t="n"/>
      <c r="CA59" s="2" t="n"/>
      <c r="CB59" s="2" t="n"/>
      <c r="CC59" s="2" t="n"/>
      <c r="CD59" s="2" t="n"/>
      <c r="CE59" s="2" t="n"/>
      <c r="CF59" s="2" t="n"/>
      <c r="CG59" s="2" t="n"/>
      <c r="CH59" s="2" t="n"/>
      <c r="CI59" s="2" t="n"/>
      <c r="CJ59" s="2" t="n"/>
      <c r="CK59" s="2" t="n"/>
      <c r="CL59" s="2" t="n"/>
      <c r="CM59" s="2" t="n"/>
      <c r="CN59" s="2" t="n"/>
      <c r="CO59" s="2" t="n"/>
      <c r="CP59" s="2" t="n"/>
      <c r="CQ59" s="2" t="n"/>
      <c r="CR59" s="2" t="n"/>
      <c r="CS59" s="2" t="n"/>
      <c r="CT59" s="2" t="n"/>
      <c r="CU59" s="345" t="n"/>
      <c r="CV59" s="345" t="n"/>
      <c r="CW59" s="345" t="n"/>
      <c r="CX59" s="345" t="n"/>
      <c r="CY59" s="345" t="n"/>
      <c r="CZ59" s="345" t="n"/>
      <c r="DA59" s="345" t="n"/>
      <c r="DB59" s="345" t="n"/>
      <c r="DC59" s="345" t="n"/>
      <c r="DD59" s="345" t="n"/>
      <c r="DE59" s="345" t="n"/>
      <c r="DF59" s="345" t="n"/>
      <c r="DG59" s="345" t="n"/>
      <c r="DH59" s="345" t="n"/>
      <c r="DI59" s="345" t="n"/>
      <c r="DJ59" s="345" t="n"/>
      <c r="DK59" s="345" t="n"/>
      <c r="DL59" s="345" t="n"/>
      <c r="DM59" s="345" t="n"/>
      <c r="DN59" s="345" t="n"/>
      <c r="DO59" s="345" t="n"/>
      <c r="DP59" s="345" t="n"/>
      <c r="DQ59" s="345" t="n"/>
      <c r="DR59" s="345" t="n"/>
      <c r="DS59" s="345" t="n"/>
      <c r="DT59" s="345" t="n"/>
      <c r="DU59" s="390" t="n"/>
      <c r="DV59" s="345" t="n"/>
      <c r="DW59" s="350" t="n"/>
      <c r="DX59" s="2" t="n"/>
    </row>
    <row r="60" ht="13.35" customHeight="1" s="634">
      <c r="A60" s="341" t="n"/>
      <c r="B60" s="359" t="n"/>
      <c r="C60" s="2" t="n"/>
      <c r="D60" s="2" t="n"/>
      <c r="E60" s="2" t="n"/>
      <c r="F60" s="402" t="n"/>
      <c r="G60" s="2" t="n"/>
      <c r="H60" s="2" t="n"/>
      <c r="I60" s="2" t="n"/>
      <c r="J60" s="2" t="n"/>
      <c r="K60" s="2" t="n"/>
      <c r="L60" s="2" t="n"/>
      <c r="M60" s="2" t="n"/>
      <c r="N60" s="2" t="n"/>
      <c r="O60" s="2" t="n"/>
      <c r="P60" s="2" t="n"/>
      <c r="Q60" s="2" t="n"/>
      <c r="R60" s="2" t="n"/>
      <c r="S60" s="2" t="n"/>
      <c r="T60" s="2" t="n"/>
      <c r="U60" s="2" t="n"/>
      <c r="V60" s="2" t="n"/>
      <c r="W60" s="2" t="n"/>
      <c r="X60" s="2" t="n"/>
      <c r="Y60" s="2" t="n"/>
      <c r="Z60" s="2" t="n"/>
      <c r="AA60" s="2" t="n"/>
      <c r="AB60" s="2" t="n"/>
      <c r="AC60" s="2" t="n"/>
      <c r="AD60" s="2" t="n"/>
      <c r="AE60" s="2" t="n"/>
      <c r="AF60" s="2" t="n"/>
      <c r="AG60" s="2" t="n"/>
      <c r="AH60" s="2" t="n"/>
      <c r="AI60" s="2" t="n"/>
      <c r="AJ60" s="2" t="n"/>
      <c r="AK60" s="2" t="n"/>
      <c r="AL60" s="2" t="n"/>
      <c r="AM60" s="2" t="n"/>
      <c r="AN60" s="2" t="n"/>
      <c r="AO60" s="2" t="n"/>
      <c r="AP60" s="2" t="n"/>
      <c r="AQ60" s="2" t="n"/>
      <c r="AR60" s="2" t="n"/>
      <c r="AS60" s="2" t="n"/>
      <c r="AT60" s="2" t="n"/>
      <c r="AU60" s="2" t="n"/>
      <c r="AV60" s="2" t="n"/>
      <c r="AW60" s="2" t="n"/>
      <c r="AX60" s="2" t="n"/>
      <c r="AY60" s="2" t="n"/>
      <c r="AZ60" s="2" t="n"/>
      <c r="BA60" s="2" t="n"/>
      <c r="BB60" s="2" t="n"/>
      <c r="BC60" s="2" t="n"/>
      <c r="BD60" s="2" t="n"/>
      <c r="BE60" s="2" t="n"/>
      <c r="BF60" s="2" t="n"/>
      <c r="BG60" s="2" t="n"/>
      <c r="BH60" s="2" t="n"/>
      <c r="BI60" s="2" t="n"/>
      <c r="BJ60" s="2" t="n"/>
      <c r="BK60" s="2" t="n"/>
      <c r="BL60" s="2" t="n"/>
      <c r="BM60" s="2" t="n"/>
      <c r="BN60" s="2" t="n"/>
      <c r="BO60" s="2" t="n"/>
      <c r="BP60" s="2" t="n"/>
      <c r="BQ60" s="2" t="n"/>
      <c r="BR60" s="2" t="n"/>
      <c r="BS60" s="2" t="n"/>
      <c r="BT60" s="2" t="n"/>
      <c r="BU60" s="2" t="n"/>
      <c r="BV60" s="2" t="n"/>
      <c r="BW60" s="2" t="n"/>
      <c r="BX60" s="2" t="n"/>
      <c r="BY60" s="2" t="n"/>
      <c r="BZ60" s="2" t="n"/>
      <c r="CA60" s="2" t="n"/>
      <c r="CB60" s="2" t="n"/>
      <c r="CC60" s="2" t="n"/>
      <c r="CD60" s="2" t="n"/>
      <c r="CE60" s="2" t="n"/>
      <c r="CF60" s="2" t="n"/>
      <c r="CG60" s="2" t="n"/>
      <c r="CH60" s="2" t="n"/>
      <c r="CI60" s="2" t="n"/>
      <c r="CJ60" s="2" t="n"/>
      <c r="CK60" s="2" t="n"/>
      <c r="CL60" s="2" t="n"/>
      <c r="CM60" s="2" t="n"/>
      <c r="CN60" s="2" t="n"/>
      <c r="CO60" s="2" t="n"/>
      <c r="CP60" s="2" t="n"/>
      <c r="CQ60" s="2" t="n"/>
      <c r="CR60" s="2" t="n"/>
      <c r="CS60" s="2" t="n"/>
      <c r="CT60" s="2" t="n"/>
      <c r="CU60" s="345" t="n"/>
      <c r="CV60" s="345" t="n"/>
      <c r="CW60" s="345" t="n"/>
      <c r="CX60" s="345" t="n"/>
      <c r="CY60" s="345" t="n"/>
      <c r="CZ60" s="345" t="n"/>
      <c r="DA60" s="345" t="n"/>
      <c r="DB60" s="345" t="n"/>
      <c r="DC60" s="345" t="n"/>
      <c r="DD60" s="345" t="n"/>
      <c r="DE60" s="345" t="n"/>
      <c r="DF60" s="345" t="n"/>
      <c r="DG60" s="345" t="n"/>
      <c r="DH60" s="345" t="n"/>
      <c r="DI60" s="345" t="n"/>
      <c r="DJ60" s="345" t="n"/>
      <c r="DK60" s="345" t="n"/>
      <c r="DL60" s="345" t="n"/>
      <c r="DM60" s="345" t="n"/>
      <c r="DN60" s="345" t="n"/>
      <c r="DO60" s="345" t="n"/>
      <c r="DP60" s="345" t="n"/>
      <c r="DQ60" s="345" t="n"/>
      <c r="DR60" s="345" t="n"/>
      <c r="DS60" s="345" t="n"/>
      <c r="DT60" s="345" t="n"/>
      <c r="DU60" s="390" t="n"/>
      <c r="DV60" s="345" t="n"/>
      <c r="DW60" s="350" t="n"/>
      <c r="DX60" s="2" t="n"/>
    </row>
    <row r="93" ht="13.35" customHeight="1" s="634">
      <c r="C93" s="403" t="n"/>
      <c r="D93" s="403" t="n"/>
      <c r="E93" s="403" t="n"/>
      <c r="F93" s="403" t="n"/>
      <c r="G93" s="403" t="n"/>
      <c r="H93" s="403" t="n"/>
      <c r="I93" s="403" t="n"/>
      <c r="J93" s="403" t="n"/>
    </row>
  </sheetData>
  <mergeCells count="25">
    <mergeCell ref="C42:C43"/>
    <mergeCell ref="G42:K42"/>
    <mergeCell ref="B42:B43"/>
    <mergeCell ref="G23:K23"/>
    <mergeCell ref="B23:B24"/>
    <mergeCell ref="L41:N41"/>
    <mergeCell ref="B37:F40"/>
    <mergeCell ref="B11:F11"/>
    <mergeCell ref="L22:N22"/>
    <mergeCell ref="L42:L43"/>
    <mergeCell ref="N42:N43"/>
    <mergeCell ref="B8:F8"/>
    <mergeCell ref="L23:L24"/>
    <mergeCell ref="N23:N24"/>
    <mergeCell ref="D42:F42"/>
    <mergeCell ref="C23:C24"/>
    <mergeCell ref="D23:F23"/>
    <mergeCell ref="B10:F10"/>
    <mergeCell ref="M42:M43"/>
    <mergeCell ref="O42:O43"/>
    <mergeCell ref="B51:F54"/>
    <mergeCell ref="M23:M24"/>
    <mergeCell ref="B9:F9"/>
    <mergeCell ref="O23:O24"/>
    <mergeCell ref="B14:F15"/>
  </mergeCells>
  <conditionalFormatting sqref="B51:B52">
    <cfRule type="containsBlanks" priority="5" dxfId="4">
      <formula>LEN(TRIM(B51))=0</formula>
    </cfRule>
  </conditionalFormatting>
  <conditionalFormatting sqref="B25:N31 B37 B44:N48">
    <cfRule type="containsBlanks" priority="8" dxfId="4">
      <formula>LEN(TRIM(B25))=0</formula>
    </cfRule>
  </conditionalFormatting>
  <conditionalFormatting sqref="C16">
    <cfRule type="containsBlanks" priority="7" dxfId="4">
      <formula>LEN(TRIM(C16))=0</formula>
    </cfRule>
  </conditionalFormatting>
  <dataValidations count="1">
    <dataValidation sqref="L25:N31 L44:N48"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6.xml><?xml version="1.0" encoding="utf-8"?>
<worksheet xmlns="http://schemas.openxmlformats.org/spreadsheetml/2006/main">
  <sheetPr codeName="Sheet7">
    <outlinePr summaryBelow="1" summaryRight="1"/>
    <pageSetUpPr/>
  </sheetPr>
  <dimension ref="A1:DU88"/>
  <sheetViews>
    <sheetView showGridLines="0" zoomScale="70" zoomScaleNormal="70" workbookViewId="0">
      <selection activeCell="A1" sqref="A1"/>
    </sheetView>
  </sheetViews>
  <sheetFormatPr baseColWidth="8" defaultColWidth="8.75" defaultRowHeight="12.75" customHeight="1"/>
  <cols>
    <col width="2.625" customWidth="1" style="74" min="1" max="1"/>
    <col width="19" customWidth="1" style="73" min="2" max="3"/>
    <col width="18.75" customWidth="1" style="73" min="4" max="4"/>
    <col width="25.75" customWidth="1" style="73" min="5" max="6"/>
    <col width="28" customWidth="1" style="73" min="7" max="7"/>
    <col width="25.75" customWidth="1" style="73" min="8" max="8"/>
    <col width="18.875" customWidth="1" style="73" min="9" max="9"/>
    <col width="17.375" customWidth="1" style="73" min="10" max="10"/>
    <col width="12.375" customWidth="1" style="73" min="11" max="11"/>
    <col width="21" customWidth="1" style="73" min="12" max="12"/>
    <col width="2.625" customWidth="1" style="73" min="13" max="13"/>
    <col width="1.625" customWidth="1" style="73" min="14" max="14"/>
    <col width="8.75" customWidth="1" style="73" min="15" max="88"/>
    <col width="13.125" customWidth="1" style="96" min="89" max="89"/>
    <col width="7.375" customWidth="1" style="96" min="90" max="90"/>
    <col width="8" customWidth="1" style="96" min="91" max="100"/>
    <col width="14.375" customWidth="1" style="96" min="101" max="101"/>
    <col width="8" customWidth="1" style="96" min="102" max="107"/>
    <col width="10.375" customWidth="1" style="96" min="108" max="108"/>
    <col width="8" customWidth="1" style="96" min="109" max="112"/>
    <col width="10.125" customWidth="1" style="96" min="113" max="113"/>
    <col width="12.375" customWidth="1" style="96" min="114" max="114"/>
    <col width="8.75" customWidth="1" style="97" min="115" max="115"/>
    <col width="8.75" customWidth="1" style="96" min="116" max="116"/>
    <col width="8.75" customWidth="1" style="128" min="117" max="117"/>
    <col width="8.75" customWidth="1" style="73" min="118" max="16384"/>
  </cols>
  <sheetData>
    <row r="1" ht="50.1" customFormat="1" customHeight="1" s="70">
      <c r="A1" s="156" t="n"/>
      <c r="B1" s="77" t="inlineStr">
        <is>
          <t>标准工作底稿: N SWP 应付账款</t>
        </is>
      </c>
      <c r="C1" s="78" t="n"/>
      <c r="D1" s="79" t="n"/>
      <c r="E1" s="79" t="n"/>
      <c r="F1" s="79" t="n"/>
      <c r="G1" s="79" t="n"/>
      <c r="H1" s="79" t="n"/>
      <c r="I1" s="79" t="n"/>
      <c r="J1" s="79" t="n"/>
      <c r="K1" s="79" t="n"/>
      <c r="L1" s="80" t="n"/>
      <c r="M1" s="156" t="n"/>
      <c r="N1" s="81" t="n"/>
      <c r="O1" s="156" t="n"/>
      <c r="P1" s="156" t="n"/>
      <c r="Q1" s="156" t="n"/>
      <c r="R1" s="156" t="n"/>
      <c r="S1" s="156" t="n"/>
      <c r="T1" s="156" t="n"/>
      <c r="U1" s="156" t="n"/>
      <c r="V1" s="156" t="n"/>
      <c r="W1" s="156" t="n"/>
      <c r="X1" s="156" t="n"/>
      <c r="Y1" s="156" t="n"/>
      <c r="Z1" s="156" t="n"/>
      <c r="AA1" s="156" t="n"/>
      <c r="AB1" s="156" t="n"/>
      <c r="AC1" s="156" t="n"/>
      <c r="AD1" s="156" t="n"/>
      <c r="AE1" s="156" t="n"/>
      <c r="AF1" s="156" t="n"/>
      <c r="AG1" s="156" t="n"/>
      <c r="AH1" s="156" t="n"/>
      <c r="AI1" s="156" t="n"/>
      <c r="AJ1" s="156" t="n"/>
      <c r="AK1" s="156" t="n"/>
      <c r="AL1" s="156" t="n"/>
      <c r="AM1" s="156" t="n"/>
      <c r="AN1" s="156" t="n"/>
      <c r="AO1" s="156" t="n"/>
      <c r="AP1" s="156" t="n"/>
      <c r="AQ1" s="156" t="n"/>
      <c r="AR1" s="156" t="n"/>
      <c r="AS1" s="156" t="n"/>
      <c r="AT1" s="156" t="n"/>
      <c r="AU1" s="156" t="n"/>
      <c r="AV1" s="156" t="n"/>
      <c r="AW1" s="156" t="n"/>
      <c r="AX1" s="156" t="n"/>
      <c r="AY1" s="156" t="n"/>
      <c r="AZ1" s="156" t="n"/>
      <c r="BA1" s="156" t="n"/>
      <c r="BB1" s="156" t="n"/>
      <c r="BC1" s="156" t="n"/>
      <c r="BD1" s="156" t="n"/>
      <c r="BE1" s="156" t="n"/>
      <c r="BF1" s="156" t="n"/>
      <c r="BG1" s="156" t="n"/>
      <c r="BH1" s="156" t="n"/>
      <c r="BI1" s="156" t="n"/>
      <c r="BJ1" s="156" t="n"/>
      <c r="BK1" s="156" t="n"/>
      <c r="BL1" s="156" t="n"/>
      <c r="BM1" s="156" t="n"/>
      <c r="BN1" s="156" t="n"/>
      <c r="BO1" s="156" t="n"/>
      <c r="BP1" s="156" t="n"/>
      <c r="BQ1" s="156" t="n"/>
      <c r="BR1" s="156" t="n"/>
      <c r="BS1" s="156" t="n"/>
      <c r="BT1" s="156" t="n"/>
      <c r="BU1" s="156" t="n"/>
      <c r="BV1" s="156" t="n"/>
      <c r="BW1" s="156" t="n"/>
      <c r="BX1" s="156" t="n"/>
      <c r="BY1" s="156" t="n"/>
      <c r="BZ1" s="156" t="n"/>
      <c r="CA1" s="156" t="n"/>
      <c r="CB1" s="156" t="n"/>
      <c r="CC1" s="156" t="n"/>
      <c r="CD1" s="156" t="n"/>
      <c r="CE1" s="156" t="n"/>
      <c r="CF1" s="156" t="n"/>
      <c r="CG1" s="156" t="n"/>
      <c r="CH1" s="156" t="n"/>
      <c r="CI1" s="156" t="n"/>
      <c r="CJ1" s="156" t="n"/>
      <c r="CK1" s="156" t="n"/>
      <c r="CL1" s="156" t="n"/>
      <c r="CM1" s="156" t="n"/>
      <c r="CN1" s="156" t="n"/>
      <c r="CO1" s="156" t="n"/>
      <c r="CP1" s="156" t="n"/>
      <c r="CQ1" s="156" t="n"/>
      <c r="CR1" s="156" t="n"/>
      <c r="CS1" s="156" t="n"/>
      <c r="CT1" s="156" t="n"/>
      <c r="CU1" s="156" t="n"/>
      <c r="CV1" s="156" t="n"/>
      <c r="CW1" s="156" t="n"/>
      <c r="CX1" s="156" t="n"/>
      <c r="CY1" s="156" t="n"/>
      <c r="CZ1" s="156" t="n"/>
      <c r="DA1" s="156" t="n"/>
      <c r="DB1" s="156" t="n"/>
      <c r="DC1" s="156" t="n"/>
      <c r="DD1" s="156" t="n"/>
      <c r="DE1" s="156" t="n"/>
      <c r="DF1" s="156" t="n"/>
      <c r="DG1" s="156" t="n"/>
      <c r="DH1" s="156" t="n"/>
      <c r="DI1" s="156" t="n"/>
      <c r="DJ1" s="156" t="n"/>
      <c r="DK1" s="156" t="n"/>
      <c r="DL1" s="156" t="n"/>
      <c r="DM1" s="156" t="n"/>
      <c r="DN1" s="156" t="n"/>
      <c r="DO1" s="156" t="n"/>
      <c r="DP1" s="156" t="n"/>
      <c r="DQ1" s="156" t="n"/>
      <c r="DR1" s="156" t="n"/>
      <c r="DS1" s="156" t="n"/>
      <c r="DT1" s="156" t="n"/>
      <c r="DU1" s="156" t="n"/>
    </row>
    <row r="2" ht="30" customFormat="1" customHeight="1" s="70">
      <c r="A2" s="156" t="n"/>
      <c r="B2" s="82" t="inlineStr">
        <is>
          <t>N.03: 应付账款截止测试</t>
        </is>
      </c>
      <c r="C2" s="83" t="n"/>
      <c r="D2" s="83" t="n"/>
      <c r="E2" s="83" t="n"/>
      <c r="F2" s="83" t="n"/>
      <c r="G2" s="83" t="n"/>
      <c r="H2" s="83" t="n"/>
      <c r="I2" s="83" t="n"/>
      <c r="J2" s="83" t="n"/>
      <c r="K2" s="83" t="n"/>
      <c r="L2" s="84" t="n"/>
      <c r="M2" s="95" t="n"/>
      <c r="N2" s="81" t="n"/>
      <c r="O2" s="156" t="n"/>
      <c r="P2" s="156" t="n"/>
      <c r="Q2" s="156" t="n"/>
      <c r="R2" s="156" t="n"/>
      <c r="S2" s="156" t="n"/>
      <c r="T2" s="156" t="n"/>
      <c r="U2" s="156" t="n"/>
      <c r="V2" s="156" t="n"/>
      <c r="W2" s="156" t="n"/>
      <c r="X2" s="156" t="n"/>
      <c r="Y2" s="156" t="n"/>
      <c r="Z2" s="156" t="n"/>
      <c r="AA2" s="156" t="n"/>
      <c r="AB2" s="156" t="n"/>
      <c r="AC2" s="156" t="n"/>
      <c r="AD2" s="156" t="n"/>
      <c r="AE2" s="156" t="n"/>
      <c r="AF2" s="156" t="n"/>
      <c r="AG2" s="156" t="n"/>
      <c r="AH2" s="156" t="n"/>
      <c r="AI2" s="156" t="n"/>
      <c r="AJ2" s="156" t="n"/>
      <c r="AK2" s="156" t="n"/>
      <c r="AL2" s="156" t="n"/>
      <c r="AM2" s="156" t="n"/>
      <c r="AN2" s="156" t="n"/>
      <c r="AO2" s="156" t="n"/>
      <c r="AP2" s="156" t="n"/>
      <c r="AQ2" s="156" t="n"/>
      <c r="AR2" s="156" t="n"/>
      <c r="AS2" s="156" t="n"/>
      <c r="AT2" s="156" t="n"/>
      <c r="AU2" s="156" t="n"/>
      <c r="AV2" s="156" t="n"/>
      <c r="AW2" s="156" t="n"/>
      <c r="AX2" s="156" t="n"/>
      <c r="AY2" s="156" t="n"/>
      <c r="AZ2" s="156" t="n"/>
      <c r="BA2" s="156" t="n"/>
      <c r="BB2" s="156" t="n"/>
      <c r="BC2" s="156" t="n"/>
      <c r="BD2" s="156" t="n"/>
      <c r="BE2" s="156" t="n"/>
      <c r="BF2" s="156" t="n"/>
      <c r="BG2" s="156" t="n"/>
      <c r="BH2" s="156" t="n"/>
      <c r="BI2" s="156" t="n"/>
      <c r="BJ2" s="156" t="n"/>
      <c r="BK2" s="156" t="n"/>
      <c r="BL2" s="156" t="n"/>
      <c r="BM2" s="156" t="n"/>
      <c r="BN2" s="156" t="n"/>
      <c r="BO2" s="156" t="n"/>
      <c r="BP2" s="156" t="n"/>
      <c r="BQ2" s="156" t="n"/>
      <c r="BR2" s="156" t="n"/>
      <c r="BS2" s="156" t="n"/>
      <c r="BT2" s="156" t="n"/>
      <c r="BU2" s="156" t="n"/>
      <c r="BV2" s="156" t="n"/>
      <c r="BW2" s="156" t="n"/>
      <c r="BX2" s="156" t="n"/>
      <c r="BY2" s="156" t="n"/>
      <c r="BZ2" s="156" t="n"/>
      <c r="CA2" s="156" t="n"/>
      <c r="CB2" s="156" t="n"/>
      <c r="CC2" s="156" t="n"/>
      <c r="CD2" s="156" t="n"/>
      <c r="CE2" s="156" t="n"/>
      <c r="CF2" s="156" t="n"/>
      <c r="CG2" s="156" t="n"/>
      <c r="CH2" s="156" t="n"/>
      <c r="CI2" s="156" t="n"/>
      <c r="CJ2" s="156" t="n"/>
      <c r="CK2" s="156" t="n"/>
      <c r="CL2" s="156" t="n"/>
      <c r="CM2" s="156" t="n"/>
      <c r="CN2" s="156" t="n"/>
      <c r="CO2" s="156" t="n"/>
      <c r="CP2" s="156" t="n"/>
      <c r="CQ2" s="156" t="n"/>
      <c r="CR2" s="156" t="n"/>
      <c r="CS2" s="156" t="n"/>
      <c r="CT2" s="156" t="n"/>
      <c r="CU2" s="156" t="n"/>
      <c r="CV2" s="156" t="n"/>
      <c r="CW2" s="156" t="n"/>
      <c r="CX2" s="156" t="n"/>
      <c r="CY2" s="156" t="n"/>
      <c r="CZ2" s="156" t="n"/>
      <c r="DA2" s="156" t="n"/>
      <c r="DB2" s="156" t="n"/>
      <c r="DC2" s="156" t="n"/>
      <c r="DD2" s="156" t="n"/>
      <c r="DE2" s="156" t="n"/>
      <c r="DF2" s="156" t="n"/>
      <c r="DG2" s="156" t="n"/>
      <c r="DH2" s="156" t="n"/>
      <c r="DI2" s="156" t="n"/>
      <c r="DJ2" s="156" t="n"/>
      <c r="DK2" s="156" t="n"/>
      <c r="DL2" s="156" t="n"/>
      <c r="DM2" s="156" t="n"/>
      <c r="DN2" s="156" t="n"/>
      <c r="DO2" s="156" t="n"/>
      <c r="DP2" s="156" t="n"/>
      <c r="DQ2" s="156" t="n"/>
      <c r="DR2" s="156" t="n"/>
      <c r="DS2" s="156" t="n"/>
      <c r="DT2" s="156" t="n"/>
      <c r="DU2" s="156" t="n"/>
    </row>
    <row r="3" ht="15" customHeight="1" s="634">
      <c r="C3" s="67" t="n"/>
      <c r="D3" s="67" t="n"/>
      <c r="N3" s="81" t="n"/>
      <c r="CK3" s="73" t="n"/>
      <c r="CL3" s="67" t="n"/>
      <c r="CM3" s="67" t="n"/>
      <c r="CN3" s="67" t="n"/>
      <c r="CW3" s="67" t="n"/>
      <c r="DC3" s="67" t="n"/>
      <c r="DD3" s="67" t="n"/>
      <c r="DE3" s="67" t="n"/>
      <c r="DF3" s="67" t="n"/>
      <c r="DG3" s="67" t="n"/>
      <c r="DH3" s="67" t="n"/>
      <c r="DI3" s="67" t="n"/>
      <c r="DJ3" s="67" t="n"/>
      <c r="DK3" s="67" t="n"/>
      <c r="DL3" s="97" t="n"/>
      <c r="DM3" s="67" t="n"/>
      <c r="DN3" s="67" t="n"/>
    </row>
    <row r="4" ht="15" customHeight="1" s="634">
      <c r="B4" s="71" t="inlineStr">
        <is>
          <t>返回汇总页</t>
        </is>
      </c>
      <c r="C4" s="67" t="n"/>
      <c r="D4" s="67" t="n"/>
      <c r="N4" s="81" t="n"/>
      <c r="CK4" s="73" t="n"/>
      <c r="CL4" s="67" t="n"/>
      <c r="CM4" s="67" t="n"/>
      <c r="CN4" s="67" t="n"/>
      <c r="CW4" s="67" t="n"/>
      <c r="DC4" s="67" t="n"/>
      <c r="DD4" s="67" t="n"/>
      <c r="DE4" s="67" t="n"/>
      <c r="DF4" s="67" t="n"/>
      <c r="DG4" s="67" t="n"/>
      <c r="DH4" s="67" t="n"/>
      <c r="DI4" s="67" t="n"/>
      <c r="DJ4" s="67" t="n"/>
      <c r="DK4" s="67" t="n"/>
      <c r="DL4" s="97" t="n"/>
      <c r="DM4" s="67" t="n"/>
      <c r="DN4" s="67" t="n"/>
    </row>
    <row r="5" ht="15" customHeight="1" s="634">
      <c r="N5" s="81" t="n"/>
      <c r="CK5" s="73" t="n"/>
      <c r="CL5" s="67" t="n"/>
      <c r="CM5" s="67" t="n"/>
      <c r="CN5" s="67" t="n"/>
      <c r="CW5" s="67" t="n"/>
      <c r="DC5" s="67" t="n"/>
      <c r="DD5" s="67" t="n"/>
      <c r="DE5" s="67" t="n"/>
      <c r="DF5" s="67" t="n"/>
      <c r="DG5" s="67" t="n"/>
      <c r="DH5" s="67" t="n"/>
      <c r="DI5" s="67" t="n"/>
      <c r="DJ5" s="67" t="n"/>
      <c r="DK5" s="67" t="n"/>
      <c r="DL5" s="97" t="n"/>
      <c r="DM5" s="67" t="n"/>
      <c r="DN5" s="67" t="n"/>
    </row>
    <row r="6" ht="15" customFormat="1" customHeight="1" s="101">
      <c r="A6" s="98" t="n"/>
      <c r="B6" s="99" t="inlineStr">
        <is>
          <t>表1 记录确定测试期间和样本策略的理由。</t>
        </is>
      </c>
      <c r="C6" s="767" t="n"/>
      <c r="D6" s="767" t="n"/>
      <c r="E6" s="767" t="n"/>
      <c r="F6" s="767" t="n"/>
      <c r="G6" s="767" t="n"/>
      <c r="H6" s="767" t="n"/>
      <c r="I6" s="73" t="n"/>
      <c r="J6" s="73" t="n"/>
      <c r="K6" s="73" t="n"/>
      <c r="L6" s="73" t="n"/>
      <c r="M6" s="73" t="n"/>
      <c r="N6" s="81" t="n"/>
      <c r="CO6" s="102" t="n"/>
      <c r="CP6" s="102" t="n"/>
      <c r="CQ6" s="102" t="n"/>
      <c r="CR6" s="102" t="n"/>
      <c r="CS6" s="102" t="n"/>
      <c r="CT6" s="102" t="n"/>
      <c r="CU6" s="102" t="n"/>
      <c r="CV6" s="102" t="n"/>
      <c r="CW6" s="102" t="n"/>
      <c r="CX6" s="102" t="n"/>
      <c r="CY6" s="102" t="n"/>
      <c r="CZ6" s="102" t="n"/>
      <c r="DA6" s="102" t="n"/>
      <c r="DB6" s="102" t="n"/>
      <c r="DC6" s="102" t="n"/>
      <c r="DD6" s="102" t="n"/>
      <c r="DE6" s="102" t="n"/>
      <c r="DF6" s="102" t="n"/>
      <c r="DG6" s="102" t="n"/>
      <c r="DH6" s="102" t="n"/>
      <c r="DI6" s="102" t="n"/>
      <c r="DJ6" s="102" t="n"/>
      <c r="DK6" s="102" t="n"/>
      <c r="DL6" s="102" t="n"/>
      <c r="DM6" s="102" t="n"/>
      <c r="DN6" s="102" t="n"/>
      <c r="DO6" s="107" t="n"/>
      <c r="DP6" s="102" t="n"/>
      <c r="DQ6" s="104" t="n"/>
    </row>
    <row r="7" ht="15" customFormat="1" customHeight="1" s="101">
      <c r="A7" s="98" t="n"/>
      <c r="B7" s="768" t="n"/>
      <c r="C7" s="688" t="n"/>
      <c r="D7" s="688" t="n"/>
      <c r="E7" s="688" t="n"/>
      <c r="F7" s="689" t="n"/>
      <c r="G7" s="0" t="n"/>
      <c r="H7" s="0" t="n"/>
      <c r="I7" s="0" t="n"/>
      <c r="J7" s="0" t="n"/>
      <c r="K7" s="0" t="n"/>
      <c r="L7" s="0" t="n"/>
      <c r="M7" s="73" t="n"/>
      <c r="N7" s="81" t="n"/>
      <c r="CG7" s="102" t="n"/>
      <c r="CH7" s="102" t="n"/>
      <c r="CI7" s="102" t="n"/>
      <c r="CJ7" s="102" t="n"/>
      <c r="CK7" s="102" t="n"/>
      <c r="CL7" s="102" t="n"/>
      <c r="CM7" s="102" t="n"/>
      <c r="CN7" s="102" t="n"/>
      <c r="CO7" s="102" t="n"/>
      <c r="CP7" s="102" t="n"/>
      <c r="CQ7" s="102" t="n"/>
      <c r="CR7" s="102" t="n"/>
      <c r="CS7" s="102" t="n"/>
      <c r="CT7" s="102" t="n"/>
      <c r="CU7" s="102" t="n"/>
      <c r="CV7" s="102" t="n"/>
      <c r="CW7" s="102" t="n"/>
      <c r="CX7" s="102" t="n"/>
      <c r="CY7" s="102" t="n"/>
      <c r="CZ7" s="102" t="n"/>
      <c r="DA7" s="102" t="n"/>
      <c r="DB7" s="102" t="n"/>
      <c r="DC7" s="102" t="n"/>
      <c r="DD7" s="102" t="n"/>
      <c r="DE7" s="102" t="n"/>
      <c r="DF7" s="102" t="n"/>
      <c r="DG7" s="107" t="n"/>
      <c r="DH7" s="102" t="n"/>
      <c r="DI7" s="104" t="n"/>
    </row>
    <row r="8" ht="15" customFormat="1" customHeight="1" s="101">
      <c r="A8" s="98" t="n"/>
      <c r="B8" s="641" t="n"/>
      <c r="F8" s="690" t="n"/>
      <c r="G8" s="0" t="n"/>
      <c r="H8" s="0" t="n"/>
      <c r="I8" s="0" t="n"/>
      <c r="J8" s="0" t="n"/>
      <c r="K8" s="0" t="n"/>
      <c r="L8" s="0" t="n"/>
      <c r="M8" s="73" t="n"/>
      <c r="N8" s="81" t="n"/>
      <c r="CG8" s="102" t="n"/>
      <c r="CH8" s="102" t="n"/>
      <c r="CI8" s="102" t="n"/>
      <c r="CJ8" s="102" t="n"/>
      <c r="CK8" s="102" t="n"/>
      <c r="CL8" s="102" t="n"/>
      <c r="CM8" s="102" t="n"/>
      <c r="CN8" s="102" t="n"/>
      <c r="CO8" s="102" t="n"/>
      <c r="CP8" s="102" t="n"/>
      <c r="CQ8" s="102" t="n"/>
      <c r="CR8" s="102" t="n"/>
      <c r="CS8" s="102" t="n"/>
      <c r="CT8" s="102" t="n"/>
      <c r="CU8" s="102" t="n"/>
      <c r="CV8" s="102" t="n"/>
      <c r="CW8" s="102" t="n"/>
      <c r="CX8" s="102" t="n"/>
      <c r="CY8" s="102" t="n"/>
      <c r="CZ8" s="102" t="n"/>
      <c r="DA8" s="102" t="n"/>
      <c r="DB8" s="102" t="n"/>
      <c r="DC8" s="102" t="n"/>
      <c r="DD8" s="102" t="n"/>
      <c r="DE8" s="102" t="n"/>
      <c r="DF8" s="102" t="n"/>
      <c r="DG8" s="107" t="n"/>
      <c r="DH8" s="102" t="n"/>
      <c r="DI8" s="104" t="n"/>
    </row>
    <row r="9" ht="15" customFormat="1" customHeight="1" s="101">
      <c r="A9" s="98" t="n"/>
      <c r="B9" s="644" t="n"/>
      <c r="C9" s="645" t="n"/>
      <c r="D9" s="645" t="n"/>
      <c r="E9" s="645" t="n"/>
      <c r="F9" s="691" t="n"/>
      <c r="G9" s="0" t="n"/>
      <c r="H9" s="0" t="n"/>
      <c r="I9" s="0" t="n"/>
      <c r="J9" s="0" t="n"/>
      <c r="K9" s="0" t="n"/>
      <c r="L9" s="0" t="n"/>
      <c r="M9" s="73" t="n"/>
      <c r="N9" s="81" t="n"/>
      <c r="CG9" s="102" t="n"/>
      <c r="CH9" s="102" t="n"/>
      <c r="CI9" s="102" t="n"/>
      <c r="CJ9" s="102" t="n"/>
      <c r="CK9" s="102" t="n"/>
      <c r="CL9" s="102" t="n"/>
      <c r="CM9" s="102" t="n"/>
      <c r="CN9" s="102" t="n"/>
      <c r="CO9" s="102" t="n"/>
      <c r="CP9" s="102" t="n"/>
      <c r="CQ9" s="102" t="n"/>
      <c r="CR9" s="102" t="n"/>
      <c r="CS9" s="102" t="n"/>
      <c r="CT9" s="102" t="n"/>
      <c r="CU9" s="102" t="n"/>
      <c r="CV9" s="102" t="n"/>
      <c r="CW9" s="102" t="n"/>
      <c r="CX9" s="102" t="n"/>
      <c r="CY9" s="102" t="n"/>
      <c r="CZ9" s="102" t="n"/>
      <c r="DA9" s="102" t="n"/>
      <c r="DB9" s="102" t="n"/>
      <c r="DC9" s="102" t="n"/>
      <c r="DD9" s="102" t="n"/>
      <c r="DE9" s="102" t="n"/>
      <c r="DF9" s="102" t="n"/>
      <c r="DG9" s="107" t="n"/>
      <c r="DH9" s="102" t="n"/>
      <c r="DI9" s="104" t="n"/>
    </row>
    <row r="10" ht="15" customFormat="1" customHeight="1" s="106">
      <c r="A10" s="105" t="n"/>
      <c r="B10" s="105" t="n"/>
      <c r="C10" s="105" t="n"/>
      <c r="D10" s="105" t="n"/>
      <c r="E10" s="105" t="n"/>
      <c r="F10" s="105" t="n"/>
      <c r="G10" s="105" t="n"/>
      <c r="H10" s="105" t="n"/>
      <c r="I10" s="73" t="n"/>
      <c r="J10" s="73" t="n"/>
      <c r="K10" s="73" t="n"/>
      <c r="L10" s="73" t="n"/>
      <c r="N10" s="81" t="n"/>
      <c r="CG10" s="102" t="n"/>
      <c r="CH10" s="102" t="n"/>
      <c r="CI10" s="102" t="n"/>
      <c r="CJ10" s="102" t="n"/>
      <c r="CK10" s="102" t="n"/>
      <c r="CL10" s="102" t="n"/>
      <c r="CM10" s="102" t="n"/>
      <c r="CN10" s="102" t="n"/>
      <c r="CO10" s="102" t="n"/>
      <c r="CP10" s="102" t="n"/>
      <c r="CQ10" s="102" t="n"/>
      <c r="CR10" s="102" t="n"/>
      <c r="CS10" s="102" t="n"/>
      <c r="CT10" s="102" t="n"/>
      <c r="CU10" s="102" t="n"/>
      <c r="CV10" s="102" t="n"/>
      <c r="CW10" s="102" t="n"/>
      <c r="CX10" s="102" t="n"/>
      <c r="CY10" s="102" t="n"/>
      <c r="CZ10" s="102" t="n"/>
      <c r="DA10" s="102" t="n"/>
      <c r="DB10" s="102" t="n"/>
      <c r="DC10" s="102" t="n"/>
      <c r="DD10" s="102" t="n"/>
      <c r="DE10" s="102" t="n"/>
      <c r="DF10" s="102" t="n"/>
      <c r="DG10" s="107" t="n"/>
      <c r="DH10" s="102" t="n"/>
      <c r="DI10" s="104" t="n"/>
    </row>
    <row r="11" ht="15" customFormat="1" customHeight="1" s="112">
      <c r="A11" s="108" t="inlineStr">
        <is>
          <t>　</t>
        </is>
      </c>
      <c r="B11" s="404" t="inlineStr">
        <is>
          <t>表2 记录用于执行程序的总体</t>
        </is>
      </c>
      <c r="C11" s="110" t="n"/>
      <c r="D11" s="110" t="n"/>
      <c r="E11" s="110" t="n"/>
      <c r="F11" s="158" t="n"/>
      <c r="G11" s="158" t="n"/>
      <c r="H11" s="158" t="n"/>
      <c r="I11" s="110" t="n"/>
      <c r="J11" s="110" t="n"/>
      <c r="K11" s="110" t="n"/>
      <c r="L11" s="110" t="n"/>
      <c r="M11" s="106" t="n"/>
      <c r="N11" s="81" t="n"/>
      <c r="O11" s="109" t="inlineStr">
        <is>
          <t>　</t>
        </is>
      </c>
      <c r="P11" s="109" t="inlineStr">
        <is>
          <t>　</t>
        </is>
      </c>
      <c r="Q11" s="109" t="inlineStr">
        <is>
          <t>　</t>
        </is>
      </c>
      <c r="R11" s="109" t="inlineStr">
        <is>
          <t>　</t>
        </is>
      </c>
      <c r="S11" s="109" t="inlineStr">
        <is>
          <t>　</t>
        </is>
      </c>
      <c r="T11" s="109" t="inlineStr">
        <is>
          <t>　</t>
        </is>
      </c>
      <c r="U11" s="109" t="inlineStr">
        <is>
          <t>　</t>
        </is>
      </c>
      <c r="V11" s="109" t="inlineStr">
        <is>
          <t>　</t>
        </is>
      </c>
      <c r="W11" s="109" t="inlineStr">
        <is>
          <t>　</t>
        </is>
      </c>
      <c r="X11" s="109" t="inlineStr">
        <is>
          <t>　</t>
        </is>
      </c>
      <c r="Y11" s="109" t="inlineStr">
        <is>
          <t>　</t>
        </is>
      </c>
      <c r="Z11" s="109" t="inlineStr">
        <is>
          <t>　</t>
        </is>
      </c>
      <c r="AA11" s="109" t="inlineStr">
        <is>
          <t>　</t>
        </is>
      </c>
      <c r="AB11" s="109" t="inlineStr">
        <is>
          <t>　</t>
        </is>
      </c>
      <c r="AC11" s="109" t="inlineStr">
        <is>
          <t>　</t>
        </is>
      </c>
      <c r="AD11" s="109" t="inlineStr">
        <is>
          <t>　</t>
        </is>
      </c>
      <c r="AE11" s="109" t="inlineStr">
        <is>
          <t>　</t>
        </is>
      </c>
      <c r="AF11" s="109" t="inlineStr">
        <is>
          <t>　</t>
        </is>
      </c>
      <c r="AG11" s="109" t="inlineStr">
        <is>
          <t>　</t>
        </is>
      </c>
      <c r="AH11" s="109" t="inlineStr">
        <is>
          <t>　</t>
        </is>
      </c>
      <c r="AI11" s="109" t="inlineStr">
        <is>
          <t>　</t>
        </is>
      </c>
      <c r="AJ11" s="109" t="inlineStr">
        <is>
          <t>　</t>
        </is>
      </c>
      <c r="AK11" s="109" t="inlineStr">
        <is>
          <t>　</t>
        </is>
      </c>
      <c r="AL11" s="109" t="inlineStr">
        <is>
          <t>　</t>
        </is>
      </c>
      <c r="AM11" s="109" t="inlineStr">
        <is>
          <t>　</t>
        </is>
      </c>
      <c r="AN11" s="109" t="inlineStr">
        <is>
          <t>　</t>
        </is>
      </c>
      <c r="AO11" s="109" t="inlineStr">
        <is>
          <t>　</t>
        </is>
      </c>
      <c r="AP11" s="109" t="inlineStr">
        <is>
          <t>　</t>
        </is>
      </c>
      <c r="AQ11" s="109" t="inlineStr">
        <is>
          <t>　</t>
        </is>
      </c>
      <c r="AR11" s="109" t="inlineStr">
        <is>
          <t>　</t>
        </is>
      </c>
      <c r="AS11" s="109" t="inlineStr">
        <is>
          <t>　</t>
        </is>
      </c>
      <c r="AT11" s="109" t="inlineStr">
        <is>
          <t>　</t>
        </is>
      </c>
      <c r="AU11" s="109" t="inlineStr">
        <is>
          <t>　</t>
        </is>
      </c>
      <c r="AV11" s="109" t="inlineStr">
        <is>
          <t>　</t>
        </is>
      </c>
      <c r="AW11" s="109" t="inlineStr">
        <is>
          <t>　</t>
        </is>
      </c>
      <c r="AX11" s="109" t="inlineStr">
        <is>
          <t>　</t>
        </is>
      </c>
      <c r="AY11" s="109" t="inlineStr">
        <is>
          <t>　</t>
        </is>
      </c>
      <c r="AZ11" s="109" t="inlineStr">
        <is>
          <t>　</t>
        </is>
      </c>
      <c r="BA11" s="109" t="inlineStr">
        <is>
          <t>　</t>
        </is>
      </c>
      <c r="BB11" s="109" t="inlineStr">
        <is>
          <t>　</t>
        </is>
      </c>
      <c r="BC11" s="109" t="inlineStr">
        <is>
          <t>　</t>
        </is>
      </c>
      <c r="BD11" s="109" t="inlineStr">
        <is>
          <t>　</t>
        </is>
      </c>
      <c r="BE11" s="109" t="inlineStr">
        <is>
          <t>　</t>
        </is>
      </c>
      <c r="BF11" s="109" t="inlineStr">
        <is>
          <t>　</t>
        </is>
      </c>
      <c r="BG11" s="109" t="inlineStr">
        <is>
          <t>　</t>
        </is>
      </c>
      <c r="BH11" s="109" t="inlineStr">
        <is>
          <t>　</t>
        </is>
      </c>
      <c r="BI11" s="109" t="inlineStr">
        <is>
          <t>　</t>
        </is>
      </c>
      <c r="BJ11" s="109" t="inlineStr">
        <is>
          <t>　</t>
        </is>
      </c>
      <c r="BK11" s="109" t="inlineStr">
        <is>
          <t>　</t>
        </is>
      </c>
      <c r="BL11" s="109" t="inlineStr">
        <is>
          <t>　</t>
        </is>
      </c>
      <c r="BM11" s="109" t="inlineStr">
        <is>
          <t>　</t>
        </is>
      </c>
      <c r="BN11" s="109" t="inlineStr">
        <is>
          <t>　</t>
        </is>
      </c>
      <c r="BO11" s="109" t="inlineStr">
        <is>
          <t>　</t>
        </is>
      </c>
      <c r="BP11" s="109" t="inlineStr">
        <is>
          <t>　</t>
        </is>
      </c>
      <c r="BQ11" s="109" t="inlineStr">
        <is>
          <t>　</t>
        </is>
      </c>
      <c r="BR11" s="109" t="inlineStr">
        <is>
          <t>　</t>
        </is>
      </c>
      <c r="BS11" s="109" t="inlineStr">
        <is>
          <t>　</t>
        </is>
      </c>
      <c r="BT11" s="109" t="inlineStr">
        <is>
          <t>　</t>
        </is>
      </c>
      <c r="BU11" s="109" t="inlineStr">
        <is>
          <t>　</t>
        </is>
      </c>
      <c r="BV11" s="109" t="inlineStr">
        <is>
          <t>　</t>
        </is>
      </c>
      <c r="BW11" s="109" t="inlineStr">
        <is>
          <t>　</t>
        </is>
      </c>
      <c r="BX11" s="109" t="inlineStr">
        <is>
          <t>　</t>
        </is>
      </c>
      <c r="BY11" s="109" t="inlineStr">
        <is>
          <t>　</t>
        </is>
      </c>
      <c r="BZ11" s="109" t="inlineStr">
        <is>
          <t>　</t>
        </is>
      </c>
      <c r="CA11" s="109" t="inlineStr">
        <is>
          <t>　</t>
        </is>
      </c>
      <c r="CB11" s="109" t="inlineStr">
        <is>
          <t>　</t>
        </is>
      </c>
      <c r="CC11" s="109" t="inlineStr">
        <is>
          <t>　</t>
        </is>
      </c>
      <c r="CD11" s="109" t="inlineStr">
        <is>
          <t>　</t>
        </is>
      </c>
      <c r="CE11" s="109" t="inlineStr">
        <is>
          <t>　</t>
        </is>
      </c>
      <c r="CF11" s="109" t="inlineStr">
        <is>
          <t>　</t>
        </is>
      </c>
      <c r="CG11" s="109" t="inlineStr">
        <is>
          <t>　</t>
        </is>
      </c>
      <c r="CH11" s="109" t="inlineStr">
        <is>
          <t>　</t>
        </is>
      </c>
      <c r="CI11" s="109" t="inlineStr">
        <is>
          <t>　</t>
        </is>
      </c>
      <c r="CJ11" s="109" t="inlineStr">
        <is>
          <t>　</t>
        </is>
      </c>
      <c r="CK11" s="109" t="inlineStr">
        <is>
          <t>　</t>
        </is>
      </c>
      <c r="CL11" s="109" t="inlineStr">
        <is>
          <t>　</t>
        </is>
      </c>
      <c r="CM11" s="109" t="inlineStr">
        <is>
          <t>　</t>
        </is>
      </c>
      <c r="CN11" s="109" t="inlineStr">
        <is>
          <t>　</t>
        </is>
      </c>
      <c r="CO11" s="109" t="inlineStr">
        <is>
          <t>　</t>
        </is>
      </c>
      <c r="CP11" s="109" t="inlineStr">
        <is>
          <t>　</t>
        </is>
      </c>
      <c r="CQ11" s="109" t="inlineStr">
        <is>
          <t>　</t>
        </is>
      </c>
      <c r="CR11" s="110" t="n"/>
      <c r="CS11" s="110" t="n"/>
      <c r="CT11" s="110" t="n"/>
      <c r="CU11" s="110" t="n"/>
      <c r="CV11" s="110" t="n"/>
      <c r="CW11" s="110" t="n"/>
      <c r="CX11" s="110" t="n"/>
      <c r="CY11" s="110" t="n"/>
      <c r="CZ11" s="110" t="n"/>
      <c r="DA11" s="110" t="n"/>
      <c r="DB11" s="110" t="n"/>
      <c r="DC11" s="110" t="n"/>
      <c r="DD11" s="110" t="n"/>
      <c r="DE11" s="110" t="n"/>
      <c r="DF11" s="110" t="n"/>
      <c r="DG11" s="110" t="n"/>
      <c r="DH11" s="110" t="n"/>
      <c r="DI11" s="110" t="n"/>
      <c r="DJ11" s="110" t="n"/>
      <c r="DK11" s="110" t="n"/>
      <c r="DL11" s="110" t="n"/>
      <c r="DM11" s="110" t="n"/>
      <c r="DN11" s="110" t="n"/>
      <c r="DO11" s="110" t="n"/>
      <c r="DP11" s="110" t="n"/>
      <c r="DQ11" s="110" t="n"/>
      <c r="DR11" s="110" t="n"/>
      <c r="DS11" s="110" t="n"/>
      <c r="DT11" s="110" t="n"/>
      <c r="DU11" s="111" t="n"/>
    </row>
    <row r="12" ht="15" customFormat="1" customHeight="1" s="112">
      <c r="A12" s="113" t="n"/>
      <c r="B12" s="72" t="n"/>
      <c r="C12" s="72" t="n"/>
      <c r="D12" s="72" t="n"/>
      <c r="E12" s="72" t="n"/>
      <c r="F12" s="72" t="n"/>
      <c r="G12" s="72" t="n"/>
      <c r="H12" s="72" t="n"/>
      <c r="I12" s="72" t="n"/>
      <c r="J12" s="72" t="n"/>
      <c r="K12" s="72" t="n"/>
      <c r="M12" s="106" t="n"/>
      <c r="N12" s="81" t="n"/>
      <c r="CS12" s="111" t="n"/>
      <c r="CT12" s="111" t="n"/>
      <c r="CU12" s="111" t="n"/>
      <c r="CV12" s="102" t="n"/>
      <c r="CW12" s="102" t="n"/>
      <c r="CX12" s="102" t="n"/>
      <c r="CY12" s="102" t="n"/>
      <c r="CZ12" s="102" t="n"/>
      <c r="DA12" s="102" t="n"/>
      <c r="DB12" s="102" t="n"/>
      <c r="DC12" s="102" t="n"/>
      <c r="DD12" s="111" t="n"/>
      <c r="DE12" s="102" t="n"/>
      <c r="DF12" s="102" t="n"/>
      <c r="DG12" s="102" t="n"/>
      <c r="DH12" s="102" t="n"/>
      <c r="DI12" s="102" t="n"/>
      <c r="DJ12" s="111" t="n"/>
      <c r="DK12" s="111" t="n"/>
      <c r="DL12" s="111" t="n"/>
      <c r="DM12" s="111" t="n"/>
      <c r="DN12" s="111" t="n"/>
      <c r="DO12" s="111" t="n"/>
      <c r="DP12" s="111" t="n"/>
      <c r="DQ12" s="111" t="n"/>
      <c r="DR12" s="111" t="n"/>
      <c r="DS12" s="114" t="n"/>
      <c r="DT12" s="111" t="n"/>
      <c r="DU12" s="111" t="n"/>
    </row>
    <row r="13" ht="15" customFormat="1" customHeight="1" s="112">
      <c r="A13" s="113" t="n"/>
      <c r="B13" s="162" t="inlineStr">
        <is>
          <t>资料名称</t>
        </is>
      </c>
      <c r="C13" s="162" t="inlineStr">
        <is>
          <t>涵盖期间</t>
        </is>
      </c>
      <c r="D13" s="162" t="inlineStr">
        <is>
          <t>备注</t>
        </is>
      </c>
      <c r="E13" s="648" t="n"/>
      <c r="F13" s="649" t="n"/>
      <c r="G13" s="0" t="n"/>
      <c r="H13" s="0" t="n"/>
      <c r="I13" s="0" t="n"/>
      <c r="J13" s="0" t="n"/>
      <c r="K13" s="0" t="n"/>
      <c r="L13" s="0" t="n"/>
      <c r="N13" s="81" t="n"/>
      <c r="CM13" s="111" t="n"/>
      <c r="CN13" s="111" t="n"/>
      <c r="CO13" s="111" t="n"/>
      <c r="CP13" s="102" t="n"/>
      <c r="CQ13" s="102" t="n"/>
      <c r="CR13" s="102" t="n"/>
      <c r="CS13" s="102" t="n"/>
      <c r="CT13" s="102" t="n"/>
      <c r="CU13" s="102" t="n"/>
      <c r="CV13" s="102" t="n"/>
      <c r="CW13" s="102" t="n"/>
      <c r="CX13" s="111" t="n"/>
      <c r="CY13" s="102" t="n"/>
      <c r="CZ13" s="102" t="n"/>
      <c r="DA13" s="102" t="n"/>
      <c r="DB13" s="102" t="n"/>
      <c r="DC13" s="102" t="n"/>
      <c r="DD13" s="111" t="n"/>
      <c r="DE13" s="111" t="n"/>
      <c r="DF13" s="111" t="n"/>
      <c r="DG13" s="111" t="n"/>
      <c r="DH13" s="111" t="n"/>
      <c r="DI13" s="111" t="n"/>
      <c r="DJ13" s="111" t="n"/>
      <c r="DK13" s="111" t="n"/>
      <c r="DL13" s="111" t="n"/>
      <c r="DM13" s="114" t="n"/>
      <c r="DN13" s="111" t="n"/>
      <c r="DO13" s="111" t="n"/>
    </row>
    <row r="14" ht="15" customFormat="1" customHeight="1" s="112">
      <c r="A14" s="113" t="n"/>
      <c r="B14" s="442" t="n"/>
      <c r="C14" s="442" t="n"/>
      <c r="D14" s="442" t="n"/>
      <c r="E14" s="648" t="n"/>
      <c r="F14" s="649" t="n"/>
      <c r="G14" s="0" t="n"/>
      <c r="H14" s="0" t="n"/>
      <c r="I14" s="0" t="n"/>
      <c r="J14" s="0" t="n"/>
      <c r="K14" s="0" t="n"/>
      <c r="L14" s="0" t="n"/>
      <c r="N14" s="81" t="n"/>
      <c r="CO14" s="111" t="n"/>
      <c r="CP14" s="111" t="n"/>
      <c r="CQ14" s="111" t="n"/>
      <c r="CR14" s="102" t="n"/>
      <c r="CS14" s="102" t="n"/>
      <c r="CT14" s="102" t="n"/>
      <c r="CU14" s="102" t="n"/>
      <c r="CV14" s="102" t="n"/>
      <c r="CW14" s="102" t="n"/>
      <c r="CX14" s="102" t="n"/>
      <c r="CY14" s="102" t="n"/>
      <c r="CZ14" s="111" t="n"/>
      <c r="DA14" s="102" t="n"/>
      <c r="DB14" s="102" t="n"/>
      <c r="DC14" s="102" t="n"/>
      <c r="DD14" s="102" t="n"/>
      <c r="DE14" s="102" t="n"/>
      <c r="DF14" s="111" t="n"/>
      <c r="DG14" s="111" t="n"/>
      <c r="DH14" s="111" t="n"/>
      <c r="DI14" s="111" t="n"/>
      <c r="DJ14" s="111" t="n"/>
      <c r="DK14" s="111" t="n"/>
      <c r="DL14" s="111" t="n"/>
      <c r="DM14" s="111" t="n"/>
      <c r="DN14" s="111" t="n"/>
      <c r="DO14" s="114" t="n"/>
      <c r="DP14" s="111" t="n"/>
      <c r="DQ14" s="111" t="n"/>
    </row>
    <row r="15" ht="15" customFormat="1" customHeight="1" s="112">
      <c r="A15" s="113" t="n"/>
      <c r="B15" s="442" t="n"/>
      <c r="C15" s="442" t="n"/>
      <c r="D15" s="442" t="n"/>
      <c r="E15" s="648" t="n"/>
      <c r="F15" s="649" t="n"/>
      <c r="G15" s="0" t="n"/>
      <c r="H15" s="0" t="n"/>
      <c r="I15" s="0" t="n"/>
      <c r="J15" s="0" t="n"/>
      <c r="K15" s="0" t="n"/>
      <c r="L15" s="0" t="n"/>
      <c r="N15" s="81" t="n"/>
      <c r="CO15" s="111" t="n"/>
      <c r="CP15" s="111" t="n"/>
      <c r="CQ15" s="111" t="n"/>
      <c r="CR15" s="102" t="n"/>
      <c r="CS15" s="102" t="n"/>
      <c r="CT15" s="102" t="n"/>
      <c r="CU15" s="102" t="n"/>
      <c r="CV15" s="102" t="n"/>
      <c r="CW15" s="102" t="n"/>
      <c r="CX15" s="102" t="n"/>
      <c r="CY15" s="102" t="n"/>
      <c r="CZ15" s="111" t="n"/>
      <c r="DA15" s="102" t="n"/>
      <c r="DB15" s="102" t="n"/>
      <c r="DC15" s="102" t="n"/>
      <c r="DD15" s="102" t="n"/>
      <c r="DE15" s="102" t="n"/>
      <c r="DF15" s="111" t="n"/>
      <c r="DG15" s="111" t="n"/>
      <c r="DH15" s="111" t="n"/>
      <c r="DI15" s="111" t="n"/>
      <c r="DJ15" s="111" t="n"/>
      <c r="DK15" s="111" t="n"/>
      <c r="DL15" s="111" t="n"/>
      <c r="DM15" s="111" t="n"/>
      <c r="DN15" s="111" t="n"/>
      <c r="DO15" s="114" t="n"/>
      <c r="DP15" s="111" t="n"/>
      <c r="DQ15" s="111" t="n"/>
    </row>
    <row r="16" ht="15" customFormat="1" customHeight="1" s="112">
      <c r="A16" s="113" t="n"/>
      <c r="B16" s="442" t="n"/>
      <c r="C16" s="442" t="n"/>
      <c r="D16" s="442" t="n"/>
      <c r="E16" s="648" t="n"/>
      <c r="F16" s="649" t="n"/>
      <c r="G16" s="0" t="n"/>
      <c r="H16" s="0" t="n"/>
      <c r="I16" s="0" t="n"/>
      <c r="J16" s="0" t="n"/>
      <c r="K16" s="0" t="n"/>
      <c r="L16" s="0" t="n"/>
      <c r="N16" s="81" t="n"/>
      <c r="CO16" s="111" t="n"/>
      <c r="CP16" s="111" t="n"/>
      <c r="CQ16" s="111" t="n"/>
      <c r="CR16" s="102" t="n"/>
      <c r="CS16" s="102" t="n"/>
      <c r="CT16" s="102" t="n"/>
      <c r="CU16" s="102" t="n"/>
      <c r="CV16" s="102" t="n"/>
      <c r="CW16" s="102" t="n"/>
      <c r="CX16" s="102" t="n"/>
      <c r="CY16" s="102" t="n"/>
      <c r="CZ16" s="111" t="n"/>
      <c r="DA16" s="102" t="n"/>
      <c r="DB16" s="102" t="n"/>
      <c r="DC16" s="102" t="n"/>
      <c r="DD16" s="102" t="n"/>
      <c r="DE16" s="102" t="n"/>
      <c r="DF16" s="111" t="n"/>
      <c r="DG16" s="111" t="n"/>
      <c r="DH16" s="111" t="n"/>
      <c r="DI16" s="111" t="n"/>
      <c r="DJ16" s="111" t="n"/>
      <c r="DK16" s="111" t="n"/>
      <c r="DL16" s="111" t="n"/>
      <c r="DM16" s="111" t="n"/>
      <c r="DN16" s="111" t="n"/>
      <c r="DO16" s="114" t="n"/>
      <c r="DP16" s="111" t="n"/>
      <c r="DQ16" s="111" t="n"/>
    </row>
    <row r="17" ht="15" customFormat="1" customHeight="1" s="101">
      <c r="A17" s="98" t="n"/>
      <c r="B17" s="769" t="n"/>
      <c r="C17" s="769" t="n"/>
      <c r="D17" s="767" t="n"/>
      <c r="E17" s="767" t="n"/>
      <c r="F17" s="767" t="n"/>
      <c r="G17" s="0" t="n"/>
      <c r="H17" s="0" t="n"/>
      <c r="I17" s="0" t="n"/>
      <c r="J17" s="0" t="n"/>
      <c r="K17" s="0" t="n"/>
      <c r="L17" s="0" t="n"/>
      <c r="N17" s="81" t="n"/>
      <c r="CO17" s="102" t="n"/>
      <c r="CP17" s="102" t="n"/>
      <c r="CQ17" s="102" t="n"/>
      <c r="CR17" s="102" t="n"/>
      <c r="CS17" s="102" t="n"/>
      <c r="CT17" s="102" t="n"/>
      <c r="CU17" s="102" t="n"/>
      <c r="CV17" s="102" t="n"/>
      <c r="CW17" s="102" t="n"/>
      <c r="CX17" s="102" t="n"/>
      <c r="CY17" s="102" t="n"/>
      <c r="CZ17" s="102" t="n"/>
      <c r="DA17" s="102" t="n"/>
      <c r="DB17" s="102" t="n"/>
      <c r="DC17" s="102" t="n"/>
      <c r="DD17" s="102" t="n"/>
      <c r="DE17" s="102" t="n"/>
      <c r="DF17" s="102" t="n"/>
      <c r="DG17" s="102" t="n"/>
      <c r="DH17" s="102" t="n"/>
      <c r="DI17" s="102" t="n"/>
      <c r="DJ17" s="102" t="n"/>
      <c r="DK17" s="102" t="n"/>
      <c r="DL17" s="102" t="n"/>
      <c r="DM17" s="102" t="n"/>
      <c r="DN17" s="102" t="n"/>
      <c r="DO17" s="107" t="n"/>
      <c r="DP17" s="102" t="n"/>
      <c r="DQ17" s="104" t="n"/>
    </row>
    <row r="18" ht="15" customFormat="1" customHeight="1" s="101">
      <c r="A18" s="108" t="inlineStr">
        <is>
          <t>　</t>
        </is>
      </c>
      <c r="B18" s="170" t="inlineStr">
        <is>
          <t xml:space="preserve"> 测试：用于在正确期间正确评估交易记录的截止测试项目 </t>
        </is>
      </c>
      <c r="C18" s="170" t="n"/>
      <c r="D18" s="170" t="n"/>
      <c r="E18" s="170" t="inlineStr">
        <is>
          <t>　</t>
        </is>
      </c>
      <c r="F18" s="170" t="inlineStr">
        <is>
          <t>　</t>
        </is>
      </c>
      <c r="G18" s="170" t="inlineStr">
        <is>
          <t>　</t>
        </is>
      </c>
      <c r="H18" s="170" t="inlineStr">
        <is>
          <t>　</t>
        </is>
      </c>
      <c r="I18" s="170" t="inlineStr">
        <is>
          <t>　</t>
        </is>
      </c>
      <c r="J18" s="170" t="inlineStr">
        <is>
          <t>　</t>
        </is>
      </c>
      <c r="K18" s="170" t="inlineStr">
        <is>
          <t>　</t>
        </is>
      </c>
      <c r="L18" s="170" t="inlineStr">
        <is>
          <t>　</t>
        </is>
      </c>
      <c r="N18" s="81" t="n"/>
      <c r="O18" s="116" t="inlineStr">
        <is>
          <t>　</t>
        </is>
      </c>
      <c r="P18" s="116" t="inlineStr">
        <is>
          <t>　</t>
        </is>
      </c>
      <c r="Q18" s="116" t="inlineStr">
        <is>
          <t>　</t>
        </is>
      </c>
      <c r="R18" s="116" t="inlineStr">
        <is>
          <t>　</t>
        </is>
      </c>
      <c r="S18" s="116" t="inlineStr">
        <is>
          <t>　</t>
        </is>
      </c>
      <c r="T18" s="116" t="inlineStr">
        <is>
          <t>　</t>
        </is>
      </c>
      <c r="U18" s="116" t="inlineStr">
        <is>
          <t>　</t>
        </is>
      </c>
      <c r="V18" s="116" t="inlineStr">
        <is>
          <t>　</t>
        </is>
      </c>
      <c r="W18" s="116" t="inlineStr">
        <is>
          <t>　</t>
        </is>
      </c>
      <c r="X18" s="116" t="inlineStr">
        <is>
          <t>　</t>
        </is>
      </c>
      <c r="Y18" s="116" t="inlineStr">
        <is>
          <t>　</t>
        </is>
      </c>
      <c r="Z18" s="116" t="inlineStr">
        <is>
          <t>　</t>
        </is>
      </c>
      <c r="AA18" s="116" t="inlineStr">
        <is>
          <t>　</t>
        </is>
      </c>
      <c r="AB18" s="116" t="inlineStr">
        <is>
          <t>　</t>
        </is>
      </c>
      <c r="AC18" s="116" t="inlineStr">
        <is>
          <t>　</t>
        </is>
      </c>
      <c r="AD18" s="116" t="inlineStr">
        <is>
          <t>　</t>
        </is>
      </c>
      <c r="AE18" s="116" t="inlineStr">
        <is>
          <t>　</t>
        </is>
      </c>
      <c r="AF18" s="116" t="inlineStr">
        <is>
          <t>　</t>
        </is>
      </c>
      <c r="AG18" s="116" t="inlineStr">
        <is>
          <t>　</t>
        </is>
      </c>
      <c r="AH18" s="116" t="inlineStr">
        <is>
          <t>　</t>
        </is>
      </c>
      <c r="AI18" s="116" t="inlineStr">
        <is>
          <t>　</t>
        </is>
      </c>
      <c r="AJ18" s="116" t="inlineStr">
        <is>
          <t>　</t>
        </is>
      </c>
      <c r="AK18" s="116" t="inlineStr">
        <is>
          <t>　</t>
        </is>
      </c>
      <c r="AL18" s="116" t="inlineStr">
        <is>
          <t>　</t>
        </is>
      </c>
      <c r="AM18" s="116" t="inlineStr">
        <is>
          <t>　</t>
        </is>
      </c>
      <c r="AN18" s="116" t="inlineStr">
        <is>
          <t>　</t>
        </is>
      </c>
      <c r="AO18" s="116" t="inlineStr">
        <is>
          <t>　</t>
        </is>
      </c>
      <c r="AP18" s="116" t="inlineStr">
        <is>
          <t>　</t>
        </is>
      </c>
      <c r="AQ18" s="116" t="inlineStr">
        <is>
          <t>　</t>
        </is>
      </c>
      <c r="AR18" s="116" t="inlineStr">
        <is>
          <t>　</t>
        </is>
      </c>
      <c r="AS18" s="116" t="inlineStr">
        <is>
          <t>　</t>
        </is>
      </c>
      <c r="AT18" s="116" t="inlineStr">
        <is>
          <t>　</t>
        </is>
      </c>
      <c r="AU18" s="116" t="inlineStr">
        <is>
          <t>　</t>
        </is>
      </c>
      <c r="AV18" s="116" t="inlineStr">
        <is>
          <t>　</t>
        </is>
      </c>
      <c r="AW18" s="116" t="inlineStr">
        <is>
          <t>　</t>
        </is>
      </c>
      <c r="AX18" s="116" t="inlineStr">
        <is>
          <t>　</t>
        </is>
      </c>
      <c r="AY18" s="116" t="inlineStr">
        <is>
          <t>　</t>
        </is>
      </c>
      <c r="AZ18" s="116" t="inlineStr">
        <is>
          <t>　</t>
        </is>
      </c>
      <c r="BA18" s="116" t="inlineStr">
        <is>
          <t>　</t>
        </is>
      </c>
      <c r="BB18" s="116" t="inlineStr">
        <is>
          <t>　</t>
        </is>
      </c>
      <c r="BC18" s="116" t="inlineStr">
        <is>
          <t>　</t>
        </is>
      </c>
      <c r="BD18" s="116" t="inlineStr">
        <is>
          <t>　</t>
        </is>
      </c>
      <c r="BE18" s="116" t="inlineStr">
        <is>
          <t>　</t>
        </is>
      </c>
      <c r="BF18" s="116" t="inlineStr">
        <is>
          <t>　</t>
        </is>
      </c>
      <c r="BG18" s="116" t="inlineStr">
        <is>
          <t>　</t>
        </is>
      </c>
      <c r="BH18" s="116" t="inlineStr">
        <is>
          <t>　</t>
        </is>
      </c>
      <c r="BI18" s="116" t="inlineStr">
        <is>
          <t>　</t>
        </is>
      </c>
      <c r="BJ18" s="116" t="inlineStr">
        <is>
          <t>　</t>
        </is>
      </c>
      <c r="BK18" s="116" t="inlineStr">
        <is>
          <t>　</t>
        </is>
      </c>
      <c r="BL18" s="116" t="inlineStr">
        <is>
          <t>　</t>
        </is>
      </c>
      <c r="BM18" s="116" t="inlineStr">
        <is>
          <t>　</t>
        </is>
      </c>
      <c r="BN18" s="116" t="inlineStr">
        <is>
          <t>　</t>
        </is>
      </c>
      <c r="BO18" s="116" t="inlineStr">
        <is>
          <t>　</t>
        </is>
      </c>
      <c r="BP18" s="116" t="inlineStr">
        <is>
          <t>　</t>
        </is>
      </c>
      <c r="BQ18" s="116" t="inlineStr">
        <is>
          <t>　</t>
        </is>
      </c>
      <c r="BR18" s="116" t="inlineStr">
        <is>
          <t>　</t>
        </is>
      </c>
      <c r="BS18" s="116" t="inlineStr">
        <is>
          <t>　</t>
        </is>
      </c>
      <c r="BT18" s="116" t="inlineStr">
        <is>
          <t>　</t>
        </is>
      </c>
      <c r="BU18" s="116" t="inlineStr">
        <is>
          <t>　</t>
        </is>
      </c>
      <c r="BV18" s="116" t="inlineStr">
        <is>
          <t>　</t>
        </is>
      </c>
      <c r="BW18" s="116" t="inlineStr">
        <is>
          <t>　</t>
        </is>
      </c>
      <c r="BX18" s="116" t="inlineStr">
        <is>
          <t>　</t>
        </is>
      </c>
      <c r="BY18" s="116" t="inlineStr">
        <is>
          <t>　</t>
        </is>
      </c>
      <c r="BZ18" s="116" t="inlineStr">
        <is>
          <t>　</t>
        </is>
      </c>
      <c r="CA18" s="116" t="inlineStr">
        <is>
          <t>　</t>
        </is>
      </c>
      <c r="CB18" s="116" t="inlineStr">
        <is>
          <t>　</t>
        </is>
      </c>
      <c r="CC18" s="116" t="inlineStr">
        <is>
          <t>　</t>
        </is>
      </c>
      <c r="CD18" s="116" t="inlineStr">
        <is>
          <t>　</t>
        </is>
      </c>
      <c r="CE18" s="116" t="inlineStr">
        <is>
          <t>　</t>
        </is>
      </c>
      <c r="CF18" s="116" t="inlineStr">
        <is>
          <t>　</t>
        </is>
      </c>
      <c r="CG18" s="116" t="inlineStr">
        <is>
          <t>　</t>
        </is>
      </c>
      <c r="CH18" s="116" t="inlineStr">
        <is>
          <t>　</t>
        </is>
      </c>
      <c r="CI18" s="116" t="inlineStr">
        <is>
          <t>　</t>
        </is>
      </c>
      <c r="CJ18" s="116" t="inlineStr">
        <is>
          <t>　</t>
        </is>
      </c>
      <c r="CK18" s="116" t="inlineStr">
        <is>
          <t>　</t>
        </is>
      </c>
      <c r="CL18" s="116" t="inlineStr">
        <is>
          <t>　</t>
        </is>
      </c>
      <c r="CM18" s="116" t="inlineStr">
        <is>
          <t>　</t>
        </is>
      </c>
      <c r="CN18" s="117" t="n"/>
      <c r="CO18" s="117" t="n"/>
      <c r="CP18" s="117" t="n"/>
      <c r="CQ18" s="117" t="n"/>
      <c r="CR18" s="117" t="n"/>
      <c r="CS18" s="117" t="n"/>
      <c r="CT18" s="117" t="n"/>
      <c r="CU18" s="117" t="n"/>
      <c r="CV18" s="117" t="n"/>
      <c r="CW18" s="117" t="n"/>
      <c r="CX18" s="117" t="n"/>
      <c r="CY18" s="117" t="n"/>
      <c r="CZ18" s="117" t="n"/>
      <c r="DA18" s="117" t="n"/>
      <c r="DB18" s="117" t="n"/>
      <c r="DC18" s="117" t="n"/>
      <c r="DD18" s="117" t="n"/>
      <c r="DE18" s="117" t="n"/>
      <c r="DF18" s="117" t="n"/>
      <c r="DG18" s="117" t="n"/>
      <c r="DH18" s="117" t="n"/>
      <c r="DI18" s="117" t="n"/>
      <c r="DJ18" s="117" t="n"/>
      <c r="DK18" s="117" t="n"/>
      <c r="DL18" s="117" t="n"/>
      <c r="DM18" s="117" t="n"/>
      <c r="DN18" s="117" t="n"/>
      <c r="DO18" s="117" t="n"/>
      <c r="DP18" s="99" t="n"/>
      <c r="DQ18" s="116" t="inlineStr">
        <is>
          <t>　</t>
        </is>
      </c>
      <c r="DR18" s="116" t="inlineStr">
        <is>
          <t>　</t>
        </is>
      </c>
      <c r="DS18" s="116" t="inlineStr">
        <is>
          <t>　</t>
        </is>
      </c>
      <c r="DT18" s="116" t="inlineStr">
        <is>
          <t>　</t>
        </is>
      </c>
    </row>
    <row r="19" ht="15" customFormat="1" customHeight="1" s="101">
      <c r="A19" s="98" t="n"/>
      <c r="B19" s="75" t="n"/>
      <c r="C19" s="75" t="n"/>
      <c r="D19" s="75" t="n"/>
      <c r="E19" s="75" t="n"/>
      <c r="F19" s="75" t="n"/>
      <c r="G19" s="75" t="n"/>
      <c r="H19" s="75" t="n"/>
      <c r="I19" s="75" t="n"/>
      <c r="J19" s="75" t="n"/>
      <c r="K19" s="75" t="n"/>
      <c r="L19" s="75" t="n"/>
      <c r="N19" s="81" t="n"/>
      <c r="CO19" s="102" t="n"/>
      <c r="CP19" s="102" t="n"/>
      <c r="CQ19" s="102" t="n"/>
      <c r="CR19" s="102" t="n"/>
      <c r="CS19" s="102" t="n"/>
      <c r="CT19" s="102" t="n"/>
      <c r="CU19" s="102" t="n"/>
      <c r="CV19" s="102" t="n"/>
      <c r="CW19" s="102" t="n"/>
      <c r="CX19" s="102" t="n"/>
      <c r="CY19" s="102" t="n"/>
      <c r="CZ19" s="102" t="n"/>
      <c r="DA19" s="102" t="n"/>
      <c r="DB19" s="102" t="n"/>
      <c r="DC19" s="102" t="n"/>
      <c r="DD19" s="102" t="n"/>
      <c r="DE19" s="102" t="n"/>
      <c r="DF19" s="102" t="n"/>
      <c r="DG19" s="102" t="n"/>
      <c r="DH19" s="102" t="n"/>
      <c r="DI19" s="102" t="n"/>
      <c r="DJ19" s="102" t="n"/>
      <c r="DK19" s="102" t="n"/>
      <c r="DL19" s="102" t="n"/>
      <c r="DM19" s="102" t="n"/>
      <c r="DN19" s="102" t="n"/>
      <c r="DO19" s="107" t="n"/>
      <c r="DP19" s="102" t="n"/>
      <c r="DQ19" s="104" t="n"/>
    </row>
    <row r="20" ht="16.5" customFormat="1" customHeight="1" s="101">
      <c r="A20" s="98" t="n"/>
      <c r="B20" s="159" t="inlineStr">
        <is>
          <t>安永属性测试说明：</t>
        </is>
      </c>
      <c r="C20" s="160" t="n"/>
      <c r="D20" s="160" t="n"/>
      <c r="E20" s="160" t="n"/>
      <c r="F20" s="161" t="n"/>
      <c r="G20" s="0" t="n"/>
      <c r="H20" s="0" t="n"/>
      <c r="I20" s="0" t="n"/>
      <c r="J20" s="0" t="n"/>
      <c r="K20" s="0" t="n"/>
      <c r="L20" s="0" t="n"/>
      <c r="N20" s="81" t="n"/>
      <c r="CG20" s="102" t="n"/>
      <c r="CH20" s="102" t="n"/>
      <c r="CI20" s="102" t="n"/>
      <c r="CJ20" s="102" t="n"/>
      <c r="CK20" s="102" t="n"/>
      <c r="CL20" s="102" t="n"/>
      <c r="CM20" s="102" t="n"/>
      <c r="CN20" s="102" t="n"/>
      <c r="CO20" s="102" t="n"/>
      <c r="CP20" s="102" t="n"/>
      <c r="CQ20" s="102" t="n"/>
      <c r="CR20" s="102" t="n"/>
      <c r="CS20" s="102" t="n"/>
      <c r="CT20" s="102" t="n"/>
      <c r="CU20" s="102" t="n"/>
      <c r="CV20" s="102" t="n"/>
      <c r="CW20" s="102" t="n"/>
      <c r="CX20" s="102" t="n"/>
      <c r="CY20" s="102" t="n"/>
      <c r="CZ20" s="102" t="n"/>
      <c r="DA20" s="102" t="n"/>
      <c r="DB20" s="102" t="n"/>
      <c r="DC20" s="102" t="n"/>
      <c r="DD20" s="102" t="n"/>
      <c r="DE20" s="102" t="n"/>
      <c r="DF20" s="102" t="n"/>
      <c r="DG20" s="107" t="n"/>
      <c r="DH20" s="102" t="n"/>
      <c r="DI20" s="104" t="n"/>
    </row>
    <row r="21" ht="33.75" customFormat="1" customHeight="1" s="101">
      <c r="A21" s="98" t="n"/>
      <c r="B21" s="770" t="inlineStr">
        <is>
          <t xml:space="preserve">根据支持性证据（例如，提单、运输单据（GDN)、第三方交货证明等）确定所选交易已记录在适当会计期间，包含所有关联的总账账户（如，资产负债表和利润表账户）中。 </t>
        </is>
      </c>
      <c r="C21" s="771" t="n"/>
      <c r="D21" s="771" t="n"/>
      <c r="E21" s="771" t="n"/>
      <c r="F21" s="772" t="n"/>
      <c r="G21" s="0" t="n"/>
      <c r="H21" s="0" t="n"/>
      <c r="I21" s="0" t="n"/>
      <c r="J21" s="0" t="n"/>
      <c r="K21" s="0" t="n"/>
      <c r="L21" s="0" t="n"/>
      <c r="N21" s="81" t="n"/>
      <c r="CG21" s="102" t="n"/>
      <c r="CH21" s="102" t="n"/>
      <c r="CI21" s="102" t="n"/>
      <c r="CJ21" s="102" t="n"/>
      <c r="CK21" s="102" t="n"/>
      <c r="CL21" s="102" t="n"/>
      <c r="CM21" s="102" t="n"/>
      <c r="CN21" s="102" t="n"/>
      <c r="CO21" s="102" t="n"/>
      <c r="CP21" s="102" t="n"/>
      <c r="CQ21" s="102" t="n"/>
      <c r="CR21" s="102" t="n"/>
      <c r="CS21" s="102" t="n"/>
      <c r="CT21" s="102" t="n"/>
      <c r="CU21" s="102" t="n"/>
      <c r="CV21" s="102" t="n"/>
      <c r="CW21" s="102" t="n"/>
      <c r="CX21" s="102" t="n"/>
      <c r="CY21" s="102" t="n"/>
      <c r="CZ21" s="102" t="n"/>
      <c r="DA21" s="102" t="n"/>
      <c r="DB21" s="102" t="n"/>
      <c r="DC21" s="102" t="n"/>
      <c r="DD21" s="102" t="n"/>
      <c r="DE21" s="102" t="n"/>
      <c r="DF21" s="102" t="n"/>
      <c r="DG21" s="107" t="n"/>
      <c r="DH21" s="102" t="n"/>
      <c r="DI21" s="104" t="n"/>
    </row>
    <row r="22" ht="14.85" customFormat="1" customHeight="1" s="101">
      <c r="A22" s="98" t="n"/>
      <c r="B22" s="68" t="n"/>
      <c r="C22" s="72" t="n"/>
      <c r="D22" s="72" t="n"/>
      <c r="E22" s="118" t="n"/>
      <c r="F22" s="118" t="n"/>
      <c r="G22" s="118" t="n"/>
      <c r="H22" s="118" t="n"/>
      <c r="I22" s="118" t="n"/>
      <c r="J22" s="72" t="n"/>
      <c r="K22" s="72" t="n"/>
      <c r="L22" s="773" t="n"/>
      <c r="N22" s="81" t="n"/>
      <c r="CO22" s="102" t="n"/>
      <c r="CP22" s="102" t="n"/>
      <c r="CQ22" s="102" t="n"/>
      <c r="CR22" s="102" t="n"/>
      <c r="CS22" s="102" t="n"/>
      <c r="CT22" s="102" t="n"/>
      <c r="CU22" s="102" t="n"/>
      <c r="CV22" s="102" t="n"/>
      <c r="CW22" s="102" t="n"/>
      <c r="CX22" s="102" t="n"/>
      <c r="CY22" s="102" t="n"/>
      <c r="CZ22" s="102" t="n"/>
      <c r="DA22" s="102" t="n"/>
      <c r="DB22" s="102" t="n"/>
      <c r="DC22" s="102" t="n"/>
      <c r="DD22" s="102" t="n"/>
      <c r="DE22" s="102" t="n"/>
      <c r="DF22" s="102" t="n"/>
      <c r="DG22" s="102" t="n"/>
      <c r="DH22" s="102" t="n"/>
      <c r="DI22" s="102" t="n"/>
      <c r="DJ22" s="102" t="n"/>
      <c r="DK22" s="102" t="n"/>
      <c r="DL22" s="102" t="n"/>
      <c r="DM22" s="102" t="n"/>
      <c r="DN22" s="102" t="n"/>
      <c r="DO22" s="107" t="n"/>
      <c r="DP22" s="102" t="n"/>
      <c r="DQ22" s="104" t="n"/>
    </row>
    <row r="23" ht="35.25" customFormat="1" customHeight="1" s="101">
      <c r="A23" s="98" t="n"/>
      <c r="B23" s="615" t="inlineStr">
        <is>
          <t>应付账款入账凭证</t>
        </is>
      </c>
      <c r="C23" s="774" t="n"/>
      <c r="D23" s="774" t="n"/>
      <c r="E23" s="774" t="n"/>
      <c r="F23" s="775" t="inlineStr">
        <is>
          <t>支持性证据信息
（确认控制权转移/接受服务的交易凭据，如提单、运输单据（GDN)、第三方交货证明等）</t>
        </is>
      </c>
      <c r="G23" s="774" t="n"/>
      <c r="H23" s="776" t="n"/>
      <c r="I23" s="777" t="inlineStr">
        <is>
          <t>金额涉及：
（用“√”标记）</t>
        </is>
      </c>
      <c r="J23" s="776" t="n"/>
      <c r="K23" s="178" t="inlineStr">
        <is>
          <t>EY Works</t>
        </is>
      </c>
      <c r="L23" s="778" t="inlineStr">
        <is>
          <t>备注</t>
        </is>
      </c>
      <c r="N23" s="81" t="n"/>
      <c r="CN23" s="102" t="n"/>
      <c r="CO23" s="102" t="n"/>
      <c r="CP23" s="102" t="n"/>
      <c r="CQ23" s="102" t="n"/>
      <c r="CR23" s="102" t="n"/>
      <c r="CS23" s="102" t="n"/>
      <c r="CT23" s="102" t="n"/>
      <c r="CU23" s="102" t="n"/>
      <c r="CV23" s="102" t="n"/>
      <c r="CW23" s="102" t="n"/>
      <c r="CX23" s="102" t="n"/>
      <c r="CY23" s="102" t="n"/>
      <c r="CZ23" s="102" t="n"/>
      <c r="DA23" s="102" t="n"/>
      <c r="DB23" s="102" t="n"/>
      <c r="DC23" s="102" t="n"/>
      <c r="DD23" s="102" t="n"/>
      <c r="DE23" s="102" t="n"/>
      <c r="DF23" s="102" t="n"/>
      <c r="DG23" s="102" t="n"/>
      <c r="DH23" s="102" t="n"/>
      <c r="DI23" s="102" t="n"/>
      <c r="DJ23" s="102" t="n"/>
      <c r="DK23" s="102" t="n"/>
      <c r="DL23" s="102" t="n"/>
      <c r="DM23" s="102" t="n"/>
      <c r="DN23" s="107" t="n"/>
      <c r="DO23" s="102" t="n"/>
      <c r="DP23" s="102" t="n"/>
    </row>
    <row r="24" ht="16.5" customFormat="1" customHeight="1" s="106">
      <c r="A24" s="105" t="n"/>
      <c r="B24" s="189" t="inlineStr">
        <is>
          <t>凭证编号</t>
        </is>
      </c>
      <c r="C24" s="162" t="inlineStr">
        <is>
          <t>日期</t>
        </is>
      </c>
      <c r="D24" s="190" t="inlineStr">
        <is>
          <t>金额</t>
        </is>
      </c>
      <c r="E24" s="190" t="inlineStr">
        <is>
          <t>供应商名称</t>
        </is>
      </c>
      <c r="F24" s="190" t="inlineStr">
        <is>
          <t>交易凭据名称</t>
        </is>
      </c>
      <c r="G24" s="191" t="inlineStr">
        <is>
          <t>交易凭据编号</t>
        </is>
      </c>
      <c r="H24" s="191" t="inlineStr">
        <is>
          <t>交易发生日期</t>
        </is>
      </c>
      <c r="I24" s="192" t="inlineStr">
        <is>
          <t>本期</t>
        </is>
      </c>
      <c r="J24" s="192" t="inlineStr">
        <is>
          <t>资产负债表日后期间</t>
        </is>
      </c>
      <c r="K24" s="120" t="n">
        <v>1</v>
      </c>
      <c r="L24" s="779" t="n"/>
      <c r="M24" s="101" t="n"/>
      <c r="N24" s="81" t="n"/>
      <c r="O24" s="101" t="n"/>
      <c r="CP24" s="102" t="n"/>
      <c r="CQ24" s="102" t="n"/>
      <c r="CR24" s="102" t="n"/>
      <c r="CS24" s="102" t="n"/>
      <c r="CT24" s="102" t="n"/>
      <c r="CU24" s="102" t="n"/>
      <c r="CV24" s="102" t="n"/>
      <c r="CW24" s="102" t="n"/>
      <c r="CX24" s="102" t="n"/>
      <c r="CY24" s="102" t="n"/>
      <c r="CZ24" s="102" t="n"/>
      <c r="DA24" s="102" t="n"/>
      <c r="DB24" s="102" t="n"/>
      <c r="DC24" s="102" t="n"/>
      <c r="DD24" s="102" t="n"/>
      <c r="DE24" s="102" t="n"/>
      <c r="DF24" s="102" t="n"/>
      <c r="DG24" s="102" t="n"/>
      <c r="DH24" s="102" t="n"/>
      <c r="DI24" s="102" t="n"/>
      <c r="DJ24" s="102" t="n"/>
      <c r="DK24" s="102" t="n"/>
      <c r="DL24" s="102" t="n"/>
      <c r="DM24" s="102" t="n"/>
      <c r="DN24" s="102" t="n"/>
      <c r="DO24" s="102" t="n"/>
      <c r="DP24" s="107" t="n"/>
      <c r="DQ24" s="102" t="n"/>
      <c r="DR24" s="104" t="n"/>
    </row>
    <row r="25" ht="14.45" customFormat="1" customHeight="1" s="106">
      <c r="A25" s="105" t="n"/>
      <c r="B25" s="121" t="inlineStr">
        <is>
          <t>截止日前的交易测试</t>
        </is>
      </c>
      <c r="C25" s="780" t="n"/>
      <c r="D25" s="771" t="n"/>
      <c r="E25" s="771" t="n"/>
      <c r="F25" s="771" t="n"/>
      <c r="G25" s="771" t="n"/>
      <c r="H25" s="771" t="n"/>
      <c r="I25" s="771" t="n"/>
      <c r="J25" s="771" t="n"/>
      <c r="K25" s="771" t="n"/>
      <c r="L25" s="781" t="n"/>
      <c r="M25" s="101" t="n"/>
      <c r="N25" s="81" t="n"/>
      <c r="O25" s="101" t="n"/>
      <c r="CP25" s="102" t="n"/>
      <c r="CQ25" s="102" t="n"/>
      <c r="CR25" s="102" t="n"/>
      <c r="CS25" s="102" t="n"/>
      <c r="CT25" s="102" t="n"/>
      <c r="CU25" s="102" t="n"/>
      <c r="CV25" s="102" t="n"/>
      <c r="CW25" s="102" t="n"/>
      <c r="CX25" s="102" t="n"/>
      <c r="CY25" s="102" t="n"/>
      <c r="CZ25" s="102" t="n"/>
      <c r="DA25" s="102" t="n"/>
      <c r="DB25" s="102" t="n"/>
      <c r="DC25" s="102" t="n"/>
      <c r="DD25" s="102" t="n"/>
      <c r="DE25" s="102" t="n"/>
      <c r="DF25" s="102" t="n"/>
      <c r="DG25" s="102" t="n"/>
      <c r="DH25" s="102" t="n"/>
      <c r="DI25" s="102" t="n"/>
      <c r="DJ25" s="102" t="n"/>
      <c r="DK25" s="102" t="n"/>
      <c r="DL25" s="102" t="n"/>
      <c r="DM25" s="102" t="n"/>
      <c r="DN25" s="102" t="n"/>
      <c r="DO25" s="102" t="n"/>
      <c r="DP25" s="107" t="n"/>
      <c r="DQ25" s="102" t="n"/>
      <c r="DR25" s="104" t="n"/>
    </row>
    <row r="26" ht="15" customFormat="1" customHeight="1" s="106">
      <c r="A26" s="105" t="n"/>
      <c r="B26" s="177" t="n"/>
      <c r="C26" s="441" t="n"/>
      <c r="D26" s="782" t="n"/>
      <c r="E26" s="122" t="n"/>
      <c r="F26" s="122" t="n"/>
      <c r="G26" s="122" t="n"/>
      <c r="H26" s="440" t="n"/>
      <c r="I26" s="122" t="n"/>
      <c r="J26" s="122" t="n"/>
      <c r="K26" s="123" t="n"/>
      <c r="L26" s="123" t="n"/>
      <c r="M26" s="101" t="n"/>
      <c r="N26" s="81" t="n"/>
      <c r="O26" s="101" t="n"/>
      <c r="CP26" s="102" t="n"/>
      <c r="CQ26" s="102" t="n"/>
      <c r="CR26" s="102" t="n"/>
      <c r="CS26" s="102" t="n"/>
      <c r="CT26" s="102" t="n"/>
      <c r="CU26" s="102" t="n"/>
      <c r="CV26" s="102" t="n"/>
      <c r="CW26" s="102" t="n"/>
      <c r="CX26" s="102" t="n"/>
      <c r="CY26" s="102" t="n"/>
      <c r="CZ26" s="102" t="n"/>
      <c r="DA26" s="102" t="n"/>
      <c r="DB26" s="102" t="n"/>
      <c r="DC26" s="102" t="n"/>
      <c r="DD26" s="102" t="n"/>
      <c r="DE26" s="102" t="n"/>
      <c r="DF26" s="102" t="n"/>
      <c r="DG26" s="102" t="n"/>
      <c r="DH26" s="102" t="n"/>
      <c r="DI26" s="102" t="n"/>
      <c r="DJ26" s="102" t="n"/>
      <c r="DK26" s="102" t="n"/>
      <c r="DL26" s="102" t="n"/>
      <c r="DM26" s="102" t="n"/>
      <c r="DN26" s="102" t="n"/>
      <c r="DO26" s="102" t="n"/>
      <c r="DP26" s="107" t="n"/>
      <c r="DQ26" s="102" t="n"/>
      <c r="DR26" s="104" t="n"/>
    </row>
    <row r="27" ht="15" customFormat="1" customHeight="1" s="106">
      <c r="A27" s="105" t="n"/>
      <c r="B27" s="177" t="n"/>
      <c r="C27" s="441" t="n"/>
      <c r="D27" s="782" t="n"/>
      <c r="E27" s="122" t="n"/>
      <c r="F27" s="122" t="n"/>
      <c r="G27" s="122" t="n"/>
      <c r="H27" s="440" t="n"/>
      <c r="I27" s="122" t="n"/>
      <c r="J27" s="122" t="n"/>
      <c r="K27" s="123" t="n"/>
      <c r="L27" s="123" t="n"/>
      <c r="M27" s="101" t="n"/>
      <c r="N27" s="81" t="n"/>
      <c r="O27" s="101" t="n"/>
      <c r="CP27" s="102" t="n"/>
      <c r="CQ27" s="102" t="n"/>
      <c r="CR27" s="102" t="n"/>
      <c r="CS27" s="102" t="n"/>
      <c r="CT27" s="102" t="n"/>
      <c r="CU27" s="102" t="n"/>
      <c r="CV27" s="102" t="n"/>
      <c r="CW27" s="102" t="n"/>
      <c r="CX27" s="102" t="n"/>
      <c r="CY27" s="102" t="n"/>
      <c r="CZ27" s="102" t="n"/>
      <c r="DA27" s="102" t="n"/>
      <c r="DB27" s="102" t="n"/>
      <c r="DC27" s="102" t="n"/>
      <c r="DD27" s="102" t="n"/>
      <c r="DE27" s="102" t="n"/>
      <c r="DF27" s="102" t="n"/>
      <c r="DG27" s="102" t="n"/>
      <c r="DH27" s="102" t="n"/>
      <c r="DI27" s="102" t="n"/>
      <c r="DJ27" s="102" t="n"/>
      <c r="DK27" s="102" t="n"/>
      <c r="DL27" s="102" t="n"/>
      <c r="DM27" s="102" t="n"/>
      <c r="DN27" s="102" t="n"/>
      <c r="DO27" s="102" t="n"/>
      <c r="DP27" s="107" t="n"/>
      <c r="DQ27" s="102" t="n"/>
      <c r="DR27" s="104" t="n"/>
    </row>
    <row r="28" ht="15" customFormat="1" customHeight="1" s="106">
      <c r="A28" s="105" t="n"/>
      <c r="B28" s="177" t="n"/>
      <c r="C28" s="441" t="n"/>
      <c r="D28" s="782" t="n"/>
      <c r="E28" s="122" t="n"/>
      <c r="F28" s="122" t="n"/>
      <c r="G28" s="122" t="n"/>
      <c r="H28" s="440" t="n"/>
      <c r="I28" s="122" t="n"/>
      <c r="J28" s="122" t="n"/>
      <c r="K28" s="123" t="n"/>
      <c r="L28" s="123" t="n"/>
      <c r="M28" s="101" t="n"/>
      <c r="N28" s="81" t="n"/>
      <c r="O28" s="101" t="n"/>
      <c r="CP28" s="102" t="n"/>
      <c r="CQ28" s="102" t="n"/>
      <c r="CR28" s="102" t="n"/>
      <c r="CS28" s="102" t="n"/>
      <c r="CT28" s="102" t="n"/>
      <c r="CU28" s="102" t="n"/>
      <c r="CV28" s="102" t="n"/>
      <c r="CW28" s="102" t="n"/>
      <c r="CX28" s="102" t="n"/>
      <c r="CY28" s="102" t="n"/>
      <c r="CZ28" s="102" t="n"/>
      <c r="DA28" s="102" t="n"/>
      <c r="DB28" s="102" t="n"/>
      <c r="DC28" s="102" t="n"/>
      <c r="DD28" s="102" t="n"/>
      <c r="DE28" s="102" t="n"/>
      <c r="DF28" s="102" t="n"/>
      <c r="DG28" s="102" t="n"/>
      <c r="DH28" s="102" t="n"/>
      <c r="DI28" s="102" t="n"/>
      <c r="DJ28" s="102" t="n"/>
      <c r="DK28" s="102" t="n"/>
      <c r="DL28" s="102" t="n"/>
      <c r="DM28" s="102" t="n"/>
      <c r="DN28" s="102" t="n"/>
      <c r="DO28" s="102" t="n"/>
      <c r="DP28" s="107" t="n"/>
      <c r="DQ28" s="102" t="n"/>
      <c r="DR28" s="104" t="n"/>
    </row>
    <row r="29" ht="15" customFormat="1" customHeight="1" s="106">
      <c r="A29" s="105" t="n"/>
      <c r="B29" s="177" t="n"/>
      <c r="C29" s="441" t="n"/>
      <c r="D29" s="782" t="n"/>
      <c r="E29" s="122" t="n"/>
      <c r="F29" s="122" t="n"/>
      <c r="G29" s="122" t="n"/>
      <c r="H29" s="440" t="n"/>
      <c r="I29" s="122" t="n"/>
      <c r="J29" s="122" t="n"/>
      <c r="K29" s="123" t="n"/>
      <c r="L29" s="123" t="n"/>
      <c r="M29" s="101" t="n"/>
      <c r="N29" s="81" t="n"/>
      <c r="O29" s="101" t="n"/>
      <c r="CP29" s="102" t="n"/>
      <c r="CQ29" s="102" t="n"/>
      <c r="CR29" s="102" t="n"/>
      <c r="CS29" s="102" t="n"/>
      <c r="CT29" s="102" t="n"/>
      <c r="CU29" s="102" t="n"/>
      <c r="CV29" s="102" t="n"/>
      <c r="CW29" s="102" t="n"/>
      <c r="CX29" s="102" t="n"/>
      <c r="CY29" s="102" t="n"/>
      <c r="CZ29" s="102" t="n"/>
      <c r="DA29" s="102" t="n"/>
      <c r="DB29" s="102" t="n"/>
      <c r="DC29" s="102" t="n"/>
      <c r="DD29" s="102" t="n"/>
      <c r="DE29" s="102" t="n"/>
      <c r="DF29" s="102" t="n"/>
      <c r="DG29" s="102" t="n"/>
      <c r="DH29" s="102" t="n"/>
      <c r="DI29" s="102" t="n"/>
      <c r="DJ29" s="102" t="n"/>
      <c r="DK29" s="102" t="n"/>
      <c r="DL29" s="102" t="n"/>
      <c r="DM29" s="102" t="n"/>
      <c r="DN29" s="102" t="n"/>
      <c r="DO29" s="102" t="n"/>
      <c r="DP29" s="107" t="n"/>
      <c r="DQ29" s="102" t="n"/>
      <c r="DR29" s="104" t="n"/>
    </row>
    <row r="30" ht="15" customFormat="1" customHeight="1" s="106">
      <c r="A30" s="105" t="n"/>
      <c r="B30" s="177" t="n"/>
      <c r="C30" s="441" t="n"/>
      <c r="D30" s="782" t="n"/>
      <c r="E30" s="122" t="n"/>
      <c r="F30" s="122" t="n"/>
      <c r="G30" s="122" t="n"/>
      <c r="H30" s="440" t="n"/>
      <c r="I30" s="122" t="n"/>
      <c r="J30" s="122" t="n"/>
      <c r="K30" s="123" t="n"/>
      <c r="L30" s="123" t="n"/>
      <c r="M30" s="101" t="n"/>
      <c r="N30" s="81" t="n"/>
      <c r="O30" s="101" t="n"/>
      <c r="CP30" s="102" t="n"/>
      <c r="CQ30" s="102" t="n"/>
      <c r="CR30" s="102" t="n"/>
      <c r="CS30" s="102" t="n"/>
      <c r="CT30" s="102" t="n"/>
      <c r="CU30" s="102" t="n"/>
      <c r="CV30" s="102" t="n"/>
      <c r="CW30" s="102" t="n"/>
      <c r="CX30" s="102" t="n"/>
      <c r="CY30" s="102" t="n"/>
      <c r="CZ30" s="102" t="n"/>
      <c r="DA30" s="102" t="n"/>
      <c r="DB30" s="102" t="n"/>
      <c r="DC30" s="102" t="n"/>
      <c r="DD30" s="102" t="n"/>
      <c r="DE30" s="102" t="n"/>
      <c r="DF30" s="102" t="n"/>
      <c r="DG30" s="102" t="n"/>
      <c r="DH30" s="102" t="n"/>
      <c r="DI30" s="102" t="n"/>
      <c r="DJ30" s="102" t="n"/>
      <c r="DK30" s="102" t="n"/>
      <c r="DL30" s="102" t="n"/>
      <c r="DM30" s="102" t="n"/>
      <c r="DN30" s="102" t="n"/>
      <c r="DO30" s="102" t="n"/>
      <c r="DP30" s="107" t="n"/>
      <c r="DQ30" s="102" t="n"/>
      <c r="DR30" s="104" t="n"/>
    </row>
    <row r="31" ht="15" customFormat="1" customHeight="1" s="106">
      <c r="A31" s="105" t="n"/>
      <c r="B31" s="177" t="n"/>
      <c r="C31" s="441" t="n"/>
      <c r="D31" s="782" t="n"/>
      <c r="E31" s="122" t="n"/>
      <c r="F31" s="122" t="n"/>
      <c r="G31" s="122" t="n"/>
      <c r="H31" s="440" t="n"/>
      <c r="I31" s="122" t="n"/>
      <c r="J31" s="122" t="n"/>
      <c r="K31" s="123" t="n"/>
      <c r="L31" s="123" t="n"/>
      <c r="M31" s="101" t="n"/>
      <c r="N31" s="81" t="n"/>
      <c r="O31" s="101" t="n"/>
      <c r="CP31" s="102" t="n"/>
      <c r="CQ31" s="102" t="n"/>
      <c r="CR31" s="102" t="n"/>
      <c r="CS31" s="102" t="n"/>
      <c r="CT31" s="102" t="n"/>
      <c r="CU31" s="102" t="n"/>
      <c r="CV31" s="102" t="n"/>
      <c r="CW31" s="102" t="n"/>
      <c r="CX31" s="102" t="n"/>
      <c r="CY31" s="102" t="n"/>
      <c r="CZ31" s="102" t="n"/>
      <c r="DA31" s="102" t="n"/>
      <c r="DB31" s="102" t="n"/>
      <c r="DC31" s="102" t="n"/>
      <c r="DD31" s="102" t="n"/>
      <c r="DE31" s="102" t="n"/>
      <c r="DF31" s="102" t="n"/>
      <c r="DG31" s="102" t="n"/>
      <c r="DH31" s="102" t="n"/>
      <c r="DI31" s="102" t="n"/>
      <c r="DJ31" s="102" t="n"/>
      <c r="DK31" s="102" t="n"/>
      <c r="DL31" s="102" t="n"/>
      <c r="DM31" s="102" t="n"/>
      <c r="DN31" s="102" t="n"/>
      <c r="DO31" s="102" t="n"/>
      <c r="DP31" s="107" t="n"/>
      <c r="DQ31" s="102" t="n"/>
      <c r="DR31" s="104" t="n"/>
    </row>
    <row r="32" ht="15" customFormat="1" customHeight="1" s="106">
      <c r="A32" s="105" t="n"/>
      <c r="B32" s="177" t="n"/>
      <c r="C32" s="441" t="n"/>
      <c r="D32" s="782" t="n"/>
      <c r="E32" s="122" t="n"/>
      <c r="F32" s="122" t="n"/>
      <c r="G32" s="122" t="n"/>
      <c r="H32" s="440" t="n"/>
      <c r="I32" s="122" t="n"/>
      <c r="J32" s="122" t="n"/>
      <c r="K32" s="123" t="n"/>
      <c r="L32" s="123" t="n"/>
      <c r="M32" s="101" t="n"/>
      <c r="N32" s="81" t="n"/>
      <c r="O32" s="101" t="n"/>
      <c r="CP32" s="102" t="n"/>
      <c r="CQ32" s="102" t="n"/>
      <c r="CR32" s="102" t="n"/>
      <c r="CS32" s="102" t="n"/>
      <c r="CT32" s="102" t="n"/>
      <c r="CU32" s="102" t="n"/>
      <c r="CV32" s="102" t="n"/>
      <c r="CW32" s="102" t="n"/>
      <c r="CX32" s="102" t="n"/>
      <c r="CY32" s="102" t="n"/>
      <c r="CZ32" s="102" t="n"/>
      <c r="DA32" s="102" t="n"/>
      <c r="DB32" s="102" t="n"/>
      <c r="DC32" s="102" t="n"/>
      <c r="DD32" s="102" t="n"/>
      <c r="DE32" s="102" t="n"/>
      <c r="DF32" s="102" t="n"/>
      <c r="DG32" s="102" t="n"/>
      <c r="DH32" s="102" t="n"/>
      <c r="DI32" s="102" t="n"/>
      <c r="DJ32" s="102" t="n"/>
      <c r="DK32" s="102" t="n"/>
      <c r="DL32" s="102" t="n"/>
      <c r="DM32" s="102" t="n"/>
      <c r="DN32" s="102" t="n"/>
      <c r="DO32" s="102" t="n"/>
      <c r="DP32" s="107" t="n"/>
      <c r="DQ32" s="102" t="n"/>
      <c r="DR32" s="104" t="n"/>
    </row>
    <row r="33" ht="15" customFormat="1" customHeight="1" s="106">
      <c r="A33" s="105" t="n"/>
      <c r="B33" s="177" t="n"/>
      <c r="C33" s="441" t="n"/>
      <c r="D33" s="782" t="n"/>
      <c r="E33" s="122" t="n"/>
      <c r="F33" s="122" t="n"/>
      <c r="G33" s="122" t="n"/>
      <c r="H33" s="440" t="n"/>
      <c r="I33" s="122" t="n"/>
      <c r="J33" s="122" t="n"/>
      <c r="K33" s="123" t="n"/>
      <c r="L33" s="123" t="n"/>
      <c r="M33" s="101" t="n"/>
      <c r="N33" s="81" t="n"/>
      <c r="O33" s="101" t="n"/>
      <c r="CP33" s="102" t="n"/>
      <c r="CQ33" s="102" t="n"/>
      <c r="CR33" s="102" t="n"/>
      <c r="CS33" s="102" t="n"/>
      <c r="CT33" s="102" t="n"/>
      <c r="CU33" s="102" t="n"/>
      <c r="CV33" s="102" t="n"/>
      <c r="CW33" s="102" t="n"/>
      <c r="CX33" s="102" t="n"/>
      <c r="CY33" s="102" t="n"/>
      <c r="CZ33" s="102" t="n"/>
      <c r="DA33" s="102" t="n"/>
      <c r="DB33" s="102" t="n"/>
      <c r="DC33" s="102" t="n"/>
      <c r="DD33" s="102" t="n"/>
      <c r="DE33" s="102" t="n"/>
      <c r="DF33" s="102" t="n"/>
      <c r="DG33" s="102" t="n"/>
      <c r="DH33" s="102" t="n"/>
      <c r="DI33" s="102" t="n"/>
      <c r="DJ33" s="102" t="n"/>
      <c r="DK33" s="102" t="n"/>
      <c r="DL33" s="102" t="n"/>
      <c r="DM33" s="102" t="n"/>
      <c r="DN33" s="102" t="n"/>
      <c r="DO33" s="102" t="n"/>
      <c r="DP33" s="107" t="n"/>
      <c r="DQ33" s="102" t="n"/>
      <c r="DR33" s="104" t="n"/>
    </row>
    <row r="34" ht="15" customFormat="1" customHeight="1" s="106">
      <c r="A34" s="105" t="n"/>
      <c r="B34" s="177" t="n"/>
      <c r="C34" s="441" t="n"/>
      <c r="D34" s="782" t="n"/>
      <c r="E34" s="122" t="n"/>
      <c r="F34" s="122" t="n"/>
      <c r="G34" s="122" t="n"/>
      <c r="H34" s="440" t="n"/>
      <c r="I34" s="122" t="n"/>
      <c r="J34" s="122" t="n"/>
      <c r="K34" s="123" t="n"/>
      <c r="L34" s="123" t="n"/>
      <c r="M34" s="101" t="n"/>
      <c r="N34" s="81" t="n"/>
      <c r="O34" s="101" t="n"/>
      <c r="CP34" s="102" t="n"/>
      <c r="CQ34" s="102" t="n"/>
      <c r="CR34" s="102" t="n"/>
      <c r="CS34" s="102" t="n"/>
      <c r="CT34" s="102" t="n"/>
      <c r="CU34" s="102" t="n"/>
      <c r="CV34" s="102" t="n"/>
      <c r="CW34" s="102" t="n"/>
      <c r="CX34" s="102" t="n"/>
      <c r="CY34" s="102" t="n"/>
      <c r="CZ34" s="102" t="n"/>
      <c r="DA34" s="102" t="n"/>
      <c r="DB34" s="102" t="n"/>
      <c r="DC34" s="102" t="n"/>
      <c r="DD34" s="102" t="n"/>
      <c r="DE34" s="102" t="n"/>
      <c r="DF34" s="102" t="n"/>
      <c r="DG34" s="102" t="n"/>
      <c r="DH34" s="102" t="n"/>
      <c r="DI34" s="102" t="n"/>
      <c r="DJ34" s="102" t="n"/>
      <c r="DK34" s="102" t="n"/>
      <c r="DL34" s="102" t="n"/>
      <c r="DM34" s="102" t="n"/>
      <c r="DN34" s="102" t="n"/>
      <c r="DO34" s="102" t="n"/>
      <c r="DP34" s="107" t="n"/>
      <c r="DQ34" s="102" t="n"/>
      <c r="DR34" s="104" t="n"/>
    </row>
    <row r="35" ht="15" customFormat="1" customHeight="1" s="106">
      <c r="A35" s="105" t="n"/>
      <c r="B35" s="177" t="n"/>
      <c r="C35" s="441" t="n"/>
      <c r="D35" s="782" t="n"/>
      <c r="E35" s="122" t="n"/>
      <c r="F35" s="122" t="n"/>
      <c r="G35" s="122" t="n"/>
      <c r="H35" s="440" t="n"/>
      <c r="I35" s="122" t="n"/>
      <c r="J35" s="122" t="n"/>
      <c r="K35" s="123" t="n"/>
      <c r="L35" s="123" t="n"/>
      <c r="M35" s="101" t="n"/>
      <c r="N35" s="81" t="n"/>
      <c r="O35" s="101" t="n"/>
      <c r="CP35" s="102" t="n"/>
      <c r="CQ35" s="102" t="n"/>
      <c r="CR35" s="102" t="n"/>
      <c r="CS35" s="102" t="n"/>
      <c r="CT35" s="102" t="n"/>
      <c r="CU35" s="102" t="n"/>
      <c r="CV35" s="102" t="n"/>
      <c r="CW35" s="102" t="n"/>
      <c r="CX35" s="102" t="n"/>
      <c r="CY35" s="102" t="n"/>
      <c r="CZ35" s="102" t="n"/>
      <c r="DA35" s="102" t="n"/>
      <c r="DB35" s="102" t="n"/>
      <c r="DC35" s="102" t="n"/>
      <c r="DD35" s="102" t="n"/>
      <c r="DE35" s="102" t="n"/>
      <c r="DF35" s="102" t="n"/>
      <c r="DG35" s="102" t="n"/>
      <c r="DH35" s="102" t="n"/>
      <c r="DI35" s="102" t="n"/>
      <c r="DJ35" s="102" t="n"/>
      <c r="DK35" s="102" t="n"/>
      <c r="DL35" s="102" t="n"/>
      <c r="DM35" s="102" t="n"/>
      <c r="DN35" s="102" t="n"/>
      <c r="DO35" s="102" t="n"/>
      <c r="DP35" s="107" t="n"/>
      <c r="DQ35" s="102" t="n"/>
      <c r="DR35" s="104" t="n"/>
    </row>
    <row r="36" ht="14.45" customFormat="1" customHeight="1" s="106">
      <c r="A36" s="105" t="n"/>
      <c r="B36" s="121" t="inlineStr">
        <is>
          <t>截止日后的交易测试</t>
        </is>
      </c>
      <c r="C36" s="780" t="n"/>
      <c r="D36" s="771" t="n"/>
      <c r="E36" s="771" t="n"/>
      <c r="F36" s="771" t="n"/>
      <c r="G36" s="771" t="n"/>
      <c r="H36" s="771" t="n"/>
      <c r="I36" s="771" t="n"/>
      <c r="J36" s="771" t="n"/>
      <c r="K36" s="771" t="n"/>
      <c r="L36" s="781" t="n"/>
      <c r="M36" s="101" t="n"/>
      <c r="N36" s="81" t="n"/>
      <c r="O36" s="101" t="n"/>
      <c r="CP36" s="102" t="n"/>
      <c r="CQ36" s="102" t="n"/>
      <c r="CR36" s="102" t="n"/>
      <c r="CS36" s="102" t="n"/>
      <c r="CT36" s="102" t="n"/>
      <c r="CU36" s="102" t="n"/>
      <c r="CV36" s="102" t="n"/>
      <c r="CW36" s="102" t="n"/>
      <c r="CX36" s="102" t="n"/>
      <c r="CY36" s="102" t="n"/>
      <c r="CZ36" s="102" t="n"/>
      <c r="DA36" s="102" t="n"/>
      <c r="DB36" s="102" t="n"/>
      <c r="DC36" s="102" t="n"/>
      <c r="DD36" s="102" t="n"/>
      <c r="DE36" s="102" t="n"/>
      <c r="DF36" s="102" t="n"/>
      <c r="DG36" s="102" t="n"/>
      <c r="DH36" s="102" t="n"/>
      <c r="DI36" s="102" t="n"/>
      <c r="DJ36" s="102" t="n"/>
      <c r="DK36" s="102" t="n"/>
      <c r="DL36" s="102" t="n"/>
      <c r="DM36" s="102" t="n"/>
      <c r="DN36" s="102" t="n"/>
      <c r="DO36" s="102" t="n"/>
      <c r="DP36" s="107" t="n"/>
      <c r="DQ36" s="102" t="n"/>
      <c r="DR36" s="104" t="n"/>
    </row>
    <row r="37" ht="15" customFormat="1" customHeight="1" s="106">
      <c r="A37" s="105" t="n"/>
      <c r="B37" s="177" t="n"/>
      <c r="C37" s="441" t="n"/>
      <c r="D37" s="782" t="n"/>
      <c r="E37" s="122" t="n"/>
      <c r="F37" s="122" t="n"/>
      <c r="G37" s="122" t="n"/>
      <c r="H37" s="440" t="n"/>
      <c r="I37" s="122" t="n"/>
      <c r="J37" s="122" t="n"/>
      <c r="K37" s="123" t="n"/>
      <c r="L37" s="123" t="n"/>
      <c r="M37" s="101" t="n"/>
      <c r="N37" s="81" t="n"/>
      <c r="O37" s="101" t="n"/>
      <c r="CP37" s="102" t="n"/>
      <c r="CQ37" s="102" t="n"/>
      <c r="CR37" s="102" t="n"/>
      <c r="CS37" s="102" t="n"/>
      <c r="CT37" s="102" t="n"/>
      <c r="CU37" s="102" t="n"/>
      <c r="CV37" s="102" t="n"/>
      <c r="CW37" s="102" t="n"/>
      <c r="CX37" s="102" t="n"/>
      <c r="CY37" s="102" t="n"/>
      <c r="CZ37" s="102" t="n"/>
      <c r="DA37" s="102" t="n"/>
      <c r="DB37" s="102" t="n"/>
      <c r="DC37" s="102" t="n"/>
      <c r="DD37" s="102" t="n"/>
      <c r="DE37" s="102" t="n"/>
      <c r="DF37" s="102" t="n"/>
      <c r="DG37" s="102" t="n"/>
      <c r="DH37" s="102" t="n"/>
      <c r="DI37" s="102" t="n"/>
      <c r="DJ37" s="102" t="n"/>
      <c r="DK37" s="102" t="n"/>
      <c r="DL37" s="102" t="n"/>
      <c r="DM37" s="102" t="n"/>
      <c r="DN37" s="102" t="n"/>
      <c r="DO37" s="102" t="n"/>
      <c r="DP37" s="107" t="n"/>
      <c r="DQ37" s="102" t="n"/>
      <c r="DR37" s="104" t="n"/>
    </row>
    <row r="38" ht="15" customFormat="1" customHeight="1" s="106">
      <c r="A38" s="105" t="n"/>
      <c r="B38" s="177" t="n"/>
      <c r="C38" s="441" t="n"/>
      <c r="D38" s="782" t="n"/>
      <c r="E38" s="122" t="n"/>
      <c r="F38" s="122" t="n"/>
      <c r="G38" s="122" t="n"/>
      <c r="H38" s="440" t="n"/>
      <c r="I38" s="122" t="n"/>
      <c r="J38" s="122" t="n"/>
      <c r="K38" s="123" t="n"/>
      <c r="L38" s="123" t="n"/>
      <c r="M38" s="101" t="n"/>
      <c r="N38" s="81" t="n"/>
      <c r="O38" s="101" t="n"/>
      <c r="CP38" s="102" t="n"/>
      <c r="CQ38" s="102" t="n"/>
      <c r="CR38" s="102" t="n"/>
      <c r="CS38" s="102" t="n"/>
      <c r="CT38" s="102" t="n"/>
      <c r="CU38" s="102" t="n"/>
      <c r="CV38" s="102" t="n"/>
      <c r="CW38" s="102" t="n"/>
      <c r="CX38" s="102" t="n"/>
      <c r="CY38" s="102" t="n"/>
      <c r="CZ38" s="102" t="n"/>
      <c r="DA38" s="102" t="n"/>
      <c r="DB38" s="102" t="n"/>
      <c r="DC38" s="102" t="n"/>
      <c r="DD38" s="102" t="n"/>
      <c r="DE38" s="102" t="n"/>
      <c r="DF38" s="102" t="n"/>
      <c r="DG38" s="102" t="n"/>
      <c r="DH38" s="102" t="n"/>
      <c r="DI38" s="102" t="n"/>
      <c r="DJ38" s="102" t="n"/>
      <c r="DK38" s="102" t="n"/>
      <c r="DL38" s="102" t="n"/>
      <c r="DM38" s="102" t="n"/>
      <c r="DN38" s="102" t="n"/>
      <c r="DO38" s="102" t="n"/>
      <c r="DP38" s="107" t="n"/>
      <c r="DQ38" s="102" t="n"/>
      <c r="DR38" s="104" t="n"/>
    </row>
    <row r="39" ht="15" customFormat="1" customHeight="1" s="106">
      <c r="A39" s="105" t="n"/>
      <c r="B39" s="177" t="n"/>
      <c r="C39" s="441" t="n"/>
      <c r="D39" s="782" t="n"/>
      <c r="E39" s="122" t="n"/>
      <c r="F39" s="122" t="n"/>
      <c r="G39" s="122" t="n"/>
      <c r="H39" s="440" t="n"/>
      <c r="I39" s="122" t="n"/>
      <c r="J39" s="122" t="n"/>
      <c r="K39" s="123" t="n"/>
      <c r="L39" s="123" t="n"/>
      <c r="M39" s="101" t="n"/>
      <c r="N39" s="81" t="n"/>
      <c r="O39" s="101" t="n"/>
      <c r="CP39" s="102" t="n"/>
      <c r="CQ39" s="102" t="n"/>
      <c r="CR39" s="102" t="n"/>
      <c r="CS39" s="102" t="n"/>
      <c r="CT39" s="102" t="n"/>
      <c r="CU39" s="102" t="n"/>
      <c r="CV39" s="102" t="n"/>
      <c r="CW39" s="102" t="n"/>
      <c r="CX39" s="102" t="n"/>
      <c r="CY39" s="102" t="n"/>
      <c r="CZ39" s="102" t="n"/>
      <c r="DA39" s="102" t="n"/>
      <c r="DB39" s="102" t="n"/>
      <c r="DC39" s="102" t="n"/>
      <c r="DD39" s="102" t="n"/>
      <c r="DE39" s="102" t="n"/>
      <c r="DF39" s="102" t="n"/>
      <c r="DG39" s="102" t="n"/>
      <c r="DH39" s="102" t="n"/>
      <c r="DI39" s="102" t="n"/>
      <c r="DJ39" s="102" t="n"/>
      <c r="DK39" s="102" t="n"/>
      <c r="DL39" s="102" t="n"/>
      <c r="DM39" s="102" t="n"/>
      <c r="DN39" s="102" t="n"/>
      <c r="DO39" s="102" t="n"/>
      <c r="DP39" s="107" t="n"/>
      <c r="DQ39" s="102" t="n"/>
      <c r="DR39" s="104" t="n"/>
    </row>
    <row r="40" ht="15" customFormat="1" customHeight="1" s="106">
      <c r="A40" s="105" t="n"/>
      <c r="B40" s="177" t="n"/>
      <c r="C40" s="441" t="n"/>
      <c r="D40" s="782" t="n"/>
      <c r="E40" s="122" t="n"/>
      <c r="F40" s="122" t="n"/>
      <c r="G40" s="122" t="n"/>
      <c r="H40" s="440" t="n"/>
      <c r="I40" s="122" t="n"/>
      <c r="J40" s="122" t="n"/>
      <c r="K40" s="123" t="n"/>
      <c r="L40" s="123" t="n"/>
      <c r="M40" s="101" t="n"/>
      <c r="N40" s="81" t="n"/>
      <c r="O40" s="101" t="n"/>
      <c r="CP40" s="102" t="n"/>
      <c r="CQ40" s="102" t="n"/>
      <c r="CR40" s="102" t="n"/>
      <c r="CS40" s="102" t="n"/>
      <c r="CT40" s="102" t="n"/>
      <c r="CU40" s="102" t="n"/>
      <c r="CV40" s="102" t="n"/>
      <c r="CW40" s="102" t="n"/>
      <c r="CX40" s="102" t="n"/>
      <c r="CY40" s="102" t="n"/>
      <c r="CZ40" s="102" t="n"/>
      <c r="DA40" s="102" t="n"/>
      <c r="DB40" s="102" t="n"/>
      <c r="DC40" s="102" t="n"/>
      <c r="DD40" s="102" t="n"/>
      <c r="DE40" s="102" t="n"/>
      <c r="DF40" s="102" t="n"/>
      <c r="DG40" s="102" t="n"/>
      <c r="DH40" s="102" t="n"/>
      <c r="DI40" s="102" t="n"/>
      <c r="DJ40" s="102" t="n"/>
      <c r="DK40" s="102" t="n"/>
      <c r="DL40" s="102" t="n"/>
      <c r="DM40" s="102" t="n"/>
      <c r="DN40" s="102" t="n"/>
      <c r="DO40" s="102" t="n"/>
      <c r="DP40" s="107" t="n"/>
      <c r="DQ40" s="102" t="n"/>
      <c r="DR40" s="104" t="n"/>
    </row>
    <row r="41" ht="15" customFormat="1" customHeight="1" s="106">
      <c r="A41" s="105" t="n"/>
      <c r="B41" s="177" t="n"/>
      <c r="C41" s="441" t="n"/>
      <c r="D41" s="782" t="n"/>
      <c r="E41" s="122" t="n"/>
      <c r="F41" s="122" t="n"/>
      <c r="G41" s="122" t="n"/>
      <c r="H41" s="440" t="n"/>
      <c r="I41" s="122" t="n"/>
      <c r="J41" s="122" t="n"/>
      <c r="K41" s="123" t="n"/>
      <c r="L41" s="123" t="n"/>
      <c r="M41" s="101" t="n"/>
      <c r="N41" s="81" t="n"/>
      <c r="O41" s="101" t="n"/>
      <c r="CP41" s="102" t="n"/>
      <c r="CQ41" s="102" t="n"/>
      <c r="CR41" s="102" t="n"/>
      <c r="CS41" s="102" t="n"/>
      <c r="CT41" s="102" t="n"/>
      <c r="CU41" s="102" t="n"/>
      <c r="CV41" s="102" t="n"/>
      <c r="CW41" s="102" t="n"/>
      <c r="CX41" s="102" t="n"/>
      <c r="CY41" s="102" t="n"/>
      <c r="CZ41" s="102" t="n"/>
      <c r="DA41" s="102" t="n"/>
      <c r="DB41" s="102" t="n"/>
      <c r="DC41" s="102" t="n"/>
      <c r="DD41" s="102" t="n"/>
      <c r="DE41" s="102" t="n"/>
      <c r="DF41" s="102" t="n"/>
      <c r="DG41" s="102" t="n"/>
      <c r="DH41" s="102" t="n"/>
      <c r="DI41" s="102" t="n"/>
      <c r="DJ41" s="102" t="n"/>
      <c r="DK41" s="102" t="n"/>
      <c r="DL41" s="102" t="n"/>
      <c r="DM41" s="102" t="n"/>
      <c r="DN41" s="102" t="n"/>
      <c r="DO41" s="102" t="n"/>
      <c r="DP41" s="107" t="n"/>
      <c r="DQ41" s="102" t="n"/>
      <c r="DR41" s="104" t="n"/>
    </row>
    <row r="42" ht="15" customFormat="1" customHeight="1" s="106">
      <c r="A42" s="105" t="n"/>
      <c r="B42" s="177" t="n"/>
      <c r="C42" s="441" t="n"/>
      <c r="D42" s="782" t="n"/>
      <c r="E42" s="122" t="n"/>
      <c r="F42" s="122" t="n"/>
      <c r="G42" s="122" t="n"/>
      <c r="H42" s="440" t="n"/>
      <c r="I42" s="122" t="n"/>
      <c r="J42" s="122" t="n"/>
      <c r="K42" s="123" t="n"/>
      <c r="L42" s="123" t="n"/>
      <c r="M42" s="101" t="n"/>
      <c r="N42" s="81" t="n"/>
      <c r="O42" s="101" t="n"/>
      <c r="CP42" s="102" t="n"/>
      <c r="CQ42" s="102" t="n"/>
      <c r="CR42" s="102" t="n"/>
      <c r="CS42" s="102" t="n"/>
      <c r="CT42" s="102" t="n"/>
      <c r="CU42" s="102" t="n"/>
      <c r="CV42" s="102" t="n"/>
      <c r="CW42" s="102" t="n"/>
      <c r="CX42" s="102" t="n"/>
      <c r="CY42" s="102" t="n"/>
      <c r="CZ42" s="102" t="n"/>
      <c r="DA42" s="102" t="n"/>
      <c r="DB42" s="102" t="n"/>
      <c r="DC42" s="102" t="n"/>
      <c r="DD42" s="102" t="n"/>
      <c r="DE42" s="102" t="n"/>
      <c r="DF42" s="102" t="n"/>
      <c r="DG42" s="102" t="n"/>
      <c r="DH42" s="102" t="n"/>
      <c r="DI42" s="102" t="n"/>
      <c r="DJ42" s="102" t="n"/>
      <c r="DK42" s="102" t="n"/>
      <c r="DL42" s="102" t="n"/>
      <c r="DM42" s="102" t="n"/>
      <c r="DN42" s="102" t="n"/>
      <c r="DO42" s="102" t="n"/>
      <c r="DP42" s="107" t="n"/>
      <c r="DQ42" s="102" t="n"/>
      <c r="DR42" s="104" t="n"/>
    </row>
    <row r="43" ht="15" customFormat="1" customHeight="1" s="106">
      <c r="A43" s="105" t="n"/>
      <c r="B43" s="177" t="n"/>
      <c r="C43" s="441" t="n"/>
      <c r="D43" s="782" t="n"/>
      <c r="E43" s="122" t="n"/>
      <c r="F43" s="122" t="n"/>
      <c r="G43" s="122" t="n"/>
      <c r="H43" s="440" t="n"/>
      <c r="I43" s="122" t="n"/>
      <c r="J43" s="122" t="n"/>
      <c r="K43" s="123" t="n"/>
      <c r="L43" s="123" t="n"/>
      <c r="M43" s="101" t="n"/>
      <c r="N43" s="81" t="n"/>
      <c r="O43" s="101" t="n"/>
      <c r="CP43" s="102" t="n"/>
      <c r="CQ43" s="102" t="n"/>
      <c r="CR43" s="102" t="n"/>
      <c r="CS43" s="102" t="n"/>
      <c r="CT43" s="102" t="n"/>
      <c r="CU43" s="102" t="n"/>
      <c r="CV43" s="102" t="n"/>
      <c r="CW43" s="102" t="n"/>
      <c r="CX43" s="102" t="n"/>
      <c r="CY43" s="102" t="n"/>
      <c r="CZ43" s="102" t="n"/>
      <c r="DA43" s="102" t="n"/>
      <c r="DB43" s="102" t="n"/>
      <c r="DC43" s="102" t="n"/>
      <c r="DD43" s="102" t="n"/>
      <c r="DE43" s="102" t="n"/>
      <c r="DF43" s="102" t="n"/>
      <c r="DG43" s="102" t="n"/>
      <c r="DH43" s="102" t="n"/>
      <c r="DI43" s="102" t="n"/>
      <c r="DJ43" s="102" t="n"/>
      <c r="DK43" s="102" t="n"/>
      <c r="DL43" s="102" t="n"/>
      <c r="DM43" s="102" t="n"/>
      <c r="DN43" s="102" t="n"/>
      <c r="DO43" s="102" t="n"/>
      <c r="DP43" s="107" t="n"/>
      <c r="DQ43" s="102" t="n"/>
      <c r="DR43" s="104" t="n"/>
    </row>
    <row r="44" ht="15" customFormat="1" customHeight="1" s="106">
      <c r="A44" s="105" t="n"/>
      <c r="B44" s="177" t="n"/>
      <c r="C44" s="441" t="n"/>
      <c r="D44" s="782" t="n"/>
      <c r="E44" s="122" t="n"/>
      <c r="F44" s="122" t="n"/>
      <c r="G44" s="122" t="n"/>
      <c r="H44" s="440" t="n"/>
      <c r="I44" s="122" t="n"/>
      <c r="J44" s="122" t="n"/>
      <c r="K44" s="123" t="n"/>
      <c r="L44" s="123" t="n"/>
      <c r="M44" s="101" t="n"/>
      <c r="N44" s="81" t="n"/>
      <c r="O44" s="101" t="n"/>
      <c r="CP44" s="102" t="n"/>
      <c r="CQ44" s="102" t="n"/>
      <c r="CR44" s="102" t="n"/>
      <c r="CS44" s="102" t="n"/>
      <c r="CT44" s="102" t="n"/>
      <c r="CU44" s="102" t="n"/>
      <c r="CV44" s="102" t="n"/>
      <c r="CW44" s="102" t="n"/>
      <c r="CX44" s="102" t="n"/>
      <c r="CY44" s="102" t="n"/>
      <c r="CZ44" s="102" t="n"/>
      <c r="DA44" s="102" t="n"/>
      <c r="DB44" s="102" t="n"/>
      <c r="DC44" s="102" t="n"/>
      <c r="DD44" s="102" t="n"/>
      <c r="DE44" s="102" t="n"/>
      <c r="DF44" s="102" t="n"/>
      <c r="DG44" s="102" t="n"/>
      <c r="DH44" s="102" t="n"/>
      <c r="DI44" s="102" t="n"/>
      <c r="DJ44" s="102" t="n"/>
      <c r="DK44" s="102" t="n"/>
      <c r="DL44" s="102" t="n"/>
      <c r="DM44" s="102" t="n"/>
      <c r="DN44" s="102" t="n"/>
      <c r="DO44" s="102" t="n"/>
      <c r="DP44" s="107" t="n"/>
      <c r="DQ44" s="102" t="n"/>
      <c r="DR44" s="104" t="n"/>
    </row>
    <row r="45" ht="15" customFormat="1" customHeight="1" s="106">
      <c r="A45" s="105" t="n"/>
      <c r="B45" s="177" t="n"/>
      <c r="C45" s="441" t="n"/>
      <c r="D45" s="782" t="n"/>
      <c r="E45" s="122" t="n"/>
      <c r="F45" s="122" t="n"/>
      <c r="G45" s="122" t="n"/>
      <c r="H45" s="440" t="n"/>
      <c r="I45" s="122" t="n"/>
      <c r="J45" s="122" t="n"/>
      <c r="K45" s="123" t="n"/>
      <c r="L45" s="123" t="n"/>
      <c r="M45" s="101" t="n"/>
      <c r="N45" s="81" t="n"/>
      <c r="O45" s="101" t="n"/>
      <c r="CP45" s="102" t="n"/>
      <c r="CQ45" s="102" t="n"/>
      <c r="CR45" s="102" t="n"/>
      <c r="CS45" s="102" t="n"/>
      <c r="CT45" s="102" t="n"/>
      <c r="CU45" s="102" t="n"/>
      <c r="CV45" s="102" t="n"/>
      <c r="CW45" s="102" t="n"/>
      <c r="CX45" s="102" t="n"/>
      <c r="CY45" s="102" t="n"/>
      <c r="CZ45" s="102" t="n"/>
      <c r="DA45" s="102" t="n"/>
      <c r="DB45" s="102" t="n"/>
      <c r="DC45" s="102" t="n"/>
      <c r="DD45" s="102" t="n"/>
      <c r="DE45" s="102" t="n"/>
      <c r="DF45" s="102" t="n"/>
      <c r="DG45" s="102" t="n"/>
      <c r="DH45" s="102" t="n"/>
      <c r="DI45" s="102" t="n"/>
      <c r="DJ45" s="102" t="n"/>
      <c r="DK45" s="102" t="n"/>
      <c r="DL45" s="102" t="n"/>
      <c r="DM45" s="102" t="n"/>
      <c r="DN45" s="102" t="n"/>
      <c r="DO45" s="102" t="n"/>
      <c r="DP45" s="107" t="n"/>
      <c r="DQ45" s="102" t="n"/>
      <c r="DR45" s="104" t="n"/>
    </row>
    <row r="46" ht="15" customFormat="1" customHeight="1" s="106">
      <c r="A46" s="105" t="n"/>
      <c r="B46" s="177" t="n"/>
      <c r="C46" s="441" t="n"/>
      <c r="D46" s="782" t="n"/>
      <c r="E46" s="122" t="n"/>
      <c r="F46" s="122" t="n"/>
      <c r="G46" s="122" t="n"/>
      <c r="H46" s="440" t="n"/>
      <c r="I46" s="122" t="n"/>
      <c r="J46" s="122" t="n"/>
      <c r="K46" s="123" t="n"/>
      <c r="L46" s="123" t="n"/>
      <c r="M46" s="101" t="n"/>
      <c r="N46" s="81" t="n"/>
      <c r="O46" s="101" t="n"/>
      <c r="CP46" s="102" t="n"/>
      <c r="CQ46" s="102" t="n"/>
      <c r="CR46" s="102" t="n"/>
      <c r="CS46" s="102" t="n"/>
      <c r="CT46" s="102" t="n"/>
      <c r="CU46" s="102" t="n"/>
      <c r="CV46" s="102" t="n"/>
      <c r="CW46" s="102" t="n"/>
      <c r="CX46" s="102" t="n"/>
      <c r="CY46" s="102" t="n"/>
      <c r="CZ46" s="102" t="n"/>
      <c r="DA46" s="102" t="n"/>
      <c r="DB46" s="102" t="n"/>
      <c r="DC46" s="102" t="n"/>
      <c r="DD46" s="102" t="n"/>
      <c r="DE46" s="102" t="n"/>
      <c r="DF46" s="102" t="n"/>
      <c r="DG46" s="102" t="n"/>
      <c r="DH46" s="102" t="n"/>
      <c r="DI46" s="102" t="n"/>
      <c r="DJ46" s="102" t="n"/>
      <c r="DK46" s="102" t="n"/>
      <c r="DL46" s="102" t="n"/>
      <c r="DM46" s="102" t="n"/>
      <c r="DN46" s="102" t="n"/>
      <c r="DO46" s="102" t="n"/>
      <c r="DP46" s="107" t="n"/>
      <c r="DQ46" s="102" t="n"/>
      <c r="DR46" s="104" t="n"/>
    </row>
    <row r="47" ht="16.5" customFormat="1" customHeight="1" s="106">
      <c r="A47" s="105" t="n"/>
      <c r="B47" s="124" t="n"/>
      <c r="C47" s="125" t="n"/>
      <c r="D47" s="125" t="n"/>
      <c r="E47" s="126" t="n"/>
      <c r="F47" s="126" t="n"/>
      <c r="G47" s="126" t="n"/>
      <c r="H47" s="126" t="n"/>
      <c r="I47" s="76" t="n"/>
      <c r="J47" s="76" t="n"/>
      <c r="K47" s="76" t="n"/>
      <c r="L47" s="783" t="n"/>
      <c r="M47" s="101" t="n"/>
      <c r="N47" s="81" t="n"/>
      <c r="O47" s="101" t="n"/>
      <c r="CQ47" s="102" t="n"/>
      <c r="CR47" s="102" t="n"/>
      <c r="CS47" s="102" t="n"/>
      <c r="CT47" s="102" t="n"/>
      <c r="CU47" s="102" t="n"/>
      <c r="CV47" s="102" t="n"/>
      <c r="CW47" s="102" t="n"/>
      <c r="CX47" s="102" t="n"/>
      <c r="CY47" s="102" t="n"/>
      <c r="CZ47" s="102" t="n"/>
      <c r="DA47" s="102" t="n"/>
      <c r="DB47" s="102" t="n"/>
      <c r="DC47" s="102" t="n"/>
      <c r="DD47" s="102" t="n"/>
      <c r="DE47" s="102" t="n"/>
      <c r="DF47" s="102" t="n"/>
      <c r="DG47" s="102" t="n"/>
      <c r="DH47" s="102" t="n"/>
      <c r="DI47" s="102" t="n"/>
      <c r="DJ47" s="102" t="n"/>
      <c r="DK47" s="102" t="n"/>
      <c r="DL47" s="102" t="n"/>
      <c r="DM47" s="102" t="n"/>
      <c r="DN47" s="102" t="n"/>
      <c r="DO47" s="102" t="n"/>
      <c r="DP47" s="102" t="n"/>
      <c r="DQ47" s="107" t="n"/>
      <c r="DR47" s="102" t="n"/>
      <c r="DS47" s="104" t="n"/>
    </row>
    <row r="48" ht="16.5" customFormat="1" customHeight="1" s="106">
      <c r="A48" s="105" t="n"/>
      <c r="B48" s="106" t="inlineStr">
        <is>
          <t>Notes：记录识别的异常情况的详细信息以及如何解决这些异常情况，包括执行的额外实质性程序</t>
        </is>
      </c>
      <c r="G48" s="126" t="n"/>
      <c r="H48" s="126" t="n"/>
      <c r="I48" s="76" t="n"/>
      <c r="J48" s="76" t="n"/>
      <c r="K48" s="76" t="n"/>
      <c r="L48" s="783" t="n"/>
      <c r="M48" s="101" t="n"/>
      <c r="N48" s="81" t="n"/>
      <c r="O48" s="101" t="n"/>
      <c r="CO48" s="102" t="n"/>
      <c r="CP48" s="102" t="n"/>
      <c r="CQ48" s="102" t="n"/>
      <c r="CR48" s="102" t="n"/>
      <c r="CS48" s="102" t="n"/>
      <c r="CT48" s="102" t="n"/>
      <c r="CU48" s="102" t="n"/>
      <c r="CV48" s="102" t="n"/>
      <c r="CW48" s="102" t="n"/>
      <c r="CX48" s="102" t="n"/>
      <c r="CY48" s="102" t="n"/>
      <c r="CZ48" s="102" t="n"/>
      <c r="DA48" s="102" t="n"/>
      <c r="DB48" s="102" t="n"/>
      <c r="DC48" s="102" t="n"/>
      <c r="DD48" s="102" t="n"/>
      <c r="DE48" s="102" t="n"/>
      <c r="DF48" s="102" t="n"/>
      <c r="DG48" s="102" t="n"/>
      <c r="DH48" s="102" t="n"/>
      <c r="DI48" s="102" t="n"/>
      <c r="DJ48" s="102" t="n"/>
      <c r="DK48" s="102" t="n"/>
      <c r="DL48" s="102" t="n"/>
      <c r="DM48" s="102" t="n"/>
      <c r="DN48" s="102" t="n"/>
      <c r="DO48" s="107" t="n"/>
      <c r="DP48" s="102" t="n"/>
      <c r="DQ48" s="104" t="n"/>
    </row>
    <row r="49" ht="16.5" customFormat="1" customHeight="1" s="106">
      <c r="A49" s="105" t="n"/>
      <c r="B49" s="784" t="n"/>
      <c r="C49" s="688" t="n"/>
      <c r="D49" s="688" t="n"/>
      <c r="E49" s="688" t="n"/>
      <c r="F49" s="689" t="n"/>
      <c r="G49" s="409" t="n"/>
      <c r="H49" s="409" t="n"/>
      <c r="I49" s="409" t="n"/>
      <c r="J49" s="409" t="n"/>
      <c r="K49" s="409" t="n"/>
      <c r="L49" s="409" t="n"/>
      <c r="M49" s="101" t="n"/>
      <c r="N49" s="81" t="n"/>
      <c r="O49" s="101" t="n"/>
      <c r="CO49" s="102" t="n"/>
      <c r="CP49" s="102" t="n"/>
      <c r="CQ49" s="102" t="n"/>
      <c r="CR49" s="102" t="n"/>
      <c r="CS49" s="102" t="n"/>
      <c r="CT49" s="102" t="n"/>
      <c r="CU49" s="102" t="n"/>
      <c r="CV49" s="102" t="n"/>
      <c r="CW49" s="102" t="n"/>
      <c r="CX49" s="102" t="n"/>
      <c r="CY49" s="102" t="n"/>
      <c r="CZ49" s="102" t="n"/>
      <c r="DA49" s="102" t="n"/>
      <c r="DB49" s="102" t="n"/>
      <c r="DC49" s="102" t="n"/>
      <c r="DD49" s="102" t="n"/>
      <c r="DE49" s="102" t="n"/>
      <c r="DF49" s="102" t="n"/>
      <c r="DG49" s="102" t="n"/>
      <c r="DH49" s="102" t="n"/>
      <c r="DI49" s="102" t="n"/>
      <c r="DJ49" s="102" t="n"/>
      <c r="DK49" s="102" t="n"/>
      <c r="DL49" s="102" t="n"/>
      <c r="DM49" s="102" t="n"/>
      <c r="DN49" s="102" t="n"/>
      <c r="DO49" s="107" t="n"/>
      <c r="DP49" s="102" t="n"/>
      <c r="DQ49" s="104" t="n"/>
    </row>
    <row r="50" ht="16.5" customFormat="1" customHeight="1" s="106">
      <c r="A50" s="105" t="n"/>
      <c r="B50" s="641" t="n"/>
      <c r="F50" s="690" t="n"/>
      <c r="G50" s="409" t="n"/>
      <c r="H50" s="409" t="n"/>
      <c r="I50" s="409" t="n"/>
      <c r="J50" s="409" t="n"/>
      <c r="K50" s="409" t="n"/>
      <c r="L50" s="409" t="n"/>
      <c r="M50" s="101" t="n"/>
      <c r="N50" s="81" t="n"/>
      <c r="O50" s="101" t="n"/>
      <c r="CO50" s="102" t="n"/>
      <c r="CP50" s="102" t="n"/>
      <c r="CQ50" s="102" t="n"/>
      <c r="CR50" s="102" t="n"/>
      <c r="CS50" s="102" t="n"/>
      <c r="CT50" s="102" t="n"/>
      <c r="CU50" s="102" t="n"/>
      <c r="CV50" s="102" t="n"/>
      <c r="CW50" s="102" t="n"/>
      <c r="CX50" s="102" t="n"/>
      <c r="CY50" s="102" t="n"/>
      <c r="CZ50" s="102" t="n"/>
      <c r="DA50" s="102" t="n"/>
      <c r="DB50" s="102" t="n"/>
      <c r="DC50" s="102" t="n"/>
      <c r="DD50" s="102" t="n"/>
      <c r="DE50" s="102" t="n"/>
      <c r="DF50" s="102" t="n"/>
      <c r="DG50" s="102" t="n"/>
      <c r="DH50" s="102" t="n"/>
      <c r="DI50" s="102" t="n"/>
      <c r="DJ50" s="102" t="n"/>
      <c r="DK50" s="102" t="n"/>
      <c r="DL50" s="102" t="n"/>
      <c r="DM50" s="102" t="n"/>
      <c r="DN50" s="102" t="n"/>
      <c r="DO50" s="107" t="n"/>
      <c r="DP50" s="102" t="n"/>
      <c r="DQ50" s="104" t="n"/>
    </row>
    <row r="51" ht="16.5" customFormat="1" customHeight="1" s="106">
      <c r="A51" s="105" t="n"/>
      <c r="B51" s="644" t="n"/>
      <c r="C51" s="645" t="n"/>
      <c r="D51" s="645" t="n"/>
      <c r="E51" s="645" t="n"/>
      <c r="F51" s="691" t="n"/>
      <c r="G51" s="409" t="n"/>
      <c r="H51" s="409" t="n"/>
      <c r="I51" s="409" t="n"/>
      <c r="J51" s="409" t="n"/>
      <c r="K51" s="409" t="n"/>
      <c r="L51" s="409" t="n"/>
      <c r="M51" s="101" t="n"/>
      <c r="N51" s="81" t="n"/>
      <c r="O51" s="101" t="n"/>
      <c r="CO51" s="102" t="n"/>
      <c r="CP51" s="102" t="n"/>
      <c r="CQ51" s="102" t="n"/>
      <c r="CR51" s="102" t="n"/>
      <c r="CS51" s="102" t="n"/>
      <c r="CT51" s="102" t="n"/>
      <c r="CU51" s="102" t="n"/>
      <c r="CV51" s="102" t="n"/>
      <c r="CW51" s="102" t="n"/>
      <c r="CX51" s="102" t="n"/>
      <c r="CY51" s="102" t="n"/>
      <c r="CZ51" s="102" t="n"/>
      <c r="DA51" s="102" t="n"/>
      <c r="DB51" s="102" t="n"/>
      <c r="DC51" s="102" t="n"/>
      <c r="DD51" s="102" t="n"/>
      <c r="DE51" s="102" t="n"/>
      <c r="DF51" s="102" t="n"/>
      <c r="DG51" s="102" t="n"/>
      <c r="DH51" s="102" t="n"/>
      <c r="DI51" s="102" t="n"/>
      <c r="DJ51" s="102" t="n"/>
      <c r="DK51" s="102" t="n"/>
      <c r="DL51" s="102" t="n"/>
      <c r="DM51" s="102" t="n"/>
      <c r="DN51" s="102" t="n"/>
      <c r="DO51" s="107" t="n"/>
      <c r="DP51" s="102" t="n"/>
      <c r="DQ51" s="104" t="n"/>
    </row>
    <row r="52" ht="15" customHeight="1" s="634">
      <c r="I52" s="76" t="n"/>
      <c r="J52" s="76" t="n"/>
      <c r="K52" s="76" t="n"/>
      <c r="L52" s="783" t="n"/>
      <c r="M52" s="101" t="n"/>
      <c r="N52" s="81" t="n"/>
      <c r="O52" s="101" t="n"/>
    </row>
    <row r="53" ht="7.5" customHeight="1" s="634">
      <c r="A53" s="81" t="n"/>
      <c r="B53" s="81" t="n"/>
      <c r="C53" s="81" t="n"/>
      <c r="D53" s="81" t="n"/>
      <c r="E53" s="81" t="n"/>
      <c r="F53" s="81" t="n"/>
      <c r="G53" s="81" t="n"/>
      <c r="H53" s="81" t="n"/>
      <c r="I53" s="81" t="n"/>
      <c r="J53" s="81" t="n"/>
      <c r="K53" s="81" t="n"/>
      <c r="L53" s="81" t="n"/>
      <c r="M53" s="81" t="n"/>
      <c r="N53" s="81" t="n"/>
      <c r="O53" s="106" t="n"/>
    </row>
    <row r="81" ht="12.75" customHeight="1" s="634">
      <c r="C81" s="129" t="n"/>
    </row>
    <row r="82" ht="12.75" customHeight="1" s="634">
      <c r="C82" s="130" t="n"/>
    </row>
    <row r="83" ht="12.75" customHeight="1" s="634">
      <c r="C83" s="130" t="n"/>
    </row>
    <row r="84" ht="12.75" customHeight="1" s="634">
      <c r="C84" s="129" t="n"/>
    </row>
    <row r="85" ht="12.75" customHeight="1" s="634">
      <c r="C85" s="130" t="n"/>
    </row>
    <row r="86" ht="12.75" customHeight="1" s="634">
      <c r="C86" s="130" t="n"/>
    </row>
    <row r="87" ht="12.75" customHeight="1" s="634">
      <c r="C87" s="130" t="n"/>
    </row>
    <row r="88" ht="12.75" customHeight="1" s="634">
      <c r="C88" s="129" t="n"/>
    </row>
  </sheetData>
  <mergeCells count="13">
    <mergeCell ref="F23:H23"/>
    <mergeCell ref="B21:F21"/>
    <mergeCell ref="B23:E23"/>
    <mergeCell ref="D13:F13"/>
    <mergeCell ref="D14:F14"/>
    <mergeCell ref="B7:F9"/>
    <mergeCell ref="I23:J23"/>
    <mergeCell ref="L23:L24"/>
    <mergeCell ref="D15:F15"/>
    <mergeCell ref="D16:F16"/>
    <mergeCell ref="C36:L36"/>
    <mergeCell ref="C25:L25"/>
    <mergeCell ref="B49:F51"/>
  </mergeCells>
  <conditionalFormatting sqref="B7">
    <cfRule type="containsBlanks" priority="13" dxfId="4">
      <formula>LEN(TRIM(B7))=0</formula>
    </cfRule>
  </conditionalFormatting>
  <conditionalFormatting sqref="B14:C16">
    <cfRule type="containsBlanks" priority="6" dxfId="4">
      <formula>LEN(TRIM(B14))=0</formula>
    </cfRule>
  </conditionalFormatting>
  <conditionalFormatting sqref="B26:K35 B37:K46 B49">
    <cfRule type="containsBlanks" priority="8" dxfId="4">
      <formula>LEN(TRIM(B26))=0</formula>
    </cfRule>
  </conditionalFormatting>
  <conditionalFormatting sqref="I26:I35 I37:I46">
    <cfRule type="expression" priority="3" dxfId="1">
      <formula>$J26="√"</formula>
    </cfRule>
  </conditionalFormatting>
  <conditionalFormatting sqref="I26:I35">
    <cfRule type="expression" priority="12" dxfId="1">
      <formula>J26="√"</formula>
    </cfRule>
  </conditionalFormatting>
  <conditionalFormatting sqref="J26:J35 J37:J46">
    <cfRule type="expression" priority="1" dxfId="1">
      <formula>$I26="√"</formula>
    </cfRule>
  </conditionalFormatting>
  <dataValidations count="2">
    <dataValidation sqref="I26:J35 I37:J46" showDropDown="0" showInputMessage="1" showErrorMessage="1" allowBlank="1" type="list">
      <formula1>"√"</formula1>
    </dataValidation>
    <dataValidation sqref="K26:K35 K37:K46" showDropDown="0" showInputMessage="1" showErrorMessage="0" allowBlank="1" type="list">
      <formula1>"Y,N"</formula1>
    </dataValidation>
  </dataValidations>
  <hyperlinks>
    <hyperlink ref="B4" location="汇总!A1" display="返回汇总页"/>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K9"/>
  <sheetViews>
    <sheetView showGridLines="0" zoomScale="70" zoomScaleNormal="70" workbookViewId="0">
      <selection activeCell="C26" sqref="C26"/>
    </sheetView>
  </sheetViews>
  <sheetFormatPr baseColWidth="8" defaultColWidth="8.75" defaultRowHeight="12.75" customHeight="1"/>
  <cols>
    <col width="2.625" customWidth="1" style="9" min="1" max="1"/>
    <col width="20.75" customWidth="1" style="5" min="2" max="3"/>
    <col width="31.375" customWidth="1" style="5" min="4" max="5"/>
    <col width="17.75" customWidth="1" style="5" min="6" max="7"/>
    <col width="14.125" customWidth="1" style="5" min="8" max="8"/>
    <col width="17.625" customWidth="1" style="5" min="9" max="9"/>
    <col width="2.625" customWidth="1" style="5" min="10" max="10"/>
    <col width="1.625" customWidth="1" style="5" min="11" max="11"/>
    <col width="11.25" customWidth="1" style="5" min="12" max="16"/>
    <col width="8.75" customWidth="1" style="5" min="17" max="95"/>
    <col width="13.125" customWidth="1" style="6" min="96" max="96"/>
    <col width="7.25" customWidth="1" style="6" min="97" max="97"/>
    <col width="8.75" customWidth="1" style="6" min="98" max="107"/>
    <col width="14.25" customWidth="1" style="6" min="108" max="108"/>
    <col width="8.75" customWidth="1" style="6" min="109" max="114"/>
    <col width="10.25" customWidth="1" style="6" min="115" max="115"/>
    <col width="8.75" customWidth="1" style="6" min="116" max="119"/>
    <col width="10.125" customWidth="1" style="6" min="120" max="120"/>
    <col width="12.25" customWidth="1" style="6" min="121" max="121"/>
    <col width="8.75" customWidth="1" style="8" min="122" max="122"/>
    <col width="8.75" customWidth="1" style="6" min="123" max="123"/>
    <col width="8.75" customWidth="1" style="7" min="124" max="124"/>
    <col width="8.75" customWidth="1" style="5" min="125" max="16384"/>
  </cols>
  <sheetData>
    <row r="1" ht="50.1" customFormat="1" customHeight="1" s="156">
      <c r="B1" s="203" t="inlineStr">
        <is>
          <t>标准工作底稿: N SWP 应付账款</t>
        </is>
      </c>
      <c r="C1" s="204" t="n"/>
      <c r="D1" s="205" t="n"/>
      <c r="E1" s="205" t="n"/>
      <c r="F1" s="206" t="n"/>
      <c r="G1" s="206" t="n"/>
      <c r="H1" s="206" t="n"/>
      <c r="I1" s="207" t="n"/>
      <c r="K1" s="167" t="n"/>
    </row>
    <row r="2" ht="30" customFormat="1" customHeight="1" s="156">
      <c r="B2" s="208" t="inlineStr">
        <is>
          <t>N.04: 寻找未入账负债</t>
        </is>
      </c>
      <c r="C2" s="209" t="n"/>
      <c r="D2" s="209" t="n"/>
      <c r="E2" s="209" t="n"/>
      <c r="F2" s="209" t="n"/>
      <c r="G2" s="209" t="n"/>
      <c r="H2" s="209" t="n"/>
      <c r="I2" s="210" t="n"/>
      <c r="J2" s="168" t="n"/>
      <c r="K2" s="167" t="n"/>
    </row>
    <row r="3" ht="12.75" customFormat="1" customHeight="1" s="10">
      <c r="B3" s="38" t="n"/>
      <c r="C3" s="38" t="n"/>
      <c r="D3" s="38" t="n"/>
      <c r="E3" s="38" t="n"/>
      <c r="F3" s="38" t="n"/>
      <c r="G3" s="38" t="n"/>
      <c r="H3" s="38" t="n"/>
      <c r="I3" s="38" t="n"/>
      <c r="J3" s="21" t="n"/>
      <c r="K3" s="49" t="n"/>
    </row>
    <row r="4" ht="15.95" customFormat="1" customHeight="1" s="10">
      <c r="B4" s="46" t="inlineStr">
        <is>
          <t>返回汇总页</t>
        </is>
      </c>
      <c r="C4" s="46" t="n"/>
      <c r="D4" s="38" t="n"/>
      <c r="E4" s="38" t="n"/>
      <c r="F4" s="38" t="n"/>
      <c r="G4" s="38" t="n"/>
      <c r="H4" s="38" t="n"/>
      <c r="I4" s="38" t="n"/>
      <c r="J4" s="21" t="n"/>
      <c r="K4" s="49" t="n"/>
    </row>
    <row r="5" ht="12.75" customFormat="1" customHeight="1" s="10">
      <c r="B5" s="51" t="n"/>
      <c r="C5" s="51" t="n"/>
      <c r="D5" s="38" t="n"/>
      <c r="E5" s="38" t="n"/>
      <c r="F5" s="38" t="n"/>
      <c r="G5" s="38" t="n"/>
      <c r="H5" s="38" t="n"/>
      <c r="I5" s="38" t="n"/>
      <c r="J5" s="21" t="n"/>
      <c r="K5" s="49" t="n"/>
    </row>
    <row r="6" ht="18.95" customFormat="1" customHeight="1" s="10">
      <c r="B6" s="52" t="inlineStr">
        <is>
          <t>请项目组使用以下链接获取标准底稿执行Search For程序：</t>
        </is>
      </c>
      <c r="C6" s="51" t="n"/>
      <c r="D6" s="38" t="n"/>
      <c r="E6" s="38" t="n"/>
      <c r="F6" s="38" t="n"/>
      <c r="G6" s="38" t="n"/>
      <c r="H6" s="38" t="n"/>
      <c r="I6" s="38" t="n"/>
      <c r="J6" s="21" t="n"/>
      <c r="K6" s="49" t="n"/>
    </row>
    <row r="7" ht="18.95" customFormat="1" customHeight="1" s="10">
      <c r="B7" s="444" t="inlineStr">
        <is>
          <t>N&amp;P SURL SWP 寻找未入账负债 202YMMDD XYZ公司.xlsx</t>
        </is>
      </c>
      <c r="C7" s="38" t="n"/>
      <c r="D7" s="38" t="n"/>
      <c r="E7" s="38" t="n"/>
      <c r="F7" s="38" t="n"/>
      <c r="G7" s="38" t="n"/>
      <c r="H7" s="38" t="n"/>
      <c r="I7" s="38" t="n"/>
      <c r="J7" s="21" t="n"/>
      <c r="K7" s="49" t="n"/>
    </row>
    <row r="8" ht="15" customHeight="1" s="634">
      <c r="K8" s="49" t="n"/>
    </row>
    <row r="9" ht="7.5" customHeight="1" s="634">
      <c r="A9" s="17" t="n"/>
      <c r="B9" s="17" t="n"/>
      <c r="C9" s="17" t="n"/>
      <c r="D9" s="17" t="n"/>
      <c r="E9" s="17" t="n"/>
      <c r="F9" s="17" t="n"/>
      <c r="G9" s="17" t="n"/>
      <c r="H9" s="17" t="n"/>
      <c r="I9" s="17" t="n"/>
      <c r="J9" s="17" t="n"/>
      <c r="K9" s="17" t="n"/>
    </row>
  </sheetData>
  <conditionalFormatting sqref="I14">
    <cfRule type="containsBlanks" priority="6" dxfId="0">
      <formula>LEN(TRIM(I14))=0</formula>
    </cfRule>
  </conditionalFormatting>
  <hyperlinks>
    <hyperlink ref="B4" location="汇总!A1" display="返回汇总页"/>
    <hyperlink xmlns:r="http://schemas.openxmlformats.org/officeDocument/2006/relationships" ref="B7" display="https://eychinamanaged.sharepoint.cn/:x:/r/sites/GCknowledgecenter/Shared Documents/%E5%AE%A1%E8%AE%A1%E6%A0%87%E5%87%86%E5%BA%95%E7%A8%BF/%E6%A0%87%E5%87%86%E5%AE%A1%E8%AE%A1%E5%BA%95%E7%A8%BF%E6%A8%A1%E6%9D%BF%E7%AC%AC%E5%85%AD%E7%89%88-%E4%BD%BF%E7%94%A8%E7%89%88/N%26P SURL SWP %E5%AF%BB%E6%89%BE%E6%9C%AA%E5%85%A5%E8%B4%A6%E8%B4%9F%E5%80%BA 202YMMDD XYZ%E5%85%AC%E5%8F%B8.xlsx?d=wfa981cbde0e54153a730db72e2d8a746&amp;csf=1&amp;web=1&amp;e=1Owq15" r:id="rId1"/>
  </hyperlinks>
  <pageMargins left="0.7" right="0.7" top="0.75" bottom="0.75" header="0.3" footer="0.3"/>
  <pageSetup orientation="portrait" paperSize="9"/>
</worksheet>
</file>

<file path=xl/worksheets/sheet8.xml><?xml version="1.0" encoding="utf-8"?>
<worksheet xmlns="http://schemas.openxmlformats.org/spreadsheetml/2006/main">
  <sheetPr codeName="Sheet23">
    <outlinePr summaryBelow="1" summaryRight="1"/>
    <pageSetUpPr/>
  </sheetPr>
  <dimension ref="A1:DV102"/>
  <sheetViews>
    <sheetView workbookViewId="0">
      <selection activeCell="A1" sqref="A1"/>
    </sheetView>
  </sheetViews>
  <sheetFormatPr baseColWidth="8" defaultColWidth="9" defaultRowHeight="14.25"/>
  <cols>
    <col width="0.125" customWidth="1" style="634" min="1" max="1"/>
  </cols>
  <sheetData>
    <row r="1">
      <c r="A1" s="0" t="inlineStr">
        <is>
          <t>eca72055-06d3-4dd3-bf25-5248c0ca8d3d</t>
        </is>
      </c>
    </row>
    <row r="6">
      <c r="E6" s="0" t="inlineStr">
        <is>
          <t>ABC7Zhba9RAGIbvC/0PYfGysyQzmRy8q9u0LrTZZZMiUkqZJJO6NJuUHCyLCEXwhNg7wQvBA+pFQYpQYeuK/hkT65V/wdnS3ZYahULarTQQQvLN8eN5881LfvW/LU1OcNydwY3jKlfi7jqtXOUq2s2qsdbdaPtO9UYQrjXJOg2rM9QliRcbtyiNp7i8LpWpw4nqzmAWahMZ8hgDXnIQEB12s1yIAYaiYvM2URzkjIYYiWUGMfE0n1geHYx3iRfRk82zbeodTD4aaF5nr37iecOATjoHSRxuz6Bx3PZXD7Z9tMFonpI/FqlH10JK1pxgwz/Z1Ao2akHixywu8HAYrQXeKAqlYVTz43bcphGLLi2PJqCd4DZ1ctuMpNMhYdccZP7X/I+6GHHXo4dZHk98utXUg5jmLtEMg9WQdGbbnlcLgyhqUXchcOhwmUGvu1NnqAWXINuyFR5IFiFARDwEClFk4MquJSFbkG2Cz1ALM8ZKXTe1lj49v2JoplnX54wVw2y0pue0QkSh5EhCVEpF/EMRriMLyBKASlwBiAphilAkBKBDZEVVRF4l5JwUMdOozbUai81CFSGUijilIqAsWtQhPMBYUFiNkCiwkAUBxKqLqSCz80Q8P0UsLmi6WSpirIqgCKoWdiUAiQSZg4AIqDyWABFkVcWyamNIz+vU0OtlfRirGo5vs3jWepUXuOz51o/+g/3d9997W9lmnz1kr3rpzl4hwBHKs42laxwjccilX+6lvd7P13vp26eMdSGg1VzQsPy2x0gacdmj7ezDm+zTk/2dZ8VY/jzPL0B8iTDX/fXkokDOPj5kJbsQspDPI8tfIrAX7vvluQFOLsr/ixOHyWlrdJ79QmWJHiNikUt3+tnjr9mL7fT+O+a99ndfppufizmSc0u1WOIeo9tm18hvF1O2xVzK/zvkyYnl3w==</t>
        </is>
      </c>
      <c r="Y6" s="0" t="inlineStr">
        <is>
          <t>ABC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yIFQkCVsSKdxSwoihgRayIFR0HjoAV9+oXR8CKchCaA6yIFbtygBWxIlYkCFgRK95RwIqigBWxIlZ0HDgCVtyrXxwBK8pBaA6wIlbsygFWxIpYkSBgRax4RwErigJWxIpY0XHgCFhxr35xBKwoB6E5wIpYsSsHWBErYkWCgBWx4h0FrCgKWBErYkXHgSNgxb36xRGwohyE5gArYsWuHGBFrIgVCQJWxIp3FLCiKGBFrIgVHQeOgBX36hdHwIpyEJoDrIgVu3KAFbEiViQIWBEr3lHAiqKAFbEiVnQcOAJW3KtfHAErykFoDrAiVuzKAVbEiliRIGBFrHhHASuKAlbEiljRceAIWHGvfnEErCgHoTnAilixKwdYEStiRYKAFbHiHQWsKApYEStiRceBI2DFvfrFEbCiHITmACtixa4cYEWsiBUJAlbEincUsKIoYEWsiBUdB46AFffqF0fAinIQmgOsiBW7coAVsSJWJAhYESveUcCKooAVsSJWdBw4Albcq18cASvKQWgOsCJW7MoBVsSKWJEgYEWseEcBK4oCVsSKWNFx4AhYca9+cQSsKAehOcCKWLErB1gRK2JFgoAVseIdBawoClgRK2JFx4EjYMW9+sURsKIchOYAK2LFrhxgRaw47NihDQAADALB/beurcHT5hZAfsJh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t>
        </is>
      </c>
      <c r="Z6" s="0" t="inlineStr">
        <is>
          <t>ABC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BayIFbGi48ARsOJe/eIIWFEOSnOAFbHirRxgRayIFQkCVsSKOQpYURSwIlbEio4DR8CKe/WLI2BFOSjNAVbEirdygBWxIlYkCFgRK+YoYEVRwIpYESs6DhwBK+7VL46AFeWgNAdYESveygFWxIpYkSBgRayYo4AVRQErYkWs6DhwBKy4V784AlaUg9IcYEWseCsHWBErYkWCgBWxYo4CVhQFrIgVsaLjwBGw4l794ghYUQ5Kc4AVseKtHGBFrIgVCQJWxIo5ClhRFLAiVsSKjgNHwIp79YsjYEU5KM0BVsSKt3KAFbEiViQIWBEr5ihgRVHAilgRKzoOHAEr7tUvjoAV5aA0B1gRK97KAVbEiliRIGBFrJijgBVFAStiRazoOHAErLhXvzgCVpSD0hxgRax4KwdYEStiRYKAFbFijgJWFAWsiBWxouPAEbDiXv3iCFhRDkpzgBWx4q0cYEWsiBUJAlbEijkKWFEUsCJWxIqOA0fAinv1iyNgRTkozQFWxIq3coAVsSJWJAhYESvmKGBFUcCKWBErOg4cASvu1S+OgBXloDQHWBEr3soBVsSKWJEgYEWsmKOAFUUBK2JFrOg4cASsuFe/OAJWlIPSHGBFrHgrB1gRK2JFgoAVsWKOAlYUhWHHDm0AAGAQCO6/dS2mnja3APITDi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t>
        </is>
      </c>
      <c r="AA6" s="0" t="inlineStr">
        <is>
          <t>ABC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tfHAErykFpDrAiVryVA6yIFbEiQcCKWHGPAlYUBayIFbGi48ARsGKufnEErCgHpTnAiljxVg6wIlbEigQBK2LFPQpYURSwIlbEio4DR8CKufrFEbCiHJTmACtixVs5wIpYESsSBKyIFfcoYEVRwIpYESs6DhwBK+bqF0fAinJQmgOsiBVv5QArYkWsSBCwIlbco4AVRQErYkWs6DhwBKyYq18cASvKQWkOsCJWvJUDrIgVsSJBwIpYcY8CVhQFrIgVsaLjwBGwYq5+cQSsKAelOcCKWPFWDrAiVsSKBAErYsU9ClhRFLAiVsSKjgNHwIq5+sURsKIclOYAK2LFWznAilgRKxIErIgV9yhgRVHAilgRKzoOHAEr5uoXR8CKclCaA6yIFW/lACtiRaxIELAiVtyjgBVFAStiRazoOHAErJirXxwBK8pBaQ6wIla8lQOsiBWxIkHAilhxjwJWFAWsiBWxouPAEbBirn5xBKwoB6U5wIpY8VYOsCJWxIoEAStixT0KWFEUsCJWxIqOA0fAirn6xRGwohyU5gArYsVbOcCKWBErEgSsiBX3KGBFUcCKWBErOg4cASvm6hdHwIpyUJoDrIgVb+UAK2JFrEgQsCJW3KOAFUUBK2JFrOg4cASsmKvDnv3siF3VcRi+l+7H9B/TskTUaKIJQRKXZmhnDLFQU0Dj1r33oIkXgYm3g4l34dC+wClwTNzIOcdnYwwlRz6lffr+vp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t>
        </is>
      </c>
      <c r="AB6" s="0" t="inlineStr">
        <is>
          <t>ABC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hIKzorOis6IPB3cEZ8Xx1VPuCM6KOFiUA2dFZ8W9OHBWdFZ0VnRBcFZ0Vpyj4KwIBWdFZ0VnRR8O7gjOiuOrp9wRnBVxsCgHzorOintx4KzorOis6ILgrOisOEfBWREKzorOis6KPhzcEZwVx1dPuSM4K+JgUQ6cFZ0V9+LAWdFZ0VnRBcFZ0VlxjoKzIhScFZ0VnRV9OLgjOCuOr55yR3BWxMGiHDgrOivuxYGzorOis6ILgrOis+IcBWdFKDgrOis6K/pwcEdwVhxfPeWO4KyIg0U5cFZ0VtyLA2dFZ0VnRRcEZ0VnxTkKzopQcFZ0VnRW9OHgjuCsOL56yh3BWREHi3LgrOisuBcHzorOis6KLgjOis6KcxScFaHgrOis6Kzow8EdwVlxfPWUO4KzIg4W5cBZ0VlxLw6cFZ0VnRVdEJwVnRXnKDgrQsFZ0VnRWdGHgzuCs+L46il3BGdFHCzKgbOis+JeHDgrOis6K7ogOCs6K85RcFaEgrOis6Kzog8HdwRnxfHVU+4Izoo4WJQDZ0Vnxb04cFZ0VnRWdEFwVnRWnKPgrAgFZ0VnRWdFHw7uCM6K46un3BGcFXGwKAfOis6Ke3HgrOis6KzoguCs6Kw4R8FZEQrOis6Kzoo+HNwRnBXHV0+5Izgr4mBRDpwVnRX34sBZ0VnRWdEFwVnRWXGOgrMiFJwVnRWdFX04uCM4K46vnnJHcFbEwaIcOCs6K+7FgbOis6KzoguCs6Kz4hwFZ0UoOCs6Kzor+nBwR3BWHF895Y7grIiDRTlwVnRW3IsDZ0VnRWdFFwRnRWfFOQrOilBwVnRWdFb04eCO4Kw4vnrKHcFZEQeLcuCs6Ky4FwfOis6KzoouCM6KzopzFJwVoeCs6KzorOjDwR3BWXF89ZQ7grMiDhblwFnRWXEvDpwVnRWdFV0QnBWdFecoOCtCwVnRWdFZ0YeDO4Kz4vjqKXcEZ0UcLMqBs6Kz4l4cOCs6KzoruiA4KzorzlFwVoSCs6KzorOiDwd3BGfF8dVT7gjOijhYlANnRWfFvThwVnRWdFZ0QXBWdFaco+CsCAVnRWdFZ0UfDu4Izorjq6fcEZwVcbAoB86Kzop7ceCs6KzorOiC4KzorDhHwVkRCs6KzorOij4c3BGcFcdXT7kjOCviYFEOnBWdFffiwFnRWdFZ0QXBWdFZcY6CsyIUnBWdFZ0VfTi4Izgrjq+eckdwVsTBohw4Kzor7sWBs6KzorOiC4KzorPiHAVnRSg4KzorOiv6cHBHcFYcXz3ljuCsiINFOXBWdFbciwNnRWdFZ0UXBGdFZ8U5Cs6KUHBWdFZ0VvTh4I7grDi+esodwVkRB4ty4KzorLgXB86KzorOii4IzorOinMUnBWh4KzorOis6MPBHcFZcXz1lDuCsyIOFuXAWdFZcS8OnBWdFZ0VXRCcFZ0V5yg4K0LBWdFZ0VnRh4M7grPi+OopdwRnRRwsyoGzorPiXhw4KzorOiu6IDgrOivOUXBW/F+j8Oq/fPkL8M4vP/3ww6sXf3y57McfffGf3/z199rf8vJX4Ld/yu689e47X/wjvpTgg+vXfjvdeefF89+8uPrwJx88e/b2i+cff/zu9c0vnj997Z/sFVUx9Z1E/er5i9++c/W76xc/+NH1zdWnzz55+S/vNY2++lu+/Ino98XlbTPfvf/46uLJ/ZsnFw8f3/7H+3cfPL64vHz45s39J7e/Y65v7nw99v33nn9y9Wz6c/Hqh1/+hh//7d5576ff+Cn5+g+OX9+/e/etdz7/x58+/+yzf/3175//7c///MtnX/9DfvzzW96++T/0s49/+OL66rdPn//ho2/+0O1vn7dvnfji18W9u1+Kefur4NlXf/XBvS//6nf+C3n3+sPnv79+Ov7Ycn9SvF4L387HR98lzn+dj69drP9//qR4ePnw4eWDp9cXTx48feM2H994dPH48tGTi5v711dvXF5fPbj75O73ko9vfPvV//D/Lmz1J4VbMw4W5eDm3s3tn4/XTy+u33z49OLhk/dvLq4ePL68eP/Bk3v37j26vLl59L2E48kcuDXjYFEO1IE6wAEO1MHLH1UHr/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gTpQB+3FAQ7UgTpoLw5woA7UQXtxgAN1oA7aiwMcqAN10F4c4EAdqIP24gAH6kAd</t>
        </is>
      </c>
      <c r="AC6" s="0" t="inlineStr">
        <is>
          <t>ABCtBcHOFAH6qC9OMCBOlAH7cUBDtSBOmgvDnCgDtRBe3GAA3WgDtqLAxyoA3XQXhzgQB2og/biAAfqQB20Fwc4UAfqoL04wIE6UAftxQEO1IE6aC8OcKAO1EF7cYADdaAO2osDHKgDddBeHOBAHaiD9uIAB+pAHbQXBzhQB+qgvTjAgTpQB+3FAQ7UgTpoLw5woA7UQXtxgAN1oA7aiwMcqAN10F4c4EAdqIP24gAH6kAdtBcHOFAH6qC9OMCBOlAH7cUBDtSBOmgvDnCgDtRBe3GAA3WgDtqLAxyoA3XQXhzgQB2og/biAAfqQB20Fwc4UAfqoL04wIE6UAftxQEO1IE6aC8OcKAO1EF7cYADdaAO2osDHKgDddBeHOBAHaiD9uIAB+pAHbQXBzhQB+qgvTjAwb/ZrUMaAAAAAGH9W2OI8QgYdj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t>
        </is>
      </c>
      <c r="AD6" s="0" t="inlineStr">
        <is>
          <t>ABC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vtwA7ogA7utQM7oAM6uNcO7IAO6OBeO7ADOqCDe+3ADuiADu61AzugAzq41w7sgA7o4F47sAM6oIN77cAO6IAO7rUDO6ADOrjXDuyADujgXjuwAzqgg3tjtw5pAAAAAIT1b40hxiNgPnC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t>
        </is>
      </c>
      <c r="AE6" s="0" t="inlineStr">
        <is>
          <t>AB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cQu3VIAwAAACCsf2sMMR4B8+E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t>
        </is>
      </c>
      <c r="AF6" s="0" t="inlineStr">
        <is>
          <t>ABC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UBDtyBO7gXBzhwB+7gXhzgwB24g3txgAN34A7uxQEO3IE7uBcHOHAH7uBeHODAHbiDe3GAA3fgDu7FAQ7cgTu4Fwc4cAfu4F4c4MAduIN7cYADd+AO7sVB7NYhDQAAAICw/q0xxHgEDLs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t>
        </is>
      </c>
      <c r="AG6" s="0" t="inlineStr">
        <is>
          <t>ABC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3GsHdkAHdHCvHdgBHdDBvXZgB3RAB/fagR3QAR3cawd2QAd0cK8d2AEd0MG9dmAHdEAH99qBHdABHdxrB3ZAB3Rwrx3YAR3Qwb12YAd0QAf32oEd0AEdxN7d9Wp2pWe9/ypTdczced5fOEucTjaI7UTZQfsARdbziky6XaZsgziIRB8FFFBACBKJSKGR8iKUdDgIIgGhfBnsNt9iP8/su1d7eVW5qtw92/e4528oajn2mFU16qp1rXvN8a//iv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VB+rAdGA6iPOqA3VgOjAdxHnVgTowHZgO4rzqQB2YDkwHcV51oA5MB6aDOK86UAemA9NBnFcdqAPTgekgzqsO1IHpwHQQ51UH6sB0YDqI86oDdWA6MB3EedWBOjAdmA7ivOpAHZgOTAdxXnWgDkwHpoM4rzpQB6YD00GcVx2oA9OB6SDOqw7UgenAdBDnVQfqwHRgOojzqgN1YDowHcR51YE6MB2YDuK86kAdmA5MB3FedaAOTAemgzivOlAHpgPTQZxXHagD04HpIM6rDtSB6cB0EOd9VR388B9+9Efv2f/7yXe+c3jxz4YzfeuD+/9++U/eoy3Dn72nv1nPfv7XfvXd5x9fhg54//LoA+nZr754/g9fHL7zS+9/+9vvvHj+0Ue/drn+P8/Pj35lPyypKKiXltP/9/zFb/7q4cPLi//rFy/Xwyff/niI7VEPPWz50W9EfERsr7PVab3f//DT4uq4mfeH2e0DZHY4r5fH2Xax2G+e/fiwx19//vHh26/8vfjhfx4+1L+Y67Nf/7+/9Fvy408W7y1ns5//1c/+xX/57M//82f/7Xc+/4t//+Nf4Ud/79ZqX/5Z/s5Hv/DicvjN8/N/+sGX/9Pto+adWz18/MWPqNufgG//6F/OF/Mf/duXhvFrl+88/yeX8xf/W77PD/Mvbnr6+WHxsp55688Pq9d8fvjxf330W/OT/fbcf/C3+S2KzL59uH16GT4AX15UP/wTOPTS8Jnq3Tfa9s5XbbsXXLT+s+3huFmdr/PbR9Bq16/Oi21/vH026VeX0353vlw328v2ya96+C29/SBRcf/g8X/uuu3jf/EbL/sF/PyvP/+FV/z6XvJZYvfSPV/IfPbF//5bf0vCDwlfjsvd9nxc97v5/HibGk7r/rg+nfvN+bq8bLbr0+68S5DwXsJfN+Hz8nJdL7fb/nrZbW8fw8dTvzvOZv329j+n0+W8Om73CRKez0T8dSPenc6z4/587s+z/aVfbU7Hfj+7zT3r1fJ4Xp23+8M2Q03P5yL+uhFf96vrbHNY95vDdtmv9vPbR/Fmfeg3y/l6uTlvtov9NUPEi0oRP/u733qy7SURP7sMP+J775/v/3B9/8dfiHxV4s8+/8s//vSPfu9//833PvvuXzx54FGD72ar+f506ZfLy+1z9O1/++N2efscfdzOttvVYb3ZpMh+OcXs/9HlvQ8++c7xDTP/9Lf//PO/+O6nv/vfvzLww2F/OR1n5/5yWt0+ZS9ni9un7N35/rG/P5521/lqvckQ+GqKgV+u1/sv459c3jsfHr97eWXqn//Nb98+2D/7vT/67A/+8CuDv6xXp8Vyv+wXp/n61vLL29db1/WxX8wW68VptdtdzymCX08x+I8+uf27f3h58d4H93/xJrl/9p/+6gff/73/872//sF//P6n/+Zf/+BP/utXpn+9rq7Hxfza7y6r29fY1/Oq3y1P+/4yP62u19PutM/xOX4zxfRvPX++fHR68f6H91/FW5T9Z//29z//4+9+ZfCn0+m82t3iXs+Pu9v8vrn0h8Vs058u++NludxcF4tDhuC3Uwz++skHp/vPf/j27Q/A8f2P3/voNue92Yf/H/zZp3/13U//+R9+9h/++ivz35wPp/V8s7t9TX5/ubY8XW/57+b9abOfn8+3PxPH1SpD/t6zvTLs1379NjvMr5f9tt+er4d+ddrN+v11vbh9nb48XDez8/G8XGeI+C1ftP34/3nFrepP94/A8OO+Rey/9P63P768+OUXzz/58Mmv5iW/oq/5q/rCz/Lmv7bh5xr+WN4/ndx+up//4PzSPV8+w5dT/sKml57xFef8ic76dsd806MO+9558f7tJ3j/cN/3yy8ut4/aF7/y4lv/+JPDt1/5yK8eXhy+M3/jrn783OLlHxyPNy3vP/jsq3+g5Xt/54O4Qnr2y8snY/rD5r//weHFP/uVDy8vDh8/fxEf2c+evWzzb730h2g0y7/3/m++JokhwX/64XuH02m403xtbM8+/fPf//wv/+Q1sbxRvj/O7qv2TjS6t/4w/OovkR8/8OYff7cvghc/N1/83HLezf727P5/b/4B+S0fkN2XPyAvH33UcqS/+GReetg70UTfef7Bx4f3P/joDeL86q9mHz8wVO0P/ue/+/x//dk3XLXvPv/45Sk+/Ze/8eV/9aU9T2blX/yFL39x+CaDboOc4Go1m++Pq02/312u/WpxPfW7+f3G8Lo9zS/XzXq/e3RZ+DPjBGdPf9SH/7Z/8uSrCZCnnOCjr2q+CVDw19+AG/70+9/7/Pvf+8Gf/s6n/+N3P/uXf/L59/7V59/70/deBo8NP8YTlPDlP8ArnnmgC9/2p32gD5/89rWDIa8fEalPMLP15mV/TN8WM1u/DkP2cuTh5cjyujsdrud9v9zMbpV0WK7643Vz6ueL+Xq2P82Wu10GfsHrr6+d8OI4X61vqz+et/t+tT0u+916c+wX6/18tz4td8vjk9EPZtZSwsvD9rxZnfb9db9f9avl+vYxvFis++16trxsl7vjMUXCMLOvH/F6s1uer9ddv1wsbhHPD9d+tz+s+/V8vjsfV7Prfp3ifhJm9rUj3i8Wl9l2e+33i+utp6+r2z8tD7evEA638PfX02yRAviGmY2Amd3G2+V6dzn2h3uNry6zeX/YLHf9bLmeLy/L3WFxTHFFBTN7beZvhpkdj+fZdrY+9XcSvF/NTpd+P9us+/l8f9ytzuft/Pj0ohtm1j5mdhu4Z4fL4v63PAbQ6PYp/bCaz/v1dbffni6b29ddMLOymNlpe9ofbqPc/S8K377anl2P/X69XfSz83l5Pq1n8/n6yftmmFkBzGx5uO6Pi825P2/W97/Dd1n0u9121e+ui92t+He71SbFhz3MbBzM7Li8nhe3T+79ZXtd9qvTYtfv99dFv9rdwfLdeblap8AMvWd7Zdiv/ct+6+Vmvllv+s38tOlX+/u9znF77Den2Xl52B2P80OKboeZwczS3JvDzOpkCTNrNrr4MAQjPV6Nptk6XvZLurX7UqTvPv/4TfNsky8Dl/2kcNn2MD9eN/NLv1kv1v1qtdn1u8N21R/Ph+NytjqtdttHV4Q/K7hsvXr6o/7ov21WT55sCy57Awvd6ymv9x7/KPCyr42XPbISPpWYveyP6VvDZU8+tCehuLwsVuvdcr/pT3f2YLW6/dNuM1/3p+v2cjof5+fT+Rsx3i5eXS6PeJPXIUdPy+Wb7pY3EN6+WmFJeUtpmO4NKaVh9YQpDasnTGlYPmJKw/IRUxomxhFGZk0pDRNnT2k4scApDbGmlIaTS5/SEGtKaVgof0pDrCnWNDVDgzWtkyXWtNnoKA1jlUq1deYURdx1lIbDQp3GHkrDeDYbdUppmAgzozRM9nKE0rB6wpSG1ROmNCwfMaVh+YgpDRPfRI6MmVEaJs6e0nBigVMawswoDSeXPqUhzIzSsFD+lIYwM5hZ6ntzmFmdLGFmzUZHaVgpzdbxMkrDYR+lIbgs9lAaxrPZ4DJKw/tKg5dRGlIaUhpeKA0pDRO+IaU0rJ4wpWH1hCkNy0dMaVg+YkrDxDjCyKwppWHi7CkNJxY4pSHWlNJwculTGmJNKQ0L5U9piDXFmqZmaLCmdbLEmjYbHaVhrFKpts6cooi7jtJwWKjT2ENpGM9mo04pDRNhZpSGyV6OUBpWT5jSsHrClIblI6Y0LB8xpWHim8iRMTNKw8TZUxpOLHBKQ5gZpeHk0qc0hJlRGhbKn9IQZgYzS31vDjOrkyXMrNnoKA0rpdk6XkZpOOyjNASXxR5Kw3g2G1xGaXh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754P/USidnL/pi+NVz25EP7MVv2iq+SW2+Xy2K13i33m/50Zw9Wq9s/7TbzdX+6bi+n83F+Pp1n30S7LF5dLo94k9chR0/L5ZvulndfD65++Qd+0hyv3vBQEy/5Df5hDTx75/l3Phw+7pXBQ9zKQBkog4cTt1MG/KaPf7Zv/LqE37R6wvym1RPmNy0fMb9p+Yj5TROzSSOD5/ymibPnN51Y4PymwHN+08mlz28KPOc3LZQ/vynwHHieGqgDntfJEnjebHT8prFKpdo6gO6vFHQdv+mwIOixh980ns2GoPObJsLM+E2TvRzhN62eML9p9YT5TctHzG9aPmJ+08Q3kSNjZvymibPnN51Y4PymMDN+08mlz28KM+M3LZQ/vynMDGaW+t4cZlYnS5hZs9Hxm1ZKs3W8jN902MdvCi6LPfym8Ww2uIzf9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jZF++nXiIxe9kf07eGy558aD9my17xVXLr7XJZrNa75X7Tn+7swWp1+6fdZr7uT9ft5XQ+zs+n8+ybaJfFq8vlEW/yOuToabl8093y7uvB1S//wE+a49UbHmriJb/BP6yBZ+88/86Hw8e9MniIWxkoA2XwcGJloAyUgTLolIEyUAbK4OHE7ZQB8/njn+0bBymYz6snzHxePWHm8/IRM5+Xj5j5PDG1fGE+f+avpL1J5sznzQfOfO6vpDGfTy595nN/JY35vFD+P+Ov35jP/ZW0Jz+Xv5L2ZJ+/kvawSv21CX8lrdnomM9jlUq19b+a5i8bdh3z+bD85bTYw3wez2b7y2nM54kwM+bzZC9HmM+rJ8x8Xj1h5vPyETOfl4+Y+TzxTeTImBnzeeLsmc8nFjjzOcyM+Xxy6TOfw8yYzwvl/zP+y37M5zCzJz8XzOzJPpjZwyrFQMDMmo2O+bxSmq3jZcznwz7mc3BZ7GE+j2ezwWXM5/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LidMvDd0h7/bN/4X77w3dKqJ+y7pVVP2HdLKx+x75ZWPmLfLS3x33S+jKux8d3SEmfvu6VNLHDfLY3GZhyNje+Wljh93y2NxsZ3SyuU/8/46zffLY3G5snPRWPzZB+NzcMqpVqgsWk2Ot8tLVapVFvX2RAUdZ3vljYsQpvY47ulxbPZhDa+W1oizMx3S0v2csR3S6uesO+WVj1h3y2tfMS+W1r5iH23tMQ3kSNjZr5bWuLsfbe0iQXuu6XBzMbBzHy3tMTp+25pMDPfLa1Q/j/jv+znu6XBzJ78XDCzJ/tgZg+rFAMBM2s2Ot8trVKareNlvlvasM93SwOXxR7fLS2ezQaX+W5p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u+eD/1EonZy/6YvjVc9uRD+zFb9oqvkltvl8titd4t95v+dGcPVqvbP+0283V/um4vp/Nxfj6dZ99EuyxeXS6PeJPXIUdPy+Wb7pZ3Xw+ufvkHftIcr97wUBMv+Q3+YQ08e+f5dz4cPu6VwUPcykAZKIOHEysDZaAMlEGnDJSBMlAGDydWBspAGSiDThkoA2WgDB5OrAyUgTJQBp0yUAbKQBk8nFgZKANloAw6ZaAMlIEyeDixMlAGykAZdMpAGSgDZfBwYmWgDJSBMuiUgTJQBsrg4cTKQBkoA2XQKQNloAyUwcOJ2ymD1fyr22Dx06iD1eo1ffDj/zp5yeP2cNysztf5rTlWu351Xmz74+n+jaMvp/3ufLlutikk/TSeXzvhy3G5256P6343nx/71em07o/r093XfV1eNtv1aXfeJUjYt8v52gmfl5frernd9tfLbnv7GD6e+t1xNuu3dxf/6XJeHbf7BAn7djlfP+LdbZQ77s/n/jzbX/rV5u7ine33/Xq1PJ5X5+3+sM1Q075dzteP+LpfXWebw7rfHLbLfrWf3z6KN+tDv1nO18vNebNd7FN8RyTfLuen/+1yzrvZar4/Xfrl8nL7HH373/64Xd4+Rx+3s+12dVhvNimy9+1yXpv5m327nMNhfzkdZ+f+clrdPmUvZ4vbp+zd+f6xvz+edtf5ap3i2yf4djk/5W+Xc1mvTovlftkvTvP1reWXt6+3rutjv5gt1ovTare7nlME79vlvFHub/ntcq7X1fW4mF/73WX4ZknnVb9bnvb9ZX5aXa+n3Wmf43O8b5fzU/52OafT6bza3eJez4+72/y+ufSHxWzTny7742W53FwXixTfLsW3yxnn2+VszofTer7Z3b4mv79cW56ut/x38/602c/P59ufieNqlSF/79leGfZrv36bHebXy37bb8/XQ7867Wb9/rpe3L5OXx6um9n5eF6m+JaXvl2Ob5eT5tsA+HY5dbL07XKaje6tPwzzfY+Vb/mA7L78Adn4t83xjZC6LyX6zvMPPj68/8FHbxBnm981593nH/vGOT8pF7Zazeb742rT73eXa79aXE/9bn6/MbxuT/PLdbPe7x5dFv6suLDV7OmP+vDf9k+ebOsb57yeDHvb71/j2+Z8bcxs/YgIfYKZrTcv+2P61tTp7snHNszsC9sefbvw6+50uJ73/XIzu1XSYbnqj9fNqZ8v5uvZ/jRb7nYZ+AWvv752wovjfLW+rf543u771fa47HfrzbFfrPfz3fq03C2PT0Y/mFlLCS8P2/Nmddr31/1+1a+W69vH8GKx7rfr2fKyXe6OxxQJw8y+fsTrzW55vl53/XKxuEV8/2sFu/1h3a/n8935uJpd9+sU95Mws68d8X6xuMy222u/X1xvPX1d3f5pebh9hXC4hb+/nmaLFMA3zGwEzOw23i7Xu8uxP9xrfHWZzfvDZrnrZ8v1fHlZ7g6LY4orKpjZazN/M8zseDzPtrP1qb+T4P1qdrr0+9lm3c/n++NudT5v58enF90ws/Yxs9vAPTtcFve/5TGARrdP6YfVfN6vr7v99nTZ3L7ugpmVxcxO29P+cBvl+sv+9un9NrYd+/16u+hn5/PyfFrP5vP1k/fNMLMCmNnycN0fF5tzf96s73+H77Lod7vtqt9dF7tb8e92q02KD3uY2TiY2XF5PS9un9z7y/a67Fenxa7f76+LfrW7g+W783K1ToEZes/2yrBf+5f91svNfLPe9Jv5adOv9vd7neP22G9Os/PysDse54cU3Q4zg5mluTeHmdXJEmbWbHTxYQhGerwaTbN1vOyXdGv3pUjfff7xm+bZJl8GLvtJ4bLtYX68buaXfrNerPvVarPrd4ftqj+eD8flbHVa7baPrgh/VnDZevX0R/3Rf9s8tcy1BZctfhpw2XuPfxR4GYtZlZ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t>
        </is>
      </c>
      <c r="AH6" s="0" t="inlineStr">
        <is>
          <t>ABC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xmKW7KUIi1n1hFnMqifMYlY+Yhaz8hGzmCW+gRwZL2MxS5w9i9nEAmcxg5exmE0ufRYzeBmLWaH8WczgZfCy1Nfm8LI6WcLLmo2OxSxWqVRbx8yAg13HYjYsoFnsYTGLZ7OBZixmiTAzFrNkL0dYzKonzGJWPWEWs/IRs5iVj5jFLPFN5MiYGYtZ4uxZzCYWOIsZzIzFbHLps5jBzFjMCuXPYgYzg5mlvjeHmdXJEmbWbHQsZpXSbB0vYzEb9rGYgctiD4tZPJsNLmMxu680eBmLWbKXIixm1RNmMaueMItZ+YhZzMpHzGKW+AZyZLyMxSxx9ixmEwucxQxexmI2ufRZzOBlLGaF8mcxg5fBy1Jfm8PL6mQJL2s2OhazWKVSbR0zAw52HYvZsIBmsYfFLJ7NBpqxmCXCzFjMkr0cYTGrnjCLWfWEWczKR8xiVj5iFrPEN5EjY2YsZomzZzGbWOAsZjAzFrPJpc9iBjNjMSuUP4sZzAxmlvreHGZWJ0uYWbPRsZhVSrN1vIzFbNjHYgYuiz0sZvFsNriMxey+0uBlLGbJXoqwmFVPmMWsesIsZuUjZjErHzGLWeIbyJHxMhazxNmzmE0scBYzeBmL2eTSZzGDl7GYFcqfxQxeBi9LfW0OL6uTJbys2ehYzGKVSrV1zAw42HUsZsMCmsUeFrN4NhtoxmKWCDNjMUv2coTFrHrCLGbVE2YxKx8xi1n5iFnMEt9EjoyZsZglzp7FbGKBs5jBzFjMJpc+ixnMjMWsUP4sZjAzmFnqe3OYWZ0sYWbNRsdiVinN1vEyFrNhH4sZuCz2sJjFs9ngMhaz+0qDl7GYJXspwmJWPWEWs+oJs5iVj5jFrHzELGaJbyBHxstYzBJnz2I2scBZzOBlLGaTS5/FDF7GYlYofxYzeBm8LPW1ObysTpbwsmajYzGLVSrV1jEz4GDXsZgNC2gWe1jM4tlsoBmLWSLMjMUs2csRFrPqCbOYVU+Yxax8xCxm5SNmMUt8EzkyZsZiljh7FrOJBc5iBjNjMZtc+ixmMDMWs0L5s5jBzGBmqe/NYWZ1soSZNRsdi1mlNFvHy1jMhn0sZuCy2MNiFs9mg8tYzO4rDV7GYpbspQiLWfWEWcyqJ8xiVj5iFrPyEbOYJb6BHBkvYzFLnD2L2cQCZzGDl7GYTS59FjN4GYtZofxZzOBl8LLU1+bwsjpZwsuajY7FLFapVFvHzICDXcdiNiygWexhMYtns4FmLGaJMDMWs2QvR1jMqifMYlY9YRaz8hGzmJWPmMUs8U3kyJgZi1ni7FnMJhY4ixnMjMVscumzmMHMWMwK5c9iBjODmaW+N4eZ1ckSZtZsdCxmldJsHS9jMRv2sZiBy2IPi1k8mw0uYzG7rzR4GYtZspciLGbVE2Yxq54wi1n5iFnMykfMYpb4BnJkvIzFLHH2LGYTC5zFDF7GYja59FnM4GUsZoXyZzGDl8HLUl+bw8vqZAkvazY6FrNYpVJtHTMDDnYdi9mwgGaxh8Usns0GmrGYJcLMWMySvRxhMaueMItZ9YRZzMpHzGJWPmIWs8Q3kSNjZixmibNnMZtY4CxmMDMWs8mlz2IGM2MxK5Q/ixnMDGaW+t4cZlYnS5hZs9GxmFVKs3W8jMVs2MdiBi6LPSxm8Ww2uIzF7L7S4GUsZsleirCYVU+Yxax6wixm5SNmMSsfMYtZ4hvIkfEyFrPE2bOYTSxwFjN4GYvZ5NJnMYOXsZgVyp/FDF4GL0t9bQ4vq5MlvKzZ6FjMYpVKtXXMDDjYdSxmwwKaxR4Ws3g2G2jGYpYIM2MxS/ZyhMWsesIsZtUTZjErHzGLWfmIWcwS30SOjJmxmCXOnsVsYoGzmMHMWMwmlz6LGcyMxaxQ/ixmMDOYWep7c5hZnSxhZs1Gx2JWKc3W8TIWs2Efixm4LPawmMWz2eAyFrP7SoOXsZgleynCYlY9YRaz6gmzmJWPmMWsfMQsZolvIEfGy1jMEmfPYjaxwFnM4GUsZpNLn8UMXsZiVih/FjN4Gbws9bU5vKxOlvCyZqNjMYtVKtXWMTPgYNexmA0LaBZ7WMzi2WygGYtZIsyMxSzZyxEWs+oJs5hVT5jFrHzELGblI2YxS3wTOTJmxmKWOHsWs4kFzmIGM2Mxm1z6LGYwMxazQvmzmMHMYGap781hZnWyhJk1Gx2LWaU0W8fLWMyGfSxm4LLYw2IWz2aDy1jM7isNXsZiluylCItZ9YRZzKonzGJWPmIWs/IRs5glvoEcGS9jMUucPYvZxAJnMYOXsZhNLn0WM3gZi1mh/FnM4GXwstTX5vCyOlnCy5qNjsUsVqlUW8fMgINdx2I2LKBZ7GExi2ezgWYsZokwMxazZC9HWMyqJ8xiVj1hFrPyEbOYlY+YxSzxTeTImBmLWeLsWcwmFjiLGcyMxWxy6bOYwcxYzArlz2IGM4OZpb43h5nVyRJm1mx0LGaV0mwdL2MxG/axmIHLYg+LWTybDS5jMbuvNHgZi1mylyIsZtUTZjGrnjCLWfmIWczKR8xilvgGcmS8jMUscfYsZhMLnMUMXsZiNrn0WczgZSxmhfJnMYOXwctSX5vDy+pkCS9rNjoWs1ilUm0dMwMOdh2L2bCAZrGHxSyezQaasZglwsxYzJK9HGExq54wi1n1hFnMykfMYlY+YhazxDeRI2NmLGaJs2cxm1jgLGYwMxazyaXPYgYzYzErlD+LGcwMZpb63hxmVidLmFmz0bGYVUqzdbyMxWzYx2IGLos9LGbxbDa4jMXsvtLgZSxmyV6KsJhVT5jFrHrCLGblI2YxKx8xi1niG8iR8TIWs8TZs5hNLHAWM3gZi9nk0mcxg5exmBXKn8UMXgYvS31tDi+rkyW8rNnoWMxilUq1dcwMONh1LGbDAprFHhazeDYbaMZilggzYzFL9nKExax6wixm1RNmMSsfMYtZ+YhZzBLfRI6MmbGYJc6exWxigbOYwcxYzCaXPosZzIzFrFD+LGYwM5hZ6ntzmFmdLGFmzUbHYlYpzdbxMhazYR+LGbgs9rCYxbPZ4DIWs/tKg5exmCV7KcJiVj1hFrPqCbOYlY+Yxax8xCxmiW8gR8bLWMwSZ89iNrHAWczgZSxmk0ufxQxexmJWKH8WM3gZvCz1tTm8rE6W8LJmo2Mxi1Uq1dYxM+Bg17GYDQtoFntYzOLZbKAZi1kizIzFLNnLERaz6gmzmFVPmMWsfMQsZuUjZjFLfBM5MmbGYpY4exaziQXOYgYzYzGbXPosZjAzFrNC+bOYwcxgZqnvzWFmdbKEmTUbHYtZpTRbx8tYzIZ9LGbgstjDYhbPZoPLWMzuKw1e9sX7qZdIzF72x/St4bInH9qP2bJXfJXcertcFqv1brnf9Kc7e7Ba3f5pt5mv+9N1ezmdj/Pz6Tz7Jtpl8epyecSbvA45elou33S3vPt6cPXLP/CT5nj1hoeaeMlv8A9r4Nk7z7/z4fBxrwwe4lYGykAZPJxYGSgDZaAMOmWgDJSBMng4sTJQBspAGXTKQBkoA2XwcGJloAyUgTLolIEyUAbK4OHEykAZKANl0CkDZaAMlMHDiZWBMlAGyqBTBspAGSiDhxMrA2WgDJRBpwyUgTJQBg8nVgbKQBkog04ZKANloAweTqwMlIEyUAadMlAGykAZPJxYGSgDZaAMOmWgDJSBMng4sTJQBspAGXTKQBkoA2XwcGJloAyUgTLolIEyUAbK4OHEykAZKANl0CkDZaAMlMHDiZWBMlAGyqBTBspAGSiDhxMrA2WgDJRBpwyUgTJQBg8nVgbKQBkog04ZKANloAweTtxOGazmX90Gi59GHaxWr+mDH//XR781P9lvz/0Hf5vfouFn+7XLtw+3Ohn+oL38D9AX/iAOzfTuG21756u23f9Ex0f5s+3huFmdr/Nbc6x2/eq82PbH03zery6n/e58uW62l+2TX/XwW3r7QeJP9D94/J+7bvv4X/zGy34BP//rz3/hFb++l9TC7qV7vpD57Iv//bf+loQfEr4cl7vt+bjud/P5sV+dTuv+uD6d+835urxstuvT7rxLkPBewl834fPycl0vt9v+etltbx/Dx1O/O85m/fb2P6fT5bw6bvcJEn70uV/EbxXx7jbKHffnc3+e7S/9anM69vvZft+vV8vjeXXe7g/bDDU9n4v460Z83a+us81h3W8O22W/2s9vH8Wb9aHfLOfr5ea82S721wwRLypF/OzvfuvJtpdE/Owy/IjvvX++/8P1/cuLr3jqIfFnn//lH3/6R7/3v//me5999y+ePPCowXez1Xx/uvTL5eX2Ofr2v/1xu7x9jj5uZ9vt6rDebFJkv5xi9v/o8t4Hn3zn+IaZf/rbf/75X3z309/9718Z+OGwv5yOs3N/Oa1un7KXs8XtU/bufP/Y3x9Pu+t8td5kCHw1xcAv1+v9l/FPLu+dD4+/1H5l6p//zW/fPtg/+70/+uwP/vArg7+sV6fFcr/sF6f5+tbyy9vXW9f1sV/MFuvFabXbXc8pgl9PMfiPPrn9u394efHeB/d/8Sa5f/af/uoH3/+9//O9v/7Bf/z+p//mX//gT/7rV6Z/va6ux8X82u8uq9vX2Nfzqt8tT/v+Mj+trtfT7rTP8Tl+M8X0bz1/vnx0evH+h/dfxVuU/Wf/9vc//+PvfmXwp9PpvNrd4l7Pj7vb/L659IfFbNOfLvvjZbncXBeLQ4bgt1MM/vrJB6f7z3/49u0PwPH9j9/76DbnvdmH/x/82ad/9d1P//kffvYf/vor89+cD6f1fLO7fU1+f7m2PF1v+e/m/Wmzn5/Ptz8Tx9UqQ/7es70y7Nd+/TY7zK+X/bbfnq+HfnXazfr9db24fZ2+PFw3s/PxvFxniPgtX7T9+P95xS3aT/ePwPDjvkXsv/T+tz++vPjlF88/+fDJr+Ylv6Kv+av6ws/y5r+24eca/ljeP53cfrqf/+D80j1fPsOXU/7Cppee8RXn/InO+nbHfNOjDvveefH+7Sd4/3Df98svLreP2he/8uJb//iTw7df+civHl4cvjN/465+/Nzi5R8cjzct7z/47Kt/oOV7f+eDuEJ69svLJ2P6w+a//8HhxT/7lQ8vLw4fP38RH9nPnr1s82+99IdoNMu/9/5vviaJIcF/+uF7h9Pp+ScffPz62J59+ue///lf/slrYnmjfH+c3VftnWh0b/1h+NVfIj9+4M0//m5fBC9+br74ueW8m/3t2f3/3vwD8ls+ILsvf0BePvqo5Uh/8cm89LB3oom+8/yDjw/vf/DRG8T51V/NPn5gqNof/M9/9/n/+rNvuGrfff7xy1N8+i9/48v/6kt7nszKv/gLX/7i8E0G3Qa5sNVqNt8fV5t+v7tc+9Xieup38/uN4XV7ml+um/V+9+iy8GfFha1mT3/Uh/+2f/LkqwmQp2DY/Jsmw3799WTYs0+//73Pv/+9H/zp73z6P373s3/5J59/7199/r0/fe+zf/FfPvvz//zZf/udz//i3z/6MZ6QYy//AV7xzANM9rY/7QNs9uS3rx3MbP2ICH2Cma03L/tj+tbU6e7JxzbM7AvbvvhyZHndnQ7X875fbma3SjosV/3xujn188V8PdufZsvdLgO/4PXX1054cZyv1rfVH8/bfb/aHpf9br059ov1fr5bn5a75fHJ6Aczaynh5WF73qxO+/6636/61XJ9+xheLNb9dj1bXrbL3fGYImGY2dePeL3ZLc/X665fLha3iO9/rWC3P6z79Xy+Ox9Xs+t+neJ+Emb2tSPeLxaX2XZ77feL662nr6vbPy0Pt68QDrfw99fTbJEC+IaZjYCZ3cbb5Xp3OfaHe42vLrN5f9gsd/1suZ4vL8vdYXFMcUUFM3tt5m+GmR2P59l2tj71dxK8X81Ol34/26z7+Xx/3K3O5+38+PSiG2bWPmZ2G7hnh8vi/rc8BtDo9in9sJrP+/V1t9+eLpvb110ws7KY2Wl72h9uo1x/2d8+vd/GtmO/X28X/ex8Xp5P69l8vn7yvhlmVgAzWx6u++Nic+7Pm/X97/BdFv1ut131u+tidyv+3W61SfFhDzMbBzM7Lq/nxe2Te3/ZXpf96rTY9fv9ddGvdnewfHdertYpMEPv2V4Z9mv/st96uZlv1pt+Mz9t+tX+fq9z3B77zWl2Xh52x+P8kKLbYWYwszT35jCzOlnCzJqNLj4MwUiPV6Npto6X/ZJu7b4U6bvPP37TPNvky8BlPylctj3Mj9fN/NJv1ot1v1ptdv3usF31x/PhuJytTqvd9tEV4c8KLluvnv6oP/pvm6eWubbgssVPAy577/GPAi9jMavy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c+ixm8jMWsUP4sZvAyeFnqa3N4WZ0s4WXNRsdiFqtUqq1jZsDBrmMxGxbQLPawmMWz2UAzFrNEmBmLWbKXIyxm1RNmMaueMItZ+YhZzMpHzGKW+CZyZMyMxSxx9ixmEwucxQxmxmI2ufRZzGBmLGaF8mcxg5nBzFLfm8PM6mQJM2s2OhazSmm2jpexmA37WMzAZbGHxSyezQaXsZjdVxq8jMUs2UsRFrPqCbOYVU+Yxax8xCxm5SNmMUt8AzkyXsZiljh7FrOJBc5iBi9jMZtc+ixm8DIWs0L5s5jBy+Blqa/N4WV1soSXNRsdi1msUqm2jpkBB7uOxWxYQLPYw2IWz2YDzVjMEmFmLGbJXo6wmFVPmMWsesIsZuUjZjErHzGLWeKbyJExMxazxNmzmE0scBYzmBmL2eTSZzGDmbGYFcqfxQxmBjNLfW8OM6uTJcys2ehYzCql2TpexmI27GMxA5fFHhazeDYbXMZidl9p8DIWs2QvRVjMqifMYlY9YRaz8hGzmJWPmMUs8Q3kyHgZi1ni7FnMJhY4ixm8jMVscumzmMHLWMwK5c9iBi+Dl6W+NoeX1ckSXtZsdCxmsUql2jpmBhzsOhazYQHNYg+LWTybDTRjMUuEmbGYJXs5wmJWPWEWs+oJs5iVj5jFrHzELGaJbyJHxsxYzBJnz2I2scBZzGBmLGaTS5/FDGbGYlYofxYzmBnMLPW9OcysTpYws2ajYzGrlGbreBmL2bCPxQxcFntYzOLZbHAZi9l9pcHLWMySvRRhMaueMItZ9YRZzMpHzGJWPmIWs8Q3kCPjZSxmibNnMZtY4Cxm8DIWs8mlz2IGL2MxK5Q/ixm8DF6W+tocXlYnS3hZs9GxmMUqlWrrmBlwsOtYzIYFNIs9LGbxbDbQjMUsEWbGYpbs5QiLWfWEWcyqJ8xiVj5iFrPyEbOYJb6JHBkzYzFLnD2L2cQCZzGDmbGYTS59FjOYGYtZofxZzGBmMLPU9+YwszpZwsyajY7FrFKareNlLGbDPhYzcFnsYTGLZ7PBZSxm95UGL2MxS/ZShMWsesIsZtUTZjErHzGLWfmIWcwS30COjJexmCXOnsVsYoGzmMHLWMwmlz6LGbyMxaxQ/ixm8DJ4Weprc3hZnSzhZc1Gx2IWq1SqrWNmwMGuYzEbFtAs9rCYxbPZQDMWs0SYGYtZspcjLGbVE2Yxq54wi1n5iFnMykfMYpb4JnJkzIzFLHH2LGYTC5zFDGbGYja59FnMYGYsZoXyZzGDmcHMUt+bw8zqZAkzazY6FrNKabaOl7GYDftYzMBlsYfFLJ7NBpexmN1XGryMxSzZSxEWs+oJs5hVT5jFrHzELGblI2YxS3wDOTJexmKWOHsWs4kFzmIGL2Mxm1z6LGbwMhazQvmzmMHL4GWpr83hZXWyhJc1Gx2LWaxSqbaOmQEHu47FbFhAs9jDYhbPZgPNWMwSYWYsZslejrCYVU+Yxax6wixm5SNmMSsfMYtZ4pvIkTEzFrPE2bOYTSxwFjOYGYvZ5NJnMYOZsZgVyp/FDGYGM0t9bw4zq5MlzKzZ6FjMKqXZOl7GYjbsYzEDl8UeFrN4NhtcxmJ2X2nwMhazZC9FWMyqJ8xiVj1hFrPyEbOYlY+YxSzxDeTIeBmLWeLsWcwmFjiLGbyMxWxy6bOYwctYzArlz2IGL4OXpb42h5fVyRJe1mx0LGaxSqXaOmYGHOw6FrNhAc1iD4tZPJsNNGMxS4SZsZgleznCYlY9YRaz6gmzmJWPmMWsfMQsZolvIkfGzFjMEmfPYjaxwFnMYGYsZpNLn8UMZsZiVih/FjOYGcws9b05zKxOljCzZqNjMauUZut4GYvZsI/FDFwWe1jM4tlscBmL2X2lwctYzJK9FGExq54wi1n1hFnMykfMYlY+YhazxDeQI+NlLGaJs2cxm1jgLGbwMhazyaXPYgYvYzErlD+LGbwMXpb62hxeVidLeFmz0bGYxSqVauuYGXCw61jMhgU0iz0sZvFsNtCMxSwRZsZiluzlCItZ9YRZzKonzGJWPmIWs/IRs5glvokcGTNjMUucPYvZxAJnMYOZsZhNLn0WM5gZi1mh/FnMYGYws9T35jCzOlnCzJqNjsWsUpqt42UsZsM+FjNwWexhMYtns8FlLGb3lQYvYzFL9lKExax6wixm1RNmMSsfMYtZ+YhZzBLfQI6Ml7GYJc6exWxigbOYwctYzCaXPosZvIzFrFD+LGbwMnhZ6mtzeFmdLOFlzUbHYharVKqtY2bAwa5jMRsW0Cz2sJjFs9lAMxazRJgZi1mylyMsZtUTZjGrnjCLWfmIWczKR8xilvgmcmTMjMUscfYsZhMLnMUMZsZiNrn0WcxgZixmhfJnMYOZwcxS35vDzOpkCTNrNjoWs0ppto6XsZgN+1jMwGWxh8Usns0Gl7GY3VcavIzFLNlLERaz6gmzmFVPmMWsfMQsZuUjZjFLfAM5Ml7GYpY4exaziQXOYgYvYzGbXPosZvAyFrNC+bOYwcvgZamvzeFldbKElzUbHYtZrFKpto6ZAQe7jsVsWECz2MNiFs9mA81YzBJhZixmyV6OsJhVT5jFrHrCLGblI2YxKx8xi1nim8iRMTMWs8TZs5hNLHAWM5gZi9nk0mcxg5mxmBXKn8UMZgYzS31vDjOrkyXMrNnoWMwqpdk6XsZiNuxjMQOXxR4Ws3g2G1zGYnZfafAyFrNkL0VYzKonzGJWPWEWs/IRs5iVj5jFLPEN5Mh4GYtZ4uxZzCYWOIsZvIzFbHLps5jBy1jMCuXPYgYvg5elvjaHl9XJEl7WbHQsZrFKpdo6ZgYc7DoWs2EBzWIPi1k8mw00YzFLhJmxmCV7OcJiVj1hFrPqCbOYlY+Yxax8xCxmiW8iR8bMWMwSZ89iNrHAWcxgZixmk0ufxQxmxmJWKH8WM5gZzCz1vTnMrE6WMLNmo2Mxq5Rm63gZi9mwj8UMXBZ7WMzi2WxwGYvZfaXBy1jMkr0UYTGrnjCLWfWEWczKR8xiVj5iFrPEN5Aj42UsZomzZzGbWOAsZvAyFrPJpc9iBi9jMSuUP4sZvAxelvraHF5WJ0t4WbPRsZjFKpVq65gZcLDrWMyGBTSLPSxm8Ww20IzFLBFmxmKW7OUIi1n1hFnMqifMYlY+Yhaz8hGzmCW+iRwZM2MxS5w9i9nEAmcxg5mxmE0ufRYzmBmLWaH8WcxgZjCz1PfmMLM6WcLMmo2OxaxSmq3jZSxmwz4WM3BZ7GExi2ezwWUsZveVBi9jMUv2UoTFrHrCLGbVE2YxKx8xi1n5iFnMEt9AjoyXsZglzp7FbGKBs5jBy1jMJpf+/8/O/fV6mp35WX8rj3zMVqpq7121i7Nk8kcgNEEoHKHIqtpVhQwTe/B4QBxEYo5CFFBACCYSkcIg5Y9QMuEgiASE8mawx7wL6vdwU3G723Z7kifzXd/1WYpGjn2v7t6+up7uXvflS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97Gf3U98QMfumP01/bbnsa7+0v+qW/YJ/Sl796/Lx1cPj0/3b13fPN/fg4eHzv3p6/fLx7vnTm4/PH96//PD84cWfxNfl1S/+uHzFN/lVytHXPy5/0t+W3/zV4urP/4a/9uX4xQNfPhPf8F/w//cZ+M5v/OCv/Pb5697H4AtuHwMfAx+DLz+xj4GPgY+Bj8HhY+Bj4GPgY/DlJ/Yx8DHwMfAxOHwMfAx8DHwMvvzEPgY+Bj4GPgaHj4GPgY+Bj8GXn9jHwMfAx8DH4PAx8DHwMfAx+PIT+xj4GPgY+BgcPgY+Bj4GPgZffmIfAx8DHwMfg8PHwMfAx8DH4MtP7GPgY+Bj4GNw+Bj4GPgY+Bh8+Yl9DHwMfAx8DA4fAx8DHwMfgy8/sY+Bj4GPgY/B4WPgY+Bj4GPw5Sf2MfAx8DHwMTh8DHwMfAx8DL78xD4GPgY+Bj4Gh4+Bj4GPgY/Bl5/Yx8DHwMfAx+DwMfAx8DHwMfjyE/sY+Bj4GPgYHD4GPgY+Bj4GX35iHwMfAx8DH4PDx8DHwMfAx+DLT+xj4GPgY+BjcPgY+Bj4GPgYfPmJfQx8DHwMfAwOHwMfAx8DH4MvP7GPgY+Bj4GPweFj4GPgY+Bj8OUn9jHwMfAx8DE4fAx8DHwMfAy+/MQ+Bj4GPgY+BoePgY+Bj4GPwZef2MfAx8DHwMfg8DHwMfAx8DH48hP7GPgY+Bj4GBw+Bj4GPgY+Bl9+Yh8DHwMfAx+Dw8fAx8DHwMfgy0/sY+Bj4GPgY3D4GPgY+Bj4GHz5iX0MfAx8DHwMDh8DHwMfAx+DLz+xj4GPgY+Bj8HhY+Bj4GPgY/DlJ/Yx8DHwMfAxOHwMfAx8DHwMvvzEPgY+Bj4GPgaHj4GPgY+Bj8GXn9jHwMfAx8DH4PAx8DHwMfAx+PIT+xj4GPgY+BgcPgY+Bj4GPgZffmIfAx8DHwMfg8PHwMfAx8DH4MtP7GPgY+Bj4GNw+Bj4GPgY+Bh8+YnX+Rg8vPzlX4NX/yo+Bw8Pv+J78C/+06/8V/Mv91/P7Tf+6/xXdP7e/r2Pv/Xu8+fk/BPtm/8E+pk/Ec8v029+q7Hf+GVjtz+j51f5d968e//64cOnl5+/HA9Pdw8fXr25e//88uXdw8fnt08fPn56/ebjm6/9UZ//lX7+jcyf0f/BV//j43jz1X/jL3/TH8Cf/ks/+DO/4I/vGz4LT9848zPMX/zsf/5X/w2EvxD++P7+6c2H9493Ty9fvr97eH5+vHv/+Pzh7vWHT/cfX795fH768BRA+C3Cf1zCH+4/fnq8f/Pm7tPHpzeffw2/f757ev/ixd2bz//n+fnjh4f3b94GEP7KX/sh/rUQP33+W7n3bz98uPvw4u3Hu4fXz+/v3r54+/bu8eH+/YeHD2/evnuT8Jl++RLiPy7iT28fPr14/e7x7vW7N/d3D29ffv5V/Prx3d3r+5eP968/vH7z6u2nBMSvmhB/59/+c18b+wbE3/l4/ha/+70Pt3/x6Xsff/hLbn0h/p2f/pO/9+O/+/v/9z//g5/83j/+2oWvfMGfXjy8fPv88e7+/uPnv0Z//r9379/cf/5r9Ps3L968eXj3+Pp1BPv7Hdn/Rx+/+/3f/SvvvyXzH/+1f/TTf/x7P/6b//svBf7u3duPz+9ffLj7+Pzw+S/Z9y9eff5L9tOH26/9t++fnz69fHh8nQD8YUfgHz99uv1h/Kcfv/vh3Vf/UfsXUv/pP/9rn3+x/+T3/+5P/vbf+aXgPz4+PL+6f3t/9+r55ePnr/z953/e+vT4/u7Vi1ePr54fnp4+fYgA/7gj+N/53c//3n/48Yff/f7t3/g23H/yP/3TP/rD3/9//uCf/dH/+Ic//m/+6z/6+//rL6X/6dPDp/evXn66e/r48PmfsT99eLh7un9+e/fx5fPDp0/PT89vM/4a/3pH+p+/8x8+/s7zD7/327c/il/jY/+T//Zv/fTv/d4vBf/8/Pzh4ekz7seX758+//3764937169eH33/PHt+4/3968/vXr1LgH8mx3Bf/rd7z/ffv/vfuvznwDvv/ej7/7O57/P+3a//P/2P/zxP/29H/8Xf+cn/8M/+6X8X3949/z48vXT538mvz2u3T9/+sz/6eXd8+u3Lz98+PznxPuHhwT+3tl+Iexf+c9vL969/PTx7Zu7Nx8+vbt7eH56cff20+Orz/+cfv/u0+sXH95/uH9MQPxrPrT9i//PL9ii/av9U+D87f4a2P/8937rRx9/+Bd++IPf/e2v/dF8wx/RH/OP6md+L9/+j+38fZ1/Wt7+cvL5d/env//hG2d+/mf4eco/M/SNP+Mv+Dn/pX7WX+/H/LY/6jn3Gz/83uffwffe3eb+wg8/fv5V+8O/+MM/95/87rvf+oVX/t13P3z3V15+62/1V++9+uZfHF8dur/9xl/88t/Q/Xf/re/PCuk7f+H+a3+b/mX43//+ux/+53/xtz/+8N2PfvDD+ZX9ne980/Bf/cbfxKIs/53v/ce/gsRJ8D/77e++e37+we9+/0e/Gtt3fvyP/tZP/8nf/xVYvhXff8Hul81uiu7X/mX4y/8R+asXvv2vv8//EPzqT7189afuXx4v/s0Xt//37X9B/jm/II+f/wX58Xd+Z2Wkf/Zrf7/0ZXZTor/xg+//6N33vv873wLnL/+n2a9eOD+1f/R//nc//b/+4Z/wp/Y3f/Cjb6b49X/zL//8v/VzM1/7e+U/+2d+/h8Ov83f6C7ohT08vHj59v3D67u3Tx8/3T28+vR89/TytjH89Ob55cdPrx/fPn1lWfivywt7ePH13+qX/+zt127+YgPk62LYyz9pM+wv/Woz7Ds//sM/+Okf/sEf/YO/8eP/42/+5K///Z/+wX/10z/4B9/9yX/5v/zkH/3PP/nf/sZP//F//5XfxtfMsW/+DfyCO19ksl/3d/tFNvvaf33raGaPXzFCv6aZPb7+pj9Nf23r9Olrv7ZpZj8z9rOPI/efnp7fffrw9u7+9YvPn6R39w937z+9fr57+erl44u3zy/un54S/AXPX39swq/ev3x4/Hzu3n948/bu4c37+7unx9fv7149vn359Ph8/3T//mt/60czW4nw/bs3H14/PL+9+/T27cPdw/3j51/Dr1493r15fHH/8c390/v3EYRpZn98xI+vn+4/fPr0dHf/6tVnxLf/WcHT23ePd48vXz59eP/w4tPbx4j9JM3sj4347atXH1+8efPp7u2rT5+/058ePv+r+3ef/wnh3Wf4bz89v3gVIXzTzC7QzD7/7e3949PH93fvbp/xh48vXt69e33/dPfi/vHl/cf7p3ev3kesqGhmv5L5t9PM3r//8OLNi8fnu5sJfvfw4vnj3dsXrx/vXr58+/7p4cOHNy/ff33RTTNbXzP7/DfcL959fHX7X3mcotHnv6S/e3j58u7x09PbN88fX3/+5y6aWa1m9vzm+e27z38rd/fx7ee/vH/+27b3d28f37y6e/Hhw/2H58cXL18+fu29mWZWoJndv/v09v2r1x/uPrx+vP1v+D6+unt6evNw9/Tp1dPnD//T08PriF/2NLNrNLP3958+vPr8F/e7j28+3d89PL96unv79tOru4enm1j+9OH+4TFCM/TO9gth/8r/sd/j/euXrx9f371++fz67uHtba/z/s37u9fPLz7cv3t6//7lu4hvO82MZhazN6eZ9bCkmS2Lbn4ZkpG+ehalubpe9ud9W4+fQ/qbP/jRt+W5pl9GLvuXlcvevHv5/tPrlx/vXj++erx7eHj9dPf07s3D3fsP797fv3h4fnh685UV4b8uuezx4eu/1f//P3v99crcWnLZq38Vctl3v/pboZepmLU8iqiYtRNW</t>
        </is>
      </c>
      <c r="AI6" s="0" t="inlineStr">
        <is>
          <t>ABC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sIpZO2EVs3rEKmb1iFXMgjeRF2tmKmbB7FXMNgOuYkYzUzHbjr6KGc1MxayIv4oZzYxmFr03p5n1sKSZLYtOxayJ5up6mYrZOadiRi6bGRWzuZsml6mY3U6MXqZiFvYoomLWTljFrJ2wilk9YhWzesQqZsEbyIv1MhWzYPYqZpsBVzGjl6mYbUdfxYxepmJWxF/FjF5GL4tem9PLeljSy5ZFp2I2p4rq6poZcfA4VMzOQzSbGRWzuZsmmqmYBWlmKmZhjyMqZu2EVczaCauY1SNWMatHrGIWvIm8WDNTMQtmr2K2GXAVM5qZitl29FXMaGYqZkX8VcxoZjSz6L05zayHJc1sWXQqZk00V9fLVMzOORUzctnMqJjN3TS5TMXsdmL0MhWzsEcRFbN2wipm7YRVzOoRq5jVI1YxC95AXqyXqZgFs1cx2wy4ihm9TMVsO/oqZvQyFbMi/ipm9DJ6WfTanF7Ww5Jetiw6FbM5VVRX18yIg8ehYnYeotnMqJjN3TTRTMUsSDNTMQt7HFExayesYtZOWMWsHrGKWT1iFbPgTeTFmpmKWTB7FbPNgKuY0cxUzLajr2JGM1MxK+KvYkYzo5lF781pZj0saWbLolMxa6K5ul6mYnbOqZiRy2ZGxWzupsllKma3E6OXqZiFPYqomLUTVjFrJ6xiVo9YxawesYpZ8AbyYr1MxSyYvYrZZsBVzOhlKmbb0Vcxo5epmBXxVzGjl9HLotfm9LIelvSyZdGpmM2porq6ZkYcPA4Vs/MQzWZGxWzupolmKmZBmpmKWdjjiIpZO2EVs3bCKmb1iFXM6hGrmAVvIi/WzFTMgtmrmG0GXMWMZqZith19FTOamYpZEX8VM5oZzSx6b04z62FJM1sWnYpZE83V9TIVs3NOxYxcNjMqZnM3TS5TMbudGL1MxSzsUUTFrJ2wilk7YRWzesQqZvWIVcyCN5AX62UqZsHsVcw2A65iRi9TMduOvooZvUzFrIi/ihm9jF4WvTanl/WwpJcti07FbE4V1dU1M+LgcaiYnYdoNjMqZnM3TTRTMQvSzFTMwh5HVMzaCauYtRNWMatHrGJWj1jFLHgTebFmpmIWzF7FbDPgKmY0MxWz7eirmNHMVMyK+KuY0cxoZtF7c5pZD0ua2bLoVMyaaK6ul6mYnXMqZuSymVExm7tpcpmK2e3E6GUqZmGPIipm7YRVzNoJq5jVI1Yxq0esYha8gbxYL1MxC2avYrYZcBUzepmK2Xb0VczoZSpmRfxVzOhl9LLotTm9rIclvWxZdCpmc6qorq6ZEQePQ8XsPESzmVExm7tpopmKWZBmpmIW9jiiYtZOWMWsnbCKWT1iFbN6xCpmwZvIizUzFbNg9ipmmwFXMaOZqZhtR1/FjGamYlbEX8WMZkYzi96b08x6WNLMlkWnYtZEc3W9TMXsnFMxI5fNjIrZ3E2Ty1TMbidGL1MxC3sUUTFrJ6xi1k5YxawesYpZPWIVs+AN5MV6mYpZMHsVs82Aq5jRy1TMtqOvYkYvUzEr4q9iRi+jl0WvzellPSzpZcuiUzGbU0V1dc2MOHgcKmbnIZrNjIrZ3E0TzVTMgjQzFbOwxxEVs3bCKmbthFXM6hGrmNUjVjEL3kRerJmpmAWzVzHbDLiKGc1MxWw7+ipmNDMVsyL+KmY0M5pZ9N6cZtbDkma2LDoVsyaaq+tlKmbnnIoZuWxmVMzmbppcpmJ2OzF6mYpZ2KOIilk7YRWzdsIqZvWIVczqEauYBW8gL9bLVMyC2auYbQZcxYxepmK2HX0VM3qZilkRfxUzehm9LHptTi/rYUkvWxaditmcKqqra2bEweNQMTsP0WxmVMzmbppopmIWpJmpmIU9jqiYtRNWMWsnrGJWj1jFrB6xilnwJvJizUzFLJi9itlmwFXMaGYqZtvRVzGjmamYFfFXMaOZ0cyi9+Y0sx6WNLNl0amYNdFcXS9TMTvnVMzIZTOjYjZ30+QyFbPbidHLVMzCHkVUzNoJq5i1E1Yxq0esYlaPWMUseAN5sV6mYhbMXsVsM+AqZvQyFbPt6KuY0ctUzIr4q5jRy+hl0WtzelkPS3rZsuhUzOZUUV1dMyMOHoeK2XmIZjOjYjZ300QzFbMgzUzFLOxxRMWsnbCKWTthFbN6xCpm9YhVzII3kRdrZipmwexVzDYDrmJGM1Mx246+ihnNTMWsiL+KGc2MZha9N6eZ9bCkmS2LTsWsiebqepmK2TmnYkYumxkVs7mbJpepmN1OjF6mYhb2KKJi1k5YxaydsIpZPWIVs3rEKmbBG8iL9TIVs2D2KmabAVcxo5epmG1HX8WMXqZiVsRfxYxeRi+LXpvTy3pY0suWRadiNqeK6uqaGXHwOFTMzkM0mxkVs7mbJpqpmAVpZipmYY8jKmbthFXM2gmrmNUjVjGrR6xiFryJvFgzUzELZq9ithlwFTOamYrZdvRVzGhmKmZF/FXMaGY0s+i9Oc2shyXNbFl0KmZNNFfXy1TMzjkVM3LZzKiYzd00uUzF7HZi9DIVs7BHERWzdsIqZu2EVczqEauY1SNWMQveQF6sl6mYBbNXMdsMuIoZvUzFbDv6Kmb0MhWzIv4qZvQyeln02pxe1sOSXrYsOhWzOVVUV9fMiIPHoWJ2HqLZzKiYzd000UzFLEgzUzELexxRMWsnrGLWTljFrB6xilk9YhWz4E3kxZqZilkwexWzzYCrmNHMVMy2o69iRjNTMSvir2JGM6OZRe/NaWY9LGlmy6JTMWuiubpepmJ2zqmYkctmRsVs7qbJZSpmtxOjl6mYhT2KqJi1E1YxayesYlaPWMWsHrGKWfAG8mK9TMUsmL2K2WbAVczoZSpm29FXMaOXqZgV8Vcxo5fRy6LX5vSyHpb0</t>
        </is>
      </c>
      <c r="AJ6" s="0" t="inlineStr">
        <is>
          <t>ABCsmXRqZjNqaK6umZGHDwOFbPzEM1mRsVs7qaJZipmQZqZilnY44iKWTthFbN2wipm9YhVzOoRq5gFbyIv1sxUzILZq5htBlzFjGamYrYdfRUzmpmKWRF/FTOaGc0sem9OM+thSTNbFp2KWRPN1fUyFbNzTsWMXDYzKmZzN00uUzG7nRi9TMUs7FFExaydsIpZO2EVs3rEKmb1iFXMgjeQF+tlKmbB7FXMNgOuYkYvUzHbjr6KGb1MxayIv4oZvYxeFr02p5f1sKSXLYtOxWxOFdXVNTPi4HGomJ2HaDYzKmZzN000UzEL0sxUzMIeR1TM2gmrmLUTVjGrR6xiVo9YxSx4E3mxZqZiFsxexWwz4CpmNDMVs+3oq5jRzFTMivirmNHMaGbRe3OaWQ9Lmtmy6FTMmmiurpepmJ1zKmbksplRMZu7aXKZitntxOhlKmZhjyIqZu2EVczaCauY1SNWMatHrGIWvIG8WC9TMQtmr2K2GXAVM3qZitl29FXM6GUqZkX8VczoZfSy6LU5vayHJb1sWXQqZnOqqK6umREHj0PF7DxEs5lRMZu7aaKZilmQZqZiFvY4omLWTljFrJ2wilk9YhWzesQqZsGbyIs1MxWzYPYqZpsBVzGjmamYbUdfxYxmpmJWxF/FjGZGM4vem9PMeljSzJZFp2LWRHN1vUzF7JxTMSOXzYyK2dxNk8tUzG4nRi9TMQt7FFExayesYtZOWMWsHrGKWT1iFbPgDeTFepmKWTB7FbPNgKuY0ctUzLajr2JGL1MxK+KvYkYvo5dFr83pZT0s6WXLolMxm1NFdXXNjDh4HCpm5yGazYyK2dxNE81UzII0MxWzsMcRFbN2wipm7YRVzOoRq5jVI1YxC95EXqyZqZgFs1cx2wy4ihnNTMVsO/oqZjQzFbMi/ipmNDOaWfTenGbWw5Jmtiw6FbMmmqvrZSpm55yKGblsZlTM5m6aXKZidjsxepmKWdijiIpZO2EVs3bCKmb1iFXM6hGrmAVvIC/Wy1TMgtmrmG0GXMWMXqZith19FTN6mYpZEX8VM3oZvSx6bU4v62FJL1sWnYrZnCqqq2tmxMHjUDE7D9FsZlTM5m6aaKZiFqSZqZiFPY6omLUTVjFrJ6xiVo9YxawesYpZ8CbyYs1MxSyYvYrZZsBVzGhmKmbb0Vcxo5mpmBXxVzGjmdHMovfmNLMeljSzZdGpmDXRXF0vUzE751TMyGUzo2I2d9PkMhWz24nRy1TMwh5FVMzaCauYtRNWMatHrGJWj1jFLHgDebFepmIWzF7FbDPgKmb0MhWz7eirmNHLVMyK+KuY0cvoZdFrc3pZD0t62bLoVMzmVFFdXTMjDh6Hitl5iGYzo2I2d9NEMxWzIM1MxSzscUTFrJ2wilk7YRWzesQqZvWIVcyCN5EXa2YqZsHsVcw2A65iRjNTMduOvooZzUzFrIi/ihnNjGYWvTenmfWwpJkti07FrInm6nqZitk5p2JGLpsZFbO5myaXqZjdToxepmIW9iiiYtZOWMWsnbCKWT1iFbN6xCpmwRvIi/UyFbNg9ipmmwFXMaOXqZhtR1/FjF6mYlbEX8WMXkYvi16b08t6WNLLlkWnYjaniurqmhlx8DhUzM5DNJsZFbO5myaaqZgFaWYqZmGPIypm7YRVzNoJq5jVI1Yxq0esYha8ibxYM1MxC2avYrYZcBUzmpmK2Xb0VcxoZipmRfxVzGhmNLPovTnNrIclzWxZdCpmTTRX18tUzM45FTNy2cyomM3dNLlMxex2YvQyFbOwRxEVs3bCKmbthFXM6hGrmNUjVjEL3kBerJepmAWzVzHbDLiKGb1MxWw7+ipm9DIVsyL+Kmb0MnpZ9NqcXtbDkl62LDoVszlVVFfXzIiDx6Fidh6i2cyomM3dNNFMxSxIM1MxC3scUTFrJ6xi1k5YxawesYpZPWIVs+BN5MWamYpZMHsVs82Aq5jRzFTMtqOvYkYzUzEr4q9iRjOjmUXvzWlmPSxpZsuiUzFrorm6XqZids6pmJHLZkbFbO6myWUqZrcTo5epmIU9iqiYtRNWMWsnrGJWj1jFrB6xilnwBvJivUzFLJi9itlmwFXM6GUqZtvRVzGjl6mYFfFXMaOX0cui1+b0sh6W9LJl0amYzamiurpmRhw8DhWz8xDNZkbFbO6miWYqZkGamYpZ2OOIilk7YRWzdsIqZvWIVczqEauYBW8iL9bMVMyC2auYbQZcxYxmpmK2HX0VM5qZilkRfxUzmhnNLHpvTjPrYUkzWxadilkTzdX1MhWzc07FjFw2MypmczdNLlMxu50YvUzFLOxRRMWsnbCKWTthFbN6xCpm9YhVzII3kBfrZSpmwexVzDYDrmJGL1Mx246+ihm9TMWsiL+KGb2MXha9NqeX9bCkly2LTsVsThXV1TUz4uBxqJidh2g2MypmczdNNFMxC9LMVMzCHkdUzNoJq5i1E1Yxq0esYlaPWMUseBN5sWamYhbMXsVsM+AqZjQzFbPt6KuY0cxUzIr4q5jRzGhm0XtzmlkPS5rZsuhUzJporq6XqZidcypm5LKZUTGbu2lymYrZ7cToZSpmYY8iKmbthFXM2gmrmNUjVjGrR6xiFryBvFgvUzELZq9ithlwFTN6mYrZdvRVzOhlKmZF/FXM6GX0sui1Ob2shyW9bFl0KmZzqqiurpkRB49Dxew8RLOZUTGbu2mimYpZkGamYhb2OKJi1k5YxaydsIpZPWIVs3rEKmbBm8iLNTMVs2D2KmabAVcxo5mpmG1HX8WMZqZiVsRfxYxmRjOL3pvTzHpY0syWRadi1kRzdb1MxeycUzEjl82MitncTZPLVMxuJ0YvUzELexRRMWsnrGLWTljFrB6xilk9YhWz4A3kxXqZilkwexWzzYCrmNHLVMy2o69iRi9TMSvir2JGL6OXRa/N6WU9LOlly6JTMZtTRXV1zYw4eBwqZuchms2MitncTRPNVMyCNDMVs7DHERWzdsIqZu2EVczqEauY1SNWMQveRF6smamYBbNXMdsMuIoZzUzFbDv6KmY0MxWzIv4qZjQzmln03pxm1sOSZrYsOhWzJpqr62UqZuecihm5bGZUzOZumlymYnY7MXqZilnYo4iKWTthFbN2wipm9YhVzOoRq5gFbyAv1stUzILZq5htBlzFjF6mYrYdfRUzepmKWRF/FTN6Gb0sem1OL+thSS9bFp2K2ZwqqqtrZsTB41AxOw/RbGZUzOZummimYhakmamYhT2OqJi1E1YxayesYlaPWMWsHrGKWfAm8mLNTMUsmL2K2WbAVcxoZipm29FXMaOZqZgV8Vcxo5nRzKL35jSzHpY0s2XRqZg10VxdL1MxO+dUzMhlM6NiNnfT5DIVs9uJ0ctUzMIeRVTM2gmrmLUTVjGrR6xiVo9YxSx4A3mxXqZiFsxexWwz4Cpm9DIVs+3oq5jRy1TMivirmNHL6GXRa3N6WQ9Letmy6FTM5lRRXV0zIw4eh4rZeYhmM6NiNnfTRDMVsyDNTMUs7HFExayd8P/Lzv31+Jrd6Vl/K0s+ppRdu6r2ruIsmUxGIDRBKByhyNr1Dxlm7KHtAXEQiTkKUUABIZhIRApGSiZCmRkOgkhAKG8Ge8y7YP8eFjVud9tuT+bJ3Oten6Vo5NhrdXf56v3t7ud7+VI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P72f+pqI2df9afory2Vf+aX9Zbfs5/xT8urT5eX97d39zcOHq6eLe3B7+/lf3X+4vrt6ev348vT8eP389PzuL2K6vP/5w+VLvskvU46+Olz+omfLb/5ycfVnf8NfmRw//8LbmPia/4L/vzHwrV/73m//zvHr3jB4w20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DQPDwDAwDIZhYBgYBobB209sGBgGhoFhMAwDw8AwMAzefmLDwDAwDAyDYRgYBoaBYfD2ExsGhoFhYBgMw8AwMAwMg7ef2DAwDAwDw2AYBoaBYWAYvP3EhoFhYBgYBsMwMAwMA8Pg7Sc2DAwDw8AwGIaBYWAYGAZvP7FhYBgYBobBMAwMA8PAMHj7iQ0Dw8AwMAyGYWAYGAaGwdtPbBgYBoaBYTAMA8PAMDAM3n5iw8AwMAwMg2EYGAaGgWHw9hMbBoaBYWAYDMPAMDAMDIO3n9gwMAwMA8NgGAaGgWFgGLz9xIaBYWAYGAbDMDAMDAPD4O0nNgwMA8PAMBiGgWFgGBgGbz+xYWAYGAaGwTAMDAPDwDB4+4kNA8PAMDAMhmFgGBgGhsHbT2wYGAaGgWEwDAPDwDAwDN5+YsPAMDAMDINhGBgGhoFh8PYTGwaGgWFgGAzDwDAwDAyDt5/YMDAMDAPDYBgGhoFhYBi8/cSGgWFgGBgGwzAwDAwDw+DtJzYMDAPDwDAYhoFhYBgYBm8/sWFgGBgGhsEwDAwDw8AwePuJ1xkGt9e/eBq8//MYB7e3v2Qe/Ol/+qX/av7V/uu5/MZ/lf+Kjt/bv/fyW58+j5PjT7Sv/xPop/5EPCbTb36ja7/2i65d/oyev8q/9fHT44fb59frz5Pj9v7q9vn9x6vHp+vrq9uXp4f755fXDx9fPn7lj/r4r/Tzb2T+Gf0ffPk/HuPjl/+Nv/l1fwB/+W9876/8nD++rxkL919756eYv/vp//xv/RsIvxF+eby5//j8eHd1f339eHX79HR39Xj39Hz14fn15uXDx7un++f7AMIPCP9ZCT/fvLze3Xz8ePX6cv/x86/hx6er+8d3764+fv4/T08vz7ePHx8CCH/pr/0Q/0qI7z//rdzjw/Pz1fO7h5er2w9Pj1cP7x4eru5ubx6fb58/Pnz6mDCmr68h/rMifn24fX334dPd1YdPH2+ubh+uP/8q/nD36erDzfXdzYfnDx/fP7wmIH7fhPhb//avf+Xa1yD+1svxW/z2d54v/+L1Oy9f/IJXb8S/9ZN/9o9/9I9+///+lz/88e/98VcefGmC37+7vX54erm6uXn5/Nfoz//36vHjzee/Rj9+fPfx4+2nuw8fItjf7Mj+P3r59nd/97cfvyHzH/3tP/zJH//ej/7e//4LgX/69PDy9Pju+erl6fbzX7Jv3r3//Jfs++fLr/2Hx6f71+vbuw8JwG93BP7y+nr5w/hPX779/OnL/6j9c6n/5F/+7c+/2H/8+//ox//gH/5C8C93t0/vbx5urt4/Xd99nvI3n/956/Xu8er9u/d3759u7+9fnyPA3+0I/vu/+/nf+w9fvvj2dy//xjfh/uP/6Z//yR/9/v/zw3/xJ//jH/3ov/mv/+QP/tdfSP/19fb18f3169X9y+3nf8Z+fb69ur95erh6uX66fX19un96yPhr/Icd6X+e888v33/64ju/c/mj+BWG/Y//27//k3/8e78Q/NPT0/Pt/Wfcd9eP95///v3Dy9Wn9+8+XD29PDy+3Nx8eH3//lMC+I87gn/93e8+XX7/n37r858Aj9/5wbe///nv877ZL/9/8E9/9M9/70f/xT/88f/wL34h/w/Pn57urj/cf/5n8svHtZun18/876+vnj48XD8/f/5z4vH2NoG/72w/F/Yv/ee3d5+uX18ePl59fH79dHX7dP/u6uH17v3nf06/+fT64d3z4/PNXQLiX/FD25/+f37OFu3P90+B47f7K2D/a9/5rR+8fPEbX3zvd3/nK380X/NH9Gf8o/qp38s3/2M7fl/Hn5aXv5x8/t395e8+f+2dn/0ZfpbyT1362p/x5/yc/0o/66/2Y37TH/W492tffOfz7+A7ny73fuOLl8+/ar/461/8+n/yu59+6+c++Xc/ffHpt6+/8az+8rv3X/+L48uXbi6/8Xe/+Dd08+1/67tzhfSt37j5yt+mv13+97/76Yv//K//zssXn37wvS/mr+xvfevrLv+tr/1NLMry3/nOf/xLSBwE/7Pf+fanp6fv/e53f/DLsX3rR3/493/yz/7gl2D5Rnz/lN0vurspul/5l+Ev/kfkLz/45r/+Pv9D8Pu/dP3+L91cj3f/5rvL//vmvyB/3S/I8bO/IF++//2Vkf7Vr/z90tvdTYn+2ve++4NP3/nu978Bzl/8T7NffnCM2j/5P/+7n/xf//QveNT+5vd+8PUUv/pv/s2f/bd+5s5X/l75r/6Vn/2Hw2/yN7oLemG3t++uHx5vP1w93L+8Xt2+f326ur++bAxfPz5dv7x+uHu4/9Ky8F+XF3b77qu/1bf/7OErL3++AfJVMez6L9oM+xu/3Az71o/+6Ic/+aMf/sk/+bs/+j/+3o//zh/85If/1U9++E++/eP/8n/58R/+zz/+3/7uT/74v//Sb+Mr5tjX/wZ+zps3mexX/d2+yWZf+a9vHc3s7ktG6Fc0s7sPX/en6a9snd5/5dc2zeynrv30x5Gb1/unT6/PD1c3H959Hkmfbm6vHl8/PF1dv7++e/fw9O7m/j7BX/D5689M+P3j9e3d53P1+Pzx4er24+PN1f3dh8er93cP1/d3Tzf3N49f+Vs/mtlKhG8+fXz+cPv0cPX68HB7dXtz9/nX8Pv3d1cf797dvHy8uX98jCBMM/uzI777cH/z/Pp6f3Xz/v1nxJf/WcH9w6e7q7vr6/vnx9t3rw93EftJmtmfGfHD+/cv7z5+fL16eP/6eU6/3n7+VzefPv8TwqfP8B9en969jxC+aWYnaGaf//b25u7+5fHq02WM3768u7769OHm/urdzd31zcvN/af3jxErKprZL2X+zTSzx8fndx/f3T1dXUzwq9t3Ty9XD+8+3F1dXz883t8+P3+8fvzqoptmtr5m9vlvuN99enl/+V95HKLR57+kf7q9vr66e71/+Pj08uHzP3fRzGo1s6ePTw+fPv+t3NXLw+e/vH/+27bHq4e7j++v3j0/3zw/3b27vr77yvdmmlmBZnbz6fXh8f2H56vnD3eX/w3fy/ur+/uPt1f3r+/vPw/++/vbDxG/7Glm52hmjzevz+8//8X96uXj683V7dP7+6uHh9f3V7f3F7H8/vnm9i5CM/Sd7efC/qX/Y7+7mw/XH+4+XH24fvpwdftw2es8fny8+vD07vnm0/3j4/WniNlOM6OZxezNaWY9LGlmy6KbvwzJSF8+i9JcXS/7a2br+Bmkv/m9H3xTnmv6ZeSyf1W57OOn68fXD9cvVx/u3t9d3d5+uL+6//Tx9urx+dPjzbvbp9v7j19aEf7rksvubr/6W/3//7MPX63MrSWXvf/zkMu+/eXfCr1Mxazl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t>
        </is>
      </c>
      <c r="AK6" s="0" t="inlineStr">
        <is>
          <t>ABC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vh/5edO+rVdbvPs/5VhnzMVNdcc8615uKsTdMIhFKEyhGqrDXnXBMZEjtsOyAOKpGjUhVUEIJUolIxUpsKNQkHRbQg1C+DHfMtWO/D4I2397a9neZp7nGP3xCqgjPGtl9f3n/v/fyvXC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t>
        </is>
      </c>
      <c r="AL6" s="0" t="inlineStr">
        <is>
          <t>ABC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UzEL+yiiYtZOWMWsnbCKWT1iFbN6xCpmwRvIk/UyFbNg9ipmmwFXMaOXqZhtR1/FjF6mYlbEX8WMXkYvi16b08t6WNLLlkWnYjZPFdXVNTPi4BgqZschms07KmbzbZpopmIWpJmpmIV9HFExayesYtZOWMWsHrGKWT1iFbPgTeTJmpmKWTB7FbPNgKuY0cxUzLajr2JGM1MxK+KvYkYzo5lF781pZj0saWbLolMxa6K5ul6mYnbcUzEjl807KmbzbZpcpmJ2OTF6mYpZ2EcRFbN2wipm7YRVzOoRq5jVI1YxC95AnqyXqZgFs1cx2wy4ihm9TMVsO/oqZvQyFbMi/ipm9DJ6WfTanF7Ww5Jetiw6FbN5qqiurpkRB8dQMTsO0WzeUTGbb9NEMxWzIM1MxSzs44iKWTthFbN2wipm9YhVzOoRq5gFbyJP1sxUzILZq5htBlzFjGamYrYdfRUzmpmKWRF/FTOaGc0sem9OM+thSTNbFp2KWRPN1fUyFbPjnooZuWzeUTGbb9PkMhWzy4nRy1TMwj6KqJi1E1YxayesYlaPWMWsHrGKWfAG8mS9TMUsmL2K2WbAVczoZSpm29FXMaOXqZgV8Vcxo5fRy6LX5vSyHpb0smXRqZjNU0V1dc2MODiGitlxiGbzjorZfJsmmqmYBWlmKmZhH0dUzNoJq5i1E1Yxq0esYlaPWMUseBN5smamYhbMXsVsM+AqZjQzFbPt6KuY0cxUzIr4q5jRzGhm0XtzmlkPS5rZsuhUzJporq6XqZgd91TMyGXzjorZfJsml6mYXU6MXqZiFvZRRMWsnbCKWTthFbN6xCpm9YhVzII3kCfrZSpmwexVzDYDrmJGL1Mx246+ihm9TMWsiL+KGb2MXha9NqeX9bCkly2LTsVsniqqq2tmxMExVMyOQzSbd1TM5ts00UzFLEgzUzEL+ziiYtZOWMWsnbCKWT1iFbN6xCpmwZvIkzUzFbNg9ipmmwFXMaOZqZhtR1/FjGamYlbEX8WMZkYzi96b08x6WNLMlkWnYtZEc3W9TMXsuKdiRi6bd1TM5ts0uUzF7HJi9DIVs7CPIipm7YRVzNoJq5jVI1Yxq0esYha8gTxZL1MxC2avYrYZcBUzepmK2Xb0VczoZSpmRfxVzOhl9LLotTm9rIclvWxZdCpm81RRXV0zIw6OoWJ2HKLZvKNiNt+miWYqZkGamYpZ2McRFbN2wipm7YRVzOoRq5jVI1YxC95EnqyZqZgFs1cx2wy4ihnNTMVsO/oqZjQzFbMi/ipmNDOaWfTenGbWw5Jmtiw6FbMmmqvrZSpmxz0VM3LZvKNiNt+myWUqZpcTo5epmIV9FFExayesYtZOWMWsHrGKWT1iFbPgDeTJepmKWTB7FbPNgKuY0ctUzLajr2JGL1MxK+KvYkYvo5dFr83pZT0s6WXLolMxm6eK6uqaGXFwDBWz4xDN5h0Vs/k2TTRTMQvSzFTMwj6OqJi1E1YxayesYlaPWMWsHrGKWfAm8mTNTMUsmL2K2WbAVcxoZipm29FXMaOZqZgV8Vcxo5nRzKL35jSzHpY0s2XRqZg10VxdL1MxO+6pmJHL5h0Vs/k2TS5TMbucGL1MxSzso4iKWTthFbN2wipm9YhVzOoRq5gFbyBP1stUzILZq5htBlzFjF6mYrYdfRUzepmKWRF/FTN6Gb0sem1OL+thSS9bFp2K2TxVVFfXzIiDY6iYHYdoNu+omM23aaKZilmQZqZiFvZxRMWsnbCKWTthFbN6xCpm9YhVzII3kSdrZipmwexVzDYDrmJGM1Mx246+ihnNTMWsiL+KGc2MZha9N6eZ9bCkmS2LTsWsiebqepmK2XFPxYxcNu+omM23aXKZitnlxOhlKmZhH0VUzNoJq5i1E1Yxq0esYlaPWMUseAN5sl6mYhbMXsVsM+AqZvQyFbPt6KuY0ctUzIr4q5jRy+hl0WtzelkPS3rZsuhUzOaporq6ZkYcHEPF7DhEs3lHxWy+TRPNVMyCNDMVs7CPIypm7YRVzNoJq5jVI1Yxq0esYha8iTxZM1MxC2avYrYZcBUzmpmK2Xb0VcxoZipmRfxVzGhmNLPovTnNrIclzWxZdCpmTTRX18tUzI57KmbksnlHxWy+TZPLVMwuJ0Yv++n91NdEzL7uP6a/slz2lT+1v+yW/Zy/S159unx6e//wePfh3c3zxT24v//8Pz2+u324eX59/+n55en25fnlzV/EdHn784fLl3yTX6YcfXW4/EXPlt/85eLqz/6BvzI5fv6F65j4mn+D/78x8K1f+95v/87x571hcMVt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w0Dw8AwMAyGYWAYGAaGwfUXGwaGgWFgGAzDwDAwDAyD6y82DAwDw8AwGIaBYWAYGAbXX2wYGAaGgWEwDAPDwDAwDK6/2DAwDAwDw2AYBoaBYWAYXH+xYWAYGAaGwTAMDAPDwDC4/mLDwDAwDAyDYRgYBoaBYXD9xYaBYWAYGAbDMDAMDAPD4PqLDQPDwDAwDIZhYBgYBobB9RcbBoaBYWAYDMPAMDAMDIPrLzYMDAPDwDAYhoFhYBgYBtdfbBgYBoaBYTAMA8PAMDAMrr/YMDAMDAPDYBgGhoFhYBhcf7FhYBgYBobBMAwMA8PAMLj+YsPAMDAMDINhGBgGhoFhcP3FhoFhYBgYBsMwMAwMA8Pg+osNA8PAMDAMhmFgGBgGhsH1FxsGhoFhYBgMw8AwMAwMg+svNgwMA8PAMBiGgWFgGBgG119sGBgGhoFhMAwDw8AwMAyuv9gwMAwMA8NgGAaGgWFgGFx/sWFgGBgGhsEwDAwDw8AwuP5iw8AwMAwMg2EYGAaGgWFw/cWGgWFgGBgGwzAwDAwDw+D6i9cZBve3v3gavP3zGAf3979kHvzp//ZL/9b8q/3bc/mD/yr/Fh3/bP/ep9/6+HmcHP9B+/r/AP3UfxCPyfSb3+jar/2ia5f/RM8/y7/1/uPTu/uX19vPk+P+8eb+5e37m6fn29ub+0/PHx5fPr2+e//p/Vf+VR//ln7+g8z/RP8HX/5fj/H+y//A3/y6fwF/+W9876/8nH99XzMWHr/2zk8xf/PT//u/9W8gfCX86enu8f3L08PN4+3t08398/PDzdPD88vNu5fXu0/v3j88P748BhD+gPCflfDL3afXh7v3729ePz2+//zn8NPzzePTmzc37z//P8/Pn17un95/CCD8pf/uh/hXQvz4+S/lnj68vNy8vPnw6eb+3fPTzYc3Hz7cPNzfPb3cv7z/8PF9wpi+vYX4z4r49cP965t3Hx9u3n18f3dz/+H285/F7x4+3ry7u324e/fy7v3bD68JiN82If7Wv/3rX7n2NYi/9en4I377Oy+X/+H1O5+++AWvrsS/9ZN/9o9/9I9+///+lz/88e/98VcefGmCP765v/3w/Onm7u7T5/+O/vz/3jy9v/v839FP79+8f3//8eHduwj2dzuy/48+ffu7v/vbT9+Q+Y/+9h/+5I9/70d/73//hcA/fvzw6fnpzcvNp+f7z/+Vfffm7ef/yn58ufy5/+Hp+fH19v7hXQLw+x2Bf3p9vfzL+E8/ffvl45f/VvvnUv/Jv/zbn/9k//Hv/6Mf/4N/+AvBf3q4f3579+Hu5u3z7cPnKX/3+e+3Xh+ebt6+efvw9vn+8fH1JQL8w47gv/+7n/+x//DTF9/+7uUf+Cbcf/w//fM/+aPf/39++C/+5H/8ox/9N//1n/zB//oL6b++3r8+vb19vXn8dP/577FfX+5vHu+eP9x8un2+f319fnz+kPHf8e92pP95zr98+v7zF9/5ncu/il9h2P/4v/37P/nHv/cLwT8/P7/cP37G/XD79Pj5r9/ffbr5+PbNu5vnTx+ePt3dvXt9+/ZjAvj3O4J//d3vPl/++T/+1uf/ADx95wff/v7nv877Zn/6/4N/+qN//ns/+i/+4Y//h3/xC/m/e/n4/HD77vHz35NfPq7dPb9+5v94e/P87sPty8vn/0w83d8n8Ped7efC/qV///bm4+3rpw/vb96/vH68uX9+fHPz4fXh7ee/T7/7+PruzcvTy91DAuJf8UPbn/7//Jwt2p/vfwSOP+6vgP2vfee3fvDpi9/44nu/+ztf+VfzNf+K/oz/qn7qn+Wb/2s7/rmO/1he/uvk8z/dX/7uy9fe+dnf8LOUf+rS1/7Gn/M7/5V+66/2M7/pTz3u/doX3/n8T/Cdj5d7v/HFp89/1n7x17/49f/kdz/+1s998u9+/OLjb99+41n95Xdvv/5Pji9furv8wd/84j/Q3bf/re/OFdK3fuPuK3+Zfr3873/34xf/+V//nU9ffPzB976Yf2Z/61tfd/lvfe0fYlGW/853/uNfQuIg+J/9zrc/Pj9/73e/+4Nfju1bP/rDv/+Tf/YHvwTLN+L7p+x+0d1N0f3Kfxr+4r9F/vKDb/7n3+e/CX77l27f/qW72/Hm33xz+f+++Z+Qv+5PyPGzf0J++v73V0b6V7/y10vXu5sS/bXvffcHH7/z3e9/A5y/+O9mv/zgGLV/8n/+dz/5v/7pX/Co/c3v/eDrKX71H/ybP/sP/cydr/y18l/9Kz/7N4ff5C90F/TC7u/f3H54un938+Hx0+vN/dvX55vH28vG8PX98+2n13cPHx6/tCz81+WF3b/56h/1+r/78JWXP98A+aoYdvsXbYb9jV9uhn3rR3/0w5/80Q//5J/83R/9H3/vx3/nD37yw//qJz/8J9/+8X/5v/z4D//nH/9vf/cnf/zff+mP8RVz7Ov/AD/nzVUm+1X/aa+y2Vf+7VtHM3v4khH6Fc3s4d3X/cf0V7ZOH7/y5zbN7Keu/fTHkbvXx+ePry8fbu7evfk8kj7e3d88vb57vrl9e/vw5sPzm7vHxwR/weevPzPht0+39w+fz83Ty/sPN/fvn+5uHh/ePd28ffhw+/jwfPd49/SVv/Sjma1E+O7j+5d3988fbl4/fLi/ub97+Pzn8Nu3DzfvH97cfXp/9/j0FEGYZvZnR/zw7vHu5fX18ebu7dvPiC//ZwWPHz4+3Dzc3j6+PN2/ef3wELGfpJn9mRF/ePv205v3719vPrx9/TynX+8//093Hz//HcLHz/A/vD6/eRshfNPMTtDMPv/l7d3D46enm4+XMX7/6c3tzcd3d483b+4ebu8+3T1+fPsUsaKimf1S5t9MM3t6ennz/s3D883FBL+5f/P86ebDm3cPN7e3H54e719e3t8+fXXRTTNbXzP7/Bfcbz5+env5v/I4RKPP/5X+8f729ubh9fHD++dP7z7/fRfNrFYze37//OHj57+Uu/n04fN/vX/+y7anmw8P79/evHl5uXt5fnhze/vwle/NNLMCzezu4+uHp7fvXm5e3j1c/m/4Pr29eXx8f3/z+Pr28fPgf3y8fxfxpz3N7BzN7Onu9eXt5/9yv/n0/vXu5v757ePNhw+vb2/uHy9i+ePL3f1DhGboO9vPhf1L/4/9Hu7e3b57eHfz7vb53c39h8te5+n908275zcvdx8fn55uP0bMdpoZzSxmb04z62FJM1sW3fzTkIz05bMozdX1sr9mto6fQfqb3/vBN+W5pl9GLvtXlcvef7x9en13++nm3cPbh5v7+3ePN48f39/fPL18fLp7c/98//j+SyvCf11y2cP9V/+o////7t1XK3NryWVv/zzksm9/+Y9CL1Mxa/k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t>
        </is>
      </c>
      <c r="AM6" s="0" t="inlineStr">
        <is>
          <t>ABCj1jFrB6xilnwBvJkvUzFLJi9itlmwFXM6GUqZtvRVzGjl6mYFfFXMaOX0cui1+b0sh6W9LJl0amYzVNFdXXNjDg4horZcYhm846K2XybJpqpmAVpZipmYR9HVMzaCauYtRNWMatHrGJWj1jFLHgTebJmpmIWzF7FbDPgKmY0MxWz7eirmNHMVMyK+KuY0cxoZtF7c5pZD0ua2bLoVMyaaK6ul6mYHfdUzMhl846K2XybJpepmF1OjF6mYhb2UUTFrJ2wilk7YRWzesQqZvWIVcyCN5An62UqZsHsVcw2A65iRi9TMduOvooZvUzFrIi/ihm9jF4WvTanl/WwpJcti07FbJ4qqqtrZsTBMVTMjkM0m3dUzObbNNFMxSxIM1MxC/s4omLWTljFrJ2wilk9YhWzesQqZsGbyJM1MxWzYPYqZpsBVzGjmamYbUdfxYxmpmJWxF/FjGZGM4vem9PMeljSzJZFp2LWRHN1vUzF7LinYkYum3dUzObbNLlMxexyYvQyFbOwjyIqZu2EVczaCauY1SNWMatHrGIWvIE8WS9TMQtmr2K2GXAVM3qZitl29FXM6GUqZkX8VczoZfSy6LU5vayHJb1sWXQqZvNUUV1dMyMOjqFidhyi2byjYjbfpolmKmZBmpmKWdjHERWzdsIqZu2EVczqEauY1SNWMQveRJ6smamYBbNXMdsMuIoZzUzFbDv6KmY0MxWzIv4qZjQzmln03pxm1sOSZrYsOhWzJpqr62UqZsc9FTNy2byjYjbfpsllKmaXE6OXqZiFfRRRMWsnrGLWTljFrB6xilk9YhWz4A3kyXqZilkwexWzzYCrmNHLVMy2o69iRi9TMSvir2JGL6OXRa/N6WU9LOlly6JTMZuniurqmhlxcAwVs+MQzeYdFbP5Nk00UzEL0sxUzMI+jqiYtRNWMWsnrGJWj1jFrB6xilnwJvJkzUzFLJi9itlmwFXMaGYqZtvRVzGjmamYFfFXMaOZ0cyi9+Y0sx6WNLNl0amYNdFcXS9TMTvuqZiRy+YdFbP5Nk0uUzG7nBi9TMUs7KOIilk7YRWzdsIqZvWIVczqEauYBW8gT9bLVMyC2auYbQZcxYxepmK2HX0VM3qZilkRfxUzehm9LHptTi/rYUkvWxaditk8VVRX18yIg2OomB2HaDbvqJjNt2mimYpZkGamYhb2cUTFrJ2wilk7YRWzesQqZvWIVcyCN5Ena2YqZsHsVcw2A65iRjNTMduOvooZzUzFrIi/ihnNjGYWvTenmfWwpJkti07FrInm6nqZitlxT8WMXDbvqJjNt2lymYrZ5cToZSpmYR9FVMzaCauYtRNWMatHrGJWj1jFLHgDebJepmIWzF7FbDPgKmb0MhWz7eirmNHLVMyK+KuY0cvoZdFrc3pZD0t62bLoVMzmqaK6umZGHBxDxew4RLN5R8Vsvk0TzVTMgjQzFbOwjyMqZu2EVczaCauY1SNWMatHrGIWvIk8WTNTMQtmr2K2GXAVM5qZitl29FXMaGYqZkX8VcxoZjSz6L05zayHJc1sWXQqZk00V9fLVMyOeypm5LJ5R8Vsvk2Ty1TMLidGL1MxC/soomLWTljFrJ2wilk9YhWzesQqZsEbyJP1MhWzYPYqZpsBVzGjl6mYbUdfxYxepmJWxF/FjF5GL4tem9PLeljSy5ZFp2I2TxXV1TUz4uAYKmbHIZrNOypm822aaKZiFqSZqZiFfRxRMWsnrGLWTljFrB6xilk9YhWz4E3kyZqZilkwexWzzYCrmNHMVMy2o69iRjNTMSvir2JGM6OZRe/NaWY9LGlmy6JTMWuiubpepmJ23FMxI5fNOypm822aXKZidjkxepmKWdhHERWzdsIqZu2EVczqEauY1SNWMQveQJ6sl6mYBbNXMdsMuIoZvUzFbDv6Kmb0MhWzIv4qZvQyeln02pxe1sOSXrYsOhWzeaqorq6ZEQfHUDE7DtFs3lExm2/TRDMVsyDNTMUs7OOIilk7YRWzdsIqZvWIVczqEauYBW8iT9bMVMyC2auYbQZcxYxmpmK2HX0VM5qZilkRfxUzmhnNLHpvTjPrYUkzWxadilkTzdX1MhWz456KGbls3lExm2/T5DIVs8uJ0ctUzMI+iqiYtRNWMWsnrGJWj1jFrB6xilnwBvJkvUzFLJi9itlmwFXM6GUqZtvRVzGjl6mYFfFXMaOX0cui1+b0sh6W9LJl0amYzVNFdXXNjDg4horZcYhm846K2XybJpqpmAVpZipmYR9HVMzaCauYtRNWMatHrGJWj1jFLHgTebJmpmIWzF7FbDPgKmY0MxWz7eirmNHMVMyK+KuY0cxoZtF7c5pZD0ua2bLoVMyaaK6ul/2/7NyxDQQxDMTAVtx/lY831MIBq/UoliNmFkE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t>
        </is>
      </c>
      <c r="AN6" s="0" t="inlineStr">
        <is>
          <t>ABC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P3bu2AaCGAZiYCvXf5WPN9SCgfVqFMsRM4tg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t>
        </is>
      </c>
      <c r="AO6" s="0" t="inlineStr">
        <is>
          <t>ABC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t>
        </is>
      </c>
      <c r="AP6" s="0" t="inlineStr">
        <is>
          <t>ABC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9mPnblo+2w70vH+VxRmncL089ZaZ3e40CaEdQjIKRlQ9VRWUdEvKkZSQgSE98ig4IeA22OB4YHvilwwMsQnBXyZSK98itXcWu3V0XnTU9qbvda/fxjRt9drS+es655bOXheX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t>
        </is>
      </c>
      <c r="AQ6" s="0" t="inlineStr">
        <is>
          <t>ABC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9TMQv7KKJi1k5YxaydsIpZPWIVs3rEKmbBN5A362UqZsHsVcw2A65iRi9TMduOvooZvUzFrIi/ihm9jF4WfW1OL+thSS9bFp2K2XyqqK6umREHx1AxOx+i2TyjYjbfTRPNVMyCNDMVs7CPIypm7YRVzNoJq5jVI1Yxq0esYhZ8E3mzZqZiFsxexWwz4CpmNDMVs+3oq5jRzFTMivirmNHMaGbR9+Y0sx6WNLNl0amYNdFcXS9TMTvPqZiRy+YZFbP5bppcpmJ2PDF6mYpZ2EcRFbN2wipm7YRVzOoRq5jVI1YxC76BvFkvUzELZq9ithlwFTN6mYrZdvRVzOhlKmZF/FXM6GX0suhrc3pZD0t62bLoVMzmU0V1dc2MODiGitn5EM3mGRWz+W6aaKZiFqSZqZiFfRxRMWsnrGLWTljFrB6xilk9YhWz4JvImzUzFbNg9ipmmwFXMaOZqZhtR1/FjGamYlbEX8WMZkYzi743p5n1sKSZLYtOxayJ5up6mYrZeU7FjFw2z6iYzXfT5DIVs+OJ0ctUzMI+iqiYtRNWMWsnrGJWj1jFrB6xilnwDeTNepmKWTB7FbPNgKuY0ctUzLajr2JGL1MxK+KvYkYvo5dFX5vTy3pY0suWRadiNp8qqqtrZsTBMVTMzodoNs+omM1300QzFbMgzUzFLOzjiIpZO2EVs3bCKmb1iFXM6hGrmAXfRN6smamYBbNXMdsMuIoZzUzFbDv6KmY0MxWzIv4qZjQzmln0vTnNrIclzWxZdCpmTTRX18tUzM5zKmbksnlGxWy+myaXqZgdT4xepmIW9lFExaydsIpZO2EVs3rEKmb1iFXMgm8gb9bLVMyC2auYbQZcxYxepmK2HX0VM3qZilkRfxUzehm9LPranF7Ww5Jetiw6FbP5VFFdXTMjDo6hYnY+RLN5RsVsvpsmmqmYBWlmKmZhH0dUzNoJq5i1E1Yxq0esYlaPWMUs+CbyZs1MxSyYvYrZZsBVzGhmKmbb0Vcxo5mpmBXxVzGjmdHMou/NaWY9LGlmy6JTMWuiubpepmJ2nlMxI5fNMypm8900uUzF7Hhi9DIVs7CPIipm7YRVzNoJq5jVI1Yxq0esYhZ8A3mzXqZiFsxexWwz4Cpm9DIVs+3oq5jRy1TMivirmNHL6GXR1+b0sh6W9LJl0amYzaeK6uqaGXFwDBWz8yGazTMqZvPdNNFMxSxIM1MxC/s4omLWTljFrJ2wilk9YhWzesQqZsE3kTdrZipmwexVzDYDrmJGM1Mx246+ihnNTMWsiL+KGc2MZhZ9b04z62FJM1sWnYpZE83V9TIVs/Ocihm5bJ5RMZvvpsllKmbHE6OXqZiFfRRRMWsnrGLWTljFrB6xilk9YhWz4BvIm/UyFbNg9ipmmwFXMaOXqZhtR1/FjF6mYlbEX8WMXkYvi742p5f1sKSXLYtOxWw+VVRX18yIg2OomJ0P0WyeUTGb76aJZipmQZqZilnYxxEVs3bCKmbthFXM6hGrmNUjVjELvom8WTNTMQtmr2K2GXAVM5qZitl29FXMaGYqZkX8VcxoZjSz6HtzmlkPS5rZsuhUzJporq6XqZid51TMyGXzjIrZfDdNLlMxO54YvUzFLOyjiIpZO2EVs3bCKmb1iFXM6hGrmAXfQN6sl6mYBbNXMdsMuIoZvUzFbDv6Kmb0MhWzIv4qZvQyeln0tTm9rIclvWxZdCpm86miurpmRhwcQ8XsfIhm84yK2Xw3TTRTMQvSzFTMwj6OqJi1E1YxayesYlaPWMWsHrGKWfBN5M2amYpZMHsVs82Aq5jRzFTMtqOvYkYzUzEr4q9iRjOjmUXfm9PMeljSzJZFp2LWRHN1vUzF7DynYkYum2dUzOa7aXKZitnxxOhlKmZhH0VUzNoJq5i1E1Yxq0esYlaPWMUs+AbyZr1MxSyYvYrZZsBVzOhlKmbb0Vcxo5epmBXxVzGjl9HLoq/N6WU9LOlly6JTMZtPFdXVNTPi4BgqZudDNJtnVMzmu2mimYpZkGamYhb2cUTFrJ2wilk7YRWzesQqZvWIVcyCbyJv1sxUzILZq5htBlzFjGamYrYdfRUzmpmKWRF/FTOaGc0s+t6cZtbDkma2LDoVsyaaq+tlKmbnORUzctk8o2I2302Ty1TMjidGL1MxC/soomLWTljFrJ2wilk9YhWzesQqZsE3kDfrZSpmwexVzDYDrmJGL1Mx246+ihm9TMWsiL+KGb2MXhZ9bU4v62FJL1sWnYrZfKqorq6ZEQfHUDE7H6LZPKNiNt9NE81UzII0MxWzsI8jKmbthFXM2gmrmNUjVjGrR6xiFnwTebNmpmIWzF7FbDPgKmY0MxWz7eirmNHMVMyK+KuY0cxoZtH35jSzHpY0s2XRqZg10VxdL1MxO8+pmJHL5hkVs/lumlymYnY8MXqZilnYRxEVs3bCKmbthFXM6hGrmNUjVjELvoG8WS9TMQtmr2K2GXAVM3qZitl29FXM6GUqZkX8VczoZfSy6GtzelkPS3rZsuhUzOZTRXV1zYw4OIaK2fkQzeYZFbP5bppopmIWpJmpmIV9HFExayesYtZOWMWsHrGKWT1iFbPgm8ibNTMVs2D2KmabAVcxo5mpmG1HX8WMZqZiVsRfxYxmRjOLvjenmfWwpJkti07FrInm6nqZitl5TsWMXDbPqJjNd9PkMhWz44nRy1TMwj6KqJi1E1YxayesYlaPWMWsHrGKWfAN5M16mYpZMHsVs82Aq5jRy1TMtqOvYkYvUzEr4q9iRi+jl0Vfm9PLeljSy5ZFp2I2nyqqq2tmxMExVMzOh2g2z6iYzXfTRDMVsyDNTMUs7OOIilk7YRWzdsIqZvWIVczqEauYBd9E3qyZqZgFs1cx2wy4ihnNTMVsO/oqZjQzFbMi/ipmNDOaWfS9Oc2shyXNbFl0KmZNNFfXy1TMznMqZuSyeUbFbL6bJpepmB1PjF6mYhb2UUTFrJ2wilk7YRWzesQqZvWIVcyCbyBv1stUzILZq5htBlzFjF6mYrYdfRUzepmKWRF/FTN6Gb0s+tqcXtbDkl62LDoVs/lUUV1dMyMOjqFidj5Es3lGxWy+myaaqZgFaWYqZmEfR1TM2gmrmLUTVjGrR6xiVo9YxSz4JvJmzUzFLJi9itlmwFXMaGYqZtvRVzGjmamYFfFXMaOZ0cyi781pZj0saWbLolMxa6K5ul6mYnaeUzEjl80zKmbz3TS5TMXseGL0MhWzsI8iKmbthFXM2gmrmNUjVjGrR6xiFnwDebNepmIWzF7FbDPgKmb0MhWz7eirmNHLVMyK+KuY0cvoZdHX5vSyHpb0smXRqZjNp4rq6poZcXAMFbPzIZrNMypm89000UzFLEgzUzEL+ziiYtZOWMWsnbCKWT1iFbN6xCpmwTeRN2tmKmbB7FXMNgOuYkYzUzHbjr6KGc1MxayIv4oZzYxmFn1vTjPrYUkzWxadilkTzdX1MhWz85yKGblsnlExm++myWUqZscTo5epmIV9FFExayesYtZOWMWsHrGKWT1iFbPgG8ib9TIVs2D2KmabAVcxo5epmG1HX8WMXqZiVsRfxYxeRi+Lvjanl/WwpJcti07FbD5VVFfXzIiDY6iYnQ/RbJ5RMZvvpolmKmZBmpmKWdjHERWzdsIqZu2EVczqEauY1SNWMQu+ibxZM1MxC2avYrYZcBUzmpmK2Xb0VcxoZipmRfxVzGhmNLPoe3OaWQ9Lmtmy6FTMmmiurpepmJ3nVMzIZfOMitl8N00uUzE7nhi9TMUs7KOIilk7YRWzdsIqZvWIVczqEauYBd9A3qyXqZgFs1cx2wy4ihm9TMVsO/oqZvQyFbMi/ipm9DJ6WfS1Ob2shyW9bFl0KmbzqaK6umZGHBxDxex8iGbzjIrZfDdNNFMxC9LMVMzCPo6omLUTVjFrJ6xiVo9YxawesYpZ8E3kzZqZilkwexWzzYCrmNHMVMy2o69iRjNTMSvir2JGM6OZRd+b08x6WNLMlkWnYtZEc3W9TMXsPKdiRi6bZ1TM5rtpcpmK2fHE6GUqZmEfRVTM2gmrmLUTVjGrR6xiVo9YxSz4BvJmvUzFLJi9itlmwFXM6GUqZtvRVzGjl6mYFfFXMaOX0cuir83pZT0s6WXLolMxm08V1dU1M+LgGCpm50M0m2dUzOa7aaKZilmQZqZiFvZxRMWsnbCKWTthFbN6xCpm9YhVzIJvIm/WzFTMgtmrmG0GXMWMZqZith19FTOamYpZEX8VM5oZzSz63pxm1sOSZrYsOhWzJpqr62UqZuc5FTNy2TyjYjbfTZPLVMyOJ0YvUzEL+yiiYtZOWMWsnbCKWT1iFbN6xCpmwTeQN+tlKmbB7FXMNgOuYkYvUzHbjr6KGb1MxayIv4oZvYxeFn1tTi/rYUkvWxaditl8qqiurpkRB8dQMTsfotk8o2I2300TzVTMgjQzFbOwjyMqZu2EVczaCauY1SNWMatHrGIWfBN5s2amYhbMXsVsM+AqZjQzFbPt6KuY0cxUzIr4q5jRzGhm0ffmNLMeljSzZdGpmDXRXF0vUzE7z6mYkcvmGRWz+W6aXKZidjwxepmKWdhHERWzdsIqZu2EVczqEauY1SNWMQu+gbxZL1MxC2avYrYZcBUzepmK2Xb0VczoZSpmRfxVzOhl9LLoa3N6WQ9Letmy6FTM5lNFdXXNjDg4horZ+RDN5hkVs/lummimYhakmamYhX0cUTFrJ6xi1k5YxawesYpZPWIVs+CbyJs1MxWzYPYqZpsBVzGjmamYbUdfxYxmpmJWxF/FjGZGM4u+N6eZ9bCkmS2LTsWsiebqepmK2XlOxYxcNs+omM130+QyFbPjidHLVMzCPoqomLUTVjFrJ6xiVo9YxawesYpZ8A3kzXqZilkwexWzzYCrmNHLVMy2o69iRi9TMSvir2JGL6OXRV+b08t6WNLLlkWnYjafKqqra2bEwTFUzM6HaDbPqJjNd9NEMxWzIM1MxSzs44iKWTthFbN2wipm9YhVzOoRq5gF30TerJmpmAWzVzHbDLiKGc1MxWw7+ipmNDMVsyL+KmY0M5pZ9L05zayHJc1sWXQqZk00V9fLVMzOcypm5LJ5RsVsvpsml6mYHU+MXqZiFvZRRMWsnbCKWTthFbN6xCpm9YhVzIJvIG/Wy1TMgtmrmG0GXMWMXqZith19FTN6mYpZEX8VM3oZvSz62pxe1sOSXrYsOhWz+VRRXV0zIw6OoWJ2PkSzeUbFbL6bJpqpmAVpZipmYR9HVMzaCauYtRNWMatHrGJWj1jFLPgm8mbNTMUsmL2K2WbAVcxoZipm29FXMaOZqZgV8Vcxo5nRzKLvzWlmPSxpZsuiUzFrorm6XqZidp5TMSOXzTMqZvPdNLlMxex4YvQyFbOwjyIqZu2EVczaCauY1SNWMatHrGIWfAN5s16mYhbMXsVsM+AqZvQyFbPt6KuY0ctUzIr4q5jRy+hl0dfm9LIelvSyZdGpmM2niurqmhlxcAwVs/Mhms0zKmbz3TTRTMUsSDNTMQv7OKJi1k5YxaydsIpZPWIVs3rEKmbBN5E3a2YqZsHsVcw2A65iRjNTMduOvooZzUzFrIi/ihnNjGYWfW9OM+thSTNbFp2KWRPN1fUyFbPznIoZuWyeUTGb76bJZSpmxxOjl6mYhX0UUTFrJ6xi1k5YxawesYpZPWIVs+AbyJv1MhWzYPYqZpsBVzGjl6mYbUdfxYxepmJWxF/FjF5GL4u+NqeX9bCkly2LTsVsPlVUV9fMiINjqJidD9FsnlExm++miWYqZkGamYpZ2McRFbN2wipm7YRVzOoRq5jVI1YxC76JvFkzUzELZq9ithlwFTOamYrZdvRVzGhmKmZF/FXMaGY0s+h7c5pZD0ua2bLoVMyaaK6ul6mYnedUzMhl84yK2Xw3TS5TMTueGL1MxSzso4iKWTthFbN2wipm9YhVzOoRq5gF30DerJepmAWzVzHbDLiKGb1MxWw7+ipm9DIVsyL+Kmb0MnpZ9LU5vayHJb1sWXQqZvOporq6ZkYcHEPF7HyIZvOMitl8N000UzEL0sxUzMI+jqiYtRNWMWsnrGJWj1jFrB6xilnwTeTNmpmKWTB7FbPNgKuY0cxUzLajr2JGM1MxK+KvYkYzo5lF35vTzHpY0syWRadi1kRzdb1Mxew8p2JGLptnVMzmu2lymYrZ8cToZSpmYR9FVMzaCauYtRNWMatHrGJWj1jFLPgG8ma9TMUsmL2K2WbAVczoZSpm29FXMaOXqZgV8Vcxo5fRy6KvzellPSzpZcuiUzGbTxXV1TUz4uAYKmbnQzSbZ1TM5rtpopmKWZBmpmIW9nFExaydsIpZO2EVs3rEKmb1iFXMgm8ib9bMVMyC2auYbQZcxYxmpmK2HX0VM5qZilkRfxUzmhnNLPrenGbWw5Jmtiw6FbMmmqvrZSpm5zkVM3LZPKNiNt9Nk8tUzI4nRi/79fupb4iYfdOfpr+zXPa1v7S/6pZ9y98lr74uH58/vHzz4u2rJ4+He/Dw8Pl/e/Pq2csnj59ef3z88P7Zh8cPT/8y1uX5t4/LV3yT36YcfX1c/rK35Q9/u7j6m//EX1uObz9wzcQ3/Bv8/8/AF7/34z/+yfnXvTG4cBs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9sDIyBMTAGwxgYA2NgDK5fbAyMgTEwBsMYGANjYAyuX2wMjIExMAbDGBgDY2AMrl+8zhg8PPvuNXj+72MOHh5+yx78+f/1K//W/Lv923P8k/8u/xad/2r/+cc/evd5Ts4/0b75T6Bf+xPxXKY//F7Hfu+7jh1/Rs+/yr94/e79q4cPn559Xo6HN08ePjx//eT947NnTx4+Pr598+Hjp1evP77+2h/1+W/p53+S+Wf0f/XV//MYr7/6D/zNb/oD+Kv/xY//2rf88X3DLLz5xjO/xvzpr//f/9Z/gPBF+OP7F29ef3j/8smbZ8/eP3l4fHz55P3Lxw9PXn349OLjq9cvH998eBNA+C3Cf1HCH158/PTyxevXTz59fPP681/D7x+fvHn/9OmT15//x+Pjxw8P71+/DSD8lf/sh/h3Qvzm83+Ve//2w4cnH56+/fjk4dXj+ydvn759++Tlw4v3Hx4+vH777nXCTD97BvFfFPGntw+fnr569/LJq3evXzx5ePvs81/Fr16+e/LqxbOXL159ePX6+dtPCYifNyH+4j/5/a8d+wbEX3w8/xl/8MMPx//y6Ycfv/yOty7iX/zqX/2TX/zjP/1//u0/+uWf/MuvvfCVBX/z9OHZ28ePT168+Pj5P6M//88n71+/+Pyf0e9fP339+uHdy1evIti/2JH9f/PxBz/6+R+//57Mf/G3//mv/uWf/OLv/J/fCfzdu7cfH98//fDk4+PD5//IfvH0+ef/yH7z4fhr/+37xzefnj28fJUA/GFH4B8/fTr+MP77jz/48O6rf6v9rdR/9W//9ue/2H/5p//4l//gH34n+I8vHx6fv3j74snzx2cvP6/8i89/v/Xp5fsnz58+f/n88eHNm08fIsC/3BH8T3/++R/7rz9++YMfHf/A9+H+y//9X//Zv/jT//cf/Zs/+/v/4hf/y//8Z//0//hO+p8+PXx6//zZpydvPj58/nvsTx8enrx58fj2ycdnjw+fPj2+eXyb8Z/xr3ak/3nnP3z86eOXP/zJ8UfxO4z9L//Xv/erf/In3wn+8fHxw8Obz7hfPnv/5vN/f3/18cm7509fPXn8+Pb9xxcvXn16/vxdAvjXO4L/9PMfPR7/+u/+6POfAO9/+LMf/PTzf8/7fn/5/4N/9ot//Se/+J/+4S//7r/5Tv6vPrx7fPns1ZvPf09+fFx78fjpM/83z548vnr77MOHz39OvH94SODvO9u3wv6tf//29N2zTx/fvn7y+sOnd08eHt88ffL208vnn/8+/cW7T6+efnj/4cXLBMS/44e2P///fMst2r/fPwXOf97fAft/9MM/+tnHL//gyx///Cdf+6P5hj+iv+Af1a/9q3z/P7bzX+v80/L4j5PP/3J/9UcfvvHMb/6G36T8a4e+8Td+y+/8d/qtv9vP/L4/9Tz3e1/+8PO/wA/fHef+4MuPn/+q/fJvfPn7/93P3/3Rt77yn7378t0fP/veW/3V955/818cXz304vgnf/rd/0QvfvAf/2heIX3xBy++9l/Tr8P/5Y/effk//o2ffPzy3c9+/OX8K/uLL77p8N/6xn+KRVn+pz/8b38LiZPg//CTH7x7fPzxz3/0s9+O7Ytf/PO/96t/9U9/C5bvxffP2X3X2U3R/c5/GX733yJ/9YXv/9ff578Jfv5Xnj3/Ky+ejaf/4dPj/33/vyB/31+Q4zf/gvz405+ujPSvf+2/L11nNyX6ez/+0c/e/fBHP/0eOL/772a/+sI5tX/2f/1vv/q//9lf8tT+4Y9/9s0Uv/4P/s3f/Id+48zX/rvyX/9rv/k3h9/nv+gu6IU9PDx99vb9w6snb/8/du4mB7B0S6/yVI7oh5QZP5kRE6BJi76VkT9dOgwCZCRaDKDoYCFhWnSYj4saBnmONiVf0lbZhY959/s9u3Wl3CeudNeNn/z2ivX19z8+fP74x68fvv54Xwz/+PnXH3//46cv377+zbHwP5cX9vmHv/6o//jPvv3ly3+/AfJXMezH/7/NsP/6nzbD/ot/86//7h/+9d/9X//qX/6b//N//Pv//n/5h7/7H/7h7/7Vv/j7/+5//fv/7X/++//jX/7D//4//c2P8Rdz7N/9A/x7vvlHmew/9r/2H2Wzv/zPt0cz+/I3RuhfNLMvP/27/m/6H22dfv3Lz22a2b+19m8/jnz64+uvv/zx27cPn3764c9fkn759PnD9z9++vXDjx9//PLDt19/+PT1a4K/4Pnrn0344/cfP3/5cz58/+3nbx8+//z904evX376/uHjl28/fv3y66evn77/5Y9+NLNNhD/98vNvP33+9duHP759+/zh86cvf/4c/vjxy4efv/zw6fefP339/j2CMM3sn4/4y09fP/32xx9fP3z6+PFPxPdfK/j67ZcvH778+OPX375//uGPb18i7pM0s3824m8fP/7+w88///Hh28c//vx1+o/Pf/6nT7/8+W8Iv/wJ/9sfv/7wMUL4ppm9oJn9+cfbT1++/v79wy/3L+Off//hxw+//PTp64cfPn358dPvn77+8vF7xImKZvZPMv8P08y+f//th59/+PLrh9sE//D5h19///Dth5++fPjxx2/fv37+7beff/z+10M3zWy/ZvbnH7h/+OX3j/ff8nhEoz9/S//l848/fvjyx9dvP//6+09//nsXzaxWM/v151+//fLnH+U+/P7tz9/e//xj2/cP3778/PHDD7/99um3X7/88OOPX/7y3kwzK9DMPv3yx7fvH3/67cNvP325/w7f7x8/fP368+cPX//4+PXPX/i/fv38U8RPe5rZO5rZ909//Pbxz9/cP/z+8x+fPnz+9ePXD9++/fHxw+evt1j+9bdPn79EaIbe2f69sP/Jv+z35dNPP/705acPP/34608fPn+77zrff/7+4adff/jt0y9fv3//8ZeIX9tpZjSzmLs5zayHJc1sLbr5aUhG+ttZSnO7XvZf+rX1+n8h/a/+m//2P5TnTr+MXPb/VS77+Zcfv//x04+/f/jpy8cvHz5//unrh6+//Pz5w/fffvn+6YfPv37++vPfnAj/c8llXz7/9Uf9f/7ZT3+tzO2Syz7+p5DL/sXf/ij0MhWzlk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t>
        </is>
      </c>
      <c r="AR6" s="0" t="inlineStr">
        <is>
          <t>ABC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UzFrorldL1Mxe/ZUzMhls6NiNt+myWUqZvfE6GUqZmGPIipm7YRVzNoJq5jVI1Yxq0esYhZ8gXxZL1MxC2avYnYYcBUzepmK2XH0VczoZSpmRfxVzOhl9LLoszm9rIclvWwtOhWzmSqq2zUz4uB1qZg9QzSbHRWz+TZNNFMxC9LMVMzCHkdUzNoJq5i1E1Yxq0esYlaPWMUs+BL5smamYhbMXsXsMOAqZjQzFbPj6KuY0cxUzIr4q5jRzGhm0XdzmlkPS5rZWnQqZk00t+tlKmbPnooZuWx2VMzm2zS5TMXsnhi9TMUs7FFExaydsIpZO2EVs3rEKmb1iFXMgi+QL+tlKmbB7FXMDgOuYkYvUzE7jr6KGb1MxayIv4oZvYxeFn02p5f1sKSXrUWnYjZTRXW7ZkYcvC4Vs2eIZrOjYjbfpolmKmZBmpmKWdjjiIpZO2EVs3bCKmb1iFXM6hGrmAVfIl/WzFTMgtmrmB0GXMWMZqZidhx9FTOamYpZEX8VM5oZzSz6bk4z62FJM1uLTsWsieZ2vUzF7NlTMSOXzY6K2XybJpepmN0To5epmIU9iqiYtRNWMWsnrGJWj1jFrB6xilnwBfJlvUzFLJi9itlhwFXM6GUqZsfRVzGjl6mYFfFXMaOX0cuiz+b0sh6W9LK16FTMZqqobtfMiIPXpWL2DNFsdlTM5ts00UzFLEgzUzELexxRMWsnrGLWTljFrB6xilk9YhWz4Evky5qZilkwexWzw4CrmNHMVMyOo69iRjNTMSvir2JGM6OZRd/NaWY9LGlma9GpmDXR3K6XqZg9eypm5LLZUTGbb9PkMhWze2L0MhWzsEcRFbN2wipm7YRVzOoRq5jVI1YxC75AvqyXqZgFs1cxOwy4ihm9TMXsOPoqZvQyFbMi/ipm9DJ6WfTZnF7Ww5JethaditlMFdXtmhlx8LpUzJ4hms2Oitl8myaaqZgFaWYqZmGPIypm7YRVzNoJq5jVI1Yxq0esYhZ8iXxZM1MxC2avYnYYcBUzmpmK2XH0VcxoZipmRfxVzGhmNLPouznNrIclzWwtOhWzJprb9TIVs2dPxYxcNjsqZvNtmlymYnZPjF6mYhb2KKJi1k5YxaydsIpZPWIVs3rEKmbBF8iX9TIVs2D2KmaHAVcxo5epmB1HX8WMXqZiVsRfxYxeRi+LPpvTy3pY0svWolMxm6miul0zIw5el4rZM0Sz2VExm2/TRDMVsyDNTMUs7HFExaydsIpZO2EVs3rEKmb1iFXMgi+RL2tmKmbB7FXMDgOuYkYzUzE7jr6KGc1MxayIv4oZzYxmFn03p5n1sKSZrUWnYtZEc7tepmL27KmYkctmR8Vsvk2Ty1TM7onRy1TMwh5FVMzaCauYtRNWMatHrGJWj1jFLPgC+bJepmIWzF7F7DDgKmb0MhWz4+irmNHLVMyK+KuY0cvoZdFnc3pZD0t62Vp0KmYzVVS3a2bEwetSMXuGaDY7KmbzbZpopmIWpJmpmIU9jqiYtRNWMWsnrGJWj1jFrB6xilnwJfJlzUzFLJi9itlhwFXMaGYqZsfRVzGjmamYFfFXMaOZ0cyi7+Y0sx6WNLO16FTMmmhu18tUzJ49FTNy2eyomM23aXKZitk9MXqZilnYo4iKWTthFbN2wipm9YhVzOoRq5gFXyBf1stUzILZq5gdBlzFjF6mYnYcfRUzepmKWRF/FTN6Gb0s+mxOL+thSS9bi07FbKaK6nbNjDh4XSpmzxDNZkfFbL5NE81UzII0MxWzsMcRFbN2wipm7YRVzOoRq5jVI1YxC75EvqyZqZgFs1cxOwy4ihnNTMXsOPoqZjQzFbMi/ipmNDOaWfTdnGbWw5JmthadilkTze16mYrZs6diRi6bHRWz+TZNLlMxuydGL1MxC3sUUTFrJ6xi1k5YxawesYpZPWIVs+AL5Mt6mYpZMHsVs8OAq5jRy1TMjqOvYkYvUzEr4q9iRi+jl0WfzellPSzpZWvRqZjNVFHdrpkRB69LxewZotnsqJjNt2mimYpZkGamYhb2OKJi1k5YxaydsIpZPWIVs3rEKmbBl8iXNTMVs2D2KmaHAVcxo5mpmB1HX8WMZqZiVsRfxYxmRjOLvpvTzHpY0szWolMxa6K5XS9TMXv2VMzIZbOjYjbfpsllKmb3xOhlKmZhjyIqZu2EVczaCauY1SNWMatHrGIWfIF8WS9TMQtmr2J2GHAVM3qZitlx9FXM6GUqZkX8VczoZfSy6LM5vayHJb1sLToVs5kqqts1M+LgdamYPUM0mx0Vs/k2TTRTMQvSzFTMwh5HVMzaCauYtRNWMatHrGJWj1jFLPgS+bJmpmIWzF7F7DDgKmY0MxWz4+irmNHMVMyK+KuY0cxoZtF3c5pZD0ua2Vp0KmZNNLfrZSpmz56KGblsdlTM5ts0uUzF7J4YvUzFLOxRRMWsnbCKWTthFbN6xCpm9YhVzIIvkC/rZSpmwexVzA4DrmJGL1MxO46+ihm9TMWsiL+KGb2MXhZ9NqeX9bCkl61Fp2I2U0V1u2ZGHLwuFbNniGazo2I236aJZipmQZqZilnY44iKWTthFbN2wipm9YhVzOoRq5gFXyJf1sxUzILZq5gdBlzFjGamYnYcfRUzmpmKWRF/FTOaGc0s+m5OM+thSTNbi07FrInmdr1MxezZUzEjl82Oitl8myaXqZjdE6OXqZiFPYqomLUTVjFrJ6xiVo9YxawesYpZ8AXyZb1MxSyYvYrZYcBVzOhlKmbH0Vcxo5epmBXxVzGjl9HLos/m9LIelvSytehUzGaqqG7XzIiD16Vi9gzRbHZUzObbNNFMxSxIM1MxC3scUTFrJ6xi1k5YxawesYpZPWIVs+BL5MuamYpZMHsVs8OAq5jRzFTMjqOvYkYzUzEr4q9iRjOjmUXfzWlmPSxpZmvRqZg10dyul6mYPXsqZuSy2VExm2/T5DIVs3ti9DIVs7BHERWzdsIqZu2EVczqEauY1SNWMQu+QL6sl6mYBbNXMTsMuIoZvUzF7Dj6Kmb0MhWzIv4qZvQyeln02Zxe1sOSXrYWnYrZTBXV7ZoZcfC6VMyeIZrNjorZfJsmmqmYBWlmKmZhjyMqZu2EVczaCauY1SNWMatHrGIWfIl8WTNTMQtmr2J2GHAVM5qZitlx9FXMaGYqZkX8VcxoZjSz6Ls5zayHJc1sLToVsyaa2/UyFbNnT8WMXDY7KmbzbZpcpmJ2T4xepmIW9iiiYtZOWMWsnbCKWT1iFbN6xCpmwRfIl/UyFbNg9ipmhwFXMaOXqZgdR1/FjF6mYlbEX8WMXkYviz6b08t6WNLL1qJTMZuporpdMyMOXpeK2TNEs9lRMZtv00QzFbMgzUzFLOxxRMWsnbCKWTthFbN6xCpm9YhVzIIvkS9rZipmwexVzA4DrmJGM1MxO46+ihnNTMWsiL+KGc2MZhZ9N6eZ9bCkma1Fp2LWRHO7XqZi9uypmJHLZkfFbL5Nk8tUzO6J0ctUzMIeRVTM2gmrmLUTVjGrR6xiVo9YxSz4AvmyXqZiFsxexeww4Cpm9DIVs+Poq5jRy1TMivirmNHL6GXRZ3N6WQ9LetladCpmM1VUt2tmxMHrUjF7hmg2Oypm822aaKZiFqSZqZiFPY6omLUTVjFrJ6xiVo9YxawesYpZ8CXyZc1MxSyYvYrZYcBVzGhmKmbH0Vcxo5mpmBXxVzGjmdHMou/mNLMeljSztehUzJpobtfLVMyePRUzctnsqJjNt2lymYrZPTF6mYpZ2KOIilk7YRWzdsIqZvWIVczqEauYBV8gX9bLVMyC2auYHQZcxYxepmJ2HH0VM3qZilkRfxUzehm9LPpsTi/rYUkvW4tOxWymiup2zYw4eF0qZs8QzWZHxWy+TRPNVMyCNDMVs7DHERWzdsIqZu2EVczqEauY1SNWMQu+RL6smamYBbNXMTsMuIoZzUzF7Dj6KmY0MxWzIv4qZjQzmln03Zxm1sOSZrYWnYpZE83tepmK2bOnYkYumx0Vs/k2TS5TMbsnRi9TMQt7FFExayesYtZOWMWsHrGKWT1iFbPgC+TLepmKWTB7FbPDgKuY0ctUzI6jr2JGL1MxK+KvYkYvo5dFn83pZT0s6WVr0amYzVRR3a6ZEQevS8XsGaLZ7KiYzbdpopmKWZBmpmIW9jiiYtZOWMWsnbCKWT1iFbN6xCpmwZfIlzUzFbNg9ipmhwFXMaOZqZgdR1/FjGamYlbEX8WMZkYzi76b08x6WNLM1qJTMWuiuV0vUzF79lTMyGWzo2I236bJZSpm98ToZSpmYY8iKmbthFXM2gmrmNUjVjGrR6xiFnyBfFkvUzELZq9idhhwFTN6</t>
        </is>
      </c>
      <c r="AS6" s="0" t="inlineStr">
        <is>
          <t>ABCmYrZcfRVzOhlKmZF/FXM6GX0suizOb2shyW9bC06FbOZKqrbNTPi4HWpmD1DNJsdFbP5Nk00UzEL0sxUzMIeR1TM2gmrmLUTVjGrR6xiVo9YxSz4EvmyZqZiFsxexeww4CpmNDMVs+Poq5jRzFTMivirmNHMaGbRd3OaWQ9LmtladCpmTTS362UqZs+eihm5bHZUzObbNLlMxeyeGL1MxSzsUUTFrJ2wilk7YRWzesQqZvWIVcyCL5Av62UqZsHsVcwOA65iRi9TMTuOvooZvUzFrIi/ihm9jF4WfTanl/WwpJetRadiNlNFdbtmRhy8LhWzZ4hms6NiNt+miWYqZkGamYpZ2OOIilk7YRWzdsIqZvWIVczqEauYBV8iX9bMVMyC2auYHQZcxYxmpmJ2HH0VM5qZilkRfxUzmhnNLPpuTjPrYUkzW4tOxayJ5na9TMXs2VMxI5fNjorZfJsml6mY3ROjl6mYhT2KqJi1E1YxayesYlaPWMWsHrGKWfAF8mW9TMUsmL2K2WHAVczoZSpmx9FXMaOXqZgV8Vcxo5fRy6LP5vSyHpb0srXoVMxmqqhu18yIg9elYvYM0Wx2VMzm2zTRTMUsSDNTMQt7HFExayesYtZOWMWsHrGKWT1iFbPgS+TLmpmKWTB7FbPDgKuY0cxUzI6jr2JGM1MxK+KvYkYzo5lF381pZj0saWZr0amYNdHcrpepmD17KmbkstlRMZtv0+QyFbN7YvQyFbOwRxEVs3bCKmbthFXM6hGrmNUjVjELvkC+rJepmAWzVzE7DLiKGb1Mxew4+ipm9DIVsyL+Kmb0MnpZ9NmcXtbDkl62Fp2K2UwV1e2aGXHwulTMniGazY6K2XybJpqpmAVpZipmYY8jKmbthFXM2gmrmNUjVjGrR6xiFnyJfFkzUzELZq9idhhwFTOamYrZcfRVzGhmKmZF/FXMaGY0s+i7Oc2shyXNbC06FbMmmtv1MhWzZ0/FjFw2Oypm822aXKZidk+MXqZiFvYoomLWTljFrJ2wilk9YhWzesQqZsEXyJf1MhWzYPYqZocBVzGjl6mYHUdfxYxepmJWxF/FjF5GL4s+m9PLeljSy9aiUzGbqaK6XTMjDl6XitkzRLPZUTGbb9NEMxWzIM1MxSzscUTFrJ2wilk7YRWzesQqZvWIVcyCL5Eva2YqZsHsVcwOA65iRjNTMTuOvooZzUzFrIi/ihnNjGYWfTenmfWwpJmtRadi1kRzu16mYvbsqZiRy2ZHxWy+TZPLVMzuidHLVMzCHkVUzNoJq5i1E1Yxq0esYlaPWMUs+AL5sl6mYhbMXsXsMOAqZvQyFbPj6KuY0ctUzIr4q5jRy+hl0WdzelkPS3rZWnQqZjNVVLdrZsTB61Ixe4ZoNjsqZvNtmmimYhakmamYhT2OqJi1E1YxayesYlaPWMWsHrGKWfAl8mXNTMUsmL2K2WHAVcxoZipmx9FXMaOZqZgV8Vcxo5nRzKLv5jSzHpY0s7XoVMyaaG7Xy1TMnj0VM3LZ7KiYzbdpcpmK2T0xepmKWdijiIpZO2EVs3bCKmb1iFXM6hGrmAVfIF/Wy1TMgtmrmB0GXMWMXqZidhx9FTN6mYpZEX8VM3oZvSz6bE4v62FJL1uLTsVsporqds2MOHhdKmbPEM1mR8Vsvk0TzVTMgjQzFbOwxxEVs3bCKmbthFXM6hGrmNUjVjELvkS+rJmpmAWzVzE7DLiKGc1Mxew4+ipmNDMVsyL+KmY0M5pZ9N2cZtbDkma2Fp2KWRPN7XqZitmzp2JGLpsdFbP5Nk0uUzG7J0YvUzELexRRMWsnrGLWTljFrB6xilk9YhWz4Avky3qZilkwexWzw4CrmNHLVMyOo69iRi9TMSvir2JGL6OXRZ/N6WU9LOlla9GpmM1UUd2umREHr0vF7Bmi2eyomM23aaKZilmQZqZiFvY4omLWTljFrJ2wilk9YhWzesQqZsGXyJc1MxWzYPYqZocBVzGjmamYHUdfxYxmpmJWxF/FjGZGM4u+m9PMeljSzNai+7/ZuWMbCGIYiIGtuP8qH2+ohQNW61EsR8wsgi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t>
        </is>
      </c>
      <c r="AT6" s="0" t="inlineStr">
        <is>
          <t>ABC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+7NyxDQQxDMTAVq7/Kh9vqAUDq/UoliNmFkE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t>
        </is>
      </c>
      <c r="AU6" s="0" t="inlineStr">
        <is>
          <t>ABC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t>
        </is>
      </c>
      <c r="AV6" s="0" t="inlineStr">
        <is>
          <t>ABC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hhwFTN6mYrZc/RVzOhlKmZF/FXM6GX0suizOb2shyW9bC06FbOZKqrbNTPi4PepmJ0hms2Oitm8TRPNVMyCNDMVs7DPERWzdsIqZu2EVczqEauY1SNWMQu+RF7WzFTMgtmrmD0GXMWMZqZi9hx9FTOamYpZEX8VM5oZzSz6bk4z62FJM1uLTsWsieZ2vUzF7OypmJHLZkfFbN6myWUqZv+J0ctUzMI+RVTM2gmrmLUTVjGrR6xiVo9YxSz4AnlZL1MxC2avYvYYcBUzepmK2XP0VczoZSpmRfxVzOhl9LLoszm9rIclvWwtOhWzmSqq2zUz4uD3qZidIZrNjorZvE0TzVTMgjQzFbOwzxEVs3bCKmbthFXM6hGrmNUjVjELvkRe1sxUzILZq5g9BlzFjGamYvYcfRUzmpmKWRF/FTOaGc0s+m5OM+thSTNbi07FrInmdr1MxezsqZiRy2ZHxWzepsllKmb/idHLVMzCPkVUzNoJq5i1E1Yxq0esYlaPWMUs+AJ5WS9TMQtmr2L2GHAVM3qZitlz9FXM6GUqZkX8VczoZfSy6LM5vayHJb1sLToVs5kqqts1M+Lg96mYnSGazY6K2bxNE81UzII0MxWzsM8RFbN2wipm7YRVzOoRq5jVI1YxC75EXtbMVMyC2auYPQZcxYxmpmL2HH0VM5qZilkRfxUzmhnNLPpuTjPrYUkzW4tOxayJ5na9TMXs7KmYkctmR8Vs3qbJZSpm/4nRy1TMwj5FVMzaCauYtRNWMatHrGJWj1jFLPgCeVkvUzELZq9i9mPnjm0giGEgBrbi/qt8vKEWDlivRrEcMbMILg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t>
        </is>
      </c>
      <c r="AW6" s="0" t="inlineStr">
        <is>
          <t>ABC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lkPS5rZs+hUzJpovq6XqZjdPRUzctnsqJjN2zS5TMXsPzF6mYpZ2KeIilk7YRWzdsIqZvWIVczqEauYBV8gP9bLVMyC2auYLQOuYkYvUzFbR1/FjF6mYlbEX8WMXkYviz6b08t6WNLLnkWnYjZTRfV1zYw4eI6K2R2i2eyomM3bNNFMxSxIM1MxC/scUTFrJ6xi1k5YxawesYpZPWIVs+BL5MeamYpZMHsVs2XAVcxoZipm6+irmNHMVMyK+KuY0cxoZtF3c5pZD0ua2bPoVMyaaL6ul6mY3T0VM3LZ7KiYzds0uUzF7D8xepmKWdiniIpZO2EVs3bCKmb1iFXM6hGrmAVfID/Wy1TMgtmrmC0DrmJGL1MxW0dfxYxepmJWxF/FjF5GL4s+m9PLeljSy55Fp2I2U0X1dc2MOHiOitkdotnsqJjN2zTRTMUsSDNTMQv7HFExayesYtZOWMWsHrGKWT1iFbPgS+THmpmKWTB7FbNlwFXMaGYqZuvoq5jRzFTMivirmNHMaGbRd3OaWQ9Lmtmz6FTMmmi+rpepmN09FTNy2eyomM3bNLlMxew/MXqZilnYp4iKWTthFbN2wipm9YhVzOoRq5gFXyA/1stUzILZq5gtA65iRi9TMVtHX8WMXqZiVsRfxYxeRi+LPpvTy3pY0sueRadiNlNF9XXNjDh4jorZHaLZ7KiYzds00UzFLEgzUzEL+xxRMWsnrGLWTljFrB6xilk9YhWz4Evkx5qZilkwexWzZcBVzGhmKmbr6KuY0cxUzIr4q5jRzGhm0XdzmtmPnTu2gSCGgRjYivuv8vGGWjhgtR7FcsTMItj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t>
        </is>
      </c>
      <c r="AX6" s="0" t="inlineStr">
        <is>
          <t>ABC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
        </is>
      </c>
      <c r="AY6" s="0" t="inlineStr">
        <is>
          <t>ABC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E0TzVTMgjQzFbOwzxEVs3bCKmbthFXM6hGrmNUjVjELvkR+rJmpmAWzVzF7DLiKGc1Mxew5+ipmNDMVsyL+KmY0M5pZ9N2cZtbDkma2Fp2KWRPN7XqZitndUzEjl82Oitm8TZPLVMz+E6OXqZiFfYqomLUTVjFrJ6xiVo9YxawesYpZ8AXyY71MxSyYvYrZY8BVzOhlKmbP0Vcxo5epmBXxVzGjl9HLos/m9LIelvSytehUzGaqqG7XzIiD56iY3SGazY6K2bxNE81UzII0MxWzsM8RFbN2wipm7YRVzOoRq5jVI1YxC75EfqyZqZgFs1cxewy4ihnNTMXsOfoqZjQzFbMi/ipmNDOaWfTdnGbWw5JmthadilkTze16mYrZ3VMxI5fNjorZvE2Ty1TM/hOjl6mYhX2KqJi1E1YxayesYlaPWMWsHrGKWfAF8mO9TMUsmL2K2WPAVczoZSpmz9FXMaOXqZgV8Vcxo5fRy6LP5vSyHpb0srXoVMxmqqhu18yIg+eomN0hms2Oitm8TRPNVMyCNDMVs7DPERWzdsIqZu2EVczqEauY1SNWMQu+RH6smamYBbNXMXsMuIoZzUzF7Dn6KmY0MxWzIv4qZjQzmln03Zxm1sOSZrYWnYpZE83tepmK2d1TMSOXzY6K2bxNk8tUzP4To5epmIV9iqiYtRNWMWsnrGJWj1jFrB6xilnwBfJjvUzFLJi9itljwFXM6GUqZs/RVzGjl6mYFfFXMaOX0cuiz+b0sh6W9LK16FTMZqqobtfMiIPnqJjdIZrNjorZvP2xc8c2EMQwEANbuf6rfLyhFgys1qNYjphZBN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t>
        </is>
      </c>
      <c r="AZ6" s="0" t="inlineStr">
        <is>
          <t>ABC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1TMgtmrmD0GXMWMXqZi9hx9FTN6mYpZEX8VM3oZvSz6bE4v62FJL1uLTsVsporqds2MOPh9KmZniGazo2I2b9NEMxWzIM1MxSzsc0TFrJ2wilk7YRWzesQqZvWIVcyCL5GXNTMVs2D2KmaPAVcxo5mpmD1HX8WMZqZiVsRfxYxmRjOLvpvTzHpY0szWolMxa6K5XS9TMTt7KmbkstlRMZu3aXKZitl/YvQyFbOwTxEVs3bCKmbthFXM6hGrmNUjVjELvkBe1stUzILZq5g9BlzFjF6mYvYcfRUzepmKWRF/FTN6Gb0s+mxOL+thSS9bi07FbKaK6nbNjDj4fSpmZ4hms6NiNm/TRDMVsyDNTMUs7HNExaydsIpZO2EVs3rEKmb1iFXMgi+RlzUzFbNg9ipmjwFXMaOZqZg9R1/FjGamYlbEX8WMZkYzi76b08x6WNLM1qJTMWuiuV0vUzE7eypm5LLZUTGbt2lymYrZf2L0MhWzsE8RFbN2wipm7YRVzOoRq5jVI1YxC75AXtbLVMyC2auYPQZcxYxepmL2HH0VM3qZilkRfxUzehm9LPpsTi/rYUkvW4tOxWymiup2zYw4+H0qZmeIZrOjYjZv00QzFbMgzUzFLOxzRMWsnbCKWTthFbN6xCpm9YhVzIIvkZc1MxWzYPYqZo8BVzGjmamYPUdfxYxmpmJWxF/FjGZGM4u+m9PMeljSzNaiUzFrorldL1MxO3sqZuSy2VExm7dpcpmK2X9i9DIVs7BPERWzdsIqZu2EVczqEauY1SNWMQu+QF7Wy37s3F2vd9t9n/W38pOPWeq97vVwr8VZm6YRCKUIlSNUWfd6QobEDtsOiINK5KhUBRWEIJWoVIzUpkJNwkERLQj1zWDHvAvWfzIY8fbetrfTzOY3vuMzhargzLnt4a/35b3/48ql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73sp++nviZi9nX/Mf2V5bKv/Kn9Zbfs5/xd8up0ef14e/dw83h/9XxxD25v3/+nh/vru6vnt0+vzy9P1y/PLx/+Iujy8efD5Uu+yS9Tjr4Kl79otvzmLxdXf/YP/BVy/PwXJia+5t/g/w8D3/q17/327xx/3oPBnBs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wAAM5onBAAzAAAwKDMAADMBgnhgMwAAMwKDAAAzAAAzmicEADMAADAoMwAAMwGCeGAzAAAzAoMAADMAADOaJwQAMwAAMCgzAAAzAYJ4YDMAADMCgwAAM</t>
        </is>
      </c>
      <c r="BA6" s="0" t="inlineStr">
        <is>
          <t>ABCwAAM5onBAAzAAAwKDMAADMBgnhgMwAAMwKDAAAzAAAzmicEADMAADAoMwAAMwGCeGAzAAAzAoMAADMAADOaJwQAMwAAMCgzAAAzAYJ4YDMAADMCgwAAMwAAM5onBAAzAAAwKDMAADMBgnngdGNxe/2IafPzzwMHt7S/hwZ/+b7/0b82/2r89lz/4r/Jv0fHP9u+9/tbnd5wc/0H7+v8A/dR/EA8y/eY3eu3XftFrl/9Ejz/Lv/Xp89P97cvb9Ts5bh+ubl8+frp6er6+vrp9fX58eHl9u//0+ukr/6qPf0vf/yDjP9H/wZf/11WfvvwP/M2v+xfwl//G9/7Kz/nX9zVYePjad35q8w8//b//W/+GhefCr083D59enu6uHq6vn65un5/vrp7unl+u7l/ebl7vP909P7w8NFj40cJ/1oVfbl7f7m4+fbp6e3349P7n8NPz1cPThw9Xn97/n+fn15fbp0+PDRb+0n/3m/hXmvjh/S/lnh5fXq5ePjy+Xt3ePz9dPX54fLy6u715erl9+fT4+VMHTF9fm/jPOvHb4+3bh/vPd1f3nz/dXN0+Xr//WXx/9/nq/ub67ub+5f7Tx8e3DhN/TJr4W//2r3/lta+Z+Fuvxx/x2995ufwPb995/eIXfDUX/9ZP/tk//tE/+v3/+1/+8Me/98df+eBLBH/4cHv9+Px6dXPz+v7f0e//79XTp5v3/45++vTh06fbz3f39y22v9lx+//o9dvf/d3ffvqGm//ob//hT/7493709/73Xzj458+Pr89PH16uXp9v3/8r++bDx/f/yn54ufy5//j0/PB2fXt332Hw2x0Hf317u/zL+E9fv/3y+ct/q/1zV//Jv/zb73+y//j3/9GP/8E//IXDv97dPn+8eby5+vh8ffdO+Zv3v996u3u6+vjh493H59uHh7eXFsPf7Tj893/3/R/7D1+/+PZ3L//AN9n9x//TP/+TP/r9/+eH/+JP/sc/+tF/81//yR/8r79w/be327enj9dvVw+vt+9/j/32cnv1cPP8ePV6/Xz79vb88PzY47/j73dc/53zL6/ff/7iO79z+VfxK8D+x//t3//JP/69Xzj88/Pzy+3D+9x3108P73/9fv969fnjh/ur59fHp9ebm/u3jx8/dxj+047Dv/3ud58v//yff+v9PwBP3/nBt7///td53+xP/3/wT3/0z3/vR//FP/zx//AvfuH+9y+fn++u7x/e/5788uPazfPb+/4P11fP94/XLy/v/5l4ur3tsL/f2X7u2L/0798+fL5+e338dPXp5e3z1e3zw4erx7e7j+9/n37z+e3+w8vTy81dh4l/xR/a/vT/5+fcov35/kfg+OP+CrP/te/81g9ev/iNL773u7/zlX81X/Ov6M/4r+qn/lm++b+245/r+I/l5b9O3v/p/vJ3X772nZ89w8+u/FMvfe0Zf845/5XO+qsd85se9Xjv1774zvs/wXc+X977jS9e3/+s/eKvf/Hr/8nvfv6tn/vJv/v5i8+/ff2NWf3l7z5+/Z8cX37p5vIH//CL/0A33/63vjuukL71Gzdf+cv0+fK//93PX/znf/13Xr/4/IPvfTH+zP7Wt77u5b/1tX+IRbf8d77zH/+SJY4F/7Pf+fbn5+fv/e53f/DLZ/vWj/7w7//kn/3BL5nlG+37p9v9onc3ne5X/tPwF/8t8pc/+OZ//r3/TfDHv3T98S/dXNeHf/PD5f/75n9C/ro/Ietn/4R8/f73V570r37lr5fmu5su+mvf++4PPn/nu9//BnP+4r+b/fIHB2r/5P/8737yf/3Tv2DU/ub3fvD1K371H/ybP/sP/cw7X/lr5b/6V372bw6/yV/oLuiF3d5+uH58ur2/enx4fbu6/fj2fPVwfbkxfPv0fP36dn/3+PCly8J/XV7Y7Yev/lHn/+7xK1/+fAPkq2LY9V+0GfY3frkZ9q0f/dEPf/JHP/yTf/J3f/R//L0f/50/+MkP/6uf/PCffPvH/+X/8uM//J9//L/93Z/88X//pT/GV8yxr/8D/Jxvpkz2q/7TTtnsK//2raOZ3X3JCP2KZnZ3/3X/Mf2VrdOHr/y5TTP7qdd++seRm7eH589vL49XN/cf3pH0+eb26unt/vnq+uP13YfH5w83Dw8d/AU/f/2ZF/74dH179/5cPb18ery6/fR0c/Vwd/909fHu8frh7vnm4ebpK3/pRzNbaeGbz59e7m+fH6/eHh9vr25v7t7/HP748e7q092Hm9dPNw9PTy0Wppn92Se+u3+4eXl7e7i6+fjxfeLL/1nBw+Pnu6u76+uHl6fbD2+Pdy3uJ2lmf+aJHz9+fP3w6dPb1ePHt3dOv92+/083n9//DuHz+/iPb88fPrYQvmlmJ2hm7395e3P38Pp09fmC8dvXD9dXn+9vHq4+3Nxd37zePHz++NTiiopm9ks3/2aa2dPTy4dPH+6ery4m+NXth+fXq8cP93dX19ePTw+3Ly+frp++etFNM1tfM3v/C+4Pn18/Xv6vPA7R6P2/0j/fXl9f3b09PH56fr1///sumlmsZvb86fnx8/tfyl29Pr7/1/v7X7Y9XT3effp49eHl5ebl+e7D9fXdV35vppkFaGY3n98enz7ev1y93N9d/m/4Xj9ePTx8ur16ePv48A7+h4fb+xZ/2tPMztHMnm7eXj6+/5f71eunt5ur2+ePD1ePj28fr24fLmL5w8vN7V0LzdDvbD937F/6f+x3d3N/fX93f3V//Xx/dft4udd5+vR0df/84eXm88PT0/XnFmynmdHM2tyb08xytqSZLTvd+NOQjPTlZ9E1V9fL/hq21s9M+pvf+8E33XNNv4xc9q8ql336fP30dn/9enV/9/Hu6vb2/uHq4fOn26unl89PNx9un28fPn3pivBfl1x2d/vVP+r//7+7/2plbi257OOfh1z27S//UehlKmYp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uPbbqKZilkjzUzFrNmPIypm6QurmKUvrGIWP7GKWfzEKmaNbyJP1sxUzBpvr2K22eAqZjQzFbPt1lcxo5mpmAXtr2JGM6OZtb43p5nlbEkzW3Y6FbOkNVfXy1TMjvdUzMhl4x0Vs/FtN7lMxezytNHLVMya/SiiYpa+sIpZ+sIqZvETq5jFT6xi1vgG8mS9TMWs8fYqZpsNrmJGL1Mx2259FTN6mYpZ0P4qZvQyelnra3N6Wc6W9LJlp1MxG0/UqqtrZsTBKhWz4yGajXdUzMa33UQzFbNGmpmKWbMfR1TM0hdWMUtfWMUsfmIVs/iJVcwa30SerJmpmDXeXsVss8FVzGhmKmbbra9iRjNTMQvaX8WMZkYza31vTjPL2ZJmtux0KmZJa66ul6mYHe+pmJHLxjsqZuPbbnKZitnlaaOXqZg1+1FExSx9YRWz9IVVzOInVjGLn1jFrPEN5Ml6mYpZ4+1VzDYbXMWMXqZitt36Kmb0MhWzoP1VzOhl9LLW1+b0spwt6WXLTqdiNp6oVVfXzIiDVSpmx0M0G++omI1vu4lmKmaNNDMVs2Y/jqiYpS+sYpa+sIpZ/MQqZvETq5g1vok8WTNTMWu8vYrZZoOrmNHMVMy2W1/FjGamYha0v4oZzYxm1vrenGaWsyXNbNnpVMyS1lxdL1MxO95TMSOXjXdUzMa33eQyFbPL00YvUzFr9qOIiln6wipm6QurmMVPrGIWP7GKWeMbyJP1MhWzxturmG02uIoZvUzFbLv1VczoZSpmQfurmNHL6GWtr83pZTlb0suWnU7FbDxRq66umREHq1TMjodoNt5RMRvfdhPNVMwaaWYqZs1+HFExS19YxSx9YRWz+IlVzOInVjFrfBN5smamYtZ4exWzzQZXMaOZqZhtt76KGc1MxSxofxUzmhnNrPW9Oc0sZ0ua2bLTqZglrbm6XqZidrynYkYuG++omI1vu8llKmaXp41epmLW7EcRFbP0hVXM0hdWMYufWMUsfmIVs8Y3kCfrZSpmjbdXMdtscBUzepmK2Xbrq5jRy1TMgvZXMaOX0ctaX5vTy3K2pJctO52K2XiiVl1dMyMOVqmYHQ/RbLyjYja+7SaaqZg10sxUzJr9OKJilr6wiln6wipm8ROrmMVPrGLW+CbyZM1Mxazx9ipmmw2uYkYzUzHbbn0VM5qZilnQ/ipmNDOaWet7c5pZzpY0s2WnUzFLWnN1vUzF7HhPxYxcNt5RMRvfdpPLVMwuTxu9TMWs2Y8iKmbpC6uYpS+sYhY/sYpZ/MQqZo1vIE/Wy1TMGm+vYrbZ4Cpm9DIVs+3WVzGjl6mYBe2vYkYvo5e1vjanl+VsSS9bdjoVs/FErbq6ZkYcrFIxOx6i2XhHxWx82000UzFrpJmpmDX7cUTFLH1hFbP0hVXM4idWMYufWMWs8U3kyZqZilnj7VXMNhtcxYxmpmK23foqZjQzFbOg/VXMaGY0s9b35jSznC1pZstOp2KWtObqepmK2fGeihm5bLyjYja+7SaXqZhdnjZ6mYpZsx9FVMzSF1YxS19YxSx+YhWz+IlVzBrfQJ6sl6mYNd5exWyzwVXM6GUqZtutr2JGL1MxC9pfxYxeRi9rfW1OL8vZkl627HQqZuOJWnV1zYw4WKVidjxEs/GOitn4tptopmLWSDNTMWv244iKWfrCKmbpC6uYxU+sYhY/sYpZ45vIkzUzFbPG26uYbTa4ihnNTMVsu/VVzGhmKmZB+6uY0cxoZq3vzWlmOVvSzJadTsUsac3V9TIVs+M9FTNy2XhHxWx8200uUzG7PG30MhWzZj+KqJilL6xilr6wiln8xCpm8ROrmDW+gTxZL1Mxa7y9itlmg6uY0ctUzLZbX8WMXqZiFrS/ihm9jF7W+tqcXpazJb1s2elUzMYTterqmhlxsErF7HiIZuMdFbPxbTfRTMWskWamYtbsxxEVs/SFVczSF1Yxi59YxSx+YhWzxjeRJ2tmKmaNt1cx22xwFTOamYrZduurmNHMVMyC9lcxo5nRzFrfm9PMcrakmS07nYpZ0pqr62UqZsd7KmbksvGOitn4tptcpmJ2edroZSpmzX4UUTFLX1jFLH1hFbP4iVXM4idWMWt8A3myXqZi1nh7FbPNBlcxo5epmG23vooZvUzFLGh/FTN6Gb2s9bU5vSxnS3rZstOpmI0natXVNTPiYJWK2fEQzcY7Kmbj226imYpZI81MxazZjyMqZukLq5ilL6xiFj+xiln8xCpmjW8iT9bMVMwab69ittngKmY0MxWz7dZXMaOZqZgF7a9iRjOjmbW+N6eZ5WxJM1t2OhWzpDVX18tUzI73VMzIZeMdFbPxbTe5TMXs8rTRy1TMmv0oomKWvrCKWfrCKmbxE6uYxU+sYtb4BvJkvUzFrPH2KmabDa5iRi9TMdtufRUzepmKWdD+Kmb0MnpZ62tzelnOlvSyZadTMRtP1Kqra2bEwSoVs+Mhmo13VMzGt91EMxWzRpqZilmzH0dUzNIXVjFLX1jFLH5iFbP4iVXMGt9EnqyZqZg13l7FbLPBVcxoZipm262vYkYzUzEL2l/FjGZGM2t9b04zy9mSZrbsdCpmSWuurpepmB3vqZiRy8Y7Kmbj225ymYrZ5Wmjl6mYNftRRMUsfWEVs/SFVcziJ1Yxi59YxazxDeTJepmKWePtVcw2G1zFjF6mYrbd+ipm9DIVs6D9VczoZfSy1tfm9LKcLelly06nYjaeqFVX18yIg1UqZsdDNBvvqJiNb7uJZipmjTQzFbNmP46omKUvrGKWvrCKWfzEKmbxE6uYNb6JPFkzUzFrvL2K2WaDq5jRzFTMtltfxYxmpmIWtL+KGc2MZtb63pxmlrMlzWzZ6VTMktZcXS9TMTveUzEjl413VMzGt93kMhWzy9NGL1Mxa/ajiIpZ+sIqZukLq5jFT6xiFj+xilnjG8iT9TIVs8bbq5htNriKGb1MxWy79VXM6GUqZkH7q5jRy+hlra/N6WU5W9LLlp1OxWw8UauurpkRB6tUzI6HaDbeUTEb33YTzVTMGmlmKmbNfhxRMUtfWMUsfWEVs/iJVcziJ1Yxa3wTebJmpmLWeHsVs80GVzGjmamYbbe+ihnNTMUsaH8VM5oZzaz1vTnNLGdLmtmy06mYJa25ul6mYna8p2JGLhvvqJiNb7vJZSpml6eNXqZi1uxHERWz9IVVzNIXVjGLn1jFLH5iFbPGN5An62UqZo23VzHbbHAVM3qZitl266uY0ctUzIL2VzGjl9HLWl+b08tytqSXLTuditl4olZdXTMjDlapmB0P0Wy8o2I2vu0mmqmYNdLMVMya/TiiYpa+sIpZ+sIqZvETq5jFT6xi1vgm8mTNTMWs8fYqZpsNrmJGM1Mx2259FTOamYpZ0P4qZjQzmlnre3OaWc6WNLNlp1MxS1pzdb1Mxex4T8WMXDbeUTEb33aTy1TMLk8bvUzFrNmPIipm6QurmKUvrGIWP7GKWfzEKmaNbyBP1stUzBpvr2K22eAqZvQyFbPt1lcxo5epmAXtr2JGL6OXtb42p5flbEkvW3Y6FbPxRK26umZGHKxSMTseotl4R8VsfNtNNFMxa6SZqZg1+3FExSx9YRWz9IVVzOInVjGLn1jFrPFN5MmamYpZ4+1VzDYbXMWMZqZitt36KmY0MxWzoP1VzGhmNLPW9+Y0s5wtaWbLTqdilrTm6nqZitnxnooZuWy8o2I2vu0ml6mYXZ42epmKWbMfRVTM0hdWMUtfWMUsfmIVs/iJVcwa30CerJepmDXeXsVss8FVzOhlKmbbra9iRi9TMQvaX8WMXkYva31tTi/L2ZJetux0KmbjiVp1dc2MOFilYnY8RLPxjorZ+LabaKZi1kgzUzFr9uOIiln6wipm6QurmMVPrGIWP7GKWeObyJM1MxWzxturmG02uIoZzUzFbLv1VcxoZipmQfurmNHMaGat781pZjlb0syWnU7FLGnN1fUyFbPjPRUzctl4R8VsfNtNLlMxuzxt9DIVs2Y/iqiYpS+sYpa+sIpZ/MQqZvETq5g1voE8WS9TMWu8vYrZZoOrmNHLVMy2W1/FjF6mYha0v4oZvYxe1vranF6WsyW9bNnpVMzGE7Xq6poZcbBKxex4iGbjHRWz8W030UzFrJFmpmLW7McRFbP0hVXM0hdWMYufWMUsfmIVs8Y3kSdrZipmjbdXMdtscBUzmpmK2Xbrq5jRzFTMgvZXMaOZ0cxa35vTzHK2pJktO52KWdKaq+tlKmbHeypm5LLxjorZ+LabXKZidnna6GUqZs1+FFExS19YxSx9YRWz+IlVzOInVjFrfAN5sl6mYtZ4exWzzQZXMaOXqZhtt76KGb1MxSxofxUzehm9rPW1Ob0sZ0t62bLTqZiNJ2rV1TUz4mCVitnxEM3GOypm49tuopmKWSPNTMWs2Y8jKmbpC6uYpS+sYhY/sYpZ/MQqZo1vIk/WzFTMGm+vYrbZ4CpmNDMVs+3WVzGjmamYBe2vYkYzo5m1vjenmeVsSTNbdjoVs6Q1V9fLVMyO91TMyGXjHRWz8W03uUzF7PK00ctUzJr9KKJilr6wiln6wipm8ROrmMVPrGLW+AbyZL1Mxazx9ipmmw2uYkYvUzHbbn0VM3qZilnQ/ipm9DJ6Wetrc3pZzpb0smWnUzEbT9Sqq2tmxMEqFbPjIZqNd1TMxrfdRDMVs0aamYpZsx9HVMzSF1YxS19YxSx+YhWz+IlVzBrfRJ6smamYNd5exWyzwVXMaGYqZtutr2JGM1MxC9pfxYxmRjNrfW9OM8vZkma27HQqZklrrq6XqZgd76mYkcvGOypm49tucpmK2eVpo5epmDX7UUTFLH1hFbP0hVXM4idWMYufWMWs8Q3kyXqZilnj7VXMNhtcxYxepmK23foqZvQyFbOg/VXM6GX0stbX5vSynC3pZctOp2I2nqhVV9fMiINVKmbHQzQb76iYjW+7iWYqZo00MxWzZj+OqJilL6xilr6wiln8xCpm8ROrmDW+iTxZM1Mxa7y9itlmg6uY0cxUzLZbX8WMZqZiFrS/ihnNjGbW+t6cZpazJc1s2elUzJLWXF0vUzE73lMxI5eNd1TMxrfd5DIVs8vTRi9TMWv2o4iKWfrCKmbpC6uYxU+sYhY/sYpZ4xvIk/UyFbPG26uYbTa4ihm9TMVsu/VVzOhlKmZB+6uY0cvoZa2vzellOVvSy5adTsVsPFGrrq6ZEQerVMyOh2g23lExG992E81UzBppZipmzX4cUTFLX1jFLH1hFbP4iVXM4idWMWt8E3myZqZi1nh7FbPNBlcxo5mpmG23vooZzUzFLGh/FTOaGc2s9b05zSxnS5rZstOpmCWtubpepmJ2vKdiRi4b76iYjW+7yWUqZpenjV6mYtbsRxEVs/SFVczSF1Yxi59YxSx+YhWzxjeQJ+tlKmaNt1cx22xwFTN6mYrZduurmNHLVMyC9lcxo5fRy1pfm9PLcrakly07nYrZeKJWXV0zIw5WqZgdD9FsvKNiNr7tJpqpmDXSzFTMmv04omKWvrCKWfrCKmbxE6uYxU+sYtb4JvJkzUzFrPH2KmabDa5iRjNTMdtufRUzmpmKWdD+KmY0M5pZ63tzmlnOljSzZadTMUtac3W9TMXseE/FjFw23lExG992k8tUzC5PG71MxazZjyIqZukLq5ilL6xiFj+xiln8xCpmjW8gT9bLVMwab69ittngKmb0MhWz7dZXMaOXqZgF7a9iRi+jl7W+NqeX5WxJL1t2OhWz8USturpmRhysUjE7HqLZeEfFbHzbTTRTMWukmamYNftxRMUsfWEVs/SFVcziJ1Yxi59YxazxTeTJmpmKWePtVcw2G1zFjGamYrbd+ipmNDMVs6D9VcxoZjSz1vfmNLOcLWlmy06nYpa05up6mYrZ8Z6KGblsvKNiNr7tJpepmF2eNnqZilmzH0VUzNIXVjFLX1jFLH5iFbP4iVXMGt9AnqyXqZg13l7FbLPBVczoZSpm262vYkYvUzEL2l/FjF5GL2t9bU4vy9mSXrbsdCpm44ladXXNjDhYpWJ2PESz8Y6K2fi2m2imYtZIM1Mxa/bjiIpZ+sIqZukLq5jFT6xiFj+xilnjm8iTNTMVs8bbq5htNriKGc1MxWy79VXMaGYqZkH7q5jRzGhmre/NaWY5W9LMlp1OxSxpzdX1MhWz4z0VM3LZeEfFbHzbTS5TMbs8bfQyFbNmP4qomKUvrGKWvrCKWfzEKmbxE6uYNb6BPFkvUzFrvL2K2WaDq5jRy1TMtltfxYxepmIWtL+KGb2MXtb62pxelrMlvWzZ6VTMxhO16uqaGXGwSsXseIhm4x0Vs/FtN9FMxayRZqZi1uzHERWz9IVVzNIXVjGLn1jFLH5iFbPGN5Ena2YqZo23VzHbbHAVM5qZitl266uY0cxUzIL2VzGjmdHMWt+b08xytqSZLTudilnSmqvrZSpmx3sqZuSy8Y6K2fi2m1ymYnZ52uhlKmbNfhRRMUtfWMUsfWEVs/iJVcziJ1Yxa3wDebJepmLWeHsVs80GVzGjl6mYbbe+ihm9TMUsaH8VM3oZvaz1tTm9LGdLetmy06mYjSdq1dU1M+JglYrZ8RDNxjsqZv8vO3dsA0EMAzGwleu/yscbasHAaj2K5YiZRXDepolmKmZBmpmKWdjniIpZO2EVs3bCKmb1iFXM6hGrmAVfIi9rZipmwexVzB4DrmJGM1Mxe46+ihnNTMWsiL+KGc2MZhZ9N6eZ9bCk</t>
        </is>
      </c>
      <c r="BB6" s="0" t="inlineStr">
        <is>
          <t>ABC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t>
        </is>
      </c>
      <c r="BC6" s="0" t="inlineStr">
        <is>
          <t>ABC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LFzxzYQxDAQA1tx/1U+/qAWDKxXo1iOmFkE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t>
        </is>
      </c>
      <c r="BD6" s="0" t="inlineStr">
        <is>
          <t>ABC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oZjSz6Ls5zayHJc3sWXQqZk00X9fLVMy+PRUzctnsqJjN2zS5TMXsPzF6mYpZ2KeIilk7YRWzdsIqZvWIVczqEauYBV8gL+tlKmbB7FXMlgFXMaOXqZito69iRi9TMSvir2JGL6OXRZ/N6WU9LOllz6JTMZupovq6ZkYcPEfF7Bui2eyomM3bNNFMxSxIM1MxC/scUTFrJ6xi1k5YxawesYpZPWIVs+BL5GXNTMUsmL2K2TLgKmY0MxWzdfRVzGhmKmZF/FXMaGY0s+i7Oc2shyXN7Fl0KmZNNF/Xy1TM</t>
        </is>
      </c>
      <c r="BE6" s="0" t="inlineStr">
        <is>
          <t>ABCvj0VM3LZ7KiYzds0uUzF7D8xepmKWdiniIpZO2EVs3bCKmb1iFXM6hGrmAVfIC/rZSpmwexVzJYBVzGjl6mYraOvYkYvUzEr4q9iRi+jl0WfzellPSzpZc+iUzGbqaL6umZGHDxHxewbotnsqJjN2zTRTMUsSDNTMQv7HFExayesYtZOWMWsHrGKWT1iFbPgS+RlzUzFLJi9itky4CpmNDMVs3X0VcxoZipmRfxVzGhmNLPouznNrIclzexZdCpmTTRf18tUzL49FTNy2eyomM3bNLlMxew/MXqZilnYp4iKWTthFbN2wipm9YhVzOoRq5gFXyAv62UqZsHsVcyWAVcxo5epmK2jr2JGL1MxK+KvYkYvo5dFn83pZT0s6WXPolMxm6mi+rpmRhw8R8XsG6LZ7KiYzds00UzFLEgzUzEL+xxRMWsnrGLWTljFrB6xilk9YhWz4EvkZc1MxSyYvYrZMuAqZjQzFbN19FXMaGYqZkX8Vcx+7NyxDQQxDMTAVtx/lY831MIBq/UoliNmFkG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t>
        </is>
      </c>
      <c r="BF6" s="0" t="inlineStr">
        <is>
          <t>ABC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Ni5YxsIYhiIga1c/1U+3lALBlbrUSxHzCyC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t>
        </is>
      </c>
      <c r="BG6" s="0" t="inlineStr">
        <is>
          <t>ABC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t>
        </is>
      </c>
      <c r="BH6" s="0" t="inlineStr">
        <is>
          <t>ABC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fuzcsQ0EMQzEwFbcf5WPP6gFA+vVKJYjZhbB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t>
        </is>
      </c>
      <c r="BI6" s="0" t="inlineStr">
        <is>
          <t>ABC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rZj507toEghoEY2Ir7r/Lxhlo4YLUexXLEzCKo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t>
        </is>
      </c>
      <c r="BJ6" s="0" t="inlineStr">
        <is>
          <t>ABC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t>
        </is>
      </c>
      <c r="BK6" s="0" t="inlineStr">
        <is>
          <t>ABC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Ni5YxsIYhiIga24/yofb6iFA1brUSxHzCyC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t>
        </is>
      </c>
      <c r="BL6" s="0" t="inlineStr">
        <is>
          <t>ABC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74R87d2wDQQwDMbAV91/l4w9qwcB6NYrliJlFU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t>
        </is>
      </c>
      <c r="BM6" s="0" t="inlineStr">
        <is>
          <t>ABC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t>
        </is>
      </c>
      <c r="BN6" s="0" t="inlineStr">
        <is>
          <t>ABC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to6+ihnNTMWsiL+KGc2MZhZ9N6eZ9bCkmT2LTsWsiebrepmK2benYkYumx0Vs3mbJpepmP0nRi9TMQv7FFExayesYtZOWMWsHrGKWT1iFbPgC+RlvUzFLJi9itky4Cpm9DIVs3X0VczoZSpmRfxVzOhl9LLoszm9rIclvexZdCpmM1VUX9fMiIPnqJh9QzSbHRWzeZsmmqmYBWlmKmZhnyMqZu2EVczaCauY1SNWMatHrGIWfIm8rJmpmAWzVzFbBlzFjGamYraOvooZzUzFrIi/ihnNjGYWfTenmfWwpJk9i07FrInm63qZitm3p2JGLpsdFbN5myaXqZj9J0YvUzEL+xRRMWsnrGLWTljFrB6xilk9YhWz4AvkZb1MxSyYvYrZMuAqZvQyFbN19FXM6GUqZkX8VczoZfSy6LM5vayHJb3sWXQqZjNVVF/XzIiD56iYfUM0mx0Vs3mbJpqpmAVpZipmYZ8jKmbthFXM2gmrmNUjVjGrR6xiFnyJvKyZqZgFs1cxWwZcxYxmpmK2jr6KGc1MxayIv4oZzYxmFn03p5n1sKSZPYtOxayJ5ut6mYrZt6diRi6bHRWzeZsml6mY/SdGL1MxC/sUUTFrJ6xi1k5YxawesYpZPWIVs+AL5GW9TMUsmL2K2TLgKmb0MhWzdfRVzOhlKmZF/FXM6GX0suizOb2shyW97Fl0KmYzVVRf18yIg+eomH1DNJsdFbN5myaaqZgFaWYqZmGfIypm7YRVzNoJq5jVI1Yxq0esYhZ8ibysmamYBbNXMVsGXMWMZqZi9mPnjm0gBmIgBrbi/qt8vKEWDKxWo1gXMTsRPE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t>
        </is>
      </c>
      <c r="BO6" s="0" t="inlineStr">
        <is>
          <t>ABC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p2zYw4+DwqZu8QzWZHxWzepolmKmZBmpmKWdjniIpZO2EVs3bCKmb1iFXM6hGrmAVfIj/WzFTMgtmrmB0DrmJGM1MxO0dfxYxmpmJWxF/FjGZGM4u+m9PMeljSzNaiUzFrorldL1Mxe/dUzMhls6NiNm/T5DIVs//E6GUqZmGfIipm7YRVzNoJq5jVI1Yxq0esYhZ8gfxYL1MxC2avYnYMuIoZvUzF7Bx9FTN6mYpZEX8VM3oZvSz6bE4v62FJL1uLTsVsporqds2MOPg8KmbvEM1mR8Vs3qaJZipmQZqZilnY54iKWTthFbN2wipm9YhVzOoRq5gFXyI/1sxUzILZq5gdA65iRjNTMTtHX8WMZqZiVsRfxYxmRjOLvpvTzHpY0szWolMxa6K5XS9TMXv3VMzIZbOjYjZv0+QyFbP/xOhlKmZhnyIqZu2EVczaCauY1SNWMatHrGIWfIH8WC9TMQtmr2J2DLiKGb1MxewcfRUzepmKWRF/FTN6Gb0s+mxOL+thSS9bi07FbKaK6nbNjDj4PCpm7xDNZkfFbN6miWYqZkGamYpZ2OeIilk7YRWzdsIqZvWIVczqEauYBV8iP9bMVMyC2auYHQOuYkYzUzE7R1/FjGamYlbEX8WMZkYzi76b08x6WNLM1qJTMWuiuV0vUzF791TMyGWzo2I2b9PkMhWz/8ToZSpmYZ8iKmbthFXM2gmrmNUjVjGrR6xiFnyB/FgvUzELZq9idgy4ihm9TMXsHH0VM3qZilkRfxUzehm9LPpsTi/rYUkvW4tOxWymiuqPnTu2gSCGgRjYivuv8vGGWjhgtR7FcsTMIrh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t>
        </is>
      </c>
      <c r="BP6" s="0" t="inlineStr">
        <is>
          <t>ABC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t>
        </is>
      </c>
      <c r="BQ6" s="0" t="inlineStr">
        <is>
          <t>ABC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tZOWMWsnbCKWT1iFbN6xCpmwRfIj/UyFbNg9ipmjwFXMaOXqZg9R1/FjF6mYlbEX8WMXkYviz6b08t6WNLL1qJTMZuporpdMyMOnqNidodoNjsqZvM2TTRTMQvSzFTMwj5HVMzaCauYtRNWMatHrGJWj1jFLPgS+bFmpmIWzF7F7DHgKmY0MxWz5+irmNHMVMyK+KuY0cxoZtF3c5pZD0ua2Vp0KmZNNLfrZSpmd0/FjFw2Oypm8zZNLlMx+0+MXqZiFvYpomLWTljFrJ2wilk9YhWzesQqZsEXyI/1MhWzYPYqZo8BVzGjl6mYPUdfxYxepmJWxF/FjF5GL4s+m9PLeljSy9aiUzGbqaK6XTMjDp6jYnaHaDY7KmbzNk00UzEL0sxUzMI+R1TM2gmrmLUTVjGrR6xiVo9YxSz4EvmxZqZiFsxexewx4CpmNDMVs+foq5jRzFTMivirmNHMaGbRd3OaWQ9LmtladCpmTTS362UqZndPxYxcNjsqZvM2TS5TMftPjF6mYhb2KaJi1k5YxaydsIpZPWIVs3rEKmbBF8iP9TIVs2D2KmaPAVcxo5epmD1HX8WMXqZiVsRfxYxeRi+LPpvTy3pY0svWolMxm6miul0zIw6eo2J2h2g2Oypm8zZNNFMxC9LMVMzCPkdUzNoJq5i1E1Yxq0esYlaPWMUs+BL5sWamYhbMXsXsMeAqZjQzFbPn6KuY0cxUzIr4q5jRzGhm0XdzmlkPS5rZWnQqZk00t+tlKmZ3T8WMXDY7KmbzNk0uUzH7T4xepmIW9imiYvZj545tIIhhIAa24v6rfPxBLRhYr0axHDGzCLY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t>
        </is>
      </c>
      <c r="BR6" s="0" t="inlineStr">
        <is>
          <t>A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65iRjNTMVtHX8WMZqZiVsRfxYxmRjOLvpvTzHpY0syeRadi1kTzdb1MxezbUzEjl82Oitm8TZPLVMz+E6OXqZiFfYqomLUTVjFrJ6xiVo9YxawesYpZ8AXysl6mYhbMXsVsGXAVM3qZitk6+ipm9DIVsyL+Kmb0MnpZ9NmcXtbDkl72LDoVs5kqqq9rZsTBc1TMviGazY6K2bxNE81UzII0MxWzsM8RFbN2wipm7YRVzOoRq5jVI1YxC75EXtbMVMyC2auYLQOuYkYzUzFbR1/FjGamYlbEX8WMZkYzi76b08x6WNLMnkWnYtZE83W9TMXs21MxI5fNjorZvE2Ty1TM/hOjl6mYhX2KqJi1E1YxayesYlaPWMWsHrGKWfAF8rJepmIWzF7FbBlwFTN6mYrZOvoqZvQyFbMi/ipm9DJ6WfTZnF7Ww5Je9iw6FbOZKqqva2bEwXNUzL4hms2Oitm8TRPNVMyCNDMVs7DPERWzdsIqZu2EVczqEauY1SNWMQu+RF7WzFTMgtmrmC0DrmJGM1MxW0dfxYxmpmJWxF/FjGZGM4u+m9PMeljSzJ5Fp2LWRPN1vUzF7NtTMSOXzY6K2bxNk8tUzP4To5epmIV9iqiYtRNWMWsnrGJWj1jFrB6xilnwBfKyXqZiFsxexWwZcBUzepmK2Tr6Kmb0MhWzIv4qZvQyeln02Zxe1sOSXvYsOhWzmSqqr2tmxMFzVMy+IZrNjorZvE0TzVTMgjQzFbOwzxEVs3bCKmbthFXM6hGrmNUjVjELvkRe1sxUzILZq5gtA/5j5w52Ldqy5KD+Soi+JWzKxrTp8xFU2T0L/r8Fd7M0hakqWTSOPFessVvZ2CelmfHekPLuUFg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t>
        </is>
      </c>
      <c r="BS6" s="0" t="inlineStr">
        <is>
          <t>ABC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dZMVv2RxErZu0JWzFrT9iKWX3EVszqI7ZitvgL5I/rZVbMFmdvxeyxwK2YqZdZMXsufStm6mVWzIryt2KmXqZetvqzuXpZT5bqZddGZ8XsPFWp3l4zUxxMrJh9j6LZeceK2fnttqKZFbNFNTMrZsv+OGLFrD1hK2btCVsxq4/Yill9xFbMFn+J/HHNzIrZ4uytmD0WuBUzNTMrZs+lb8VMzcyKWVH+VszUzNTMVn83VzPryVLN7NrorJg1pXl7vcyK2feeFTPlsvOOFbPz223lMitmf8+aepkVs2V/FLFi1p6wFbP2hK2Y1Udsxaw+Yitmi79A/rheZsVscfZWzB4L3IqZepkVs+fSt2KmXmbFrCh/K2bqZeplqz+bq5f1ZKledm10VszOU5Xq7TUzxcHEitn3KJqdd6yYnd9uK5pZMVtUM7NituyPI1bM2hO2YtaesBWz+oitmNVHbMVs8ZfIH9fMrJgtzt6K2WOBWzFTM7Ni9lz6VszUzKyYFeVvxUzNTM1s9XdzNbOeLNXMro3OillTmrfXy6yYfe9ZMVMuO+9YMTu/3VYus2L296ypl1kxW/ZHEStm7QlbMWtP2IpZfcRWzOojtmK2+Avkj+tlVswWZ2/F7LHArZipl1kxey59K2bqZVbMivK3YqZepl62+rO5ellPlupl10Znxew8VaneXjNTHEysmH2Potl5x4rZ+e22opkVs0U1Mytmy/44YsWsPWErZu0JWzGrj9iKWX3EVswWf4n8cc3Mitni7K2YPRa4FTM1Mytmz6VvxUzNzIpZUf5WzNTM1MxWfzdXM+vJUs3s2uismDWleXu9zIrZ954VM+Wy844Vs/PbbeUyK2Z/z5p6mRWzZX8UsWLWnrAVs/aErZjVR2zFrD5iK2aLv0D+uF5mxWxx9lbMHgvcipl6mRWz59K3YqZeZsWsKH8rZupl6mWrP5url/VkqV52bXRWzM5TlertNTPFwcSK2fcomp13rJid324rmlkxW1Qzs2K27I8jVszaE7Zi1p6wFbP6iK2Y1UdsxWzxl8gf18ysmC3O3orZY4FbMVMzs2L2XPpWzNTMrJgV5W/FTM1MzWz1d3M1s54s1cyujc6KWVOat9fLrJh971kxUy4771gxO7/dVi6zYvb3rKmXWTFb9kcRK2btCVsxa0/Yill9xFbM6iO2Yrb4C+SP62VWzBZnb8XsscCtmKmXWTF7Ln0rZuplVsyK8rdipl6mXrb6s7l6WU+W6mXXRmfF7DxVqd5eM1McTKyYfY+i2XnHitn57baimRWzRTUzK2bL/jhixaw9YStm7QlbMauP2IpZfcRWzBZ/ifxxzcyK2eLsrZg9FrgVMzUzK2bPpW/FTM3MillR/lbM1MzUzFZ/N1cz68lSzeza6KyYNaV5e73Mitn3nhUz5bLzjhWz89tt5TIrZn/PmnqZFbNlfxSxYtaesBWz9oStmNVHbMWsPmIrZou/QP64XmbFbHH2VsweC9yKmXqZFbPn0rdipl5mxawofytm6mXqZas/m6uX9WSpXnZtdFbMzlOV6u01M8XBxIrZ9yianXesmJ3fbiuaWTFbVDOzYrbsjyNWzNoTtmLWnrAVs/qIrZjVR2zFbPGXyB/XzKyYLc7eitljgVsxUzOzYvZc+lbM1MysmBXlb8VMzUzNbPV3czWznizVzK6NzopZU5q318usmH3vWTFTLjvvWDE7v91WLrNi9vesqZf9v79P/QsjZv/SP6b/v8tl/+xf7f+6W/av/L/k23X5T//uH/79f/yf/pf/8G/+8a978A//8H//p//4H/7tv/83//if/+f/9I//9L//23/6x3/6H/976PLv/nVc/qu+yX+rcvTPcfnvbcv/9t8urv5//4v/mRz/+gvDxL/wP/D/w8D/8L/+H//l//z+vYfBxA0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aBAQxgAIO5GAYwgAEMAgMYwAAGczEMYAADGAQGMIABDOZiGMAABjAIDGAAAxjMxTCAAQxgEBjAAAYwmIthAAMYwCAwgAEMYDAXwwAGMIBBYAADGMBgLoYBDGAAg8AABjCAwVwMAxjAAAb5v9i5ox5dszs9619lyceUsmtX1d5VnCWTyQiEJgiFIxRZu6p2IcPEHto2iINIzFFAAQWEYCIRKRgpmQhlZjgIIgGhfBnsMd+Ceh8tatzutt2emSe5171+S1GUeNZq+/Xl/rv7+V9zGQ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DQPDwDAwDIZhYBgYBobB2y82DAwDw8AwGIaBYWAYGAZvv9gwMAwMA8NgGAaGgWFgGLz9YsPAMDAMDINhGBgGhoFh8PaL1xkGt9e/fBq8/4sYB7e3v2Ie/On/9Ev/1vz5/u25/MF/nX+Ljn+2f+/z73x6HSfHf9C+/j9AP/MfxGMy/fY3uvYbv+za5T/R88/yb3389Pjh9vnl+nVy3N5f3T6//3j1+HR9fXX7+enh/vnzy4ePnz9+5V/18W/p6x9k/if6P/jy/3iMj1/+B/7m1/0L+Mt/43t/5Rf86/uasXD/tXd+hvm7n/2f/+1/A+E3wp8fb+4/Pj/eXd1fXz9e3T493V093j09X314frn5/OHj3dP9830A4QeE/6yEn28+v9zdfPx49fL5/uPrn8OPT1f3j+/eXX18/b+enj4/3z5+fAgg/KX/7of410J8//qXco8Pz89Xz+8ePl/dfnh6vHp49/BwdXd78/h8+/zx4dPHhDF9fQ3xnxXxy8Pty7sPn+6uPnz6eHN1+3D9+mfxh7tPVx9uru9uPjx/+Pj+4SUB8fsmxN/6t3/zK9e+BvG3Ph9/xG9/5/ny/3j5zucvfsmrN+Lf+uk/+8c//ke////8yx/95Pf++CsPvjTB79/dXj88fb66ufn8+t/Rr//31ePHm9f/jn78+O7jx9tPdx8+RLC/2ZH9f/T529/94d96/IbMf/x3/vCnf/x7P/57/8cvBf7p08Pnp8d3z1efn25f/yv75t371//Kvn++/Ln/8Ph0/3J9e/chAfjtjsA/v7xc/mX8p5+//fzpy3+r/Qup//Rf/p3XP9l/8vv/6Cf/4B/+UvCf726f3t883Fy9f7q+e53yN69/v/Vy93j1/t37u/dPt/f3L88R4O92BP/9H77+Y//h5y++/d3LP/BNuP/kf/7nf/JHv////uhf/Mn/9Ec//m//mz/5g//tl9J/ebl9eXx//XJ1//n29e+xX55vr+5vnh6uPl8/3b68PN0/PWT8d/yHHem/zvnnz99/+uI7v3v5V/FrDPuf/Hd//6f/+Pd+Kfinp6fn2/tX3HfXj/evf/3+4fPVp/fvPlw9fX54/Hxz8+Hl/ftPCeA/7gj+5Yfffbr883/6ndf/ADx+5wff/v7rX+d9sz/9/8E//fE//70f/xf/8Cf/47/4pfw/PH96urv+cP/69+SXj2s3Ty+v/O+vr54+PFw/P7/+Z+Lx9jaBv+9svxD2r/z7t3efrl8+P3y8+vj88unq9un+3dXDy937179Pv/n08uHd8+PzzV0C4l/zQ9uf/n9+wRbtL/Y/Ascf99fA/te+8zs/+PzFb33xvR/+7lf+1XzNv6I/47+qn/ln+eb/2o5/ruM/lpf/Onn9p/vL333+2js//xt+nvLPXPra3/gLfuef67f+ej/zm/7U495vfPGd13+C73y63PutLz6//ln7xV//4jf/kx9++p1f+OTf/fTFp791/Y1n9Zffvf/6Pzm+fOnm8gd/98v/QDff/re+O1dI3/qtm6/8Zfrb5X//u5+++M//+u9+/uLTD773xfwz+1vf+rrLf/tr/xCLsvx3vvMf/woSB8H/7He//enp6Xs//O4PfjW2b/34D//+T//ZH/wKLN+I75+y+2V3N0X3a/9p+Mv/FvnLD775n3+vfxP8/i9dv/9LN9fj3b/57vJ/vvmfkL/pT8jx839Cfv7+91dG+le/8tdLb3c3Jfob3/vuDz5957vf/wY4f/nfzX75wTFq/+T/+u9/+n//03/No/a3v/eDr6f41X/wb/78P/Rzd77y18p/9a/8/N8cfpO/0F3QC7u9fXf98Hj74erh/vPL1e37l6er++vLxvDl49P155cPdw/3X1oW/qvywm7fffWP+vY/e/jKy19sgHxVDLv+122G/Y1fbYZ968d/9KOf/tGP/uSf/N0f/59/7yf/1R/89Ef/9U9/9E++/ZP/8n/9yR/+Lz/53//uT//4f/jSH+Mr5tjX/wF+wZs3mezX/ad9k82+8m/fOprZ3ZeM0K9oZncfvu4/pr+2dXr/lT+3aWY/c+1nP47cvNw/fXp5fri6+fDudSR9urm9enz58HR1/f767t3D07ub+/sEf8Hnrz8z4feP17d3r+fq8fnjw9Xtx8ebq/u7D49X7+8eru/vnm7ubx6/8pd+NLOVCN98+vj84fbp4erl</t>
        </is>
      </c>
      <c r="BT6" s="0" t="inlineStr">
        <is>
          <t>ABC4eH26vbm7vXP4ffv764+3r27+fzx5v7xMYIwzezPjvjuw/3N88vL/dXN+/eviC//awX3D5/uru6ur++fH2/fvTzcRewnaWZ/ZsQP799/fvfx48vVw/uX1zn9cvv6/7r59Pp3CJ9e4T+8PL17HyF808xO0Mxe//L25u7+8+PVp8sYv/387vrq04eb+6t3N3fXN59v7j+9f4xYUdHMfiXzb6aZPT4+v/v47u7p6mKCX92+e/p89fDuw93V9fXD4/3t8/PH68evLrppZutrZq9/wf3u0+f3l/8tj0M0ev2v9E+319dXdy/3Dx+fPn94/fsumlmtZvb08enh0+tfyl19fnj9r/fXv2x7vHq4+/j+6t3z883z09276+u7r3xvppkVaGY3n14eHt9/eL56/nB3+d/h+/z+6v7+4+3V/cv7+9fBf39/+yHiT3ua2Tma2ePNy/P71/9yv/r88eXm6vbp/f3Vw8PL+6vb+4tYfv98c3sXoRn6zvYLYf/K/2W/u5sP1x/uPlx9uH76cHX7cNnrPH58vPrw9O755tP94+P1p4jZTjOjmcXszWlmPSxpZsuim38akpG+fBalubpe9tfM1vFzSH/7ez/4pjzX9MvIZX9euezjp+vHlw/Xn68+3L2/u7q9/XB/df/p4+3V4/Onx5t3t0+39x+/tCL8VyWX3d1+9Y/6///PPny1MreWXPb+L0Iu+/aX/yj0MhWzlo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t>
        </is>
      </c>
      <c r="BU6" s="0" t="inlineStr">
        <is>
          <t>ABC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FTM5qmiurpmRhwcQ8XsOESzeUfFbL5NE81UzII0MxWzsI8jKmbthFXM2gmrmNUjVjGrR6xiFryJPFkzUzELZq9ithlwFTOamYrZdvRVzGhmKmZF/FXMaGY0s+i9Oc2shyXNbFl0KmZNNFfXy1TMjnsqZuSyeUfFbL5Nk8tUzC4nRi9TMQv7KKJi1k5YxaydsIpZPWIVs3rEKmbBG8iT9TIVs2D2KmabAVcxo5epmG1HX8WMXqZiVsRfxYxeRi+LXpvTy3pY0suWRadiNk8V1dU1M+LgGCpmxyGazTsqZvNtmmimYhakmamYhX0cUTFrJ6xi1k5YxawesYpZPWIVs+BN5MmamYpZMHsVs82Aq5jRzFTMtqOvYkYzUzEr4q9iRjOjmUXvzWlmPSxpZsuiUzFrorm6XqZidtxTMSOXzTsqZvNtmlymYnY5MXqZilnYRxEVs3bCKmbthFXM6hGrmNUjVjEL3kCerJepmAWzVzHbDLiKGb1MxWw7+ipm9DIVsyL+Kmb0MnpZ9NqcXtbDkl62LDoVs3mqqK6umREHx1AxOw7RbN5RMZtv00QzFbMgzUzFLOzjiIpZO2EVs3bCKmb1iFXM6hGrmAVvIk/WzFTMgtmrmG0GXMWMZqZith19FTOamYpZEX8VM5oZzSx6b04z62FJM1sWnYpZE83V9TIVs+Oeihm5bN5RMZtv0+QyFbPLidHLVMzCPoqomLUTVjFrJ6xiVo9YxawesYpZ8AbyZL1MxSyYvYrZZsBVzOhlKmbb0Vcxo5epmBXxVzGjl9HLotfm9LIelvSyZdGpmM1TRXV1zYw4OIaK2XGIZvOOitl8myaaqZgFaWYqZmEfR1TM2gmrmLUTVjGrR6xiVo9YxSx4E3myZqZiFsxexWwz4CpmNDMVs+3oq5jRzFTMivirmNHMaGbRe3OaWQ9Lmtmy6FTMmmiurpepmB33VMzIZfOOitl8myaXqZhdToxepmIW9lFExaydsIpZO2EVs3rEKmb1iFXMgjeQJ+tlKmbB7FXMNgOuYkYvUzHbjr6KGb1MxayIv4oZvYxeFr02p5f1sKSXLYtOxWyeKqqra2bEwTFUzI5DNJt3VMzm2zTRTMUsSDNTMQv7OKJi1k5YxaydsIpZPWIVs3rEKmbBm8iTNTMVs2D2KmabAVcxo5mpmG1HX8WMZqZiVsRfxYxmRjOL3pvTzHpY0syWRadi1kRzdb1Mxey4p2JGLpt3VMzm2zS5TMXscmL0MhWzsI8iKmbthFXM2gmrmNUjVjGrR6xiFryBPFkvUzELZq9ithlwFTN6mYrZdvRVzOhlKmZF/FXM6GX0sui1Ob2shyW9bFl0KmbzVFFdXTMjDo6hYnYcotm8o2I236aJZipmQZqZilnYxxEVs3bCKmbthFXM6hGrmNUjVjEL3kSerJmpmAWzVzHbDLiKGc1MxWw7+ipmNDMVsyL+KmY0M5pZ9N6cZtbDkma2LDoVsyaaq+tlKmbHPRUzctm8o2I236bJZSpmlxOjl6mYhX0UUTFrJ6xi1k5YxawesYpZPWIVs+AN5Ml6mYpZMHsVs82Aq5jRy1TMtqOvYkYvUzEr4q9iRi+jl0WvzellPSzpZcuiUzGbp4rq6poZcXAMFbPjEM3mHRWz+TZNNFMxC9LMVMzCPo6omLUTVjFrJ6xiVo9YxawesYpZ8CbyZM1MxSyYvYrZZsBVzGhmKmbb0Vcxo5mpmBXxVzGjmdHMovfmNLMeljSzZdGpmDXRXF0vUzE77qmYkcvmHRWz+TZNLlMxu5wYvUzFLOyjiIpZO2EVs3bCKmb1iFXM6hGrmAVvIE/Wy1TMgtmrmG0GXMWMXqZith19FTN6mYpZEX8VM3oZvSx6bU4v62FJL1sWnYrZPFVUV9fMiINjqJgdh2g276iYzbdpopmKWZBmpmIW9nFExaydsIpZO2EVs3rEKmb1iFXMgjeRJ2tmKmbB7FXMNgOuYkYzUzHbjr6KGc1MxayIv4oZzYxmFr03p5n1sKSZLYtOxayJ5up6mYrZcU/FjFw276iYzbdpcpmK2eXE6GUqZmEfRVTM2gmrmLUTVjGrR6xiVo9YxSx4A3myXqZiFsxexWwz4Cpm9DIVs+3oq5jRy1TMivirmNHL6GXRa3N6WQ9Letmy6P4/du7YBoIYBmJgK+6/yscbauGA1XoUyxEzi6C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t>
        </is>
      </c>
      <c r="BV6" s="0" t="inlineStr">
        <is>
          <t>ABC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SyHzt3bANBDAMxsBX3X+XjD2rBwGo9iuWImUVQ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t>
        </is>
      </c>
      <c r="BW6" s="0" t="inlineStr">
        <is>
          <t>ABC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t>
        </is>
      </c>
      <c r="BX6" s="0" t="inlineStr">
        <is>
          <t>ABC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Fsxexewx4CpmNDMVs+foq5jRzFTMivirmNHMaGbRd3OaWQ9LmtladCpmTTS362UqZt+eihm5bHZUzOZtmlymYvafGL1MxSzsU0TFrJ2wilk7YRWzesQqZvWIVcyCL5CX9TIVs2D2KmaPAVcxo5epmD1HX8WMXqZiVsRfxYxeRi+LPpvTy3pY0svWolMxm6miul0zIw6eo2L2DdFsdlTM5m2aaKZiFqSZqZiFfY6omLUTVjFrJ6xiVo9YxawesYpZ8CXysmamYhbMXsXsMeAqZjQzFbPn6KuY0cxUzIr4q5jRzGhm0XdzmlkPS5rZWnQqZk00t+tlKmbfnooZuWx2VMzmbZpcpmL2nxi9TMUs7FNExaydsIpZO2EVs3rEKmb1iFXMgi+Ql/UyFbNg9ipmjwFXMaOXqZg9R1/FjF6mYlbEX8WMXkYviz6b08t6WNLL1qJTMZuporpdMyMOnqNi9g3RbHZUzOZtmmimYhakmamYhX2OqJi1E1YxayesYlaPWMWsHrGKWfAl8rJmpmIWzF7F7DHgKmY0MxWz5+irmNHMVMyK+KuY0cxoZtF3c5pZD0ua2Vp0KmZNNLfrZSpm356KGblsdlTM5m2aXKZi9p8YvUzFLOxTRMWsnbCKWTthFbN6xCpm9YhVzIIvkJf1MhWzYPYqZo8BVzGjl6mYPUdfxYxepmJWxF/FjF5GL4s+m9PLeljSy9aiUzGbqaK6XTMjDp6jYvYN0Wx2VMzmbZpopmIWpJmpmIV9jqiYtRNWMWsnrGJWj1jFrB6xilnwJfKyZqZi9mPnjm0giGEgBrZy/Vf5eEMtGFivRrEcMbMIBr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t>
        </is>
      </c>
      <c r="BY6" s="0" t="inlineStr">
        <is>
          <t>ABC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72Y+eObSCIYSAGtuL+q3y8oRYOWK1HsRwxswj2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t>
        </is>
      </c>
      <c r="BZ6" s="0" t="inlineStr">
        <is>
          <t>ABC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t>
        </is>
      </c>
      <c r="CA6" s="0" t="inlineStr">
        <is>
          <t>ABC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9mPnjm0giGEgBrbi/qt8vKEWDlitR7EcMbMIqp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t>
        </is>
      </c>
      <c r="CB6" s="0" t="inlineStr">
        <is>
          <t>ABC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L2Y+eObSCIYSAGtnL9V/l4Qy0YWK9GsRwxswgG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t>
        </is>
      </c>
      <c r="CC6" s="0" t="inlineStr">
        <is>
          <t>ABC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t>
        </is>
      </c>
      <c r="CD6" s="0" t="inlineStr">
        <is>
          <t>ABC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2MXhZ9NqeX9bCklz2LTsVsporq65oZcfD7VMzOEM1mR8Vs3qaJZipmQZqZilnY54iKWTthFbN2wipm9YhVzOoRq5gFXyIva2YqZsHsVcyWAVcxo5mpmK2jr2JGM1MxK+KvYkYzo5lF381pZj0saWbPolMxa6L5ul6mYnb2VMzIZbOjYjZv0+QyFbP/xOhlKmZhnyIqZu2EVczaCauY1SNWMatHrGIWfIG8rJepmAWzVzFbBlzFjF6mYraOvooZvUzFrIi/ihm9jF4WfTanl/WwpJc9i07FbKaK6uuaGXHw+1TMzhDNZkfFbN6miWYqZkGamYpZ2OeIilk7YRWzdsIqZvWIVczqEauYBV8iL2tmKmbB7FXMlgFXMaOZqZito69iRjNTMSvir2JGM6OZRd/NaWY9LGlmz6JTMWui+bpepmJ29lTMyGWzo2I2b9PkMhWz/8ToZSpmYZ8iKmbthFXM2gmrmNUjVjGrR6xiFnyBvKyXqZgFs1cxWwZcxYxepmK2jr6KGb1MxayIv4oZvYxeFn02p5f1sKSXPYtOxWymiurrmhlx8PtUzM4QzWZHxWzepolmKmZBmpmKWdjniIpZO2EVs3bCKmb1iFXM6hGrmAVfIi9rZipmwexVzJYBVzGjmamYraOvYkYzUzEr4q9iRjOjmUXfzWlmPSxpZs+iUzFrovm6XqZidvZUzMhls6NiNm/T5DIVs//E6GUqZmGfIipm7YRVzNoJq5jVI1Yxq0esYhZ8gbysl6mYBbNXMVsGXMWMXqZito6+ihm9TMWsiL+KGb3sx84d20AQw0AMbMX9V/l4Qy0csFqPYjliZhGk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t>
        </is>
      </c>
      <c r="CE6" s="0" t="inlineStr">
        <is>
          <t>ABC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nR87d2wDQQwDMbAV91/l4w21cMBqPYrliJlFUM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t>
        </is>
      </c>
      <c r="CF6" s="0" t="inlineStr">
        <is>
          <t>ABC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t>
        </is>
      </c>
      <c r="CG6" s="0" t="inlineStr">
        <is>
          <t>ABC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f+zcsQ0EMQzEwFau/yofb6gFA+vVKJYjZhZB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t>
        </is>
      </c>
      <c r="CH6" s="0" t="inlineStr">
        <is>
          <t>ABC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K+KvYkYvo5dFn83pZT0s6WXPolMxm6mi+rpmRhz8PhWzM0Sz2VExm7dpopmKWZBmpmIW9jmiYtZOWMWsnbCKWT1iFbN6xCpmwZfIy5qZilkwexWzZcBVzGhmKmbr6KuY0cxUzIr4q5jRzGhm0XdzmlkPS5rZs+hUzJpovq6XqZidPRUzctnsqJjN2zS5TMXsPzF6mYpZ2KeIilk7YRWzdsIqZvWIVczqEauYBV8gL+tlKmbB7FXMlgFXMaOXqZito69iRi9TMSvir2JGL6OXRZ/N6WU9LOllz6JTMZupovq6ZkYc/D4VszNEs9lRMZu3aaKZilmQZqZiFvY5omLWTljFrJ2wilk9YhWzesQqZsGXyMuamYpZMHsVs2XAVcxoZipm6+irmNHMVMyK+KuY0cxoZtF3c5pZD0ua2bPoVMyaaL6ul6mYnT0VM3LZ7KiYzds0uUzF7D8xepmKWdiniIpZO2EVs3bCKmb1iFXM6hGrmAVfIC/rZSpmwexVzJYBVzGjl6mYraOvYkYvUzEr4q9iRi+jl0WfzellPSzpZc+iUzGbqaL6umZGHPw+FbMzRLPZUTGbt2mimYpZkGamYhb2OaJi1k5YxaydsIpZPWIVs3rEKmbBl8jLmpmKWTB7FbNlwFXMaGYqZuvoq5jRzFTMivirmNHMaGbRd3OaWQ9Lmtmz6FTMmmi+rpepmJ09FTNy2eyomM3bNLlMxew/MXqZilnYp4iKWTthFbN2wipm9YhVzOoRq5gFXyAv62UqZsHsVcyWAVcxo5epmK2jr2JGL1Mx+7FzxzYQxDAQA1tx/1U+3lALB6zWo1iOmFkEi/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t>
        </is>
      </c>
      <c r="CI6" s="0" t="inlineStr">
        <is>
          <t>ABC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t>
        </is>
      </c>
      <c r="CJ6" s="0" t="inlineStr">
        <is>
          <t>ABC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792LljGwhiGIiBrbj/Kh9vqIUDVutRLEfMLII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t>
        </is>
      </c>
      <c r="CK6" s="0" t="inlineStr">
        <is>
          <t>ABC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7MfOHdtAEMNADGzl+q/y8YZaMLBejWI5YmYRbC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t>
        </is>
      </c>
      <c r="CL6" s="0" t="inlineStr">
        <is>
          <t>ABC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t>
        </is>
      </c>
      <c r="CM6" s="0" t="inlineStr">
        <is>
          <t>ABC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KuY0ctUzIr4q5jRy+hl0WdzelkPS3rZs+hUzGaqqL6umREHv0/F7AzRbHZUzOZtmmimYhakmamYhX2OqJi1E1YxayesYlaPWMWsHrGKWfAl8rJmpmIWzF7FbBlwFTOamYrZOvoqZjQzFbMi/ipmNDOaWfTdnGbWw5Jm9iw6FbMmmq/rZSpmZ0/FjFw2Oypm8zZNLlMx+0+MXqZiFvYpomLWTljFrJ2wilk9YhWzesQqZsEXyMt6mYpZMHsVs2XAVczoZSpm6+irmNHLVMyK+KuY0cvoZdFnc3pZD0t62bPoVMxmqqi+rpkRB79PxewM0Wx2VMzmbZpopmIWpJmpmIV9jqiYtRNWMWsnrGJWj1jFrB6xilnwJfKyZqZiFsxexWwZcBUzmpmK2Tr6KmY0MxWzIv4qZjQzmln03Zxm1sOSZvYsOhWzJpqv62UqZmdPxYxcNjsqZvM2TS5TMftPjF6mYhb2KaJi1k5YxaydsIpZPWIVs3rEKmbBF8jLepmKWTB7FbNlwFXM6GUqZuvoq5jRy1TMivirmNHL6GXRZ3N6WQ9Letmz6FTMZqqovq6ZEQe/T8XsDNFsdlTM5m2aaKZiFqSZqZiFfY6omLUTVjFrJ6xiVo9YxawesYpZ8CXysmamYhbMXsVsGXAVM5qZitk6+ipmNDMVsyL+KmY0M5pZ9N2cZtbDkmb2LDoVsyaar+tlKmZnT8WMXDY7KmbzNk0uUzH7T4xepmIW9imiYtZOWMWsnbCKWT1iFbN6xCpmwRfIy3qZilkwexWzZcBVzOhlKmbr6P/YuWMbCGIYiIGtuP8qH2+ohQNW61EsR8wsg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t>
        </is>
      </c>
      <c r="CN6" s="0" t="inlineStr">
        <is>
          <t>ABC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L5Y+eObSCIYSAGtuL+q3y8oRYOWK1HsRwxsw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t>
        </is>
      </c>
      <c r="CO6" s="0" t="inlineStr">
        <is>
          <t>ABC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t>
        </is>
      </c>
      <c r="CP6" s="0" t="inlineStr">
        <is>
          <t>ABC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qiYtRNWMWsnrGJWj1jFrB6xilnwJfJjzUzFLJi9itljwFXMaGYqZs/RVzGjmamYFfFXMaOZ0cyi7+Y0sx6WNLO16FTMmmhu18tUzO6eihm5bHZUzOZtmlymYvafGL1MxSzsU0TFrJ2wilk7YRWzesQqZvWIVcyCL5Af62UqZsHsVcweA65iRi9TMXuOvooZvUzFrIi/ihm9jF4WfTanl/WwpJetRadiNlNFdbtmRhw8R8XsDtFsdlTM5m2aaKZiFqSZqZiFfY6omLUTVjFrJ6xiVo9YxawesYpZ8CXyY81MxSyYvYrZY8BVzGhmKmbP0Vcxo5mpmBXxVzGjmdHMou/mNLMeljSztehUzJpobtfLVMzunooZuWx2VMzmbZpcpmL2nxi9TMUs7FNExaydsIpZO2EVs3rEKmb1iFXMgi+QH+tlKmbB7FXMHgOuYkYvUzF7jr6KGb1MxayIv4oZvYxeFn02p5f1sKSXrUWnYjZTRXW7ZkYcPEfF7A7RbHZUzOZtmmimYhakmamYhX2OqJi1E1YxayesYlaPWMWsHrGKWfAl8mPNTMUsmL2K2WPAVcxoZipmz9FXMaOZqZgV8Vcxo5nRzKLv5jSzHpY0s7XoVMyaaG7Xy1TM7p6KGblsdlTM5m2aXKZi9p8YvUzFLOxTRMWsnbCKWTthFbN6xCpm9YhVzIIvkB/rZSpmwexVzB4DrmJGL1Mxe46+ihm9TMWsiL+KGb2MXhZ9NqeX9bCkl61Fp2I2U0V1u2ZGHDxHxewO0Wx2VMzmbZpopmIWpJmpmIV9jvzYuWMbCGIYiIGtXP9VPt5QCwbWq1EsR8wsgi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
        </is>
      </c>
      <c r="CQ6" s="0" t="inlineStr">
        <is>
          <t>ABC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HrGKWfAF8rJepmIWzF7FbBlwFTN6mYrZOvoqZvQyFbMi/ipm9DJ6WfTZnF7Ww5Je9iw6FbOZKqqva2bEwe9TMTtDNJsdFbN5myaaqZgFaWYqZmGfIypm7YRVzNoJq5jVI1Yxq0esYhZ8ibysmamYBbNXMVsGXMWMZqZito6+ihnNTMWsiL+KGc2MZhZ9N6eZ9bCkmT2LTsWsiebrepmK2dlTMSOXzY6K2bxNk8tUzP4To5epmIV9iqiYtRNWMWsnrGJWj1jFrB6xilnwBfKyXqZiFsxexWwZcBUzepmK2Tr6Kmb0MhWzIv4qZvQyeln02Zxe1sOSXvYsOhWzmSqqr2tmxMHvUzE7QzSbHRWzeZsmmqmYBWlmKmZhnyMqZu2EVczaCauY1SNWMatHrGIWfIm8rJmpmAWzVzFbBlzFjGamYraOvooZzUzFrIi/ihnNjGYWfTenmfWwpJk9i07FrInm63qZitnZUzEjl82Oitm8TZPLVMz+E6OXqZiFfYqomLUTVjFrJ6xiVo9YxawesYpZ8AXysl6mYhbMXsVsGXAVM3qZitk6+ipm9DIVsyL+Kmb0MnpZ9NmcXtbDkl72LDoVs5kqqq9rZsTB71MxO0M0mx0Vs3mbJpqpmAVpZipmYZ8jKmbthFXM2gmrmNUjVjGrR6xiFnyJvKyZqZgFs1cxWwZcxYxmpmK2jr6KGc1MxayIv4oZzYxmFn03p5n1sKSZPYtOxayJ5ut6mYrZ2VMxI5fNjorZvE2Ty1TM/hOjl6mYhX2KqJi1E1YxayesYlaPWMWs</t>
        </is>
      </c>
      <c r="CR6" s="0" t="inlineStr">
        <is>
          <t>ABCHrGKWfAF8rJepmIWzF7FbBlwFbMfO3dsA0EMAzGwFfdf5eMNtXDAejWK5YiZRZB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t>
        </is>
      </c>
      <c r="CS6" s="0" t="inlineStr">
        <is>
          <t>ABC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Z9GpmDXRfF0vUzG7eypm5LLZUTGbt2lymYrZf2L0MhWzsE8RFbN2wipm7YRVzOoRq5jVI1YxC75AfqyXqZgFs1cxWwZcxYxepmK2jr6KGb1MxayIv4oZvYxeFn02p5f1sKSXPYtOxWymiurrmhlx8BwVsztEs9lRMZu3aaKZilmQZqZiFvY5omLWTljFrJ2wilk9YhWzesQqZsGXyI81MxWzYPYqZsuAq5jRzFTM1tFXMaOZqZgV8Vcxo5nRzKLv5jSzHpY0s2fRqZg10XxdL1Mxu3sqZuSy2VExm7dpcpmK2X9i9DIVs7BPERWzdsIqZu2EVczqEauY1SNWMQu+QH6sl6mYBbNXMVsGXMWMXqZito6+ihm9TMWsiL+KGb2MXhZ9NqeX9bCklz2LTsVsporq65oZcfAcFbM7RLPZUTGbt2mimYpZkGamYhb2OaJi1k5YxaydsIpZPWIVs3rEKmbBl8iPNTMVs2D2KmbLgKuY0cxUzNbRVzGjmamYFfFXMaOZ0cyi7+Y0sx6WNLNn0amYNdF8XS9TMbt7KmbkstlRMZu3aXKZitl/YvQyFbOwTxEVs3bCKmbthFXM6hGrmNUjVjELvkB+rJepmAWzVzFbBlzFjF6mYraOvooZvUzFrIi/ihm9jF4WfTanl/WwpJc9i07FbKaK6uuaGXHwHBWzO0Sz2VExm7dpopmKWZBmpmIW9jmiYtZOWMWsnbCKWT1iFbN6xCpmwZfIjzUzFbNg9ipmy4CrmNHMVMzW0Vcxo5mpmBXxVzGjmdHMou/mNLMeljSzHzt3bANBDAMxsBX3X+XjDbVwwGo9iuWImUVw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t>
        </is>
      </c>
      <c r="CT6" s="0" t="inlineStr">
        <is>
          <t>ABC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BWlmKmZhnyMqZu2EVczaCauY1SNWMatHrGIWfIn8WDNTMQtmr2L2GHAVM5qZitlz9FXMaGYqZkX8VcxoZjSz6Ls5zayHJc1sLToVsyaa2/UyFbO7p2JGLpsdFbN5myaXqZj9J0YvUzEL+xRR</t>
        </is>
      </c>
      <c r="CU6" s="0" t="inlineStr">
        <is>
          <t>ABCMWsnrGLWTljFrB6xilk9YhWz4Avkx3qZilkwexWzx4CrmNHLVMyeo69iRi9TMSvir2JGL6OXRZ/N6WU9LOlla9GpmM1UUd2umREHz1Exu0M0mx0Vs3mbJpqpmAVpZipmYZ8jKmbthFXM2gmrmNUjVjGrR6xiFnyJ/FgzUzELZq9i9hhwFTOamYrZc/RVzGhmKmZF/FXMaGY0s+i7Oc2shyXNbC06FbMmmtv1MhWzu6diRi6bHRWzeZsml6mY/SdGL1MxC/sUUTFrJ6xi1k5YxawesYpZPWIVs+AL5Md6mYpZMHsVs8eAq5jRy1TMnqOvYkYvUzEr4q9iRi+jl0WfzellPSzpZWvRqZjNVFHdrpkRB89RMbtDNJsdFbN5myaaqZgFaWYqZmGfIypm7YRVzNoJq5jVI1Yxq0esYhZ8ifxYM1MxC2avYvYYcBUzmpmK2XP0VcxoZipmRfxVzGhmNLPouznNrIclzWwtOhWzJprb9TIVs7unYkYumx0Vs3mbJpepmP0nRi9TMQv7FFExayesYtZOWMWsHrGKWT1iFbPgC+THepmKWTB7FbPHgKuY0ctUzJ6jr2JGL1MxK+KvYkYvo5dFn83pZT0s6WVr0amYzVRR3a6ZEQfPUTG7QzSbHRWzeZsmmqmY/di5YxsIYhiIga1c/1U+3lALBlbrUSxHzCyC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t>
        </is>
      </c>
      <c r="CV6" s="0" t="inlineStr">
        <is>
          <t>ABC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NXMXsMuIoZvUzF7Dn6Kmb0MhWzIv4qZvQyeln02Zxe1sOSXrYWnYrZTBXV7ZoZcfD7VMzOEM1mR8Vs3qaJZipmQZqZilnY54iKWTthFbN2wipm9YhVzOoRq5gFXyIva2YqZsHsVcweA65iRjNTMXuOvooZzUzFrIi/ihnNjGYWfTenmfWwpJmtRadi1kRzu16mYnb2VMzIZbOjYjZv0+QyFbP/xOhlKmZhnyIqZu2EVczaCauY1SNWMatHrGIWfIG8rJepmAWzVzF7DLiKGb1Mxew5+ipm9DIVsyL+Kmb0MnpZ9NmcXtbDkl62Fp2K2UwV1e2aGXHw+1TMzhDNZkfFbN6miWYqZkGamYpZ2OeIilk7YRWzdsIqZvWIVczqEauYBV8iL2tmKmbB7FXMHgOuYkYzUzF7jr6KGc1MxayIv4oZzYxmFn03p5n1sKSZrUWnYtZEc7tepmJ29lTMyGWzo2I2b9PkMhWz/8ToZSpmYZ8iKmbthFXM2gmrmNUjVjGrR6xiFnyBvKyXqZgFs1cxewy4ihm9TMXsOfoqZvQyFbMi/ipm9DJ6WfTZnF7Ww5JethaditlMFdXtmhlx8PtUzM4QzWZHxWzepolmKmZBmpmKWdjniIpZO2EVs3bCKmb1iFXM6hGrmAVfIi9rZipmwexVzB4DrmJGM1Mxe46+ihnNTMWsiL+KGc2MZhZ9N6eZ9bCkma1Fp2LWRHO7XqZidvZUzMhls6NiNm/T5DIVs//E6GUqZmGfIipm7YRVzNoJq5jVI1Yxq0esYhZ8gbysl6mYBbP/sXPHNhDEMBADW3H/VT7eUAsHrFejWI6YWQR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t>
        </is>
      </c>
      <c r="CW6" s="0" t="inlineStr">
        <is>
          <t>ABC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t>
        </is>
      </c>
      <c r="CX6" s="0" t="inlineStr">
        <is>
          <t>ABC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Oc2shyXN7Fl0KmZNNF/Xy1TM7p6KGblsdlTM5m2aXKZi9p8YvUzFLOxTRMWsnbCKWTthFbN6xCpm9YhVzIIvkB/rZSpmwexVzJYBVzGjl6mYraOvYkYvUzEr4q9iRi+jl0WfzellPSzpZc+iUzGbqaL6umZGHDxHxewO0Wx2VMzmbZpopmIWpJmpmIV9jqiYtRNWMWsnrGJWj1jFrB6xilnwJfJjzUzFLJi9itky4CpmNDMVs3X0VcxoZipmRfxVzGhmNLPouznNrIclzexZdCpmTTRf18tUzO6eihm5bHZUzOZtmlymYvafGL1MxSzsU0TFrJ2wilk7YRWzesQqZvWIVcyCL5Af62UqZsHsVcyWAVcxo5epmK2jr2JGL1MxK+KvYkYvo5dFn83pZT0s6WXPolMxm6mi+rpmRhw8R8XsDtFsdlTM5m2aaKZiFqSZqZiFfY6omLUTVjFrJ6xiVo9YxawesYpZ8CXyY81MxSyYvYrZMuAqZjQzFbN19FXMaGYqZkX8VcxoZjSz6Ls5zayHJc3sWXQqZk00X9fLVMzunooZuWx2VMzmbZpcpmL2nxi9TMUs7FNExaydsIpZO2EVs3rEKmb1iFXMgi+QH+tlKmbB7FXMlgFXMaOXqZito69iRi9TMSvir2JGL6OXRZ/N6WU9LOllz6JTMZupovq6ZkYcPEfF7A7RbHZUzOZtmmimYhakmamYhX2OqJi1E1YxayesYlaPWMWsHrGKWfAl8mPNTMUsmL2K2TLgKmY0MxWzdfRVzGhmKmZF/FXMaGY0s+i7+Y+dO7aBIIaBGNiK+6/y8YZaOGC1HsVyxMwiSD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
        </is>
      </c>
      <c r="CY6" s="0" t="inlineStr">
        <is>
          <t>ABC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bN6miWYqZkGamYpZ2OeIilk7YRWzdsIqZvWIVczqEauYBV8iP9bMVMyC2auYPQZcxYxmpmL2HH0VM5qZilkRfxUzmhnNLPpuTjPrYUkzW4tOxayJ5na9TMXs7qmYkctmR8Vs3qbJZSpm/4nRy1TMwj5FVMzaCauYtRNWMatHrGJWj1jFLPgC+bFepmIWzF7F7DHgKmb0MhWz5+irmNHLVMyK+KuY0cvoZdFnc3pZD0t62Vp0KmYzVVS3a2bEwXNUzO4QzWZHxWzepolmKmZBmpmKWdjniIpZO2EVs3bCKmb1iFXM6hGrmAVfIj/WzFTMgtmrmD0GXMWMZqZi9hx9FTOamYpZEX8VM5oZzSz6bk4z62FJM1uLTsWsieZ2vUzF7O6pmJHLZkfFbN6myWUqZv+J0ctUzMI+RVTM2gmrmLUTVjGrR6xiVo9YxSz4AvmxXqZiFsxexewx4Cpm9DIVs+foq5jRy1TMivirmNHL6GXRZ3N6WQ9LetladCpmM1VUt2tmxMFzVMzuEM1mR8Vs3qaJZipmQZqZilnY54iKWTthFbN2wipm9YhVzOoRq5gFXyI/1sxUzILZq5g9BlzFjGamYvYcfRUzmpmKWRF/FTOaGc0s+m5OM+thSTNbi07FrInmdr1MxezuqZiRy2ZHxWzepsllKmb/idHLVMzCPkVUzNoJq5i1E1Yxq0esYlaPWMUs+AL5sV6mYhbMXsXsMeAqZvQyFbPn6KuY0ctUzIr4q5jRy+hl0WdzelkPS3rZWnQqZjNVVLdrZsTBc1TM7hDNZkfF7MfOHdtAEMNADGzl+q/y8YZaMLBaj2I5YmYRnL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t>
        </is>
      </c>
      <c r="CZ6" s="0" t="inlineStr">
        <is>
          <t>ABC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t>
        </is>
      </c>
      <c r="DA6" s="0" t="inlineStr">
        <is>
          <t>ABC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Av62UqZsHsVcweA65iRi9TMXuOvooZvUzFrIi/ihm9jF4WfTanl/WwpJetRadiNlNFdbtmRhz8PhWzM0Sz2VExm7dpopmKWZBmpmIW9jmiYtZOWMWsnbCKWT1iFbN6xCpmwZfIy5qZilkwexWzx4CrmNHMVMyeo69iRjNTMSvir2JGM6OZRd/NaWY9LGlma9GpmDXR3K6XqZidPRUzctnsqJjN2zS5TMXsPzF6mYpZ2KeIilk7YRWzdsIqZvWIVczqEauYBV8gL+tlKmbB7FXMHgOuYkYvUzF7jr6KGb1MxayIv4oZvYxeFn02p5f1sKSXrUWnYjZTRXW7ZkYc/D4VszNEs9lRMZu3aaKZilmQZqZiFvY5omLWTljFrJ2wilk9YhWzesQqZsGXyMuamYpZMHsVs8eAq5jRzFTMnqOvYkYzUzEr4q9iRjOjmUXfzWlmPSxpZmvRqZg10dyul6mYnT0VM3LZ7KiYzds0uUzF7D8xepmKWdiniIpZO2EVs3bCKmb1iFXM6hGrmAVfIC/rZSpmwexVzB4DrmJGL1Mxe46+ihm9TMWsiL+KGb2MXhZ9NqeX9bCkl61Fp2I2U0V1u2ZGHPw+FbMzRLPZUTGbt2mimYpZkGamYhb2OaJi1k5YxaydsIpZPWIVs3rEKmbBl8jLmpmKWTB7FbPHgKuY0cxUzJ6jr2JGM1MxK+KvYkYzo5lF381pZj0saWZr0amYNdHcrpepmJ09FTNy2eyomM3bNLlMxew/MXqZilnYp4iKWTthFbN2wipm9YhVzOoRq5gFXyB/7NyxDQQxDMTAVtx/lY8/qAUD69UoliNmFsH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t>
        </is>
      </c>
      <c r="DB6" s="0" t="inlineStr">
        <is>
          <t>ABC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M5oZzSz6bk4z62FJM3sWnYpZE83X9TIVs29PxYxcNjsqZvM2TS5TMftPjF6mYhb2KaJi1k5YxaydsIpZPWIVs3rEKmbBF8jLepmKWTB7FbNlwFXM6GUqZuvoq5jRy1TMivirmNHL6GXRZ3N6WQ9Letmz6FTMZqqovq6ZEQfPUTH7hmg2Oypm8zZNNFMxC9LMVMzCPkdUzNoJq5i1E1Yxq0esYlaPWMUs+BJ5WTNTMQtmr2K2DLiKGc1MxWwdfRUzmpmKWRF/FTOaGc0s+m5OM+thSTN7Fp2KWRPN1/UyFbNvT8WMXDY7KmbzNk0uUzH7T4xepmIW9imiYtZOWMWsnbCKWT1iFbN6xCpmwRfIy3qZilkwexWzZcBVzOhlKmbr6KuY0ctUzIr4q5jRy+hl0WdzelkPS3rZs+hUzGaqqL6umREHz1Ex+4ZoNjsqZvM2TTRTMQvSzFTMwj5HVMzaCauYtRNWMatHrGJWj1jFLPgSeVkzUzELZq9itgy4ihnNTMVsHX0VM5qZilkRfxUzmhnNLPpuTjPrYUkzexadilkTzdf1MhWzb0/FjFw2Oypm8zZNLlMx+0+MXqZiFvYpomLWTljFrJ2wilk9YhWzesQqZsEXyMt6mYpZMHsVs2XAVczoZSpm6+irmNHLVMyK+KuY0cvoZdFnc3pZD0t62bPoVMxmqqi+rpkRB89RMfuGaDY7KmbzNk00UzEL0sxUzMI+R1TM2gmrmLUTVjGrR6xiVo9YxSz4EnlZM1MxC2avYrYMuIoZzUzFbB19FTOamYpZEX8Vsx87d2wDQQwDMbAV91/l4w21cMBqPYrliJlFk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t>
        </is>
      </c>
      <c r="DC6" s="0" t="inlineStr">
        <is>
          <t>ABC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t>
        </is>
      </c>
      <c r="DD6" s="0" t="inlineStr">
        <is>
          <t>ABC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tEs9lRMZu3aaKZilmQZqZiFvY5omLWTljFrJ2wilk9YhWzesQqZsGXyI81MxWzYPYqZo8BVzGjmamYPUdfxYxmpmJWxF/FjGZGM4u+m9PMeljSzNaiUzFrorldL1Mxu3sqZuSy2VExm7dpcpmK2X9i9DIVs7BPERWzdsIqZu2EVczqEauY1SNWMQu+QH6sl6mYBbNXMXsMuIoZvUzF7Dn6Kmb0MhWzIv4qZvQyeln02Zxe1sOSXrYWnYrZTBXV7ZoZcfAcFbM7RLPZUTGbt2mimYpZkGamYhb2OaJi1k5YxaydsIpZPWIVs3rEKmbBl8iPNTMVs2D2KmaPAVcxo5mpmD1HX8WMZqZiVsRfxYxmRjOLvpvTzHpY0szWolMxa6K5XS9TMbt7KmbkstlRMZu3aXKZitl/YvQyFbOwTxEVs3bCKmbthFXM6hGrmNUjVjELvkB+rJepmAWzVzF7DLiKGb1Mxew5+ipm9DIVsyL+Kmb0MnpZ9NmcXtbDkl62Fp2K2UwV1e2aGXHwHBWzO0Sz2VExm7dpopmKWZBmpmIW9jmiYtZOWMWsnbCKWT1iFbN6xCpmwZfIjzUzFbNg9ipmjwFXMaOZqZg9R1/FjGamYlbEX8WMZkYzi76b08x6WNLM1qJTMWuiuV0vUzG7eypm5LLZUTGbt2lymYrZf2L0MhWzsE8RFbN2wipm7YRVzOoRq5jVI1YxC75AfqyXqZgFs1cxewy4ihm9TMXsOfoqZvQyFbMi/ipm9DJ6WfTZnF7Ww5JethaditlMFdXtmhlx8BwVszs/du5g14LtOsvoq3yiH4kEJ4Q2fR4CO+lF8P4tOJvSL4JtRTSOsmrtUS03alv6PO8dkk9NTY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WumB32RxFXzG6fsCtmt0/YFbPrR+yK2fUjdsXs4C+Qv7xe5orZwbN3xezLBu6KmfUyV8y+bvqumFkvc8Xsovm7Yma9zHrZ0Z/NrZfdM0vrZa8dnStmz3PVVN++ZmZxsFwx+zwWzZ53XDF7fnvaopkrZgetmblidtgfR1wxu33CrpjdPmFXzK4fsStm14/YFbODv0T+8pqZK2YHz94Vsy8buCtm1sxcMfu66btiZs3MFbOL5u+KmTUza2ZHfze3ZnbPLK2ZvXZ0rpjdNM23r5e5YvZ5zxUzy2XPO66YPb89bbnMFbOf55j1MlfMDvujiCtmt0/YFbPbJ+yK2fUjdsXs+hG7YnbwF8hfXi9zxezg2bti9mUDd8XMepkrZl83fVfMrJe5YnbR/F0xs15mvezoz+bWy+6ZpfWy147OFbPnuWqqb18zszhYrph9HotmzzuumD2/PW3RzBWzg9bMXDE77I8jrpjdPmFXzG6fsCtm14/YFbPrR+yK2cFfIn95zcwVs4Nn74rZlw3cFTNrZq6Yfd30XTGzZuaK2UXzd8XMmpk1s6O/m1szu2eW1sxeOzpXzG6a5tvXy1wx+7znipnlsucdV8ye3562XOaK2c9zzHqZK2aH/VHEFbPbJ+yK2e0TdsXs+hG7Ynb9iF0xO/gL5C+vl7lidvDsXTH7soG7Yma9zBWzr5u+K2bWy1wxu2j+rphZL7NedvRnc+tl98zSetlrR+eK2fNcNdW3r5lZHCxXzD6PRbPnHVfMnt+etmjmitlBa2aumB32xxFXzG6fsCtmt0/YFbPrR+yK2fUjdsXs4C+Rv7xm5orZwbN3xezLBu6KmTUzV8y+bvqumFkzc8Xsovm7YmbNzJrZ0d/NrZndM0trZq8dnStmN03z7etlrph93nPFzHLZ844rZs9vT1suc8Xs5zlmvcwVs8P+KOKK2e0TdsXs9gm7Ynb9iF0xu37Erpgd/AXyl9fLXDE7ePaumH3ZwF0xs17mitnXTd8VM+tlrphdNH9XzKyXWS87+rO59bJ7Zmm97LWjc8Xsea6a6tvXzCwOlitmn8ei2fOOK2bPb09bNHPF7KA1M1fMDvvjiCtmt0/YFbPbJ+yK2fUjdsXs+hG7Ynbwl8hfXjNzxezg2bti9mUDd8XMmpkrZl83fVfMrJm5YnbR/F0xs2Zmzezo7+bWzO6ZpTWz147OFbObpvn29TJXzD7vuWJmuex5xxWz57enLZe5YvbzHLNe5orZYX8UccXs9gm7Ynb7hF0xu37ErphdP2JXzA7+AvnL62WumB08e1fMvmzgrphZL3PF7Oum74qZ9TJXzC6avytm1suslx392dx62T2ztF722tG5YvY8V0317WtmFgfLFbPPY9HseccVs+e3py2auWJ20JqZK2aH/XHEFbPbJ+yK2e0TdsXs+hG7Ynb9iF0xO/hL5C+vmblidvDsXTH7soG7YmbNzBWzr5u+K2bWzFwxu2j+rphZM7NmdvR3c2tm98zSmtlrR+eK2U3TfPt6mStmn/dcMbNc9rzjitnz29OWy1wx+3mOWS9zxeywP4q4Ynb7hF0xu33CrphdP2JXzK4fsStmB3+B/OX1MlfMDp69K2ZfNnBXzKyXuWL2ddN3xcx6mStmF83fFTPrZdbLjv5sbr3snllaL3vt6Fwxe56rpvr2NTOLg+WK2eexaPa844rZ89vTFs1cMTtozcwVs8P+OOKK2e0TdsXs9gm7Ynb9iF0xu37Erpgd/CXyl9fMXDE7ePaumH3ZwF0xs2bmitnXTd8VM2tmrphdNH9XzKyZWTM7+ru5NbN7ZmnN7LWjc8Xspmm+fb3MFbPPe66YWS573nHF7Pntactlrpj9PMesl7lidtgfRVwxu33CrpjdPmFXzK4fsStm14/YFbODv0D+8nqZK2YHz94Vsy8buCtm1stcMfu66btiZr3MFbOL5u+KmfUy62VHfza3XnbPLK2XvXZ0rpg9z1VTffuamcXBcsXs81g0e95xxez57WmLZq6YHbRm5orZYX8cccXs9gm7Ynb7hF0xu37ErphdP2JXzA7+EvnLa2aumB08e1fMvmzgrphZM3PF7Oum74qZNTNXzC6avytm1sysmR393dya2T2ztGb22tG5YnbTNN++XuaK2ec9V8wslz3vuGL2/Pa05TJXzH6eY9bLXDE77I8irpjdPmFXzG6fsCtm14/YFbPrR+yK2cFfIH95vcwVs4Nn74rZlw3cFTPrZa6Yfd30XTGzXuaK2UXzd8XMepn1sqM/m1svu2eW1steOzpXzJ7nqqm+fc3M4mC5YvZ5LJo977hi9vz2tEUzV8wOWjNzxeywP464Ynb7hF0xu33CrphdP2JXzK4fsStmB3+J/OU1M1fMDp69K2ZfNnBXzKyZuWL2ddN3xcyamStmF83fFTNrZtbMjv5ubs3snllaM3vt6Fwxu2mab18vc8Xs854rZpbLnndcMXt+e9pymStmP88x62X/9/epv3DE7C/9Y/r/vVz2Z/9q/+vdsr/y/5Lfrss//d0f/v4f/9N/+Ye/+ePP7sEf/vC//9M//sPf/v3f/PGf//M//fFP//1v//THP/3Hfw9d/u6v4/Kv9k3+rZWjP8fl39uW//ZvL67+v//FfybHX39hTPyF/4H/DwP/4b/+j3/5n59/72GwccM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t>
        </is>
      </c>
      <c r="DE6" s="0" t="inlineStr">
        <is>
          <t>ABC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QADGMAgGMAABjBYMQxgAAMYBAMYwAAGK4YBDGAAg2AAAxjAYMUwgAEMYBAMYAADGKwYBjCAAQyCAQxgAIMVwwAGMIBBMIABDGCwYhjAAAYwCAYwgAEMVgwDGMAABsEABjCAwYphAAMYwCAYwAAGMFgxDGAAAxgEAxjAAAYrhgEMYACDYAADGMBgxTCAAQxgEAxgAAMYrBgGMIABDIIBDGAAgxXDAAYwgEEwgAEMYLBiGMAABjAIBjCAAQxWDAMYwAAGwQAGMIDBimEAAxjAIBjAAAYwWDEMYAADGAQDGMAABiuGAQxgAINgAAMYwGDFMIABDGAQDGAAAxisGAYwgAEMggEMYACDFcMABjCAQTCAAQxgsGIYwAAGMAgGMIABDFYMAxjAAAbBAAYwgMGKYfC/2K2f3bgOAorDr3LkvZEB20mWUEAgQYnSSizRxH9Q1aRGTgpCYsMKiafgDViy6uNQ9TFwnfpwHNotG76NNZoZHc/vzr3fHR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oMAxjAAAaBAQxgAIMWwwAGMIBBYAADGMCgxTCAAQxgEBjAAAYwaDEMYAADGAQGMIABDFr8XRi8e/Bw7h199Pnr14fbP91X/fSzr/++f+o9esv9yfffVUc/evH8w5u3V/cCfHL16Eo6en5787vbw+ufffLq1Qe3N2/evLi6/tXN5aNP9o6ob3j6Vpp+c3P76fPD769uv/eTq+vD56/e3n9xjxTqWx4OxDeXxOFwuPzB2eHZ8eX1k2fHpyeHp8dPD0+ujy+enJ1enF2fnB6uekncxb78+Obt4dV3Hot3L99f63tuHH388/cOycP58euPnufP+fD7vz07OfnXX7/46h9/+fJvX3z593/mPx/zzS/vaHv/X/3izY9vrw6fXt788bP3X7q7eD64Q+Lr0+L8/OHJu6vi4cnTB/yOvvULeXH1+uYPV5f7mjvE/80d4uKHT88uL85Oj5+8vDg/Pr17ePzy7OnJ8eWzq6fn12cnZ5fnp+4Q/+M7xOMFPxZRgIJH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t>
        </is>
      </c>
      <c r="DF6" s="0" t="inlineStr">
        <is>
          <t>ABC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KEABClCAAhSgAAUoQAEKUIACFKAABTuKAhSgAAUoQAEKUIACFKAABShAAQpQsKMoQAEKUIACFKAABShAAQpQgAIUoAAFO4oCFKAABShAAQpQgAIUoAAFKEABClCwoyhAAQpQgAIUoAAFKEABClCAAhSgAAU7igIUoAAFKEABClCAAhSgAAUoQAEKULCj/2anDgkAAAAABP1/bXUEB4io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t>
        </is>
      </c>
      <c r="DG6" s="0" t="inlineStr">
        <is>
          <t>ABC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lSgAhWo4KgKVKACFahABSpQgQpUoAIVqEAFKlDBURWoQAUqUIEKVKACFahABSpQgQpUoIKjKlCBClSgAhWoQAUqUIEKVKACFahABUdVoAIVqEAFKlCBClSgAhWoQAUqUIEKjqpABSpQgQpUoAIVqEAFKlCBClSgAhUcVYEKVKACFahABSpQgQpUoAIVqEAFKjiqAhWoQAUqUIEKVKACFahABSpQgQpUcFQFKlCBClSgAhWoQAUqUIEKVKACFajgqApUoAIVqEAFKlCBClSgAhWoQAUqUMFRFahABSpQgQpUoAIVqEAFKlCBClSggqMqUIEKVKACFahABSpQgQpUoAIVqEAFR1WgAhWoQAUqUIEKVKACFahABSpQgQqOqkAFKlCBClSgAhWoQAUqUIEKVKACFRxVgQpUoAIVqEAFKlCBClSgAhWoQAUqOKoCFahABSpQgQpUoAIVqEAFKlCBClRwVAUqUIEKVKACFahABSpQgQpUoAIVqOCoClSgAhWoQAUqUIEKVKACFahABSpQwVEVqEAFKlCBClSgAhWoQAUqUIEKVKCCoypQgQpUoAIVqEAFKlCBClSgAhWoQAVHVaACFahABSpQgQpUoAIVqEAFKlCBCo6qQAUqUIEKVKACFahABSpQgQpUoAIVHFWBClSgAhWoQAUqUIEKVKACFahABSo4qgIVqEAFKlCBClSgAhWoQAUqUIEKVHBUBSpQgQpUoAIVqEAFKlCBCmK3/nUtO+wyDN/KpynoBnlsj/+UEEAgQbCSSJRoBp9BUewMGjsgJAqooALREwEFgg4qRMPl2MplMHnNkJ9NqCnyvMXROWdvfWfvtdd61kE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CAAhSgAAUoQAEK7igKUIACFKAABShAAQpQgAIUoAAFKEDBHUUBClCAAhSgAAUoQAEKUIACFKAABSi4oyhAAQpQgAIUoAAFKEABClCAAhSgAAV3FAUoQAEKUIACFKAABShAAQpQgAIUoOCOogAFKEABClCAAhSgAAUoQAEKUIACFNxRFKAABShAAQpQgAIUoAAFKEABClCAgjuKAhSgAAUoQAEKUIACFKAABShAAQpQcEdRgAIUoAAFKEABClDw/0XBV9+8OfMeffdHn3767NWf9p5+/Yc//frNE+9rT+nU+98H69GvfOejb7/8/KHr//sPX7uOHn306uUfvnr26W98/5NPvvXq5Weffefhxe+8/Phrr+wroP4bp58L0++9fPWDj5790cOrX/61hxfPfvTJ531sXzPof57y5kC8uSCePf/wyYu3nz5+760XT19fEB+8+/j52+9/8PjJi6cPT56+/cG777/33qOfvdnn33v5+bNP/s9j8dXDXen3c330vd/8xiF588n/7nc/2p/t209+/+mTt774m7/94i//84u/+7cvfvznX/7Df3z59//0S69//sm//sWXf/3PX/zVv//kH//lZ6/9s99+rd03//5vffarrx6e/eDjl3/yw28+9Pp6+tZrN356rjx9o+vrc+OTN7/88M1l8ujnfkrfefj05R8/fHwfc9P4hblpPH/vxXtvf/DkrcfvvHj+7PG773z47PGHf/DO88fvvv38+cdvvf/wzocPL9w0fmFvGv5/RAEKUIA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t>
        </is>
      </c>
      <c r="DH6" s="0" t="inlineStr">
        <is>
          <t>ABC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OC/2KkDGgAAAIRBVd4/pZs5IAQ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MHbqgAYAAABhUJX3T+lmDgi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t>
        </is>
      </c>
      <c r="DI6" s="0" t="inlineStr">
        <is>
          <t>ABC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4FahABSpIBSpQgQpOBSpQgQpSgQpUoIJTgQpUoIJUoAIVqOBUoAIVqCAVqEAFKjgVqEAFKkgFKlCBCk4FKlCBClKBClSgglOBClSgglSgAhWo4FSgAhWoIBWoQAUqOBWoQAUqSAUqUIEKTgUqUIEKUoEKVKCCU4EKVKCCVKACFajgVKACFaggFahABSoYu/WTI8ddgGH4Kp9mP8gej/F4CQEEEgTLicQS9WR6UBQ7g8YOCAlOwJoVSw7AihULLhNFHIPJ60yITThBnnfRalWV1FW/P091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4K4/vflyv/JOPvjs5cvD7R96ph9/+uXnuwvvrUtaev87WCc/eP7s/ZvXx/b/x8e39tHJs9ub39weXv7k4xcv3ru9efXq+fH6FzdXb93ZG6C+wulbYfrVze0nzw6/Pd5+70fH68NnL143bW8Z9PUl9wPx1Ya4Ppxdn11dnJ0+ffzk4vT8wYOPTi8Pl3cb4snFxeOry8dXjy6+nsC7h7388Ob14cX/HYs3p9vp35zXkw9/+s6Q3M/8Lz94tj/u/Ye/fvzowRd//dfn//zbF//487///pf/3uWrn9+59u4v/ezVD2+Ph0+ubn7/6bun7nbOe3dCfLkqHp5///7o3Z64P/r4nr6Tb52Q58eXN787Xn3znPfDd+b9cH04Xjw8uzienp9fPjk9v354dXr59Prs9Oru+PnZk8PFR4+eej98Z98P/iqiAAUoQA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t>
        </is>
      </c>
      <c r="DJ6" s="0" t="inlineStr">
        <is>
          <t>ABC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IACFBQKUIACFAwFKEABCgoFKEABCoYCFKAABYUCFKAABUMBClCAgkIBClCAgqEABShAQaEABShAwVCAAhSgoFCAAhSgYChAAQpQUChAAQpQMBSgAAUoKBSgAAUoGApQgAIUFApQgAIUDAUoQAEKCgUoQAEKhgIUoAAFhQIUoAAFQwEKUICCQgEKUICCoQAFKEBBoQAFKEDBUIACFKCgUIACFKBgKEABClBQKEABClAwFKAABSgoFKAABSgYClCAAhQUClCAAhQMBShAAQoKBShAAQqGAhSgAAWFAhSgAAVDAQpQgIJCAQpQgIKhAAUoQEGhAAUoQMFQgAIUoKBQgAIUoGAoQAEKUFAoQAEKUDAUoAAFKCgUoAAFKBgKUPAfduqABgAAAGFQFfundHsOC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t>
        </is>
      </c>
      <c r="DK6" s="0" t="inlineStr">
        <is>
          <t>ABC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UYEKVKCCqUAFKlBBVKACFahgKlCBClQQFahABSqYClSgAhVEBSpQgQqmAhWoQAVRgQpUoIKpQAUqUEFUoAIVqGAqUIEKVBAVqEAFKpgKVKACFUQFKlCBCqYCFahABVGBClSggqlABSpQQVSgAhWoYCpQgQpUEBWoQAUqmApUoAIVRAUqUIEKpgIVqEAFOTt31yOJcR1m+K8c8DodTH/O9KUoy4kRxRYkBbkKFt093QIhilSWpA1f+MK3CZwPIIgNRIjti9gBYjgJYCBybCR/xqScf5GeUySrlrPcD4lcVZWeA0OQxWWxijP78LzLJlG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gIFKEABCnJQgAIUoCBQgAIUoCAHBShAAQoCBShAAQpyUIACFKAgUIACFKAgBwUoQAEKAgUoQAEKclCAAhSgIFCAAhSgIAcFKEABCq7ze+W/fPad99b3PvrRjw5Pfzff9K33Hv7zi994z/yQ/NZ7/CfrrW989zu/+f6H5/z5/875mZ9Hb33n6fs/eHr40a+/8+6733z6/gcffPd8+afv3z9zswLUpzg9F6Z//v7TH37n8OPz03/4a+fL4aN3P8wv2zMGff5DPvsT8elPiPXu9ma32h8X29VutdisdtvFcbO7X+wvp/Xdcne/PJwOb9XHHr///oeHd7/0z0X5zfkzvf26vvX9f/yFPyWffeV/4zvfqhf64NtXwr546G988PbT8+GH9+//zntf/E3XnyTfvGLw8A2wu/3sf7x+93/2Py4/+95/</t>
        </is>
      </c>
      <c r="DL6" s="0" t="inlineStr">
        <is>
          <t>ABC67l/6r97/tH7v32+f+5v+xX4yp+2x939zemyWN5vd4vNbnu/uLu7PS2W+5u782m1Op+2u6/xK//p9b53/vDDd977QV77K/lOuFs95ztht/Od8OXfCcvtcXP9q+JhcbPebBab/fq82J9O58V2eVlvz+vlZXl7+Rq/E35z+WR5c/ON79Sv7ut8H3z49KPnfRvcbp4Hwmr1vO+D7va/1TPb2aMFcHXb/uYv3wCfWSMfbYCru5esgPW3PvOn5hf70/Nw+Ov8Kfr05+e7h+sGmT/BPvuu+f7bT777re88+qFl/8iF9Dc/+6HnPPXJO/cP/+XyTv3+f87v9c3Pf6+//6s/+/i//OHf/d8//eT3//uj3+Fhw/l063vr5vQg6HKzON4u94vN+na7OBxvjovT6nxc79bb3W598+iA/PN9PeTTHeeZbffzP8I3vv/+24+3m/pVf3bTWz/3xzzzfdP+gN/7B9N8gX/w7pPD6fTwk/zJex/96PiKX+Cf/fm//9l/+suf/e1//Pjf/q8Xf4HP98vt7d394rS+Xy42y9Nxcbwsr1we747L3eW83i6Pb+ILvPEFvn6BH/6nV//yfvzv/uBnf/4/XvjlXe2Ou9N6db/Ybh4WocPutDicVpvFzeZmc9hf7u/uTruXfnmf/c0R62f/h6/gq7/9lf3qXz567/Rwh8O7T87v3V+3xSfHw7uH907nJz9ev9K3wic/+YuP//qvHv7zp7//yU/++JOf/LcXfkPs73er9f3d9vpTfXVZbG5u7xbH++X5qvpxublqf7s8rF77G+L2K/+GuPUN8fgbYvNK3xB/99N/9TrfEPfH2835cr5+L1xurt8Vp81xcXd//Qv+/nw83V4259vd+vDa3xDbV/+GeOvt5aPjn/MNsZzrLxDP+2nwnO+GF/+wb77oh7Vf4+12dVpfbu4Xu/3husVdDsvF/ni+W+xWp/3q9rI6r0+Xr/Vr/I1X+xrPteW92a/x7m6/323O28X99pq3m+3NbnG3250Xd6u7w/1+s7v+xD51APudL/HP/SXe7Lf703p3WVzud9efxsvN+kr17maxOu5vTrvlZXfY9PAl3vsS/9xf4tVqe7u83+8X691+/fALl5fF4by+fokvm/Vlud7f3i/vOvgSL5e+xj/31/i82S3329urz5vbzXXjuj8t7i6n28V2f97crQ+n9fbm8ab3S/gar17za1z/ny/5G6xf7fdAnvsaX/dff+fdD89P/9HT9z/68aPbPOdGP+etmj/Kq98t/1j5fXk9Ivel9+6f+2Ne9oYvecebfsuj9/zWo1+1+tInffE79ws/8Euf/YKn/0LPf/2Xv8br84d+8+k71z/OO4f8+wXvf/itf/nR4d0X/g7fOTw9/Gj5ur968PiIVf4C4Mt/3Pr5aDznBz75jfc+/RX2l/34f/be4env/taPz08PH77/9FPU3nrry36H3/vSo3zJX/DrA4+PGOhL/vzf8C+e9z8/58c+j5GXEfJVy/kLovklfxHIH9d+A337nR8++lXjz39g/cb5nR9/9uvML/7B+S3y8f/+D3/3N3/093/1Z5/8xf958Q9/yXfK63yXvMZ3yPNBGPQL+MKf/s1X8N3DBx8+eff82+eX/OD8Cn7yR4/+zt6zP+qX9IV7zk/VL/5PX/gxj3bZX3v7eb+4+iq76Nf7qb72Bo9+yevh1zm/7FZf0QcAj8fd+rTc3i22h+01HrerazyutsvF/ub+cDrfns/rwzNbwRc/APjW7rjdHZZ358Xd/frhY4Tb42J/uDkvbvb79fqwPN9sz8/8zcBnPyL41m51c3daH3eL1e7+brFZb8+L435/WuzuVufL5bS82y+f+ZtNr/Uhws3jP+7nf3N49ej3/PK/e/z4U4TLZz5y8Ev4GOH3X+FjhG//k1978vb3yt/3+/s//a+f/MnfPvn+2y/+bOFbn3+U5En5Pb7kh3/+ScNX+IN8/uHDR39+xvkE8uaZD50+/gjy4++mn+MTKJv1IytG+gTK977dyydQtpeby+3y/rJYnu5uFpvby1Wnm81+cbM87O82h/v9afnor7K/lE+gbFYD/YrX63yBv+ZPoBxuN7c359X1LxiX3fU/TpfV4nhZrxer7fqyO17/gnbav/yXPN/EJ1B+Jb7AX/knUNbH2/3t8bRf3B3Pu8XmbnO3OF6/vov1+n65WZ+2x7vj4w86fA1f3pd+xGTaL+8HH13/tx+cnz45PXzw9lW+uJ/8yU9/9pd/+P/+9K9f7Wfw+nz9ibo/bBfru+vP281+d1wc7zbb60/j/WV7f9zcb9Yv/wXtr+BLvPMlfuWfv+2X+BV+Fm9Oh+1mfzoubta3x+tqf3NaHA7XtFjf3Vy2N8v9cXX78r8Kf7HzvvrPkb30Y0Pzfgecf/Cwyz95ev7R4ekPX+Nb4Gf/828+/s//+oVf/MvhuNvdXPaL+4dPB22O16/7YXe4LHbLm/V2c7e8nPdv5EPAL/3swLRf3fv3Tx/ll/f00dNrMp9+99Ut//jf/PHHP/396//97M//4CUfBLuifX+5f/iHZE6La/tf4/9mdf2P8+3N5n592m1WL/90wVfx9x1vfJk//zL/Ip8JLV/5V/kI4GZz2p1uz4vN/fGaWMf9cXG4PW8W68NqfdmvNrebZQ+fCX35hw6m/cZ4058Svlz/un5zv7lZ7G/Xh2uTHXeL/f2V/eP+ZnNe7/bL86WLj6G89CMKQ31HvNmPoSzvtqvDeb9e3NznPx273S2uf5nfLi4358P9zXV/Xx1f/k9+vIGv8Vy/8PJmv8anu/PDP+Zxuzhcdg+f8N6fFnen5Wqx3e8uq9Vhdbu82ffwNZ7r117e8Ad/j4fVZbm8vwr98E9w3d0fHv4Rn+v/e7zsbm4vy8vl8vLt/A18jeeq8zf7NT7uDqf94XZ9/Sm83lw3tNuHD/Df3y5uD/fXvzbf7u5vXmE3fwNf47n6+w3/9Xh12t7v7paL9Wq5W2yWd6fFYXl3XOx2y9PyfFyvL3evv3N9Df+Qxq9uhb/pfzRre/X7uoivF9vj8m6xuT3vF8f1+Wax3W0Oy+P6sLn5OTa0r+EfzXrpB/6/8B1R/x8fFPZBYR8U9kHhF/x4HxT2QeEXf8mf/xt8UDh/XPsN9M333/vw8M57H/iw8MMM+kX0YeEX/piXfVj403X/VfbRuT8sfL4573c3u83i/u5yzc3L7eXhl3/vFzer83q/uuyPu9Uzf5l49GHh893dZndzs1wczw9/j+BwPiwOm/1ycb+6HI+r5Wq13z37ad9nPyy8vD/dHS7b1eIatw+/+/1usT/s7xa79c329nR3utsun/2w8mt8WHj9xX9taNsiu0e/5+t8WHj1zKdDfxkfFn7mb8W98oeFv/ftN/Bh4S/8QV7/w8Llv7zo31342Q/t5tPEuxf/C413X8m/0Xj3K/qvNN6fV9vV/nS72G0vpytSm/1i//DvMdmcHj5xtt7e7FaXFyH1df0rjXcv+HcaP/u1em1g1r9kX17h32n85f/SYv+CcyB8rSDsNpv1/v5qwXb18G+r2p7uF8f1ar1Y3+xv7raX8+Zu9Uv5d5zPDMIrLBxPVi/eLn61QVi9GIT1VwLC6lcThO3dzem0Wx8X2/Pt7WKzPO8Xh+PpZnG6LG9Ou4d/uOD2hRnztYGwfAEIj/8SMBQIr/CPKz78+8A/eElxvOjH1Mx4/KMmksGqoB1mWh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obx4IBC0g3bQDtrBqlCvoB3aU2dZFbQDELoFQTtoh/LigUDQDtpBO2gHq0K9gnZoT51lVdAOQOgWBO2gHcqLBwJBO2gH7aAdrAr1CtqhPXWWVUE7AKFbELSDdigvHggE7aAdtIN2sCrUK2iH9tRZVgXtAIRuQdAO2qG8eCAQtIN20A7awapQr6Ad2lNnWRW0AxC6BUE7aIfy4oFA0A7aQTtoB6tCvYJ2aE+dZVXQDkDoFgTtoB3KiwcCQTtoB+2gHawK9QraoT11llVBOwChWxC0g3YoLx4IBO2gHbSDdrAq1Ctoh/bUWVYF7QCEbkHQDtqhvHggELSDdtAO2sGqUK+gHdpTZ1kVtAMQugVBO2iH8uKBQNAO2kE7aAerQr2CdmhPnWVV0A5A6BYE7aAdyosHAkE7aAftoB2sCvUK2qE9dZZVQTsAoVsQtIN2KC8eCATtoB20g3awKtQraIf21FlWBe0AhG5B0A7a4f+zX8c0AAAgDMD8u+bgYBKA1AAZz7L2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t>
        </is>
      </c>
      <c r="DM6" s="0" t="inlineStr">
        <is>
          <t>ABC+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EOxX8c0AAAgDMD8u+bgYBKA1AAZz7Ky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t>
        </is>
      </c>
      <c r="DN6" s="0" t="inlineStr">
        <is>
          <t>ABC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t>
        </is>
      </c>
      <c r="DO6" s="0" t="inlineStr">
        <is>
          <t>AB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kKxX8c0AAAgDMD8u+bgYBKA1AAZz7Ky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t>
        </is>
      </c>
      <c r="DP6" s="0" t="inlineStr">
        <is>
          <t>ABC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odivYxoAABAGYP5dc3AwCUBqgIxnWdc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t>
        </is>
      </c>
      <c r="DQ6" s="0" t="inlineStr">
        <is>
          <t>ABC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UOzXMQ0AAAgDMP+uOTiYBCA1QMazrA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t>
        </is>
      </c>
      <c r="DR6" s="0" t="inlineStr">
        <is>
          <t>ABC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t>
        </is>
      </c>
      <c r="DS6" s="0" t="inlineStr">
        <is>
          <t>ABCwA4KYW0hsAM79MeHCoEd2IEd2MFUmAjskFe/TAV2UAhrC4Ed2KE/PlQI7MAO7MAOpsJEYIe8+mUqsINCWFsI7MAO/fGhQmAHdmAHdjAVJgI75NUvU4EdFMLaQmAHduiPDxUCO7ADO7CDqTAR2CGvfpkK7KAQ1hYCO7BDf3yoENiBHdiBHUyFicAOefXLVGAHhbC2ENiBHfrjQ4XADuzADuxgKkwEdsirX6YCOyiEtYXADuzQHx8qBHZgB3ZgB1NhIrBDXv0yFdhBIawtBHZgh/74UCGwAzuwAzuYChOBHfLql6nADgphbSGwAzv0x4cKgR3YgR3YwVSYCOyQV79MBXZQCGsLgR3YoT8+VAjswA7swA6mwkRgh7z6ZSqwg0JYWwjswA798aFCYAd2YAd2MBUmAjvk1S9TgR0UwtpCYAd26I8PFQI7sAM7sIOpMBHYIa9+mQrsoBDWFgI7sEN/fKgQ2IEd2IEdTIWJwA559ctUYAeFsLYQ2IEd+uNDhcAO7MAO7GAqTAR2yKtfpgI7KIS1hcAO7NAfHyoEdmAHdmAHU2EisENe/TIV2EEhrC0EdmCH/vhQIbADO7ADO5gKE4Ed8uqXqcAOCmFtIbADO/THhwqBHdiBHdjBVJgI7JBXv0wFdlAIawuBHdihPz5UCOzADuzADqbCRGCHvPplKrCDQlhbCOzADv3xoUJgB3ZgB3YwFSYCO+TVL1OBHRTC2kJgB3bojw8VAjuwAzuwg6kwEdghr36ZCuygENYWAjuwQ398qBDYgR3YgR1MhYnADnn1y1RgB4WwthDYgR3640OFwA7swA7sYCpMBHbIq1+mAjsohLWFwA7s0B8fKgR2YAd2YAdTYSKwQ179MhXYQSGsLQR2YIf++FAhsAM7sAM7mAoTgR3y6pepUOzXsQ0AAARFwf23Vij8EZBbQGheHD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t>
        </is>
      </c>
      <c r="DT6" s="0" t="inlineStr">
        <is>
          <t>ABC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QvrwI7CMLaILADO/TFh4LADuzADuzgVZgV2CGnfnkV2EEQ1gaBHdihLz4UBHZgB3ZgB6/CrMAOOfXLq8AOgrA2COzADn3xoSCwAzuwAzt4FWYFdsipX14FdhCEtUFgB3boiw8FgR3YgR3YwaswK7BDTv3yKrCDIKwNAjuwQ198KAjswA7swA5ehVmBHXLql1eBHQRhbRDYgR364kNBYAd2YAd28CrMCuyQU7+8CuwgCGuDwA7s0BcfCgI7sAM7sINXYVZgh5z65VVgB0FYGwR2YIe++FAQ2IEd2IEdvAqzAjvk1C+vAjsIwtogsAM79MWHgsAO7MAO7OBVmBXYIad+eRXYQRDWBoEd2KEvPhQEdmAHdmAHr8KswA459curwA6CsDYI7MAOffGhILADO7ADO3gVZgV2yKlfXgV2EIS1QWAHduiLDwWBHdiBHdjBqzArsENO/fIqsIMgrA0CO7BDX3woCOzADuzADl6FWYEdcuqXV4EdBGFtENiBHfriQ0FgB3ZgB3bwKswK7JBTv7wK7CAIa4PADuzQFx8KAjuwAzuwg1dhVmCHnPrlVWAHQVgbBHZgh774UBDYgR3YgR28CrMCO+TUL68COwjC2iCwAzv0xYeCwA7swA7s4FWYFdghp355FdhBENYGgR3YoS8+FAR2YAd2YAevwqzADjn1y6vADoKwNgjswA598aEgsAM7sAM7eBVmBXbIqV9eBXYQhLVBYAd26IsPBYEd2IEd2MGrMCuwQ0798iqwgyCsDQI7sENffCgI7MAO7MAOXoVZgR1y6pdXgR0EYW0Q2IEd+uJDQWAHdmAHdvAqzArskFO/vArsIAhrg8AO7NAXHwoCO7ADO7CDV2FWYIec+uVVYAdBWBsEdmCHvvhQENiBHdiBHbwKswI75NRiv45tAABCGIjtvzVFChgBkBd48c0p/j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t>
        </is>
      </c>
      <c r="DU6" s="0" t="inlineStr">
        <is>
          <t>ABC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wwX/0yFdhBENYGgR3YIT8+FAR2YAd2YAdToU9gh/nql6nADoKwNgjswA758aEgsAM7sAM7mAp9AjvMV79MBXYQhLVBYAd2yI8PBYEd2IEd2MFU6BPYYb76ZSqwgyCsDQI7sEN+fCgI7MAO7MAOpkKfwA7z1S9TgR0EYW0Q2IEd8uNDQWAHdmAHdjAV+gR2mK9+mQrsIAhrg8AO7JAfHwoCO7ADO7CDqdAnsMN89ctUYAdBWBsEdmCH/PhQENiBHdiBHUyFPoEd5qtfpgI7CMLaILADO+THh4LADuzADuxgKvQJ7DBf/TIV2EEQ1gaBHdghPz4UBHZgB3ZgB1OhT2CH+eqXqcAOgrA2COzADvnxoSCwAzuwAzuYCn0CO8xXv0wFdhCEtUFgB3bIjw8FgR3YgR3YwVToE9hhvvplKrCDIKwNAjuwQ358KAjswA7swA6mQp/ADvPVL1OBHQRhbRDYgR3y40NBYAd2YAd2MBX6BHaYr36ZCuwgCGuDwA7skB8fCgI7sAM7sIOp0Ceww3z1y1RgB0FYGwR2YIf8+FAQ2IEd2IEdTIU+gR3mq1+mAjsIwtogsAM75MeHgsAO7MAO7GAq9AnsMF/9MhXYQRDWBoEd2CE/PhQEdmAHdmAHU6FPYIf56pepwA6CsDYI7MAO+fGhILADO7ADO5gKfQI7zFe/TAV2EIS1QWAHdsiPDwWBHdiBHdjBVOgT2GG++mUqsIMgrA0CO7BDfnwoCOzADuzADqZCn8AO89UvU4EdBGFtENiBHfLjQ0FgB3ZgB3YwFfoEdpivfpkK7CAIa4PADuyQHx8KAjuwAzuwg6nQJ7DDfPXLVGAHQVgbBHZgh/z4UBDYgR3YgR1MhT6BHearX6YCOwjC2iCwAzvkx4eCwA7swA7sYCr0CexQ7dfByuaHVQbwvdB7KNlHkpCOZGmrUsFqSAuupHw6X6Q06cikVQQ3uim41gsQF7qK3ZVCizdjJN6Fk3mcnpM03RU85/DbDMP3fpw55/2/7zPPr0+9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t>
        </is>
      </c>
      <c r="DV6" s="0" t="inlineStr">
        <is>
          <t>ABC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2EFVqBXYoU+9UhXYQSCMDQR2YIdcvCgQ2IEd2IEdVIVagR361CtVgR0EwthAYAd2yMWLAoEd2IEd/t/tkL+8+hS+9u0fffjhw/O/fXne7//gsz+/+CH83K+8/Bj+6vv22u++9+5nK76Mg+89fu479dq7z5/95fOHD//gex988I3nzz766L3H97/17OnnNkte/V9WfWlO/emz599/9+GvHp//9u89vv/wow9++PIJfi6Sfvkrr96IV1+Ox6dP/+Lt9x9ff3jrrbdff/vJkzdef3j42tuvv/HknadvPn7tydP33/rle/fi2D//zrMfPnzwa9+LvPzyW98/JK9955tfeEtefQj+5NvvfvXvvvrHb373xX/Wn/z4F5/+x99/8tOPP/n5P3z6b//6Pz/+x9r1oz96EXVf/Pf+8KOvP398+P7TZ3/zgy++9OKr9I0XmfHZx+PJG69++OI78uqH77zz6odf+lTee/zw2V8/Pv3S1+5/KPqav/lH/l//+fF//9PPPv34J5/84p8//Zd//40847d+58uesUc84xG/6Rn/2mf8ld/6s/8F</t>
        </is>
      </c>
    </row>
    <row r="10">
      <c r="F10" s="0">
        <f>#REF!</f>
        <v/>
      </c>
      <c r="G10" s="0" t="inlineStr">
        <is>
          <t>0c1d5614-b719-4375-ab0b-c2eb36356630</t>
        </is>
      </c>
    </row>
    <row r="11">
      <c r="A11" s="1" t="n">
        <v>102</v>
      </c>
      <c r="F11" s="0">
        <f>#REF!</f>
        <v/>
      </c>
      <c r="G11" s="0" t="inlineStr">
        <is>
          <t>0ed1578d-c3d1-41cb-bf1a-0b8b16fe351b</t>
        </is>
      </c>
    </row>
    <row r="12">
      <c r="F12" s="0">
        <f>#REF!</f>
        <v/>
      </c>
      <c r="G12" s="0" t="inlineStr">
        <is>
          <t>26b6c32d-5456-4a6c-ac24-0404a9fd88c6</t>
        </is>
      </c>
    </row>
    <row r="13">
      <c r="F13" s="0">
        <f>#REF!</f>
        <v/>
      </c>
      <c r="G13" s="0" t="inlineStr">
        <is>
          <t>9d623d85-412f-4078-bd1e-abb140c171a2</t>
        </is>
      </c>
    </row>
    <row r="14">
      <c r="F14" s="0">
        <f>#REF!</f>
        <v/>
      </c>
      <c r="G14" s="0" t="inlineStr">
        <is>
          <t>db74efef-4f05-4c4b-8d14-9ebc7f4e763a</t>
        </is>
      </c>
    </row>
    <row r="15">
      <c r="A15" s="1" t="n">
        <v>34</v>
      </c>
      <c r="F15" s="0">
        <f>#REF!</f>
        <v/>
      </c>
      <c r="G15" s="0" t="inlineStr">
        <is>
          <t>689964e5-d5ce-4506-866e-828ad946c4bc</t>
        </is>
      </c>
      <c r="R15" s="0">
        <f>#REF!</f>
        <v/>
      </c>
      <c r="S15" s="0" t="inlineStr">
        <is>
          <t>4aa8172f-bebf-428a-9d40-18ed13d529d9</t>
        </is>
      </c>
    </row>
    <row r="16">
      <c r="F16" s="0">
        <f>#REF!</f>
        <v/>
      </c>
      <c r="G16" s="0" t="inlineStr">
        <is>
          <t>4959c36f-fd69-4143-8d60-2b90c61f6a4c</t>
        </is>
      </c>
      <c r="R16" s="0">
        <f>#REF!</f>
        <v/>
      </c>
      <c r="S16" s="0" t="inlineStr">
        <is>
          <t>dd1e28ba-81f1-40db-909c-26609433bb85</t>
        </is>
      </c>
    </row>
    <row r="17">
      <c r="F17" s="0">
        <f>#REF!</f>
        <v/>
      </c>
      <c r="G17" s="0" t="inlineStr">
        <is>
          <t>22571d99-3693-465f-ae30-2f43f1397d18</t>
        </is>
      </c>
      <c r="R17" s="0">
        <f>#REF!</f>
        <v/>
      </c>
      <c r="S17" s="0" t="inlineStr">
        <is>
          <t>b4884ca6-2039-4441-9b03-287adfed6a07</t>
        </is>
      </c>
    </row>
    <row r="18">
      <c r="F18" s="0">
        <f>#REF!</f>
        <v/>
      </c>
      <c r="G18" s="0" t="inlineStr">
        <is>
          <t>e4619576-8474-4cdc-8fc7-59e483ac3504</t>
        </is>
      </c>
      <c r="R18" s="0">
        <f>#REF!</f>
        <v/>
      </c>
      <c r="S18" s="0" t="inlineStr">
        <is>
          <t>28b6083d-dc79-4094-a62c-6b73750656e4</t>
        </is>
      </c>
    </row>
    <row r="19">
      <c r="F19" s="0">
        <f>#REF!</f>
        <v/>
      </c>
      <c r="G19" s="0" t="inlineStr">
        <is>
          <t>552c3f0d-69a9-4fa1-9be8-62c927f2e3cf</t>
        </is>
      </c>
      <c r="R19" s="0">
        <f>#REF!</f>
        <v/>
      </c>
      <c r="S19" s="0" t="inlineStr">
        <is>
          <t>13def8fe-7e41-41fa-b5a7-b6f1b2e2d8fa</t>
        </is>
      </c>
    </row>
    <row r="20">
      <c r="F20" s="0">
        <f>#REF!</f>
        <v/>
      </c>
      <c r="G20" s="0" t="inlineStr">
        <is>
          <t>5f0f71df-1c80-47fe-8049-01a984ad9c1d</t>
        </is>
      </c>
      <c r="R20" s="0">
        <f>#REF!</f>
        <v/>
      </c>
      <c r="S20" s="0" t="inlineStr">
        <is>
          <t>7afcc3d8-9f45-4912-8a96-e0d2b277a1be</t>
        </is>
      </c>
    </row>
    <row r="21">
      <c r="F21" s="0">
        <f>#REF!</f>
        <v/>
      </c>
      <c r="G21" s="0" t="inlineStr">
        <is>
          <t>a7470e28-4f68-4cf2-bf33-253f6b3c1c98</t>
        </is>
      </c>
      <c r="R21" s="0">
        <f>#REF!</f>
        <v/>
      </c>
      <c r="S21" s="0" t="inlineStr">
        <is>
          <t>6b56a18e-8d3e-445b-9a0e-09933a1e05eb</t>
        </is>
      </c>
    </row>
    <row r="22">
      <c r="F22" s="0">
        <f>#REF!</f>
        <v/>
      </c>
      <c r="G22" s="0" t="inlineStr">
        <is>
          <t>3b797bc9-8be6-4848-bbf3-33d143c5b8b3</t>
        </is>
      </c>
      <c r="R22" s="0">
        <f>#REF!</f>
        <v/>
      </c>
      <c r="S22" s="0" t="inlineStr">
        <is>
          <t>6208c3b6-26d8-435e-b99c-682effc18916</t>
        </is>
      </c>
    </row>
    <row r="23">
      <c r="F23" s="0">
        <f>#REF!</f>
        <v/>
      </c>
      <c r="G23" s="0" t="inlineStr">
        <is>
          <t>3ef6b9a5-3833-496b-b845-bf9f5db4d434</t>
        </is>
      </c>
      <c r="R23" s="0">
        <f>#REF!</f>
        <v/>
      </c>
      <c r="S23" s="0" t="inlineStr">
        <is>
          <t>e8846001-be3a-4aea-a491-d2fbb2122966</t>
        </is>
      </c>
    </row>
    <row r="24">
      <c r="F24" s="0">
        <f>#REF!</f>
        <v/>
      </c>
      <c r="G24" s="0" t="inlineStr">
        <is>
          <t>4ca549cb-037b-430c-aa51-380f5019b27d</t>
        </is>
      </c>
      <c r="R24" s="0">
        <f>#REF!</f>
        <v/>
      </c>
      <c r="S24" s="0" t="inlineStr">
        <is>
          <t>1dc8af52-c1ea-4ad6-9a98-63057c8c8513</t>
        </is>
      </c>
    </row>
    <row r="25">
      <c r="F25" s="0">
        <f>#REF!</f>
        <v/>
      </c>
      <c r="G25" s="0" t="inlineStr">
        <is>
          <t>fab660f9-dc4b-4b51-a6af-61035481fe90</t>
        </is>
      </c>
      <c r="R25" s="0">
        <f>#REF!</f>
        <v/>
      </c>
      <c r="S25" s="0" t="inlineStr">
        <is>
          <t>783e1890-b601-4298-aa18-6179e238c645</t>
        </is>
      </c>
    </row>
    <row r="26">
      <c r="F26" s="0">
        <f>#REF!</f>
        <v/>
      </c>
      <c r="G26" s="0" t="inlineStr">
        <is>
          <t>dbb84dfd-190c-45bb-902b-9e704d3c642c</t>
        </is>
      </c>
      <c r="R26" s="0">
        <f>#REF!</f>
        <v/>
      </c>
      <c r="S26" s="0" t="inlineStr">
        <is>
          <t>482e0bcd-32c9-4c96-b524-ce853ad5ee66</t>
        </is>
      </c>
    </row>
    <row r="27">
      <c r="F27" s="0">
        <f>#REF!</f>
        <v/>
      </c>
      <c r="G27" s="0" t="inlineStr">
        <is>
          <t>d44c6c7e-4db0-4b9b-a7e4-3a23f9247412</t>
        </is>
      </c>
      <c r="R27" s="0">
        <f>#REF!</f>
        <v/>
      </c>
      <c r="S27" s="0" t="inlineStr">
        <is>
          <t>e0fa5039-ad71-4881-b58b-304d7a53cd7e</t>
        </is>
      </c>
    </row>
    <row r="28">
      <c r="F28" s="0">
        <f>#REF!</f>
        <v/>
      </c>
      <c r="G28" s="0" t="inlineStr">
        <is>
          <t>f3800d40-973a-4cb6-9d51-b904e3691ef8</t>
        </is>
      </c>
      <c r="R28" s="0">
        <f>#REF!</f>
        <v/>
      </c>
      <c r="S28" s="0" t="inlineStr">
        <is>
          <t>625a02e1-5e82-41ef-b44c-1b268f3fe5d2</t>
        </is>
      </c>
    </row>
    <row r="29">
      <c r="F29" s="0">
        <f>#REF!</f>
        <v/>
      </c>
      <c r="G29" s="0" t="inlineStr">
        <is>
          <t>56073803-5b18-47e9-b3e0-564a1b3a40bb</t>
        </is>
      </c>
      <c r="R29" s="0">
        <f>#REF!</f>
        <v/>
      </c>
      <c r="S29" s="0" t="inlineStr">
        <is>
          <t>dcfdac53-b669-43c3-9157-026b15cd0915</t>
        </is>
      </c>
    </row>
    <row r="30">
      <c r="F30" s="0">
        <f>#REF!</f>
        <v/>
      </c>
      <c r="G30" s="0" t="inlineStr">
        <is>
          <t>52f0b29d-081d-4168-93bb-65e2ab693a66</t>
        </is>
      </c>
      <c r="R30" s="0">
        <f>#REF!</f>
        <v/>
      </c>
      <c r="S30" s="0" t="inlineStr">
        <is>
          <t>487d7efa-d6b4-4b0a-b9e7-b962353d8ecc</t>
        </is>
      </c>
    </row>
    <row r="31">
      <c r="F31" s="0">
        <f>#REF!</f>
        <v/>
      </c>
      <c r="G31" s="0" t="inlineStr">
        <is>
          <t>96a250db-1922-486b-a688-3a5361161662</t>
        </is>
      </c>
      <c r="R31" s="0">
        <f>'N.00 Lead sheet'!#REF!</f>
        <v/>
      </c>
      <c r="S31" s="0" t="inlineStr">
        <is>
          <t>18f18d6f-1d32-44e2-b5fc-a36f90976bb9</t>
        </is>
      </c>
    </row>
    <row r="32">
      <c r="F32" s="0">
        <f>#REF!</f>
        <v/>
      </c>
      <c r="G32" s="0" t="inlineStr">
        <is>
          <t>1852ae93-0d62-4256-b665-f0ead08452bb</t>
        </is>
      </c>
      <c r="R32" s="0">
        <f>'N.00 Lead sheet'!#REF!</f>
        <v/>
      </c>
      <c r="S32" s="0" t="inlineStr">
        <is>
          <t>ed82514b-5183-4b54-8d85-257a77ac1f54</t>
        </is>
      </c>
    </row>
    <row r="33">
      <c r="F33" s="0">
        <f>#REF!</f>
        <v/>
      </c>
      <c r="G33" s="0" t="inlineStr">
        <is>
          <t>c8e4a9f7-af6f-4f9c-8c12-596f22a27109</t>
        </is>
      </c>
      <c r="R33" s="0">
        <f>'N.00 Lead sheet'!#REF!</f>
        <v/>
      </c>
      <c r="S33" s="0" t="inlineStr">
        <is>
          <t>160fa604-87ef-4905-9773-31a2e9d26d94</t>
        </is>
      </c>
    </row>
    <row r="34">
      <c r="F34" s="0">
        <f>#REF!</f>
        <v/>
      </c>
      <c r="G34" s="0" t="inlineStr">
        <is>
          <t>6ba2f11d-9dd1-48da-ac2d-9bf607f1fff0</t>
        </is>
      </c>
      <c r="R34" s="0">
        <f>'N.00 Lead sheet'!#REF!</f>
        <v/>
      </c>
      <c r="S34" s="0" t="inlineStr">
        <is>
          <t>3b6dee10-70aa-4085-8c6b-95ffc977b79b</t>
        </is>
      </c>
    </row>
    <row r="35">
      <c r="F35" s="0">
        <f>#REF!</f>
        <v/>
      </c>
      <c r="G35" s="0" t="inlineStr">
        <is>
          <t>b6ac9a73-4f34-4b71-9bd7-7adcb676d02c</t>
        </is>
      </c>
    </row>
    <row r="36">
      <c r="F36" s="0">
        <f>#REF!</f>
        <v/>
      </c>
      <c r="G36" s="0" t="inlineStr">
        <is>
          <t>12c5d681-3216-418c-a18b-661c1eb33f88</t>
        </is>
      </c>
    </row>
    <row r="37">
      <c r="F37" s="0">
        <f>#REF!</f>
        <v/>
      </c>
      <c r="G37" s="0" t="inlineStr">
        <is>
          <t>234d2168-9826-4d25-ba37-ed08e1ae0aab</t>
        </is>
      </c>
    </row>
    <row r="38">
      <c r="F38" s="0">
        <f>#REF!</f>
        <v/>
      </c>
      <c r="G38" s="0" t="inlineStr">
        <is>
          <t>ce3b9236-86d6-40b5-8185-57af9fc4da99</t>
        </is>
      </c>
    </row>
    <row r="39">
      <c r="F39" s="0">
        <f>#REF!</f>
        <v/>
      </c>
      <c r="G39" s="0" t="inlineStr">
        <is>
          <t>c5708e83-e8f3-4c06-96cd-69e27a89637f</t>
        </is>
      </c>
    </row>
    <row r="40">
      <c r="F40" s="0">
        <f>#REF!</f>
        <v/>
      </c>
      <c r="G40" s="0" t="inlineStr">
        <is>
          <t>398ea5a8-6c4e-4358-b5d4-a1b87036c8fd</t>
        </is>
      </c>
    </row>
    <row r="41">
      <c r="F41" s="0">
        <f>#REF!</f>
        <v/>
      </c>
      <c r="G41" s="0" t="inlineStr">
        <is>
          <t>4bb7c75a-c80c-4144-8e6c-c754bf51b61f</t>
        </is>
      </c>
    </row>
    <row r="42">
      <c r="F42" s="0">
        <f>#REF!</f>
        <v/>
      </c>
      <c r="G42" s="0" t="inlineStr">
        <is>
          <t>b959fed2-9578-406a-b998-252b17674eda</t>
        </is>
      </c>
    </row>
    <row r="43">
      <c r="F43" s="0">
        <f>#REF!</f>
        <v/>
      </c>
      <c r="G43" s="0" t="inlineStr">
        <is>
          <t>22253777-cde4-4b5b-b981-ab79d68251ec</t>
        </is>
      </c>
    </row>
    <row r="44">
      <c r="F44" s="0">
        <f>#REF!</f>
        <v/>
      </c>
      <c r="G44" s="0" t="inlineStr">
        <is>
          <t>d6c05b82-167e-4305-b9e7-fd7bd6569c7f</t>
        </is>
      </c>
    </row>
    <row r="45">
      <c r="F45" s="0">
        <f>#REF!</f>
        <v/>
      </c>
      <c r="G45" s="0" t="inlineStr">
        <is>
          <t>dfb12828-0b5c-4f25-88f5-086a4fd07901</t>
        </is>
      </c>
    </row>
    <row r="46">
      <c r="F46" s="0">
        <f>#REF!</f>
        <v/>
      </c>
      <c r="G46" s="0" t="inlineStr">
        <is>
          <t>91b18949-d720-42b7-ad75-5b5db8f35567</t>
        </is>
      </c>
    </row>
    <row r="47">
      <c r="F47" s="0">
        <f>#REF!</f>
        <v/>
      </c>
      <c r="G47" s="0" t="inlineStr">
        <is>
          <t>1ca60eba-d2f9-465c-abf4-19096b1464d3</t>
        </is>
      </c>
    </row>
    <row r="48">
      <c r="F48" s="0">
        <f>#REF!</f>
        <v/>
      </c>
      <c r="G48" s="0" t="inlineStr">
        <is>
          <t>5157e35a-c93a-4995-b56d-c99b68f90981</t>
        </is>
      </c>
    </row>
    <row r="49">
      <c r="F49" s="0">
        <f>#REF!</f>
        <v/>
      </c>
      <c r="G49" s="0" t="inlineStr">
        <is>
          <t>464b96a0-8de1-41bc-80c3-11557c7b305a</t>
        </is>
      </c>
    </row>
    <row r="50">
      <c r="F50" s="0">
        <f>#REF!</f>
        <v/>
      </c>
      <c r="G50" s="0" t="inlineStr">
        <is>
          <t>179b73f8-59f8-4a8f-9190-efb2626873db</t>
        </is>
      </c>
    </row>
    <row r="51">
      <c r="F51" s="0">
        <f>#REF!</f>
        <v/>
      </c>
      <c r="G51" s="0" t="inlineStr">
        <is>
          <t>0a78da83-d4dc-4024-94e4-5f2854834912</t>
        </is>
      </c>
    </row>
    <row r="52">
      <c r="F52" s="0">
        <f>#REF!</f>
        <v/>
      </c>
      <c r="G52" s="0" t="inlineStr">
        <is>
          <t>ce39da16-2ab3-40a4-8095-f68c8bd26a2f</t>
        </is>
      </c>
    </row>
    <row r="53">
      <c r="F53" s="0">
        <f>#REF!</f>
        <v/>
      </c>
      <c r="G53" s="0" t="inlineStr">
        <is>
          <t>c74234c6-b84c-424f-9341-04c80799954a</t>
        </is>
      </c>
    </row>
    <row r="54">
      <c r="F54" s="0">
        <f>#REF!</f>
        <v/>
      </c>
      <c r="G54" s="0" t="inlineStr">
        <is>
          <t>b11b7060-e455-4e15-93b4-3ea59fe6ef4c</t>
        </is>
      </c>
    </row>
    <row r="55">
      <c r="F55" s="0">
        <f>'N.03 截止测试'!#REF!</f>
        <v/>
      </c>
      <c r="G55" s="0" t="inlineStr">
        <is>
          <t>7ab64df1-8648-4d27-bc11-4ec98def67e7</t>
        </is>
      </c>
    </row>
    <row r="56">
      <c r="F56" s="0">
        <f>'N.03 截止测试'!#REF!</f>
        <v/>
      </c>
      <c r="G56" s="0" t="inlineStr">
        <is>
          <t>eb387db5-811b-4cc5-b5cd-6df3e675c8d8</t>
        </is>
      </c>
    </row>
    <row r="57">
      <c r="F57" s="0">
        <f>'N.03 截止测试'!#REF!</f>
        <v/>
      </c>
      <c r="G57" s="0" t="inlineStr">
        <is>
          <t>d3ef5377-fe87-4dbc-8b00-7b00cced4b79</t>
        </is>
      </c>
    </row>
    <row r="58">
      <c r="F58" s="0">
        <f>'N.03 截止测试'!#REF!</f>
        <v/>
      </c>
      <c r="G58" s="0" t="inlineStr">
        <is>
          <t>8cd0b9dd-d09e-46cb-9099-543bd4d79a77</t>
        </is>
      </c>
    </row>
    <row r="59">
      <c r="F59" s="0">
        <f>'N.03 截止测试'!#REF!</f>
        <v/>
      </c>
      <c r="G59" s="0" t="inlineStr">
        <is>
          <t>f94f06a5-6a73-491c-865a-631536d6729f</t>
        </is>
      </c>
    </row>
    <row r="60">
      <c r="F60" s="0">
        <f>'N.03 截止测试'!#REF!</f>
        <v/>
      </c>
      <c r="G60" s="0" t="inlineStr">
        <is>
          <t>d80419ce-33eb-433e-b73d-6b70774a566f</t>
        </is>
      </c>
    </row>
    <row r="61">
      <c r="F61" s="0">
        <f>'N.03 截止测试'!#REF!</f>
        <v/>
      </c>
      <c r="G61" s="0" t="inlineStr">
        <is>
          <t>aa9ecb0d-ec47-4302-8b8d-6a79bc8f1456</t>
        </is>
      </c>
    </row>
    <row r="62">
      <c r="F62" s="0">
        <f>'N.03 截止测试'!#REF!</f>
        <v/>
      </c>
      <c r="G62" s="0" t="inlineStr">
        <is>
          <t>e54c2393-2c15-4937-bf5b-20252c488fd6</t>
        </is>
      </c>
    </row>
    <row r="63">
      <c r="F63" s="0">
        <f>'N.03 截止测试'!#REF!</f>
        <v/>
      </c>
      <c r="G63" s="0" t="inlineStr">
        <is>
          <t>ff4fb21f-8e41-4fd4-83c9-e1c4ffc8c99f</t>
        </is>
      </c>
    </row>
    <row r="64">
      <c r="F64" s="0">
        <f>'N.03 截止测试'!#REF!</f>
        <v/>
      </c>
      <c r="G64" s="0" t="inlineStr">
        <is>
          <t>cccd48d4-51b8-466e-a206-ce9be336f22a</t>
        </is>
      </c>
    </row>
    <row r="65">
      <c r="F65" s="0">
        <f>'N.03 截止测试'!#REF!</f>
        <v/>
      </c>
      <c r="G65" s="0" t="inlineStr">
        <is>
          <t>6dac5168-7b11-43cf-a281-c691dd1b8b44</t>
        </is>
      </c>
    </row>
    <row r="66">
      <c r="F66" s="0">
        <f>'N.03 截止测试'!#REF!</f>
        <v/>
      </c>
      <c r="G66" s="0" t="inlineStr">
        <is>
          <t>3f8cafd9-360f-4a34-bf6c-121509c03887</t>
        </is>
      </c>
    </row>
    <row r="67">
      <c r="F67" s="0">
        <f>'N.03 截止测试'!#REF!</f>
        <v/>
      </c>
      <c r="G67" s="0" t="inlineStr">
        <is>
          <t>2b145555-bd79-47b3-856b-259185c383b0</t>
        </is>
      </c>
    </row>
    <row r="68">
      <c r="F68" s="0">
        <f>'N.03 截止测试'!#REF!</f>
        <v/>
      </c>
      <c r="G68" s="0" t="inlineStr">
        <is>
          <t>3a7d64c9-f994-4354-b225-7503e738bbb0</t>
        </is>
      </c>
    </row>
    <row r="69">
      <c r="F69" s="0">
        <f>'N.03 截止测试'!#REF!</f>
        <v/>
      </c>
      <c r="G69" s="0" t="inlineStr">
        <is>
          <t>5683dff8-3224-41af-89a5-5118db40f95f</t>
        </is>
      </c>
    </row>
    <row r="70">
      <c r="F70" s="0">
        <f>'N.03 截止测试'!#REF!</f>
        <v/>
      </c>
      <c r="G70" s="0" t="inlineStr">
        <is>
          <t>922e077f-92f9-4f4f-93ac-8a5689fc02e7</t>
        </is>
      </c>
    </row>
    <row r="71">
      <c r="F71" s="0">
        <f>'N.03 截止测试'!#REF!</f>
        <v/>
      </c>
      <c r="G71" s="0" t="inlineStr">
        <is>
          <t>ead358eb-a4c9-4e01-a638-03513e38a2b5</t>
        </is>
      </c>
    </row>
    <row r="72">
      <c r="F72" s="0">
        <f>'N.03 截止测试'!#REF!</f>
        <v/>
      </c>
      <c r="G72" s="0" t="inlineStr">
        <is>
          <t>bbd0705c-b00c-40ce-9065-119b84dd71be</t>
        </is>
      </c>
    </row>
    <row r="73">
      <c r="F73" s="0">
        <f>'N.03 截止测试'!#REF!</f>
        <v/>
      </c>
      <c r="G73" s="0" t="inlineStr">
        <is>
          <t>5c30ae2d-6d41-4ff8-a411-5f897ce61216</t>
        </is>
      </c>
    </row>
    <row r="74">
      <c r="F74" s="0">
        <f>'N.03 截止测试'!#REF!</f>
        <v/>
      </c>
      <c r="G74" s="0" t="inlineStr">
        <is>
          <t>c7c9a683-e94f-40fb-9572-0dd3dc50115d</t>
        </is>
      </c>
    </row>
    <row r="75">
      <c r="F75" s="0">
        <f>'N.03 截止测试'!#REF!</f>
        <v/>
      </c>
      <c r="G75" s="0" t="inlineStr">
        <is>
          <t>3af9b26d-d651-4ee2-8874-8f2890688466</t>
        </is>
      </c>
    </row>
    <row r="76">
      <c r="F76" s="0">
        <f>'N.03 截止测试'!#REF!</f>
        <v/>
      </c>
      <c r="G76" s="0" t="inlineStr">
        <is>
          <t>b3fd2119-e7f3-4c28-99f2-486a798d345a</t>
        </is>
      </c>
    </row>
    <row r="77">
      <c r="F77" s="0">
        <f>'N.03 截止测试'!#REF!</f>
        <v/>
      </c>
      <c r="G77" s="0" t="inlineStr">
        <is>
          <t>0e003c5b-4188-463b-86f8-0690cf0046be</t>
        </is>
      </c>
    </row>
    <row r="78">
      <c r="F78" s="0">
        <f>'N.03 截止测试'!#REF!</f>
        <v/>
      </c>
      <c r="G78" s="0" t="inlineStr">
        <is>
          <t>a700e625-bc68-41da-ba2a-126ace1f25a8</t>
        </is>
      </c>
    </row>
    <row r="79">
      <c r="F79" s="0">
        <f>'N.03 截止测试'!#REF!</f>
        <v/>
      </c>
      <c r="G79" s="0" t="inlineStr">
        <is>
          <t>d5361656-61c6-49cb-9b7b-6c0d3a8bb1ad</t>
        </is>
      </c>
    </row>
    <row r="80">
      <c r="F80" s="0">
        <f>'N.03 截止测试'!#REF!</f>
        <v/>
      </c>
      <c r="G80" s="0" t="inlineStr">
        <is>
          <t>f0a1fe97-7dfa-4c80-9f52-903af60dbd35</t>
        </is>
      </c>
    </row>
    <row r="81">
      <c r="F81" s="0">
        <f>#REF!</f>
        <v/>
      </c>
      <c r="G81" s="0" t="inlineStr">
        <is>
          <t>79325a34-d3dc-45f4-b760-86d0a32c8362</t>
        </is>
      </c>
    </row>
    <row r="82">
      <c r="F82" s="0">
        <f>'N.03 截止测试'!#REF!</f>
        <v/>
      </c>
      <c r="G82" s="0" t="inlineStr">
        <is>
          <t>11be7677-adc9-4c5f-8af6-c4f076353d07</t>
        </is>
      </c>
    </row>
    <row r="93">
      <c r="F93" s="0">
        <f>'N.00 Lead sheet'!#REF!</f>
        <v/>
      </c>
      <c r="G93" s="0" t="inlineStr">
        <is>
          <t>a8b58c94-90d7-4151-8c57-b0a0967486af</t>
        </is>
      </c>
    </row>
    <row r="94">
      <c r="F94" s="0">
        <f>'N.00 Lead sheet'!#REF!</f>
        <v/>
      </c>
      <c r="G94" s="0" t="inlineStr">
        <is>
          <t>82ce88dd-6a81-4332-bc06-8e54af5df5b0</t>
        </is>
      </c>
    </row>
    <row r="95">
      <c r="F95" s="0">
        <f>'N.00 Lead sheet'!#REF!</f>
        <v/>
      </c>
      <c r="G95" s="0" t="inlineStr">
        <is>
          <t>d8095dab-7f4c-4fe2-b664-7afb72f59298</t>
        </is>
      </c>
    </row>
    <row r="96">
      <c r="F96" s="0">
        <f>'N.00 Lead sheet'!#REF!</f>
        <v/>
      </c>
      <c r="G96" s="0" t="inlineStr">
        <is>
          <t>02c11b5a-74b7-48fb-9c42-a65c5c295b27</t>
        </is>
      </c>
    </row>
    <row r="97">
      <c r="F97" s="0">
        <f>'N.00 Lead sheet'!#REF!</f>
        <v/>
      </c>
      <c r="G97" s="0" t="inlineStr">
        <is>
          <t>4755e4f9-4374-4bed-a644-22c547cfecb0</t>
        </is>
      </c>
    </row>
    <row r="98">
      <c r="F98" s="0">
        <f>'N.00 Lead sheet'!#REF!</f>
        <v/>
      </c>
      <c r="G98" s="0" t="inlineStr">
        <is>
          <t>e3f4373d-e874-467d-b378-40e6f5c59aeb</t>
        </is>
      </c>
    </row>
    <row r="99">
      <c r="F99" s="0">
        <f>'N.00 Lead sheet'!#REF!</f>
        <v/>
      </c>
      <c r="G99" s="0" t="inlineStr">
        <is>
          <t>2bfe7a7a-63fa-4a68-937a-345381c69512</t>
        </is>
      </c>
    </row>
    <row r="100">
      <c r="F100" s="0">
        <f>'N.00 Lead sheet'!#REF!</f>
        <v/>
      </c>
      <c r="G100" s="0" t="inlineStr">
        <is>
          <t>93c05a6b-293f-442f-9ad0-41f3846507e2</t>
        </is>
      </c>
    </row>
    <row r="101">
      <c r="F101" s="0">
        <f>'N.00 Lead sheet'!#REF!</f>
        <v/>
      </c>
      <c r="G101" s="0" t="inlineStr">
        <is>
          <t>07290702-d941-425d-8b91-723fedf780a7</t>
        </is>
      </c>
    </row>
    <row r="102">
      <c r="F102" s="0">
        <f>'N.00 Lead sheet'!#REF!</f>
        <v/>
      </c>
      <c r="G102" s="0" t="inlineStr">
        <is>
          <t>b1982b0b-39b0-4f86-8496-bdf572cac346</t>
        </is>
      </c>
    </row>
  </sheetData>
  <pageMargins left="0.7" right="0.7" top="0.75" bottom="0.75" header="0.3" footer="0.3"/>
  <pageSetup orientation="portrait"/>
</worksheet>
</file>

<file path=xl/worksheets/sheet9.xml><?xml version="1.0" encoding="utf-8"?>
<worksheet xmlns="http://schemas.openxmlformats.org/spreadsheetml/2006/main">
  <sheetPr>
    <outlinePr summaryBelow="1" summaryRight="1"/>
    <pageSetUpPr/>
  </sheetPr>
  <dimension ref="A1:AV8"/>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fa3cbc80-6baa-4302-8a87-f7fb63c17ca5</t>
        </is>
      </c>
      <c r="B1" s="0" t="inlineStr">
        <is>
          <t>VZTN83DQ0PNV1SC86TPFW2CC99KYK2XZ14KACGNDYCRQJ22XYD90</t>
        </is>
      </c>
      <c r="C1" s="0" t="inlineStr">
        <is>
          <t>Tony XD Dong</t>
        </is>
      </c>
      <c r="D1" s="0" t="n">
        <v>7</v>
      </c>
      <c r="E1" s="0" t="n">
        <v>1750122331480</v>
      </c>
      <c r="F1" s="0" t="inlineStr">
        <is>
          <t>YG0DNYWJ8NZCWJNY2PCG8613MM6FEXYYHF70GAHMCNX0Q9Y2QFBG</t>
        </is>
      </c>
      <c r="G1" s="0" t="inlineStr">
        <is>
          <t>Danny YF Deng</t>
        </is>
      </c>
      <c r="H1" s="0" t="n">
        <v>0</v>
      </c>
      <c r="I1" s="0" t="n">
        <v>1751610980233</v>
      </c>
      <c r="J1" s="0" t="inlineStr">
        <is>
          <t>K5ZAXJ2E9XP125K3V6VCZ229PXMT9QCYE231BYVH63CK85DC0770</t>
        </is>
      </c>
      <c r="K1" s="0" t="inlineStr">
        <is>
          <t>Margo Bo</t>
        </is>
      </c>
      <c r="L1" s="0" t="n">
        <v>0</v>
      </c>
      <c r="M1" s="0" t="n">
        <v>1752894159861</v>
      </c>
      <c r="N1" s="0" t="inlineStr">
        <is>
          <t>G7KX5FMG1R3QH83GQBFZHN3Z9N294HNAAMSW34CTJT51MC4J8R8G</t>
        </is>
      </c>
      <c r="O1" s="0" t="inlineStr">
        <is>
          <t>Barry B Li</t>
        </is>
      </c>
      <c r="P1" s="0" t="n">
        <v>0</v>
      </c>
      <c r="Q1" s="0" t="n">
        <v>1753064493301</v>
      </c>
      <c r="R1" s="0" t="inlineStr">
        <is>
          <t>Q775XYNM7JGDVAMWSN3NR5KKNQM5NY4YPDM7W5EXVBGM3AB475NG</t>
        </is>
      </c>
      <c r="S1" s="0" t="inlineStr">
        <is>
          <t>Maikey Jin</t>
        </is>
      </c>
      <c r="T1" s="0" t="n">
        <v>0</v>
      </c>
      <c r="U1" s="0" t="n">
        <v>1753670870641</v>
      </c>
      <c r="V1" s="0" t="inlineStr">
        <is>
          <t>NJCBKWVS3J4F3HCA2MJBBCQ6HKD0ZSBEP3AX4S89TK4M9EY3DH60</t>
        </is>
      </c>
      <c r="W1" s="0" t="inlineStr">
        <is>
          <t>Phoebe YH Wang</t>
        </is>
      </c>
      <c r="X1" s="0" t="n">
        <v>0</v>
      </c>
      <c r="Y1" s="0" t="n">
        <v>1753929300694</v>
      </c>
      <c r="Z1" s="0" t="inlineStr">
        <is>
          <t>9QKVRYJWFZ38Q15SSC9F8R37HJH3965E74F5R92CN1PGMMZQECQ0</t>
        </is>
      </c>
      <c r="AA1" s="0" t="inlineStr">
        <is>
          <t>Dan Y Yao</t>
        </is>
      </c>
      <c r="AB1" s="0" t="n">
        <v>0</v>
      </c>
      <c r="AC1" s="0" t="n">
        <v>1754231570087</v>
      </c>
      <c r="AD1" s="0" t="inlineStr">
        <is>
          <t>T5WMV5MGJB59WZ0K302MPWMWM5G98C28W9B39WCZBPJXG5847NB0</t>
        </is>
      </c>
      <c r="AE1" s="0" t="inlineStr">
        <is>
          <t>Grace YT Dai</t>
        </is>
      </c>
      <c r="AF1" s="0" t="n">
        <v>0</v>
      </c>
      <c r="AG1" s="0" t="n">
        <v>1754622215229</v>
      </c>
      <c r="AH1" s="0" t="inlineStr">
        <is>
          <t>MQFDQD6SPH3FMJP2N0PQQ3N4PZ6XNH4T373A7HWSDE5TZ4A7V1DG</t>
        </is>
      </c>
      <c r="AI1" s="0" t="inlineStr">
        <is>
          <t>Zelda Zhang</t>
        </is>
      </c>
      <c r="AJ1" s="0" t="n">
        <v>0</v>
      </c>
      <c r="AK1" s="0" t="n">
        <v>1754908369003</v>
      </c>
      <c r="AL1" s="0" t="inlineStr">
        <is>
          <t>6MHDXJSY0EZ4FTY38FAWS1RBQMJ5SQF0K82YD6H5SGJP9T080D20</t>
        </is>
      </c>
      <c r="AM1" s="0" t="inlineStr">
        <is>
          <t>Esther WY Wang</t>
        </is>
      </c>
      <c r="AN1" s="0" t="n">
        <v>0</v>
      </c>
      <c r="AO1" s="0" t="n">
        <v>1755583113654</v>
      </c>
      <c r="AP1" s="0" t="inlineStr">
        <is>
          <t>ESRXDMFF301213JT3ZH9F7ZDSK4QQHFF3A9ZCB0821P05Y900W90</t>
        </is>
      </c>
      <c r="AQ1" s="0" t="inlineStr">
        <is>
          <t>Alina Ye</t>
        </is>
      </c>
      <c r="AR1" s="0" t="n">
        <v>0</v>
      </c>
      <c r="AS1" s="0" t="n">
        <v>1755843303948</v>
      </c>
      <c r="AT1" s="0" t="inlineStr">
        <is>
          <t>1P2X1MX3XYWCZ8E2MX2Y07YGB3MV287QRPBD8BFP4A63CGJFS7B0</t>
        </is>
      </c>
      <c r="AU1" s="0" t="inlineStr">
        <is>
          <t>Evelyn Z Zhao</t>
        </is>
      </c>
      <c r="AV1" s="0" t="n">
        <v>0</v>
      </c>
    </row>
    <row r="2">
      <c r="A2" s="0" t="n">
        <v>1748585561355</v>
      </c>
      <c r="B2" s="0" t="inlineStr">
        <is>
          <t>Create</t>
        </is>
      </c>
      <c r="C2" s="0" t="inlineStr">
        <is>
          <t>e7785d87-b682-482e-a159-fe0e639e953f</t>
        </is>
      </c>
      <c r="D2" s="0" t="inlineStr">
        <is>
          <t>{"id":"e7785d87-b682-482e-a159-fe0e639e953f","type":1,"name":"workbookId","value":"c21f929e-0173-4ea4-a1cf-db50a5afa408"}</t>
        </is>
      </c>
    </row>
    <row r="3">
      <c r="A3" s="0" t="n">
        <v>1748585561356</v>
      </c>
      <c r="B3" s="0" t="inlineStr">
        <is>
          <t>Create</t>
        </is>
      </c>
      <c r="C3" s="0" t="inlineStr">
        <is>
          <t>1876fc14-bd5a-44ec-911a-255e9e63e861</t>
        </is>
      </c>
      <c r="D3" s="0" t="inlineStr">
        <is>
          <t>{"id":"1876fc14-bd5a-44ec-911a-255e9e63e861","type":0,"name":"dataSnipperSheetDeleted","value":"false"}</t>
        </is>
      </c>
    </row>
    <row r="4">
      <c r="A4" s="0" t="n">
        <v>1748585561356</v>
      </c>
      <c r="B4" s="0" t="inlineStr">
        <is>
          <t>Create</t>
        </is>
      </c>
      <c r="C4" s="0" t="inlineStr">
        <is>
          <t>a39a968e-c881-4c8e-97b4-ebceef18d2a2</t>
        </is>
      </c>
      <c r="D4" s="0" t="inlineStr">
        <is>
          <t>{"id":"a39a968e-c881-4c8e-97b4-ebceef18d2a2","type":0,"name":"embed-documents","value":"false"}</t>
        </is>
      </c>
    </row>
    <row r="5">
      <c r="A5" s="0" t="n">
        <v>1748585561356</v>
      </c>
      <c r="B5" s="0" t="inlineStr">
        <is>
          <t>Create</t>
        </is>
      </c>
      <c r="C5" s="0" t="inlineStr">
        <is>
          <t>c7d281ae-769b-4ecb-96a6-e3a5ac273429</t>
        </is>
      </c>
      <c r="D5" s="0" t="inlineStr">
        <is>
          <t>{"id":"c7d281ae-769b-4ecb-96a6-e3a5ac273429","type":0,"name":"table-snip-suggestions","value":"true"}</t>
        </is>
      </c>
    </row>
    <row r="6">
      <c r="A6" s="0" t="n">
        <v>1748585561356</v>
      </c>
      <c r="B6" s="0" t="inlineStr">
        <is>
          <t>Create</t>
        </is>
      </c>
      <c r="C6" s="0" t="inlineStr">
        <is>
          <t>c4ce4c64-519b-4c7d-a240-ff0aa00e17bd</t>
        </is>
      </c>
      <c r="D6" s="0" t="inlineStr">
        <is>
          <t>{"id":"c4ce4c64-519b-4c7d-a240-ff0aa00e17bd","type":1,"name":"migratedFssProjectId","value":""}</t>
        </is>
      </c>
    </row>
    <row r="7">
      <c r="A7" s="0" t="n">
        <v>1748585561364</v>
      </c>
      <c r="B7" s="0" t="inlineStr">
        <is>
          <t>Create</t>
        </is>
      </c>
      <c r="C7" s="0" t="inlineStr">
        <is>
          <t>e7785d87-b682-482e-a159-fe0e639e953f</t>
        </is>
      </c>
      <c r="D7" s="0" t="inlineStr">
        <is>
          <t>{"id":"e7785d87-b682-482e-a159-fe0e639e953f","type":1,"name":"workbookId","value":"2467d5f5-7552-4c0e-859f-558468e903dc"}</t>
        </is>
      </c>
    </row>
    <row r="8">
      <c r="A8" s="0" t="n">
        <v>1748585561365</v>
      </c>
      <c r="B8" s="0" t="inlineStr">
        <is>
          <t>Create</t>
        </is>
      </c>
      <c r="C8" s="0" t="inlineStr">
        <is>
          <t>a39a968e-c881-4c8e-97b4-ebceef18d2a2</t>
        </is>
      </c>
      <c r="D8" s="0" t="inlineStr">
        <is>
          <t>{"id":"a39a968e-c881-4c8e-97b4-ebceef18d2a2","type":0,"name":"embed-documents","value":"true"}</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ffd713b1-9af1-48a2-8863-2da7898409aa</t>
        </is>
      </c>
      <c r="B1" s="0" t="inlineStr">
        <is>
          <t>VZTN83DQ0PNV1SC86TPFW2CC99KYK2XZ14KACGNDYCRQJ22XYD90</t>
        </is>
      </c>
      <c r="C1" s="0" t="inlineStr">
        <is>
          <t>Tony XD Dong</t>
        </is>
      </c>
      <c r="D1" s="0" t="n">
        <v>0</v>
      </c>
      <c r="E1" s="0" t="n">
        <v>1750122332471</v>
      </c>
      <c r="F1" s="0" t="inlineStr">
        <is>
          <t>YG0DNYWJ8NZCWJNY2PCG8613MM6FEXYYHF70GAHMCNX0Q9Y2QFBG</t>
        </is>
      </c>
      <c r="G1" s="0" t="inlineStr">
        <is>
          <t>Danny YF Deng</t>
        </is>
      </c>
      <c r="H1" s="0" t="n">
        <v>0</v>
      </c>
      <c r="I1" s="0" t="n">
        <v>1751610980273</v>
      </c>
      <c r="J1" s="0" t="inlineStr">
        <is>
          <t>K5ZAXJ2E9XP125K3V6VCZ229PXMT9QCYE231BYVH63CK85DC0770</t>
        </is>
      </c>
      <c r="K1" s="0" t="inlineStr">
        <is>
          <t>Margo Bo</t>
        </is>
      </c>
      <c r="L1" s="0" t="n">
        <v>0</v>
      </c>
      <c r="M1" s="0" t="n">
        <v>1752894160249</v>
      </c>
      <c r="N1" s="0" t="inlineStr">
        <is>
          <t>G7KX5FMG1R3QH83GQBFZHN3Z9N294HNAAMSW34CTJT51MC4J8R8G</t>
        </is>
      </c>
      <c r="O1" s="0" t="inlineStr">
        <is>
          <t>Barry B Li</t>
        </is>
      </c>
      <c r="P1" s="0" t="n">
        <v>0</v>
      </c>
      <c r="Q1" s="0" t="n">
        <v>1753064494156</v>
      </c>
      <c r="R1" s="0" t="inlineStr">
        <is>
          <t>Q775XYNM7JGDVAMWSN3NR5KKNQM5NY4YPDM7W5EXVBGM3AB475NG</t>
        </is>
      </c>
      <c r="S1" s="0" t="inlineStr">
        <is>
          <t>Maikey Jin</t>
        </is>
      </c>
      <c r="T1" s="0" t="n">
        <v>0</v>
      </c>
      <c r="U1" s="0" t="n">
        <v>1753670870723</v>
      </c>
      <c r="V1" s="0" t="inlineStr">
        <is>
          <t>NJCBKWVS3J4F3HCA2MJBBCQ6HKD0ZSBEP3AX4S89TK4M9EY3DH60</t>
        </is>
      </c>
      <c r="W1" s="0" t="inlineStr">
        <is>
          <t>Phoebe YH Wang</t>
        </is>
      </c>
      <c r="X1" s="0" t="n">
        <v>0</v>
      </c>
      <c r="Y1" s="0" t="n">
        <v>1753929300761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1754622215241</v>
      </c>
      <c r="AH1" s="0" t="inlineStr">
        <is>
          <t>MQFDQD6SPH3FMJP2N0PQQ3N4PZ6XNH4T373A7HWSDE5TZ4A7V1DG</t>
        </is>
      </c>
      <c r="AI1" s="0" t="inlineStr">
        <is>
          <t>Zelda Zhang</t>
        </is>
      </c>
      <c r="AJ1" s="0" t="n">
        <v>0</v>
      </c>
      <c r="AK1" s="0" t="n">
        <v>1754908369170</v>
      </c>
      <c r="AL1" s="0" t="inlineStr">
        <is>
          <t>6MHDXJSY0EZ4FTY38FAWS1RBQMJ5SQF0K82YD6H5SGJP9T080D20</t>
        </is>
      </c>
      <c r="AM1" s="0" t="inlineStr">
        <is>
          <t>Esther WY Wang</t>
        </is>
      </c>
      <c r="AN1" s="0" t="n">
        <v>0</v>
      </c>
      <c r="AO1" s="0" t="n">
        <v>1755583113685</v>
      </c>
      <c r="AP1" s="0" t="inlineStr">
        <is>
          <t>ESRXDMFF301213JT3ZH9F7ZDSK4QQHFF3A9ZCB0821P05Y900W90</t>
        </is>
      </c>
      <c r="AQ1" s="0" t="inlineStr">
        <is>
          <t>Alina Ye</t>
        </is>
      </c>
      <c r="AR1" s="0" t="n">
        <v>0</v>
      </c>
      <c r="AS1" s="0" t="n">
        <v>1755843304072</v>
      </c>
      <c r="AT1" s="0" t="inlineStr">
        <is>
          <t>1P2X1MX3XYWCZ8E2MX2Y07YGB3MV287QRPBD8BFP4A63CGJFS7B0</t>
        </is>
      </c>
      <c r="AU1" s="0" t="inlineStr">
        <is>
          <t>Evelyn Z Zhao</t>
        </is>
      </c>
      <c r="AV1" s="0" t="n">
        <v>0</v>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274beda0-5518-436e-b3b2-259f5e17eca4</t>
        </is>
      </c>
      <c r="B1" s="0" t="inlineStr">
        <is>
          <t>VZTN83DQ0PNV1SC86TPFW2CC99KYK2XZ14KACGNDYCRQJ22XYD90</t>
        </is>
      </c>
      <c r="C1" s="0" t="inlineStr">
        <is>
          <t>Tony XD Dong</t>
        </is>
      </c>
      <c r="D1" s="0" t="n">
        <v>0</v>
      </c>
      <c r="E1" s="0" t="n">
        <v>1750122332538</v>
      </c>
      <c r="F1" s="0" t="inlineStr">
        <is>
          <t>YG0DNYWJ8NZCWJNY2PCG8613MM6FEXYYHF70GAHMCNX0Q9Y2QFBG</t>
        </is>
      </c>
      <c r="G1" s="0" t="inlineStr">
        <is>
          <t>Danny YF Deng</t>
        </is>
      </c>
      <c r="H1" s="0" t="n">
        <v>0</v>
      </c>
      <c r="I1" s="0" t="n">
        <v>1751610980289</v>
      </c>
      <c r="J1" s="0" t="inlineStr">
        <is>
          <t>K5ZAXJ2E9XP125K3V6VCZ229PXMT9QCYE231BYVH63CK85DC0770</t>
        </is>
      </c>
      <c r="K1" s="0" t="inlineStr">
        <is>
          <t>Margo Bo</t>
        </is>
      </c>
      <c r="L1" s="0" t="n">
        <v>0</v>
      </c>
      <c r="M1" s="0" t="n">
        <v>1752894160287</v>
      </c>
      <c r="N1" s="0" t="inlineStr">
        <is>
          <t>G7KX5FMG1R3QH83GQBFZHN3Z9N294HNAAMSW34CTJT51MC4J8R8G</t>
        </is>
      </c>
      <c r="O1" s="0" t="inlineStr">
        <is>
          <t>Barry B Li</t>
        </is>
      </c>
      <c r="P1" s="0" t="n">
        <v>0</v>
      </c>
      <c r="Q1" s="0" t="n">
        <v>1753064494161</v>
      </c>
      <c r="R1" s="0" t="inlineStr">
        <is>
          <t>Q775XYNM7JGDVAMWSN3NR5KKNQM5NY4YPDM7W5EXVBGM3AB475NG</t>
        </is>
      </c>
      <c r="S1" s="0" t="inlineStr">
        <is>
          <t>Maikey Jin</t>
        </is>
      </c>
      <c r="T1" s="0" t="n">
        <v>0</v>
      </c>
      <c r="U1" s="0" t="n">
        <v>1753670871023</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1754622215247</v>
      </c>
      <c r="AH1" s="0" t="inlineStr">
        <is>
          <t>MQFDQD6SPH3FMJP2N0PQQ3N4PZ6XNH4T373A7HWSDE5TZ4A7V1DG</t>
        </is>
      </c>
      <c r="AI1" s="0" t="inlineStr">
        <is>
          <t>Zelda Zhang</t>
        </is>
      </c>
      <c r="AJ1" s="0" t="n">
        <v>0</v>
      </c>
      <c r="AK1" s="0" t="n">
        <v>1754908369250</v>
      </c>
      <c r="AL1" s="0" t="inlineStr">
        <is>
          <t>6MHDXJSY0EZ4FTY38FAWS1RBQMJ5SQF0K82YD6H5SGJP9T080D20</t>
        </is>
      </c>
      <c r="AM1" s="0" t="inlineStr">
        <is>
          <t>Esther WY Wang</t>
        </is>
      </c>
      <c r="AN1" s="0" t="n">
        <v>0</v>
      </c>
      <c r="AO1" s="0" t="n">
        <v>1755583113715</v>
      </c>
      <c r="AP1" s="0" t="inlineStr">
        <is>
          <t>ESRXDMFF301213JT3ZH9F7ZDSK4QQHFF3A9ZCB0821P05Y900W90</t>
        </is>
      </c>
      <c r="AQ1" s="0" t="inlineStr">
        <is>
          <t>Alina Ye</t>
        </is>
      </c>
      <c r="AR1" s="0" t="n">
        <v>0</v>
      </c>
      <c r="AS1" s="0" t="n">
        <v>1755843304383</v>
      </c>
      <c r="AT1" s="0" t="inlineStr">
        <is>
          <t>1P2X1MX3XYWCZ8E2MX2Y07YGB3MV287QRPBD8BFP4A63CGJFS7B0</t>
        </is>
      </c>
      <c r="AU1" s="0" t="inlineStr">
        <is>
          <t>Evelyn Z Zhao</t>
        </is>
      </c>
      <c r="AV1" s="0" t="n">
        <v>0</v>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AV1"/>
  <sheetViews>
    <sheetView workbookViewId="0">
      <selection activeCell="A1" sqref="A1"/>
    </sheetView>
  </sheetViews>
  <sheetFormatPr baseColWidth="8" defaultRowHeight="14.25"/>
  <cols>
    <col width="12.5" bestFit="1" customWidth="1" style="634" min="17" max="17"/>
    <col width="8.75" bestFit="1" customWidth="1" style="634" min="20" max="20"/>
    <col width="12.5" bestFit="1" customWidth="1" style="634" min="37" max="37"/>
    <col width="8.75" bestFit="1" customWidth="1" style="634" min="40" max="40"/>
    <col width="12.5" bestFit="1" customWidth="1" style="634" min="41" max="41"/>
    <col width="8.75" bestFit="1" customWidth="1" style="634" min="44" max="44"/>
  </cols>
  <sheetData>
    <row r="1">
      <c r="A1" s="0" t="inlineStr">
        <is>
          <t>e329b5f6-2a62-4d23-9056-a1799579c52e</t>
        </is>
      </c>
      <c r="B1" s="0" t="inlineStr">
        <is>
          <t>VZTN83DQ0PNV1SC86TPFW2CC99KYK2XZ14KACGNDYCRQJ22XYD90</t>
        </is>
      </c>
      <c r="C1" s="0" t="inlineStr">
        <is>
          <t>Tony XD Dong</t>
        </is>
      </c>
      <c r="D1" s="0" t="n">
        <v>0</v>
      </c>
      <c r="E1" s="0" t="n">
        <v>1750122332595</v>
      </c>
      <c r="F1" s="0" t="inlineStr">
        <is>
          <t>YG0DNYWJ8NZCWJNY2PCG8613MM6FEXYYHF70GAHMCNX0Q9Y2QFBG</t>
        </is>
      </c>
      <c r="G1" s="0" t="inlineStr">
        <is>
          <t>Danny YF Deng</t>
        </is>
      </c>
      <c r="H1" s="0" t="n">
        <v>0</v>
      </c>
      <c r="I1" s="0" t="n">
        <v>1751610980319</v>
      </c>
      <c r="J1" s="0" t="inlineStr">
        <is>
          <t>K5ZAXJ2E9XP125K3V6VCZ229PXMT9QCYE231BYVH63CK85DC0770</t>
        </is>
      </c>
      <c r="K1" s="0" t="inlineStr">
        <is>
          <t>Margo Bo</t>
        </is>
      </c>
      <c r="L1" s="0" t="n">
        <v>0</v>
      </c>
      <c r="M1" s="0" t="n">
        <v>1752894160338</v>
      </c>
      <c r="N1" s="0" t="inlineStr">
        <is>
          <t>G7KX5FMG1R3QH83GQBFZHN3Z9N294HNAAMSW34CTJT51MC4J8R8G</t>
        </is>
      </c>
      <c r="O1" s="0" t="inlineStr">
        <is>
          <t>Barry B Li</t>
        </is>
      </c>
      <c r="P1" s="0" t="n">
        <v>0</v>
      </c>
      <c r="Q1" s="0" t="n">
        <v>1753064494176</v>
      </c>
      <c r="R1" s="0" t="inlineStr">
        <is>
          <t>Q775XYNM7JGDVAMWSN3NR5KKNQM5NY4YPDM7W5EXVBGM3AB475NG</t>
        </is>
      </c>
      <c r="S1" s="0" t="inlineStr">
        <is>
          <t>Maikey Jin</t>
        </is>
      </c>
      <c r="T1" s="0" t="n">
        <v>0</v>
      </c>
      <c r="U1" s="0" t="n">
        <v>1753670871031</v>
      </c>
      <c r="V1" s="0" t="inlineStr">
        <is>
          <t>NJCBKWVS3J4F3HCA2MJBBCQ6HKD0ZSBEP3AX4S89TK4M9EY3DH60</t>
        </is>
      </c>
      <c r="W1" s="0" t="inlineStr">
        <is>
          <t>Phoebe YH Wang</t>
        </is>
      </c>
      <c r="X1" s="0" t="n">
        <v>0</v>
      </c>
      <c r="Y1" s="0" t="n">
        <v>1753929300911</v>
      </c>
      <c r="Z1" s="0" t="inlineStr">
        <is>
          <t>9QKVRYJWFZ38Q15SSC9F8R37HJH3965E74F5R92CN1PGMMZQECQ0</t>
        </is>
      </c>
      <c r="AA1" s="0" t="inlineStr">
        <is>
          <t>Dan Y Yao</t>
        </is>
      </c>
      <c r="AB1" s="0" t="n">
        <v>0</v>
      </c>
      <c r="AC1" s="0" t="n">
        <v>1754231570092</v>
      </c>
      <c r="AD1" s="0" t="inlineStr">
        <is>
          <t>T5WMV5MGJB59WZ0K302MPWMWM5G98C28W9B39WCZBPJXG5847NB0</t>
        </is>
      </c>
      <c r="AE1" s="0" t="inlineStr">
        <is>
          <t>Grace YT Dai</t>
        </is>
      </c>
      <c r="AF1" s="0" t="n">
        <v>0</v>
      </c>
      <c r="AG1" s="0" t="n">
        <v>1754622215250</v>
      </c>
      <c r="AH1" s="0" t="inlineStr">
        <is>
          <t>MQFDQD6SPH3FMJP2N0PQQ3N4PZ6XNH4T373A7HWSDE5TZ4A7V1DG</t>
        </is>
      </c>
      <c r="AI1" s="0" t="inlineStr">
        <is>
          <t>Zelda Zhang</t>
        </is>
      </c>
      <c r="AJ1" s="0" t="n">
        <v>0</v>
      </c>
      <c r="AK1" s="0" t="n">
        <v>1754908369338</v>
      </c>
      <c r="AL1" s="0" t="inlineStr">
        <is>
          <t>6MHDXJSY0EZ4FTY38FAWS1RBQMJ5SQF0K82YD6H5SGJP9T080D20</t>
        </is>
      </c>
      <c r="AM1" s="0" t="inlineStr">
        <is>
          <t>Esther WY Wang</t>
        </is>
      </c>
      <c r="AN1" s="0" t="n">
        <v>0</v>
      </c>
      <c r="AO1" s="0" t="n">
        <v>1755583113752</v>
      </c>
      <c r="AP1" s="0" t="inlineStr">
        <is>
          <t>ESRXDMFF301213JT3ZH9F7ZDSK4QQHFF3A9ZCB0821P05Y900W90</t>
        </is>
      </c>
      <c r="AQ1" s="0" t="inlineStr">
        <is>
          <t>Alina Ye</t>
        </is>
      </c>
      <c r="AR1" s="0" t="n">
        <v>0</v>
      </c>
      <c r="AS1" s="0" t="n">
        <v>1755843304394</v>
      </c>
      <c r="AT1" s="0" t="inlineStr">
        <is>
          <t>1P2X1MX3XYWCZ8E2MX2Y07YGB3MV287QRPBD8BFP4A63CGJFS7B0</t>
        </is>
      </c>
      <c r="AU1" s="0" t="inlineStr">
        <is>
          <t>Evelyn Z Zhao</t>
        </is>
      </c>
      <c r="AV1" s="0" t="n">
        <v>0</v>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Helen HL Qiao</dc:creator>
  <dc:title>Skywind_N_应付账款_20191231_测试账套穿透模板1.xlsx</dc:title>
  <dc:description>10124938-818F-4C5F-A38C-5EC3345A3A16</dc:description>
  <dcterms:created xsi:type="dcterms:W3CDTF">2019-08-16T09:12:00Z</dcterms:created>
  <dcterms:modified xsi:type="dcterms:W3CDTF">2026-05-26T09:30:40Z</dcterms:modified>
  <cp:lastModifiedBy>Dan Y Yao</cp:lastModifiedBy>
  <cp:keywords>Final Audit.V6.N.0901</cp:keywords>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0x01010062989BB664902542A04262E315E25772</vt:lpwstr>
  </property>
  <property name="ICV" fmtid="{D5CDD505-2E9C-101B-9397-08002B2CF9AE}" pid="3">
    <vt:lpwstr>DAB51CA01B73440982348705B3F4B6B0</vt:lpwstr>
  </property>
  <property name="KSOProductBuildVer" fmtid="{D5CDD505-2E9C-101B-9397-08002B2CF9AE}" pid="4">
    <vt:lpwstr>2052-11.1.0.12358</vt:lpwstr>
  </property>
</Properties>
</file>